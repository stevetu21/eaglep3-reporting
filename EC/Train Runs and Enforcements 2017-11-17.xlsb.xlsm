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mcdowell\Documents\GitHub\eaglep3-reporting\EC\"/>
    </mc:Choice>
  </mc:AlternateContent>
  <bookViews>
    <workbookView xWindow="0" yWindow="0" windowWidth="23040" windowHeight="91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</externalReferences>
  <definedNames>
    <definedName name="_xlnm._FilterDatabase" localSheetId="1" hidden="1">Enforcements!$A$6:$AC$20</definedName>
    <definedName name="_xlnm._FilterDatabase" localSheetId="2" hidden="1">'Missing Trips'!$A$2:$J$26</definedName>
    <definedName name="_xlnm._FilterDatabase" localSheetId="0" hidden="1">'Train Runs'!$A$12:$AG$483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Runs'!$A$12:$J$72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208" i="1" l="1"/>
  <c r="X209" i="1"/>
  <c r="X210" i="1"/>
  <c r="K208" i="1"/>
  <c r="L208" i="1"/>
  <c r="M208" i="1"/>
  <c r="N208" i="1"/>
  <c r="V208" i="1"/>
  <c r="AA208" i="1"/>
  <c r="AB208" i="1"/>
  <c r="AC208" i="1"/>
  <c r="AD208" i="1"/>
  <c r="T208" i="1" s="1"/>
  <c r="AE208" i="1"/>
  <c r="AF208" i="1"/>
  <c r="AH208" i="1"/>
  <c r="AM208" i="1"/>
  <c r="AN208" i="1"/>
  <c r="AO208" i="1"/>
  <c r="X204" i="1"/>
  <c r="X205" i="1"/>
  <c r="K203" i="1"/>
  <c r="L203" i="1"/>
  <c r="M203" i="1"/>
  <c r="N203" i="1"/>
  <c r="V203" i="1"/>
  <c r="X203" i="1"/>
  <c r="AA203" i="1"/>
  <c r="AB203" i="1"/>
  <c r="AC203" i="1"/>
  <c r="AD203" i="1"/>
  <c r="T203" i="1" s="1"/>
  <c r="AE203" i="1"/>
  <c r="AF203" i="1"/>
  <c r="AH203" i="1"/>
  <c r="AM203" i="1"/>
  <c r="AN203" i="1"/>
  <c r="AO203" i="1"/>
  <c r="X188" i="1"/>
  <c r="X189" i="1"/>
  <c r="K187" i="1"/>
  <c r="L187" i="1"/>
  <c r="M187" i="1"/>
  <c r="N187" i="1"/>
  <c r="V187" i="1"/>
  <c r="AA187" i="1"/>
  <c r="AB187" i="1"/>
  <c r="AC187" i="1"/>
  <c r="AD187" i="1"/>
  <c r="T187" i="1" s="1"/>
  <c r="AE187" i="1"/>
  <c r="AF187" i="1"/>
  <c r="AH187" i="1"/>
  <c r="AM187" i="1"/>
  <c r="AN187" i="1"/>
  <c r="AO187" i="1"/>
  <c r="AG208" i="1"/>
  <c r="AG203" i="1"/>
  <c r="AG187" i="1"/>
  <c r="AI208" i="1" l="1"/>
  <c r="U208" i="1"/>
  <c r="S208" i="1" s="1"/>
  <c r="W208" i="1"/>
  <c r="U203" i="1"/>
  <c r="S203" i="1"/>
  <c r="AI203" i="1"/>
  <c r="W203" i="1"/>
  <c r="AI187" i="1"/>
  <c r="U187" i="1"/>
  <c r="S187" i="1" s="1"/>
  <c r="W187" i="1"/>
  <c r="X187" i="1"/>
  <c r="X179" i="1"/>
  <c r="K161" i="1"/>
  <c r="L161" i="1"/>
  <c r="M161" i="1"/>
  <c r="N161" i="1" s="1"/>
  <c r="V161" i="1"/>
  <c r="AA161" i="1"/>
  <c r="AB161" i="1"/>
  <c r="AC161" i="1"/>
  <c r="AD161" i="1"/>
  <c r="T161" i="1" s="1"/>
  <c r="AE161" i="1"/>
  <c r="AF161" i="1"/>
  <c r="AH161" i="1"/>
  <c r="AM161" i="1"/>
  <c r="AN161" i="1"/>
  <c r="AO161" i="1"/>
  <c r="K151" i="1"/>
  <c r="L151" i="1"/>
  <c r="M151" i="1"/>
  <c r="N151" i="1" s="1"/>
  <c r="V151" i="1"/>
  <c r="AA151" i="1"/>
  <c r="AB151" i="1"/>
  <c r="AC151" i="1"/>
  <c r="AD151" i="1"/>
  <c r="T151" i="1" s="1"/>
  <c r="AE151" i="1"/>
  <c r="AF151" i="1"/>
  <c r="AH151" i="1"/>
  <c r="AM151" i="1"/>
  <c r="AN151" i="1"/>
  <c r="AO151" i="1"/>
  <c r="K145" i="1"/>
  <c r="L145" i="1"/>
  <c r="M145" i="1"/>
  <c r="N145" i="1" s="1"/>
  <c r="V145" i="1"/>
  <c r="AA145" i="1"/>
  <c r="AB145" i="1"/>
  <c r="AC145" i="1"/>
  <c r="AD145" i="1"/>
  <c r="AE145" i="1"/>
  <c r="AF145" i="1"/>
  <c r="AH145" i="1"/>
  <c r="AM145" i="1"/>
  <c r="AN145" i="1"/>
  <c r="AO145" i="1"/>
  <c r="K14" i="1"/>
  <c r="L14" i="1"/>
  <c r="M14" i="1"/>
  <c r="P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AO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AO15" i="1"/>
  <c r="K16" i="1"/>
  <c r="L16" i="1"/>
  <c r="M16" i="1"/>
  <c r="P16" i="1" s="1"/>
  <c r="V16" i="1"/>
  <c r="S20" i="3" s="1"/>
  <c r="Y16" i="1"/>
  <c r="Z16" i="1"/>
  <c r="AB16" i="1"/>
  <c r="AC16" i="1"/>
  <c r="AD16" i="1"/>
  <c r="T16" i="1" s="1"/>
  <c r="AE16" i="1"/>
  <c r="R20" i="3" s="1"/>
  <c r="AF16" i="1"/>
  <c r="AH16" i="1"/>
  <c r="AM16" i="1"/>
  <c r="AN16" i="1"/>
  <c r="AO16" i="1"/>
  <c r="K17" i="1"/>
  <c r="L17" i="1"/>
  <c r="M17" i="1"/>
  <c r="V17" i="1"/>
  <c r="Y17" i="1"/>
  <c r="Z17" i="1"/>
  <c r="AB17" i="1"/>
  <c r="AC17" i="1"/>
  <c r="AD17" i="1"/>
  <c r="AE17" i="1"/>
  <c r="AF17" i="1"/>
  <c r="AH17" i="1"/>
  <c r="AM17" i="1"/>
  <c r="AN17" i="1"/>
  <c r="AO17" i="1"/>
  <c r="K18" i="1"/>
  <c r="L18" i="1"/>
  <c r="M18" i="1"/>
  <c r="N18" i="1" s="1"/>
  <c r="T18" i="1"/>
  <c r="V18" i="1"/>
  <c r="Y18" i="1"/>
  <c r="Z18" i="1"/>
  <c r="AB18" i="1"/>
  <c r="AC18" i="1"/>
  <c r="AD18" i="1"/>
  <c r="X18" i="1" s="1"/>
  <c r="AE18" i="1"/>
  <c r="AF18" i="1"/>
  <c r="AH18" i="1"/>
  <c r="AM18" i="1"/>
  <c r="AN18" i="1"/>
  <c r="AO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AO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F20" i="1"/>
  <c r="AH20" i="1"/>
  <c r="AM20" i="1"/>
  <c r="AN20" i="1"/>
  <c r="AO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AH21" i="1"/>
  <c r="AM21" i="1"/>
  <c r="AN21" i="1"/>
  <c r="AO21" i="1"/>
  <c r="K22" i="1"/>
  <c r="L22" i="1"/>
  <c r="M22" i="1"/>
  <c r="N22" i="1" s="1"/>
  <c r="V22" i="1"/>
  <c r="S12" i="3" s="1"/>
  <c r="Y22" i="1"/>
  <c r="Z22" i="1"/>
  <c r="AB22" i="1"/>
  <c r="AC22" i="1"/>
  <c r="AD22" i="1"/>
  <c r="AE22" i="1"/>
  <c r="AF22" i="1"/>
  <c r="AH22" i="1"/>
  <c r="AM22" i="1"/>
  <c r="AN22" i="1"/>
  <c r="AO22" i="1"/>
  <c r="K23" i="1"/>
  <c r="L23" i="1"/>
  <c r="M23" i="1"/>
  <c r="N23" i="1" s="1"/>
  <c r="V23" i="1"/>
  <c r="S16" i="3" s="1"/>
  <c r="Y23" i="1"/>
  <c r="Z23" i="1"/>
  <c r="AB23" i="1"/>
  <c r="AC23" i="1"/>
  <c r="AD23" i="1"/>
  <c r="T23" i="1" s="1"/>
  <c r="AE23" i="1"/>
  <c r="AF23" i="1"/>
  <c r="AH23" i="1"/>
  <c r="AM23" i="1"/>
  <c r="AN23" i="1"/>
  <c r="AO23" i="1"/>
  <c r="K24" i="1"/>
  <c r="L24" i="1"/>
  <c r="M24" i="1"/>
  <c r="N24" i="1" s="1"/>
  <c r="V24" i="1"/>
  <c r="Y24" i="1"/>
  <c r="Z24" i="1"/>
  <c r="AB24" i="1"/>
  <c r="AC24" i="1"/>
  <c r="AD24" i="1"/>
  <c r="T24" i="1" s="1"/>
  <c r="AE24" i="1"/>
  <c r="AF24" i="1"/>
  <c r="AH24" i="1"/>
  <c r="AM24" i="1"/>
  <c r="AN24" i="1"/>
  <c r="AO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AO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AM26" i="1"/>
  <c r="AN26" i="1"/>
  <c r="AO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AM27" i="1"/>
  <c r="AN27" i="1"/>
  <c r="AO27" i="1"/>
  <c r="K28" i="1"/>
  <c r="L28" i="1"/>
  <c r="M28" i="1"/>
  <c r="N28" i="1" s="1"/>
  <c r="V28" i="1"/>
  <c r="Y28" i="1"/>
  <c r="Z28" i="1"/>
  <c r="AB28" i="1"/>
  <c r="AC28" i="1"/>
  <c r="AD28" i="1"/>
  <c r="T28" i="1" s="1"/>
  <c r="AE28" i="1"/>
  <c r="AF28" i="1"/>
  <c r="AH28" i="1"/>
  <c r="AM28" i="1"/>
  <c r="AN28" i="1"/>
  <c r="AO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AO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AM30" i="1"/>
  <c r="AN30" i="1"/>
  <c r="AO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AO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AN32" i="1"/>
  <c r="AO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AH33" i="1"/>
  <c r="AM33" i="1"/>
  <c r="AN33" i="1"/>
  <c r="AO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AM34" i="1"/>
  <c r="AN34" i="1"/>
  <c r="AO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AH35" i="1"/>
  <c r="AM35" i="1"/>
  <c r="AN35" i="1"/>
  <c r="AO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AM36" i="1"/>
  <c r="AN36" i="1"/>
  <c r="AO36" i="1"/>
  <c r="K37" i="1"/>
  <c r="L37" i="1"/>
  <c r="M37" i="1"/>
  <c r="N37" i="1" s="1"/>
  <c r="V37" i="1"/>
  <c r="Y37" i="1"/>
  <c r="Z37" i="1"/>
  <c r="AA37" i="1" s="1"/>
  <c r="AB37" i="1"/>
  <c r="AC37" i="1"/>
  <c r="AD37" i="1"/>
  <c r="T37" i="1" s="1"/>
  <c r="AE37" i="1"/>
  <c r="AF37" i="1"/>
  <c r="AH37" i="1"/>
  <c r="AM37" i="1"/>
  <c r="AN37" i="1"/>
  <c r="AO37" i="1"/>
  <c r="K38" i="1"/>
  <c r="L38" i="1"/>
  <c r="M38" i="1"/>
  <c r="N38" i="1" s="1"/>
  <c r="V38" i="1"/>
  <c r="Y38" i="1"/>
  <c r="Z38" i="1"/>
  <c r="AA38" i="1" s="1"/>
  <c r="AB38" i="1"/>
  <c r="AC38" i="1"/>
  <c r="AD38" i="1"/>
  <c r="T38" i="1" s="1"/>
  <c r="AE38" i="1"/>
  <c r="AF38" i="1"/>
  <c r="AH38" i="1"/>
  <c r="AM38" i="1"/>
  <c r="AN38" i="1"/>
  <c r="AO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AM39" i="1"/>
  <c r="AN39" i="1"/>
  <c r="AO39" i="1"/>
  <c r="K40" i="1"/>
  <c r="L40" i="1"/>
  <c r="M40" i="1"/>
  <c r="N40" i="1" s="1"/>
  <c r="V40" i="1"/>
  <c r="S8" i="3" s="1"/>
  <c r="Y40" i="1"/>
  <c r="Z40" i="1"/>
  <c r="AB40" i="1"/>
  <c r="AC40" i="1"/>
  <c r="AD40" i="1"/>
  <c r="AE40" i="1"/>
  <c r="R8" i="3" s="1"/>
  <c r="AF40" i="1"/>
  <c r="AH40" i="1"/>
  <c r="AM40" i="1"/>
  <c r="AN40" i="1"/>
  <c r="AO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AH41" i="1"/>
  <c r="AM41" i="1"/>
  <c r="AN41" i="1"/>
  <c r="AO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AM42" i="1"/>
  <c r="AN42" i="1"/>
  <c r="AO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AH43" i="1"/>
  <c r="AM43" i="1"/>
  <c r="AN43" i="1"/>
  <c r="AO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AM44" i="1"/>
  <c r="AN44" i="1"/>
  <c r="AO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AM45" i="1"/>
  <c r="AN45" i="1"/>
  <c r="AO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AM46" i="1"/>
  <c r="AN46" i="1"/>
  <c r="AO46" i="1"/>
  <c r="K47" i="1"/>
  <c r="L47" i="1"/>
  <c r="M47" i="1"/>
  <c r="N47" i="1" s="1"/>
  <c r="V47" i="1"/>
  <c r="Y47" i="1"/>
  <c r="Z47" i="1"/>
  <c r="AA47" i="1" s="1"/>
  <c r="AB47" i="1"/>
  <c r="AC47" i="1"/>
  <c r="AD47" i="1"/>
  <c r="T47" i="1" s="1"/>
  <c r="AE47" i="1"/>
  <c r="AF47" i="1"/>
  <c r="AH47" i="1"/>
  <c r="AM47" i="1"/>
  <c r="AN47" i="1"/>
  <c r="AO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AM48" i="1"/>
  <c r="AN48" i="1"/>
  <c r="AO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AH49" i="1"/>
  <c r="AM49" i="1"/>
  <c r="AN49" i="1"/>
  <c r="AO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AM50" i="1"/>
  <c r="AN50" i="1"/>
  <c r="AO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AF51" i="1"/>
  <c r="AH51" i="1"/>
  <c r="AM51" i="1"/>
  <c r="AN51" i="1"/>
  <c r="AO51" i="1"/>
  <c r="K52" i="1"/>
  <c r="L52" i="1"/>
  <c r="M52" i="1"/>
  <c r="N52" i="1" s="1"/>
  <c r="V52" i="1"/>
  <c r="Y52" i="1"/>
  <c r="Z52" i="1"/>
  <c r="AB52" i="1"/>
  <c r="AC52" i="1"/>
  <c r="AD52" i="1"/>
  <c r="AE52" i="1"/>
  <c r="R10" i="3" s="1"/>
  <c r="AF52" i="1"/>
  <c r="AH52" i="1"/>
  <c r="AM52" i="1"/>
  <c r="AN52" i="1"/>
  <c r="AO52" i="1"/>
  <c r="K53" i="1"/>
  <c r="L53" i="1"/>
  <c r="M53" i="1"/>
  <c r="N53" i="1"/>
  <c r="V53" i="1"/>
  <c r="Y53" i="1"/>
  <c r="Z53" i="1"/>
  <c r="AB53" i="1"/>
  <c r="AC53" i="1"/>
  <c r="AD53" i="1"/>
  <c r="T53" i="1" s="1"/>
  <c r="AE53" i="1"/>
  <c r="AF53" i="1"/>
  <c r="AH53" i="1"/>
  <c r="AM53" i="1"/>
  <c r="AN53" i="1"/>
  <c r="AO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AM54" i="1"/>
  <c r="AN54" i="1"/>
  <c r="AO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AM55" i="1"/>
  <c r="AN55" i="1"/>
  <c r="AO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AH56" i="1"/>
  <c r="AM56" i="1"/>
  <c r="AN56" i="1"/>
  <c r="AO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AO57" i="1"/>
  <c r="K58" i="1"/>
  <c r="L58" i="1"/>
  <c r="M58" i="1"/>
  <c r="N58" i="1" s="1"/>
  <c r="V58" i="1"/>
  <c r="Y58" i="1"/>
  <c r="Z58" i="1"/>
  <c r="AB58" i="1"/>
  <c r="AC58" i="1"/>
  <c r="AD58" i="1"/>
  <c r="AE58" i="1"/>
  <c r="AF58" i="1"/>
  <c r="AH58" i="1"/>
  <c r="AM58" i="1"/>
  <c r="AN58" i="1"/>
  <c r="AO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AO59" i="1"/>
  <c r="K60" i="1"/>
  <c r="L60" i="1"/>
  <c r="M60" i="1"/>
  <c r="N60" i="1" s="1"/>
  <c r="V60" i="1"/>
  <c r="Y60" i="1"/>
  <c r="Z60" i="1"/>
  <c r="AB60" i="1"/>
  <c r="AC60" i="1"/>
  <c r="AD60" i="1"/>
  <c r="AE60" i="1"/>
  <c r="AF60" i="1"/>
  <c r="AH60" i="1"/>
  <c r="AM60" i="1"/>
  <c r="AN60" i="1"/>
  <c r="AO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AM61" i="1"/>
  <c r="AN61" i="1"/>
  <c r="AO61" i="1"/>
  <c r="K62" i="1"/>
  <c r="L62" i="1"/>
  <c r="M62" i="1"/>
  <c r="N62" i="1" s="1"/>
  <c r="V62" i="1"/>
  <c r="Y62" i="1"/>
  <c r="Z62" i="1"/>
  <c r="AB62" i="1"/>
  <c r="AC62" i="1"/>
  <c r="AD62" i="1"/>
  <c r="AE62" i="1"/>
  <c r="AF62" i="1"/>
  <c r="AH62" i="1"/>
  <c r="AM62" i="1"/>
  <c r="AN62" i="1"/>
  <c r="AO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AO63" i="1"/>
  <c r="K64" i="1"/>
  <c r="L64" i="1"/>
  <c r="M64" i="1"/>
  <c r="N64" i="1" s="1"/>
  <c r="V64" i="1"/>
  <c r="Y64" i="1"/>
  <c r="Z64" i="1"/>
  <c r="AB64" i="1"/>
  <c r="AC64" i="1"/>
  <c r="AD64" i="1"/>
  <c r="AE64" i="1"/>
  <c r="AF64" i="1"/>
  <c r="AH64" i="1"/>
  <c r="AM64" i="1"/>
  <c r="AN64" i="1"/>
  <c r="AO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AO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AM66" i="1"/>
  <c r="AN66" i="1"/>
  <c r="AO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AO67" i="1"/>
  <c r="K68" i="1"/>
  <c r="L68" i="1"/>
  <c r="M68" i="1"/>
  <c r="N68" i="1" s="1"/>
  <c r="V68" i="1"/>
  <c r="Y68" i="1"/>
  <c r="Z68" i="1"/>
  <c r="AB68" i="1"/>
  <c r="AC68" i="1"/>
  <c r="AD68" i="1"/>
  <c r="AE68" i="1"/>
  <c r="AF68" i="1"/>
  <c r="AH68" i="1"/>
  <c r="AM68" i="1"/>
  <c r="AN68" i="1"/>
  <c r="AO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AH69" i="1"/>
  <c r="AM69" i="1"/>
  <c r="AN69" i="1"/>
  <c r="AO69" i="1"/>
  <c r="K70" i="1"/>
  <c r="L70" i="1"/>
  <c r="M70" i="1"/>
  <c r="N70" i="1" s="1"/>
  <c r="V70" i="1"/>
  <c r="Y70" i="1"/>
  <c r="Z70" i="1"/>
  <c r="AB70" i="1"/>
  <c r="AC70" i="1"/>
  <c r="AD70" i="1"/>
  <c r="AE70" i="1"/>
  <c r="AF70" i="1"/>
  <c r="AH70" i="1"/>
  <c r="AM70" i="1"/>
  <c r="AN70" i="1"/>
  <c r="AO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AM71" i="1"/>
  <c r="AN71" i="1"/>
  <c r="AO71" i="1"/>
  <c r="K72" i="1"/>
  <c r="L72" i="1"/>
  <c r="M72" i="1"/>
  <c r="N72" i="1" s="1"/>
  <c r="V72" i="1"/>
  <c r="Y72" i="1"/>
  <c r="Z72" i="1"/>
  <c r="AB72" i="1"/>
  <c r="AC72" i="1"/>
  <c r="AD72" i="1"/>
  <c r="AE72" i="1"/>
  <c r="AF72" i="1"/>
  <c r="AH72" i="1"/>
  <c r="AM72" i="1"/>
  <c r="AN72" i="1"/>
  <c r="AO72" i="1"/>
  <c r="K73" i="1"/>
  <c r="L73" i="1"/>
  <c r="M73" i="1"/>
  <c r="N73" i="1" s="1"/>
  <c r="V73" i="1"/>
  <c r="S13" i="3" s="1"/>
  <c r="Y73" i="1"/>
  <c r="Z73" i="1"/>
  <c r="AB73" i="1"/>
  <c r="AC73" i="1"/>
  <c r="AD73" i="1"/>
  <c r="T73" i="1" s="1"/>
  <c r="AE73" i="1"/>
  <c r="R13" i="3" s="1"/>
  <c r="AF73" i="1"/>
  <c r="AH73" i="1"/>
  <c r="AM73" i="1"/>
  <c r="AN73" i="1"/>
  <c r="AO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AO74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AH75" i="1"/>
  <c r="AM75" i="1"/>
  <c r="AN75" i="1"/>
  <c r="AO75" i="1"/>
  <c r="K76" i="1"/>
  <c r="L76" i="1"/>
  <c r="M76" i="1"/>
  <c r="N76" i="1" s="1"/>
  <c r="V76" i="1"/>
  <c r="Y76" i="1"/>
  <c r="Z76" i="1"/>
  <c r="AB76" i="1"/>
  <c r="AC76" i="1"/>
  <c r="AD76" i="1"/>
  <c r="AE76" i="1"/>
  <c r="AF76" i="1"/>
  <c r="AH76" i="1"/>
  <c r="AM76" i="1"/>
  <c r="AN76" i="1"/>
  <c r="AO76" i="1"/>
  <c r="K77" i="1"/>
  <c r="L77" i="1"/>
  <c r="M77" i="1"/>
  <c r="N77" i="1" s="1"/>
  <c r="V77" i="1"/>
  <c r="Y77" i="1"/>
  <c r="Z77" i="1"/>
  <c r="AA77" i="1" s="1"/>
  <c r="AB77" i="1"/>
  <c r="AC77" i="1"/>
  <c r="AD77" i="1"/>
  <c r="AE77" i="1"/>
  <c r="AF77" i="1"/>
  <c r="AH77" i="1"/>
  <c r="AM77" i="1"/>
  <c r="AN77" i="1"/>
  <c r="AO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AM78" i="1"/>
  <c r="AN78" i="1"/>
  <c r="AO78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AH79" i="1"/>
  <c r="AM79" i="1"/>
  <c r="AN79" i="1"/>
  <c r="AO79" i="1"/>
  <c r="K80" i="1"/>
  <c r="L80" i="1"/>
  <c r="M80" i="1"/>
  <c r="N80" i="1" s="1"/>
  <c r="V80" i="1"/>
  <c r="Y80" i="1"/>
  <c r="AA80" i="1" s="1"/>
  <c r="Z80" i="1"/>
  <c r="AB80" i="1"/>
  <c r="AC80" i="1"/>
  <c r="AD80" i="1"/>
  <c r="T80" i="1" s="1"/>
  <c r="AE80" i="1"/>
  <c r="AF80" i="1"/>
  <c r="AH80" i="1"/>
  <c r="AM80" i="1"/>
  <c r="AN80" i="1"/>
  <c r="AO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H81" i="1"/>
  <c r="AM81" i="1"/>
  <c r="AN81" i="1"/>
  <c r="AO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AH82" i="1"/>
  <c r="AM82" i="1"/>
  <c r="AN82" i="1"/>
  <c r="AO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AM83" i="1"/>
  <c r="AN83" i="1"/>
  <c r="AO83" i="1"/>
  <c r="K84" i="1"/>
  <c r="L84" i="1"/>
  <c r="M84" i="1"/>
  <c r="N84" i="1" s="1"/>
  <c r="V84" i="1"/>
  <c r="S9" i="3" s="1"/>
  <c r="Y84" i="1"/>
  <c r="Z84" i="1"/>
  <c r="AB84" i="1"/>
  <c r="AC84" i="1"/>
  <c r="AD84" i="1"/>
  <c r="AE84" i="1"/>
  <c r="AF84" i="1"/>
  <c r="AH84" i="1"/>
  <c r="AM84" i="1"/>
  <c r="AN84" i="1"/>
  <c r="AO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AM85" i="1"/>
  <c r="AN85" i="1"/>
  <c r="AO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AH86" i="1"/>
  <c r="AM86" i="1"/>
  <c r="AN86" i="1"/>
  <c r="AO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AH87" i="1"/>
  <c r="AM87" i="1"/>
  <c r="AN87" i="1"/>
  <c r="AO87" i="1"/>
  <c r="K88" i="1"/>
  <c r="L88" i="1"/>
  <c r="M88" i="1"/>
  <c r="N88" i="1" s="1"/>
  <c r="V88" i="1"/>
  <c r="Y88" i="1"/>
  <c r="Z88" i="1"/>
  <c r="AB88" i="1"/>
  <c r="AC88" i="1"/>
  <c r="AD88" i="1"/>
  <c r="X88" i="1" s="1"/>
  <c r="AE88" i="1"/>
  <c r="AF88" i="1"/>
  <c r="AH88" i="1"/>
  <c r="AM88" i="1"/>
  <c r="AN88" i="1"/>
  <c r="AO88" i="1"/>
  <c r="K89" i="1"/>
  <c r="L89" i="1"/>
  <c r="M89" i="1"/>
  <c r="N89" i="1" s="1"/>
  <c r="V89" i="1"/>
  <c r="Y89" i="1"/>
  <c r="Z89" i="1"/>
  <c r="AA89" i="1" s="1"/>
  <c r="AB89" i="1"/>
  <c r="AC89" i="1"/>
  <c r="AD89" i="1"/>
  <c r="T89" i="1" s="1"/>
  <c r="AE89" i="1"/>
  <c r="AF89" i="1"/>
  <c r="AH89" i="1"/>
  <c r="AM89" i="1"/>
  <c r="AN89" i="1"/>
  <c r="AO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AH90" i="1"/>
  <c r="AM90" i="1"/>
  <c r="AN90" i="1"/>
  <c r="AO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AO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AM92" i="1"/>
  <c r="AN92" i="1"/>
  <c r="AO9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AH93" i="1"/>
  <c r="AM93" i="1"/>
  <c r="AN93" i="1"/>
  <c r="AO93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AH94" i="1"/>
  <c r="AM94" i="1"/>
  <c r="AN94" i="1"/>
  <c r="AO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95" i="1"/>
  <c r="AM95" i="1"/>
  <c r="AN95" i="1"/>
  <c r="AO9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96" i="1"/>
  <c r="AM96" i="1"/>
  <c r="AN96" i="1"/>
  <c r="AO96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97" i="1"/>
  <c r="AM97" i="1"/>
  <c r="AN97" i="1"/>
  <c r="AO97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98" i="1"/>
  <c r="AM98" i="1"/>
  <c r="AN98" i="1"/>
  <c r="AO98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AH99" i="1"/>
  <c r="AM99" i="1"/>
  <c r="AN99" i="1"/>
  <c r="AO99" i="1"/>
  <c r="K100" i="1"/>
  <c r="L100" i="1"/>
  <c r="M100" i="1"/>
  <c r="N100" i="1" s="1"/>
  <c r="V100" i="1"/>
  <c r="S19" i="3" s="1"/>
  <c r="Y100" i="1"/>
  <c r="Z100" i="1"/>
  <c r="AB100" i="1"/>
  <c r="AC100" i="1"/>
  <c r="AD100" i="1"/>
  <c r="T100" i="1" s="1"/>
  <c r="AE100" i="1"/>
  <c r="AF100" i="1"/>
  <c r="AH100" i="1"/>
  <c r="AM100" i="1"/>
  <c r="AN100" i="1"/>
  <c r="AO100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R11" i="3" s="1"/>
  <c r="AF101" i="1"/>
  <c r="AH101" i="1"/>
  <c r="AM101" i="1"/>
  <c r="AN101" i="1"/>
  <c r="AO101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02" i="1"/>
  <c r="AM102" i="1"/>
  <c r="AN102" i="1"/>
  <c r="AO102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03" i="1"/>
  <c r="AM103" i="1"/>
  <c r="AN103" i="1"/>
  <c r="AO103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04" i="1"/>
  <c r="AM104" i="1"/>
  <c r="AN104" i="1"/>
  <c r="AO104" i="1"/>
  <c r="K105" i="1"/>
  <c r="L105" i="1"/>
  <c r="M105" i="1"/>
  <c r="N105" i="1" s="1"/>
  <c r="V105" i="1"/>
  <c r="Y105" i="1"/>
  <c r="Z105" i="1"/>
  <c r="AA105" i="1" s="1"/>
  <c r="AB105" i="1"/>
  <c r="AC105" i="1"/>
  <c r="AD105" i="1"/>
  <c r="T105" i="1" s="1"/>
  <c r="AE105" i="1"/>
  <c r="AF105" i="1"/>
  <c r="AH105" i="1"/>
  <c r="AM105" i="1"/>
  <c r="AN105" i="1"/>
  <c r="AO105" i="1"/>
  <c r="K106" i="1"/>
  <c r="L106" i="1"/>
  <c r="M106" i="1"/>
  <c r="P106" i="1" s="1"/>
  <c r="V106" i="1"/>
  <c r="Y106" i="1"/>
  <c r="Z106" i="1"/>
  <c r="AB106" i="1"/>
  <c r="AC106" i="1"/>
  <c r="AD106" i="1"/>
  <c r="AE106" i="1"/>
  <c r="AF106" i="1"/>
  <c r="AH106" i="1"/>
  <c r="AM106" i="1"/>
  <c r="AN106" i="1"/>
  <c r="AO106" i="1"/>
  <c r="K107" i="1"/>
  <c r="L107" i="1"/>
  <c r="M107" i="1"/>
  <c r="V107" i="1"/>
  <c r="Y107" i="1"/>
  <c r="Z107" i="1"/>
  <c r="AB107" i="1"/>
  <c r="AC107" i="1"/>
  <c r="AD107" i="1"/>
  <c r="T107" i="1" s="1"/>
  <c r="AE107" i="1"/>
  <c r="AF107" i="1"/>
  <c r="AH107" i="1"/>
  <c r="AM107" i="1"/>
  <c r="AN107" i="1"/>
  <c r="AO107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08" i="1"/>
  <c r="AM108" i="1"/>
  <c r="AN108" i="1"/>
  <c r="AO108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09" i="1"/>
  <c r="AM109" i="1"/>
  <c r="AN109" i="1"/>
  <c r="AO109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10" i="1"/>
  <c r="AM110" i="1"/>
  <c r="AN110" i="1"/>
  <c r="AO11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11" i="1"/>
  <c r="AM111" i="1"/>
  <c r="AN111" i="1"/>
  <c r="AO111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AH112" i="1"/>
  <c r="AM112" i="1"/>
  <c r="AN112" i="1"/>
  <c r="AO11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13" i="1"/>
  <c r="AM113" i="1"/>
  <c r="AN113" i="1"/>
  <c r="AO113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AH114" i="1"/>
  <c r="AM114" i="1"/>
  <c r="AN114" i="1"/>
  <c r="AO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15" i="1"/>
  <c r="AM115" i="1"/>
  <c r="AN115" i="1"/>
  <c r="AO115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16" i="1"/>
  <c r="AM116" i="1"/>
  <c r="AN116" i="1"/>
  <c r="AO116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AH117" i="1"/>
  <c r="AM117" i="1"/>
  <c r="AN117" i="1"/>
  <c r="AO117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AH118" i="1"/>
  <c r="AM118" i="1"/>
  <c r="AN118" i="1"/>
  <c r="AO118" i="1"/>
  <c r="K119" i="1"/>
  <c r="L119" i="1"/>
  <c r="M119" i="1"/>
  <c r="V119" i="1"/>
  <c r="S17" i="3" s="1"/>
  <c r="Y119" i="1"/>
  <c r="Z119" i="1"/>
  <c r="AB119" i="1"/>
  <c r="AC119" i="1"/>
  <c r="AD119" i="1"/>
  <c r="T119" i="1" s="1"/>
  <c r="AE119" i="1"/>
  <c r="AF119" i="1"/>
  <c r="AH119" i="1"/>
  <c r="AM119" i="1"/>
  <c r="AN119" i="1"/>
  <c r="AO11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20" i="1"/>
  <c r="AM120" i="1"/>
  <c r="AN120" i="1"/>
  <c r="AO120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AH121" i="1"/>
  <c r="AM121" i="1"/>
  <c r="AN121" i="1"/>
  <c r="AO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22" i="1"/>
  <c r="AM122" i="1"/>
  <c r="AN122" i="1"/>
  <c r="AO122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23" i="1"/>
  <c r="AM123" i="1"/>
  <c r="AN123" i="1"/>
  <c r="AO123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AH124" i="1"/>
  <c r="AM124" i="1"/>
  <c r="AN124" i="1"/>
  <c r="AO124" i="1"/>
  <c r="K125" i="1"/>
  <c r="L125" i="1"/>
  <c r="M125" i="1"/>
  <c r="N125" i="1" s="1"/>
  <c r="V125" i="1"/>
  <c r="Y125" i="1"/>
  <c r="Z125" i="1"/>
  <c r="AA125" i="1" s="1"/>
  <c r="AB125" i="1"/>
  <c r="AC125" i="1"/>
  <c r="AD125" i="1"/>
  <c r="AE125" i="1"/>
  <c r="AF125" i="1"/>
  <c r="AH125" i="1"/>
  <c r="AM125" i="1"/>
  <c r="AN125" i="1"/>
  <c r="AO125" i="1"/>
  <c r="K126" i="1"/>
  <c r="L126" i="1"/>
  <c r="M126" i="1"/>
  <c r="N126" i="1" s="1"/>
  <c r="V126" i="1"/>
  <c r="Y126" i="1"/>
  <c r="Z126" i="1"/>
  <c r="AA126" i="1" s="1"/>
  <c r="AB126" i="1"/>
  <c r="AC126" i="1"/>
  <c r="AD126" i="1"/>
  <c r="AE126" i="1"/>
  <c r="AF126" i="1"/>
  <c r="AH126" i="1"/>
  <c r="AM126" i="1"/>
  <c r="AN126" i="1"/>
  <c r="AO126" i="1"/>
  <c r="K127" i="1"/>
  <c r="L127" i="1"/>
  <c r="M127" i="1"/>
  <c r="N127" i="1" s="1"/>
  <c r="V127" i="1"/>
  <c r="S18" i="3" s="1"/>
  <c r="Y127" i="1"/>
  <c r="Z127" i="1"/>
  <c r="AB127" i="1"/>
  <c r="AC127" i="1"/>
  <c r="AD127" i="1"/>
  <c r="AE127" i="1"/>
  <c r="R18" i="3" s="1"/>
  <c r="AF127" i="1"/>
  <c r="AH127" i="1"/>
  <c r="AM127" i="1"/>
  <c r="AN127" i="1"/>
  <c r="AO127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AH128" i="1"/>
  <c r="AM128" i="1"/>
  <c r="AN128" i="1"/>
  <c r="AO128" i="1"/>
  <c r="K129" i="1"/>
  <c r="L129" i="1"/>
  <c r="M129" i="1"/>
  <c r="N129" i="1" s="1"/>
  <c r="V129" i="1"/>
  <c r="Y129" i="1"/>
  <c r="Z129" i="1"/>
  <c r="AB129" i="1"/>
  <c r="AC129" i="1"/>
  <c r="AD129" i="1"/>
  <c r="AE129" i="1"/>
  <c r="AF129" i="1"/>
  <c r="AH129" i="1"/>
  <c r="AM129" i="1"/>
  <c r="AN129" i="1"/>
  <c r="AO129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AH130" i="1"/>
  <c r="AM130" i="1"/>
  <c r="AN130" i="1"/>
  <c r="AO130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AH131" i="1"/>
  <c r="AM131" i="1"/>
  <c r="AN131" i="1"/>
  <c r="AO131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AH132" i="1"/>
  <c r="AM132" i="1"/>
  <c r="AN132" i="1"/>
  <c r="AO132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AH133" i="1"/>
  <c r="AM133" i="1"/>
  <c r="AN133" i="1"/>
  <c r="AO133" i="1"/>
  <c r="K134" i="1"/>
  <c r="L134" i="1"/>
  <c r="M134" i="1"/>
  <c r="N134" i="1" s="1"/>
  <c r="V134" i="1"/>
  <c r="Y134" i="1"/>
  <c r="Z134" i="1"/>
  <c r="AB134" i="1"/>
  <c r="AC134" i="1"/>
  <c r="AD134" i="1"/>
  <c r="AE134" i="1"/>
  <c r="AF134" i="1"/>
  <c r="AH134" i="1"/>
  <c r="AM134" i="1"/>
  <c r="AN134" i="1"/>
  <c r="AO134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AH135" i="1"/>
  <c r="AM135" i="1"/>
  <c r="AN135" i="1"/>
  <c r="AO135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AH136" i="1"/>
  <c r="AM136" i="1"/>
  <c r="AN136" i="1"/>
  <c r="AO136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H137" i="1"/>
  <c r="AM137" i="1"/>
  <c r="AN137" i="1"/>
  <c r="AO137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38" i="1"/>
  <c r="AM138" i="1"/>
  <c r="AN138" i="1"/>
  <c r="AO138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AH139" i="1"/>
  <c r="AM139" i="1"/>
  <c r="AN139" i="1"/>
  <c r="AO139" i="1"/>
  <c r="K140" i="1"/>
  <c r="L140" i="1"/>
  <c r="M140" i="1"/>
  <c r="N140" i="1" s="1"/>
  <c r="V140" i="1"/>
  <c r="Y140" i="1"/>
  <c r="Z140" i="1"/>
  <c r="AB140" i="1"/>
  <c r="AC140" i="1"/>
  <c r="AD140" i="1"/>
  <c r="AE140" i="1"/>
  <c r="AF140" i="1"/>
  <c r="AH140" i="1"/>
  <c r="AM140" i="1"/>
  <c r="AN140" i="1"/>
  <c r="AO140" i="1"/>
  <c r="K141" i="1"/>
  <c r="L141" i="1"/>
  <c r="M141" i="1"/>
  <c r="N141" i="1" s="1"/>
  <c r="V141" i="1"/>
  <c r="Y141" i="1"/>
  <c r="Z141" i="1"/>
  <c r="AB141" i="1"/>
  <c r="AC141" i="1"/>
  <c r="AD141" i="1"/>
  <c r="AE141" i="1"/>
  <c r="AF141" i="1"/>
  <c r="AH141" i="1"/>
  <c r="AM141" i="1"/>
  <c r="AN141" i="1"/>
  <c r="AO141" i="1"/>
  <c r="K142" i="1"/>
  <c r="L142" i="1"/>
  <c r="M142" i="1"/>
  <c r="P142" i="1" s="1"/>
  <c r="V142" i="1"/>
  <c r="Y142" i="1"/>
  <c r="Z142" i="1"/>
  <c r="AB142" i="1"/>
  <c r="AC142" i="1"/>
  <c r="AD142" i="1"/>
  <c r="AE142" i="1"/>
  <c r="AF142" i="1"/>
  <c r="AH142" i="1"/>
  <c r="AM142" i="1"/>
  <c r="AN142" i="1"/>
  <c r="AO142" i="1"/>
  <c r="K143" i="1"/>
  <c r="L143" i="1"/>
  <c r="M143" i="1"/>
  <c r="V143" i="1"/>
  <c r="Y143" i="1"/>
  <c r="Z143" i="1"/>
  <c r="AB143" i="1"/>
  <c r="AC143" i="1"/>
  <c r="AD143" i="1"/>
  <c r="AE143" i="1"/>
  <c r="AF143" i="1"/>
  <c r="AH143" i="1"/>
  <c r="AM143" i="1"/>
  <c r="AN143" i="1"/>
  <c r="AO143" i="1"/>
  <c r="K144" i="1"/>
  <c r="L144" i="1"/>
  <c r="M144" i="1"/>
  <c r="N144" i="1" s="1"/>
  <c r="V144" i="1"/>
  <c r="Y144" i="1"/>
  <c r="Z144" i="1"/>
  <c r="AB144" i="1"/>
  <c r="AC144" i="1"/>
  <c r="AD144" i="1"/>
  <c r="AE144" i="1"/>
  <c r="AF144" i="1"/>
  <c r="AH144" i="1"/>
  <c r="AM144" i="1"/>
  <c r="AN144" i="1"/>
  <c r="AO144" i="1"/>
  <c r="K146" i="1"/>
  <c r="L146" i="1"/>
  <c r="M146" i="1"/>
  <c r="N146" i="1" s="1"/>
  <c r="V146" i="1"/>
  <c r="Y146" i="1"/>
  <c r="Z146" i="1"/>
  <c r="AB146" i="1"/>
  <c r="AC146" i="1"/>
  <c r="AD146" i="1"/>
  <c r="X146" i="1" s="1"/>
  <c r="AE146" i="1"/>
  <c r="AF146" i="1"/>
  <c r="AH146" i="1"/>
  <c r="AM146" i="1"/>
  <c r="AN146" i="1"/>
  <c r="AO146" i="1"/>
  <c r="K147" i="1"/>
  <c r="L147" i="1"/>
  <c r="M147" i="1"/>
  <c r="N147" i="1" s="1"/>
  <c r="V147" i="1"/>
  <c r="Y147" i="1"/>
  <c r="Z147" i="1"/>
  <c r="AA147" i="1" s="1"/>
  <c r="AB147" i="1"/>
  <c r="AC147" i="1"/>
  <c r="AD147" i="1"/>
  <c r="AE147" i="1"/>
  <c r="AF147" i="1"/>
  <c r="AH147" i="1"/>
  <c r="AM147" i="1"/>
  <c r="AN147" i="1"/>
  <c r="AO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48" i="1"/>
  <c r="AM148" i="1"/>
  <c r="AN148" i="1"/>
  <c r="AO148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49" i="1"/>
  <c r="AM149" i="1"/>
  <c r="AN149" i="1"/>
  <c r="AO149" i="1"/>
  <c r="K150" i="1"/>
  <c r="L150" i="1"/>
  <c r="M150" i="1"/>
  <c r="N150" i="1" s="1"/>
  <c r="V150" i="1"/>
  <c r="Y150" i="1"/>
  <c r="Z150" i="1"/>
  <c r="AB150" i="1"/>
  <c r="AC150" i="1"/>
  <c r="AD150" i="1"/>
  <c r="AE150" i="1"/>
  <c r="AF150" i="1"/>
  <c r="AH150" i="1"/>
  <c r="AM150" i="1"/>
  <c r="AN150" i="1"/>
  <c r="AO150" i="1"/>
  <c r="K152" i="1"/>
  <c r="L152" i="1"/>
  <c r="M152" i="1"/>
  <c r="N152" i="1" s="1"/>
  <c r="V152" i="1"/>
  <c r="Y152" i="1"/>
  <c r="Z152" i="1"/>
  <c r="AB152" i="1"/>
  <c r="AC152" i="1"/>
  <c r="AD152" i="1"/>
  <c r="AE152" i="1"/>
  <c r="AF152" i="1"/>
  <c r="AH152" i="1"/>
  <c r="AM152" i="1"/>
  <c r="AN152" i="1"/>
  <c r="AO152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53" i="1"/>
  <c r="AM153" i="1"/>
  <c r="AN153" i="1"/>
  <c r="AO153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54" i="1"/>
  <c r="AM154" i="1"/>
  <c r="AN154" i="1"/>
  <c r="AO154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AH155" i="1"/>
  <c r="AM155" i="1"/>
  <c r="AN155" i="1"/>
  <c r="AO155" i="1"/>
  <c r="K156" i="1"/>
  <c r="L156" i="1"/>
  <c r="M156" i="1"/>
  <c r="N156" i="1" s="1"/>
  <c r="V156" i="1"/>
  <c r="S21" i="3" s="1"/>
  <c r="Y156" i="1"/>
  <c r="Z156" i="1"/>
  <c r="AB156" i="1"/>
  <c r="AC156" i="1"/>
  <c r="AD156" i="1"/>
  <c r="T156" i="1" s="1"/>
  <c r="AE156" i="1"/>
  <c r="R21" i="3" s="1"/>
  <c r="AF156" i="1"/>
  <c r="AH156" i="1"/>
  <c r="AM156" i="1"/>
  <c r="AN156" i="1"/>
  <c r="AO156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57" i="1"/>
  <c r="AM157" i="1"/>
  <c r="AN157" i="1"/>
  <c r="AO157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58" i="1"/>
  <c r="AM158" i="1"/>
  <c r="AN158" i="1"/>
  <c r="AO158" i="1"/>
  <c r="K159" i="1"/>
  <c r="L159" i="1"/>
  <c r="M159" i="1"/>
  <c r="N159" i="1" s="1"/>
  <c r="V159" i="1"/>
  <c r="Y159" i="1"/>
  <c r="Z159" i="1"/>
  <c r="AB159" i="1"/>
  <c r="AC159" i="1"/>
  <c r="AD159" i="1"/>
  <c r="AE159" i="1"/>
  <c r="AF159" i="1"/>
  <c r="AH159" i="1"/>
  <c r="AM159" i="1"/>
  <c r="AN159" i="1"/>
  <c r="AO159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160" i="1"/>
  <c r="AM160" i="1"/>
  <c r="AN160" i="1"/>
  <c r="AO160" i="1"/>
  <c r="K162" i="1"/>
  <c r="L162" i="1"/>
  <c r="M162" i="1"/>
  <c r="N162" i="1" s="1"/>
  <c r="V162" i="1"/>
  <c r="Y162" i="1"/>
  <c r="Z162" i="1"/>
  <c r="AB162" i="1"/>
  <c r="AC162" i="1"/>
  <c r="AD162" i="1"/>
  <c r="X162" i="1" s="1"/>
  <c r="AE162" i="1"/>
  <c r="AF162" i="1"/>
  <c r="AH162" i="1"/>
  <c r="AM162" i="1"/>
  <c r="AN162" i="1"/>
  <c r="AO162" i="1"/>
  <c r="K163" i="1"/>
  <c r="L163" i="1"/>
  <c r="M163" i="1"/>
  <c r="N163" i="1" s="1"/>
  <c r="V163" i="1"/>
  <c r="Y163" i="1"/>
  <c r="Z163" i="1"/>
  <c r="AB163" i="1"/>
  <c r="AC163" i="1"/>
  <c r="AD163" i="1"/>
  <c r="AE163" i="1"/>
  <c r="AF163" i="1"/>
  <c r="AH163" i="1"/>
  <c r="AM163" i="1"/>
  <c r="AN163" i="1"/>
  <c r="AO163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164" i="1"/>
  <c r="AM164" i="1"/>
  <c r="AN164" i="1"/>
  <c r="AO164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165" i="1"/>
  <c r="AM165" i="1"/>
  <c r="AN165" i="1"/>
  <c r="AO165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166" i="1"/>
  <c r="AM166" i="1"/>
  <c r="AN166" i="1"/>
  <c r="AO166" i="1"/>
  <c r="K216" i="1"/>
  <c r="L216" i="1"/>
  <c r="M216" i="1"/>
  <c r="N216" i="1" s="1"/>
  <c r="V216" i="1"/>
  <c r="Y216" i="1"/>
  <c r="Z216" i="1"/>
  <c r="AB216" i="1"/>
  <c r="AC216" i="1"/>
  <c r="AD216" i="1"/>
  <c r="AE216" i="1"/>
  <c r="AF216" i="1"/>
  <c r="AH167" i="1"/>
  <c r="AM167" i="1"/>
  <c r="AN167" i="1"/>
  <c r="AO167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K218" i="1"/>
  <c r="L218" i="1"/>
  <c r="M218" i="1"/>
  <c r="N218" i="1" s="1"/>
  <c r="V218" i="1"/>
  <c r="S27" i="3" s="1"/>
  <c r="Y218" i="1"/>
  <c r="Z218" i="1"/>
  <c r="AB218" i="1"/>
  <c r="AC218" i="1"/>
  <c r="AD218" i="1"/>
  <c r="T218" i="1" s="1"/>
  <c r="AE218" i="1"/>
  <c r="R27" i="3" s="1"/>
  <c r="AF218" i="1"/>
  <c r="AH168" i="1"/>
  <c r="AM168" i="1"/>
  <c r="AN168" i="1"/>
  <c r="AO168" i="1"/>
  <c r="K219" i="1"/>
  <c r="L219" i="1"/>
  <c r="M219" i="1"/>
  <c r="N219" i="1" s="1"/>
  <c r="V219" i="1"/>
  <c r="Y219" i="1"/>
  <c r="Z219" i="1"/>
  <c r="AB219" i="1"/>
  <c r="AC219" i="1"/>
  <c r="AD219" i="1"/>
  <c r="AE219" i="1"/>
  <c r="AF219" i="1"/>
  <c r="AH169" i="1"/>
  <c r="AM169" i="1"/>
  <c r="AN169" i="1"/>
  <c r="AO169" i="1"/>
  <c r="K220" i="1"/>
  <c r="L220" i="1"/>
  <c r="M220" i="1"/>
  <c r="N220" i="1" s="1"/>
  <c r="V220" i="1"/>
  <c r="Y220" i="1"/>
  <c r="Z220" i="1"/>
  <c r="AB220" i="1"/>
  <c r="AC220" i="1"/>
  <c r="AD220" i="1"/>
  <c r="AE220" i="1"/>
  <c r="AF220" i="1"/>
  <c r="AH170" i="1"/>
  <c r="AM170" i="1"/>
  <c r="AN170" i="1"/>
  <c r="AO170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171" i="1"/>
  <c r="AM171" i="1"/>
  <c r="AN171" i="1"/>
  <c r="AO171" i="1"/>
  <c r="K222" i="1"/>
  <c r="L222" i="1"/>
  <c r="M222" i="1"/>
  <c r="N222" i="1" s="1"/>
  <c r="V222" i="1"/>
  <c r="Y222" i="1"/>
  <c r="Z222" i="1"/>
  <c r="AB222" i="1"/>
  <c r="AC222" i="1"/>
  <c r="AD222" i="1"/>
  <c r="AE222" i="1"/>
  <c r="AF222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AH172" i="1"/>
  <c r="AM172" i="1"/>
  <c r="AN172" i="1"/>
  <c r="AO172" i="1"/>
  <c r="K229" i="1"/>
  <c r="L229" i="1"/>
  <c r="M229" i="1"/>
  <c r="N229" i="1" s="1"/>
  <c r="V229" i="1"/>
  <c r="Y229" i="1"/>
  <c r="Z229" i="1"/>
  <c r="AB229" i="1"/>
  <c r="AC229" i="1"/>
  <c r="AD229" i="1"/>
  <c r="T229" i="1" s="1"/>
  <c r="AE229" i="1"/>
  <c r="AF229" i="1"/>
  <c r="AH173" i="1"/>
  <c r="AM173" i="1"/>
  <c r="AN173" i="1"/>
  <c r="AO173" i="1"/>
  <c r="K230" i="1"/>
  <c r="L230" i="1"/>
  <c r="M230" i="1"/>
  <c r="N230" i="1" s="1"/>
  <c r="V230" i="1"/>
  <c r="Y230" i="1"/>
  <c r="Z230" i="1"/>
  <c r="AB230" i="1"/>
  <c r="AC230" i="1"/>
  <c r="AD230" i="1"/>
  <c r="T230" i="1" s="1"/>
  <c r="AE230" i="1"/>
  <c r="AF230" i="1"/>
  <c r="AH174" i="1"/>
  <c r="AM174" i="1"/>
  <c r="AN174" i="1"/>
  <c r="AO174" i="1"/>
  <c r="K231" i="1"/>
  <c r="L231" i="1"/>
  <c r="M231" i="1"/>
  <c r="N231" i="1" s="1"/>
  <c r="V231" i="1"/>
  <c r="Y231" i="1"/>
  <c r="Z231" i="1"/>
  <c r="AB231" i="1"/>
  <c r="AC231" i="1"/>
  <c r="AD231" i="1"/>
  <c r="T231" i="1" s="1"/>
  <c r="AE231" i="1"/>
  <c r="AF231" i="1"/>
  <c r="AH175" i="1"/>
  <c r="AM175" i="1"/>
  <c r="AN175" i="1"/>
  <c r="AO175" i="1"/>
  <c r="K232" i="1"/>
  <c r="L232" i="1"/>
  <c r="M232" i="1"/>
  <c r="N232" i="1" s="1"/>
  <c r="V232" i="1"/>
  <c r="Y232" i="1"/>
  <c r="Z232" i="1"/>
  <c r="AB232" i="1"/>
  <c r="AC232" i="1"/>
  <c r="AD232" i="1"/>
  <c r="AE232" i="1"/>
  <c r="AF232" i="1"/>
  <c r="AH176" i="1"/>
  <c r="AM176" i="1"/>
  <c r="AN176" i="1"/>
  <c r="AO176" i="1"/>
  <c r="K233" i="1"/>
  <c r="L233" i="1"/>
  <c r="M233" i="1"/>
  <c r="N233" i="1" s="1"/>
  <c r="V233" i="1"/>
  <c r="Y233" i="1"/>
  <c r="Z233" i="1"/>
  <c r="AB233" i="1"/>
  <c r="AC233" i="1"/>
  <c r="AD233" i="1"/>
  <c r="AE233" i="1"/>
  <c r="AF233" i="1"/>
  <c r="AH177" i="1"/>
  <c r="AM177" i="1"/>
  <c r="AN177" i="1"/>
  <c r="AO177" i="1"/>
  <c r="K234" i="1"/>
  <c r="L234" i="1"/>
  <c r="M234" i="1"/>
  <c r="N234" i="1" s="1"/>
  <c r="V234" i="1"/>
  <c r="Y234" i="1"/>
  <c r="Z234" i="1"/>
  <c r="AB234" i="1"/>
  <c r="AC234" i="1"/>
  <c r="AD234" i="1"/>
  <c r="T234" i="1" s="1"/>
  <c r="AE234" i="1"/>
  <c r="AF234" i="1"/>
  <c r="AH178" i="1"/>
  <c r="AM178" i="1"/>
  <c r="AN178" i="1"/>
  <c r="AO178" i="1"/>
  <c r="K235" i="1"/>
  <c r="L235" i="1"/>
  <c r="M235" i="1"/>
  <c r="N235" i="1" s="1"/>
  <c r="V235" i="1"/>
  <c r="Y235" i="1"/>
  <c r="Z235" i="1"/>
  <c r="AB235" i="1"/>
  <c r="AC235" i="1"/>
  <c r="AD235" i="1"/>
  <c r="T235" i="1" s="1"/>
  <c r="AE235" i="1"/>
  <c r="AF235" i="1"/>
  <c r="K236" i="1"/>
  <c r="L236" i="1"/>
  <c r="M236" i="1"/>
  <c r="N236" i="1" s="1"/>
  <c r="V236" i="1"/>
  <c r="Y236" i="1"/>
  <c r="Z236" i="1"/>
  <c r="AB236" i="1"/>
  <c r="AC236" i="1"/>
  <c r="AD236" i="1"/>
  <c r="T236" i="1" s="1"/>
  <c r="AE236" i="1"/>
  <c r="AF236" i="1"/>
  <c r="AH179" i="1"/>
  <c r="AM179" i="1"/>
  <c r="AN179" i="1"/>
  <c r="AO179" i="1"/>
  <c r="K237" i="1"/>
  <c r="L237" i="1"/>
  <c r="M237" i="1"/>
  <c r="N237" i="1" s="1"/>
  <c r="V237" i="1"/>
  <c r="Y237" i="1"/>
  <c r="Z237" i="1"/>
  <c r="AB237" i="1"/>
  <c r="AC237" i="1"/>
  <c r="AD237" i="1"/>
  <c r="AE237" i="1"/>
  <c r="AF237" i="1"/>
  <c r="AH180" i="1"/>
  <c r="AM180" i="1"/>
  <c r="AN180" i="1"/>
  <c r="AO180" i="1"/>
  <c r="K238" i="1"/>
  <c r="L238" i="1"/>
  <c r="M238" i="1"/>
  <c r="N238" i="1" s="1"/>
  <c r="V238" i="1"/>
  <c r="Y238" i="1"/>
  <c r="Z238" i="1"/>
  <c r="AB238" i="1"/>
  <c r="AC238" i="1"/>
  <c r="AD238" i="1"/>
  <c r="T238" i="1" s="1"/>
  <c r="AE238" i="1"/>
  <c r="AF238" i="1"/>
  <c r="AH181" i="1"/>
  <c r="AM181" i="1"/>
  <c r="AN181" i="1"/>
  <c r="AO181" i="1"/>
  <c r="K239" i="1"/>
  <c r="L239" i="1"/>
  <c r="M239" i="1"/>
  <c r="N239" i="1" s="1"/>
  <c r="V239" i="1"/>
  <c r="Y239" i="1"/>
  <c r="Z239" i="1"/>
  <c r="AB239" i="1"/>
  <c r="AC239" i="1"/>
  <c r="AD239" i="1"/>
  <c r="T239" i="1" s="1"/>
  <c r="AE239" i="1"/>
  <c r="AF239" i="1"/>
  <c r="AH182" i="1"/>
  <c r="AM182" i="1"/>
  <c r="AN182" i="1"/>
  <c r="AO182" i="1"/>
  <c r="K240" i="1"/>
  <c r="L240" i="1"/>
  <c r="M240" i="1"/>
  <c r="N240" i="1" s="1"/>
  <c r="V240" i="1"/>
  <c r="Y240" i="1"/>
  <c r="Z240" i="1"/>
  <c r="AB240" i="1"/>
  <c r="AC240" i="1"/>
  <c r="AD240" i="1"/>
  <c r="AE240" i="1"/>
  <c r="AF240" i="1"/>
  <c r="AH183" i="1"/>
  <c r="AM183" i="1"/>
  <c r="AN183" i="1"/>
  <c r="AO183" i="1"/>
  <c r="K241" i="1"/>
  <c r="L241" i="1"/>
  <c r="M241" i="1"/>
  <c r="N241" i="1" s="1"/>
  <c r="V241" i="1"/>
  <c r="Y241" i="1"/>
  <c r="Z241" i="1"/>
  <c r="AB241" i="1"/>
  <c r="AC241" i="1"/>
  <c r="AD241" i="1"/>
  <c r="AE241" i="1"/>
  <c r="AF241" i="1"/>
  <c r="AH184" i="1"/>
  <c r="AM184" i="1"/>
  <c r="AN184" i="1"/>
  <c r="AO184" i="1"/>
  <c r="K242" i="1"/>
  <c r="L242" i="1"/>
  <c r="M242" i="1"/>
  <c r="N242" i="1" s="1"/>
  <c r="V242" i="1"/>
  <c r="Y242" i="1"/>
  <c r="Z242" i="1"/>
  <c r="AB242" i="1"/>
  <c r="AC242" i="1"/>
  <c r="AD242" i="1"/>
  <c r="T242" i="1" s="1"/>
  <c r="AE242" i="1"/>
  <c r="AF242" i="1"/>
  <c r="AH185" i="1"/>
  <c r="AM185" i="1"/>
  <c r="AN185" i="1"/>
  <c r="AO185" i="1"/>
  <c r="K243" i="1"/>
  <c r="L243" i="1"/>
  <c r="M243" i="1"/>
  <c r="N243" i="1" s="1"/>
  <c r="V243" i="1"/>
  <c r="Y243" i="1"/>
  <c r="Z243" i="1"/>
  <c r="AB243" i="1"/>
  <c r="AC243" i="1"/>
  <c r="AD243" i="1"/>
  <c r="AE243" i="1"/>
  <c r="AF243" i="1"/>
  <c r="AH186" i="1"/>
  <c r="AM186" i="1"/>
  <c r="AN186" i="1"/>
  <c r="AO186" i="1"/>
  <c r="K244" i="1"/>
  <c r="L244" i="1"/>
  <c r="M244" i="1"/>
  <c r="N244" i="1" s="1"/>
  <c r="V244" i="1"/>
  <c r="Y244" i="1"/>
  <c r="Z244" i="1"/>
  <c r="AB244" i="1"/>
  <c r="AC244" i="1"/>
  <c r="AD244" i="1"/>
  <c r="T244" i="1" s="1"/>
  <c r="AE244" i="1"/>
  <c r="AF244" i="1"/>
  <c r="AH188" i="1"/>
  <c r="AM188" i="1"/>
  <c r="AN188" i="1"/>
  <c r="AO188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AH189" i="1"/>
  <c r="AM189" i="1"/>
  <c r="AN189" i="1"/>
  <c r="AO189" i="1"/>
  <c r="K165" i="1"/>
  <c r="L165" i="1"/>
  <c r="M165" i="1"/>
  <c r="P165" i="1" s="1"/>
  <c r="V165" i="1"/>
  <c r="Y165" i="1"/>
  <c r="Z165" i="1"/>
  <c r="AB165" i="1"/>
  <c r="AC165" i="1"/>
  <c r="AD165" i="1"/>
  <c r="T165" i="1" s="1"/>
  <c r="AE165" i="1"/>
  <c r="AF165" i="1"/>
  <c r="AH190" i="1"/>
  <c r="AM190" i="1"/>
  <c r="AN190" i="1"/>
  <c r="AO190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191" i="1"/>
  <c r="AM191" i="1"/>
  <c r="AN191" i="1"/>
  <c r="AO191" i="1"/>
  <c r="K167" i="1"/>
  <c r="L167" i="1"/>
  <c r="M167" i="1"/>
  <c r="N167" i="1" s="1"/>
  <c r="V167" i="1"/>
  <c r="Y167" i="1"/>
  <c r="Z167" i="1"/>
  <c r="AB167" i="1"/>
  <c r="AC167" i="1"/>
  <c r="AD167" i="1"/>
  <c r="AE167" i="1"/>
  <c r="AF167" i="1"/>
  <c r="AH192" i="1"/>
  <c r="AM192" i="1"/>
  <c r="AN192" i="1"/>
  <c r="AO192" i="1"/>
  <c r="AH193" i="1"/>
  <c r="AM193" i="1"/>
  <c r="AN193" i="1"/>
  <c r="AO193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194" i="1"/>
  <c r="AM194" i="1"/>
  <c r="AN194" i="1"/>
  <c r="AO194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AH195" i="1"/>
  <c r="AM195" i="1"/>
  <c r="AN195" i="1"/>
  <c r="AO195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196" i="1"/>
  <c r="AM196" i="1"/>
  <c r="AN196" i="1"/>
  <c r="AO196" i="1"/>
  <c r="K171" i="1"/>
  <c r="L171" i="1"/>
  <c r="M171" i="1"/>
  <c r="N171" i="1" s="1"/>
  <c r="V171" i="1"/>
  <c r="AB171" i="1"/>
  <c r="AC171" i="1"/>
  <c r="AD171" i="1"/>
  <c r="AE171" i="1"/>
  <c r="AF171" i="1"/>
  <c r="AH197" i="1"/>
  <c r="AM197" i="1"/>
  <c r="AN197" i="1"/>
  <c r="AO197" i="1"/>
  <c r="AH198" i="1"/>
  <c r="AM198" i="1"/>
  <c r="AN198" i="1"/>
  <c r="AO198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199" i="1"/>
  <c r="AM199" i="1"/>
  <c r="AN199" i="1"/>
  <c r="AO199" i="1"/>
  <c r="K173" i="1"/>
  <c r="L173" i="1"/>
  <c r="M173" i="1"/>
  <c r="N173" i="1" s="1"/>
  <c r="V173" i="1"/>
  <c r="Y173" i="1"/>
  <c r="Z173" i="1"/>
  <c r="AB173" i="1"/>
  <c r="AC173" i="1"/>
  <c r="AD173" i="1"/>
  <c r="X173" i="1" s="1"/>
  <c r="AE173" i="1"/>
  <c r="AF173" i="1"/>
  <c r="AH200" i="1"/>
  <c r="AM200" i="1"/>
  <c r="AN200" i="1"/>
  <c r="AO200" i="1"/>
  <c r="K174" i="1"/>
  <c r="L174" i="1"/>
  <c r="M174" i="1"/>
  <c r="N174" i="1" s="1"/>
  <c r="V174" i="1"/>
  <c r="Y174" i="1"/>
  <c r="Z174" i="1"/>
  <c r="AB174" i="1"/>
  <c r="AC174" i="1"/>
  <c r="AD174" i="1"/>
  <c r="AE174" i="1"/>
  <c r="AF174" i="1"/>
  <c r="AH201" i="1"/>
  <c r="AM201" i="1"/>
  <c r="AN201" i="1"/>
  <c r="AO201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202" i="1"/>
  <c r="AM202" i="1"/>
  <c r="AN202" i="1"/>
  <c r="AO202" i="1"/>
  <c r="K176" i="1"/>
  <c r="L176" i="1"/>
  <c r="M176" i="1"/>
  <c r="N176" i="1" s="1"/>
  <c r="V176" i="1"/>
  <c r="Y176" i="1"/>
  <c r="Z176" i="1"/>
  <c r="AB176" i="1"/>
  <c r="AC176" i="1"/>
  <c r="AD176" i="1"/>
  <c r="AE176" i="1"/>
  <c r="AF176" i="1"/>
  <c r="AH204" i="1"/>
  <c r="AM204" i="1"/>
  <c r="AN204" i="1"/>
  <c r="AO204" i="1"/>
  <c r="K177" i="1"/>
  <c r="L177" i="1"/>
  <c r="M177" i="1"/>
  <c r="N177" i="1" s="1"/>
  <c r="V177" i="1"/>
  <c r="Y177" i="1"/>
  <c r="Z177" i="1"/>
  <c r="AA177" i="1" s="1"/>
  <c r="AB177" i="1"/>
  <c r="AC177" i="1"/>
  <c r="AD177" i="1"/>
  <c r="T177" i="1" s="1"/>
  <c r="AE177" i="1"/>
  <c r="AF177" i="1"/>
  <c r="AH205" i="1"/>
  <c r="AM205" i="1"/>
  <c r="AN205" i="1"/>
  <c r="AO205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AH206" i="1"/>
  <c r="AM206" i="1"/>
  <c r="AN206" i="1"/>
  <c r="AO206" i="1"/>
  <c r="AH207" i="1"/>
  <c r="AM207" i="1"/>
  <c r="AN207" i="1"/>
  <c r="AO207" i="1"/>
  <c r="K179" i="1"/>
  <c r="L179" i="1"/>
  <c r="M179" i="1"/>
  <c r="N179" i="1" s="1"/>
  <c r="V179" i="1"/>
  <c r="S25" i="3" s="1"/>
  <c r="Y179" i="1"/>
  <c r="Z179" i="1"/>
  <c r="AB179" i="1"/>
  <c r="AC179" i="1"/>
  <c r="AD179" i="1"/>
  <c r="T179" i="1" s="1"/>
  <c r="AE179" i="1"/>
  <c r="R22" i="3" s="1"/>
  <c r="AF179" i="1"/>
  <c r="AH209" i="1"/>
  <c r="AM209" i="1"/>
  <c r="AN209" i="1"/>
  <c r="AO209" i="1"/>
  <c r="K180" i="1"/>
  <c r="L180" i="1"/>
  <c r="M180" i="1"/>
  <c r="N180" i="1" s="1"/>
  <c r="V180" i="1"/>
  <c r="S23" i="3" s="1"/>
  <c r="Y180" i="1"/>
  <c r="Z180" i="1"/>
  <c r="AA180" i="1" s="1"/>
  <c r="AB180" i="1"/>
  <c r="AC180" i="1"/>
  <c r="AD180" i="1"/>
  <c r="AE180" i="1"/>
  <c r="R23" i="3" s="1"/>
  <c r="AF180" i="1"/>
  <c r="AH210" i="1"/>
  <c r="AM210" i="1"/>
  <c r="AN210" i="1"/>
  <c r="AO210" i="1"/>
  <c r="K181" i="1"/>
  <c r="L181" i="1"/>
  <c r="M181" i="1"/>
  <c r="N181" i="1" s="1"/>
  <c r="V181" i="1"/>
  <c r="Y181" i="1"/>
  <c r="Z181" i="1"/>
  <c r="AB181" i="1"/>
  <c r="AC181" i="1"/>
  <c r="AD181" i="1"/>
  <c r="AE181" i="1"/>
  <c r="AF181" i="1"/>
  <c r="AH211" i="1"/>
  <c r="AM211" i="1"/>
  <c r="AN211" i="1"/>
  <c r="AO211" i="1"/>
  <c r="K182" i="1"/>
  <c r="L182" i="1"/>
  <c r="M182" i="1"/>
  <c r="N182" i="1" s="1"/>
  <c r="V182" i="1"/>
  <c r="S26" i="3" s="1"/>
  <c r="Y182" i="1"/>
  <c r="Z182" i="1"/>
  <c r="AB182" i="1"/>
  <c r="AC182" i="1"/>
  <c r="AD182" i="1"/>
  <c r="T182" i="1" s="1"/>
  <c r="AE182" i="1"/>
  <c r="R26" i="3" s="1"/>
  <c r="AF182" i="1"/>
  <c r="AH212" i="1"/>
  <c r="AM212" i="1"/>
  <c r="AN212" i="1"/>
  <c r="AO212" i="1"/>
  <c r="K183" i="1"/>
  <c r="L183" i="1"/>
  <c r="M183" i="1"/>
  <c r="N183" i="1" s="1"/>
  <c r="V183" i="1"/>
  <c r="Y183" i="1"/>
  <c r="Z183" i="1"/>
  <c r="AB183" i="1"/>
  <c r="AC183" i="1"/>
  <c r="AD183" i="1"/>
  <c r="X183" i="1" s="1"/>
  <c r="AE183" i="1"/>
  <c r="AF183" i="1"/>
  <c r="AH213" i="1"/>
  <c r="AM213" i="1"/>
  <c r="AN213" i="1"/>
  <c r="AO213" i="1"/>
  <c r="K184" i="1"/>
  <c r="L184" i="1"/>
  <c r="M184" i="1"/>
  <c r="N184" i="1" s="1"/>
  <c r="V184" i="1"/>
  <c r="Y184" i="1"/>
  <c r="Z184" i="1"/>
  <c r="AA184" i="1" s="1"/>
  <c r="AB184" i="1"/>
  <c r="AC184" i="1"/>
  <c r="AD184" i="1"/>
  <c r="T184" i="1" s="1"/>
  <c r="AE184" i="1"/>
  <c r="AF184" i="1"/>
  <c r="AH214" i="1"/>
  <c r="AM214" i="1"/>
  <c r="AN214" i="1"/>
  <c r="AO214" i="1"/>
  <c r="K185" i="1"/>
  <c r="L185" i="1"/>
  <c r="M185" i="1"/>
  <c r="N185" i="1" s="1"/>
  <c r="V185" i="1"/>
  <c r="Y185" i="1"/>
  <c r="Z185" i="1"/>
  <c r="AA185" i="1" s="1"/>
  <c r="AB185" i="1"/>
  <c r="AC185" i="1"/>
  <c r="AD185" i="1"/>
  <c r="AE185" i="1"/>
  <c r="AF185" i="1"/>
  <c r="AH215" i="1"/>
  <c r="AM215" i="1"/>
  <c r="AN215" i="1"/>
  <c r="AO215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216" i="1"/>
  <c r="AM216" i="1"/>
  <c r="AN216" i="1"/>
  <c r="AO216" i="1"/>
  <c r="K188" i="1"/>
  <c r="L188" i="1"/>
  <c r="M188" i="1"/>
  <c r="N188" i="1" s="1"/>
  <c r="V188" i="1"/>
  <c r="Y188" i="1"/>
  <c r="AA188" i="1" s="1"/>
  <c r="Z188" i="1"/>
  <c r="AB188" i="1"/>
  <c r="AC188" i="1"/>
  <c r="AD188" i="1"/>
  <c r="T188" i="1" s="1"/>
  <c r="AE188" i="1"/>
  <c r="AF188" i="1"/>
  <c r="AH217" i="1"/>
  <c r="AM217" i="1"/>
  <c r="AN217" i="1"/>
  <c r="AO217" i="1"/>
  <c r="K189" i="1"/>
  <c r="L189" i="1"/>
  <c r="M189" i="1"/>
  <c r="N189" i="1" s="1"/>
  <c r="V189" i="1"/>
  <c r="Y189" i="1"/>
  <c r="Z189" i="1"/>
  <c r="AA189" i="1" s="1"/>
  <c r="AB189" i="1"/>
  <c r="AC189" i="1"/>
  <c r="AD189" i="1"/>
  <c r="AE189" i="1"/>
  <c r="AF189" i="1"/>
  <c r="AH218" i="1"/>
  <c r="AM218" i="1"/>
  <c r="AN218" i="1"/>
  <c r="AO218" i="1"/>
  <c r="K190" i="1"/>
  <c r="L190" i="1"/>
  <c r="M190" i="1"/>
  <c r="N190" i="1" s="1"/>
  <c r="V190" i="1"/>
  <c r="Y190" i="1"/>
  <c r="Z190" i="1"/>
  <c r="AA190" i="1" s="1"/>
  <c r="AB190" i="1"/>
  <c r="AC190" i="1"/>
  <c r="AD190" i="1"/>
  <c r="AE190" i="1"/>
  <c r="AF190" i="1"/>
  <c r="AH219" i="1"/>
  <c r="AM219" i="1"/>
  <c r="AN219" i="1"/>
  <c r="AO219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220" i="1"/>
  <c r="AM220" i="1"/>
  <c r="AN220" i="1"/>
  <c r="AO220" i="1"/>
  <c r="K192" i="1"/>
  <c r="L192" i="1"/>
  <c r="M192" i="1"/>
  <c r="N192" i="1" s="1"/>
  <c r="T192" i="1"/>
  <c r="V192" i="1"/>
  <c r="Y192" i="1"/>
  <c r="Z192" i="1"/>
  <c r="AB192" i="1"/>
  <c r="AC192" i="1"/>
  <c r="AD192" i="1"/>
  <c r="X192" i="1" s="1"/>
  <c r="AE192" i="1"/>
  <c r="AF192" i="1"/>
  <c r="AH221" i="1"/>
  <c r="AM221" i="1"/>
  <c r="AN221" i="1"/>
  <c r="AO221" i="1"/>
  <c r="K193" i="1"/>
  <c r="L193" i="1"/>
  <c r="M193" i="1"/>
  <c r="N193" i="1" s="1"/>
  <c r="V193" i="1"/>
  <c r="X193" i="1"/>
  <c r="Y193" i="1"/>
  <c r="Z193" i="1"/>
  <c r="AB193" i="1"/>
  <c r="AC193" i="1"/>
  <c r="AD193" i="1"/>
  <c r="T193" i="1" s="1"/>
  <c r="AE193" i="1"/>
  <c r="AF193" i="1"/>
  <c r="AH222" i="1"/>
  <c r="AM222" i="1"/>
  <c r="AN222" i="1"/>
  <c r="AO222" i="1"/>
  <c r="K194" i="1"/>
  <c r="L194" i="1"/>
  <c r="M194" i="1"/>
  <c r="N194" i="1" s="1"/>
  <c r="V194" i="1"/>
  <c r="Y194" i="1"/>
  <c r="Z194" i="1"/>
  <c r="AB194" i="1"/>
  <c r="AC194" i="1"/>
  <c r="AD194" i="1"/>
  <c r="X194" i="1" s="1"/>
  <c r="AE194" i="1"/>
  <c r="AF194" i="1"/>
  <c r="AH223" i="1"/>
  <c r="AM223" i="1"/>
  <c r="AN223" i="1"/>
  <c r="AO223" i="1"/>
  <c r="K195" i="1"/>
  <c r="L195" i="1"/>
  <c r="M195" i="1"/>
  <c r="N195" i="1" s="1"/>
  <c r="V195" i="1"/>
  <c r="Y195" i="1"/>
  <c r="Z195" i="1"/>
  <c r="AA195" i="1" s="1"/>
  <c r="AB195" i="1"/>
  <c r="AC195" i="1"/>
  <c r="AD195" i="1"/>
  <c r="T195" i="1" s="1"/>
  <c r="AE195" i="1"/>
  <c r="AF195" i="1"/>
  <c r="AH224" i="1"/>
  <c r="AM224" i="1"/>
  <c r="AN224" i="1"/>
  <c r="AO224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AH225" i="1"/>
  <c r="AM225" i="1"/>
  <c r="AN225" i="1"/>
  <c r="AO225" i="1"/>
  <c r="K197" i="1"/>
  <c r="L197" i="1"/>
  <c r="M197" i="1"/>
  <c r="N197" i="1" s="1"/>
  <c r="V197" i="1"/>
  <c r="Y197" i="1"/>
  <c r="Z197" i="1"/>
  <c r="AB197" i="1"/>
  <c r="AC197" i="1"/>
  <c r="AD197" i="1"/>
  <c r="AE197" i="1"/>
  <c r="AF197" i="1"/>
  <c r="AH226" i="1"/>
  <c r="AM226" i="1"/>
  <c r="AN226" i="1"/>
  <c r="AO226" i="1"/>
  <c r="K198" i="1"/>
  <c r="L198" i="1"/>
  <c r="M198" i="1"/>
  <c r="N198" i="1"/>
  <c r="V198" i="1"/>
  <c r="Y198" i="1"/>
  <c r="Z198" i="1"/>
  <c r="AB198" i="1"/>
  <c r="AC198" i="1"/>
  <c r="AD198" i="1"/>
  <c r="X198" i="1" s="1"/>
  <c r="AE198" i="1"/>
  <c r="AF198" i="1"/>
  <c r="AH227" i="1"/>
  <c r="AM227" i="1"/>
  <c r="AN227" i="1"/>
  <c r="AO227" i="1"/>
  <c r="K199" i="1"/>
  <c r="L199" i="1"/>
  <c r="M199" i="1"/>
  <c r="N199" i="1"/>
  <c r="V199" i="1"/>
  <c r="Y199" i="1"/>
  <c r="Z199" i="1"/>
  <c r="AB199" i="1"/>
  <c r="AC199" i="1"/>
  <c r="AD199" i="1"/>
  <c r="T199" i="1" s="1"/>
  <c r="AE199" i="1"/>
  <c r="AF199" i="1"/>
  <c r="AH228" i="1"/>
  <c r="AM228" i="1"/>
  <c r="AN228" i="1"/>
  <c r="AO228" i="1"/>
  <c r="K200" i="1"/>
  <c r="L200" i="1"/>
  <c r="M200" i="1"/>
  <c r="N200" i="1" s="1"/>
  <c r="T200" i="1"/>
  <c r="V200" i="1"/>
  <c r="Y200" i="1"/>
  <c r="Z200" i="1"/>
  <c r="AB200" i="1"/>
  <c r="AC200" i="1"/>
  <c r="AD200" i="1"/>
  <c r="X200" i="1" s="1"/>
  <c r="AE200" i="1"/>
  <c r="AF200" i="1"/>
  <c r="AH229" i="1"/>
  <c r="AM229" i="1"/>
  <c r="AN229" i="1"/>
  <c r="AO229" i="1"/>
  <c r="K201" i="1"/>
  <c r="L201" i="1"/>
  <c r="M201" i="1"/>
  <c r="N201" i="1" s="1"/>
  <c r="V201" i="1"/>
  <c r="X201" i="1"/>
  <c r="Y201" i="1"/>
  <c r="Z201" i="1"/>
  <c r="AB201" i="1"/>
  <c r="AC201" i="1"/>
  <c r="AD201" i="1"/>
  <c r="T201" i="1" s="1"/>
  <c r="AE201" i="1"/>
  <c r="AF201" i="1"/>
  <c r="AH230" i="1"/>
  <c r="AM230" i="1"/>
  <c r="AN230" i="1"/>
  <c r="AO230" i="1"/>
  <c r="K202" i="1"/>
  <c r="L202" i="1"/>
  <c r="M202" i="1"/>
  <c r="N202" i="1"/>
  <c r="V202" i="1"/>
  <c r="Y202" i="1"/>
  <c r="Z202" i="1"/>
  <c r="AB202" i="1"/>
  <c r="AC202" i="1"/>
  <c r="AD202" i="1"/>
  <c r="X202" i="1" s="1"/>
  <c r="AE202" i="1"/>
  <c r="AF202" i="1"/>
  <c r="AH231" i="1"/>
  <c r="AM231" i="1"/>
  <c r="AN231" i="1"/>
  <c r="AO231" i="1"/>
  <c r="K204" i="1"/>
  <c r="L204" i="1"/>
  <c r="M204" i="1"/>
  <c r="N204" i="1" s="1"/>
  <c r="V204" i="1"/>
  <c r="S24" i="3" s="1"/>
  <c r="Y204" i="1"/>
  <c r="Z204" i="1"/>
  <c r="AA204" i="1"/>
  <c r="AB204" i="1"/>
  <c r="AC204" i="1"/>
  <c r="AD204" i="1"/>
  <c r="T204" i="1" s="1"/>
  <c r="AE204" i="1"/>
  <c r="R24" i="3" s="1"/>
  <c r="AF204" i="1"/>
  <c r="AH232" i="1"/>
  <c r="AM232" i="1"/>
  <c r="AN232" i="1"/>
  <c r="AO232" i="1"/>
  <c r="K205" i="1"/>
  <c r="L205" i="1"/>
  <c r="M205" i="1"/>
  <c r="N205" i="1" s="1"/>
  <c r="T205" i="1"/>
  <c r="V205" i="1"/>
  <c r="Y205" i="1"/>
  <c r="Z205" i="1"/>
  <c r="AB205" i="1"/>
  <c r="AC205" i="1"/>
  <c r="AD205" i="1"/>
  <c r="AE205" i="1"/>
  <c r="AF205" i="1"/>
  <c r="AH233" i="1"/>
  <c r="AM233" i="1"/>
  <c r="AN233" i="1"/>
  <c r="AO233" i="1"/>
  <c r="K206" i="1"/>
  <c r="L206" i="1"/>
  <c r="M206" i="1"/>
  <c r="N206" i="1" s="1"/>
  <c r="V206" i="1"/>
  <c r="Y206" i="1"/>
  <c r="Z206" i="1"/>
  <c r="AB206" i="1"/>
  <c r="AC206" i="1"/>
  <c r="AD206" i="1"/>
  <c r="AE206" i="1"/>
  <c r="AF206" i="1"/>
  <c r="AH234" i="1"/>
  <c r="AM234" i="1"/>
  <c r="AN234" i="1"/>
  <c r="AO234" i="1"/>
  <c r="K207" i="1"/>
  <c r="L207" i="1"/>
  <c r="M207" i="1"/>
  <c r="N207" i="1"/>
  <c r="V207" i="1"/>
  <c r="Y207" i="1"/>
  <c r="Z207" i="1"/>
  <c r="AB207" i="1"/>
  <c r="AC207" i="1"/>
  <c r="AD207" i="1"/>
  <c r="AE207" i="1"/>
  <c r="AF207" i="1"/>
  <c r="AH235" i="1"/>
  <c r="AM235" i="1"/>
  <c r="AN235" i="1"/>
  <c r="AO235" i="1"/>
  <c r="K209" i="1"/>
  <c r="L209" i="1"/>
  <c r="M209" i="1"/>
  <c r="N209" i="1"/>
  <c r="V209" i="1"/>
  <c r="Y209" i="1"/>
  <c r="Z209" i="1"/>
  <c r="AA209" i="1"/>
  <c r="AB209" i="1"/>
  <c r="AC209" i="1"/>
  <c r="AD209" i="1"/>
  <c r="T209" i="1" s="1"/>
  <c r="AE209" i="1"/>
  <c r="AF209" i="1"/>
  <c r="AH236" i="1"/>
  <c r="AM236" i="1"/>
  <c r="AN236" i="1"/>
  <c r="AO236" i="1"/>
  <c r="K210" i="1"/>
  <c r="L210" i="1"/>
  <c r="M210" i="1"/>
  <c r="N210" i="1" s="1"/>
  <c r="T210" i="1"/>
  <c r="V210" i="1"/>
  <c r="Y210" i="1"/>
  <c r="Z210" i="1"/>
  <c r="AA210" i="1"/>
  <c r="AB210" i="1"/>
  <c r="AC210" i="1"/>
  <c r="AD210" i="1"/>
  <c r="AE210" i="1"/>
  <c r="AF210" i="1"/>
  <c r="AH237" i="1"/>
  <c r="AM237" i="1"/>
  <c r="AN237" i="1"/>
  <c r="AO237" i="1"/>
  <c r="K211" i="1"/>
  <c r="L211" i="1"/>
  <c r="M211" i="1"/>
  <c r="N211" i="1" s="1"/>
  <c r="V211" i="1"/>
  <c r="Y211" i="1"/>
  <c r="Z211" i="1"/>
  <c r="AA211" i="1" s="1"/>
  <c r="AB211" i="1"/>
  <c r="AC211" i="1"/>
  <c r="AD211" i="1"/>
  <c r="T211" i="1" s="1"/>
  <c r="AE211" i="1"/>
  <c r="AF211" i="1"/>
  <c r="AH238" i="1"/>
  <c r="AM238" i="1"/>
  <c r="AN238" i="1"/>
  <c r="AO238" i="1"/>
  <c r="K212" i="1"/>
  <c r="L212" i="1"/>
  <c r="M212" i="1"/>
  <c r="N212" i="1"/>
  <c r="V212" i="1"/>
  <c r="Y212" i="1"/>
  <c r="Z212" i="1"/>
  <c r="AA212" i="1" s="1"/>
  <c r="AB212" i="1"/>
  <c r="AC212" i="1"/>
  <c r="AD212" i="1"/>
  <c r="AE212" i="1"/>
  <c r="AF212" i="1"/>
  <c r="AH239" i="1"/>
  <c r="AM239" i="1"/>
  <c r="AN239" i="1"/>
  <c r="AO239" i="1"/>
  <c r="K224" i="1"/>
  <c r="L224" i="1"/>
  <c r="M224" i="1"/>
  <c r="N224" i="1"/>
  <c r="V224" i="1"/>
  <c r="Y224" i="1"/>
  <c r="Z224" i="1"/>
  <c r="AB224" i="1"/>
  <c r="AC224" i="1"/>
  <c r="AD224" i="1"/>
  <c r="T224" i="1" s="1"/>
  <c r="AE224" i="1"/>
  <c r="AF224" i="1"/>
  <c r="AH240" i="1"/>
  <c r="AM240" i="1"/>
  <c r="AN240" i="1"/>
  <c r="AO240" i="1"/>
  <c r="K225" i="1"/>
  <c r="L225" i="1"/>
  <c r="M225" i="1"/>
  <c r="N225" i="1" s="1"/>
  <c r="T225" i="1"/>
  <c r="V225" i="1"/>
  <c r="Y225" i="1"/>
  <c r="Z225" i="1"/>
  <c r="AA225" i="1"/>
  <c r="AB225" i="1"/>
  <c r="AC225" i="1"/>
  <c r="AD225" i="1"/>
  <c r="X225" i="1" s="1"/>
  <c r="AE225" i="1"/>
  <c r="AF225" i="1"/>
  <c r="AH241" i="1"/>
  <c r="AM241" i="1"/>
  <c r="AN241" i="1"/>
  <c r="AO241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AH242" i="1"/>
  <c r="AM242" i="1"/>
  <c r="AN242" i="1"/>
  <c r="AO242" i="1"/>
  <c r="K227" i="1"/>
  <c r="L227" i="1"/>
  <c r="M227" i="1"/>
  <c r="N227" i="1" s="1"/>
  <c r="T227" i="1"/>
  <c r="V227" i="1"/>
  <c r="Y227" i="1"/>
  <c r="Z227" i="1"/>
  <c r="AB227" i="1"/>
  <c r="AC227" i="1"/>
  <c r="AD227" i="1"/>
  <c r="AE227" i="1"/>
  <c r="AF227" i="1"/>
  <c r="AH243" i="1"/>
  <c r="AM243" i="1"/>
  <c r="AN243" i="1"/>
  <c r="AO243" i="1"/>
  <c r="K228" i="1"/>
  <c r="L228" i="1"/>
  <c r="M228" i="1"/>
  <c r="N228" i="1" s="1"/>
  <c r="V228" i="1"/>
  <c r="Y228" i="1"/>
  <c r="Z228" i="1"/>
  <c r="AB228" i="1"/>
  <c r="AC228" i="1"/>
  <c r="AD228" i="1"/>
  <c r="T228" i="1" s="1"/>
  <c r="AE228" i="1"/>
  <c r="AF228" i="1"/>
  <c r="AH244" i="1"/>
  <c r="AM244" i="1"/>
  <c r="AN244" i="1"/>
  <c r="AO244" i="1"/>
  <c r="M20" i="3"/>
  <c r="U20" i="3"/>
  <c r="T20" i="3" s="1"/>
  <c r="V20" i="3"/>
  <c r="X20" i="3"/>
  <c r="M16" i="3"/>
  <c r="R16" i="3"/>
  <c r="U16" i="3"/>
  <c r="V16" i="3"/>
  <c r="X16" i="3"/>
  <c r="M12" i="3"/>
  <c r="R12" i="3"/>
  <c r="U12" i="3"/>
  <c r="AC12" i="3" s="1"/>
  <c r="V12" i="3"/>
  <c r="X12" i="3"/>
  <c r="M8" i="3"/>
  <c r="U8" i="3"/>
  <c r="AC8" i="3" s="1"/>
  <c r="V8" i="3"/>
  <c r="X8" i="3"/>
  <c r="M7" i="3"/>
  <c r="R7" i="3"/>
  <c r="U7" i="3"/>
  <c r="T7" i="3" s="1"/>
  <c r="V7" i="3"/>
  <c r="X7" i="3"/>
  <c r="M10" i="3"/>
  <c r="S10" i="3"/>
  <c r="U10" i="3"/>
  <c r="V10" i="3"/>
  <c r="X10" i="3"/>
  <c r="M22" i="3"/>
  <c r="S22" i="3"/>
  <c r="U22" i="3"/>
  <c r="AC22" i="3" s="1"/>
  <c r="V22" i="3"/>
  <c r="X22" i="3"/>
  <c r="M25" i="3"/>
  <c r="U25" i="3"/>
  <c r="AC25" i="3" s="1"/>
  <c r="V25" i="3"/>
  <c r="X25" i="3"/>
  <c r="M14" i="3"/>
  <c r="R14" i="3"/>
  <c r="S14" i="3"/>
  <c r="U14" i="3"/>
  <c r="T14" i="3" s="1"/>
  <c r="V14" i="3"/>
  <c r="X14" i="3"/>
  <c r="M23" i="3"/>
  <c r="U23" i="3"/>
  <c r="V23" i="3"/>
  <c r="X23" i="3"/>
  <c r="M13" i="3"/>
  <c r="U13" i="3"/>
  <c r="AC13" i="3" s="1"/>
  <c r="V13" i="3"/>
  <c r="X13" i="3"/>
  <c r="M26" i="3"/>
  <c r="U26" i="3"/>
  <c r="T26" i="3" s="1"/>
  <c r="V26" i="3"/>
  <c r="X26" i="3"/>
  <c r="AD20" i="3"/>
  <c r="M9" i="3"/>
  <c r="R9" i="3"/>
  <c r="U9" i="3"/>
  <c r="V9" i="3"/>
  <c r="X9" i="3"/>
  <c r="M11" i="3"/>
  <c r="S11" i="3"/>
  <c r="U11" i="3"/>
  <c r="AC11" i="3" s="1"/>
  <c r="V11" i="3"/>
  <c r="X11" i="3"/>
  <c r="M19" i="3"/>
  <c r="R19" i="3"/>
  <c r="U19" i="3"/>
  <c r="AC19" i="3" s="1"/>
  <c r="V19" i="3"/>
  <c r="X19" i="3"/>
  <c r="M17" i="3"/>
  <c r="R17" i="3"/>
  <c r="U17" i="3"/>
  <c r="V17" i="3"/>
  <c r="X17" i="3"/>
  <c r="M18" i="3"/>
  <c r="U18" i="3"/>
  <c r="AC18" i="3" s="1"/>
  <c r="V18" i="3"/>
  <c r="X18" i="3"/>
  <c r="M24" i="3"/>
  <c r="U24" i="3"/>
  <c r="AC24" i="3" s="1"/>
  <c r="V24" i="3"/>
  <c r="X24" i="3"/>
  <c r="M21" i="3"/>
  <c r="U21" i="3"/>
  <c r="T21" i="3" s="1"/>
  <c r="V21" i="3"/>
  <c r="X21" i="3"/>
  <c r="M27" i="3"/>
  <c r="U27" i="3"/>
  <c r="AD27" i="3" s="1"/>
  <c r="V27" i="3"/>
  <c r="X27" i="3"/>
  <c r="M28" i="3"/>
  <c r="U28" i="3"/>
  <c r="AC28" i="3" s="1"/>
  <c r="V28" i="3"/>
  <c r="X28" i="3"/>
  <c r="AG151" i="1"/>
  <c r="AG41" i="1"/>
  <c r="AG57" i="1"/>
  <c r="AG73" i="1"/>
  <c r="AG89" i="1"/>
  <c r="AG105" i="1"/>
  <c r="AG120" i="1"/>
  <c r="AG123" i="1"/>
  <c r="AG126" i="1"/>
  <c r="AG153" i="1"/>
  <c r="AG219" i="1"/>
  <c r="AG240" i="1"/>
  <c r="AG173" i="1"/>
  <c r="AG189" i="1"/>
  <c r="AG206" i="1"/>
  <c r="AG216" i="1"/>
  <c r="AG181" i="1"/>
  <c r="AG212" i="1"/>
  <c r="AG118" i="1"/>
  <c r="AG130" i="1"/>
  <c r="AG217" i="1"/>
  <c r="AG186" i="1"/>
  <c r="AG228" i="1"/>
  <c r="AG52" i="1"/>
  <c r="AG84" i="1"/>
  <c r="AG31" i="1"/>
  <c r="AG152" i="1"/>
  <c r="AG172" i="1"/>
  <c r="AG28" i="1"/>
  <c r="AG50" i="1"/>
  <c r="AG66" i="1"/>
  <c r="AG82" i="1"/>
  <c r="AG98" i="1"/>
  <c r="AG114" i="1"/>
  <c r="AG21" i="1"/>
  <c r="AG146" i="1"/>
  <c r="AG149" i="1"/>
  <c r="AG220" i="1"/>
  <c r="AG171" i="1"/>
  <c r="AG207" i="1"/>
  <c r="AG39" i="1"/>
  <c r="AG55" i="1"/>
  <c r="AG71" i="1"/>
  <c r="AG91" i="1"/>
  <c r="AG122" i="1"/>
  <c r="AG33" i="1"/>
  <c r="AG221" i="1"/>
  <c r="AG182" i="1"/>
  <c r="AG72" i="1"/>
  <c r="AG140" i="1"/>
  <c r="AG176" i="1"/>
  <c r="AG48" i="1"/>
  <c r="AG88" i="1"/>
  <c r="AG15" i="1"/>
  <c r="AG147" i="1"/>
  <c r="AG169" i="1"/>
  <c r="AG156" i="1"/>
  <c r="W14" i="3"/>
  <c r="W21" i="3"/>
  <c r="W28" i="3"/>
  <c r="W11" i="3"/>
  <c r="W17" i="3"/>
  <c r="W7" i="3"/>
  <c r="AG145" i="1"/>
  <c r="AG45" i="1"/>
  <c r="AG61" i="1"/>
  <c r="AG77" i="1"/>
  <c r="AG93" i="1"/>
  <c r="AG109" i="1"/>
  <c r="AG19" i="1"/>
  <c r="AG131" i="1"/>
  <c r="AG134" i="1"/>
  <c r="AG157" i="1"/>
  <c r="AG223" i="1"/>
  <c r="AG244" i="1"/>
  <c r="AG177" i="1"/>
  <c r="AG193" i="1"/>
  <c r="AG211" i="1"/>
  <c r="AG233" i="1"/>
  <c r="AG185" i="1"/>
  <c r="AG79" i="1"/>
  <c r="AG25" i="1"/>
  <c r="AG138" i="1"/>
  <c r="AG230" i="1"/>
  <c r="AG195" i="1"/>
  <c r="AG20" i="1"/>
  <c r="AG56" i="1"/>
  <c r="AG92" i="1"/>
  <c r="AG26" i="1"/>
  <c r="AG218" i="1"/>
  <c r="AG188" i="1"/>
  <c r="AG38" i="1"/>
  <c r="AG54" i="1"/>
  <c r="AG70" i="1"/>
  <c r="AG86" i="1"/>
  <c r="AG102" i="1"/>
  <c r="AG117" i="1"/>
  <c r="AG34" i="1"/>
  <c r="AG128" i="1"/>
  <c r="AG154" i="1"/>
  <c r="AG229" i="1"/>
  <c r="AG178" i="1"/>
  <c r="AG227" i="1"/>
  <c r="AG43" i="1"/>
  <c r="AG59" i="1"/>
  <c r="AG75" i="1"/>
  <c r="AG95" i="1"/>
  <c r="AG27" i="1"/>
  <c r="AG144" i="1"/>
  <c r="AG234" i="1"/>
  <c r="AG191" i="1"/>
  <c r="AG100" i="1"/>
  <c r="AG160" i="1"/>
  <c r="AG196" i="1"/>
  <c r="AG60" i="1"/>
  <c r="AG96" i="1"/>
  <c r="AG29" i="1"/>
  <c r="AG214" i="1"/>
  <c r="AG183" i="1"/>
  <c r="AG179" i="1"/>
  <c r="W10" i="3"/>
  <c r="W19" i="3"/>
  <c r="W25" i="3"/>
  <c r="W12" i="3"/>
  <c r="AG24" i="1"/>
  <c r="AG49" i="1"/>
  <c r="AG161" i="1"/>
  <c r="AG69" i="1"/>
  <c r="AG101" i="1"/>
  <c r="AG32" i="1"/>
  <c r="AG148" i="1"/>
  <c r="AG236" i="1"/>
  <c r="AG184" i="1"/>
  <c r="AG141" i="1"/>
  <c r="AG202" i="1"/>
  <c r="AG14" i="1"/>
  <c r="AG242" i="1"/>
  <c r="AG44" i="1"/>
  <c r="AG115" i="1"/>
  <c r="AG243" i="1"/>
  <c r="AG46" i="1"/>
  <c r="AG78" i="1"/>
  <c r="AG110" i="1"/>
  <c r="AG133" i="1"/>
  <c r="AG163" i="1"/>
  <c r="AG198" i="1"/>
  <c r="AG51" i="1"/>
  <c r="AG87" i="1"/>
  <c r="AG135" i="1"/>
  <c r="AG175" i="1"/>
  <c r="AG129" i="1"/>
  <c r="AG40" i="1"/>
  <c r="AG112" i="1"/>
  <c r="AG239" i="1"/>
  <c r="W23" i="3"/>
  <c r="W22" i="3"/>
  <c r="W16" i="3"/>
  <c r="AG37" i="1"/>
  <c r="AG81" i="1"/>
  <c r="AG113" i="1"/>
  <c r="AG139" i="1"/>
  <c r="AG162" i="1"/>
  <c r="AG167" i="1"/>
  <c r="AG197" i="1"/>
  <c r="AG241" i="1"/>
  <c r="AG99" i="1"/>
  <c r="AG150" i="1"/>
  <c r="AG204" i="1"/>
  <c r="AG64" i="1"/>
  <c r="AG30" i="1"/>
  <c r="AG200" i="1"/>
  <c r="AG58" i="1"/>
  <c r="AG90" i="1"/>
  <c r="AG121" i="1"/>
  <c r="AG136" i="1"/>
  <c r="AG237" i="1"/>
  <c r="AG16" i="1"/>
  <c r="AG63" i="1"/>
  <c r="AG103" i="1"/>
  <c r="AG155" i="1"/>
  <c r="AG199" i="1"/>
  <c r="AG231" i="1"/>
  <c r="AG68" i="1"/>
  <c r="AG137" i="1"/>
  <c r="AG192" i="1"/>
  <c r="W8" i="3"/>
  <c r="W26" i="3"/>
  <c r="W18" i="3"/>
  <c r="AG53" i="1"/>
  <c r="AG85" i="1"/>
  <c r="AG116" i="1"/>
  <c r="AG143" i="1"/>
  <c r="AG215" i="1"/>
  <c r="AG170" i="1"/>
  <c r="AG201" i="1"/>
  <c r="AG174" i="1"/>
  <c r="AG111" i="1"/>
  <c r="AG159" i="1"/>
  <c r="AG209" i="1"/>
  <c r="AG76" i="1"/>
  <c r="AG132" i="1"/>
  <c r="AG225" i="1"/>
  <c r="AG62" i="1"/>
  <c r="AG94" i="1"/>
  <c r="AG23" i="1"/>
  <c r="AG22" i="1"/>
  <c r="AG164" i="1"/>
  <c r="AG35" i="1"/>
  <c r="AG67" i="1"/>
  <c r="AG107" i="1"/>
  <c r="AG213" i="1"/>
  <c r="AG224" i="1"/>
  <c r="AG166" i="1"/>
  <c r="AG80" i="1"/>
  <c r="AG124" i="1"/>
  <c r="AG210" i="1"/>
  <c r="W24" i="3"/>
  <c r="W9" i="3"/>
  <c r="W13" i="3"/>
  <c r="AG65" i="1"/>
  <c r="AG97" i="1"/>
  <c r="AG17" i="1"/>
  <c r="AG142" i="1"/>
  <c r="AG232" i="1"/>
  <c r="AG180" i="1"/>
  <c r="AG226" i="1"/>
  <c r="AG194" i="1"/>
  <c r="AG127" i="1"/>
  <c r="AG238" i="1"/>
  <c r="AG36" i="1"/>
  <c r="AG104" i="1"/>
  <c r="AG235" i="1"/>
  <c r="AG42" i="1"/>
  <c r="AG74" i="1"/>
  <c r="AG106" i="1"/>
  <c r="AG125" i="1"/>
  <c r="AG158" i="1"/>
  <c r="AG190" i="1"/>
  <c r="AG47" i="1"/>
  <c r="AG83" i="1"/>
  <c r="AG18" i="1"/>
  <c r="AG165" i="1"/>
  <c r="AG119" i="1"/>
  <c r="AG168" i="1"/>
  <c r="AG108" i="1"/>
  <c r="AG222" i="1"/>
  <c r="AG205" i="1"/>
  <c r="W27" i="3"/>
  <c r="W20" i="3"/>
  <c r="S7" i="3" l="1"/>
  <c r="X222" i="1"/>
  <c r="R28" i="3"/>
  <c r="AA207" i="1"/>
  <c r="AA206" i="1"/>
  <c r="AA202" i="1"/>
  <c r="AA201" i="1"/>
  <c r="AA198" i="1"/>
  <c r="AA197" i="1"/>
  <c r="AA164" i="1"/>
  <c r="AA241" i="1"/>
  <c r="AA237" i="1"/>
  <c r="AA229" i="1"/>
  <c r="AA220" i="1"/>
  <c r="AA216" i="1"/>
  <c r="AA153" i="1"/>
  <c r="X152" i="1"/>
  <c r="AA148" i="1"/>
  <c r="AA127" i="1"/>
  <c r="AA115" i="1"/>
  <c r="AA63" i="1"/>
  <c r="X176" i="1"/>
  <c r="AA230" i="1"/>
  <c r="AA217" i="1"/>
  <c r="X172" i="1"/>
  <c r="AA235" i="1"/>
  <c r="AA156" i="1"/>
  <c r="AA144" i="1"/>
  <c r="AA140" i="1"/>
  <c r="AA136" i="1"/>
  <c r="AA132" i="1"/>
  <c r="AA128" i="1"/>
  <c r="AA124" i="1"/>
  <c r="X123" i="1"/>
  <c r="AA120" i="1"/>
  <c r="X87" i="1"/>
  <c r="X83" i="1"/>
  <c r="X79" i="1"/>
  <c r="X75" i="1"/>
  <c r="AA68" i="1"/>
  <c r="AA64" i="1"/>
  <c r="AA42" i="1"/>
  <c r="AA157" i="1"/>
  <c r="AA152" i="1"/>
  <c r="X85" i="1"/>
  <c r="AA60" i="1"/>
  <c r="AA45" i="1"/>
  <c r="X42" i="1"/>
  <c r="X233" i="1"/>
  <c r="X147" i="1"/>
  <c r="X82" i="1"/>
  <c r="X61" i="1"/>
  <c r="X30" i="1"/>
  <c r="X168" i="1"/>
  <c r="AA90" i="1"/>
  <c r="AA79" i="1"/>
  <c r="AA70" i="1"/>
  <c r="W70" i="1" s="1"/>
  <c r="AA66" i="1"/>
  <c r="X216" i="1"/>
  <c r="X163" i="1"/>
  <c r="X148" i="1"/>
  <c r="AA193" i="1"/>
  <c r="AA186" i="1"/>
  <c r="X181" i="1"/>
  <c r="X178" i="1"/>
  <c r="X177" i="1"/>
  <c r="AA173" i="1"/>
  <c r="AA172" i="1"/>
  <c r="AA170" i="1"/>
  <c r="AA222" i="1"/>
  <c r="X159" i="1"/>
  <c r="X155" i="1"/>
  <c r="X150" i="1"/>
  <c r="X122" i="1"/>
  <c r="AA86" i="1"/>
  <c r="AA84" i="1"/>
  <c r="W84" i="1" s="1"/>
  <c r="X72" i="1"/>
  <c r="X71" i="1"/>
  <c r="X220" i="1"/>
  <c r="X115" i="1"/>
  <c r="X145" i="1"/>
  <c r="T176" i="1"/>
  <c r="AA174" i="1"/>
  <c r="AA171" i="1"/>
  <c r="W171" i="1" s="1"/>
  <c r="AA167" i="1"/>
  <c r="AA244" i="1"/>
  <c r="AA240" i="1"/>
  <c r="AA236" i="1"/>
  <c r="X235" i="1"/>
  <c r="AA233" i="1"/>
  <c r="AA232" i="1"/>
  <c r="AA223" i="1"/>
  <c r="W223" i="1" s="1"/>
  <c r="AA219" i="1"/>
  <c r="AA215" i="1"/>
  <c r="T152" i="1"/>
  <c r="AA143" i="1"/>
  <c r="W143" i="1" s="1"/>
  <c r="AA139" i="1"/>
  <c r="AA135" i="1"/>
  <c r="AA131" i="1"/>
  <c r="AA109" i="1"/>
  <c r="AA93" i="1"/>
  <c r="X77" i="1"/>
  <c r="AA65" i="1"/>
  <c r="X64" i="1"/>
  <c r="AA61" i="1"/>
  <c r="X32" i="1"/>
  <c r="T30" i="1"/>
  <c r="U161" i="1"/>
  <c r="S161" i="1" s="1"/>
  <c r="AI161" i="1"/>
  <c r="W161" i="1"/>
  <c r="X161" i="1"/>
  <c r="U151" i="1"/>
  <c r="S151" i="1" s="1"/>
  <c r="AI151" i="1"/>
  <c r="W151" i="1"/>
  <c r="X151" i="1"/>
  <c r="AE23" i="3"/>
  <c r="T145" i="1"/>
  <c r="AI145" i="1"/>
  <c r="U145" i="1"/>
  <c r="S145" i="1" s="1"/>
  <c r="W145" i="1"/>
  <c r="S28" i="3"/>
  <c r="R25" i="3"/>
  <c r="X243" i="1"/>
  <c r="AA227" i="1"/>
  <c r="X196" i="1"/>
  <c r="X185" i="1"/>
  <c r="AA179" i="1"/>
  <c r="X174" i="1"/>
  <c r="AC20" i="3"/>
  <c r="X228" i="1"/>
  <c r="AA194" i="1"/>
  <c r="T183" i="1"/>
  <c r="AA181" i="1"/>
  <c r="AA178" i="1"/>
  <c r="W178" i="1" s="1"/>
  <c r="AA165" i="1"/>
  <c r="X164" i="1"/>
  <c r="X241" i="1"/>
  <c r="AA238" i="1"/>
  <c r="W238" i="1" s="1"/>
  <c r="X237" i="1"/>
  <c r="T222" i="1"/>
  <c r="X121" i="1"/>
  <c r="X114" i="1"/>
  <c r="AA111" i="1"/>
  <c r="X110" i="1"/>
  <c r="X106" i="1"/>
  <c r="AA100" i="1"/>
  <c r="W100" i="1" s="1"/>
  <c r="AA95" i="1"/>
  <c r="X94" i="1"/>
  <c r="X90" i="1"/>
  <c r="AA67" i="1"/>
  <c r="W67" i="1" s="1"/>
  <c r="AA62" i="1"/>
  <c r="X58" i="1"/>
  <c r="AA54" i="1"/>
  <c r="AA53" i="1"/>
  <c r="W53" i="1" s="1"/>
  <c r="X52" i="1"/>
  <c r="AA49" i="1"/>
  <c r="X37" i="1"/>
  <c r="X36" i="1"/>
  <c r="X31" i="1"/>
  <c r="X26" i="1"/>
  <c r="X22" i="1"/>
  <c r="X17" i="1"/>
  <c r="AA166" i="1"/>
  <c r="AA239" i="1"/>
  <c r="X108" i="1"/>
  <c r="X50" i="1"/>
  <c r="X169" i="1"/>
  <c r="AA214" i="1"/>
  <c r="AA213" i="1"/>
  <c r="X190" i="1"/>
  <c r="X184" i="1"/>
  <c r="X171" i="1"/>
  <c r="X170" i="1"/>
  <c r="X215" i="1"/>
  <c r="AA57" i="1"/>
  <c r="X56" i="1"/>
  <c r="X29" i="1"/>
  <c r="X25" i="1"/>
  <c r="X21" i="1"/>
  <c r="AA224" i="1"/>
  <c r="AA205" i="1"/>
  <c r="AA228" i="1"/>
  <c r="X227" i="1"/>
  <c r="T196" i="1"/>
  <c r="U196" i="1" s="1"/>
  <c r="S196" i="1" s="1"/>
  <c r="AA196" i="1"/>
  <c r="W196" i="1" s="1"/>
  <c r="X244" i="1"/>
  <c r="X236" i="1"/>
  <c r="AA234" i="1"/>
  <c r="X232" i="1"/>
  <c r="AA218" i="1"/>
  <c r="X158" i="1"/>
  <c r="X156" i="1"/>
  <c r="X154" i="1"/>
  <c r="X149" i="1"/>
  <c r="AA123" i="1"/>
  <c r="AA122" i="1"/>
  <c r="AA121" i="1"/>
  <c r="AA118" i="1"/>
  <c r="X117" i="1"/>
  <c r="AA113" i="1"/>
  <c r="X112" i="1"/>
  <c r="AA106" i="1"/>
  <c r="AA103" i="1"/>
  <c r="X102" i="1"/>
  <c r="AA97" i="1"/>
  <c r="X96" i="1"/>
  <c r="AA75" i="1"/>
  <c r="AA74" i="1"/>
  <c r="X69" i="1"/>
  <c r="X49" i="1"/>
  <c r="AA40" i="1"/>
  <c r="AA39" i="1"/>
  <c r="T169" i="1"/>
  <c r="U169" i="1" s="1"/>
  <c r="S169" i="1" s="1"/>
  <c r="T243" i="1"/>
  <c r="X223" i="1"/>
  <c r="AA221" i="1"/>
  <c r="X219" i="1"/>
  <c r="X214" i="1"/>
  <c r="AA163" i="1"/>
  <c r="AA162" i="1"/>
  <c r="AA160" i="1"/>
  <c r="W160" i="1" s="1"/>
  <c r="AA159" i="1"/>
  <c r="T159" i="1"/>
  <c r="X157" i="1"/>
  <c r="AA155" i="1"/>
  <c r="W155" i="1" s="1"/>
  <c r="T155" i="1"/>
  <c r="X153" i="1"/>
  <c r="AA150" i="1"/>
  <c r="T150" i="1"/>
  <c r="U150" i="1" s="1"/>
  <c r="S150" i="1" s="1"/>
  <c r="AA141" i="1"/>
  <c r="AA137" i="1"/>
  <c r="AA133" i="1"/>
  <c r="AA129" i="1"/>
  <c r="AA107" i="1"/>
  <c r="AA91" i="1"/>
  <c r="AA87" i="1"/>
  <c r="AA85" i="1"/>
  <c r="W85" i="1" s="1"/>
  <c r="AA83" i="1"/>
  <c r="AA82" i="1"/>
  <c r="AA81" i="1"/>
  <c r="AA78" i="1"/>
  <c r="AA76" i="1"/>
  <c r="AA73" i="1"/>
  <c r="AA72" i="1"/>
  <c r="AA71" i="1"/>
  <c r="W71" i="1" s="1"/>
  <c r="X67" i="1"/>
  <c r="X63" i="1"/>
  <c r="AA59" i="1"/>
  <c r="AA58" i="1"/>
  <c r="W58" i="1" s="1"/>
  <c r="AA56" i="1"/>
  <c r="AA55" i="1"/>
  <c r="X54" i="1"/>
  <c r="AA44" i="1"/>
  <c r="W44" i="1" s="1"/>
  <c r="AA43" i="1"/>
  <c r="AA41" i="1"/>
  <c r="X41" i="1"/>
  <c r="X38" i="1"/>
  <c r="AA36" i="1"/>
  <c r="AA35" i="1"/>
  <c r="X33" i="1"/>
  <c r="AA142" i="1"/>
  <c r="AA138" i="1"/>
  <c r="AA134" i="1"/>
  <c r="AA130" i="1"/>
  <c r="AA116" i="1"/>
  <c r="W116" i="1" s="1"/>
  <c r="AA101" i="1"/>
  <c r="X100" i="1"/>
  <c r="AA99" i="1"/>
  <c r="X98" i="1"/>
  <c r="AA69" i="1"/>
  <c r="AA48" i="1"/>
  <c r="AA46" i="1"/>
  <c r="T26" i="1"/>
  <c r="U26" i="1" s="1"/>
  <c r="S26" i="1" s="1"/>
  <c r="X206" i="1"/>
  <c r="AA200" i="1"/>
  <c r="AA199" i="1"/>
  <c r="X197" i="1"/>
  <c r="AA192" i="1"/>
  <c r="AA191" i="1"/>
  <c r="AA183" i="1"/>
  <c r="W183" i="1" s="1"/>
  <c r="AA182" i="1"/>
  <c r="X180" i="1"/>
  <c r="AA176" i="1"/>
  <c r="AA175" i="1"/>
  <c r="W175" i="1" s="1"/>
  <c r="AA169" i="1"/>
  <c r="AA168" i="1"/>
  <c r="X167" i="1"/>
  <c r="AA243" i="1"/>
  <c r="AA242" i="1"/>
  <c r="X240" i="1"/>
  <c r="AA231" i="1"/>
  <c r="W231" i="1" s="1"/>
  <c r="X160" i="1"/>
  <c r="AA158" i="1"/>
  <c r="AA154" i="1"/>
  <c r="AA149" i="1"/>
  <c r="W149" i="1" s="1"/>
  <c r="X81" i="1"/>
  <c r="X59" i="1"/>
  <c r="AA52" i="1"/>
  <c r="AA51" i="1"/>
  <c r="W51" i="1" s="1"/>
  <c r="T22" i="1"/>
  <c r="X212" i="1"/>
  <c r="X213" i="1"/>
  <c r="T212" i="1"/>
  <c r="U212" i="1" s="1"/>
  <c r="S212" i="1" s="1"/>
  <c r="X226" i="1"/>
  <c r="X211" i="1"/>
  <c r="AA226" i="1"/>
  <c r="X207" i="1"/>
  <c r="T207" i="1"/>
  <c r="U207" i="1" s="1"/>
  <c r="S207" i="1" s="1"/>
  <c r="X224" i="1"/>
  <c r="T202" i="1"/>
  <c r="U202" i="1" s="1"/>
  <c r="S202" i="1" s="1"/>
  <c r="X195" i="1"/>
  <c r="T194" i="1"/>
  <c r="U194" i="1" s="1"/>
  <c r="S194" i="1" s="1"/>
  <c r="X186" i="1"/>
  <c r="T185" i="1"/>
  <c r="U185" i="1" s="1"/>
  <c r="S185" i="1" s="1"/>
  <c r="T178" i="1"/>
  <c r="U178" i="1" s="1"/>
  <c r="S178" i="1" s="1"/>
  <c r="T171" i="1"/>
  <c r="U171" i="1" s="1"/>
  <c r="S171" i="1" s="1"/>
  <c r="X166" i="1"/>
  <c r="X165" i="1"/>
  <c r="T164" i="1"/>
  <c r="X239" i="1"/>
  <c r="X238" i="1"/>
  <c r="T237" i="1"/>
  <c r="X231" i="1"/>
  <c r="X230" i="1"/>
  <c r="X218" i="1"/>
  <c r="X217" i="1"/>
  <c r="T216" i="1"/>
  <c r="T162" i="1"/>
  <c r="U162" i="1" s="1"/>
  <c r="S162" i="1" s="1"/>
  <c r="AA146" i="1"/>
  <c r="T206" i="1"/>
  <c r="U206" i="1" s="1"/>
  <c r="S206" i="1" s="1"/>
  <c r="T197" i="1"/>
  <c r="U197" i="1" s="1"/>
  <c r="S197" i="1" s="1"/>
  <c r="T189" i="1"/>
  <c r="U189" i="1" s="1"/>
  <c r="S189" i="1" s="1"/>
  <c r="T180" i="1"/>
  <c r="T173" i="1"/>
  <c r="U173" i="1" s="1"/>
  <c r="S173" i="1" s="1"/>
  <c r="T167" i="1"/>
  <c r="U167" i="1" s="1"/>
  <c r="S167" i="1" s="1"/>
  <c r="T240" i="1"/>
  <c r="U240" i="1" s="1"/>
  <c r="S240" i="1" s="1"/>
  <c r="T232" i="1"/>
  <c r="X229" i="1"/>
  <c r="T219" i="1"/>
  <c r="U219" i="1" s="1"/>
  <c r="S219" i="1" s="1"/>
  <c r="X199" i="1"/>
  <c r="T198" i="1"/>
  <c r="X191" i="1"/>
  <c r="T190" i="1"/>
  <c r="U190" i="1" s="1"/>
  <c r="S190" i="1" s="1"/>
  <c r="X182" i="1"/>
  <c r="T181" i="1"/>
  <c r="X175" i="1"/>
  <c r="T174" i="1"/>
  <c r="U174" i="1" s="1"/>
  <c r="S174" i="1" s="1"/>
  <c r="X242" i="1"/>
  <c r="T241" i="1"/>
  <c r="X234" i="1"/>
  <c r="T233" i="1"/>
  <c r="X221" i="1"/>
  <c r="T220" i="1"/>
  <c r="T163" i="1"/>
  <c r="AA117" i="1"/>
  <c r="AA112" i="1"/>
  <c r="AA102" i="1"/>
  <c r="AA96" i="1"/>
  <c r="W96" i="1" s="1"/>
  <c r="X92" i="1"/>
  <c r="T87" i="1"/>
  <c r="U87" i="1" s="1"/>
  <c r="S87" i="1" s="1"/>
  <c r="T85" i="1"/>
  <c r="T83" i="1"/>
  <c r="U83" i="1" s="1"/>
  <c r="S83" i="1" s="1"/>
  <c r="T79" i="1"/>
  <c r="T77" i="1"/>
  <c r="U77" i="1" s="1"/>
  <c r="S77" i="1" s="1"/>
  <c r="T75" i="1"/>
  <c r="T40" i="1"/>
  <c r="T36" i="1"/>
  <c r="X28" i="1"/>
  <c r="X24" i="1"/>
  <c r="X20" i="1"/>
  <c r="X16" i="1"/>
  <c r="X70" i="1"/>
  <c r="X68" i="1"/>
  <c r="X66" i="1"/>
  <c r="X62" i="1"/>
  <c r="X60" i="1"/>
  <c r="X55" i="1"/>
  <c r="X53" i="1"/>
  <c r="X51" i="1"/>
  <c r="AA50" i="1"/>
  <c r="X45" i="1"/>
  <c r="X43" i="1"/>
  <c r="X39" i="1"/>
  <c r="T32" i="1"/>
  <c r="U32" i="1" s="1"/>
  <c r="S32" i="1" s="1"/>
  <c r="AA29" i="1"/>
  <c r="T29" i="1"/>
  <c r="U29" i="1" s="1"/>
  <c r="S29" i="1" s="1"/>
  <c r="X27" i="1"/>
  <c r="AA25" i="1"/>
  <c r="T25" i="1"/>
  <c r="X23" i="1"/>
  <c r="AA21" i="1"/>
  <c r="T21" i="1"/>
  <c r="U21" i="1" s="1"/>
  <c r="S21" i="1" s="1"/>
  <c r="X19" i="1"/>
  <c r="T17" i="1"/>
  <c r="U17" i="1" s="1"/>
  <c r="X15" i="1"/>
  <c r="AA119" i="1"/>
  <c r="AA110" i="1"/>
  <c r="T108" i="1"/>
  <c r="U108" i="1" s="1"/>
  <c r="S108" i="1" s="1"/>
  <c r="AA104" i="1"/>
  <c r="AA94" i="1"/>
  <c r="T92" i="1"/>
  <c r="X80" i="1"/>
  <c r="X40" i="1"/>
  <c r="T31" i="1"/>
  <c r="U31" i="1" s="1"/>
  <c r="S31" i="1" s="1"/>
  <c r="AA28" i="1"/>
  <c r="AA24" i="1"/>
  <c r="AA20" i="1"/>
  <c r="AA16" i="1"/>
  <c r="X119" i="1"/>
  <c r="AA114" i="1"/>
  <c r="T112" i="1"/>
  <c r="AA108" i="1"/>
  <c r="X104" i="1"/>
  <c r="AA98" i="1"/>
  <c r="T96" i="1"/>
  <c r="AA92" i="1"/>
  <c r="AA88" i="1"/>
  <c r="X86" i="1"/>
  <c r="X84" i="1"/>
  <c r="X78" i="1"/>
  <c r="X76" i="1"/>
  <c r="X74" i="1"/>
  <c r="T66" i="1"/>
  <c r="T64" i="1"/>
  <c r="U64" i="1" s="1"/>
  <c r="S64" i="1" s="1"/>
  <c r="AA27" i="1"/>
  <c r="AA23" i="1"/>
  <c r="W23" i="1" s="1"/>
  <c r="AA19" i="1"/>
  <c r="AA15" i="1"/>
  <c r="U228" i="1"/>
  <c r="S228" i="1" s="1"/>
  <c r="AI244" i="1"/>
  <c r="U227" i="1"/>
  <c r="S227" i="1" s="1"/>
  <c r="AI243" i="1"/>
  <c r="U226" i="1"/>
  <c r="S226" i="1" s="1"/>
  <c r="AI242" i="1"/>
  <c r="U225" i="1"/>
  <c r="S225" i="1" s="1"/>
  <c r="AI241" i="1"/>
  <c r="U224" i="1"/>
  <c r="S224" i="1" s="1"/>
  <c r="AI240" i="1"/>
  <c r="AI239" i="1"/>
  <c r="U211" i="1"/>
  <c r="S211" i="1" s="1"/>
  <c r="AI238" i="1"/>
  <c r="U210" i="1"/>
  <c r="S210" i="1" s="1"/>
  <c r="AI237" i="1"/>
  <c r="U209" i="1"/>
  <c r="S209" i="1" s="1"/>
  <c r="AI236" i="1"/>
  <c r="AI235" i="1"/>
  <c r="AI234" i="1"/>
  <c r="U205" i="1"/>
  <c r="S205" i="1" s="1"/>
  <c r="AI233" i="1"/>
  <c r="U204" i="1"/>
  <c r="S204" i="1" s="1"/>
  <c r="AI232" i="1"/>
  <c r="AI231" i="1"/>
  <c r="U201" i="1"/>
  <c r="S201" i="1" s="1"/>
  <c r="AI230" i="1"/>
  <c r="U200" i="1"/>
  <c r="S200" i="1" s="1"/>
  <c r="AI229" i="1"/>
  <c r="U199" i="1"/>
  <c r="S199" i="1" s="1"/>
  <c r="AI228" i="1"/>
  <c r="U198" i="1"/>
  <c r="S198" i="1" s="1"/>
  <c r="AI227" i="1"/>
  <c r="AI226" i="1"/>
  <c r="AI225" i="1"/>
  <c r="U195" i="1"/>
  <c r="S195" i="1" s="1"/>
  <c r="AI224" i="1"/>
  <c r="AI223" i="1"/>
  <c r="U193" i="1"/>
  <c r="S193" i="1" s="1"/>
  <c r="AI222" i="1"/>
  <c r="U192" i="1"/>
  <c r="S192" i="1" s="1"/>
  <c r="AI221" i="1"/>
  <c r="U191" i="1"/>
  <c r="S191" i="1" s="1"/>
  <c r="AI220" i="1"/>
  <c r="AI219" i="1"/>
  <c r="AI218" i="1"/>
  <c r="U188" i="1"/>
  <c r="S188" i="1" s="1"/>
  <c r="AI217" i="1"/>
  <c r="U186" i="1"/>
  <c r="S186" i="1" s="1"/>
  <c r="AI216" i="1"/>
  <c r="AI215" i="1"/>
  <c r="U184" i="1"/>
  <c r="S184" i="1" s="1"/>
  <c r="AI214" i="1"/>
  <c r="U183" i="1"/>
  <c r="S183" i="1" s="1"/>
  <c r="AI213" i="1"/>
  <c r="U182" i="1"/>
  <c r="S182" i="1" s="1"/>
  <c r="AI212" i="1"/>
  <c r="U181" i="1"/>
  <c r="S181" i="1" s="1"/>
  <c r="AI211" i="1"/>
  <c r="U180" i="1"/>
  <c r="S180" i="1" s="1"/>
  <c r="AI210" i="1"/>
  <c r="U179" i="1"/>
  <c r="S179" i="1" s="1"/>
  <c r="AI209" i="1"/>
  <c r="AI207" i="1"/>
  <c r="AI206" i="1"/>
  <c r="U177" i="1"/>
  <c r="S177" i="1" s="1"/>
  <c r="AI205" i="1"/>
  <c r="U176" i="1"/>
  <c r="S176" i="1" s="1"/>
  <c r="AI204" i="1"/>
  <c r="U175" i="1"/>
  <c r="S175" i="1" s="1"/>
  <c r="AI202" i="1"/>
  <c r="AI201" i="1"/>
  <c r="AI200" i="1"/>
  <c r="U172" i="1"/>
  <c r="S172" i="1" s="1"/>
  <c r="AI199" i="1"/>
  <c r="AI198" i="1"/>
  <c r="AI197" i="1"/>
  <c r="U170" i="1"/>
  <c r="S170" i="1" s="1"/>
  <c r="AI196" i="1"/>
  <c r="AI195" i="1"/>
  <c r="U168" i="1"/>
  <c r="S168" i="1" s="1"/>
  <c r="AI194" i="1"/>
  <c r="AI193" i="1"/>
  <c r="AI192" i="1"/>
  <c r="U166" i="1"/>
  <c r="S166" i="1" s="1"/>
  <c r="AI191" i="1"/>
  <c r="U165" i="1"/>
  <c r="S165" i="1" s="1"/>
  <c r="AI190" i="1"/>
  <c r="U164" i="1"/>
  <c r="S164" i="1" s="1"/>
  <c r="AI189" i="1"/>
  <c r="U244" i="1"/>
  <c r="S244" i="1" s="1"/>
  <c r="AI188" i="1"/>
  <c r="U243" i="1"/>
  <c r="S243" i="1" s="1"/>
  <c r="AI186" i="1"/>
  <c r="U242" i="1"/>
  <c r="S242" i="1" s="1"/>
  <c r="AI185" i="1"/>
  <c r="U241" i="1"/>
  <c r="S241" i="1" s="1"/>
  <c r="AI184" i="1"/>
  <c r="AI183" i="1"/>
  <c r="U239" i="1"/>
  <c r="S239" i="1" s="1"/>
  <c r="AI182" i="1"/>
  <c r="U238" i="1"/>
  <c r="S238" i="1" s="1"/>
  <c r="AI181" i="1"/>
  <c r="U237" i="1"/>
  <c r="S237" i="1" s="1"/>
  <c r="AI180" i="1"/>
  <c r="U236" i="1"/>
  <c r="S236" i="1" s="1"/>
  <c r="AI179" i="1"/>
  <c r="U235" i="1"/>
  <c r="S235" i="1" s="1"/>
  <c r="U234" i="1"/>
  <c r="S234" i="1" s="1"/>
  <c r="AI178" i="1"/>
  <c r="U233" i="1"/>
  <c r="S233" i="1" s="1"/>
  <c r="AI177" i="1"/>
  <c r="U232" i="1"/>
  <c r="S232" i="1" s="1"/>
  <c r="AI176" i="1"/>
  <c r="U231" i="1"/>
  <c r="S231" i="1" s="1"/>
  <c r="AI175" i="1"/>
  <c r="U230" i="1"/>
  <c r="S230" i="1" s="1"/>
  <c r="AI174" i="1"/>
  <c r="U229" i="1"/>
  <c r="S229" i="1" s="1"/>
  <c r="AI173" i="1"/>
  <c r="U223" i="1"/>
  <c r="S223" i="1" s="1"/>
  <c r="AI172" i="1"/>
  <c r="U222" i="1"/>
  <c r="S222" i="1" s="1"/>
  <c r="U221" i="1"/>
  <c r="S221" i="1" s="1"/>
  <c r="AI171" i="1"/>
  <c r="U220" i="1"/>
  <c r="S220" i="1" s="1"/>
  <c r="AI170" i="1"/>
  <c r="AI169" i="1"/>
  <c r="U218" i="1"/>
  <c r="S218" i="1" s="1"/>
  <c r="AI168" i="1"/>
  <c r="U217" i="1"/>
  <c r="S217" i="1" s="1"/>
  <c r="U216" i="1"/>
  <c r="S216" i="1" s="1"/>
  <c r="AI167" i="1"/>
  <c r="U215" i="1"/>
  <c r="S215" i="1" s="1"/>
  <c r="AI166" i="1"/>
  <c r="U214" i="1"/>
  <c r="S214" i="1" s="1"/>
  <c r="AI165" i="1"/>
  <c r="U213" i="1"/>
  <c r="S213" i="1" s="1"/>
  <c r="AI164" i="1"/>
  <c r="U163" i="1"/>
  <c r="S163" i="1" s="1"/>
  <c r="AI163" i="1"/>
  <c r="AI162" i="1"/>
  <c r="U160" i="1"/>
  <c r="S160" i="1" s="1"/>
  <c r="AI160" i="1"/>
  <c r="U159" i="1"/>
  <c r="S159" i="1" s="1"/>
  <c r="AI159" i="1"/>
  <c r="U158" i="1"/>
  <c r="S158" i="1" s="1"/>
  <c r="AI158" i="1"/>
  <c r="U157" i="1"/>
  <c r="S157" i="1" s="1"/>
  <c r="AI157" i="1"/>
  <c r="AI156" i="1"/>
  <c r="U156" i="1"/>
  <c r="S156" i="1" s="1"/>
  <c r="AI155" i="1"/>
  <c r="U155" i="1"/>
  <c r="S155" i="1" s="1"/>
  <c r="AI154" i="1"/>
  <c r="U154" i="1"/>
  <c r="S154" i="1" s="1"/>
  <c r="AI153" i="1"/>
  <c r="U153" i="1"/>
  <c r="S153" i="1" s="1"/>
  <c r="AI152" i="1"/>
  <c r="U152" i="1"/>
  <c r="S152" i="1" s="1"/>
  <c r="AI150" i="1"/>
  <c r="AI149" i="1"/>
  <c r="U149" i="1"/>
  <c r="S149" i="1" s="1"/>
  <c r="AI148" i="1"/>
  <c r="U148" i="1"/>
  <c r="S148" i="1" s="1"/>
  <c r="AI147" i="1"/>
  <c r="W147" i="1"/>
  <c r="AI144" i="1"/>
  <c r="W144" i="1"/>
  <c r="AI22" i="1"/>
  <c r="U22" i="1"/>
  <c r="S22" i="1" s="1"/>
  <c r="AI142" i="1"/>
  <c r="AI140" i="1"/>
  <c r="AI138" i="1"/>
  <c r="AI136" i="1"/>
  <c r="AI134" i="1"/>
  <c r="AI132" i="1"/>
  <c r="AI130" i="1"/>
  <c r="AI128" i="1"/>
  <c r="AI126" i="1"/>
  <c r="AI124" i="1"/>
  <c r="AI33" i="1"/>
  <c r="U33" i="1"/>
  <c r="S33" i="1" s="1"/>
  <c r="AI146" i="1"/>
  <c r="AI143" i="1"/>
  <c r="AI30" i="1"/>
  <c r="U30" i="1"/>
  <c r="S30" i="1" s="1"/>
  <c r="AI14" i="1"/>
  <c r="U14" i="1"/>
  <c r="S14" i="1" s="1"/>
  <c r="AI141" i="1"/>
  <c r="AI139" i="1"/>
  <c r="AI137" i="1"/>
  <c r="AI135" i="1"/>
  <c r="AI133" i="1"/>
  <c r="AI131" i="1"/>
  <c r="AI129" i="1"/>
  <c r="AI127" i="1"/>
  <c r="AI125" i="1"/>
  <c r="AI123" i="1"/>
  <c r="AI26" i="1"/>
  <c r="AI18" i="1"/>
  <c r="U18" i="1"/>
  <c r="S18" i="1" s="1"/>
  <c r="AI34" i="1"/>
  <c r="AI32" i="1"/>
  <c r="AI29" i="1"/>
  <c r="AI25" i="1"/>
  <c r="U25" i="1"/>
  <c r="S25" i="1" s="1"/>
  <c r="AI21" i="1"/>
  <c r="AI17" i="1"/>
  <c r="AI31" i="1"/>
  <c r="AI27" i="1"/>
  <c r="U27" i="1"/>
  <c r="S27" i="1" s="1"/>
  <c r="AI23" i="1"/>
  <c r="U23" i="1"/>
  <c r="S23" i="1" s="1"/>
  <c r="AI19" i="1"/>
  <c r="U19" i="1"/>
  <c r="S19" i="1" s="1"/>
  <c r="AI15" i="1"/>
  <c r="U15" i="1"/>
  <c r="S15" i="1" s="1"/>
  <c r="U122" i="1"/>
  <c r="S122" i="1" s="1"/>
  <c r="AI122" i="1"/>
  <c r="AI121" i="1"/>
  <c r="U120" i="1"/>
  <c r="S120" i="1" s="1"/>
  <c r="AI120" i="1"/>
  <c r="U119" i="1"/>
  <c r="AI119" i="1"/>
  <c r="U118" i="1"/>
  <c r="S118" i="1" s="1"/>
  <c r="AI118" i="1"/>
  <c r="AI117" i="1"/>
  <c r="U116" i="1"/>
  <c r="S116" i="1" s="1"/>
  <c r="AI116" i="1"/>
  <c r="U115" i="1"/>
  <c r="S115" i="1" s="1"/>
  <c r="AI115" i="1"/>
  <c r="AI114" i="1"/>
  <c r="U113" i="1"/>
  <c r="S113" i="1" s="1"/>
  <c r="AI113" i="1"/>
  <c r="U112" i="1"/>
  <c r="S112" i="1" s="1"/>
  <c r="AI112" i="1"/>
  <c r="U111" i="1"/>
  <c r="S111" i="1" s="1"/>
  <c r="AI111" i="1"/>
  <c r="AI110" i="1"/>
  <c r="U109" i="1"/>
  <c r="S109" i="1" s="1"/>
  <c r="AI109" i="1"/>
  <c r="AI108" i="1"/>
  <c r="U107" i="1"/>
  <c r="AI107" i="1"/>
  <c r="AI106" i="1"/>
  <c r="U105" i="1"/>
  <c r="S105" i="1" s="1"/>
  <c r="AI105" i="1"/>
  <c r="U104" i="1"/>
  <c r="S104" i="1" s="1"/>
  <c r="AI104" i="1"/>
  <c r="U103" i="1"/>
  <c r="S103" i="1" s="1"/>
  <c r="AI103" i="1"/>
  <c r="AI102" i="1"/>
  <c r="U101" i="1"/>
  <c r="S101" i="1" s="1"/>
  <c r="AI101" i="1"/>
  <c r="U100" i="1"/>
  <c r="S100" i="1" s="1"/>
  <c r="AI100" i="1"/>
  <c r="U99" i="1"/>
  <c r="S99" i="1" s="1"/>
  <c r="AI99" i="1"/>
  <c r="AI98" i="1"/>
  <c r="U97" i="1"/>
  <c r="S97" i="1" s="1"/>
  <c r="AI97" i="1"/>
  <c r="U96" i="1"/>
  <c r="S96" i="1" s="1"/>
  <c r="AI96" i="1"/>
  <c r="U95" i="1"/>
  <c r="S95" i="1" s="1"/>
  <c r="AI95" i="1"/>
  <c r="AI94" i="1"/>
  <c r="U93" i="1"/>
  <c r="S93" i="1" s="1"/>
  <c r="AI93" i="1"/>
  <c r="U92" i="1"/>
  <c r="S92" i="1" s="1"/>
  <c r="AI92" i="1"/>
  <c r="U91" i="1"/>
  <c r="S91" i="1" s="1"/>
  <c r="AI91" i="1"/>
  <c r="AI90" i="1"/>
  <c r="U89" i="1"/>
  <c r="S89" i="1" s="1"/>
  <c r="AI89" i="1"/>
  <c r="AI88" i="1"/>
  <c r="AI87" i="1"/>
  <c r="AI86" i="1"/>
  <c r="U85" i="1"/>
  <c r="S85" i="1" s="1"/>
  <c r="AI85" i="1"/>
  <c r="AI84" i="1"/>
  <c r="AI83" i="1"/>
  <c r="AI82" i="1"/>
  <c r="U81" i="1"/>
  <c r="S81" i="1" s="1"/>
  <c r="AI81" i="1"/>
  <c r="U80" i="1"/>
  <c r="S80" i="1" s="1"/>
  <c r="AI80" i="1"/>
  <c r="U79" i="1"/>
  <c r="S79" i="1" s="1"/>
  <c r="AI79" i="1"/>
  <c r="AI78" i="1"/>
  <c r="W78" i="1"/>
  <c r="AI77" i="1"/>
  <c r="AI76" i="1"/>
  <c r="W76" i="1"/>
  <c r="U75" i="1"/>
  <c r="S75" i="1" s="1"/>
  <c r="AI75" i="1"/>
  <c r="U74" i="1"/>
  <c r="S74" i="1" s="1"/>
  <c r="AI74" i="1"/>
  <c r="U73" i="1"/>
  <c r="S73" i="1" s="1"/>
  <c r="AI73" i="1"/>
  <c r="AI72" i="1"/>
  <c r="U71" i="1"/>
  <c r="S71" i="1" s="1"/>
  <c r="AI71" i="1"/>
  <c r="AI70" i="1"/>
  <c r="U69" i="1"/>
  <c r="S69" i="1" s="1"/>
  <c r="AI69" i="1"/>
  <c r="AI68" i="1"/>
  <c r="W68" i="1"/>
  <c r="U67" i="1"/>
  <c r="S67" i="1" s="1"/>
  <c r="AI67" i="1"/>
  <c r="U66" i="1"/>
  <c r="S66" i="1" s="1"/>
  <c r="AI66" i="1"/>
  <c r="U65" i="1"/>
  <c r="S65" i="1" s="1"/>
  <c r="AI65" i="1"/>
  <c r="AI64" i="1"/>
  <c r="U63" i="1"/>
  <c r="S63" i="1" s="1"/>
  <c r="AI63" i="1"/>
  <c r="AI62" i="1"/>
  <c r="W62" i="1"/>
  <c r="U61" i="1"/>
  <c r="S61" i="1" s="1"/>
  <c r="AI61" i="1"/>
  <c r="AI60" i="1"/>
  <c r="W60" i="1"/>
  <c r="U59" i="1"/>
  <c r="S59" i="1" s="1"/>
  <c r="AI59" i="1"/>
  <c r="AI58" i="1"/>
  <c r="U57" i="1"/>
  <c r="S57" i="1" s="1"/>
  <c r="AI57" i="1"/>
  <c r="AI56" i="1"/>
  <c r="U55" i="1"/>
  <c r="S55" i="1" s="1"/>
  <c r="AI55" i="1"/>
  <c r="AI54" i="1"/>
  <c r="U53" i="1"/>
  <c r="S53" i="1" s="1"/>
  <c r="AI53" i="1"/>
  <c r="AI52" i="1"/>
  <c r="W52" i="1"/>
  <c r="U51" i="1"/>
  <c r="S51" i="1" s="1"/>
  <c r="AI51" i="1"/>
  <c r="AI50" i="1"/>
  <c r="U49" i="1"/>
  <c r="S49" i="1" s="1"/>
  <c r="AI49" i="1"/>
  <c r="AI48" i="1"/>
  <c r="U47" i="1"/>
  <c r="S47" i="1" s="1"/>
  <c r="AI47" i="1"/>
  <c r="AI46" i="1"/>
  <c r="U45" i="1"/>
  <c r="S45" i="1" s="1"/>
  <c r="AI45" i="1"/>
  <c r="AI44" i="1"/>
  <c r="U43" i="1"/>
  <c r="S43" i="1" s="1"/>
  <c r="AI43" i="1"/>
  <c r="U42" i="1"/>
  <c r="S42" i="1" s="1"/>
  <c r="AI42" i="1"/>
  <c r="U41" i="1"/>
  <c r="S41" i="1" s="1"/>
  <c r="AI41" i="1"/>
  <c r="U40" i="1"/>
  <c r="S40" i="1" s="1"/>
  <c r="AI40" i="1"/>
  <c r="U39" i="1"/>
  <c r="S39" i="1" s="1"/>
  <c r="AI39" i="1"/>
  <c r="U38" i="1"/>
  <c r="S38" i="1" s="1"/>
  <c r="AI38" i="1"/>
  <c r="U37" i="1"/>
  <c r="S37" i="1" s="1"/>
  <c r="AI37" i="1"/>
  <c r="U36" i="1"/>
  <c r="S36" i="1" s="1"/>
  <c r="AI36" i="1"/>
  <c r="U35" i="1"/>
  <c r="S35" i="1" s="1"/>
  <c r="AI35" i="1"/>
  <c r="AI28" i="1"/>
  <c r="U28" i="1"/>
  <c r="S28" i="1" s="1"/>
  <c r="AI24" i="1"/>
  <c r="U24" i="1"/>
  <c r="S24" i="1" s="1"/>
  <c r="AI20" i="1"/>
  <c r="U20" i="1"/>
  <c r="S20" i="1" s="1"/>
  <c r="AI16" i="1"/>
  <c r="U16" i="1"/>
  <c r="S16" i="1" s="1"/>
  <c r="W212" i="1"/>
  <c r="W206" i="1"/>
  <c r="W227" i="1"/>
  <c r="W211" i="1"/>
  <c r="W207" i="1"/>
  <c r="W201" i="1"/>
  <c r="W198" i="1"/>
  <c r="W193" i="1"/>
  <c r="W190" i="1"/>
  <c r="W184" i="1"/>
  <c r="W181" i="1"/>
  <c r="W177" i="1"/>
  <c r="W174" i="1"/>
  <c r="W170" i="1"/>
  <c r="W244" i="1"/>
  <c r="W241" i="1"/>
  <c r="W236" i="1"/>
  <c r="W233" i="1"/>
  <c r="W220" i="1"/>
  <c r="W215" i="1"/>
  <c r="W163" i="1"/>
  <c r="W226" i="1"/>
  <c r="W197" i="1"/>
  <c r="W228" i="1"/>
  <c r="W225" i="1"/>
  <c r="W209" i="1"/>
  <c r="W205" i="1"/>
  <c r="W199" i="1"/>
  <c r="W191" i="1"/>
  <c r="W188" i="1"/>
  <c r="W182" i="1"/>
  <c r="W179" i="1"/>
  <c r="W172" i="1"/>
  <c r="W168" i="1"/>
  <c r="W166" i="1"/>
  <c r="W242" i="1"/>
  <c r="W239" i="1"/>
  <c r="W234" i="1"/>
  <c r="W221" i="1"/>
  <c r="W218" i="1"/>
  <c r="W213" i="1"/>
  <c r="W194" i="1"/>
  <c r="W189" i="1"/>
  <c r="W185" i="1"/>
  <c r="W180" i="1"/>
  <c r="W173" i="1"/>
  <c r="W167" i="1"/>
  <c r="W164" i="1"/>
  <c r="W240" i="1"/>
  <c r="W237" i="1"/>
  <c r="W232" i="1"/>
  <c r="W229" i="1"/>
  <c r="W219" i="1"/>
  <c r="W216" i="1"/>
  <c r="W162" i="1"/>
  <c r="W158" i="1"/>
  <c r="W202" i="1"/>
  <c r="W224" i="1"/>
  <c r="W210" i="1"/>
  <c r="W204" i="1"/>
  <c r="W200" i="1"/>
  <c r="W195" i="1"/>
  <c r="W192" i="1"/>
  <c r="W186" i="1"/>
  <c r="W176" i="1"/>
  <c r="W169" i="1"/>
  <c r="W165" i="1"/>
  <c r="W243" i="1"/>
  <c r="W235" i="1"/>
  <c r="W230" i="1"/>
  <c r="W222" i="1"/>
  <c r="W217" i="1"/>
  <c r="W214" i="1"/>
  <c r="W159" i="1"/>
  <c r="W156" i="1"/>
  <c r="W152" i="1"/>
  <c r="W107" i="1"/>
  <c r="W101" i="1"/>
  <c r="W91" i="1"/>
  <c r="W48" i="1"/>
  <c r="W157" i="1"/>
  <c r="W153" i="1"/>
  <c r="W148" i="1"/>
  <c r="W146" i="1"/>
  <c r="W120" i="1"/>
  <c r="W111" i="1"/>
  <c r="W105" i="1"/>
  <c r="W95" i="1"/>
  <c r="W72" i="1"/>
  <c r="W69" i="1"/>
  <c r="W61" i="1"/>
  <c r="W59" i="1"/>
  <c r="W54" i="1"/>
  <c r="W42" i="1"/>
  <c r="W154" i="1"/>
  <c r="W122" i="1"/>
  <c r="W109" i="1"/>
  <c r="W99" i="1"/>
  <c r="W93" i="1"/>
  <c r="W86" i="1"/>
  <c r="W56" i="1"/>
  <c r="W150" i="1"/>
  <c r="W118" i="1"/>
  <c r="W113" i="1"/>
  <c r="W103" i="1"/>
  <c r="W97" i="1"/>
  <c r="W88" i="1"/>
  <c r="W83" i="1"/>
  <c r="W77" i="1"/>
  <c r="W75" i="1"/>
  <c r="W36" i="1"/>
  <c r="T142" i="1"/>
  <c r="U142" i="1" s="1"/>
  <c r="S142" i="1" s="1"/>
  <c r="X142" i="1"/>
  <c r="T140" i="1"/>
  <c r="U140" i="1" s="1"/>
  <c r="S140" i="1" s="1"/>
  <c r="X140" i="1"/>
  <c r="T138" i="1"/>
  <c r="U138" i="1" s="1"/>
  <c r="S138" i="1" s="1"/>
  <c r="X138" i="1"/>
  <c r="T136" i="1"/>
  <c r="U136" i="1" s="1"/>
  <c r="S136" i="1" s="1"/>
  <c r="X136" i="1"/>
  <c r="T134" i="1"/>
  <c r="U134" i="1" s="1"/>
  <c r="S134" i="1" s="1"/>
  <c r="X134" i="1"/>
  <c r="T132" i="1"/>
  <c r="U132" i="1" s="1"/>
  <c r="S132" i="1" s="1"/>
  <c r="X132" i="1"/>
  <c r="T130" i="1"/>
  <c r="U130" i="1" s="1"/>
  <c r="S130" i="1" s="1"/>
  <c r="X130" i="1"/>
  <c r="T128" i="1"/>
  <c r="U128" i="1" s="1"/>
  <c r="S128" i="1" s="1"/>
  <c r="X128" i="1"/>
  <c r="T126" i="1"/>
  <c r="U126" i="1" s="1"/>
  <c r="S126" i="1" s="1"/>
  <c r="X126" i="1"/>
  <c r="T124" i="1"/>
  <c r="U124" i="1" s="1"/>
  <c r="S124" i="1" s="1"/>
  <c r="X124" i="1"/>
  <c r="T123" i="1"/>
  <c r="U123" i="1" s="1"/>
  <c r="S123" i="1" s="1"/>
  <c r="W121" i="1"/>
  <c r="X120" i="1"/>
  <c r="W117" i="1"/>
  <c r="X116" i="1"/>
  <c r="W114" i="1"/>
  <c r="X113" i="1"/>
  <c r="W110" i="1"/>
  <c r="X109" i="1"/>
  <c r="W106" i="1"/>
  <c r="X105" i="1"/>
  <c r="W102" i="1"/>
  <c r="X101" i="1"/>
  <c r="W98" i="1"/>
  <c r="X97" i="1"/>
  <c r="W94" i="1"/>
  <c r="X93" i="1"/>
  <c r="W90" i="1"/>
  <c r="X89" i="1"/>
  <c r="W87" i="1"/>
  <c r="T82" i="1"/>
  <c r="U82" i="1" s="1"/>
  <c r="S82" i="1" s="1"/>
  <c r="T72" i="1"/>
  <c r="U72" i="1" s="1"/>
  <c r="S72" i="1" s="1"/>
  <c r="W65" i="1"/>
  <c r="X57" i="1"/>
  <c r="W55" i="1"/>
  <c r="T50" i="1"/>
  <c r="U50" i="1" s="1"/>
  <c r="S50" i="1" s="1"/>
  <c r="T48" i="1"/>
  <c r="U48" i="1" s="1"/>
  <c r="S48" i="1" s="1"/>
  <c r="X48" i="1"/>
  <c r="W40" i="1"/>
  <c r="W38" i="1"/>
  <c r="W35" i="1"/>
  <c r="T146" i="1"/>
  <c r="U146" i="1" s="1"/>
  <c r="S146" i="1" s="1"/>
  <c r="T143" i="1"/>
  <c r="U143" i="1" s="1"/>
  <c r="X143" i="1"/>
  <c r="W141" i="1"/>
  <c r="W139" i="1"/>
  <c r="W137" i="1"/>
  <c r="W135" i="1"/>
  <c r="W133" i="1"/>
  <c r="W131" i="1"/>
  <c r="W129" i="1"/>
  <c r="W127" i="1"/>
  <c r="W125" i="1"/>
  <c r="W123" i="1"/>
  <c r="W89" i="1"/>
  <c r="W82" i="1"/>
  <c r="W79" i="1"/>
  <c r="W64" i="1"/>
  <c r="W57" i="1"/>
  <c r="W50" i="1"/>
  <c r="W46" i="1"/>
  <c r="W45" i="1"/>
  <c r="W41" i="1"/>
  <c r="W15" i="1"/>
  <c r="T141" i="1"/>
  <c r="U141" i="1" s="1"/>
  <c r="S141" i="1" s="1"/>
  <c r="X141" i="1"/>
  <c r="T139" i="1"/>
  <c r="U139" i="1" s="1"/>
  <c r="S139" i="1" s="1"/>
  <c r="X139" i="1"/>
  <c r="T137" i="1"/>
  <c r="U137" i="1" s="1"/>
  <c r="S137" i="1" s="1"/>
  <c r="X137" i="1"/>
  <c r="T135" i="1"/>
  <c r="U135" i="1" s="1"/>
  <c r="S135" i="1" s="1"/>
  <c r="X135" i="1"/>
  <c r="T133" i="1"/>
  <c r="U133" i="1" s="1"/>
  <c r="S133" i="1" s="1"/>
  <c r="X133" i="1"/>
  <c r="T131" i="1"/>
  <c r="U131" i="1" s="1"/>
  <c r="S131" i="1" s="1"/>
  <c r="X131" i="1"/>
  <c r="T129" i="1"/>
  <c r="U129" i="1" s="1"/>
  <c r="S129" i="1" s="1"/>
  <c r="X129" i="1"/>
  <c r="T127" i="1"/>
  <c r="U127" i="1" s="1"/>
  <c r="S127" i="1" s="1"/>
  <c r="X127" i="1"/>
  <c r="T125" i="1"/>
  <c r="U125" i="1" s="1"/>
  <c r="S125" i="1" s="1"/>
  <c r="X125" i="1"/>
  <c r="W119" i="1"/>
  <c r="X118" i="1"/>
  <c r="W115" i="1"/>
  <c r="W112" i="1"/>
  <c r="X111" i="1"/>
  <c r="W108" i="1"/>
  <c r="X107" i="1"/>
  <c r="W104" i="1"/>
  <c r="X103" i="1"/>
  <c r="X99" i="1"/>
  <c r="X95" i="1"/>
  <c r="W92" i="1"/>
  <c r="X91" i="1"/>
  <c r="T88" i="1"/>
  <c r="U88" i="1" s="1"/>
  <c r="S88" i="1" s="1"/>
  <c r="W81" i="1"/>
  <c r="W74" i="1"/>
  <c r="X73" i="1"/>
  <c r="T56" i="1"/>
  <c r="U56" i="1" s="1"/>
  <c r="S56" i="1" s="1"/>
  <c r="W49" i="1"/>
  <c r="T46" i="1"/>
  <c r="U46" i="1" s="1"/>
  <c r="S46" i="1" s="1"/>
  <c r="X46" i="1"/>
  <c r="W43" i="1"/>
  <c r="T147" i="1"/>
  <c r="U147" i="1" s="1"/>
  <c r="S147" i="1" s="1"/>
  <c r="T144" i="1"/>
  <c r="U144" i="1" s="1"/>
  <c r="S144" i="1" s="1"/>
  <c r="X144" i="1"/>
  <c r="W142" i="1"/>
  <c r="W140" i="1"/>
  <c r="W138" i="1"/>
  <c r="W136" i="1"/>
  <c r="W134" i="1"/>
  <c r="W132" i="1"/>
  <c r="W130" i="1"/>
  <c r="W128" i="1"/>
  <c r="W126" i="1"/>
  <c r="W124" i="1"/>
  <c r="T121" i="1"/>
  <c r="U121" i="1" s="1"/>
  <c r="S121" i="1" s="1"/>
  <c r="T117" i="1"/>
  <c r="U117" i="1" s="1"/>
  <c r="S117" i="1" s="1"/>
  <c r="T114" i="1"/>
  <c r="U114" i="1" s="1"/>
  <c r="S114" i="1" s="1"/>
  <c r="T110" i="1"/>
  <c r="U110" i="1" s="1"/>
  <c r="S110" i="1" s="1"/>
  <c r="T106" i="1"/>
  <c r="U106" i="1" s="1"/>
  <c r="T102" i="1"/>
  <c r="U102" i="1" s="1"/>
  <c r="S102" i="1" s="1"/>
  <c r="T98" i="1"/>
  <c r="U98" i="1" s="1"/>
  <c r="S98" i="1" s="1"/>
  <c r="T94" i="1"/>
  <c r="U94" i="1" s="1"/>
  <c r="S94" i="1" s="1"/>
  <c r="T90" i="1"/>
  <c r="U90" i="1" s="1"/>
  <c r="S90" i="1" s="1"/>
  <c r="W80" i="1"/>
  <c r="W73" i="1"/>
  <c r="W66" i="1"/>
  <c r="X65" i="1"/>
  <c r="W63" i="1"/>
  <c r="T58" i="1"/>
  <c r="U58" i="1" s="1"/>
  <c r="S58" i="1" s="1"/>
  <c r="X47" i="1"/>
  <c r="T34" i="1"/>
  <c r="U34" i="1" s="1"/>
  <c r="S34" i="1" s="1"/>
  <c r="X34" i="1"/>
  <c r="X35" i="1"/>
  <c r="T84" i="1"/>
  <c r="U84" i="1" s="1"/>
  <c r="S84" i="1" s="1"/>
  <c r="T76" i="1"/>
  <c r="U76" i="1" s="1"/>
  <c r="S76" i="1" s="1"/>
  <c r="T68" i="1"/>
  <c r="U68" i="1" s="1"/>
  <c r="S68" i="1" s="1"/>
  <c r="T60" i="1"/>
  <c r="U60" i="1" s="1"/>
  <c r="S60" i="1" s="1"/>
  <c r="T52" i="1"/>
  <c r="U52" i="1" s="1"/>
  <c r="S52" i="1" s="1"/>
  <c r="T44" i="1"/>
  <c r="U44" i="1" s="1"/>
  <c r="S44" i="1" s="1"/>
  <c r="X44" i="1"/>
  <c r="W37" i="1"/>
  <c r="T86" i="1"/>
  <c r="U86" i="1" s="1"/>
  <c r="S86" i="1" s="1"/>
  <c r="T78" i="1"/>
  <c r="U78" i="1" s="1"/>
  <c r="S78" i="1" s="1"/>
  <c r="T70" i="1"/>
  <c r="U70" i="1" s="1"/>
  <c r="S70" i="1" s="1"/>
  <c r="T62" i="1"/>
  <c r="U62" i="1" s="1"/>
  <c r="S62" i="1" s="1"/>
  <c r="T54" i="1"/>
  <c r="U54" i="1" s="1"/>
  <c r="S54" i="1" s="1"/>
  <c r="W47" i="1"/>
  <c r="W39" i="1"/>
  <c r="W27" i="1"/>
  <c r="W19" i="1"/>
  <c r="W28" i="1"/>
  <c r="W24" i="1"/>
  <c r="W20" i="1"/>
  <c r="W16" i="1"/>
  <c r="W29" i="1"/>
  <c r="W25" i="1"/>
  <c r="W21" i="1"/>
  <c r="AA17" i="1"/>
  <c r="W17" i="1" s="1"/>
  <c r="AA34" i="1"/>
  <c r="W34" i="1" s="1"/>
  <c r="AA33" i="1"/>
  <c r="W33" i="1" s="1"/>
  <c r="AA32" i="1"/>
  <c r="W32" i="1" s="1"/>
  <c r="AA31" i="1"/>
  <c r="W31" i="1" s="1"/>
  <c r="AA30" i="1"/>
  <c r="W30" i="1" s="1"/>
  <c r="AA26" i="1"/>
  <c r="W26" i="1" s="1"/>
  <c r="AA22" i="1"/>
  <c r="W22" i="1" s="1"/>
  <c r="AA18" i="1"/>
  <c r="W18" i="1" s="1"/>
  <c r="AA14" i="1"/>
  <c r="W14" i="1" s="1"/>
  <c r="AD9" i="3"/>
  <c r="AE26" i="3"/>
  <c r="AC26" i="3"/>
  <c r="AE11" i="3"/>
  <c r="AD24" i="3"/>
  <c r="AD26" i="3"/>
  <c r="T24" i="3"/>
  <c r="AC17" i="3"/>
  <c r="AD21" i="3"/>
  <c r="AE20" i="3"/>
  <c r="AE19" i="3"/>
  <c r="AD16" i="3"/>
  <c r="AD13" i="3"/>
  <c r="AE16" i="3"/>
  <c r="AD17" i="3"/>
  <c r="AE12" i="3"/>
  <c r="AC16" i="3"/>
  <c r="AD8" i="3"/>
  <c r="AD19" i="3"/>
  <c r="T13" i="3"/>
  <c r="AC23" i="3"/>
  <c r="AC7" i="3"/>
  <c r="AC27" i="3"/>
  <c r="T25" i="3"/>
  <c r="AC10" i="3"/>
  <c r="AD12" i="3"/>
  <c r="AC21" i="3"/>
  <c r="AD23" i="3"/>
  <c r="T19" i="3"/>
  <c r="AC9" i="3"/>
  <c r="AC14" i="3"/>
  <c r="AD11" i="3"/>
  <c r="T8" i="3"/>
  <c r="Y21" i="3"/>
  <c r="Y26" i="3"/>
  <c r="Y7" i="3"/>
  <c r="Y20" i="3"/>
  <c r="Y24" i="3"/>
  <c r="Y19" i="3"/>
  <c r="Y13" i="3"/>
  <c r="Y25" i="3"/>
  <c r="Y8" i="3"/>
  <c r="Y28" i="3"/>
  <c r="Y18" i="3"/>
  <c r="Y11" i="3"/>
  <c r="Y22" i="3"/>
  <c r="Y12" i="3"/>
  <c r="Y14" i="3"/>
  <c r="Y27" i="3"/>
  <c r="Y17" i="3"/>
  <c r="Y9" i="3"/>
  <c r="Y23" i="3"/>
  <c r="Y10" i="3"/>
  <c r="Y16" i="3"/>
  <c r="AE25" i="3"/>
  <c r="AE10" i="3"/>
  <c r="T12" i="3"/>
  <c r="AD28" i="3"/>
  <c r="AE27" i="3"/>
  <c r="T27" i="3"/>
  <c r="AD25" i="3"/>
  <c r="AE24" i="3"/>
  <c r="T17" i="3"/>
  <c r="AD22" i="3"/>
  <c r="AE21" i="3"/>
  <c r="T9" i="3"/>
  <c r="AD18" i="3"/>
  <c r="AE17" i="3"/>
  <c r="T23" i="3"/>
  <c r="AD14" i="3"/>
  <c r="AE13" i="3"/>
  <c r="T10" i="3"/>
  <c r="AD10" i="3"/>
  <c r="AE9" i="3"/>
  <c r="T16" i="3"/>
  <c r="AE28" i="3"/>
  <c r="T28" i="3"/>
  <c r="T18" i="3"/>
  <c r="AE22" i="3"/>
  <c r="T11" i="3"/>
  <c r="AE18" i="3"/>
  <c r="AE14" i="3"/>
  <c r="T22" i="3"/>
  <c r="AE8" i="3"/>
  <c r="S106" i="1" l="1"/>
  <c r="M15" i="3"/>
  <c r="U15" i="3"/>
  <c r="V15" i="3"/>
  <c r="X15" i="3"/>
  <c r="T15" i="3" l="1"/>
  <c r="AE15" i="3"/>
  <c r="AD15" i="3"/>
  <c r="AC15" i="3"/>
  <c r="W15" i="3"/>
  <c r="Y15" i="3" l="1"/>
  <c r="V13" i="1"/>
  <c r="S15" i="3" s="1"/>
  <c r="M23" i="5" l="1"/>
  <c r="H274" i="4" l="1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M30" i="5" l="1"/>
  <c r="M29" i="5"/>
  <c r="M28" i="5"/>
  <c r="M27" i="5"/>
  <c r="M26" i="5"/>
  <c r="B3" i="6" l="1"/>
  <c r="B5" i="6" l="1"/>
  <c r="D5" i="6" s="1"/>
  <c r="B4" i="6" l="1"/>
  <c r="H3" i="4" l="1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D4" i="6" s="1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G251" i="4"/>
  <c r="G252" i="4"/>
  <c r="G253" i="4"/>
  <c r="G254" i="4"/>
  <c r="G255" i="4"/>
  <c r="G256" i="4"/>
  <c r="G257" i="4"/>
  <c r="G258" i="4"/>
  <c r="G259" i="4"/>
  <c r="G260" i="4"/>
  <c r="N27" i="3" l="1"/>
  <c r="N28" i="3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N21" i="3" s="1"/>
  <c r="G243" i="4"/>
  <c r="G244" i="4"/>
  <c r="G245" i="4"/>
  <c r="G246" i="4"/>
  <c r="G247" i="4"/>
  <c r="G248" i="4"/>
  <c r="G249" i="4"/>
  <c r="K13" i="1" l="1"/>
  <c r="M13" i="1"/>
  <c r="Y13" i="1"/>
  <c r="Z13" i="1"/>
  <c r="AB13" i="1"/>
  <c r="AC13" i="1"/>
  <c r="AD13" i="1"/>
  <c r="X14" i="1" s="1"/>
  <c r="AE13" i="1"/>
  <c r="R15" i="3" s="1"/>
  <c r="AM13" i="1"/>
  <c r="AG13" i="1"/>
  <c r="AI13" i="1" l="1"/>
  <c r="AA13" i="1"/>
  <c r="W13" i="1" s="1"/>
  <c r="T13" i="1"/>
  <c r="U13" i="1" s="1"/>
  <c r="X13" i="1"/>
  <c r="O2" i="3" l="1"/>
  <c r="AO13" i="1" l="1"/>
  <c r="AN13" i="1"/>
  <c r="AD7" i="3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N20" i="3" s="1"/>
  <c r="G13" i="4"/>
  <c r="G14" i="4"/>
  <c r="G15" i="4"/>
  <c r="G16" i="4"/>
  <c r="G17" i="4"/>
  <c r="G18" i="4"/>
  <c r="G19" i="4"/>
  <c r="G20" i="4"/>
  <c r="G21" i="4"/>
  <c r="G22" i="4"/>
  <c r="G23" i="4"/>
  <c r="N16" i="3" s="1"/>
  <c r="G24" i="4"/>
  <c r="G25" i="4"/>
  <c r="G26" i="4"/>
  <c r="G27" i="4"/>
  <c r="G28" i="4"/>
  <c r="N12" i="3" s="1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N10" i="3" s="1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N14" i="3" s="1"/>
  <c r="G93" i="4"/>
  <c r="G94" i="4"/>
  <c r="G95" i="4"/>
  <c r="G96" i="4"/>
  <c r="G97" i="4"/>
  <c r="G98" i="4"/>
  <c r="G99" i="4"/>
  <c r="G100" i="4"/>
  <c r="N13" i="3" s="1"/>
  <c r="G101" i="4"/>
  <c r="G102" i="4"/>
  <c r="G103" i="4"/>
  <c r="G104" i="4"/>
  <c r="G105" i="4"/>
  <c r="G106" i="4"/>
  <c r="G107" i="4"/>
  <c r="G108" i="4"/>
  <c r="N26" i="3" s="1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N9" i="3" s="1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N11" i="3" s="1"/>
  <c r="G140" i="4"/>
  <c r="G141" i="4"/>
  <c r="G142" i="4"/>
  <c r="G143" i="4"/>
  <c r="G144" i="4"/>
  <c r="N19" i="3" s="1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N17" i="3" s="1"/>
  <c r="G180" i="4"/>
  <c r="N18" i="3" s="1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N24" i="3" s="1"/>
  <c r="G213" i="4"/>
  <c r="G214" i="4"/>
  <c r="G215" i="4"/>
  <c r="G216" i="4"/>
  <c r="G217" i="4"/>
  <c r="G218" i="4"/>
  <c r="G219" i="4"/>
  <c r="G220" i="4"/>
  <c r="G221" i="4"/>
  <c r="G222" i="4"/>
  <c r="G223" i="4"/>
  <c r="G2" i="4"/>
  <c r="N7" i="3" l="1"/>
  <c r="N8" i="3"/>
  <c r="N25" i="3"/>
  <c r="N22" i="3"/>
  <c r="N15" i="3"/>
  <c r="N23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V5" i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F4" i="6" l="1"/>
  <c r="G4" i="6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D3" i="6" l="1"/>
  <c r="I5" i="6"/>
  <c r="G5" i="6"/>
  <c r="F5" i="6"/>
  <c r="H5" i="6"/>
  <c r="J5" i="6"/>
  <c r="G3" i="6" l="1"/>
  <c r="F3" i="6"/>
  <c r="H3" i="6"/>
  <c r="I3" i="6"/>
  <c r="J3" i="6"/>
  <c r="B6" i="6"/>
  <c r="D6" i="6" s="1"/>
  <c r="H6" i="6" l="1"/>
  <c r="J6" i="6"/>
  <c r="F6" i="6"/>
  <c r="G6" i="6"/>
  <c r="I6" i="6"/>
  <c r="B7" i="6"/>
  <c r="D7" i="6" s="1"/>
  <c r="B8" i="6" l="1"/>
  <c r="D8" i="6" s="1"/>
  <c r="F7" i="6"/>
  <c r="G7" i="6"/>
  <c r="I7" i="6"/>
  <c r="H7" i="6"/>
  <c r="J7" i="6"/>
  <c r="F8" i="6" l="1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<sst xmlns="http://schemas.openxmlformats.org/spreadsheetml/2006/main" count="2819" uniqueCount="1133">
  <si>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</si>
  <si>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</si>
  <si>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</si>
  <si>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</si>
  <si>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</si>
  <si>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</si>
  <si>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</si>
  <si>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</si>
  <si>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</si>
  <si>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</si>
  <si>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</si>
  <si>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</si>
  <si>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</si>
  <si>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</si>
  <si>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</si>
  <si>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</si>
  <si>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</si>
  <si>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</si>
  <si>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</si>
  <si>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</si>
  <si>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</si>
  <si>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</si>
  <si>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</si>
  <si>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</si>
  <si>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</si>
  <si>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</si>
  <si>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</si>
  <si>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</si>
  <si>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</si>
  <si>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</si>
  <si>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</si>
  <si>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</si>
  <si>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</si>
  <si>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</si>
  <si>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</si>
  <si>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</si>
  <si>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</si>
  <si>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</si>
  <si>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</si>
  <si>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</si>
  <si>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</si>
  <si>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</si>
  <si>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</si>
  <si>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</si>
  <si>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</si>
  <si>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</si>
  <si>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</si>
  <si>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</si>
  <si>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</si>
  <si>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</si>
  <si>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</si>
  <si>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</si>
  <si>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</si>
  <si>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</si>
  <si>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</si>
  <si>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</si>
  <si>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</si>
  <si>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</si>
  <si>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</si>
  <si>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</si>
  <si>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</si>
  <si>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</si>
  <si>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</si>
  <si>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</si>
  <si>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</si>
  <si>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</si>
  <si>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</si>
  <si>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</si>
  <si>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</si>
  <si>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</si>
  <si>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</si>
  <si>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</si>
  <si>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</si>
  <si>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</si>
  <si>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</si>
  <si>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</si>
  <si>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</si>
  <si>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</si>
  <si>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</si>
  <si>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</si>
  <si>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</si>
  <si>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</si>
  <si>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</si>
  <si>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</si>
  <si>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</si>
  <si>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</si>
  <si>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</si>
  <si>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</si>
  <si>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</si>
  <si>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</si>
  <si>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</si>
  <si>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</si>
  <si>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</si>
  <si>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</si>
  <si>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</si>
  <si>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</si>
  <si>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</si>
  <si>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</si>
  <si>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</si>
  <si>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</si>
  <si>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</si>
  <si>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</si>
  <si>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</si>
  <si>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</si>
  <si>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</si>
  <si>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</si>
  <si>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</si>
  <si>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</si>
  <si>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</si>
  <si>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</si>
  <si>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</si>
  <si>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</si>
  <si>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</si>
  <si>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</si>
  <si>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</si>
  <si>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</si>
  <si>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</si>
  <si>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</si>
  <si>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</si>
  <si>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</si>
  <si>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</si>
  <si>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</si>
  <si>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</si>
  <si>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</si>
  <si>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</si>
  <si>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</si>
  <si>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</si>
  <si>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</si>
  <si>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</si>
  <si>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</si>
  <si>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</si>
  <si>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</si>
  <si>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</si>
  <si>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</si>
  <si>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</si>
  <si>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</si>
  <si>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</si>
  <si>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</si>
  <si>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</si>
  <si>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</si>
  <si>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</si>
  <si>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</si>
  <si>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</si>
  <si>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</si>
  <si>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</si>
  <si>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</si>
  <si>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</si>
  <si>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</si>
  <si>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</si>
  <si>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</si>
  <si>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</si>
  <si>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</si>
  <si>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</si>
  <si>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</si>
  <si>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</si>
  <si>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</si>
  <si>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</si>
  <si>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</si>
  <si>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</si>
  <si>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</si>
  <si>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</si>
  <si>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</si>
  <si>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</si>
  <si>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</si>
  <si>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</si>
  <si>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</si>
  <si>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</si>
  <si>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</si>
  <si>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</si>
  <si>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</si>
  <si>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</si>
  <si>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</si>
  <si>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</si>
  <si>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</si>
  <si>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</si>
  <si>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</si>
  <si>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</si>
  <si>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</si>
  <si>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</si>
  <si>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</si>
  <si>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</si>
  <si>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</si>
  <si>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</si>
  <si>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</si>
  <si>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</si>
  <si>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</si>
  <si>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</si>
  <si>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</si>
  <si>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</si>
  <si>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</si>
  <si>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</si>
  <si>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</si>
  <si>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</si>
  <si>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</si>
  <si>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</si>
  <si>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</si>
  <si>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</si>
  <si>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</si>
  <si>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</si>
  <si>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</si>
  <si>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</si>
  <si>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</si>
  <si>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</si>
  <si>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</si>
  <si>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</si>
  <si>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</si>
  <si>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</si>
  <si>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</si>
  <si>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</si>
  <si>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</si>
  <si>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</si>
  <si>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</si>
  <si>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</si>
  <si>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</si>
  <si>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</si>
  <si>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</si>
  <si>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</si>
  <si>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</si>
  <si>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</si>
  <si>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</si>
  <si>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</si>
  <si>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</si>
  <si>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</si>
  <si>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</si>
  <si>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</si>
  <si>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</si>
  <si>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</si>
  <si>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</si>
  <si>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</si>
  <si>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</si>
  <si>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</si>
  <si>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</si>
  <si>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</si>
  <si>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</si>
  <si>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</si>
  <si>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</si>
  <si>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</si>
  <si>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</si>
  <si>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</si>
  <si>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</si>
  <si>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</si>
  <si>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</si>
  <si>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</si>
  <si>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</si>
  <si>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</si>
  <si>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</si>
  <si>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</si>
  <si>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</si>
  <si>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</si>
  <si>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</si>
  <si>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</si>
  <si>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</si>
  <si>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</si>
  <si>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</si>
  <si>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</si>
  <si>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</si>
  <si>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</si>
  <si>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</si>
  <si>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</si>
  <si>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</si>
  <si>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</si>
  <si>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</si>
  <si>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</si>
  <si>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</si>
  <si>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</si>
  <si>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</si>
  <si>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</si>
  <si>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</si>
  <si>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</si>
  <si>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</si>
  <si>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</si>
  <si>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</si>
  <si>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</si>
  <si>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</si>
  <si>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</si>
  <si>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</si>
  <si>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</si>
  <si>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</si>
  <si>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</si>
  <si>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</si>
  <si>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</si>
  <si>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</si>
  <si>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</si>
  <si>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</si>
  <si>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</si>
  <si>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</si>
  <si>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</si>
  <si>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</si>
  <si>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</si>
  <si>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</si>
  <si>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</si>
  <si>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</si>
  <si>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</si>
  <si>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</si>
  <si>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</si>
  <si>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</si>
  <si>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</si>
  <si>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</si>
  <si>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</si>
  <si>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</si>
  <si>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</si>
  <si>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</si>
  <si>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</si>
  <si>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</si>
  <si>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</si>
  <si>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</si>
  <si>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</si>
  <si>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</si>
  <si>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</si>
  <si>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</si>
  <si>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</si>
  <si>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</si>
  <si>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</si>
  <si>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</si>
  <si>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</si>
  <si>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</si>
  <si>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</si>
  <si>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</si>
  <si>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</si>
  <si>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</si>
  <si>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</si>
  <si>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</si>
  <si>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</si>
  <si>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</si>
  <si>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</si>
  <si>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</si>
  <si>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</si>
  <si>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</si>
  <si>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</si>
  <si>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</si>
  <si>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</si>
  <si>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</si>
  <si>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:.+((SYSTEM_STATE.+slice.+state.+changed )|(ment ac)|(multiple cpu faults)|(system.+state.+changed )|(\[timeout)|(PRM\|1\|D)|(kpr)|(kdp)|(train st.+moving)|(\|lc)|(penalty))</t>
  </si>
  <si>
    <t>M - F = 49 trips</t>
  </si>
  <si>
    <t>uvIndex</t>
  </si>
  <si>
    <t>windGust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</si>
  <si>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</si>
  <si>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</si>
  <si>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</si>
  <si>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</si>
  <si>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</si>
  <si>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</si>
  <si>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</si>
  <si>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</si>
  <si>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Early Arrival</t>
  </si>
  <si>
    <t>LOZA</t>
  </si>
  <si>
    <t>FIDEL</t>
  </si>
  <si>
    <t>YORK</t>
  </si>
  <si>
    <t>EDGAR</t>
  </si>
  <si>
    <t>Y</t>
  </si>
  <si>
    <t>Sat - Sun = 36 Trips</t>
  </si>
  <si>
    <t>"Summary View"</t>
  </si>
  <si>
    <t>rtdc.l.rtdc.4055:itc</t>
  </si>
  <si>
    <t>MICHAEL</t>
  </si>
  <si>
    <t>%REDMINEAPIKEY%</t>
  </si>
  <si>
    <t>SIGNAL</t>
  </si>
  <si>
    <t>Signal based authority (5)</t>
  </si>
  <si>
    <t>rtdc.l.rtdc.4008:itc</t>
  </si>
  <si>
    <t>rtdc.l.rtdc.4060:itc</t>
  </si>
  <si>
    <t>LEVIN</t>
  </si>
  <si>
    <t>SCOTT</t>
  </si>
  <si>
    <t>rtdc.l.rtdc.4018:itc</t>
  </si>
  <si>
    <t>rtdc.l.rtdc.4007:itc</t>
  </si>
  <si>
    <t>rtdc.l.rtdc.4017:itc</t>
  </si>
  <si>
    <t>NICHOLSON</t>
  </si>
  <si>
    <t>WESLEY</t>
  </si>
  <si>
    <t>300-20</t>
  </si>
  <si>
    <t>rtdc.l.rtdc.4036:itc</t>
  </si>
  <si>
    <t>rtdc.l.rtdc.4035:itc</t>
  </si>
  <si>
    <t>WILLIAMS</t>
  </si>
  <si>
    <t>partly-cloudy-night</t>
  </si>
  <si>
    <t>THOMPSON</t>
  </si>
  <si>
    <t>rtdc.l.rtdc.4012:itc</t>
  </si>
  <si>
    <t>rtdc.l.rtdc.4011:itc</t>
  </si>
  <si>
    <t>SAFIEF</t>
  </si>
  <si>
    <t>AEIMEN</t>
  </si>
  <si>
    <t>GUZMAN</t>
  </si>
  <si>
    <t>DANNY</t>
  </si>
  <si>
    <t>GUNTHIER</t>
  </si>
  <si>
    <t>ERIC</t>
  </si>
  <si>
    <t>RESPASS</t>
  </si>
  <si>
    <t>AARON</t>
  </si>
  <si>
    <t>MAGEE</t>
  </si>
  <si>
    <t>KENYA</t>
  </si>
  <si>
    <t>ANDREA</t>
  </si>
  <si>
    <t>rtdc.l.rtdc.4062:itc</t>
  </si>
  <si>
    <t>rtdc.l.rtdc.4022:itc</t>
  </si>
  <si>
    <t>rtdc.l.rtdc.4061:itc</t>
  </si>
  <si>
    <t>rtdc.l.rtdc.4029:itc</t>
  </si>
  <si>
    <t>224-31</t>
  </si>
  <si>
    <t>232-31</t>
  </si>
  <si>
    <t>238-31</t>
  </si>
  <si>
    <t>rtdc.l.rtdc.4059:itc</t>
  </si>
  <si>
    <t>rtdc.l.rtdc.4028:itc</t>
  </si>
  <si>
    <t>rtdc.l.rtdc.4030:itc</t>
  </si>
  <si>
    <t>SMITH</t>
  </si>
  <si>
    <t>STAMBAUGH</t>
  </si>
  <si>
    <t>JAMES</t>
  </si>
  <si>
    <t>MOSES</t>
  </si>
  <si>
    <t>BRADLEY</t>
  </si>
  <si>
    <t>214-31</t>
  </si>
  <si>
    <t>839-31</t>
  </si>
  <si>
    <t>301-31</t>
  </si>
  <si>
    <t>216-31</t>
  </si>
  <si>
    <t>906-31</t>
  </si>
  <si>
    <t>221-31</t>
  </si>
  <si>
    <t>218-31</t>
  </si>
  <si>
    <t>841-31</t>
  </si>
  <si>
    <t>303-31</t>
  </si>
  <si>
    <t>223-31</t>
  </si>
  <si>
    <t>220-31</t>
  </si>
  <si>
    <t>840-31</t>
  </si>
  <si>
    <t>305-31</t>
  </si>
  <si>
    <t>222-31</t>
  </si>
  <si>
    <t>843-31</t>
  </si>
  <si>
    <t>225-31</t>
  </si>
  <si>
    <t>842-31</t>
  </si>
  <si>
    <t>227-31</t>
  </si>
  <si>
    <t>229-31</t>
  </si>
  <si>
    <t>226-31</t>
  </si>
  <si>
    <t>845-31</t>
  </si>
  <si>
    <t>231-31</t>
  </si>
  <si>
    <t>228-31</t>
  </si>
  <si>
    <t>844-31</t>
  </si>
  <si>
    <t>233-31</t>
  </si>
  <si>
    <t>230-31</t>
  </si>
  <si>
    <t>847-31</t>
  </si>
  <si>
    <t>235-31</t>
  </si>
  <si>
    <t>846-31</t>
  </si>
  <si>
    <t>237-31</t>
  </si>
  <si>
    <t>234-31</t>
  </si>
  <si>
    <t>849-31</t>
  </si>
  <si>
    <t>239-31</t>
  </si>
  <si>
    <t>236-31</t>
  </si>
  <si>
    <t>908-31</t>
  </si>
  <si>
    <t>241-31</t>
  </si>
  <si>
    <t>240-31</t>
  </si>
  <si>
    <t>243-31</t>
  </si>
  <si>
    <t>313-31</t>
  </si>
  <si>
    <t>242-31</t>
  </si>
  <si>
    <t>307-31</t>
  </si>
  <si>
    <t>244-31</t>
  </si>
  <si>
    <t>309-31</t>
  </si>
  <si>
    <t>311-31</t>
  </si>
  <si>
    <t>204:232977</t>
  </si>
  <si>
    <t>204:236</t>
  </si>
  <si>
    <t>204:214</t>
  </si>
  <si>
    <t>204:517</t>
  </si>
  <si>
    <t>204:207</t>
  </si>
  <si>
    <t>204:232938</t>
  </si>
  <si>
    <t>204:506</t>
  </si>
  <si>
    <t>rtdc.l.rtdc.4009:itc</t>
  </si>
  <si>
    <t>rtdc.l.rtdc.4010:itc</t>
  </si>
  <si>
    <t>precipType</t>
  </si>
  <si>
    <t>rain</t>
  </si>
  <si>
    <t>204:519</t>
  </si>
  <si>
    <t>204:537</t>
  </si>
  <si>
    <t>rtdc.l.rtdc.4049:itc</t>
  </si>
  <si>
    <t>rtdc.l.rtdc.4050:itc</t>
  </si>
  <si>
    <t>AUSTIN</t>
  </si>
  <si>
    <t>204:528</t>
  </si>
  <si>
    <t>204:233261</t>
  </si>
  <si>
    <t>204:229</t>
  </si>
  <si>
    <t>TRACK WARRANT AUTHORITY</t>
  </si>
  <si>
    <t>Form based authority (4)</t>
  </si>
  <si>
    <t>rtdc.l.rtdc.4042:itc</t>
  </si>
  <si>
    <t>204:233276</t>
  </si>
  <si>
    <t>204:233259</t>
  </si>
  <si>
    <t>204:227</t>
  </si>
  <si>
    <t>204:533</t>
  </si>
  <si>
    <t>300:23316</t>
  </si>
  <si>
    <t>SWITCH UNKNOWN</t>
  </si>
  <si>
    <t>Track device (7)</t>
  </si>
  <si>
    <t>rtdc.l.rtdc.4052:itc</t>
  </si>
  <si>
    <t>rtdc.l.rtdc.4024:itc</t>
  </si>
  <si>
    <t>rtdc.l.rtdc.4004:itc</t>
  </si>
  <si>
    <t>rtdc.l.rtdc.4023:itc</t>
  </si>
  <si>
    <t>243-08</t>
  </si>
  <si>
    <t>rtdc.l.rtdc.4051:itc</t>
  </si>
  <si>
    <t>LOPES</t>
  </si>
  <si>
    <t>KIMBERLY</t>
  </si>
  <si>
    <t>MCREYNOLDS</t>
  </si>
  <si>
    <t>KYLE</t>
  </si>
  <si>
    <t>240-08</t>
  </si>
  <si>
    <t>313-08</t>
  </si>
  <si>
    <t>242-08</t>
  </si>
  <si>
    <t>307-08</t>
  </si>
  <si>
    <t>244-08</t>
  </si>
  <si>
    <t>309-08</t>
  </si>
  <si>
    <t>311-08</t>
  </si>
  <si>
    <t>Partly Cloudy</t>
  </si>
  <si>
    <t>clear-day</t>
  </si>
  <si>
    <t>Clear</t>
  </si>
  <si>
    <t>clear-night</t>
  </si>
  <si>
    <t>204:198</t>
  </si>
  <si>
    <t>204:233270</t>
  </si>
  <si>
    <t>204:232</t>
  </si>
  <si>
    <t>204:232981</t>
  </si>
  <si>
    <t>204:524</t>
  </si>
  <si>
    <t>204:242</t>
  </si>
  <si>
    <t>204:233251</t>
  </si>
  <si>
    <t>204:233266</t>
  </si>
  <si>
    <t>204:232953</t>
  </si>
  <si>
    <t>204:232898</t>
  </si>
  <si>
    <t>300:58645</t>
  </si>
  <si>
    <t>300:58922</t>
  </si>
  <si>
    <t>rtdc.l.rtdc.4015:itc</t>
  </si>
  <si>
    <t>ELBAUM</t>
  </si>
  <si>
    <t>MIKE</t>
  </si>
  <si>
    <t>MAELZER</t>
  </si>
  <si>
    <t>KURT</t>
  </si>
  <si>
    <t>DONTE</t>
  </si>
  <si>
    <t>MACDONALD</t>
  </si>
  <si>
    <t>THOMAS</t>
  </si>
  <si>
    <t>BIRENBAUM</t>
  </si>
  <si>
    <t>BADERTSCHER</t>
  </si>
  <si>
    <t>DIANE</t>
  </si>
  <si>
    <t>DAVID</t>
  </si>
  <si>
    <t>204:233280</t>
  </si>
  <si>
    <t>204:477</t>
  </si>
  <si>
    <t>204:169</t>
  </si>
  <si>
    <t>204:233274</t>
  </si>
  <si>
    <t>204:200</t>
  </si>
  <si>
    <t>204:233264</t>
  </si>
  <si>
    <t>204:233249</t>
  </si>
  <si>
    <t>204:502</t>
  </si>
  <si>
    <t>204:522</t>
  </si>
  <si>
    <t>204:223</t>
  </si>
  <si>
    <t>204:232930</t>
  </si>
  <si>
    <t>204:488</t>
  </si>
  <si>
    <t>204:232959</t>
  </si>
  <si>
    <t>204:191</t>
  </si>
  <si>
    <t>300:58619</t>
  </si>
  <si>
    <t>204:497</t>
  </si>
  <si>
    <t>204:218</t>
  </si>
  <si>
    <t>300:58643</t>
  </si>
  <si>
    <t>204:551</t>
  </si>
  <si>
    <t>300:58931</t>
  </si>
  <si>
    <t>204:232921</t>
  </si>
  <si>
    <t>204:249</t>
  </si>
  <si>
    <t>204:553</t>
  </si>
  <si>
    <t>204:573</t>
  </si>
  <si>
    <t>rtdc.l.rtdc.4019:itc</t>
  </si>
  <si>
    <t>rtdc.l.rtdc.4040:itc</t>
  </si>
  <si>
    <t>rtdc.l.rtdc.4020:itc</t>
  </si>
  <si>
    <t>rtdc.l.rtdc.4027:itc</t>
  </si>
  <si>
    <t>rtdc.l.rtdc.4013:itc</t>
  </si>
  <si>
    <t>SPECTOR</t>
  </si>
  <si>
    <t>rtdc.l.rtdc.4039:itc</t>
  </si>
  <si>
    <t>BARRON</t>
  </si>
  <si>
    <t>PERLA</t>
  </si>
  <si>
    <t>DAVIDSON</t>
  </si>
  <si>
    <t>YANAI</t>
  </si>
  <si>
    <t>IAN</t>
  </si>
  <si>
    <t>rtdc.l.rtdc.4014:itc</t>
  </si>
  <si>
    <t>STARKS</t>
  </si>
  <si>
    <t>ANGELINA</t>
  </si>
  <si>
    <t>LEVERE</t>
  </si>
  <si>
    <t>CRAIG</t>
  </si>
  <si>
    <t>STRICKLAND</t>
  </si>
  <si>
    <t>EVAN</t>
  </si>
  <si>
    <t>rtdc.l.rtdc.4065:itc</t>
  </si>
  <si>
    <t>204:232965</t>
  </si>
  <si>
    <t>204:158</t>
  </si>
  <si>
    <t>204:233293</t>
  </si>
  <si>
    <t>204:233291</t>
  </si>
  <si>
    <t>204:232970</t>
  </si>
  <si>
    <t>204:220</t>
  </si>
  <si>
    <t>204:205</t>
  </si>
  <si>
    <t>204:462</t>
  </si>
  <si>
    <t>204:233300</t>
  </si>
  <si>
    <t>204:484</t>
  </si>
  <si>
    <t>204:232979</t>
  </si>
  <si>
    <t>204:211</t>
  </si>
  <si>
    <t>204:233253</t>
  </si>
  <si>
    <t>204:520</t>
  </si>
  <si>
    <t>204:245</t>
  </si>
  <si>
    <t>204:189</t>
  </si>
  <si>
    <t>204:233295</t>
  </si>
  <si>
    <t>204:232978</t>
  </si>
  <si>
    <t>204:196</t>
  </si>
  <si>
    <t>204:544</t>
  </si>
  <si>
    <t>204:495</t>
  </si>
  <si>
    <t>204:526</t>
  </si>
  <si>
    <t>204:233197</t>
  </si>
  <si>
    <t>204:513</t>
  </si>
  <si>
    <t>204:265</t>
  </si>
  <si>
    <t>204:539</t>
  </si>
  <si>
    <t>204:233195</t>
  </si>
  <si>
    <t>204:232873</t>
  </si>
  <si>
    <t>204:238</t>
  </si>
  <si>
    <t>204:559</t>
  </si>
  <si>
    <t>204:269</t>
  </si>
  <si>
    <t>204:233216</t>
  </si>
  <si>
    <t>204:233218</t>
  </si>
  <si>
    <t>204:232929</t>
  </si>
  <si>
    <t>204:531</t>
  </si>
  <si>
    <t>204:234</t>
  </si>
  <si>
    <t>204:564</t>
  </si>
  <si>
    <t>204:256</t>
  </si>
  <si>
    <t>204:232943</t>
  </si>
  <si>
    <t>204:232925</t>
  </si>
  <si>
    <t>204:212</t>
  </si>
  <si>
    <t>300:23346</t>
  </si>
  <si>
    <t>204:3215</t>
  </si>
  <si>
    <t>204:1175</t>
  </si>
  <si>
    <t>204:923</t>
  </si>
  <si>
    <t>300:58609</t>
  </si>
  <si>
    <t>204:1063</t>
  </si>
  <si>
    <t>300:58926</t>
  </si>
  <si>
    <t>300:58608</t>
  </si>
  <si>
    <t>300:58611</t>
  </si>
  <si>
    <t>204:769</t>
  </si>
  <si>
    <t>300:58956</t>
  </si>
  <si>
    <t>300:58632</t>
  </si>
  <si>
    <t>204:1049</t>
  </si>
  <si>
    <t>204:761</t>
  </si>
  <si>
    <t>204:1025</t>
  </si>
  <si>
    <t>300:58946</t>
  </si>
  <si>
    <t>300:58638</t>
  </si>
  <si>
    <t>300:58630</t>
  </si>
  <si>
    <t>204:717</t>
  </si>
  <si>
    <t>300:58623</t>
  </si>
  <si>
    <t>204:803</t>
  </si>
  <si>
    <t>300:58604</t>
  </si>
  <si>
    <t>300:58626</t>
  </si>
  <si>
    <t>204:988</t>
  </si>
  <si>
    <t>300:58965</t>
  </si>
  <si>
    <t>300:58624</t>
  </si>
  <si>
    <t>204:1060</t>
  </si>
  <si>
    <t>Poor GPS at DUS</t>
  </si>
  <si>
    <t>Wi-MAX data drop</t>
  </si>
  <si>
    <t>rtdc.l.rtdc.4066:itc</t>
  </si>
  <si>
    <t>101-17</t>
  </si>
  <si>
    <t>103-17</t>
  </si>
  <si>
    <t>109-17</t>
  </si>
  <si>
    <t>rtdc.l.rtdc.4041:itc</t>
  </si>
  <si>
    <t>108-17</t>
  </si>
  <si>
    <t>126-17</t>
  </si>
  <si>
    <t>138-17</t>
  </si>
  <si>
    <t>815-17</t>
  </si>
  <si>
    <t>150-17</t>
  </si>
  <si>
    <t>816-17</t>
  </si>
  <si>
    <t>159-17</t>
  </si>
  <si>
    <t>818-17</t>
  </si>
  <si>
    <t>170-17</t>
  </si>
  <si>
    <t>187-17</t>
  </si>
  <si>
    <t>186-17</t>
  </si>
  <si>
    <t>826-17</t>
  </si>
  <si>
    <t>204-17</t>
  </si>
  <si>
    <t>211-17</t>
  </si>
  <si>
    <t>840-17</t>
  </si>
  <si>
    <t>239-17</t>
  </si>
  <si>
    <t>307-17</t>
  </si>
  <si>
    <t>307-16</t>
  </si>
  <si>
    <t>244-16</t>
  </si>
  <si>
    <t>309-16</t>
  </si>
  <si>
    <t>311-16</t>
  </si>
  <si>
    <t>300-17</t>
  </si>
  <si>
    <t>51-17</t>
  </si>
  <si>
    <t>302-17</t>
  </si>
  <si>
    <t>50-17</t>
  </si>
  <si>
    <t>304-17</t>
  </si>
  <si>
    <t>102-17</t>
  </si>
  <si>
    <t>306-17</t>
  </si>
  <si>
    <t>105-17</t>
  </si>
  <si>
    <t>308-17</t>
  </si>
  <si>
    <t>HUFFSMITH</t>
  </si>
  <si>
    <t>MONTY</t>
  </si>
  <si>
    <t>107-17</t>
  </si>
  <si>
    <t>104-17</t>
  </si>
  <si>
    <t>901-17</t>
  </si>
  <si>
    <t>310-17</t>
  </si>
  <si>
    <t>800-17</t>
  </si>
  <si>
    <t>111-17</t>
  </si>
  <si>
    <t>106-17</t>
  </si>
  <si>
    <t>113-17</t>
  </si>
  <si>
    <t>rtdc.l.rtdc.4063:itc</t>
  </si>
  <si>
    <t>312-17</t>
  </si>
  <si>
    <t>115-17</t>
  </si>
  <si>
    <t>110-17</t>
  </si>
  <si>
    <t>801-17</t>
  </si>
  <si>
    <t>112-17</t>
  </si>
  <si>
    <t>rtdc.l.rtdc.4064:itc</t>
  </si>
  <si>
    <t>117-17</t>
  </si>
  <si>
    <t>902-17</t>
  </si>
  <si>
    <t>119-17</t>
  </si>
  <si>
    <t>802-17</t>
  </si>
  <si>
    <t>803-17</t>
  </si>
  <si>
    <t>114-17</t>
  </si>
  <si>
    <t>121-17</t>
  </si>
  <si>
    <t>116-17</t>
  </si>
  <si>
    <t>123-17</t>
  </si>
  <si>
    <t>PAGE</t>
  </si>
  <si>
    <t>MARCUS</t>
  </si>
  <si>
    <t>118-17</t>
  </si>
  <si>
    <t>804-17</t>
  </si>
  <si>
    <t>125-17</t>
  </si>
  <si>
    <t>805-17</t>
  </si>
  <si>
    <t>122-17</t>
  </si>
  <si>
    <t>120-17</t>
  </si>
  <si>
    <t>127-17</t>
  </si>
  <si>
    <t>806-17</t>
  </si>
  <si>
    <t>807-17</t>
  </si>
  <si>
    <t>LANGERAK</t>
  </si>
  <si>
    <t>WILLIAM</t>
  </si>
  <si>
    <t>129-17</t>
  </si>
  <si>
    <t>124-17</t>
  </si>
  <si>
    <t>131-17</t>
  </si>
  <si>
    <t>808-17</t>
  </si>
  <si>
    <t>809-17</t>
  </si>
  <si>
    <t>133-17</t>
  </si>
  <si>
    <t>135-17</t>
  </si>
  <si>
    <t>128-17</t>
  </si>
  <si>
    <t>130-17</t>
  </si>
  <si>
    <t>810-17</t>
  </si>
  <si>
    <t>811-17</t>
  </si>
  <si>
    <t>137-17</t>
  </si>
  <si>
    <t>132-17</t>
  </si>
  <si>
    <t>139-17</t>
  </si>
  <si>
    <t>812-17</t>
  </si>
  <si>
    <t>903-17</t>
  </si>
  <si>
    <t>134-17</t>
  </si>
  <si>
    <t>141-17</t>
  </si>
  <si>
    <t>136-17</t>
  </si>
  <si>
    <t>143-17</t>
  </si>
  <si>
    <t>813-17</t>
  </si>
  <si>
    <t>140-17</t>
  </si>
  <si>
    <t>145-17</t>
  </si>
  <si>
    <t>147-17</t>
  </si>
  <si>
    <t>814-17</t>
  </si>
  <si>
    <t>149-17</t>
  </si>
  <si>
    <t>142-17</t>
  </si>
  <si>
    <t>144-17</t>
  </si>
  <si>
    <t>146-17</t>
  </si>
  <si>
    <t>151-17</t>
  </si>
  <si>
    <t>153-17</t>
  </si>
  <si>
    <t>148-17</t>
  </si>
  <si>
    <t>BEAM</t>
  </si>
  <si>
    <t>ROSS</t>
  </si>
  <si>
    <t>155-17</t>
  </si>
  <si>
    <t>52-17</t>
  </si>
  <si>
    <t>157-17</t>
  </si>
  <si>
    <t>58-17</t>
  </si>
  <si>
    <t>152-17</t>
  </si>
  <si>
    <t>817-17</t>
  </si>
  <si>
    <t>154-17</t>
  </si>
  <si>
    <t>161-17</t>
  </si>
  <si>
    <t>156-17</t>
  </si>
  <si>
    <t>163-17</t>
  </si>
  <si>
    <t>NEWELL</t>
  </si>
  <si>
    <t>59-17</t>
  </si>
  <si>
    <t>158-17</t>
  </si>
  <si>
    <t>160-17</t>
  </si>
  <si>
    <t>165-17</t>
  </si>
  <si>
    <t>DE LA ROSA</t>
  </si>
  <si>
    <t>ALEX</t>
  </si>
  <si>
    <t>167-17</t>
  </si>
  <si>
    <t>FORTUNATO</t>
  </si>
  <si>
    <t>FRANK</t>
  </si>
  <si>
    <t>162-17</t>
  </si>
  <si>
    <t>819-17</t>
  </si>
  <si>
    <t>164-17</t>
  </si>
  <si>
    <t>169-17</t>
  </si>
  <si>
    <t>820-17</t>
  </si>
  <si>
    <t>171-17</t>
  </si>
  <si>
    <t>166-17</t>
  </si>
  <si>
    <t>173-17</t>
  </si>
  <si>
    <t>HOLCOMB</t>
  </si>
  <si>
    <t>KAMDEN</t>
  </si>
  <si>
    <t>168-17</t>
  </si>
  <si>
    <t>175-17</t>
  </si>
  <si>
    <t>821-17</t>
  </si>
  <si>
    <t>BERLING</t>
  </si>
  <si>
    <t>GARY</t>
  </si>
  <si>
    <t>177-17</t>
  </si>
  <si>
    <t>BRUDER</t>
  </si>
  <si>
    <t>RICHARD</t>
  </si>
  <si>
    <t>172-17</t>
  </si>
  <si>
    <t>179-17</t>
  </si>
  <si>
    <t>822-17</t>
  </si>
  <si>
    <t>174-17</t>
  </si>
  <si>
    <t>176-17</t>
  </si>
  <si>
    <t>181-17</t>
  </si>
  <si>
    <t>183-17</t>
  </si>
  <si>
    <t>DELGADO</t>
  </si>
  <si>
    <t>DIANAH</t>
  </si>
  <si>
    <t>823-17</t>
  </si>
  <si>
    <t>178-17</t>
  </si>
  <si>
    <t>185-17</t>
  </si>
  <si>
    <t>180-17</t>
  </si>
  <si>
    <t>182-17</t>
  </si>
  <si>
    <t>824-17</t>
  </si>
  <si>
    <t>189-17</t>
  </si>
  <si>
    <t>184-17</t>
  </si>
  <si>
    <t>191-17</t>
  </si>
  <si>
    <t>WEST</t>
  </si>
  <si>
    <t>BRYAN</t>
  </si>
  <si>
    <t>825-17</t>
  </si>
  <si>
    <t>193-17</t>
  </si>
  <si>
    <t>904-17</t>
  </si>
  <si>
    <t>188-17</t>
  </si>
  <si>
    <t>195-17</t>
  </si>
  <si>
    <t>827-17</t>
  </si>
  <si>
    <t>190-17</t>
  </si>
  <si>
    <t>197-17</t>
  </si>
  <si>
    <t>192-17</t>
  </si>
  <si>
    <t>199-17</t>
  </si>
  <si>
    <t>828-17</t>
  </si>
  <si>
    <t>194-17</t>
  </si>
  <si>
    <t>829-17</t>
  </si>
  <si>
    <t>201-17</t>
  </si>
  <si>
    <t>196-17</t>
  </si>
  <si>
    <t>203-17</t>
  </si>
  <si>
    <t>77-17</t>
  </si>
  <si>
    <t>830-17</t>
  </si>
  <si>
    <t>831-17</t>
  </si>
  <si>
    <t>205-17</t>
  </si>
  <si>
    <t>75-17</t>
  </si>
  <si>
    <t>198-17</t>
  </si>
  <si>
    <t>200-17</t>
  </si>
  <si>
    <t>832-17</t>
  </si>
  <si>
    <t>207-17</t>
  </si>
  <si>
    <t>833-17</t>
  </si>
  <si>
    <t>202-17</t>
  </si>
  <si>
    <t>209-17</t>
  </si>
  <si>
    <t>206-17</t>
  </si>
  <si>
    <t>834-17</t>
  </si>
  <si>
    <t>835-17</t>
  </si>
  <si>
    <t>74-17</t>
  </si>
  <si>
    <t>213-17</t>
  </si>
  <si>
    <t>208-17</t>
  </si>
  <si>
    <t>210-17</t>
  </si>
  <si>
    <t>215-17</t>
  </si>
  <si>
    <t>ZEWDU</t>
  </si>
  <si>
    <t>DEREJE</t>
  </si>
  <si>
    <t>836-17</t>
  </si>
  <si>
    <t>837-17</t>
  </si>
  <si>
    <t>GONZALEZ</t>
  </si>
  <si>
    <t>ARMANDO</t>
  </si>
  <si>
    <t>217-17</t>
  </si>
  <si>
    <t>212-17</t>
  </si>
  <si>
    <t>214-17</t>
  </si>
  <si>
    <t>839-17</t>
  </si>
  <si>
    <t>838-17</t>
  </si>
  <si>
    <t>79-17</t>
  </si>
  <si>
    <t>219-17</t>
  </si>
  <si>
    <t>216-17</t>
  </si>
  <si>
    <t>301-17</t>
  </si>
  <si>
    <t>906-17</t>
  </si>
  <si>
    <t>221-17</t>
  </si>
  <si>
    <t>HAMMOND</t>
  </si>
  <si>
    <t>JUSTYNN</t>
  </si>
  <si>
    <t>218-17</t>
  </si>
  <si>
    <t>841-17</t>
  </si>
  <si>
    <t>303-17</t>
  </si>
  <si>
    <t>220-17</t>
  </si>
  <si>
    <t>223-17</t>
  </si>
  <si>
    <t>222-17</t>
  </si>
  <si>
    <t>225-17</t>
  </si>
  <si>
    <t>843-17</t>
  </si>
  <si>
    <t>227-17</t>
  </si>
  <si>
    <t>224-17</t>
  </si>
  <si>
    <t>842-17</t>
  </si>
  <si>
    <t>ANDERS</t>
  </si>
  <si>
    <t>STEVEN</t>
  </si>
  <si>
    <t>226-17</t>
  </si>
  <si>
    <t>229-17</t>
  </si>
  <si>
    <t>845-17</t>
  </si>
  <si>
    <t>231-17</t>
  </si>
  <si>
    <t>228-17</t>
  </si>
  <si>
    <t>844-17</t>
  </si>
  <si>
    <t>rtdc.l.rtdc.4016:itc</t>
  </si>
  <si>
    <t>233-17</t>
  </si>
  <si>
    <t>230-17</t>
  </si>
  <si>
    <t>847-17</t>
  </si>
  <si>
    <t>235-17</t>
  </si>
  <si>
    <t>232-17</t>
  </si>
  <si>
    <t>846-17</t>
  </si>
  <si>
    <t>237-17</t>
  </si>
  <si>
    <t>234-17</t>
  </si>
  <si>
    <t>849-17</t>
  </si>
  <si>
    <t>236-17</t>
  </si>
  <si>
    <t>908-17</t>
  </si>
  <si>
    <t>241-17</t>
  </si>
  <si>
    <t>238-17</t>
  </si>
  <si>
    <t>240-17</t>
  </si>
  <si>
    <t>243-17</t>
  </si>
  <si>
    <t>242-17</t>
  </si>
  <si>
    <t>245-17</t>
  </si>
  <si>
    <t>244-17</t>
  </si>
  <si>
    <t>246-17</t>
  </si>
  <si>
    <t>309-17</t>
  </si>
  <si>
    <t>311-17</t>
  </si>
  <si>
    <t>313-17</t>
  </si>
  <si>
    <t>precipAccumulation</t>
  </si>
  <si>
    <t>Light Rain</t>
  </si>
  <si>
    <t>snow</t>
  </si>
  <si>
    <t>204:825</t>
  </si>
  <si>
    <t>204:2005</t>
  </si>
  <si>
    <t>204:19140</t>
  </si>
  <si>
    <t>204:233302</t>
  </si>
  <si>
    <t>204:154</t>
  </si>
  <si>
    <t>204:126813</t>
  </si>
  <si>
    <t>204:128275</t>
  </si>
  <si>
    <t>204:132224</t>
  </si>
  <si>
    <t>204:233023</t>
  </si>
  <si>
    <t>204:232957</t>
  </si>
  <si>
    <t>204:231</t>
  </si>
  <si>
    <t>204:232932</t>
  </si>
  <si>
    <t>204:437</t>
  </si>
  <si>
    <t>204:232934</t>
  </si>
  <si>
    <t>204:127</t>
  </si>
  <si>
    <t>204:458</t>
  </si>
  <si>
    <t>204:232974</t>
  </si>
  <si>
    <t>204:145</t>
  </si>
  <si>
    <t>204:584</t>
  </si>
  <si>
    <t>204:233209</t>
  </si>
  <si>
    <t>204:232892</t>
  </si>
  <si>
    <t>204:233285</t>
  </si>
  <si>
    <t>204:232989</t>
  </si>
  <si>
    <t>204:170</t>
  </si>
  <si>
    <t>204:442</t>
  </si>
  <si>
    <t>204:233326</t>
  </si>
  <si>
    <t>204:233017</t>
  </si>
  <si>
    <t>204:203</t>
  </si>
  <si>
    <t>204:233243</t>
  </si>
  <si>
    <t>204:149</t>
  </si>
  <si>
    <t>204:426</t>
  </si>
  <si>
    <t>204:232949</t>
  </si>
  <si>
    <t>204:453</t>
  </si>
  <si>
    <t>204:546</t>
  </si>
  <si>
    <t>204:194</t>
  </si>
  <si>
    <t>204:233298</t>
  </si>
  <si>
    <t>204:232987</t>
  </si>
  <si>
    <t>204:221</t>
  </si>
  <si>
    <t>204:457</t>
  </si>
  <si>
    <t>204:233196</t>
  </si>
  <si>
    <t>204:232881</t>
  </si>
  <si>
    <t>204:216</t>
  </si>
  <si>
    <t>204:232968</t>
  </si>
  <si>
    <t>204:176</t>
  </si>
  <si>
    <t>204:557</t>
  </si>
  <si>
    <t>204:233201</t>
  </si>
  <si>
    <t>204:232884</t>
  </si>
  <si>
    <t>204:233338</t>
  </si>
  <si>
    <t>204:233314</t>
  </si>
  <si>
    <t>204:232986</t>
  </si>
  <si>
    <t>204:233268</t>
  </si>
  <si>
    <t>204:233247</t>
  </si>
  <si>
    <t>204:440</t>
  </si>
  <si>
    <t>204:515</t>
  </si>
  <si>
    <t>204:243</t>
  </si>
  <si>
    <t>204:464</t>
  </si>
  <si>
    <t>204:233178</t>
  </si>
  <si>
    <t>204:233315</t>
  </si>
  <si>
    <t>204:233008</t>
  </si>
  <si>
    <t>204:498</t>
  </si>
  <si>
    <t>204:232919</t>
  </si>
  <si>
    <t>204:233193</t>
  </si>
  <si>
    <t>204:282</t>
  </si>
  <si>
    <t>204:233220</t>
  </si>
  <si>
    <t>204:471</t>
  </si>
  <si>
    <t>204:232879</t>
  </si>
  <si>
    <t>204:232946</t>
  </si>
  <si>
    <t>204:233283</t>
  </si>
  <si>
    <t>204:313</t>
  </si>
  <si>
    <t>204:601</t>
  </si>
  <si>
    <t>204:233205</t>
  </si>
  <si>
    <t>204:233219</t>
  </si>
  <si>
    <t>204:232894</t>
  </si>
  <si>
    <t>204:232867</t>
  </si>
  <si>
    <t>204:460</t>
  </si>
  <si>
    <t>204:233312</t>
  </si>
  <si>
    <t>204:233000</t>
  </si>
  <si>
    <t>204:160</t>
  </si>
  <si>
    <t>204:619</t>
  </si>
  <si>
    <t>204:233207</t>
  </si>
  <si>
    <t>204:232888</t>
  </si>
  <si>
    <t>204:233223</t>
  </si>
  <si>
    <t>204:232907</t>
  </si>
  <si>
    <t>204:228641</t>
  </si>
  <si>
    <t>204:127866</t>
  </si>
  <si>
    <t>204:1064</t>
  </si>
  <si>
    <t>204:233200</t>
  </si>
  <si>
    <t>204:232874</t>
  </si>
  <si>
    <t>204:451</t>
  </si>
  <si>
    <t>204:233311</t>
  </si>
  <si>
    <t>204:240</t>
  </si>
  <si>
    <t>204:233234</t>
  </si>
  <si>
    <t>204:233229</t>
  </si>
  <si>
    <t>204:232909</t>
  </si>
  <si>
    <t>204:1233</t>
  </si>
  <si>
    <t>204:113</t>
  </si>
  <si>
    <t>204:232863</t>
  </si>
  <si>
    <t>204:119</t>
  </si>
  <si>
    <t>204:549</t>
  </si>
  <si>
    <t>204:233322</t>
  </si>
  <si>
    <t>204:232971</t>
  </si>
  <si>
    <t>204:1650</t>
  </si>
  <si>
    <t>204:233332</t>
  </si>
  <si>
    <t>204:233281</t>
  </si>
  <si>
    <t>204:535</t>
  </si>
  <si>
    <t>204:233168</t>
  </si>
  <si>
    <t>204:232852</t>
  </si>
  <si>
    <t>204:233203</t>
  </si>
  <si>
    <t>204:127860</t>
  </si>
  <si>
    <t>204:232871</t>
  </si>
  <si>
    <t>204:233241</t>
  </si>
  <si>
    <t>204:232952</t>
  </si>
  <si>
    <t>204:233257</t>
  </si>
  <si>
    <t>204:232951</t>
  </si>
  <si>
    <t>204:233159</t>
  </si>
  <si>
    <t>204:540</t>
  </si>
  <si>
    <t>204:232976</t>
  </si>
  <si>
    <t>204:232885</t>
  </si>
  <si>
    <t>204:232947</t>
  </si>
  <si>
    <t>300:19410</t>
  </si>
  <si>
    <t>204:185</t>
  </si>
  <si>
    <t>204:448</t>
  </si>
  <si>
    <t>300:23499</t>
  </si>
  <si>
    <t>300:21782</t>
  </si>
  <si>
    <t>300:22646</t>
  </si>
  <si>
    <t>300:23521</t>
  </si>
  <si>
    <t>204:136</t>
  </si>
  <si>
    <t>300:23314</t>
  </si>
  <si>
    <t>300:23648</t>
  </si>
  <si>
    <t>204:566</t>
  </si>
  <si>
    <t>300:23306</t>
  </si>
  <si>
    <t>300:23769</t>
  </si>
  <si>
    <t>204:134</t>
  </si>
  <si>
    <t>204:3432</t>
  </si>
  <si>
    <t>204:449</t>
  </si>
  <si>
    <t>204:3740</t>
  </si>
  <si>
    <t>204:1498</t>
  </si>
  <si>
    <t>204:3398</t>
  </si>
  <si>
    <t>204:3073</t>
  </si>
  <si>
    <t>300:20201</t>
  </si>
  <si>
    <t>204:468</t>
  </si>
  <si>
    <t>300:24290</t>
  </si>
  <si>
    <t>300:23642</t>
  </si>
  <si>
    <t>204:1014</t>
  </si>
  <si>
    <t>300:5093</t>
  </si>
  <si>
    <t>204:1192</t>
  </si>
  <si>
    <t>204:1339</t>
  </si>
  <si>
    <t>300:5394</t>
  </si>
  <si>
    <t>204:1244</t>
  </si>
  <si>
    <t>300:23297</t>
  </si>
  <si>
    <t>204:446</t>
  </si>
  <si>
    <t>300:23302</t>
  </si>
  <si>
    <t>204:1148</t>
  </si>
  <si>
    <t>204:1241</t>
  </si>
  <si>
    <t>204:1162</t>
  </si>
  <si>
    <t>204:3518</t>
  </si>
  <si>
    <t>204:1173</t>
  </si>
  <si>
    <t>204:3542</t>
  </si>
  <si>
    <t>204:430</t>
  </si>
  <si>
    <t>204:993</t>
  </si>
  <si>
    <t>204:687</t>
  </si>
  <si>
    <t>204:1058</t>
  </si>
  <si>
    <t>300:58943</t>
  </si>
  <si>
    <t>204:712</t>
  </si>
  <si>
    <t>204:1088</t>
  </si>
  <si>
    <t>300:58634</t>
  </si>
  <si>
    <t>204:752</t>
  </si>
  <si>
    <t>204:1385</t>
  </si>
  <si>
    <t>204:759</t>
  </si>
  <si>
    <t>204:1048</t>
  </si>
  <si>
    <t>204:771</t>
  </si>
  <si>
    <t>300:58952</t>
  </si>
  <si>
    <t>204:4556</t>
  </si>
  <si>
    <t>204:1090</t>
  </si>
  <si>
    <t>204:780</t>
  </si>
  <si>
    <t>204:1055</t>
  </si>
  <si>
    <t>204:747</t>
  </si>
  <si>
    <t>300:58660</t>
  </si>
  <si>
    <t>204:755</t>
  </si>
  <si>
    <t>300:58977</t>
  </si>
  <si>
    <t>300:58661</t>
  </si>
  <si>
    <t>204:171</t>
  </si>
  <si>
    <t>204:479</t>
  </si>
  <si>
    <t>300:58950</t>
  </si>
  <si>
    <t>204:137</t>
  </si>
  <si>
    <t>204:482</t>
  </si>
  <si>
    <t>300:58924</t>
  </si>
  <si>
    <t>300:58594</t>
  </si>
  <si>
    <t>300:58941</t>
  </si>
  <si>
    <t>204:126</t>
  </si>
  <si>
    <t>300:58963</t>
  </si>
  <si>
    <t>300:58651</t>
  </si>
  <si>
    <t>204:796</t>
  </si>
  <si>
    <t>300:58916</t>
  </si>
  <si>
    <t>300:58600</t>
  </si>
  <si>
    <t>300:58670</t>
  </si>
  <si>
    <t>204:4461</t>
  </si>
  <si>
    <t>204:1034</t>
  </si>
  <si>
    <t>204:1030</t>
  </si>
  <si>
    <t>300:58971</t>
  </si>
  <si>
    <t>204:1081</t>
  </si>
  <si>
    <t>300:58944</t>
  </si>
  <si>
    <t>204:724</t>
  </si>
  <si>
    <t>300:58939</t>
  </si>
  <si>
    <t>300:58948</t>
  </si>
  <si>
    <t>300:29978</t>
  </si>
  <si>
    <t>300:23703</t>
  </si>
  <si>
    <t>204:750</t>
  </si>
  <si>
    <t>204:385</t>
  </si>
  <si>
    <t>300:24207</t>
  </si>
  <si>
    <t>300:23684</t>
  </si>
  <si>
    <t>300:28782</t>
  </si>
  <si>
    <t>start /low /b %USERPROFILE%\Documents\GitHub\eaglep3\Utilities\DownloadLogsFromS3.py --loco 4066 --day 2017-11-17</t>
  </si>
  <si>
    <t>start /low /b %USERPROFILE%\Documents\GitHub\eaglep3\Utilities\DownloadLogsFromS3.py --loco 4020 --day 2017-11-17</t>
  </si>
  <si>
    <t>start /low /b %USERPROFILE%\Documents\GitHub\eaglep3\Utilities\DownloadLogsFromS3.py --loco 4041 --day 2017-11-17</t>
  </si>
  <si>
    <t>start /low /b %USERPROFILE%\Documents\GitHub\eaglep3\Utilities\DownloadLogsFromS3.py --loco 4019 --day 2017-11-17</t>
  </si>
  <si>
    <t>start /low /b %USERPROFILE%\Documents\GitHub\eaglep3\Utilities\DownloadLogsFromS3.py --loco 4035 --day 2017-11-17</t>
  </si>
  <si>
    <t>start /low /b %USERPROFILE%\Documents\GitHub\eaglep3\Utilities\DownloadLogsFromS3.py --loco 4030 --day 2017-11-17</t>
  </si>
  <si>
    <t>start /low /b %USERPROFILE%\Documents\GitHub\eaglep3\Utilities\DownloadLogsFromS3.py --loco 4024 --day 2017-11-17</t>
  </si>
  <si>
    <t>start /low /b %USERPROFILE%\Documents\GitHub\eaglep3\Utilities\DownloadLogsFromS3.py --loco 4023 --day 2017-11-17</t>
  </si>
  <si>
    <t>start /low /b %USERPROFILE%\Documents\GitHub\eaglep3\Utilities\DownloadLogsFromS3.py --loco 4065 --day 2017-11-17</t>
  </si>
  <si>
    <t>start /low /b %USERPROFILE%\Documents\GitHub\eaglep3\Utilities\DownloadLogsFromS3.py --loco 4027 --day 2017-11-17</t>
  </si>
  <si>
    <t>start /low /b %USERPROFILE%\Documents\GitHub\eaglep3\Utilities\DownloadLogsFromS3.py --loco 4039 --day 2017-11-17</t>
  </si>
  <si>
    <t>start /low /b %USERPROFILE%\Documents\GitHub\eaglep3\Utilities\DownloadLogsFromS3.py --loco 4010 --day 2017-11-17</t>
  </si>
  <si>
    <t>start /low /b %USERPROFILE%\Documents\GitHub\eaglep3\Utilities\DownloadLogsFromS3.py --loco 4040 --day 2017-11-17</t>
  </si>
  <si>
    <t>start /low /b %USERPROFILE%\Documents\GitHub\eaglep3\Utilities\DownloadLogsFromS3.py --loco 4035 --day 2017-11-18</t>
  </si>
  <si>
    <t>start /low /b %USERPROFILE%\Documents\GitHub\eaglep3\Utilities\DownloadLogsFromS3.py --loco 4028 --day 2017-11-18</t>
  </si>
  <si>
    <t>start /low /b %USERPROFILE%\Documents\GitHub\eaglep3\Utilities\DownloadLogsFromS3.py --loco 4020 --day 2017-11-18</t>
  </si>
  <si>
    <t>start /low /b %USERPROFILE%\Documents\GitHub\eaglep3\Utilities\DownloadLogsFromS3.py --loco 4023 --day 2017-11-18</t>
  </si>
  <si>
    <t>Onboard en route failure</t>
  </si>
  <si>
    <t>Observed wheel tach issue</t>
  </si>
  <si>
    <t>Observed poor GPS at DUS, no PTC enforcement</t>
  </si>
  <si>
    <t>Poor GPS under Wewatta St. overpass</t>
  </si>
  <si>
    <t>Restricted aspect</t>
  </si>
  <si>
    <t>Observed early arrival at Steele, (Incident 57335)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</si>
</sst>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00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55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2" fillId="0" borderId="5" xfId="0" applyNumberFormat="1" applyFont="1" applyFill="1" applyBorder="1" applyAlignment="1">
      <alignment horizontal="center" vertical="center" wrapText="1"/>
    </xf>
    <xf numFmtId="169" fontId="12" fillId="0" borderId="5" xfId="0" applyFont="1" applyFill="1" applyBorder="1" applyAlignment="1">
      <alignment horizontal="center" vertical="center" wrapText="1"/>
    </xf>
    <xf numFmtId="1" fontId="12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/>
    <xf numFmtId="169" fontId="14" fillId="6" borderId="5" xfId="0" applyFont="1" applyFill="1" applyBorder="1" applyAlignment="1">
      <alignment horizontal="center" vertical="center" wrapText="1"/>
    </xf>
    <xf numFmtId="169" fontId="14" fillId="8" borderId="5" xfId="0" applyFont="1" applyFill="1" applyBorder="1" applyAlignment="1">
      <alignment horizontal="center" vertical="center" wrapText="1"/>
    </xf>
    <xf numFmtId="169" fontId="14" fillId="5" borderId="5" xfId="0" applyFon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15" fillId="9" borderId="0" xfId="0" applyFont="1" applyFill="1" applyBorder="1" applyAlignment="1">
      <alignment horizontal="center" vertical="center" wrapText="1"/>
    </xf>
    <xf numFmtId="169" fontId="15" fillId="0" borderId="0" xfId="0" applyFont="1" applyBorder="1" applyAlignment="1">
      <alignment horizontal="center" vertical="center" wrapText="1"/>
    </xf>
    <xf numFmtId="169" fontId="13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2" fillId="0" borderId="5" xfId="0" applyNumberFormat="1" applyFont="1" applyFill="1" applyBorder="1" applyAlignment="1">
      <alignment horizontal="center" vertical="center" wrapText="1"/>
    </xf>
    <xf numFmtId="169" fontId="16" fillId="6" borderId="0" xfId="0" applyFont="1" applyFill="1"/>
    <xf numFmtId="169" fontId="17" fillId="0" borderId="0" xfId="0" applyFont="1" applyFill="1"/>
    <xf numFmtId="169" fontId="17" fillId="0" borderId="0" xfId="0" applyFont="1" applyFill="1" applyAlignment="1">
      <alignment horizontal="center" vertical="center"/>
    </xf>
    <xf numFmtId="169" fontId="18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2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5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3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1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0" applyNumberFormat="1" applyFill="1" applyAlignment="1">
      <alignment horizontal="left" wrapText="1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9" fillId="8" borderId="0" xfId="0" applyNumberFormat="1" applyFont="1" applyFill="1" applyBorder="1" applyAlignment="1">
      <alignment horizontal="center" vertical="center" wrapText="1"/>
    </xf>
    <xf numFmtId="0" fontId="9" fillId="8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9" fontId="0" fillId="0" borderId="5" xfId="2" applyNumberFormat="1" applyFont="1" applyFill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0" fillId="0" borderId="0" xfId="0" applyNumberFormat="1" applyBorder="1"/>
    <xf numFmtId="0" fontId="0" fillId="0" borderId="5" xfId="0" applyNumberFormat="1" applyBorder="1" applyAlignment="1">
      <alignment horizontal="left"/>
    </xf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  <xf numFmtId="169" fontId="0" fillId="0" borderId="0" xfId="0"/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5" xfId="0" applyNumberFormat="1" applyFill="1" applyBorder="1" applyAlignment="1">
      <alignment horizontal="left"/>
    </xf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22" fontId="0" fillId="0" borderId="5" xfId="0" applyNumberFormat="1" applyFill="1" applyBorder="1" applyAlignment="1">
      <alignment horizontal="left"/>
    </xf>
    <xf numFmtId="169" fontId="0" fillId="0" borderId="0" xfId="0" applyNumberFormat="1"/>
    <xf numFmtId="169" fontId="9" fillId="0" borderId="0" xfId="0" applyFont="1" applyFill="1"/>
    <xf numFmtId="170" fontId="9" fillId="0" borderId="0" xfId="0" applyNumberFormat="1" applyFont="1" applyFill="1" applyBorder="1" applyAlignment="1">
      <alignment horizontal="left"/>
    </xf>
    <xf numFmtId="1" fontId="9" fillId="0" borderId="0" xfId="0" applyNumberFormat="1" applyFont="1" applyFill="1" applyBorder="1" applyAlignment="1">
      <alignment horizontal="left"/>
    </xf>
    <xf numFmtId="169" fontId="9" fillId="5" borderId="0" xfId="0" applyFont="1" applyFill="1"/>
    <xf numFmtId="169" fontId="9" fillId="6" borderId="0" xfId="0" applyFont="1" applyFill="1"/>
    <xf numFmtId="169" fontId="9" fillId="7" borderId="0" xfId="0" applyFont="1" applyFill="1"/>
    <xf numFmtId="169" fontId="0" fillId="0" borderId="17" xfId="0" applyFill="1" applyBorder="1" applyAlignment="1">
      <alignment horizontal="left"/>
    </xf>
    <xf numFmtId="169" fontId="9" fillId="9" borderId="0" xfId="0" applyFont="1" applyFill="1"/>
    <xf numFmtId="169" fontId="0" fillId="0" borderId="5" xfId="0" applyFill="1" applyBorder="1" applyAlignment="1">
      <alignment vertical="center"/>
    </xf>
    <xf numFmtId="169" fontId="6" fillId="0" borderId="0" xfId="0" applyFont="1"/>
    <xf numFmtId="169" fontId="9" fillId="0" borderId="0" xfId="0" applyFont="1"/>
    <xf numFmtId="169" fontId="0" fillId="0" borderId="5" xfId="0" applyNumberFormat="1" applyFill="1" applyBorder="1"/>
    <xf numFmtId="1" fontId="9" fillId="0" borderId="0" xfId="0" applyNumberFormat="1" applyFont="1" applyFill="1"/>
    <xf numFmtId="169" fontId="0" fillId="0" borderId="0" xfId="0" applyNumberFormat="1" applyFill="1"/>
    <xf numFmtId="169" fontId="0" fillId="0" borderId="5" xfId="0" applyNumberFormat="1" applyFill="1" applyBorder="1" applyAlignment="1">
      <alignment horizontal="left"/>
    </xf>
    <xf numFmtId="0" fontId="0" fillId="0" borderId="5" xfId="0" applyNumberFormat="1" applyFill="1" applyBorder="1"/>
    <xf numFmtId="0" fontId="9" fillId="0" borderId="0" xfId="0" applyNumberFormat="1" applyFont="1" applyFill="1" applyBorder="1"/>
    <xf numFmtId="0" fontId="9" fillId="8" borderId="0" xfId="0" applyNumberFormat="1" applyFont="1" applyFill="1" applyBorder="1"/>
    <xf numFmtId="9" fontId="0" fillId="0" borderId="5" xfId="2" applyNumberFormat="1" applyFont="1" applyFill="1" applyBorder="1"/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556260</xdr:colOff>
          <xdr:row>2</xdr:row>
          <xdr:rowOff>38100</xdr:rowOff>
        </xdr:from>
        <xdr:to>
          <xdr:col>26</xdr:col>
          <xdr:colOff>464820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350520</xdr:colOff>
          <xdr:row>1</xdr:row>
          <xdr:rowOff>30480</xdr:rowOff>
        </xdr:from>
        <xdr:to>
          <xdr:col>15</xdr:col>
          <xdr:colOff>1150620</xdr:colOff>
          <xdr:row>3</xdr:row>
          <xdr:rowOff>68580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5</xdr:row>
          <xdr:rowOff>45720</xdr:rowOff>
        </xdr:from>
        <xdr:to>
          <xdr:col>0</xdr:col>
          <xdr:colOff>1630680</xdr:colOff>
          <xdr:row>8</xdr:row>
          <xdr:rowOff>68580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83820</xdr:rowOff>
        </xdr:from>
        <xdr:to>
          <xdr:col>0</xdr:col>
          <xdr:colOff>1554480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12</xdr:row>
          <xdr:rowOff>144780</xdr:rowOff>
        </xdr:from>
        <xdr:to>
          <xdr:col>0</xdr:col>
          <xdr:colOff>1546860</xdr:colOff>
          <xdr:row>15</xdr:row>
          <xdr:rowOff>99060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488"/>
  <sheetViews>
    <sheetView tabSelected="1" zoomScaleNormal="100" workbookViewId="0"/>
  </sheetViews>
  <sheetFormatPr defaultRowHeight="14.4" x14ac:dyDescent="0.3"/>
  <cols>
    <col min="1" max="1" width="8" style="34" customWidth="1"/>
    <col min="2" max="2" width="6.109375" style="36" customWidth="1"/>
    <col min="3" max="3" width="13.5546875" style="27" hidden="1" customWidth="1"/>
    <col min="4" max="4" width="16.109375" style="27" hidden="1" customWidth="1"/>
    <col min="5" max="5" width="19.5546875" style="33" hidden="1" customWidth="1"/>
    <col min="6" max="6" width="18.33203125" style="33" customWidth="1"/>
    <col min="7" max="7" width="4.88671875" style="36" hidden="1" customWidth="1"/>
    <col min="8" max="8" width="22.109375" style="33" hidden="1" customWidth="1"/>
    <col min="9" max="9" width="18.5546875" style="33" customWidth="1"/>
    <col min="10" max="10" width="7.33203125" style="36" customWidth="1"/>
    <col min="11" max="11" width="10.44140625" style="27" customWidth="1"/>
    <col min="12" max="12" width="16.33203125" style="169" customWidth="1"/>
    <col min="13" max="13" width="7.44140625" style="35" customWidth="1"/>
    <col min="14" max="14" width="3" style="36" customWidth="1"/>
    <col min="15" max="15" width="3" style="2" customWidth="1"/>
    <col min="16" max="16" width="2.88671875" style="2" customWidth="1"/>
    <col min="17" max="17" width="3.6640625" hidden="1" customWidth="1"/>
    <col min="18" max="18" width="28.44140625" style="161" customWidth="1"/>
    <col min="19" max="19" width="6" style="219" customWidth="1"/>
    <col min="20" max="20" width="3.88671875" style="168" customWidth="1"/>
    <col min="21" max="21" width="5" style="196" customWidth="1"/>
    <col min="22" max="22" width="5.6640625" style="217" customWidth="1"/>
    <col min="23" max="23" width="3.88671875" style="202" customWidth="1"/>
    <col min="24" max="24" width="6.5546875" style="202" customWidth="1"/>
    <col min="25" max="25" width="8.88671875" style="202" customWidth="1"/>
    <col min="26" max="26" width="7.33203125" style="202" customWidth="1"/>
    <col min="27" max="27" width="9.109375" style="202"/>
    <col min="28" max="28" width="10.6640625" style="52" hidden="1" customWidth="1"/>
    <col min="29" max="29" width="9.44140625" style="49" hidden="1" customWidth="1"/>
    <col min="30" max="30" width="7.88671875" style="2" customWidth="1"/>
    <col min="31" max="31" width="4.5546875" style="75" customWidth="1"/>
    <col min="32" max="32" width="6.33203125" style="72" customWidth="1"/>
    <col min="33" max="33" width="3.6640625" style="168" customWidth="1"/>
    <col min="34" max="34" width="5" style="78" customWidth="1"/>
    <col min="35" max="35" width="5.6640625" style="91" customWidth="1"/>
    <col min="36" max="36" width="9.88671875" customWidth="1"/>
    <col min="37" max="37" width="5" customWidth="1"/>
    <col min="38" max="38" width="4.109375" customWidth="1"/>
    <col min="39" max="39" width="9.109375" style="142"/>
    <col min="41" max="41" width="3.6640625" style="168" customWidth="1"/>
  </cols>
  <sheetData>
    <row r="1" spans="1:91" s="20" customFormat="1" ht="15" thickBot="1" x14ac:dyDescent="0.35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69"/>
      <c r="M1" s="35"/>
      <c r="N1" s="36"/>
      <c r="O1" s="2"/>
      <c r="P1" s="2"/>
      <c r="R1" s="160" t="s">
        <v>103</v>
      </c>
      <c r="S1" s="123"/>
      <c r="T1" s="169"/>
      <c r="U1" s="192"/>
      <c r="V1" s="208"/>
      <c r="W1" s="192"/>
      <c r="X1" s="196"/>
      <c r="Y1" s="202"/>
      <c r="Z1" s="202"/>
      <c r="AA1" s="202"/>
      <c r="AB1" s="52"/>
      <c r="AC1" s="49"/>
      <c r="AD1" s="2"/>
      <c r="AE1" s="1"/>
      <c r="AF1" s="1"/>
      <c r="AG1" s="182"/>
      <c r="AH1" s="47"/>
      <c r="AI1" s="1"/>
      <c r="AM1" s="142"/>
      <c r="AO1" s="168"/>
    </row>
    <row r="2" spans="1:91" s="20" customFormat="1" ht="15" thickBot="1" x14ac:dyDescent="0.35">
      <c r="A2" s="34"/>
      <c r="B2" s="36"/>
      <c r="C2" s="27"/>
      <c r="D2" s="27"/>
      <c r="E2" s="33"/>
      <c r="F2" s="33"/>
      <c r="G2" s="36"/>
      <c r="H2" s="33"/>
      <c r="I2" s="57">
        <f>Variables!$A$2</f>
        <v>43056</v>
      </c>
      <c r="J2" s="58"/>
      <c r="K2" s="59"/>
      <c r="L2" s="170"/>
      <c r="M2" s="60" t="s">
        <v>8</v>
      </c>
      <c r="N2" s="61"/>
      <c r="O2" s="62"/>
      <c r="P2" s="2"/>
      <c r="R2" s="57">
        <f>Variables!$A$2</f>
        <v>43056</v>
      </c>
      <c r="S2" s="205"/>
      <c r="T2" s="170"/>
      <c r="U2" s="193"/>
      <c r="V2" s="209" t="s">
        <v>8</v>
      </c>
      <c r="W2" s="210"/>
      <c r="X2" s="199"/>
      <c r="Y2" s="202"/>
      <c r="Z2" s="202"/>
      <c r="AA2" s="202"/>
      <c r="AB2" s="52"/>
      <c r="AC2" s="49"/>
      <c r="AD2" s="2"/>
      <c r="AE2" s="1"/>
      <c r="AF2" s="1"/>
      <c r="AG2" s="182"/>
      <c r="AH2" s="47"/>
      <c r="AI2" s="1"/>
      <c r="AM2" s="142"/>
      <c r="AO2" s="168"/>
    </row>
    <row r="3" spans="1:91" s="20" customFormat="1" ht="15" thickBot="1" x14ac:dyDescent="0.35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1"/>
      <c r="M3" s="37" t="s">
        <v>11</v>
      </c>
      <c r="N3" s="38" t="s">
        <v>12</v>
      </c>
      <c r="O3" s="3" t="s">
        <v>13</v>
      </c>
      <c r="P3" s="2"/>
      <c r="R3" s="162" t="s">
        <v>10</v>
      </c>
      <c r="S3" s="206"/>
      <c r="T3" s="171"/>
      <c r="U3" s="194"/>
      <c r="V3" s="211" t="s">
        <v>11</v>
      </c>
      <c r="W3" s="212" t="s">
        <v>12</v>
      </c>
      <c r="X3" s="200" t="s">
        <v>13</v>
      </c>
      <c r="Y3" s="202"/>
      <c r="Z3" s="202"/>
      <c r="AA3" s="202"/>
      <c r="AB3" s="52"/>
      <c r="AC3" s="49"/>
      <c r="AD3" s="2"/>
      <c r="AE3" s="1"/>
      <c r="AF3" s="1"/>
      <c r="AG3" s="182"/>
      <c r="AH3" s="47"/>
      <c r="AI3" s="1"/>
      <c r="AM3" s="142"/>
      <c r="AO3" s="168"/>
    </row>
    <row r="4" spans="1:91" s="20" customFormat="1" ht="15" thickBot="1" x14ac:dyDescent="0.35">
      <c r="A4" s="34"/>
      <c r="B4" s="36"/>
      <c r="C4" s="27"/>
      <c r="D4" s="27"/>
      <c r="E4" s="33"/>
      <c r="F4" s="160"/>
      <c r="G4" s="36"/>
      <c r="H4" s="33"/>
      <c r="I4" s="66" t="s">
        <v>14</v>
      </c>
      <c r="J4" s="48">
        <f>SUM(J5:J7)</f>
        <v>146</v>
      </c>
      <c r="K4" s="39"/>
      <c r="L4" s="172"/>
      <c r="M4" s="40" t="s">
        <v>15</v>
      </c>
      <c r="N4" s="38" t="s">
        <v>15</v>
      </c>
      <c r="O4" s="3" t="s">
        <v>15</v>
      </c>
      <c r="P4" s="2"/>
      <c r="R4" s="163" t="s">
        <v>14</v>
      </c>
      <c r="S4" s="207">
        <f>SUM(S5:S7)</f>
        <v>49</v>
      </c>
      <c r="T4" s="172"/>
      <c r="U4" s="195"/>
      <c r="V4" s="211" t="s">
        <v>15</v>
      </c>
      <c r="W4" s="212" t="s">
        <v>15</v>
      </c>
      <c r="X4" s="200" t="s">
        <v>15</v>
      </c>
      <c r="Y4" s="202"/>
      <c r="Z4" s="202"/>
      <c r="AA4" s="202"/>
      <c r="AB4" s="52"/>
      <c r="AC4" s="49"/>
      <c r="AD4" s="2"/>
      <c r="AE4" s="1"/>
      <c r="AF4" s="1"/>
      <c r="AG4" s="182"/>
      <c r="AH4" s="47"/>
      <c r="AI4" s="1"/>
      <c r="AM4" s="142"/>
      <c r="AO4" s="168"/>
    </row>
    <row r="5" spans="1:91" s="20" customFormat="1" ht="15" thickBot="1" x14ac:dyDescent="0.35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COUNTIFS($N$13:$N$9531,"&gt;0",$AG$13:$AG$9531,I1)</f>
        <v>142</v>
      </c>
      <c r="K5" s="39"/>
      <c r="L5" s="172"/>
      <c r="M5" s="40">
        <f>AVERAGEIFS($N$13:$N$9531,$AG$13:$AG$9531,I1)</f>
        <v>37.444835681038661</v>
      </c>
      <c r="N5" s="38">
        <f t="array" ref="N5">MIN(IF($AG$13:$AG$9531=I1,IF(ISNUMBER($N$13:$N$9531),IF($N$13:$N$9531&gt;0,$N$13:$N$9531))))</f>
        <v>33.766666670562699</v>
      </c>
      <c r="O5" s="3">
        <f t="array" ref="O5">MAX(IF($AG$13:$AG$9531=I1,IF(ISNUMBER($N$13:$N$9531),IF($N$13:$N$9531&gt;0,$N$13:$N$9531))))</f>
        <v>47.483333327108994</v>
      </c>
      <c r="P5" s="2"/>
      <c r="R5" s="163" t="s">
        <v>17</v>
      </c>
      <c r="S5" s="207">
        <f>COUNTIFS($N$13:$N$9531,"&gt;0",$AG$13:$AG$9531,R1)</f>
        <v>48</v>
      </c>
      <c r="T5" s="172"/>
      <c r="U5" s="195"/>
      <c r="V5" s="211">
        <f>AVERAGEIFS($N$13:$N$9531,$AG$13:$AG$9531,R1)</f>
        <v>13.719444444577675</v>
      </c>
      <c r="W5" s="212">
        <f t="array" ref="W5">MIN(IF($AG$13:$AG$9531=R1,IF(ISNUMBER($N$13:$N$9531),IF($N$13:$N$9531&gt;0,$N$13:$N$9531))))</f>
        <v>11.049999995157123</v>
      </c>
      <c r="X5" s="200">
        <f t="array" ref="X5">MAX(IF($AG$13:$AG$9531=R1,IF(ISNUMBER($N$13:$N$9531),IF($N$13:$N$9531&gt;0,$N$13:$N$9531))))</f>
        <v>17.450000003445894</v>
      </c>
      <c r="Y5" s="202"/>
      <c r="Z5" s="202"/>
      <c r="AA5" s="202"/>
      <c r="AB5" s="52"/>
      <c r="AC5" s="49"/>
      <c r="AD5" s="2"/>
      <c r="AE5" s="1"/>
      <c r="AF5" s="1"/>
      <c r="AG5" s="182"/>
      <c r="AH5" s="47"/>
      <c r="AI5" s="1"/>
      <c r="AM5" s="142"/>
      <c r="AO5" s="168"/>
    </row>
    <row r="6" spans="1:91" s="20" customFormat="1" ht="15" thickBot="1" x14ac:dyDescent="0.35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COUNT($O$13:$O$289)</f>
        <v>0</v>
      </c>
      <c r="K6" s="39"/>
      <c r="L6" s="172"/>
      <c r="M6" s="40">
        <f>IFERROR(AVERAGE($O$13:$O$289),0)</f>
        <v>0</v>
      </c>
      <c r="N6" s="38">
        <f>MIN($O$13:$O$289)</f>
        <v>0</v>
      </c>
      <c r="O6" s="3">
        <f>MAX($O$13:$O$289)</f>
        <v>0</v>
      </c>
      <c r="P6" s="2"/>
      <c r="R6" s="164" t="s">
        <v>43</v>
      </c>
      <c r="S6" s="207">
        <f>COUNT($O$13:$O$289)</f>
        <v>0</v>
      </c>
      <c r="T6" s="172"/>
      <c r="U6" s="195"/>
      <c r="V6" s="211">
        <f>IFERROR(AVERAGE($O$13:$O$289),0)</f>
        <v>0</v>
      </c>
      <c r="W6" s="212">
        <f>MIN($O$13:$O$289)</f>
        <v>0</v>
      </c>
      <c r="X6" s="200">
        <f>MAX($O$13:$O$289)</f>
        <v>0</v>
      </c>
      <c r="Y6" s="202"/>
      <c r="Z6" s="202"/>
      <c r="AA6" s="202"/>
      <c r="AB6" s="52"/>
      <c r="AC6" s="49"/>
      <c r="AD6" s="2"/>
      <c r="AE6" s="1"/>
      <c r="AF6" s="1"/>
      <c r="AG6" s="182"/>
      <c r="AH6" s="47"/>
      <c r="AI6" s="1"/>
      <c r="AM6" s="142"/>
      <c r="AO6" s="168"/>
    </row>
    <row r="7" spans="1:91" s="20" customFormat="1" ht="15" thickBot="1" x14ac:dyDescent="0.35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COUNTIFS($P$13:$P$9531,"&gt;0",$AG$13:$AG$9531,I1)</f>
        <v>4</v>
      </c>
      <c r="K7" s="39"/>
      <c r="L7" s="172"/>
      <c r="M7" s="38" t="s">
        <v>15</v>
      </c>
      <c r="N7" s="38" t="s">
        <v>15</v>
      </c>
      <c r="O7" s="3" t="s">
        <v>15</v>
      </c>
      <c r="P7" s="2"/>
      <c r="R7" s="165" t="s">
        <v>9</v>
      </c>
      <c r="S7" s="207">
        <f>COUNTIFS($P$13:$P$9531,"&gt;0",$AG$13:$AG$9531,R1)</f>
        <v>1</v>
      </c>
      <c r="T7" s="172"/>
      <c r="U7" s="195"/>
      <c r="V7" s="211" t="s">
        <v>15</v>
      </c>
      <c r="W7" s="212" t="s">
        <v>15</v>
      </c>
      <c r="X7" s="200" t="s">
        <v>15</v>
      </c>
      <c r="Y7" s="202"/>
      <c r="Z7" s="202"/>
      <c r="AA7" s="202"/>
      <c r="AB7" s="52"/>
      <c r="AC7" s="49"/>
      <c r="AD7" s="2"/>
      <c r="AE7" s="1"/>
      <c r="AF7" s="1"/>
      <c r="AG7" s="182"/>
      <c r="AH7" s="47"/>
      <c r="AI7" s="1"/>
      <c r="AM7" s="142"/>
      <c r="AO7" s="168"/>
    </row>
    <row r="8" spans="1:91" s="20" customFormat="1" ht="15" thickBot="1" x14ac:dyDescent="0.35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142</v>
      </c>
      <c r="K8" s="39"/>
      <c r="L8" s="172"/>
      <c r="M8" s="40">
        <f>M5</f>
        <v>37.444835681038661</v>
      </c>
      <c r="N8" s="38">
        <f>N5</f>
        <v>33.766666670562699</v>
      </c>
      <c r="O8" s="3">
        <f>O5</f>
        <v>47.483333327108994</v>
      </c>
      <c r="P8" s="2"/>
      <c r="R8" s="163" t="s">
        <v>16</v>
      </c>
      <c r="S8" s="207">
        <f>S5</f>
        <v>48</v>
      </c>
      <c r="T8" s="172"/>
      <c r="U8" s="195"/>
      <c r="V8" s="211">
        <f>V5</f>
        <v>13.719444444577675</v>
      </c>
      <c r="W8" s="212">
        <f>W5</f>
        <v>11.049999995157123</v>
      </c>
      <c r="X8" s="200">
        <f>X5</f>
        <v>17.450000003445894</v>
      </c>
      <c r="Y8" s="202"/>
      <c r="Z8" s="202"/>
      <c r="AA8" s="202"/>
      <c r="AB8" s="52"/>
      <c r="AC8" s="49"/>
      <c r="AD8" s="2"/>
      <c r="AE8" s="1"/>
      <c r="AF8" s="1"/>
      <c r="AG8" s="182"/>
      <c r="AH8" s="47"/>
      <c r="AI8" s="1"/>
      <c r="AM8" s="142"/>
      <c r="AO8" s="168"/>
    </row>
    <row r="9" spans="1:91" s="20" customFormat="1" ht="15" thickBot="1" x14ac:dyDescent="0.35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0.9726027397260274</v>
      </c>
      <c r="K9" s="41"/>
      <c r="L9" s="169"/>
      <c r="M9" s="69"/>
      <c r="N9" s="36"/>
      <c r="O9" s="70"/>
      <c r="P9" s="2"/>
      <c r="R9" s="163" t="s">
        <v>19</v>
      </c>
      <c r="S9" s="123">
        <f>S8/S4</f>
        <v>0.97959183673469385</v>
      </c>
      <c r="T9" s="169"/>
      <c r="U9" s="192"/>
      <c r="V9" s="213"/>
      <c r="W9" s="192"/>
      <c r="X9" s="201"/>
      <c r="Y9" s="202"/>
      <c r="Z9" s="202"/>
      <c r="AA9" s="202"/>
      <c r="AB9" s="52"/>
      <c r="AC9" s="49"/>
      <c r="AD9" s="2"/>
      <c r="AE9" s="1"/>
      <c r="AF9" s="1"/>
      <c r="AG9" s="182"/>
      <c r="AH9" s="47"/>
      <c r="AI9" s="1"/>
      <c r="AM9" s="142"/>
      <c r="AO9" s="168"/>
    </row>
    <row r="10" spans="1:91" s="20" customFormat="1" x14ac:dyDescent="0.3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9"/>
      <c r="M10" s="35"/>
      <c r="N10" s="36"/>
      <c r="O10" s="2"/>
      <c r="P10" s="2"/>
      <c r="R10" s="161"/>
      <c r="S10" s="219"/>
      <c r="T10" s="168"/>
      <c r="U10" s="196"/>
      <c r="V10" s="214"/>
      <c r="W10" s="202"/>
      <c r="X10" s="202"/>
      <c r="Y10" s="202"/>
      <c r="Z10" s="202"/>
      <c r="AA10" s="202"/>
      <c r="AB10" s="52"/>
      <c r="AC10" s="49"/>
      <c r="AD10" s="2"/>
      <c r="AE10" s="1"/>
      <c r="AF10" s="1"/>
      <c r="AG10" s="182"/>
      <c r="AH10" s="47"/>
      <c r="AI10" s="1"/>
      <c r="AM10" s="142"/>
      <c r="AO10" s="168"/>
    </row>
    <row r="11" spans="1:91" ht="16.2" thickBot="1" x14ac:dyDescent="0.35">
      <c r="A11" s="226" t="str">
        <f>"Eagle P3 System Performance - "&amp;TEXT(Variables!A2,"yyyy-mm-dd")</f>
        <v>Eagle P3 System Performance - 2017-11-17</v>
      </c>
      <c r="B11" s="226"/>
      <c r="C11" s="226"/>
      <c r="D11" s="226"/>
      <c r="E11" s="226"/>
      <c r="F11" s="226"/>
      <c r="G11" s="226"/>
      <c r="H11" s="226"/>
      <c r="I11" s="226"/>
      <c r="J11" s="226"/>
      <c r="K11" s="226"/>
      <c r="L11" s="226"/>
      <c r="M11" s="226"/>
      <c r="N11" s="226"/>
      <c r="O11" s="226"/>
      <c r="P11" s="226"/>
      <c r="S11" s="219">
        <f>AVERAGE(S13:S121)</f>
        <v>1</v>
      </c>
      <c r="V11" s="214"/>
      <c r="AE11" s="1"/>
      <c r="AF11" s="1"/>
      <c r="AG11" s="182"/>
      <c r="AH11" s="47"/>
      <c r="AI11" s="1"/>
    </row>
    <row r="12" spans="1:91" s="5" customFormat="1" ht="69" customHeight="1" thickBot="1" x14ac:dyDescent="0.35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4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6" t="s">
        <v>24</v>
      </c>
      <c r="S12" s="220" t="s">
        <v>63</v>
      </c>
      <c r="T12" s="173" t="s">
        <v>64</v>
      </c>
      <c r="U12" s="197" t="s">
        <v>65</v>
      </c>
      <c r="V12" s="215" t="s">
        <v>45</v>
      </c>
      <c r="W12" s="203" t="s">
        <v>23</v>
      </c>
      <c r="X12" s="203" t="s">
        <v>48</v>
      </c>
      <c r="Y12" s="203" t="s">
        <v>20</v>
      </c>
      <c r="Z12" s="203" t="s">
        <v>21</v>
      </c>
      <c r="AA12" s="203" t="s">
        <v>22</v>
      </c>
      <c r="AB12" s="53" t="s">
        <v>39</v>
      </c>
      <c r="AC12" s="50" t="s">
        <v>40</v>
      </c>
      <c r="AD12" s="178" t="s">
        <v>82</v>
      </c>
      <c r="AE12" s="76" t="s">
        <v>89</v>
      </c>
      <c r="AF12" s="73" t="s">
        <v>93</v>
      </c>
      <c r="AG12" s="177" t="s">
        <v>104</v>
      </c>
      <c r="AH12" s="79" t="s">
        <v>106</v>
      </c>
      <c r="AI12" s="95" t="s">
        <v>141</v>
      </c>
      <c r="AJ12" s="46" t="s">
        <v>142</v>
      </c>
      <c r="AK12" s="46" t="s">
        <v>115</v>
      </c>
      <c r="AL12" s="46" t="s">
        <v>143</v>
      </c>
      <c r="AM12" s="143" t="s">
        <v>187</v>
      </c>
      <c r="AN12" s="46" t="s">
        <v>329</v>
      </c>
      <c r="AO12" s="177" t="s">
        <v>351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3">
      <c r="A13" s="32" t="s">
        <v>633</v>
      </c>
      <c r="B13" s="7">
        <v>4066</v>
      </c>
      <c r="C13" s="21" t="s">
        <v>192</v>
      </c>
      <c r="D13" s="21" t="s">
        <v>898</v>
      </c>
      <c r="E13" s="13">
        <v>43056.130254629628</v>
      </c>
      <c r="F13" s="13">
        <v>43056.140335648146</v>
      </c>
      <c r="G13" s="7">
        <v>61</v>
      </c>
      <c r="H13" s="21" t="s">
        <v>899</v>
      </c>
      <c r="I13" s="13">
        <v>43056.160624999997</v>
      </c>
      <c r="J13" s="7">
        <v>1</v>
      </c>
      <c r="K13" s="89" t="str">
        <f t="shared" ref="K13:K76" si="0">IF(ISEVEN(B13),(B13-1)&amp;"/"&amp;B13,B13&amp;"/"&amp;(B13+1))</f>
        <v>4065/4066</v>
      </c>
      <c r="L13" s="185" t="str">
        <f>VLOOKUP(A13,'Trips&amp;Operators'!$C$1:$G$99911,5,FALSE)</f>
        <v>YORK EDGAR</v>
      </c>
      <c r="M13" s="6">
        <f t="shared" ref="M13:M76" si="1">I13-F13</f>
        <v>2.028935185080627E-2</v>
      </c>
      <c r="N13" s="7"/>
      <c r="O13" s="7"/>
      <c r="P13" s="7"/>
      <c r="Q13" s="22"/>
      <c r="R13" s="167"/>
      <c r="S13" s="221"/>
      <c r="T13" s="174" t="str">
        <f t="shared" ref="T13:T76" si="2">IF(ISEVEN(LEFT(AD13,4)),"Southbound","NorthBound")</f>
        <v>NorthBound</v>
      </c>
      <c r="U13" s="198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0</v>
      </c>
      <c r="V13" s="216" t="str">
        <f t="shared" ref="V13:V76" si="3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-11-17T02:07:34-0700',mode:absolute,to:'2017-11-17T04:51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3" s="204" t="str">
        <f>IF(AA13&lt;VLOOKUP(AG13,Variables!$AC$3:$AD$8,2,FALSE),"Y","N")</f>
        <v>Y</v>
      </c>
      <c r="X13" s="204" t="e">
        <f t="shared" ref="X13:X76" si="4">VALUE(LEFT(AD13,4))-VALUE(LEFT(AD12,4))</f>
        <v>#VALUE!</v>
      </c>
      <c r="Y13" s="204">
        <f t="shared" ref="Y13:Y44" si="5">RIGHT(D13,LEN(D13)-4)/10000</f>
        <v>8.2500000000000004E-2</v>
      </c>
      <c r="Z13" s="204">
        <f t="shared" ref="Z13:Z44" si="6">RIGHT(H13,LEN(H13)-4)/10000</f>
        <v>0.20050000000000001</v>
      </c>
      <c r="AA13" s="204">
        <f t="shared" ref="AA13:AA76" si="7">ABS(Z13-Y13)</f>
        <v>0.11800000000000001</v>
      </c>
      <c r="AB13" s="54" t="e">
        <f>VLOOKUP(A13,Enforcements!$C$7:$K$9,8,0)</f>
        <v>#N/A</v>
      </c>
      <c r="AC13" s="51" t="e">
        <f>VLOOKUP(A13,Enforcements!$C$7:$E$9,3,0)</f>
        <v>#N/A</v>
      </c>
      <c r="AD13" s="179">
        <f t="shared" ref="AD13:AD76" si="8">VALUE(LEFT(A13,LEN(A13)-3))</f>
        <v>101</v>
      </c>
      <c r="AE13" s="77" t="str">
        <f t="shared" ref="AE13:AE76" si="9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s3://rtdc.mdm.uploadarchive.raw/RTDC4066/ "%USERPROFILE%\AppData\Local\Temp\OnboardLogs"\RTDC4066\2017-11-17 --exclude "*" --recursive --include "*20171117*" &amp; "%USERPROFILE%\Documents\GitHub\mrs-test-scripts\Headless Mode &amp; Sideloading\WalkAndUnGZ.bat" "%USERPROFILE%\AppData\Local\Temp\OnboardLogs"\RTDC4066\2017-11-17 &amp; aws s3 cp s3://rtdc.mdm.uploadarchive.raw/RTDC4066/ "%USERPROFILE%\AppData\Local\Temp\OnboardLogs"\RTDC4066\2017-11-18 --exclude "*" --recursive --include "*20171118*" &amp; "%USERPROFILE%\Documents\GitHub\mrs-test-scripts\Headless Mode &amp; Sideloading\WalkAndUnGZ.bat" "%USERPROFILE%\AppData\Local\Temp\OnboardLogs"\RTDC4066\2017-11-18</v>
      </c>
      <c r="AF13" s="74" t="str">
        <f t="shared" ref="AF13:AF76" si="10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/stypes="app*4066*20171117*" /stext=" 10:.+((SYSTEM_STATE.+slice.+state.+changed )|(ment ac)|(multiple cpu faults)|(system.+state.+changed )|(\[timeout)|(PRM\|1\|D)|(kpr)|(kdp)|(train st.+moving)|(\|lc)|(penalty))"</v>
      </c>
      <c r="AG13" s="182" t="str">
        <f t="shared" ref="AG13:AG76" si="11">DetSubdiv(A13)</f>
        <v>EC</v>
      </c>
      <c r="AH13" s="78" t="str">
        <f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101-17 --locoid 4066 --swversion DE.1.0.9.0 --startMP 204:825 --initTime 2017-11-17T03:07:34 --startdatetime 2017-11-17T03:22:05 --delay 61 --endMP 204:2005 --enddatetime 2017-11-17T03:51:18 --enforcementcount 1 &gt;&gt;%USERPROFILE%\Documents\GitHub\eaglep3-reporting\EC\2017-11-17-refined-times.txt</v>
      </c>
      <c r="AI13" s="96" t="str">
        <f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{"issue":{"subject":"","project_id":79,"tracker_id":40,"status_id":1,"priority_id":2,"assigned_to_id":338,"start_date":"2017-11-17","description":"","custom_fields":[{"id":1,"name":"Subdivision","value":"EC"},{"id":4,"name":"Milepost","value":"0.2005"},{"id":17,"name":"Train ID","value":"101-17"},{"id":16,"name":"Locomotive ID","value":"4066"},{"id":130,"name":"Impact","value":""},{"id":150,"name":"Time of Event (Mountain Time)","value":"03:51:18"},{"id":151,"name":"Denver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" s="20"/>
      <c r="AK13" s="47"/>
      <c r="AL13" s="47"/>
      <c r="AM13" s="142" t="str">
        <f>"start /low /b "&amp;dls3logs&amp;" --loco "&amp;B13&amp;" --day "&amp;TEXT(F13,"YYYY-MM-DD")</f>
        <v>start /low /b %USERPROFILE%\Documents\GitHub\eaglep3\Utilities\DownloadLogsFromS3.py --loco 4066 --day 2017-11-17</v>
      </c>
      <c r="AN13" s="151" t="str">
        <f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10:51:18"},{"id":29,"name":"Sharepoint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8" t="str">
        <f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-11-17T02:07:34-0700',mode:absolute,to:'2017-11-17T04:51:18-0700'))&amp;_a=(columns:!('Message%20ID',Summary),filters:!(),index:'emp_*',interval:auto,query:(query_string:(analyze_wildcard:!t,query:'%22rtdc.l.rtdc.4066%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3">
      <c r="A14" s="32" t="s">
        <v>633</v>
      </c>
      <c r="B14" s="7">
        <v>4066</v>
      </c>
      <c r="C14" s="21" t="s">
        <v>192</v>
      </c>
      <c r="D14" s="21" t="s">
        <v>900</v>
      </c>
      <c r="E14" s="13">
        <v>43056.139328703706</v>
      </c>
      <c r="F14" s="13">
        <v>43056.140335648146</v>
      </c>
      <c r="G14" s="7">
        <v>50</v>
      </c>
      <c r="H14" s="21" t="s">
        <v>901</v>
      </c>
      <c r="I14" s="13">
        <v>43056.160624999997</v>
      </c>
      <c r="J14" s="7">
        <v>1</v>
      </c>
      <c r="K14" s="89" t="str">
        <f t="shared" si="0"/>
        <v>4065/4066</v>
      </c>
      <c r="L14" s="185" t="str">
        <f>VLOOKUP(A14,'Trips&amp;Operators'!$C$1:$G$99911,5,FALSE)</f>
        <v>YORK EDGAR</v>
      </c>
      <c r="M14" s="6">
        <f t="shared" si="1"/>
        <v>2.028935185080627E-2</v>
      </c>
      <c r="N14" s="7"/>
      <c r="O14" s="7"/>
      <c r="P14" s="7">
        <f>24*60*SUM($M14:$M14)</f>
        <v>29.216666665161029</v>
      </c>
      <c r="Q14" s="22"/>
      <c r="R14" s="174" t="s">
        <v>630</v>
      </c>
      <c r="S14" s="221">
        <f>1/IF(AG14="EC",12,1)*SUM(U14:U14)</f>
        <v>1</v>
      </c>
      <c r="T14" s="174" t="str">
        <f t="shared" si="2"/>
        <v>NorthBound</v>
      </c>
      <c r="U14" s="198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16" t="str">
        <f t="shared" si="3"/>
        <v>https://d0f6bd738d7f1b3e5a7ca70fe4ff75f0.us-east-1.aws.found.io/app/kibana#/discover/Steve-Slow-Train-Analysis-(2080s-and-2083s)?_g=(refreshInterval:(display:Off,pause:!f,section:0,value:0),time:(from:'2017-11-17T02:20:38-0700',mode:absolute,to:'2017-11-17T04:51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4" s="204" t="str">
        <f>IF(AA14&lt;VLOOKUP(AG14,Variables!$AC$3:$AD$8,2,FALSE),"Y","N")</f>
        <v>Y</v>
      </c>
      <c r="X14" s="204">
        <f t="shared" si="4"/>
        <v>0</v>
      </c>
      <c r="Y14" s="204">
        <f t="shared" si="5"/>
        <v>1.9139999999999999</v>
      </c>
      <c r="Z14" s="204">
        <f t="shared" si="6"/>
        <v>23.330200000000001</v>
      </c>
      <c r="AA14" s="204">
        <f t="shared" si="7"/>
        <v>21.4162</v>
      </c>
      <c r="AB14" s="54" t="e">
        <f>VLOOKUP(A14,Enforcements!$C$7:$K$9,8,0)</f>
        <v>#N/A</v>
      </c>
      <c r="AC14" s="51" t="e">
        <f>VLOOKUP(A14,Enforcements!$C$7:$E$9,3,0)</f>
        <v>#N/A</v>
      </c>
      <c r="AD14" s="179">
        <f t="shared" si="8"/>
        <v>101</v>
      </c>
      <c r="AE14" s="77" t="str">
        <f t="shared" si="9"/>
        <v>aws s3 cp s3://rtdc.mdm.uploadarchive.raw/RTDC4066/ "%USERPROFILE%\AppData\Local\Temp\OnboardLogs"\RTDC4066\2017-11-17 --exclude "*" --recursive --include "*20171117*" &amp; "%USERPROFILE%\Documents\GitHub\mrs-test-scripts\Headless Mode &amp; Sideloading\WalkAndUnGZ.bat" "%USERPROFILE%\AppData\Local\Temp\OnboardLogs"\RTDC4066\2017-11-17 &amp; aws s3 cp s3://rtdc.mdm.uploadarchive.raw/RTDC4066/ "%USERPROFILE%\AppData\Local\Temp\OnboardLogs"\RTDC4066\2017-11-18 --exclude "*" --recursive --include "*20171118*" &amp; "%USERPROFILE%\Documents\GitHub\mrs-test-scripts\Headless Mode &amp; Sideloading\WalkAndUnGZ.bat" "%USERPROFILE%\AppData\Local\Temp\OnboardLogs"\RTDC4066\2017-11-18</v>
      </c>
      <c r="AF14" s="74" t="str">
        <f t="shared" si="10"/>
        <v>"C:\Program Files (x86)\AstroGrep\AstroGrep.exe" /e /r /s /spath="%USERPROFILE%\AppData\Local\Temp\OnboardLogs" /stypes="app*4066*20171117*" /stext=" 10:.+((SYSTEM_STATE.+slice.+state.+changed )|(ment ac)|(multiple cpu faults)|(system.+state.+changed )|(\[timeout)|(PRM\|1\|D)|(kpr)|(kdp)|(train st.+moving)|(\|lc)|(penalty))"</v>
      </c>
      <c r="AG14" s="182" t="str">
        <f t="shared" si="11"/>
        <v>EC</v>
      </c>
      <c r="AH14" s="78" t="str">
        <f t="shared" ref="AH14:AH77" si="12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101-17 --locoid 4066 --swversion DE.1.0.9.0 --startMP 204:19140 --initTime 2017-11-17T03:20:38 --startdatetime 2017-11-17T03:22:05 --delay 50 --endMP 204:233302 --enddatetime 2017-11-17T03:51:18 --enforcementcount 1 &gt;&gt;%USERPROFILE%\Documents\GitHub\eaglep3-reporting\EC\2017-11-17-refined-times.txt</v>
      </c>
      <c r="AI14" s="96" t="str">
        <f t="shared" ref="AI14:AI77" si="13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{"issue":{"subject":"Poor GPS at DUS","project_id":79,"tracker_id":40,"status_id":1,"priority_id":2,"assigned_to_id":338,"start_date":"2017-11-17","description":"","custom_fields":[{"id":1,"name":"Subdivision","value":"EC"},{"id":4,"name":"Milepost","value":"23.3302"},{"id":17,"name":"Train ID","value":"101-17"},{"id":16,"name":"Locomotive ID","value":"4066"},{"id":130,"name":"Impact","value":""},{"id":150,"name":"Time of Event (Mountain Time)","value":"03:51:18"},{"id":151,"name":"Denver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" s="20"/>
      <c r="AK14" s="47"/>
      <c r="AL14" s="47"/>
      <c r="AM14" s="142" t="str">
        <f t="shared" ref="AM14:AM77" si="14">"start /low /b "&amp;dls3logs&amp;" --loco "&amp;B14&amp;" --day "&amp;TEXT(F14,"YYYY-MM-DD")</f>
        <v>start /low /b %USERPROFILE%\Documents\GitHub\eaglep3\Utilities\DownloadLogsFromS3.py --loco 4066 --day 2017-11-17</v>
      </c>
      <c r="AN14" s="151" t="str">
        <f t="shared" ref="AN14:AN77" si="15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{"issue":{"subject":"Poor GPS at DUS","project_id":30,"tracker_id":4,"status_id":1,"priority_id":1,"assigned_to_id":10,"start_date":"2017-11-17","description":"","custom_fields":[{"id":30,"name":"Category","value":"Issue"},{"id":3,"name":"Functional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10:51:18"},{"id":29,"name":"Sharepoint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168" t="str">
        <f t="shared" ref="AO14:AO77" si="16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-11-17T02:20:38-0700',mode:absolute,to:'2017-11-17T04:51:18-0700'))&amp;_a=(columns:!('Message%20ID',Summary),filters:!(),index:'emp_*',interval:auto,query:(query_string:(analyze_wildcard:!t,query:'%22rtdc.l.rtdc.4066%22')),sort:!(Time.ISO8601,asc))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3">
      <c r="A15" s="32" t="s">
        <v>663</v>
      </c>
      <c r="B15" s="7">
        <v>4065</v>
      </c>
      <c r="C15" s="21" t="s">
        <v>192</v>
      </c>
      <c r="D15" s="21" t="s">
        <v>572</v>
      </c>
      <c r="E15" s="13">
        <v>43056.161666666667</v>
      </c>
      <c r="F15" s="13">
        <v>43056.17559027778</v>
      </c>
      <c r="G15" s="7">
        <v>94</v>
      </c>
      <c r="H15" s="21" t="s">
        <v>902</v>
      </c>
      <c r="I15" s="13">
        <v>43056.203506944446</v>
      </c>
      <c r="J15" s="7">
        <v>1</v>
      </c>
      <c r="K15" s="89" t="str">
        <f t="shared" si="0"/>
        <v>4065/4066</v>
      </c>
      <c r="L15" s="185" t="str">
        <f>VLOOKUP(A15,'Trips&amp;Operators'!$C$1:$G$99911,5,FALSE)</f>
        <v>YORK EDGAR</v>
      </c>
      <c r="M15" s="6">
        <f t="shared" si="1"/>
        <v>2.7916666665987577E-2</v>
      </c>
      <c r="N15" s="7">
        <f>24*60*SUM($M15:$M15)</f>
        <v>40.199999999022111</v>
      </c>
      <c r="O15" s="7"/>
      <c r="P15" s="7"/>
      <c r="Q15" s="22"/>
      <c r="R15" s="174"/>
      <c r="S15" s="221">
        <f>1/IF(AG15="EC",12,1)*SUM(U15:U15)</f>
        <v>1</v>
      </c>
      <c r="T15" s="174" t="str">
        <f t="shared" si="2"/>
        <v>Southbound</v>
      </c>
      <c r="U15" s="198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16" t="str">
        <f t="shared" si="3"/>
        <v>https://d0f6bd738d7f1b3e5a7ca70fe4ff75f0.us-east-1.aws.found.io/app/kibana#/discover/Steve-Slow-Train-Analysis-(2080s-and-2083s)?_g=(refreshInterval:(display:Off,pause:!f,section:0,value:0),time:(from:'2017-11-17T02:52:48-0700',mode:absolute,to:'2017-11-17T05:53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5" s="204" t="str">
        <f>IF(AA15&lt;VLOOKUP(AG15,Variables!$AC$3:$AD$8,2,FALSE),"Y","N")</f>
        <v>N</v>
      </c>
      <c r="X15" s="204">
        <f t="shared" si="4"/>
        <v>1</v>
      </c>
      <c r="Y15" s="204">
        <f t="shared" si="5"/>
        <v>23.297899999999998</v>
      </c>
      <c r="Z15" s="204">
        <f t="shared" si="6"/>
        <v>1.54E-2</v>
      </c>
      <c r="AA15" s="204">
        <f t="shared" si="7"/>
        <v>23.282499999999999</v>
      </c>
      <c r="AB15" s="54" t="e">
        <f>VLOOKUP(A15,Enforcements!$C$7:$K$9,8,0)</f>
        <v>#N/A</v>
      </c>
      <c r="AC15" s="51" t="e">
        <f>VLOOKUP(A15,Enforcements!$C$7:$E$9,3,0)</f>
        <v>#N/A</v>
      </c>
      <c r="AD15" s="179">
        <f t="shared" si="8"/>
        <v>102</v>
      </c>
      <c r="AE15" s="77" t="str">
        <f t="shared" si="9"/>
        <v>aws s3 cp s3://rtdc.mdm.uploadarchive.raw/RTDC4065/ "%USERPROFILE%\AppData\Local\Temp\OnboardLogs"\RTDC4065\2017-11-17 --exclude "*" --recursive --include "*20171117*" &amp; "%USERPROFILE%\Documents\GitHub\mrs-test-scripts\Headless Mode &amp; Sideloading\WalkAndUnGZ.bat" "%USERPROFILE%\AppData\Local\Temp\OnboardLogs"\RTDC4065\2017-11-17 &amp; aws s3 cp s3://rtdc.mdm.uploadarchive.raw/RTDC4065/ "%USERPROFILE%\AppData\Local\Temp\OnboardLogs"\RTDC4065\2017-11-18 --exclude "*" --recursive --include "*20171118*" &amp; "%USERPROFILE%\Documents\GitHub\mrs-test-scripts\Headless Mode &amp; Sideloading\WalkAndUnGZ.bat" "%USERPROFILE%\AppData\Local\Temp\OnboardLogs"\RTDC4065\2017-11-18</v>
      </c>
      <c r="AF15" s="74" t="str">
        <f t="shared" si="10"/>
        <v>"C:\Program Files (x86)\AstroGrep\AstroGrep.exe" /e /r /s /spath="%USERPROFILE%\AppData\Local\Temp\OnboardLogs" /stypes="app*4065*20171117*" /stext=" 11:.+((SYSTEM_STATE.+slice.+state.+changed )|(ment ac)|(multiple cpu faults)|(system.+state.+changed )|(\[timeout)|(PRM\|1\|D)|(kpr)|(kdp)|(train st.+moving)|(\|lc)|(penalty))"</v>
      </c>
      <c r="AG15" s="182" t="str">
        <f t="shared" si="11"/>
        <v>EC</v>
      </c>
      <c r="AH15" s="78" t="str">
        <f t="shared" si="12"/>
        <v>"%USERPROFILE%\Documents\GitHub\eaglep3\Utilities\RefineRTDCRunTimes.py" --tripid 102-17 --locoid 4065 --swversion DE.1.0.9.0 --startMP 204:232979 --initTime 2017-11-17T03:52:48 --startdatetime 2017-11-17T04:12:51 --delay 94 --endMP 204:154 --enddatetime 2017-11-17T04:53:03 --enforcementcount 1 &gt;&gt;%USERPROFILE%\Documents\GitHub\eaglep3-reporting\EC\2017-11-17-refined-times.txt</v>
      </c>
      <c r="AI15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{"issue":{"subject":"","project_id":79,"tracker_id":40,"status_id":1,"priority_id":2,"assigned_to_id":338,"start_date":"2017-11-17","description":"","custom_fields":[{"id":1,"name":"Subdivision","value":"EC"},{"id":4,"name":"Milepost","value":"0.0154"},{"id":17,"name":"Train ID","value":"102-17"},{"id":16,"name":"Locomotive ID","value":"4065"},{"id":130,"name":"Impact","value":""},{"id":150,"name":"Time of Event (Mountain Time)","value":"04:53:03"},{"id":151,"name":"Denver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" s="20"/>
      <c r="AK15" s="47"/>
      <c r="AL15" s="47"/>
      <c r="AM15" s="142" t="str">
        <f t="shared" si="14"/>
        <v>start /low /b %USERPROFILE%\Documents\GitHub\eaglep3\Utilities\DownloadLogsFromS3.py --loco 4065 --day 2017-11-17</v>
      </c>
      <c r="AN15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11:53:03"},{"id":29,"name":"Sharepoint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168" t="str">
        <f t="shared" si="16"/>
        <v>https://d0f6bd738d7f1b3e5a7ca70fe4ff75f0.us-east-1.aws.found.io/app/kibana#/discover/Steve-Slow-Train-Analysis-(2080s-and-2083s)?_g=(refreshInterval:(display:Off,pause:!f,section:0,value:0),time:(from:'2017-11-17T02:52:48-0700',mode:absolute,to:'2017-11-17T05:53:03-0700'))&amp;_a=(columns:!('Message%20ID',Summary),filters:!(),index:'emp_*',interval:auto,query:(query_string:(analyze_wildcard:!t,query:'%22rtdc.l.rtdc.4065%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3">
      <c r="A16" s="32" t="s">
        <v>634</v>
      </c>
      <c r="B16" s="7">
        <v>4020</v>
      </c>
      <c r="C16" s="21" t="s">
        <v>192</v>
      </c>
      <c r="D16" s="21" t="s">
        <v>450</v>
      </c>
      <c r="E16" s="13">
        <v>43056.15179398148</v>
      </c>
      <c r="F16" s="13">
        <v>43056.156469907408</v>
      </c>
      <c r="G16" s="7">
        <v>62</v>
      </c>
      <c r="H16" s="21" t="s">
        <v>903</v>
      </c>
      <c r="I16" s="13">
        <v>43056.171909722223</v>
      </c>
      <c r="J16" s="7">
        <v>1</v>
      </c>
      <c r="K16" s="89" t="str">
        <f t="shared" si="0"/>
        <v>4019/4020</v>
      </c>
      <c r="L16" s="185" t="str">
        <f>VLOOKUP(A16,'Trips&amp;Operators'!$C$1:$G$99911,5,FALSE)</f>
        <v>MAELZER KURT</v>
      </c>
      <c r="M16" s="6">
        <f t="shared" si="1"/>
        <v>1.5439814815181307E-2</v>
      </c>
      <c r="N16" s="7"/>
      <c r="O16" s="7"/>
      <c r="P16" s="7">
        <f>24*60*SUM($M16:$M16)</f>
        <v>22.233333333861083</v>
      </c>
      <c r="Q16" s="22"/>
      <c r="R16" s="174" t="s">
        <v>631</v>
      </c>
      <c r="S16" s="221">
        <f>1/IF(AG16="EC",12,1)*SUM(U16:U16)</f>
        <v>1</v>
      </c>
      <c r="T16" s="174" t="str">
        <f t="shared" si="2"/>
        <v>NorthBound</v>
      </c>
      <c r="U16" s="198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16" t="str">
        <f t="shared" si="3"/>
        <v>https://d0f6bd738d7f1b3e5a7ca70fe4ff75f0.us-east-1.aws.found.io/app/kibana#/discover/Steve-Slow-Train-Analysis-(2080s-and-2083s)?_g=(refreshInterval:(display:Off,pause:!f,section:0,value:0),time:(from:'2017-11-17T02:38:35-0700',mode:absolute,to:'2017-11-17T05:07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6" s="204" t="str">
        <f>IF(AA16&lt;VLOOKUP(AG16,Variables!$AC$3:$AD$8,2,FALSE),"Y","N")</f>
        <v>Y</v>
      </c>
      <c r="X16" s="204">
        <f t="shared" si="4"/>
        <v>1</v>
      </c>
      <c r="Y16" s="204">
        <f t="shared" si="5"/>
        <v>5.0599999999999999E-2</v>
      </c>
      <c r="Z16" s="204">
        <f t="shared" si="6"/>
        <v>12.6813</v>
      </c>
      <c r="AA16" s="204">
        <f t="shared" si="7"/>
        <v>12.630700000000001</v>
      </c>
      <c r="AB16" s="54" t="e">
        <f>VLOOKUP(A16,Enforcements!$C$7:$K$9,8,0)</f>
        <v>#N/A</v>
      </c>
      <c r="AC16" s="51" t="e">
        <f>VLOOKUP(A16,Enforcements!$C$7:$E$9,3,0)</f>
        <v>#N/A</v>
      </c>
      <c r="AD16" s="179">
        <f t="shared" si="8"/>
        <v>103</v>
      </c>
      <c r="AE16" s="77" t="str">
        <f t="shared" si="9"/>
        <v>aws s3 cp s3://rtdc.mdm.uploadarchive.raw/RTDC4020/ "%USERPROFILE%\AppData\Local\Temp\OnboardLogs"\RTDC4020\2017-11-17 --exclude "*" --recursive --include "*20171117*" &amp; "%USERPROFILE%\Documents\GitHub\mrs-test-scripts\Headless Mode &amp; Sideloading\WalkAndUnGZ.bat" "%USERPROFILE%\AppData\Local\Temp\OnboardLogs"\RTDC4020\2017-11-17 &amp; aws s3 cp s3://rtdc.mdm.uploadarchive.raw/RTDC4020/ "%USERPROFILE%\AppData\Local\Temp\OnboardLogs"\RTDC4020\2017-11-18 --exclude "*" --recursive --include "*20171118*" &amp; "%USERPROFILE%\Documents\GitHub\mrs-test-scripts\Headless Mode &amp; Sideloading\WalkAndUnGZ.bat" "%USERPROFILE%\AppData\Local\Temp\OnboardLogs"\RTDC4020\2017-11-18</v>
      </c>
      <c r="AF16" s="74" t="str">
        <f t="shared" si="10"/>
        <v>"C:\Program Files (x86)\AstroGrep\AstroGrep.exe" /e /r /s /spath="%USERPROFILE%\AppData\Local\Temp\OnboardLogs" /stypes="app*4020*20171117*" /stext=" 11:.+((SYSTEM_STATE.+slice.+state.+changed )|(ment ac)|(multiple cpu faults)|(system.+state.+changed )|(\[timeout)|(PRM\|1\|D)|(kpr)|(kdp)|(train st.+moving)|(\|lc)|(penalty))"</v>
      </c>
      <c r="AG16" s="182" t="str">
        <f t="shared" si="11"/>
        <v>EC</v>
      </c>
      <c r="AH16" s="78" t="str">
        <f t="shared" si="12"/>
        <v>"%USERPROFILE%\Documents\GitHub\eaglep3\Utilities\RefineRTDCRunTimes.py" --tripid 103-17 --locoid 4020 --swversion DE.1.0.9.0 --startMP 204:506 --initTime 2017-11-17T03:38:35 --startdatetime 2017-11-17T03:45:19 --delay 62 --endMP 204:126813 --enddatetime 2017-11-17T04:07:33 --enforcementcount 1 &gt;&gt;%USERPROFILE%\Documents\GitHub\eaglep3-reporting\EC\2017-11-17-refined-times.txt</v>
      </c>
      <c r="AI16" s="96" t="str">
        <f t="shared" si="13"/>
        <v>echo {"issue":{"subject":"Wi-MAX data drop","project_id":79,"tracker_id":40,"status_id":1,"priority_id":2,"assigned_to_id":338,"start_date":"2017-11-17","description":"","custom_fields":[{"id":1,"name":"Subdivision","value":"EC"},{"id":4,"name":"Milepost","value":"12.6813"},{"id":17,"name":"Train ID","value":"103-17"},{"id":16,"name":"Locomotive ID","value":"4020"},{"id":130,"name":"Impact","value":""},{"id":150,"name":"Time of Event (Mountain Time)","value":"04:07:33"},{"id":151,"name":"Denver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" s="20"/>
      <c r="AK16" s="47"/>
      <c r="AL16" s="47"/>
      <c r="AM16" s="142" t="str">
        <f t="shared" si="14"/>
        <v>start /low /b %USERPROFILE%\Documents\GitHub\eaglep3\Utilities\DownloadLogsFromS3.py --loco 4020 --day 2017-11-17</v>
      </c>
      <c r="AN16" s="151" t="str">
        <f t="shared" si="15"/>
        <v>echo {"issue":{"subject":"Wi-MAX data drop","project_id":30,"tracker_id":4,"status_id":1,"priority_id":1,"assigned_to_id":10,"start_date":"2017-11-17","description":"","custom_fields":[{"id":30,"name":"Category","value":"Issue"},{"id":3,"name":"Functional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11:07:33"},{"id":29,"name":"Sharepoint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168" t="str">
        <f t="shared" si="16"/>
        <v>https://d0f6bd738d7f1b3e5a7ca70fe4ff75f0.us-east-1.aws.found.io/app/kibana#/discover/Steve-Slow-Train-Analysis-(2080s-and-2083s)?_g=(refreshInterval:(display:Off,pause:!f,section:0,value:0),time:(from:'2017-11-17T02:38:35-0700',mode:absolute,to:'2017-11-17T05:07:33-0700'))&amp;_a=(columns:!('Message%20ID',Summary),filters:!(),index:'emp_*',interval:auto,query:(query_string:(analyze_wildcard:!t,query:'%22rtdc.l.rtdc.4020%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3">
      <c r="A17" s="32" t="s">
        <v>634</v>
      </c>
      <c r="B17" s="7">
        <v>4020</v>
      </c>
      <c r="C17" s="21" t="s">
        <v>192</v>
      </c>
      <c r="D17" s="21" t="s">
        <v>904</v>
      </c>
      <c r="E17" s="13">
        <v>43056.173020833332</v>
      </c>
      <c r="F17" s="13">
        <v>43056.173958333333</v>
      </c>
      <c r="G17" s="7">
        <v>38</v>
      </c>
      <c r="H17" s="21" t="s">
        <v>905</v>
      </c>
      <c r="I17" s="13">
        <v>43056.174988425926</v>
      </c>
      <c r="J17" s="7">
        <v>1</v>
      </c>
      <c r="K17" s="89" t="str">
        <f t="shared" si="0"/>
        <v>4019/4020</v>
      </c>
      <c r="L17" s="185" t="str">
        <f>VLOOKUP(A17,'Trips&amp;Operators'!$C$1:$G$99911,5,FALSE)</f>
        <v>MAELZER KURT</v>
      </c>
      <c r="M17" s="6">
        <f t="shared" si="1"/>
        <v>1.0300925932824612E-3</v>
      </c>
      <c r="N17" s="7"/>
      <c r="O17" s="7"/>
      <c r="P17" s="7"/>
      <c r="Q17" s="22"/>
      <c r="R17" s="174"/>
      <c r="S17" s="221"/>
      <c r="T17" s="174" t="str">
        <f t="shared" si="2"/>
        <v>NorthBound</v>
      </c>
      <c r="U17" s="198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0</v>
      </c>
      <c r="V17" s="216" t="str">
        <f t="shared" si="3"/>
        <v>https://d0f6bd738d7f1b3e5a7ca70fe4ff75f0.us-east-1.aws.found.io/app/kibana#/discover/Steve-Slow-Train-Analysis-(2080s-and-2083s)?_g=(refreshInterval:(display:Off,pause:!f,section:0,value:0),time:(from:'2017-11-17T03:09:09-0700',mode:absolute,to:'2017-11-17T05:11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7" s="204" t="str">
        <f>IF(AA17&lt;VLOOKUP(AG17,Variables!$AC$3:$AD$8,2,FALSE),"Y","N")</f>
        <v>Y</v>
      </c>
      <c r="X17" s="204">
        <f t="shared" si="4"/>
        <v>0</v>
      </c>
      <c r="Y17" s="204">
        <f t="shared" si="5"/>
        <v>12.827500000000001</v>
      </c>
      <c r="Z17" s="204">
        <f t="shared" si="6"/>
        <v>13.2224</v>
      </c>
      <c r="AA17" s="204">
        <f t="shared" si="7"/>
        <v>0.39489999999999981</v>
      </c>
      <c r="AB17" s="54" t="e">
        <f>VLOOKUP(A17,Enforcements!$C$7:$K$9,8,0)</f>
        <v>#N/A</v>
      </c>
      <c r="AC17" s="51" t="e">
        <f>VLOOKUP(A17,Enforcements!$C$7:$E$9,3,0)</f>
        <v>#N/A</v>
      </c>
      <c r="AD17" s="179">
        <f t="shared" si="8"/>
        <v>103</v>
      </c>
      <c r="AE17" s="77" t="str">
        <f t="shared" si="9"/>
        <v>aws s3 cp s3://rtdc.mdm.uploadarchive.raw/RTDC4020/ "%USERPROFILE%\AppData\Local\Temp\OnboardLogs"\RTDC4020\2017-11-17 --exclude "*" --recursive --include "*20171117*" &amp; "%USERPROFILE%\Documents\GitHub\mrs-test-scripts\Headless Mode &amp; Sideloading\WalkAndUnGZ.bat" "%USERPROFILE%\AppData\Local\Temp\OnboardLogs"\RTDC4020\2017-11-17 &amp; aws s3 cp s3://rtdc.mdm.uploadarchive.raw/RTDC4020/ "%USERPROFILE%\AppData\Local\Temp\OnboardLogs"\RTDC4020\2017-11-18 --exclude "*" --recursive --include "*20171118*" &amp; "%USERPROFILE%\Documents\GitHub\mrs-test-scripts\Headless Mode &amp; Sideloading\WalkAndUnGZ.bat" "%USERPROFILE%\AppData\Local\Temp\OnboardLogs"\RTDC4020\2017-11-18</v>
      </c>
      <c r="AF17" s="74" t="str">
        <f t="shared" si="10"/>
        <v>"C:\Program Files (x86)\AstroGrep\AstroGrep.exe" /e /r /s /spath="%USERPROFILE%\AppData\Local\Temp\OnboardLogs" /stypes="app*4020*20171117*" /stext=" 11:.+((SYSTEM_STATE.+slice.+state.+changed )|(ment ac)|(multiple cpu faults)|(system.+state.+changed )|(\[timeout)|(PRM\|1\|D)|(kpr)|(kdp)|(train st.+moving)|(\|lc)|(penalty))"</v>
      </c>
      <c r="AG17" s="182" t="str">
        <f t="shared" si="11"/>
        <v>EC</v>
      </c>
      <c r="AH17" s="78" t="str">
        <f t="shared" si="12"/>
        <v>"%USERPROFILE%\Documents\GitHub\eaglep3\Utilities\RefineRTDCRunTimes.py" --tripid 103-17 --locoid 4020 --swversion DE.1.0.9.0 --startMP 204:128275 --initTime 2017-11-17T04:09:09 --startdatetime 2017-11-17T04:10:30 --delay 38 --endMP 204:132224 --enddatetime 2017-11-17T04:11:59 --enforcementcount 1 &gt;&gt;%USERPROFILE%\Documents\GitHub\eaglep3-reporting\EC\2017-11-17-refined-times.txt</v>
      </c>
      <c r="AI17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{"issue":{"subject":"","project_id":79,"tracker_id":40,"status_id":1,"priority_id":2,"assigned_to_id":338,"start_date":"2017-11-17","description":"","custom_fields":[{"id":1,"name":"Subdivision","value":"EC"},{"id":4,"name":"Milepost","value":"13.2224"},{"id":17,"name":"Train ID","value":"103-17"},{"id":16,"name":"Locomotive ID","value":"4020"},{"id":130,"name":"Impact","value":""},{"id":150,"name":"Time of Event (Mountain Time)","value":"04:11:59"},{"id":151,"name":"Denver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" s="20"/>
      <c r="AK17" s="47"/>
      <c r="AL17" s="47"/>
      <c r="AM17" s="142" t="str">
        <f t="shared" si="14"/>
        <v>start /low /b %USERPROFILE%\Documents\GitHub\eaglep3\Utilities\DownloadLogsFromS3.py --loco 4020 --day 2017-11-17</v>
      </c>
      <c r="AN17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11:11:59"},{"id":29,"name":"Sharepoint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168" t="str">
        <f t="shared" si="16"/>
        <v>https://d0f6bd738d7f1b3e5a7ca70fe4ff75f0.us-east-1.aws.found.io/app/kibana#/discover/Steve-Slow-Train-Analysis-(2080s-and-2083s)?_g=(refreshInterval:(display:Off,pause:!f,section:0,value:0),time:(from:'2017-11-17T03:09:09-0700',mode:absolute,to:'2017-11-17T05:11:59-0700'))&amp;_a=(columns:!('Message%20ID',Summary),filters:!(),index:'emp_*',interval:auto,query:(query_string:(analyze_wildcard:!t,query:'%22rtdc.l.rtdc.4020%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3">
      <c r="A18" s="32" t="s">
        <v>670</v>
      </c>
      <c r="B18" s="7">
        <v>4019</v>
      </c>
      <c r="C18" s="21" t="s">
        <v>192</v>
      </c>
      <c r="D18" s="21" t="s">
        <v>906</v>
      </c>
      <c r="E18" s="13">
        <v>43056.192731481482</v>
      </c>
      <c r="F18" s="13">
        <v>43056.196064814816</v>
      </c>
      <c r="G18" s="7">
        <v>48</v>
      </c>
      <c r="H18" s="21" t="s">
        <v>531</v>
      </c>
      <c r="I18" s="13">
        <v>43056.222708333335</v>
      </c>
      <c r="J18" s="7">
        <v>1</v>
      </c>
      <c r="K18" s="89" t="str">
        <f t="shared" si="0"/>
        <v>4019/4020</v>
      </c>
      <c r="L18" s="185" t="str">
        <f>VLOOKUP(A18,'Trips&amp;Operators'!$C$1:$G$99911,5,FALSE)</f>
        <v>MAELZER KURT</v>
      </c>
      <c r="M18" s="6">
        <f t="shared" si="1"/>
        <v>2.6643518518540077E-2</v>
      </c>
      <c r="N18" s="7">
        <f t="shared" ref="N18:N49" si="17">24*60*SUM($M18:$M18)</f>
        <v>38.366666666697711</v>
      </c>
      <c r="O18" s="7"/>
      <c r="P18" s="7"/>
      <c r="Q18" s="22"/>
      <c r="R18" s="174"/>
      <c r="S18" s="221">
        <f t="shared" ref="S18:S49" si="18">1/IF(AG18="EC",12,1)*SUM(U18:U18)</f>
        <v>1</v>
      </c>
      <c r="T18" s="174" t="str">
        <f t="shared" si="2"/>
        <v>Southbound</v>
      </c>
      <c r="U18" s="198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16" t="str">
        <f t="shared" si="3"/>
        <v>https://d0f6bd738d7f1b3e5a7ca70fe4ff75f0.us-east-1.aws.found.io/app/kibana#/discover/Steve-Slow-Train-Analysis-(2080s-and-2083s)?_g=(refreshInterval:(display:Off,pause:!f,section:0,value:0),time:(from:'2017-11-17T03:37:32-0700',mode:absolute,to:'2017-11-17T06:20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8" s="204" t="str">
        <f>IF(AA18&lt;VLOOKUP(AG18,Variables!$AC$3:$AD$8,2,FALSE),"Y","N")</f>
        <v>N</v>
      </c>
      <c r="X18" s="204">
        <f t="shared" si="4"/>
        <v>1</v>
      </c>
      <c r="Y18" s="204">
        <f t="shared" si="5"/>
        <v>23.302299999999999</v>
      </c>
      <c r="Z18" s="204">
        <f t="shared" si="6"/>
        <v>1.9099999999999999E-2</v>
      </c>
      <c r="AA18" s="204">
        <f t="shared" si="7"/>
        <v>23.283199999999997</v>
      </c>
      <c r="AB18" s="54" t="e">
        <f>VLOOKUP(A18,Enforcements!$C$7:$K$9,8,0)</f>
        <v>#N/A</v>
      </c>
      <c r="AC18" s="51" t="e">
        <f>VLOOKUP(A18,Enforcements!$C$7:$E$9,3,0)</f>
        <v>#N/A</v>
      </c>
      <c r="AD18" s="179">
        <f t="shared" si="8"/>
        <v>104</v>
      </c>
      <c r="AE18" s="77" t="str">
        <f t="shared" si="9"/>
        <v>aws s3 cp s3://rtdc.mdm.uploadarchive.raw/RTDC4019/ "%USERPROFILE%\AppData\Local\Temp\OnboardLogs"\RTDC4019\2017-11-17 --exclude "*" --recursive --include "*20171117*" &amp; "%USERPROFILE%\Documents\GitHub\mrs-test-scripts\Headless Mode &amp; Sideloading\WalkAndUnGZ.bat" "%USERPROFILE%\AppData\Local\Temp\OnboardLogs"\RTDC4019\2017-11-17 &amp; aws s3 cp s3://rtdc.mdm.uploadarchive.raw/RTDC4019/ "%USERPROFILE%\AppData\Local\Temp\OnboardLogs"\RTDC4019\2017-11-18 --exclude "*" --recursive --include "*20171118*" &amp; "%USERPROFILE%\Documents\GitHub\mrs-test-scripts\Headless Mode &amp; Sideloading\WalkAndUnGZ.bat" "%USERPROFILE%\AppData\Local\Temp\OnboardLogs"\RTDC4019\2017-11-18</v>
      </c>
      <c r="AF18" s="74" t="str">
        <f t="shared" si="10"/>
        <v>"C:\Program Files (x86)\AstroGrep\AstroGrep.exe" /e /r /s /spath="%USERPROFILE%\AppData\Local\Temp\OnboardLogs" /stypes="app*4019*20171117*" /stext=" 12:.+((SYSTEM_STATE.+slice.+state.+changed )|(ment ac)|(multiple cpu faults)|(system.+state.+changed )|(\[timeout)|(PRM\|1\|D)|(kpr)|(kdp)|(train st.+moving)|(\|lc)|(penalty))"</v>
      </c>
      <c r="AG18" s="182" t="str">
        <f t="shared" si="11"/>
        <v>EC</v>
      </c>
      <c r="AH18" s="78" t="str">
        <f t="shared" si="12"/>
        <v>"%USERPROFILE%\Documents\GitHub\eaglep3\Utilities\RefineRTDCRunTimes.py" --tripid 104-17 --locoid 4019 --swversion DE.1.0.9.0 --startMP 204:233023 --initTime 2017-11-17T04:37:32 --startdatetime 2017-11-17T04:42:20 --delay 48 --endMP 204:191 --enddatetime 2017-11-17T05:20:42 --enforcementcount 1 &gt;&gt;%USERPROFILE%\Documents\GitHub\eaglep3-reporting\EC\2017-11-17-refined-times.txt</v>
      </c>
      <c r="AI18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{"issue":{"subject":"","project_id":79,"tracker_id":40,"status_id":1,"priority_id":2,"assigned_to_id":338,"start_date":"2017-11-17","description":"","custom_fields":[{"id":1,"name":"Subdivision","value":"EC"},{"id":4,"name":"Milepost","value":"0.0191"},{"id":17,"name":"Train ID","value":"104-17"},{"id":16,"name":"Locomotive ID","value":"4019"},{"id":130,"name":"Impact","value":""},{"id":150,"name":"Time of Event (Mountain Time)","value":"05:20:42"},{"id":151,"name":"Denver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" s="20"/>
      <c r="AK18" s="47"/>
      <c r="AL18" s="47"/>
      <c r="AM18" s="142" t="str">
        <f t="shared" si="14"/>
        <v>start /low /b %USERPROFILE%\Documents\GitHub\eaglep3\Utilities\DownloadLogsFromS3.py --loco 4019 --day 2017-11-17</v>
      </c>
      <c r="AN18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12:20:42"},{"id":29,"name":"Sharepoint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168" t="str">
        <f t="shared" si="16"/>
        <v>https://d0f6bd738d7f1b3e5a7ca70fe4ff75f0.us-east-1.aws.found.io/app/kibana#/discover/Steve-Slow-Train-Analysis-(2080s-and-2083s)?_g=(refreshInterval:(display:Off,pause:!f,section:0,value:0),time:(from:'2017-11-17T03:37:32-0700',mode:absolute,to:'2017-11-17T06:20:42-0700'))&amp;_a=(columns:!('Message%20ID',Summary),filters:!(),index:'emp_*',interval:auto,query:(query_string:(analyze_wildcard:!t,query:'%22rtdc.l.rtdc.4019%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3">
      <c r="A19" s="32" t="s">
        <v>665</v>
      </c>
      <c r="B19" s="7">
        <v>4036</v>
      </c>
      <c r="C19" s="21" t="s">
        <v>192</v>
      </c>
      <c r="D19" s="21" t="s">
        <v>583</v>
      </c>
      <c r="E19" s="13">
        <v>43056.173333333332</v>
      </c>
      <c r="F19" s="13">
        <v>43056.177245370367</v>
      </c>
      <c r="G19" s="7">
        <v>80</v>
      </c>
      <c r="H19" s="21" t="s">
        <v>565</v>
      </c>
      <c r="I19" s="13">
        <v>43056.20239583333</v>
      </c>
      <c r="J19" s="7">
        <v>1</v>
      </c>
      <c r="K19" s="89" t="str">
        <f t="shared" si="0"/>
        <v>4035/4036</v>
      </c>
      <c r="L19" s="185" t="str">
        <f>VLOOKUP(A19,'Trips&amp;Operators'!$C$1:$G$99911,5,FALSE)</f>
        <v>AUSTIN THOMPSON</v>
      </c>
      <c r="M19" s="6">
        <f t="shared" si="1"/>
        <v>2.5150462963210884E-2</v>
      </c>
      <c r="N19" s="7">
        <f t="shared" si="17"/>
        <v>36.216666667023674</v>
      </c>
      <c r="O19" s="7"/>
      <c r="P19" s="7"/>
      <c r="Q19" s="22"/>
      <c r="R19" s="174"/>
      <c r="S19" s="221">
        <f t="shared" si="18"/>
        <v>1</v>
      </c>
      <c r="T19" s="174" t="str">
        <f t="shared" si="2"/>
        <v>NorthBound</v>
      </c>
      <c r="U19" s="198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16" t="str">
        <f t="shared" si="3"/>
        <v>https://d0f6bd738d7f1b3e5a7ca70fe4ff75f0.us-east-1.aws.found.io/app/kibana#/discover/Steve-Slow-Train-Analysis-(2080s-and-2083s)?_g=(refreshInterval:(display:Off,pause:!f,section:0,value:0),time:(from:'2017-11-17T03:09:36-0700',mode:absolute,to:'2017-11-17T05:51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9" s="204" t="str">
        <f>IF(AA19&lt;VLOOKUP(AG19,Variables!$AC$3:$AD$8,2,FALSE),"Y","N")</f>
        <v>N</v>
      </c>
      <c r="X19" s="204">
        <f t="shared" si="4"/>
        <v>1</v>
      </c>
      <c r="Y19" s="204">
        <f t="shared" si="5"/>
        <v>5.2600000000000001E-2</v>
      </c>
      <c r="Z19" s="204">
        <f t="shared" si="6"/>
        <v>23.3291</v>
      </c>
      <c r="AA19" s="204">
        <f t="shared" si="7"/>
        <v>23.276499999999999</v>
      </c>
      <c r="AB19" s="54" t="e">
        <f>VLOOKUP(A19,Enforcements!$C$7:$K$9,8,0)</f>
        <v>#N/A</v>
      </c>
      <c r="AC19" s="51" t="e">
        <f>VLOOKUP(A19,Enforcements!$C$7:$E$9,3,0)</f>
        <v>#N/A</v>
      </c>
      <c r="AD19" s="179">
        <f t="shared" si="8"/>
        <v>105</v>
      </c>
      <c r="AE19" s="77" t="str">
        <f t="shared" si="9"/>
        <v>aws s3 cp s3://rtdc.mdm.uploadarchive.raw/RTDC4036/ "%USERPROFILE%\AppData\Local\Temp\OnboardLogs"\RTDC4036\2017-11-17 --exclude "*" --recursive --include "*20171117*" &amp; "%USERPROFILE%\Documents\GitHub\mrs-test-scripts\Headless Mode &amp; Sideloading\WalkAndUnGZ.bat" "%USERPROFILE%\AppData\Local\Temp\OnboardLogs"\RTDC4036\2017-11-17 &amp; aws s3 cp s3://rtdc.mdm.uploadarchive.raw/RTDC4036/ "%USERPROFILE%\AppData\Local\Temp\OnboardLogs"\RTDC4036\2017-11-18 --exclude "*" --recursive --include "*20171118*" &amp; "%USERPROFILE%\Documents\GitHub\mrs-test-scripts\Headless Mode &amp; Sideloading\WalkAndUnGZ.bat" "%USERPROFILE%\AppData\Local\Temp\OnboardLogs"\RTDC4036\2017-11-18</v>
      </c>
      <c r="AF19" s="74" t="str">
        <f t="shared" si="10"/>
        <v>"C:\Program Files (x86)\AstroGrep\AstroGrep.exe" /e /r /s /spath="%USERPROFILE%\AppData\Local\Temp\OnboardLogs" /stypes="app*4036*20171117*" /stext=" 11:.+((SYSTEM_STATE.+slice.+state.+changed )|(ment ac)|(multiple cpu faults)|(system.+state.+changed )|(\[timeout)|(PRM\|1\|D)|(kpr)|(kdp)|(train st.+moving)|(\|lc)|(penalty))"</v>
      </c>
      <c r="AG19" s="182" t="str">
        <f t="shared" si="11"/>
        <v>EC</v>
      </c>
      <c r="AH19" s="78" t="str">
        <f t="shared" si="12"/>
        <v>"%USERPROFILE%\Documents\GitHub\eaglep3\Utilities\RefineRTDCRunTimes.py" --tripid 105-17 --locoid 4036 --swversion DE.1.0.9.0 --startMP 204:526 --initTime 2017-11-17T04:09:36 --startdatetime 2017-11-17T04:15:14 --delay 80 --endMP 204:233291 --enddatetime 2017-11-17T04:51:27 --enforcementcount 1 &gt;&gt;%USERPROFILE%\Documents\GitHub\eaglep3-reporting\EC\2017-11-17-refined-times.txt</v>
      </c>
      <c r="AI19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{"issue":{"subject":"","project_id":79,"tracker_id":40,"status_id":1,"priority_id":2,"assigned_to_id":338,"start_date":"2017-11-17","description":"","custom_fields":[{"id":1,"name":"Subdivision","value":"EC"},{"id":4,"name":"Milepost","value":"23.3291"},{"id":17,"name":"Train ID","value":"105-17"},{"id":16,"name":"Locomotive ID","value":"4036"},{"id":130,"name":"Impact","value":""},{"id":150,"name":"Time of Event (Mountain Time)","value":"04:51:27"},{"id":151,"name":"Denver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" s="20"/>
      <c r="AK19" s="47"/>
      <c r="AL19" s="47"/>
      <c r="AM19" s="142" t="str">
        <f t="shared" si="14"/>
        <v>start /low /b %USERPROFILE%\Documents\GitHub\eaglep3\Utilities\DownloadLogsFromS3.py --loco 4036 --day 2017-11-17</v>
      </c>
      <c r="AN19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11:51:27"},{"id":29,"name":"Sharepoint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168" t="str">
        <f t="shared" si="16"/>
        <v>https://d0f6bd738d7f1b3e5a7ca70fe4ff75f0.us-east-1.aws.found.io/app/kibana#/discover/Steve-Slow-Train-Analysis-(2080s-and-2083s)?_g=(refreshInterval:(display:Off,pause:!f,section:0,value:0),time:(from:'2017-11-17T03:09:36-0700',mode:absolute,to:'2017-11-17T05:51:27-0700'))&amp;_a=(columns:!('Message%20ID',Summary),filters:!(),index:'emp_*',interval:auto,query:(query_string:(analyze_wildcard:!t,query:'%22rtdc.l.rtdc.4036%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3">
      <c r="A20" s="32" t="s">
        <v>675</v>
      </c>
      <c r="B20" s="7">
        <v>4035</v>
      </c>
      <c r="C20" s="21" t="s">
        <v>192</v>
      </c>
      <c r="D20" s="21" t="s">
        <v>907</v>
      </c>
      <c r="E20" s="13">
        <v>43056.2106712963</v>
      </c>
      <c r="F20" s="13">
        <v>43056.216840277775</v>
      </c>
      <c r="G20" s="7">
        <v>50</v>
      </c>
      <c r="H20" s="21" t="s">
        <v>908</v>
      </c>
      <c r="I20" s="13">
        <v>43056.244189814817</v>
      </c>
      <c r="J20" s="7">
        <v>1</v>
      </c>
      <c r="K20" s="89" t="str">
        <f t="shared" si="0"/>
        <v>4035/4036</v>
      </c>
      <c r="L20" s="185" t="str">
        <f>VLOOKUP(A20,'Trips&amp;Operators'!$C$1:$G$99911,5,FALSE)</f>
        <v>AUSTIN THOMPSON</v>
      </c>
      <c r="M20" s="6">
        <f t="shared" si="1"/>
        <v>2.7349537042027805E-2</v>
      </c>
      <c r="N20" s="7">
        <f t="shared" si="17"/>
        <v>39.383333340520039</v>
      </c>
      <c r="O20" s="7"/>
      <c r="P20" s="7"/>
      <c r="Q20" s="22"/>
      <c r="R20" s="174"/>
      <c r="S20" s="221">
        <f t="shared" si="18"/>
        <v>1</v>
      </c>
      <c r="T20" s="174" t="str">
        <f t="shared" si="2"/>
        <v>Southbound</v>
      </c>
      <c r="U20" s="198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16" t="str">
        <f t="shared" si="3"/>
        <v>https://d0f6bd738d7f1b3e5a7ca70fe4ff75f0.us-east-1.aws.found.io/app/kibana#/discover/Steve-Slow-Train-Analysis-(2080s-and-2083s)?_g=(refreshInterval:(display:Off,pause:!f,section:0,value:0),time:(from:'2017-11-17T04:03:22-0700',mode:absolute,to:'2017-11-17T06:51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0" s="204" t="str">
        <f>IF(AA20&lt;VLOOKUP(AG20,Variables!$AC$3:$AD$8,2,FALSE),"Y","N")</f>
        <v>N</v>
      </c>
      <c r="X20" s="204">
        <f t="shared" si="4"/>
        <v>1</v>
      </c>
      <c r="Y20" s="204">
        <f t="shared" si="5"/>
        <v>23.2957</v>
      </c>
      <c r="Z20" s="204">
        <f t="shared" si="6"/>
        <v>2.3099999999999999E-2</v>
      </c>
      <c r="AA20" s="204">
        <f t="shared" si="7"/>
        <v>23.272600000000001</v>
      </c>
      <c r="AB20" s="54" t="e">
        <f>VLOOKUP(A20,Enforcements!$C$7:$K$9,8,0)</f>
        <v>#N/A</v>
      </c>
      <c r="AC20" s="51" t="e">
        <f>VLOOKUP(A20,Enforcements!$C$7:$E$9,3,0)</f>
        <v>#N/A</v>
      </c>
      <c r="AD20" s="179">
        <f t="shared" si="8"/>
        <v>106</v>
      </c>
      <c r="AE20" s="77" t="str">
        <f t="shared" si="9"/>
        <v>aws s3 cp s3://rtdc.mdm.uploadarchive.raw/RTDC4035/ "%USERPROFILE%\AppData\Local\Temp\OnboardLogs"\RTDC4035\2017-11-17 --exclude "*" --recursive --include "*20171117*" &amp; "%USERPROFILE%\Documents\GitHub\mrs-test-scripts\Headless Mode &amp; Sideloading\WalkAndUnGZ.bat" "%USERPROFILE%\AppData\Local\Temp\OnboardLogs"\RTDC4035\2017-11-17 &amp; aws s3 cp s3://rtdc.mdm.uploadarchive.raw/RTDC4035/ "%USERPROFILE%\AppData\Local\Temp\OnboardLogs"\RTDC4035\2017-11-18 --exclude "*" --recursive --include "*20171118*" &amp; "%USERPROFILE%\Documents\GitHub\mrs-test-scripts\Headless Mode &amp; Sideloading\WalkAndUnGZ.bat" "%USERPROFILE%\AppData\Local\Temp\OnboardLogs"\RTDC4035\2017-11-18</v>
      </c>
      <c r="AF20" s="74" t="str">
        <f t="shared" si="10"/>
        <v>"C:\Program Files (x86)\AstroGrep\AstroGrep.exe" /e /r /s /spath="%USERPROFILE%\AppData\Local\Temp\OnboardLogs" /stypes="app*4035*20171117*" /stext=" 12:.+((SYSTEM_STATE.+slice.+state.+changed )|(ment ac)|(multiple cpu faults)|(system.+state.+changed )|(\[timeout)|(PRM\|1\|D)|(kpr)|(kdp)|(train st.+moving)|(\|lc)|(penalty))"</v>
      </c>
      <c r="AG20" s="182" t="str">
        <f t="shared" si="11"/>
        <v>EC</v>
      </c>
      <c r="AH20" s="78" t="str">
        <f t="shared" si="12"/>
        <v>"%USERPROFILE%\Documents\GitHub\eaglep3\Utilities\RefineRTDCRunTimes.py" --tripid 106-17 --locoid 4035 --swversion DE.1.0.9.0 --startMP 204:232957 --initTime 2017-11-17T05:03:22 --startdatetime 2017-11-17T05:12:15 --delay 50 --endMP 204:231 --enddatetime 2017-11-17T05:51:38 --enforcementcount 1 &gt;&gt;%USERPROFILE%\Documents\GitHub\eaglep3-reporting\EC\2017-11-17-refined-times.txt</v>
      </c>
      <c r="AI20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{"issue":{"subject":"","project_id":79,"tracker_id":40,"status_id":1,"priority_id":2,"assigned_to_id":338,"start_date":"2017-11-17","description":"","custom_fields":[{"id":1,"name":"Subdivision","value":"EC"},{"id":4,"name":"Milepost","value":"0.0231"},{"id":17,"name":"Train ID","value":"106-17"},{"id":16,"name":"Locomotive ID","value":"4035"},{"id":130,"name":"Impact","value":""},{"id":150,"name":"Time of Event (Mountain Time)","value":"05:51:38"},{"id":151,"name":"Denver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" s="20"/>
      <c r="AK20" s="47"/>
      <c r="AL20" s="47"/>
      <c r="AM20" s="142" t="str">
        <f t="shared" si="14"/>
        <v>start /low /b %USERPROFILE%\Documents\GitHub\eaglep3\Utilities\DownloadLogsFromS3.py --loco 4035 --day 2017-11-17</v>
      </c>
      <c r="AN20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12:51:38"},{"id":29,"name":"Sharepoint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168" t="str">
        <f t="shared" si="16"/>
        <v>https://d0f6bd738d7f1b3e5a7ca70fe4ff75f0.us-east-1.aws.found.io/app/kibana#/discover/Steve-Slow-Train-Analysis-(2080s-and-2083s)?_g=(refreshInterval:(display:Off,pause:!f,section:0,value:0),time:(from:'2017-11-17T04:03:22-0700',mode:absolute,to:'2017-11-17T06:51:38-0700'))&amp;_a=(columns:!('Message%20ID',Summary),filters:!(),index:'emp_*',interval:auto,query:(query_string:(analyze_wildcard:!t,query:'%22rtdc.l.rtdc.4035%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3">
      <c r="A21" s="32" t="s">
        <v>669</v>
      </c>
      <c r="B21" s="7">
        <v>4042</v>
      </c>
      <c r="C21" s="21" t="s">
        <v>192</v>
      </c>
      <c r="D21" s="21" t="s">
        <v>460</v>
      </c>
      <c r="E21" s="13">
        <v>43056.182164351849</v>
      </c>
      <c r="F21" s="13">
        <v>43056.187696759262</v>
      </c>
      <c r="G21" s="7">
        <v>244</v>
      </c>
      <c r="H21" s="21" t="s">
        <v>500</v>
      </c>
      <c r="I21" s="13">
        <v>43056.21297453704</v>
      </c>
      <c r="J21" s="7">
        <v>1</v>
      </c>
      <c r="K21" s="89" t="str">
        <f t="shared" si="0"/>
        <v>4041/4042</v>
      </c>
      <c r="L21" s="185" t="str">
        <f>VLOOKUP(A21,'Trips&amp;Operators'!$C$1:$G$99911,5,FALSE)</f>
        <v>STRICKLAND EVAN</v>
      </c>
      <c r="M21" s="6">
        <f t="shared" si="1"/>
        <v>2.527777777868323E-2</v>
      </c>
      <c r="N21" s="7">
        <f t="shared" si="17"/>
        <v>36.400000001303852</v>
      </c>
      <c r="O21" s="7"/>
      <c r="P21" s="7"/>
      <c r="Q21" s="22"/>
      <c r="R21" s="174"/>
      <c r="S21" s="221">
        <f t="shared" si="18"/>
        <v>1</v>
      </c>
      <c r="T21" s="174" t="str">
        <f t="shared" si="2"/>
        <v>NorthBound</v>
      </c>
      <c r="U21" s="198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16" t="str">
        <f t="shared" si="3"/>
        <v>https://d0f6bd738d7f1b3e5a7ca70fe4ff75f0.us-east-1.aws.found.io/app/kibana#/discover/Steve-Slow-Train-Analysis-(2080s-and-2083s)?_g=(refreshInterval:(display:Off,pause:!f,section:0,value:0),time:(from:'2017-11-17T03:22:19-0700',mode:absolute,to:'2017-11-17T06:06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" s="204" t="str">
        <f>IF(AA21&lt;VLOOKUP(AG21,Variables!$AC$3:$AD$8,2,FALSE),"Y","N")</f>
        <v>N</v>
      </c>
      <c r="X21" s="204">
        <f t="shared" si="4"/>
        <v>1</v>
      </c>
      <c r="Y21" s="204">
        <f t="shared" si="5"/>
        <v>5.28E-2</v>
      </c>
      <c r="Z21" s="204">
        <f t="shared" si="6"/>
        <v>23.325099999999999</v>
      </c>
      <c r="AA21" s="204">
        <f t="shared" si="7"/>
        <v>23.272299999999998</v>
      </c>
      <c r="AB21" s="54" t="e">
        <f>VLOOKUP(A21,Enforcements!$C$7:$K$9,8,0)</f>
        <v>#N/A</v>
      </c>
      <c r="AC21" s="51" t="e">
        <f>VLOOKUP(A21,Enforcements!$C$7:$E$9,3,0)</f>
        <v>#N/A</v>
      </c>
      <c r="AD21" s="179">
        <f t="shared" si="8"/>
        <v>107</v>
      </c>
      <c r="AE21" s="77" t="str">
        <f t="shared" si="9"/>
        <v>aws s3 cp s3://rtdc.mdm.uploadarchive.raw/RTDC4042/ "%USERPROFILE%\AppData\Local\Temp\OnboardLogs"\RTDC4042\2017-11-17 --exclude "*" --recursive --include "*20171117*" &amp; "%USERPROFILE%\Documents\GitHub\mrs-test-scripts\Headless Mode &amp; Sideloading\WalkAndUnGZ.bat" "%USERPROFILE%\AppData\Local\Temp\OnboardLogs"\RTDC4042\2017-11-17 &amp; aws s3 cp s3://rtdc.mdm.uploadarchive.raw/RTDC4042/ "%USERPROFILE%\AppData\Local\Temp\OnboardLogs"\RTDC4042\2017-11-18 --exclude "*" --recursive --include "*20171118*" &amp; "%USERPROFILE%\Documents\GitHub\mrs-test-scripts\Headless Mode &amp; Sideloading\WalkAndUnGZ.bat" "%USERPROFILE%\AppData\Local\Temp\OnboardLogs"\RTDC4042\2017-11-18</v>
      </c>
      <c r="AF21" s="74" t="str">
        <f t="shared" si="10"/>
        <v>"C:\Program Files (x86)\AstroGrep\AstroGrep.exe" /e /r /s /spath="%USERPROFILE%\AppData\Local\Temp\OnboardLogs" /stypes="app*4042*20171117*" /stext=" 12:.+((SYSTEM_STATE.+slice.+state.+changed )|(ment ac)|(multiple cpu faults)|(system.+state.+changed )|(\[timeout)|(PRM\|1\|D)|(kpr)|(kdp)|(train st.+moving)|(\|lc)|(penalty))"</v>
      </c>
      <c r="AG21" s="182" t="str">
        <f t="shared" si="11"/>
        <v>EC</v>
      </c>
      <c r="AH21" s="78" t="str">
        <f t="shared" si="12"/>
        <v>"%USERPROFILE%\Documents\GitHub\eaglep3\Utilities\RefineRTDCRunTimes.py" --tripid 107-17 --locoid 4042 --swversion DE.1.0.9.0 --startMP 204:528 --initTime 2017-11-17T04:22:19 --startdatetime 2017-11-17T04:30:17 --delay 244 --endMP 204:233251 --enddatetime 2017-11-17T05:06:41 --enforcementcount 1 &gt;&gt;%USERPROFILE%\Documents\GitHub\eaglep3-reporting\EC\2017-11-17-refined-times.txt</v>
      </c>
      <c r="AI21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{"issue":{"subject":"","project_id":79,"tracker_id":40,"status_id":1,"priority_id":2,"assigned_to_id":338,"start_date":"2017-11-17","description":"","custom_fields":[{"id":1,"name":"Subdivision","value":"EC"},{"id":4,"name":"Milepost","value":"23.3251"},{"id":17,"name":"Train ID","value":"107-17"},{"id":16,"name":"Locomotive ID","value":"4042"},{"id":130,"name":"Impact","value":""},{"id":150,"name":"Time of Event (Mountain Time)","value":"05:06:41"},{"id":151,"name":"Denver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" s="20"/>
      <c r="AK21" s="47"/>
      <c r="AL21" s="47"/>
      <c r="AM21" s="142" t="str">
        <f t="shared" si="14"/>
        <v>start /low /b %USERPROFILE%\Documents\GitHub\eaglep3\Utilities\DownloadLogsFromS3.py --loco 4042 --day 2017-11-17</v>
      </c>
      <c r="AN21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12:06:41"},{"id":29,"name":"Sharepoint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168" t="str">
        <f t="shared" si="16"/>
        <v>https://d0f6bd738d7f1b3e5a7ca70fe4ff75f0.us-east-1.aws.found.io/app/kibana#/discover/Steve-Slow-Train-Analysis-(2080s-and-2083s)?_g=(refreshInterval:(display:Off,pause:!f,section:0,value:0),time:(from:'2017-11-17T03:22:19-0700',mode:absolute,to:'2017-11-17T06:06:41-0700'))&amp;_a=(columns:!('Message%20ID',Summary),filters:!(),index:'emp_*',interval:auto,query:(query_string:(analyze_wildcard:!t,query:'%22rtdc.l.rtdc.4042%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3">
      <c r="A22" s="32" t="s">
        <v>637</v>
      </c>
      <c r="B22" s="7">
        <v>4041</v>
      </c>
      <c r="C22" s="21" t="s">
        <v>192</v>
      </c>
      <c r="D22" s="21" t="s">
        <v>909</v>
      </c>
      <c r="E22" s="13">
        <v>43056.214479166665</v>
      </c>
      <c r="F22" s="13">
        <v>43056.227384259262</v>
      </c>
      <c r="G22" s="7">
        <v>75</v>
      </c>
      <c r="H22" s="21" t="s">
        <v>448</v>
      </c>
      <c r="I22" s="13">
        <v>43056.255057870374</v>
      </c>
      <c r="J22" s="7">
        <v>1</v>
      </c>
      <c r="K22" s="89" t="str">
        <f t="shared" si="0"/>
        <v>4041/4042</v>
      </c>
      <c r="L22" s="185" t="str">
        <f>VLOOKUP(A22,'Trips&amp;Operators'!$C$1:$G$99911,5,FALSE)</f>
        <v>STRICKLAND EVAN</v>
      </c>
      <c r="M22" s="6">
        <f t="shared" si="1"/>
        <v>2.7673611111822538E-2</v>
      </c>
      <c r="N22" s="7">
        <f t="shared" si="17"/>
        <v>39.850000001024455</v>
      </c>
      <c r="O22" s="7"/>
      <c r="P22" s="7"/>
      <c r="Q22" s="22"/>
      <c r="R22" s="174"/>
      <c r="S22" s="221">
        <f t="shared" si="18"/>
        <v>1</v>
      </c>
      <c r="T22" s="174" t="str">
        <f t="shared" si="2"/>
        <v>Southbound</v>
      </c>
      <c r="U22" s="198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16" t="str">
        <f t="shared" si="3"/>
        <v>https://d0f6bd738d7f1b3e5a7ca70fe4ff75f0.us-east-1.aws.found.io/app/kibana#/discover/Steve-Slow-Train-Analysis-(2080s-and-2083s)?_g=(refreshInterval:(display:Off,pause:!f,section:0,value:0),time:(from:'2017-11-17T04:08:51-0700',mode:absolute,to:'2017-11-17T07:07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2" s="204" t="str">
        <f>IF(AA22&lt;VLOOKUP(AG22,Variables!$AC$3:$AD$8,2,FALSE),"Y","N")</f>
        <v>N</v>
      </c>
      <c r="X22" s="204">
        <f t="shared" si="4"/>
        <v>1</v>
      </c>
      <c r="Y22" s="204">
        <f t="shared" si="5"/>
        <v>23.293199999999999</v>
      </c>
      <c r="Z22" s="204">
        <f t="shared" si="6"/>
        <v>2.07E-2</v>
      </c>
      <c r="AA22" s="204">
        <f t="shared" si="7"/>
        <v>23.272499999999997</v>
      </c>
      <c r="AB22" s="54" t="e">
        <f>VLOOKUP(A22,Enforcements!$C$7:$K$9,8,0)</f>
        <v>#N/A</v>
      </c>
      <c r="AC22" s="51" t="e">
        <f>VLOOKUP(A22,Enforcements!$C$7:$E$9,3,0)</f>
        <v>#N/A</v>
      </c>
      <c r="AD22" s="179">
        <f t="shared" si="8"/>
        <v>108</v>
      </c>
      <c r="AE22" s="77" t="str">
        <f t="shared" si="9"/>
        <v>aws s3 cp s3://rtdc.mdm.uploadarchive.raw/RTDC4041/ "%USERPROFILE%\AppData\Local\Temp\OnboardLogs"\RTDC4041\2017-11-17 --exclude "*" --recursive --include "*20171117*" &amp; "%USERPROFILE%\Documents\GitHub\mrs-test-scripts\Headless Mode &amp; Sideloading\WalkAndUnGZ.bat" "%USERPROFILE%\AppData\Local\Temp\OnboardLogs"\RTDC4041\2017-11-17 &amp; aws s3 cp s3://rtdc.mdm.uploadarchive.raw/RTDC4041/ "%USERPROFILE%\AppData\Local\Temp\OnboardLogs"\RTDC4041\2017-11-18 --exclude "*" --recursive --include "*20171118*" &amp; "%USERPROFILE%\Documents\GitHub\mrs-test-scripts\Headless Mode &amp; Sideloading\WalkAndUnGZ.bat" "%USERPROFILE%\AppData\Local\Temp\OnboardLogs"\RTDC4041\2017-11-18</v>
      </c>
      <c r="AF22" s="74" t="str">
        <f t="shared" si="10"/>
        <v>"C:\Program Files (x86)\AstroGrep\AstroGrep.exe" /e /r /s /spath="%USERPROFILE%\AppData\Local\Temp\OnboardLogs" /stypes="app*4041*20171117*" /stext=" 13:.+((SYSTEM_STATE.+slice.+state.+changed )|(ment ac)|(multiple cpu faults)|(system.+state.+changed )|(\[timeout)|(PRM\|1\|D)|(kpr)|(kdp)|(train st.+moving)|(\|lc)|(penalty))"</v>
      </c>
      <c r="AG22" s="182" t="str">
        <f t="shared" si="11"/>
        <v>EC</v>
      </c>
      <c r="AH22" s="78" t="str">
        <f t="shared" si="12"/>
        <v>"%USERPROFILE%\Documents\GitHub\eaglep3\Utilities\RefineRTDCRunTimes.py" --tripid 108-17 --locoid 4041 --swversion DE.1.0.9.0 --startMP 204:232932 --initTime 2017-11-17T05:08:51 --startdatetime 2017-11-17T05:27:26 --delay 75 --endMP 204:207 --enddatetime 2017-11-17T06:07:17 --enforcementcount 1 &gt;&gt;%USERPROFILE%\Documents\GitHub\eaglep3-reporting\EC\2017-11-17-refined-times.txt</v>
      </c>
      <c r="AI22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{"issue":{"subject":"","project_id":79,"tracker_id":40,"status_id":1,"priority_id":2,"assigned_to_id":338,"start_date":"2017-11-17","description":"","custom_fields":[{"id":1,"name":"Subdivision","value":"EC"},{"id":4,"name":"Milepost","value":"0.0207"},{"id":17,"name":"Train ID","value":"108-17"},{"id":16,"name":"Locomotive ID","value":"4041"},{"id":130,"name":"Impact","value":""},{"id":150,"name":"Time of Event (Mountain Time)","value":"06:07:17"},{"id":151,"name":"Denver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" s="20"/>
      <c r="AK22" s="47"/>
      <c r="AL22" s="47"/>
      <c r="AM22" s="142" t="str">
        <f t="shared" si="14"/>
        <v>start /low /b %USERPROFILE%\Documents\GitHub\eaglep3\Utilities\DownloadLogsFromS3.py --loco 4041 --day 2017-11-17</v>
      </c>
      <c r="AN22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13:07:17"},{"id":29,"name":"Sharepoint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168" t="str">
        <f t="shared" si="16"/>
        <v>https://d0f6bd738d7f1b3e5a7ca70fe4ff75f0.us-east-1.aws.found.io/app/kibana#/discover/Steve-Slow-Train-Analysis-(2080s-and-2083s)?_g=(refreshInterval:(display:Off,pause:!f,section:0,value:0),time:(from:'2017-11-17T04:08:51-0700',mode:absolute,to:'2017-11-17T07:07:17-0700'))&amp;_a=(columns:!('Message%20ID',Summary),filters:!(),index:'emp_*',interval:auto,query:(query_string:(analyze_wildcard:!t,query:'%22rtdc.l.rtdc.4041%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3">
      <c r="A23" s="32" t="s">
        <v>635</v>
      </c>
      <c r="B23" s="7">
        <v>4040</v>
      </c>
      <c r="C23" s="21" t="s">
        <v>192</v>
      </c>
      <c r="D23" s="21" t="s">
        <v>910</v>
      </c>
      <c r="E23" s="13">
        <v>43056.194988425923</v>
      </c>
      <c r="F23" s="13">
        <v>43056.198252314818</v>
      </c>
      <c r="G23" s="7">
        <v>60</v>
      </c>
      <c r="H23" s="21" t="s">
        <v>574</v>
      </c>
      <c r="I23" s="13">
        <v>43056.224976851852</v>
      </c>
      <c r="J23" s="7">
        <v>1</v>
      </c>
      <c r="K23" s="89" t="str">
        <f t="shared" si="0"/>
        <v>4039/4040</v>
      </c>
      <c r="L23" s="185" t="str">
        <f>VLOOKUP(A23,'Trips&amp;Operators'!$C$1:$G$99911,5,FALSE)</f>
        <v>HUFFSMITH MONTY</v>
      </c>
      <c r="M23" s="6">
        <f t="shared" si="1"/>
        <v>2.6724537034169771E-2</v>
      </c>
      <c r="N23" s="7">
        <f t="shared" si="17"/>
        <v>38.48333332920447</v>
      </c>
      <c r="O23" s="7"/>
      <c r="P23" s="7"/>
      <c r="Q23" s="22"/>
      <c r="R23" s="174"/>
      <c r="S23" s="221">
        <f t="shared" si="18"/>
        <v>1</v>
      </c>
      <c r="T23" s="174" t="str">
        <f t="shared" si="2"/>
        <v>NorthBound</v>
      </c>
      <c r="U23" s="198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16" t="str">
        <f t="shared" si="3"/>
        <v>https://d0f6bd738d7f1b3e5a7ca70fe4ff75f0.us-east-1.aws.found.io/app/kibana#/discover/Steve-Slow-Train-Analysis-(2080s-and-2083s)?_g=(refreshInterval:(display:Off,pause:!f,section:0,value:0),time:(from:'2017-11-17T03:40:47-0700',mode:absolute,to:'2017-11-17T06:23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3" s="204" t="str">
        <f>IF(AA23&lt;VLOOKUP(AG23,Variables!$AC$3:$AD$8,2,FALSE),"Y","N")</f>
        <v>N</v>
      </c>
      <c r="X23" s="204">
        <f t="shared" si="4"/>
        <v>1</v>
      </c>
      <c r="Y23" s="204">
        <f t="shared" si="5"/>
        <v>4.3700000000000003E-2</v>
      </c>
      <c r="Z23" s="204">
        <f t="shared" si="6"/>
        <v>23.325299999999999</v>
      </c>
      <c r="AA23" s="204">
        <f t="shared" si="7"/>
        <v>23.281599999999997</v>
      </c>
      <c r="AB23" s="54" t="e">
        <f>VLOOKUP(A23,Enforcements!$C$7:$K$9,8,0)</f>
        <v>#N/A</v>
      </c>
      <c r="AC23" s="51" t="e">
        <f>VLOOKUP(A23,Enforcements!$C$7:$E$9,3,0)</f>
        <v>#N/A</v>
      </c>
      <c r="AD23" s="179">
        <f t="shared" si="8"/>
        <v>109</v>
      </c>
      <c r="AE23" s="77" t="str">
        <f t="shared" si="9"/>
        <v>aws s3 cp s3://rtdc.mdm.uploadarchive.raw/RTDC4040/ "%USERPROFILE%\AppData\Local\Temp\OnboardLogs"\RTDC4040\2017-11-17 --exclude "*" --recursive --include "*20171117*" &amp; "%USERPROFILE%\Documents\GitHub\mrs-test-scripts\Headless Mode &amp; Sideloading\WalkAndUnGZ.bat" "%USERPROFILE%\AppData\Local\Temp\OnboardLogs"\RTDC4040\2017-11-17 &amp; aws s3 cp s3://rtdc.mdm.uploadarchive.raw/RTDC4040/ "%USERPROFILE%\AppData\Local\Temp\OnboardLogs"\RTDC4040\2017-11-18 --exclude "*" --recursive --include "*20171118*" &amp; "%USERPROFILE%\Documents\GitHub\mrs-test-scripts\Headless Mode &amp; Sideloading\WalkAndUnGZ.bat" "%USERPROFILE%\AppData\Local\Temp\OnboardLogs"\RTDC4040\2017-11-18</v>
      </c>
      <c r="AF23" s="74" t="str">
        <f t="shared" si="10"/>
        <v>"C:\Program Files (x86)\AstroGrep\AstroGrep.exe" /e /r /s /spath="%USERPROFILE%\AppData\Local\Temp\OnboardLogs" /stypes="app*4040*20171117*" /stext=" 12:.+((SYSTEM_STATE.+slice.+state.+changed )|(ment ac)|(multiple cpu faults)|(system.+state.+changed )|(\[timeout)|(PRM\|1\|D)|(kpr)|(kdp)|(train st.+moving)|(\|lc)|(penalty))"</v>
      </c>
      <c r="AG23" s="182" t="str">
        <f t="shared" si="11"/>
        <v>EC</v>
      </c>
      <c r="AH23" s="78" t="str">
        <f t="shared" si="12"/>
        <v>"%USERPROFILE%\Documents\GitHub\eaglep3\Utilities\RefineRTDCRunTimes.py" --tripid 109-17 --locoid 4040 --swversion DE.1.0.9.0 --startMP 204:437 --initTime 2017-11-17T04:40:47 --startdatetime 2017-11-17T04:45:29 --delay 60 --endMP 204:233253 --enddatetime 2017-11-17T05:23:58 --enforcementcount 1 &gt;&gt;%USERPROFILE%\Documents\GitHub\eaglep3-reporting\EC\2017-11-17-refined-times.txt</v>
      </c>
      <c r="AI23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{"issue":{"subject":"","project_id":79,"tracker_id":40,"status_id":1,"priority_id":2,"assigned_to_id":338,"start_date":"2017-11-17","description":"","custom_fields":[{"id":1,"name":"Subdivision","value":"EC"},{"id":4,"name":"Milepost","value":"23.3253"},{"id":17,"name":"Train ID","value":"109-17"},{"id":16,"name":"Locomotive ID","value":"4040"},{"id":130,"name":"Impact","value":""},{"id":150,"name":"Time of Event (Mountain Time)","value":"05:23:58"},{"id":151,"name":"Denver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" s="20"/>
      <c r="AK23" s="47"/>
      <c r="AL23" s="47"/>
      <c r="AM23" s="142" t="str">
        <f t="shared" si="14"/>
        <v>start /low /b %USERPROFILE%\Documents\GitHub\eaglep3\Utilities\DownloadLogsFromS3.py --loco 4040 --day 2017-11-17</v>
      </c>
      <c r="AN23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12:23:58"},{"id":29,"name":"Sharepoint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168" t="str">
        <f t="shared" si="16"/>
        <v>https://d0f6bd738d7f1b3e5a7ca70fe4ff75f0.us-east-1.aws.found.io/app/kibana#/discover/Steve-Slow-Train-Analysis-(2080s-and-2083s)?_g=(refreshInterval:(display:Off,pause:!f,section:0,value:0),time:(from:'2017-11-17T03:40:47-0700',mode:absolute,to:'2017-11-17T06:23:58-0700'))&amp;_a=(columns:!('Message%20ID',Summary),filters:!(),index:'emp_*',interval:auto,query:(query_string:(analyze_wildcard:!t,query:'%22rtdc.l.rtdc.4040%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3">
      <c r="A24" s="32" t="s">
        <v>680</v>
      </c>
      <c r="B24" s="7">
        <v>4039</v>
      </c>
      <c r="C24" s="21" t="s">
        <v>192</v>
      </c>
      <c r="D24" s="21" t="s">
        <v>911</v>
      </c>
      <c r="E24" s="13">
        <v>43056.226898148147</v>
      </c>
      <c r="F24" s="13">
        <v>43056.237719907411</v>
      </c>
      <c r="G24" s="7">
        <v>49</v>
      </c>
      <c r="H24" s="21" t="s">
        <v>912</v>
      </c>
      <c r="I24" s="13">
        <v>43056.263958333337</v>
      </c>
      <c r="J24" s="7">
        <v>1</v>
      </c>
      <c r="K24" s="89" t="str">
        <f t="shared" si="0"/>
        <v>4039/4040</v>
      </c>
      <c r="L24" s="185" t="str">
        <f>VLOOKUP(A24,'Trips&amp;Operators'!$C$1:$G$99911,5,FALSE)</f>
        <v>HUFFSMITH MONTY</v>
      </c>
      <c r="M24" s="6">
        <f t="shared" si="1"/>
        <v>2.6238425925839692E-2</v>
      </c>
      <c r="N24" s="7">
        <f t="shared" si="17"/>
        <v>37.783333333209157</v>
      </c>
      <c r="O24" s="7"/>
      <c r="P24" s="7"/>
      <c r="Q24" s="22"/>
      <c r="R24" s="174"/>
      <c r="S24" s="221">
        <f t="shared" si="18"/>
        <v>1</v>
      </c>
      <c r="T24" s="174" t="str">
        <f t="shared" si="2"/>
        <v>Southbound</v>
      </c>
      <c r="U24" s="198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16" t="str">
        <f t="shared" si="3"/>
        <v>https://d0f6bd738d7f1b3e5a7ca70fe4ff75f0.us-east-1.aws.found.io/app/kibana#/discover/Steve-Slow-Train-Analysis-(2080s-and-2083s)?_g=(refreshInterval:(display:Off,pause:!f,section:0,value:0),time:(from:'2017-11-17T04:26:44-0700',mode:absolute,to:'2017-11-17T07:20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4" s="204" t="str">
        <f>IF(AA24&lt;VLOOKUP(AG24,Variables!$AC$3:$AD$8,2,FALSE),"Y","N")</f>
        <v>N</v>
      </c>
      <c r="X24" s="204">
        <f t="shared" si="4"/>
        <v>1</v>
      </c>
      <c r="Y24" s="204">
        <f t="shared" si="5"/>
        <v>23.293399999999998</v>
      </c>
      <c r="Z24" s="204">
        <f t="shared" si="6"/>
        <v>1.2699999999999999E-2</v>
      </c>
      <c r="AA24" s="204">
        <f t="shared" si="7"/>
        <v>23.2807</v>
      </c>
      <c r="AB24" s="54" t="e">
        <f>VLOOKUP(A24,Enforcements!$C$7:$K$9,8,0)</f>
        <v>#N/A</v>
      </c>
      <c r="AC24" s="51" t="e">
        <f>VLOOKUP(A24,Enforcements!$C$7:$E$9,3,0)</f>
        <v>#N/A</v>
      </c>
      <c r="AD24" s="179">
        <f t="shared" si="8"/>
        <v>110</v>
      </c>
      <c r="AE24" s="77" t="str">
        <f t="shared" si="9"/>
        <v>aws s3 cp s3://rtdc.mdm.uploadarchive.raw/RTDC4039/ "%USERPROFILE%\AppData\Local\Temp\OnboardLogs"\RTDC4039\2017-11-17 --exclude "*" --recursive --include "*20171117*" &amp; "%USERPROFILE%\Documents\GitHub\mrs-test-scripts\Headless Mode &amp; Sideloading\WalkAndUnGZ.bat" "%USERPROFILE%\AppData\Local\Temp\OnboardLogs"\RTDC4039\2017-11-17 &amp; aws s3 cp s3://rtdc.mdm.uploadarchive.raw/RTDC4039/ "%USERPROFILE%\AppData\Local\Temp\OnboardLogs"\RTDC4039\2017-11-18 --exclude "*" --recursive --include "*20171118*" &amp; "%USERPROFILE%\Documents\GitHub\mrs-test-scripts\Headless Mode &amp; Sideloading\WalkAndUnGZ.bat" "%USERPROFILE%\AppData\Local\Temp\OnboardLogs"\RTDC4039\2017-11-18</v>
      </c>
      <c r="AF24" s="74" t="str">
        <f t="shared" si="10"/>
        <v>"C:\Program Files (x86)\AstroGrep\AstroGrep.exe" /e /r /s /spath="%USERPROFILE%\AppData\Local\Temp\OnboardLogs" /stypes="app*4039*20171117*" /stext=" 13:.+((SYSTEM_STATE.+slice.+state.+changed )|(ment ac)|(multiple cpu faults)|(system.+state.+changed )|(\[timeout)|(PRM\|1\|D)|(kpr)|(kdp)|(train st.+moving)|(\|lc)|(penalty))"</v>
      </c>
      <c r="AG24" s="182" t="str">
        <f t="shared" si="11"/>
        <v>EC</v>
      </c>
      <c r="AH24" s="78" t="str">
        <f t="shared" si="12"/>
        <v>"%USERPROFILE%\Documents\GitHub\eaglep3\Utilities\RefineRTDCRunTimes.py" --tripid 110-17 --locoid 4039 --swversion DE.1.0.9.0 --startMP 204:232934 --initTime 2017-11-17T05:26:44 --startdatetime 2017-11-17T05:42:19 --delay 49 --endMP 204:127 --enddatetime 2017-11-17T06:20:06 --enforcementcount 1 &gt;&gt;%USERPROFILE%\Documents\GitHub\eaglep3-reporting\EC\2017-11-17-refined-times.txt</v>
      </c>
      <c r="AI24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{"issue":{"subject":"","project_id":79,"tracker_id":40,"status_id":1,"priority_id":2,"assigned_to_id":338,"start_date":"2017-11-17","description":"","custom_fields":[{"id":1,"name":"Subdivision","value":"EC"},{"id":4,"name":"Milepost","value":"0.0127"},{"id":17,"name":"Train ID","value":"110-17"},{"id":16,"name":"Locomotive ID","value":"4039"},{"id":130,"name":"Impact","value":""},{"id":150,"name":"Time of Event (Mountain Time)","value":"06:20:06"},{"id":151,"name":"Denver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" s="20"/>
      <c r="AK24" s="47"/>
      <c r="AL24" s="47"/>
      <c r="AM24" s="142" t="str">
        <f t="shared" si="14"/>
        <v>start /low /b %USERPROFILE%\Documents\GitHub\eaglep3\Utilities\DownloadLogsFromS3.py --loco 4039 --day 2017-11-17</v>
      </c>
      <c r="AN24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13:20:06"},{"id":29,"name":"Sharepoint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168" t="str">
        <f t="shared" si="16"/>
        <v>https://d0f6bd738d7f1b3e5a7ca70fe4ff75f0.us-east-1.aws.found.io/app/kibana#/discover/Steve-Slow-Train-Analysis-(2080s-and-2083s)?_g=(refreshInterval:(display:Off,pause:!f,section:0,value:0),time:(from:'2017-11-17T04:26:44-0700',mode:absolute,to:'2017-11-17T07:20:06-0700'))&amp;_a=(columns:!('Message%20ID',Summary),filters:!(),index:'emp_*',interval:auto,query:(query_string:(analyze_wildcard:!t,query:'%22rtdc.l.rtdc.4039%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3">
      <c r="A25" s="32" t="s">
        <v>674</v>
      </c>
      <c r="B25" s="7">
        <v>4066</v>
      </c>
      <c r="C25" s="21" t="s">
        <v>192</v>
      </c>
      <c r="D25" s="21" t="s">
        <v>913</v>
      </c>
      <c r="E25" s="13">
        <v>43056.208472222221</v>
      </c>
      <c r="F25" s="13">
        <v>43056.209664351853</v>
      </c>
      <c r="G25" s="7">
        <v>47</v>
      </c>
      <c r="H25" s="21" t="s">
        <v>564</v>
      </c>
      <c r="I25" s="13">
        <v>43056.233472222222</v>
      </c>
      <c r="J25" s="7">
        <v>1</v>
      </c>
      <c r="K25" s="89" t="str">
        <f t="shared" si="0"/>
        <v>4065/4066</v>
      </c>
      <c r="L25" s="185" t="str">
        <f>VLOOKUP(A25,'Trips&amp;Operators'!$C$1:$G$99911,5,FALSE)</f>
        <v>YORK EDGAR</v>
      </c>
      <c r="M25" s="6">
        <f t="shared" si="1"/>
        <v>2.3807870369637385E-2</v>
      </c>
      <c r="N25" s="7">
        <f t="shared" si="17"/>
        <v>34.283333332277834</v>
      </c>
      <c r="O25" s="7"/>
      <c r="P25" s="7"/>
      <c r="Q25" s="22"/>
      <c r="R25" s="174"/>
      <c r="S25" s="221">
        <f t="shared" si="18"/>
        <v>1</v>
      </c>
      <c r="T25" s="174" t="str">
        <f t="shared" si="2"/>
        <v>NorthBound</v>
      </c>
      <c r="U25" s="198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16" t="str">
        <f t="shared" si="3"/>
        <v>https://d0f6bd738d7f1b3e5a7ca70fe4ff75f0.us-east-1.aws.found.io/app/kibana#/discover/Steve-Slow-Train-Analysis-(2080s-and-2083s)?_g=(refreshInterval:(display:Off,pause:!f,section:0,value:0),time:(from:'2017-11-17T04:00:12-0700',mode:absolute,to:'2017-11-17T06:36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5" s="204" t="str">
        <f>IF(AA25&lt;VLOOKUP(AG25,Variables!$AC$3:$AD$8,2,FALSE),"Y","N")</f>
        <v>N</v>
      </c>
      <c r="X25" s="204">
        <f t="shared" si="4"/>
        <v>1</v>
      </c>
      <c r="Y25" s="204">
        <f t="shared" si="5"/>
        <v>4.58E-2</v>
      </c>
      <c r="Z25" s="204">
        <f t="shared" si="6"/>
        <v>23.3293</v>
      </c>
      <c r="AA25" s="204">
        <f t="shared" si="7"/>
        <v>23.2835</v>
      </c>
      <c r="AB25" s="54" t="e">
        <f>VLOOKUP(A25,Enforcements!$C$7:$K$9,8,0)</f>
        <v>#N/A</v>
      </c>
      <c r="AC25" s="51" t="e">
        <f>VLOOKUP(A25,Enforcements!$C$7:$E$9,3,0)</f>
        <v>#N/A</v>
      </c>
      <c r="AD25" s="179">
        <f t="shared" si="8"/>
        <v>111</v>
      </c>
      <c r="AE25" s="77" t="str">
        <f t="shared" si="9"/>
        <v>aws s3 cp s3://rtdc.mdm.uploadarchive.raw/RTDC4066/ "%USERPROFILE%\AppData\Local\Temp\OnboardLogs"\RTDC4066\2017-11-17 --exclude "*" --recursive --include "*20171117*" &amp; "%USERPROFILE%\Documents\GitHub\mrs-test-scripts\Headless Mode &amp; Sideloading\WalkAndUnGZ.bat" "%USERPROFILE%\AppData\Local\Temp\OnboardLogs"\RTDC4066\2017-11-17 &amp; aws s3 cp s3://rtdc.mdm.uploadarchive.raw/RTDC4066/ "%USERPROFILE%\AppData\Local\Temp\OnboardLogs"\RTDC4066\2017-11-18 --exclude "*" --recursive --include "*20171118*" &amp; "%USERPROFILE%\Documents\GitHub\mrs-test-scripts\Headless Mode &amp; Sideloading\WalkAndUnGZ.bat" "%USERPROFILE%\AppData\Local\Temp\OnboardLogs"\RTDC4066\2017-11-18</v>
      </c>
      <c r="AF25" s="74" t="str">
        <f t="shared" si="10"/>
        <v>"C:\Program Files (x86)\AstroGrep\AstroGrep.exe" /e /r /s /spath="%USERPROFILE%\AppData\Local\Temp\OnboardLogs" /stypes="app*4066*20171117*" /stext=" 12:.+((SYSTEM_STATE.+slice.+state.+changed )|(ment ac)|(multiple cpu faults)|(system.+state.+changed )|(\[timeout)|(PRM\|1\|D)|(kpr)|(kdp)|(train st.+moving)|(\|lc)|(penalty))"</v>
      </c>
      <c r="AG25" s="182" t="str">
        <f t="shared" si="11"/>
        <v>EC</v>
      </c>
      <c r="AH25" s="78" t="str">
        <f t="shared" si="12"/>
        <v>"%USERPROFILE%\Documents\GitHub\eaglep3\Utilities\RefineRTDCRunTimes.py" --tripid 111-17 --locoid 4066 --swversion DE.1.0.9.0 --startMP 204:458 --initTime 2017-11-17T05:00:12 --startdatetime 2017-11-17T05:01:55 --delay 47 --endMP 204:233293 --enddatetime 2017-11-17T05:36:12 --enforcementcount 1 &gt;&gt;%USERPROFILE%\Documents\GitHub\eaglep3-reporting\EC\2017-11-17-refined-times.txt</v>
      </c>
      <c r="AI25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{"issue":{"subject":"","project_id":79,"tracker_id":40,"status_id":1,"priority_id":2,"assigned_to_id":338,"start_date":"2017-11-17","description":"","custom_fields":[{"id":1,"name":"Subdivision","value":"EC"},{"id":4,"name":"Milepost","value":"23.3293"},{"id":17,"name":"Train ID","value":"111-17"},{"id":16,"name":"Locomotive ID","value":"4066"},{"id":130,"name":"Impact","value":""},{"id":150,"name":"Time of Event (Mountain Time)","value":"05:36:12"},{"id":151,"name":"Denver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" s="20"/>
      <c r="AK25" s="47"/>
      <c r="AL25" s="47"/>
      <c r="AM25" s="142" t="str">
        <f t="shared" si="14"/>
        <v>start /low /b %USERPROFILE%\Documents\GitHub\eaglep3\Utilities\DownloadLogsFromS3.py --loco 4066 --day 2017-11-17</v>
      </c>
      <c r="AN25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12:36:12"},{"id":29,"name":"Sharepoint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168" t="str">
        <f t="shared" si="16"/>
        <v>https://d0f6bd738d7f1b3e5a7ca70fe4ff75f0.us-east-1.aws.found.io/app/kibana#/discover/Steve-Slow-Train-Analysis-(2080s-and-2083s)?_g=(refreshInterval:(display:Off,pause:!f,section:0,value:0),time:(from:'2017-11-17T04:00:12-0700',mode:absolute,to:'2017-11-17T06:36:12-0700'))&amp;_a=(columns:!('Message%20ID',Summary),filters:!(),index:'emp_*',interval:auto,query:(query_string:(analyze_wildcard:!t,query:'%22rtdc.l.rtdc.4066%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3">
      <c r="A26" s="32" t="s">
        <v>682</v>
      </c>
      <c r="B26" s="7">
        <v>4065</v>
      </c>
      <c r="C26" s="21" t="s">
        <v>192</v>
      </c>
      <c r="D26" s="21" t="s">
        <v>914</v>
      </c>
      <c r="E26" s="13">
        <v>43056.234560185185</v>
      </c>
      <c r="F26" s="13">
        <v>43056.248263888891</v>
      </c>
      <c r="G26" s="7">
        <v>78</v>
      </c>
      <c r="H26" s="21" t="s">
        <v>915</v>
      </c>
      <c r="I26" s="13">
        <v>43056.2731712963</v>
      </c>
      <c r="J26" s="7">
        <v>1</v>
      </c>
      <c r="K26" s="89" t="str">
        <f t="shared" si="0"/>
        <v>4065/4066</v>
      </c>
      <c r="L26" s="185" t="str">
        <f>VLOOKUP(A26,'Trips&amp;Operators'!$C$1:$G$99911,5,FALSE)</f>
        <v>YORK EDGAR</v>
      </c>
      <c r="M26" s="6">
        <f t="shared" si="1"/>
        <v>2.4907407409045845E-2</v>
      </c>
      <c r="N26" s="7">
        <f t="shared" si="17"/>
        <v>35.866666669026017</v>
      </c>
      <c r="O26" s="7"/>
      <c r="P26" s="7"/>
      <c r="Q26" s="22"/>
      <c r="R26" s="174"/>
      <c r="S26" s="221">
        <f t="shared" si="18"/>
        <v>1</v>
      </c>
      <c r="T26" s="174" t="str">
        <f t="shared" si="2"/>
        <v>Southbound</v>
      </c>
      <c r="U26" s="198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16" t="str">
        <f t="shared" si="3"/>
        <v>https://d0f6bd738d7f1b3e5a7ca70fe4ff75f0.us-east-1.aws.found.io/app/kibana#/discover/Steve-Slow-Train-Analysis-(2080s-and-2083s)?_g=(refreshInterval:(display:Off,pause:!f,section:0,value:0),time:(from:'2017-11-17T04:37:46-0700',mode:absolute,to:'2017-11-17T07:33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6" s="204" t="str">
        <f>IF(AA26&lt;VLOOKUP(AG26,Variables!$AC$3:$AD$8,2,FALSE),"Y","N")</f>
        <v>N</v>
      </c>
      <c r="X26" s="204">
        <f t="shared" si="4"/>
        <v>1</v>
      </c>
      <c r="Y26" s="204">
        <f t="shared" si="5"/>
        <v>23.2974</v>
      </c>
      <c r="Z26" s="204">
        <f t="shared" si="6"/>
        <v>1.4500000000000001E-2</v>
      </c>
      <c r="AA26" s="204">
        <f t="shared" si="7"/>
        <v>23.282899999999998</v>
      </c>
      <c r="AB26" s="54" t="e">
        <f>VLOOKUP(A26,Enforcements!$C$7:$K$9,8,0)</f>
        <v>#N/A</v>
      </c>
      <c r="AC26" s="51" t="e">
        <f>VLOOKUP(A26,Enforcements!$C$7:$E$9,3,0)</f>
        <v>#N/A</v>
      </c>
      <c r="AD26" s="179">
        <f t="shared" si="8"/>
        <v>112</v>
      </c>
      <c r="AE26" s="77" t="str">
        <f t="shared" si="9"/>
        <v>aws s3 cp s3://rtdc.mdm.uploadarchive.raw/RTDC4065/ "%USERPROFILE%\AppData\Local\Temp\OnboardLogs"\RTDC4065\2017-11-17 --exclude "*" --recursive --include "*20171117*" &amp; "%USERPROFILE%\Documents\GitHub\mrs-test-scripts\Headless Mode &amp; Sideloading\WalkAndUnGZ.bat" "%USERPROFILE%\AppData\Local\Temp\OnboardLogs"\RTDC4065\2017-11-17 &amp; aws s3 cp s3://rtdc.mdm.uploadarchive.raw/RTDC4065/ "%USERPROFILE%\AppData\Local\Temp\OnboardLogs"\RTDC4065\2017-11-18 --exclude "*" --recursive --include "*20171118*" &amp; "%USERPROFILE%\Documents\GitHub\mrs-test-scripts\Headless Mode &amp; Sideloading\WalkAndUnGZ.bat" "%USERPROFILE%\AppData\Local\Temp\OnboardLogs"\RTDC4065\2017-11-18</v>
      </c>
      <c r="AF26" s="74" t="str">
        <f t="shared" si="10"/>
        <v>"C:\Program Files (x86)\AstroGrep\AstroGrep.exe" /e /r /s /spath="%USERPROFILE%\AppData\Local\Temp\OnboardLogs" /stypes="app*4065*20171117*" /stext=" 13:.+((SYSTEM_STATE.+slice.+state.+changed )|(ment ac)|(multiple cpu faults)|(system.+state.+changed )|(\[timeout)|(PRM\|1\|D)|(kpr)|(kdp)|(train st.+moving)|(\|lc)|(penalty))"</v>
      </c>
      <c r="AG26" s="182" t="str">
        <f t="shared" si="11"/>
        <v>EC</v>
      </c>
      <c r="AH26" s="78" t="str">
        <f t="shared" si="12"/>
        <v>"%USERPROFILE%\Documents\GitHub\eaglep3\Utilities\RefineRTDCRunTimes.py" --tripid 112-17 --locoid 4065 --swversion DE.1.0.9.0 --startMP 204:232974 --initTime 2017-11-17T05:37:46 --startdatetime 2017-11-17T05:57:30 --delay 78 --endMP 204:145 --enddatetime 2017-11-17T06:33:22 --enforcementcount 1 &gt;&gt;%USERPROFILE%\Documents\GitHub\eaglep3-reporting\EC\2017-11-17-refined-times.txt</v>
      </c>
      <c r="AI26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{"issue":{"subject":"","project_id":79,"tracker_id":40,"status_id":1,"priority_id":2,"assigned_to_id":338,"start_date":"2017-11-17","description":"","custom_fields":[{"id":1,"name":"Subdivision","value":"EC"},{"id":4,"name":"Milepost","value":"0.0145"},{"id":17,"name":"Train ID","value":"112-17"},{"id":16,"name":"Locomotive ID","value":"4065"},{"id":130,"name":"Impact","value":""},{"id":150,"name":"Time of Event (Mountain Time)","value":"06:33:22"},{"id":151,"name":"Denver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6" s="20"/>
      <c r="AK26" s="47"/>
      <c r="AL26" s="47"/>
      <c r="AM26" s="142" t="str">
        <f t="shared" si="14"/>
        <v>start /low /b %USERPROFILE%\Documents\GitHub\eaglep3\Utilities\DownloadLogsFromS3.py --loco 4065 --day 2017-11-17</v>
      </c>
      <c r="AN26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13:33:22"},{"id":29,"name":"Sharepoint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168" t="str">
        <f t="shared" si="16"/>
        <v>https://d0f6bd738d7f1b3e5a7ca70fe4ff75f0.us-east-1.aws.found.io/app/kibana#/discover/Steve-Slow-Train-Analysis-(2080s-and-2083s)?_g=(refreshInterval:(display:Off,pause:!f,section:0,value:0),time:(from:'2017-11-17T04:37:46-0700',mode:absolute,to:'2017-11-17T07:33:22-0700'))&amp;_a=(columns:!('Message%20ID',Summary),filters:!(),index:'emp_*',interval:auto,query:(query_string:(analyze_wildcard:!t,query:'%22rtdc.l.rtdc.4065%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3">
      <c r="A27" s="32" t="s">
        <v>676</v>
      </c>
      <c r="B27" s="7">
        <v>4028</v>
      </c>
      <c r="C27" s="21" t="s">
        <v>192</v>
      </c>
      <c r="D27" s="21" t="s">
        <v>916</v>
      </c>
      <c r="E27" s="13">
        <v>43056.216215277775</v>
      </c>
      <c r="F27" s="13">
        <v>43056.219097222223</v>
      </c>
      <c r="G27" s="7">
        <v>74</v>
      </c>
      <c r="H27" s="21" t="s">
        <v>917</v>
      </c>
      <c r="I27" s="13">
        <v>43056.244606481479</v>
      </c>
      <c r="J27" s="7">
        <v>1</v>
      </c>
      <c r="K27" s="89" t="str">
        <f t="shared" si="0"/>
        <v>4027/4028</v>
      </c>
      <c r="L27" s="185" t="str">
        <f>VLOOKUP(A27,'Trips&amp;Operators'!$C$1:$G$99911,5,FALSE)</f>
        <v>MACDONALD THOMAS</v>
      </c>
      <c r="M27" s="6">
        <f t="shared" si="1"/>
        <v>2.5509259256068617E-2</v>
      </c>
      <c r="N27" s="7">
        <f t="shared" si="17"/>
        <v>36.733333328738809</v>
      </c>
      <c r="O27" s="7"/>
      <c r="P27" s="7"/>
      <c r="Q27" s="22"/>
      <c r="R27" s="174"/>
      <c r="S27" s="221">
        <f t="shared" si="18"/>
        <v>1</v>
      </c>
      <c r="T27" s="174" t="str">
        <f t="shared" si="2"/>
        <v>NorthBound</v>
      </c>
      <c r="U27" s="198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16" t="str">
        <f t="shared" si="3"/>
        <v>https://d0f6bd738d7f1b3e5a7ca70fe4ff75f0.us-east-1.aws.found.io/app/kibana#/discover/Steve-Slow-Train-Analysis-(2080s-and-2083s)?_g=(refreshInterval:(display:Off,pause:!f,section:0,value:0),time:(from:'2017-11-17T04:11:21-0700',mode:absolute,to:'2017-11-17T06:52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7" s="204" t="str">
        <f>IF(AA27&lt;VLOOKUP(AG27,Variables!$AC$3:$AD$8,2,FALSE),"Y","N")</f>
        <v>N</v>
      </c>
      <c r="X27" s="204">
        <f t="shared" si="4"/>
        <v>1</v>
      </c>
      <c r="Y27" s="204">
        <f t="shared" si="5"/>
        <v>5.8400000000000001E-2</v>
      </c>
      <c r="Z27" s="204">
        <f t="shared" si="6"/>
        <v>23.320900000000002</v>
      </c>
      <c r="AA27" s="204">
        <f t="shared" si="7"/>
        <v>23.262500000000003</v>
      </c>
      <c r="AB27" s="54" t="e">
        <f>VLOOKUP(A27,Enforcements!$C$7:$K$9,8,0)</f>
        <v>#N/A</v>
      </c>
      <c r="AC27" s="51" t="e">
        <f>VLOOKUP(A27,Enforcements!$C$7:$E$9,3,0)</f>
        <v>#N/A</v>
      </c>
      <c r="AD27" s="179">
        <f t="shared" si="8"/>
        <v>113</v>
      </c>
      <c r="AE27" s="77" t="str">
        <f t="shared" si="9"/>
        <v>aws s3 cp s3://rtdc.mdm.uploadarchive.raw/RTDC4028/ "%USERPROFILE%\AppData\Local\Temp\OnboardLogs"\RTDC4028\2017-11-17 --exclude "*" --recursive --include "*20171117*" &amp; "%USERPROFILE%\Documents\GitHub\mrs-test-scripts\Headless Mode &amp; Sideloading\WalkAndUnGZ.bat" "%USERPROFILE%\AppData\Local\Temp\OnboardLogs"\RTDC4028\2017-11-17 &amp; aws s3 cp s3://rtdc.mdm.uploadarchive.raw/RTDC4028/ "%USERPROFILE%\AppData\Local\Temp\OnboardLogs"\RTDC4028\2017-11-18 --exclude "*" --recursive --include "*20171118*" &amp; "%USERPROFILE%\Documents\GitHub\mrs-test-scripts\Headless Mode &amp; Sideloading\WalkAndUnGZ.bat" "%USERPROFILE%\AppData\Local\Temp\OnboardLogs"\RTDC4028\2017-11-18</v>
      </c>
      <c r="AF27" s="74" t="str">
        <f t="shared" si="10"/>
        <v>"C:\Program Files (x86)\AstroGrep\AstroGrep.exe" /e /r /s /spath="%USERPROFILE%\AppData\Local\Temp\OnboardLogs" /stypes="app*4028*20171117*" /stext=" 12:.+((SYSTEM_STATE.+slice.+state.+changed )|(ment ac)|(multiple cpu faults)|(system.+state.+changed )|(\[timeout)|(PRM\|1\|D)|(kpr)|(kdp)|(train st.+moving)|(\|lc)|(penalty))"</v>
      </c>
      <c r="AG27" s="182" t="str">
        <f t="shared" si="11"/>
        <v>EC</v>
      </c>
      <c r="AH27" s="78" t="str">
        <f t="shared" si="12"/>
        <v>"%USERPROFILE%\Documents\GitHub\eaglep3\Utilities\RefineRTDCRunTimes.py" --tripid 113-17 --locoid 4028 --swversion DE.1.0.9.0 --startMP 204:584 --initTime 2017-11-17T05:11:21 --startdatetime 2017-11-17T05:15:30 --delay 74 --endMP 204:233209 --enddatetime 2017-11-17T05:52:14 --enforcementcount 1 &gt;&gt;%USERPROFILE%\Documents\GitHub\eaglep3-reporting\EC\2017-11-17-refined-times.txt</v>
      </c>
      <c r="AI27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{"issue":{"subject":"","project_id":79,"tracker_id":40,"status_id":1,"priority_id":2,"assigned_to_id":338,"start_date":"2017-11-17","description":"","custom_fields":[{"id":1,"name":"Subdivision","value":"EC"},{"id":4,"name":"Milepost","value":"23.3209"},{"id":17,"name":"Train ID","value":"113-17"},{"id":16,"name":"Locomotive ID","value":"4028"},{"id":130,"name":"Impact","value":""},{"id":150,"name":"Time of Event (Mountain Time)","value":"05:52:14"},{"id":151,"name":"Denver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7" s="20"/>
      <c r="AK27" s="47"/>
      <c r="AL27" s="47"/>
      <c r="AM27" s="142" t="str">
        <f t="shared" si="14"/>
        <v>start /low /b %USERPROFILE%\Documents\GitHub\eaglep3\Utilities\DownloadLogsFromS3.py --loco 4028 --day 2017-11-17</v>
      </c>
      <c r="AN27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12:52:14"},{"id":29,"name":"Sharepoint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168" t="str">
        <f t="shared" si="16"/>
        <v>https://d0f6bd738d7f1b3e5a7ca70fe4ff75f0.us-east-1.aws.found.io/app/kibana#/discover/Steve-Slow-Train-Analysis-(2080s-and-2083s)?_g=(refreshInterval:(display:Off,pause:!f,section:0,value:0),time:(from:'2017-11-17T04:11:21-0700',mode:absolute,to:'2017-11-17T06:52:14-0700'))&amp;_a=(columns:!('Message%20ID',Summary),filters:!(),index:'emp_*',interval:auto,query:(query_string:(analyze_wildcard:!t,query:'%22rtdc.l.rtdc.4028%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3">
      <c r="A28" s="32" t="s">
        <v>689</v>
      </c>
      <c r="B28" s="7">
        <v>4027</v>
      </c>
      <c r="C28" s="21" t="s">
        <v>192</v>
      </c>
      <c r="D28" s="21" t="s">
        <v>918</v>
      </c>
      <c r="E28" s="13">
        <v>43056.255925925929</v>
      </c>
      <c r="F28" s="13">
        <v>43056.258611111109</v>
      </c>
      <c r="G28" s="7">
        <v>68</v>
      </c>
      <c r="H28" s="21" t="s">
        <v>597</v>
      </c>
      <c r="I28" s="13">
        <v>43056.285196759258</v>
      </c>
      <c r="J28" s="7">
        <v>1</v>
      </c>
      <c r="K28" s="89" t="str">
        <f t="shared" si="0"/>
        <v>4027/4028</v>
      </c>
      <c r="L28" s="185" t="str">
        <f>VLOOKUP(A28,'Trips&amp;Operators'!$C$1:$G$99911,5,FALSE)</f>
        <v>MACDONALD THOMAS</v>
      </c>
      <c r="M28" s="6">
        <f t="shared" si="1"/>
        <v>2.658564814919373E-2</v>
      </c>
      <c r="N28" s="7">
        <f t="shared" si="17"/>
        <v>38.283333334838971</v>
      </c>
      <c r="O28" s="7"/>
      <c r="P28" s="7"/>
      <c r="Q28" s="22"/>
      <c r="R28" s="174"/>
      <c r="S28" s="221">
        <f t="shared" si="18"/>
        <v>1</v>
      </c>
      <c r="T28" s="174" t="str">
        <f t="shared" si="2"/>
        <v>Southbound</v>
      </c>
      <c r="U28" s="198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16" t="str">
        <f t="shared" si="3"/>
        <v>https://d0f6bd738d7f1b3e5a7ca70fe4ff75f0.us-east-1.aws.found.io/app/kibana#/discover/Steve-Slow-Train-Analysis-(2080s-and-2083s)?_g=(refreshInterval:(display:Off,pause:!f,section:0,value:0),time:(from:'2017-11-17T05:08:32-0700',mode:absolute,to:'2017-11-17T07:50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8" s="204" t="str">
        <f>IF(AA28&lt;VLOOKUP(AG28,Variables!$AC$3:$AD$8,2,FALSE),"Y","N")</f>
        <v>N</v>
      </c>
      <c r="X28" s="204">
        <f t="shared" si="4"/>
        <v>1</v>
      </c>
      <c r="Y28" s="204">
        <f t="shared" si="5"/>
        <v>23.289200000000001</v>
      </c>
      <c r="Z28" s="204">
        <f t="shared" si="6"/>
        <v>2.3400000000000001E-2</v>
      </c>
      <c r="AA28" s="204">
        <f t="shared" si="7"/>
        <v>23.265800000000002</v>
      </c>
      <c r="AB28" s="54" t="e">
        <f>VLOOKUP(A28,Enforcements!$C$7:$K$9,8,0)</f>
        <v>#N/A</v>
      </c>
      <c r="AC28" s="51" t="e">
        <f>VLOOKUP(A28,Enforcements!$C$7:$E$9,3,0)</f>
        <v>#N/A</v>
      </c>
      <c r="AD28" s="179">
        <f t="shared" si="8"/>
        <v>114</v>
      </c>
      <c r="AE28" s="77" t="str">
        <f t="shared" si="9"/>
        <v>aws s3 cp s3://rtdc.mdm.uploadarchive.raw/RTDC4027/ "%USERPROFILE%\AppData\Local\Temp\OnboardLogs"\RTDC4027\2017-11-17 --exclude "*" --recursive --include "*20171117*" &amp; "%USERPROFILE%\Documents\GitHub\mrs-test-scripts\Headless Mode &amp; Sideloading\WalkAndUnGZ.bat" "%USERPROFILE%\AppData\Local\Temp\OnboardLogs"\RTDC4027\2017-11-17 &amp; aws s3 cp s3://rtdc.mdm.uploadarchive.raw/RTDC4027/ "%USERPROFILE%\AppData\Local\Temp\OnboardLogs"\RTDC4027\2017-11-18 --exclude "*" --recursive --include "*20171118*" &amp; "%USERPROFILE%\Documents\GitHub\mrs-test-scripts\Headless Mode &amp; Sideloading\WalkAndUnGZ.bat" "%USERPROFILE%\AppData\Local\Temp\OnboardLogs"\RTDC4027\2017-11-18</v>
      </c>
      <c r="AF28" s="74" t="str">
        <f t="shared" si="10"/>
        <v>"C:\Program Files (x86)\AstroGrep\AstroGrep.exe" /e /r /s /spath="%USERPROFILE%\AppData\Local\Temp\OnboardLogs" /stypes="app*4027*20171117*" /stext=" 13:.+((SYSTEM_STATE.+slice.+state.+changed )|(ment ac)|(multiple cpu faults)|(system.+state.+changed )|(\[timeout)|(PRM\|1\|D)|(kpr)|(kdp)|(train st.+moving)|(\|lc)|(penalty))"</v>
      </c>
      <c r="AG28" s="182" t="str">
        <f t="shared" si="11"/>
        <v>EC</v>
      </c>
      <c r="AH28" s="78" t="str">
        <f t="shared" si="12"/>
        <v>"%USERPROFILE%\Documents\GitHub\eaglep3\Utilities\RefineRTDCRunTimes.py" --tripid 114-17 --locoid 4027 --swversion DE.1.0.9.0 --startMP 204:232892 --initTime 2017-11-17T06:08:32 --startdatetime 2017-11-17T06:12:24 --delay 68 --endMP 204:234 --enddatetime 2017-11-17T06:50:41 --enforcementcount 1 &gt;&gt;%USERPROFILE%\Documents\GitHub\eaglep3-reporting\EC\2017-11-17-refined-times.txt</v>
      </c>
      <c r="AI28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{"issue":{"subject":"","project_id":79,"tracker_id":40,"status_id":1,"priority_id":2,"assigned_to_id":338,"start_date":"2017-11-17","description":"","custom_fields":[{"id":1,"name":"Subdivision","value":"EC"},{"id":4,"name":"Milepost","value":"0.0234"},{"id":17,"name":"Train ID","value":"114-17"},{"id":16,"name":"Locomotive ID","value":"4027"},{"id":130,"name":"Impact","value":""},{"id":150,"name":"Time of Event (Mountain Time)","value":"06:50:41"},{"id":151,"name":"Denver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8" s="20"/>
      <c r="AK28" s="47"/>
      <c r="AL28" s="47"/>
      <c r="AM28" s="142" t="str">
        <f t="shared" si="14"/>
        <v>start /low /b %USERPROFILE%\Documents\GitHub\eaglep3\Utilities\DownloadLogsFromS3.py --loco 4027 --day 2017-11-17</v>
      </c>
      <c r="AN28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13:50:41"},{"id":29,"name":"Sharepoint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168" t="str">
        <f t="shared" si="16"/>
        <v>https://d0f6bd738d7f1b3e5a7ca70fe4ff75f0.us-east-1.aws.found.io/app/kibana#/discover/Steve-Slow-Train-Analysis-(2080s-and-2083s)?_g=(refreshInterval:(display:Off,pause:!f,section:0,value:0),time:(from:'2017-11-17T05:08:32-0700',mode:absolute,to:'2017-11-17T07:50:41-0700'))&amp;_a=(columns:!('Message%20ID',Summary),filters:!(),index:'emp_*',interval:auto,query:(query_string:(analyze_wildcard:!t,query:'%22rtdc.l.rtdc.4027%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3">
      <c r="A29" s="32" t="s">
        <v>679</v>
      </c>
      <c r="B29" s="7">
        <v>4020</v>
      </c>
      <c r="C29" s="21" t="s">
        <v>192</v>
      </c>
      <c r="D29" s="21" t="s">
        <v>582</v>
      </c>
      <c r="E29" s="13">
        <v>43056.224456018521</v>
      </c>
      <c r="F29" s="13">
        <v>43056.229583333334</v>
      </c>
      <c r="G29" s="7">
        <v>56</v>
      </c>
      <c r="H29" s="21" t="s">
        <v>919</v>
      </c>
      <c r="I29" s="13">
        <v>43056.254293981481</v>
      </c>
      <c r="J29" s="7">
        <v>1</v>
      </c>
      <c r="K29" s="89" t="str">
        <f t="shared" si="0"/>
        <v>4019/4020</v>
      </c>
      <c r="L29" s="185" t="str">
        <f>VLOOKUP(A29,'Trips&amp;Operators'!$C$1:$G$99911,5,FALSE)</f>
        <v>MAELZER KURT</v>
      </c>
      <c r="M29" s="6">
        <f t="shared" si="1"/>
        <v>2.47106481474475E-2</v>
      </c>
      <c r="N29" s="7">
        <f t="shared" si="17"/>
        <v>35.583333332324401</v>
      </c>
      <c r="O29" s="7"/>
      <c r="P29" s="7"/>
      <c r="Q29" s="22"/>
      <c r="R29" s="174"/>
      <c r="S29" s="221">
        <f t="shared" si="18"/>
        <v>1</v>
      </c>
      <c r="T29" s="174" t="str">
        <f t="shared" si="2"/>
        <v>NorthBound</v>
      </c>
      <c r="U29" s="198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16" t="str">
        <f t="shared" si="3"/>
        <v>https://d0f6bd738d7f1b3e5a7ca70fe4ff75f0.us-east-1.aws.found.io/app/kibana#/discover/Steve-Slow-Train-Analysis-(2080s-and-2083s)?_g=(refreshInterval:(display:Off,pause:!f,section:0,value:0),time:(from:'2017-11-17T04:23:13-0700',mode:absolute,to:'2017-11-17T07:06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9" s="204" t="str">
        <f>IF(AA29&lt;VLOOKUP(AG29,Variables!$AC$3:$AD$8,2,FALSE),"Y","N")</f>
        <v>N</v>
      </c>
      <c r="X29" s="204">
        <f t="shared" si="4"/>
        <v>1</v>
      </c>
      <c r="Y29" s="204">
        <f t="shared" si="5"/>
        <v>4.9500000000000002E-2</v>
      </c>
      <c r="Z29" s="204">
        <f t="shared" si="6"/>
        <v>23.328499999999998</v>
      </c>
      <c r="AA29" s="204">
        <f t="shared" si="7"/>
        <v>23.279</v>
      </c>
      <c r="AB29" s="54" t="e">
        <f>VLOOKUP(A29,Enforcements!$C$7:$K$9,8,0)</f>
        <v>#N/A</v>
      </c>
      <c r="AC29" s="51" t="e">
        <f>VLOOKUP(A29,Enforcements!$C$7:$E$9,3,0)</f>
        <v>#N/A</v>
      </c>
      <c r="AD29" s="179">
        <f t="shared" si="8"/>
        <v>115</v>
      </c>
      <c r="AE29" s="77" t="str">
        <f t="shared" si="9"/>
        <v>aws s3 cp s3://rtdc.mdm.uploadarchive.raw/RTDC4020/ "%USERPROFILE%\AppData\Local\Temp\OnboardLogs"\RTDC4020\2017-11-17 --exclude "*" --recursive --include "*20171117*" &amp; "%USERPROFILE%\Documents\GitHub\mrs-test-scripts\Headless Mode &amp; Sideloading\WalkAndUnGZ.bat" "%USERPROFILE%\AppData\Local\Temp\OnboardLogs"\RTDC4020\2017-11-17 &amp; aws s3 cp s3://rtdc.mdm.uploadarchive.raw/RTDC4020/ "%USERPROFILE%\AppData\Local\Temp\OnboardLogs"\RTDC4020\2017-11-18 --exclude "*" --recursive --include "*20171118*" &amp; "%USERPROFILE%\Documents\GitHub\mrs-test-scripts\Headless Mode &amp; Sideloading\WalkAndUnGZ.bat" "%USERPROFILE%\AppData\Local\Temp\OnboardLogs"\RTDC4020\2017-11-18</v>
      </c>
      <c r="AF29" s="74" t="str">
        <f t="shared" si="10"/>
        <v>"C:\Program Files (x86)\AstroGrep\AstroGrep.exe" /e /r /s /spath="%USERPROFILE%\AppData\Local\Temp\OnboardLogs" /stypes="app*4020*20171117*" /stext=" 13:.+((SYSTEM_STATE.+slice.+state.+changed )|(ment ac)|(multiple cpu faults)|(system.+state.+changed )|(\[timeout)|(PRM\|1\|D)|(kpr)|(kdp)|(train st.+moving)|(\|lc)|(penalty))"</v>
      </c>
      <c r="AG29" s="182" t="str">
        <f t="shared" si="11"/>
        <v>EC</v>
      </c>
      <c r="AH29" s="78" t="str">
        <f t="shared" si="12"/>
        <v>"%USERPROFILE%\Documents\GitHub\eaglep3\Utilities\RefineRTDCRunTimes.py" --tripid 115-17 --locoid 4020 --swversion DE.1.0.9.0 --startMP 204:495 --initTime 2017-11-17T05:23:13 --startdatetime 2017-11-17T05:30:36 --delay 56 --endMP 204:233285 --enddatetime 2017-11-17T06:06:11 --enforcementcount 1 &gt;&gt;%USERPROFILE%\Documents\GitHub\eaglep3-reporting\EC\2017-11-17-refined-times.txt</v>
      </c>
      <c r="AI29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{"issue":{"subject":"","project_id":79,"tracker_id":40,"status_id":1,"priority_id":2,"assigned_to_id":338,"start_date":"2017-11-17","description":"","custom_fields":[{"id":1,"name":"Subdivision","value":"EC"},{"id":4,"name":"Milepost","value":"23.3285"},{"id":17,"name":"Train ID","value":"115-17"},{"id":16,"name":"Locomotive ID","value":"4020"},{"id":130,"name":"Impact","value":""},{"id":150,"name":"Time of Event (Mountain Time)","value":"06:06:11"},{"id":151,"name":"Denver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9" s="20"/>
      <c r="AK29" s="47"/>
      <c r="AL29" s="47"/>
      <c r="AM29" s="142" t="str">
        <f t="shared" si="14"/>
        <v>start /low /b %USERPROFILE%\Documents\GitHub\eaglep3\Utilities\DownloadLogsFromS3.py --loco 4020 --day 2017-11-17</v>
      </c>
      <c r="AN29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13:06:11"},{"id":29,"name":"Sharepoint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168" t="str">
        <f t="shared" si="16"/>
        <v>https://d0f6bd738d7f1b3e5a7ca70fe4ff75f0.us-east-1.aws.found.io/app/kibana#/discover/Steve-Slow-Train-Analysis-(2080s-and-2083s)?_g=(refreshInterval:(display:Off,pause:!f,section:0,value:0),time:(from:'2017-11-17T04:23:13-0700',mode:absolute,to:'2017-11-17T07:06:11-0700'))&amp;_a=(columns:!('Message%20ID',Summary),filters:!(),index:'emp_*',interval:auto,query:(query_string:(analyze_wildcard:!t,query:'%22rtdc.l.rtdc.4020%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3">
      <c r="A30" s="32" t="s">
        <v>691</v>
      </c>
      <c r="B30" s="7">
        <v>4019</v>
      </c>
      <c r="C30" s="21" t="s">
        <v>192</v>
      </c>
      <c r="D30" s="21" t="s">
        <v>920</v>
      </c>
      <c r="E30" s="13">
        <v>43056.261793981481</v>
      </c>
      <c r="F30" s="13">
        <v>43056.268958333334</v>
      </c>
      <c r="G30" s="7">
        <v>47</v>
      </c>
      <c r="H30" s="21" t="s">
        <v>921</v>
      </c>
      <c r="I30" s="13">
        <v>43056.295185185183</v>
      </c>
      <c r="J30" s="7">
        <v>1</v>
      </c>
      <c r="K30" s="89" t="str">
        <f t="shared" si="0"/>
        <v>4019/4020</v>
      </c>
      <c r="L30" s="185" t="str">
        <f>VLOOKUP(A30,'Trips&amp;Operators'!$C$1:$G$99911,5,FALSE)</f>
        <v>MAELZER KURT</v>
      </c>
      <c r="M30" s="6">
        <f t="shared" si="1"/>
        <v>2.622685184906004E-2</v>
      </c>
      <c r="N30" s="7">
        <f t="shared" si="17"/>
        <v>37.766666662646458</v>
      </c>
      <c r="O30" s="7"/>
      <c r="P30" s="7"/>
      <c r="Q30" s="22"/>
      <c r="R30" s="174"/>
      <c r="S30" s="221">
        <f t="shared" si="18"/>
        <v>1</v>
      </c>
      <c r="T30" s="174" t="str">
        <f t="shared" si="2"/>
        <v>Southbound</v>
      </c>
      <c r="U30" s="198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16" t="str">
        <f t="shared" si="3"/>
        <v>https://d0f6bd738d7f1b3e5a7ca70fe4ff75f0.us-east-1.aws.found.io/app/kibana#/discover/Steve-Slow-Train-Analysis-(2080s-and-2083s)?_g=(refreshInterval:(display:Off,pause:!f,section:0,value:0),time:(from:'2017-11-17T05:16:59-0700',mode:absolute,to:'2017-11-17T08:05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30" s="204" t="str">
        <f>IF(AA30&lt;VLOOKUP(AG30,Variables!$AC$3:$AD$8,2,FALSE),"Y","N")</f>
        <v>N</v>
      </c>
      <c r="X30" s="204">
        <f t="shared" si="4"/>
        <v>1</v>
      </c>
      <c r="Y30" s="204">
        <f t="shared" si="5"/>
        <v>23.2989</v>
      </c>
      <c r="Z30" s="204">
        <f t="shared" si="6"/>
        <v>1.7000000000000001E-2</v>
      </c>
      <c r="AA30" s="204">
        <f t="shared" si="7"/>
        <v>23.2819</v>
      </c>
      <c r="AB30" s="54" t="e">
        <f>VLOOKUP(A30,Enforcements!$C$7:$K$9,8,0)</f>
        <v>#N/A</v>
      </c>
      <c r="AC30" s="51" t="e">
        <f>VLOOKUP(A30,Enforcements!$C$7:$E$9,3,0)</f>
        <v>#N/A</v>
      </c>
      <c r="AD30" s="179">
        <f t="shared" si="8"/>
        <v>116</v>
      </c>
      <c r="AE30" s="77" t="str">
        <f t="shared" si="9"/>
        <v>aws s3 cp s3://rtdc.mdm.uploadarchive.raw/RTDC4019/ "%USERPROFILE%\AppData\Local\Temp\OnboardLogs"\RTDC4019\2017-11-17 --exclude "*" --recursive --include "*20171117*" &amp; "%USERPROFILE%\Documents\GitHub\mrs-test-scripts\Headless Mode &amp; Sideloading\WalkAndUnGZ.bat" "%USERPROFILE%\AppData\Local\Temp\OnboardLogs"\RTDC4019\2017-11-17 &amp; aws s3 cp s3://rtdc.mdm.uploadarchive.raw/RTDC4019/ "%USERPROFILE%\AppData\Local\Temp\OnboardLogs"\RTDC4019\2017-11-18 --exclude "*" --recursive --include "*20171118*" &amp; "%USERPROFILE%\Documents\GitHub\mrs-test-scripts\Headless Mode &amp; Sideloading\WalkAndUnGZ.bat" "%USERPROFILE%\AppData\Local\Temp\OnboardLogs"\RTDC4019\2017-11-18</v>
      </c>
      <c r="AF30" s="74" t="str">
        <f t="shared" si="10"/>
        <v>"C:\Program Files (x86)\AstroGrep\AstroGrep.exe" /e /r /s /spath="%USERPROFILE%\AppData\Local\Temp\OnboardLogs" /stypes="app*4019*20171117*" /stext=" 14:.+((SYSTEM_STATE.+slice.+state.+changed )|(ment ac)|(multiple cpu faults)|(system.+state.+changed )|(\[timeout)|(PRM\|1\|D)|(kpr)|(kdp)|(train st.+moving)|(\|lc)|(penalty))"</v>
      </c>
      <c r="AG30" s="182" t="str">
        <f t="shared" si="11"/>
        <v>EC</v>
      </c>
      <c r="AH30" s="78" t="str">
        <f t="shared" si="12"/>
        <v>"%USERPROFILE%\Documents\GitHub\eaglep3\Utilities\RefineRTDCRunTimes.py" --tripid 116-17 --locoid 4019 --swversion DE.1.0.9.0 --startMP 204:232989 --initTime 2017-11-17T06:16:59 --startdatetime 2017-11-17T06:27:18 --delay 47 --endMP 204:170 --enddatetime 2017-11-17T07:05:04 --enforcementcount 1 &gt;&gt;%USERPROFILE%\Documents\GitHub\eaglep3-reporting\EC\2017-11-17-refined-times.txt</v>
      </c>
      <c r="AI30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{"issue":{"subject":"","project_id":79,"tracker_id":40,"status_id":1,"priority_id":2,"assigned_to_id":338,"start_date":"2017-11-17","description":"","custom_fields":[{"id":1,"name":"Subdivision","value":"EC"},{"id":4,"name":"Milepost","value":"0.017"},{"id":17,"name":"Train ID","value":"116-17"},{"id":16,"name":"Locomotive ID","value":"4019"},{"id":130,"name":"Impact","value":""},{"id":150,"name":"Time of Event (Mountain Time)","value":"07:05:04"},{"id":151,"name":"Denver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0" s="20"/>
      <c r="AK30" s="47"/>
      <c r="AL30" s="47"/>
      <c r="AM30" s="142" t="str">
        <f t="shared" si="14"/>
        <v>start /low /b %USERPROFILE%\Documents\GitHub\eaglep3\Utilities\DownloadLogsFromS3.py --loco 4019 --day 2017-11-17</v>
      </c>
      <c r="AN30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14:05:04"},{"id":29,"name":"Sharepoint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168" t="str">
        <f t="shared" si="16"/>
        <v>https://d0f6bd738d7f1b3e5a7ca70fe4ff75f0.us-east-1.aws.found.io/app/kibana#/discover/Steve-Slow-Train-Analysis-(2080s-and-2083s)?_g=(refreshInterval:(display:Off,pause:!f,section:0,value:0),time:(from:'2017-11-17T05:16:59-0700',mode:absolute,to:'2017-11-17T08:05:04-0700'))&amp;_a=(columns:!('Message%20ID',Summary),filters:!(),index:'emp_*',interval:auto,query:(query_string:(analyze_wildcard:!t,query:'%22rtdc.l.rtdc.4019%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3">
      <c r="A31" s="32" t="s">
        <v>684</v>
      </c>
      <c r="B31" s="7">
        <v>4064</v>
      </c>
      <c r="C31" s="21" t="s">
        <v>192</v>
      </c>
      <c r="D31" s="21" t="s">
        <v>922</v>
      </c>
      <c r="E31" s="13">
        <v>43056.236840277779</v>
      </c>
      <c r="F31" s="13">
        <v>43056.239733796298</v>
      </c>
      <c r="G31" s="7">
        <v>55</v>
      </c>
      <c r="H31" s="21" t="s">
        <v>923</v>
      </c>
      <c r="I31" s="13">
        <v>43056.264953703707</v>
      </c>
      <c r="J31" s="7">
        <v>1</v>
      </c>
      <c r="K31" s="89" t="str">
        <f t="shared" si="0"/>
        <v>4063/4064</v>
      </c>
      <c r="L31" s="185" t="str">
        <f>VLOOKUP(A31,'Trips&amp;Operators'!$C$1:$G$99911,5,FALSE)</f>
        <v>YANAI IAN</v>
      </c>
      <c r="M31" s="6">
        <f t="shared" si="1"/>
        <v>2.5219907409336884E-2</v>
      </c>
      <c r="N31" s="7">
        <f t="shared" si="17"/>
        <v>36.316666669445112</v>
      </c>
      <c r="O31" s="7"/>
      <c r="P31" s="7"/>
      <c r="Q31" s="22"/>
      <c r="R31" s="174"/>
      <c r="S31" s="221">
        <f t="shared" si="18"/>
        <v>1</v>
      </c>
      <c r="T31" s="174" t="str">
        <f t="shared" si="2"/>
        <v>NorthBound</v>
      </c>
      <c r="U31" s="198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16" t="str">
        <f t="shared" si="3"/>
        <v>https://d0f6bd738d7f1b3e5a7ca70fe4ff75f0.us-east-1.aws.found.io/app/kibana#/discover/Steve-Slow-Train-Analysis-(2080s-and-2083s)?_g=(refreshInterval:(display:Off,pause:!f,section:0,value:0),time:(from:'2017-11-17T04:41:03-0700',mode:absolute,to:'2017-11-17T07:21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31" s="204" t="str">
        <f>IF(AA31&lt;VLOOKUP(AG31,Variables!$AC$3:$AD$8,2,FALSE),"Y","N")</f>
        <v>N</v>
      </c>
      <c r="X31" s="204">
        <f t="shared" si="4"/>
        <v>1</v>
      </c>
      <c r="Y31" s="204">
        <f t="shared" si="5"/>
        <v>4.4200000000000003E-2</v>
      </c>
      <c r="Z31" s="204">
        <f t="shared" si="6"/>
        <v>23.332599999999999</v>
      </c>
      <c r="AA31" s="204">
        <f t="shared" si="7"/>
        <v>23.288399999999999</v>
      </c>
      <c r="AB31" s="54" t="e">
        <f>VLOOKUP(A31,Enforcements!$C$7:$K$9,8,0)</f>
        <v>#N/A</v>
      </c>
      <c r="AC31" s="51" t="e">
        <f>VLOOKUP(A31,Enforcements!$C$7:$E$9,3,0)</f>
        <v>#N/A</v>
      </c>
      <c r="AD31" s="179">
        <f t="shared" si="8"/>
        <v>117</v>
      </c>
      <c r="AE31" s="77" t="str">
        <f t="shared" si="9"/>
        <v>aws s3 cp s3://rtdc.mdm.uploadarchive.raw/RTDC4064/ "%USERPROFILE%\AppData\Local\Temp\OnboardLogs"\RTDC4064\2017-11-17 --exclude "*" --recursive --include "*20171117*" &amp; "%USERPROFILE%\Documents\GitHub\mrs-test-scripts\Headless Mode &amp; Sideloading\WalkAndUnGZ.bat" "%USERPROFILE%\AppData\Local\Temp\OnboardLogs"\RTDC4064\2017-11-17 &amp; aws s3 cp s3://rtdc.mdm.uploadarchive.raw/RTDC4064/ "%USERPROFILE%\AppData\Local\Temp\OnboardLogs"\RTDC4064\2017-11-18 --exclude "*" --recursive --include "*20171118*" &amp; "%USERPROFILE%\Documents\GitHub\mrs-test-scripts\Headless Mode &amp; Sideloading\WalkAndUnGZ.bat" "%USERPROFILE%\AppData\Local\Temp\OnboardLogs"\RTDC4064\2017-11-18</v>
      </c>
      <c r="AF31" s="74" t="str">
        <f t="shared" si="10"/>
        <v>"C:\Program Files (x86)\AstroGrep\AstroGrep.exe" /e /r /s /spath="%USERPROFILE%\AppData\Local\Temp\OnboardLogs" /stypes="app*4064*20171117*" /stext=" 13:.+((SYSTEM_STATE.+slice.+state.+changed )|(ment ac)|(multiple cpu faults)|(system.+state.+changed )|(\[timeout)|(PRM\|1\|D)|(kpr)|(kdp)|(train st.+moving)|(\|lc)|(penalty))"</v>
      </c>
      <c r="AG31" s="182" t="str">
        <f t="shared" si="11"/>
        <v>EC</v>
      </c>
      <c r="AH31" s="78" t="str">
        <f t="shared" si="12"/>
        <v>"%USERPROFILE%\Documents\GitHub\eaglep3\Utilities\RefineRTDCRunTimes.py" --tripid 117-17 --locoid 4064 --swversion DE.1.0.9.0 --startMP 204:442 --initTime 2017-11-17T05:41:03 --startdatetime 2017-11-17T05:45:13 --delay 55 --endMP 204:233326 --enddatetime 2017-11-17T06:21:32 --enforcementcount 1 &gt;&gt;%USERPROFILE%\Documents\GitHub\eaglep3-reporting\EC\2017-11-17-refined-times.txt</v>
      </c>
      <c r="AI31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{"issue":{"subject":"","project_id":79,"tracker_id":40,"status_id":1,"priority_id":2,"assigned_to_id":338,"start_date":"2017-11-17","description":"","custom_fields":[{"id":1,"name":"Subdivision","value":"EC"},{"id":4,"name":"Milepost","value":"23.3326"},{"id":17,"name":"Train ID","value":"117-17"},{"id":16,"name":"Locomotive ID","value":"4064"},{"id":130,"name":"Impact","value":""},{"id":150,"name":"Time of Event (Mountain Time)","value":"06:21:32"},{"id":151,"name":"Denver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1" s="20"/>
      <c r="AK31" s="47"/>
      <c r="AL31" s="47"/>
      <c r="AM31" s="142" t="str">
        <f t="shared" si="14"/>
        <v>start /low /b %USERPROFILE%\Documents\GitHub\eaglep3\Utilities\DownloadLogsFromS3.py --loco 4064 --day 2017-11-17</v>
      </c>
      <c r="AN31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13:21:32"},{"id":29,"name":"Sharepoint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168" t="str">
        <f t="shared" si="16"/>
        <v>https://d0f6bd738d7f1b3e5a7ca70fe4ff75f0.us-east-1.aws.found.io/app/kibana#/discover/Steve-Slow-Train-Analysis-(2080s-and-2083s)?_g=(refreshInterval:(display:Off,pause:!f,section:0,value:0),time:(from:'2017-11-17T04:41:03-0700',mode:absolute,to:'2017-11-17T07:21:32-0700'))&amp;_a=(columns:!('Message%20ID',Summary),filters:!(),index:'emp_*',interval:auto,query:(query_string:(analyze_wildcard:!t,query:'%22rtdc.l.rtdc.4064%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3">
      <c r="A32" s="32" t="s">
        <v>695</v>
      </c>
      <c r="B32" s="7">
        <v>4063</v>
      </c>
      <c r="C32" s="21" t="s">
        <v>192</v>
      </c>
      <c r="D32" s="21" t="s">
        <v>924</v>
      </c>
      <c r="E32" s="13">
        <v>43056.266018518516</v>
      </c>
      <c r="F32" s="13">
        <v>43056.279340277775</v>
      </c>
      <c r="G32" s="7">
        <v>49</v>
      </c>
      <c r="H32" s="21" t="s">
        <v>925</v>
      </c>
      <c r="I32" s="13">
        <v>43056.306689814817</v>
      </c>
      <c r="J32" s="7">
        <v>1</v>
      </c>
      <c r="K32" s="89" t="str">
        <f t="shared" si="0"/>
        <v>4063/4064</v>
      </c>
      <c r="L32" s="185" t="str">
        <f>VLOOKUP(A32,'Trips&amp;Operators'!$C$1:$G$99911,5,FALSE)</f>
        <v>YANAI IAN</v>
      </c>
      <c r="M32" s="6">
        <f t="shared" si="1"/>
        <v>2.7349537042027805E-2</v>
      </c>
      <c r="N32" s="7">
        <f t="shared" si="17"/>
        <v>39.383333340520039</v>
      </c>
      <c r="O32" s="7"/>
      <c r="P32" s="7"/>
      <c r="Q32" s="22"/>
      <c r="R32" s="174"/>
      <c r="S32" s="221">
        <f t="shared" si="18"/>
        <v>1</v>
      </c>
      <c r="T32" s="174" t="str">
        <f t="shared" si="2"/>
        <v>Southbound</v>
      </c>
      <c r="U32" s="198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16" t="str">
        <f t="shared" si="3"/>
        <v>https://d0f6bd738d7f1b3e5a7ca70fe4ff75f0.us-east-1.aws.found.io/app/kibana#/discover/Steve-Slow-Train-Analysis-(2080s-and-2083s)?_g=(refreshInterval:(display:Off,pause:!f,section:0,value:0),time:(from:'2017-11-17T05:23:04-0700',mode:absolute,to:'2017-11-17T08:21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32" s="204" t="str">
        <f>IF(AA32&lt;VLOOKUP(AG32,Variables!$AC$3:$AD$8,2,FALSE),"Y","N")</f>
        <v>N</v>
      </c>
      <c r="X32" s="204">
        <f t="shared" si="4"/>
        <v>1</v>
      </c>
      <c r="Y32" s="204">
        <f t="shared" si="5"/>
        <v>23.3017</v>
      </c>
      <c r="Z32" s="204">
        <f t="shared" si="6"/>
        <v>2.0299999999999999E-2</v>
      </c>
      <c r="AA32" s="204">
        <f t="shared" si="7"/>
        <v>23.281400000000001</v>
      </c>
      <c r="AB32" s="54" t="e">
        <f>VLOOKUP(A32,Enforcements!$C$7:$K$9,8,0)</f>
        <v>#N/A</v>
      </c>
      <c r="AC32" s="51" t="e">
        <f>VLOOKUP(A32,Enforcements!$C$7:$E$9,3,0)</f>
        <v>#N/A</v>
      </c>
      <c r="AD32" s="179">
        <f t="shared" si="8"/>
        <v>118</v>
      </c>
      <c r="AE32" s="77" t="str">
        <f t="shared" si="9"/>
        <v>aws s3 cp s3://rtdc.mdm.uploadarchive.raw/RTDC4063/ "%USERPROFILE%\AppData\Local\Temp\OnboardLogs"\RTDC4063\2017-11-17 --exclude "*" --recursive --include "*20171117*" &amp; "%USERPROFILE%\Documents\GitHub\mrs-test-scripts\Headless Mode &amp; Sideloading\WalkAndUnGZ.bat" "%USERPROFILE%\AppData\Local\Temp\OnboardLogs"\RTDC4063\2017-11-17 &amp; aws s3 cp s3://rtdc.mdm.uploadarchive.raw/RTDC4063/ "%USERPROFILE%\AppData\Local\Temp\OnboardLogs"\RTDC4063\2017-11-18 --exclude "*" --recursive --include "*20171118*" &amp; "%USERPROFILE%\Documents\GitHub\mrs-test-scripts\Headless Mode &amp; Sideloading\WalkAndUnGZ.bat" "%USERPROFILE%\AppData\Local\Temp\OnboardLogs"\RTDC4063\2017-11-18</v>
      </c>
      <c r="AF32" s="74" t="str">
        <f t="shared" si="10"/>
        <v>"C:\Program Files (x86)\AstroGrep\AstroGrep.exe" /e /r /s /spath="%USERPROFILE%\AppData\Local\Temp\OnboardLogs" /stypes="app*4063*20171117*" /stext=" 14:.+((SYSTEM_STATE.+slice.+state.+changed )|(ment ac)|(multiple cpu faults)|(system.+state.+changed )|(\[timeout)|(PRM\|1\|D)|(kpr)|(kdp)|(train st.+moving)|(\|lc)|(penalty))"</v>
      </c>
      <c r="AG32" s="182" t="str">
        <f t="shared" si="11"/>
        <v>EC</v>
      </c>
      <c r="AH32" s="78" t="str">
        <f t="shared" si="12"/>
        <v>"%USERPROFILE%\Documents\GitHub\eaglep3\Utilities\RefineRTDCRunTimes.py" --tripid 118-17 --locoid 4063 --swversion DE.1.0.9.0 --startMP 204:233017 --initTime 2017-11-17T06:23:04 --startdatetime 2017-11-17T06:42:15 --delay 49 --endMP 204:203 --enddatetime 2017-11-17T07:21:38 --enforcementcount 1 &gt;&gt;%USERPROFILE%\Documents\GitHub\eaglep3-reporting\EC\2017-11-17-refined-times.txt</v>
      </c>
      <c r="AI32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{"issue":{"subject":"","project_id":79,"tracker_id":40,"status_id":1,"priority_id":2,"assigned_to_id":338,"start_date":"2017-11-17","description":"","custom_fields":[{"id":1,"name":"Subdivision","value":"EC"},{"id":4,"name":"Milepost","value":"0.0203"},{"id":17,"name":"Train ID","value":"118-17"},{"id":16,"name":"Locomotive ID","value":"4063"},{"id":130,"name":"Impact","value":""},{"id":150,"name":"Time of Event (Mountain Time)","value":"07:21:38"},{"id":151,"name":"Denver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2" s="20"/>
      <c r="AK32" s="47"/>
      <c r="AL32" s="47"/>
      <c r="AM32" s="142" t="str">
        <f t="shared" si="14"/>
        <v>start /low /b %USERPROFILE%\Documents\GitHub\eaglep3\Utilities\DownloadLogsFromS3.py --loco 4063 --day 2017-11-17</v>
      </c>
      <c r="AN32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14:21:38"},{"id":29,"name":"Sharepoint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168" t="str">
        <f t="shared" si="16"/>
        <v>https://d0f6bd738d7f1b3e5a7ca70fe4ff75f0.us-east-1.aws.found.io/app/kibana#/discover/Steve-Slow-Train-Analysis-(2080s-and-2083s)?_g=(refreshInterval:(display:Off,pause:!f,section:0,value:0),time:(from:'2017-11-17T05:23:04-0700',mode:absolute,to:'2017-11-17T08:21:38-0700'))&amp;_a=(columns:!('Message%20ID',Summary),filters:!(),index:'emp_*',interval:auto,query:(query_string:(analyze_wildcard:!t,query:'%22rtdc.l.rtdc.4063%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3">
      <c r="A33" s="32" t="s">
        <v>686</v>
      </c>
      <c r="B33" s="7">
        <v>4036</v>
      </c>
      <c r="C33" s="21" t="s">
        <v>192</v>
      </c>
      <c r="D33" s="21" t="s">
        <v>469</v>
      </c>
      <c r="E33" s="13">
        <v>43056.246076388888</v>
      </c>
      <c r="F33" s="13">
        <v>43056.250219907408</v>
      </c>
      <c r="G33" s="7">
        <v>60</v>
      </c>
      <c r="H33" s="21" t="s">
        <v>518</v>
      </c>
      <c r="I33" s="13">
        <v>43056.275706018518</v>
      </c>
      <c r="J33" s="7">
        <v>1</v>
      </c>
      <c r="K33" s="89" t="str">
        <f t="shared" si="0"/>
        <v>4035/4036</v>
      </c>
      <c r="L33" s="185" t="str">
        <f>VLOOKUP(A33,'Trips&amp;Operators'!$C$1:$G$99911,5,FALSE)</f>
        <v>AUSTIN THOMPSON</v>
      </c>
      <c r="M33" s="6">
        <f t="shared" si="1"/>
        <v>2.548611110978527E-2</v>
      </c>
      <c r="N33" s="7">
        <f t="shared" si="17"/>
        <v>36.699999998090789</v>
      </c>
      <c r="O33" s="7"/>
      <c r="P33" s="7"/>
      <c r="Q33" s="22"/>
      <c r="R33" s="174"/>
      <c r="S33" s="221">
        <f t="shared" si="18"/>
        <v>1</v>
      </c>
      <c r="T33" s="174" t="str">
        <f t="shared" si="2"/>
        <v>NorthBound</v>
      </c>
      <c r="U33" s="198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16" t="str">
        <f t="shared" si="3"/>
        <v>https://d0f6bd738d7f1b3e5a7ca70fe4ff75f0.us-east-1.aws.found.io/app/kibana#/discover/Steve-Slow-Train-Analysis-(2080s-and-2083s)?_g=(refreshInterval:(display:Off,pause:!f,section:0,value:0),time:(from:'2017-11-17T04:54:21-0700',mode:absolute,to:'2017-11-17T07:37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33" s="204" t="str">
        <f>IF(AA33&lt;VLOOKUP(AG33,Variables!$AC$3:$AD$8,2,FALSE),"Y","N")</f>
        <v>N</v>
      </c>
      <c r="X33" s="204">
        <f t="shared" si="4"/>
        <v>1</v>
      </c>
      <c r="Y33" s="204">
        <f t="shared" si="5"/>
        <v>5.33E-2</v>
      </c>
      <c r="Z33" s="204">
        <f t="shared" si="6"/>
        <v>23.327999999999999</v>
      </c>
      <c r="AA33" s="204">
        <f t="shared" si="7"/>
        <v>23.274699999999999</v>
      </c>
      <c r="AB33" s="54" t="e">
        <f>VLOOKUP(A33,Enforcements!$C$7:$K$9,8,0)</f>
        <v>#N/A</v>
      </c>
      <c r="AC33" s="51" t="e">
        <f>VLOOKUP(A33,Enforcements!$C$7:$E$9,3,0)</f>
        <v>#N/A</v>
      </c>
      <c r="AD33" s="179">
        <f t="shared" si="8"/>
        <v>119</v>
      </c>
      <c r="AE33" s="77" t="str">
        <f t="shared" si="9"/>
        <v>aws s3 cp s3://rtdc.mdm.uploadarchive.raw/RTDC4036/ "%USERPROFILE%\AppData\Local\Temp\OnboardLogs"\RTDC4036\2017-11-17 --exclude "*" --recursive --include "*20171117*" &amp; "%USERPROFILE%\Documents\GitHub\mrs-test-scripts\Headless Mode &amp; Sideloading\WalkAndUnGZ.bat" "%USERPROFILE%\AppData\Local\Temp\OnboardLogs"\RTDC4036\2017-11-17 &amp; aws s3 cp s3://rtdc.mdm.uploadarchive.raw/RTDC4036/ "%USERPROFILE%\AppData\Local\Temp\OnboardLogs"\RTDC4036\2017-11-18 --exclude "*" --recursive --include "*20171118*" &amp; "%USERPROFILE%\Documents\GitHub\mrs-test-scripts\Headless Mode &amp; Sideloading\WalkAndUnGZ.bat" "%USERPROFILE%\AppData\Local\Temp\OnboardLogs"\RTDC4036\2017-11-18</v>
      </c>
      <c r="AF33" s="74" t="str">
        <f t="shared" si="10"/>
        <v>"C:\Program Files (x86)\AstroGrep\AstroGrep.exe" /e /r /s /spath="%USERPROFILE%\AppData\Local\Temp\OnboardLogs" /stypes="app*4036*20171117*" /stext=" 13:.+((SYSTEM_STATE.+slice.+state.+changed )|(ment ac)|(multiple cpu faults)|(system.+state.+changed )|(\[timeout)|(PRM\|1\|D)|(kpr)|(kdp)|(train st.+moving)|(\|lc)|(penalty))"</v>
      </c>
      <c r="AG33" s="182" t="str">
        <f t="shared" si="11"/>
        <v>EC</v>
      </c>
      <c r="AH33" s="78" t="str">
        <f t="shared" si="12"/>
        <v>"%USERPROFILE%\Documents\GitHub\eaglep3\Utilities\RefineRTDCRunTimes.py" --tripid 119-17 --locoid 4036 --swversion DE.1.0.9.0 --startMP 204:533 --initTime 2017-11-17T05:54:21 --startdatetime 2017-11-17T06:00:19 --delay 60 --endMP 204:233280 --enddatetime 2017-11-17T06:37:01 --enforcementcount 1 &gt;&gt;%USERPROFILE%\Documents\GitHub\eaglep3-reporting\EC\2017-11-17-refined-times.txt</v>
      </c>
      <c r="AI33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{"issue":{"subject":"","project_id":79,"tracker_id":40,"status_id":1,"priority_id":2,"assigned_to_id":338,"start_date":"2017-11-17","description":"","custom_fields":[{"id":1,"name":"Subdivision","value":"EC"},{"id":4,"name":"Milepost","value":"23.328"},{"id":17,"name":"Train ID","value":"119-17"},{"id":16,"name":"Locomotive ID","value":"4036"},{"id":130,"name":"Impact","value":""},{"id":150,"name":"Time of Event (Mountain Time)","value":"06:37:01"},{"id":151,"name":"Denver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3" s="20"/>
      <c r="AK33" s="47"/>
      <c r="AL33" s="47"/>
      <c r="AM33" s="142" t="str">
        <f t="shared" si="14"/>
        <v>start /low /b %USERPROFILE%\Documents\GitHub\eaglep3\Utilities\DownloadLogsFromS3.py --loco 4036 --day 2017-11-17</v>
      </c>
      <c r="AN33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13:37:01"},{"id":29,"name":"Sharepoint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168" t="str">
        <f t="shared" si="16"/>
        <v>https://d0f6bd738d7f1b3e5a7ca70fe4ff75f0.us-east-1.aws.found.io/app/kibana#/discover/Steve-Slow-Train-Analysis-(2080s-and-2083s)?_g=(refreshInterval:(display:Off,pause:!f,section:0,value:0),time:(from:'2017-11-17T04:54:21-0700',mode:absolute,to:'2017-11-17T07:37:01-0700'))&amp;_a=(columns:!('Message%20ID',Summary),filters:!(),index:'emp_*',interval:auto,query:(query_string:(analyze_wildcard:!t,query:'%22rtdc.l.rtdc.4036%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3">
      <c r="A34" s="32" t="s">
        <v>700</v>
      </c>
      <c r="B34" s="7">
        <v>4035</v>
      </c>
      <c r="C34" s="21" t="s">
        <v>192</v>
      </c>
      <c r="D34" s="21" t="s">
        <v>914</v>
      </c>
      <c r="E34" s="13">
        <v>43056.288368055553</v>
      </c>
      <c r="F34" s="13">
        <v>43056.289768518516</v>
      </c>
      <c r="G34" s="7">
        <v>57</v>
      </c>
      <c r="H34" s="21" t="s">
        <v>494</v>
      </c>
      <c r="I34" s="13">
        <v>43056.315775462965</v>
      </c>
      <c r="J34" s="7">
        <v>1</v>
      </c>
      <c r="K34" s="89" t="str">
        <f t="shared" si="0"/>
        <v>4035/4036</v>
      </c>
      <c r="L34" s="185" t="str">
        <f>VLOOKUP(A34,'Trips&amp;Operators'!$C$1:$G$99911,5,FALSE)</f>
        <v>AUSTIN THOMPSON</v>
      </c>
      <c r="M34" s="6">
        <f t="shared" si="1"/>
        <v>2.6006944448454306E-2</v>
      </c>
      <c r="N34" s="7">
        <f t="shared" si="17"/>
        <v>37.4500000057742</v>
      </c>
      <c r="O34" s="7"/>
      <c r="P34" s="7"/>
      <c r="Q34" s="22"/>
      <c r="R34" s="174"/>
      <c r="S34" s="221">
        <f t="shared" si="18"/>
        <v>1</v>
      </c>
      <c r="T34" s="174" t="str">
        <f t="shared" si="2"/>
        <v>Southbound</v>
      </c>
      <c r="U34" s="198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16" t="str">
        <f t="shared" si="3"/>
        <v>https://d0f6bd738d7f1b3e5a7ca70fe4ff75f0.us-east-1.aws.found.io/app/kibana#/discover/Steve-Slow-Train-Analysis-(2080s-and-2083s)?_g=(refreshInterval:(display:Off,pause:!f,section:0,value:0),time:(from:'2017-11-17T05:55:15-0700',mode:absolute,to:'2017-11-17T08:34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34" s="204" t="str">
        <f>IF(AA34&lt;VLOOKUP(AG34,Variables!$AC$3:$AD$8,2,FALSE),"Y","N")</f>
        <v>N</v>
      </c>
      <c r="X34" s="204">
        <f t="shared" si="4"/>
        <v>1</v>
      </c>
      <c r="Y34" s="204">
        <f t="shared" si="5"/>
        <v>23.2974</v>
      </c>
      <c r="Z34" s="204">
        <f t="shared" si="6"/>
        <v>1.9800000000000002E-2</v>
      </c>
      <c r="AA34" s="204">
        <f t="shared" si="7"/>
        <v>23.2776</v>
      </c>
      <c r="AB34" s="54" t="e">
        <f>VLOOKUP(A34,Enforcements!$C$7:$K$9,8,0)</f>
        <v>#N/A</v>
      </c>
      <c r="AC34" s="51" t="e">
        <f>VLOOKUP(A34,Enforcements!$C$7:$E$9,3,0)</f>
        <v>#N/A</v>
      </c>
      <c r="AD34" s="179">
        <f t="shared" si="8"/>
        <v>120</v>
      </c>
      <c r="AE34" s="77" t="str">
        <f t="shared" si="9"/>
        <v>aws s3 cp s3://rtdc.mdm.uploadarchive.raw/RTDC4035/ "%USERPROFILE%\AppData\Local\Temp\OnboardLogs"\RTDC4035\2017-11-17 --exclude "*" --recursive --include "*20171117*" &amp; "%USERPROFILE%\Documents\GitHub\mrs-test-scripts\Headless Mode &amp; Sideloading\WalkAndUnGZ.bat" "%USERPROFILE%\AppData\Local\Temp\OnboardLogs"\RTDC4035\2017-11-17 &amp; aws s3 cp s3://rtdc.mdm.uploadarchive.raw/RTDC4035/ "%USERPROFILE%\AppData\Local\Temp\OnboardLogs"\RTDC4035\2017-11-18 --exclude "*" --recursive --include "*20171118*" &amp; "%USERPROFILE%\Documents\GitHub\mrs-test-scripts\Headless Mode &amp; Sideloading\WalkAndUnGZ.bat" "%USERPROFILE%\AppData\Local\Temp\OnboardLogs"\RTDC4035\2017-11-18</v>
      </c>
      <c r="AF34" s="74" t="str">
        <f t="shared" si="10"/>
        <v>"C:\Program Files (x86)\AstroGrep\AstroGrep.exe" /e /r /s /spath="%USERPROFILE%\AppData\Local\Temp\OnboardLogs" /stypes="app*4035*20171117*" /stext=" 14:.+((SYSTEM_STATE.+slice.+state.+changed )|(ment ac)|(multiple cpu faults)|(system.+state.+changed )|(\[timeout)|(PRM\|1\|D)|(kpr)|(kdp)|(train st.+moving)|(\|lc)|(penalty))"</v>
      </c>
      <c r="AG34" s="182" t="str">
        <f t="shared" si="11"/>
        <v>EC</v>
      </c>
      <c r="AH34" s="78" t="str">
        <f t="shared" si="12"/>
        <v>"%USERPROFILE%\Documents\GitHub\eaglep3\Utilities\RefineRTDCRunTimes.py" --tripid 120-17 --locoid 4035 --swversion DE.1.0.9.0 --startMP 204:232974 --initTime 2017-11-17T06:55:15 --startdatetime 2017-11-17T06:57:16 --delay 57 --endMP 204:198 --enddatetime 2017-11-17T07:34:43 --enforcementcount 1 &gt;&gt;%USERPROFILE%\Documents\GitHub\eaglep3-reporting\EC\2017-11-17-refined-times.txt</v>
      </c>
      <c r="AI34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{"issue":{"subject":"","project_id":79,"tracker_id":40,"status_id":1,"priority_id":2,"assigned_to_id":338,"start_date":"2017-11-17","description":"","custom_fields":[{"id":1,"name":"Subdivision","value":"EC"},{"id":4,"name":"Milepost","value":"0.0198"},{"id":17,"name":"Train ID","value":"120-17"},{"id":16,"name":"Locomotive ID","value":"4035"},{"id":130,"name":"Impact","value":""},{"id":150,"name":"Time of Event (Mountain Time)","value":"07:34:43"},{"id":151,"name":"Denver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4" s="20"/>
      <c r="AK34" s="47"/>
      <c r="AL34" s="47"/>
      <c r="AM34" s="142" t="str">
        <f t="shared" si="14"/>
        <v>start /low /b %USERPROFILE%\Documents\GitHub\eaglep3\Utilities\DownloadLogsFromS3.py --loco 4035 --day 2017-11-17</v>
      </c>
      <c r="AN34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14:34:43"},{"id":29,"name":"Sharepoint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168" t="str">
        <f t="shared" si="16"/>
        <v>https://d0f6bd738d7f1b3e5a7ca70fe4ff75f0.us-east-1.aws.found.io/app/kibana#/discover/Steve-Slow-Train-Analysis-(2080s-and-2083s)?_g=(refreshInterval:(display:Off,pause:!f,section:0,value:0),time:(from:'2017-11-17T05:55:15-0700',mode:absolute,to:'2017-11-17T08:34:43-0700'))&amp;_a=(columns:!('Message%20ID',Summary),filters:!(),index:'emp_*',interval:auto,query:(query_string:(analyze_wildcard:!t,query:'%22rtdc.l.rtdc.4035%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3">
      <c r="A35" s="32" t="s">
        <v>690</v>
      </c>
      <c r="B35" s="7">
        <v>4042</v>
      </c>
      <c r="C35" s="21" t="s">
        <v>192</v>
      </c>
      <c r="D35" s="21" t="s">
        <v>585</v>
      </c>
      <c r="E35" s="13">
        <v>43056.257048611114</v>
      </c>
      <c r="F35" s="13">
        <v>43056.260567129626</v>
      </c>
      <c r="G35" s="7">
        <v>73</v>
      </c>
      <c r="H35" s="21" t="s">
        <v>926</v>
      </c>
      <c r="I35" s="13">
        <v>43056.284016203703</v>
      </c>
      <c r="J35" s="7">
        <v>1</v>
      </c>
      <c r="K35" s="89" t="str">
        <f t="shared" si="0"/>
        <v>4041/4042</v>
      </c>
      <c r="L35" s="185" t="str">
        <f>VLOOKUP(A35,'Trips&amp;Operators'!$C$1:$G$99911,5,FALSE)</f>
        <v>BIRENBAUM THOMAS</v>
      </c>
      <c r="M35" s="6">
        <f t="shared" si="1"/>
        <v>2.3449074076779652E-2</v>
      </c>
      <c r="N35" s="7">
        <f t="shared" si="17"/>
        <v>33.766666670562699</v>
      </c>
      <c r="O35" s="7"/>
      <c r="P35" s="7"/>
      <c r="Q35" s="22"/>
      <c r="R35" s="174"/>
      <c r="S35" s="221">
        <f t="shared" si="18"/>
        <v>1</v>
      </c>
      <c r="T35" s="174" t="str">
        <f t="shared" si="2"/>
        <v>NorthBound</v>
      </c>
      <c r="U35" s="198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16" t="str">
        <f t="shared" si="3"/>
        <v>https://d0f6bd738d7f1b3e5a7ca70fe4ff75f0.us-east-1.aws.found.io/app/kibana#/discover/Steve-Slow-Train-Analysis-(2080s-and-2083s)?_g=(refreshInterval:(display:Off,pause:!f,section:0,value:0),time:(from:'2017-11-17T05:10:09-0700',mode:absolute,to:'2017-11-17T07:48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35" s="204" t="str">
        <f>IF(AA35&lt;VLOOKUP(AG35,Variables!$AC$3:$AD$8,2,FALSE),"Y","N")</f>
        <v>N</v>
      </c>
      <c r="X35" s="204">
        <f t="shared" si="4"/>
        <v>1</v>
      </c>
      <c r="Y35" s="204">
        <f t="shared" si="5"/>
        <v>5.1299999999999998E-2</v>
      </c>
      <c r="Z35" s="204">
        <f t="shared" si="6"/>
        <v>23.324300000000001</v>
      </c>
      <c r="AA35" s="204">
        <f t="shared" si="7"/>
        <v>23.273</v>
      </c>
      <c r="AB35" s="54" t="e">
        <f>VLOOKUP(A35,Enforcements!$C$7:$K$9,8,0)</f>
        <v>#N/A</v>
      </c>
      <c r="AC35" s="51" t="e">
        <f>VLOOKUP(A35,Enforcements!$C$7:$E$9,3,0)</f>
        <v>#N/A</v>
      </c>
      <c r="AD35" s="179">
        <f t="shared" si="8"/>
        <v>121</v>
      </c>
      <c r="AE35" s="77" t="str">
        <f t="shared" si="9"/>
        <v>aws s3 cp s3://rtdc.mdm.uploadarchive.raw/RTDC4042/ "%USERPROFILE%\AppData\Local\Temp\OnboardLogs"\RTDC4042\2017-11-17 --exclude "*" --recursive --include "*20171117*" &amp; "%USERPROFILE%\Documents\GitHub\mrs-test-scripts\Headless Mode &amp; Sideloading\WalkAndUnGZ.bat" "%USERPROFILE%\AppData\Local\Temp\OnboardLogs"\RTDC4042\2017-11-17 &amp; aws s3 cp s3://rtdc.mdm.uploadarchive.raw/RTDC4042/ "%USERPROFILE%\AppData\Local\Temp\OnboardLogs"\RTDC4042\2017-11-18 --exclude "*" --recursive --include "*20171118*" &amp; "%USERPROFILE%\Documents\GitHub\mrs-test-scripts\Headless Mode &amp; Sideloading\WalkAndUnGZ.bat" "%USERPROFILE%\AppData\Local\Temp\OnboardLogs"\RTDC4042\2017-11-18</v>
      </c>
      <c r="AF35" s="74" t="str">
        <f t="shared" si="10"/>
        <v>"C:\Program Files (x86)\AstroGrep\AstroGrep.exe" /e /r /s /spath="%USERPROFILE%\AppData\Local\Temp\OnboardLogs" /stypes="app*4042*20171117*" /stext=" 13:.+((SYSTEM_STATE.+slice.+state.+changed )|(ment ac)|(multiple cpu faults)|(system.+state.+changed )|(\[timeout)|(PRM\|1\|D)|(kpr)|(kdp)|(train st.+moving)|(\|lc)|(penalty))"</v>
      </c>
      <c r="AG35" s="182" t="str">
        <f t="shared" si="11"/>
        <v>EC</v>
      </c>
      <c r="AH35" s="78" t="str">
        <f t="shared" si="12"/>
        <v>"%USERPROFILE%\Documents\GitHub\eaglep3\Utilities\RefineRTDCRunTimes.py" --tripid 121-17 --locoid 4042 --swversion DE.1.0.9.0 --startMP 204:513 --initTime 2017-11-17T06:10:09 --startdatetime 2017-11-17T06:15:13 --delay 73 --endMP 204:233243 --enddatetime 2017-11-17T06:48:59 --enforcementcount 1 &gt;&gt;%USERPROFILE%\Documents\GitHub\eaglep3-reporting\EC\2017-11-17-refined-times.txt</v>
      </c>
      <c r="AI35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{"issue":{"subject":"","project_id":79,"tracker_id":40,"status_id":1,"priority_id":2,"assigned_to_id":338,"start_date":"2017-11-17","description":"","custom_fields":[{"id":1,"name":"Subdivision","value":"EC"},{"id":4,"name":"Milepost","value":"23.3243"},{"id":17,"name":"Train ID","value":"121-17"},{"id":16,"name":"Locomotive ID","value":"4042"},{"id":130,"name":"Impact","value":""},{"id":150,"name":"Time of Event (Mountain Time)","value":"06:48:59"},{"id":151,"name":"Denver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5" s="20"/>
      <c r="AK35" s="47"/>
      <c r="AL35" s="47"/>
      <c r="AM35" s="142" t="str">
        <f t="shared" si="14"/>
        <v>start /low /b %USERPROFILE%\Documents\GitHub\eaglep3\Utilities\DownloadLogsFromS3.py --loco 4042 --day 2017-11-17</v>
      </c>
      <c r="AN35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13:48:59"},{"id":29,"name":"Sharepoint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168" t="str">
        <f t="shared" si="16"/>
        <v>https://d0f6bd738d7f1b3e5a7ca70fe4ff75f0.us-east-1.aws.found.io/app/kibana#/discover/Steve-Slow-Train-Analysis-(2080s-and-2083s)?_g=(refreshInterval:(display:Off,pause:!f,section:0,value:0),time:(from:'2017-11-17T05:10:09-0700',mode:absolute,to:'2017-11-17T07:48:59-0700'))&amp;_a=(columns:!('Message%20ID',Summary),filters:!(),index:'emp_*',interval:auto,query:(query_string:(analyze_wildcard:!t,query:'%22rtdc.l.rtdc.4042%22')),sort:!(Time.ISO8601,asc))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3">
      <c r="A36" s="32" t="s">
        <v>699</v>
      </c>
      <c r="B36" s="7">
        <v>4041</v>
      </c>
      <c r="C36" s="21" t="s">
        <v>192</v>
      </c>
      <c r="D36" s="21" t="s">
        <v>538</v>
      </c>
      <c r="E36" s="13">
        <v>43056.285266203704</v>
      </c>
      <c r="F36" s="13">
        <v>43056.300127314818</v>
      </c>
      <c r="G36" s="7">
        <v>67</v>
      </c>
      <c r="H36" s="21" t="s">
        <v>927</v>
      </c>
      <c r="I36" s="13">
        <v>43056.325277777774</v>
      </c>
      <c r="J36" s="7">
        <v>1</v>
      </c>
      <c r="K36" s="89" t="str">
        <f t="shared" si="0"/>
        <v>4041/4042</v>
      </c>
      <c r="L36" s="185" t="str">
        <f>VLOOKUP(A36,'Trips&amp;Operators'!$C$1:$G$99911,5,FALSE)</f>
        <v>BIRENBAUM THOMAS</v>
      </c>
      <c r="M36" s="6">
        <f t="shared" si="1"/>
        <v>2.5150462955934927E-2</v>
      </c>
      <c r="N36" s="7">
        <f t="shared" si="17"/>
        <v>36.216666656546295</v>
      </c>
      <c r="O36" s="7"/>
      <c r="P36" s="7"/>
      <c r="Q36" s="22"/>
      <c r="R36" s="174"/>
      <c r="S36" s="221">
        <f t="shared" si="18"/>
        <v>1</v>
      </c>
      <c r="T36" s="174" t="str">
        <f t="shared" si="2"/>
        <v>Southbound</v>
      </c>
      <c r="U36" s="198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16" t="str">
        <f t="shared" si="3"/>
        <v>https://d0f6bd738d7f1b3e5a7ca70fe4ff75f0.us-east-1.aws.found.io/app/kibana#/discover/Steve-Slow-Train-Analysis-(2080s-and-2083s)?_g=(refreshInterval:(display:Off,pause:!f,section:0,value:0),time:(from:'2017-11-17T05:50:47-0700',mode:absolute,to:'2017-11-17T08:48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36" s="204" t="str">
        <f>IF(AA36&lt;VLOOKUP(AG36,Variables!$AC$3:$AD$8,2,FALSE),"Y","N")</f>
        <v>N</v>
      </c>
      <c r="X36" s="204">
        <f t="shared" si="4"/>
        <v>1</v>
      </c>
      <c r="Y36" s="204">
        <f t="shared" si="5"/>
        <v>23.292100000000001</v>
      </c>
      <c r="Z36" s="204">
        <f t="shared" si="6"/>
        <v>1.49E-2</v>
      </c>
      <c r="AA36" s="204">
        <f t="shared" si="7"/>
        <v>23.277200000000001</v>
      </c>
      <c r="AB36" s="54" t="e">
        <f>VLOOKUP(A36,Enforcements!$C$7:$K$9,8,0)</f>
        <v>#N/A</v>
      </c>
      <c r="AC36" s="51" t="e">
        <f>VLOOKUP(A36,Enforcements!$C$7:$E$9,3,0)</f>
        <v>#N/A</v>
      </c>
      <c r="AD36" s="179">
        <f t="shared" si="8"/>
        <v>122</v>
      </c>
      <c r="AE36" s="77" t="str">
        <f t="shared" si="9"/>
        <v>aws s3 cp s3://rtdc.mdm.uploadarchive.raw/RTDC4041/ "%USERPROFILE%\AppData\Local\Temp\OnboardLogs"\RTDC4041\2017-11-17 --exclude "*" --recursive --include "*20171117*" &amp; "%USERPROFILE%\Documents\GitHub\mrs-test-scripts\Headless Mode &amp; Sideloading\WalkAndUnGZ.bat" "%USERPROFILE%\AppData\Local\Temp\OnboardLogs"\RTDC4041\2017-11-17 &amp; aws s3 cp s3://rtdc.mdm.uploadarchive.raw/RTDC4041/ "%USERPROFILE%\AppData\Local\Temp\OnboardLogs"\RTDC4041\2017-11-18 --exclude "*" --recursive --include "*20171118*" &amp; "%USERPROFILE%\Documents\GitHub\mrs-test-scripts\Headless Mode &amp; Sideloading\WalkAndUnGZ.bat" "%USERPROFILE%\AppData\Local\Temp\OnboardLogs"\RTDC4041\2017-11-18</v>
      </c>
      <c r="AF36" s="74" t="str">
        <f t="shared" si="10"/>
        <v>"C:\Program Files (x86)\AstroGrep\AstroGrep.exe" /e /r /s /spath="%USERPROFILE%\AppData\Local\Temp\OnboardLogs" /stypes="app*4041*20171117*" /stext=" 14:.+((SYSTEM_STATE.+slice.+state.+changed )|(ment ac)|(multiple cpu faults)|(system.+state.+changed )|(\[timeout)|(PRM\|1\|D)|(kpr)|(kdp)|(train st.+moving)|(\|lc)|(penalty))"</v>
      </c>
      <c r="AG36" s="182" t="str">
        <f t="shared" si="11"/>
        <v>EC</v>
      </c>
      <c r="AH36" s="78" t="str">
        <f t="shared" si="12"/>
        <v>"%USERPROFILE%\Documents\GitHub\eaglep3\Utilities\RefineRTDCRunTimes.py" --tripid 122-17 --locoid 4041 --swversion DE.1.0.9.0 --startMP 204:232921 --initTime 2017-11-17T06:50:47 --startdatetime 2017-11-17T07:12:11 --delay 67 --endMP 204:149 --enddatetime 2017-11-17T07:48:24 --enforcementcount 1 &gt;&gt;%USERPROFILE%\Documents\GitHub\eaglep3-reporting\EC\2017-11-17-refined-times.txt</v>
      </c>
      <c r="AI36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{"issue":{"subject":"","project_id":79,"tracker_id":40,"status_id":1,"priority_id":2,"assigned_to_id":338,"start_date":"2017-11-17","description":"","custom_fields":[{"id":1,"name":"Subdivision","value":"EC"},{"id":4,"name":"Milepost","value":"0.0149"},{"id":17,"name":"Train ID","value":"122-17"},{"id":16,"name":"Locomotive ID","value":"4041"},{"id":130,"name":"Impact","value":""},{"id":150,"name":"Time of Event (Mountain Time)","value":"07:48:24"},{"id":151,"name":"Denver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6" s="20"/>
      <c r="AK36" s="47"/>
      <c r="AL36" s="47"/>
      <c r="AM36" s="142" t="str">
        <f t="shared" si="14"/>
        <v>start /low /b %USERPROFILE%\Documents\GitHub\eaglep3\Utilities\DownloadLogsFromS3.py --loco 4041 --day 2017-11-17</v>
      </c>
      <c r="AN36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14:48:24"},{"id":29,"name":"Sharepoint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168" t="str">
        <f t="shared" si="16"/>
        <v>https://d0f6bd738d7f1b3e5a7ca70fe4ff75f0.us-east-1.aws.found.io/app/kibana#/discover/Steve-Slow-Train-Analysis-(2080s-and-2083s)?_g=(refreshInterval:(display:Off,pause:!f,section:0,value:0),time:(from:'2017-11-17T05:50:47-0700',mode:absolute,to:'2017-11-17T08:48:24-0700'))&amp;_a=(columns:!('Message%20ID',Summary),filters:!(),index:'emp_*',interval:auto,query:(query_string:(analyze_wildcard:!t,query:'%22rtdc.l.rtdc.4041%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3">
      <c r="A37" s="32" t="s">
        <v>692</v>
      </c>
      <c r="B37" s="7">
        <v>4040</v>
      </c>
      <c r="C37" s="21" t="s">
        <v>192</v>
      </c>
      <c r="D37" s="21" t="s">
        <v>928</v>
      </c>
      <c r="E37" s="13">
        <v>43056.265879629631</v>
      </c>
      <c r="F37" s="13">
        <v>43056.271041666667</v>
      </c>
      <c r="G37" s="7">
        <v>61</v>
      </c>
      <c r="H37" s="21" t="s">
        <v>501</v>
      </c>
      <c r="I37" s="13">
        <v>43056.295347222222</v>
      </c>
      <c r="J37" s="7">
        <v>1</v>
      </c>
      <c r="K37" s="89" t="str">
        <f t="shared" si="0"/>
        <v>4039/4040</v>
      </c>
      <c r="L37" s="185" t="str">
        <f>VLOOKUP(A37,'Trips&amp;Operators'!$C$1:$G$99911,5,FALSE)</f>
        <v>PAGE MARCUS</v>
      </c>
      <c r="M37" s="6">
        <f t="shared" si="1"/>
        <v>2.4305555554747116E-2</v>
      </c>
      <c r="N37" s="7">
        <f t="shared" si="17"/>
        <v>34.999999998835847</v>
      </c>
      <c r="O37" s="7"/>
      <c r="P37" s="7"/>
      <c r="Q37" s="22"/>
      <c r="R37" s="174"/>
      <c r="S37" s="221">
        <f t="shared" si="18"/>
        <v>1</v>
      </c>
      <c r="T37" s="174" t="str">
        <f t="shared" si="2"/>
        <v>NorthBound</v>
      </c>
      <c r="U37" s="198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16" t="str">
        <f t="shared" si="3"/>
        <v>https://d0f6bd738d7f1b3e5a7ca70fe4ff75f0.us-east-1.aws.found.io/app/kibana#/discover/Steve-Slow-Train-Analysis-(2080s-and-2083s)?_g=(refreshInterval:(display:Off,pause:!f,section:0,value:0),time:(from:'2017-11-17T05:22:52-0700',mode:absolute,to:'2017-11-17T08:05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37" s="204" t="str">
        <f>IF(AA37&lt;VLOOKUP(AG37,Variables!$AC$3:$AD$8,2,FALSE),"Y","N")</f>
        <v>N</v>
      </c>
      <c r="X37" s="204">
        <f t="shared" si="4"/>
        <v>1</v>
      </c>
      <c r="Y37" s="204">
        <f t="shared" si="5"/>
        <v>4.2599999999999999E-2</v>
      </c>
      <c r="Z37" s="204">
        <f t="shared" si="6"/>
        <v>23.326599999999999</v>
      </c>
      <c r="AA37" s="204">
        <f t="shared" si="7"/>
        <v>23.283999999999999</v>
      </c>
      <c r="AB37" s="54" t="e">
        <f>VLOOKUP(A37,Enforcements!$C$7:$K$9,8,0)</f>
        <v>#N/A</v>
      </c>
      <c r="AC37" s="51" t="e">
        <f>VLOOKUP(A37,Enforcements!$C$7:$E$9,3,0)</f>
        <v>#N/A</v>
      </c>
      <c r="AD37" s="179">
        <f t="shared" si="8"/>
        <v>123</v>
      </c>
      <c r="AE37" s="77" t="str">
        <f t="shared" si="9"/>
        <v>aws s3 cp s3://rtdc.mdm.uploadarchive.raw/RTDC4040/ "%USERPROFILE%\AppData\Local\Temp\OnboardLogs"\RTDC4040\2017-11-17 --exclude "*" --recursive --include "*20171117*" &amp; "%USERPROFILE%\Documents\GitHub\mrs-test-scripts\Headless Mode &amp; Sideloading\WalkAndUnGZ.bat" "%USERPROFILE%\AppData\Local\Temp\OnboardLogs"\RTDC4040\2017-11-17 &amp; aws s3 cp s3://rtdc.mdm.uploadarchive.raw/RTDC4040/ "%USERPROFILE%\AppData\Local\Temp\OnboardLogs"\RTDC4040\2017-11-18 --exclude "*" --recursive --include "*20171118*" &amp; "%USERPROFILE%\Documents\GitHub\mrs-test-scripts\Headless Mode &amp; Sideloading\WalkAndUnGZ.bat" "%USERPROFILE%\AppData\Local\Temp\OnboardLogs"\RTDC4040\2017-11-18</v>
      </c>
      <c r="AF37" s="74" t="str">
        <f t="shared" si="10"/>
        <v>"C:\Program Files (x86)\AstroGrep\AstroGrep.exe" /e /r /s /spath="%USERPROFILE%\AppData\Local\Temp\OnboardLogs" /stypes="app*4040*20171117*" /stext=" 14:.+((SYSTEM_STATE.+slice.+state.+changed )|(ment ac)|(multiple cpu faults)|(system.+state.+changed )|(\[timeout)|(PRM\|1\|D)|(kpr)|(kdp)|(train st.+moving)|(\|lc)|(penalty))"</v>
      </c>
      <c r="AG37" s="182" t="str">
        <f t="shared" si="11"/>
        <v>EC</v>
      </c>
      <c r="AH37" s="78" t="str">
        <f t="shared" si="12"/>
        <v>"%USERPROFILE%\Documents\GitHub\eaglep3\Utilities\RefineRTDCRunTimes.py" --tripid 123-17 --locoid 4040 --swversion DE.1.0.9.0 --startMP 204:426 --initTime 2017-11-17T06:22:52 --startdatetime 2017-11-17T06:30:18 --delay 61 --endMP 204:233266 --enddatetime 2017-11-17T07:05:18 --enforcementcount 1 &gt;&gt;%USERPROFILE%\Documents\GitHub\eaglep3-reporting\EC\2017-11-17-refined-times.txt</v>
      </c>
      <c r="AI37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{"issue":{"subject":"","project_id":79,"tracker_id":40,"status_id":1,"priority_id":2,"assigned_to_id":338,"start_date":"2017-11-17","description":"","custom_fields":[{"id":1,"name":"Subdivision","value":"EC"},{"id":4,"name":"Milepost","value":"23.3266"},{"id":17,"name":"Train ID","value":"123-17"},{"id":16,"name":"Locomotive ID","value":"4040"},{"id":130,"name":"Impact","value":""},{"id":150,"name":"Time of Event (Mountain Time)","value":"07:05:18"},{"id":151,"name":"Denver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7" s="20"/>
      <c r="AK37" s="47"/>
      <c r="AL37" s="47"/>
      <c r="AM37" s="142" t="str">
        <f t="shared" si="14"/>
        <v>start /low /b %USERPROFILE%\Documents\GitHub\eaglep3\Utilities\DownloadLogsFromS3.py --loco 4040 --day 2017-11-17</v>
      </c>
      <c r="AN37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14:05:18"},{"id":29,"name":"Sharepoint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168" t="str">
        <f t="shared" si="16"/>
        <v>https://d0f6bd738d7f1b3e5a7ca70fe4ff75f0.us-east-1.aws.found.io/app/kibana#/discover/Steve-Slow-Train-Analysis-(2080s-and-2083s)?_g=(refreshInterval:(display:Off,pause:!f,section:0,value:0),time:(from:'2017-11-17T05:22:52-0700',mode:absolute,to:'2017-11-17T08:05:18-0700'))&amp;_a=(columns:!('Message%20ID',Summary),filters:!(),index:'emp_*',interval:auto,query:(query_string:(analyze_wildcard:!t,query:'%22rtdc.l.rtdc.4040%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3">
      <c r="A38" s="32" t="s">
        <v>707</v>
      </c>
      <c r="B38" s="7">
        <v>4039</v>
      </c>
      <c r="C38" s="21" t="s">
        <v>192</v>
      </c>
      <c r="D38" s="21" t="s">
        <v>929</v>
      </c>
      <c r="E38" s="13">
        <v>43056.305150462962</v>
      </c>
      <c r="F38" s="13">
        <v>43056.310567129629</v>
      </c>
      <c r="G38" s="7">
        <v>69</v>
      </c>
      <c r="H38" s="21" t="s">
        <v>577</v>
      </c>
      <c r="I38" s="13">
        <v>43056.336018518516</v>
      </c>
      <c r="J38" s="7">
        <v>1</v>
      </c>
      <c r="K38" s="89" t="str">
        <f t="shared" si="0"/>
        <v>4039/4040</v>
      </c>
      <c r="L38" s="185" t="str">
        <f>VLOOKUP(A38,'Trips&amp;Operators'!$C$1:$G$99911,5,FALSE)</f>
        <v>PAGE MARCUS</v>
      </c>
      <c r="M38" s="6">
        <f t="shared" si="1"/>
        <v>2.545138888672227E-2</v>
      </c>
      <c r="N38" s="7">
        <f t="shared" si="17"/>
        <v>36.649999996880069</v>
      </c>
      <c r="O38" s="7"/>
      <c r="P38" s="7"/>
      <c r="Q38" s="22"/>
      <c r="R38" s="174"/>
      <c r="S38" s="221">
        <f t="shared" si="18"/>
        <v>1</v>
      </c>
      <c r="T38" s="174" t="str">
        <f t="shared" si="2"/>
        <v>Southbound</v>
      </c>
      <c r="U38" s="198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16" t="str">
        <f t="shared" si="3"/>
        <v>https://d0f6bd738d7f1b3e5a7ca70fe4ff75f0.us-east-1.aws.found.io/app/kibana#/discover/Steve-Slow-Train-Analysis-(2080s-and-2083s)?_g=(refreshInterval:(display:Off,pause:!f,section:0,value:0),time:(from:'2017-11-17T06:19:25-0700',mode:absolute,to:'2017-11-17T09:03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38" s="204" t="str">
        <f>IF(AA38&lt;VLOOKUP(AG38,Variables!$AC$3:$AD$8,2,FALSE),"Y","N")</f>
        <v>N</v>
      </c>
      <c r="X38" s="204">
        <f t="shared" si="4"/>
        <v>1</v>
      </c>
      <c r="Y38" s="204">
        <f t="shared" si="5"/>
        <v>23.294899999999998</v>
      </c>
      <c r="Z38" s="204">
        <f t="shared" si="6"/>
        <v>1.89E-2</v>
      </c>
      <c r="AA38" s="204">
        <f t="shared" si="7"/>
        <v>23.276</v>
      </c>
      <c r="AB38" s="54" t="e">
        <f>VLOOKUP(A38,Enforcements!$C$7:$K$9,8,0)</f>
        <v>#N/A</v>
      </c>
      <c r="AC38" s="51" t="e">
        <f>VLOOKUP(A38,Enforcements!$C$7:$E$9,3,0)</f>
        <v>#N/A</v>
      </c>
      <c r="AD38" s="179">
        <f t="shared" si="8"/>
        <v>124</v>
      </c>
      <c r="AE38" s="77" t="str">
        <f t="shared" si="9"/>
        <v>aws s3 cp s3://rtdc.mdm.uploadarchive.raw/RTDC4039/ "%USERPROFILE%\AppData\Local\Temp\OnboardLogs"\RTDC4039\2017-11-17 --exclude "*" --recursive --include "*20171117*" &amp; "%USERPROFILE%\Documents\GitHub\mrs-test-scripts\Headless Mode &amp; Sideloading\WalkAndUnGZ.bat" "%USERPROFILE%\AppData\Local\Temp\OnboardLogs"\RTDC4039\2017-11-17 &amp; aws s3 cp s3://rtdc.mdm.uploadarchive.raw/RTDC4039/ "%USERPROFILE%\AppData\Local\Temp\OnboardLogs"\RTDC4039\2017-11-18 --exclude "*" --recursive --include "*20171118*" &amp; "%USERPROFILE%\Documents\GitHub\mrs-test-scripts\Headless Mode &amp; Sideloading\WalkAndUnGZ.bat" "%USERPROFILE%\AppData\Local\Temp\OnboardLogs"\RTDC4039\2017-11-18</v>
      </c>
      <c r="AF38" s="74" t="str">
        <f t="shared" si="10"/>
        <v>"C:\Program Files (x86)\AstroGrep\AstroGrep.exe" /e /r /s /spath="%USERPROFILE%\AppData\Local\Temp\OnboardLogs" /stypes="app*4039*20171117*" /stext=" 15:.+((SYSTEM_STATE.+slice.+state.+changed )|(ment ac)|(multiple cpu faults)|(system.+state.+changed )|(\[timeout)|(PRM\|1\|D)|(kpr)|(kdp)|(train st.+moving)|(\|lc)|(penalty))"</v>
      </c>
      <c r="AG38" s="182" t="str">
        <f t="shared" si="11"/>
        <v>EC</v>
      </c>
      <c r="AH38" s="78" t="str">
        <f t="shared" si="12"/>
        <v>"%USERPROFILE%\Documents\GitHub\eaglep3\Utilities\RefineRTDCRunTimes.py" --tripid 124-17 --locoid 4039 --swversion DE.1.0.9.0 --startMP 204:232949 --initTime 2017-11-17T07:19:25 --startdatetime 2017-11-17T07:27:13 --delay 69 --endMP 204:189 --enddatetime 2017-11-17T08:03:52 --enforcementcount 1 &gt;&gt;%USERPROFILE%\Documents\GitHub\eaglep3-reporting\EC\2017-11-17-refined-times.txt</v>
      </c>
      <c r="AI38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{"issue":{"subject":"","project_id":79,"tracker_id":40,"status_id":1,"priority_id":2,"assigned_to_id":338,"start_date":"2017-11-17","description":"","custom_fields":[{"id":1,"name":"Subdivision","value":"EC"},{"id":4,"name":"Milepost","value":"0.0189"},{"id":17,"name":"Train ID","value":"124-17"},{"id":16,"name":"Locomotive ID","value":"4039"},{"id":130,"name":"Impact","value":""},{"id":150,"name":"Time of Event (Mountain Time)","value":"08:03:52"},{"id":151,"name":"Denver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8" s="20"/>
      <c r="AK38" s="47"/>
      <c r="AL38" s="47"/>
      <c r="AM38" s="142" t="str">
        <f t="shared" si="14"/>
        <v>start /low /b %USERPROFILE%\Documents\GitHub\eaglep3\Utilities\DownloadLogsFromS3.py --loco 4039 --day 2017-11-17</v>
      </c>
      <c r="AN38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15:03:52"},{"id":29,"name":"Sharepoint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168" t="str">
        <f t="shared" si="16"/>
        <v>https://d0f6bd738d7f1b3e5a7ca70fe4ff75f0.us-east-1.aws.found.io/app/kibana#/discover/Steve-Slow-Train-Analysis-(2080s-and-2083s)?_g=(refreshInterval:(display:Off,pause:!f,section:0,value:0),time:(from:'2017-11-17T06:19:25-0700',mode:absolute,to:'2017-11-17T09:03:52-0700'))&amp;_a=(columns:!('Message%20ID',Summary),filters:!(),index:'emp_*',interval:auto,query:(query_string:(analyze_wildcard:!t,query:'%22rtdc.l.rtdc.4039%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3">
      <c r="A39" s="32" t="s">
        <v>697</v>
      </c>
      <c r="B39" s="7">
        <v>4066</v>
      </c>
      <c r="C39" s="21" t="s">
        <v>192</v>
      </c>
      <c r="D39" s="21" t="s">
        <v>930</v>
      </c>
      <c r="E39" s="13">
        <v>43056.274976851855</v>
      </c>
      <c r="F39" s="13">
        <v>43056.281875000001</v>
      </c>
      <c r="G39" s="7">
        <v>43</v>
      </c>
      <c r="H39" s="21" t="s">
        <v>565</v>
      </c>
      <c r="I39" s="13">
        <v>43056.305497685185</v>
      </c>
      <c r="J39" s="7">
        <v>1</v>
      </c>
      <c r="K39" s="89" t="str">
        <f t="shared" si="0"/>
        <v>4065/4066</v>
      </c>
      <c r="L39" s="185" t="str">
        <f>VLOOKUP(A39,'Trips&amp;Operators'!$C$1:$G$99911,5,FALSE)</f>
        <v>YORK EDGAR</v>
      </c>
      <c r="M39" s="6">
        <f t="shared" si="1"/>
        <v>2.3622685184818693E-2</v>
      </c>
      <c r="N39" s="7">
        <f t="shared" si="17"/>
        <v>34.016666666138917</v>
      </c>
      <c r="O39" s="7"/>
      <c r="P39" s="7"/>
      <c r="Q39" s="22"/>
      <c r="R39" s="174"/>
      <c r="S39" s="221">
        <f t="shared" si="18"/>
        <v>1</v>
      </c>
      <c r="T39" s="174" t="str">
        <f t="shared" si="2"/>
        <v>NorthBound</v>
      </c>
      <c r="U39" s="198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16" t="str">
        <f t="shared" si="3"/>
        <v>https://d0f6bd738d7f1b3e5a7ca70fe4ff75f0.us-east-1.aws.found.io/app/kibana#/discover/Steve-Slow-Train-Analysis-(2080s-and-2083s)?_g=(refreshInterval:(display:Off,pause:!f,section:0,value:0),time:(from:'2017-11-17T05:35:58-0700',mode:absolute,to:'2017-11-17T08:19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39" s="204" t="str">
        <f>IF(AA39&lt;VLOOKUP(AG39,Variables!$AC$3:$AD$8,2,FALSE),"Y","N")</f>
        <v>N</v>
      </c>
      <c r="X39" s="204">
        <f t="shared" si="4"/>
        <v>1</v>
      </c>
      <c r="Y39" s="204">
        <f t="shared" si="5"/>
        <v>4.53E-2</v>
      </c>
      <c r="Z39" s="204">
        <f t="shared" si="6"/>
        <v>23.3291</v>
      </c>
      <c r="AA39" s="204">
        <f t="shared" si="7"/>
        <v>23.283799999999999</v>
      </c>
      <c r="AB39" s="54" t="e">
        <f>VLOOKUP(A39,Enforcements!$C$7:$K$9,8,0)</f>
        <v>#N/A</v>
      </c>
      <c r="AC39" s="51" t="e">
        <f>VLOOKUP(A39,Enforcements!$C$7:$E$9,3,0)</f>
        <v>#N/A</v>
      </c>
      <c r="AD39" s="179">
        <f t="shared" si="8"/>
        <v>125</v>
      </c>
      <c r="AE39" s="77" t="str">
        <f t="shared" si="9"/>
        <v>aws s3 cp s3://rtdc.mdm.uploadarchive.raw/RTDC4066/ "%USERPROFILE%\AppData\Local\Temp\OnboardLogs"\RTDC4066\2017-11-17 --exclude "*" --recursive --include "*20171117*" &amp; "%USERPROFILE%\Documents\GitHub\mrs-test-scripts\Headless Mode &amp; Sideloading\WalkAndUnGZ.bat" "%USERPROFILE%\AppData\Local\Temp\OnboardLogs"\RTDC4066\2017-11-17 &amp; aws s3 cp s3://rtdc.mdm.uploadarchive.raw/RTDC4066/ "%USERPROFILE%\AppData\Local\Temp\OnboardLogs"\RTDC4066\2017-11-18 --exclude "*" --recursive --include "*20171118*" &amp; "%USERPROFILE%\Documents\GitHub\mrs-test-scripts\Headless Mode &amp; Sideloading\WalkAndUnGZ.bat" "%USERPROFILE%\AppData\Local\Temp\OnboardLogs"\RTDC4066\2017-11-18</v>
      </c>
      <c r="AF39" s="74" t="str">
        <f t="shared" si="10"/>
        <v>"C:\Program Files (x86)\AstroGrep\AstroGrep.exe" /e /r /s /spath="%USERPROFILE%\AppData\Local\Temp\OnboardLogs" /stypes="app*4066*20171117*" /stext=" 14:.+((SYSTEM_STATE.+slice.+state.+changed )|(ment ac)|(multiple cpu faults)|(system.+state.+changed )|(\[timeout)|(PRM\|1\|D)|(kpr)|(kdp)|(train st.+moving)|(\|lc)|(penalty))"</v>
      </c>
      <c r="AG39" s="182" t="str">
        <f t="shared" si="11"/>
        <v>EC</v>
      </c>
      <c r="AH39" s="78" t="str">
        <f t="shared" si="12"/>
        <v>"%USERPROFILE%\Documents\GitHub\eaglep3\Utilities\RefineRTDCRunTimes.py" --tripid 125-17 --locoid 4066 --swversion DE.1.0.9.0 --startMP 204:453 --initTime 2017-11-17T06:35:58 --startdatetime 2017-11-17T06:45:54 --delay 43 --endMP 204:233291 --enddatetime 2017-11-17T07:19:55 --enforcementcount 1 &gt;&gt;%USERPROFILE%\Documents\GitHub\eaglep3-reporting\EC\2017-11-17-refined-times.txt</v>
      </c>
      <c r="AI39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{"issue":{"subject":"","project_id":79,"tracker_id":40,"status_id":1,"priority_id":2,"assigned_to_id":338,"start_date":"2017-11-17","description":"","custom_fields":[{"id":1,"name":"Subdivision","value":"EC"},{"id":4,"name":"Milepost","value":"23.3291"},{"id":17,"name":"Train ID","value":"125-17"},{"id":16,"name":"Locomotive ID","value":"4066"},{"id":130,"name":"Impact","value":""},{"id":150,"name":"Time of Event (Mountain Time)","value":"07:19:55"},{"id":151,"name":"Denver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9" s="20"/>
      <c r="AK39" s="47"/>
      <c r="AL39" s="47"/>
      <c r="AM39" s="142" t="str">
        <f t="shared" si="14"/>
        <v>start /low /b %USERPROFILE%\Documents\GitHub\eaglep3\Utilities\DownloadLogsFromS3.py --loco 4066 --day 2017-11-17</v>
      </c>
      <c r="AN39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14:19:55"},{"id":29,"name":"Sharepoint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168" t="str">
        <f t="shared" si="16"/>
        <v>https://d0f6bd738d7f1b3e5a7ca70fe4ff75f0.us-east-1.aws.found.io/app/kibana#/discover/Steve-Slow-Train-Analysis-(2080s-and-2083s)?_g=(refreshInterval:(display:Off,pause:!f,section:0,value:0),time:(from:'2017-11-17T05:35:58-0700',mode:absolute,to:'2017-11-17T08:19:55-0700'))&amp;_a=(columns:!('Message%20ID',Summary),filters:!(),index:'emp_*',interval:auto,query:(query_string:(analyze_wildcard:!t,query:'%22rtdc.l.rtdc.4066%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3">
      <c r="A40" s="32" t="s">
        <v>638</v>
      </c>
      <c r="B40" s="7">
        <v>4065</v>
      </c>
      <c r="C40" s="21" t="s">
        <v>192</v>
      </c>
      <c r="D40" s="21" t="s">
        <v>562</v>
      </c>
      <c r="E40" s="13">
        <v>43056.306435185186</v>
      </c>
      <c r="F40" s="13">
        <v>43056.321469907409</v>
      </c>
      <c r="G40" s="7">
        <v>74</v>
      </c>
      <c r="H40" s="21" t="s">
        <v>520</v>
      </c>
      <c r="I40" s="13">
        <v>43056.347939814812</v>
      </c>
      <c r="J40" s="7">
        <v>1</v>
      </c>
      <c r="K40" s="89" t="str">
        <f t="shared" si="0"/>
        <v>4065/4066</v>
      </c>
      <c r="L40" s="185" t="str">
        <f>VLOOKUP(A40,'Trips&amp;Operators'!$C$1:$G$99911,5,FALSE)</f>
        <v>YORK EDGAR</v>
      </c>
      <c r="M40" s="6">
        <f t="shared" si="1"/>
        <v>2.6469907403225079E-2</v>
      </c>
      <c r="N40" s="7">
        <f t="shared" si="17"/>
        <v>38.116666660644114</v>
      </c>
      <c r="O40" s="7"/>
      <c r="P40" s="7"/>
      <c r="Q40" s="22"/>
      <c r="R40" s="174"/>
      <c r="S40" s="221">
        <f t="shared" si="18"/>
        <v>1</v>
      </c>
      <c r="T40" s="174" t="str">
        <f t="shared" si="2"/>
        <v>Southbound</v>
      </c>
      <c r="U40" s="198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16" t="str">
        <f t="shared" si="3"/>
        <v>https://d0f6bd738d7f1b3e5a7ca70fe4ff75f0.us-east-1.aws.found.io/app/kibana#/discover/Steve-Slow-Train-Analysis-(2080s-and-2083s)?_g=(refreshInterval:(display:Off,pause:!f,section:0,value:0),time:(from:'2017-11-17T06:21:16-0700',mode:absolute,to:'2017-11-17T09:21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40" s="204" t="str">
        <f>IF(AA40&lt;VLOOKUP(AG40,Variables!$AC$3:$AD$8,2,FALSE),"Y","N")</f>
        <v>N</v>
      </c>
      <c r="X40" s="204">
        <f t="shared" si="4"/>
        <v>1</v>
      </c>
      <c r="Y40" s="204">
        <f t="shared" si="5"/>
        <v>23.296500000000002</v>
      </c>
      <c r="Z40" s="204">
        <f t="shared" si="6"/>
        <v>1.6899999999999998E-2</v>
      </c>
      <c r="AA40" s="204">
        <f t="shared" si="7"/>
        <v>23.279600000000002</v>
      </c>
      <c r="AB40" s="54" t="str">
        <f>VLOOKUP(A40,Enforcements!$C$7:$K$9,8,0)</f>
        <v>Bulletin (2)</v>
      </c>
      <c r="AC40" s="51" t="str">
        <f>VLOOKUP(A40,Enforcements!$C$7:$E$9,3,0)</f>
        <v>GRADE CROSSING</v>
      </c>
      <c r="AD40" s="179">
        <f t="shared" si="8"/>
        <v>126</v>
      </c>
      <c r="AE40" s="77" t="str">
        <f t="shared" si="9"/>
        <v>aws s3 cp s3://rtdc.mdm.uploadarchive.raw/RTDC4065/ "%USERPROFILE%\AppData\Local\Temp\OnboardLogs"\RTDC4065\2017-11-17 --exclude "*" --recursive --include "*20171117*" &amp; "%USERPROFILE%\Documents\GitHub\mrs-test-scripts\Headless Mode &amp; Sideloading\WalkAndUnGZ.bat" "%USERPROFILE%\AppData\Local\Temp\OnboardLogs"\RTDC4065\2017-11-17 &amp; aws s3 cp s3://rtdc.mdm.uploadarchive.raw/RTDC4065/ "%USERPROFILE%\AppData\Local\Temp\OnboardLogs"\RTDC4065\2017-11-18 --exclude "*" --recursive --include "*20171118*" &amp; "%USERPROFILE%\Documents\GitHub\mrs-test-scripts\Headless Mode &amp; Sideloading\WalkAndUnGZ.bat" "%USERPROFILE%\AppData\Local\Temp\OnboardLogs"\RTDC4065\2017-11-18</v>
      </c>
      <c r="AF40" s="74" t="str">
        <f t="shared" si="10"/>
        <v>"C:\Program Files (x86)\AstroGrep\AstroGrep.exe" /e /r /s /spath="%USERPROFILE%\AppData\Local\Temp\OnboardLogs" /stypes="app*4065*20171117*" /stext=" 15:.+((SYSTEM_STATE.+slice.+state.+changed )|(ment ac)|(multiple cpu faults)|(system.+state.+changed )|(\[timeout)|(PRM\|1\|D)|(kpr)|(kdp)|(train st.+moving)|(\|lc)|(penalty))"</v>
      </c>
      <c r="AG40" s="182" t="str">
        <f t="shared" si="11"/>
        <v>EC</v>
      </c>
      <c r="AH40" s="78" t="str">
        <f t="shared" si="12"/>
        <v>"%USERPROFILE%\Documents\GitHub\eaglep3\Utilities\RefineRTDCRunTimes.py" --tripid 126-17 --locoid 4065 --swversion DE.1.0.9.0 --startMP 204:232965 --initTime 2017-11-17T07:21:16 --startdatetime 2017-11-17T07:42:55 --delay 74 --endMP 204:169 --enddatetime 2017-11-17T08:21:02 --enforcementcount 1 &gt;&gt;%USERPROFILE%\Documents\GitHub\eaglep3-reporting\EC\2017-11-17-refined-times.txt</v>
      </c>
      <c r="AI40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{"issue":{"subject":"","project_id":79,"tracker_id":40,"status_id":1,"priority_id":2,"assigned_to_id":338,"start_date":"2017-11-17","description":"","custom_fields":[{"id":1,"name":"Subdivision","value":"EC"},{"id":4,"name":"Milepost","value":"0.0169"},{"id":17,"name":"Train ID","value":"126-17"},{"id":16,"name":"Locomotive ID","value":"4065"},{"id":130,"name":"Impact","value":""},{"id":150,"name":"Time of Event (Mountain Time)","value":"08:21:02"},{"id":151,"name":"Denver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0" s="20"/>
      <c r="AK40" s="47"/>
      <c r="AL40" s="47"/>
      <c r="AM40" s="142" t="str">
        <f t="shared" si="14"/>
        <v>start /low /b %USERPROFILE%\Documents\GitHub\eaglep3\Utilities\DownloadLogsFromS3.py --loco 4065 --day 2017-11-17</v>
      </c>
      <c r="AN40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15:21:02"},{"id":29,"name":"Sharepoint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168" t="str">
        <f t="shared" si="16"/>
        <v>https://d0f6bd738d7f1b3e5a7ca70fe4ff75f0.us-east-1.aws.found.io/app/kibana#/discover/Steve-Slow-Train-Analysis-(2080s-and-2083s)?_g=(refreshInterval:(display:Off,pause:!f,section:0,value:0),time:(from:'2017-11-17T06:21:16-0700',mode:absolute,to:'2017-11-17T09:21:02-0700'))&amp;_a=(columns:!('Message%20ID',Summary),filters:!(),index:'emp_*',interval:auto,query:(query_string:(analyze_wildcard:!t,query:'%22rtdc.l.rtdc.4065%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3">
      <c r="A41" s="32" t="s">
        <v>701</v>
      </c>
      <c r="B41" s="7">
        <v>4028</v>
      </c>
      <c r="C41" s="21" t="s">
        <v>192</v>
      </c>
      <c r="D41" s="21" t="s">
        <v>931</v>
      </c>
      <c r="E41" s="13">
        <v>43056.289305555554</v>
      </c>
      <c r="F41" s="13">
        <v>43056.291898148149</v>
      </c>
      <c r="G41" s="7">
        <v>69</v>
      </c>
      <c r="H41" s="21" t="s">
        <v>461</v>
      </c>
      <c r="I41" s="13">
        <v>43056.317291666666</v>
      </c>
      <c r="J41" s="7">
        <v>1</v>
      </c>
      <c r="K41" s="89" t="str">
        <f t="shared" si="0"/>
        <v>4027/4028</v>
      </c>
      <c r="L41" s="185" t="str">
        <f>VLOOKUP(A41,'Trips&amp;Operators'!$C$1:$G$99911,5,FALSE)</f>
        <v>MACDONALD THOMAS</v>
      </c>
      <c r="M41" s="6">
        <f t="shared" si="1"/>
        <v>2.5393518517375924E-2</v>
      </c>
      <c r="N41" s="7">
        <f t="shared" si="17"/>
        <v>36.56666666502133</v>
      </c>
      <c r="O41" s="7"/>
      <c r="P41" s="7"/>
      <c r="Q41" s="22"/>
      <c r="R41" s="174"/>
      <c r="S41" s="221">
        <f t="shared" si="18"/>
        <v>1</v>
      </c>
      <c r="T41" s="174" t="str">
        <f t="shared" si="2"/>
        <v>NorthBound</v>
      </c>
      <c r="U41" s="198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16" t="str">
        <f t="shared" si="3"/>
        <v>https://d0f6bd738d7f1b3e5a7ca70fe4ff75f0.us-east-1.aws.found.io/app/kibana#/discover/Steve-Slow-Train-Analysis-(2080s-and-2083s)?_g=(refreshInterval:(display:Off,pause:!f,section:0,value:0),time:(from:'2017-11-17T05:56:36-0700',mode:absolute,to:'2017-11-17T08:36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41" s="204" t="str">
        <f>IF(AA41&lt;VLOOKUP(AG41,Variables!$AC$3:$AD$8,2,FALSE),"Y","N")</f>
        <v>N</v>
      </c>
      <c r="X41" s="204">
        <f t="shared" si="4"/>
        <v>1</v>
      </c>
      <c r="Y41" s="204">
        <f t="shared" si="5"/>
        <v>5.4600000000000003E-2</v>
      </c>
      <c r="Z41" s="204">
        <f t="shared" si="6"/>
        <v>23.3261</v>
      </c>
      <c r="AA41" s="204">
        <f t="shared" si="7"/>
        <v>23.2715</v>
      </c>
      <c r="AB41" s="54" t="e">
        <f>VLOOKUP(A41,Enforcements!$C$7:$K$9,8,0)</f>
        <v>#N/A</v>
      </c>
      <c r="AC41" s="51" t="e">
        <f>VLOOKUP(A41,Enforcements!$C$7:$E$9,3,0)</f>
        <v>#N/A</v>
      </c>
      <c r="AD41" s="179">
        <f t="shared" si="8"/>
        <v>127</v>
      </c>
      <c r="AE41" s="77" t="str">
        <f t="shared" si="9"/>
        <v>aws s3 cp s3://rtdc.mdm.uploadarchive.raw/RTDC4028/ "%USERPROFILE%\AppData\Local\Temp\OnboardLogs"\RTDC4028\2017-11-17 --exclude "*" --recursive --include "*20171117*" &amp; "%USERPROFILE%\Documents\GitHub\mrs-test-scripts\Headless Mode &amp; Sideloading\WalkAndUnGZ.bat" "%USERPROFILE%\AppData\Local\Temp\OnboardLogs"\RTDC4028\2017-11-17 &amp; aws s3 cp s3://rtdc.mdm.uploadarchive.raw/RTDC4028/ "%USERPROFILE%\AppData\Local\Temp\OnboardLogs"\RTDC4028\2017-11-18 --exclude "*" --recursive --include "*20171118*" &amp; "%USERPROFILE%\Documents\GitHub\mrs-test-scripts\Headless Mode &amp; Sideloading\WalkAndUnGZ.bat" "%USERPROFILE%\AppData\Local\Temp\OnboardLogs"\RTDC4028\2017-11-18</v>
      </c>
      <c r="AF41" s="74" t="str">
        <f t="shared" si="10"/>
        <v>"C:\Program Files (x86)\AstroGrep\AstroGrep.exe" /e /r /s /spath="%USERPROFILE%\AppData\Local\Temp\OnboardLogs" /stypes="app*4028*20171117*" /stext=" 14:.+((SYSTEM_STATE.+slice.+state.+changed )|(ment ac)|(multiple cpu faults)|(system.+state.+changed )|(\[timeout)|(PRM\|1\|D)|(kpr)|(kdp)|(train st.+moving)|(\|lc)|(penalty))"</v>
      </c>
      <c r="AG41" s="182" t="str">
        <f t="shared" si="11"/>
        <v>EC</v>
      </c>
      <c r="AH41" s="78" t="str">
        <f t="shared" si="12"/>
        <v>"%USERPROFILE%\Documents\GitHub\eaglep3\Utilities\RefineRTDCRunTimes.py" --tripid 127-17 --locoid 4028 --swversion DE.1.0.9.0 --startMP 204:546 --initTime 2017-11-17T06:56:36 --startdatetime 2017-11-17T07:00:20 --delay 69 --endMP 204:233261 --enddatetime 2017-11-17T07:36:54 --enforcementcount 1 &gt;&gt;%USERPROFILE%\Documents\GitHub\eaglep3-reporting\EC\2017-11-17-refined-times.txt</v>
      </c>
      <c r="AI41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{"issue":{"subject":"","project_id":79,"tracker_id":40,"status_id":1,"priority_id":2,"assigned_to_id":338,"start_date":"2017-11-17","description":"","custom_fields":[{"id":1,"name":"Subdivision","value":"EC"},{"id":4,"name":"Milepost","value":"23.3261"},{"id":17,"name":"Train ID","value":"127-17"},{"id":16,"name":"Locomotive ID","value":"4028"},{"id":130,"name":"Impact","value":""},{"id":150,"name":"Time of Event (Mountain Time)","value":"07:36:54"},{"id":151,"name":"Denver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1" s="20"/>
      <c r="AK41" s="47"/>
      <c r="AL41" s="47"/>
      <c r="AM41" s="142" t="str">
        <f t="shared" si="14"/>
        <v>start /low /b %USERPROFILE%\Documents\GitHub\eaglep3\Utilities\DownloadLogsFromS3.py --loco 4028 --day 2017-11-17</v>
      </c>
      <c r="AN41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14:36:54"},{"id":29,"name":"Sharepoint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168" t="str">
        <f t="shared" si="16"/>
        <v>https://d0f6bd738d7f1b3e5a7ca70fe4ff75f0.us-east-1.aws.found.io/app/kibana#/discover/Steve-Slow-Train-Analysis-(2080s-and-2083s)?_g=(refreshInterval:(display:Off,pause:!f,section:0,value:0),time:(from:'2017-11-17T05:56:36-0700',mode:absolute,to:'2017-11-17T08:36:54-0700'))&amp;_a=(columns:!('Message%20ID',Summary),filters:!(),index:'emp_*',interval:auto,query:(query_string:(analyze_wildcard:!t,query:'%22rtdc.l.rtdc.4028%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3">
      <c r="A42" s="32" t="s">
        <v>713</v>
      </c>
      <c r="B42" s="7">
        <v>4027</v>
      </c>
      <c r="C42" s="21" t="s">
        <v>192</v>
      </c>
      <c r="D42" s="21" t="s">
        <v>528</v>
      </c>
      <c r="E42" s="13">
        <v>43056.327638888892</v>
      </c>
      <c r="F42" s="13">
        <v>43056.332013888888</v>
      </c>
      <c r="G42" s="7">
        <v>96</v>
      </c>
      <c r="H42" s="21" t="s">
        <v>908</v>
      </c>
      <c r="I42" s="13">
        <v>43056.358414351853</v>
      </c>
      <c r="J42" s="7">
        <v>1</v>
      </c>
      <c r="K42" s="89" t="str">
        <f t="shared" si="0"/>
        <v>4027/4028</v>
      </c>
      <c r="L42" s="185" t="str">
        <f>VLOOKUP(A42,'Trips&amp;Operators'!$C$1:$G$99911,5,FALSE)</f>
        <v>MACDONALD THOMAS</v>
      </c>
      <c r="M42" s="6">
        <f t="shared" si="1"/>
        <v>2.6400462964375038E-2</v>
      </c>
      <c r="N42" s="7">
        <f t="shared" si="17"/>
        <v>38.016666668700054</v>
      </c>
      <c r="O42" s="7"/>
      <c r="P42" s="7"/>
      <c r="Q42" s="22"/>
      <c r="R42" s="174"/>
      <c r="S42" s="221">
        <f t="shared" si="18"/>
        <v>1</v>
      </c>
      <c r="T42" s="174" t="str">
        <f t="shared" si="2"/>
        <v>Southbound</v>
      </c>
      <c r="U42" s="198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16" t="str">
        <f t="shared" si="3"/>
        <v>https://d0f6bd738d7f1b3e5a7ca70fe4ff75f0.us-east-1.aws.found.io/app/kibana#/discover/Steve-Slow-Train-Analysis-(2080s-and-2083s)?_g=(refreshInterval:(display:Off,pause:!f,section:0,value:0),time:(from:'2017-11-17T06:51:48-0700',mode:absolute,to:'2017-11-17T09:36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42" s="204" t="str">
        <f>IF(AA42&lt;VLOOKUP(AG42,Variables!$AC$3:$AD$8,2,FALSE),"Y","N")</f>
        <v>N</v>
      </c>
      <c r="X42" s="204">
        <f t="shared" si="4"/>
        <v>1</v>
      </c>
      <c r="Y42" s="204">
        <f t="shared" si="5"/>
        <v>23.292999999999999</v>
      </c>
      <c r="Z42" s="204">
        <f t="shared" si="6"/>
        <v>2.3099999999999999E-2</v>
      </c>
      <c r="AA42" s="204">
        <f t="shared" si="7"/>
        <v>23.2699</v>
      </c>
      <c r="AB42" s="54" t="e">
        <f>VLOOKUP(A42,Enforcements!$C$7:$K$9,8,0)</f>
        <v>#N/A</v>
      </c>
      <c r="AC42" s="51" t="e">
        <f>VLOOKUP(A42,Enforcements!$C$7:$E$9,3,0)</f>
        <v>#N/A</v>
      </c>
      <c r="AD42" s="179">
        <f t="shared" si="8"/>
        <v>128</v>
      </c>
      <c r="AE42" s="77" t="str">
        <f t="shared" si="9"/>
        <v>aws s3 cp s3://rtdc.mdm.uploadarchive.raw/RTDC4027/ "%USERPROFILE%\AppData\Local\Temp\OnboardLogs"\RTDC4027\2017-11-17 --exclude "*" --recursive --include "*20171117*" &amp; "%USERPROFILE%\Documents\GitHub\mrs-test-scripts\Headless Mode &amp; Sideloading\WalkAndUnGZ.bat" "%USERPROFILE%\AppData\Local\Temp\OnboardLogs"\RTDC4027\2017-11-17 &amp; aws s3 cp s3://rtdc.mdm.uploadarchive.raw/RTDC4027/ "%USERPROFILE%\AppData\Local\Temp\OnboardLogs"\RTDC4027\2017-11-18 --exclude "*" --recursive --include "*20171118*" &amp; "%USERPROFILE%\Documents\GitHub\mrs-test-scripts\Headless Mode &amp; Sideloading\WalkAndUnGZ.bat" "%USERPROFILE%\AppData\Local\Temp\OnboardLogs"\RTDC4027\2017-11-18</v>
      </c>
      <c r="AF42" s="74" t="str">
        <f t="shared" si="10"/>
        <v>"C:\Program Files (x86)\AstroGrep\AstroGrep.exe" /e /r /s /spath="%USERPROFILE%\AppData\Local\Temp\OnboardLogs" /stypes="app*4027*20171117*" /stext=" 15:.+((SYSTEM_STATE.+slice.+state.+changed )|(ment ac)|(multiple cpu faults)|(system.+state.+changed )|(\[timeout)|(PRM\|1\|D)|(kpr)|(kdp)|(train st.+moving)|(\|lc)|(penalty))"</v>
      </c>
      <c r="AG42" s="182" t="str">
        <f t="shared" si="11"/>
        <v>EC</v>
      </c>
      <c r="AH42" s="78" t="str">
        <f t="shared" si="12"/>
        <v>"%USERPROFILE%\Documents\GitHub\eaglep3\Utilities\RefineRTDCRunTimes.py" --tripid 128-17 --locoid 4027 --swversion DE.1.0.9.0 --startMP 204:232930 --initTime 2017-11-17T07:51:48 --startdatetime 2017-11-17T07:58:06 --delay 96 --endMP 204:231 --enddatetime 2017-11-17T08:36:07 --enforcementcount 1 &gt;&gt;%USERPROFILE%\Documents\GitHub\eaglep3-reporting\EC\2017-11-17-refined-times.txt</v>
      </c>
      <c r="AI42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{"issue":{"subject":"","project_id":79,"tracker_id":40,"status_id":1,"priority_id":2,"assigned_to_id":338,"start_date":"2017-11-17","description":"","custom_fields":[{"id":1,"name":"Subdivision","value":"EC"},{"id":4,"name":"Milepost","value":"0.0231"},{"id":17,"name":"Train ID","value":"128-17"},{"id":16,"name":"Locomotive ID","value":"4027"},{"id":130,"name":"Impact","value":""},{"id":150,"name":"Time of Event (Mountain Time)","value":"08:36:07"},{"id":151,"name":"Denver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2" s="20"/>
      <c r="AK42" s="47"/>
      <c r="AL42" s="47"/>
      <c r="AM42" s="142" t="str">
        <f t="shared" si="14"/>
        <v>start /low /b %USERPROFILE%\Documents\GitHub\eaglep3\Utilities\DownloadLogsFromS3.py --loco 4027 --day 2017-11-17</v>
      </c>
      <c r="AN42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15:36:07"},{"id":29,"name":"Sharepoint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168" t="str">
        <f t="shared" si="16"/>
        <v>https://d0f6bd738d7f1b3e5a7ca70fe4ff75f0.us-east-1.aws.found.io/app/kibana#/discover/Steve-Slow-Train-Analysis-(2080s-and-2083s)?_g=(refreshInterval:(display:Off,pause:!f,section:0,value:0),time:(from:'2017-11-17T06:51:48-0700',mode:absolute,to:'2017-11-17T09:36:07-0700'))&amp;_a=(columns:!('Message%20ID',Summary),filters:!(),index:'emp_*',interval:auto,query:(query_string:(analyze_wildcard:!t,query:'%22rtdc.l.rtdc.4027%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3">
      <c r="A43" s="32" t="s">
        <v>706</v>
      </c>
      <c r="B43" s="7">
        <v>4020</v>
      </c>
      <c r="C43" s="21" t="s">
        <v>192</v>
      </c>
      <c r="D43" s="21" t="s">
        <v>450</v>
      </c>
      <c r="E43" s="13">
        <v>43056.298495370371</v>
      </c>
      <c r="F43" s="13">
        <v>43056.302476851852</v>
      </c>
      <c r="G43" s="7">
        <v>57</v>
      </c>
      <c r="H43" s="21" t="s">
        <v>578</v>
      </c>
      <c r="I43" s="13">
        <v>43056.326724537037</v>
      </c>
      <c r="J43" s="7">
        <v>1</v>
      </c>
      <c r="K43" s="89" t="str">
        <f t="shared" si="0"/>
        <v>4019/4020</v>
      </c>
      <c r="L43" s="185" t="str">
        <f>VLOOKUP(A43,'Trips&amp;Operators'!$C$1:$G$99911,5,FALSE)</f>
        <v>MAELZER KURT</v>
      </c>
      <c r="M43" s="6">
        <f t="shared" si="1"/>
        <v>2.4247685185400769E-2</v>
      </c>
      <c r="N43" s="7">
        <f t="shared" si="17"/>
        <v>34.916666666977108</v>
      </c>
      <c r="O43" s="7"/>
      <c r="P43" s="7"/>
      <c r="Q43" s="22"/>
      <c r="R43" s="174"/>
      <c r="S43" s="221">
        <f t="shared" si="18"/>
        <v>1</v>
      </c>
      <c r="T43" s="174" t="str">
        <f t="shared" si="2"/>
        <v>NorthBound</v>
      </c>
      <c r="U43" s="198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16" t="str">
        <f t="shared" si="3"/>
        <v>https://d0f6bd738d7f1b3e5a7ca70fe4ff75f0.us-east-1.aws.found.io/app/kibana#/discover/Steve-Slow-Train-Analysis-(2080s-and-2083s)?_g=(refreshInterval:(display:Off,pause:!f,section:0,value:0),time:(from:'2017-11-17T06:09:50-0700',mode:absolute,to:'2017-11-17T08:50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43" s="204" t="str">
        <f>IF(AA43&lt;VLOOKUP(AG43,Variables!$AC$3:$AD$8,2,FALSE),"Y","N")</f>
        <v>N</v>
      </c>
      <c r="X43" s="204">
        <f t="shared" si="4"/>
        <v>1</v>
      </c>
      <c r="Y43" s="204">
        <f t="shared" si="5"/>
        <v>5.0599999999999999E-2</v>
      </c>
      <c r="Z43" s="204">
        <f t="shared" si="6"/>
        <v>23.329499999999999</v>
      </c>
      <c r="AA43" s="204">
        <f t="shared" si="7"/>
        <v>23.2789</v>
      </c>
      <c r="AB43" s="54" t="e">
        <f>VLOOKUP(A43,Enforcements!$C$7:$K$9,8,0)</f>
        <v>#N/A</v>
      </c>
      <c r="AC43" s="51" t="e">
        <f>VLOOKUP(A43,Enforcements!$C$7:$E$9,3,0)</f>
        <v>#N/A</v>
      </c>
      <c r="AD43" s="179">
        <f t="shared" si="8"/>
        <v>129</v>
      </c>
      <c r="AE43" s="77" t="str">
        <f t="shared" si="9"/>
        <v>aws s3 cp s3://rtdc.mdm.uploadarchive.raw/RTDC4020/ "%USERPROFILE%\AppData\Local\Temp\OnboardLogs"\RTDC4020\2017-11-17 --exclude "*" --recursive --include "*20171117*" &amp; "%USERPROFILE%\Documents\GitHub\mrs-test-scripts\Headless Mode &amp; Sideloading\WalkAndUnGZ.bat" "%USERPROFILE%\AppData\Local\Temp\OnboardLogs"\RTDC4020\2017-11-17 &amp; aws s3 cp s3://rtdc.mdm.uploadarchive.raw/RTDC4020/ "%USERPROFILE%\AppData\Local\Temp\OnboardLogs"\RTDC4020\2017-11-18 --exclude "*" --recursive --include "*20171118*" &amp; "%USERPROFILE%\Documents\GitHub\mrs-test-scripts\Headless Mode &amp; Sideloading\WalkAndUnGZ.bat" "%USERPROFILE%\AppData\Local\Temp\OnboardLogs"\RTDC4020\2017-11-18</v>
      </c>
      <c r="AF43" s="74" t="str">
        <f t="shared" si="10"/>
        <v>"C:\Program Files (x86)\AstroGrep\AstroGrep.exe" /e /r /s /spath="%USERPROFILE%\AppData\Local\Temp\OnboardLogs" /stypes="app*4020*20171117*" /stext=" 14:.+((SYSTEM_STATE.+slice.+state.+changed )|(ment ac)|(multiple cpu faults)|(system.+state.+changed )|(\[timeout)|(PRM\|1\|D)|(kpr)|(kdp)|(train st.+moving)|(\|lc)|(penalty))"</v>
      </c>
      <c r="AG43" s="182" t="str">
        <f t="shared" si="11"/>
        <v>EC</v>
      </c>
      <c r="AH43" s="78" t="str">
        <f t="shared" si="12"/>
        <v>"%USERPROFILE%\Documents\GitHub\eaglep3\Utilities\RefineRTDCRunTimes.py" --tripid 129-17 --locoid 4020 --swversion DE.1.0.9.0 --startMP 204:506 --initTime 2017-11-17T07:09:50 --startdatetime 2017-11-17T07:15:34 --delay 57 --endMP 204:233295 --enddatetime 2017-11-17T07:50:29 --enforcementcount 1 &gt;&gt;%USERPROFILE%\Documents\GitHub\eaglep3-reporting\EC\2017-11-17-refined-times.txt</v>
      </c>
      <c r="AI43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{"issue":{"subject":"","project_id":79,"tracker_id":40,"status_id":1,"priority_id":2,"assigned_to_id":338,"start_date":"2017-11-17","description":"","custom_fields":[{"id":1,"name":"Subdivision","value":"EC"},{"id":4,"name":"Milepost","value":"23.3295"},{"id":17,"name":"Train ID","value":"129-17"},{"id":16,"name":"Locomotive ID","value":"4020"},{"id":130,"name":"Impact","value":""},{"id":150,"name":"Time of Event (Mountain Time)","value":"07:50:29"},{"id":151,"name":"Denver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3" s="20"/>
      <c r="AK43" s="47"/>
      <c r="AL43" s="47"/>
      <c r="AM43" s="142" t="str">
        <f t="shared" si="14"/>
        <v>start /low /b %USERPROFILE%\Documents\GitHub\eaglep3\Utilities\DownloadLogsFromS3.py --loco 4020 --day 2017-11-17</v>
      </c>
      <c r="AN43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14:50:29"},{"id":29,"name":"Sharepoint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168" t="str">
        <f t="shared" si="16"/>
        <v>https://d0f6bd738d7f1b3e5a7ca70fe4ff75f0.us-east-1.aws.found.io/app/kibana#/discover/Steve-Slow-Train-Analysis-(2080s-and-2083s)?_g=(refreshInterval:(display:Off,pause:!f,section:0,value:0),time:(from:'2017-11-17T06:09:50-0700',mode:absolute,to:'2017-11-17T08:50:29-0700'))&amp;_a=(columns:!('Message%20ID',Summary),filters:!(),index:'emp_*',interval:auto,query:(query_string:(analyze_wildcard:!t,query:'%22rtdc.l.rtdc.4020%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3">
      <c r="A44" s="32" t="s">
        <v>714</v>
      </c>
      <c r="B44" s="7">
        <v>4019</v>
      </c>
      <c r="C44" s="21" t="s">
        <v>192</v>
      </c>
      <c r="D44" s="21" t="s">
        <v>579</v>
      </c>
      <c r="E44" s="13">
        <v>43056.331562500003</v>
      </c>
      <c r="F44" s="13">
        <v>43056.341863425929</v>
      </c>
      <c r="G44" s="7">
        <v>54</v>
      </c>
      <c r="H44" s="21" t="s">
        <v>932</v>
      </c>
      <c r="I44" s="13">
        <v>43056.368206018517</v>
      </c>
      <c r="J44" s="7">
        <v>1</v>
      </c>
      <c r="K44" s="89" t="str">
        <f t="shared" si="0"/>
        <v>4019/4020</v>
      </c>
      <c r="L44" s="185" t="str">
        <f>VLOOKUP(A44,'Trips&amp;Operators'!$C$1:$G$99911,5,FALSE)</f>
        <v>MAELZER KURT</v>
      </c>
      <c r="M44" s="6">
        <f t="shared" si="1"/>
        <v>2.6342592587752733E-2</v>
      </c>
      <c r="N44" s="7">
        <f t="shared" si="17"/>
        <v>37.933333326363936</v>
      </c>
      <c r="O44" s="7"/>
      <c r="P44" s="7"/>
      <c r="Q44" s="22"/>
      <c r="R44" s="174"/>
      <c r="S44" s="221">
        <f t="shared" si="18"/>
        <v>1</v>
      </c>
      <c r="T44" s="174" t="str">
        <f t="shared" si="2"/>
        <v>Southbound</v>
      </c>
      <c r="U44" s="198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16" t="str">
        <f t="shared" si="3"/>
        <v>https://d0f6bd738d7f1b3e5a7ca70fe4ff75f0.us-east-1.aws.found.io/app/kibana#/discover/Steve-Slow-Train-Analysis-(2080s-and-2083s)?_g=(refreshInterval:(display:Off,pause:!f,section:0,value:0),time:(from:'2017-11-17T06:57:27-0700',mode:absolute,to:'2017-11-17T09:50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44" s="204" t="str">
        <f>IF(AA44&lt;VLOOKUP(AG44,Variables!$AC$3:$AD$8,2,FALSE),"Y","N")</f>
        <v>N</v>
      </c>
      <c r="X44" s="204">
        <f t="shared" si="4"/>
        <v>1</v>
      </c>
      <c r="Y44" s="204">
        <f t="shared" si="5"/>
        <v>23.297799999999999</v>
      </c>
      <c r="Z44" s="204">
        <f t="shared" si="6"/>
        <v>1.9400000000000001E-2</v>
      </c>
      <c r="AA44" s="204">
        <f t="shared" si="7"/>
        <v>23.278399999999998</v>
      </c>
      <c r="AB44" s="54" t="e">
        <f>VLOOKUP(A44,Enforcements!$C$7:$K$9,8,0)</f>
        <v>#N/A</v>
      </c>
      <c r="AC44" s="51" t="e">
        <f>VLOOKUP(A44,Enforcements!$C$7:$E$9,3,0)</f>
        <v>#N/A</v>
      </c>
      <c r="AD44" s="179">
        <f t="shared" si="8"/>
        <v>130</v>
      </c>
      <c r="AE44" s="77" t="str">
        <f t="shared" si="9"/>
        <v>aws s3 cp s3://rtdc.mdm.uploadarchive.raw/RTDC4019/ "%USERPROFILE%\AppData\Local\Temp\OnboardLogs"\RTDC4019\2017-11-17 --exclude "*" --recursive --include "*20171117*" &amp; "%USERPROFILE%\Documents\GitHub\mrs-test-scripts\Headless Mode &amp; Sideloading\WalkAndUnGZ.bat" "%USERPROFILE%\AppData\Local\Temp\OnboardLogs"\RTDC4019\2017-11-17 &amp; aws s3 cp s3://rtdc.mdm.uploadarchive.raw/RTDC4019/ "%USERPROFILE%\AppData\Local\Temp\OnboardLogs"\RTDC4019\2017-11-18 --exclude "*" --recursive --include "*20171118*" &amp; "%USERPROFILE%\Documents\GitHub\mrs-test-scripts\Headless Mode &amp; Sideloading\WalkAndUnGZ.bat" "%USERPROFILE%\AppData\Local\Temp\OnboardLogs"\RTDC4019\2017-11-18</v>
      </c>
      <c r="AF44" s="74" t="str">
        <f t="shared" si="10"/>
        <v>"C:\Program Files (x86)\AstroGrep\AstroGrep.exe" /e /r /s /spath="%USERPROFILE%\AppData\Local\Temp\OnboardLogs" /stypes="app*4019*20171117*" /stext=" 15:.+((SYSTEM_STATE.+slice.+state.+changed )|(ment ac)|(multiple cpu faults)|(system.+state.+changed )|(\[timeout)|(PRM\|1\|D)|(kpr)|(kdp)|(train st.+moving)|(\|lc)|(penalty))"</v>
      </c>
      <c r="AG44" s="182" t="str">
        <f t="shared" si="11"/>
        <v>EC</v>
      </c>
      <c r="AH44" s="78" t="str">
        <f t="shared" si="12"/>
        <v>"%USERPROFILE%\Documents\GitHub\eaglep3\Utilities\RefineRTDCRunTimes.py" --tripid 130-17 --locoid 4019 --swversion DE.1.0.9.0 --startMP 204:232978 --initTime 2017-11-17T07:57:27 --startdatetime 2017-11-17T08:12:17 --delay 54 --endMP 204:194 --enddatetime 2017-11-17T08:50:13 --enforcementcount 1 &gt;&gt;%USERPROFILE%\Documents\GitHub\eaglep3-reporting\EC\2017-11-17-refined-times.txt</v>
      </c>
      <c r="AI44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{"issue":{"subject":"","project_id":79,"tracker_id":40,"status_id":1,"priority_id":2,"assigned_to_id":338,"start_date":"2017-11-17","description":"","custom_fields":[{"id":1,"name":"Subdivision","value":"EC"},{"id":4,"name":"Milepost","value":"0.0194"},{"id":17,"name":"Train ID","value":"130-17"},{"id":16,"name":"Locomotive ID","value":"4019"},{"id":130,"name":"Impact","value":""},{"id":150,"name":"Time of Event (Mountain Time)","value":"08:50:13"},{"id":151,"name":"Denver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4" s="20"/>
      <c r="AK44" s="47"/>
      <c r="AL44" s="47"/>
      <c r="AM44" s="142" t="str">
        <f t="shared" si="14"/>
        <v>start /low /b %USERPROFILE%\Documents\GitHub\eaglep3\Utilities\DownloadLogsFromS3.py --loco 4019 --day 2017-11-17</v>
      </c>
      <c r="AN44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15:50:13"},{"id":29,"name":"Sharepoint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168" t="str">
        <f t="shared" si="16"/>
        <v>https://d0f6bd738d7f1b3e5a7ca70fe4ff75f0.us-east-1.aws.found.io/app/kibana#/discover/Steve-Slow-Train-Analysis-(2080s-and-2083s)?_g=(refreshInterval:(display:Off,pause:!f,section:0,value:0),time:(from:'2017-11-17T06:57:27-0700',mode:absolute,to:'2017-11-17T09:50:13-0700'))&amp;_a=(columns:!('Message%20ID',Summary),filters:!(),index:'emp_*',interval:auto,query:(query_string:(analyze_wildcard:!t,query:'%22rtdc.l.rtdc.4019%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3">
      <c r="A45" s="32" t="s">
        <v>708</v>
      </c>
      <c r="B45" s="7">
        <v>4064</v>
      </c>
      <c r="C45" s="21" t="s">
        <v>192</v>
      </c>
      <c r="D45" s="21" t="s">
        <v>571</v>
      </c>
      <c r="E45" s="13">
        <v>43056.30810185185</v>
      </c>
      <c r="F45" s="13">
        <v>43056.312719907408</v>
      </c>
      <c r="G45" s="7">
        <v>83</v>
      </c>
      <c r="H45" s="21" t="s">
        <v>933</v>
      </c>
      <c r="I45" s="13">
        <v>43056.338784722226</v>
      </c>
      <c r="J45" s="7">
        <v>1</v>
      </c>
      <c r="K45" s="89" t="str">
        <f t="shared" si="0"/>
        <v>4063/4064</v>
      </c>
      <c r="L45" s="185" t="str">
        <f>VLOOKUP(A45,'Trips&amp;Operators'!$C$1:$G$99911,5,FALSE)</f>
        <v>STARKS ANGELINA</v>
      </c>
      <c r="M45" s="6">
        <f t="shared" si="1"/>
        <v>2.6064814817800652E-2</v>
      </c>
      <c r="N45" s="7">
        <f t="shared" si="17"/>
        <v>37.533333337632939</v>
      </c>
      <c r="O45" s="7"/>
      <c r="P45" s="7"/>
      <c r="Q45" s="22"/>
      <c r="R45" s="174"/>
      <c r="S45" s="221">
        <f t="shared" si="18"/>
        <v>1</v>
      </c>
      <c r="T45" s="174" t="str">
        <f t="shared" si="2"/>
        <v>NorthBound</v>
      </c>
      <c r="U45" s="198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16" t="str">
        <f t="shared" si="3"/>
        <v>https://d0f6bd738d7f1b3e5a7ca70fe4ff75f0.us-east-1.aws.found.io/app/kibana#/discover/Steve-Slow-Train-Analysis-(2080s-and-2083s)?_g=(refreshInterval:(display:Off,pause:!f,section:0,value:0),time:(from:'2017-11-17T06:23:40-0700',mode:absolute,to:'2017-11-17T09:07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45" s="204" t="str">
        <f>IF(AA45&lt;VLOOKUP(AG45,Variables!$AC$3:$AD$8,2,FALSE),"Y","N")</f>
        <v>N</v>
      </c>
      <c r="X45" s="204">
        <f t="shared" si="4"/>
        <v>1</v>
      </c>
      <c r="Y45" s="204">
        <f t="shared" ref="Y45:Y76" si="19">RIGHT(D45,LEN(D45)-4)/10000</f>
        <v>4.8399999999999999E-2</v>
      </c>
      <c r="Z45" s="204">
        <f t="shared" ref="Z45:Z76" si="20">RIGHT(H45,LEN(H45)-4)/10000</f>
        <v>23.329799999999999</v>
      </c>
      <c r="AA45" s="204">
        <f t="shared" si="7"/>
        <v>23.281399999999998</v>
      </c>
      <c r="AB45" s="54" t="e">
        <f>VLOOKUP(A45,Enforcements!$C$7:$K$9,8,0)</f>
        <v>#N/A</v>
      </c>
      <c r="AC45" s="51" t="e">
        <f>VLOOKUP(A45,Enforcements!$C$7:$E$9,3,0)</f>
        <v>#N/A</v>
      </c>
      <c r="AD45" s="179">
        <f t="shared" si="8"/>
        <v>131</v>
      </c>
      <c r="AE45" s="77" t="str">
        <f t="shared" si="9"/>
        <v>aws s3 cp s3://rtdc.mdm.uploadarchive.raw/RTDC4064/ "%USERPROFILE%\AppData\Local\Temp\OnboardLogs"\RTDC4064\2017-11-17 --exclude "*" --recursive --include "*20171117*" &amp; "%USERPROFILE%\Documents\GitHub\mrs-test-scripts\Headless Mode &amp; Sideloading\WalkAndUnGZ.bat" "%USERPROFILE%\AppData\Local\Temp\OnboardLogs"\RTDC4064\2017-11-17 &amp; aws s3 cp s3://rtdc.mdm.uploadarchive.raw/RTDC4064/ "%USERPROFILE%\AppData\Local\Temp\OnboardLogs"\RTDC4064\2017-11-18 --exclude "*" --recursive --include "*20171118*" &amp; "%USERPROFILE%\Documents\GitHub\mrs-test-scripts\Headless Mode &amp; Sideloading\WalkAndUnGZ.bat" "%USERPROFILE%\AppData\Local\Temp\OnboardLogs"\RTDC4064\2017-11-18</v>
      </c>
      <c r="AF45" s="74" t="str">
        <f t="shared" si="10"/>
        <v>"C:\Program Files (x86)\AstroGrep\AstroGrep.exe" /e /r /s /spath="%USERPROFILE%\AppData\Local\Temp\OnboardLogs" /stypes="app*4064*20171117*" /stext=" 15:.+((SYSTEM_STATE.+slice.+state.+changed )|(ment ac)|(multiple cpu faults)|(system.+state.+changed )|(\[timeout)|(PRM\|1\|D)|(kpr)|(kdp)|(train st.+moving)|(\|lc)|(penalty))"</v>
      </c>
      <c r="AG45" s="182" t="str">
        <f t="shared" si="11"/>
        <v>EC</v>
      </c>
      <c r="AH45" s="78" t="str">
        <f t="shared" si="12"/>
        <v>"%USERPROFILE%\Documents\GitHub\eaglep3\Utilities\RefineRTDCRunTimes.py" --tripid 131-17 --locoid 4064 --swversion DE.1.0.9.0 --startMP 204:484 --initTime 2017-11-17T07:23:40 --startdatetime 2017-11-17T07:30:19 --delay 83 --endMP 204:233298 --enddatetime 2017-11-17T08:07:51 --enforcementcount 1 &gt;&gt;%USERPROFILE%\Documents\GitHub\eaglep3-reporting\EC\2017-11-17-refined-times.txt</v>
      </c>
      <c r="AI45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{"issue":{"subject":"","project_id":79,"tracker_id":40,"status_id":1,"priority_id":2,"assigned_to_id":338,"start_date":"2017-11-17","description":"","custom_fields":[{"id":1,"name":"Subdivision","value":"EC"},{"id":4,"name":"Milepost","value":"23.3298"},{"id":17,"name":"Train ID","value":"131-17"},{"id":16,"name":"Locomotive ID","value":"4064"},{"id":130,"name":"Impact","value":""},{"id":150,"name":"Time of Event (Mountain Time)","value":"08:07:51"},{"id":151,"name":"Denver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5" s="20"/>
      <c r="AK45" s="47"/>
      <c r="AL45" s="47"/>
      <c r="AM45" s="142" t="str">
        <f t="shared" si="14"/>
        <v>start /low /b %USERPROFILE%\Documents\GitHub\eaglep3\Utilities\DownloadLogsFromS3.py --loco 4064 --day 2017-11-17</v>
      </c>
      <c r="AN45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15:07:51"},{"id":29,"name":"Sharepoint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168" t="str">
        <f t="shared" si="16"/>
        <v>https://d0f6bd738d7f1b3e5a7ca70fe4ff75f0.us-east-1.aws.found.io/app/kibana#/discover/Steve-Slow-Train-Analysis-(2080s-and-2083s)?_g=(refreshInterval:(display:Off,pause:!f,section:0,value:0),time:(from:'2017-11-17T06:23:40-0700',mode:absolute,to:'2017-11-17T09:07:51-0700'))&amp;_a=(columns:!('Message%20ID',Summary),filters:!(),index:'emp_*',interval:auto,query:(query_string:(analyze_wildcard:!t,query:'%22rtdc.l.rtdc.4064%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3">
      <c r="A46" s="32" t="s">
        <v>718</v>
      </c>
      <c r="B46" s="7">
        <v>4063</v>
      </c>
      <c r="C46" s="21" t="s">
        <v>192</v>
      </c>
      <c r="D46" s="21" t="s">
        <v>934</v>
      </c>
      <c r="E46" s="13">
        <v>43056.340057870373</v>
      </c>
      <c r="F46" s="13">
        <v>43056.352384259262</v>
      </c>
      <c r="G46" s="7">
        <v>56</v>
      </c>
      <c r="H46" s="21" t="s">
        <v>563</v>
      </c>
      <c r="I46" s="13">
        <v>43056.380300925928</v>
      </c>
      <c r="J46" s="7">
        <v>1</v>
      </c>
      <c r="K46" s="89" t="str">
        <f t="shared" si="0"/>
        <v>4063/4064</v>
      </c>
      <c r="L46" s="185" t="str">
        <f>VLOOKUP(A46,'Trips&amp;Operators'!$C$1:$G$99911,5,FALSE)</f>
        <v>STARKS ANGELINA</v>
      </c>
      <c r="M46" s="6">
        <f t="shared" si="1"/>
        <v>2.7916666665987577E-2</v>
      </c>
      <c r="N46" s="7">
        <f t="shared" si="17"/>
        <v>40.199999999022111</v>
      </c>
      <c r="O46" s="7"/>
      <c r="P46" s="7"/>
      <c r="Q46" s="22"/>
      <c r="R46" s="174"/>
      <c r="S46" s="221">
        <f t="shared" si="18"/>
        <v>1</v>
      </c>
      <c r="T46" s="174" t="str">
        <f t="shared" si="2"/>
        <v>Southbound</v>
      </c>
      <c r="U46" s="198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16" t="str">
        <f t="shared" si="3"/>
        <v>https://d0f6bd738d7f1b3e5a7ca70fe4ff75f0.us-east-1.aws.found.io/app/kibana#/discover/Steve-Slow-Train-Analysis-(2080s-and-2083s)?_g=(refreshInterval:(display:Off,pause:!f,section:0,value:0),time:(from:'2017-11-17T07:09:41-0700',mode:absolute,to:'2017-11-17T10:07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46" s="204" t="str">
        <f>IF(AA46&lt;VLOOKUP(AG46,Variables!$AC$3:$AD$8,2,FALSE),"Y","N")</f>
        <v>N</v>
      </c>
      <c r="X46" s="204">
        <f t="shared" si="4"/>
        <v>1</v>
      </c>
      <c r="Y46" s="204">
        <f t="shared" si="19"/>
        <v>23.2987</v>
      </c>
      <c r="Z46" s="204">
        <f t="shared" si="20"/>
        <v>1.5800000000000002E-2</v>
      </c>
      <c r="AA46" s="204">
        <f t="shared" si="7"/>
        <v>23.282900000000001</v>
      </c>
      <c r="AB46" s="54" t="e">
        <f>VLOOKUP(A46,Enforcements!$C$7:$K$9,8,0)</f>
        <v>#N/A</v>
      </c>
      <c r="AC46" s="51" t="e">
        <f>VLOOKUP(A46,Enforcements!$C$7:$E$9,3,0)</f>
        <v>#N/A</v>
      </c>
      <c r="AD46" s="179">
        <f t="shared" si="8"/>
        <v>132</v>
      </c>
      <c r="AE46" s="77" t="str">
        <f t="shared" si="9"/>
        <v>aws s3 cp s3://rtdc.mdm.uploadarchive.raw/RTDC4063/ "%USERPROFILE%\AppData\Local\Temp\OnboardLogs"\RTDC4063\2017-11-17 --exclude "*" --recursive --include "*20171117*" &amp; "%USERPROFILE%\Documents\GitHub\mrs-test-scripts\Headless Mode &amp; Sideloading\WalkAndUnGZ.bat" "%USERPROFILE%\AppData\Local\Temp\OnboardLogs"\RTDC4063\2017-11-17 &amp; aws s3 cp s3://rtdc.mdm.uploadarchive.raw/RTDC4063/ "%USERPROFILE%\AppData\Local\Temp\OnboardLogs"\RTDC4063\2017-11-18 --exclude "*" --recursive --include "*20171118*" &amp; "%USERPROFILE%\Documents\GitHub\mrs-test-scripts\Headless Mode &amp; Sideloading\WalkAndUnGZ.bat" "%USERPROFILE%\AppData\Local\Temp\OnboardLogs"\RTDC4063\2017-11-18</v>
      </c>
      <c r="AF46" s="74" t="str">
        <f t="shared" si="10"/>
        <v>"C:\Program Files (x86)\AstroGrep\AstroGrep.exe" /e /r /s /spath="%USERPROFILE%\AppData\Local\Temp\OnboardLogs" /stypes="app*4063*20171117*" /stext=" 16:.+((SYSTEM_STATE.+slice.+state.+changed )|(ment ac)|(multiple cpu faults)|(system.+state.+changed )|(\[timeout)|(PRM\|1\|D)|(kpr)|(kdp)|(train st.+moving)|(\|lc)|(penalty))"</v>
      </c>
      <c r="AG46" s="182" t="str">
        <f t="shared" si="11"/>
        <v>EC</v>
      </c>
      <c r="AH46" s="78" t="str">
        <f t="shared" si="12"/>
        <v>"%USERPROFILE%\Documents\GitHub\eaglep3\Utilities\RefineRTDCRunTimes.py" --tripid 132-17 --locoid 4063 --swversion DE.1.0.9.0 --startMP 204:232987 --initTime 2017-11-17T08:09:41 --startdatetime 2017-11-17T08:27:26 --delay 56 --endMP 204:158 --enddatetime 2017-11-17T09:07:38 --enforcementcount 1 &gt;&gt;%USERPROFILE%\Documents\GitHub\eaglep3-reporting\EC\2017-11-17-refined-times.txt</v>
      </c>
      <c r="AI46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{"issue":{"subject":"","project_id":79,"tracker_id":40,"status_id":1,"priority_id":2,"assigned_to_id":338,"start_date":"2017-11-17","description":"","custom_fields":[{"id":1,"name":"Subdivision","value":"EC"},{"id":4,"name":"Milepost","value":"0.0158"},{"id":17,"name":"Train ID","value":"132-17"},{"id":16,"name":"Locomotive ID","value":"4063"},{"id":130,"name":"Impact","value":""},{"id":150,"name":"Time of Event (Mountain Time)","value":"09:07:38"},{"id":151,"name":"Denver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6" s="20"/>
      <c r="AK46" s="47"/>
      <c r="AL46" s="47"/>
      <c r="AM46" s="142" t="str">
        <f t="shared" si="14"/>
        <v>start /low /b %USERPROFILE%\Documents\GitHub\eaglep3\Utilities\DownloadLogsFromS3.py --loco 4063 --day 2017-11-17</v>
      </c>
      <c r="AN46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16:07:38"},{"id":29,"name":"Sharepoint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168" t="str">
        <f t="shared" si="16"/>
        <v>https://d0f6bd738d7f1b3e5a7ca70fe4ff75f0.us-east-1.aws.found.io/app/kibana#/discover/Steve-Slow-Train-Analysis-(2080s-and-2083s)?_g=(refreshInterval:(display:Off,pause:!f,section:0,value:0),time:(from:'2017-11-17T07:09:41-0700',mode:absolute,to:'2017-11-17T10:07:38-0700'))&amp;_a=(columns:!('Message%20ID',Summary),filters:!(),index:'emp_*',interval:auto,query:(query_string:(analyze_wildcard:!t,query:'%22rtdc.l.rtdc.4063%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3">
      <c r="A47" s="32" t="s">
        <v>711</v>
      </c>
      <c r="B47" s="7">
        <v>4036</v>
      </c>
      <c r="C47" s="21" t="s">
        <v>192</v>
      </c>
      <c r="D47" s="21" t="s">
        <v>526</v>
      </c>
      <c r="E47" s="13">
        <v>43056.31722222222</v>
      </c>
      <c r="F47" s="13">
        <v>43056.323113425926</v>
      </c>
      <c r="G47" s="7">
        <v>64</v>
      </c>
      <c r="H47" s="21" t="s">
        <v>467</v>
      </c>
      <c r="I47" s="13">
        <v>43056.346990740742</v>
      </c>
      <c r="J47" s="7">
        <v>1</v>
      </c>
      <c r="K47" s="89" t="str">
        <f t="shared" si="0"/>
        <v>4035/4036</v>
      </c>
      <c r="L47" s="185" t="str">
        <f>VLOOKUP(A47,'Trips&amp;Operators'!$C$1:$G$99911,5,FALSE)</f>
        <v>AUSTIN THOMPSON</v>
      </c>
      <c r="M47" s="6">
        <f t="shared" si="1"/>
        <v>2.3877314815763384E-2</v>
      </c>
      <c r="N47" s="7">
        <f t="shared" si="17"/>
        <v>34.383333334699273</v>
      </c>
      <c r="O47" s="7"/>
      <c r="P47" s="7"/>
      <c r="Q47" s="22"/>
      <c r="R47" s="174"/>
      <c r="S47" s="221">
        <f t="shared" si="18"/>
        <v>1</v>
      </c>
      <c r="T47" s="174" t="str">
        <f t="shared" si="2"/>
        <v>NorthBound</v>
      </c>
      <c r="U47" s="198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16" t="str">
        <f t="shared" si="3"/>
        <v>https://d0f6bd738d7f1b3e5a7ca70fe4ff75f0.us-east-1.aws.found.io/app/kibana#/discover/Steve-Slow-Train-Analysis-(2080s-and-2083s)?_g=(refreshInterval:(display:Off,pause:!f,section:0,value:0),time:(from:'2017-11-17T06:36:48-0700',mode:absolute,to:'2017-11-17T09:19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47" s="204" t="str">
        <f>IF(AA47&lt;VLOOKUP(AG47,Variables!$AC$3:$AD$8,2,FALSE),"Y","N")</f>
        <v>N</v>
      </c>
      <c r="X47" s="204">
        <f t="shared" si="4"/>
        <v>1</v>
      </c>
      <c r="Y47" s="204">
        <f t="shared" si="19"/>
        <v>5.2200000000000003E-2</v>
      </c>
      <c r="Z47" s="204">
        <f t="shared" si="20"/>
        <v>23.325900000000001</v>
      </c>
      <c r="AA47" s="204">
        <f t="shared" si="7"/>
        <v>23.273700000000002</v>
      </c>
      <c r="AB47" s="54" t="e">
        <f>VLOOKUP(A47,Enforcements!$C$7:$K$9,8,0)</f>
        <v>#N/A</v>
      </c>
      <c r="AC47" s="51" t="e">
        <f>VLOOKUP(A47,Enforcements!$C$7:$E$9,3,0)</f>
        <v>#N/A</v>
      </c>
      <c r="AD47" s="179">
        <f t="shared" si="8"/>
        <v>133</v>
      </c>
      <c r="AE47" s="77" t="str">
        <f t="shared" si="9"/>
        <v>aws s3 cp s3://rtdc.mdm.uploadarchive.raw/RTDC4036/ "%USERPROFILE%\AppData\Local\Temp\OnboardLogs"\RTDC4036\2017-11-17 --exclude "*" --recursive --include "*20171117*" &amp; "%USERPROFILE%\Documents\GitHub\mrs-test-scripts\Headless Mode &amp; Sideloading\WalkAndUnGZ.bat" "%USERPROFILE%\AppData\Local\Temp\OnboardLogs"\RTDC4036\2017-11-17 &amp; aws s3 cp s3://rtdc.mdm.uploadarchive.raw/RTDC4036/ "%USERPROFILE%\AppData\Local\Temp\OnboardLogs"\RTDC4036\2017-11-18 --exclude "*" --recursive --include "*20171118*" &amp; "%USERPROFILE%\Documents\GitHub\mrs-test-scripts\Headless Mode &amp; Sideloading\WalkAndUnGZ.bat" "%USERPROFILE%\AppData\Local\Temp\OnboardLogs"\RTDC4036\2017-11-18</v>
      </c>
      <c r="AF47" s="74" t="str">
        <f t="shared" si="10"/>
        <v>"C:\Program Files (x86)\AstroGrep\AstroGrep.exe" /e /r /s /spath="%USERPROFILE%\AppData\Local\Temp\OnboardLogs" /stypes="app*4036*20171117*" /stext=" 15:.+((SYSTEM_STATE.+slice.+state.+changed )|(ment ac)|(multiple cpu faults)|(system.+state.+changed )|(\[timeout)|(PRM\|1\|D)|(kpr)|(kdp)|(train st.+moving)|(\|lc)|(penalty))"</v>
      </c>
      <c r="AG47" s="182" t="str">
        <f t="shared" si="11"/>
        <v>EC</v>
      </c>
      <c r="AH47" s="78" t="str">
        <f t="shared" si="12"/>
        <v>"%USERPROFILE%\Documents\GitHub\eaglep3\Utilities\RefineRTDCRunTimes.py" --tripid 133-17 --locoid 4036 --swversion DE.1.0.9.0 --startMP 204:522 --initTime 2017-11-17T07:36:48 --startdatetime 2017-11-17T07:45:17 --delay 64 --endMP 204:233259 --enddatetime 2017-11-17T08:19:40 --enforcementcount 1 &gt;&gt;%USERPROFILE%\Documents\GitHub\eaglep3-reporting\EC\2017-11-17-refined-times.txt</v>
      </c>
      <c r="AI47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{"issue":{"subject":"","project_id":79,"tracker_id":40,"status_id":1,"priority_id":2,"assigned_to_id":338,"start_date":"2017-11-17","description":"","custom_fields":[{"id":1,"name":"Subdivision","value":"EC"},{"id":4,"name":"Milepost","value":"23.3259"},{"id":17,"name":"Train ID","value":"133-17"},{"id":16,"name":"Locomotive ID","value":"4036"},{"id":130,"name":"Impact","value":""},{"id":150,"name":"Time of Event (Mountain Time)","value":"08:19:40"},{"id":151,"name":"Denver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7" s="20"/>
      <c r="AK47" s="47"/>
      <c r="AL47" s="47"/>
      <c r="AM47" s="142" t="str">
        <f t="shared" si="14"/>
        <v>start /low /b %USERPROFILE%\Documents\GitHub\eaglep3\Utilities\DownloadLogsFromS3.py --loco 4036 --day 2017-11-17</v>
      </c>
      <c r="AN47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15:19:40"},{"id":29,"name":"Sharepoint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168" t="str">
        <f t="shared" si="16"/>
        <v>https://d0f6bd738d7f1b3e5a7ca70fe4ff75f0.us-east-1.aws.found.io/app/kibana#/discover/Steve-Slow-Train-Analysis-(2080s-and-2083s)?_g=(refreshInterval:(display:Off,pause:!f,section:0,value:0),time:(from:'2017-11-17T06:36:48-0700',mode:absolute,to:'2017-11-17T09:19:40-0700'))&amp;_a=(columns:!('Message%20ID',Summary),filters:!(),index:'emp_*',interval:auto,query:(query_string:(analyze_wildcard:!t,query:'%22rtdc.l.rtdc.4036%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3">
      <c r="A48" s="32" t="s">
        <v>722</v>
      </c>
      <c r="B48" s="7">
        <v>4035</v>
      </c>
      <c r="C48" s="21" t="s">
        <v>192</v>
      </c>
      <c r="D48" s="21" t="s">
        <v>911</v>
      </c>
      <c r="E48" s="13">
        <v>43056.357974537037</v>
      </c>
      <c r="F48" s="13">
        <v>43056.36273148148</v>
      </c>
      <c r="G48" s="7">
        <v>60</v>
      </c>
      <c r="H48" s="21" t="s">
        <v>935</v>
      </c>
      <c r="I48" s="13">
        <v>43056.388611111113</v>
      </c>
      <c r="J48" s="7">
        <v>1</v>
      </c>
      <c r="K48" s="89" t="str">
        <f t="shared" si="0"/>
        <v>4035/4036</v>
      </c>
      <c r="L48" s="185" t="str">
        <f>VLOOKUP(A48,'Trips&amp;Operators'!$C$1:$G$99911,5,FALSE)</f>
        <v>AUSTIN THOMPSON</v>
      </c>
      <c r="M48" s="6">
        <f t="shared" si="1"/>
        <v>2.587962963298196E-2</v>
      </c>
      <c r="N48" s="7">
        <f t="shared" si="17"/>
        <v>37.266666671494022</v>
      </c>
      <c r="O48" s="7"/>
      <c r="P48" s="7"/>
      <c r="Q48" s="22"/>
      <c r="R48" s="174"/>
      <c r="S48" s="221">
        <f t="shared" si="18"/>
        <v>1</v>
      </c>
      <c r="T48" s="174" t="str">
        <f t="shared" si="2"/>
        <v>Southbound</v>
      </c>
      <c r="U48" s="198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16" t="str">
        <f t="shared" si="3"/>
        <v>https://d0f6bd738d7f1b3e5a7ca70fe4ff75f0.us-east-1.aws.found.io/app/kibana#/discover/Steve-Slow-Train-Analysis-(2080s-and-2083s)?_g=(refreshInterval:(display:Off,pause:!f,section:0,value:0),time:(from:'2017-11-17T07:35:29-0700',mode:absolute,to:'2017-11-17T10:19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48" s="204" t="str">
        <f>IF(AA48&lt;VLOOKUP(AG48,Variables!$AC$3:$AD$8,2,FALSE),"Y","N")</f>
        <v>N</v>
      </c>
      <c r="X48" s="204">
        <f t="shared" si="4"/>
        <v>1</v>
      </c>
      <c r="Y48" s="204">
        <f t="shared" si="19"/>
        <v>23.293399999999998</v>
      </c>
      <c r="Z48" s="204">
        <f t="shared" si="20"/>
        <v>2.2100000000000002E-2</v>
      </c>
      <c r="AA48" s="204">
        <f t="shared" si="7"/>
        <v>23.2713</v>
      </c>
      <c r="AB48" s="54" t="e">
        <f>VLOOKUP(A48,Enforcements!$C$7:$K$9,8,0)</f>
        <v>#N/A</v>
      </c>
      <c r="AC48" s="51" t="e">
        <f>VLOOKUP(A48,Enforcements!$C$7:$E$9,3,0)</f>
        <v>#N/A</v>
      </c>
      <c r="AD48" s="179">
        <f t="shared" si="8"/>
        <v>134</v>
      </c>
      <c r="AE48" s="77" t="str">
        <f t="shared" si="9"/>
        <v>aws s3 cp s3://rtdc.mdm.uploadarchive.raw/RTDC4035/ "%USERPROFILE%\AppData\Local\Temp\OnboardLogs"\RTDC4035\2017-11-17 --exclude "*" --recursive --include "*20171117*" &amp; "%USERPROFILE%\Documents\GitHub\mrs-test-scripts\Headless Mode &amp; Sideloading\WalkAndUnGZ.bat" "%USERPROFILE%\AppData\Local\Temp\OnboardLogs"\RTDC4035\2017-11-17 &amp; aws s3 cp s3://rtdc.mdm.uploadarchive.raw/RTDC4035/ "%USERPROFILE%\AppData\Local\Temp\OnboardLogs"\RTDC4035\2017-11-18 --exclude "*" --recursive --include "*20171118*" &amp; "%USERPROFILE%\Documents\GitHub\mrs-test-scripts\Headless Mode &amp; Sideloading\WalkAndUnGZ.bat" "%USERPROFILE%\AppData\Local\Temp\OnboardLogs"\RTDC4035\2017-11-18</v>
      </c>
      <c r="AF48" s="74" t="str">
        <f t="shared" si="10"/>
        <v>"C:\Program Files (x86)\AstroGrep\AstroGrep.exe" /e /r /s /spath="%USERPROFILE%\AppData\Local\Temp\OnboardLogs" /stypes="app*4035*20171117*" /stext=" 16:.+((SYSTEM_STATE.+slice.+state.+changed )|(ment ac)|(multiple cpu faults)|(system.+state.+changed )|(\[timeout)|(PRM\|1\|D)|(kpr)|(kdp)|(train st.+moving)|(\|lc)|(penalty))"</v>
      </c>
      <c r="AG48" s="182" t="str">
        <f t="shared" si="11"/>
        <v>EC</v>
      </c>
      <c r="AH48" s="78" t="str">
        <f t="shared" si="12"/>
        <v>"%USERPROFILE%\Documents\GitHub\eaglep3\Utilities\RefineRTDCRunTimes.py" --tripid 134-17 --locoid 4035 --swversion DE.1.0.9.0 --startMP 204:232934 --initTime 2017-11-17T08:35:29 --startdatetime 2017-11-17T08:42:20 --delay 60 --endMP 204:221 --enddatetime 2017-11-17T09:19:36 --enforcementcount 1 &gt;&gt;%USERPROFILE%\Documents\GitHub\eaglep3-reporting\EC\2017-11-17-refined-times.txt</v>
      </c>
      <c r="AI48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{"issue":{"subject":"","project_id":79,"tracker_id":40,"status_id":1,"priority_id":2,"assigned_to_id":338,"start_date":"2017-11-17","description":"","custom_fields":[{"id":1,"name":"Subdivision","value":"EC"},{"id":4,"name":"Milepost","value":"0.0221"},{"id":17,"name":"Train ID","value":"134-17"},{"id":16,"name":"Locomotive ID","value":"4035"},{"id":130,"name":"Impact","value":""},{"id":150,"name":"Time of Event (Mountain Time)","value":"09:19:36"},{"id":151,"name":"Denver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8" s="20"/>
      <c r="AK48" s="47"/>
      <c r="AL48" s="47"/>
      <c r="AM48" s="142" t="str">
        <f t="shared" si="14"/>
        <v>start /low /b %USERPROFILE%\Documents\GitHub\eaglep3\Utilities\DownloadLogsFromS3.py --loco 4035 --day 2017-11-17</v>
      </c>
      <c r="AN48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16:19:36"},{"id":29,"name":"Sharepoint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168" t="str">
        <f t="shared" si="16"/>
        <v>https://d0f6bd738d7f1b3e5a7ca70fe4ff75f0.us-east-1.aws.found.io/app/kibana#/discover/Steve-Slow-Train-Analysis-(2080s-and-2083s)?_g=(refreshInterval:(display:Off,pause:!f,section:0,value:0),time:(from:'2017-11-17T07:35:29-0700',mode:absolute,to:'2017-11-17T10:19:36-0700'))&amp;_a=(columns:!('Message%20ID',Summary),filters:!(),index:'emp_*',interval:auto,query:(query_string:(analyze_wildcard:!t,query:'%22rtdc.l.rtdc.4035%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3">
      <c r="A49" s="32" t="s">
        <v>712</v>
      </c>
      <c r="B49" s="7">
        <v>4042</v>
      </c>
      <c r="C49" s="21" t="s">
        <v>192</v>
      </c>
      <c r="D49" s="21" t="s">
        <v>936</v>
      </c>
      <c r="E49" s="13">
        <v>43056.327060185184</v>
      </c>
      <c r="F49" s="13">
        <v>43056.334780092591</v>
      </c>
      <c r="G49" s="7">
        <v>72</v>
      </c>
      <c r="H49" s="21" t="s">
        <v>937</v>
      </c>
      <c r="I49" s="13">
        <v>43056.360046296293</v>
      </c>
      <c r="J49" s="7">
        <v>1</v>
      </c>
      <c r="K49" s="89" t="str">
        <f t="shared" si="0"/>
        <v>4041/4042</v>
      </c>
      <c r="L49" s="185" t="str">
        <f>VLOOKUP(A49,'Trips&amp;Operators'!$C$1:$G$99911,5,FALSE)</f>
        <v>STRICKLAND EVAN</v>
      </c>
      <c r="M49" s="6">
        <f t="shared" si="1"/>
        <v>2.5266203701903578E-2</v>
      </c>
      <c r="N49" s="7">
        <f t="shared" si="17"/>
        <v>36.383333330741152</v>
      </c>
      <c r="O49" s="7"/>
      <c r="P49" s="7"/>
      <c r="Q49" s="22"/>
      <c r="R49" s="174"/>
      <c r="S49" s="221">
        <f t="shared" si="18"/>
        <v>1</v>
      </c>
      <c r="T49" s="174" t="str">
        <f t="shared" si="2"/>
        <v>NorthBound</v>
      </c>
      <c r="U49" s="198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16" t="str">
        <f t="shared" si="3"/>
        <v>https://d0f6bd738d7f1b3e5a7ca70fe4ff75f0.us-east-1.aws.found.io/app/kibana#/discover/Steve-Slow-Train-Analysis-(2080s-and-2083s)?_g=(refreshInterval:(display:Off,pause:!f,section:0,value:0),time:(from:'2017-11-17T06:50:58-0700',mode:absolute,to:'2017-11-17T09:38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49" s="204" t="str">
        <f>IF(AA49&lt;VLOOKUP(AG49,Variables!$AC$3:$AD$8,2,FALSE),"Y","N")</f>
        <v>N</v>
      </c>
      <c r="X49" s="204">
        <f t="shared" si="4"/>
        <v>1</v>
      </c>
      <c r="Y49" s="204">
        <f t="shared" si="19"/>
        <v>4.5699999999999998E-2</v>
      </c>
      <c r="Z49" s="204">
        <f t="shared" si="20"/>
        <v>23.319600000000001</v>
      </c>
      <c r="AA49" s="204">
        <f t="shared" si="7"/>
        <v>23.273900000000001</v>
      </c>
      <c r="AB49" s="54" t="e">
        <f>VLOOKUP(A49,Enforcements!$C$7:$K$9,8,0)</f>
        <v>#N/A</v>
      </c>
      <c r="AC49" s="51" t="e">
        <f>VLOOKUP(A49,Enforcements!$C$7:$E$9,3,0)</f>
        <v>#N/A</v>
      </c>
      <c r="AD49" s="179">
        <f t="shared" si="8"/>
        <v>135</v>
      </c>
      <c r="AE49" s="77" t="str">
        <f t="shared" si="9"/>
        <v>aws s3 cp s3://rtdc.mdm.uploadarchive.raw/RTDC4042/ "%USERPROFILE%\AppData\Local\Temp\OnboardLogs"\RTDC4042\2017-11-17 --exclude "*" --recursive --include "*20171117*" &amp; "%USERPROFILE%\Documents\GitHub\mrs-test-scripts\Headless Mode &amp; Sideloading\WalkAndUnGZ.bat" "%USERPROFILE%\AppData\Local\Temp\OnboardLogs"\RTDC4042\2017-11-17 &amp; aws s3 cp s3://rtdc.mdm.uploadarchive.raw/RTDC4042/ "%USERPROFILE%\AppData\Local\Temp\OnboardLogs"\RTDC4042\2017-11-18 --exclude "*" --recursive --include "*20171118*" &amp; "%USERPROFILE%\Documents\GitHub\mrs-test-scripts\Headless Mode &amp; Sideloading\WalkAndUnGZ.bat" "%USERPROFILE%\AppData\Local\Temp\OnboardLogs"\RTDC4042\2017-11-18</v>
      </c>
      <c r="AF49" s="74" t="str">
        <f t="shared" si="10"/>
        <v>"C:\Program Files (x86)\AstroGrep\AstroGrep.exe" /e /r /s /spath="%USERPROFILE%\AppData\Local\Temp\OnboardLogs" /stypes="app*4042*20171117*" /stext=" 15:.+((SYSTEM_STATE.+slice.+state.+changed )|(ment ac)|(multiple cpu faults)|(system.+state.+changed )|(\[timeout)|(PRM\|1\|D)|(kpr)|(kdp)|(train st.+moving)|(\|lc)|(penalty))"</v>
      </c>
      <c r="AG49" s="182" t="str">
        <f t="shared" si="11"/>
        <v>EC</v>
      </c>
      <c r="AH49" s="78" t="str">
        <f t="shared" si="12"/>
        <v>"%USERPROFILE%\Documents\GitHub\eaglep3\Utilities\RefineRTDCRunTimes.py" --tripid 135-17 --locoid 4042 --swversion DE.1.0.9.0 --startMP 204:457 --initTime 2017-11-17T07:50:58 --startdatetime 2017-11-17T08:02:05 --delay 72 --endMP 204:233196 --enddatetime 2017-11-17T08:38:28 --enforcementcount 1 &gt;&gt;%USERPROFILE%\Documents\GitHub\eaglep3-reporting\EC\2017-11-17-refined-times.txt</v>
      </c>
      <c r="AI49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{"issue":{"subject":"","project_id":79,"tracker_id":40,"status_id":1,"priority_id":2,"assigned_to_id":338,"start_date":"2017-11-17","description":"","custom_fields":[{"id":1,"name":"Subdivision","value":"EC"},{"id":4,"name":"Milepost","value":"23.3196"},{"id":17,"name":"Train ID","value":"135-17"},{"id":16,"name":"Locomotive ID","value":"4042"},{"id":130,"name":"Impact","value":""},{"id":150,"name":"Time of Event (Mountain Time)","value":"08:38:28"},{"id":151,"name":"Denver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9" s="20"/>
      <c r="AK49" s="47"/>
      <c r="AL49" s="47"/>
      <c r="AM49" s="142" t="str">
        <f t="shared" si="14"/>
        <v>start /low /b %USERPROFILE%\Documents\GitHub\eaglep3\Utilities\DownloadLogsFromS3.py --loco 4042 --day 2017-11-17</v>
      </c>
      <c r="AN49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15:38:28"},{"id":29,"name":"Sharepoint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168" t="str">
        <f t="shared" si="16"/>
        <v>https://d0f6bd738d7f1b3e5a7ca70fe4ff75f0.us-east-1.aws.found.io/app/kibana#/discover/Steve-Slow-Train-Analysis-(2080s-and-2083s)?_g=(refreshInterval:(display:Off,pause:!f,section:0,value:0),time:(from:'2017-11-17T06:50:58-0700',mode:absolute,to:'2017-11-17T09:38:28-0700'))&amp;_a=(columns:!('Message%20ID',Summary),filters:!(),index:'emp_*',interval:auto,query:(query_string:(analyze_wildcard:!t,query:'%22rtdc.l.rtdc.4042%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3">
      <c r="A50" s="32" t="s">
        <v>724</v>
      </c>
      <c r="B50" s="7">
        <v>4041</v>
      </c>
      <c r="C50" s="21" t="s">
        <v>192</v>
      </c>
      <c r="D50" s="21" t="s">
        <v>938</v>
      </c>
      <c r="E50" s="13">
        <v>43056.361481481479</v>
      </c>
      <c r="F50" s="13">
        <v>43056.373263888891</v>
      </c>
      <c r="G50" s="7">
        <v>86</v>
      </c>
      <c r="H50" s="21" t="s">
        <v>448</v>
      </c>
      <c r="I50" s="13">
        <v>43056.40047453704</v>
      </c>
      <c r="J50" s="7">
        <v>1</v>
      </c>
      <c r="K50" s="89" t="str">
        <f t="shared" si="0"/>
        <v>4041/4042</v>
      </c>
      <c r="L50" s="185" t="str">
        <f>VLOOKUP(A50,'Trips&amp;Operators'!$C$1:$G$99911,5,FALSE)</f>
        <v>STRICKLAND EVAN</v>
      </c>
      <c r="M50" s="6">
        <f t="shared" si="1"/>
        <v>2.7210648149775807E-2</v>
      </c>
      <c r="N50" s="7">
        <f t="shared" ref="N50:N81" si="21">24*60*SUM($M50:$M50)</f>
        <v>39.183333335677162</v>
      </c>
      <c r="O50" s="7"/>
      <c r="P50" s="7"/>
      <c r="Q50" s="22"/>
      <c r="R50" s="174"/>
      <c r="S50" s="221">
        <f t="shared" ref="S50:S81" si="22">1/IF(AG50="EC",12,1)*SUM(U50:U50)</f>
        <v>1</v>
      </c>
      <c r="T50" s="174" t="str">
        <f t="shared" si="2"/>
        <v>Southbound</v>
      </c>
      <c r="U50" s="198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16" t="str">
        <f t="shared" si="3"/>
        <v>https://d0f6bd738d7f1b3e5a7ca70fe4ff75f0.us-east-1.aws.found.io/app/kibana#/discover/Steve-Slow-Train-Analysis-(2080s-and-2083s)?_g=(refreshInterval:(display:Off,pause:!f,section:0,value:0),time:(from:'2017-11-17T07:40:32-0700',mode:absolute,to:'2017-11-17T10:36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50" s="204" t="str">
        <f>IF(AA50&lt;VLOOKUP(AG50,Variables!$AC$3:$AD$8,2,FALSE),"Y","N")</f>
        <v>N</v>
      </c>
      <c r="X50" s="204">
        <f t="shared" si="4"/>
        <v>1</v>
      </c>
      <c r="Y50" s="204">
        <f t="shared" si="19"/>
        <v>23.2881</v>
      </c>
      <c r="Z50" s="204">
        <f t="shared" si="20"/>
        <v>2.07E-2</v>
      </c>
      <c r="AA50" s="204">
        <f t="shared" si="7"/>
        <v>23.267399999999999</v>
      </c>
      <c r="AB50" s="54" t="e">
        <f>VLOOKUP(A50,Enforcements!$C$7:$K$9,8,0)</f>
        <v>#N/A</v>
      </c>
      <c r="AC50" s="51" t="e">
        <f>VLOOKUP(A50,Enforcements!$C$7:$E$9,3,0)</f>
        <v>#N/A</v>
      </c>
      <c r="AD50" s="179">
        <f t="shared" si="8"/>
        <v>136</v>
      </c>
      <c r="AE50" s="77" t="str">
        <f t="shared" si="9"/>
        <v>aws s3 cp s3://rtdc.mdm.uploadarchive.raw/RTDC4041/ "%USERPROFILE%\AppData\Local\Temp\OnboardLogs"\RTDC4041\2017-11-17 --exclude "*" --recursive --include "*20171117*" &amp; "%USERPROFILE%\Documents\GitHub\mrs-test-scripts\Headless Mode &amp; Sideloading\WalkAndUnGZ.bat" "%USERPROFILE%\AppData\Local\Temp\OnboardLogs"\RTDC4041\2017-11-17 &amp; aws s3 cp s3://rtdc.mdm.uploadarchive.raw/RTDC4041/ "%USERPROFILE%\AppData\Local\Temp\OnboardLogs"\RTDC4041\2017-11-18 --exclude "*" --recursive --include "*20171118*" &amp; "%USERPROFILE%\Documents\GitHub\mrs-test-scripts\Headless Mode &amp; Sideloading\WalkAndUnGZ.bat" "%USERPROFILE%\AppData\Local\Temp\OnboardLogs"\RTDC4041\2017-11-18</v>
      </c>
      <c r="AF50" s="74" t="str">
        <f t="shared" si="10"/>
        <v>"C:\Program Files (x86)\AstroGrep\AstroGrep.exe" /e /r /s /spath="%USERPROFILE%\AppData\Local\Temp\OnboardLogs" /stypes="app*4041*20171117*" /stext=" 16:.+((SYSTEM_STATE.+slice.+state.+changed )|(ment ac)|(multiple cpu faults)|(system.+state.+changed )|(\[timeout)|(PRM\|1\|D)|(kpr)|(kdp)|(train st.+moving)|(\|lc)|(penalty))"</v>
      </c>
      <c r="AG50" s="182" t="str">
        <f t="shared" si="11"/>
        <v>EC</v>
      </c>
      <c r="AH50" s="78" t="str">
        <f t="shared" si="12"/>
        <v>"%USERPROFILE%\Documents\GitHub\eaglep3\Utilities\RefineRTDCRunTimes.py" --tripid 136-17 --locoid 4041 --swversion DE.1.0.9.0 --startMP 204:232881 --initTime 2017-11-17T08:40:32 --startdatetime 2017-11-17T08:57:30 --delay 86 --endMP 204:207 --enddatetime 2017-11-17T09:36:41 --enforcementcount 1 &gt;&gt;%USERPROFILE%\Documents\GitHub\eaglep3-reporting\EC\2017-11-17-refined-times.txt</v>
      </c>
      <c r="AI50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{"issue":{"subject":"","project_id":79,"tracker_id":40,"status_id":1,"priority_id":2,"assigned_to_id":338,"start_date":"2017-11-17","description":"","custom_fields":[{"id":1,"name":"Subdivision","value":"EC"},{"id":4,"name":"Milepost","value":"0.0207"},{"id":17,"name":"Train ID","value":"136-17"},{"id":16,"name":"Locomotive ID","value":"4041"},{"id":130,"name":"Impact","value":""},{"id":150,"name":"Time of Event (Mountain Time)","value":"09:36:41"},{"id":151,"name":"Denver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0" s="20"/>
      <c r="AK50" s="47"/>
      <c r="AL50" s="47"/>
      <c r="AM50" s="142" t="str">
        <f t="shared" si="14"/>
        <v>start /low /b %USERPROFILE%\Documents\GitHub\eaglep3\Utilities\DownloadLogsFromS3.py --loco 4041 --day 2017-11-17</v>
      </c>
      <c r="AN50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16:36:41"},{"id":29,"name":"Sharepoint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168" t="str">
        <f t="shared" si="16"/>
        <v>https://d0f6bd738d7f1b3e5a7ca70fe4ff75f0.us-east-1.aws.found.io/app/kibana#/discover/Steve-Slow-Train-Analysis-(2080s-and-2083s)?_g=(refreshInterval:(display:Off,pause:!f,section:0,value:0),time:(from:'2017-11-17T07:40:32-0700',mode:absolute,to:'2017-11-17T10:36:41-0700'))&amp;_a=(columns:!('Message%20ID',Summary),filters:!(),index:'emp_*',interval:auto,query:(query_string:(analyze_wildcard:!t,query:'%22rtdc.l.rtdc.4041%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3">
      <c r="A51" s="32" t="s">
        <v>717</v>
      </c>
      <c r="B51" s="7">
        <v>4040</v>
      </c>
      <c r="C51" s="21" t="s">
        <v>192</v>
      </c>
      <c r="D51" s="21" t="s">
        <v>582</v>
      </c>
      <c r="E51" s="13">
        <v>43056.337997685187</v>
      </c>
      <c r="F51" s="13">
        <v>43056.344143518516</v>
      </c>
      <c r="G51" s="7">
        <v>67</v>
      </c>
      <c r="H51" s="21" t="s">
        <v>574</v>
      </c>
      <c r="I51" s="13">
        <v>43056.368483796294</v>
      </c>
      <c r="J51" s="7">
        <v>1</v>
      </c>
      <c r="K51" s="89" t="str">
        <f t="shared" si="0"/>
        <v>4039/4040</v>
      </c>
      <c r="L51" s="185" t="str">
        <f>VLOOKUP(A51,'Trips&amp;Operators'!$C$1:$G$99911,5,FALSE)</f>
        <v>HUFFSMITH MONTY</v>
      </c>
      <c r="M51" s="6">
        <f t="shared" si="1"/>
        <v>2.4340277777810115E-2</v>
      </c>
      <c r="N51" s="7">
        <f t="shared" si="21"/>
        <v>35.050000000046566</v>
      </c>
      <c r="O51" s="7"/>
      <c r="P51" s="7"/>
      <c r="Q51" s="22"/>
      <c r="R51" s="174"/>
      <c r="S51" s="221">
        <f t="shared" si="22"/>
        <v>1</v>
      </c>
      <c r="T51" s="174" t="str">
        <f t="shared" si="2"/>
        <v>NorthBound</v>
      </c>
      <c r="U51" s="198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16" t="str">
        <f t="shared" si="3"/>
        <v>https://d0f6bd738d7f1b3e5a7ca70fe4ff75f0.us-east-1.aws.found.io/app/kibana#/discover/Steve-Slow-Train-Analysis-(2080s-and-2083s)?_g=(refreshInterval:(display:Off,pause:!f,section:0,value:0),time:(from:'2017-11-17T07:06:43-0700',mode:absolute,to:'2017-11-17T09:50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51" s="204" t="str">
        <f>IF(AA51&lt;VLOOKUP(AG51,Variables!$AC$3:$AD$8,2,FALSE),"Y","N")</f>
        <v>N</v>
      </c>
      <c r="X51" s="204">
        <f t="shared" si="4"/>
        <v>1</v>
      </c>
      <c r="Y51" s="204">
        <f t="shared" si="19"/>
        <v>4.9500000000000002E-2</v>
      </c>
      <c r="Z51" s="204">
        <f t="shared" si="20"/>
        <v>23.325299999999999</v>
      </c>
      <c r="AA51" s="204">
        <f t="shared" si="7"/>
        <v>23.2758</v>
      </c>
      <c r="AB51" s="54" t="e">
        <f>VLOOKUP(A51,Enforcements!$C$7:$K$9,8,0)</f>
        <v>#N/A</v>
      </c>
      <c r="AC51" s="51" t="e">
        <f>VLOOKUP(A51,Enforcements!$C$7:$E$9,3,0)</f>
        <v>#N/A</v>
      </c>
      <c r="AD51" s="179">
        <f t="shared" si="8"/>
        <v>137</v>
      </c>
      <c r="AE51" s="77" t="str">
        <f t="shared" si="9"/>
        <v>aws s3 cp s3://rtdc.mdm.uploadarchive.raw/RTDC4040/ "%USERPROFILE%\AppData\Local\Temp\OnboardLogs"\RTDC4040\2017-11-17 --exclude "*" --recursive --include "*20171117*" &amp; "%USERPROFILE%\Documents\GitHub\mrs-test-scripts\Headless Mode &amp; Sideloading\WalkAndUnGZ.bat" "%USERPROFILE%\AppData\Local\Temp\OnboardLogs"\RTDC4040\2017-11-17 &amp; aws s3 cp s3://rtdc.mdm.uploadarchive.raw/RTDC4040/ "%USERPROFILE%\AppData\Local\Temp\OnboardLogs"\RTDC4040\2017-11-18 --exclude "*" --recursive --include "*20171118*" &amp; "%USERPROFILE%\Documents\GitHub\mrs-test-scripts\Headless Mode &amp; Sideloading\WalkAndUnGZ.bat" "%USERPROFILE%\AppData\Local\Temp\OnboardLogs"\RTDC4040\2017-11-18</v>
      </c>
      <c r="AF51" s="74" t="str">
        <f t="shared" si="10"/>
        <v>"C:\Program Files (x86)\AstroGrep\AstroGrep.exe" /e /r /s /spath="%USERPROFILE%\AppData\Local\Temp\OnboardLogs" /stypes="app*4040*20171117*" /stext=" 15:.+((SYSTEM_STATE.+slice.+state.+changed )|(ment ac)|(multiple cpu faults)|(system.+state.+changed )|(\[timeout)|(PRM\|1\|D)|(kpr)|(kdp)|(train st.+moving)|(\|lc)|(penalty))"</v>
      </c>
      <c r="AG51" s="182" t="str">
        <f t="shared" si="11"/>
        <v>EC</v>
      </c>
      <c r="AH51" s="78" t="str">
        <f t="shared" si="12"/>
        <v>"%USERPROFILE%\Documents\GitHub\eaglep3\Utilities\RefineRTDCRunTimes.py" --tripid 137-17 --locoid 4040 --swversion DE.1.0.9.0 --startMP 204:495 --initTime 2017-11-17T08:06:43 --startdatetime 2017-11-17T08:15:34 --delay 67 --endMP 204:233253 --enddatetime 2017-11-17T08:50:37 --enforcementcount 1 &gt;&gt;%USERPROFILE%\Documents\GitHub\eaglep3-reporting\EC\2017-11-17-refined-times.txt</v>
      </c>
      <c r="AI51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{"issue":{"subject":"","project_id":79,"tracker_id":40,"status_id":1,"priority_id":2,"assigned_to_id":338,"start_date":"2017-11-17","description":"","custom_fields":[{"id":1,"name":"Subdivision","value":"EC"},{"id":4,"name":"Milepost","value":"23.3253"},{"id":17,"name":"Train ID","value":"137-17"},{"id":16,"name":"Locomotive ID","value":"4040"},{"id":130,"name":"Impact","value":""},{"id":150,"name":"Time of Event (Mountain Time)","value":"08:50:37"},{"id":151,"name":"Denver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1" s="20"/>
      <c r="AK51" s="47"/>
      <c r="AL51" s="47"/>
      <c r="AM51" s="142" t="str">
        <f t="shared" si="14"/>
        <v>start /low /b %USERPROFILE%\Documents\GitHub\eaglep3\Utilities\DownloadLogsFromS3.py --loco 4040 --day 2017-11-17</v>
      </c>
      <c r="AN51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15:50:37"},{"id":29,"name":"Sharepoint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168" t="str">
        <f t="shared" si="16"/>
        <v>https://d0f6bd738d7f1b3e5a7ca70fe4ff75f0.us-east-1.aws.found.io/app/kibana#/discover/Steve-Slow-Train-Analysis-(2080s-and-2083s)?_g=(refreshInterval:(display:Off,pause:!f,section:0,value:0),time:(from:'2017-11-17T07:06:43-0700',mode:absolute,to:'2017-11-17T09:50:37-0700'))&amp;_a=(columns:!('Message%20ID',Summary),filters:!(),index:'emp_*',interval:auto,query:(query_string:(analyze_wildcard:!t,query:'%22rtdc.l.rtdc.4040%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3">
      <c r="A52" s="32" t="s">
        <v>639</v>
      </c>
      <c r="B52" s="7">
        <v>4039</v>
      </c>
      <c r="C52" s="21" t="s">
        <v>192</v>
      </c>
      <c r="D52" s="21" t="s">
        <v>595</v>
      </c>
      <c r="E52" s="13">
        <v>43056.373148148145</v>
      </c>
      <c r="F52" s="13">
        <v>43056.383530092593</v>
      </c>
      <c r="G52" s="7">
        <v>56</v>
      </c>
      <c r="H52" s="21" t="s">
        <v>939</v>
      </c>
      <c r="I52" s="13">
        <v>43056.411192129628</v>
      </c>
      <c r="J52" s="7">
        <v>1</v>
      </c>
      <c r="K52" s="89" t="str">
        <f t="shared" si="0"/>
        <v>4039/4040</v>
      </c>
      <c r="L52" s="185" t="str">
        <f>VLOOKUP(A52,'Trips&amp;Operators'!$C$1:$G$99911,5,FALSE)</f>
        <v>HUFFSMITH MONTY</v>
      </c>
      <c r="M52" s="6">
        <f t="shared" si="1"/>
        <v>2.7662037035042886E-2</v>
      </c>
      <c r="N52" s="7">
        <f t="shared" si="21"/>
        <v>39.833333330461755</v>
      </c>
      <c r="O52" s="7"/>
      <c r="P52" s="7"/>
      <c r="Q52" s="22"/>
      <c r="R52" s="174"/>
      <c r="S52" s="221">
        <f t="shared" si="22"/>
        <v>1</v>
      </c>
      <c r="T52" s="174" t="str">
        <f t="shared" si="2"/>
        <v>Southbound</v>
      </c>
      <c r="U52" s="198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16" t="str">
        <f t="shared" si="3"/>
        <v>https://d0f6bd738d7f1b3e5a7ca70fe4ff75f0.us-east-1.aws.found.io/app/kibana#/discover/Steve-Slow-Train-Analysis-(2080s-and-2083s)?_g=(refreshInterval:(display:Off,pause:!f,section:0,value:0),time:(from:'2017-11-17T07:57:20-0700',mode:absolute,to:'2017-11-17T10:52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52" s="204" t="str">
        <f>IF(AA52&lt;VLOOKUP(AG52,Variables!$AC$3:$AD$8,2,FALSE),"Y","N")</f>
        <v>N</v>
      </c>
      <c r="X52" s="204">
        <f t="shared" si="4"/>
        <v>1</v>
      </c>
      <c r="Y52" s="204">
        <f t="shared" si="19"/>
        <v>23.292899999999999</v>
      </c>
      <c r="Z52" s="204">
        <f t="shared" si="20"/>
        <v>2.1600000000000001E-2</v>
      </c>
      <c r="AA52" s="204">
        <f t="shared" si="7"/>
        <v>23.2713</v>
      </c>
      <c r="AB52" s="54" t="e">
        <f>VLOOKUP(A52,Enforcements!$C$7:$K$9,8,0)</f>
        <v>#N/A</v>
      </c>
      <c r="AC52" s="51" t="e">
        <f>VLOOKUP(A52,Enforcements!$C$7:$E$9,3,0)</f>
        <v>#N/A</v>
      </c>
      <c r="AD52" s="179">
        <f t="shared" si="8"/>
        <v>138</v>
      </c>
      <c r="AE52" s="77" t="str">
        <f t="shared" si="9"/>
        <v>aws s3 cp s3://rtdc.mdm.uploadarchive.raw/RTDC4039/ "%USERPROFILE%\AppData\Local\Temp\OnboardLogs"\RTDC4039\2017-11-17 --exclude "*" --recursive --include "*20171117*" &amp; "%USERPROFILE%\Documents\GitHub\mrs-test-scripts\Headless Mode &amp; Sideloading\WalkAndUnGZ.bat" "%USERPROFILE%\AppData\Local\Temp\OnboardLogs"\RTDC4039\2017-11-17 &amp; aws s3 cp s3://rtdc.mdm.uploadarchive.raw/RTDC4039/ "%USERPROFILE%\AppData\Local\Temp\OnboardLogs"\RTDC4039\2017-11-18 --exclude "*" --recursive --include "*20171118*" &amp; "%USERPROFILE%\Documents\GitHub\mrs-test-scripts\Headless Mode &amp; Sideloading\WalkAndUnGZ.bat" "%USERPROFILE%\AppData\Local\Temp\OnboardLogs"\RTDC4039\2017-11-18</v>
      </c>
      <c r="AF52" s="74" t="str">
        <f t="shared" si="10"/>
        <v>"C:\Program Files (x86)\AstroGrep\AstroGrep.exe" /e /r /s /spath="%USERPROFILE%\AppData\Local\Temp\OnboardLogs" /stypes="app*4039*20171117*" /stext=" 16:.+((SYSTEM_STATE.+slice.+state.+changed )|(ment ac)|(multiple cpu faults)|(system.+state.+changed )|(\[timeout)|(PRM\|1\|D)|(kpr)|(kdp)|(train st.+moving)|(\|lc)|(penalty))"</v>
      </c>
      <c r="AG52" s="182" t="str">
        <f t="shared" si="11"/>
        <v>EC</v>
      </c>
      <c r="AH52" s="78" t="str">
        <f t="shared" si="12"/>
        <v>"%USERPROFILE%\Documents\GitHub\eaglep3\Utilities\RefineRTDCRunTimes.py" --tripid 138-17 --locoid 4039 --swversion DE.1.0.9.0 --startMP 204:232929 --initTime 2017-11-17T08:57:20 --startdatetime 2017-11-17T09:12:17 --delay 56 --endMP 204:216 --enddatetime 2017-11-17T09:52:07 --enforcementcount 1 &gt;&gt;%USERPROFILE%\Documents\GitHub\eaglep3-reporting\EC\2017-11-17-refined-times.txt</v>
      </c>
      <c r="AI52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{"issue":{"subject":"","project_id":79,"tracker_id":40,"status_id":1,"priority_id":2,"assigned_to_id":338,"start_date":"2017-11-17","description":"","custom_fields":[{"id":1,"name":"Subdivision","value":"EC"},{"id":4,"name":"Milepost","value":"0.0216"},{"id":17,"name":"Train ID","value":"138-17"},{"id":16,"name":"Locomotive ID","value":"4039"},{"id":130,"name":"Impact","value":""},{"id":150,"name":"Time of Event (Mountain Time)","value":"09:52:07"},{"id":151,"name":"Denver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2" s="20"/>
      <c r="AK52" s="47"/>
      <c r="AL52" s="47"/>
      <c r="AM52" s="142" t="str">
        <f t="shared" si="14"/>
        <v>start /low /b %USERPROFILE%\Documents\GitHub\eaglep3\Utilities\DownloadLogsFromS3.py --loco 4039 --day 2017-11-17</v>
      </c>
      <c r="AN52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16:52:07"},{"id":29,"name":"Sharepoint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168" t="str">
        <f t="shared" si="16"/>
        <v>https://d0f6bd738d7f1b3e5a7ca70fe4ff75f0.us-east-1.aws.found.io/app/kibana#/discover/Steve-Slow-Train-Analysis-(2080s-and-2083s)?_g=(refreshInterval:(display:Off,pause:!f,section:0,value:0),time:(from:'2017-11-17T07:57:20-0700',mode:absolute,to:'2017-11-17T10:52:07-0700'))&amp;_a=(columns:!('Message%20ID',Summary),filters:!(),index:'emp_*',interval:auto,query:(query_string:(analyze_wildcard:!t,query:'%22rtdc.l.rtdc.4039%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3">
      <c r="A53" s="32" t="s">
        <v>719</v>
      </c>
      <c r="B53" s="7">
        <v>4066</v>
      </c>
      <c r="C53" s="21" t="s">
        <v>192</v>
      </c>
      <c r="D53" s="21" t="s">
        <v>519</v>
      </c>
      <c r="E53" s="13">
        <v>43056.349305555559</v>
      </c>
      <c r="F53" s="13">
        <v>43056.354525462964</v>
      </c>
      <c r="G53" s="7">
        <v>42</v>
      </c>
      <c r="H53" s="21" t="s">
        <v>564</v>
      </c>
      <c r="I53" s="13">
        <v>43056.378761574073</v>
      </c>
      <c r="J53" s="7">
        <v>1</v>
      </c>
      <c r="K53" s="89" t="str">
        <f t="shared" si="0"/>
        <v>4065/4066</v>
      </c>
      <c r="L53" s="185" t="str">
        <f>VLOOKUP(A53,'Trips&amp;Operators'!$C$1:$G$99911,5,FALSE)</f>
        <v>YORK EDGAR</v>
      </c>
      <c r="M53" s="6">
        <f t="shared" si="1"/>
        <v>2.4236111108621117E-2</v>
      </c>
      <c r="N53" s="7">
        <f t="shared" si="21"/>
        <v>34.899999996414408</v>
      </c>
      <c r="O53" s="7"/>
      <c r="P53" s="7"/>
      <c r="Q53" s="22"/>
      <c r="R53" s="174"/>
      <c r="S53" s="221">
        <f t="shared" si="22"/>
        <v>1</v>
      </c>
      <c r="T53" s="174" t="str">
        <f t="shared" si="2"/>
        <v>NorthBound</v>
      </c>
      <c r="U53" s="198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16" t="str">
        <f t="shared" si="3"/>
        <v>https://d0f6bd738d7f1b3e5a7ca70fe4ff75f0.us-east-1.aws.found.io/app/kibana#/discover/Steve-Slow-Train-Analysis-(2080s-and-2083s)?_g=(refreshInterval:(display:Off,pause:!f,section:0,value:0),time:(from:'2017-11-17T07:23:00-0700',mode:absolute,to:'2017-11-17T10:05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53" s="204" t="str">
        <f>IF(AA53&lt;VLOOKUP(AG53,Variables!$AC$3:$AD$8,2,FALSE),"Y","N")</f>
        <v>N</v>
      </c>
      <c r="X53" s="204">
        <f t="shared" si="4"/>
        <v>1</v>
      </c>
      <c r="Y53" s="204">
        <f t="shared" si="19"/>
        <v>4.7699999999999999E-2</v>
      </c>
      <c r="Z53" s="204">
        <f t="shared" si="20"/>
        <v>23.3293</v>
      </c>
      <c r="AA53" s="204">
        <f t="shared" si="7"/>
        <v>23.281600000000001</v>
      </c>
      <c r="AB53" s="54" t="e">
        <f>VLOOKUP(A53,Enforcements!$C$7:$K$9,8,0)</f>
        <v>#N/A</v>
      </c>
      <c r="AC53" s="51" t="e">
        <f>VLOOKUP(A53,Enforcements!$C$7:$E$9,3,0)</f>
        <v>#N/A</v>
      </c>
      <c r="AD53" s="179">
        <f t="shared" si="8"/>
        <v>139</v>
      </c>
      <c r="AE53" s="77" t="str">
        <f t="shared" si="9"/>
        <v>aws s3 cp s3://rtdc.mdm.uploadarchive.raw/RTDC4066/ "%USERPROFILE%\AppData\Local\Temp\OnboardLogs"\RTDC4066\2017-11-17 --exclude "*" --recursive --include "*20171117*" &amp; "%USERPROFILE%\Documents\GitHub\mrs-test-scripts\Headless Mode &amp; Sideloading\WalkAndUnGZ.bat" "%USERPROFILE%\AppData\Local\Temp\OnboardLogs"\RTDC4066\2017-11-17 &amp; aws s3 cp s3://rtdc.mdm.uploadarchive.raw/RTDC4066/ "%USERPROFILE%\AppData\Local\Temp\OnboardLogs"\RTDC4066\2017-11-18 --exclude "*" --recursive --include "*20171118*" &amp; "%USERPROFILE%\Documents\GitHub\mrs-test-scripts\Headless Mode &amp; Sideloading\WalkAndUnGZ.bat" "%USERPROFILE%\AppData\Local\Temp\OnboardLogs"\RTDC4066\2017-11-18</v>
      </c>
      <c r="AF53" s="74" t="str">
        <f t="shared" si="10"/>
        <v>"C:\Program Files (x86)\AstroGrep\AstroGrep.exe" /e /r /s /spath="%USERPROFILE%\AppData\Local\Temp\OnboardLogs" /stypes="app*4066*20171117*" /stext=" 16:.+((SYSTEM_STATE.+slice.+state.+changed )|(ment ac)|(multiple cpu faults)|(system.+state.+changed )|(\[timeout)|(PRM\|1\|D)|(kpr)|(kdp)|(train st.+moving)|(\|lc)|(penalty))"</v>
      </c>
      <c r="AG53" s="182" t="str">
        <f t="shared" si="11"/>
        <v>EC</v>
      </c>
      <c r="AH53" s="78" t="str">
        <f t="shared" si="12"/>
        <v>"%USERPROFILE%\Documents\GitHub\eaglep3\Utilities\RefineRTDCRunTimes.py" --tripid 139-17 --locoid 4066 --swversion DE.1.0.9.0 --startMP 204:477 --initTime 2017-11-17T08:23:00 --startdatetime 2017-11-17T08:30:31 --delay 42 --endMP 204:233293 --enddatetime 2017-11-17T09:05:25 --enforcementcount 1 &gt;&gt;%USERPROFILE%\Documents\GitHub\eaglep3-reporting\EC\2017-11-17-refined-times.txt</v>
      </c>
      <c r="AI53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{"issue":{"subject":"","project_id":79,"tracker_id":40,"status_id":1,"priority_id":2,"assigned_to_id":338,"start_date":"2017-11-17","description":"","custom_fields":[{"id":1,"name":"Subdivision","value":"EC"},{"id":4,"name":"Milepost","value":"23.3293"},{"id":17,"name":"Train ID","value":"139-17"},{"id":16,"name":"Locomotive ID","value":"4066"},{"id":130,"name":"Impact","value":""},{"id":150,"name":"Time of Event (Mountain Time)","value":"09:05:25"},{"id":151,"name":"Denver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3" s="20"/>
      <c r="AK53" s="47"/>
      <c r="AL53" s="47"/>
      <c r="AM53" s="142" t="str">
        <f t="shared" si="14"/>
        <v>start /low /b %USERPROFILE%\Documents\GitHub\eaglep3\Utilities\DownloadLogsFromS3.py --loco 4066 --day 2017-11-17</v>
      </c>
      <c r="AN53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16:05:25"},{"id":29,"name":"Sharepoint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168" t="str">
        <f t="shared" si="16"/>
        <v>https://d0f6bd738d7f1b3e5a7ca70fe4ff75f0.us-east-1.aws.found.io/app/kibana#/discover/Steve-Slow-Train-Analysis-(2080s-and-2083s)?_g=(refreshInterval:(display:Off,pause:!f,section:0,value:0),time:(from:'2017-11-17T07:23:00-0700',mode:absolute,to:'2017-11-17T10:05:25-0700'))&amp;_a=(columns:!('Message%20ID',Summary),filters:!(),index:'emp_*',interval:auto,query:(query_string:(analyze_wildcard:!t,query:'%22rtdc.l.rtdc.4066%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3">
      <c r="A54" s="32" t="s">
        <v>727</v>
      </c>
      <c r="B54" s="7">
        <v>4065</v>
      </c>
      <c r="C54" s="21" t="s">
        <v>192</v>
      </c>
      <c r="D54" s="21" t="s">
        <v>940</v>
      </c>
      <c r="E54" s="13">
        <v>43056.379733796297</v>
      </c>
      <c r="F54" s="13">
        <v>43056.394097222219</v>
      </c>
      <c r="G54" s="7">
        <v>44</v>
      </c>
      <c r="H54" s="21" t="s">
        <v>941</v>
      </c>
      <c r="I54" s="13">
        <v>43056.419004629628</v>
      </c>
      <c r="J54" s="7">
        <v>1</v>
      </c>
      <c r="K54" s="89" t="str">
        <f t="shared" si="0"/>
        <v>4065/4066</v>
      </c>
      <c r="L54" s="185" t="str">
        <f>VLOOKUP(A54,'Trips&amp;Operators'!$C$1:$G$99911,5,FALSE)</f>
        <v>YORK EDGAR</v>
      </c>
      <c r="M54" s="6">
        <f t="shared" si="1"/>
        <v>2.4907407409045845E-2</v>
      </c>
      <c r="N54" s="7">
        <f t="shared" si="21"/>
        <v>35.866666669026017</v>
      </c>
      <c r="O54" s="7"/>
      <c r="P54" s="7"/>
      <c r="Q54" s="22"/>
      <c r="R54" s="174"/>
      <c r="S54" s="221">
        <f t="shared" si="22"/>
        <v>1</v>
      </c>
      <c r="T54" s="174" t="str">
        <f t="shared" si="2"/>
        <v>Southbound</v>
      </c>
      <c r="U54" s="198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16" t="str">
        <f t="shared" si="3"/>
        <v>https://d0f6bd738d7f1b3e5a7ca70fe4ff75f0.us-east-1.aws.found.io/app/kibana#/discover/Steve-Slow-Train-Analysis-(2080s-and-2083s)?_g=(refreshInterval:(display:Off,pause:!f,section:0,value:0),time:(from:'2017-11-17T08:06:49-0700',mode:absolute,to:'2017-11-17T11:03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54" s="204" t="str">
        <f>IF(AA54&lt;VLOOKUP(AG54,Variables!$AC$3:$AD$8,2,FALSE),"Y","N")</f>
        <v>N</v>
      </c>
      <c r="X54" s="204">
        <f t="shared" si="4"/>
        <v>1</v>
      </c>
      <c r="Y54" s="204">
        <f t="shared" si="19"/>
        <v>23.296800000000001</v>
      </c>
      <c r="Z54" s="204">
        <f t="shared" si="20"/>
        <v>1.7600000000000001E-2</v>
      </c>
      <c r="AA54" s="204">
        <f t="shared" si="7"/>
        <v>23.279199999999999</v>
      </c>
      <c r="AB54" s="54" t="e">
        <f>VLOOKUP(A54,Enforcements!$C$7:$K$9,8,0)</f>
        <v>#N/A</v>
      </c>
      <c r="AC54" s="51" t="e">
        <f>VLOOKUP(A54,Enforcements!$C$7:$E$9,3,0)</f>
        <v>#N/A</v>
      </c>
      <c r="AD54" s="179">
        <f t="shared" si="8"/>
        <v>140</v>
      </c>
      <c r="AE54" s="77" t="str">
        <f t="shared" si="9"/>
        <v>aws s3 cp s3://rtdc.mdm.uploadarchive.raw/RTDC4065/ "%USERPROFILE%\AppData\Local\Temp\OnboardLogs"\RTDC4065\2017-11-17 --exclude "*" --recursive --include "*20171117*" &amp; "%USERPROFILE%\Documents\GitHub\mrs-test-scripts\Headless Mode &amp; Sideloading\WalkAndUnGZ.bat" "%USERPROFILE%\AppData\Local\Temp\OnboardLogs"\RTDC4065\2017-11-17 &amp; aws s3 cp s3://rtdc.mdm.uploadarchive.raw/RTDC4065/ "%USERPROFILE%\AppData\Local\Temp\OnboardLogs"\RTDC4065\2017-11-18 --exclude "*" --recursive --include "*20171118*" &amp; "%USERPROFILE%\Documents\GitHub\mrs-test-scripts\Headless Mode &amp; Sideloading\WalkAndUnGZ.bat" "%USERPROFILE%\AppData\Local\Temp\OnboardLogs"\RTDC4065\2017-11-18</v>
      </c>
      <c r="AF54" s="74" t="str">
        <f t="shared" si="10"/>
        <v>"C:\Program Files (x86)\AstroGrep\AstroGrep.exe" /e /r /s /spath="%USERPROFILE%\AppData\Local\Temp\OnboardLogs" /stypes="app*4065*20171117*" /stext=" 17:.+((SYSTEM_STATE.+slice.+state.+changed )|(ment ac)|(multiple cpu faults)|(system.+state.+changed )|(\[timeout)|(PRM\|1\|D)|(kpr)|(kdp)|(train st.+moving)|(\|lc)|(penalty))"</v>
      </c>
      <c r="AG54" s="182" t="str">
        <f t="shared" si="11"/>
        <v>EC</v>
      </c>
      <c r="AH54" s="78" t="str">
        <f t="shared" si="12"/>
        <v>"%USERPROFILE%\Documents\GitHub\eaglep3\Utilities\RefineRTDCRunTimes.py" --tripid 140-17 --locoid 4065 --swversion DE.1.0.9.0 --startMP 204:232968 --initTime 2017-11-17T09:06:49 --startdatetime 2017-11-17T09:27:30 --delay 44 --endMP 204:176 --enddatetime 2017-11-17T10:03:22 --enforcementcount 1 &gt;&gt;%USERPROFILE%\Documents\GitHub\eaglep3-reporting\EC\2017-11-17-refined-times.txt</v>
      </c>
      <c r="AI54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{"issue":{"subject":"","project_id":79,"tracker_id":40,"status_id":1,"priority_id":2,"assigned_to_id":338,"start_date":"2017-11-17","description":"","custom_fields":[{"id":1,"name":"Subdivision","value":"EC"},{"id":4,"name":"Milepost","value":"0.0176"},{"id":17,"name":"Train ID","value":"140-17"},{"id":16,"name":"Locomotive ID","value":"4065"},{"id":130,"name":"Impact","value":""},{"id":150,"name":"Time of Event (Mountain Time)","value":"10:03:22"},{"id":151,"name":"Denver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4" s="20"/>
      <c r="AK54" s="47"/>
      <c r="AL54" s="47"/>
      <c r="AM54" s="142" t="str">
        <f t="shared" si="14"/>
        <v>start /low /b %USERPROFILE%\Documents\GitHub\eaglep3\Utilities\DownloadLogsFromS3.py --loco 4065 --day 2017-11-17</v>
      </c>
      <c r="AN54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17:03:22"},{"id":29,"name":"Sharepoint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168" t="str">
        <f t="shared" si="16"/>
        <v>https://d0f6bd738d7f1b3e5a7ca70fe4ff75f0.us-east-1.aws.found.io/app/kibana#/discover/Steve-Slow-Train-Analysis-(2080s-and-2083s)?_g=(refreshInterval:(display:Off,pause:!f,section:0,value:0),time:(from:'2017-11-17T08:06:49-0700',mode:absolute,to:'2017-11-17T11:03:22-0700'))&amp;_a=(columns:!('Message%20ID',Summary),filters:!(),index:'emp_*',interval:auto,query:(query_string:(analyze_wildcard:!t,query:'%22rtdc.l.rtdc.4065%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3">
      <c r="A55" s="32" t="s">
        <v>723</v>
      </c>
      <c r="B55" s="7">
        <v>4028</v>
      </c>
      <c r="C55" s="21" t="s">
        <v>192</v>
      </c>
      <c r="D55" s="21" t="s">
        <v>942</v>
      </c>
      <c r="E55" s="13">
        <v>43056.359444444446</v>
      </c>
      <c r="F55" s="13">
        <v>43056.364942129629</v>
      </c>
      <c r="G55" s="7">
        <v>215</v>
      </c>
      <c r="H55" s="21" t="s">
        <v>943</v>
      </c>
      <c r="I55" s="13">
        <v>43056.388680555552</v>
      </c>
      <c r="J55" s="7">
        <v>1</v>
      </c>
      <c r="K55" s="89" t="str">
        <f t="shared" si="0"/>
        <v>4027/4028</v>
      </c>
      <c r="L55" s="185" t="str">
        <f>VLOOKUP(A55,'Trips&amp;Operators'!$C$1:$G$99911,5,FALSE)</f>
        <v>MACDONALD THOMAS</v>
      </c>
      <c r="M55" s="6">
        <f t="shared" si="1"/>
        <v>2.3738425923511386E-2</v>
      </c>
      <c r="N55" s="7">
        <f t="shared" si="21"/>
        <v>34.183333329856396</v>
      </c>
      <c r="O55" s="7"/>
      <c r="P55" s="7"/>
      <c r="Q55" s="22"/>
      <c r="R55" s="174"/>
      <c r="S55" s="221">
        <f t="shared" si="22"/>
        <v>1</v>
      </c>
      <c r="T55" s="174" t="str">
        <f t="shared" si="2"/>
        <v>NorthBound</v>
      </c>
      <c r="U55" s="198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16" t="str">
        <f t="shared" si="3"/>
        <v>https://d0f6bd738d7f1b3e5a7ca70fe4ff75f0.us-east-1.aws.found.io/app/kibana#/discover/Steve-Slow-Train-Analysis-(2080s-and-2083s)?_g=(refreshInterval:(display:Off,pause:!f,section:0,value:0),time:(from:'2017-11-17T07:37:36-0700',mode:absolute,to:'2017-11-17T10:19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55" s="204" t="str">
        <f>IF(AA55&lt;VLOOKUP(AG55,Variables!$AC$3:$AD$8,2,FALSE),"Y","N")</f>
        <v>N</v>
      </c>
      <c r="X55" s="204">
        <f t="shared" si="4"/>
        <v>1</v>
      </c>
      <c r="Y55" s="204">
        <f t="shared" si="19"/>
        <v>5.57E-2</v>
      </c>
      <c r="Z55" s="204">
        <f t="shared" si="20"/>
        <v>23.3201</v>
      </c>
      <c r="AA55" s="204">
        <f t="shared" si="7"/>
        <v>23.264399999999998</v>
      </c>
      <c r="AB55" s="54" t="e">
        <f>VLOOKUP(A55,Enforcements!$C$7:$K$9,8,0)</f>
        <v>#N/A</v>
      </c>
      <c r="AC55" s="51" t="e">
        <f>VLOOKUP(A55,Enforcements!$C$7:$E$9,3,0)</f>
        <v>#N/A</v>
      </c>
      <c r="AD55" s="179">
        <f t="shared" si="8"/>
        <v>141</v>
      </c>
      <c r="AE55" s="77" t="str">
        <f t="shared" si="9"/>
        <v>aws s3 cp s3://rtdc.mdm.uploadarchive.raw/RTDC4028/ "%USERPROFILE%\AppData\Local\Temp\OnboardLogs"\RTDC4028\2017-11-17 --exclude "*" --recursive --include "*20171117*" &amp; "%USERPROFILE%\Documents\GitHub\mrs-test-scripts\Headless Mode &amp; Sideloading\WalkAndUnGZ.bat" "%USERPROFILE%\AppData\Local\Temp\OnboardLogs"\RTDC4028\2017-11-17 &amp; aws s3 cp s3://rtdc.mdm.uploadarchive.raw/RTDC4028/ "%USERPROFILE%\AppData\Local\Temp\OnboardLogs"\RTDC4028\2017-11-18 --exclude "*" --recursive --include "*20171118*" &amp; "%USERPROFILE%\Documents\GitHub\mrs-test-scripts\Headless Mode &amp; Sideloading\WalkAndUnGZ.bat" "%USERPROFILE%\AppData\Local\Temp\OnboardLogs"\RTDC4028\2017-11-18</v>
      </c>
      <c r="AF55" s="74" t="str">
        <f t="shared" si="10"/>
        <v>"C:\Program Files (x86)\AstroGrep\AstroGrep.exe" /e /r /s /spath="%USERPROFILE%\AppData\Local\Temp\OnboardLogs" /stypes="app*4028*20171117*" /stext=" 16:.+((SYSTEM_STATE.+slice.+state.+changed )|(ment ac)|(multiple cpu faults)|(system.+state.+changed )|(\[timeout)|(PRM\|1\|D)|(kpr)|(kdp)|(train st.+moving)|(\|lc)|(penalty))"</v>
      </c>
      <c r="AG55" s="182" t="str">
        <f t="shared" si="11"/>
        <v>EC</v>
      </c>
      <c r="AH55" s="78" t="str">
        <f t="shared" si="12"/>
        <v>"%USERPROFILE%\Documents\GitHub\eaglep3\Utilities\RefineRTDCRunTimes.py" --tripid 141-17 --locoid 4028 --swversion DE.1.0.9.0 --startMP 204:557 --initTime 2017-11-17T08:37:36 --startdatetime 2017-11-17T08:45:31 --delay 215 --endMP 204:233201 --enddatetime 2017-11-17T09:19:42 --enforcementcount 1 &gt;&gt;%USERPROFILE%\Documents\GitHub\eaglep3-reporting\EC\2017-11-17-refined-times.txt</v>
      </c>
      <c r="AI55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{"issue":{"subject":"","project_id":79,"tracker_id":40,"status_id":1,"priority_id":2,"assigned_to_id":338,"start_date":"2017-11-17","description":"","custom_fields":[{"id":1,"name":"Subdivision","value":"EC"},{"id":4,"name":"Milepost","value":"23.3201"},{"id":17,"name":"Train ID","value":"141-17"},{"id":16,"name":"Locomotive ID","value":"4028"},{"id":130,"name":"Impact","value":""},{"id":150,"name":"Time of Event (Mountain Time)","value":"09:19:42"},{"id":151,"name":"Denver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5" s="20"/>
      <c r="AK55" s="47"/>
      <c r="AL55" s="47"/>
      <c r="AM55" s="142" t="str">
        <f t="shared" si="14"/>
        <v>start /low /b %USERPROFILE%\Documents\GitHub\eaglep3\Utilities\DownloadLogsFromS3.py --loco 4028 --day 2017-11-17</v>
      </c>
      <c r="AN55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16:19:42"},{"id":29,"name":"Sharepoint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168" t="str">
        <f t="shared" si="16"/>
        <v>https://d0f6bd738d7f1b3e5a7ca70fe4ff75f0.us-east-1.aws.found.io/app/kibana#/discover/Steve-Slow-Train-Analysis-(2080s-and-2083s)?_g=(refreshInterval:(display:Off,pause:!f,section:0,value:0),time:(from:'2017-11-17T07:37:36-0700',mode:absolute,to:'2017-11-17T10:19:42-0700'))&amp;_a=(columns:!('Message%20ID',Summary),filters:!(),index:'emp_*',interval:auto,query:(query_string:(analyze_wildcard:!t,query:'%22rtdc.l.rtdc.4028%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3">
      <c r="A56" s="32" t="s">
        <v>732</v>
      </c>
      <c r="B56" s="7">
        <v>4027</v>
      </c>
      <c r="C56" s="21" t="s">
        <v>192</v>
      </c>
      <c r="D56" s="21" t="s">
        <v>944</v>
      </c>
      <c r="E56" s="13">
        <v>43056.402106481481</v>
      </c>
      <c r="F56" s="13">
        <v>43056.40483796296</v>
      </c>
      <c r="G56" s="7">
        <v>186</v>
      </c>
      <c r="H56" s="21" t="s">
        <v>567</v>
      </c>
      <c r="I56" s="13">
        <v>43056.432002314818</v>
      </c>
      <c r="J56" s="7">
        <v>1</v>
      </c>
      <c r="K56" s="89" t="str">
        <f t="shared" si="0"/>
        <v>4027/4028</v>
      </c>
      <c r="L56" s="185" t="str">
        <f>VLOOKUP(A56,'Trips&amp;Operators'!$C$1:$G$99911,5,FALSE)</f>
        <v>MACDONALD THOMAS</v>
      </c>
      <c r="M56" s="6">
        <f t="shared" si="1"/>
        <v>2.7164351857209112E-2</v>
      </c>
      <c r="N56" s="7">
        <f t="shared" si="21"/>
        <v>39.116666674381122</v>
      </c>
      <c r="O56" s="7"/>
      <c r="P56" s="7"/>
      <c r="Q56" s="22"/>
      <c r="R56" s="174"/>
      <c r="S56" s="221">
        <f t="shared" si="22"/>
        <v>1</v>
      </c>
      <c r="T56" s="174" t="str">
        <f t="shared" si="2"/>
        <v>Southbound</v>
      </c>
      <c r="U56" s="198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16" t="str">
        <f t="shared" si="3"/>
        <v>https://d0f6bd738d7f1b3e5a7ca70fe4ff75f0.us-east-1.aws.found.io/app/kibana#/discover/Steve-Slow-Train-Analysis-(2080s-and-2083s)?_g=(refreshInterval:(display:Off,pause:!f,section:0,value:0),time:(from:'2017-11-17T08:39:02-0700',mode:absolute,to:'2017-11-17T11:22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56" s="204" t="str">
        <f>IF(AA56&lt;VLOOKUP(AG56,Variables!$AC$3:$AD$8,2,FALSE),"Y","N")</f>
        <v>N</v>
      </c>
      <c r="X56" s="204">
        <f t="shared" si="4"/>
        <v>1</v>
      </c>
      <c r="Y56" s="204">
        <f t="shared" si="19"/>
        <v>23.288399999999999</v>
      </c>
      <c r="Z56" s="204">
        <f t="shared" si="20"/>
        <v>2.1999999999999999E-2</v>
      </c>
      <c r="AA56" s="204">
        <f t="shared" si="7"/>
        <v>23.266400000000001</v>
      </c>
      <c r="AB56" s="54" t="e">
        <f>VLOOKUP(A56,Enforcements!$C$7:$K$9,8,0)</f>
        <v>#N/A</v>
      </c>
      <c r="AC56" s="51" t="e">
        <f>VLOOKUP(A56,Enforcements!$C$7:$E$9,3,0)</f>
        <v>#N/A</v>
      </c>
      <c r="AD56" s="179">
        <f t="shared" si="8"/>
        <v>142</v>
      </c>
      <c r="AE56" s="77" t="str">
        <f t="shared" si="9"/>
        <v>aws s3 cp s3://rtdc.mdm.uploadarchive.raw/RTDC4027/ "%USERPROFILE%\AppData\Local\Temp\OnboardLogs"\RTDC4027\2017-11-17 --exclude "*" --recursive --include "*20171117*" &amp; "%USERPROFILE%\Documents\GitHub\mrs-test-scripts\Headless Mode &amp; Sideloading\WalkAndUnGZ.bat" "%USERPROFILE%\AppData\Local\Temp\OnboardLogs"\RTDC4027\2017-11-17 &amp; aws s3 cp s3://rtdc.mdm.uploadarchive.raw/RTDC4027/ "%USERPROFILE%\AppData\Local\Temp\OnboardLogs"\RTDC4027\2017-11-18 --exclude "*" --recursive --include "*20171118*" &amp; "%USERPROFILE%\Documents\GitHub\mrs-test-scripts\Headless Mode &amp; Sideloading\WalkAndUnGZ.bat" "%USERPROFILE%\AppData\Local\Temp\OnboardLogs"\RTDC4027\2017-11-18</v>
      </c>
      <c r="AF56" s="74" t="str">
        <f t="shared" si="10"/>
        <v>"C:\Program Files (x86)\AstroGrep\AstroGrep.exe" /e /r /s /spath="%USERPROFILE%\AppData\Local\Temp\OnboardLogs" /stypes="app*4027*20171117*" /stext=" 17:.+((SYSTEM_STATE.+slice.+state.+changed )|(ment ac)|(multiple cpu faults)|(system.+state.+changed )|(\[timeout)|(PRM\|1\|D)|(kpr)|(kdp)|(train st.+moving)|(\|lc)|(penalty))"</v>
      </c>
      <c r="AG56" s="182" t="str">
        <f t="shared" si="11"/>
        <v>EC</v>
      </c>
      <c r="AH56" s="78" t="str">
        <f t="shared" si="12"/>
        <v>"%USERPROFILE%\Documents\GitHub\eaglep3\Utilities\RefineRTDCRunTimes.py" --tripid 142-17 --locoid 4027 --swversion DE.1.0.9.0 --startMP 204:232884 --initTime 2017-11-17T09:39:02 --startdatetime 2017-11-17T09:42:58 --delay 186 --endMP 204:220 --enddatetime 2017-11-17T10:22:05 --enforcementcount 1 &gt;&gt;%USERPROFILE%\Documents\GitHub\eaglep3-reporting\EC\2017-11-17-refined-times.txt</v>
      </c>
      <c r="AI56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{"issue":{"subject":"","project_id":79,"tracker_id":40,"status_id":1,"priority_id":2,"assigned_to_id":338,"start_date":"2017-11-17","description":"","custom_fields":[{"id":1,"name":"Subdivision","value":"EC"},{"id":4,"name":"Milepost","value":"0.022"},{"id":17,"name":"Train ID","value":"142-17"},{"id":16,"name":"Locomotive ID","value":"4027"},{"id":130,"name":"Impact","value":""},{"id":150,"name":"Time of Event (Mountain Time)","value":"10:22:05"},{"id":151,"name":"Denver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6" s="20"/>
      <c r="AK56" s="47"/>
      <c r="AL56" s="47"/>
      <c r="AM56" s="142" t="str">
        <f t="shared" si="14"/>
        <v>start /low /b %USERPROFILE%\Documents\GitHub\eaglep3\Utilities\DownloadLogsFromS3.py --loco 4027 --day 2017-11-17</v>
      </c>
      <c r="AN56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17:22:05"},{"id":29,"name":"Sharepoint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168" t="str">
        <f t="shared" si="16"/>
        <v>https://d0f6bd738d7f1b3e5a7ca70fe4ff75f0.us-east-1.aws.found.io/app/kibana#/discover/Steve-Slow-Train-Analysis-(2080s-and-2083s)?_g=(refreshInterval:(display:Off,pause:!f,section:0,value:0),time:(from:'2017-11-17T08:39:02-0700',mode:absolute,to:'2017-11-17T11:22:05-0700'))&amp;_a=(columns:!('Message%20ID',Summary),filters:!(),index:'emp_*',interval:auto,query:(query_string:(analyze_wildcard:!t,query:'%22rtdc.l.rtdc.4027%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3">
      <c r="A57" s="32" t="s">
        <v>725</v>
      </c>
      <c r="B57" s="7">
        <v>4020</v>
      </c>
      <c r="C57" s="21" t="s">
        <v>192</v>
      </c>
      <c r="D57" s="21" t="s">
        <v>450</v>
      </c>
      <c r="E57" s="13">
        <v>43056.370115740741</v>
      </c>
      <c r="F57" s="13">
        <v>43056.375451388885</v>
      </c>
      <c r="G57" s="7">
        <v>51</v>
      </c>
      <c r="H57" s="21" t="s">
        <v>945</v>
      </c>
      <c r="I57" s="13">
        <v>43056.399895833332</v>
      </c>
      <c r="J57" s="7">
        <v>1</v>
      </c>
      <c r="K57" s="89" t="str">
        <f t="shared" si="0"/>
        <v>4019/4020</v>
      </c>
      <c r="L57" s="185" t="str">
        <f>VLOOKUP(A57,'Trips&amp;Operators'!$C$1:$G$99911,5,FALSE)</f>
        <v>MAELZER KURT</v>
      </c>
      <c r="M57" s="6">
        <f t="shared" si="1"/>
        <v>2.4444444446999114E-2</v>
      </c>
      <c r="N57" s="7">
        <f t="shared" si="21"/>
        <v>35.200000003678724</v>
      </c>
      <c r="O57" s="7"/>
      <c r="P57" s="7"/>
      <c r="Q57" s="22"/>
      <c r="R57" s="174"/>
      <c r="S57" s="221">
        <f t="shared" si="22"/>
        <v>1</v>
      </c>
      <c r="T57" s="174" t="str">
        <f t="shared" si="2"/>
        <v>NorthBound</v>
      </c>
      <c r="U57" s="198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16" t="str">
        <f t="shared" si="3"/>
        <v>https://d0f6bd738d7f1b3e5a7ca70fe4ff75f0.us-east-1.aws.found.io/app/kibana#/discover/Steve-Slow-Train-Analysis-(2080s-and-2083s)?_g=(refreshInterval:(display:Off,pause:!f,section:0,value:0),time:(from:'2017-11-17T07:52:58-0700',mode:absolute,to:'2017-11-17T10:35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57" s="204" t="str">
        <f>IF(AA57&lt;VLOOKUP(AG57,Variables!$AC$3:$AD$8,2,FALSE),"Y","N")</f>
        <v>N</v>
      </c>
      <c r="X57" s="204">
        <f t="shared" si="4"/>
        <v>1</v>
      </c>
      <c r="Y57" s="204">
        <f t="shared" si="19"/>
        <v>5.0599999999999999E-2</v>
      </c>
      <c r="Z57" s="204">
        <f t="shared" si="20"/>
        <v>23.3338</v>
      </c>
      <c r="AA57" s="204">
        <f t="shared" si="7"/>
        <v>23.283200000000001</v>
      </c>
      <c r="AB57" s="54" t="e">
        <f>VLOOKUP(A57,Enforcements!$C$7:$K$9,8,0)</f>
        <v>#N/A</v>
      </c>
      <c r="AC57" s="51" t="e">
        <f>VLOOKUP(A57,Enforcements!$C$7:$E$9,3,0)</f>
        <v>#N/A</v>
      </c>
      <c r="AD57" s="179">
        <f t="shared" si="8"/>
        <v>143</v>
      </c>
      <c r="AE57" s="77" t="str">
        <f t="shared" si="9"/>
        <v>aws s3 cp s3://rtdc.mdm.uploadarchive.raw/RTDC4020/ "%USERPROFILE%\AppData\Local\Temp\OnboardLogs"\RTDC4020\2017-11-17 --exclude "*" --recursive --include "*20171117*" &amp; "%USERPROFILE%\Documents\GitHub\mrs-test-scripts\Headless Mode &amp; Sideloading\WalkAndUnGZ.bat" "%USERPROFILE%\AppData\Local\Temp\OnboardLogs"\RTDC4020\2017-11-17 &amp; aws s3 cp s3://rtdc.mdm.uploadarchive.raw/RTDC4020/ "%USERPROFILE%\AppData\Local\Temp\OnboardLogs"\RTDC4020\2017-11-18 --exclude "*" --recursive --include "*20171118*" &amp; "%USERPROFILE%\Documents\GitHub\mrs-test-scripts\Headless Mode &amp; Sideloading\WalkAndUnGZ.bat" "%USERPROFILE%\AppData\Local\Temp\OnboardLogs"\RTDC4020\2017-11-18</v>
      </c>
      <c r="AF57" s="74" t="str">
        <f t="shared" si="10"/>
        <v>"C:\Program Files (x86)\AstroGrep\AstroGrep.exe" /e /r /s /spath="%USERPROFILE%\AppData\Local\Temp\OnboardLogs" /stypes="app*4020*20171117*" /stext=" 16:.+((SYSTEM_STATE.+slice.+state.+changed )|(ment ac)|(multiple cpu faults)|(system.+state.+changed )|(\[timeout)|(PRM\|1\|D)|(kpr)|(kdp)|(train st.+moving)|(\|lc)|(penalty))"</v>
      </c>
      <c r="AG57" s="182" t="str">
        <f t="shared" si="11"/>
        <v>EC</v>
      </c>
      <c r="AH57" s="78" t="str">
        <f t="shared" si="12"/>
        <v>"%USERPROFILE%\Documents\GitHub\eaglep3\Utilities\RefineRTDCRunTimes.py" --tripid 143-17 --locoid 4020 --swversion DE.1.0.9.0 --startMP 204:506 --initTime 2017-11-17T08:52:58 --startdatetime 2017-11-17T09:00:39 --delay 51 --endMP 204:233338 --enddatetime 2017-11-17T09:35:51 --enforcementcount 1 &gt;&gt;%USERPROFILE%\Documents\GitHub\eaglep3-reporting\EC\2017-11-17-refined-times.txt</v>
      </c>
      <c r="AI57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{"issue":{"subject":"","project_id":79,"tracker_id":40,"status_id":1,"priority_id":2,"assigned_to_id":338,"start_date":"2017-11-17","description":"","custom_fields":[{"id":1,"name":"Subdivision","value":"EC"},{"id":4,"name":"Milepost","value":"23.3338"},{"id":17,"name":"Train ID","value":"143-17"},{"id":16,"name":"Locomotive ID","value":"4020"},{"id":130,"name":"Impact","value":""},{"id":150,"name":"Time of Event (Mountain Time)","value":"09:35:51"},{"id":151,"name":"Denver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7" s="20"/>
      <c r="AK57" s="47"/>
      <c r="AL57" s="47"/>
      <c r="AM57" s="142" t="str">
        <f t="shared" si="14"/>
        <v>start /low /b %USERPROFILE%\Documents\GitHub\eaglep3\Utilities\DownloadLogsFromS3.py --loco 4020 --day 2017-11-17</v>
      </c>
      <c r="AN57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16:35:51"},{"id":29,"name":"Sharepoint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168" t="str">
        <f t="shared" si="16"/>
        <v>https://d0f6bd738d7f1b3e5a7ca70fe4ff75f0.us-east-1.aws.found.io/app/kibana#/discover/Steve-Slow-Train-Analysis-(2080s-and-2083s)?_g=(refreshInterval:(display:Off,pause:!f,section:0,value:0),time:(from:'2017-11-17T07:52:58-0700',mode:absolute,to:'2017-11-17T10:35:51-0700'))&amp;_a=(columns:!('Message%20ID',Summary),filters:!(),index:'emp_*',interval:auto,query:(query_string:(analyze_wildcard:!t,query:'%22rtdc.l.rtdc.4020%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3">
      <c r="A58" s="32" t="s">
        <v>733</v>
      </c>
      <c r="B58" s="7">
        <v>4019</v>
      </c>
      <c r="C58" s="21" t="s">
        <v>192</v>
      </c>
      <c r="D58" s="21" t="s">
        <v>920</v>
      </c>
      <c r="E58" s="13">
        <v>43056.405949074076</v>
      </c>
      <c r="F58" s="13">
        <v>43056.414976851855</v>
      </c>
      <c r="G58" s="7">
        <v>45</v>
      </c>
      <c r="H58" s="21" t="s">
        <v>927</v>
      </c>
      <c r="I58" s="13">
        <v>43056.440740740742</v>
      </c>
      <c r="J58" s="7">
        <v>1</v>
      </c>
      <c r="K58" s="89" t="str">
        <f t="shared" si="0"/>
        <v>4019/4020</v>
      </c>
      <c r="L58" s="185" t="str">
        <f>VLOOKUP(A58,'Trips&amp;Operators'!$C$1:$G$99911,5,FALSE)</f>
        <v>MAELZER KURT</v>
      </c>
      <c r="M58" s="6">
        <f t="shared" si="1"/>
        <v>2.5763888887013309E-2</v>
      </c>
      <c r="N58" s="7">
        <f t="shared" si="21"/>
        <v>37.099999997299165</v>
      </c>
      <c r="O58" s="7"/>
      <c r="P58" s="7"/>
      <c r="Q58" s="22"/>
      <c r="R58" s="174"/>
      <c r="S58" s="221">
        <f t="shared" si="22"/>
        <v>1</v>
      </c>
      <c r="T58" s="174" t="str">
        <f t="shared" si="2"/>
        <v>Southbound</v>
      </c>
      <c r="U58" s="198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16" t="str">
        <f t="shared" si="3"/>
        <v>https://d0f6bd738d7f1b3e5a7ca70fe4ff75f0.us-east-1.aws.found.io/app/kibana#/discover/Steve-Slow-Train-Analysis-(2080s-and-2083s)?_g=(refreshInterval:(display:Off,pause:!f,section:0,value:0),time:(from:'2017-11-17T08:44:34-0700',mode:absolute,to:'2017-11-17T11:34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58" s="204" t="str">
        <f>IF(AA58&lt;VLOOKUP(AG58,Variables!$AC$3:$AD$8,2,FALSE),"Y","N")</f>
        <v>N</v>
      </c>
      <c r="X58" s="204">
        <f t="shared" si="4"/>
        <v>1</v>
      </c>
      <c r="Y58" s="204">
        <f t="shared" si="19"/>
        <v>23.2989</v>
      </c>
      <c r="Z58" s="204">
        <f t="shared" si="20"/>
        <v>1.49E-2</v>
      </c>
      <c r="AA58" s="204">
        <f t="shared" si="7"/>
        <v>23.283999999999999</v>
      </c>
      <c r="AB58" s="54" t="e">
        <f>VLOOKUP(A58,Enforcements!$C$7:$K$9,8,0)</f>
        <v>#N/A</v>
      </c>
      <c r="AC58" s="51" t="e">
        <f>VLOOKUP(A58,Enforcements!$C$7:$E$9,3,0)</f>
        <v>#N/A</v>
      </c>
      <c r="AD58" s="179">
        <f t="shared" si="8"/>
        <v>144</v>
      </c>
      <c r="AE58" s="77" t="str">
        <f t="shared" si="9"/>
        <v>aws s3 cp s3://rtdc.mdm.uploadarchive.raw/RTDC4019/ "%USERPROFILE%\AppData\Local\Temp\OnboardLogs"\RTDC4019\2017-11-17 --exclude "*" --recursive --include "*20171117*" &amp; "%USERPROFILE%\Documents\GitHub\mrs-test-scripts\Headless Mode &amp; Sideloading\WalkAndUnGZ.bat" "%USERPROFILE%\AppData\Local\Temp\OnboardLogs"\RTDC4019\2017-11-17 &amp; aws s3 cp s3://rtdc.mdm.uploadarchive.raw/RTDC4019/ "%USERPROFILE%\AppData\Local\Temp\OnboardLogs"\RTDC4019\2017-11-18 --exclude "*" --recursive --include "*20171118*" &amp; "%USERPROFILE%\Documents\GitHub\mrs-test-scripts\Headless Mode &amp; Sideloading\WalkAndUnGZ.bat" "%USERPROFILE%\AppData\Local\Temp\OnboardLogs"\RTDC4019\2017-11-18</v>
      </c>
      <c r="AF58" s="74" t="str">
        <f t="shared" si="10"/>
        <v>"C:\Program Files (x86)\AstroGrep\AstroGrep.exe" /e /r /s /spath="%USERPROFILE%\AppData\Local\Temp\OnboardLogs" /stypes="app*4019*20171117*" /stext=" 17:.+((SYSTEM_STATE.+slice.+state.+changed )|(ment ac)|(multiple cpu faults)|(system.+state.+changed )|(\[timeout)|(PRM\|1\|D)|(kpr)|(kdp)|(train st.+moving)|(\|lc)|(penalty))"</v>
      </c>
      <c r="AG58" s="182" t="str">
        <f t="shared" si="11"/>
        <v>EC</v>
      </c>
      <c r="AH58" s="78" t="str">
        <f t="shared" si="12"/>
        <v>"%USERPROFILE%\Documents\GitHub\eaglep3\Utilities\RefineRTDCRunTimes.py" --tripid 144-17 --locoid 4019 --swversion DE.1.0.9.0 --startMP 204:232989 --initTime 2017-11-17T09:44:34 --startdatetime 2017-11-17T09:57:34 --delay 45 --endMP 204:149 --enddatetime 2017-11-17T10:34:40 --enforcementcount 1 &gt;&gt;%USERPROFILE%\Documents\GitHub\eaglep3-reporting\EC\2017-11-17-refined-times.txt</v>
      </c>
      <c r="AI58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{"issue":{"subject":"","project_id":79,"tracker_id":40,"status_id":1,"priority_id":2,"assigned_to_id":338,"start_date":"2017-11-17","description":"","custom_fields":[{"id":1,"name":"Subdivision","value":"EC"},{"id":4,"name":"Milepost","value":"0.0149"},{"id":17,"name":"Train ID","value":"144-17"},{"id":16,"name":"Locomotive ID","value":"4019"},{"id":130,"name":"Impact","value":""},{"id":150,"name":"Time of Event (Mountain Time)","value":"10:34:40"},{"id":151,"name":"Denver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8" s="20"/>
      <c r="AK58" s="47"/>
      <c r="AL58" s="47"/>
      <c r="AM58" s="142" t="str">
        <f t="shared" si="14"/>
        <v>start /low /b %USERPROFILE%\Documents\GitHub\eaglep3\Utilities\DownloadLogsFromS3.py --loco 4019 --day 2017-11-17</v>
      </c>
      <c r="AN58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17:34:40"},{"id":29,"name":"Sharepoint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168" t="str">
        <f t="shared" si="16"/>
        <v>https://d0f6bd738d7f1b3e5a7ca70fe4ff75f0.us-east-1.aws.found.io/app/kibana#/discover/Steve-Slow-Train-Analysis-(2080s-and-2083s)?_g=(refreshInterval:(display:Off,pause:!f,section:0,value:0),time:(from:'2017-11-17T08:44:34-0700',mode:absolute,to:'2017-11-17T11:34:40-0700'))&amp;_a=(columns:!('Message%20ID',Summary),filters:!(),index:'emp_*',interval:auto,query:(query_string:(analyze_wildcard:!t,query:'%22rtdc.l.rtdc.4019%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3">
      <c r="A59" s="32" t="s">
        <v>728</v>
      </c>
      <c r="B59" s="7">
        <v>4064</v>
      </c>
      <c r="C59" s="21" t="s">
        <v>192</v>
      </c>
      <c r="D59" s="21" t="s">
        <v>569</v>
      </c>
      <c r="E59" s="13">
        <v>43056.382118055553</v>
      </c>
      <c r="F59" s="13">
        <v>43056.385601851849</v>
      </c>
      <c r="G59" s="7">
        <v>61</v>
      </c>
      <c r="H59" s="21" t="s">
        <v>946</v>
      </c>
      <c r="I59" s="13">
        <v>43056.40966435185</v>
      </c>
      <c r="J59" s="7">
        <v>1</v>
      </c>
      <c r="K59" s="89" t="str">
        <f t="shared" si="0"/>
        <v>4063/4064</v>
      </c>
      <c r="L59" s="185" t="str">
        <f>VLOOKUP(A59,'Trips&amp;Operators'!$C$1:$G$99911,5,FALSE)</f>
        <v>YANAI IAN</v>
      </c>
      <c r="M59" s="6">
        <f t="shared" si="1"/>
        <v>2.4062500000582077E-2</v>
      </c>
      <c r="N59" s="7">
        <f t="shared" si="21"/>
        <v>34.65000000083819</v>
      </c>
      <c r="O59" s="7"/>
      <c r="P59" s="7"/>
      <c r="Q59" s="22"/>
      <c r="R59" s="174"/>
      <c r="S59" s="221">
        <f t="shared" si="22"/>
        <v>1</v>
      </c>
      <c r="T59" s="174" t="str">
        <f t="shared" si="2"/>
        <v>NorthBound</v>
      </c>
      <c r="U59" s="198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16" t="str">
        <f t="shared" si="3"/>
        <v>https://d0f6bd738d7f1b3e5a7ca70fe4ff75f0.us-east-1.aws.found.io/app/kibana#/discover/Steve-Slow-Train-Analysis-(2080s-and-2083s)?_g=(refreshInterval:(display:Off,pause:!f,section:0,value:0),time:(from:'2017-11-17T08:10:15-0700',mode:absolute,to:'2017-11-17T10:49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59" s="204" t="str">
        <f>IF(AA59&lt;VLOOKUP(AG59,Variables!$AC$3:$AD$8,2,FALSE),"Y","N")</f>
        <v>N</v>
      </c>
      <c r="X59" s="204">
        <f t="shared" si="4"/>
        <v>1</v>
      </c>
      <c r="Y59" s="204">
        <f t="shared" si="19"/>
        <v>4.6199999999999998E-2</v>
      </c>
      <c r="Z59" s="204">
        <f t="shared" si="20"/>
        <v>23.331399999999999</v>
      </c>
      <c r="AA59" s="204">
        <f t="shared" si="7"/>
        <v>23.2852</v>
      </c>
      <c r="AB59" s="54" t="e">
        <f>VLOOKUP(A59,Enforcements!$C$7:$K$9,8,0)</f>
        <v>#N/A</v>
      </c>
      <c r="AC59" s="51" t="e">
        <f>VLOOKUP(A59,Enforcements!$C$7:$E$9,3,0)</f>
        <v>#N/A</v>
      </c>
      <c r="AD59" s="179">
        <f t="shared" si="8"/>
        <v>145</v>
      </c>
      <c r="AE59" s="77" t="str">
        <f t="shared" si="9"/>
        <v>aws s3 cp s3://rtdc.mdm.uploadarchive.raw/RTDC4064/ "%USERPROFILE%\AppData\Local\Temp\OnboardLogs"\RTDC4064\2017-11-17 --exclude "*" --recursive --include "*20171117*" &amp; "%USERPROFILE%\Documents\GitHub\mrs-test-scripts\Headless Mode &amp; Sideloading\WalkAndUnGZ.bat" "%USERPROFILE%\AppData\Local\Temp\OnboardLogs"\RTDC4064\2017-11-17 &amp; aws s3 cp s3://rtdc.mdm.uploadarchive.raw/RTDC4064/ "%USERPROFILE%\AppData\Local\Temp\OnboardLogs"\RTDC4064\2017-11-18 --exclude "*" --recursive --include "*20171118*" &amp; "%USERPROFILE%\Documents\GitHub\mrs-test-scripts\Headless Mode &amp; Sideloading\WalkAndUnGZ.bat" "%USERPROFILE%\AppData\Local\Temp\OnboardLogs"\RTDC4064\2017-11-18</v>
      </c>
      <c r="AF59" s="74" t="str">
        <f t="shared" si="10"/>
        <v>"C:\Program Files (x86)\AstroGrep\AstroGrep.exe" /e /r /s /spath="%USERPROFILE%\AppData\Local\Temp\OnboardLogs" /stypes="app*4064*20171117*" /stext=" 16:.+((SYSTEM_STATE.+slice.+state.+changed )|(ment ac)|(multiple cpu faults)|(system.+state.+changed )|(\[timeout)|(PRM\|1\|D)|(kpr)|(kdp)|(train st.+moving)|(\|lc)|(penalty))"</v>
      </c>
      <c r="AG59" s="182" t="str">
        <f t="shared" si="11"/>
        <v>EC</v>
      </c>
      <c r="AH59" s="78" t="str">
        <f t="shared" si="12"/>
        <v>"%USERPROFILE%\Documents\GitHub\eaglep3\Utilities\RefineRTDCRunTimes.py" --tripid 145-17 --locoid 4064 --swversion DE.1.0.9.0 --startMP 204:462 --initTime 2017-11-17T09:10:15 --startdatetime 2017-11-17T09:15:16 --delay 61 --endMP 204:233314 --enddatetime 2017-11-17T09:49:55 --enforcementcount 1 &gt;&gt;%USERPROFILE%\Documents\GitHub\eaglep3-reporting\EC\2017-11-17-refined-times.txt</v>
      </c>
      <c r="AI59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{"issue":{"subject":"","project_id":79,"tracker_id":40,"status_id":1,"priority_id":2,"assigned_to_id":338,"start_date":"2017-11-17","description":"","custom_fields":[{"id":1,"name":"Subdivision","value":"EC"},{"id":4,"name":"Milepost","value":"23.3314"},{"id":17,"name":"Train ID","value":"145-17"},{"id":16,"name":"Locomotive ID","value":"4064"},{"id":130,"name":"Impact","value":""},{"id":150,"name":"Time of Event (Mountain Time)","value":"09:49:55"},{"id":151,"name":"Denver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9" s="20"/>
      <c r="AK59" s="47"/>
      <c r="AL59" s="47"/>
      <c r="AM59" s="142" t="str">
        <f t="shared" si="14"/>
        <v>start /low /b %USERPROFILE%\Documents\GitHub\eaglep3\Utilities\DownloadLogsFromS3.py --loco 4064 --day 2017-11-17</v>
      </c>
      <c r="AN59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16:49:55"},{"id":29,"name":"Sharepoint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168" t="str">
        <f t="shared" si="16"/>
        <v>https://d0f6bd738d7f1b3e5a7ca70fe4ff75f0.us-east-1.aws.found.io/app/kibana#/discover/Steve-Slow-Train-Analysis-(2080s-and-2083s)?_g=(refreshInterval:(display:Off,pause:!f,section:0,value:0),time:(from:'2017-11-17T08:10:15-0700',mode:absolute,to:'2017-11-17T10:49:55-0700'))&amp;_a=(columns:!('Message%20ID',Summary),filters:!(),index:'emp_*',interval:auto,query:(query_string:(analyze_wildcard:!t,query:'%22rtdc.l.rtdc.4064%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3">
      <c r="A60" s="32" t="s">
        <v>734</v>
      </c>
      <c r="B60" s="7">
        <v>4063</v>
      </c>
      <c r="C60" s="21" t="s">
        <v>192</v>
      </c>
      <c r="D60" s="21" t="s">
        <v>947</v>
      </c>
      <c r="E60" s="13">
        <v>43056.411087962966</v>
      </c>
      <c r="F60" s="13">
        <v>43056.425185185188</v>
      </c>
      <c r="G60" s="7">
        <v>90</v>
      </c>
      <c r="H60" s="21" t="s">
        <v>606</v>
      </c>
      <c r="I60" s="13">
        <v>43056.45107638889</v>
      </c>
      <c r="J60" s="7">
        <v>1</v>
      </c>
      <c r="K60" s="89" t="str">
        <f t="shared" si="0"/>
        <v>4063/4064</v>
      </c>
      <c r="L60" s="185" t="str">
        <f>VLOOKUP(A60,'Trips&amp;Operators'!$C$1:$G$99911,5,FALSE)</f>
        <v>YANAI IAN</v>
      </c>
      <c r="M60" s="6">
        <f t="shared" si="1"/>
        <v>2.5891203702485655E-2</v>
      </c>
      <c r="N60" s="7">
        <f t="shared" si="21"/>
        <v>37.283333331579342</v>
      </c>
      <c r="O60" s="7"/>
      <c r="P60" s="7"/>
      <c r="Q60" s="22"/>
      <c r="R60" s="174"/>
      <c r="S60" s="221">
        <f t="shared" si="22"/>
        <v>1</v>
      </c>
      <c r="T60" s="174" t="str">
        <f t="shared" si="2"/>
        <v>Southbound</v>
      </c>
      <c r="U60" s="198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16" t="str">
        <f t="shared" si="3"/>
        <v>https://d0f6bd738d7f1b3e5a7ca70fe4ff75f0.us-east-1.aws.found.io/app/kibana#/discover/Steve-Slow-Train-Analysis-(2080s-and-2083s)?_g=(refreshInterval:(display:Off,pause:!f,section:0,value:0),time:(from:'2017-11-17T08:51:58-0700',mode:absolute,to:'2017-11-17T11:49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60" s="204" t="str">
        <f>IF(AA60&lt;VLOOKUP(AG60,Variables!$AC$3:$AD$8,2,FALSE),"Y","N")</f>
        <v>N</v>
      </c>
      <c r="X60" s="204">
        <f t="shared" si="4"/>
        <v>1</v>
      </c>
      <c r="Y60" s="204">
        <f t="shared" si="19"/>
        <v>23.2986</v>
      </c>
      <c r="Z60" s="204">
        <f t="shared" si="20"/>
        <v>9.2299999999999993E-2</v>
      </c>
      <c r="AA60" s="204">
        <f t="shared" si="7"/>
        <v>23.206299999999999</v>
      </c>
      <c r="AB60" s="54" t="e">
        <f>VLOOKUP(A60,Enforcements!$C$7:$K$9,8,0)</f>
        <v>#N/A</v>
      </c>
      <c r="AC60" s="51" t="e">
        <f>VLOOKUP(A60,Enforcements!$C$7:$E$9,3,0)</f>
        <v>#N/A</v>
      </c>
      <c r="AD60" s="179">
        <f t="shared" si="8"/>
        <v>146</v>
      </c>
      <c r="AE60" s="77" t="str">
        <f t="shared" si="9"/>
        <v>aws s3 cp s3://rtdc.mdm.uploadarchive.raw/RTDC4063/ "%USERPROFILE%\AppData\Local\Temp\OnboardLogs"\RTDC4063\2017-11-17 --exclude "*" --recursive --include "*20171117*" &amp; "%USERPROFILE%\Documents\GitHub\mrs-test-scripts\Headless Mode &amp; Sideloading\WalkAndUnGZ.bat" "%USERPROFILE%\AppData\Local\Temp\OnboardLogs"\RTDC4063\2017-11-17 &amp; aws s3 cp s3://rtdc.mdm.uploadarchive.raw/RTDC4063/ "%USERPROFILE%\AppData\Local\Temp\OnboardLogs"\RTDC4063\2017-11-18 --exclude "*" --recursive --include "*20171118*" &amp; "%USERPROFILE%\Documents\GitHub\mrs-test-scripts\Headless Mode &amp; Sideloading\WalkAndUnGZ.bat" "%USERPROFILE%\AppData\Local\Temp\OnboardLogs"\RTDC4063\2017-11-18</v>
      </c>
      <c r="AF60" s="74" t="str">
        <f t="shared" si="10"/>
        <v>"C:\Program Files (x86)\AstroGrep\AstroGrep.exe" /e /r /s /spath="%USERPROFILE%\AppData\Local\Temp\OnboardLogs" /stypes="app*4063*20171117*" /stext=" 17:.+((SYSTEM_STATE.+slice.+state.+changed )|(ment ac)|(multiple cpu faults)|(system.+state.+changed )|(\[timeout)|(PRM\|1\|D)|(kpr)|(kdp)|(train st.+moving)|(\|lc)|(penalty))"</v>
      </c>
      <c r="AG60" s="182" t="str">
        <f t="shared" si="11"/>
        <v>EC</v>
      </c>
      <c r="AH60" s="78" t="str">
        <f t="shared" si="12"/>
        <v>"%USERPROFILE%\Documents\GitHub\eaglep3\Utilities\RefineRTDCRunTimes.py" --tripid 146-17 --locoid 4063 --swversion DE.1.0.9.0 --startMP 204:232986 --initTime 2017-11-17T09:51:58 --startdatetime 2017-11-17T10:12:16 --delay 90 --endMP 204:923 --enddatetime 2017-11-17T10:49:33 --enforcementcount 1 &gt;&gt;%USERPROFILE%\Documents\GitHub\eaglep3-reporting\EC\2017-11-17-refined-times.txt</v>
      </c>
      <c r="AI60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{"issue":{"subject":"","project_id":79,"tracker_id":40,"status_id":1,"priority_id":2,"assigned_to_id":338,"start_date":"2017-11-17","description":"","custom_fields":[{"id":1,"name":"Subdivision","value":"EC"},{"id":4,"name":"Milepost","value":"0.0923"},{"id":17,"name":"Train ID","value":"146-17"},{"id":16,"name":"Locomotive ID","value":"4063"},{"id":130,"name":"Impact","value":""},{"id":150,"name":"Time of Event (Mountain Time)","value":"10:49:33"},{"id":151,"name":"Denver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0" s="20"/>
      <c r="AK60" s="47"/>
      <c r="AL60" s="47"/>
      <c r="AM60" s="142" t="str">
        <f t="shared" si="14"/>
        <v>start /low /b %USERPROFILE%\Documents\GitHub\eaglep3\Utilities\DownloadLogsFromS3.py --loco 4063 --day 2017-11-17</v>
      </c>
      <c r="AN60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17:49:33"},{"id":29,"name":"Sharepoint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168" t="str">
        <f t="shared" si="16"/>
        <v>https://d0f6bd738d7f1b3e5a7ca70fe4ff75f0.us-east-1.aws.found.io/app/kibana#/discover/Steve-Slow-Train-Analysis-(2080s-and-2083s)?_g=(refreshInterval:(display:Off,pause:!f,section:0,value:0),time:(from:'2017-11-17T08:51:58-0700',mode:absolute,to:'2017-11-17T11:49:33-0700'))&amp;_a=(columns:!('Message%20ID',Summary),filters:!(),index:'emp_*',interval:auto,query:(query_string:(analyze_wildcard:!t,query:'%22rtdc.l.rtdc.4063%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3">
      <c r="A61" s="32" t="s">
        <v>729</v>
      </c>
      <c r="B61" s="7">
        <v>4036</v>
      </c>
      <c r="C61" s="21" t="s">
        <v>192</v>
      </c>
      <c r="D61" s="21" t="s">
        <v>587</v>
      </c>
      <c r="E61" s="13">
        <v>43056.390381944446</v>
      </c>
      <c r="F61" s="13">
        <v>43056.396261574075</v>
      </c>
      <c r="G61" s="7">
        <v>51</v>
      </c>
      <c r="H61" s="21" t="s">
        <v>948</v>
      </c>
      <c r="I61" s="13">
        <v>43056.420717592591</v>
      </c>
      <c r="J61" s="7">
        <v>1</v>
      </c>
      <c r="K61" s="89" t="str">
        <f t="shared" si="0"/>
        <v>4035/4036</v>
      </c>
      <c r="L61" s="185" t="str">
        <f>VLOOKUP(A61,'Trips&amp;Operators'!$C$1:$G$99911,5,FALSE)</f>
        <v>AUSTIN THOMPSON</v>
      </c>
      <c r="M61" s="6">
        <f t="shared" si="1"/>
        <v>2.4456018516502809E-2</v>
      </c>
      <c r="N61" s="7">
        <f t="shared" si="21"/>
        <v>35.216666663764045</v>
      </c>
      <c r="O61" s="7"/>
      <c r="P61" s="7"/>
      <c r="Q61" s="22"/>
      <c r="R61" s="174"/>
      <c r="S61" s="221">
        <f t="shared" si="22"/>
        <v>1</v>
      </c>
      <c r="T61" s="174" t="str">
        <f t="shared" si="2"/>
        <v>NorthBound</v>
      </c>
      <c r="U61" s="198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16" t="str">
        <f t="shared" si="3"/>
        <v>https://d0f6bd738d7f1b3e5a7ca70fe4ff75f0.us-east-1.aws.found.io/app/kibana#/discover/Steve-Slow-Train-Analysis-(2080s-and-2083s)?_g=(refreshInterval:(display:Off,pause:!f,section:0,value:0),time:(from:'2017-11-17T08:22:09-0700',mode:absolute,to:'2017-11-17T11:05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61" s="204" t="str">
        <f>IF(AA61&lt;VLOOKUP(AG61,Variables!$AC$3:$AD$8,2,FALSE),"Y","N")</f>
        <v>N</v>
      </c>
      <c r="X61" s="204">
        <f t="shared" si="4"/>
        <v>1</v>
      </c>
      <c r="Y61" s="204">
        <f t="shared" si="19"/>
        <v>5.3900000000000003E-2</v>
      </c>
      <c r="Z61" s="204">
        <f t="shared" si="20"/>
        <v>23.326799999999999</v>
      </c>
      <c r="AA61" s="204">
        <f t="shared" si="7"/>
        <v>23.2729</v>
      </c>
      <c r="AB61" s="54" t="e">
        <f>VLOOKUP(A61,Enforcements!$C$7:$K$9,8,0)</f>
        <v>#N/A</v>
      </c>
      <c r="AC61" s="51" t="e">
        <f>VLOOKUP(A61,Enforcements!$C$7:$E$9,3,0)</f>
        <v>#N/A</v>
      </c>
      <c r="AD61" s="179">
        <f t="shared" si="8"/>
        <v>147</v>
      </c>
      <c r="AE61" s="77" t="str">
        <f t="shared" si="9"/>
        <v>aws s3 cp s3://rtdc.mdm.uploadarchive.raw/RTDC4036/ "%USERPROFILE%\AppData\Local\Temp\OnboardLogs"\RTDC4036\2017-11-17 --exclude "*" --recursive --include "*20171117*" &amp; "%USERPROFILE%\Documents\GitHub\mrs-test-scripts\Headless Mode &amp; Sideloading\WalkAndUnGZ.bat" "%USERPROFILE%\AppData\Local\Temp\OnboardLogs"\RTDC4036\2017-11-17 &amp; aws s3 cp s3://rtdc.mdm.uploadarchive.raw/RTDC4036/ "%USERPROFILE%\AppData\Local\Temp\OnboardLogs"\RTDC4036\2017-11-18 --exclude "*" --recursive --include "*20171118*" &amp; "%USERPROFILE%\Documents\GitHub\mrs-test-scripts\Headless Mode &amp; Sideloading\WalkAndUnGZ.bat" "%USERPROFILE%\AppData\Local\Temp\OnboardLogs"\RTDC4036\2017-11-18</v>
      </c>
      <c r="AF61" s="74" t="str">
        <f t="shared" si="10"/>
        <v>"C:\Program Files (x86)\AstroGrep\AstroGrep.exe" /e /r /s /spath="%USERPROFILE%\AppData\Local\Temp\OnboardLogs" /stypes="app*4036*20171117*" /stext=" 17:.+((SYSTEM_STATE.+slice.+state.+changed )|(ment ac)|(multiple cpu faults)|(system.+state.+changed )|(\[timeout)|(PRM\|1\|D)|(kpr)|(kdp)|(train st.+moving)|(\|lc)|(penalty))"</v>
      </c>
      <c r="AG61" s="182" t="str">
        <f t="shared" si="11"/>
        <v>EC</v>
      </c>
      <c r="AH61" s="78" t="str">
        <f t="shared" si="12"/>
        <v>"%USERPROFILE%\Documents\GitHub\eaglep3\Utilities\RefineRTDCRunTimes.py" --tripid 147-17 --locoid 4036 --swversion DE.1.0.9.0 --startMP 204:539 --initTime 2017-11-17T09:22:09 --startdatetime 2017-11-17T09:30:37 --delay 51 --endMP 204:233268 --enddatetime 2017-11-17T10:05:50 --enforcementcount 1 &gt;&gt;%USERPROFILE%\Documents\GitHub\eaglep3-reporting\EC\2017-11-17-refined-times.txt</v>
      </c>
      <c r="AI61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{"issue":{"subject":"","project_id":79,"tracker_id":40,"status_id":1,"priority_id":2,"assigned_to_id":338,"start_date":"2017-11-17","description":"","custom_fields":[{"id":1,"name":"Subdivision","value":"EC"},{"id":4,"name":"Milepost","value":"23.3268"},{"id":17,"name":"Train ID","value":"147-17"},{"id":16,"name":"Locomotive ID","value":"4036"},{"id":130,"name":"Impact","value":""},{"id":150,"name":"Time of Event (Mountain Time)","value":"10:05:50"},{"id":151,"name":"Denver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1" s="20"/>
      <c r="AK61" s="47"/>
      <c r="AL61" s="47"/>
      <c r="AM61" s="142" t="str">
        <f t="shared" si="14"/>
        <v>start /low /b %USERPROFILE%\Documents\GitHub\eaglep3\Utilities\DownloadLogsFromS3.py --loco 4036 --day 2017-11-17</v>
      </c>
      <c r="AN61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17:05:50"},{"id":29,"name":"Sharepoint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168" t="str">
        <f t="shared" si="16"/>
        <v>https://d0f6bd738d7f1b3e5a7ca70fe4ff75f0.us-east-1.aws.found.io/app/kibana#/discover/Steve-Slow-Train-Analysis-(2080s-and-2083s)?_g=(refreshInterval:(display:Off,pause:!f,section:0,value:0),time:(from:'2017-11-17T08:22:09-0700',mode:absolute,to:'2017-11-17T11:05:50-0700'))&amp;_a=(columns:!('Message%20ID',Summary),filters:!(),index:'emp_*',interval:auto,query:(query_string:(analyze_wildcard:!t,query:'%22rtdc.l.rtdc.4036%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3">
      <c r="A62" s="32" t="s">
        <v>737</v>
      </c>
      <c r="B62" s="7">
        <v>4035</v>
      </c>
      <c r="C62" s="21" t="s">
        <v>192</v>
      </c>
      <c r="D62" s="21" t="s">
        <v>502</v>
      </c>
      <c r="E62" s="13">
        <v>43056.432175925926</v>
      </c>
      <c r="F62" s="13">
        <v>43056.43644675926</v>
      </c>
      <c r="G62" s="7">
        <v>62</v>
      </c>
      <c r="H62" s="21" t="s">
        <v>573</v>
      </c>
      <c r="I62" s="13">
        <v>43056.46234953704</v>
      </c>
      <c r="J62" s="7">
        <v>1</v>
      </c>
      <c r="K62" s="89" t="str">
        <f t="shared" si="0"/>
        <v>4035/4036</v>
      </c>
      <c r="L62" s="185" t="str">
        <f>VLOOKUP(A62,'Trips&amp;Operators'!$C$1:$G$99911,5,FALSE)</f>
        <v>AUSTIN THOMPSON</v>
      </c>
      <c r="M62" s="6">
        <f t="shared" si="1"/>
        <v>2.5902777779265307E-2</v>
      </c>
      <c r="N62" s="7">
        <f t="shared" si="21"/>
        <v>37.300000002142042</v>
      </c>
      <c r="O62" s="7"/>
      <c r="P62" s="7"/>
      <c r="Q62" s="22"/>
      <c r="R62" s="174"/>
      <c r="S62" s="221">
        <f t="shared" si="22"/>
        <v>1</v>
      </c>
      <c r="T62" s="174" t="str">
        <f t="shared" si="2"/>
        <v>Southbound</v>
      </c>
      <c r="U62" s="198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16" t="str">
        <f t="shared" si="3"/>
        <v>https://d0f6bd738d7f1b3e5a7ca70fe4ff75f0.us-east-1.aws.found.io/app/kibana#/discover/Steve-Slow-Train-Analysis-(2080s-and-2083s)?_g=(refreshInterval:(display:Off,pause:!f,section:0,value:0),time:(from:'2017-11-17T09:22:20-0700',mode:absolute,to:'2017-11-17T12:05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62" s="204" t="str">
        <f>IF(AA62&lt;VLOOKUP(AG62,Variables!$AC$3:$AD$8,2,FALSE),"Y","N")</f>
        <v>N</v>
      </c>
      <c r="X62" s="204">
        <f t="shared" si="4"/>
        <v>1</v>
      </c>
      <c r="Y62" s="204">
        <f t="shared" si="19"/>
        <v>23.295300000000001</v>
      </c>
      <c r="Z62" s="204">
        <f t="shared" si="20"/>
        <v>2.1100000000000001E-2</v>
      </c>
      <c r="AA62" s="204">
        <f t="shared" si="7"/>
        <v>23.2742</v>
      </c>
      <c r="AB62" s="54" t="e">
        <f>VLOOKUP(A62,Enforcements!$C$7:$K$9,8,0)</f>
        <v>#N/A</v>
      </c>
      <c r="AC62" s="51" t="e">
        <f>VLOOKUP(A62,Enforcements!$C$7:$E$9,3,0)</f>
        <v>#N/A</v>
      </c>
      <c r="AD62" s="179">
        <f t="shared" si="8"/>
        <v>148</v>
      </c>
      <c r="AE62" s="77" t="str">
        <f t="shared" si="9"/>
        <v>aws s3 cp s3://rtdc.mdm.uploadarchive.raw/RTDC4035/ "%USERPROFILE%\AppData\Local\Temp\OnboardLogs"\RTDC4035\2017-11-17 --exclude "*" --recursive --include "*20171117*" &amp; "%USERPROFILE%\Documents\GitHub\mrs-test-scripts\Headless Mode &amp; Sideloading\WalkAndUnGZ.bat" "%USERPROFILE%\AppData\Local\Temp\OnboardLogs"\RTDC4035\2017-11-17 &amp; aws s3 cp s3://rtdc.mdm.uploadarchive.raw/RTDC4035/ "%USERPROFILE%\AppData\Local\Temp\OnboardLogs"\RTDC4035\2017-11-18 --exclude "*" --recursive --include "*20171118*" &amp; "%USERPROFILE%\Documents\GitHub\mrs-test-scripts\Headless Mode &amp; Sideloading\WalkAndUnGZ.bat" "%USERPROFILE%\AppData\Local\Temp\OnboardLogs"\RTDC4035\2017-11-18</v>
      </c>
      <c r="AF62" s="74" t="str">
        <f t="shared" si="10"/>
        <v>"C:\Program Files (x86)\AstroGrep\AstroGrep.exe" /e /r /s /spath="%USERPROFILE%\AppData\Local\Temp\OnboardLogs" /stypes="app*4035*20171117*" /stext=" 18:.+((SYSTEM_STATE.+slice.+state.+changed )|(ment ac)|(multiple cpu faults)|(system.+state.+changed )|(\[timeout)|(PRM\|1\|D)|(kpr)|(kdp)|(train st.+moving)|(\|lc)|(penalty))"</v>
      </c>
      <c r="AG62" s="182" t="str">
        <f t="shared" si="11"/>
        <v>EC</v>
      </c>
      <c r="AH62" s="78" t="str">
        <f t="shared" si="12"/>
        <v>"%USERPROFILE%\Documents\GitHub\eaglep3\Utilities\RefineRTDCRunTimes.py" --tripid 148-17 --locoid 4035 --swversion DE.1.0.9.0 --startMP 204:232953 --initTime 2017-11-17T10:22:20 --startdatetime 2017-11-17T10:28:29 --delay 62 --endMP 204:211 --enddatetime 2017-11-17T11:05:47 --enforcementcount 1 &gt;&gt;%USERPROFILE%\Documents\GitHub\eaglep3-reporting\EC\2017-11-17-refined-times.txt</v>
      </c>
      <c r="AI62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{"issue":{"subject":"","project_id":79,"tracker_id":40,"status_id":1,"priority_id":2,"assigned_to_id":338,"start_date":"2017-11-17","description":"","custom_fields":[{"id":1,"name":"Subdivision","value":"EC"},{"id":4,"name":"Milepost","value":"0.0211"},{"id":17,"name":"Train ID","value":"148-17"},{"id":16,"name":"Locomotive ID","value":"4035"},{"id":130,"name":"Impact","value":""},{"id":150,"name":"Time of Event (Mountain Time)","value":"11:05:47"},{"id":151,"name":"Denver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2" s="20"/>
      <c r="AK62" s="47"/>
      <c r="AL62" s="47"/>
      <c r="AM62" s="142" t="str">
        <f t="shared" si="14"/>
        <v>start /low /b %USERPROFILE%\Documents\GitHub\eaglep3\Utilities\DownloadLogsFromS3.py --loco 4035 --day 2017-11-17</v>
      </c>
      <c r="AN62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18:05:47"},{"id":29,"name":"Sharepoint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168" t="str">
        <f t="shared" si="16"/>
        <v>https://d0f6bd738d7f1b3e5a7ca70fe4ff75f0.us-east-1.aws.found.io/app/kibana#/discover/Steve-Slow-Train-Analysis-(2080s-and-2083s)?_g=(refreshInterval:(display:Off,pause:!f,section:0,value:0),time:(from:'2017-11-17T09:22:20-0700',mode:absolute,to:'2017-11-17T12:05:47-0700'))&amp;_a=(columns:!('Message%20ID',Summary),filters:!(),index:'emp_*',interval:auto,query:(query_string:(analyze_wildcard:!t,query:'%22rtdc.l.rtdc.4035%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3">
      <c r="A63" s="32" t="s">
        <v>731</v>
      </c>
      <c r="B63" s="7">
        <v>4042</v>
      </c>
      <c r="C63" s="21" t="s">
        <v>192</v>
      </c>
      <c r="D63" s="21" t="s">
        <v>460</v>
      </c>
      <c r="E63" s="13">
        <v>43056.401944444442</v>
      </c>
      <c r="F63" s="13">
        <v>43056.406631944446</v>
      </c>
      <c r="G63" s="7">
        <v>81</v>
      </c>
      <c r="H63" s="21" t="s">
        <v>949</v>
      </c>
      <c r="I63" s="13">
        <v>43056.431284722225</v>
      </c>
      <c r="J63" s="7">
        <v>1</v>
      </c>
      <c r="K63" s="89" t="str">
        <f t="shared" si="0"/>
        <v>4041/4042</v>
      </c>
      <c r="L63" s="185" t="str">
        <f>VLOOKUP(A63,'Trips&amp;Operators'!$C$1:$G$99911,5,FALSE)</f>
        <v>STRICKLAND EVAN</v>
      </c>
      <c r="M63" s="6">
        <f t="shared" si="1"/>
        <v>2.4652777778101154E-2</v>
      </c>
      <c r="N63" s="7">
        <f t="shared" si="21"/>
        <v>35.500000000465661</v>
      </c>
      <c r="O63" s="7"/>
      <c r="P63" s="7"/>
      <c r="Q63" s="22"/>
      <c r="R63" s="174"/>
      <c r="S63" s="221">
        <f t="shared" si="22"/>
        <v>1</v>
      </c>
      <c r="T63" s="174" t="str">
        <f t="shared" si="2"/>
        <v>NorthBound</v>
      </c>
      <c r="U63" s="198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16" t="str">
        <f t="shared" si="3"/>
        <v>https://d0f6bd738d7f1b3e5a7ca70fe4ff75f0.us-east-1.aws.found.io/app/kibana#/discover/Steve-Slow-Train-Analysis-(2080s-and-2083s)?_g=(refreshInterval:(display:Off,pause:!f,section:0,value:0),time:(from:'2017-11-17T08:38:48-0700',mode:absolute,to:'2017-11-17T11:21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63" s="204" t="str">
        <f>IF(AA63&lt;VLOOKUP(AG63,Variables!$AC$3:$AD$8,2,FALSE),"Y","N")</f>
        <v>N</v>
      </c>
      <c r="X63" s="204">
        <f t="shared" si="4"/>
        <v>1</v>
      </c>
      <c r="Y63" s="204">
        <f t="shared" si="19"/>
        <v>5.28E-2</v>
      </c>
      <c r="Z63" s="204">
        <f t="shared" si="20"/>
        <v>23.3247</v>
      </c>
      <c r="AA63" s="204">
        <f t="shared" si="7"/>
        <v>23.271899999999999</v>
      </c>
      <c r="AB63" s="54" t="e">
        <f>VLOOKUP(A63,Enforcements!$C$7:$K$9,8,0)</f>
        <v>#N/A</v>
      </c>
      <c r="AC63" s="51" t="e">
        <f>VLOOKUP(A63,Enforcements!$C$7:$E$9,3,0)</f>
        <v>#N/A</v>
      </c>
      <c r="AD63" s="179">
        <f t="shared" si="8"/>
        <v>149</v>
      </c>
      <c r="AE63" s="77" t="str">
        <f t="shared" si="9"/>
        <v>aws s3 cp s3://rtdc.mdm.uploadarchive.raw/RTDC4042/ "%USERPROFILE%\AppData\Local\Temp\OnboardLogs"\RTDC4042\2017-11-17 --exclude "*" --recursive --include "*20171117*" &amp; "%USERPROFILE%\Documents\GitHub\mrs-test-scripts\Headless Mode &amp; Sideloading\WalkAndUnGZ.bat" "%USERPROFILE%\AppData\Local\Temp\OnboardLogs"\RTDC4042\2017-11-17 &amp; aws s3 cp s3://rtdc.mdm.uploadarchive.raw/RTDC4042/ "%USERPROFILE%\AppData\Local\Temp\OnboardLogs"\RTDC4042\2017-11-18 --exclude "*" --recursive --include "*20171118*" &amp; "%USERPROFILE%\Documents\GitHub\mrs-test-scripts\Headless Mode &amp; Sideloading\WalkAndUnGZ.bat" "%USERPROFILE%\AppData\Local\Temp\OnboardLogs"\RTDC4042\2017-11-18</v>
      </c>
      <c r="AF63" s="74" t="str">
        <f t="shared" si="10"/>
        <v>"C:\Program Files (x86)\AstroGrep\AstroGrep.exe" /e /r /s /spath="%USERPROFILE%\AppData\Local\Temp\OnboardLogs" /stypes="app*4042*20171117*" /stext=" 17:.+((SYSTEM_STATE.+slice.+state.+changed )|(ment ac)|(multiple cpu faults)|(system.+state.+changed )|(\[timeout)|(PRM\|1\|D)|(kpr)|(kdp)|(train st.+moving)|(\|lc)|(penalty))"</v>
      </c>
      <c r="AG63" s="182" t="str">
        <f t="shared" si="11"/>
        <v>EC</v>
      </c>
      <c r="AH63" s="78" t="str">
        <f t="shared" si="12"/>
        <v>"%USERPROFILE%\Documents\GitHub\eaglep3\Utilities\RefineRTDCRunTimes.py" --tripid 149-17 --locoid 4042 --swversion DE.1.0.9.0 --startMP 204:528 --initTime 2017-11-17T09:38:48 --startdatetime 2017-11-17T09:45:33 --delay 81 --endMP 204:233247 --enddatetime 2017-11-17T10:21:03 --enforcementcount 1 &gt;&gt;%USERPROFILE%\Documents\GitHub\eaglep3-reporting\EC\2017-11-17-refined-times.txt</v>
      </c>
      <c r="AI63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{"issue":{"subject":"","project_id":79,"tracker_id":40,"status_id":1,"priority_id":2,"assigned_to_id":338,"start_date":"2017-11-17","description":"","custom_fields":[{"id":1,"name":"Subdivision","value":"EC"},{"id":4,"name":"Milepost","value":"23.3247"},{"id":17,"name":"Train ID","value":"149-17"},{"id":16,"name":"Locomotive ID","value":"4042"},{"id":130,"name":"Impact","value":""},{"id":150,"name":"Time of Event (Mountain Time)","value":"10:21:03"},{"id":151,"name":"Denver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3" s="20"/>
      <c r="AK63" s="47"/>
      <c r="AL63" s="47"/>
      <c r="AM63" s="142" t="str">
        <f t="shared" si="14"/>
        <v>start /low /b %USERPROFILE%\Documents\GitHub\eaglep3\Utilities\DownloadLogsFromS3.py --loco 4042 --day 2017-11-17</v>
      </c>
      <c r="AN63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17:21:03"},{"id":29,"name":"Sharepoint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168" t="str">
        <f t="shared" si="16"/>
        <v>https://d0f6bd738d7f1b3e5a7ca70fe4ff75f0.us-east-1.aws.found.io/app/kibana#/discover/Steve-Slow-Train-Analysis-(2080s-and-2083s)?_g=(refreshInterval:(display:Off,pause:!f,section:0,value:0),time:(from:'2017-11-17T08:38:48-0700',mode:absolute,to:'2017-11-17T11:21:03-0700'))&amp;_a=(columns:!('Message%20ID',Summary),filters:!(),index:'emp_*',interval:auto,query:(query_string:(analyze_wildcard:!t,query:'%22rtdc.l.rtdc.4042%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3">
      <c r="A64" s="32" t="s">
        <v>641</v>
      </c>
      <c r="B64" s="7">
        <v>4041</v>
      </c>
      <c r="C64" s="21" t="s">
        <v>192</v>
      </c>
      <c r="D64" s="21" t="s">
        <v>909</v>
      </c>
      <c r="E64" s="13">
        <v>43056.433298611111</v>
      </c>
      <c r="F64" s="13">
        <v>43056.446145833332</v>
      </c>
      <c r="G64" s="7">
        <v>81</v>
      </c>
      <c r="H64" s="21" t="s">
        <v>527</v>
      </c>
      <c r="I64" s="13">
        <v>43056.47347222222</v>
      </c>
      <c r="J64" s="7">
        <v>1</v>
      </c>
      <c r="K64" s="89" t="str">
        <f t="shared" si="0"/>
        <v>4041/4042</v>
      </c>
      <c r="L64" s="185" t="str">
        <f>VLOOKUP(A64,'Trips&amp;Operators'!$C$1:$G$99911,5,FALSE)</f>
        <v>STRICKLAND EVAN</v>
      </c>
      <c r="M64" s="6">
        <f t="shared" si="1"/>
        <v>2.73263888884685E-2</v>
      </c>
      <c r="N64" s="7">
        <f t="shared" si="21"/>
        <v>39.34999999939464</v>
      </c>
      <c r="O64" s="7"/>
      <c r="P64" s="7"/>
      <c r="Q64" s="22"/>
      <c r="R64" s="174"/>
      <c r="S64" s="221">
        <f t="shared" si="22"/>
        <v>1</v>
      </c>
      <c r="T64" s="174" t="str">
        <f t="shared" si="2"/>
        <v>Southbound</v>
      </c>
      <c r="U64" s="198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16" t="str">
        <f t="shared" si="3"/>
        <v>https://d0f6bd738d7f1b3e5a7ca70fe4ff75f0.us-east-1.aws.found.io/app/kibana#/discover/Steve-Slow-Train-Analysis-(2080s-and-2083s)?_g=(refreshInterval:(display:Off,pause:!f,section:0,value:0),time:(from:'2017-11-17T09:23:57-0700',mode:absolute,to:'2017-11-17T12:21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64" s="204" t="str">
        <f>IF(AA64&lt;VLOOKUP(AG64,Variables!$AC$3:$AD$8,2,FALSE),"Y","N")</f>
        <v>N</v>
      </c>
      <c r="X64" s="204">
        <f t="shared" si="4"/>
        <v>1</v>
      </c>
      <c r="Y64" s="204">
        <f t="shared" si="19"/>
        <v>23.293199999999999</v>
      </c>
      <c r="Z64" s="204">
        <f t="shared" si="20"/>
        <v>2.23E-2</v>
      </c>
      <c r="AA64" s="204">
        <f t="shared" si="7"/>
        <v>23.270899999999997</v>
      </c>
      <c r="AB64" s="54" t="e">
        <f>VLOOKUP(A64,Enforcements!$C$7:$K$9,8,0)</f>
        <v>#N/A</v>
      </c>
      <c r="AC64" s="51" t="e">
        <f>VLOOKUP(A64,Enforcements!$C$7:$E$9,3,0)</f>
        <v>#N/A</v>
      </c>
      <c r="AD64" s="179">
        <f t="shared" si="8"/>
        <v>150</v>
      </c>
      <c r="AE64" s="77" t="str">
        <f t="shared" si="9"/>
        <v>aws s3 cp s3://rtdc.mdm.uploadarchive.raw/RTDC4041/ "%USERPROFILE%\AppData\Local\Temp\OnboardLogs"\RTDC4041\2017-11-17 --exclude "*" --recursive --include "*20171117*" &amp; "%USERPROFILE%\Documents\GitHub\mrs-test-scripts\Headless Mode &amp; Sideloading\WalkAndUnGZ.bat" "%USERPROFILE%\AppData\Local\Temp\OnboardLogs"\RTDC4041\2017-11-17 &amp; aws s3 cp s3://rtdc.mdm.uploadarchive.raw/RTDC4041/ "%USERPROFILE%\AppData\Local\Temp\OnboardLogs"\RTDC4041\2017-11-18 --exclude "*" --recursive --include "*20171118*" &amp; "%USERPROFILE%\Documents\GitHub\mrs-test-scripts\Headless Mode &amp; Sideloading\WalkAndUnGZ.bat" "%USERPROFILE%\AppData\Local\Temp\OnboardLogs"\RTDC4041\2017-11-18</v>
      </c>
      <c r="AF64" s="74" t="str">
        <f t="shared" si="10"/>
        <v>"C:\Program Files (x86)\AstroGrep\AstroGrep.exe" /e /r /s /spath="%USERPROFILE%\AppData\Local\Temp\OnboardLogs" /stypes="app*4041*20171117*" /stext=" 18:.+((SYSTEM_STATE.+slice.+state.+changed )|(ment ac)|(multiple cpu faults)|(system.+state.+changed )|(\[timeout)|(PRM\|1\|D)|(kpr)|(kdp)|(train st.+moving)|(\|lc)|(penalty))"</v>
      </c>
      <c r="AG64" s="182" t="str">
        <f t="shared" si="11"/>
        <v>EC</v>
      </c>
      <c r="AH64" s="78" t="str">
        <f t="shared" si="12"/>
        <v>"%USERPROFILE%\Documents\GitHub\eaglep3\Utilities\RefineRTDCRunTimes.py" --tripid 150-17 --locoid 4041 --swversion DE.1.0.9.0 --startMP 204:232932 --initTime 2017-11-17T10:23:57 --startdatetime 2017-11-17T10:42:27 --delay 81 --endMP 204:223 --enddatetime 2017-11-17T11:21:48 --enforcementcount 1 &gt;&gt;%USERPROFILE%\Documents\GitHub\eaglep3-reporting\EC\2017-11-17-refined-times.txt</v>
      </c>
      <c r="AI64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{"issue":{"subject":"","project_id":79,"tracker_id":40,"status_id":1,"priority_id":2,"assigned_to_id":338,"start_date":"2017-11-17","description":"","custom_fields":[{"id":1,"name":"Subdivision","value":"EC"},{"id":4,"name":"Milepost","value":"0.0223"},{"id":17,"name":"Train ID","value":"150-17"},{"id":16,"name":"Locomotive ID","value":"4041"},{"id":130,"name":"Impact","value":""},{"id":150,"name":"Time of Event (Mountain Time)","value":"11:21:48"},{"id":151,"name":"Denver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4" s="20"/>
      <c r="AK64" s="47"/>
      <c r="AL64" s="47"/>
      <c r="AM64" s="142" t="str">
        <f t="shared" si="14"/>
        <v>start /low /b %USERPROFILE%\Documents\GitHub\eaglep3\Utilities\DownloadLogsFromS3.py --loco 4041 --day 2017-11-17</v>
      </c>
      <c r="AN64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18:21:48"},{"id":29,"name":"Sharepoint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168" t="str">
        <f t="shared" si="16"/>
        <v>https://d0f6bd738d7f1b3e5a7ca70fe4ff75f0.us-east-1.aws.found.io/app/kibana#/discover/Steve-Slow-Train-Analysis-(2080s-and-2083s)?_g=(refreshInterval:(display:Off,pause:!f,section:0,value:0),time:(from:'2017-11-17T09:23:57-0700',mode:absolute,to:'2017-11-17T12:21:48-0700'))&amp;_a=(columns:!('Message%20ID',Summary),filters:!(),index:'emp_*',interval:auto,query:(query_string:(analyze_wildcard:!t,query:'%22rtdc.l.rtdc.4041%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3">
      <c r="A65" s="32" t="s">
        <v>735</v>
      </c>
      <c r="B65" s="7">
        <v>4040</v>
      </c>
      <c r="C65" s="21" t="s">
        <v>192</v>
      </c>
      <c r="D65" s="21" t="s">
        <v>587</v>
      </c>
      <c r="E65" s="13">
        <v>43056.414039351854</v>
      </c>
      <c r="F65" s="13">
        <v>43056.416886574072</v>
      </c>
      <c r="G65" s="7">
        <v>50</v>
      </c>
      <c r="H65" s="21" t="s">
        <v>521</v>
      </c>
      <c r="I65" s="13">
        <v>43056.442106481481</v>
      </c>
      <c r="J65" s="7">
        <v>1</v>
      </c>
      <c r="K65" s="89" t="str">
        <f t="shared" si="0"/>
        <v>4039/4040</v>
      </c>
      <c r="L65" s="185" t="str">
        <f>VLOOKUP(A65,'Trips&amp;Operators'!$C$1:$G$99911,5,FALSE)</f>
        <v>HUFFSMITH MONTY</v>
      </c>
      <c r="M65" s="6">
        <f t="shared" si="1"/>
        <v>2.5219907409336884E-2</v>
      </c>
      <c r="N65" s="7">
        <f t="shared" si="21"/>
        <v>36.316666669445112</v>
      </c>
      <c r="O65" s="7"/>
      <c r="P65" s="7"/>
      <c r="Q65" s="22"/>
      <c r="R65" s="174"/>
      <c r="S65" s="221">
        <f t="shared" si="22"/>
        <v>1</v>
      </c>
      <c r="T65" s="174" t="str">
        <f t="shared" si="2"/>
        <v>NorthBound</v>
      </c>
      <c r="U65" s="198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16" t="str">
        <f t="shared" si="3"/>
        <v>https://d0f6bd738d7f1b3e5a7ca70fe4ff75f0.us-east-1.aws.found.io/app/kibana#/discover/Steve-Slow-Train-Analysis-(2080s-and-2083s)?_g=(refreshInterval:(display:Off,pause:!f,section:0,value:0),time:(from:'2017-11-17T08:56:13-0700',mode:absolute,to:'2017-11-17T11:36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65" s="204" t="str">
        <f>IF(AA65&lt;VLOOKUP(AG65,Variables!$AC$3:$AD$8,2,FALSE),"Y","N")</f>
        <v>N</v>
      </c>
      <c r="X65" s="204">
        <f t="shared" si="4"/>
        <v>1</v>
      </c>
      <c r="Y65" s="204">
        <f t="shared" si="19"/>
        <v>5.3900000000000003E-2</v>
      </c>
      <c r="Z65" s="204">
        <f t="shared" si="20"/>
        <v>23.327400000000001</v>
      </c>
      <c r="AA65" s="204">
        <f t="shared" si="7"/>
        <v>23.273500000000002</v>
      </c>
      <c r="AB65" s="54" t="e">
        <f>VLOOKUP(A65,Enforcements!$C$7:$K$9,8,0)</f>
        <v>#N/A</v>
      </c>
      <c r="AC65" s="51" t="e">
        <f>VLOOKUP(A65,Enforcements!$C$7:$E$9,3,0)</f>
        <v>#N/A</v>
      </c>
      <c r="AD65" s="179">
        <f t="shared" si="8"/>
        <v>151</v>
      </c>
      <c r="AE65" s="77" t="str">
        <f t="shared" si="9"/>
        <v>aws s3 cp s3://rtdc.mdm.uploadarchive.raw/RTDC4040/ "%USERPROFILE%\AppData\Local\Temp\OnboardLogs"\RTDC4040\2017-11-17 --exclude "*" --recursive --include "*20171117*" &amp; "%USERPROFILE%\Documents\GitHub\mrs-test-scripts\Headless Mode &amp; Sideloading\WalkAndUnGZ.bat" "%USERPROFILE%\AppData\Local\Temp\OnboardLogs"\RTDC4040\2017-11-17 &amp; aws s3 cp s3://rtdc.mdm.uploadarchive.raw/RTDC4040/ "%USERPROFILE%\AppData\Local\Temp\OnboardLogs"\RTDC4040\2017-11-18 --exclude "*" --recursive --include "*20171118*" &amp; "%USERPROFILE%\Documents\GitHub\mrs-test-scripts\Headless Mode &amp; Sideloading\WalkAndUnGZ.bat" "%USERPROFILE%\AppData\Local\Temp\OnboardLogs"\RTDC4040\2017-11-18</v>
      </c>
      <c r="AF65" s="74" t="str">
        <f t="shared" si="10"/>
        <v>"C:\Program Files (x86)\AstroGrep\AstroGrep.exe" /e /r /s /spath="%USERPROFILE%\AppData\Local\Temp\OnboardLogs" /stypes="app*4040*20171117*" /stext=" 17:.+((SYSTEM_STATE.+slice.+state.+changed )|(ment ac)|(multiple cpu faults)|(system.+state.+changed )|(\[timeout)|(PRM\|1\|D)|(kpr)|(kdp)|(train st.+moving)|(\|lc)|(penalty))"</v>
      </c>
      <c r="AG65" s="182" t="str">
        <f t="shared" si="11"/>
        <v>EC</v>
      </c>
      <c r="AH65" s="78" t="str">
        <f t="shared" si="12"/>
        <v>"%USERPROFILE%\Documents\GitHub\eaglep3\Utilities\RefineRTDCRunTimes.py" --tripid 151-17 --locoid 4040 --swversion DE.1.0.9.0 --startMP 204:539 --initTime 2017-11-17T09:56:13 --startdatetime 2017-11-17T10:00:19 --delay 50 --endMP 204:233274 --enddatetime 2017-11-17T10:36:38 --enforcementcount 1 &gt;&gt;%USERPROFILE%\Documents\GitHub\eaglep3-reporting\EC\2017-11-17-refined-times.txt</v>
      </c>
      <c r="AI65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{"issue":{"subject":"","project_id":79,"tracker_id":40,"status_id":1,"priority_id":2,"assigned_to_id":338,"start_date":"2017-11-17","description":"","custom_fields":[{"id":1,"name":"Subdivision","value":"EC"},{"id":4,"name":"Milepost","value":"23.3274"},{"id":17,"name":"Train ID","value":"151-17"},{"id":16,"name":"Locomotive ID","value":"4040"},{"id":130,"name":"Impact","value":""},{"id":150,"name":"Time of Event (Mountain Time)","value":"10:36:38"},{"id":151,"name":"Denver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5" s="20"/>
      <c r="AK65" s="47"/>
      <c r="AL65" s="47"/>
      <c r="AM65" s="142" t="str">
        <f t="shared" si="14"/>
        <v>start /low /b %USERPROFILE%\Documents\GitHub\eaglep3\Utilities\DownloadLogsFromS3.py --loco 4040 --day 2017-11-17</v>
      </c>
      <c r="AN65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17:36:38"},{"id":29,"name":"Sharepoint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168" t="str">
        <f t="shared" si="16"/>
        <v>https://d0f6bd738d7f1b3e5a7ca70fe4ff75f0.us-east-1.aws.found.io/app/kibana#/discover/Steve-Slow-Train-Analysis-(2080s-and-2083s)?_g=(refreshInterval:(display:Off,pause:!f,section:0,value:0),time:(from:'2017-11-17T08:56:13-0700',mode:absolute,to:'2017-11-17T11:36:38-0700'))&amp;_a=(columns:!('Message%20ID',Summary),filters:!(),index:'emp_*',interval:auto,query:(query_string:(analyze_wildcard:!t,query:'%22rtdc.l.rtdc.4040%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3">
      <c r="A66" s="32" t="s">
        <v>744</v>
      </c>
      <c r="B66" s="7">
        <v>4039</v>
      </c>
      <c r="C66" s="21" t="s">
        <v>192</v>
      </c>
      <c r="D66" s="21" t="s">
        <v>914</v>
      </c>
      <c r="E66" s="13">
        <v>43056.449270833335</v>
      </c>
      <c r="F66" s="13">
        <v>43056.456585648149</v>
      </c>
      <c r="G66" s="7">
        <v>50</v>
      </c>
      <c r="H66" s="21" t="s">
        <v>520</v>
      </c>
      <c r="I66" s="13">
        <v>43056.483101851853</v>
      </c>
      <c r="J66" s="7">
        <v>1</v>
      </c>
      <c r="K66" s="89" t="str">
        <f t="shared" si="0"/>
        <v>4039/4040</v>
      </c>
      <c r="L66" s="185" t="str">
        <f>VLOOKUP(A66,'Trips&amp;Operators'!$C$1:$G$99911,5,FALSE)</f>
        <v>HUFFSMITH MONTY</v>
      </c>
      <c r="M66" s="6">
        <f t="shared" si="1"/>
        <v>2.6516203703067731E-2</v>
      </c>
      <c r="N66" s="7">
        <f t="shared" si="21"/>
        <v>38.183333332417533</v>
      </c>
      <c r="O66" s="7"/>
      <c r="P66" s="7"/>
      <c r="Q66" s="22"/>
      <c r="R66" s="174"/>
      <c r="S66" s="221">
        <f t="shared" si="22"/>
        <v>1</v>
      </c>
      <c r="T66" s="174" t="str">
        <f t="shared" si="2"/>
        <v>Southbound</v>
      </c>
      <c r="U66" s="198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16" t="str">
        <f t="shared" si="3"/>
        <v>https://d0f6bd738d7f1b3e5a7ca70fe4ff75f0.us-east-1.aws.found.io/app/kibana#/discover/Steve-Slow-Train-Analysis-(2080s-and-2083s)?_g=(refreshInterval:(display:Off,pause:!f,section:0,value:0),time:(from:'2017-11-17T09:46:57-0700',mode:absolute,to:'2017-11-17T12:35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66" s="204" t="str">
        <f>IF(AA66&lt;VLOOKUP(AG66,Variables!$AC$3:$AD$8,2,FALSE),"Y","N")</f>
        <v>N</v>
      </c>
      <c r="X66" s="204">
        <f t="shared" si="4"/>
        <v>1</v>
      </c>
      <c r="Y66" s="204">
        <f t="shared" si="19"/>
        <v>23.2974</v>
      </c>
      <c r="Z66" s="204">
        <f t="shared" si="20"/>
        <v>1.6899999999999998E-2</v>
      </c>
      <c r="AA66" s="204">
        <f t="shared" si="7"/>
        <v>23.2805</v>
      </c>
      <c r="AB66" s="54" t="e">
        <f>VLOOKUP(A66,Enforcements!$C$7:$K$9,8,0)</f>
        <v>#N/A</v>
      </c>
      <c r="AC66" s="51" t="e">
        <f>VLOOKUP(A66,Enforcements!$C$7:$E$9,3,0)</f>
        <v>#N/A</v>
      </c>
      <c r="AD66" s="179">
        <f t="shared" si="8"/>
        <v>152</v>
      </c>
      <c r="AE66" s="77" t="str">
        <f t="shared" si="9"/>
        <v>aws s3 cp s3://rtdc.mdm.uploadarchive.raw/RTDC4039/ "%USERPROFILE%\AppData\Local\Temp\OnboardLogs"\RTDC4039\2017-11-17 --exclude "*" --recursive --include "*20171117*" &amp; "%USERPROFILE%\Documents\GitHub\mrs-test-scripts\Headless Mode &amp; Sideloading\WalkAndUnGZ.bat" "%USERPROFILE%\AppData\Local\Temp\OnboardLogs"\RTDC4039\2017-11-17 &amp; aws s3 cp s3://rtdc.mdm.uploadarchive.raw/RTDC4039/ "%USERPROFILE%\AppData\Local\Temp\OnboardLogs"\RTDC4039\2017-11-18 --exclude "*" --recursive --include "*20171118*" &amp; "%USERPROFILE%\Documents\GitHub\mrs-test-scripts\Headless Mode &amp; Sideloading\WalkAndUnGZ.bat" "%USERPROFILE%\AppData\Local\Temp\OnboardLogs"\RTDC4039\2017-11-18</v>
      </c>
      <c r="AF66" s="74" t="str">
        <f t="shared" si="10"/>
        <v>"C:\Program Files (x86)\AstroGrep\AstroGrep.exe" /e /r /s /spath="%USERPROFILE%\AppData\Local\Temp\OnboardLogs" /stypes="app*4039*20171117*" /stext=" 18:.+((SYSTEM_STATE.+slice.+state.+changed )|(ment ac)|(multiple cpu faults)|(system.+state.+changed )|(\[timeout)|(PRM\|1\|D)|(kpr)|(kdp)|(train st.+moving)|(\|lc)|(penalty))"</v>
      </c>
      <c r="AG66" s="182" t="str">
        <f t="shared" si="11"/>
        <v>EC</v>
      </c>
      <c r="AH66" s="78" t="str">
        <f t="shared" si="12"/>
        <v>"%USERPROFILE%\Documents\GitHub\eaglep3\Utilities\RefineRTDCRunTimes.py" --tripid 152-17 --locoid 4039 --swversion DE.1.0.9.0 --startMP 204:232974 --initTime 2017-11-17T10:46:57 --startdatetime 2017-11-17T10:57:29 --delay 50 --endMP 204:169 --enddatetime 2017-11-17T11:35:40 --enforcementcount 1 &gt;&gt;%USERPROFILE%\Documents\GitHub\eaglep3-reporting\EC\2017-11-17-refined-times.txt</v>
      </c>
      <c r="AI66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{"issue":{"subject":"","project_id":79,"tracker_id":40,"status_id":1,"priority_id":2,"assigned_to_id":338,"start_date":"2017-11-17","description":"","custom_fields":[{"id":1,"name":"Subdivision","value":"EC"},{"id":4,"name":"Milepost","value":"0.0169"},{"id":17,"name":"Train ID","value":"152-17"},{"id":16,"name":"Locomotive ID","value":"4039"},{"id":130,"name":"Impact","value":""},{"id":150,"name":"Time of Event (Mountain Time)","value":"11:35:40"},{"id":151,"name":"Denver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6" s="20"/>
      <c r="AK66" s="47"/>
      <c r="AL66" s="47"/>
      <c r="AM66" s="142" t="str">
        <f t="shared" si="14"/>
        <v>start /low /b %USERPROFILE%\Documents\GitHub\eaglep3\Utilities\DownloadLogsFromS3.py --loco 4039 --day 2017-11-17</v>
      </c>
      <c r="AN66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18:35:40"},{"id":29,"name":"Sharepoint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168" t="str">
        <f t="shared" si="16"/>
        <v>https://d0f6bd738d7f1b3e5a7ca70fe4ff75f0.us-east-1.aws.found.io/app/kibana#/discover/Steve-Slow-Train-Analysis-(2080s-and-2083s)?_g=(refreshInterval:(display:Off,pause:!f,section:0,value:0),time:(from:'2017-11-17T09:46:57-0700',mode:absolute,to:'2017-11-17T12:35:40-0700'))&amp;_a=(columns:!('Message%20ID',Summary),filters:!(),index:'emp_*',interval:auto,query:(query_string:(analyze_wildcard:!t,query:'%22rtdc.l.rtdc.4039%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3">
      <c r="A67" s="32" t="s">
        <v>736</v>
      </c>
      <c r="B67" s="7">
        <v>4066</v>
      </c>
      <c r="C67" s="21" t="s">
        <v>192</v>
      </c>
      <c r="D67" s="21" t="s">
        <v>950</v>
      </c>
      <c r="E67" s="13">
        <v>43056.423125000001</v>
      </c>
      <c r="F67" s="13">
        <v>43056.427256944444</v>
      </c>
      <c r="G67" s="7">
        <v>92</v>
      </c>
      <c r="H67" s="21" t="s">
        <v>467</v>
      </c>
      <c r="I67" s="13">
        <v>43056.452361111114</v>
      </c>
      <c r="J67" s="7">
        <v>1</v>
      </c>
      <c r="K67" s="89" t="str">
        <f t="shared" si="0"/>
        <v>4065/4066</v>
      </c>
      <c r="L67" s="185" t="str">
        <f>VLOOKUP(A67,'Trips&amp;Operators'!$C$1:$G$99911,5,FALSE)</f>
        <v>WILLIAMS DONTE</v>
      </c>
      <c r="M67" s="6">
        <f t="shared" si="1"/>
        <v>2.510416667064419E-2</v>
      </c>
      <c r="N67" s="7">
        <f t="shared" si="21"/>
        <v>36.150000005727634</v>
      </c>
      <c r="O67" s="7"/>
      <c r="P67" s="7"/>
      <c r="Q67" s="22"/>
      <c r="R67" s="174"/>
      <c r="S67" s="221">
        <f t="shared" si="22"/>
        <v>1</v>
      </c>
      <c r="T67" s="174" t="str">
        <f t="shared" si="2"/>
        <v>NorthBound</v>
      </c>
      <c r="U67" s="198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16" t="str">
        <f t="shared" si="3"/>
        <v>https://d0f6bd738d7f1b3e5a7ca70fe4ff75f0.us-east-1.aws.found.io/app/kibana#/discover/Steve-Slow-Train-Analysis-(2080s-and-2083s)?_g=(refreshInterval:(display:Off,pause:!f,section:0,value:0),time:(from:'2017-11-17T09:09:18-0700',mode:absolute,to:'2017-11-17T11:51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67" s="204" t="str">
        <f>IF(AA67&lt;VLOOKUP(AG67,Variables!$AC$3:$AD$8,2,FALSE),"Y","N")</f>
        <v>N</v>
      </c>
      <c r="X67" s="204">
        <f t="shared" si="4"/>
        <v>1</v>
      </c>
      <c r="Y67" s="204">
        <f t="shared" si="19"/>
        <v>4.3999999999999997E-2</v>
      </c>
      <c r="Z67" s="204">
        <f t="shared" si="20"/>
        <v>23.325900000000001</v>
      </c>
      <c r="AA67" s="204">
        <f t="shared" si="7"/>
        <v>23.2819</v>
      </c>
      <c r="AB67" s="54" t="e">
        <f>VLOOKUP(A67,Enforcements!$C$7:$K$9,8,0)</f>
        <v>#N/A</v>
      </c>
      <c r="AC67" s="51" t="e">
        <f>VLOOKUP(A67,Enforcements!$C$7:$E$9,3,0)</f>
        <v>#N/A</v>
      </c>
      <c r="AD67" s="179">
        <f t="shared" si="8"/>
        <v>153</v>
      </c>
      <c r="AE67" s="77" t="str">
        <f t="shared" si="9"/>
        <v>aws s3 cp s3://rtdc.mdm.uploadarchive.raw/RTDC4066/ "%USERPROFILE%\AppData\Local\Temp\OnboardLogs"\RTDC4066\2017-11-17 --exclude "*" --recursive --include "*20171117*" &amp; "%USERPROFILE%\Documents\GitHub\mrs-test-scripts\Headless Mode &amp; Sideloading\WalkAndUnGZ.bat" "%USERPROFILE%\AppData\Local\Temp\OnboardLogs"\RTDC4066\2017-11-17 &amp; aws s3 cp s3://rtdc.mdm.uploadarchive.raw/RTDC4066/ "%USERPROFILE%\AppData\Local\Temp\OnboardLogs"\RTDC4066\2017-11-18 --exclude "*" --recursive --include "*20171118*" &amp; "%USERPROFILE%\Documents\GitHub\mrs-test-scripts\Headless Mode &amp; Sideloading\WalkAndUnGZ.bat" "%USERPROFILE%\AppData\Local\Temp\OnboardLogs"\RTDC4066\2017-11-18</v>
      </c>
      <c r="AF67" s="74" t="str">
        <f t="shared" si="10"/>
        <v>"C:\Program Files (x86)\AstroGrep\AstroGrep.exe" /e /r /s /spath="%USERPROFILE%\AppData\Local\Temp\OnboardLogs" /stypes="app*4066*20171117*" /stext=" 17:.+((SYSTEM_STATE.+slice.+state.+changed )|(ment ac)|(multiple cpu faults)|(system.+state.+changed )|(\[timeout)|(PRM\|1\|D)|(kpr)|(kdp)|(train st.+moving)|(\|lc)|(penalty))"</v>
      </c>
      <c r="AG67" s="182" t="str">
        <f t="shared" si="11"/>
        <v>EC</v>
      </c>
      <c r="AH67" s="78" t="str">
        <f t="shared" si="12"/>
        <v>"%USERPROFILE%\Documents\GitHub\eaglep3\Utilities\RefineRTDCRunTimes.py" --tripid 153-17 --locoid 4066 --swversion DE.1.0.9.0 --startMP 204:440 --initTime 2017-11-17T10:09:18 --startdatetime 2017-11-17T10:15:15 --delay 92 --endMP 204:233259 --enddatetime 2017-11-17T10:51:24 --enforcementcount 1 &gt;&gt;%USERPROFILE%\Documents\GitHub\eaglep3-reporting\EC\2017-11-17-refined-times.txt</v>
      </c>
      <c r="AI67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{"issue":{"subject":"","project_id":79,"tracker_id":40,"status_id":1,"priority_id":2,"assigned_to_id":338,"start_date":"2017-11-17","description":"","custom_fields":[{"id":1,"name":"Subdivision","value":"EC"},{"id":4,"name":"Milepost","value":"23.3259"},{"id":17,"name":"Train ID","value":"153-17"},{"id":16,"name":"Locomotive ID","value":"4066"},{"id":130,"name":"Impact","value":""},{"id":150,"name":"Time of Event (Mountain Time)","value":"10:51:24"},{"id":151,"name":"Denver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7" s="20"/>
      <c r="AK67" s="47"/>
      <c r="AL67" s="47"/>
      <c r="AM67" s="142" t="str">
        <f t="shared" si="14"/>
        <v>start /low /b %USERPROFILE%\Documents\GitHub\eaglep3\Utilities\DownloadLogsFromS3.py --loco 4066 --day 2017-11-17</v>
      </c>
      <c r="AN67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17:51:24"},{"id":29,"name":"Sharepoint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168" t="str">
        <f t="shared" si="16"/>
        <v>https://d0f6bd738d7f1b3e5a7ca70fe4ff75f0.us-east-1.aws.found.io/app/kibana#/discover/Steve-Slow-Train-Analysis-(2080s-and-2083s)?_g=(refreshInterval:(display:Off,pause:!f,section:0,value:0),time:(from:'2017-11-17T09:09:18-0700',mode:absolute,to:'2017-11-17T11:51:24-0700'))&amp;_a=(columns:!('Message%20ID',Summary),filters:!(),index:'emp_*',interval:auto,query:(query_string:(analyze_wildcard:!t,query:'%22rtdc.l.rtdc.4066%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3">
      <c r="A68" s="32" t="s">
        <v>746</v>
      </c>
      <c r="B68" s="7">
        <v>4065</v>
      </c>
      <c r="C68" s="21" t="s">
        <v>192</v>
      </c>
      <c r="D68" s="21" t="s">
        <v>449</v>
      </c>
      <c r="E68" s="13">
        <v>43056.461689814816</v>
      </c>
      <c r="F68" s="13">
        <v>43056.466851851852</v>
      </c>
      <c r="G68" s="7">
        <v>110</v>
      </c>
      <c r="H68" s="21" t="s">
        <v>921</v>
      </c>
      <c r="I68" s="13">
        <v>43056.497418981482</v>
      </c>
      <c r="J68" s="7">
        <v>1</v>
      </c>
      <c r="K68" s="89" t="str">
        <f t="shared" si="0"/>
        <v>4065/4066</v>
      </c>
      <c r="L68" s="185" t="str">
        <f>VLOOKUP(A68,'Trips&amp;Operators'!$C$1:$G$99911,5,FALSE)</f>
        <v>WILLIAMS DONTE</v>
      </c>
      <c r="M68" s="6">
        <f t="shared" si="1"/>
        <v>3.0567129630071577E-2</v>
      </c>
      <c r="N68" s="7">
        <f t="shared" si="21"/>
        <v>44.01666666730307</v>
      </c>
      <c r="O68" s="7"/>
      <c r="P68" s="7"/>
      <c r="Q68" s="22"/>
      <c r="R68" s="174"/>
      <c r="S68" s="221">
        <f t="shared" si="22"/>
        <v>1</v>
      </c>
      <c r="T68" s="174" t="str">
        <f t="shared" si="2"/>
        <v>Southbound</v>
      </c>
      <c r="U68" s="198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16" t="str">
        <f t="shared" si="3"/>
        <v>https://d0f6bd738d7f1b3e5a7ca70fe4ff75f0.us-east-1.aws.found.io/app/kibana#/discover/Steve-Slow-Train-Analysis-(2080s-and-2083s)?_g=(refreshInterval:(display:Off,pause:!f,section:0,value:0),time:(from:'2017-11-17T10:04:50-0700',mode:absolute,to:'2017-11-17T12:56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68" s="204" t="str">
        <f>IF(AA68&lt;VLOOKUP(AG68,Variables!$AC$3:$AD$8,2,FALSE),"Y","N")</f>
        <v>N</v>
      </c>
      <c r="X68" s="204">
        <f t="shared" si="4"/>
        <v>1</v>
      </c>
      <c r="Y68" s="204">
        <f t="shared" si="19"/>
        <v>23.293800000000001</v>
      </c>
      <c r="Z68" s="204">
        <f t="shared" si="20"/>
        <v>1.7000000000000001E-2</v>
      </c>
      <c r="AA68" s="204">
        <f t="shared" si="7"/>
        <v>23.276800000000001</v>
      </c>
      <c r="AB68" s="54" t="e">
        <f>VLOOKUP(A68,Enforcements!$C$7:$K$9,8,0)</f>
        <v>#N/A</v>
      </c>
      <c r="AC68" s="51" t="e">
        <f>VLOOKUP(A68,Enforcements!$C$7:$E$9,3,0)</f>
        <v>#N/A</v>
      </c>
      <c r="AD68" s="179">
        <f t="shared" si="8"/>
        <v>154</v>
      </c>
      <c r="AE68" s="77" t="str">
        <f t="shared" si="9"/>
        <v>aws s3 cp s3://rtdc.mdm.uploadarchive.raw/RTDC4065/ "%USERPROFILE%\AppData\Local\Temp\OnboardLogs"\RTDC4065\2017-11-17 --exclude "*" --recursive --include "*20171117*" &amp; "%USERPROFILE%\Documents\GitHub\mrs-test-scripts\Headless Mode &amp; Sideloading\WalkAndUnGZ.bat" "%USERPROFILE%\AppData\Local\Temp\OnboardLogs"\RTDC4065\2017-11-17 &amp; aws s3 cp s3://rtdc.mdm.uploadarchive.raw/RTDC4065/ "%USERPROFILE%\AppData\Local\Temp\OnboardLogs"\RTDC4065\2017-11-18 --exclude "*" --recursive --include "*20171118*" &amp; "%USERPROFILE%\Documents\GitHub\mrs-test-scripts\Headless Mode &amp; Sideloading\WalkAndUnGZ.bat" "%USERPROFILE%\AppData\Local\Temp\OnboardLogs"\RTDC4065\2017-11-18</v>
      </c>
      <c r="AF68" s="74" t="str">
        <f t="shared" si="10"/>
        <v>"C:\Program Files (x86)\AstroGrep\AstroGrep.exe" /e /r /s /spath="%USERPROFILE%\AppData\Local\Temp\OnboardLogs" /stypes="app*4065*20171117*" /stext=" 18:.+((SYSTEM_STATE.+slice.+state.+changed )|(ment ac)|(multiple cpu faults)|(system.+state.+changed )|(\[timeout)|(PRM\|1\|D)|(kpr)|(kdp)|(train st.+moving)|(\|lc)|(penalty))"</v>
      </c>
      <c r="AG68" s="182" t="str">
        <f t="shared" si="11"/>
        <v>EC</v>
      </c>
      <c r="AH68" s="78" t="str">
        <f t="shared" si="12"/>
        <v>"%USERPROFILE%\Documents\GitHub\eaglep3\Utilities\RefineRTDCRunTimes.py" --tripid 154-17 --locoid 4065 --swversion DE.1.0.9.0 --startMP 204:232938 --initTime 2017-11-17T11:04:50 --startdatetime 2017-11-17T11:12:16 --delay 110 --endMP 204:170 --enddatetime 2017-11-17T11:56:17 --enforcementcount 1 &gt;&gt;%USERPROFILE%\Documents\GitHub\eaglep3-reporting\EC\2017-11-17-refined-times.txt</v>
      </c>
      <c r="AI68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{"issue":{"subject":"","project_id":79,"tracker_id":40,"status_id":1,"priority_id":2,"assigned_to_id":338,"start_date":"2017-11-17","description":"","custom_fields":[{"id":1,"name":"Subdivision","value":"EC"},{"id":4,"name":"Milepost","value":"0.017"},{"id":17,"name":"Train ID","value":"154-17"},{"id":16,"name":"Locomotive ID","value":"4065"},{"id":130,"name":"Impact","value":""},{"id":150,"name":"Time of Event (Mountain Time)","value":"11:56:17"},{"id":151,"name":"Denver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8" s="20"/>
      <c r="AK68" s="47"/>
      <c r="AL68" s="47"/>
      <c r="AM68" s="142" t="str">
        <f t="shared" si="14"/>
        <v>start /low /b %USERPROFILE%\Documents\GitHub\eaglep3\Utilities\DownloadLogsFromS3.py --loco 4065 --day 2017-11-17</v>
      </c>
      <c r="AN68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18:56:17"},{"id":29,"name":"Sharepoint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168" t="str">
        <f t="shared" si="16"/>
        <v>https://d0f6bd738d7f1b3e5a7ca70fe4ff75f0.us-east-1.aws.found.io/app/kibana#/discover/Steve-Slow-Train-Analysis-(2080s-and-2083s)?_g=(refreshInterval:(display:Off,pause:!f,section:0,value:0),time:(from:'2017-11-17T10:04:50-0700',mode:absolute,to:'2017-11-17T12:56:17-0700'))&amp;_a=(columns:!('Message%20ID',Summary),filters:!(),index:'emp_*',interval:auto,query:(query_string:(analyze_wildcard:!t,query:'%22rtdc.l.rtdc.4065%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3">
      <c r="A69" s="32" t="s">
        <v>740</v>
      </c>
      <c r="B69" s="7">
        <v>4028</v>
      </c>
      <c r="C69" s="21" t="s">
        <v>192</v>
      </c>
      <c r="D69" s="21" t="s">
        <v>951</v>
      </c>
      <c r="E69" s="13">
        <v>43056.435416666667</v>
      </c>
      <c r="F69" s="13">
        <v>43056.438310185185</v>
      </c>
      <c r="G69" s="7">
        <v>46</v>
      </c>
      <c r="H69" s="21" t="s">
        <v>588</v>
      </c>
      <c r="I69" s="13">
        <v>43056.463159722225</v>
      </c>
      <c r="J69" s="7">
        <v>1</v>
      </c>
      <c r="K69" s="89" t="str">
        <f t="shared" si="0"/>
        <v>4027/4028</v>
      </c>
      <c r="L69" s="185" t="str">
        <f>VLOOKUP(A69,'Trips&amp;Operators'!$C$1:$G$99911,5,FALSE)</f>
        <v>MACDONALD THOMAS</v>
      </c>
      <c r="M69" s="6">
        <f t="shared" si="1"/>
        <v>2.4849537039699499E-2</v>
      </c>
      <c r="N69" s="7">
        <f t="shared" si="21"/>
        <v>35.783333337167278</v>
      </c>
      <c r="O69" s="7"/>
      <c r="P69" s="7"/>
      <c r="Q69" s="22"/>
      <c r="R69" s="174"/>
      <c r="S69" s="221">
        <f t="shared" si="22"/>
        <v>1</v>
      </c>
      <c r="T69" s="174" t="str">
        <f t="shared" si="2"/>
        <v>NorthBound</v>
      </c>
      <c r="U69" s="198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16" t="str">
        <f t="shared" si="3"/>
        <v>https://d0f6bd738d7f1b3e5a7ca70fe4ff75f0.us-east-1.aws.found.io/app/kibana#/discover/Steve-Slow-Train-Analysis-(2080s-and-2083s)?_g=(refreshInterval:(display:Off,pause:!f,section:0,value:0),time:(from:'2017-11-17T09:27:00-0700',mode:absolute,to:'2017-11-17T12:06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69" s="204" t="str">
        <f>IF(AA69&lt;VLOOKUP(AG69,Variables!$AC$3:$AD$8,2,FALSE),"Y","N")</f>
        <v>N</v>
      </c>
      <c r="X69" s="204">
        <f t="shared" si="4"/>
        <v>1</v>
      </c>
      <c r="Y69" s="204">
        <f t="shared" si="19"/>
        <v>5.1499999999999997E-2</v>
      </c>
      <c r="Z69" s="204">
        <f t="shared" si="20"/>
        <v>23.319500000000001</v>
      </c>
      <c r="AA69" s="204">
        <f t="shared" si="7"/>
        <v>23.268000000000001</v>
      </c>
      <c r="AB69" s="54" t="e">
        <f>VLOOKUP(A69,Enforcements!$C$7:$K$9,8,0)</f>
        <v>#N/A</v>
      </c>
      <c r="AC69" s="51" t="e">
        <f>VLOOKUP(A69,Enforcements!$C$7:$E$9,3,0)</f>
        <v>#N/A</v>
      </c>
      <c r="AD69" s="179">
        <f t="shared" si="8"/>
        <v>155</v>
      </c>
      <c r="AE69" s="77" t="str">
        <f t="shared" si="9"/>
        <v>aws s3 cp s3://rtdc.mdm.uploadarchive.raw/RTDC4028/ "%USERPROFILE%\AppData\Local\Temp\OnboardLogs"\RTDC4028\2017-11-17 --exclude "*" --recursive --include "*20171117*" &amp; "%USERPROFILE%\Documents\GitHub\mrs-test-scripts\Headless Mode &amp; Sideloading\WalkAndUnGZ.bat" "%USERPROFILE%\AppData\Local\Temp\OnboardLogs"\RTDC4028\2017-11-17 &amp; aws s3 cp s3://rtdc.mdm.uploadarchive.raw/RTDC4028/ "%USERPROFILE%\AppData\Local\Temp\OnboardLogs"\RTDC4028\2017-11-18 --exclude "*" --recursive --include "*20171118*" &amp; "%USERPROFILE%\Documents\GitHub\mrs-test-scripts\Headless Mode &amp; Sideloading\WalkAndUnGZ.bat" "%USERPROFILE%\AppData\Local\Temp\OnboardLogs"\RTDC4028\2017-11-18</v>
      </c>
      <c r="AF69" s="74" t="str">
        <f t="shared" si="10"/>
        <v>"C:\Program Files (x86)\AstroGrep\AstroGrep.exe" /e /r /s /spath="%USERPROFILE%\AppData\Local\Temp\OnboardLogs" /stypes="app*4028*20171117*" /stext=" 18:.+((SYSTEM_STATE.+slice.+state.+changed )|(ment ac)|(multiple cpu faults)|(system.+state.+changed )|(\[timeout)|(PRM\|1\|D)|(kpr)|(kdp)|(train st.+moving)|(\|lc)|(penalty))"</v>
      </c>
      <c r="AG69" s="182" t="str">
        <f t="shared" si="11"/>
        <v>EC</v>
      </c>
      <c r="AH69" s="78" t="str">
        <f t="shared" si="12"/>
        <v>"%USERPROFILE%\Documents\GitHub\eaglep3\Utilities\RefineRTDCRunTimes.py" --tripid 155-17 --locoid 4028 --swversion DE.1.0.9.0 --startMP 204:515 --initTime 2017-11-17T10:27:00 --startdatetime 2017-11-17T10:31:10 --delay 46 --endMP 204:233195 --enddatetime 2017-11-17T11:06:57 --enforcementcount 1 &gt;&gt;%USERPROFILE%\Documents\GitHub\eaglep3-reporting\EC\2017-11-17-refined-times.txt</v>
      </c>
      <c r="AI69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{"issue":{"subject":"","project_id":79,"tracker_id":40,"status_id":1,"priority_id":2,"assigned_to_id":338,"start_date":"2017-11-17","description":"","custom_fields":[{"id":1,"name":"Subdivision","value":"EC"},{"id":4,"name":"Milepost","value":"23.3195"},{"id":17,"name":"Train ID","value":"155-17"},{"id":16,"name":"Locomotive ID","value":"4028"},{"id":130,"name":"Impact","value":""},{"id":150,"name":"Time of Event (Mountain Time)","value":"11:06:57"},{"id":151,"name":"Denver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9" s="20"/>
      <c r="AK69" s="47"/>
      <c r="AL69" s="47"/>
      <c r="AM69" s="142" t="str">
        <f t="shared" si="14"/>
        <v>start /low /b %USERPROFILE%\Documents\GitHub\eaglep3\Utilities\DownloadLogsFromS3.py --loco 4028 --day 2017-11-17</v>
      </c>
      <c r="AN69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18:06:57"},{"id":29,"name":"Sharepoint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168" t="str">
        <f t="shared" si="16"/>
        <v>https://d0f6bd738d7f1b3e5a7ca70fe4ff75f0.us-east-1.aws.found.io/app/kibana#/discover/Steve-Slow-Train-Analysis-(2080s-and-2083s)?_g=(refreshInterval:(display:Off,pause:!f,section:0,value:0),time:(from:'2017-11-17T09:27:00-0700',mode:absolute,to:'2017-11-17T12:06:57-0700'))&amp;_a=(columns:!('Message%20ID',Summary),filters:!(),index:'emp_*',interval:auto,query:(query_string:(analyze_wildcard:!t,query:'%22rtdc.l.rtdc.4028%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3">
      <c r="A70" s="32" t="s">
        <v>748</v>
      </c>
      <c r="B70" s="7">
        <v>4027</v>
      </c>
      <c r="C70" s="21" t="s">
        <v>192</v>
      </c>
      <c r="D70" s="21" t="s">
        <v>938</v>
      </c>
      <c r="E70" s="13">
        <v>43056.473935185182</v>
      </c>
      <c r="F70" s="13">
        <v>43056.47729166667</v>
      </c>
      <c r="G70" s="7">
        <v>57</v>
      </c>
      <c r="H70" s="21" t="s">
        <v>952</v>
      </c>
      <c r="I70" s="13">
        <v>43056.506631944445</v>
      </c>
      <c r="J70" s="7">
        <v>1</v>
      </c>
      <c r="K70" s="89" t="str">
        <f t="shared" si="0"/>
        <v>4027/4028</v>
      </c>
      <c r="L70" s="185" t="str">
        <f>VLOOKUP(A70,'Trips&amp;Operators'!$C$1:$G$99911,5,FALSE)</f>
        <v>MACDONALD THOMAS</v>
      </c>
      <c r="M70" s="6">
        <f t="shared" si="1"/>
        <v>2.9340277775190771E-2</v>
      </c>
      <c r="N70" s="7">
        <f t="shared" si="21"/>
        <v>42.24999999627471</v>
      </c>
      <c r="O70" s="7"/>
      <c r="P70" s="7"/>
      <c r="Q70" s="22"/>
      <c r="R70" s="174"/>
      <c r="S70" s="221">
        <f t="shared" si="22"/>
        <v>1</v>
      </c>
      <c r="T70" s="174" t="str">
        <f t="shared" si="2"/>
        <v>Southbound</v>
      </c>
      <c r="U70" s="198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16" t="str">
        <f t="shared" si="3"/>
        <v>https://d0f6bd738d7f1b3e5a7ca70fe4ff75f0.us-east-1.aws.found.io/app/kibana#/discover/Steve-Slow-Train-Analysis-(2080s-and-2083s)?_g=(refreshInterval:(display:Off,pause:!f,section:0,value:0),time:(from:'2017-11-17T10:22:28-0700',mode:absolute,to:'2017-11-17T13:09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70" s="204" t="str">
        <f>IF(AA70&lt;VLOOKUP(AG70,Variables!$AC$3:$AD$8,2,FALSE),"Y","N")</f>
        <v>N</v>
      </c>
      <c r="X70" s="204">
        <f t="shared" si="4"/>
        <v>1</v>
      </c>
      <c r="Y70" s="204">
        <f t="shared" si="19"/>
        <v>23.2881</v>
      </c>
      <c r="Z70" s="204">
        <f t="shared" si="20"/>
        <v>2.4299999999999999E-2</v>
      </c>
      <c r="AA70" s="204">
        <f t="shared" si="7"/>
        <v>23.2638</v>
      </c>
      <c r="AB70" s="54" t="e">
        <f>VLOOKUP(A70,Enforcements!$C$7:$K$9,8,0)</f>
        <v>#N/A</v>
      </c>
      <c r="AC70" s="51" t="e">
        <f>VLOOKUP(A70,Enforcements!$C$7:$E$9,3,0)</f>
        <v>#N/A</v>
      </c>
      <c r="AD70" s="179">
        <f t="shared" si="8"/>
        <v>156</v>
      </c>
      <c r="AE70" s="77" t="str">
        <f t="shared" si="9"/>
        <v>aws s3 cp s3://rtdc.mdm.uploadarchive.raw/RTDC4027/ "%USERPROFILE%\AppData\Local\Temp\OnboardLogs"\RTDC4027\2017-11-17 --exclude "*" --recursive --include "*20171117*" &amp; "%USERPROFILE%\Documents\GitHub\mrs-test-scripts\Headless Mode &amp; Sideloading\WalkAndUnGZ.bat" "%USERPROFILE%\AppData\Local\Temp\OnboardLogs"\RTDC4027\2017-11-17 &amp; aws s3 cp s3://rtdc.mdm.uploadarchive.raw/RTDC4027/ "%USERPROFILE%\AppData\Local\Temp\OnboardLogs"\RTDC4027\2017-11-18 --exclude "*" --recursive --include "*20171118*" &amp; "%USERPROFILE%\Documents\GitHub\mrs-test-scripts\Headless Mode &amp; Sideloading\WalkAndUnGZ.bat" "%USERPROFILE%\AppData\Local\Temp\OnboardLogs"\RTDC4027\2017-11-18</v>
      </c>
      <c r="AF70" s="74" t="str">
        <f t="shared" si="10"/>
        <v>"C:\Program Files (x86)\AstroGrep\AstroGrep.exe" /e /r /s /spath="%USERPROFILE%\AppData\Local\Temp\OnboardLogs" /stypes="app*4027*20171117*" /stext=" 19:.+((SYSTEM_STATE.+slice.+state.+changed )|(ment ac)|(multiple cpu faults)|(system.+state.+changed )|(\[timeout)|(PRM\|1\|D)|(kpr)|(kdp)|(train st.+moving)|(\|lc)|(penalty))"</v>
      </c>
      <c r="AG70" s="182" t="str">
        <f t="shared" si="11"/>
        <v>EC</v>
      </c>
      <c r="AH70" s="78" t="str">
        <f t="shared" si="12"/>
        <v>"%USERPROFILE%\Documents\GitHub\eaglep3\Utilities\RefineRTDCRunTimes.py" --tripid 156-17 --locoid 4027 --swversion DE.1.0.9.0 --startMP 204:232881 --initTime 2017-11-17T11:22:28 --startdatetime 2017-11-17T11:27:18 --delay 57 --endMP 204:243 --enddatetime 2017-11-17T12:09:33 --enforcementcount 1 &gt;&gt;%USERPROFILE%\Documents\GitHub\eaglep3-reporting\EC\2017-11-17-refined-times.txt</v>
      </c>
      <c r="AI70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{"issue":{"subject":"","project_id":79,"tracker_id":40,"status_id":1,"priority_id":2,"assigned_to_id":338,"start_date":"2017-11-17","description":"","custom_fields":[{"id":1,"name":"Subdivision","value":"EC"},{"id":4,"name":"Milepost","value":"0.0243"},{"id":17,"name":"Train ID","value":"156-17"},{"id":16,"name":"Locomotive ID","value":"4027"},{"id":130,"name":"Impact","value":""},{"id":150,"name":"Time of Event (Mountain Time)","value":"12:09:33"},{"id":151,"name":"Denver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0" s="20"/>
      <c r="AK70" s="47"/>
      <c r="AL70" s="47"/>
      <c r="AM70" s="142" t="str">
        <f t="shared" si="14"/>
        <v>start /low /b %USERPROFILE%\Documents\GitHub\eaglep3\Utilities\DownloadLogsFromS3.py --loco 4027 --day 2017-11-17</v>
      </c>
      <c r="AN70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19:09:33"},{"id":29,"name":"Sharepoint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168" t="str">
        <f t="shared" si="16"/>
        <v>https://d0f6bd738d7f1b3e5a7ca70fe4ff75f0.us-east-1.aws.found.io/app/kibana#/discover/Steve-Slow-Train-Analysis-(2080s-and-2083s)?_g=(refreshInterval:(display:Off,pause:!f,section:0,value:0),time:(from:'2017-11-17T10:22:28-0700',mode:absolute,to:'2017-11-17T13:09:33-0700'))&amp;_a=(columns:!('Message%20ID',Summary),filters:!(),index:'emp_*',interval:auto,query:(query_string:(analyze_wildcard:!t,query:'%22rtdc.l.rtdc.4027%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3">
      <c r="A71" s="32" t="s">
        <v>742</v>
      </c>
      <c r="B71" s="7">
        <v>4020</v>
      </c>
      <c r="C71" s="21" t="s">
        <v>192</v>
      </c>
      <c r="D71" s="21" t="s">
        <v>953</v>
      </c>
      <c r="E71" s="13">
        <v>43056.443425925929</v>
      </c>
      <c r="F71" s="13">
        <v>43056.44809027778</v>
      </c>
      <c r="G71" s="7">
        <v>107</v>
      </c>
      <c r="H71" s="21" t="s">
        <v>954</v>
      </c>
      <c r="I71" s="13">
        <v>43056.472766203704</v>
      </c>
      <c r="J71" s="7">
        <v>1</v>
      </c>
      <c r="K71" s="89" t="str">
        <f t="shared" si="0"/>
        <v>4019/4020</v>
      </c>
      <c r="L71" s="185" t="str">
        <f>VLOOKUP(A71,'Trips&amp;Operators'!$C$1:$G$99911,5,FALSE)</f>
        <v>BADERTSCHER DIANE</v>
      </c>
      <c r="M71" s="6">
        <f t="shared" si="1"/>
        <v>2.4675925924384501E-2</v>
      </c>
      <c r="N71" s="7">
        <f t="shared" si="21"/>
        <v>35.533333331113681</v>
      </c>
      <c r="O71" s="7"/>
      <c r="P71" s="7"/>
      <c r="Q71" s="22"/>
      <c r="R71" s="174"/>
      <c r="S71" s="221">
        <f t="shared" si="22"/>
        <v>1</v>
      </c>
      <c r="T71" s="174" t="str">
        <f t="shared" si="2"/>
        <v>NorthBound</v>
      </c>
      <c r="U71" s="198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16" t="str">
        <f t="shared" si="3"/>
        <v>https://d0f6bd738d7f1b3e5a7ca70fe4ff75f0.us-east-1.aws.found.io/app/kibana#/discover/Steve-Slow-Train-Analysis-(2080s-and-2083s)?_g=(refreshInterval:(display:Off,pause:!f,section:0,value:0),time:(from:'2017-11-17T09:38:32-0700',mode:absolute,to:'2017-11-17T12:20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71" s="204" t="str">
        <f>IF(AA71&lt;VLOOKUP(AG71,Variables!$AC$3:$AD$8,2,FALSE),"Y","N")</f>
        <v>N</v>
      </c>
      <c r="X71" s="204">
        <f t="shared" si="4"/>
        <v>1</v>
      </c>
      <c r="Y71" s="204">
        <f t="shared" si="19"/>
        <v>4.6399999999999997E-2</v>
      </c>
      <c r="Z71" s="204">
        <f t="shared" si="20"/>
        <v>23.317799999999998</v>
      </c>
      <c r="AA71" s="204">
        <f t="shared" si="7"/>
        <v>23.2714</v>
      </c>
      <c r="AB71" s="54" t="e">
        <f>VLOOKUP(A71,Enforcements!$C$7:$K$9,8,0)</f>
        <v>#N/A</v>
      </c>
      <c r="AC71" s="51" t="e">
        <f>VLOOKUP(A71,Enforcements!$C$7:$E$9,3,0)</f>
        <v>#N/A</v>
      </c>
      <c r="AD71" s="179">
        <f t="shared" si="8"/>
        <v>157</v>
      </c>
      <c r="AE71" s="77" t="str">
        <f t="shared" si="9"/>
        <v>aws s3 cp s3://rtdc.mdm.uploadarchive.raw/RTDC4020/ "%USERPROFILE%\AppData\Local\Temp\OnboardLogs"\RTDC4020\2017-11-17 --exclude "*" --recursive --include "*20171117*" &amp; "%USERPROFILE%\Documents\GitHub\mrs-test-scripts\Headless Mode &amp; Sideloading\WalkAndUnGZ.bat" "%USERPROFILE%\AppData\Local\Temp\OnboardLogs"\RTDC4020\2017-11-17 &amp; aws s3 cp s3://rtdc.mdm.uploadarchive.raw/RTDC4020/ "%USERPROFILE%\AppData\Local\Temp\OnboardLogs"\RTDC4020\2017-11-18 --exclude "*" --recursive --include "*20171118*" &amp; "%USERPROFILE%\Documents\GitHub\mrs-test-scripts\Headless Mode &amp; Sideloading\WalkAndUnGZ.bat" "%USERPROFILE%\AppData\Local\Temp\OnboardLogs"\RTDC4020\2017-11-18</v>
      </c>
      <c r="AF71" s="74" t="str">
        <f t="shared" si="10"/>
        <v>"C:\Program Files (x86)\AstroGrep\AstroGrep.exe" /e /r /s /spath="%USERPROFILE%\AppData\Local\Temp\OnboardLogs" /stypes="app*4020*20171117*" /stext=" 18:.+((SYSTEM_STATE.+slice.+state.+changed )|(ment ac)|(multiple cpu faults)|(system.+state.+changed )|(\[timeout)|(PRM\|1\|D)|(kpr)|(kdp)|(train st.+moving)|(\|lc)|(penalty))"</v>
      </c>
      <c r="AG71" s="182" t="str">
        <f t="shared" si="11"/>
        <v>EC</v>
      </c>
      <c r="AH71" s="78" t="str">
        <f t="shared" si="12"/>
        <v>"%USERPROFILE%\Documents\GitHub\eaglep3\Utilities\RefineRTDCRunTimes.py" --tripid 157-17 --locoid 4020 --swversion DE.1.0.9.0 --startMP 204:464 --initTime 2017-11-17T10:38:32 --startdatetime 2017-11-17T10:45:15 --delay 107 --endMP 204:233178 --enddatetime 2017-11-17T11:20:47 --enforcementcount 1 &gt;&gt;%USERPROFILE%\Documents\GitHub\eaglep3-reporting\EC\2017-11-17-refined-times.txt</v>
      </c>
      <c r="AI71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{"issue":{"subject":"","project_id":79,"tracker_id":40,"status_id":1,"priority_id":2,"assigned_to_id":338,"start_date":"2017-11-17","description":"","custom_fields":[{"id":1,"name":"Subdivision","value":"EC"},{"id":4,"name":"Milepost","value":"23.3178"},{"id":17,"name":"Train ID","value":"157-17"},{"id":16,"name":"Locomotive ID","value":"4020"},{"id":130,"name":"Impact","value":""},{"id":150,"name":"Time of Event (Mountain Time)","value":"11:20:47"},{"id":151,"name":"Denver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1" s="20"/>
      <c r="AK71" s="47"/>
      <c r="AL71" s="47"/>
      <c r="AM71" s="142" t="str">
        <f t="shared" si="14"/>
        <v>start /low /b %USERPROFILE%\Documents\GitHub\eaglep3\Utilities\DownloadLogsFromS3.py --loco 4020 --day 2017-11-17</v>
      </c>
      <c r="AN71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18:20:47"},{"id":29,"name":"Sharepoint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168" t="str">
        <f t="shared" si="16"/>
        <v>https://d0f6bd738d7f1b3e5a7ca70fe4ff75f0.us-east-1.aws.found.io/app/kibana#/discover/Steve-Slow-Train-Analysis-(2080s-and-2083s)?_g=(refreshInterval:(display:Off,pause:!f,section:0,value:0),time:(from:'2017-11-17T09:38:32-0700',mode:absolute,to:'2017-11-17T12:20:47-0700'))&amp;_a=(columns:!('Message%20ID',Summary),filters:!(),index:'emp_*',interval:auto,query:(query_string:(analyze_wildcard:!t,query:'%22rtdc.l.rtdc.4020%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3">
      <c r="A72" s="32" t="s">
        <v>752</v>
      </c>
      <c r="B72" s="7">
        <v>4019</v>
      </c>
      <c r="C72" s="21" t="s">
        <v>192</v>
      </c>
      <c r="D72" s="21" t="s">
        <v>589</v>
      </c>
      <c r="E72" s="13">
        <v>43056.480057870373</v>
      </c>
      <c r="F72" s="13">
        <v>43056.487662037034</v>
      </c>
      <c r="G72" s="7">
        <v>115</v>
      </c>
      <c r="H72" s="21" t="s">
        <v>568</v>
      </c>
      <c r="I72" s="13">
        <v>43056.518379629626</v>
      </c>
      <c r="J72" s="7">
        <v>1</v>
      </c>
      <c r="K72" s="89" t="str">
        <f t="shared" si="0"/>
        <v>4019/4020</v>
      </c>
      <c r="L72" s="185" t="str">
        <f>VLOOKUP(A72,'Trips&amp;Operators'!$C$1:$G$99911,5,FALSE)</f>
        <v>BADERTSCHER DIANE</v>
      </c>
      <c r="M72" s="6">
        <f t="shared" si="1"/>
        <v>3.071759259182727E-2</v>
      </c>
      <c r="N72" s="7">
        <f t="shared" si="21"/>
        <v>44.233333332231268</v>
      </c>
      <c r="O72" s="7"/>
      <c r="P72" s="7"/>
      <c r="Q72" s="22"/>
      <c r="R72" s="174"/>
      <c r="S72" s="221">
        <f t="shared" si="22"/>
        <v>1</v>
      </c>
      <c r="T72" s="174" t="str">
        <f t="shared" si="2"/>
        <v>Southbound</v>
      </c>
      <c r="U72" s="198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16" t="str">
        <f t="shared" si="3"/>
        <v>https://d0f6bd738d7f1b3e5a7ca70fe4ff75f0.us-east-1.aws.found.io/app/kibana#/discover/Steve-Slow-Train-Analysis-(2080s-and-2083s)?_g=(refreshInterval:(display:Off,pause:!f,section:0,value:0),time:(from:'2017-11-17T10:31:17-0700',mode:absolute,to:'2017-11-17T13:26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72" s="204" t="str">
        <f>IF(AA72&lt;VLOOKUP(AG72,Variables!$AC$3:$AD$8,2,FALSE),"Y","N")</f>
        <v>N</v>
      </c>
      <c r="X72" s="204">
        <f t="shared" si="4"/>
        <v>1</v>
      </c>
      <c r="Y72" s="204">
        <f t="shared" si="19"/>
        <v>23.287299999999998</v>
      </c>
      <c r="Z72" s="204">
        <f t="shared" si="20"/>
        <v>2.0500000000000001E-2</v>
      </c>
      <c r="AA72" s="204">
        <f t="shared" si="7"/>
        <v>23.2668</v>
      </c>
      <c r="AB72" s="54" t="e">
        <f>VLOOKUP(A72,Enforcements!$C$7:$K$9,8,0)</f>
        <v>#N/A</v>
      </c>
      <c r="AC72" s="51" t="e">
        <f>VLOOKUP(A72,Enforcements!$C$7:$E$9,3,0)</f>
        <v>#N/A</v>
      </c>
      <c r="AD72" s="179">
        <f t="shared" si="8"/>
        <v>158</v>
      </c>
      <c r="AE72" s="77" t="str">
        <f t="shared" si="9"/>
        <v>aws s3 cp s3://rtdc.mdm.uploadarchive.raw/RTDC4019/ "%USERPROFILE%\AppData\Local\Temp\OnboardLogs"\RTDC4019\2017-11-17 --exclude "*" --recursive --include "*20171117*" &amp; "%USERPROFILE%\Documents\GitHub\mrs-test-scripts\Headless Mode &amp; Sideloading\WalkAndUnGZ.bat" "%USERPROFILE%\AppData\Local\Temp\OnboardLogs"\RTDC4019\2017-11-17 &amp; aws s3 cp s3://rtdc.mdm.uploadarchive.raw/RTDC4019/ "%USERPROFILE%\AppData\Local\Temp\OnboardLogs"\RTDC4019\2017-11-18 --exclude "*" --recursive --include "*20171118*" &amp; "%USERPROFILE%\Documents\GitHub\mrs-test-scripts\Headless Mode &amp; Sideloading\WalkAndUnGZ.bat" "%USERPROFILE%\AppData\Local\Temp\OnboardLogs"\RTDC4019\2017-11-18</v>
      </c>
      <c r="AF72" s="74" t="str">
        <f t="shared" si="10"/>
        <v>"C:\Program Files (x86)\AstroGrep\AstroGrep.exe" /e /r /s /spath="%USERPROFILE%\AppData\Local\Temp\OnboardLogs" /stypes="app*4019*20171117*" /stext=" 19:.+((SYSTEM_STATE.+slice.+state.+changed )|(ment ac)|(multiple cpu faults)|(system.+state.+changed )|(\[timeout)|(PRM\|1\|D)|(kpr)|(kdp)|(train st.+moving)|(\|lc)|(penalty))"</v>
      </c>
      <c r="AG72" s="182" t="str">
        <f t="shared" si="11"/>
        <v>EC</v>
      </c>
      <c r="AH72" s="78" t="str">
        <f t="shared" si="12"/>
        <v>"%USERPROFILE%\Documents\GitHub\eaglep3\Utilities\RefineRTDCRunTimes.py" --tripid 158-17 --locoid 4019 --swversion DE.1.0.9.0 --startMP 204:232873 --initTime 2017-11-17T11:31:17 --startdatetime 2017-11-17T11:42:14 --delay 115 --endMP 204:205 --enddatetime 2017-11-17T12:26:28 --enforcementcount 1 &gt;&gt;%USERPROFILE%\Documents\GitHub\eaglep3-reporting\EC\2017-11-17-refined-times.txt</v>
      </c>
      <c r="AI72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{"issue":{"subject":"","project_id":79,"tracker_id":40,"status_id":1,"priority_id":2,"assigned_to_id":338,"start_date":"2017-11-17","description":"","custom_fields":[{"id":1,"name":"Subdivision","value":"EC"},{"id":4,"name":"Milepost","value":"0.0205"},{"id":17,"name":"Train ID","value":"158-17"},{"id":16,"name":"Locomotive ID","value":"4019"},{"id":130,"name":"Impact","value":""},{"id":150,"name":"Time of Event (Mountain Time)","value":"12:26:28"},{"id":151,"name":"Denver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2" s="20"/>
      <c r="AK72" s="47"/>
      <c r="AL72" s="47"/>
      <c r="AM72" s="142" t="str">
        <f t="shared" si="14"/>
        <v>start /low /b %USERPROFILE%\Documents\GitHub\eaglep3\Utilities\DownloadLogsFromS3.py --loco 4019 --day 2017-11-17</v>
      </c>
      <c r="AN72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19:26:28"},{"id":29,"name":"Sharepoint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168" t="str">
        <f t="shared" si="16"/>
        <v>https://d0f6bd738d7f1b3e5a7ca70fe4ff75f0.us-east-1.aws.found.io/app/kibana#/discover/Steve-Slow-Train-Analysis-(2080s-and-2083s)?_g=(refreshInterval:(display:Off,pause:!f,section:0,value:0),time:(from:'2017-11-17T10:31:17-0700',mode:absolute,to:'2017-11-17T13:26:28-0700'))&amp;_a=(columns:!('Message%20ID',Summary),filters:!(),index:'emp_*',interval:auto,query:(query_string:(analyze_wildcard:!t,query:'%22rtdc.l.rtdc.4019%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3">
      <c r="A73" s="32" t="s">
        <v>643</v>
      </c>
      <c r="B73" s="7">
        <v>4010</v>
      </c>
      <c r="C73" s="21" t="s">
        <v>192</v>
      </c>
      <c r="D73" s="21" t="s">
        <v>953</v>
      </c>
      <c r="E73" s="13">
        <v>43056.448020833333</v>
      </c>
      <c r="F73" s="13">
        <v>43056.45853009259</v>
      </c>
      <c r="G73" s="7">
        <v>97</v>
      </c>
      <c r="H73" s="21" t="s">
        <v>955</v>
      </c>
      <c r="I73" s="13">
        <v>43056.483854166669</v>
      </c>
      <c r="J73" s="7">
        <v>1</v>
      </c>
      <c r="K73" s="89" t="str">
        <f t="shared" si="0"/>
        <v>4009/4010</v>
      </c>
      <c r="L73" s="185" t="str">
        <f>VLOOKUP(A73,'Trips&amp;Operators'!$C$1:$G$99911,5,FALSE)</f>
        <v>YANAI IAN</v>
      </c>
      <c r="M73" s="6">
        <f t="shared" si="1"/>
        <v>2.5324074078525882E-2</v>
      </c>
      <c r="N73" s="7">
        <f t="shared" si="21"/>
        <v>36.46666667307727</v>
      </c>
      <c r="O73" s="7"/>
      <c r="P73" s="7"/>
      <c r="Q73" s="22"/>
      <c r="R73" s="174"/>
      <c r="S73" s="221">
        <f t="shared" si="22"/>
        <v>1</v>
      </c>
      <c r="T73" s="174" t="str">
        <f t="shared" si="2"/>
        <v>NorthBound</v>
      </c>
      <c r="U73" s="198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16" t="str">
        <f t="shared" si="3"/>
        <v>https://d0f6bd738d7f1b3e5a7ca70fe4ff75f0.us-east-1.aws.found.io/app/kibana#/discover/Steve-Slow-Train-Analysis-(2080s-and-2083s)?_g=(refreshInterval:(display:Off,pause:!f,section:0,value:0),time:(from:'2017-11-17T09:45:09-0700',mode:absolute,to:'2017-11-17T12:36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73" s="204" t="str">
        <f>IF(AA73&lt;VLOOKUP(AG73,Variables!$AC$3:$AD$8,2,FALSE),"Y","N")</f>
        <v>N</v>
      </c>
      <c r="X73" s="204">
        <f t="shared" si="4"/>
        <v>1</v>
      </c>
      <c r="Y73" s="204">
        <f t="shared" si="19"/>
        <v>4.6399999999999997E-2</v>
      </c>
      <c r="Z73" s="204">
        <f t="shared" si="20"/>
        <v>23.331499999999998</v>
      </c>
      <c r="AA73" s="204">
        <f t="shared" si="7"/>
        <v>23.2851</v>
      </c>
      <c r="AB73" s="54" t="e">
        <f>VLOOKUP(A73,Enforcements!$C$7:$K$9,8,0)</f>
        <v>#N/A</v>
      </c>
      <c r="AC73" s="51" t="e">
        <f>VLOOKUP(A73,Enforcements!$C$7:$E$9,3,0)</f>
        <v>#N/A</v>
      </c>
      <c r="AD73" s="179">
        <f t="shared" si="8"/>
        <v>159</v>
      </c>
      <c r="AE73" s="77" t="str">
        <f t="shared" si="9"/>
        <v>aws s3 cp s3://rtdc.mdm.uploadarchive.raw/RTDC4010/ "%USERPROFILE%\AppData\Local\Temp\OnboardLogs"\RTDC4010\2017-11-17 --exclude "*" --recursive --include "*20171117*" &amp; "%USERPROFILE%\Documents\GitHub\mrs-test-scripts\Headless Mode &amp; Sideloading\WalkAndUnGZ.bat" "%USERPROFILE%\AppData\Local\Temp\OnboardLogs"\RTDC4010\2017-11-17 &amp; aws s3 cp s3://rtdc.mdm.uploadarchive.raw/RTDC4010/ "%USERPROFILE%\AppData\Local\Temp\OnboardLogs"\RTDC4010\2017-11-18 --exclude "*" --recursive --include "*20171118*" &amp; "%USERPROFILE%\Documents\GitHub\mrs-test-scripts\Headless Mode &amp; Sideloading\WalkAndUnGZ.bat" "%USERPROFILE%\AppData\Local\Temp\OnboardLogs"\RTDC4010\2017-11-18</v>
      </c>
      <c r="AF73" s="74" t="str">
        <f t="shared" si="10"/>
        <v>"C:\Program Files (x86)\AstroGrep\AstroGrep.exe" /e /r /s /spath="%USERPROFILE%\AppData\Local\Temp\OnboardLogs" /stypes="app*4010*20171117*" /stext=" 18:.+((SYSTEM_STATE.+slice.+state.+changed )|(ment ac)|(multiple cpu faults)|(system.+state.+changed )|(\[timeout)|(PRM\|1\|D)|(kpr)|(kdp)|(train st.+moving)|(\|lc)|(penalty))"</v>
      </c>
      <c r="AG73" s="182" t="str">
        <f t="shared" si="11"/>
        <v>EC</v>
      </c>
      <c r="AH73" s="78" t="str">
        <f t="shared" si="12"/>
        <v>"%USERPROFILE%\Documents\GitHub\eaglep3\Utilities\RefineRTDCRunTimes.py" --tripid 159-17 --locoid 4010 --swversion DE.1.0.9.0 --startMP 204:464 --initTime 2017-11-17T10:45:09 --startdatetime 2017-11-17T11:00:17 --delay 97 --endMP 204:233315 --enddatetime 2017-11-17T11:36:45 --enforcementcount 1 &gt;&gt;%USERPROFILE%\Documents\GitHub\eaglep3-reporting\EC\2017-11-17-refined-times.txt</v>
      </c>
      <c r="AI73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{"issue":{"subject":"","project_id":79,"tracker_id":40,"status_id":1,"priority_id":2,"assigned_to_id":338,"start_date":"2017-11-17","description":"","custom_fields":[{"id":1,"name":"Subdivision","value":"EC"},{"id":4,"name":"Milepost","value":"23.3315"},{"id":17,"name":"Train ID","value":"159-17"},{"id":16,"name":"Locomotive ID","value":"4010"},{"id":130,"name":"Impact","value":""},{"id":150,"name":"Time of Event (Mountain Time)","value":"11:36:45"},{"id":151,"name":"Denver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3" s="20"/>
      <c r="AK73" s="47"/>
      <c r="AL73" s="47"/>
      <c r="AM73" s="142" t="str">
        <f t="shared" si="14"/>
        <v>start /low /b %USERPROFILE%\Documents\GitHub\eaglep3\Utilities\DownloadLogsFromS3.py --loco 4010 --day 2017-11-17</v>
      </c>
      <c r="AN73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18:36:45"},{"id":29,"name":"Sharepoint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168" t="str">
        <f t="shared" si="16"/>
        <v>https://d0f6bd738d7f1b3e5a7ca70fe4ff75f0.us-east-1.aws.found.io/app/kibana#/discover/Steve-Slow-Train-Analysis-(2080s-and-2083s)?_g=(refreshInterval:(display:Off,pause:!f,section:0,value:0),time:(from:'2017-11-17T09:45:09-0700',mode:absolute,to:'2017-11-17T12:36:45-0700'))&amp;_a=(columns:!('Message%20ID',Summary),filters:!(),index:'emp_*',interval:auto,query:(query_string:(analyze_wildcard:!t,query:'%22rtdc.l.rtdc.4010%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3">
      <c r="A74" s="32" t="s">
        <v>753</v>
      </c>
      <c r="B74" s="7">
        <v>4009</v>
      </c>
      <c r="C74" s="21" t="s">
        <v>192</v>
      </c>
      <c r="D74" s="21" t="s">
        <v>956</v>
      </c>
      <c r="E74" s="13">
        <v>43056.485150462962</v>
      </c>
      <c r="F74" s="13">
        <v>43056.498807870368</v>
      </c>
      <c r="G74" s="7">
        <v>135</v>
      </c>
      <c r="H74" s="21" t="s">
        <v>939</v>
      </c>
      <c r="I74" s="13">
        <v>43056.525960648149</v>
      </c>
      <c r="J74" s="7">
        <v>1</v>
      </c>
      <c r="K74" s="89" t="str">
        <f t="shared" si="0"/>
        <v>4009/4010</v>
      </c>
      <c r="L74" s="185" t="str">
        <f>VLOOKUP(A74,'Trips&amp;Operators'!$C$1:$G$99911,5,FALSE)</f>
        <v>YANAI IAN</v>
      </c>
      <c r="M74" s="6">
        <f t="shared" si="1"/>
        <v>2.715277778042946E-2</v>
      </c>
      <c r="N74" s="7">
        <f t="shared" si="21"/>
        <v>39.100000003818423</v>
      </c>
      <c r="O74" s="7"/>
      <c r="P74" s="7"/>
      <c r="Q74" s="22"/>
      <c r="R74" s="174"/>
      <c r="S74" s="221">
        <f t="shared" si="22"/>
        <v>1</v>
      </c>
      <c r="T74" s="174" t="str">
        <f t="shared" si="2"/>
        <v>Southbound</v>
      </c>
      <c r="U74" s="198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16" t="str">
        <f t="shared" si="3"/>
        <v>https://d0f6bd738d7f1b3e5a7ca70fe4ff75f0.us-east-1.aws.found.io/app/kibana#/discover/Steve-Slow-Train-Analysis-(2080s-and-2083s)?_g=(refreshInterval:(display:Off,pause:!f,section:0,value:0),time:(from:'2017-11-17T10:38:37-0700',mode:absolute,to:'2017-11-17T13:37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74" s="204" t="str">
        <f>IF(AA74&lt;VLOOKUP(AG74,Variables!$AC$3:$AD$8,2,FALSE),"Y","N")</f>
        <v>N</v>
      </c>
      <c r="X74" s="204">
        <f t="shared" si="4"/>
        <v>1</v>
      </c>
      <c r="Y74" s="204">
        <f t="shared" si="19"/>
        <v>23.300799999999999</v>
      </c>
      <c r="Z74" s="204">
        <f t="shared" si="20"/>
        <v>2.1600000000000001E-2</v>
      </c>
      <c r="AA74" s="204">
        <f t="shared" si="7"/>
        <v>23.279199999999999</v>
      </c>
      <c r="AB74" s="54" t="e">
        <f>VLOOKUP(A74,Enforcements!$C$7:$K$9,8,0)</f>
        <v>#N/A</v>
      </c>
      <c r="AC74" s="51" t="e">
        <f>VLOOKUP(A74,Enforcements!$C$7:$E$9,3,0)</f>
        <v>#N/A</v>
      </c>
      <c r="AD74" s="179">
        <f t="shared" si="8"/>
        <v>160</v>
      </c>
      <c r="AE74" s="77" t="str">
        <f t="shared" si="9"/>
        <v>aws s3 cp s3://rtdc.mdm.uploadarchive.raw/RTDC4009/ "%USERPROFILE%\AppData\Local\Temp\OnboardLogs"\RTDC4009\2017-11-17 --exclude "*" --recursive --include "*20171117*" &amp; "%USERPROFILE%\Documents\GitHub\mrs-test-scripts\Headless Mode &amp; Sideloading\WalkAndUnGZ.bat" "%USERPROFILE%\AppData\Local\Temp\OnboardLogs"\RTDC4009\2017-11-17 &amp; aws s3 cp s3://rtdc.mdm.uploadarchive.raw/RTDC4009/ "%USERPROFILE%\AppData\Local\Temp\OnboardLogs"\RTDC4009\2017-11-18 --exclude "*" --recursive --include "*20171118*" &amp; "%USERPROFILE%\Documents\GitHub\mrs-test-scripts\Headless Mode &amp; Sideloading\WalkAndUnGZ.bat" "%USERPROFILE%\AppData\Local\Temp\OnboardLogs"\RTDC4009\2017-11-18</v>
      </c>
      <c r="AF74" s="74" t="str">
        <f t="shared" si="10"/>
        <v>"C:\Program Files (x86)\AstroGrep\AstroGrep.exe" /e /r /s /spath="%USERPROFILE%\AppData\Local\Temp\OnboardLogs" /stypes="app*4009*20171117*" /stext=" 19:.+((SYSTEM_STATE.+slice.+state.+changed )|(ment ac)|(multiple cpu faults)|(system.+state.+changed )|(\[timeout)|(PRM\|1\|D)|(kpr)|(kdp)|(train st.+moving)|(\|lc)|(penalty))"</v>
      </c>
      <c r="AG74" s="182" t="str">
        <f t="shared" si="11"/>
        <v>EC</v>
      </c>
      <c r="AH74" s="78" t="str">
        <f t="shared" si="12"/>
        <v>"%USERPROFILE%\Documents\GitHub\eaglep3\Utilities\RefineRTDCRunTimes.py" --tripid 160-17 --locoid 4009 --swversion DE.1.0.9.0 --startMP 204:233008 --initTime 2017-11-17T11:38:37 --startdatetime 2017-11-17T11:58:17 --delay 135 --endMP 204:216 --enddatetime 2017-11-17T12:37:23 --enforcementcount 1 &gt;&gt;%USERPROFILE%\Documents\GitHub\eaglep3-reporting\EC\2017-11-17-refined-times.txt</v>
      </c>
      <c r="AI74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{"issue":{"subject":"","project_id":79,"tracker_id":40,"status_id":1,"priority_id":2,"assigned_to_id":338,"start_date":"2017-11-17","description":"","custom_fields":[{"id":1,"name":"Subdivision","value":"EC"},{"id":4,"name":"Milepost","value":"0.0216"},{"id":17,"name":"Train ID","value":"160-17"},{"id":16,"name":"Locomotive ID","value":"4009"},{"id":130,"name":"Impact","value":""},{"id":150,"name":"Time of Event (Mountain Time)","value":"12:37:23"},{"id":151,"name":"Denver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4" s="20"/>
      <c r="AK74" s="47"/>
      <c r="AL74" s="47"/>
      <c r="AM74" s="142" t="str">
        <f t="shared" si="14"/>
        <v>start /low /b %USERPROFILE%\Documents\GitHub\eaglep3\Utilities\DownloadLogsFromS3.py --loco 4009 --day 2017-11-17</v>
      </c>
      <c r="AN74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19:37:23"},{"id":29,"name":"Sharepoint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168" t="str">
        <f t="shared" si="16"/>
        <v>https://d0f6bd738d7f1b3e5a7ca70fe4ff75f0.us-east-1.aws.found.io/app/kibana#/discover/Steve-Slow-Train-Analysis-(2080s-and-2083s)?_g=(refreshInterval:(display:Off,pause:!f,section:0,value:0),time:(from:'2017-11-17T10:38:37-0700',mode:absolute,to:'2017-11-17T13:37:23-0700'))&amp;_a=(columns:!('Message%20ID',Summary),filters:!(),index:'emp_*',interval:auto,query:(query_string:(analyze_wildcard:!t,query:'%22rtdc.l.rtdc.4009%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3">
      <c r="A75" s="32" t="s">
        <v>747</v>
      </c>
      <c r="B75" s="7">
        <v>4036</v>
      </c>
      <c r="C75" s="21" t="s">
        <v>192</v>
      </c>
      <c r="D75" s="21" t="s">
        <v>957</v>
      </c>
      <c r="E75" s="13">
        <v>43056.464837962965</v>
      </c>
      <c r="F75" s="13">
        <v>43056.469085648147</v>
      </c>
      <c r="G75" s="7">
        <v>170</v>
      </c>
      <c r="H75" s="21" t="s">
        <v>574</v>
      </c>
      <c r="I75" s="13">
        <v>43056.495752314811</v>
      </c>
      <c r="J75" s="7">
        <v>1</v>
      </c>
      <c r="K75" s="89" t="str">
        <f t="shared" si="0"/>
        <v>4035/4036</v>
      </c>
      <c r="L75" s="185" t="str">
        <f>VLOOKUP(A75,'Trips&amp;Operators'!$C$1:$G$99911,5,FALSE)</f>
        <v>SAFIEF AEIMEN</v>
      </c>
      <c r="M75" s="6">
        <f t="shared" si="1"/>
        <v>2.6666666664823424E-2</v>
      </c>
      <c r="N75" s="7">
        <f t="shared" si="21"/>
        <v>38.399999997345731</v>
      </c>
      <c r="O75" s="7"/>
      <c r="P75" s="7"/>
      <c r="Q75" s="22"/>
      <c r="R75" s="174"/>
      <c r="S75" s="221">
        <f t="shared" si="22"/>
        <v>1</v>
      </c>
      <c r="T75" s="174" t="str">
        <f t="shared" si="2"/>
        <v>NorthBound</v>
      </c>
      <c r="U75" s="198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16" t="str">
        <f t="shared" si="3"/>
        <v>https://d0f6bd738d7f1b3e5a7ca70fe4ff75f0.us-east-1.aws.found.io/app/kibana#/discover/Steve-Slow-Train-Analysis-(2080s-and-2083s)?_g=(refreshInterval:(display:Off,pause:!f,section:0,value:0),time:(from:'2017-11-17T10:09:22-0700',mode:absolute,to:'2017-11-17T12:53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75" s="204" t="str">
        <f>IF(AA75&lt;VLOOKUP(AG75,Variables!$AC$3:$AD$8,2,FALSE),"Y","N")</f>
        <v>N</v>
      </c>
      <c r="X75" s="204">
        <f t="shared" si="4"/>
        <v>1</v>
      </c>
      <c r="Y75" s="204">
        <f t="shared" si="19"/>
        <v>4.9799999999999997E-2</v>
      </c>
      <c r="Z75" s="204">
        <f t="shared" si="20"/>
        <v>23.325299999999999</v>
      </c>
      <c r="AA75" s="204">
        <f t="shared" si="7"/>
        <v>23.275499999999997</v>
      </c>
      <c r="AB75" s="54" t="e">
        <f>VLOOKUP(A75,Enforcements!$C$7:$K$9,8,0)</f>
        <v>#N/A</v>
      </c>
      <c r="AC75" s="51" t="e">
        <f>VLOOKUP(A75,Enforcements!$C$7:$E$9,3,0)</f>
        <v>#N/A</v>
      </c>
      <c r="AD75" s="179">
        <f t="shared" si="8"/>
        <v>161</v>
      </c>
      <c r="AE75" s="77" t="str">
        <f t="shared" si="9"/>
        <v>aws s3 cp s3://rtdc.mdm.uploadarchive.raw/RTDC4036/ "%USERPROFILE%\AppData\Local\Temp\OnboardLogs"\RTDC4036\2017-11-17 --exclude "*" --recursive --include "*20171117*" &amp; "%USERPROFILE%\Documents\GitHub\mrs-test-scripts\Headless Mode &amp; Sideloading\WalkAndUnGZ.bat" "%USERPROFILE%\AppData\Local\Temp\OnboardLogs"\RTDC4036\2017-11-17 &amp; aws s3 cp s3://rtdc.mdm.uploadarchive.raw/RTDC4036/ "%USERPROFILE%\AppData\Local\Temp\OnboardLogs"\RTDC4036\2017-11-18 --exclude "*" --recursive --include "*20171118*" &amp; "%USERPROFILE%\Documents\GitHub\mrs-test-scripts\Headless Mode &amp; Sideloading\WalkAndUnGZ.bat" "%USERPROFILE%\AppData\Local\Temp\OnboardLogs"\RTDC4036\2017-11-18</v>
      </c>
      <c r="AF75" s="74" t="str">
        <f t="shared" si="10"/>
        <v>"C:\Program Files (x86)\AstroGrep\AstroGrep.exe" /e /r /s /spath="%USERPROFILE%\AppData\Local\Temp\OnboardLogs" /stypes="app*4036*20171117*" /stext=" 18:.+((SYSTEM_STATE.+slice.+state.+changed )|(ment ac)|(multiple cpu faults)|(system.+state.+changed )|(\[timeout)|(PRM\|1\|D)|(kpr)|(kdp)|(train st.+moving)|(\|lc)|(penalty))"</v>
      </c>
      <c r="AG75" s="182" t="str">
        <f t="shared" si="11"/>
        <v>EC</v>
      </c>
      <c r="AH75" s="78" t="str">
        <f t="shared" si="12"/>
        <v>"%USERPROFILE%\Documents\GitHub\eaglep3\Utilities\RefineRTDCRunTimes.py" --tripid 161-17 --locoid 4036 --swversion DE.1.0.9.0 --startMP 204:498 --initTime 2017-11-17T11:09:22 --startdatetime 2017-11-17T11:15:29 --delay 170 --endMP 204:233253 --enddatetime 2017-11-17T11:53:53 --enforcementcount 1 &gt;&gt;%USERPROFILE%\Documents\GitHub\eaglep3-reporting\EC\2017-11-17-refined-times.txt</v>
      </c>
      <c r="AI75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{"issue":{"subject":"","project_id":79,"tracker_id":40,"status_id":1,"priority_id":2,"assigned_to_id":338,"start_date":"2017-11-17","description":"","custom_fields":[{"id":1,"name":"Subdivision","value":"EC"},{"id":4,"name":"Milepost","value":"23.3253"},{"id":17,"name":"Train ID","value":"161-17"},{"id":16,"name":"Locomotive ID","value":"4036"},{"id":130,"name":"Impact","value":""},{"id":150,"name":"Time of Event (Mountain Time)","value":"11:53:53"},{"id":151,"name":"Denver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5" s="20"/>
      <c r="AK75" s="47"/>
      <c r="AL75" s="47"/>
      <c r="AM75" s="142" t="str">
        <f t="shared" si="14"/>
        <v>start /low /b %USERPROFILE%\Documents\GitHub\eaglep3\Utilities\DownloadLogsFromS3.py --loco 4036 --day 2017-11-17</v>
      </c>
      <c r="AN75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18:53:53"},{"id":29,"name":"Sharepoint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168" t="str">
        <f t="shared" si="16"/>
        <v>https://d0f6bd738d7f1b3e5a7ca70fe4ff75f0.us-east-1.aws.found.io/app/kibana#/discover/Steve-Slow-Train-Analysis-(2080s-and-2083s)?_g=(refreshInterval:(display:Off,pause:!f,section:0,value:0),time:(from:'2017-11-17T10:09:22-0700',mode:absolute,to:'2017-11-17T12:53:53-0700'))&amp;_a=(columns:!('Message%20ID',Summary),filters:!(),index:'emp_*',interval:auto,query:(query_string:(analyze_wildcard:!t,query:'%22rtdc.l.rtdc.4036%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3">
      <c r="A76" s="32" t="s">
        <v>760</v>
      </c>
      <c r="B76" s="7">
        <v>4035</v>
      </c>
      <c r="C76" s="21" t="s">
        <v>192</v>
      </c>
      <c r="D76" s="21" t="s">
        <v>958</v>
      </c>
      <c r="E76" s="13">
        <v>43056.50068287037</v>
      </c>
      <c r="F76" s="13">
        <v>43056.508657407408</v>
      </c>
      <c r="G76" s="7">
        <v>83</v>
      </c>
      <c r="H76" s="21" t="s">
        <v>494</v>
      </c>
      <c r="I76" s="13">
        <v>43056.536666666667</v>
      </c>
      <c r="J76" s="7">
        <v>1</v>
      </c>
      <c r="K76" s="89" t="str">
        <f t="shared" si="0"/>
        <v>4035/4036</v>
      </c>
      <c r="L76" s="185" t="str">
        <f>VLOOKUP(A76,'Trips&amp;Operators'!$C$1:$G$99911,5,FALSE)</f>
        <v>SAFIEF AEIMEN</v>
      </c>
      <c r="M76" s="6">
        <f t="shared" si="1"/>
        <v>2.8009259258396924E-2</v>
      </c>
      <c r="N76" s="7">
        <f t="shared" si="21"/>
        <v>40.33333333209157</v>
      </c>
      <c r="O76" s="7"/>
      <c r="P76" s="7"/>
      <c r="Q76" s="22"/>
      <c r="R76" s="174"/>
      <c r="S76" s="221">
        <f t="shared" si="22"/>
        <v>1</v>
      </c>
      <c r="T76" s="174" t="str">
        <f t="shared" si="2"/>
        <v>Southbound</v>
      </c>
      <c r="U76" s="198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16" t="str">
        <f t="shared" si="3"/>
        <v>https://d0f6bd738d7f1b3e5a7ca70fe4ff75f0.us-east-1.aws.found.io/app/kibana#/discover/Steve-Slow-Train-Analysis-(2080s-and-2083s)?_g=(refreshInterval:(display:Off,pause:!f,section:0,value:0),time:(from:'2017-11-17T11:00:59-0700',mode:absolute,to:'2017-11-17T13:52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76" s="204" t="str">
        <f>IF(AA76&lt;VLOOKUP(AG76,Variables!$AC$3:$AD$8,2,FALSE),"Y","N")</f>
        <v>N</v>
      </c>
      <c r="X76" s="204">
        <f t="shared" si="4"/>
        <v>1</v>
      </c>
      <c r="Y76" s="204">
        <f t="shared" si="19"/>
        <v>23.291899999999998</v>
      </c>
      <c r="Z76" s="204">
        <f t="shared" si="20"/>
        <v>1.9800000000000002E-2</v>
      </c>
      <c r="AA76" s="204">
        <f t="shared" si="7"/>
        <v>23.272099999999998</v>
      </c>
      <c r="AB76" s="54" t="e">
        <f>VLOOKUP(A76,Enforcements!$C$7:$K$9,8,0)</f>
        <v>#N/A</v>
      </c>
      <c r="AC76" s="51" t="e">
        <f>VLOOKUP(A76,Enforcements!$C$7:$E$9,3,0)</f>
        <v>#N/A</v>
      </c>
      <c r="AD76" s="179">
        <f t="shared" si="8"/>
        <v>162</v>
      </c>
      <c r="AE76" s="77" t="str">
        <f t="shared" si="9"/>
        <v>aws s3 cp s3://rtdc.mdm.uploadarchive.raw/RTDC4035/ "%USERPROFILE%\AppData\Local\Temp\OnboardLogs"\RTDC4035\2017-11-17 --exclude "*" --recursive --include "*20171117*" &amp; "%USERPROFILE%\Documents\GitHub\mrs-test-scripts\Headless Mode &amp; Sideloading\WalkAndUnGZ.bat" "%USERPROFILE%\AppData\Local\Temp\OnboardLogs"\RTDC4035\2017-11-17 &amp; aws s3 cp s3://rtdc.mdm.uploadarchive.raw/RTDC4035/ "%USERPROFILE%\AppData\Local\Temp\OnboardLogs"\RTDC4035\2017-11-18 --exclude "*" --recursive --include "*20171118*" &amp; "%USERPROFILE%\Documents\GitHub\mrs-test-scripts\Headless Mode &amp; Sideloading\WalkAndUnGZ.bat" "%USERPROFILE%\AppData\Local\Temp\OnboardLogs"\RTDC4035\2017-11-18</v>
      </c>
      <c r="AF76" s="74" t="str">
        <f t="shared" si="10"/>
        <v>"C:\Program Files (x86)\AstroGrep\AstroGrep.exe" /e /r /s /spath="%USERPROFILE%\AppData\Local\Temp\OnboardLogs" /stypes="app*4035*20171117*" /stext=" 19:.+((SYSTEM_STATE.+slice.+state.+changed )|(ment ac)|(multiple cpu faults)|(system.+state.+changed )|(\[timeout)|(PRM\|1\|D)|(kpr)|(kdp)|(train st.+moving)|(\|lc)|(penalty))"</v>
      </c>
      <c r="AG76" s="182" t="str">
        <f t="shared" si="11"/>
        <v>EC</v>
      </c>
      <c r="AH76" s="78" t="str">
        <f t="shared" si="12"/>
        <v>"%USERPROFILE%\Documents\GitHub\eaglep3\Utilities\RefineRTDCRunTimes.py" --tripid 162-17 --locoid 4035 --swversion DE.1.0.9.0 --startMP 204:232919 --initTime 2017-11-17T12:00:59 --startdatetime 2017-11-17T12:12:28 --delay 83 --endMP 204:198 --enddatetime 2017-11-17T12:52:48 --enforcementcount 1 &gt;&gt;%USERPROFILE%\Documents\GitHub\eaglep3-reporting\EC\2017-11-17-refined-times.txt</v>
      </c>
      <c r="AI76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{"issue":{"subject":"","project_id":79,"tracker_id":40,"status_id":1,"priority_id":2,"assigned_to_id":338,"start_date":"2017-11-17","description":"","custom_fields":[{"id":1,"name":"Subdivision","value":"EC"},{"id":4,"name":"Milepost","value":"0.0198"},{"id":17,"name":"Train ID","value":"162-17"},{"id":16,"name":"Locomotive ID","value":"4035"},{"id":130,"name":"Impact","value":""},{"id":150,"name":"Time of Event (Mountain Time)","value":"12:52:48"},{"id":151,"name":"Denver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6" s="20"/>
      <c r="AK76" s="47"/>
      <c r="AL76" s="47"/>
      <c r="AM76" s="142" t="str">
        <f t="shared" si="14"/>
        <v>start /low /b %USERPROFILE%\Documents\GitHub\eaglep3\Utilities\DownloadLogsFromS3.py --loco 4035 --day 2017-11-17</v>
      </c>
      <c r="AN76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19:52:48"},{"id":29,"name":"Sharepoint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168" t="str">
        <f t="shared" si="16"/>
        <v>https://d0f6bd738d7f1b3e5a7ca70fe4ff75f0.us-east-1.aws.found.io/app/kibana#/discover/Steve-Slow-Train-Analysis-(2080s-and-2083s)?_g=(refreshInterval:(display:Off,pause:!f,section:0,value:0),time:(from:'2017-11-17T11:00:59-0700',mode:absolute,to:'2017-11-17T13:52:48-0700'))&amp;_a=(columns:!('Message%20ID',Summary),filters:!(),index:'emp_*',interval:auto,query:(query_string:(analyze_wildcard:!t,query:'%22rtdc.l.rtdc.4035%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3">
      <c r="A77" s="32" t="s">
        <v>749</v>
      </c>
      <c r="B77" s="7">
        <v>4042</v>
      </c>
      <c r="C77" s="21" t="s">
        <v>192</v>
      </c>
      <c r="D77" s="21" t="s">
        <v>455</v>
      </c>
      <c r="E77" s="13">
        <v>43056.474780092591</v>
      </c>
      <c r="F77" s="13">
        <v>43056.479884259257</v>
      </c>
      <c r="G77" s="7">
        <v>132</v>
      </c>
      <c r="H77" s="21" t="s">
        <v>959</v>
      </c>
      <c r="I77" s="13">
        <v>43056.50545138889</v>
      </c>
      <c r="J77" s="7">
        <v>1</v>
      </c>
      <c r="K77" s="89" t="str">
        <f t="shared" ref="K77:K140" si="23">IF(ISEVEN(B77),(B77-1)&amp;"/"&amp;B77,B77&amp;"/"&amp;(B77+1))</f>
        <v>4041/4042</v>
      </c>
      <c r="L77" s="185" t="str">
        <f>VLOOKUP(A77,'Trips&amp;Operators'!$C$1:$G$99911,5,FALSE)</f>
        <v>NEWELL JAMES</v>
      </c>
      <c r="M77" s="6">
        <f t="shared" ref="M77:M140" si="24">I77-F77</f>
        <v>2.5567129632690921E-2</v>
      </c>
      <c r="N77" s="7">
        <f t="shared" si="21"/>
        <v>36.816666671074927</v>
      </c>
      <c r="O77" s="7"/>
      <c r="P77" s="7"/>
      <c r="Q77" s="22"/>
      <c r="R77" s="174"/>
      <c r="S77" s="221">
        <f t="shared" si="22"/>
        <v>1</v>
      </c>
      <c r="T77" s="174" t="str">
        <f t="shared" ref="T77:T140" si="25">IF(ISEVEN(LEFT(AD77,4)),"Southbound","NorthBound")</f>
        <v>NorthBound</v>
      </c>
      <c r="U77" s="198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16" t="str">
        <f t="shared" ref="V77:V140" si="26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-11-17T10:23:41-0700',mode:absolute,to:'2017-11-17T13:07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77" s="204" t="str">
        <f>IF(AA77&lt;VLOOKUP(AG77,Variables!$AC$3:$AD$8,2,FALSE),"Y","N")</f>
        <v>N</v>
      </c>
      <c r="X77" s="204">
        <f t="shared" ref="X77:X140" si="27">VALUE(LEFT(AD77,4))-VALUE(LEFT(AD76,4))</f>
        <v>1</v>
      </c>
      <c r="Y77" s="204">
        <f t="shared" ref="Y77:Y108" si="28">RIGHT(D77,LEN(D77)-4)/10000</f>
        <v>5.1900000000000002E-2</v>
      </c>
      <c r="Z77" s="204">
        <f t="shared" ref="Z77:Z108" si="29">RIGHT(H77,LEN(H77)-4)/10000</f>
        <v>23.319299999999998</v>
      </c>
      <c r="AA77" s="204">
        <f t="shared" ref="AA77:AA140" si="30">ABS(Z77-Y77)</f>
        <v>23.267399999999999</v>
      </c>
      <c r="AB77" s="54" t="e">
        <f>VLOOKUP(A77,Enforcements!$C$7:$K$9,8,0)</f>
        <v>#N/A</v>
      </c>
      <c r="AC77" s="51" t="e">
        <f>VLOOKUP(A77,Enforcements!$C$7:$E$9,3,0)</f>
        <v>#N/A</v>
      </c>
      <c r="AD77" s="179">
        <f t="shared" ref="AD77:AD140" si="31">VALUE(LEFT(A77,LEN(A77)-3))</f>
        <v>163</v>
      </c>
      <c r="AE77" s="77" t="str">
        <f t="shared" ref="AE77:AE140" si="32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s3://rtdc.mdm.uploadarchive.raw/RTDC4042/ "%USERPROFILE%\AppData\Local\Temp\OnboardLogs"\RTDC4042\2017-11-17 --exclude "*" --recursive --include "*20171117*" &amp; "%USERPROFILE%\Documents\GitHub\mrs-test-scripts\Headless Mode &amp; Sideloading\WalkAndUnGZ.bat" "%USERPROFILE%\AppData\Local\Temp\OnboardLogs"\RTDC4042\2017-11-17 &amp; aws s3 cp s3://rtdc.mdm.uploadarchive.raw/RTDC4042/ "%USERPROFILE%\AppData\Local\Temp\OnboardLogs"\RTDC4042\2017-11-18 --exclude "*" --recursive --include "*20171118*" &amp; "%USERPROFILE%\Documents\GitHub\mrs-test-scripts\Headless Mode &amp; Sideloading\WalkAndUnGZ.bat" "%USERPROFILE%\AppData\Local\Temp\OnboardLogs"\RTDC4042\2017-11-18</v>
      </c>
      <c r="AF77" s="74" t="str">
        <f t="shared" ref="AF77:AF140" si="33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/stypes="app*4042*20171117*" /stext=" 19:.+((SYSTEM_STATE.+slice.+state.+changed )|(ment ac)|(multiple cpu faults)|(system.+state.+changed )|(\[timeout)|(PRM\|1\|D)|(kpr)|(kdp)|(train st.+moving)|(\|lc)|(penalty))"</v>
      </c>
      <c r="AG77" s="182" t="str">
        <f t="shared" ref="AG77:AG140" si="34">DetSubdiv(A77)</f>
        <v>EC</v>
      </c>
      <c r="AH77" s="78" t="str">
        <f t="shared" si="12"/>
        <v>"%USERPROFILE%\Documents\GitHub\eaglep3\Utilities\RefineRTDCRunTimes.py" --tripid 163-17 --locoid 4042 --swversion DE.1.0.9.0 --startMP 204:519 --initTime 2017-11-17T11:23:41 --startdatetime 2017-11-17T11:31:02 --delay 132 --endMP 204:233193 --enddatetime 2017-11-17T12:07:51 --enforcementcount 1 &gt;&gt;%USERPROFILE%\Documents\GitHub\eaglep3-reporting\EC\2017-11-17-refined-times.txt</v>
      </c>
      <c r="AI77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{"issue":{"subject":"","project_id":79,"tracker_id":40,"status_id":1,"priority_id":2,"assigned_to_id":338,"start_date":"2017-11-17","description":"","custom_fields":[{"id":1,"name":"Subdivision","value":"EC"},{"id":4,"name":"Milepost","value":"23.3193"},{"id":17,"name":"Train ID","value":"163-17"},{"id":16,"name":"Locomotive ID","value":"4042"},{"id":130,"name":"Impact","value":""},{"id":150,"name":"Time of Event (Mountain Time)","value":"12:07:51"},{"id":151,"name":"Denver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7" s="20"/>
      <c r="AK77" s="47"/>
      <c r="AL77" s="47"/>
      <c r="AM77" s="142" t="str">
        <f t="shared" si="14"/>
        <v>start /low /b %USERPROFILE%\Documents\GitHub\eaglep3\Utilities\DownloadLogsFromS3.py --loco 4042 --day 2017-11-17</v>
      </c>
      <c r="AN77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19:07:51"},{"id":29,"name":"Sharepoint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168" t="str">
        <f t="shared" si="16"/>
        <v>https://d0f6bd738d7f1b3e5a7ca70fe4ff75f0.us-east-1.aws.found.io/app/kibana#/discover/Steve-Slow-Train-Analysis-(2080s-and-2083s)?_g=(refreshInterval:(display:Off,pause:!f,section:0,value:0),time:(from:'2017-11-17T10:23:41-0700',mode:absolute,to:'2017-11-17T13:07:51-0700'))&amp;_a=(columns:!('Message%20ID',Summary),filters:!(),index:'emp_*',interval:auto,query:(query_string:(analyze_wildcard:!t,query:'%22rtdc.l.rtdc.4042%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3">
      <c r="A78" s="32" t="s">
        <v>762</v>
      </c>
      <c r="B78" s="7">
        <v>4041</v>
      </c>
      <c r="C78" s="21" t="s">
        <v>192</v>
      </c>
      <c r="D78" s="21" t="s">
        <v>938</v>
      </c>
      <c r="E78" s="13">
        <v>43056.50708333333</v>
      </c>
      <c r="F78" s="13">
        <v>43056.518912037034</v>
      </c>
      <c r="G78" s="7">
        <v>54</v>
      </c>
      <c r="H78" s="21" t="s">
        <v>960</v>
      </c>
      <c r="I78" s="13">
        <v>43056.546932870369</v>
      </c>
      <c r="J78" s="7">
        <v>1</v>
      </c>
      <c r="K78" s="89" t="str">
        <f t="shared" si="23"/>
        <v>4041/4042</v>
      </c>
      <c r="L78" s="185" t="str">
        <f>VLOOKUP(A78,'Trips&amp;Operators'!$C$1:$G$99911,5,FALSE)</f>
        <v>NEWELL JAMES</v>
      </c>
      <c r="M78" s="6">
        <f t="shared" si="24"/>
        <v>2.8020833335176576E-2</v>
      </c>
      <c r="N78" s="7">
        <f t="shared" si="21"/>
        <v>40.350000002654269</v>
      </c>
      <c r="O78" s="7"/>
      <c r="P78" s="7"/>
      <c r="Q78" s="22"/>
      <c r="R78" s="174"/>
      <c r="S78" s="221">
        <f t="shared" si="22"/>
        <v>1</v>
      </c>
      <c r="T78" s="174" t="str">
        <f t="shared" si="25"/>
        <v>Southbound</v>
      </c>
      <c r="U78" s="198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16" t="str">
        <f t="shared" si="26"/>
        <v>https://d0f6bd738d7f1b3e5a7ca70fe4ff75f0.us-east-1.aws.found.io/app/kibana#/discover/Steve-Slow-Train-Analysis-(2080s-and-2083s)?_g=(refreshInterval:(display:Off,pause:!f,section:0,value:0),time:(from:'2017-11-17T11:10:12-0700',mode:absolute,to:'2017-11-17T14:07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78" s="204" t="str">
        <f>IF(AA78&lt;VLOOKUP(AG78,Variables!$AC$3:$AD$8,2,FALSE),"Y","N")</f>
        <v>N</v>
      </c>
      <c r="X78" s="204">
        <f t="shared" si="27"/>
        <v>1</v>
      </c>
      <c r="Y78" s="204">
        <f t="shared" si="28"/>
        <v>23.2881</v>
      </c>
      <c r="Z78" s="204">
        <f t="shared" si="29"/>
        <v>2.8199999999999999E-2</v>
      </c>
      <c r="AA78" s="204">
        <f t="shared" si="30"/>
        <v>23.259900000000002</v>
      </c>
      <c r="AB78" s="54" t="e">
        <f>VLOOKUP(A78,Enforcements!$C$7:$K$9,8,0)</f>
        <v>#N/A</v>
      </c>
      <c r="AC78" s="51" t="e">
        <f>VLOOKUP(A78,Enforcements!$C$7:$E$9,3,0)</f>
        <v>#N/A</v>
      </c>
      <c r="AD78" s="179">
        <f t="shared" si="31"/>
        <v>164</v>
      </c>
      <c r="AE78" s="77" t="str">
        <f t="shared" si="32"/>
        <v>aws s3 cp s3://rtdc.mdm.uploadarchive.raw/RTDC4041/ "%USERPROFILE%\AppData\Local\Temp\OnboardLogs"\RTDC4041\2017-11-17 --exclude "*" --recursive --include "*20171117*" &amp; "%USERPROFILE%\Documents\GitHub\mrs-test-scripts\Headless Mode &amp; Sideloading\WalkAndUnGZ.bat" "%USERPROFILE%\AppData\Local\Temp\OnboardLogs"\RTDC4041\2017-11-17 &amp; aws s3 cp s3://rtdc.mdm.uploadarchive.raw/RTDC4041/ "%USERPROFILE%\AppData\Local\Temp\OnboardLogs"\RTDC4041\2017-11-18 --exclude "*" --recursive --include "*20171118*" &amp; "%USERPROFILE%\Documents\GitHub\mrs-test-scripts\Headless Mode &amp; Sideloading\WalkAndUnGZ.bat" "%USERPROFILE%\AppData\Local\Temp\OnboardLogs"\RTDC4041\2017-11-18</v>
      </c>
      <c r="AF78" s="74" t="str">
        <f t="shared" si="33"/>
        <v>"C:\Program Files (x86)\AstroGrep\AstroGrep.exe" /e /r /s /spath="%USERPROFILE%\AppData\Local\Temp\OnboardLogs" /stypes="app*4041*20171117*" /stext=" 20:.+((SYSTEM_STATE.+slice.+state.+changed )|(ment ac)|(multiple cpu faults)|(system.+state.+changed )|(\[timeout)|(PRM\|1\|D)|(kpr)|(kdp)|(train st.+moving)|(\|lc)|(penalty))"</v>
      </c>
      <c r="AG78" s="182" t="str">
        <f t="shared" si="34"/>
        <v>EC</v>
      </c>
      <c r="AH78" s="78" t="str">
        <f t="shared" ref="AH78:AH140" si="35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164-17 --locoid 4041 --swversion DE.1.0.9.0 --startMP 204:232881 --initTime 2017-11-17T12:10:12 --startdatetime 2017-11-17T12:27:14 --delay 54 --endMP 204:282 --enddatetime 2017-11-17T13:07:35 --enforcementcount 1 &gt;&gt;%USERPROFILE%\Documents\GitHub\eaglep3-reporting\EC\2017-11-17-refined-times.txt</v>
      </c>
      <c r="AI78" s="96" t="str">
        <f t="shared" ref="AI78:AI140" si="36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{"issue":{"subject":"","project_id":79,"tracker_id":40,"status_id":1,"priority_id":2,"assigned_to_id":338,"start_date":"2017-11-17","description":"","custom_fields":[{"id":1,"name":"Subdivision","value":"EC"},{"id":4,"name":"Milepost","value":"0.0282"},{"id":17,"name":"Train ID","value":"164-17"},{"id":16,"name":"Locomotive ID","value":"4041"},{"id":130,"name":"Impact","value":""},{"id":150,"name":"Time of Event (Mountain Time)","value":"13:07:35"},{"id":151,"name":"Denver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8" s="20"/>
      <c r="AK78" s="47"/>
      <c r="AL78" s="47"/>
      <c r="AM78" s="142" t="str">
        <f t="shared" ref="AM78:AM140" si="37">"start /low /b "&amp;dls3logs&amp;" --loco "&amp;B78&amp;" --day "&amp;TEXT(F78,"YYYY-MM-DD")</f>
        <v>start /low /b %USERPROFILE%\Documents\GitHub\eaglep3\Utilities\DownloadLogsFromS3.py --loco 4041 --day 2017-11-17</v>
      </c>
      <c r="AN78" s="151" t="str">
        <f t="shared" ref="AN78:AN140" si="38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20:07:35"},{"id":29,"name":"Sharepoint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168" t="str">
        <f t="shared" ref="AO78:AO140" si="39"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Message%20ID',Summary),filters:!(),index:'emp_*',interval:auto,query:"&amp;"(query_string:(analyze_wildcard:!t,query:'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-11-17T11:10:12-0700',mode:absolute,to:'2017-11-17T14:07:35-0700'))&amp;_a=(columns:!('Message%20ID',Summary),filters:!(),index:'emp_*',interval:auto,query:(query_string:(analyze_wildcard:!t,query:'%22rtdc.l.rtdc.4041%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3">
      <c r="A79" s="32" t="s">
        <v>754</v>
      </c>
      <c r="B79" s="7">
        <v>4040</v>
      </c>
      <c r="C79" s="21" t="s">
        <v>192</v>
      </c>
      <c r="D79" s="21" t="s">
        <v>930</v>
      </c>
      <c r="E79" s="13">
        <v>43056.487754629627</v>
      </c>
      <c r="F79" s="13">
        <v>43056.49009259259</v>
      </c>
      <c r="G79" s="7">
        <v>75</v>
      </c>
      <c r="H79" s="21" t="s">
        <v>961</v>
      </c>
      <c r="I79" s="13">
        <v>43056.516400462962</v>
      </c>
      <c r="J79" s="7">
        <v>1</v>
      </c>
      <c r="K79" s="89" t="str">
        <f t="shared" si="23"/>
        <v>4039/4040</v>
      </c>
      <c r="L79" s="185" t="str">
        <f>VLOOKUP(A79,'Trips&amp;Operators'!$C$1:$G$99911,5,FALSE)</f>
        <v>DE LA ROSA ALEX</v>
      </c>
      <c r="M79" s="6">
        <f t="shared" si="24"/>
        <v>2.6307870371965691E-2</v>
      </c>
      <c r="N79" s="7">
        <f t="shared" si="21"/>
        <v>37.883333335630596</v>
      </c>
      <c r="O79" s="7"/>
      <c r="P79" s="7"/>
      <c r="Q79" s="22"/>
      <c r="R79" s="174"/>
      <c r="S79" s="221">
        <f t="shared" si="22"/>
        <v>1</v>
      </c>
      <c r="T79" s="174" t="str">
        <f t="shared" si="25"/>
        <v>NorthBound</v>
      </c>
      <c r="U79" s="198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16" t="str">
        <f t="shared" si="26"/>
        <v>https://d0f6bd738d7f1b3e5a7ca70fe4ff75f0.us-east-1.aws.found.io/app/kibana#/discover/Steve-Slow-Train-Analysis-(2080s-and-2083s)?_g=(refreshInterval:(display:Off,pause:!f,section:0,value:0),time:(from:'2017-11-17T10:42:22-0700',mode:absolute,to:'2017-11-17T13:23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79" s="204" t="str">
        <f>IF(AA79&lt;VLOOKUP(AG79,Variables!$AC$3:$AD$8,2,FALSE),"Y","N")</f>
        <v>N</v>
      </c>
      <c r="X79" s="204">
        <f t="shared" si="27"/>
        <v>1</v>
      </c>
      <c r="Y79" s="204">
        <f t="shared" si="28"/>
        <v>4.53E-2</v>
      </c>
      <c r="Z79" s="204">
        <f t="shared" si="29"/>
        <v>23.321999999999999</v>
      </c>
      <c r="AA79" s="204">
        <f t="shared" si="30"/>
        <v>23.276699999999998</v>
      </c>
      <c r="AB79" s="54" t="e">
        <f>VLOOKUP(A79,Enforcements!$C$7:$K$9,8,0)</f>
        <v>#N/A</v>
      </c>
      <c r="AC79" s="51" t="e">
        <f>VLOOKUP(A79,Enforcements!$C$7:$E$9,3,0)</f>
        <v>#N/A</v>
      </c>
      <c r="AD79" s="179">
        <f t="shared" si="31"/>
        <v>165</v>
      </c>
      <c r="AE79" s="77" t="str">
        <f t="shared" si="32"/>
        <v>aws s3 cp s3://rtdc.mdm.uploadarchive.raw/RTDC4040/ "%USERPROFILE%\AppData\Local\Temp\OnboardLogs"\RTDC4040\2017-11-17 --exclude "*" --recursive --include "*20171117*" &amp; "%USERPROFILE%\Documents\GitHub\mrs-test-scripts\Headless Mode &amp; Sideloading\WalkAndUnGZ.bat" "%USERPROFILE%\AppData\Local\Temp\OnboardLogs"\RTDC4040\2017-11-17 &amp; aws s3 cp s3://rtdc.mdm.uploadarchive.raw/RTDC4040/ "%USERPROFILE%\AppData\Local\Temp\OnboardLogs"\RTDC4040\2017-11-18 --exclude "*" --recursive --include "*20171118*" &amp; "%USERPROFILE%\Documents\GitHub\mrs-test-scripts\Headless Mode &amp; Sideloading\WalkAndUnGZ.bat" "%USERPROFILE%\AppData\Local\Temp\OnboardLogs"\RTDC4040\2017-11-18</v>
      </c>
      <c r="AF79" s="74" t="str">
        <f t="shared" si="33"/>
        <v>"C:\Program Files (x86)\AstroGrep\AstroGrep.exe" /e /r /s /spath="%USERPROFILE%\AppData\Local\Temp\OnboardLogs" /stypes="app*4040*20171117*" /stext=" 19:.+((SYSTEM_STATE.+slice.+state.+changed )|(ment ac)|(multiple cpu faults)|(system.+state.+changed )|(\[timeout)|(PRM\|1\|D)|(kpr)|(kdp)|(train st.+moving)|(\|lc)|(penalty))"</v>
      </c>
      <c r="AG79" s="182" t="str">
        <f t="shared" si="34"/>
        <v>EC</v>
      </c>
      <c r="AH79" s="78" t="str">
        <f t="shared" si="35"/>
        <v>"%USERPROFILE%\Documents\GitHub\eaglep3\Utilities\RefineRTDCRunTimes.py" --tripid 165-17 --locoid 4040 --swversion DE.1.0.9.0 --startMP 204:453 --initTime 2017-11-17T11:42:22 --startdatetime 2017-11-17T11:45:44 --delay 75 --endMP 204:233220 --enddatetime 2017-11-17T12:23:37 --enforcementcount 1 &gt;&gt;%USERPROFILE%\Documents\GitHub\eaglep3-reporting\EC\2017-11-17-refined-times.txt</v>
      </c>
      <c r="AI79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{"issue":{"subject":"","project_id":79,"tracker_id":40,"status_id":1,"priority_id":2,"assigned_to_id":338,"start_date":"2017-11-17","description":"","custom_fields":[{"id":1,"name":"Subdivision","value":"EC"},{"id":4,"name":"Milepost","value":"23.322"},{"id":17,"name":"Train ID","value":"165-17"},{"id":16,"name":"Locomotive ID","value":"4040"},{"id":130,"name":"Impact","value":""},{"id":150,"name":"Time of Event (Mountain Time)","value":"12:23:37"},{"id":151,"name":"Denver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9" s="20"/>
      <c r="AK79" s="47"/>
      <c r="AL79" s="47"/>
      <c r="AM79" s="142" t="str">
        <f t="shared" si="37"/>
        <v>start /low /b %USERPROFILE%\Documents\GitHub\eaglep3\Utilities\DownloadLogsFromS3.py --loco 4040 --day 2017-11-17</v>
      </c>
      <c r="AN79" s="151" t="str">
        <f t="shared" si="38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19:23:37"},{"id":29,"name":"Sharepoint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168" t="str">
        <f t="shared" si="39"/>
        <v>https://d0f6bd738d7f1b3e5a7ca70fe4ff75f0.us-east-1.aws.found.io/app/kibana#/discover/Steve-Slow-Train-Analysis-(2080s-and-2083s)?_g=(refreshInterval:(display:Off,pause:!f,section:0,value:0),time:(from:'2017-11-17T10:42:22-0700',mode:absolute,to:'2017-11-17T13:23:37-0700'))&amp;_a=(columns:!('Message%20ID',Summary),filters:!(),index:'emp_*',interval:auto,query:(query_string:(analyze_wildcard:!t,query:'%22rtdc.l.rtdc.4040%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3">
      <c r="A80" s="32" t="s">
        <v>766</v>
      </c>
      <c r="B80" s="7">
        <v>4039</v>
      </c>
      <c r="C80" s="21" t="s">
        <v>192</v>
      </c>
      <c r="D80" s="21" t="s">
        <v>503</v>
      </c>
      <c r="E80" s="13">
        <v>43056.525752314818</v>
      </c>
      <c r="F80" s="13">
        <v>43056.529432870368</v>
      </c>
      <c r="G80" s="7">
        <v>65</v>
      </c>
      <c r="H80" s="21" t="s">
        <v>573</v>
      </c>
      <c r="I80" s="13">
        <v>43056.55678240741</v>
      </c>
      <c r="J80" s="7">
        <v>1</v>
      </c>
      <c r="K80" s="89" t="str">
        <f t="shared" si="23"/>
        <v>4039/4040</v>
      </c>
      <c r="L80" s="185" t="str">
        <f>VLOOKUP(A80,'Trips&amp;Operators'!$C$1:$G$99911,5,FALSE)</f>
        <v>DE LA ROSA ALEX</v>
      </c>
      <c r="M80" s="6">
        <f t="shared" si="24"/>
        <v>2.7349537042027805E-2</v>
      </c>
      <c r="N80" s="7">
        <f t="shared" si="21"/>
        <v>39.383333340520039</v>
      </c>
      <c r="O80" s="7"/>
      <c r="P80" s="7"/>
      <c r="Q80" s="22"/>
      <c r="R80" s="174"/>
      <c r="S80" s="221">
        <f t="shared" si="22"/>
        <v>1</v>
      </c>
      <c r="T80" s="174" t="str">
        <f t="shared" si="25"/>
        <v>Southbound</v>
      </c>
      <c r="U80" s="198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16" t="str">
        <f t="shared" si="26"/>
        <v>https://d0f6bd738d7f1b3e5a7ca70fe4ff75f0.us-east-1.aws.found.io/app/kibana#/discover/Steve-Slow-Train-Analysis-(2080s-and-2083s)?_g=(refreshInterval:(display:Off,pause:!f,section:0,value:0),time:(from:'2017-11-17T11:37:05-0700',mode:absolute,to:'2017-11-17T14:21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80" s="204" t="str">
        <f>IF(AA80&lt;VLOOKUP(AG80,Variables!$AC$3:$AD$8,2,FALSE),"Y","N")</f>
        <v>N</v>
      </c>
      <c r="X80" s="204">
        <f t="shared" si="27"/>
        <v>1</v>
      </c>
      <c r="Y80" s="204">
        <f t="shared" si="28"/>
        <v>23.2898</v>
      </c>
      <c r="Z80" s="204">
        <f t="shared" si="29"/>
        <v>2.1100000000000001E-2</v>
      </c>
      <c r="AA80" s="204">
        <f t="shared" si="30"/>
        <v>23.268699999999999</v>
      </c>
      <c r="AB80" s="54" t="e">
        <f>VLOOKUP(A80,Enforcements!$C$7:$K$9,8,0)</f>
        <v>#N/A</v>
      </c>
      <c r="AC80" s="51" t="e">
        <f>VLOOKUP(A80,Enforcements!$C$7:$E$9,3,0)</f>
        <v>#N/A</v>
      </c>
      <c r="AD80" s="179">
        <f t="shared" si="31"/>
        <v>166</v>
      </c>
      <c r="AE80" s="77" t="str">
        <f t="shared" si="32"/>
        <v>aws s3 cp s3://rtdc.mdm.uploadarchive.raw/RTDC4039/ "%USERPROFILE%\AppData\Local\Temp\OnboardLogs"\RTDC4039\2017-11-17 --exclude "*" --recursive --include "*20171117*" &amp; "%USERPROFILE%\Documents\GitHub\mrs-test-scripts\Headless Mode &amp; Sideloading\WalkAndUnGZ.bat" "%USERPROFILE%\AppData\Local\Temp\OnboardLogs"\RTDC4039\2017-11-17 &amp; aws s3 cp s3://rtdc.mdm.uploadarchive.raw/RTDC4039/ "%USERPROFILE%\AppData\Local\Temp\OnboardLogs"\RTDC4039\2017-11-18 --exclude "*" --recursive --include "*20171118*" &amp; "%USERPROFILE%\Documents\GitHub\mrs-test-scripts\Headless Mode &amp; Sideloading\WalkAndUnGZ.bat" "%USERPROFILE%\AppData\Local\Temp\OnboardLogs"\RTDC4039\2017-11-18</v>
      </c>
      <c r="AF80" s="74" t="str">
        <f t="shared" si="33"/>
        <v>"C:\Program Files (x86)\AstroGrep\AstroGrep.exe" /e /r /s /spath="%USERPROFILE%\AppData\Local\Temp\OnboardLogs" /stypes="app*4039*20171117*" /stext=" 20:.+((SYSTEM_STATE.+slice.+state.+changed )|(ment ac)|(multiple cpu faults)|(system.+state.+changed )|(\[timeout)|(PRM\|1\|D)|(kpr)|(kdp)|(train st.+moving)|(\|lc)|(penalty))"</v>
      </c>
      <c r="AG80" s="182" t="str">
        <f t="shared" si="34"/>
        <v>EC</v>
      </c>
      <c r="AH80" s="78" t="str">
        <f t="shared" si="35"/>
        <v>"%USERPROFILE%\Documents\GitHub\eaglep3\Utilities\RefineRTDCRunTimes.py" --tripid 166-17 --locoid 4039 --swversion DE.1.0.9.0 --startMP 204:232898 --initTime 2017-11-17T12:37:05 --startdatetime 2017-11-17T12:42:23 --delay 65 --endMP 204:211 --enddatetime 2017-11-17T13:21:46 --enforcementcount 1 &gt;&gt;%USERPROFILE%\Documents\GitHub\eaglep3-reporting\EC\2017-11-17-refined-times.txt</v>
      </c>
      <c r="AI80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{"issue":{"subject":"","project_id":79,"tracker_id":40,"status_id":1,"priority_id":2,"assigned_to_id":338,"start_date":"2017-11-17","description":"","custom_fields":[{"id":1,"name":"Subdivision","value":"EC"},{"id":4,"name":"Milepost","value":"0.0211"},{"id":17,"name":"Train ID","value":"166-17"},{"id":16,"name":"Locomotive ID","value":"4039"},{"id":130,"name":"Impact","value":""},{"id":150,"name":"Time of Event (Mountain Time)","value":"13:21:46"},{"id":151,"name":"Denver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0" s="20"/>
      <c r="AK80" s="47"/>
      <c r="AL80" s="47"/>
      <c r="AM80" s="142" t="str">
        <f t="shared" si="37"/>
        <v>start /low /b %USERPROFILE%\Documents\GitHub\eaglep3\Utilities\DownloadLogsFromS3.py --loco 4039 --day 2017-11-17</v>
      </c>
      <c r="AN80" s="151" t="str">
        <f t="shared" si="38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20:21:46"},{"id":29,"name":"Sharepoint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168" t="str">
        <f t="shared" si="39"/>
        <v>https://d0f6bd738d7f1b3e5a7ca70fe4ff75f0.us-east-1.aws.found.io/app/kibana#/discover/Steve-Slow-Train-Analysis-(2080s-and-2083s)?_g=(refreshInterval:(display:Off,pause:!f,section:0,value:0),time:(from:'2017-11-17T11:37:05-0700',mode:absolute,to:'2017-11-17T14:21:46-0700'))&amp;_a=(columns:!('Message%20ID',Summary),filters:!(),index:'emp_*',interval:auto,query:(query_string:(analyze_wildcard:!t,query:'%22rtdc.l.rtdc.4039%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3">
      <c r="A81" s="32" t="s">
        <v>757</v>
      </c>
      <c r="B81" s="7">
        <v>4066</v>
      </c>
      <c r="C81" s="21" t="s">
        <v>192</v>
      </c>
      <c r="D81" s="21" t="s">
        <v>962</v>
      </c>
      <c r="E81" s="13">
        <v>43056.500752314816</v>
      </c>
      <c r="F81" s="13">
        <v>43056.502384259256</v>
      </c>
      <c r="G81" s="7">
        <v>67</v>
      </c>
      <c r="H81" s="21" t="s">
        <v>937</v>
      </c>
      <c r="I81" s="13">
        <v>43056.527604166666</v>
      </c>
      <c r="J81" s="7">
        <v>1</v>
      </c>
      <c r="K81" s="89" t="str">
        <f t="shared" si="23"/>
        <v>4065/4066</v>
      </c>
      <c r="L81" s="185" t="str">
        <f>VLOOKUP(A81,'Trips&amp;Operators'!$C$1:$G$99911,5,FALSE)</f>
        <v>FORTUNATO FRANK</v>
      </c>
      <c r="M81" s="6">
        <f t="shared" si="24"/>
        <v>2.5219907409336884E-2</v>
      </c>
      <c r="N81" s="7">
        <f t="shared" si="21"/>
        <v>36.316666669445112</v>
      </c>
      <c r="O81" s="7"/>
      <c r="P81" s="7"/>
      <c r="Q81" s="22"/>
      <c r="R81" s="174"/>
      <c r="S81" s="221">
        <f t="shared" si="22"/>
        <v>1</v>
      </c>
      <c r="T81" s="174" t="str">
        <f t="shared" si="25"/>
        <v>NorthBound</v>
      </c>
      <c r="U81" s="198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16" t="str">
        <f t="shared" si="26"/>
        <v>https://d0f6bd738d7f1b3e5a7ca70fe4ff75f0.us-east-1.aws.found.io/app/kibana#/discover/Steve-Slow-Train-Analysis-(2080s-and-2083s)?_g=(refreshInterval:(display:Off,pause:!f,section:0,value:0),time:(from:'2017-11-17T11:01:05-0700',mode:absolute,to:'2017-11-17T13:39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81" s="204" t="str">
        <f>IF(AA81&lt;VLOOKUP(AG81,Variables!$AC$3:$AD$8,2,FALSE),"Y","N")</f>
        <v>N</v>
      </c>
      <c r="X81" s="204">
        <f t="shared" si="27"/>
        <v>1</v>
      </c>
      <c r="Y81" s="204">
        <f t="shared" si="28"/>
        <v>4.7100000000000003E-2</v>
      </c>
      <c r="Z81" s="204">
        <f t="shared" si="29"/>
        <v>23.319600000000001</v>
      </c>
      <c r="AA81" s="204">
        <f t="shared" si="30"/>
        <v>23.272500000000001</v>
      </c>
      <c r="AB81" s="54" t="e">
        <f>VLOOKUP(A81,Enforcements!$C$7:$K$9,8,0)</f>
        <v>#N/A</v>
      </c>
      <c r="AC81" s="51" t="e">
        <f>VLOOKUP(A81,Enforcements!$C$7:$E$9,3,0)</f>
        <v>#N/A</v>
      </c>
      <c r="AD81" s="179">
        <f t="shared" si="31"/>
        <v>167</v>
      </c>
      <c r="AE81" s="77" t="str">
        <f t="shared" si="32"/>
        <v>aws s3 cp s3://rtdc.mdm.uploadarchive.raw/RTDC4066/ "%USERPROFILE%\AppData\Local\Temp\OnboardLogs"\RTDC4066\2017-11-17 --exclude "*" --recursive --include "*20171117*" &amp; "%USERPROFILE%\Documents\GitHub\mrs-test-scripts\Headless Mode &amp; Sideloading\WalkAndUnGZ.bat" "%USERPROFILE%\AppData\Local\Temp\OnboardLogs"\RTDC4066\2017-11-17 &amp; aws s3 cp s3://rtdc.mdm.uploadarchive.raw/RTDC4066/ "%USERPROFILE%\AppData\Local\Temp\OnboardLogs"\RTDC4066\2017-11-18 --exclude "*" --recursive --include "*20171118*" &amp; "%USERPROFILE%\Documents\GitHub\mrs-test-scripts\Headless Mode &amp; Sideloading\WalkAndUnGZ.bat" "%USERPROFILE%\AppData\Local\Temp\OnboardLogs"\RTDC4066\2017-11-18</v>
      </c>
      <c r="AF81" s="74" t="str">
        <f t="shared" si="33"/>
        <v>"C:\Program Files (x86)\AstroGrep\AstroGrep.exe" /e /r /s /spath="%USERPROFILE%\AppData\Local\Temp\OnboardLogs" /stypes="app*4066*20171117*" /stext=" 19:.+((SYSTEM_STATE.+slice.+state.+changed )|(ment ac)|(multiple cpu faults)|(system.+state.+changed )|(\[timeout)|(PRM\|1\|D)|(kpr)|(kdp)|(train st.+moving)|(\|lc)|(penalty))"</v>
      </c>
      <c r="AG81" s="182" t="str">
        <f t="shared" si="34"/>
        <v>EC</v>
      </c>
      <c r="AH81" s="78" t="str">
        <f t="shared" si="35"/>
        <v>"%USERPROFILE%\Documents\GitHub\eaglep3\Utilities\RefineRTDCRunTimes.py" --tripid 167-17 --locoid 4066 --swversion DE.1.0.9.0 --startMP 204:471 --initTime 2017-11-17T12:01:05 --startdatetime 2017-11-17T12:03:26 --delay 67 --endMP 204:233196 --enddatetime 2017-11-17T12:39:45 --enforcementcount 1 &gt;&gt;%USERPROFILE%\Documents\GitHub\eaglep3-reporting\EC\2017-11-17-refined-times.txt</v>
      </c>
      <c r="AI81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{"issue":{"subject":"","project_id":79,"tracker_id":40,"status_id":1,"priority_id":2,"assigned_to_id":338,"start_date":"2017-11-17","description":"","custom_fields":[{"id":1,"name":"Subdivision","value":"EC"},{"id":4,"name":"Milepost","value":"23.3196"},{"id":17,"name":"Train ID","value":"167-17"},{"id":16,"name":"Locomotive ID","value":"4066"},{"id":130,"name":"Impact","value":""},{"id":150,"name":"Time of Event (Mountain Time)","value":"12:39:45"},{"id":151,"name":"Denver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1" s="20"/>
      <c r="AK81" s="47"/>
      <c r="AL81" s="47"/>
      <c r="AM81" s="142" t="str">
        <f t="shared" si="37"/>
        <v>start /low /b %USERPROFILE%\Documents\GitHub\eaglep3\Utilities\DownloadLogsFromS3.py --loco 4066 --day 2017-11-17</v>
      </c>
      <c r="AN81" s="151" t="str">
        <f t="shared" si="38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19:39:45"},{"id":29,"name":"Sharepoint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168" t="str">
        <f t="shared" si="39"/>
        <v>https://d0f6bd738d7f1b3e5a7ca70fe4ff75f0.us-east-1.aws.found.io/app/kibana#/discover/Steve-Slow-Train-Analysis-(2080s-and-2083s)?_g=(refreshInterval:(display:Off,pause:!f,section:0,value:0),time:(from:'2017-11-17T11:01:05-0700',mode:absolute,to:'2017-11-17T13:39:45-0700'))&amp;_a=(columns:!('Message%20ID',Summary),filters:!(),index:'emp_*',interval:auto,query:(query_string:(analyze_wildcard:!t,query:'%22rtdc.l.rtdc.4066%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3">
      <c r="A82" s="32" t="s">
        <v>770</v>
      </c>
      <c r="B82" s="7">
        <v>4065</v>
      </c>
      <c r="C82" s="21" t="s">
        <v>192</v>
      </c>
      <c r="D82" s="21" t="s">
        <v>963</v>
      </c>
      <c r="E82" s="13">
        <v>43056.52988425926</v>
      </c>
      <c r="F82" s="13">
        <v>43056.540162037039</v>
      </c>
      <c r="G82" s="7">
        <v>65</v>
      </c>
      <c r="H82" s="21" t="s">
        <v>925</v>
      </c>
      <c r="I82" s="13">
        <v>43056.567789351851</v>
      </c>
      <c r="J82" s="7">
        <v>1</v>
      </c>
      <c r="K82" s="89" t="str">
        <f t="shared" si="23"/>
        <v>4065/4066</v>
      </c>
      <c r="L82" s="185" t="str">
        <f>VLOOKUP(A82,'Trips&amp;Operators'!$C$1:$G$99911,5,FALSE)</f>
        <v>FORTUNATO FRANK</v>
      </c>
      <c r="M82" s="6">
        <f t="shared" si="24"/>
        <v>2.7627314811979886E-2</v>
      </c>
      <c r="N82" s="7">
        <f t="shared" ref="N82:N105" si="40">24*60*SUM($M82:$M82)</f>
        <v>39.783333329251036</v>
      </c>
      <c r="O82" s="7"/>
      <c r="P82" s="7"/>
      <c r="Q82" s="22"/>
      <c r="R82" s="174"/>
      <c r="S82" s="221">
        <f t="shared" ref="S82:S105" si="41">1/IF(AG82="EC",12,1)*SUM(U82:U82)</f>
        <v>1</v>
      </c>
      <c r="T82" s="174" t="str">
        <f t="shared" si="25"/>
        <v>Southbound</v>
      </c>
      <c r="U82" s="198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16" t="str">
        <f t="shared" si="26"/>
        <v>https://d0f6bd738d7f1b3e5a7ca70fe4ff75f0.us-east-1.aws.found.io/app/kibana#/discover/Steve-Slow-Train-Analysis-(2080s-and-2083s)?_g=(refreshInterval:(display:Off,pause:!f,section:0,value:0),time:(from:'2017-11-17T11:43:02-0700',mode:absolute,to:'2017-11-17T14:37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82" s="204" t="str">
        <f>IF(AA82&lt;VLOOKUP(AG82,Variables!$AC$3:$AD$8,2,FALSE),"Y","N")</f>
        <v>N</v>
      </c>
      <c r="X82" s="204">
        <f t="shared" si="27"/>
        <v>1</v>
      </c>
      <c r="Y82" s="204">
        <f t="shared" si="28"/>
        <v>23.2879</v>
      </c>
      <c r="Z82" s="204">
        <f t="shared" si="29"/>
        <v>2.0299999999999999E-2</v>
      </c>
      <c r="AA82" s="204">
        <f t="shared" si="30"/>
        <v>23.267600000000002</v>
      </c>
      <c r="AB82" s="54" t="e">
        <f>VLOOKUP(A82,Enforcements!$C$7:$K$9,8,0)</f>
        <v>#N/A</v>
      </c>
      <c r="AC82" s="51" t="e">
        <f>VLOOKUP(A82,Enforcements!$C$7:$E$9,3,0)</f>
        <v>#N/A</v>
      </c>
      <c r="AD82" s="179">
        <f t="shared" si="31"/>
        <v>168</v>
      </c>
      <c r="AE82" s="77" t="str">
        <f t="shared" si="32"/>
        <v>aws s3 cp s3://rtdc.mdm.uploadarchive.raw/RTDC4065/ "%USERPROFILE%\AppData\Local\Temp\OnboardLogs"\RTDC4065\2017-11-17 --exclude "*" --recursive --include "*20171117*" &amp; "%USERPROFILE%\Documents\GitHub\mrs-test-scripts\Headless Mode &amp; Sideloading\WalkAndUnGZ.bat" "%USERPROFILE%\AppData\Local\Temp\OnboardLogs"\RTDC4065\2017-11-17 &amp; aws s3 cp s3://rtdc.mdm.uploadarchive.raw/RTDC4065/ "%USERPROFILE%\AppData\Local\Temp\OnboardLogs"\RTDC4065\2017-11-18 --exclude "*" --recursive --include "*20171118*" &amp; "%USERPROFILE%\Documents\GitHub\mrs-test-scripts\Headless Mode &amp; Sideloading\WalkAndUnGZ.bat" "%USERPROFILE%\AppData\Local\Temp\OnboardLogs"\RTDC4065\2017-11-18</v>
      </c>
      <c r="AF82" s="74" t="str">
        <f t="shared" si="33"/>
        <v>"C:\Program Files (x86)\AstroGrep\AstroGrep.exe" /e /r /s /spath="%USERPROFILE%\AppData\Local\Temp\OnboardLogs" /stypes="app*4065*20171117*" /stext=" 20:.+((SYSTEM_STATE.+slice.+state.+changed )|(ment ac)|(multiple cpu faults)|(system.+state.+changed )|(\[timeout)|(PRM\|1\|D)|(kpr)|(kdp)|(train st.+moving)|(\|lc)|(penalty))"</v>
      </c>
      <c r="AG82" s="182" t="str">
        <f t="shared" si="34"/>
        <v>EC</v>
      </c>
      <c r="AH82" s="78" t="str">
        <f t="shared" si="35"/>
        <v>"%USERPROFILE%\Documents\GitHub\eaglep3\Utilities\RefineRTDCRunTimes.py" --tripid 168-17 --locoid 4065 --swversion DE.1.0.9.0 --startMP 204:232879 --initTime 2017-11-17T12:43:02 --startdatetime 2017-11-17T12:57:50 --delay 65 --endMP 204:203 --enddatetime 2017-11-17T13:37:37 --enforcementcount 1 &gt;&gt;%USERPROFILE%\Documents\GitHub\eaglep3-reporting\EC\2017-11-17-refined-times.txt</v>
      </c>
      <c r="AI82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{"issue":{"subject":"","project_id":79,"tracker_id":40,"status_id":1,"priority_id":2,"assigned_to_id":338,"start_date":"2017-11-17","description":"","custom_fields":[{"id":1,"name":"Subdivision","value":"EC"},{"id":4,"name":"Milepost","value":"0.0203"},{"id":17,"name":"Train ID","value":"168-17"},{"id":16,"name":"Locomotive ID","value":"4065"},{"id":130,"name":"Impact","value":""},{"id":150,"name":"Time of Event (Mountain Time)","value":"13:37:37"},{"id":151,"name":"Denver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2" s="20"/>
      <c r="AK82" s="47"/>
      <c r="AL82" s="47"/>
      <c r="AM82" s="142" t="str">
        <f t="shared" si="37"/>
        <v>start /low /b %USERPROFILE%\Documents\GitHub\eaglep3\Utilities\DownloadLogsFromS3.py --loco 4065 --day 2017-11-17</v>
      </c>
      <c r="AN82" s="151" t="str">
        <f t="shared" si="38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20:37:37"},{"id":29,"name":"Sharepoint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168" t="str">
        <f t="shared" si="39"/>
        <v>https://d0f6bd738d7f1b3e5a7ca70fe4ff75f0.us-east-1.aws.found.io/app/kibana#/discover/Steve-Slow-Train-Analysis-(2080s-and-2083s)?_g=(refreshInterval:(display:Off,pause:!f,section:0,value:0),time:(from:'2017-11-17T11:43:02-0700',mode:absolute,to:'2017-11-17T14:37:37-0700'))&amp;_a=(columns:!('Message%20ID',Summary),filters:!(),index:'emp_*',interval:auto,query:(query_string:(analyze_wildcard:!t,query:'%22rtdc.l.rtdc.4065%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3">
      <c r="A83" s="32" t="s">
        <v>763</v>
      </c>
      <c r="B83" s="7">
        <v>4028</v>
      </c>
      <c r="C83" s="21" t="s">
        <v>192</v>
      </c>
      <c r="D83" s="21" t="s">
        <v>581</v>
      </c>
      <c r="E83" s="13">
        <v>43056.508449074077</v>
      </c>
      <c r="F83" s="13">
        <v>43056.510578703703</v>
      </c>
      <c r="G83" s="7">
        <v>93</v>
      </c>
      <c r="H83" s="21" t="s">
        <v>466</v>
      </c>
      <c r="I83" s="13">
        <v>43056.535729166666</v>
      </c>
      <c r="J83" s="7">
        <v>1</v>
      </c>
      <c r="K83" s="89" t="str">
        <f t="shared" si="23"/>
        <v>4027/4028</v>
      </c>
      <c r="L83" s="185" t="str">
        <f>VLOOKUP(A83,'Trips&amp;Operators'!$C$1:$G$99911,5,FALSE)</f>
        <v>LEVIN SCOTT</v>
      </c>
      <c r="M83" s="6">
        <f t="shared" si="24"/>
        <v>2.5150462963210884E-2</v>
      </c>
      <c r="N83" s="7">
        <f t="shared" si="40"/>
        <v>36.216666667023674</v>
      </c>
      <c r="O83" s="7"/>
      <c r="P83" s="7"/>
      <c r="Q83" s="22"/>
      <c r="R83" s="174"/>
      <c r="S83" s="221">
        <f t="shared" si="41"/>
        <v>1</v>
      </c>
      <c r="T83" s="174" t="str">
        <f t="shared" si="25"/>
        <v>NorthBound</v>
      </c>
      <c r="U83" s="198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16" t="str">
        <f t="shared" si="26"/>
        <v>https://d0f6bd738d7f1b3e5a7ca70fe4ff75f0.us-east-1.aws.found.io/app/kibana#/discover/Steve-Slow-Train-Analysis-(2080s-and-2083s)?_g=(refreshInterval:(display:Off,pause:!f,section:0,value:0),time:(from:'2017-11-17T11:12:10-0700',mode:absolute,to:'2017-11-17T13:51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83" s="204" t="str">
        <f>IF(AA83&lt;VLOOKUP(AG83,Variables!$AC$3:$AD$8,2,FALSE),"Y","N")</f>
        <v>N</v>
      </c>
      <c r="X83" s="204">
        <f t="shared" si="27"/>
        <v>1</v>
      </c>
      <c r="Y83" s="204">
        <f t="shared" si="28"/>
        <v>5.4399999999999997E-2</v>
      </c>
      <c r="Z83" s="204">
        <f t="shared" si="29"/>
        <v>23.3276</v>
      </c>
      <c r="AA83" s="204">
        <f t="shared" si="30"/>
        <v>23.273199999999999</v>
      </c>
      <c r="AB83" s="54" t="e">
        <f>VLOOKUP(A83,Enforcements!$C$7:$K$9,8,0)</f>
        <v>#N/A</v>
      </c>
      <c r="AC83" s="51" t="e">
        <f>VLOOKUP(A83,Enforcements!$C$7:$E$9,3,0)</f>
        <v>#N/A</v>
      </c>
      <c r="AD83" s="179">
        <f t="shared" si="31"/>
        <v>169</v>
      </c>
      <c r="AE83" s="77" t="str">
        <f t="shared" si="32"/>
        <v>aws s3 cp s3://rtdc.mdm.uploadarchive.raw/RTDC4028/ "%USERPROFILE%\AppData\Local\Temp\OnboardLogs"\RTDC4028\2017-11-17 --exclude "*" --recursive --include "*20171117*" &amp; "%USERPROFILE%\Documents\GitHub\mrs-test-scripts\Headless Mode &amp; Sideloading\WalkAndUnGZ.bat" "%USERPROFILE%\AppData\Local\Temp\OnboardLogs"\RTDC4028\2017-11-17 &amp; aws s3 cp s3://rtdc.mdm.uploadarchive.raw/RTDC4028/ "%USERPROFILE%\AppData\Local\Temp\OnboardLogs"\RTDC4028\2017-11-18 --exclude "*" --recursive --include "*20171118*" &amp; "%USERPROFILE%\Documents\GitHub\mrs-test-scripts\Headless Mode &amp; Sideloading\WalkAndUnGZ.bat" "%USERPROFILE%\AppData\Local\Temp\OnboardLogs"\RTDC4028\2017-11-18</v>
      </c>
      <c r="AF83" s="74" t="str">
        <f t="shared" si="33"/>
        <v>"C:\Program Files (x86)\AstroGrep\AstroGrep.exe" /e /r /s /spath="%USERPROFILE%\AppData\Local\Temp\OnboardLogs" /stypes="app*4028*20171117*" /stext=" 19:.+((SYSTEM_STATE.+slice.+state.+changed )|(ment ac)|(multiple cpu faults)|(system.+state.+changed )|(\[timeout)|(PRM\|1\|D)|(kpr)|(kdp)|(train st.+moving)|(\|lc)|(penalty))"</v>
      </c>
      <c r="AG83" s="182" t="str">
        <f t="shared" si="34"/>
        <v>EC</v>
      </c>
      <c r="AH83" s="78" t="str">
        <f t="shared" si="35"/>
        <v>"%USERPROFILE%\Documents\GitHub\eaglep3\Utilities\RefineRTDCRunTimes.py" --tripid 169-17 --locoid 4028 --swversion DE.1.0.9.0 --startMP 204:544 --initTime 2017-11-17T12:12:10 --startdatetime 2017-11-17T12:15:14 --delay 93 --endMP 204:233276 --enddatetime 2017-11-17T12:51:27 --enforcementcount 1 &gt;&gt;%USERPROFILE%\Documents\GitHub\eaglep3-reporting\EC\2017-11-17-refined-times.txt</v>
      </c>
      <c r="AI83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{"issue":{"subject":"","project_id":79,"tracker_id":40,"status_id":1,"priority_id":2,"assigned_to_id":338,"start_date":"2017-11-17","description":"","custom_fields":[{"id":1,"name":"Subdivision","value":"EC"},{"id":4,"name":"Milepost","value":"23.3276"},{"id":17,"name":"Train ID","value":"169-17"},{"id":16,"name":"Locomotive ID","value":"4028"},{"id":130,"name":"Impact","value":""},{"id":150,"name":"Time of Event (Mountain Time)","value":"12:51:27"},{"id":151,"name":"Denver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3" s="20"/>
      <c r="AK83" s="47"/>
      <c r="AL83" s="47"/>
      <c r="AM83" s="142" t="str">
        <f t="shared" si="37"/>
        <v>start /low /b %USERPROFILE%\Documents\GitHub\eaglep3\Utilities\DownloadLogsFromS3.py --loco 4028 --day 2017-11-17</v>
      </c>
      <c r="AN83" s="151" t="str">
        <f t="shared" si="38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19:51:27"},{"id":29,"name":"Sharepoint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168" t="str">
        <f t="shared" si="39"/>
        <v>https://d0f6bd738d7f1b3e5a7ca70fe4ff75f0.us-east-1.aws.found.io/app/kibana#/discover/Steve-Slow-Train-Analysis-(2080s-and-2083s)?_g=(refreshInterval:(display:Off,pause:!f,section:0,value:0),time:(from:'2017-11-17T11:12:10-0700',mode:absolute,to:'2017-11-17T13:51:27-0700'))&amp;_a=(columns:!('Message%20ID',Summary),filters:!(),index:'emp_*',interval:auto,query:(query_string:(analyze_wildcard:!t,query:'%22rtdc.l.rtdc.4028%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3">
      <c r="A84" s="32" t="s">
        <v>645</v>
      </c>
      <c r="B84" s="7">
        <v>4027</v>
      </c>
      <c r="C84" s="21" t="s">
        <v>192</v>
      </c>
      <c r="D84" s="21" t="s">
        <v>964</v>
      </c>
      <c r="E84" s="13">
        <v>43056.545289351852</v>
      </c>
      <c r="F84" s="13">
        <v>43056.550185185188</v>
      </c>
      <c r="G84" s="7">
        <v>67</v>
      </c>
      <c r="H84" s="21" t="s">
        <v>941</v>
      </c>
      <c r="I84" s="13">
        <v>43056.576249999998</v>
      </c>
      <c r="J84" s="7">
        <v>1</v>
      </c>
      <c r="K84" s="89" t="str">
        <f t="shared" si="23"/>
        <v>4027/4028</v>
      </c>
      <c r="L84" s="185" t="str">
        <f>VLOOKUP(A84,'Trips&amp;Operators'!$C$1:$G$99911,5,FALSE)</f>
        <v>LEVIN SCOTT</v>
      </c>
      <c r="M84" s="6">
        <f t="shared" si="24"/>
        <v>2.6064814810524695E-2</v>
      </c>
      <c r="N84" s="7">
        <f t="shared" si="40"/>
        <v>37.53333332715556</v>
      </c>
      <c r="O84" s="7"/>
      <c r="P84" s="7"/>
      <c r="Q84" s="22"/>
      <c r="R84" s="174"/>
      <c r="S84" s="221">
        <f t="shared" si="41"/>
        <v>1</v>
      </c>
      <c r="T84" s="174" t="str">
        <f t="shared" si="25"/>
        <v>Southbound</v>
      </c>
      <c r="U84" s="198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16" t="str">
        <f t="shared" si="26"/>
        <v>https://d0f6bd738d7f1b3e5a7ca70fe4ff75f0.us-east-1.aws.found.io/app/kibana#/discover/Steve-Slow-Train-Analysis-(2080s-and-2083s)?_g=(refreshInterval:(display:Off,pause:!f,section:0,value:0),time:(from:'2017-11-17T12:05:13-0700',mode:absolute,to:'2017-11-17T14:49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84" s="204" t="str">
        <f>IF(AA84&lt;VLOOKUP(AG84,Variables!$AC$3:$AD$8,2,FALSE),"Y","N")</f>
        <v>N</v>
      </c>
      <c r="X84" s="204">
        <f t="shared" si="27"/>
        <v>1</v>
      </c>
      <c r="Y84" s="204">
        <f t="shared" si="28"/>
        <v>23.294599999999999</v>
      </c>
      <c r="Z84" s="204">
        <f t="shared" si="29"/>
        <v>1.7600000000000001E-2</v>
      </c>
      <c r="AA84" s="204">
        <f t="shared" si="30"/>
        <v>23.276999999999997</v>
      </c>
      <c r="AB84" s="54" t="str">
        <f>VLOOKUP(A84,Enforcements!$C$7:$K$9,8,0)</f>
        <v>Bulletin (2)</v>
      </c>
      <c r="AC84" s="51" t="str">
        <f>VLOOKUP(A84,Enforcements!$C$7:$E$9,3,0)</f>
        <v>GRADE CROSSING</v>
      </c>
      <c r="AD84" s="179">
        <f t="shared" si="31"/>
        <v>170</v>
      </c>
      <c r="AE84" s="77" t="str">
        <f t="shared" si="32"/>
        <v>aws s3 cp s3://rtdc.mdm.uploadarchive.raw/RTDC4027/ "%USERPROFILE%\AppData\Local\Temp\OnboardLogs"\RTDC4027\2017-11-17 --exclude "*" --recursive --include "*20171117*" &amp; "%USERPROFILE%\Documents\GitHub\mrs-test-scripts\Headless Mode &amp; Sideloading\WalkAndUnGZ.bat" "%USERPROFILE%\AppData\Local\Temp\OnboardLogs"\RTDC4027\2017-11-17 &amp; aws s3 cp s3://rtdc.mdm.uploadarchive.raw/RTDC4027/ "%USERPROFILE%\AppData\Local\Temp\OnboardLogs"\RTDC4027\2017-11-18 --exclude "*" --recursive --include "*20171118*" &amp; "%USERPROFILE%\Documents\GitHub\mrs-test-scripts\Headless Mode &amp; Sideloading\WalkAndUnGZ.bat" "%USERPROFILE%\AppData\Local\Temp\OnboardLogs"\RTDC4027\2017-11-18</v>
      </c>
      <c r="AF84" s="74" t="str">
        <f t="shared" si="33"/>
        <v>"C:\Program Files (x86)\AstroGrep\AstroGrep.exe" /e /r /s /spath="%USERPROFILE%\AppData\Local\Temp\OnboardLogs" /stypes="app*4027*20171117*" /stext=" 20:.+((SYSTEM_STATE.+slice.+state.+changed )|(ment ac)|(multiple cpu faults)|(system.+state.+changed )|(\[timeout)|(PRM\|1\|D)|(kpr)|(kdp)|(train st.+moving)|(\|lc)|(penalty))"</v>
      </c>
      <c r="AG84" s="182" t="str">
        <f t="shared" si="34"/>
        <v>EC</v>
      </c>
      <c r="AH84" s="78" t="str">
        <f t="shared" si="35"/>
        <v>"%USERPROFILE%\Documents\GitHub\eaglep3\Utilities\RefineRTDCRunTimes.py" --tripid 170-17 --locoid 4027 --swversion DE.1.0.9.0 --startMP 204:232946 --initTime 2017-11-17T13:05:13 --startdatetime 2017-11-17T13:12:16 --delay 67 --endMP 204:176 --enddatetime 2017-11-17T13:49:48 --enforcementcount 1 &gt;&gt;%USERPROFILE%\Documents\GitHub\eaglep3-reporting\EC\2017-11-17-refined-times.txt</v>
      </c>
      <c r="AI84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{"issue":{"subject":"","project_id":79,"tracker_id":40,"status_id":1,"priority_id":2,"assigned_to_id":338,"start_date":"2017-11-17","description":"","custom_fields":[{"id":1,"name":"Subdivision","value":"EC"},{"id":4,"name":"Milepost","value":"0.0176"},{"id":17,"name":"Train ID","value":"170-17"},{"id":16,"name":"Locomotive ID","value":"4027"},{"id":130,"name":"Impact","value":""},{"id":150,"name":"Time of Event (Mountain Time)","value":"13:49:48"},{"id":151,"name":"Denver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4" s="20"/>
      <c r="AK84" s="47"/>
      <c r="AL84" s="47"/>
      <c r="AM84" s="142" t="str">
        <f t="shared" si="37"/>
        <v>start /low /b %USERPROFILE%\Documents\GitHub\eaglep3\Utilities\DownloadLogsFromS3.py --loco 4027 --day 2017-11-17</v>
      </c>
      <c r="AN84" s="151" t="str">
        <f t="shared" si="38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20:49:48"},{"id":29,"name":"Sharepoint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168" t="str">
        <f t="shared" si="39"/>
        <v>https://d0f6bd738d7f1b3e5a7ca70fe4ff75f0.us-east-1.aws.found.io/app/kibana#/discover/Steve-Slow-Train-Analysis-(2080s-and-2083s)?_g=(refreshInterval:(display:Off,pause:!f,section:0,value:0),time:(from:'2017-11-17T12:05:13-0700',mode:absolute,to:'2017-11-17T14:49:48-0700'))&amp;_a=(columns:!('Message%20ID',Summary),filters:!(),index:'emp_*',interval:auto,query:(query_string:(analyze_wildcard:!t,query:'%22rtdc.l.rtdc.4027%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3">
      <c r="A85" s="32" t="s">
        <v>765</v>
      </c>
      <c r="B85" s="7">
        <v>4020</v>
      </c>
      <c r="C85" s="21" t="s">
        <v>192</v>
      </c>
      <c r="D85" s="21" t="s">
        <v>525</v>
      </c>
      <c r="E85" s="13">
        <v>43056.520694444444</v>
      </c>
      <c r="F85" s="13">
        <v>43056.522013888891</v>
      </c>
      <c r="G85" s="7">
        <v>51</v>
      </c>
      <c r="H85" s="21" t="s">
        <v>965</v>
      </c>
      <c r="I85" s="13">
        <v>43056.548217592594</v>
      </c>
      <c r="J85" s="7">
        <v>1</v>
      </c>
      <c r="K85" s="89" t="str">
        <f t="shared" si="23"/>
        <v>4019/4020</v>
      </c>
      <c r="L85" s="185" t="str">
        <f>VLOOKUP(A85,'Trips&amp;Operators'!$C$1:$G$99911,5,FALSE)</f>
        <v>BADERTSCHER DIANE</v>
      </c>
      <c r="M85" s="6">
        <f t="shared" si="24"/>
        <v>2.6203703702776693E-2</v>
      </c>
      <c r="N85" s="7">
        <f t="shared" si="40"/>
        <v>37.733333331998438</v>
      </c>
      <c r="O85" s="7"/>
      <c r="P85" s="7"/>
      <c r="Q85" s="22"/>
      <c r="R85" s="174"/>
      <c r="S85" s="221">
        <f t="shared" si="41"/>
        <v>1</v>
      </c>
      <c r="T85" s="174" t="str">
        <f t="shared" si="25"/>
        <v>NorthBound</v>
      </c>
      <c r="U85" s="198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16" t="str">
        <f t="shared" si="26"/>
        <v>https://d0f6bd738d7f1b3e5a7ca70fe4ff75f0.us-east-1.aws.found.io/app/kibana#/discover/Steve-Slow-Train-Analysis-(2080s-and-2083s)?_g=(refreshInterval:(display:Off,pause:!f,section:0,value:0),time:(from:'2017-11-17T11:29:48-0700',mode:absolute,to:'2017-11-17T14:09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85" s="204" t="str">
        <f>IF(AA85&lt;VLOOKUP(AG85,Variables!$AC$3:$AD$8,2,FALSE),"Y","N")</f>
        <v>N</v>
      </c>
      <c r="X85" s="204">
        <f t="shared" si="27"/>
        <v>1</v>
      </c>
      <c r="Y85" s="204">
        <f t="shared" si="28"/>
        <v>5.0200000000000002E-2</v>
      </c>
      <c r="Z85" s="204">
        <f t="shared" si="29"/>
        <v>23.328299999999999</v>
      </c>
      <c r="AA85" s="204">
        <f t="shared" si="30"/>
        <v>23.278099999999998</v>
      </c>
      <c r="AB85" s="54" t="e">
        <f>VLOOKUP(A85,Enforcements!$C$7:$K$9,8,0)</f>
        <v>#N/A</v>
      </c>
      <c r="AC85" s="51" t="e">
        <f>VLOOKUP(A85,Enforcements!$C$7:$E$9,3,0)</f>
        <v>#N/A</v>
      </c>
      <c r="AD85" s="179">
        <f t="shared" si="31"/>
        <v>171</v>
      </c>
      <c r="AE85" s="77" t="str">
        <f t="shared" si="32"/>
        <v>aws s3 cp s3://rtdc.mdm.uploadarchive.raw/RTDC4020/ "%USERPROFILE%\AppData\Local\Temp\OnboardLogs"\RTDC4020\2017-11-17 --exclude "*" --recursive --include "*20171117*" &amp; "%USERPROFILE%\Documents\GitHub\mrs-test-scripts\Headless Mode &amp; Sideloading\WalkAndUnGZ.bat" "%USERPROFILE%\AppData\Local\Temp\OnboardLogs"\RTDC4020\2017-11-17 &amp; aws s3 cp s3://rtdc.mdm.uploadarchive.raw/RTDC4020/ "%USERPROFILE%\AppData\Local\Temp\OnboardLogs"\RTDC4020\2017-11-18 --exclude "*" --recursive --include "*20171118*" &amp; "%USERPROFILE%\Documents\GitHub\mrs-test-scripts\Headless Mode &amp; Sideloading\WalkAndUnGZ.bat" "%USERPROFILE%\AppData\Local\Temp\OnboardLogs"\RTDC4020\2017-11-18</v>
      </c>
      <c r="AF85" s="74" t="str">
        <f t="shared" si="33"/>
        <v>"C:\Program Files (x86)\AstroGrep\AstroGrep.exe" /e /r /s /spath="%USERPROFILE%\AppData\Local\Temp\OnboardLogs" /stypes="app*4020*20171117*" /stext=" 20:.+((SYSTEM_STATE.+slice.+state.+changed )|(ment ac)|(multiple cpu faults)|(system.+state.+changed )|(\[timeout)|(PRM\|1\|D)|(kpr)|(kdp)|(train st.+moving)|(\|lc)|(penalty))"</v>
      </c>
      <c r="AG85" s="182" t="str">
        <f t="shared" si="34"/>
        <v>EC</v>
      </c>
      <c r="AH85" s="78" t="str">
        <f t="shared" si="35"/>
        <v>"%USERPROFILE%\Documents\GitHub\eaglep3\Utilities\RefineRTDCRunTimes.py" --tripid 171-17 --locoid 4020 --swversion DE.1.0.9.0 --startMP 204:502 --initTime 2017-11-17T12:29:48 --startdatetime 2017-11-17T12:31:42 --delay 51 --endMP 204:233283 --enddatetime 2017-11-17T13:09:26 --enforcementcount 1 &gt;&gt;%USERPROFILE%\Documents\GitHub\eaglep3-reporting\EC\2017-11-17-refined-times.txt</v>
      </c>
      <c r="AI85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{"issue":{"subject":"","project_id":79,"tracker_id":40,"status_id":1,"priority_id":2,"assigned_to_id":338,"start_date":"2017-11-17","description":"","custom_fields":[{"id":1,"name":"Subdivision","value":"EC"},{"id":4,"name":"Milepost","value":"23.3283"},{"id":17,"name":"Train ID","value":"171-17"},{"id":16,"name":"Locomotive ID","value":"4020"},{"id":130,"name":"Impact","value":""},{"id":150,"name":"Time of Event (Mountain Time)","value":"13:09:26"},{"id":151,"name":"Denver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5" s="20"/>
      <c r="AK85" s="47"/>
      <c r="AL85" s="47"/>
      <c r="AM85" s="142" t="str">
        <f t="shared" si="37"/>
        <v>start /low /b %USERPROFILE%\Documents\GitHub\eaglep3\Utilities\DownloadLogsFromS3.py --loco 4020 --day 2017-11-17</v>
      </c>
      <c r="AN85" s="151" t="str">
        <f t="shared" si="38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20:09:26"},{"id":29,"name":"Sharepoint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168" t="str">
        <f t="shared" si="39"/>
        <v>https://d0f6bd738d7f1b3e5a7ca70fe4ff75f0.us-east-1.aws.found.io/app/kibana#/discover/Steve-Slow-Train-Analysis-(2080s-and-2083s)?_g=(refreshInterval:(display:Off,pause:!f,section:0,value:0),time:(from:'2017-11-17T11:29:48-0700',mode:absolute,to:'2017-11-17T14:09:26-0700'))&amp;_a=(columns:!('Message%20ID',Summary),filters:!(),index:'emp_*',interval:auto,query:(query_string:(analyze_wildcard:!t,query:'%22rtdc.l.rtdc.4020%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3">
      <c r="A86" s="32" t="s">
        <v>778</v>
      </c>
      <c r="B86" s="7">
        <v>4019</v>
      </c>
      <c r="C86" s="21" t="s">
        <v>192</v>
      </c>
      <c r="D86" s="21" t="s">
        <v>940</v>
      </c>
      <c r="E86" s="13">
        <v>43056.556898148148</v>
      </c>
      <c r="F86" s="13">
        <v>43056.560810185183</v>
      </c>
      <c r="G86" s="7">
        <v>70</v>
      </c>
      <c r="H86" s="21" t="s">
        <v>966</v>
      </c>
      <c r="I86" s="13">
        <v>43056.588078703702</v>
      </c>
      <c r="J86" s="7">
        <v>1</v>
      </c>
      <c r="K86" s="89" t="str">
        <f t="shared" si="23"/>
        <v>4019/4020</v>
      </c>
      <c r="L86" s="185" t="str">
        <f>VLOOKUP(A86,'Trips&amp;Operators'!$C$1:$G$99911,5,FALSE)</f>
        <v>BADERTSCHER DIANE</v>
      </c>
      <c r="M86" s="6">
        <f t="shared" si="24"/>
        <v>2.7268518519122154E-2</v>
      </c>
      <c r="N86" s="7">
        <f t="shared" si="40"/>
        <v>39.266666667535901</v>
      </c>
      <c r="O86" s="7"/>
      <c r="P86" s="7"/>
      <c r="Q86" s="22"/>
      <c r="R86" s="174"/>
      <c r="S86" s="221">
        <f t="shared" si="41"/>
        <v>1</v>
      </c>
      <c r="T86" s="174" t="str">
        <f t="shared" si="25"/>
        <v>Southbound</v>
      </c>
      <c r="U86" s="198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16" t="str">
        <f t="shared" si="26"/>
        <v>https://d0f6bd738d7f1b3e5a7ca70fe4ff75f0.us-east-1.aws.found.io/app/kibana#/discover/Steve-Slow-Train-Analysis-(2080s-and-2083s)?_g=(refreshInterval:(display:Off,pause:!f,section:0,value:0),time:(from:'2017-11-17T12:21:56-0700',mode:absolute,to:'2017-11-17T15:06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86" s="204" t="str">
        <f>IF(AA86&lt;VLOOKUP(AG86,Variables!$AC$3:$AD$8,2,FALSE),"Y","N")</f>
        <v>N</v>
      </c>
      <c r="X86" s="204">
        <f t="shared" si="27"/>
        <v>1</v>
      </c>
      <c r="Y86" s="204">
        <f t="shared" si="28"/>
        <v>23.296800000000001</v>
      </c>
      <c r="Z86" s="204">
        <f t="shared" si="29"/>
        <v>3.1300000000000001E-2</v>
      </c>
      <c r="AA86" s="204">
        <f t="shared" si="30"/>
        <v>23.265499999999999</v>
      </c>
      <c r="AB86" s="54" t="e">
        <f>VLOOKUP(A86,Enforcements!$C$7:$K$9,8,0)</f>
        <v>#N/A</v>
      </c>
      <c r="AC86" s="51" t="e">
        <f>VLOOKUP(A86,Enforcements!$C$7:$E$9,3,0)</f>
        <v>#N/A</v>
      </c>
      <c r="AD86" s="179">
        <f t="shared" si="31"/>
        <v>172</v>
      </c>
      <c r="AE86" s="77" t="str">
        <f t="shared" si="32"/>
        <v>aws s3 cp s3://rtdc.mdm.uploadarchive.raw/RTDC4019/ "%USERPROFILE%\AppData\Local\Temp\OnboardLogs"\RTDC4019\2017-11-17 --exclude "*" --recursive --include "*20171117*" &amp; "%USERPROFILE%\Documents\GitHub\mrs-test-scripts\Headless Mode &amp; Sideloading\WalkAndUnGZ.bat" "%USERPROFILE%\AppData\Local\Temp\OnboardLogs"\RTDC4019\2017-11-17 &amp; aws s3 cp s3://rtdc.mdm.uploadarchive.raw/RTDC4019/ "%USERPROFILE%\AppData\Local\Temp\OnboardLogs"\RTDC4019\2017-11-18 --exclude "*" --recursive --include "*20171118*" &amp; "%USERPROFILE%\Documents\GitHub\mrs-test-scripts\Headless Mode &amp; Sideloading\WalkAndUnGZ.bat" "%USERPROFILE%\AppData\Local\Temp\OnboardLogs"\RTDC4019\2017-11-18</v>
      </c>
      <c r="AF86" s="74" t="str">
        <f t="shared" si="33"/>
        <v>"C:\Program Files (x86)\AstroGrep\AstroGrep.exe" /e /r /s /spath="%USERPROFILE%\AppData\Local\Temp\OnboardLogs" /stypes="app*4019*20171117*" /stext=" 21:.+((SYSTEM_STATE.+slice.+state.+changed )|(ment ac)|(multiple cpu faults)|(system.+state.+changed )|(\[timeout)|(PRM\|1\|D)|(kpr)|(kdp)|(train st.+moving)|(\|lc)|(penalty))"</v>
      </c>
      <c r="AG86" s="182" t="str">
        <f t="shared" si="34"/>
        <v>EC</v>
      </c>
      <c r="AH86" s="78" t="str">
        <f t="shared" si="35"/>
        <v>"%USERPROFILE%\Documents\GitHub\eaglep3\Utilities\RefineRTDCRunTimes.py" --tripid 172-17 --locoid 4019 --swversion DE.1.0.9.0 --startMP 204:232968 --initTime 2017-11-17T13:21:56 --startdatetime 2017-11-17T13:27:34 --delay 70 --endMP 204:313 --enddatetime 2017-11-17T14:06:50 --enforcementcount 1 &gt;&gt;%USERPROFILE%\Documents\GitHub\eaglep3-reporting\EC\2017-11-17-refined-times.txt</v>
      </c>
      <c r="AI86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{"issue":{"subject":"","project_id":79,"tracker_id":40,"status_id":1,"priority_id":2,"assigned_to_id":338,"start_date":"2017-11-17","description":"","custom_fields":[{"id":1,"name":"Subdivision","value":"EC"},{"id":4,"name":"Milepost","value":"0.0313"},{"id":17,"name":"Train ID","value":"172-17"},{"id":16,"name":"Locomotive ID","value":"4019"},{"id":130,"name":"Impact","value":""},{"id":150,"name":"Time of Event (Mountain Time)","value":"14:06:50"},{"id":151,"name":"Denver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6" s="20"/>
      <c r="AK86" s="47"/>
      <c r="AL86" s="47"/>
      <c r="AM86" s="142" t="str">
        <f t="shared" si="37"/>
        <v>start /low /b %USERPROFILE%\Documents\GitHub\eaglep3\Utilities\DownloadLogsFromS3.py --loco 4019 --day 2017-11-17</v>
      </c>
      <c r="AN86" s="151" t="str">
        <f t="shared" si="38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21:06:50"},{"id":29,"name":"Sharepoint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168" t="str">
        <f t="shared" si="39"/>
        <v>https://d0f6bd738d7f1b3e5a7ca70fe4ff75f0.us-east-1.aws.found.io/app/kibana#/discover/Steve-Slow-Train-Analysis-(2080s-and-2083s)?_g=(refreshInterval:(display:Off,pause:!f,section:0,value:0),time:(from:'2017-11-17T12:21:56-0700',mode:absolute,to:'2017-11-17T15:06:50-0700'))&amp;_a=(columns:!('Message%20ID',Summary),filters:!(),index:'emp_*',interval:auto,query:(query_string:(analyze_wildcard:!t,query:'%22rtdc.l.rtdc.4019%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3">
      <c r="A87" s="32" t="s">
        <v>767</v>
      </c>
      <c r="B87" s="7">
        <v>4010</v>
      </c>
      <c r="C87" s="21" t="s">
        <v>192</v>
      </c>
      <c r="D87" s="21" t="s">
        <v>951</v>
      </c>
      <c r="E87" s="13">
        <v>43056.529340277775</v>
      </c>
      <c r="F87" s="13">
        <v>43056.5315625</v>
      </c>
      <c r="G87" s="7">
        <v>61</v>
      </c>
      <c r="H87" s="21" t="s">
        <v>500</v>
      </c>
      <c r="I87" s="13">
        <v>43056.555601851855</v>
      </c>
      <c r="J87" s="7">
        <v>1</v>
      </c>
      <c r="K87" s="89" t="str">
        <f t="shared" si="23"/>
        <v>4009/4010</v>
      </c>
      <c r="L87" s="185" t="str">
        <f>VLOOKUP(A87,'Trips&amp;Operators'!$C$1:$G$99911,5,FALSE)</f>
        <v>HOLCOMB KAMDEN</v>
      </c>
      <c r="M87" s="6">
        <f t="shared" si="24"/>
        <v>2.4039351854298729E-2</v>
      </c>
      <c r="N87" s="7">
        <f t="shared" si="40"/>
        <v>34.61666667019017</v>
      </c>
      <c r="O87" s="7"/>
      <c r="P87" s="7"/>
      <c r="Q87" s="22"/>
      <c r="R87" s="174"/>
      <c r="S87" s="221">
        <f t="shared" si="41"/>
        <v>1</v>
      </c>
      <c r="T87" s="174" t="str">
        <f t="shared" si="25"/>
        <v>NorthBound</v>
      </c>
      <c r="U87" s="198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16" t="str">
        <f t="shared" si="26"/>
        <v>https://d0f6bd738d7f1b3e5a7ca70fe4ff75f0.us-east-1.aws.found.io/app/kibana#/discover/Steve-Slow-Train-Analysis-(2080s-and-2083s)?_g=(refreshInterval:(display:Off,pause:!f,section:0,value:0),time:(from:'2017-11-17T11:42:15-0700',mode:absolute,to:'2017-11-17T14:20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87" s="204" t="str">
        <f>IF(AA87&lt;VLOOKUP(AG87,Variables!$AC$3:$AD$8,2,FALSE),"Y","N")</f>
        <v>N</v>
      </c>
      <c r="X87" s="204">
        <f t="shared" si="27"/>
        <v>1</v>
      </c>
      <c r="Y87" s="204">
        <f t="shared" si="28"/>
        <v>5.1499999999999997E-2</v>
      </c>
      <c r="Z87" s="204">
        <f t="shared" si="29"/>
        <v>23.325099999999999</v>
      </c>
      <c r="AA87" s="204">
        <f t="shared" si="30"/>
        <v>23.273599999999998</v>
      </c>
      <c r="AB87" s="54" t="e">
        <f>VLOOKUP(A87,Enforcements!$C$7:$K$9,8,0)</f>
        <v>#N/A</v>
      </c>
      <c r="AC87" s="51" t="e">
        <f>VLOOKUP(A87,Enforcements!$C$7:$E$9,3,0)</f>
        <v>#N/A</v>
      </c>
      <c r="AD87" s="179">
        <f t="shared" si="31"/>
        <v>173</v>
      </c>
      <c r="AE87" s="77" t="str">
        <f t="shared" si="32"/>
        <v>aws s3 cp s3://rtdc.mdm.uploadarchive.raw/RTDC4010/ "%USERPROFILE%\AppData\Local\Temp\OnboardLogs"\RTDC4010\2017-11-17 --exclude "*" --recursive --include "*20171117*" &amp; "%USERPROFILE%\Documents\GitHub\mrs-test-scripts\Headless Mode &amp; Sideloading\WalkAndUnGZ.bat" "%USERPROFILE%\AppData\Local\Temp\OnboardLogs"\RTDC4010\2017-11-17 &amp; aws s3 cp s3://rtdc.mdm.uploadarchive.raw/RTDC4010/ "%USERPROFILE%\AppData\Local\Temp\OnboardLogs"\RTDC4010\2017-11-18 --exclude "*" --recursive --include "*20171118*" &amp; "%USERPROFILE%\Documents\GitHub\mrs-test-scripts\Headless Mode &amp; Sideloading\WalkAndUnGZ.bat" "%USERPROFILE%\AppData\Local\Temp\OnboardLogs"\RTDC4010\2017-11-18</v>
      </c>
      <c r="AF87" s="74" t="str">
        <f t="shared" si="33"/>
        <v>"C:\Program Files (x86)\AstroGrep\AstroGrep.exe" /e /r /s /spath="%USERPROFILE%\AppData\Local\Temp\OnboardLogs" /stypes="app*4010*20171117*" /stext=" 20:.+((SYSTEM_STATE.+slice.+state.+changed )|(ment ac)|(multiple cpu faults)|(system.+state.+changed )|(\[timeout)|(PRM\|1\|D)|(kpr)|(kdp)|(train st.+moving)|(\|lc)|(penalty))"</v>
      </c>
      <c r="AG87" s="182" t="str">
        <f t="shared" si="34"/>
        <v>EC</v>
      </c>
      <c r="AH87" s="78" t="str">
        <f t="shared" si="35"/>
        <v>"%USERPROFILE%\Documents\GitHub\eaglep3\Utilities\RefineRTDCRunTimes.py" --tripid 173-17 --locoid 4010 --swversion DE.1.0.9.0 --startMP 204:515 --initTime 2017-11-17T12:42:15 --startdatetime 2017-11-17T12:45:27 --delay 61 --endMP 204:233251 --enddatetime 2017-11-17T13:20:04 --enforcementcount 1 &gt;&gt;%USERPROFILE%\Documents\GitHub\eaglep3-reporting\EC\2017-11-17-refined-times.txt</v>
      </c>
      <c r="AI87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{"issue":{"subject":"","project_id":79,"tracker_id":40,"status_id":1,"priority_id":2,"assigned_to_id":338,"start_date":"2017-11-17","description":"","custom_fields":[{"id":1,"name":"Subdivision","value":"EC"},{"id":4,"name":"Milepost","value":"23.3251"},{"id":17,"name":"Train ID","value":"173-17"},{"id":16,"name":"Locomotive ID","value":"4010"},{"id":130,"name":"Impact","value":""},{"id":150,"name":"Time of Event (Mountain Time)","value":"13:20:04"},{"id":151,"name":"Denver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7" s="20"/>
      <c r="AK87" s="47"/>
      <c r="AL87" s="47"/>
      <c r="AM87" s="142" t="str">
        <f t="shared" si="37"/>
        <v>start /low /b %USERPROFILE%\Documents\GitHub\eaglep3\Utilities\DownloadLogsFromS3.py --loco 4010 --day 2017-11-17</v>
      </c>
      <c r="AN87" s="151" t="str">
        <f t="shared" si="38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20:20:04"},{"id":29,"name":"Sharepoint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168" t="str">
        <f t="shared" si="39"/>
        <v>https://d0f6bd738d7f1b3e5a7ca70fe4ff75f0.us-east-1.aws.found.io/app/kibana#/discover/Steve-Slow-Train-Analysis-(2080s-and-2083s)?_g=(refreshInterval:(display:Off,pause:!f,section:0,value:0),time:(from:'2017-11-17T11:42:15-0700',mode:absolute,to:'2017-11-17T14:20:04-0700'))&amp;_a=(columns:!('Message%20ID',Summary),filters:!(),index:'emp_*',interval:auto,query:(query_string:(analyze_wildcard:!t,query:'%22rtdc.l.rtdc.4010%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3">
      <c r="A88" s="32" t="s">
        <v>781</v>
      </c>
      <c r="B88" s="7">
        <v>4009</v>
      </c>
      <c r="C88" s="21" t="s">
        <v>192</v>
      </c>
      <c r="D88" s="21" t="s">
        <v>911</v>
      </c>
      <c r="E88" s="13">
        <v>43056.56726851852</v>
      </c>
      <c r="F88" s="13">
        <v>43056.571134259262</v>
      </c>
      <c r="G88" s="7">
        <v>67</v>
      </c>
      <c r="H88" s="21" t="s">
        <v>939</v>
      </c>
      <c r="I88" s="13">
        <v>43056.596238425926</v>
      </c>
      <c r="J88" s="7">
        <v>1</v>
      </c>
      <c r="K88" s="89" t="str">
        <f t="shared" si="23"/>
        <v>4009/4010</v>
      </c>
      <c r="L88" s="185" t="str">
        <f>VLOOKUP(A88,'Trips&amp;Operators'!$C$1:$G$99911,5,FALSE)</f>
        <v>HOLCOMB KAMDEN</v>
      </c>
      <c r="M88" s="6">
        <f t="shared" si="24"/>
        <v>2.5104166663368233E-2</v>
      </c>
      <c r="N88" s="7">
        <f t="shared" si="40"/>
        <v>36.149999995250255</v>
      </c>
      <c r="O88" s="7"/>
      <c r="P88" s="7"/>
      <c r="Q88" s="22"/>
      <c r="R88" s="174"/>
      <c r="S88" s="221">
        <f t="shared" si="41"/>
        <v>1</v>
      </c>
      <c r="T88" s="174" t="str">
        <f t="shared" si="25"/>
        <v>Southbound</v>
      </c>
      <c r="U88" s="198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16" t="str">
        <f t="shared" si="26"/>
        <v>https://d0f6bd738d7f1b3e5a7ca70fe4ff75f0.us-east-1.aws.found.io/app/kibana#/discover/Steve-Slow-Train-Analysis-(2080s-and-2083s)?_g=(refreshInterval:(display:Off,pause:!f,section:0,value:0),time:(from:'2017-11-17T12:36:52-0700',mode:absolute,to:'2017-11-17T15:18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88" s="204" t="str">
        <f>IF(AA88&lt;VLOOKUP(AG88,Variables!$AC$3:$AD$8,2,FALSE),"Y","N")</f>
        <v>N</v>
      </c>
      <c r="X88" s="204">
        <f t="shared" si="27"/>
        <v>1</v>
      </c>
      <c r="Y88" s="204">
        <f t="shared" si="28"/>
        <v>23.293399999999998</v>
      </c>
      <c r="Z88" s="204">
        <f t="shared" si="29"/>
        <v>2.1600000000000001E-2</v>
      </c>
      <c r="AA88" s="204">
        <f t="shared" si="30"/>
        <v>23.271799999999999</v>
      </c>
      <c r="AB88" s="54" t="e">
        <f>VLOOKUP(A88,Enforcements!$C$7:$K$9,8,0)</f>
        <v>#N/A</v>
      </c>
      <c r="AC88" s="51" t="e">
        <f>VLOOKUP(A88,Enforcements!$C$7:$E$9,3,0)</f>
        <v>#N/A</v>
      </c>
      <c r="AD88" s="179">
        <f t="shared" si="31"/>
        <v>174</v>
      </c>
      <c r="AE88" s="77" t="str">
        <f t="shared" si="32"/>
        <v>aws s3 cp s3://rtdc.mdm.uploadarchive.raw/RTDC4009/ "%USERPROFILE%\AppData\Local\Temp\OnboardLogs"\RTDC4009\2017-11-17 --exclude "*" --recursive --include "*20171117*" &amp; "%USERPROFILE%\Documents\GitHub\mrs-test-scripts\Headless Mode &amp; Sideloading\WalkAndUnGZ.bat" "%USERPROFILE%\AppData\Local\Temp\OnboardLogs"\RTDC4009\2017-11-17 &amp; aws s3 cp s3://rtdc.mdm.uploadarchive.raw/RTDC4009/ "%USERPROFILE%\AppData\Local\Temp\OnboardLogs"\RTDC4009\2017-11-18 --exclude "*" --recursive --include "*20171118*" &amp; "%USERPROFILE%\Documents\GitHub\mrs-test-scripts\Headless Mode &amp; Sideloading\WalkAndUnGZ.bat" "%USERPROFILE%\AppData\Local\Temp\OnboardLogs"\RTDC4009\2017-11-18</v>
      </c>
      <c r="AF88" s="74" t="str">
        <f t="shared" si="33"/>
        <v>"C:\Program Files (x86)\AstroGrep\AstroGrep.exe" /e /r /s /spath="%USERPROFILE%\AppData\Local\Temp\OnboardLogs" /stypes="app*4009*20171117*" /stext=" 21:.+((SYSTEM_STATE.+slice.+state.+changed )|(ment ac)|(multiple cpu faults)|(system.+state.+changed )|(\[timeout)|(PRM\|1\|D)|(kpr)|(kdp)|(train st.+moving)|(\|lc)|(penalty))"</v>
      </c>
      <c r="AG88" s="182" t="str">
        <f t="shared" si="34"/>
        <v>EC</v>
      </c>
      <c r="AH88" s="78" t="str">
        <f t="shared" si="35"/>
        <v>"%USERPROFILE%\Documents\GitHub\eaglep3\Utilities\RefineRTDCRunTimes.py" --tripid 174-17 --locoid 4009 --swversion DE.1.0.9.0 --startMP 204:232934 --initTime 2017-11-17T13:36:52 --startdatetime 2017-11-17T13:42:26 --delay 67 --endMP 204:216 --enddatetime 2017-11-17T14:18:35 --enforcementcount 1 &gt;&gt;%USERPROFILE%\Documents\GitHub\eaglep3-reporting\EC\2017-11-17-refined-times.txt</v>
      </c>
      <c r="AI88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{"issue":{"subject":"","project_id":79,"tracker_id":40,"status_id":1,"priority_id":2,"assigned_to_id":338,"start_date":"2017-11-17","description":"","custom_fields":[{"id":1,"name":"Subdivision","value":"EC"},{"id":4,"name":"Milepost","value":"0.0216"},{"id":17,"name":"Train ID","value":"174-17"},{"id":16,"name":"Locomotive ID","value":"4009"},{"id":130,"name":"Impact","value":""},{"id":150,"name":"Time of Event (Mountain Time)","value":"14:18:35"},{"id":151,"name":"Denver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8" s="20"/>
      <c r="AK88" s="47"/>
      <c r="AL88" s="47"/>
      <c r="AM88" s="142" t="str">
        <f t="shared" si="37"/>
        <v>start /low /b %USERPROFILE%\Documents\GitHub\eaglep3\Utilities\DownloadLogsFromS3.py --loco 4009 --day 2017-11-17</v>
      </c>
      <c r="AN88" s="151" t="str">
        <f t="shared" si="38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21:18:35"},{"id":29,"name":"Sharepoint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168" t="str">
        <f t="shared" si="39"/>
        <v>https://d0f6bd738d7f1b3e5a7ca70fe4ff75f0.us-east-1.aws.found.io/app/kibana#/discover/Steve-Slow-Train-Analysis-(2080s-and-2083s)?_g=(refreshInterval:(display:Off,pause:!f,section:0,value:0),time:(from:'2017-11-17T12:36:52-0700',mode:absolute,to:'2017-11-17T15:18:35-0700'))&amp;_a=(columns:!('Message%20ID',Summary),filters:!(),index:'emp_*',interval:auto,query:(query_string:(analyze_wildcard:!t,query:'%22rtdc.l.rtdc.4009%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3">
      <c r="A89" s="32" t="s">
        <v>771</v>
      </c>
      <c r="B89" s="7">
        <v>4036</v>
      </c>
      <c r="C89" s="21" t="s">
        <v>192</v>
      </c>
      <c r="D89" s="21" t="s">
        <v>951</v>
      </c>
      <c r="E89" s="13">
        <v>43056.537986111114</v>
      </c>
      <c r="F89" s="13">
        <v>43056.541932870372</v>
      </c>
      <c r="G89" s="7">
        <v>70</v>
      </c>
      <c r="H89" s="21" t="s">
        <v>524</v>
      </c>
      <c r="I89" s="13">
        <v>43056.566620370373</v>
      </c>
      <c r="J89" s="7">
        <v>1</v>
      </c>
      <c r="K89" s="89" t="str">
        <f t="shared" si="23"/>
        <v>4035/4036</v>
      </c>
      <c r="L89" s="185" t="str">
        <f>VLOOKUP(A89,'Trips&amp;Operators'!$C$1:$G$99911,5,FALSE)</f>
        <v>SAFIEF AEIMEN</v>
      </c>
      <c r="M89" s="6">
        <f t="shared" si="24"/>
        <v>2.4687500001164153E-2</v>
      </c>
      <c r="N89" s="7">
        <f t="shared" si="40"/>
        <v>35.550000001676381</v>
      </c>
      <c r="O89" s="7"/>
      <c r="P89" s="7"/>
      <c r="Q89" s="22"/>
      <c r="R89" s="174"/>
      <c r="S89" s="221">
        <f t="shared" si="41"/>
        <v>1</v>
      </c>
      <c r="T89" s="174" t="str">
        <f t="shared" si="25"/>
        <v>NorthBound</v>
      </c>
      <c r="U89" s="198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16" t="str">
        <f t="shared" si="26"/>
        <v>https://d0f6bd738d7f1b3e5a7ca70fe4ff75f0.us-east-1.aws.found.io/app/kibana#/discover/Steve-Slow-Train-Analysis-(2080s-and-2083s)?_g=(refreshInterval:(display:Off,pause:!f,section:0,value:0),time:(from:'2017-11-17T11:54:42-0700',mode:absolute,to:'2017-11-17T14:35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89" s="204" t="str">
        <f>IF(AA89&lt;VLOOKUP(AG89,Variables!$AC$3:$AD$8,2,FALSE),"Y","N")</f>
        <v>N</v>
      </c>
      <c r="X89" s="204">
        <f t="shared" si="27"/>
        <v>1</v>
      </c>
      <c r="Y89" s="204">
        <f t="shared" si="28"/>
        <v>5.1499999999999997E-2</v>
      </c>
      <c r="Z89" s="204">
        <f t="shared" si="29"/>
        <v>23.3249</v>
      </c>
      <c r="AA89" s="204">
        <f t="shared" si="30"/>
        <v>23.273399999999999</v>
      </c>
      <c r="AB89" s="54" t="e">
        <f>VLOOKUP(A89,Enforcements!$C$7:$K$9,8,0)</f>
        <v>#N/A</v>
      </c>
      <c r="AC89" s="51" t="e">
        <f>VLOOKUP(A89,Enforcements!$C$7:$E$9,3,0)</f>
        <v>#N/A</v>
      </c>
      <c r="AD89" s="179">
        <f t="shared" si="31"/>
        <v>175</v>
      </c>
      <c r="AE89" s="77" t="str">
        <f t="shared" si="32"/>
        <v>aws s3 cp s3://rtdc.mdm.uploadarchive.raw/RTDC4036/ "%USERPROFILE%\AppData\Local\Temp\OnboardLogs"\RTDC4036\2017-11-17 --exclude "*" --recursive --include "*20171117*" &amp; "%USERPROFILE%\Documents\GitHub\mrs-test-scripts\Headless Mode &amp; Sideloading\WalkAndUnGZ.bat" "%USERPROFILE%\AppData\Local\Temp\OnboardLogs"\RTDC4036\2017-11-17 &amp; aws s3 cp s3://rtdc.mdm.uploadarchive.raw/RTDC4036/ "%USERPROFILE%\AppData\Local\Temp\OnboardLogs"\RTDC4036\2017-11-18 --exclude "*" --recursive --include "*20171118*" &amp; "%USERPROFILE%\Documents\GitHub\mrs-test-scripts\Headless Mode &amp; Sideloading\WalkAndUnGZ.bat" "%USERPROFILE%\AppData\Local\Temp\OnboardLogs"\RTDC4036\2017-11-18</v>
      </c>
      <c r="AF89" s="74" t="str">
        <f t="shared" si="33"/>
        <v>"C:\Program Files (x86)\AstroGrep\AstroGrep.exe" /e /r /s /spath="%USERPROFILE%\AppData\Local\Temp\OnboardLogs" /stypes="app*4036*20171117*" /stext=" 20:.+((SYSTEM_STATE.+slice.+state.+changed )|(ment ac)|(multiple cpu faults)|(system.+state.+changed )|(\[timeout)|(PRM\|1\|D)|(kpr)|(kdp)|(train st.+moving)|(\|lc)|(penalty))"</v>
      </c>
      <c r="AG89" s="182" t="str">
        <f t="shared" si="34"/>
        <v>EC</v>
      </c>
      <c r="AH89" s="78" t="str">
        <f t="shared" si="35"/>
        <v>"%USERPROFILE%\Documents\GitHub\eaglep3\Utilities\RefineRTDCRunTimes.py" --tripid 175-17 --locoid 4036 --swversion DE.1.0.9.0 --startMP 204:515 --initTime 2017-11-17T12:54:42 --startdatetime 2017-11-17T13:00:23 --delay 70 --endMP 204:233249 --enddatetime 2017-11-17T13:35:56 --enforcementcount 1 &gt;&gt;%USERPROFILE%\Documents\GitHub\eaglep3-reporting\EC\2017-11-17-refined-times.txt</v>
      </c>
      <c r="AI89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{"issue":{"subject":"","project_id":79,"tracker_id":40,"status_id":1,"priority_id":2,"assigned_to_id":338,"start_date":"2017-11-17","description":"","custom_fields":[{"id":1,"name":"Subdivision","value":"EC"},{"id":4,"name":"Milepost","value":"23.3249"},{"id":17,"name":"Train ID","value":"175-17"},{"id":16,"name":"Locomotive ID","value":"4036"},{"id":130,"name":"Impact","value":""},{"id":150,"name":"Time of Event (Mountain Time)","value":"13:35:56"},{"id":151,"name":"Denver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9" s="20"/>
      <c r="AK89" s="47"/>
      <c r="AL89" s="47"/>
      <c r="AM89" s="142" t="str">
        <f t="shared" si="37"/>
        <v>start /low /b %USERPROFILE%\Documents\GitHub\eaglep3\Utilities\DownloadLogsFromS3.py --loco 4036 --day 2017-11-17</v>
      </c>
      <c r="AN89" s="151" t="str">
        <f t="shared" si="38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20:35:56"},{"id":29,"name":"Sharepoint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168" t="str">
        <f t="shared" si="39"/>
        <v>https://d0f6bd738d7f1b3e5a7ca70fe4ff75f0.us-east-1.aws.found.io/app/kibana#/discover/Steve-Slow-Train-Analysis-(2080s-and-2083s)?_g=(refreshInterval:(display:Off,pause:!f,section:0,value:0),time:(from:'2017-11-17T11:54:42-0700',mode:absolute,to:'2017-11-17T14:35:56-0700'))&amp;_a=(columns:!('Message%20ID',Summary),filters:!(),index:'emp_*',interval:auto,query:(query_string:(analyze_wildcard:!t,query:'%22rtdc.l.rtdc.4036%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3">
      <c r="A90" s="32" t="s">
        <v>782</v>
      </c>
      <c r="B90" s="7">
        <v>4035</v>
      </c>
      <c r="C90" s="21" t="s">
        <v>192</v>
      </c>
      <c r="D90" s="21" t="s">
        <v>601</v>
      </c>
      <c r="E90" s="13">
        <v>43056.568703703706</v>
      </c>
      <c r="F90" s="13">
        <v>43056.581435185188</v>
      </c>
      <c r="G90" s="7">
        <v>76</v>
      </c>
      <c r="H90" s="21" t="s">
        <v>602</v>
      </c>
      <c r="I90" s="13">
        <v>43056.607002314813</v>
      </c>
      <c r="J90" s="7">
        <v>1</v>
      </c>
      <c r="K90" s="89" t="str">
        <f t="shared" si="23"/>
        <v>4035/4036</v>
      </c>
      <c r="L90" s="185" t="str">
        <f>VLOOKUP(A90,'Trips&amp;Operators'!$C$1:$G$99911,5,FALSE)</f>
        <v>SAFIEF AEIMEN</v>
      </c>
      <c r="M90" s="6">
        <f t="shared" si="24"/>
        <v>2.5567129625414964E-2</v>
      </c>
      <c r="N90" s="7">
        <f t="shared" si="40"/>
        <v>36.816666660597548</v>
      </c>
      <c r="O90" s="7"/>
      <c r="P90" s="7"/>
      <c r="Q90" s="22"/>
      <c r="R90" s="174"/>
      <c r="S90" s="221">
        <f t="shared" si="41"/>
        <v>1</v>
      </c>
      <c r="T90" s="174" t="str">
        <f t="shared" si="25"/>
        <v>Southbound</v>
      </c>
      <c r="U90" s="198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16" t="str">
        <f t="shared" si="26"/>
        <v>https://d0f6bd738d7f1b3e5a7ca70fe4ff75f0.us-east-1.aws.found.io/app/kibana#/discover/Steve-Slow-Train-Analysis-(2080s-and-2083s)?_g=(refreshInterval:(display:Off,pause:!f,section:0,value:0),time:(from:'2017-11-17T12:38:56-0700',mode:absolute,to:'2017-11-17T15:34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90" s="204" t="str">
        <f>IF(AA90&lt;VLOOKUP(AG90,Variables!$AC$3:$AD$8,2,FALSE),"Y","N")</f>
        <v>N</v>
      </c>
      <c r="X90" s="204">
        <f t="shared" si="27"/>
        <v>1</v>
      </c>
      <c r="Y90" s="204">
        <f t="shared" si="28"/>
        <v>23.2925</v>
      </c>
      <c r="Z90" s="204">
        <f t="shared" si="29"/>
        <v>2.12E-2</v>
      </c>
      <c r="AA90" s="204">
        <f t="shared" si="30"/>
        <v>23.2713</v>
      </c>
      <c r="AB90" s="54" t="e">
        <f>VLOOKUP(A90,Enforcements!$C$7:$K$9,8,0)</f>
        <v>#N/A</v>
      </c>
      <c r="AC90" s="51" t="e">
        <f>VLOOKUP(A90,Enforcements!$C$7:$E$9,3,0)</f>
        <v>#N/A</v>
      </c>
      <c r="AD90" s="179">
        <f t="shared" si="31"/>
        <v>176</v>
      </c>
      <c r="AE90" s="77" t="str">
        <f t="shared" si="32"/>
        <v>aws s3 cp s3://rtdc.mdm.uploadarchive.raw/RTDC4035/ "%USERPROFILE%\AppData\Local\Temp\OnboardLogs"\RTDC4035\2017-11-17 --exclude "*" --recursive --include "*20171117*" &amp; "%USERPROFILE%\Documents\GitHub\mrs-test-scripts\Headless Mode &amp; Sideloading\WalkAndUnGZ.bat" "%USERPROFILE%\AppData\Local\Temp\OnboardLogs"\RTDC4035\2017-11-17 &amp; aws s3 cp s3://rtdc.mdm.uploadarchive.raw/RTDC4035/ "%USERPROFILE%\AppData\Local\Temp\OnboardLogs"\RTDC4035\2017-11-18 --exclude "*" --recursive --include "*20171118*" &amp; "%USERPROFILE%\Documents\GitHub\mrs-test-scripts\Headless Mode &amp; Sideloading\WalkAndUnGZ.bat" "%USERPROFILE%\AppData\Local\Temp\OnboardLogs"\RTDC4035\2017-11-18</v>
      </c>
      <c r="AF90" s="74" t="str">
        <f t="shared" si="33"/>
        <v>"C:\Program Files (x86)\AstroGrep\AstroGrep.exe" /e /r /s /spath="%USERPROFILE%\AppData\Local\Temp\OnboardLogs" /stypes="app*4035*20171117*" /stext=" 21:.+((SYSTEM_STATE.+slice.+state.+changed )|(ment ac)|(multiple cpu faults)|(system.+state.+changed )|(\[timeout)|(PRM\|1\|D)|(kpr)|(kdp)|(train st.+moving)|(\|lc)|(penalty))"</v>
      </c>
      <c r="AG90" s="182" t="str">
        <f t="shared" si="34"/>
        <v>EC</v>
      </c>
      <c r="AH90" s="78" t="str">
        <f t="shared" si="35"/>
        <v>"%USERPROFILE%\Documents\GitHub\eaglep3\Utilities\RefineRTDCRunTimes.py" --tripid 176-17 --locoid 4035 --swversion DE.1.0.9.0 --startMP 204:232925 --initTime 2017-11-17T13:38:56 --startdatetime 2017-11-17T13:57:16 --delay 76 --endMP 204:212 --enddatetime 2017-11-17T14:34:05 --enforcementcount 1 &gt;&gt;%USERPROFILE%\Documents\GitHub\eaglep3-reporting\EC\2017-11-17-refined-times.txt</v>
      </c>
      <c r="AI90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{"issue":{"subject":"","project_id":79,"tracker_id":40,"status_id":1,"priority_id":2,"assigned_to_id":338,"start_date":"2017-11-17","description":"","custom_fields":[{"id":1,"name":"Subdivision","value":"EC"},{"id":4,"name":"Milepost","value":"0.0212"},{"id":17,"name":"Train ID","value":"176-17"},{"id":16,"name":"Locomotive ID","value":"4035"},{"id":130,"name":"Impact","value":""},{"id":150,"name":"Time of Event (Mountain Time)","value":"14:34:05"},{"id":151,"name":"Denver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0" s="20"/>
      <c r="AK90" s="47"/>
      <c r="AL90" s="47"/>
      <c r="AM90" s="142" t="str">
        <f t="shared" si="37"/>
        <v>start /low /b %USERPROFILE%\Documents\GitHub\eaglep3\Utilities\DownloadLogsFromS3.py --loco 4035 --day 2017-11-17</v>
      </c>
      <c r="AN90" s="151" t="str">
        <f t="shared" si="38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21:34:05"},{"id":29,"name":"Sharepoint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168" t="str">
        <f t="shared" si="39"/>
        <v>https://d0f6bd738d7f1b3e5a7ca70fe4ff75f0.us-east-1.aws.found.io/app/kibana#/discover/Steve-Slow-Train-Analysis-(2080s-and-2083s)?_g=(refreshInterval:(display:Off,pause:!f,section:0,value:0),time:(from:'2017-11-17T12:38:56-0700',mode:absolute,to:'2017-11-17T15:34:05-0700'))&amp;_a=(columns:!('Message%20ID',Summary),filters:!(),index:'emp_*',interval:auto,query:(query_string:(analyze_wildcard:!t,query:'%22rtdc.l.rtdc.4035%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3">
      <c r="A91" s="32" t="s">
        <v>775</v>
      </c>
      <c r="B91" s="7">
        <v>4042</v>
      </c>
      <c r="C91" s="21" t="s">
        <v>192</v>
      </c>
      <c r="D91" s="21" t="s">
        <v>967</v>
      </c>
      <c r="E91" s="13">
        <v>43056.548657407409</v>
      </c>
      <c r="F91" s="13">
        <v>43056.552488425928</v>
      </c>
      <c r="G91" s="7">
        <v>124</v>
      </c>
      <c r="H91" s="21" t="s">
        <v>968</v>
      </c>
      <c r="I91" s="13">
        <v>43056.576365740744</v>
      </c>
      <c r="J91" s="7">
        <v>1</v>
      </c>
      <c r="K91" s="89" t="str">
        <f t="shared" si="23"/>
        <v>4041/4042</v>
      </c>
      <c r="L91" s="185" t="str">
        <f>VLOOKUP(A91,'Trips&amp;Operators'!$C$1:$G$99911,5,FALSE)</f>
        <v>BRUDER RICHARD</v>
      </c>
      <c r="M91" s="6">
        <f t="shared" si="24"/>
        <v>2.3877314815763384E-2</v>
      </c>
      <c r="N91" s="7">
        <f t="shared" si="40"/>
        <v>34.383333334699273</v>
      </c>
      <c r="O91" s="7"/>
      <c r="P91" s="7"/>
      <c r="Q91" s="22"/>
      <c r="R91" s="174"/>
      <c r="S91" s="221">
        <f t="shared" si="41"/>
        <v>1</v>
      </c>
      <c r="T91" s="174" t="str">
        <f t="shared" si="25"/>
        <v>NorthBound</v>
      </c>
      <c r="U91" s="198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16" t="str">
        <f t="shared" si="26"/>
        <v>https://d0f6bd738d7f1b3e5a7ca70fe4ff75f0.us-east-1.aws.found.io/app/kibana#/discover/Steve-Slow-Train-Analysis-(2080s-and-2083s)?_g=(refreshInterval:(display:Off,pause:!f,section:0,value:0),time:(from:'2017-11-17T12:10:04-0700',mode:absolute,to:'2017-11-17T14:49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91" s="204" t="str">
        <f>IF(AA91&lt;VLOOKUP(AG91,Variables!$AC$3:$AD$8,2,FALSE),"Y","N")</f>
        <v>N</v>
      </c>
      <c r="X91" s="204">
        <f t="shared" si="27"/>
        <v>1</v>
      </c>
      <c r="Y91" s="204">
        <f t="shared" si="28"/>
        <v>6.0100000000000001E-2</v>
      </c>
      <c r="Z91" s="204">
        <f t="shared" si="29"/>
        <v>23.320499999999999</v>
      </c>
      <c r="AA91" s="204">
        <f t="shared" si="30"/>
        <v>23.260400000000001</v>
      </c>
      <c r="AB91" s="54" t="e">
        <f>VLOOKUP(A91,Enforcements!$C$7:$K$9,8,0)</f>
        <v>#N/A</v>
      </c>
      <c r="AC91" s="51" t="e">
        <f>VLOOKUP(A91,Enforcements!$C$7:$E$9,3,0)</f>
        <v>#N/A</v>
      </c>
      <c r="AD91" s="179">
        <f t="shared" si="31"/>
        <v>177</v>
      </c>
      <c r="AE91" s="77" t="str">
        <f t="shared" si="32"/>
        <v>aws s3 cp s3://rtdc.mdm.uploadarchive.raw/RTDC4042/ "%USERPROFILE%\AppData\Local\Temp\OnboardLogs"\RTDC4042\2017-11-17 --exclude "*" --recursive --include "*20171117*" &amp; "%USERPROFILE%\Documents\GitHub\mrs-test-scripts\Headless Mode &amp; Sideloading\WalkAndUnGZ.bat" "%USERPROFILE%\AppData\Local\Temp\OnboardLogs"\RTDC4042\2017-11-17 &amp; aws s3 cp s3://rtdc.mdm.uploadarchive.raw/RTDC4042/ "%USERPROFILE%\AppData\Local\Temp\OnboardLogs"\RTDC4042\2017-11-18 --exclude "*" --recursive --include "*20171118*" &amp; "%USERPROFILE%\Documents\GitHub\mrs-test-scripts\Headless Mode &amp; Sideloading\WalkAndUnGZ.bat" "%USERPROFILE%\AppData\Local\Temp\OnboardLogs"\RTDC4042\2017-11-18</v>
      </c>
      <c r="AF91" s="74" t="str">
        <f t="shared" si="33"/>
        <v>"C:\Program Files (x86)\AstroGrep\AstroGrep.exe" /e /r /s /spath="%USERPROFILE%\AppData\Local\Temp\OnboardLogs" /stypes="app*4042*20171117*" /stext=" 20:.+((SYSTEM_STATE.+slice.+state.+changed )|(ment ac)|(multiple cpu faults)|(system.+state.+changed )|(\[timeout)|(PRM\|1\|D)|(kpr)|(kdp)|(train st.+moving)|(\|lc)|(penalty))"</v>
      </c>
      <c r="AG91" s="182" t="str">
        <f t="shared" si="34"/>
        <v>EC</v>
      </c>
      <c r="AH91" s="78" t="str">
        <f t="shared" si="35"/>
        <v>"%USERPROFILE%\Documents\GitHub\eaglep3\Utilities\RefineRTDCRunTimes.py" --tripid 177-17 --locoid 4042 --swversion DE.1.0.9.0 --startMP 204:601 --initTime 2017-11-17T13:10:04 --startdatetime 2017-11-17T13:15:35 --delay 124 --endMP 204:233205 --enddatetime 2017-11-17T13:49:58 --enforcementcount 1 &gt;&gt;%USERPROFILE%\Documents\GitHub\eaglep3-reporting\EC\2017-11-17-refined-times.txt</v>
      </c>
      <c r="AI91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{"issue":{"subject":"","project_id":79,"tracker_id":40,"status_id":1,"priority_id":2,"assigned_to_id":338,"start_date":"2017-11-17","description":"","custom_fields":[{"id":1,"name":"Subdivision","value":"EC"},{"id":4,"name":"Milepost","value":"23.3205"},{"id":17,"name":"Train ID","value":"177-17"},{"id":16,"name":"Locomotive ID","value":"4042"},{"id":130,"name":"Impact","value":""},{"id":150,"name":"Time of Event (Mountain Time)","value":"13:49:58"},{"id":151,"name":"Denver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1" s="20"/>
      <c r="AK91" s="47"/>
      <c r="AL91" s="47"/>
      <c r="AM91" s="142" t="str">
        <f t="shared" si="37"/>
        <v>start /low /b %USERPROFILE%\Documents\GitHub\eaglep3\Utilities\DownloadLogsFromS3.py --loco 4042 --day 2017-11-17</v>
      </c>
      <c r="AN91" s="151" t="str">
        <f t="shared" si="38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20:49:58"},{"id":29,"name":"Sharepoint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168" t="str">
        <f t="shared" si="39"/>
        <v>https://d0f6bd738d7f1b3e5a7ca70fe4ff75f0.us-east-1.aws.found.io/app/kibana#/discover/Steve-Slow-Train-Analysis-(2080s-and-2083s)?_g=(refreshInterval:(display:Off,pause:!f,section:0,value:0),time:(from:'2017-11-17T12:10:04-0700',mode:absolute,to:'2017-11-17T14:49:58-0700'))&amp;_a=(columns:!('Message%20ID',Summary),filters:!(),index:'emp_*',interval:auto,query:(query_string:(analyze_wildcard:!t,query:'%22rtdc.l.rtdc.4042%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3">
      <c r="A92" s="32" t="s">
        <v>788</v>
      </c>
      <c r="B92" s="7">
        <v>4041</v>
      </c>
      <c r="C92" s="21" t="s">
        <v>192</v>
      </c>
      <c r="D92" s="21" t="s">
        <v>944</v>
      </c>
      <c r="E92" s="13">
        <v>43056.588310185187</v>
      </c>
      <c r="F92" s="13">
        <v>43056.591851851852</v>
      </c>
      <c r="G92" s="7">
        <v>82</v>
      </c>
      <c r="H92" s="21" t="s">
        <v>952</v>
      </c>
      <c r="I92" s="13">
        <v>43056.617488425924</v>
      </c>
      <c r="J92" s="7">
        <v>1</v>
      </c>
      <c r="K92" s="89" t="str">
        <f t="shared" si="23"/>
        <v>4041/4042</v>
      </c>
      <c r="L92" s="185" t="str">
        <f>VLOOKUP(A92,'Trips&amp;Operators'!$C$1:$G$99911,5,FALSE)</f>
        <v>BRUDER RICHARD</v>
      </c>
      <c r="M92" s="6">
        <f t="shared" si="24"/>
        <v>2.5636574071540963E-2</v>
      </c>
      <c r="N92" s="7">
        <f t="shared" si="40"/>
        <v>36.916666663018987</v>
      </c>
      <c r="O92" s="7"/>
      <c r="P92" s="7"/>
      <c r="Q92" s="22"/>
      <c r="R92" s="174"/>
      <c r="S92" s="221">
        <f t="shared" si="41"/>
        <v>1</v>
      </c>
      <c r="T92" s="174" t="str">
        <f t="shared" si="25"/>
        <v>Southbound</v>
      </c>
      <c r="U92" s="198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16" t="str">
        <f t="shared" si="26"/>
        <v>https://d0f6bd738d7f1b3e5a7ca70fe4ff75f0.us-east-1.aws.found.io/app/kibana#/discover/Steve-Slow-Train-Analysis-(2080s-and-2083s)?_g=(refreshInterval:(display:Off,pause:!f,section:0,value:0),time:(from:'2017-11-17T13:07:10-0700',mode:absolute,to:'2017-11-17T15:49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92" s="204" t="str">
        <f>IF(AA92&lt;VLOOKUP(AG92,Variables!$AC$3:$AD$8,2,FALSE),"Y","N")</f>
        <v>N</v>
      </c>
      <c r="X92" s="204">
        <f t="shared" si="27"/>
        <v>1</v>
      </c>
      <c r="Y92" s="204">
        <f t="shared" si="28"/>
        <v>23.288399999999999</v>
      </c>
      <c r="Z92" s="204">
        <f t="shared" si="29"/>
        <v>2.4299999999999999E-2</v>
      </c>
      <c r="AA92" s="204">
        <f t="shared" si="30"/>
        <v>23.264099999999999</v>
      </c>
      <c r="AB92" s="54" t="e">
        <f>VLOOKUP(A92,Enforcements!$C$7:$K$9,8,0)</f>
        <v>#N/A</v>
      </c>
      <c r="AC92" s="51" t="e">
        <f>VLOOKUP(A92,Enforcements!$C$7:$E$9,3,0)</f>
        <v>#N/A</v>
      </c>
      <c r="AD92" s="179">
        <f t="shared" si="31"/>
        <v>178</v>
      </c>
      <c r="AE92" s="77" t="str">
        <f t="shared" si="32"/>
        <v>aws s3 cp s3://rtdc.mdm.uploadarchive.raw/RTDC4041/ "%USERPROFILE%\AppData\Local\Temp\OnboardLogs"\RTDC4041\2017-11-17 --exclude "*" --recursive --include "*20171117*" &amp; "%USERPROFILE%\Documents\GitHub\mrs-test-scripts\Headless Mode &amp; Sideloading\WalkAndUnGZ.bat" "%USERPROFILE%\AppData\Local\Temp\OnboardLogs"\RTDC4041\2017-11-17 &amp; aws s3 cp s3://rtdc.mdm.uploadarchive.raw/RTDC4041/ "%USERPROFILE%\AppData\Local\Temp\OnboardLogs"\RTDC4041\2017-11-18 --exclude "*" --recursive --include "*20171118*" &amp; "%USERPROFILE%\Documents\GitHub\mrs-test-scripts\Headless Mode &amp; Sideloading\WalkAndUnGZ.bat" "%USERPROFILE%\AppData\Local\Temp\OnboardLogs"\RTDC4041\2017-11-18</v>
      </c>
      <c r="AF92" s="74" t="str">
        <f t="shared" si="33"/>
        <v>"C:\Program Files (x86)\AstroGrep\AstroGrep.exe" /e /r /s /spath="%USERPROFILE%\AppData\Local\Temp\OnboardLogs" /stypes="app*4041*20171117*" /stext=" 21:.+((SYSTEM_STATE.+slice.+state.+changed )|(ment ac)|(multiple cpu faults)|(system.+state.+changed )|(\[timeout)|(PRM\|1\|D)|(kpr)|(kdp)|(train st.+moving)|(\|lc)|(penalty))"</v>
      </c>
      <c r="AG92" s="182" t="str">
        <f t="shared" si="34"/>
        <v>EC</v>
      </c>
      <c r="AH92" s="78" t="str">
        <f t="shared" si="35"/>
        <v>"%USERPROFILE%\Documents\GitHub\eaglep3\Utilities\RefineRTDCRunTimes.py" --tripid 178-17 --locoid 4041 --swversion DE.1.0.9.0 --startMP 204:232884 --initTime 2017-11-17T14:07:10 --startdatetime 2017-11-17T14:12:16 --delay 82 --endMP 204:243 --enddatetime 2017-11-17T14:49:11 --enforcementcount 1 &gt;&gt;%USERPROFILE%\Documents\GitHub\eaglep3-reporting\EC\2017-11-17-refined-times.txt</v>
      </c>
      <c r="AI92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{"issue":{"subject":"","project_id":79,"tracker_id":40,"status_id":1,"priority_id":2,"assigned_to_id":338,"start_date":"2017-11-17","description":"","custom_fields":[{"id":1,"name":"Subdivision","value":"EC"},{"id":4,"name":"Milepost","value":"0.0243"},{"id":17,"name":"Train ID","value":"178-17"},{"id":16,"name":"Locomotive ID","value":"4041"},{"id":130,"name":"Impact","value":""},{"id":150,"name":"Time of Event (Mountain Time)","value":"14:49:11"},{"id":151,"name":"Denver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2" s="20"/>
      <c r="AK92" s="47"/>
      <c r="AL92" s="47"/>
      <c r="AM92" s="142" t="str">
        <f t="shared" si="37"/>
        <v>start /low /b %USERPROFILE%\Documents\GitHub\eaglep3\Utilities\DownloadLogsFromS3.py --loco 4041 --day 2017-11-17</v>
      </c>
      <c r="AN92" s="151" t="str">
        <f t="shared" si="38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21:49:11"},{"id":29,"name":"Sharepoint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168" t="str">
        <f t="shared" si="39"/>
        <v>https://d0f6bd738d7f1b3e5a7ca70fe4ff75f0.us-east-1.aws.found.io/app/kibana#/discover/Steve-Slow-Train-Analysis-(2080s-and-2083s)?_g=(refreshInterval:(display:Off,pause:!f,section:0,value:0),time:(from:'2017-11-17T13:07:10-0700',mode:absolute,to:'2017-11-17T15:49:11-0700'))&amp;_a=(columns:!('Message%20ID',Summary),filters:!(),index:'emp_*',interval:auto,query:(query_string:(analyze_wildcard:!t,query:'%22rtdc.l.rtdc.4041%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3">
      <c r="A93" s="32" t="s">
        <v>779</v>
      </c>
      <c r="B93" s="7">
        <v>4040</v>
      </c>
      <c r="C93" s="21" t="s">
        <v>192</v>
      </c>
      <c r="D93" s="21" t="s">
        <v>951</v>
      </c>
      <c r="E93" s="13">
        <v>43056.558877314812</v>
      </c>
      <c r="F93" s="13">
        <v>43056.562800925924</v>
      </c>
      <c r="G93" s="7">
        <v>68</v>
      </c>
      <c r="H93" s="21" t="s">
        <v>969</v>
      </c>
      <c r="I93" s="13">
        <v>43056.58761574074</v>
      </c>
      <c r="J93" s="7">
        <v>1</v>
      </c>
      <c r="K93" s="89" t="str">
        <f t="shared" si="23"/>
        <v>4039/4040</v>
      </c>
      <c r="L93" s="185" t="str">
        <f>VLOOKUP(A93,'Trips&amp;Operators'!$C$1:$G$99911,5,FALSE)</f>
        <v>LEVERE CRAIG</v>
      </c>
      <c r="M93" s="6">
        <f t="shared" si="24"/>
        <v>2.4814814816636499E-2</v>
      </c>
      <c r="N93" s="7">
        <f t="shared" si="40"/>
        <v>35.733333335956559</v>
      </c>
      <c r="O93" s="7"/>
      <c r="P93" s="7"/>
      <c r="Q93" s="22"/>
      <c r="R93" s="174"/>
      <c r="S93" s="221">
        <f t="shared" si="41"/>
        <v>1</v>
      </c>
      <c r="T93" s="174" t="str">
        <f t="shared" si="25"/>
        <v>NorthBound</v>
      </c>
      <c r="U93" s="198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16" t="str">
        <f t="shared" si="26"/>
        <v>https://d0f6bd738d7f1b3e5a7ca70fe4ff75f0.us-east-1.aws.found.io/app/kibana#/discover/Steve-Slow-Train-Analysis-(2080s-and-2083s)?_g=(refreshInterval:(display:Off,pause:!f,section:0,value:0),time:(from:'2017-11-17T12:24:47-0700',mode:absolute,to:'2017-11-17T15:06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93" s="204" t="str">
        <f>IF(AA93&lt;VLOOKUP(AG93,Variables!$AC$3:$AD$8,2,FALSE),"Y","N")</f>
        <v>N</v>
      </c>
      <c r="X93" s="204">
        <f t="shared" si="27"/>
        <v>1</v>
      </c>
      <c r="Y93" s="204">
        <f t="shared" si="28"/>
        <v>5.1499999999999997E-2</v>
      </c>
      <c r="Z93" s="204">
        <f t="shared" si="29"/>
        <v>23.321899999999999</v>
      </c>
      <c r="AA93" s="204">
        <f t="shared" si="30"/>
        <v>23.270399999999999</v>
      </c>
      <c r="AB93" s="54" t="e">
        <f>VLOOKUP(A93,Enforcements!$C$7:$K$9,8,0)</f>
        <v>#N/A</v>
      </c>
      <c r="AC93" s="51" t="e">
        <f>VLOOKUP(A93,Enforcements!$C$7:$E$9,3,0)</f>
        <v>#N/A</v>
      </c>
      <c r="AD93" s="179">
        <f t="shared" si="31"/>
        <v>179</v>
      </c>
      <c r="AE93" s="77" t="str">
        <f t="shared" si="32"/>
        <v>aws s3 cp s3://rtdc.mdm.uploadarchive.raw/RTDC4040/ "%USERPROFILE%\AppData\Local\Temp\OnboardLogs"\RTDC4040\2017-11-17 --exclude "*" --recursive --include "*20171117*" &amp; "%USERPROFILE%\Documents\GitHub\mrs-test-scripts\Headless Mode &amp; Sideloading\WalkAndUnGZ.bat" "%USERPROFILE%\AppData\Local\Temp\OnboardLogs"\RTDC4040\2017-11-17 &amp; aws s3 cp s3://rtdc.mdm.uploadarchive.raw/RTDC4040/ "%USERPROFILE%\AppData\Local\Temp\OnboardLogs"\RTDC4040\2017-11-18 --exclude "*" --recursive --include "*20171118*" &amp; "%USERPROFILE%\Documents\GitHub\mrs-test-scripts\Headless Mode &amp; Sideloading\WalkAndUnGZ.bat" "%USERPROFILE%\AppData\Local\Temp\OnboardLogs"\RTDC4040\2017-11-18</v>
      </c>
      <c r="AF93" s="74" t="str">
        <f t="shared" si="33"/>
        <v>"C:\Program Files (x86)\AstroGrep\AstroGrep.exe" /e /r /s /spath="%USERPROFILE%\AppData\Local\Temp\OnboardLogs" /stypes="app*4040*20171117*" /stext=" 21:.+((SYSTEM_STATE.+slice.+state.+changed )|(ment ac)|(multiple cpu faults)|(system.+state.+changed )|(\[timeout)|(PRM\|1\|D)|(kpr)|(kdp)|(train st.+moving)|(\|lc)|(penalty))"</v>
      </c>
      <c r="AG93" s="182" t="str">
        <f t="shared" si="34"/>
        <v>EC</v>
      </c>
      <c r="AH93" s="78" t="str">
        <f t="shared" si="35"/>
        <v>"%USERPROFILE%\Documents\GitHub\eaglep3\Utilities\RefineRTDCRunTimes.py" --tripid 179-17 --locoid 4040 --swversion DE.1.0.9.0 --startMP 204:515 --initTime 2017-11-17T13:24:47 --startdatetime 2017-11-17T13:30:26 --delay 68 --endMP 204:233219 --enddatetime 2017-11-17T14:06:10 --enforcementcount 1 &gt;&gt;%USERPROFILE%\Documents\GitHub\eaglep3-reporting\EC\2017-11-17-refined-times.txt</v>
      </c>
      <c r="AI93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{"issue":{"subject":"","project_id":79,"tracker_id":40,"status_id":1,"priority_id":2,"assigned_to_id":338,"start_date":"2017-11-17","description":"","custom_fields":[{"id":1,"name":"Subdivision","value":"EC"},{"id":4,"name":"Milepost","value":"23.3219"},{"id":17,"name":"Train ID","value":"179-17"},{"id":16,"name":"Locomotive ID","value":"4040"},{"id":130,"name":"Impact","value":""},{"id":150,"name":"Time of Event (Mountain Time)","value":"14:06:10"},{"id":151,"name":"Denver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3" s="20"/>
      <c r="AK93" s="47"/>
      <c r="AL93" s="47"/>
      <c r="AM93" s="142" t="str">
        <f t="shared" si="37"/>
        <v>start /low /b %USERPROFILE%\Documents\GitHub\eaglep3\Utilities\DownloadLogsFromS3.py --loco 4040 --day 2017-11-17</v>
      </c>
      <c r="AN93" s="151" t="str">
        <f t="shared" si="38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21:06:10"},{"id":29,"name":"Sharepoint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168" t="str">
        <f t="shared" si="39"/>
        <v>https://d0f6bd738d7f1b3e5a7ca70fe4ff75f0.us-east-1.aws.found.io/app/kibana#/discover/Steve-Slow-Train-Analysis-(2080s-and-2083s)?_g=(refreshInterval:(display:Off,pause:!f,section:0,value:0),time:(from:'2017-11-17T12:24:47-0700',mode:absolute,to:'2017-11-17T15:06:10-0700'))&amp;_a=(columns:!('Message%20ID',Summary),filters:!(),index:'emp_*',interval:auto,query:(query_string:(analyze_wildcard:!t,query:'%22rtdc.l.rtdc.4040%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3">
      <c r="A94" s="32" t="s">
        <v>790</v>
      </c>
      <c r="B94" s="7">
        <v>4039</v>
      </c>
      <c r="C94" s="21" t="s">
        <v>192</v>
      </c>
      <c r="D94" s="21" t="s">
        <v>970</v>
      </c>
      <c r="E94" s="13">
        <v>43056.597395833334</v>
      </c>
      <c r="F94" s="13">
        <v>43056.60224537037</v>
      </c>
      <c r="G94" s="7">
        <v>80</v>
      </c>
      <c r="H94" s="21" t="s">
        <v>534</v>
      </c>
      <c r="I94" s="13">
        <v>43056.628460648149</v>
      </c>
      <c r="J94" s="7">
        <v>1</v>
      </c>
      <c r="K94" s="89" t="str">
        <f t="shared" si="23"/>
        <v>4039/4040</v>
      </c>
      <c r="L94" s="185" t="str">
        <f>VLOOKUP(A94,'Trips&amp;Operators'!$C$1:$G$99911,5,FALSE)</f>
        <v>LEVERE CRAIG</v>
      </c>
      <c r="M94" s="6">
        <f t="shared" si="24"/>
        <v>2.6215277779556345E-2</v>
      </c>
      <c r="N94" s="7">
        <f t="shared" si="40"/>
        <v>37.750000002561137</v>
      </c>
      <c r="O94" s="7"/>
      <c r="P94" s="7"/>
      <c r="Q94" s="22"/>
      <c r="R94" s="174"/>
      <c r="S94" s="221">
        <f t="shared" si="41"/>
        <v>1</v>
      </c>
      <c r="T94" s="174" t="str">
        <f t="shared" si="25"/>
        <v>Southbound</v>
      </c>
      <c r="U94" s="198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16" t="str">
        <f t="shared" si="26"/>
        <v>https://d0f6bd738d7f1b3e5a7ca70fe4ff75f0.us-east-1.aws.found.io/app/kibana#/discover/Steve-Slow-Train-Analysis-(2080s-and-2083s)?_g=(refreshInterval:(display:Off,pause:!f,section:0,value:0),time:(from:'2017-11-17T13:20:15-0700',mode:absolute,to:'2017-11-17T16:04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94" s="204" t="str">
        <f>IF(AA94&lt;VLOOKUP(AG94,Variables!$AC$3:$AD$8,2,FALSE),"Y","N")</f>
        <v>N</v>
      </c>
      <c r="X94" s="204">
        <f t="shared" si="27"/>
        <v>1</v>
      </c>
      <c r="Y94" s="204">
        <f t="shared" si="28"/>
        <v>23.289400000000001</v>
      </c>
      <c r="Z94" s="204">
        <f t="shared" si="29"/>
        <v>2.18E-2</v>
      </c>
      <c r="AA94" s="204">
        <f t="shared" si="30"/>
        <v>23.267600000000002</v>
      </c>
      <c r="AB94" s="54" t="e">
        <f>VLOOKUP(A94,Enforcements!$C$7:$K$9,8,0)</f>
        <v>#N/A</v>
      </c>
      <c r="AC94" s="51" t="e">
        <f>VLOOKUP(A94,Enforcements!$C$7:$E$9,3,0)</f>
        <v>#N/A</v>
      </c>
      <c r="AD94" s="179">
        <f t="shared" si="31"/>
        <v>180</v>
      </c>
      <c r="AE94" s="77" t="str">
        <f t="shared" si="32"/>
        <v>aws s3 cp s3://rtdc.mdm.uploadarchive.raw/RTDC4039/ "%USERPROFILE%\AppData\Local\Temp\OnboardLogs"\RTDC4039\2017-11-17 --exclude "*" --recursive --include "*20171117*" &amp; "%USERPROFILE%\Documents\GitHub\mrs-test-scripts\Headless Mode &amp; Sideloading\WalkAndUnGZ.bat" "%USERPROFILE%\AppData\Local\Temp\OnboardLogs"\RTDC4039\2017-11-17 &amp; aws s3 cp s3://rtdc.mdm.uploadarchive.raw/RTDC4039/ "%USERPROFILE%\AppData\Local\Temp\OnboardLogs"\RTDC4039\2017-11-18 --exclude "*" --recursive --include "*20171118*" &amp; "%USERPROFILE%\Documents\GitHub\mrs-test-scripts\Headless Mode &amp; Sideloading\WalkAndUnGZ.bat" "%USERPROFILE%\AppData\Local\Temp\OnboardLogs"\RTDC4039\2017-11-18</v>
      </c>
      <c r="AF94" s="74" t="str">
        <f t="shared" si="33"/>
        <v>"C:\Program Files (x86)\AstroGrep\AstroGrep.exe" /e /r /s /spath="%USERPROFILE%\AppData\Local\Temp\OnboardLogs" /stypes="app*4039*20171117*" /stext=" 22:.+((SYSTEM_STATE.+slice.+state.+changed )|(ment ac)|(multiple cpu faults)|(system.+state.+changed )|(\[timeout)|(PRM\|1\|D)|(kpr)|(kdp)|(train st.+moving)|(\|lc)|(penalty))"</v>
      </c>
      <c r="AG94" s="182" t="str">
        <f t="shared" si="34"/>
        <v>EC</v>
      </c>
      <c r="AH94" s="78" t="str">
        <f t="shared" si="35"/>
        <v>"%USERPROFILE%\Documents\GitHub\eaglep3\Utilities\RefineRTDCRunTimes.py" --tripid 180-17 --locoid 4039 --swversion DE.1.0.9.0 --startMP 204:232894 --initTime 2017-11-17T14:20:15 --startdatetime 2017-11-17T14:27:14 --delay 80 --endMP 204:218 --enddatetime 2017-11-17T15:04:59 --enforcementcount 1 &gt;&gt;%USERPROFILE%\Documents\GitHub\eaglep3-reporting\EC\2017-11-17-refined-times.txt</v>
      </c>
      <c r="AI94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{"issue":{"subject":"","project_id":79,"tracker_id":40,"status_id":1,"priority_id":2,"assigned_to_id":338,"start_date":"2017-11-17","description":"","custom_fields":[{"id":1,"name":"Subdivision","value":"EC"},{"id":4,"name":"Milepost","value":"0.0218"},{"id":17,"name":"Train ID","value":"180-17"},{"id":16,"name":"Locomotive ID","value":"4039"},{"id":130,"name":"Impact","value":""},{"id":150,"name":"Time of Event (Mountain Time)","value":"15:04:59"},{"id":151,"name":"Denver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4" s="20"/>
      <c r="AK94" s="47"/>
      <c r="AL94" s="47"/>
      <c r="AM94" s="142" t="str">
        <f t="shared" si="37"/>
        <v>start /low /b %USERPROFILE%\Documents\GitHub\eaglep3\Utilities\DownloadLogsFromS3.py --loco 4039 --day 2017-11-17</v>
      </c>
      <c r="AN94" s="151" t="str">
        <f t="shared" si="38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22:04:59"},{"id":29,"name":"Sharepoint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168" t="str">
        <f t="shared" si="39"/>
        <v>https://d0f6bd738d7f1b3e5a7ca70fe4ff75f0.us-east-1.aws.found.io/app/kibana#/discover/Steve-Slow-Train-Analysis-(2080s-and-2083s)?_g=(refreshInterval:(display:Off,pause:!f,section:0,value:0),time:(from:'2017-11-17T13:20:15-0700',mode:absolute,to:'2017-11-17T16:04:59-0700'))&amp;_a=(columns:!('Message%20ID',Summary),filters:!(),index:'emp_*',interval:auto,query:(query_string:(analyze_wildcard:!t,query:'%22rtdc.l.rtdc.4039%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3">
      <c r="A95" s="32" t="s">
        <v>783</v>
      </c>
      <c r="B95" s="7">
        <v>4066</v>
      </c>
      <c r="C95" s="21" t="s">
        <v>192</v>
      </c>
      <c r="D95" s="21" t="s">
        <v>533</v>
      </c>
      <c r="E95" s="13">
        <v>43056.569212962961</v>
      </c>
      <c r="F95" s="13">
        <v>43056.573067129626</v>
      </c>
      <c r="G95" s="7">
        <v>63</v>
      </c>
      <c r="H95" s="21" t="s">
        <v>584</v>
      </c>
      <c r="I95" s="13">
        <v>43056.597372685188</v>
      </c>
      <c r="J95" s="7">
        <v>1</v>
      </c>
      <c r="K95" s="89" t="str">
        <f t="shared" si="23"/>
        <v>4065/4066</v>
      </c>
      <c r="L95" s="185" t="str">
        <f>VLOOKUP(A95,'Trips&amp;Operators'!$C$1:$G$99911,5,FALSE)</f>
        <v>FORTUNATO FRANK</v>
      </c>
      <c r="M95" s="6">
        <f t="shared" si="24"/>
        <v>2.4305555562023073E-2</v>
      </c>
      <c r="N95" s="7">
        <f t="shared" si="40"/>
        <v>35.000000009313226</v>
      </c>
      <c r="O95" s="7"/>
      <c r="P95" s="7"/>
      <c r="Q95" s="22"/>
      <c r="R95" s="174"/>
      <c r="S95" s="221">
        <f t="shared" si="41"/>
        <v>1</v>
      </c>
      <c r="T95" s="174" t="str">
        <f t="shared" si="25"/>
        <v>NorthBound</v>
      </c>
      <c r="U95" s="198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16" t="str">
        <f t="shared" si="26"/>
        <v>https://d0f6bd738d7f1b3e5a7ca70fe4ff75f0.us-east-1.aws.found.io/app/kibana#/discover/Steve-Slow-Train-Analysis-(2080s-and-2083s)?_g=(refreshInterval:(display:Off,pause:!f,section:0,value:0),time:(from:'2017-11-17T12:39:40-0700',mode:absolute,to:'2017-11-17T15:20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95" s="204" t="str">
        <f>IF(AA95&lt;VLOOKUP(AG95,Variables!$AC$3:$AD$8,2,FALSE),"Y","N")</f>
        <v>N</v>
      </c>
      <c r="X95" s="204">
        <f t="shared" si="27"/>
        <v>1</v>
      </c>
      <c r="Y95" s="204">
        <f t="shared" si="28"/>
        <v>4.9700000000000001E-2</v>
      </c>
      <c r="Z95" s="204">
        <f t="shared" si="29"/>
        <v>23.319700000000001</v>
      </c>
      <c r="AA95" s="204">
        <f t="shared" si="30"/>
        <v>23.27</v>
      </c>
      <c r="AB95" s="54" t="e">
        <f>VLOOKUP(A95,Enforcements!$C$7:$K$9,8,0)</f>
        <v>#N/A</v>
      </c>
      <c r="AC95" s="51" t="e">
        <f>VLOOKUP(A95,Enforcements!$C$7:$E$9,3,0)</f>
        <v>#N/A</v>
      </c>
      <c r="AD95" s="179">
        <f t="shared" si="31"/>
        <v>181</v>
      </c>
      <c r="AE95" s="77" t="str">
        <f t="shared" si="32"/>
        <v>aws s3 cp s3://rtdc.mdm.uploadarchive.raw/RTDC4066/ "%USERPROFILE%\AppData\Local\Temp\OnboardLogs"\RTDC4066\2017-11-17 --exclude "*" --recursive --include "*20171117*" &amp; "%USERPROFILE%\Documents\GitHub\mrs-test-scripts\Headless Mode &amp; Sideloading\WalkAndUnGZ.bat" "%USERPROFILE%\AppData\Local\Temp\OnboardLogs"\RTDC4066\2017-11-17 &amp; aws s3 cp s3://rtdc.mdm.uploadarchive.raw/RTDC4066/ "%USERPROFILE%\AppData\Local\Temp\OnboardLogs"\RTDC4066\2017-11-18 --exclude "*" --recursive --include "*20171118*" &amp; "%USERPROFILE%\Documents\GitHub\mrs-test-scripts\Headless Mode &amp; Sideloading\WalkAndUnGZ.bat" "%USERPROFILE%\AppData\Local\Temp\OnboardLogs"\RTDC4066\2017-11-18</v>
      </c>
      <c r="AF95" s="74" t="str">
        <f t="shared" si="33"/>
        <v>"C:\Program Files (x86)\AstroGrep\AstroGrep.exe" /e /r /s /spath="%USERPROFILE%\AppData\Local\Temp\OnboardLogs" /stypes="app*4066*20171117*" /stext=" 21:.+((SYSTEM_STATE.+slice.+state.+changed )|(ment ac)|(multiple cpu faults)|(system.+state.+changed )|(\[timeout)|(PRM\|1\|D)|(kpr)|(kdp)|(train st.+moving)|(\|lc)|(penalty))"</v>
      </c>
      <c r="AG95" s="182" t="str">
        <f t="shared" si="34"/>
        <v>EC</v>
      </c>
      <c r="AH95" s="78" t="str">
        <f t="shared" si="35"/>
        <v>"%USERPROFILE%\Documents\GitHub\eaglep3\Utilities\RefineRTDCRunTimes.py" --tripid 181-17 --locoid 4066 --swversion DE.1.0.9.0 --startMP 204:497 --initTime 2017-11-17T13:39:40 --startdatetime 2017-11-17T13:45:13 --delay 63 --endMP 204:233197 --enddatetime 2017-11-17T14:20:13 --enforcementcount 1 &gt;&gt;%USERPROFILE%\Documents\GitHub\eaglep3-reporting\EC\2017-11-17-refined-times.txt</v>
      </c>
      <c r="AI95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{"issue":{"subject":"","project_id":79,"tracker_id":40,"status_id":1,"priority_id":2,"assigned_to_id":338,"start_date":"2017-11-17","description":"","custom_fields":[{"id":1,"name":"Subdivision","value":"EC"},{"id":4,"name":"Milepost","value":"23.3197"},{"id":17,"name":"Train ID","value":"181-17"},{"id":16,"name":"Locomotive ID","value":"4066"},{"id":130,"name":"Impact","value":""},{"id":150,"name":"Time of Event (Mountain Time)","value":"14:20:13"},{"id":151,"name":"Denver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5" s="20"/>
      <c r="AK95" s="47"/>
      <c r="AL95" s="47"/>
      <c r="AM95" s="142" t="str">
        <f t="shared" si="37"/>
        <v>start /low /b %USERPROFILE%\Documents\GitHub\eaglep3\Utilities\DownloadLogsFromS3.py --loco 4066 --day 2017-11-17</v>
      </c>
      <c r="AN95" s="151" t="str">
        <f t="shared" si="38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21:20:13"},{"id":29,"name":"Sharepoint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168" t="str">
        <f t="shared" si="39"/>
        <v>https://d0f6bd738d7f1b3e5a7ca70fe4ff75f0.us-east-1.aws.found.io/app/kibana#/discover/Steve-Slow-Train-Analysis-(2080s-and-2083s)?_g=(refreshInterval:(display:Off,pause:!f,section:0,value:0),time:(from:'2017-11-17T12:39:40-0700',mode:absolute,to:'2017-11-17T15:20:13-0700'))&amp;_a=(columns:!('Message%20ID',Summary),filters:!(),index:'emp_*',interval:auto,query:(query_string:(analyze_wildcard:!t,query:'%22rtdc.l.rtdc.4066%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3">
      <c r="A96" s="32" t="s">
        <v>791</v>
      </c>
      <c r="B96" s="7">
        <v>4065</v>
      </c>
      <c r="C96" s="21" t="s">
        <v>192</v>
      </c>
      <c r="D96" s="21" t="s">
        <v>971</v>
      </c>
      <c r="E96" s="13">
        <v>43056.598634259259</v>
      </c>
      <c r="F96" s="13">
        <v>43056.612673611111</v>
      </c>
      <c r="G96" s="7">
        <v>47</v>
      </c>
      <c r="H96" s="21" t="s">
        <v>448</v>
      </c>
      <c r="I96" s="13">
        <v>43056.638541666667</v>
      </c>
      <c r="J96" s="7">
        <v>1</v>
      </c>
      <c r="K96" s="89" t="str">
        <f t="shared" si="23"/>
        <v>4065/4066</v>
      </c>
      <c r="L96" s="185" t="str">
        <f>VLOOKUP(A96,'Trips&amp;Operators'!$C$1:$G$99911,5,FALSE)</f>
        <v>FORTUNATO FRANK</v>
      </c>
      <c r="M96" s="6">
        <f t="shared" si="24"/>
        <v>2.5868055556202307E-2</v>
      </c>
      <c r="N96" s="7">
        <f t="shared" si="40"/>
        <v>37.250000000931323</v>
      </c>
      <c r="O96" s="7"/>
      <c r="P96" s="7"/>
      <c r="Q96" s="22"/>
      <c r="R96" s="174"/>
      <c r="S96" s="221">
        <f t="shared" si="41"/>
        <v>1</v>
      </c>
      <c r="T96" s="174" t="str">
        <f t="shared" si="25"/>
        <v>Southbound</v>
      </c>
      <c r="U96" s="198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16" t="str">
        <f t="shared" si="26"/>
        <v>https://d0f6bd738d7f1b3e5a7ca70fe4ff75f0.us-east-1.aws.found.io/app/kibana#/discover/Steve-Slow-Train-Analysis-(2080s-and-2083s)?_g=(refreshInterval:(display:Off,pause:!f,section:0,value:0),time:(from:'2017-11-17T13:22:02-0700',mode:absolute,to:'2017-11-17T16:19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96" s="204" t="str">
        <f>IF(AA96&lt;VLOOKUP(AG96,Variables!$AC$3:$AD$8,2,FALSE),"Y","N")</f>
        <v>N</v>
      </c>
      <c r="X96" s="204">
        <f t="shared" si="27"/>
        <v>1</v>
      </c>
      <c r="Y96" s="204">
        <f t="shared" si="28"/>
        <v>23.2867</v>
      </c>
      <c r="Z96" s="204">
        <f t="shared" si="29"/>
        <v>2.07E-2</v>
      </c>
      <c r="AA96" s="204">
        <f t="shared" si="30"/>
        <v>23.265999999999998</v>
      </c>
      <c r="AB96" s="54" t="e">
        <f>VLOOKUP(A96,Enforcements!$C$7:$K$9,8,0)</f>
        <v>#N/A</v>
      </c>
      <c r="AC96" s="51" t="e">
        <f>VLOOKUP(A96,Enforcements!$C$7:$E$9,3,0)</f>
        <v>#N/A</v>
      </c>
      <c r="AD96" s="179">
        <f t="shared" si="31"/>
        <v>182</v>
      </c>
      <c r="AE96" s="77" t="str">
        <f t="shared" si="32"/>
        <v>aws s3 cp s3://rtdc.mdm.uploadarchive.raw/RTDC4065/ "%USERPROFILE%\AppData\Local\Temp\OnboardLogs"\RTDC4065\2017-11-17 --exclude "*" --recursive --include "*20171117*" &amp; "%USERPROFILE%\Documents\GitHub\mrs-test-scripts\Headless Mode &amp; Sideloading\WalkAndUnGZ.bat" "%USERPROFILE%\AppData\Local\Temp\OnboardLogs"\RTDC4065\2017-11-17 &amp; aws s3 cp s3://rtdc.mdm.uploadarchive.raw/RTDC4065/ "%USERPROFILE%\AppData\Local\Temp\OnboardLogs"\RTDC4065\2017-11-18 --exclude "*" --recursive --include "*20171118*" &amp; "%USERPROFILE%\Documents\GitHub\mrs-test-scripts\Headless Mode &amp; Sideloading\WalkAndUnGZ.bat" "%USERPROFILE%\AppData\Local\Temp\OnboardLogs"\RTDC4065\2017-11-18</v>
      </c>
      <c r="AF96" s="74" t="str">
        <f t="shared" si="33"/>
        <v>"C:\Program Files (x86)\AstroGrep\AstroGrep.exe" /e /r /s /spath="%USERPROFILE%\AppData\Local\Temp\OnboardLogs" /stypes="app*4065*20171117*" /stext=" 22:.+((SYSTEM_STATE.+slice.+state.+changed )|(ment ac)|(multiple cpu faults)|(system.+state.+changed )|(\[timeout)|(PRM\|1\|D)|(kpr)|(kdp)|(train st.+moving)|(\|lc)|(penalty))"</v>
      </c>
      <c r="AG96" s="182" t="str">
        <f t="shared" si="34"/>
        <v>EC</v>
      </c>
      <c r="AH96" s="78" t="str">
        <f t="shared" si="35"/>
        <v>"%USERPROFILE%\Documents\GitHub\eaglep3\Utilities\RefineRTDCRunTimes.py" --tripid 182-17 --locoid 4065 --swversion DE.1.0.9.0 --startMP 204:232867 --initTime 2017-11-17T14:22:02 --startdatetime 2017-11-17T14:42:15 --delay 47 --endMP 204:207 --enddatetime 2017-11-17T15:19:30 --enforcementcount 1 &gt;&gt;%USERPROFILE%\Documents\GitHub\eaglep3-reporting\EC\2017-11-17-refined-times.txt</v>
      </c>
      <c r="AI96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{"issue":{"subject":"","project_id":79,"tracker_id":40,"status_id":1,"priority_id":2,"assigned_to_id":338,"start_date":"2017-11-17","description":"","custom_fields":[{"id":1,"name":"Subdivision","value":"EC"},{"id":4,"name":"Milepost","value":"0.0207"},{"id":17,"name":"Train ID","value":"182-17"},{"id":16,"name":"Locomotive ID","value":"4065"},{"id":130,"name":"Impact","value":""},{"id":150,"name":"Time of Event (Mountain Time)","value":"15:19:30"},{"id":151,"name":"Denver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6" s="20"/>
      <c r="AK96" s="47"/>
      <c r="AL96" s="47"/>
      <c r="AM96" s="142" t="str">
        <f t="shared" si="37"/>
        <v>start /low /b %USERPROFILE%\Documents\GitHub\eaglep3\Utilities\DownloadLogsFromS3.py --loco 4065 --day 2017-11-17</v>
      </c>
      <c r="AN96" s="151" t="str">
        <f t="shared" si="38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22:19:30"},{"id":29,"name":"Sharepoint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168" t="str">
        <f t="shared" si="39"/>
        <v>https://d0f6bd738d7f1b3e5a7ca70fe4ff75f0.us-east-1.aws.found.io/app/kibana#/discover/Steve-Slow-Train-Analysis-(2080s-and-2083s)?_g=(refreshInterval:(display:Off,pause:!f,section:0,value:0),time:(from:'2017-11-17T13:22:02-0700',mode:absolute,to:'2017-11-17T16:19:30-0700'))&amp;_a=(columns:!('Message%20ID',Summary),filters:!(),index:'emp_*',interval:auto,query:(query_string:(analyze_wildcard:!t,query:'%22rtdc.l.rtdc.4065%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3">
      <c r="A97" s="32" t="s">
        <v>784</v>
      </c>
      <c r="B97" s="7">
        <v>4028</v>
      </c>
      <c r="C97" s="21" t="s">
        <v>192</v>
      </c>
      <c r="D97" s="21" t="s">
        <v>972</v>
      </c>
      <c r="E97" s="13">
        <v>43056.577789351853</v>
      </c>
      <c r="F97" s="13">
        <v>43056.583506944444</v>
      </c>
      <c r="G97" s="7">
        <v>58</v>
      </c>
      <c r="H97" s="21" t="s">
        <v>973</v>
      </c>
      <c r="I97" s="13">
        <v>43056.607881944445</v>
      </c>
      <c r="J97" s="7">
        <v>1</v>
      </c>
      <c r="K97" s="89" t="str">
        <f t="shared" si="23"/>
        <v>4027/4028</v>
      </c>
      <c r="L97" s="185" t="str">
        <f>VLOOKUP(A97,'Trips&amp;Operators'!$C$1:$G$99911,5,FALSE)</f>
        <v>DELGADO DIANAH</v>
      </c>
      <c r="M97" s="6">
        <f t="shared" si="24"/>
        <v>2.4375000000873115E-2</v>
      </c>
      <c r="N97" s="7">
        <f t="shared" si="40"/>
        <v>35.100000001257285</v>
      </c>
      <c r="O97" s="7"/>
      <c r="P97" s="7"/>
      <c r="Q97" s="22"/>
      <c r="R97" s="174"/>
      <c r="S97" s="221">
        <f t="shared" si="41"/>
        <v>1</v>
      </c>
      <c r="T97" s="174" t="str">
        <f t="shared" si="25"/>
        <v>NorthBound</v>
      </c>
      <c r="U97" s="198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16" t="str">
        <f t="shared" si="26"/>
        <v>https://d0f6bd738d7f1b3e5a7ca70fe4ff75f0.us-east-1.aws.found.io/app/kibana#/discover/Steve-Slow-Train-Analysis-(2080s-and-2083s)?_g=(refreshInterval:(display:Off,pause:!f,section:0,value:0),time:(from:'2017-11-17T12:52:01-0700',mode:absolute,to:'2017-11-17T15:35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97" s="204" t="str">
        <f>IF(AA97&lt;VLOOKUP(AG97,Variables!$AC$3:$AD$8,2,FALSE),"Y","N")</f>
        <v>N</v>
      </c>
      <c r="X97" s="204">
        <f t="shared" si="27"/>
        <v>1</v>
      </c>
      <c r="Y97" s="204">
        <f t="shared" si="28"/>
        <v>4.5999999999999999E-2</v>
      </c>
      <c r="Z97" s="204">
        <f t="shared" si="29"/>
        <v>23.331199999999999</v>
      </c>
      <c r="AA97" s="204">
        <f t="shared" si="30"/>
        <v>23.2852</v>
      </c>
      <c r="AB97" s="54" t="e">
        <f>VLOOKUP(A97,Enforcements!$C$7:$K$9,8,0)</f>
        <v>#N/A</v>
      </c>
      <c r="AC97" s="51" t="e">
        <f>VLOOKUP(A97,Enforcements!$C$7:$E$9,3,0)</f>
        <v>#N/A</v>
      </c>
      <c r="AD97" s="179">
        <f t="shared" si="31"/>
        <v>183</v>
      </c>
      <c r="AE97" s="77" t="str">
        <f t="shared" si="32"/>
        <v>aws s3 cp s3://rtdc.mdm.uploadarchive.raw/RTDC4028/ "%USERPROFILE%\AppData\Local\Temp\OnboardLogs"\RTDC4028\2017-11-17 --exclude "*" --recursive --include "*20171117*" &amp; "%USERPROFILE%\Documents\GitHub\mrs-test-scripts\Headless Mode &amp; Sideloading\WalkAndUnGZ.bat" "%USERPROFILE%\AppData\Local\Temp\OnboardLogs"\RTDC4028\2017-11-17 &amp; aws s3 cp s3://rtdc.mdm.uploadarchive.raw/RTDC4028/ "%USERPROFILE%\AppData\Local\Temp\OnboardLogs"\RTDC4028\2017-11-18 --exclude "*" --recursive --include "*20171118*" &amp; "%USERPROFILE%\Documents\GitHub\mrs-test-scripts\Headless Mode &amp; Sideloading\WalkAndUnGZ.bat" "%USERPROFILE%\AppData\Local\Temp\OnboardLogs"\RTDC4028\2017-11-18</v>
      </c>
      <c r="AF97" s="74" t="str">
        <f t="shared" si="33"/>
        <v>"C:\Program Files (x86)\AstroGrep\AstroGrep.exe" /e /r /s /spath="%USERPROFILE%\AppData\Local\Temp\OnboardLogs" /stypes="app*4028*20171117*" /stext=" 21:.+((SYSTEM_STATE.+slice.+state.+changed )|(ment ac)|(multiple cpu faults)|(system.+state.+changed )|(\[timeout)|(PRM\|1\|D)|(kpr)|(kdp)|(train st.+moving)|(\|lc)|(penalty))"</v>
      </c>
      <c r="AG97" s="182" t="str">
        <f t="shared" si="34"/>
        <v>EC</v>
      </c>
      <c r="AH97" s="78" t="str">
        <f t="shared" si="35"/>
        <v>"%USERPROFILE%\Documents\GitHub\eaglep3\Utilities\RefineRTDCRunTimes.py" --tripid 183-17 --locoid 4028 --swversion DE.1.0.9.0 --startMP 204:460 --initTime 2017-11-17T13:52:01 --startdatetime 2017-11-17T14:00:15 --delay 58 --endMP 204:233312 --enddatetime 2017-11-17T14:35:21 --enforcementcount 1 &gt;&gt;%USERPROFILE%\Documents\GitHub\eaglep3-reporting\EC\2017-11-17-refined-times.txt</v>
      </c>
      <c r="AI97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{"issue":{"subject":"","project_id":79,"tracker_id":40,"status_id":1,"priority_id":2,"assigned_to_id":338,"start_date":"2017-11-17","description":"","custom_fields":[{"id":1,"name":"Subdivision","value":"EC"},{"id":4,"name":"Milepost","value":"23.3312"},{"id":17,"name":"Train ID","value":"183-17"},{"id":16,"name":"Locomotive ID","value":"4028"},{"id":130,"name":"Impact","value":""},{"id":150,"name":"Time of Event (Mountain Time)","value":"14:35:21"},{"id":151,"name":"Denver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7" s="20"/>
      <c r="AK97" s="47"/>
      <c r="AL97" s="47"/>
      <c r="AM97" s="142" t="str">
        <f t="shared" si="37"/>
        <v>start /low /b %USERPROFILE%\Documents\GitHub\eaglep3\Utilities\DownloadLogsFromS3.py --loco 4028 --day 2017-11-17</v>
      </c>
      <c r="AN97" s="151" t="str">
        <f t="shared" si="38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21:35:21"},{"id":29,"name":"Sharepoint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168" t="str">
        <f t="shared" si="39"/>
        <v>https://d0f6bd738d7f1b3e5a7ca70fe4ff75f0.us-east-1.aws.found.io/app/kibana#/discover/Steve-Slow-Train-Analysis-(2080s-and-2083s)?_g=(refreshInterval:(display:Off,pause:!f,section:0,value:0),time:(from:'2017-11-17T12:52:01-0700',mode:absolute,to:'2017-11-17T15:35:21-0700'))&amp;_a=(columns:!('Message%20ID',Summary),filters:!(),index:'emp_*',interval:auto,query:(query_string:(analyze_wildcard:!t,query:'%22rtdc.l.rtdc.4028%22')),sort:!(Time.ISO8601,asc))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3">
      <c r="A98" s="32" t="s">
        <v>794</v>
      </c>
      <c r="B98" s="7">
        <v>4027</v>
      </c>
      <c r="C98" s="21" t="s">
        <v>192</v>
      </c>
      <c r="D98" s="21" t="s">
        <v>974</v>
      </c>
      <c r="E98" s="13">
        <v>43056.610069444447</v>
      </c>
      <c r="F98" s="13">
        <v>43056.623101851852</v>
      </c>
      <c r="G98" s="7">
        <v>55</v>
      </c>
      <c r="H98" s="21" t="s">
        <v>975</v>
      </c>
      <c r="I98" s="13">
        <v>43056.648414351854</v>
      </c>
      <c r="J98" s="7">
        <v>1</v>
      </c>
      <c r="K98" s="89" t="str">
        <f t="shared" si="23"/>
        <v>4027/4028</v>
      </c>
      <c r="L98" s="185" t="str">
        <f>VLOOKUP(A98,'Trips&amp;Operators'!$C$1:$G$99911,5,FALSE)</f>
        <v>DELGADO DIANAH</v>
      </c>
      <c r="M98" s="6">
        <f t="shared" si="24"/>
        <v>2.531250000174623E-2</v>
      </c>
      <c r="N98" s="7">
        <f t="shared" si="40"/>
        <v>36.450000002514571</v>
      </c>
      <c r="O98" s="7"/>
      <c r="P98" s="7"/>
      <c r="Q98" s="22"/>
      <c r="R98" s="174"/>
      <c r="S98" s="221">
        <f t="shared" si="41"/>
        <v>1</v>
      </c>
      <c r="T98" s="174" t="str">
        <f t="shared" si="25"/>
        <v>Southbound</v>
      </c>
      <c r="U98" s="198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16" t="str">
        <f t="shared" si="26"/>
        <v>https://d0f6bd738d7f1b3e5a7ca70fe4ff75f0.us-east-1.aws.found.io/app/kibana#/discover/Steve-Slow-Train-Analysis-(2080s-and-2083s)?_g=(refreshInterval:(display:Off,pause:!f,section:0,value:0),time:(from:'2017-11-17T13:38:30-0700',mode:absolute,to:'2017-11-17T16:33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98" s="204" t="str">
        <f>IF(AA98&lt;VLOOKUP(AG98,Variables!$AC$3:$AD$8,2,FALSE),"Y","N")</f>
        <v>N</v>
      </c>
      <c r="X98" s="204">
        <f t="shared" si="27"/>
        <v>1</v>
      </c>
      <c r="Y98" s="204">
        <f t="shared" si="28"/>
        <v>23.3</v>
      </c>
      <c r="Z98" s="204">
        <f t="shared" si="29"/>
        <v>1.6E-2</v>
      </c>
      <c r="AA98" s="204">
        <f t="shared" si="30"/>
        <v>23.284000000000002</v>
      </c>
      <c r="AB98" s="54" t="e">
        <f>VLOOKUP(A98,Enforcements!$C$7:$K$9,8,0)</f>
        <v>#N/A</v>
      </c>
      <c r="AC98" s="51" t="e">
        <f>VLOOKUP(A98,Enforcements!$C$7:$E$9,3,0)</f>
        <v>#N/A</v>
      </c>
      <c r="AD98" s="179">
        <f t="shared" si="31"/>
        <v>184</v>
      </c>
      <c r="AE98" s="77" t="str">
        <f t="shared" si="32"/>
        <v>aws s3 cp s3://rtdc.mdm.uploadarchive.raw/RTDC4027/ "%USERPROFILE%\AppData\Local\Temp\OnboardLogs"\RTDC4027\2017-11-17 --exclude "*" --recursive --include "*20171117*" &amp; "%USERPROFILE%\Documents\GitHub\mrs-test-scripts\Headless Mode &amp; Sideloading\WalkAndUnGZ.bat" "%USERPROFILE%\AppData\Local\Temp\OnboardLogs"\RTDC4027\2017-11-17 &amp; aws s3 cp s3://rtdc.mdm.uploadarchive.raw/RTDC4027/ "%USERPROFILE%\AppData\Local\Temp\OnboardLogs"\RTDC4027\2017-11-18 --exclude "*" --recursive --include "*20171118*" &amp; "%USERPROFILE%\Documents\GitHub\mrs-test-scripts\Headless Mode &amp; Sideloading\WalkAndUnGZ.bat" "%USERPROFILE%\AppData\Local\Temp\OnboardLogs"\RTDC4027\2017-11-18</v>
      </c>
      <c r="AF98" s="74" t="str">
        <f t="shared" si="33"/>
        <v>"C:\Program Files (x86)\AstroGrep\AstroGrep.exe" /e /r /s /spath="%USERPROFILE%\AppData\Local\Temp\OnboardLogs" /stypes="app*4027*20171117*" /stext=" 22:.+((SYSTEM_STATE.+slice.+state.+changed )|(ment ac)|(multiple cpu faults)|(system.+state.+changed )|(\[timeout)|(PRM\|1\|D)|(kpr)|(kdp)|(train st.+moving)|(\|lc)|(penalty))"</v>
      </c>
      <c r="AG98" s="182" t="str">
        <f t="shared" si="34"/>
        <v>EC</v>
      </c>
      <c r="AH98" s="78" t="str">
        <f t="shared" si="35"/>
        <v>"%USERPROFILE%\Documents\GitHub\eaglep3\Utilities\RefineRTDCRunTimes.py" --tripid 184-17 --locoid 4027 --swversion DE.1.0.9.0 --startMP 204:233000 --initTime 2017-11-17T14:38:30 --startdatetime 2017-11-17T14:57:16 --delay 55 --endMP 204:160 --enddatetime 2017-11-17T15:33:43 --enforcementcount 1 &gt;&gt;%USERPROFILE%\Documents\GitHub\eaglep3-reporting\EC\2017-11-17-refined-times.txt</v>
      </c>
      <c r="AI98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{"issue":{"subject":"","project_id":79,"tracker_id":40,"status_id":1,"priority_id":2,"assigned_to_id":338,"start_date":"2017-11-17","description":"","custom_fields":[{"id":1,"name":"Subdivision","value":"EC"},{"id":4,"name":"Milepost","value":"0.016"},{"id":17,"name":"Train ID","value":"184-17"},{"id":16,"name":"Locomotive ID","value":"4027"},{"id":130,"name":"Impact","value":""},{"id":150,"name":"Time of Event (Mountain Time)","value":"15:33:43"},{"id":151,"name":"Denver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8" s="20"/>
      <c r="AK98" s="47"/>
      <c r="AL98" s="47"/>
      <c r="AM98" s="142" t="str">
        <f t="shared" si="37"/>
        <v>start /low /b %USERPROFILE%\Documents\GitHub\eaglep3\Utilities\DownloadLogsFromS3.py --loco 4027 --day 2017-11-17</v>
      </c>
      <c r="AN98" s="151" t="str">
        <f t="shared" si="38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22:33:43"},{"id":29,"name":"Sharepoint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168" t="str">
        <f t="shared" si="39"/>
        <v>https://d0f6bd738d7f1b3e5a7ca70fe4ff75f0.us-east-1.aws.found.io/app/kibana#/discover/Steve-Slow-Train-Analysis-(2080s-and-2083s)?_g=(refreshInterval:(display:Off,pause:!f,section:0,value:0),time:(from:'2017-11-17T13:38:30-0700',mode:absolute,to:'2017-11-17T16:33:43-0700'))&amp;_a=(columns:!('Message%20ID',Summary),filters:!(),index:'emp_*',interval:auto,query:(query_string:(analyze_wildcard:!t,query:'%22rtdc.l.rtdc.4027%22')),sort:!(Time.ISO8601,asc))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3">
      <c r="A99" s="32" t="s">
        <v>789</v>
      </c>
      <c r="B99" s="7">
        <v>4020</v>
      </c>
      <c r="C99" s="21" t="s">
        <v>192</v>
      </c>
      <c r="D99" s="21" t="s">
        <v>976</v>
      </c>
      <c r="E99" s="13">
        <v>43056.590254629627</v>
      </c>
      <c r="F99" s="13">
        <v>43056.593935185185</v>
      </c>
      <c r="G99" s="7">
        <v>56</v>
      </c>
      <c r="H99" s="21" t="s">
        <v>977</v>
      </c>
      <c r="I99" s="13">
        <v>43056.621168981481</v>
      </c>
      <c r="J99" s="7">
        <v>1</v>
      </c>
      <c r="K99" s="89" t="str">
        <f t="shared" si="23"/>
        <v>4019/4020</v>
      </c>
      <c r="L99" s="185" t="str">
        <f>VLOOKUP(A99,'Trips&amp;Operators'!$C$1:$G$99911,5,FALSE)</f>
        <v>BADERTSCHER DIANE</v>
      </c>
      <c r="M99" s="6">
        <f t="shared" si="24"/>
        <v>2.7233796296059154E-2</v>
      </c>
      <c r="N99" s="7">
        <f t="shared" si="40"/>
        <v>39.216666666325182</v>
      </c>
      <c r="O99" s="7"/>
      <c r="P99" s="7"/>
      <c r="Q99" s="22"/>
      <c r="R99" s="174"/>
      <c r="S99" s="221">
        <f t="shared" si="41"/>
        <v>1</v>
      </c>
      <c r="T99" s="174" t="str">
        <f t="shared" si="25"/>
        <v>NorthBound</v>
      </c>
      <c r="U99" s="198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16" t="str">
        <f t="shared" si="26"/>
        <v>https://d0f6bd738d7f1b3e5a7ca70fe4ff75f0.us-east-1.aws.found.io/app/kibana#/discover/Steve-Slow-Train-Analysis-(2080s-and-2083s)?_g=(refreshInterval:(display:Off,pause:!f,section:0,value:0),time:(from:'2017-11-17T13:09:58-0700',mode:absolute,to:'2017-11-17T15:54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99" s="204" t="str">
        <f>IF(AA99&lt;VLOOKUP(AG99,Variables!$AC$3:$AD$8,2,FALSE),"Y","N")</f>
        <v>N</v>
      </c>
      <c r="X99" s="204">
        <f t="shared" si="27"/>
        <v>1</v>
      </c>
      <c r="Y99" s="204">
        <f t="shared" si="28"/>
        <v>6.1899999999999997E-2</v>
      </c>
      <c r="Z99" s="204">
        <f t="shared" si="29"/>
        <v>23.320699999999999</v>
      </c>
      <c r="AA99" s="204">
        <f t="shared" si="30"/>
        <v>23.258799999999997</v>
      </c>
      <c r="AB99" s="54" t="e">
        <f>VLOOKUP(A99,Enforcements!$C$7:$K$9,8,0)</f>
        <v>#N/A</v>
      </c>
      <c r="AC99" s="51" t="e">
        <f>VLOOKUP(A99,Enforcements!$C$7:$E$9,3,0)</f>
        <v>#N/A</v>
      </c>
      <c r="AD99" s="179">
        <f t="shared" si="31"/>
        <v>185</v>
      </c>
      <c r="AE99" s="77" t="str">
        <f t="shared" si="32"/>
        <v>aws s3 cp s3://rtdc.mdm.uploadarchive.raw/RTDC4020/ "%USERPROFILE%\AppData\Local\Temp\OnboardLogs"\RTDC4020\2017-11-17 --exclude "*" --recursive --include "*20171117*" &amp; "%USERPROFILE%\Documents\GitHub\mrs-test-scripts\Headless Mode &amp; Sideloading\WalkAndUnGZ.bat" "%USERPROFILE%\AppData\Local\Temp\OnboardLogs"\RTDC4020\2017-11-17 &amp; aws s3 cp s3://rtdc.mdm.uploadarchive.raw/RTDC4020/ "%USERPROFILE%\AppData\Local\Temp\OnboardLogs"\RTDC4020\2017-11-18 --exclude "*" --recursive --include "*20171118*" &amp; "%USERPROFILE%\Documents\GitHub\mrs-test-scripts\Headless Mode &amp; Sideloading\WalkAndUnGZ.bat" "%USERPROFILE%\AppData\Local\Temp\OnboardLogs"\RTDC4020\2017-11-18</v>
      </c>
      <c r="AF99" s="74" t="str">
        <f t="shared" si="33"/>
        <v>"C:\Program Files (x86)\AstroGrep\AstroGrep.exe" /e /r /s /spath="%USERPROFILE%\AppData\Local\Temp\OnboardLogs" /stypes="app*4020*20171117*" /stext=" 21:.+((SYSTEM_STATE.+slice.+state.+changed )|(ment ac)|(multiple cpu faults)|(system.+state.+changed )|(\[timeout)|(PRM\|1\|D)|(kpr)|(kdp)|(train st.+moving)|(\|lc)|(penalty))"</v>
      </c>
      <c r="AG99" s="182" t="str">
        <f t="shared" si="34"/>
        <v>EC</v>
      </c>
      <c r="AH99" s="78" t="str">
        <f t="shared" si="35"/>
        <v>"%USERPROFILE%\Documents\GitHub\eaglep3\Utilities\RefineRTDCRunTimes.py" --tripid 185-17 --locoid 4020 --swversion DE.1.0.9.0 --startMP 204:619 --initTime 2017-11-17T14:09:58 --startdatetime 2017-11-17T14:15:16 --delay 56 --endMP 204:233207 --enddatetime 2017-11-17T14:54:29 --enforcementcount 1 &gt;&gt;%USERPROFILE%\Documents\GitHub\eaglep3-reporting\EC\2017-11-17-refined-times.txt</v>
      </c>
      <c r="AI99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{"issue":{"subject":"","project_id":79,"tracker_id":40,"status_id":1,"priority_id":2,"assigned_to_id":338,"start_date":"2017-11-17","description":"","custom_fields":[{"id":1,"name":"Subdivision","value":"EC"},{"id":4,"name":"Milepost","value":"23.3207"},{"id":17,"name":"Train ID","value":"185-17"},{"id":16,"name":"Locomotive ID","value":"4020"},{"id":130,"name":"Impact","value":""},{"id":150,"name":"Time of Event (Mountain Time)","value":"14:54:29"},{"id":151,"name":"Denver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9" s="20"/>
      <c r="AK99" s="47"/>
      <c r="AL99" s="47"/>
      <c r="AM99" s="142" t="str">
        <f t="shared" si="37"/>
        <v>start /low /b %USERPROFILE%\Documents\GitHub\eaglep3\Utilities\DownloadLogsFromS3.py --loco 4020 --day 2017-11-17</v>
      </c>
      <c r="AN99" s="151" t="str">
        <f t="shared" si="38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21:54:29"},{"id":29,"name":"Sharepoint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168" t="str">
        <f t="shared" si="39"/>
        <v>https://d0f6bd738d7f1b3e5a7ca70fe4ff75f0.us-east-1.aws.found.io/app/kibana#/discover/Steve-Slow-Train-Analysis-(2080s-and-2083s)?_g=(refreshInterval:(display:Off,pause:!f,section:0,value:0),time:(from:'2017-11-17T13:09:58-0700',mode:absolute,to:'2017-11-17T15:54:29-0700'))&amp;_a=(columns:!('Message%20ID',Summary),filters:!(),index:'emp_*',interval:auto,query:(query_string:(analyze_wildcard:!t,query:'%22rtdc.l.rtdc.4020%22')),sort:!(Time.ISO8601,asc))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1" customFormat="1" x14ac:dyDescent="0.3">
      <c r="A100" s="32" t="s">
        <v>647</v>
      </c>
      <c r="B100" s="7">
        <v>4019</v>
      </c>
      <c r="C100" s="21" t="s">
        <v>192</v>
      </c>
      <c r="D100" s="21" t="s">
        <v>978</v>
      </c>
      <c r="E100" s="13">
        <v>43056.6247337963</v>
      </c>
      <c r="F100" s="13">
        <v>43056.633518518516</v>
      </c>
      <c r="G100" s="7">
        <v>98</v>
      </c>
      <c r="H100" s="21" t="s">
        <v>935</v>
      </c>
      <c r="I100" s="13">
        <v>43056.662685185183</v>
      </c>
      <c r="J100" s="7">
        <v>1</v>
      </c>
      <c r="K100" s="89" t="str">
        <f t="shared" si="23"/>
        <v>4019/4020</v>
      </c>
      <c r="L100" s="185" t="str">
        <f>VLOOKUP(A100,'Trips&amp;Operators'!$C$1:$G$99911,5,FALSE)</f>
        <v>BADERTSCHER DIANE</v>
      </c>
      <c r="M100" s="6">
        <f t="shared" si="24"/>
        <v>2.9166666667151731E-2</v>
      </c>
      <c r="N100" s="7">
        <f t="shared" si="40"/>
        <v>42.000000000698492</v>
      </c>
      <c r="O100" s="7"/>
      <c r="P100" s="7"/>
      <c r="Q100" s="22"/>
      <c r="R100" s="174"/>
      <c r="S100" s="221">
        <f t="shared" si="41"/>
        <v>1</v>
      </c>
      <c r="T100" s="174" t="str">
        <f t="shared" si="25"/>
        <v>Southbound</v>
      </c>
      <c r="U100" s="198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16" t="str">
        <f t="shared" si="26"/>
        <v>https://d0f6bd738d7f1b3e5a7ca70fe4ff75f0.us-east-1.aws.found.io/app/kibana#/discover/Steve-Slow-Train-Analysis-(2080s-and-2083s)?_g=(refreshInterval:(display:Off,pause:!f,section:0,value:0),time:(from:'2017-11-17T13:59:37-0700',mode:absolute,to:'2017-11-17T16:54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00" s="204" t="str">
        <f>IF(AA100&lt;VLOOKUP(AG100,Variables!$AC$3:$AD$8,2,FALSE),"Y","N")</f>
        <v>N</v>
      </c>
      <c r="X100" s="204">
        <f t="shared" si="27"/>
        <v>1</v>
      </c>
      <c r="Y100" s="204">
        <f t="shared" si="28"/>
        <v>23.288799999999998</v>
      </c>
      <c r="Z100" s="204">
        <f t="shared" si="29"/>
        <v>2.2100000000000002E-2</v>
      </c>
      <c r="AA100" s="204">
        <f t="shared" si="30"/>
        <v>23.2667</v>
      </c>
      <c r="AB100" s="54" t="e">
        <f>VLOOKUP(A100,Enforcements!$C$7:$K$9,8,0)</f>
        <v>#N/A</v>
      </c>
      <c r="AC100" s="51" t="e">
        <f>VLOOKUP(A100,Enforcements!$C$7:$E$9,3,0)</f>
        <v>#N/A</v>
      </c>
      <c r="AD100" s="179">
        <f t="shared" si="31"/>
        <v>186</v>
      </c>
      <c r="AE100" s="77" t="str">
        <f t="shared" si="32"/>
        <v>aws s3 cp s3://rtdc.mdm.uploadarchive.raw/RTDC4019/ "%USERPROFILE%\AppData\Local\Temp\OnboardLogs"\RTDC4019\2017-11-17 --exclude "*" --recursive --include "*20171117*" &amp; "%USERPROFILE%\Documents\GitHub\mrs-test-scripts\Headless Mode &amp; Sideloading\WalkAndUnGZ.bat" "%USERPROFILE%\AppData\Local\Temp\OnboardLogs"\RTDC4019\2017-11-17 &amp; aws s3 cp s3://rtdc.mdm.uploadarchive.raw/RTDC4019/ "%USERPROFILE%\AppData\Local\Temp\OnboardLogs"\RTDC4019\2017-11-18 --exclude "*" --recursive --include "*20171118*" &amp; "%USERPROFILE%\Documents\GitHub\mrs-test-scripts\Headless Mode &amp; Sideloading\WalkAndUnGZ.bat" "%USERPROFILE%\AppData\Local\Temp\OnboardLogs"\RTDC4019\2017-11-18</v>
      </c>
      <c r="AF100" s="74" t="str">
        <f t="shared" si="33"/>
        <v>"C:\Program Files (x86)\AstroGrep\AstroGrep.exe" /e /r /s /spath="%USERPROFILE%\AppData\Local\Temp\OnboardLogs" /stypes="app*4019*20171117*" /stext=" 22:.+((SYSTEM_STATE.+slice.+state.+changed )|(ment ac)|(multiple cpu faults)|(system.+state.+changed )|(\[timeout)|(PRM\|1\|D)|(kpr)|(kdp)|(train st.+moving)|(\|lc)|(penalty))"</v>
      </c>
      <c r="AG100" s="182" t="str">
        <f t="shared" si="34"/>
        <v>EC</v>
      </c>
      <c r="AH100" s="78" t="str">
        <f t="shared" si="35"/>
        <v>"%USERPROFILE%\Documents\GitHub\eaglep3\Utilities\RefineRTDCRunTimes.py" --tripid 186-17 --locoid 4019 --swversion DE.1.0.9.0 --startMP 204:232888 --initTime 2017-11-17T14:59:37 --startdatetime 2017-11-17T15:12:16 --delay 98 --endMP 204:221 --enddatetime 2017-11-17T15:54:16 --enforcementcount 1 &gt;&gt;%USERPROFILE%\Documents\GitHub\eaglep3-reporting\EC\2017-11-17-refined-times.txt</v>
      </c>
      <c r="AI100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{"issue":{"subject":"","project_id":79,"tracker_id":40,"status_id":1,"priority_id":2,"assigned_to_id":338,"start_date":"2017-11-17","description":"","custom_fields":[{"id":1,"name":"Subdivision","value":"EC"},{"id":4,"name":"Milepost","value":"0.0221"},{"id":17,"name":"Train ID","value":"186-17"},{"id":16,"name":"Locomotive ID","value":"4019"},{"id":130,"name":"Impact","value":""},{"id":150,"name":"Time of Event (Mountain Time)","value":"15:54:16"},{"id":151,"name":"Denver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0" s="20"/>
      <c r="AK100" s="47"/>
      <c r="AL100" s="47"/>
      <c r="AM100" s="142" t="str">
        <f t="shared" si="37"/>
        <v>start /low /b %USERPROFILE%\Documents\GitHub\eaglep3\Utilities\DownloadLogsFromS3.py --loco 4019 --day 2017-11-17</v>
      </c>
      <c r="AN100" s="151" t="str">
        <f t="shared" si="38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22:54:16"},{"id":29,"name":"Sharepoint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168" t="str">
        <f t="shared" si="39"/>
        <v>https://d0f6bd738d7f1b3e5a7ca70fe4ff75f0.us-east-1.aws.found.io/app/kibana#/discover/Steve-Slow-Train-Analysis-(2080s-and-2083s)?_g=(refreshInterval:(display:Off,pause:!f,section:0,value:0),time:(from:'2017-11-17T13:59:37-0700',mode:absolute,to:'2017-11-17T16:54:16-0700'))&amp;_a=(columns:!('Message%20ID',Summary),filters:!(),index:'emp_*',interval:auto,query:(query_string:(analyze_wildcard:!t,query:'%22rtdc.l.rtdc.4019%22')),sort:!(Time.ISO8601,asc))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3">
      <c r="A101" s="32" t="s">
        <v>646</v>
      </c>
      <c r="B101" s="7">
        <v>4010</v>
      </c>
      <c r="C101" s="21" t="s">
        <v>192</v>
      </c>
      <c r="D101" s="21" t="s">
        <v>575</v>
      </c>
      <c r="E101" s="13">
        <v>43056.600752314815</v>
      </c>
      <c r="F101" s="13">
        <v>43056.604444444441</v>
      </c>
      <c r="G101" s="7">
        <v>66</v>
      </c>
      <c r="H101" s="21" t="s">
        <v>979</v>
      </c>
      <c r="I101" s="13">
        <v>43056.628750000003</v>
      </c>
      <c r="J101" s="7">
        <v>1</v>
      </c>
      <c r="K101" s="89" t="str">
        <f t="shared" si="23"/>
        <v>4009/4010</v>
      </c>
      <c r="L101" s="185" t="str">
        <f>VLOOKUP(A101,'Trips&amp;Operators'!$C$1:$G$99911,5,FALSE)</f>
        <v>HOLCOMB KAMDEN</v>
      </c>
      <c r="M101" s="6">
        <f t="shared" si="24"/>
        <v>2.4305555562023073E-2</v>
      </c>
      <c r="N101" s="7">
        <f t="shared" si="40"/>
        <v>35.000000009313226</v>
      </c>
      <c r="O101" s="7"/>
      <c r="P101" s="7"/>
      <c r="Q101" s="22"/>
      <c r="R101" s="174"/>
      <c r="S101" s="221">
        <f t="shared" si="41"/>
        <v>1</v>
      </c>
      <c r="T101" s="174" t="str">
        <f t="shared" si="25"/>
        <v>NorthBound</v>
      </c>
      <c r="U101" s="198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16" t="str">
        <f t="shared" si="26"/>
        <v>https://d0f6bd738d7f1b3e5a7ca70fe4ff75f0.us-east-1.aws.found.io/app/kibana#/discover/Steve-Slow-Train-Analysis-(2080s-and-2083s)?_g=(refreshInterval:(display:Off,pause:!f,section:0,value:0),time:(from:'2017-11-17T13:25:05-0700',mode:absolute,to:'2017-11-17T16:05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01" s="204" t="str">
        <f>IF(AA101&lt;VLOOKUP(AG101,Variables!$AC$3:$AD$8,2,FALSE),"Y","N")</f>
        <v>N</v>
      </c>
      <c r="X101" s="204">
        <f t="shared" si="27"/>
        <v>1</v>
      </c>
      <c r="Y101" s="204">
        <f t="shared" si="28"/>
        <v>5.1999999999999998E-2</v>
      </c>
      <c r="Z101" s="204">
        <f t="shared" si="29"/>
        <v>23.322299999999998</v>
      </c>
      <c r="AA101" s="204">
        <f t="shared" si="30"/>
        <v>23.270299999999999</v>
      </c>
      <c r="AB101" s="54" t="e">
        <f>VLOOKUP(A101,Enforcements!$C$7:$K$9,8,0)</f>
        <v>#N/A</v>
      </c>
      <c r="AC101" s="51" t="e">
        <f>VLOOKUP(A101,Enforcements!$C$7:$E$9,3,0)</f>
        <v>#N/A</v>
      </c>
      <c r="AD101" s="179">
        <f t="shared" si="31"/>
        <v>187</v>
      </c>
      <c r="AE101" s="77" t="str">
        <f t="shared" si="32"/>
        <v>aws s3 cp s3://rtdc.mdm.uploadarchive.raw/RTDC4010/ "%USERPROFILE%\AppData\Local\Temp\OnboardLogs"\RTDC4010\2017-11-17 --exclude "*" --recursive --include "*20171117*" &amp; "%USERPROFILE%\Documents\GitHub\mrs-test-scripts\Headless Mode &amp; Sideloading\WalkAndUnGZ.bat" "%USERPROFILE%\AppData\Local\Temp\OnboardLogs"\RTDC4010\2017-11-17 &amp; aws s3 cp s3://rtdc.mdm.uploadarchive.raw/RTDC4010/ "%USERPROFILE%\AppData\Local\Temp\OnboardLogs"\RTDC4010\2017-11-18 --exclude "*" --recursive --include "*20171118*" &amp; "%USERPROFILE%\Documents\GitHub\mrs-test-scripts\Headless Mode &amp; Sideloading\WalkAndUnGZ.bat" "%USERPROFILE%\AppData\Local\Temp\OnboardLogs"\RTDC4010\2017-11-18</v>
      </c>
      <c r="AF101" s="74" t="str">
        <f t="shared" si="33"/>
        <v>"C:\Program Files (x86)\AstroGrep\AstroGrep.exe" /e /r /s /spath="%USERPROFILE%\AppData\Local\Temp\OnboardLogs" /stypes="app*4010*20171117*" /stext=" 22:.+((SYSTEM_STATE.+slice.+state.+changed )|(ment ac)|(multiple cpu faults)|(system.+state.+changed )|(\[timeout)|(PRM\|1\|D)|(kpr)|(kdp)|(train st.+moving)|(\|lc)|(penalty))"</v>
      </c>
      <c r="AG101" s="182" t="str">
        <f t="shared" si="34"/>
        <v>EC</v>
      </c>
      <c r="AH101" s="78" t="str">
        <f t="shared" si="35"/>
        <v>"%USERPROFILE%\Documents\GitHub\eaglep3\Utilities\RefineRTDCRunTimes.py" --tripid 187-17 --locoid 4010 --swversion DE.1.0.9.0 --startMP 204:520 --initTime 2017-11-17T14:25:05 --startdatetime 2017-11-17T14:30:24 --delay 66 --endMP 204:233223 --enddatetime 2017-11-17T15:05:24 --enforcementcount 1 &gt;&gt;%USERPROFILE%\Documents\GitHub\eaglep3-reporting\EC\2017-11-17-refined-times.txt</v>
      </c>
      <c r="AI101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{"issue":{"subject":"","project_id":79,"tracker_id":40,"status_id":1,"priority_id":2,"assigned_to_id":338,"start_date":"2017-11-17","description":"","custom_fields":[{"id":1,"name":"Subdivision","value":"EC"},{"id":4,"name":"Milepost","value":"23.3223"},{"id":17,"name":"Train ID","value":"187-17"},{"id":16,"name":"Locomotive ID","value":"4010"},{"id":130,"name":"Impact","value":""},{"id":150,"name":"Time of Event (Mountain Time)","value":"15:05:24"},{"id":151,"name":"Denver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1" s="47"/>
      <c r="AL101" s="47"/>
      <c r="AM101" s="142" t="str">
        <f t="shared" si="37"/>
        <v>start /low /b %USERPROFILE%\Documents\GitHub\eaglep3\Utilities\DownloadLogsFromS3.py --loco 4010 --day 2017-11-17</v>
      </c>
      <c r="AN101" s="151" t="str">
        <f t="shared" si="38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22:05:24"},{"id":29,"name":"Sharepoint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168" t="str">
        <f t="shared" si="39"/>
        <v>https://d0f6bd738d7f1b3e5a7ca70fe4ff75f0.us-east-1.aws.found.io/app/kibana#/discover/Steve-Slow-Train-Analysis-(2080s-and-2083s)?_g=(refreshInterval:(display:Off,pause:!f,section:0,value:0),time:(from:'2017-11-17T13:25:05-0700',mode:absolute,to:'2017-11-17T16:05:24-0700'))&amp;_a=(columns:!('Message%20ID',Summary),filters:!(),index:'emp_*',interval:auto,query:(query_string:(analyze_wildcard:!t,query:'%22rtdc.l.rtdc.4010%22')),sort:!(Time.ISO8601,asc))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3">
      <c r="A102" s="32" t="s">
        <v>801</v>
      </c>
      <c r="B102" s="7">
        <v>4009</v>
      </c>
      <c r="C102" s="21" t="s">
        <v>192</v>
      </c>
      <c r="D102" s="21" t="s">
        <v>918</v>
      </c>
      <c r="E102" s="13">
        <v>43056.641435185185</v>
      </c>
      <c r="F102" s="13">
        <v>43056.644097222219</v>
      </c>
      <c r="G102" s="7">
        <v>60</v>
      </c>
      <c r="H102" s="21" t="s">
        <v>568</v>
      </c>
      <c r="I102" s="13">
        <v>43056.669895833336</v>
      </c>
      <c r="J102" s="7">
        <v>1</v>
      </c>
      <c r="K102" s="89" t="str">
        <f t="shared" si="23"/>
        <v>4009/4010</v>
      </c>
      <c r="L102" s="185" t="str">
        <f>VLOOKUP(A102,'Trips&amp;Operators'!$C$1:$G$99911,5,FALSE)</f>
        <v>HOLCOMB KAMDEN</v>
      </c>
      <c r="M102" s="6">
        <f t="shared" si="24"/>
        <v>2.5798611117352266E-2</v>
      </c>
      <c r="N102" s="7">
        <f t="shared" si="40"/>
        <v>37.150000008987263</v>
      </c>
      <c r="O102" s="7"/>
      <c r="P102" s="7"/>
      <c r="Q102" s="22"/>
      <c r="R102" s="174"/>
      <c r="S102" s="221">
        <f t="shared" si="41"/>
        <v>1</v>
      </c>
      <c r="T102" s="174" t="str">
        <f t="shared" si="25"/>
        <v>Southbound</v>
      </c>
      <c r="U102" s="198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16" t="str">
        <f t="shared" si="26"/>
        <v>https://d0f6bd738d7f1b3e5a7ca70fe4ff75f0.us-east-1.aws.found.io/app/kibana#/discover/Steve-Slow-Train-Analysis-(2080s-and-2083s)?_g=(refreshInterval:(display:Off,pause:!f,section:0,value:0),time:(from:'2017-11-17T14:23:40-0700',mode:absolute,to:'2017-11-17T17:04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02" s="204" t="str">
        <f>IF(AA102&lt;VLOOKUP(AG102,Variables!$AC$3:$AD$8,2,FALSE),"Y","N")</f>
        <v>N</v>
      </c>
      <c r="X102" s="204">
        <f t="shared" si="27"/>
        <v>1</v>
      </c>
      <c r="Y102" s="204">
        <f t="shared" si="28"/>
        <v>23.289200000000001</v>
      </c>
      <c r="Z102" s="204">
        <f t="shared" si="29"/>
        <v>2.0500000000000001E-2</v>
      </c>
      <c r="AA102" s="204">
        <f t="shared" si="30"/>
        <v>23.268700000000003</v>
      </c>
      <c r="AB102" s="54" t="e">
        <f>VLOOKUP(A102,Enforcements!$C$7:$K$9,8,0)</f>
        <v>#N/A</v>
      </c>
      <c r="AC102" s="51" t="e">
        <f>VLOOKUP(A102,Enforcements!$C$7:$E$9,3,0)</f>
        <v>#N/A</v>
      </c>
      <c r="AD102" s="179">
        <f t="shared" si="31"/>
        <v>188</v>
      </c>
      <c r="AE102" s="77" t="str">
        <f t="shared" si="32"/>
        <v>aws s3 cp s3://rtdc.mdm.uploadarchive.raw/RTDC4009/ "%USERPROFILE%\AppData\Local\Temp\OnboardLogs"\RTDC4009\2017-11-17 --exclude "*" --recursive --include "*20171117*" &amp; "%USERPROFILE%\Documents\GitHub\mrs-test-scripts\Headless Mode &amp; Sideloading\WalkAndUnGZ.bat" "%USERPROFILE%\AppData\Local\Temp\OnboardLogs"\RTDC4009\2017-11-17 &amp; aws s3 cp s3://rtdc.mdm.uploadarchive.raw/RTDC4009/ "%USERPROFILE%\AppData\Local\Temp\OnboardLogs"\RTDC4009\2017-11-18 --exclude "*" --recursive --include "*20171118*" &amp; "%USERPROFILE%\Documents\GitHub\mrs-test-scripts\Headless Mode &amp; Sideloading\WalkAndUnGZ.bat" "%USERPROFILE%\AppData\Local\Temp\OnboardLogs"\RTDC4009\2017-11-18</v>
      </c>
      <c r="AF102" s="74" t="str">
        <f t="shared" si="33"/>
        <v>"C:\Program Files (x86)\AstroGrep\AstroGrep.exe" /e /r /s /spath="%USERPROFILE%\AppData\Local\Temp\OnboardLogs" /stypes="app*4009*20171117*" /stext=" 23:.+((SYSTEM_STATE.+slice.+state.+changed )|(ment ac)|(multiple cpu faults)|(system.+state.+changed )|(\[timeout)|(PRM\|1\|D)|(kpr)|(kdp)|(train st.+moving)|(\|lc)|(penalty))"</v>
      </c>
      <c r="AG102" s="182" t="str">
        <f t="shared" si="34"/>
        <v>EC</v>
      </c>
      <c r="AH102" s="78" t="str">
        <f t="shared" si="35"/>
        <v>"%USERPROFILE%\Documents\GitHub\eaglep3\Utilities\RefineRTDCRunTimes.py" --tripid 188-17 --locoid 4009 --swversion DE.1.0.9.0 --startMP 204:232892 --initTime 2017-11-17T15:23:40 --startdatetime 2017-11-17T15:27:30 --delay 60 --endMP 204:205 --enddatetime 2017-11-17T16:04:39 --enforcementcount 1 &gt;&gt;%USERPROFILE%\Documents\GitHub\eaglep3-reporting\EC\2017-11-17-refined-times.txt</v>
      </c>
      <c r="AI102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{"issue":{"subject":"","project_id":79,"tracker_id":40,"status_id":1,"priority_id":2,"assigned_to_id":338,"start_date":"2017-11-17","description":"","custom_fields":[{"id":1,"name":"Subdivision","value":"EC"},{"id":4,"name":"Milepost","value":"0.0205"},{"id":17,"name":"Train ID","value":"188-17"},{"id":16,"name":"Locomotive ID","value":"4009"},{"id":130,"name":"Impact","value":""},{"id":150,"name":"Time of Event (Mountain Time)","value":"16:04:39"},{"id":151,"name":"Denver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2" s="47"/>
      <c r="AL102" s="47"/>
      <c r="AM102" s="142" t="str">
        <f t="shared" si="37"/>
        <v>start /low /b %USERPROFILE%\Documents\GitHub\eaglep3\Utilities\DownloadLogsFromS3.py --loco 4009 --day 2017-11-17</v>
      </c>
      <c r="AN102" s="151" t="str">
        <f t="shared" si="38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23:04:39"},{"id":29,"name":"Sharepoint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168" t="str">
        <f t="shared" si="39"/>
        <v>https://d0f6bd738d7f1b3e5a7ca70fe4ff75f0.us-east-1.aws.found.io/app/kibana#/discover/Steve-Slow-Train-Analysis-(2080s-and-2083s)?_g=(refreshInterval:(display:Off,pause:!f,section:0,value:0),time:(from:'2017-11-17T14:23:40-0700',mode:absolute,to:'2017-11-17T17:04:39-0700'))&amp;_a=(columns:!('Message%20ID',Summary),filters:!(),index:'emp_*',interval:auto,query:(query_string:(analyze_wildcard:!t,query:'%22rtdc.l.rtdc.4009%22')),sort:!(Time.ISO8601,asc))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3">
      <c r="A103" s="32" t="s">
        <v>793</v>
      </c>
      <c r="B103" s="7">
        <v>4036</v>
      </c>
      <c r="C103" s="21" t="s">
        <v>192</v>
      </c>
      <c r="D103" s="21" t="s">
        <v>455</v>
      </c>
      <c r="E103" s="13">
        <v>43056.609143518515</v>
      </c>
      <c r="F103" s="13">
        <v>43056.614872685182</v>
      </c>
      <c r="G103" s="7">
        <v>85</v>
      </c>
      <c r="H103" s="21" t="s">
        <v>594</v>
      </c>
      <c r="I103" s="13">
        <v>43056.640011574076</v>
      </c>
      <c r="J103" s="7">
        <v>1</v>
      </c>
      <c r="K103" s="89" t="str">
        <f t="shared" si="23"/>
        <v>4035/4036</v>
      </c>
      <c r="L103" s="185" t="str">
        <f>VLOOKUP(A103,'Trips&amp;Operators'!$C$1:$G$99911,5,FALSE)</f>
        <v>MOSES BRADLEY</v>
      </c>
      <c r="M103" s="6">
        <f t="shared" si="24"/>
        <v>2.513888889370719E-2</v>
      </c>
      <c r="N103" s="7">
        <f t="shared" si="40"/>
        <v>36.200000006938353</v>
      </c>
      <c r="O103" s="7"/>
      <c r="P103" s="7"/>
      <c r="Q103" s="22"/>
      <c r="R103" s="174"/>
      <c r="S103" s="221">
        <f t="shared" si="41"/>
        <v>1</v>
      </c>
      <c r="T103" s="174" t="str">
        <f t="shared" si="25"/>
        <v>NorthBound</v>
      </c>
      <c r="U103" s="198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16" t="str">
        <f t="shared" si="26"/>
        <v>https://d0f6bd738d7f1b3e5a7ca70fe4ff75f0.us-east-1.aws.found.io/app/kibana#/discover/Steve-Slow-Train-Analysis-(2080s-and-2083s)?_g=(refreshInterval:(display:Off,pause:!f,section:0,value:0),time:(from:'2017-11-17T13:37:10-0700',mode:absolute,to:'2017-11-17T16:21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03" s="204" t="str">
        <f>IF(AA103&lt;VLOOKUP(AG103,Variables!$AC$3:$AD$8,2,FALSE),"Y","N")</f>
        <v>N</v>
      </c>
      <c r="X103" s="204">
        <f t="shared" si="27"/>
        <v>1</v>
      </c>
      <c r="Y103" s="204">
        <f t="shared" si="28"/>
        <v>5.1900000000000002E-2</v>
      </c>
      <c r="Z103" s="204">
        <f t="shared" si="29"/>
        <v>23.3218</v>
      </c>
      <c r="AA103" s="204">
        <f t="shared" si="30"/>
        <v>23.2699</v>
      </c>
      <c r="AB103" s="54" t="e">
        <f>VLOOKUP(A103,Enforcements!$C$7:$K$9,8,0)</f>
        <v>#N/A</v>
      </c>
      <c r="AC103" s="51" t="e">
        <f>VLOOKUP(A103,Enforcements!$C$7:$E$9,3,0)</f>
        <v>#N/A</v>
      </c>
      <c r="AD103" s="179">
        <f t="shared" si="31"/>
        <v>189</v>
      </c>
      <c r="AE103" s="77" t="str">
        <f t="shared" si="32"/>
        <v>aws s3 cp s3://rtdc.mdm.uploadarchive.raw/RTDC4036/ "%USERPROFILE%\AppData\Local\Temp\OnboardLogs"\RTDC4036\2017-11-17 --exclude "*" --recursive --include "*20171117*" &amp; "%USERPROFILE%\Documents\GitHub\mrs-test-scripts\Headless Mode &amp; Sideloading\WalkAndUnGZ.bat" "%USERPROFILE%\AppData\Local\Temp\OnboardLogs"\RTDC4036\2017-11-17 &amp; aws s3 cp s3://rtdc.mdm.uploadarchive.raw/RTDC4036/ "%USERPROFILE%\AppData\Local\Temp\OnboardLogs"\RTDC4036\2017-11-18 --exclude "*" --recursive --include "*20171118*" &amp; "%USERPROFILE%\Documents\GitHub\mrs-test-scripts\Headless Mode &amp; Sideloading\WalkAndUnGZ.bat" "%USERPROFILE%\AppData\Local\Temp\OnboardLogs"\RTDC4036\2017-11-18</v>
      </c>
      <c r="AF103" s="74" t="str">
        <f t="shared" si="33"/>
        <v>"C:\Program Files (x86)\AstroGrep\AstroGrep.exe" /e /r /s /spath="%USERPROFILE%\AppData\Local\Temp\OnboardLogs" /stypes="app*4036*20171117*" /stext=" 22:.+((SYSTEM_STATE.+slice.+state.+changed )|(ment ac)|(multiple cpu faults)|(system.+state.+changed )|(\[timeout)|(PRM\|1\|D)|(kpr)|(kdp)|(train st.+moving)|(\|lc)|(penalty))"</v>
      </c>
      <c r="AG103" s="182" t="str">
        <f t="shared" si="34"/>
        <v>EC</v>
      </c>
      <c r="AH103" s="78" t="str">
        <f t="shared" si="35"/>
        <v>"%USERPROFILE%\Documents\GitHub\eaglep3\Utilities\RefineRTDCRunTimes.py" --tripid 189-17 --locoid 4036 --swversion DE.1.0.9.0 --startMP 204:519 --initTime 2017-11-17T14:37:10 --startdatetime 2017-11-17T14:45:25 --delay 85 --endMP 204:233218 --enddatetime 2017-11-17T15:21:37 --enforcementcount 1 &gt;&gt;%USERPROFILE%\Documents\GitHub\eaglep3-reporting\EC\2017-11-17-refined-times.txt</v>
      </c>
      <c r="AI103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{"issue":{"subject":"","project_id":79,"tracker_id":40,"status_id":1,"priority_id":2,"assigned_to_id":338,"start_date":"2017-11-17","description":"","custom_fields":[{"id":1,"name":"Subdivision","value":"EC"},{"id":4,"name":"Milepost","value":"23.3218"},{"id":17,"name":"Train ID","value":"189-17"},{"id":16,"name":"Locomotive ID","value":"4036"},{"id":130,"name":"Impact","value":""},{"id":150,"name":"Time of Event (Mountain Time)","value":"15:21:37"},{"id":151,"name":"Denver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3" s="47"/>
      <c r="AL103" s="47"/>
      <c r="AM103" s="142" t="str">
        <f t="shared" si="37"/>
        <v>start /low /b %USERPROFILE%\Documents\GitHub\eaglep3\Utilities\DownloadLogsFromS3.py --loco 4036 --day 2017-11-17</v>
      </c>
      <c r="AN103" s="151" t="str">
        <f t="shared" si="38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22:21:37"},{"id":29,"name":"Sharepoint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168" t="str">
        <f t="shared" si="39"/>
        <v>https://d0f6bd738d7f1b3e5a7ca70fe4ff75f0.us-east-1.aws.found.io/app/kibana#/discover/Steve-Slow-Train-Analysis-(2080s-and-2083s)?_g=(refreshInterval:(display:Off,pause:!f,section:0,value:0),time:(from:'2017-11-17T13:37:10-0700',mode:absolute,to:'2017-11-17T16:21:37-0700'))&amp;_a=(columns:!('Message%20ID',Summary),filters:!(),index:'emp_*',interval:auto,query:(query_string:(analyze_wildcard:!t,query:'%22rtdc.l.rtdc.4036%22')),sort:!(Time.ISO8601,asc))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3">
      <c r="A104" s="32" t="s">
        <v>804</v>
      </c>
      <c r="B104" s="7">
        <v>4035</v>
      </c>
      <c r="C104" s="21" t="s">
        <v>192</v>
      </c>
      <c r="D104" s="21" t="s">
        <v>980</v>
      </c>
      <c r="E104" s="13">
        <v>43056.649861111109</v>
      </c>
      <c r="F104" s="13">
        <v>43056.654374999998</v>
      </c>
      <c r="G104" s="7">
        <v>63</v>
      </c>
      <c r="H104" s="21" t="s">
        <v>563</v>
      </c>
      <c r="I104" s="13">
        <v>43056.680555555555</v>
      </c>
      <c r="J104" s="7">
        <v>1</v>
      </c>
      <c r="K104" s="89" t="str">
        <f t="shared" si="23"/>
        <v>4035/4036</v>
      </c>
      <c r="L104" s="185" t="str">
        <f>VLOOKUP(A104,'Trips&amp;Operators'!$C$1:$G$99911,5,FALSE)</f>
        <v>MOSES BRADLEY</v>
      </c>
      <c r="M104" s="6">
        <f t="shared" si="24"/>
        <v>2.6180555556493346E-2</v>
      </c>
      <c r="N104" s="7">
        <f t="shared" si="40"/>
        <v>37.700000001350418</v>
      </c>
      <c r="O104" s="7"/>
      <c r="P104" s="7"/>
      <c r="Q104" s="22"/>
      <c r="R104" s="174"/>
      <c r="S104" s="221">
        <f t="shared" si="41"/>
        <v>1</v>
      </c>
      <c r="T104" s="174" t="str">
        <f t="shared" si="25"/>
        <v>Southbound</v>
      </c>
      <c r="U104" s="198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16" t="str">
        <f t="shared" si="26"/>
        <v>https://d0f6bd738d7f1b3e5a7ca70fe4ff75f0.us-east-1.aws.found.io/app/kibana#/discover/Steve-Slow-Train-Analysis-(2080s-and-2083s)?_g=(refreshInterval:(display:Off,pause:!f,section:0,value:0),time:(from:'2017-11-17T14:35:48-0700',mode:absolute,to:'2017-11-17T17:20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04" s="204" t="str">
        <f>IF(AA104&lt;VLOOKUP(AG104,Variables!$AC$3:$AD$8,2,FALSE),"Y","N")</f>
        <v>N</v>
      </c>
      <c r="X104" s="204">
        <f t="shared" si="27"/>
        <v>1</v>
      </c>
      <c r="Y104" s="204">
        <f t="shared" si="28"/>
        <v>23.290700000000001</v>
      </c>
      <c r="Z104" s="204">
        <f t="shared" si="29"/>
        <v>1.5800000000000002E-2</v>
      </c>
      <c r="AA104" s="204">
        <f t="shared" si="30"/>
        <v>23.274900000000002</v>
      </c>
      <c r="AB104" s="54" t="e">
        <f>VLOOKUP(A104,Enforcements!$C$7:$K$9,8,0)</f>
        <v>#N/A</v>
      </c>
      <c r="AC104" s="51" t="e">
        <f>VLOOKUP(A104,Enforcements!$C$7:$E$9,3,0)</f>
        <v>#N/A</v>
      </c>
      <c r="AD104" s="179">
        <f t="shared" si="31"/>
        <v>190</v>
      </c>
      <c r="AE104" s="77" t="str">
        <f t="shared" si="32"/>
        <v>aws s3 cp s3://rtdc.mdm.uploadarchive.raw/RTDC4035/ "%USERPROFILE%\AppData\Local\Temp\OnboardLogs"\RTDC4035\2017-11-17 --exclude "*" --recursive --include "*20171117*" &amp; "%USERPROFILE%\Documents\GitHub\mrs-test-scripts\Headless Mode &amp; Sideloading\WalkAndUnGZ.bat" "%USERPROFILE%\AppData\Local\Temp\OnboardLogs"\RTDC4035\2017-11-17 &amp; aws s3 cp s3://rtdc.mdm.uploadarchive.raw/RTDC4035/ "%USERPROFILE%\AppData\Local\Temp\OnboardLogs"\RTDC4035\2017-11-18 --exclude "*" --recursive --include "*20171118*" &amp; "%USERPROFILE%\Documents\GitHub\mrs-test-scripts\Headless Mode &amp; Sideloading\WalkAndUnGZ.bat" "%USERPROFILE%\AppData\Local\Temp\OnboardLogs"\RTDC4035\2017-11-18</v>
      </c>
      <c r="AF104" s="74" t="str">
        <f t="shared" si="33"/>
        <v>"C:\Program Files (x86)\AstroGrep\AstroGrep.exe" /e /r /s /spath="%USERPROFILE%\AppData\Local\Temp\OnboardLogs" /stypes="app*4035*20171117*" /stext=" 23:.+((SYSTEM_STATE.+slice.+state.+changed )|(ment ac)|(multiple cpu faults)|(system.+state.+changed )|(\[timeout)|(PRM\|1\|D)|(kpr)|(kdp)|(train st.+moving)|(\|lc)|(penalty))"</v>
      </c>
      <c r="AG104" s="182" t="str">
        <f t="shared" si="34"/>
        <v>EC</v>
      </c>
      <c r="AH104" s="78" t="str">
        <f t="shared" si="35"/>
        <v>"%USERPROFILE%\Documents\GitHub\eaglep3\Utilities\RefineRTDCRunTimes.py" --tripid 190-17 --locoid 4035 --swversion DE.1.0.9.0 --startMP 204:232907 --initTime 2017-11-17T15:35:48 --startdatetime 2017-11-17T15:42:18 --delay 63 --endMP 204:158 --enddatetime 2017-11-17T16:20:00 --enforcementcount 1 &gt;&gt;%USERPROFILE%\Documents\GitHub\eaglep3-reporting\EC\2017-11-17-refined-times.txt</v>
      </c>
      <c r="AI104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{"issue":{"subject":"","project_id":79,"tracker_id":40,"status_id":1,"priority_id":2,"assigned_to_id":338,"start_date":"2017-11-17","description":"","custom_fields":[{"id":1,"name":"Subdivision","value":"EC"},{"id":4,"name":"Milepost","value":"0.0158"},{"id":17,"name":"Train ID","value":"190-17"},{"id":16,"name":"Locomotive ID","value":"4035"},{"id":130,"name":"Impact","value":""},{"id":150,"name":"Time of Event (Mountain Time)","value":"16:20:00"},{"id":151,"name":"Denver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4" s="47"/>
      <c r="AL104" s="47"/>
      <c r="AM104" s="142" t="str">
        <f t="shared" si="37"/>
        <v>start /low /b %USERPROFILE%\Documents\GitHub\eaglep3\Utilities\DownloadLogsFromS3.py --loco 4035 --day 2017-11-17</v>
      </c>
      <c r="AN104" s="151" t="str">
        <f t="shared" si="38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23:20:00"},{"id":29,"name":"Sharepoint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168" t="str">
        <f t="shared" si="39"/>
        <v>https://d0f6bd738d7f1b3e5a7ca70fe4ff75f0.us-east-1.aws.found.io/app/kibana#/discover/Steve-Slow-Train-Analysis-(2080s-and-2083s)?_g=(refreshInterval:(display:Off,pause:!f,section:0,value:0),time:(from:'2017-11-17T14:35:48-0700',mode:absolute,to:'2017-11-17T17:20:00-0700'))&amp;_a=(columns:!('Message%20ID',Summary),filters:!(),index:'emp_*',interval:auto,query:(query_string:(analyze_wildcard:!t,query:'%22rtdc.l.rtdc.4035%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3">
      <c r="A105" s="32" t="s">
        <v>795</v>
      </c>
      <c r="B105" s="7">
        <v>4042</v>
      </c>
      <c r="C105" s="21" t="s">
        <v>192</v>
      </c>
      <c r="D105" s="21" t="s">
        <v>447</v>
      </c>
      <c r="E105" s="13">
        <v>43056.619872685187</v>
      </c>
      <c r="F105" s="13">
        <v>43056.625532407408</v>
      </c>
      <c r="G105" s="7">
        <v>74</v>
      </c>
      <c r="H105" s="21" t="s">
        <v>901</v>
      </c>
      <c r="I105" s="13">
        <v>43056.650601851848</v>
      </c>
      <c r="J105" s="7">
        <v>1</v>
      </c>
      <c r="K105" s="89" t="str">
        <f t="shared" si="23"/>
        <v>4041/4042</v>
      </c>
      <c r="L105" s="185" t="str">
        <f>VLOOKUP(A105,'Trips&amp;Operators'!$C$1:$G$99911,5,FALSE)</f>
        <v>WEST BRYAN</v>
      </c>
      <c r="M105" s="6">
        <f t="shared" si="24"/>
        <v>2.5069444440305233E-2</v>
      </c>
      <c r="N105" s="7">
        <f t="shared" si="40"/>
        <v>36.099999994039536</v>
      </c>
      <c r="O105" s="7"/>
      <c r="P105" s="7"/>
      <c r="Q105" s="22"/>
      <c r="R105" s="174"/>
      <c r="S105" s="221">
        <f t="shared" si="41"/>
        <v>1</v>
      </c>
      <c r="T105" s="174" t="str">
        <f t="shared" si="25"/>
        <v>NorthBound</v>
      </c>
      <c r="U105" s="198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16" t="str">
        <f t="shared" si="26"/>
        <v>https://d0f6bd738d7f1b3e5a7ca70fe4ff75f0.us-east-1.aws.found.io/app/kibana#/discover/Steve-Slow-Train-Analysis-(2080s-and-2083s)?_g=(refreshInterval:(display:Off,pause:!f,section:0,value:0),time:(from:'2017-11-17T13:52:37-0700',mode:absolute,to:'2017-11-17T16:36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05" s="204" t="str">
        <f>IF(AA105&lt;VLOOKUP(AG105,Variables!$AC$3:$AD$8,2,FALSE),"Y","N")</f>
        <v>N</v>
      </c>
      <c r="X105" s="204">
        <f t="shared" si="27"/>
        <v>1</v>
      </c>
      <c r="Y105" s="204">
        <f t="shared" si="28"/>
        <v>5.1700000000000003E-2</v>
      </c>
      <c r="Z105" s="204">
        <f t="shared" si="29"/>
        <v>23.330200000000001</v>
      </c>
      <c r="AA105" s="204">
        <f t="shared" si="30"/>
        <v>23.278500000000001</v>
      </c>
      <c r="AB105" s="54" t="e">
        <f>VLOOKUP(A105,Enforcements!$C$7:$K$9,8,0)</f>
        <v>#N/A</v>
      </c>
      <c r="AC105" s="51" t="e">
        <f>VLOOKUP(A105,Enforcements!$C$7:$E$9,3,0)</f>
        <v>#N/A</v>
      </c>
      <c r="AD105" s="179">
        <f t="shared" si="31"/>
        <v>191</v>
      </c>
      <c r="AE105" s="77" t="str">
        <f t="shared" si="32"/>
        <v>aws s3 cp s3://rtdc.mdm.uploadarchive.raw/RTDC4042/ "%USERPROFILE%\AppData\Local\Temp\OnboardLogs"\RTDC4042\2017-11-17 --exclude "*" --recursive --include "*20171117*" &amp; "%USERPROFILE%\Documents\GitHub\mrs-test-scripts\Headless Mode &amp; Sideloading\WalkAndUnGZ.bat" "%USERPROFILE%\AppData\Local\Temp\OnboardLogs"\RTDC4042\2017-11-17 &amp; aws s3 cp s3://rtdc.mdm.uploadarchive.raw/RTDC4042/ "%USERPROFILE%\AppData\Local\Temp\OnboardLogs"\RTDC4042\2017-11-18 --exclude "*" --recursive --include "*20171118*" &amp; "%USERPROFILE%\Documents\GitHub\mrs-test-scripts\Headless Mode &amp; Sideloading\WalkAndUnGZ.bat" "%USERPROFILE%\AppData\Local\Temp\OnboardLogs"\RTDC4042\2017-11-18</v>
      </c>
      <c r="AF105" s="74" t="str">
        <f t="shared" si="33"/>
        <v>"C:\Program Files (x86)\AstroGrep\AstroGrep.exe" /e /r /s /spath="%USERPROFILE%\AppData\Local\Temp\OnboardLogs" /stypes="app*4042*20171117*" /stext=" 22:.+((SYSTEM_STATE.+slice.+state.+changed )|(ment ac)|(multiple cpu faults)|(system.+state.+changed )|(\[timeout)|(PRM\|1\|D)|(kpr)|(kdp)|(train st.+moving)|(\|lc)|(penalty))"</v>
      </c>
      <c r="AG105" s="182" t="str">
        <f t="shared" si="34"/>
        <v>EC</v>
      </c>
      <c r="AH105" s="78" t="str">
        <f t="shared" si="35"/>
        <v>"%USERPROFILE%\Documents\GitHub\eaglep3\Utilities\RefineRTDCRunTimes.py" --tripid 191-17 --locoid 4042 --swversion DE.1.0.9.0 --startMP 204:517 --initTime 2017-11-17T14:52:37 --startdatetime 2017-11-17T15:00:46 --delay 74 --endMP 204:233302 --enddatetime 2017-11-17T15:36:52 --enforcementcount 1 &gt;&gt;%USERPROFILE%\Documents\GitHub\eaglep3-reporting\EC\2017-11-17-refined-times.txt</v>
      </c>
      <c r="AI105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{"issue":{"subject":"","project_id":79,"tracker_id":40,"status_id":1,"priority_id":2,"assigned_to_id":338,"start_date":"2017-11-17","description":"","custom_fields":[{"id":1,"name":"Subdivision","value":"EC"},{"id":4,"name":"Milepost","value":"23.3302"},{"id":17,"name":"Train ID","value":"191-17"},{"id":16,"name":"Locomotive ID","value":"4042"},{"id":130,"name":"Impact","value":""},{"id":150,"name":"Time of Event (Mountain Time)","value":"15:36:52"},{"id":151,"name":"Denver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5" s="47"/>
      <c r="AL105" s="47"/>
      <c r="AM105" s="142" t="str">
        <f t="shared" si="37"/>
        <v>start /low /b %USERPROFILE%\Documents\GitHub\eaglep3\Utilities\DownloadLogsFromS3.py --loco 4042 --day 2017-11-17</v>
      </c>
      <c r="AN105" s="151" t="str">
        <f t="shared" si="38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22:36:52"},{"id":29,"name":"Sharepoint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168" t="str">
        <f t="shared" si="39"/>
        <v>https://d0f6bd738d7f1b3e5a7ca70fe4ff75f0.us-east-1.aws.found.io/app/kibana#/discover/Steve-Slow-Train-Analysis-(2080s-and-2083s)?_g=(refreshInterval:(display:Off,pause:!f,section:0,value:0),time:(from:'2017-11-17T13:52:37-0700',mode:absolute,to:'2017-11-17T16:36:52-0700'))&amp;_a=(columns:!('Message%20ID',Summary),filters:!(),index:'emp_*',interval:auto,query:(query_string:(analyze_wildcard:!t,query:'%22rtdc.l.rtdc.4042%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3">
      <c r="A106" s="32" t="s">
        <v>806</v>
      </c>
      <c r="B106" s="7">
        <v>4041</v>
      </c>
      <c r="C106" s="21" t="s">
        <v>192</v>
      </c>
      <c r="D106" s="21" t="s">
        <v>497</v>
      </c>
      <c r="E106" s="13">
        <v>43056.652928240743</v>
      </c>
      <c r="F106" s="13">
        <v>43056.686631944445</v>
      </c>
      <c r="G106" s="7">
        <v>83</v>
      </c>
      <c r="H106" s="21" t="s">
        <v>981</v>
      </c>
      <c r="I106" s="13">
        <v>43056.7034375</v>
      </c>
      <c r="J106" s="7">
        <v>1</v>
      </c>
      <c r="K106" s="89" t="str">
        <f t="shared" si="23"/>
        <v>4041/4042</v>
      </c>
      <c r="L106" s="185" t="str">
        <f>VLOOKUP(A106,'Trips&amp;Operators'!$C$1:$G$99911,5,FALSE)</f>
        <v>WEST BRYAN</v>
      </c>
      <c r="M106" s="6">
        <f t="shared" si="24"/>
        <v>1.6805555555038154E-2</v>
      </c>
      <c r="N106" s="7"/>
      <c r="O106" s="7"/>
      <c r="P106" s="7">
        <f>24*60*SUM($M106:$M106)</f>
        <v>24.199999999254942</v>
      </c>
      <c r="Q106" s="22"/>
      <c r="R106" s="174" t="s">
        <v>1127</v>
      </c>
      <c r="S106" s="221">
        <f>1/IF(AG106="EC",12,1)*SUM(U106:U107)</f>
        <v>1</v>
      </c>
      <c r="T106" s="174" t="str">
        <f t="shared" si="25"/>
        <v>Southbound</v>
      </c>
      <c r="U106" s="198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0</v>
      </c>
      <c r="V106" s="216" t="str">
        <f t="shared" si="26"/>
        <v>https://d0f6bd738d7f1b3e5a7ca70fe4ff75f0.us-east-1.aws.found.io/app/kibana#/discover/Steve-Slow-Train-Analysis-(2080s-and-2083s)?_g=(refreshInterval:(display:Off,pause:!f,section:0,value:0),time:(from:'2017-11-17T14:40:13-0700',mode:absolute,to:'2017-11-17T17:52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06" s="204" t="str">
        <f>IF(AA106&lt;VLOOKUP(AG106,Variables!$AC$3:$AD$8,2,FALSE),"Y","N")</f>
        <v>Y</v>
      </c>
      <c r="X106" s="204">
        <f t="shared" si="27"/>
        <v>1</v>
      </c>
      <c r="Y106" s="204">
        <f t="shared" si="28"/>
        <v>23.298100000000002</v>
      </c>
      <c r="Z106" s="204">
        <f t="shared" si="29"/>
        <v>22.864100000000001</v>
      </c>
      <c r="AA106" s="204">
        <f t="shared" si="30"/>
        <v>0.43400000000000105</v>
      </c>
      <c r="AB106" s="54" t="e">
        <f>VLOOKUP(A106,Enforcements!$C$7:$K$9,8,0)</f>
        <v>#N/A</v>
      </c>
      <c r="AC106" s="51" t="e">
        <f>VLOOKUP(A106,Enforcements!$C$7:$E$9,3,0)</f>
        <v>#N/A</v>
      </c>
      <c r="AD106" s="179">
        <f t="shared" si="31"/>
        <v>192</v>
      </c>
      <c r="AE106" s="77" t="str">
        <f t="shared" si="32"/>
        <v>aws s3 cp s3://rtdc.mdm.uploadarchive.raw/RTDC4041/ "%USERPROFILE%\AppData\Local\Temp\OnboardLogs"\RTDC4041\2017-11-17 --exclude "*" --recursive --include "*20171117*" &amp; "%USERPROFILE%\Documents\GitHub\mrs-test-scripts\Headless Mode &amp; Sideloading\WalkAndUnGZ.bat" "%USERPROFILE%\AppData\Local\Temp\OnboardLogs"\RTDC4041\2017-11-17 &amp; aws s3 cp s3://rtdc.mdm.uploadarchive.raw/RTDC4041/ "%USERPROFILE%\AppData\Local\Temp\OnboardLogs"\RTDC4041\2017-11-18 --exclude "*" --recursive --include "*20171118*" &amp; "%USERPROFILE%\Documents\GitHub\mrs-test-scripts\Headless Mode &amp; Sideloading\WalkAndUnGZ.bat" "%USERPROFILE%\AppData\Local\Temp\OnboardLogs"\RTDC4041\2017-11-18</v>
      </c>
      <c r="AF106" s="74" t="str">
        <f t="shared" si="33"/>
        <v>"C:\Program Files (x86)\AstroGrep\AstroGrep.exe" /e /r /s /spath="%USERPROFILE%\AppData\Local\Temp\OnboardLogs" /stypes="app*4041*20171117*" /stext=" 23:.+((SYSTEM_STATE.+slice.+state.+changed )|(ment ac)|(multiple cpu faults)|(system.+state.+changed )|(\[timeout)|(PRM\|1\|D)|(kpr)|(kdp)|(train st.+moving)|(\|lc)|(penalty))"</v>
      </c>
      <c r="AG106" s="182" t="str">
        <f t="shared" si="34"/>
        <v>EC</v>
      </c>
      <c r="AH106" s="78" t="str">
        <f t="shared" si="35"/>
        <v>"%USERPROFILE%\Documents\GitHub\eaglep3\Utilities\RefineRTDCRunTimes.py" --tripid 192-17 --locoid 4041 --swversion DE.1.0.9.0 --startMP 204:232981 --initTime 2017-11-17T15:40:13 --startdatetime 2017-11-17T16:28:45 --delay 83 --endMP 204:228641 --enddatetime 2017-11-17T16:52:57 --enforcementcount 1 &gt;&gt;%USERPROFILE%\Documents\GitHub\eaglep3-reporting\EC\2017-11-17-refined-times.txt</v>
      </c>
      <c r="AI106" s="96" t="str">
        <f t="shared" si="36"/>
        <v>echo {"issue":{"subject":"Onboard en route failure","project_id":79,"tracker_id":40,"status_id":1,"priority_id":2,"assigned_to_id":338,"start_date":"2017-11-17","description":"","custom_fields":[{"id":1,"name":"Subdivision","value":"EC"},{"id":4,"name":"Milepost","value":"22.8641"},{"id":17,"name":"Train ID","value":"192-17"},{"id":16,"name":"Locomotive ID","value":"4041"},{"id":130,"name":"Impact","value":""},{"id":150,"name":"Time of Event (Mountain Time)","value":"16:52:57"},{"id":151,"name":"Denver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6" s="47"/>
      <c r="AL106" s="47"/>
      <c r="AM106" s="142" t="str">
        <f t="shared" si="37"/>
        <v>start /low /b %USERPROFILE%\Documents\GitHub\eaglep3\Utilities\DownloadLogsFromS3.py --loco 4041 --day 2017-11-17</v>
      </c>
      <c r="AN106" s="151" t="str">
        <f t="shared" si="38"/>
        <v>echo {"issue":{"subject":"Onboard en route failure","project_id":30,"tracker_id":4,"status_id":1,"priority_id":1,"assigned_to_id":10,"start_date":"2017-11-17","description":"","custom_fields":[{"id":30,"name":"Category","value":"Issue"},{"id":3,"name":"Functional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23:52:57"},{"id":29,"name":"Sharepoint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168" t="str">
        <f t="shared" si="39"/>
        <v>https://d0f6bd738d7f1b3e5a7ca70fe4ff75f0.us-east-1.aws.found.io/app/kibana#/discover/Steve-Slow-Train-Analysis-(2080s-and-2083s)?_g=(refreshInterval:(display:Off,pause:!f,section:0,value:0),time:(from:'2017-11-17T14:40:13-0700',mode:absolute,to:'2017-11-17T17:52:57-0700'))&amp;_a=(columns:!('Message%20ID',Summary),filters:!(),index:'emp_*',interval:auto,query:(query_string:(analyze_wildcard:!t,query:'%22rtdc.l.rtdc.4041%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3">
      <c r="A107" s="32" t="s">
        <v>806</v>
      </c>
      <c r="B107" s="7">
        <v>4041</v>
      </c>
      <c r="C107" s="21" t="s">
        <v>192</v>
      </c>
      <c r="D107" s="21" t="s">
        <v>982</v>
      </c>
      <c r="E107" s="13">
        <v>43056.685393518521</v>
      </c>
      <c r="F107" s="13">
        <v>43056.686631944445</v>
      </c>
      <c r="G107" s="7">
        <v>47</v>
      </c>
      <c r="H107" s="21" t="s">
        <v>983</v>
      </c>
      <c r="I107" s="13">
        <v>43056.7034375</v>
      </c>
      <c r="J107" s="7">
        <v>1</v>
      </c>
      <c r="K107" s="89" t="str">
        <f t="shared" si="23"/>
        <v>4041/4042</v>
      </c>
      <c r="L107" s="185" t="str">
        <f>VLOOKUP(A107,'Trips&amp;Operators'!$C$1:$G$99911,5,FALSE)</f>
        <v>WEST BRYAN</v>
      </c>
      <c r="M107" s="6">
        <f t="shared" si="24"/>
        <v>1.6805555555038154E-2</v>
      </c>
      <c r="N107" s="7"/>
      <c r="O107" s="7"/>
      <c r="P107" s="7"/>
      <c r="Q107" s="22"/>
      <c r="R107" s="174"/>
      <c r="S107" s="221"/>
      <c r="T107" s="174" t="str">
        <f t="shared" si="25"/>
        <v>Southbound</v>
      </c>
      <c r="U107" s="198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16" t="str">
        <f t="shared" si="26"/>
        <v>https://d0f6bd738d7f1b3e5a7ca70fe4ff75f0.us-east-1.aws.found.io/app/kibana#/discover/Steve-Slow-Train-Analysis-(2080s-and-2083s)?_g=(refreshInterval:(display:Off,pause:!f,section:0,value:0),time:(from:'2017-11-17T15:26:58-0700',mode:absolute,to:'2017-11-17T17:52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07" s="204" t="str">
        <f>IF(AA107&lt;VLOOKUP(AG107,Variables!$AC$3:$AD$8,2,FALSE),"Y","N")</f>
        <v>Y</v>
      </c>
      <c r="X107" s="204">
        <f t="shared" si="27"/>
        <v>0</v>
      </c>
      <c r="Y107" s="204">
        <f t="shared" si="28"/>
        <v>12.7866</v>
      </c>
      <c r="Z107" s="204">
        <f t="shared" si="29"/>
        <v>0.10639999999999999</v>
      </c>
      <c r="AA107" s="204">
        <f t="shared" si="30"/>
        <v>12.680199999999999</v>
      </c>
      <c r="AB107" s="54" t="e">
        <f>VLOOKUP(A107,Enforcements!$C$7:$K$9,8,0)</f>
        <v>#N/A</v>
      </c>
      <c r="AC107" s="51" t="e">
        <f>VLOOKUP(A107,Enforcements!$C$7:$E$9,3,0)</f>
        <v>#N/A</v>
      </c>
      <c r="AD107" s="179">
        <f t="shared" si="31"/>
        <v>192</v>
      </c>
      <c r="AE107" s="77" t="str">
        <f t="shared" si="32"/>
        <v>aws s3 cp s3://rtdc.mdm.uploadarchive.raw/RTDC4041/ "%USERPROFILE%\AppData\Local\Temp\OnboardLogs"\RTDC4041\2017-11-17 --exclude "*" --recursive --include "*20171117*" &amp; "%USERPROFILE%\Documents\GitHub\mrs-test-scripts\Headless Mode &amp; Sideloading\WalkAndUnGZ.bat" "%USERPROFILE%\AppData\Local\Temp\OnboardLogs"\RTDC4041\2017-11-17 &amp; aws s3 cp s3://rtdc.mdm.uploadarchive.raw/RTDC4041/ "%USERPROFILE%\AppData\Local\Temp\OnboardLogs"\RTDC4041\2017-11-18 --exclude "*" --recursive --include "*20171118*" &amp; "%USERPROFILE%\Documents\GitHub\mrs-test-scripts\Headless Mode &amp; Sideloading\WalkAndUnGZ.bat" "%USERPROFILE%\AppData\Local\Temp\OnboardLogs"\RTDC4041\2017-11-18</v>
      </c>
      <c r="AF107" s="74" t="str">
        <f t="shared" si="33"/>
        <v>"C:\Program Files (x86)\AstroGrep\AstroGrep.exe" /e /r /s /spath="%USERPROFILE%\AppData\Local\Temp\OnboardLogs" /stypes="app*4041*20171117*" /stext=" 23:.+((SYSTEM_STATE.+slice.+state.+changed )|(ment ac)|(multiple cpu faults)|(system.+state.+changed )|(\[timeout)|(PRM\|1\|D)|(kpr)|(kdp)|(train st.+moving)|(\|lc)|(penalty))"</v>
      </c>
      <c r="AG107" s="182" t="str">
        <f t="shared" si="34"/>
        <v>EC</v>
      </c>
      <c r="AH107" s="78" t="str">
        <f t="shared" si="35"/>
        <v>"%USERPROFILE%\Documents\GitHub\eaglep3\Utilities\RefineRTDCRunTimes.py" --tripid 192-17 --locoid 4041 --swversion DE.1.0.9.0 --startMP 204:127866 --initTime 2017-11-17T16:26:58 --startdatetime 2017-11-17T16:28:45 --delay 47 --endMP 204:1064 --enddatetime 2017-11-17T16:52:57 --enforcementcount 1 &gt;&gt;%USERPROFILE%\Documents\GitHub\eaglep3-reporting\EC\2017-11-17-refined-times.txt</v>
      </c>
      <c r="AI107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{"issue":{"subject":"","project_id":79,"tracker_id":40,"status_id":1,"priority_id":2,"assigned_to_id":338,"start_date":"2017-11-17","description":"","custom_fields":[{"id":1,"name":"Subdivision","value":"EC"},{"id":4,"name":"Milepost","value":"0.1064"},{"id":17,"name":"Train ID","value":"192-17"},{"id":16,"name":"Locomotive ID","value":"4041"},{"id":130,"name":"Impact","value":""},{"id":150,"name":"Time of Event (Mountain Time)","value":"16:52:57"},{"id":151,"name":"Denver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7" s="47"/>
      <c r="AL107" s="47"/>
      <c r="AM107" s="142" t="str">
        <f t="shared" si="37"/>
        <v>start /low /b %USERPROFILE%\Documents\GitHub\eaglep3\Utilities\DownloadLogsFromS3.py --loco 4041 --day 2017-11-17</v>
      </c>
      <c r="AN107" s="151" t="str">
        <f t="shared" si="38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23:52:57"},{"id":29,"name":"Sharepoint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168" t="str">
        <f t="shared" si="39"/>
        <v>https://d0f6bd738d7f1b3e5a7ca70fe4ff75f0.us-east-1.aws.found.io/app/kibana#/discover/Steve-Slow-Train-Analysis-(2080s-and-2083s)?_g=(refreshInterval:(display:Off,pause:!f,section:0,value:0),time:(from:'2017-11-17T15:26:58-0700',mode:absolute,to:'2017-11-17T17:52:57-0700'))&amp;_a=(columns:!('Message%20ID',Summary),filters:!(),index:'emp_*',interval:auto,query:(query_string:(analyze_wildcard:!t,query:'%22rtdc.l.rtdc.4041%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3">
      <c r="A108" s="32" t="s">
        <v>799</v>
      </c>
      <c r="B108" s="7">
        <v>4040</v>
      </c>
      <c r="C108" s="21" t="s">
        <v>192</v>
      </c>
      <c r="D108" s="21" t="s">
        <v>498</v>
      </c>
      <c r="E108" s="13">
        <v>43056.630243055559</v>
      </c>
      <c r="F108" s="13">
        <v>43056.635613425926</v>
      </c>
      <c r="G108" s="7">
        <v>58</v>
      </c>
      <c r="H108" s="21" t="s">
        <v>949</v>
      </c>
      <c r="I108" s="13">
        <v>43056.660995370374</v>
      </c>
      <c r="J108" s="7">
        <v>1</v>
      </c>
      <c r="K108" s="89" t="str">
        <f t="shared" si="23"/>
        <v>4039/4040</v>
      </c>
      <c r="L108" s="185" t="str">
        <f>VLOOKUP(A108,'Trips&amp;Operators'!$C$1:$G$99911,5,FALSE)</f>
        <v>LEVERE CRAIG</v>
      </c>
      <c r="M108" s="6">
        <f t="shared" si="24"/>
        <v>2.5381944447872229E-2</v>
      </c>
      <c r="N108" s="7">
        <f t="shared" ref="N108:N118" si="42">24*60*SUM($M108:$M108)</f>
        <v>36.55000000493601</v>
      </c>
      <c r="O108" s="7"/>
      <c r="P108" s="7"/>
      <c r="Q108" s="22"/>
      <c r="R108" s="174"/>
      <c r="S108" s="221">
        <f t="shared" ref="S108:S118" si="43">1/IF(AG108="EC",12,1)*SUM(U108:U108)</f>
        <v>1</v>
      </c>
      <c r="T108" s="174" t="str">
        <f t="shared" si="25"/>
        <v>NorthBound</v>
      </c>
      <c r="U108" s="198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16" t="str">
        <f t="shared" si="26"/>
        <v>https://d0f6bd738d7f1b3e5a7ca70fe4ff75f0.us-east-1.aws.found.io/app/kibana#/discover/Steve-Slow-Train-Analysis-(2080s-and-2083s)?_g=(refreshInterval:(display:Off,pause:!f,section:0,value:0),time:(from:'2017-11-17T14:07:33-0700',mode:absolute,to:'2017-11-17T16:51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08" s="204" t="str">
        <f>IF(AA108&lt;VLOOKUP(AG108,Variables!$AC$3:$AD$8,2,FALSE),"Y","N")</f>
        <v>N</v>
      </c>
      <c r="X108" s="204">
        <f t="shared" si="27"/>
        <v>1</v>
      </c>
      <c r="Y108" s="204">
        <f t="shared" si="28"/>
        <v>5.2400000000000002E-2</v>
      </c>
      <c r="Z108" s="204">
        <f t="shared" si="29"/>
        <v>23.3247</v>
      </c>
      <c r="AA108" s="204">
        <f t="shared" si="30"/>
        <v>23.272300000000001</v>
      </c>
      <c r="AB108" s="54" t="e">
        <f>VLOOKUP(A108,Enforcements!$C$7:$K$9,8,0)</f>
        <v>#N/A</v>
      </c>
      <c r="AC108" s="51" t="e">
        <f>VLOOKUP(A108,Enforcements!$C$7:$E$9,3,0)</f>
        <v>#N/A</v>
      </c>
      <c r="AD108" s="179">
        <f t="shared" si="31"/>
        <v>193</v>
      </c>
      <c r="AE108" s="77" t="str">
        <f t="shared" si="32"/>
        <v>aws s3 cp s3://rtdc.mdm.uploadarchive.raw/RTDC4040/ "%USERPROFILE%\AppData\Local\Temp\OnboardLogs"\RTDC4040\2017-11-17 --exclude "*" --recursive --include "*20171117*" &amp; "%USERPROFILE%\Documents\GitHub\mrs-test-scripts\Headless Mode &amp; Sideloading\WalkAndUnGZ.bat" "%USERPROFILE%\AppData\Local\Temp\OnboardLogs"\RTDC4040\2017-11-17 &amp; aws s3 cp s3://rtdc.mdm.uploadarchive.raw/RTDC4040/ "%USERPROFILE%\AppData\Local\Temp\OnboardLogs"\RTDC4040\2017-11-18 --exclude "*" --recursive --include "*20171118*" &amp; "%USERPROFILE%\Documents\GitHub\mrs-test-scripts\Headless Mode &amp; Sideloading\WalkAndUnGZ.bat" "%USERPROFILE%\AppData\Local\Temp\OnboardLogs"\RTDC4040\2017-11-18</v>
      </c>
      <c r="AF108" s="74" t="str">
        <f t="shared" si="33"/>
        <v>"C:\Program Files (x86)\AstroGrep\AstroGrep.exe" /e /r /s /spath="%USERPROFILE%\AppData\Local\Temp\OnboardLogs" /stypes="app*4040*20171117*" /stext=" 22:.+((SYSTEM_STATE.+slice.+state.+changed )|(ment ac)|(multiple cpu faults)|(system.+state.+changed )|(\[timeout)|(PRM\|1\|D)|(kpr)|(kdp)|(train st.+moving)|(\|lc)|(penalty))"</v>
      </c>
      <c r="AG108" s="182" t="str">
        <f t="shared" si="34"/>
        <v>EC</v>
      </c>
      <c r="AH108" s="78" t="str">
        <f t="shared" si="35"/>
        <v>"%USERPROFILE%\Documents\GitHub\eaglep3\Utilities\RefineRTDCRunTimes.py" --tripid 193-17 --locoid 4040 --swversion DE.1.0.9.0 --startMP 204:524 --initTime 2017-11-17T15:07:33 --startdatetime 2017-11-17T15:15:17 --delay 58 --endMP 204:233247 --enddatetime 2017-11-17T15:51:50 --enforcementcount 1 &gt;&gt;%USERPROFILE%\Documents\GitHub\eaglep3-reporting\EC\2017-11-17-refined-times.txt</v>
      </c>
      <c r="AI108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{"issue":{"subject":"","project_id":79,"tracker_id":40,"status_id":1,"priority_id":2,"assigned_to_id":338,"start_date":"2017-11-17","description":"","custom_fields":[{"id":1,"name":"Subdivision","value":"EC"},{"id":4,"name":"Milepost","value":"23.3247"},{"id":17,"name":"Train ID","value":"193-17"},{"id":16,"name":"Locomotive ID","value":"4040"},{"id":130,"name":"Impact","value":""},{"id":150,"name":"Time of Event (Mountain Time)","value":"15:51:50"},{"id":151,"name":"Denver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8" s="47"/>
      <c r="AL108" s="47"/>
      <c r="AM108" s="142" t="str">
        <f t="shared" si="37"/>
        <v>start /low /b %USERPROFILE%\Documents\GitHub\eaglep3\Utilities\DownloadLogsFromS3.py --loco 4040 --day 2017-11-17</v>
      </c>
      <c r="AN108" s="151" t="str">
        <f t="shared" si="38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22:51:50"},{"id":29,"name":"Sharepoint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168" t="str">
        <f t="shared" si="39"/>
        <v>https://d0f6bd738d7f1b3e5a7ca70fe4ff75f0.us-east-1.aws.found.io/app/kibana#/discover/Steve-Slow-Train-Analysis-(2080s-and-2083s)?_g=(refreshInterval:(display:Off,pause:!f,section:0,value:0),time:(from:'2017-11-17T14:07:33-0700',mode:absolute,to:'2017-11-17T16:51:50-0700'))&amp;_a=(columns:!('Message%20ID',Summary),filters:!(),index:'emp_*',interval:auto,query:(query_string:(analyze_wildcard:!t,query:'%22rtdc.l.rtdc.4040%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3">
      <c r="A109" s="32" t="s">
        <v>809</v>
      </c>
      <c r="B109" s="7">
        <v>4039</v>
      </c>
      <c r="C109" s="21" t="s">
        <v>192</v>
      </c>
      <c r="D109" s="21" t="s">
        <v>528</v>
      </c>
      <c r="E109" s="13">
        <v>43056.668611111112</v>
      </c>
      <c r="F109" s="13">
        <v>43056.675185185188</v>
      </c>
      <c r="G109" s="7">
        <v>53</v>
      </c>
      <c r="H109" s="21" t="s">
        <v>445</v>
      </c>
      <c r="I109" s="13">
        <v>43056.70815972222</v>
      </c>
      <c r="J109" s="7">
        <v>1</v>
      </c>
      <c r="K109" s="89" t="str">
        <f t="shared" si="23"/>
        <v>4039/4040</v>
      </c>
      <c r="L109" s="185" t="str">
        <f>VLOOKUP(A109,'Trips&amp;Operators'!$C$1:$G$99911,5,FALSE)</f>
        <v>LEVERE CRAIG</v>
      </c>
      <c r="M109" s="6">
        <f t="shared" si="24"/>
        <v>3.2974537032714579E-2</v>
      </c>
      <c r="N109" s="7">
        <f t="shared" si="42"/>
        <v>47.483333327108994</v>
      </c>
      <c r="O109" s="7"/>
      <c r="P109" s="7"/>
      <c r="Q109" s="22"/>
      <c r="R109" s="174"/>
      <c r="S109" s="221">
        <f t="shared" si="43"/>
        <v>1</v>
      </c>
      <c r="T109" s="174" t="str">
        <f t="shared" si="25"/>
        <v>Southbound</v>
      </c>
      <c r="U109" s="198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16" t="str">
        <f t="shared" si="26"/>
        <v>https://d0f6bd738d7f1b3e5a7ca70fe4ff75f0.us-east-1.aws.found.io/app/kibana#/discover/Steve-Slow-Train-Analysis-(2080s-and-2083s)?_g=(refreshInterval:(display:Off,pause:!f,section:0,value:0),time:(from:'2017-11-17T15:02:48-0700',mode:absolute,to:'2017-11-17T17:59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09" s="204" t="str">
        <f>IF(AA109&lt;VLOOKUP(AG109,Variables!$AC$3:$AD$8,2,FALSE),"Y","N")</f>
        <v>N</v>
      </c>
      <c r="X109" s="204">
        <f t="shared" si="27"/>
        <v>1</v>
      </c>
      <c r="Y109" s="204">
        <f t="shared" ref="Y109:Y144" si="44">RIGHT(D109,LEN(D109)-4)/10000</f>
        <v>23.292999999999999</v>
      </c>
      <c r="Z109" s="204">
        <f t="shared" ref="Z109:Z144" si="45">RIGHT(H109,LEN(H109)-4)/10000</f>
        <v>2.3599999999999999E-2</v>
      </c>
      <c r="AA109" s="204">
        <f t="shared" si="30"/>
        <v>23.269400000000001</v>
      </c>
      <c r="AB109" s="54" t="e">
        <f>VLOOKUP(A109,Enforcements!$C$7:$K$9,8,0)</f>
        <v>#N/A</v>
      </c>
      <c r="AC109" s="51" t="e">
        <f>VLOOKUP(A109,Enforcements!$C$7:$E$9,3,0)</f>
        <v>#N/A</v>
      </c>
      <c r="AD109" s="179">
        <f t="shared" si="31"/>
        <v>194</v>
      </c>
      <c r="AE109" s="77" t="str">
        <f t="shared" si="32"/>
        <v>aws s3 cp s3://rtdc.mdm.uploadarchive.raw/RTDC4039/ "%USERPROFILE%\AppData\Local\Temp\OnboardLogs"\RTDC4039\2017-11-17 --exclude "*" --recursive --include "*20171117*" &amp; "%USERPROFILE%\Documents\GitHub\mrs-test-scripts\Headless Mode &amp; Sideloading\WalkAndUnGZ.bat" "%USERPROFILE%\AppData\Local\Temp\OnboardLogs"\RTDC4039\2017-11-17 &amp; aws s3 cp s3://rtdc.mdm.uploadarchive.raw/RTDC4039/ "%USERPROFILE%\AppData\Local\Temp\OnboardLogs"\RTDC4039\2017-11-18 --exclude "*" --recursive --include "*20171118*" &amp; "%USERPROFILE%\Documents\GitHub\mrs-test-scripts\Headless Mode &amp; Sideloading\WalkAndUnGZ.bat" "%USERPROFILE%\AppData\Local\Temp\OnboardLogs"\RTDC4039\2017-11-18</v>
      </c>
      <c r="AF109" s="74" t="str">
        <f t="shared" si="33"/>
        <v>"C:\Program Files (x86)\AstroGrep\AstroGrep.exe" /e /r /s /spath="%USERPROFILE%\AppData\Local\Temp\OnboardLogs" /stypes="app*4039*20171117*" /stext=" 23:.+((SYSTEM_STATE.+slice.+state.+changed )|(ment ac)|(multiple cpu faults)|(system.+state.+changed )|(\[timeout)|(PRM\|1\|D)|(kpr)|(kdp)|(train st.+moving)|(\|lc)|(penalty))"</v>
      </c>
      <c r="AG109" s="182" t="str">
        <f t="shared" si="34"/>
        <v>EC</v>
      </c>
      <c r="AH109" s="78" t="str">
        <f t="shared" si="35"/>
        <v>"%USERPROFILE%\Documents\GitHub\eaglep3\Utilities\RefineRTDCRunTimes.py" --tripid 194-17 --locoid 4039 --swversion DE.1.0.9.0 --startMP 204:232930 --initTime 2017-11-17T16:02:48 --startdatetime 2017-11-17T16:12:16 --delay 53 --endMP 204:236 --enddatetime 2017-11-17T16:59:45 --enforcementcount 1 &gt;&gt;%USERPROFILE%\Documents\GitHub\eaglep3-reporting\EC\2017-11-17-refined-times.txt</v>
      </c>
      <c r="AI109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{"issue":{"subject":"","project_id":79,"tracker_id":40,"status_id":1,"priority_id":2,"assigned_to_id":338,"start_date":"2017-11-17","description":"","custom_fields":[{"id":1,"name":"Subdivision","value":"EC"},{"id":4,"name":"Milepost","value":"0.0236"},{"id":17,"name":"Train ID","value":"194-17"},{"id":16,"name":"Locomotive ID","value":"4039"},{"id":130,"name":"Impact","value":""},{"id":150,"name":"Time of Event (Mountain Time)","value":"16:59:45"},{"id":151,"name":"Denver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9" s="47"/>
      <c r="AL109" s="47"/>
      <c r="AM109" s="142" t="str">
        <f t="shared" si="37"/>
        <v>start /low /b %USERPROFILE%\Documents\GitHub\eaglep3\Utilities\DownloadLogsFromS3.py --loco 4039 --day 2017-11-17</v>
      </c>
      <c r="AN109" s="151" t="str">
        <f t="shared" si="38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23:59:45"},{"id":29,"name":"Sharepoint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168" t="str">
        <f t="shared" si="39"/>
        <v>https://d0f6bd738d7f1b3e5a7ca70fe4ff75f0.us-east-1.aws.found.io/app/kibana#/discover/Steve-Slow-Train-Analysis-(2080s-and-2083s)?_g=(refreshInterval:(display:Off,pause:!f,section:0,value:0),time:(from:'2017-11-17T15:02:48-0700',mode:absolute,to:'2017-11-17T17:59:45-0700'))&amp;_a=(columns:!('Message%20ID',Summary),filters:!(),index:'emp_*',interval:auto,query:(query_string:(analyze_wildcard:!t,query:'%22rtdc.l.rtdc.4039%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3">
      <c r="A110" s="32" t="s">
        <v>802</v>
      </c>
      <c r="B110" s="7">
        <v>4066</v>
      </c>
      <c r="C110" s="21" t="s">
        <v>192</v>
      </c>
      <c r="D110" s="21" t="s">
        <v>585</v>
      </c>
      <c r="E110" s="13">
        <v>43056.642013888886</v>
      </c>
      <c r="F110" s="13">
        <v>43056.645983796298</v>
      </c>
      <c r="G110" s="7">
        <v>53</v>
      </c>
      <c r="H110" s="21" t="s">
        <v>984</v>
      </c>
      <c r="I110" s="13">
        <v>43056.67396990741</v>
      </c>
      <c r="J110" s="7">
        <v>1</v>
      </c>
      <c r="K110" s="89" t="str">
        <f t="shared" si="23"/>
        <v>4065/4066</v>
      </c>
      <c r="L110" s="185" t="str">
        <f>VLOOKUP(A110,'Trips&amp;Operators'!$C$1:$G$99911,5,FALSE)</f>
        <v>FORTUNATO FRANK</v>
      </c>
      <c r="M110" s="6">
        <f t="shared" si="24"/>
        <v>2.7986111112113576E-2</v>
      </c>
      <c r="N110" s="7">
        <f t="shared" si="42"/>
        <v>40.30000000144355</v>
      </c>
      <c r="O110" s="7"/>
      <c r="P110" s="7"/>
      <c r="Q110" s="22"/>
      <c r="R110" s="174"/>
      <c r="S110" s="221">
        <f t="shared" si="43"/>
        <v>1</v>
      </c>
      <c r="T110" s="174" t="str">
        <f t="shared" si="25"/>
        <v>NorthBound</v>
      </c>
      <c r="U110" s="198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16" t="str">
        <f t="shared" si="26"/>
        <v>https://d0f6bd738d7f1b3e5a7ca70fe4ff75f0.us-east-1.aws.found.io/app/kibana#/discover/Steve-Slow-Train-Analysis-(2080s-and-2083s)?_g=(refreshInterval:(display:Off,pause:!f,section:0,value:0),time:(from:'2017-11-17T14:24:30-0700',mode:absolute,to:'2017-11-17T17:10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10" s="204" t="str">
        <f>IF(AA110&lt;VLOOKUP(AG110,Variables!$AC$3:$AD$8,2,FALSE),"Y","N")</f>
        <v>N</v>
      </c>
      <c r="X110" s="204">
        <f t="shared" si="27"/>
        <v>1</v>
      </c>
      <c r="Y110" s="204">
        <f t="shared" si="44"/>
        <v>5.1299999999999998E-2</v>
      </c>
      <c r="Z110" s="204">
        <f t="shared" si="45"/>
        <v>23.32</v>
      </c>
      <c r="AA110" s="204">
        <f t="shared" si="30"/>
        <v>23.268699999999999</v>
      </c>
      <c r="AB110" s="54" t="e">
        <f>VLOOKUP(A110,Enforcements!$C$7:$K$9,8,0)</f>
        <v>#N/A</v>
      </c>
      <c r="AC110" s="51" t="e">
        <f>VLOOKUP(A110,Enforcements!$C$7:$E$9,3,0)</f>
        <v>#N/A</v>
      </c>
      <c r="AD110" s="179">
        <f t="shared" si="31"/>
        <v>195</v>
      </c>
      <c r="AE110" s="77" t="str">
        <f t="shared" si="32"/>
        <v>aws s3 cp s3://rtdc.mdm.uploadarchive.raw/RTDC4066/ "%USERPROFILE%\AppData\Local\Temp\OnboardLogs"\RTDC4066\2017-11-17 --exclude "*" --recursive --include "*20171117*" &amp; "%USERPROFILE%\Documents\GitHub\mrs-test-scripts\Headless Mode &amp; Sideloading\WalkAndUnGZ.bat" "%USERPROFILE%\AppData\Local\Temp\OnboardLogs"\RTDC4066\2017-11-17 &amp; aws s3 cp s3://rtdc.mdm.uploadarchive.raw/RTDC4066/ "%USERPROFILE%\AppData\Local\Temp\OnboardLogs"\RTDC4066\2017-11-18 --exclude "*" --recursive --include "*20171118*" &amp; "%USERPROFILE%\Documents\GitHub\mrs-test-scripts\Headless Mode &amp; Sideloading\WalkAndUnGZ.bat" "%USERPROFILE%\AppData\Local\Temp\OnboardLogs"\RTDC4066\2017-11-18</v>
      </c>
      <c r="AF110" s="74" t="str">
        <f t="shared" si="33"/>
        <v>"C:\Program Files (x86)\AstroGrep\AstroGrep.exe" /e /r /s /spath="%USERPROFILE%\AppData\Local\Temp\OnboardLogs" /stypes="app*4066*20171117*" /stext=" 23:.+((SYSTEM_STATE.+slice.+state.+changed )|(ment ac)|(multiple cpu faults)|(system.+state.+changed )|(\[timeout)|(PRM\|1\|D)|(kpr)|(kdp)|(train st.+moving)|(\|lc)|(penalty))"</v>
      </c>
      <c r="AG110" s="182" t="str">
        <f t="shared" si="34"/>
        <v>EC</v>
      </c>
      <c r="AH110" s="78" t="str">
        <f t="shared" si="35"/>
        <v>"%USERPROFILE%\Documents\GitHub\eaglep3\Utilities\RefineRTDCRunTimes.py" --tripid 195-17 --locoid 4066 --swversion DE.1.0.9.0 --startMP 204:513 --initTime 2017-11-17T15:24:30 --startdatetime 2017-11-17T15:30:13 --delay 53 --endMP 204:233200 --enddatetime 2017-11-17T16:10:31 --enforcementcount 1 &gt;&gt;%USERPROFILE%\Documents\GitHub\eaglep3-reporting\EC\2017-11-17-refined-times.txt</v>
      </c>
      <c r="AI110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{"issue":{"subject":"","project_id":79,"tracker_id":40,"status_id":1,"priority_id":2,"assigned_to_id":338,"start_date":"2017-11-17","description":"","custom_fields":[{"id":1,"name":"Subdivision","value":"EC"},{"id":4,"name":"Milepost","value":"23.32"},{"id":17,"name":"Train ID","value":"195-17"},{"id":16,"name":"Locomotive ID","value":"4066"},{"id":130,"name":"Impact","value":""},{"id":150,"name":"Time of Event (Mountain Time)","value":"16:10:31"},{"id":151,"name":"Denver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0" s="47"/>
      <c r="AL110" s="47"/>
      <c r="AM110" s="142" t="str">
        <f t="shared" si="37"/>
        <v>start /low /b %USERPROFILE%\Documents\GitHub\eaglep3\Utilities\DownloadLogsFromS3.py --loco 4066 --day 2017-11-17</v>
      </c>
      <c r="AN110" s="151" t="str">
        <f t="shared" si="38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23:10:31"},{"id":29,"name":"Sharepoint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168" t="str">
        <f t="shared" si="39"/>
        <v>https://d0f6bd738d7f1b3e5a7ca70fe4ff75f0.us-east-1.aws.found.io/app/kibana#/discover/Steve-Slow-Train-Analysis-(2080s-and-2083s)?_g=(refreshInterval:(display:Off,pause:!f,section:0,value:0),time:(from:'2017-11-17T14:24:30-0700',mode:absolute,to:'2017-11-17T17:10:31-0700'))&amp;_a=(columns:!('Message%20ID',Summary),filters:!(),index:'emp_*',interval:auto,query:(query_string:(analyze_wildcard:!t,query:'%22rtdc.l.rtdc.4066%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3">
      <c r="A111" s="32" t="s">
        <v>812</v>
      </c>
      <c r="B111" s="7">
        <v>4065</v>
      </c>
      <c r="C111" s="21" t="s">
        <v>192</v>
      </c>
      <c r="D111" s="21" t="s">
        <v>985</v>
      </c>
      <c r="E111" s="13">
        <v>43056.675393518519</v>
      </c>
      <c r="F111" s="13">
        <v>43056.685590277775</v>
      </c>
      <c r="G111" s="7">
        <v>67</v>
      </c>
      <c r="H111" s="21" t="s">
        <v>446</v>
      </c>
      <c r="I111" s="13">
        <v>43056.712893518517</v>
      </c>
      <c r="J111" s="7">
        <v>1</v>
      </c>
      <c r="K111" s="89" t="str">
        <f t="shared" si="23"/>
        <v>4065/4066</v>
      </c>
      <c r="L111" s="185" t="str">
        <f>VLOOKUP(A111,'Trips&amp;Operators'!$C$1:$G$99911,5,FALSE)</f>
        <v>FORTUNATO FRANK</v>
      </c>
      <c r="M111" s="6">
        <f t="shared" si="24"/>
        <v>2.7303240742185153E-2</v>
      </c>
      <c r="N111" s="7">
        <f t="shared" si="42"/>
        <v>39.31666666874662</v>
      </c>
      <c r="O111" s="7"/>
      <c r="P111" s="7"/>
      <c r="Q111" s="22"/>
      <c r="R111" s="174" t="s">
        <v>1132</v>
      </c>
      <c r="S111" s="221">
        <f t="shared" si="43"/>
        <v>1</v>
      </c>
      <c r="T111" s="174" t="str">
        <f t="shared" si="25"/>
        <v>Southbound</v>
      </c>
      <c r="U111" s="198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16" t="str">
        <f t="shared" si="26"/>
        <v>https://d0f6bd738d7f1b3e5a7ca70fe4ff75f0.us-east-1.aws.found.io/app/kibana#/discover/Steve-Slow-Train-Analysis-(2080s-and-2083s)?_g=(refreshInterval:(display:Off,pause:!f,section:0,value:0),time:(from:'2017-11-17T15:12:34-0700',mode:absolute,to:'2017-11-17T18:06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11" s="204" t="str">
        <f>IF(AA111&lt;VLOOKUP(AG111,Variables!$AC$3:$AD$8,2,FALSE),"Y","N")</f>
        <v>N</v>
      </c>
      <c r="X111" s="204">
        <f t="shared" si="27"/>
        <v>1</v>
      </c>
      <c r="Y111" s="204">
        <f t="shared" si="44"/>
        <v>23.287400000000002</v>
      </c>
      <c r="Z111" s="204">
        <f t="shared" si="45"/>
        <v>2.1399999999999999E-2</v>
      </c>
      <c r="AA111" s="204">
        <f t="shared" si="30"/>
        <v>23.266000000000002</v>
      </c>
      <c r="AB111" s="54" t="e">
        <f>VLOOKUP(A111,Enforcements!$C$7:$K$9,8,0)</f>
        <v>#N/A</v>
      </c>
      <c r="AC111" s="51" t="e">
        <f>VLOOKUP(A111,Enforcements!$C$7:$E$9,3,0)</f>
        <v>#N/A</v>
      </c>
      <c r="AD111" s="179">
        <f t="shared" si="31"/>
        <v>196</v>
      </c>
      <c r="AE111" s="77" t="str">
        <f t="shared" si="32"/>
        <v>aws s3 cp s3://rtdc.mdm.uploadarchive.raw/RTDC4065/ "%USERPROFILE%\AppData\Local\Temp\OnboardLogs"\RTDC4065\2017-11-17 --exclude "*" --recursive --include "*20171117*" &amp; "%USERPROFILE%\Documents\GitHub\mrs-test-scripts\Headless Mode &amp; Sideloading\WalkAndUnGZ.bat" "%USERPROFILE%\AppData\Local\Temp\OnboardLogs"\RTDC4065\2017-11-17 &amp; aws s3 cp s3://rtdc.mdm.uploadarchive.raw/RTDC4065/ "%USERPROFILE%\AppData\Local\Temp\OnboardLogs"\RTDC4065\2017-11-18 --exclude "*" --recursive --include "*20171118*" &amp; "%USERPROFILE%\Documents\GitHub\mrs-test-scripts\Headless Mode &amp; Sideloading\WalkAndUnGZ.bat" "%USERPROFILE%\AppData\Local\Temp\OnboardLogs"\RTDC4065\2017-11-18</v>
      </c>
      <c r="AF111" s="74" t="str">
        <f t="shared" si="33"/>
        <v>"C:\Program Files (x86)\AstroGrep\AstroGrep.exe" /e /r /s /spath="%USERPROFILE%\AppData\Local\Temp\OnboardLogs" /stypes="app*4065*20171118*" /stext=" 00:.+((SYSTEM_STATE.+slice.+state.+changed )|(ment ac)|(multiple cpu faults)|(system.+state.+changed )|(\[timeout)|(PRM\|1\|D)|(kpr)|(kdp)|(train st.+moving)|(\|lc)|(penalty))"</v>
      </c>
      <c r="AG111" s="182" t="str">
        <f t="shared" si="34"/>
        <v>EC</v>
      </c>
      <c r="AH111" s="78" t="str">
        <f t="shared" si="35"/>
        <v>"%USERPROFILE%\Documents\GitHub\eaglep3\Utilities\RefineRTDCRunTimes.py" --tripid 196-17 --locoid 4065 --swversion DE.1.0.9.0 --startMP 204:232874 --initTime 2017-11-17T16:12:34 --startdatetime 2017-11-17T16:27:15 --delay 67 --endMP 204:214 --enddatetime 2017-11-17T17:06:34 --enforcementcount 1 &gt;&gt;%USERPROFILE%\Documents\GitHub\eaglep3-reporting\EC\2017-11-17-refined-times.txt</v>
      </c>
      <c r="AI111" s="96" t="str">
        <f t="shared" si="36"/>
        <v>echo {"issue":{"subject":"Observed early arrival at Steele, (Incident 57335)","project_id":79,"tracker_id":40,"status_id":1,"priority_id":2,"assigned_to_id":338,"start_date":"2017-11-17","description":"","custom_fields":[{"id":1,"name":"Subdivision","value":"EC"},{"id":4,"name":"Milepost","value":"0.0214"},{"id":17,"name":"Train ID","value":"196-17"},{"id":16,"name":"Locomotive ID","value":"4065"},{"id":130,"name":"Impact","value":""},{"id":150,"name":"Time of Event (Mountain Time)","value":"17:06:34"},{"id":151,"name":"Denver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1" s="47"/>
      <c r="AL111" s="47"/>
      <c r="AM111" s="142" t="str">
        <f t="shared" si="37"/>
        <v>start /low /b %USERPROFILE%\Documents\GitHub\eaglep3\Utilities\DownloadLogsFromS3.py --loco 4065 --day 2017-11-17</v>
      </c>
      <c r="AN111" s="151" t="str">
        <f t="shared" si="38"/>
        <v>echo {"issue":{"subject":"Observed early arrival at Steele, (Incident 57335)","project_id":30,"tracker_id":4,"status_id":1,"priority_id":1,"assigned_to_id":10,"start_date":"2017-11-18","description":"","custom_fields":[{"id":30,"name":"Category","value":"Issue"},{"id":3,"name":"Functional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00:06:34"},{"id":29,"name":"Sharepoint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168" t="str">
        <f t="shared" si="39"/>
        <v>https://d0f6bd738d7f1b3e5a7ca70fe4ff75f0.us-east-1.aws.found.io/app/kibana#/discover/Steve-Slow-Train-Analysis-(2080s-and-2083s)?_g=(refreshInterval:(display:Off,pause:!f,section:0,value:0),time:(from:'2017-11-17T15:12:34-0700',mode:absolute,to:'2017-11-17T18:06:34-0700'))&amp;_a=(columns:!('Message%20ID',Summary),filters:!(),index:'emp_*',interval:auto,query:(query_string:(analyze_wildcard:!t,query:'%22rtdc.l.rtdc.4065%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3">
      <c r="A112" s="32" t="s">
        <v>805</v>
      </c>
      <c r="B112" s="7">
        <v>4028</v>
      </c>
      <c r="C112" s="21" t="s">
        <v>192</v>
      </c>
      <c r="D112" s="21" t="s">
        <v>986</v>
      </c>
      <c r="E112" s="13">
        <v>43056.649409722224</v>
      </c>
      <c r="F112" s="13">
        <v>43056.656435185185</v>
      </c>
      <c r="G112" s="7">
        <v>116</v>
      </c>
      <c r="H112" s="21" t="s">
        <v>987</v>
      </c>
      <c r="I112" s="13">
        <v>43056.685104166667</v>
      </c>
      <c r="J112" s="7">
        <v>1</v>
      </c>
      <c r="K112" s="89" t="str">
        <f t="shared" si="23"/>
        <v>4027/4028</v>
      </c>
      <c r="L112" s="185" t="str">
        <f>VLOOKUP(A112,'Trips&amp;Operators'!$C$1:$G$99911,5,FALSE)</f>
        <v>LEVIN SCOTT</v>
      </c>
      <c r="M112" s="6">
        <f t="shared" si="24"/>
        <v>2.8668981482042E-2</v>
      </c>
      <c r="N112" s="7">
        <f t="shared" si="42"/>
        <v>41.28333333414048</v>
      </c>
      <c r="O112" s="7"/>
      <c r="P112" s="7"/>
      <c r="Q112" s="22"/>
      <c r="R112" s="174"/>
      <c r="S112" s="221">
        <f t="shared" si="43"/>
        <v>1</v>
      </c>
      <c r="T112" s="174" t="str">
        <f t="shared" si="25"/>
        <v>NorthBound</v>
      </c>
      <c r="U112" s="198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16" t="str">
        <f t="shared" si="26"/>
        <v>https://d0f6bd738d7f1b3e5a7ca70fe4ff75f0.us-east-1.aws.found.io/app/kibana#/discover/Steve-Slow-Train-Analysis-(2080s-and-2083s)?_g=(refreshInterval:(display:Off,pause:!f,section:0,value:0),time:(from:'2017-11-17T14:35:09-0700',mode:absolute,to:'2017-11-17T17:26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12" s="204" t="str">
        <f>IF(AA112&lt;VLOOKUP(AG112,Variables!$AC$3:$AD$8,2,FALSE),"Y","N")</f>
        <v>N</v>
      </c>
      <c r="X112" s="204">
        <f t="shared" si="27"/>
        <v>1</v>
      </c>
      <c r="Y112" s="204">
        <f t="shared" si="44"/>
        <v>4.5100000000000001E-2</v>
      </c>
      <c r="Z112" s="204">
        <f t="shared" si="45"/>
        <v>23.331099999999999</v>
      </c>
      <c r="AA112" s="204">
        <f t="shared" si="30"/>
        <v>23.285999999999998</v>
      </c>
      <c r="AB112" s="54" t="e">
        <f>VLOOKUP(A112,Enforcements!$C$7:$K$9,8,0)</f>
        <v>#N/A</v>
      </c>
      <c r="AC112" s="51" t="e">
        <f>VLOOKUP(A112,Enforcements!$C$7:$E$9,3,0)</f>
        <v>#N/A</v>
      </c>
      <c r="AD112" s="179">
        <f t="shared" si="31"/>
        <v>197</v>
      </c>
      <c r="AE112" s="77" t="str">
        <f t="shared" si="32"/>
        <v>aws s3 cp s3://rtdc.mdm.uploadarchive.raw/RTDC4028/ "%USERPROFILE%\AppData\Local\Temp\OnboardLogs"\RTDC4028\2017-11-17 --exclude "*" --recursive --include "*20171117*" &amp; "%USERPROFILE%\Documents\GitHub\mrs-test-scripts\Headless Mode &amp; Sideloading\WalkAndUnGZ.bat" "%USERPROFILE%\AppData\Local\Temp\OnboardLogs"\RTDC4028\2017-11-17 &amp; aws s3 cp s3://rtdc.mdm.uploadarchive.raw/RTDC4028/ "%USERPROFILE%\AppData\Local\Temp\OnboardLogs"\RTDC4028\2017-11-18 --exclude "*" --recursive --include "*20171118*" &amp; "%USERPROFILE%\Documents\GitHub\mrs-test-scripts\Headless Mode &amp; Sideloading\WalkAndUnGZ.bat" "%USERPROFILE%\AppData\Local\Temp\OnboardLogs"\RTDC4028\2017-11-18</v>
      </c>
      <c r="AF112" s="74" t="str">
        <f t="shared" si="33"/>
        <v>"C:\Program Files (x86)\AstroGrep\AstroGrep.exe" /e /r /s /spath="%USERPROFILE%\AppData\Local\Temp\OnboardLogs" /stypes="app*4028*20171117*" /stext=" 23:.+((SYSTEM_STATE.+slice.+state.+changed )|(ment ac)|(multiple cpu faults)|(system.+state.+changed )|(\[timeout)|(PRM\|1\|D)|(kpr)|(kdp)|(train st.+moving)|(\|lc)|(penalty))"</v>
      </c>
      <c r="AG112" s="182" t="str">
        <f t="shared" si="34"/>
        <v>EC</v>
      </c>
      <c r="AH112" s="78" t="str">
        <f t="shared" si="35"/>
        <v>"%USERPROFILE%\Documents\GitHub\eaglep3\Utilities\RefineRTDCRunTimes.py" --tripid 197-17 --locoid 4028 --swversion DE.1.0.9.0 --startMP 204:451 --initTime 2017-11-17T15:35:09 --startdatetime 2017-11-17T15:45:16 --delay 116 --endMP 204:233311 --enddatetime 2017-11-17T16:26:33 --enforcementcount 1 &gt;&gt;%USERPROFILE%\Documents\GitHub\eaglep3-reporting\EC\2017-11-17-refined-times.txt</v>
      </c>
      <c r="AI112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{"issue":{"subject":"","project_id":79,"tracker_id":40,"status_id":1,"priority_id":2,"assigned_to_id":338,"start_date":"2017-11-17","description":"","custom_fields":[{"id":1,"name":"Subdivision","value":"EC"},{"id":4,"name":"Milepost","value":"23.3311"},{"id":17,"name":"Train ID","value":"197-17"},{"id":16,"name":"Locomotive ID","value":"4028"},{"id":130,"name":"Impact","value":""},{"id":150,"name":"Time of Event (Mountain Time)","value":"16:26:33"},{"id":151,"name":"Denver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2" s="47"/>
      <c r="AL112" s="47"/>
      <c r="AM112" s="142" t="str">
        <f t="shared" si="37"/>
        <v>start /low /b %USERPROFILE%\Documents\GitHub\eaglep3\Utilities\DownloadLogsFromS3.py --loco 4028 --day 2017-11-17</v>
      </c>
      <c r="AN112" s="151" t="str">
        <f t="shared" si="38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23:26:33"},{"id":29,"name":"Sharepoint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168" t="str">
        <f t="shared" si="39"/>
        <v>https://d0f6bd738d7f1b3e5a7ca70fe4ff75f0.us-east-1.aws.found.io/app/kibana#/discover/Steve-Slow-Train-Analysis-(2080s-and-2083s)?_g=(refreshInterval:(display:Off,pause:!f,section:0,value:0),time:(from:'2017-11-17T14:35:09-0700',mode:absolute,to:'2017-11-17T17:26:33-0700'))&amp;_a=(columns:!('Message%20ID',Summary),filters:!(),index:'emp_*',interval:auto,query:(query_string:(analyze_wildcard:!t,query:'%22rtdc.l.rtdc.4028%22')),sort:!(Time.ISO8601,asc))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3">
      <c r="A113" s="32" t="s">
        <v>819</v>
      </c>
      <c r="B113" s="7">
        <v>4027</v>
      </c>
      <c r="C113" s="21" t="s">
        <v>192</v>
      </c>
      <c r="D113" s="21" t="s">
        <v>562</v>
      </c>
      <c r="E113" s="13">
        <v>43056.693530092591</v>
      </c>
      <c r="F113" s="13">
        <v>43056.696203703701</v>
      </c>
      <c r="G113" s="7">
        <v>94</v>
      </c>
      <c r="H113" s="21" t="s">
        <v>602</v>
      </c>
      <c r="I113" s="13">
        <v>43056.722939814812</v>
      </c>
      <c r="J113" s="7">
        <v>1</v>
      </c>
      <c r="K113" s="89" t="str">
        <f t="shared" si="23"/>
        <v>4027/4028</v>
      </c>
      <c r="L113" s="185" t="str">
        <f>VLOOKUP(A113,'Trips&amp;Operators'!$C$1:$G$99911,5,FALSE)</f>
        <v>LEVIN SCOTT</v>
      </c>
      <c r="M113" s="6">
        <f t="shared" si="24"/>
        <v>2.6736111110949423E-2</v>
      </c>
      <c r="N113" s="7">
        <f t="shared" si="42"/>
        <v>38.499999999767169</v>
      </c>
      <c r="O113" s="7"/>
      <c r="P113" s="7"/>
      <c r="Q113" s="22"/>
      <c r="R113" s="174"/>
      <c r="S113" s="221">
        <f t="shared" si="43"/>
        <v>1</v>
      </c>
      <c r="T113" s="174" t="str">
        <f t="shared" si="25"/>
        <v>Southbound</v>
      </c>
      <c r="U113" s="198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16" t="str">
        <f t="shared" si="26"/>
        <v>https://d0f6bd738d7f1b3e5a7ca70fe4ff75f0.us-east-1.aws.found.io/app/kibana#/discover/Steve-Slow-Train-Analysis-(2080s-and-2083s)?_g=(refreshInterval:(display:Off,pause:!f,section:0,value:0),time:(from:'2017-11-17T15:38:41-0700',mode:absolute,to:'2017-11-17T18:21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13" s="204" t="str">
        <f>IF(AA113&lt;VLOOKUP(AG113,Variables!$AC$3:$AD$8,2,FALSE),"Y","N")</f>
        <v>N</v>
      </c>
      <c r="X113" s="204">
        <f t="shared" si="27"/>
        <v>1</v>
      </c>
      <c r="Y113" s="204">
        <f t="shared" si="44"/>
        <v>23.296500000000002</v>
      </c>
      <c r="Z113" s="204">
        <f t="shared" si="45"/>
        <v>2.12E-2</v>
      </c>
      <c r="AA113" s="204">
        <f t="shared" si="30"/>
        <v>23.275300000000001</v>
      </c>
      <c r="AB113" s="54" t="e">
        <f>VLOOKUP(A113,Enforcements!$C$7:$K$9,8,0)</f>
        <v>#N/A</v>
      </c>
      <c r="AC113" s="51" t="e">
        <f>VLOOKUP(A113,Enforcements!$C$7:$E$9,3,0)</f>
        <v>#N/A</v>
      </c>
      <c r="AD113" s="179">
        <f t="shared" si="31"/>
        <v>198</v>
      </c>
      <c r="AE113" s="77" t="str">
        <f t="shared" si="32"/>
        <v>aws s3 cp s3://rtdc.mdm.uploadarchive.raw/RTDC4027/ "%USERPROFILE%\AppData\Local\Temp\OnboardLogs"\RTDC4027\2017-11-17 --exclude "*" --recursive --include "*20171117*" &amp; "%USERPROFILE%\Documents\GitHub\mrs-test-scripts\Headless Mode &amp; Sideloading\WalkAndUnGZ.bat" "%USERPROFILE%\AppData\Local\Temp\OnboardLogs"\RTDC4027\2017-11-17 &amp; aws s3 cp s3://rtdc.mdm.uploadarchive.raw/RTDC4027/ "%USERPROFILE%\AppData\Local\Temp\OnboardLogs"\RTDC4027\2017-11-18 --exclude "*" --recursive --include "*20171118*" &amp; "%USERPROFILE%\Documents\GitHub\mrs-test-scripts\Headless Mode &amp; Sideloading\WalkAndUnGZ.bat" "%USERPROFILE%\AppData\Local\Temp\OnboardLogs"\RTDC4027\2017-11-18</v>
      </c>
      <c r="AF113" s="74" t="str">
        <f t="shared" si="33"/>
        <v>"C:\Program Files (x86)\AstroGrep\AstroGrep.exe" /e /r /s /spath="%USERPROFILE%\AppData\Local\Temp\OnboardLogs" /stypes="app*4027*20171118*" /stext=" 00:.+((SYSTEM_STATE.+slice.+state.+changed )|(ment ac)|(multiple cpu faults)|(system.+state.+changed )|(\[timeout)|(PRM\|1\|D)|(kpr)|(kdp)|(train st.+moving)|(\|lc)|(penalty))"</v>
      </c>
      <c r="AG113" s="182" t="str">
        <f t="shared" si="34"/>
        <v>EC</v>
      </c>
      <c r="AH113" s="78" t="str">
        <f t="shared" si="35"/>
        <v>"%USERPROFILE%\Documents\GitHub\eaglep3\Utilities\RefineRTDCRunTimes.py" --tripid 198-17 --locoid 4027 --swversion DE.1.0.9.0 --startMP 204:232965 --initTime 2017-11-17T16:38:41 --startdatetime 2017-11-17T16:42:32 --delay 94 --endMP 204:212 --enddatetime 2017-11-17T17:21:02 --enforcementcount 1 &gt;&gt;%USERPROFILE%\Documents\GitHub\eaglep3-reporting\EC\2017-11-17-refined-times.txt</v>
      </c>
      <c r="AI113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{"issue":{"subject":"","project_id":79,"tracker_id":40,"status_id":1,"priority_id":2,"assigned_to_id":338,"start_date":"2017-11-17","description":"","custom_fields":[{"id":1,"name":"Subdivision","value":"EC"},{"id":4,"name":"Milepost","value":"0.0212"},{"id":17,"name":"Train ID","value":"198-17"},{"id":16,"name":"Locomotive ID","value":"4027"},{"id":130,"name":"Impact","value":""},{"id":150,"name":"Time of Event (Mountain Time)","value":"17:21:02"},{"id":151,"name":"Denver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3" s="47"/>
      <c r="AL113" s="47"/>
      <c r="AM113" s="142" t="str">
        <f t="shared" si="37"/>
        <v>start /low /b %USERPROFILE%\Documents\GitHub\eaglep3\Utilities\DownloadLogsFromS3.py --loco 4027 --day 2017-11-17</v>
      </c>
      <c r="AN113" s="151" t="str">
        <f t="shared" si="38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00:21:02"},{"id":29,"name":"Sharepoint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168" t="str">
        <f t="shared" si="39"/>
        <v>https://d0f6bd738d7f1b3e5a7ca70fe4ff75f0.us-east-1.aws.found.io/app/kibana#/discover/Steve-Slow-Train-Analysis-(2080s-and-2083s)?_g=(refreshInterval:(display:Off,pause:!f,section:0,value:0),time:(from:'2017-11-17T15:38:41-0700',mode:absolute,to:'2017-11-17T18:21:02-0700'))&amp;_a=(columns:!('Message%20ID',Summary),filters:!(),index:'emp_*',interval:auto,query:(query_string:(analyze_wildcard:!t,query:'%22rtdc.l.rtdc.4027%22')),sort:!(Time.ISO8601,asc))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3">
      <c r="A114" s="32" t="s">
        <v>807</v>
      </c>
      <c r="B114" s="7">
        <v>4020</v>
      </c>
      <c r="C114" s="21" t="s">
        <v>192</v>
      </c>
      <c r="D114" s="21" t="s">
        <v>469</v>
      </c>
      <c r="E114" s="13">
        <v>43056.664803240739</v>
      </c>
      <c r="F114" s="13">
        <v>43056.667037037034</v>
      </c>
      <c r="G114" s="7">
        <v>56</v>
      </c>
      <c r="H114" s="21" t="s">
        <v>524</v>
      </c>
      <c r="I114" s="13">
        <v>43056.69290509259</v>
      </c>
      <c r="J114" s="7">
        <v>1</v>
      </c>
      <c r="K114" s="89" t="str">
        <f t="shared" si="23"/>
        <v>4019/4020</v>
      </c>
      <c r="L114" s="185" t="str">
        <f>VLOOKUP(A114,'Trips&amp;Operators'!$C$1:$G$99911,5,FALSE)</f>
        <v>BADERTSCHER DIANE</v>
      </c>
      <c r="M114" s="6">
        <f t="shared" si="24"/>
        <v>2.5868055556202307E-2</v>
      </c>
      <c r="N114" s="7">
        <f t="shared" si="42"/>
        <v>37.250000000931323</v>
      </c>
      <c r="O114" s="7"/>
      <c r="P114" s="7"/>
      <c r="Q114" s="22"/>
      <c r="R114" s="174"/>
      <c r="S114" s="221">
        <f t="shared" si="43"/>
        <v>1</v>
      </c>
      <c r="T114" s="174" t="str">
        <f t="shared" si="25"/>
        <v>NorthBound</v>
      </c>
      <c r="U114" s="198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16" t="str">
        <f t="shared" si="26"/>
        <v>https://d0f6bd738d7f1b3e5a7ca70fe4ff75f0.us-east-1.aws.found.io/app/kibana#/discover/Steve-Slow-Train-Analysis-(2080s-and-2083s)?_g=(refreshInterval:(display:Off,pause:!f,section:0,value:0),time:(from:'2017-11-17T14:57:19-0700',mode:absolute,to:'2017-11-17T17:37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14" s="204" t="str">
        <f>IF(AA114&lt;VLOOKUP(AG114,Variables!$AC$3:$AD$8,2,FALSE),"Y","N")</f>
        <v>N</v>
      </c>
      <c r="X114" s="204">
        <f t="shared" si="27"/>
        <v>1</v>
      </c>
      <c r="Y114" s="204">
        <f t="shared" si="44"/>
        <v>5.33E-2</v>
      </c>
      <c r="Z114" s="204">
        <f t="shared" si="45"/>
        <v>23.3249</v>
      </c>
      <c r="AA114" s="204">
        <f t="shared" si="30"/>
        <v>23.271599999999999</v>
      </c>
      <c r="AB114" s="54" t="e">
        <f>VLOOKUP(A114,Enforcements!$C$7:$K$9,8,0)</f>
        <v>#N/A</v>
      </c>
      <c r="AC114" s="51" t="e">
        <f>VLOOKUP(A114,Enforcements!$C$7:$E$9,3,0)</f>
        <v>#N/A</v>
      </c>
      <c r="AD114" s="179">
        <f t="shared" si="31"/>
        <v>199</v>
      </c>
      <c r="AE114" s="77" t="str">
        <f t="shared" si="32"/>
        <v>aws s3 cp s3://rtdc.mdm.uploadarchive.raw/RTDC4020/ "%USERPROFILE%\AppData\Local\Temp\OnboardLogs"\RTDC4020\2017-11-17 --exclude "*" --recursive --include "*20171117*" &amp; "%USERPROFILE%\Documents\GitHub\mrs-test-scripts\Headless Mode &amp; Sideloading\WalkAndUnGZ.bat" "%USERPROFILE%\AppData\Local\Temp\OnboardLogs"\RTDC4020\2017-11-17 &amp; aws s3 cp s3://rtdc.mdm.uploadarchive.raw/RTDC4020/ "%USERPROFILE%\AppData\Local\Temp\OnboardLogs"\RTDC4020\2017-11-18 --exclude "*" --recursive --include "*20171118*" &amp; "%USERPROFILE%\Documents\GitHub\mrs-test-scripts\Headless Mode &amp; Sideloading\WalkAndUnGZ.bat" "%USERPROFILE%\AppData\Local\Temp\OnboardLogs"\RTDC4020\2017-11-18</v>
      </c>
      <c r="AF114" s="74" t="str">
        <f t="shared" si="33"/>
        <v>"C:\Program Files (x86)\AstroGrep\AstroGrep.exe" /e /r /s /spath="%USERPROFILE%\AppData\Local\Temp\OnboardLogs" /stypes="app*4020*20171117*" /stext=" 23:.+((SYSTEM_STATE.+slice.+state.+changed )|(ment ac)|(multiple cpu faults)|(system.+state.+changed )|(\[timeout)|(PRM\|1\|D)|(kpr)|(kdp)|(train st.+moving)|(\|lc)|(penalty))"</v>
      </c>
      <c r="AG114" s="182" t="str">
        <f t="shared" si="34"/>
        <v>EC</v>
      </c>
      <c r="AH114" s="78" t="str">
        <f t="shared" si="35"/>
        <v>"%USERPROFILE%\Documents\GitHub\eaglep3\Utilities\RefineRTDCRunTimes.py" --tripid 199-17 --locoid 4020 --swversion DE.1.0.9.0 --startMP 204:533 --initTime 2017-11-17T15:57:19 --startdatetime 2017-11-17T16:00:32 --delay 56 --endMP 204:233249 --enddatetime 2017-11-17T16:37:47 --enforcementcount 1 &gt;&gt;%USERPROFILE%\Documents\GitHub\eaglep3-reporting\EC\2017-11-17-refined-times.txt</v>
      </c>
      <c r="AI114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{"issue":{"subject":"","project_id":79,"tracker_id":40,"status_id":1,"priority_id":2,"assigned_to_id":338,"start_date":"2017-11-17","description":"","custom_fields":[{"id":1,"name":"Subdivision","value":"EC"},{"id":4,"name":"Milepost","value":"23.3249"},{"id":17,"name":"Train ID","value":"199-17"},{"id":16,"name":"Locomotive ID","value":"4020"},{"id":130,"name":"Impact","value":""},{"id":150,"name":"Time of Event (Mountain Time)","value":"16:37:47"},{"id":151,"name":"Denver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4" s="47"/>
      <c r="AL114" s="47"/>
      <c r="AM114" s="142" t="str">
        <f t="shared" si="37"/>
        <v>start /low /b %USERPROFILE%\Documents\GitHub\eaglep3\Utilities\DownloadLogsFromS3.py --loco 4020 --day 2017-11-17</v>
      </c>
      <c r="AN114" s="151" t="str">
        <f t="shared" si="38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23:37:47"},{"id":29,"name":"Sharepoint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168" t="str">
        <f t="shared" si="39"/>
        <v>https://d0f6bd738d7f1b3e5a7ca70fe4ff75f0.us-east-1.aws.found.io/app/kibana#/discover/Steve-Slow-Train-Analysis-(2080s-and-2083s)?_g=(refreshInterval:(display:Off,pause:!f,section:0,value:0),time:(from:'2017-11-17T14:57:19-0700',mode:absolute,to:'2017-11-17T17:37:47-0700'))&amp;_a=(columns:!('Message%20ID',Summary),filters:!(),index:'emp_*',interval:auto,query:(query_string:(analyze_wildcard:!t,query:'%22rtdc.l.rtdc.4020%22')),sort:!(Time.ISO8601,asc))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3">
      <c r="A115" s="32" t="s">
        <v>820</v>
      </c>
      <c r="B115" s="7">
        <v>4019</v>
      </c>
      <c r="C115" s="21" t="s">
        <v>192</v>
      </c>
      <c r="D115" s="21" t="s">
        <v>449</v>
      </c>
      <c r="E115" s="13">
        <v>43056.70208333333</v>
      </c>
      <c r="F115" s="13">
        <v>43056.706400462965</v>
      </c>
      <c r="G115" s="7">
        <v>61</v>
      </c>
      <c r="H115" s="21" t="s">
        <v>988</v>
      </c>
      <c r="I115" s="13">
        <v>43056.734942129631</v>
      </c>
      <c r="J115" s="7">
        <v>1</v>
      </c>
      <c r="K115" s="89" t="str">
        <f t="shared" si="23"/>
        <v>4019/4020</v>
      </c>
      <c r="L115" s="185" t="str">
        <f>VLOOKUP(A115,'Trips&amp;Operators'!$C$1:$G$99911,5,FALSE)</f>
        <v>BADERTSCHER DIANE</v>
      </c>
      <c r="M115" s="6">
        <f t="shared" si="24"/>
        <v>2.8541666666569654E-2</v>
      </c>
      <c r="N115" s="7">
        <f t="shared" si="42"/>
        <v>41.099999999860302</v>
      </c>
      <c r="O115" s="7"/>
      <c r="P115" s="7"/>
      <c r="Q115" s="22"/>
      <c r="R115" s="174"/>
      <c r="S115" s="221">
        <f t="shared" si="43"/>
        <v>1</v>
      </c>
      <c r="T115" s="174" t="str">
        <f t="shared" si="25"/>
        <v>Southbound</v>
      </c>
      <c r="U115" s="198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16" t="str">
        <f t="shared" si="26"/>
        <v>https://d0f6bd738d7f1b3e5a7ca70fe4ff75f0.us-east-1.aws.found.io/app/kibana#/discover/Steve-Slow-Train-Analysis-(2080s-and-2083s)?_g=(refreshInterval:(display:Off,pause:!f,section:0,value:0),time:(from:'2017-11-17T15:51:00-0700',mode:absolute,to:'2017-11-17T18:38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15" s="204" t="str">
        <f>IF(AA115&lt;VLOOKUP(AG115,Variables!$AC$3:$AD$8,2,FALSE),"Y","N")</f>
        <v>N</v>
      </c>
      <c r="X115" s="204">
        <f t="shared" si="27"/>
        <v>1</v>
      </c>
      <c r="Y115" s="204">
        <f t="shared" si="44"/>
        <v>23.293800000000001</v>
      </c>
      <c r="Z115" s="204">
        <f t="shared" si="45"/>
        <v>2.4E-2</v>
      </c>
      <c r="AA115" s="204">
        <f t="shared" si="30"/>
        <v>23.2698</v>
      </c>
      <c r="AB115" s="54" t="e">
        <f>VLOOKUP(A115,Enforcements!$C$7:$K$9,8,0)</f>
        <v>#N/A</v>
      </c>
      <c r="AC115" s="51" t="e">
        <f>VLOOKUP(A115,Enforcements!$C$7:$E$9,3,0)</f>
        <v>#N/A</v>
      </c>
      <c r="AD115" s="179">
        <f t="shared" si="31"/>
        <v>200</v>
      </c>
      <c r="AE115" s="77" t="str">
        <f t="shared" si="32"/>
        <v>aws s3 cp s3://rtdc.mdm.uploadarchive.raw/RTDC4019/ "%USERPROFILE%\AppData\Local\Temp\OnboardLogs"\RTDC4019\2017-11-17 --exclude "*" --recursive --include "*20171117*" &amp; "%USERPROFILE%\Documents\GitHub\mrs-test-scripts\Headless Mode &amp; Sideloading\WalkAndUnGZ.bat" "%USERPROFILE%\AppData\Local\Temp\OnboardLogs"\RTDC4019\2017-11-17 &amp; aws s3 cp s3://rtdc.mdm.uploadarchive.raw/RTDC4019/ "%USERPROFILE%\AppData\Local\Temp\OnboardLogs"\RTDC4019\2017-11-18 --exclude "*" --recursive --include "*20171118*" &amp; "%USERPROFILE%\Documents\GitHub\mrs-test-scripts\Headless Mode &amp; Sideloading\WalkAndUnGZ.bat" "%USERPROFILE%\AppData\Local\Temp\OnboardLogs"\RTDC4019\2017-11-18</v>
      </c>
      <c r="AF115" s="74" t="str">
        <f t="shared" si="33"/>
        <v>"C:\Program Files (x86)\AstroGrep\AstroGrep.exe" /e /r /s /spath="%USERPROFILE%\AppData\Local\Temp\OnboardLogs" /stypes="app*4019*20171118*" /stext=" 00:.+((SYSTEM_STATE.+slice.+state.+changed )|(ment ac)|(multiple cpu faults)|(system.+state.+changed )|(\[timeout)|(PRM\|1\|D)|(kpr)|(kdp)|(train st.+moving)|(\|lc)|(penalty))"</v>
      </c>
      <c r="AG115" s="182" t="str">
        <f t="shared" si="34"/>
        <v>EC</v>
      </c>
      <c r="AH115" s="78" t="str">
        <f t="shared" si="35"/>
        <v>"%USERPROFILE%\Documents\GitHub\eaglep3\Utilities\RefineRTDCRunTimes.py" --tripid 200-17 --locoid 4019 --swversion DE.1.0.9.0 --startMP 204:232938 --initTime 2017-11-17T16:51:00 --startdatetime 2017-11-17T16:57:13 --delay 61 --endMP 204:240 --enddatetime 2017-11-17T17:38:19 --enforcementcount 1 &gt;&gt;%USERPROFILE%\Documents\GitHub\eaglep3-reporting\EC\2017-11-17-refined-times.txt</v>
      </c>
      <c r="AI115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{"issue":{"subject":"","project_id":79,"tracker_id":40,"status_id":1,"priority_id":2,"assigned_to_id":338,"start_date":"2017-11-17","description":"","custom_fields":[{"id":1,"name":"Subdivision","value":"EC"},{"id":4,"name":"Milepost","value":"0.024"},{"id":17,"name":"Train ID","value":"200-17"},{"id":16,"name":"Locomotive ID","value":"4019"},{"id":130,"name":"Impact","value":""},{"id":150,"name":"Time of Event (Mountain Time)","value":"17:38:19"},{"id":151,"name":"Denver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5" s="47"/>
      <c r="AL115" s="47"/>
      <c r="AM115" s="142" t="str">
        <f t="shared" si="37"/>
        <v>start /low /b %USERPROFILE%\Documents\GitHub\eaglep3\Utilities\DownloadLogsFromS3.py --loco 4019 --day 2017-11-17</v>
      </c>
      <c r="AN115" s="151" t="str">
        <f t="shared" si="38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00:38:19"},{"id":29,"name":"Sharepoint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168" t="str">
        <f t="shared" si="39"/>
        <v>https://d0f6bd738d7f1b3e5a7ca70fe4ff75f0.us-east-1.aws.found.io/app/kibana#/discover/Steve-Slow-Train-Analysis-(2080s-and-2083s)?_g=(refreshInterval:(display:Off,pause:!f,section:0,value:0),time:(from:'2017-11-17T15:51:00-0700',mode:absolute,to:'2017-11-17T18:38:19-0700'))&amp;_a=(columns:!('Message%20ID',Summary),filters:!(),index:'emp_*',interval:auto,query:(query_string:(analyze_wildcard:!t,query:'%22rtdc.l.rtdc.4019%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3">
      <c r="A116" s="32" t="s">
        <v>811</v>
      </c>
      <c r="B116" s="7">
        <v>4010</v>
      </c>
      <c r="C116" s="21" t="s">
        <v>192</v>
      </c>
      <c r="D116" s="21" t="s">
        <v>596</v>
      </c>
      <c r="E116" s="13">
        <v>43056.673692129632</v>
      </c>
      <c r="F116" s="13">
        <v>43056.67728009259</v>
      </c>
      <c r="G116" s="7">
        <v>67</v>
      </c>
      <c r="H116" s="21" t="s">
        <v>989</v>
      </c>
      <c r="I116" s="13">
        <v>43056.703599537039</v>
      </c>
      <c r="J116" s="7">
        <v>1</v>
      </c>
      <c r="K116" s="89" t="str">
        <f t="shared" si="23"/>
        <v>4009/4010</v>
      </c>
      <c r="L116" s="185" t="str">
        <f>VLOOKUP(A116,'Trips&amp;Operators'!$C$1:$G$99911,5,FALSE)</f>
        <v>HOLCOMB KAMDEN</v>
      </c>
      <c r="M116" s="6">
        <f t="shared" si="24"/>
        <v>2.6319444448745344E-2</v>
      </c>
      <c r="N116" s="7">
        <f t="shared" si="42"/>
        <v>37.900000006193295</v>
      </c>
      <c r="O116" s="7"/>
      <c r="P116" s="7"/>
      <c r="Q116" s="22"/>
      <c r="R116" s="174"/>
      <c r="S116" s="221">
        <f t="shared" si="43"/>
        <v>1</v>
      </c>
      <c r="T116" s="174" t="str">
        <f t="shared" si="25"/>
        <v>NorthBound</v>
      </c>
      <c r="U116" s="198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16" t="str">
        <f t="shared" si="26"/>
        <v>https://d0f6bd738d7f1b3e5a7ca70fe4ff75f0.us-east-1.aws.found.io/app/kibana#/discover/Steve-Slow-Train-Analysis-(2080s-and-2083s)?_g=(refreshInterval:(display:Off,pause:!f,section:0,value:0),time:(from:'2017-11-17T15:10:07-0700',mode:absolute,to:'2017-11-17T17:53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16" s="204" t="str">
        <f>IF(AA116&lt;VLOOKUP(AG116,Variables!$AC$3:$AD$8,2,FALSE),"Y","N")</f>
        <v>N</v>
      </c>
      <c r="X116" s="204">
        <f t="shared" si="27"/>
        <v>1</v>
      </c>
      <c r="Y116" s="204">
        <f t="shared" si="44"/>
        <v>5.3100000000000001E-2</v>
      </c>
      <c r="Z116" s="204">
        <f t="shared" si="45"/>
        <v>23.323399999999999</v>
      </c>
      <c r="AA116" s="204">
        <f t="shared" si="30"/>
        <v>23.270299999999999</v>
      </c>
      <c r="AB116" s="54" t="e">
        <f>VLOOKUP(A116,Enforcements!$C$7:$K$9,8,0)</f>
        <v>#N/A</v>
      </c>
      <c r="AC116" s="51" t="e">
        <f>VLOOKUP(A116,Enforcements!$C$7:$E$9,3,0)</f>
        <v>#N/A</v>
      </c>
      <c r="AD116" s="179">
        <f t="shared" si="31"/>
        <v>201</v>
      </c>
      <c r="AE116" s="77" t="str">
        <f t="shared" si="32"/>
        <v>aws s3 cp s3://rtdc.mdm.uploadarchive.raw/RTDC4010/ "%USERPROFILE%\AppData\Local\Temp\OnboardLogs"\RTDC4010\2017-11-17 --exclude "*" --recursive --include "*20171117*" &amp; "%USERPROFILE%\Documents\GitHub\mrs-test-scripts\Headless Mode &amp; Sideloading\WalkAndUnGZ.bat" "%USERPROFILE%\AppData\Local\Temp\OnboardLogs"\RTDC4010\2017-11-17 &amp; aws s3 cp s3://rtdc.mdm.uploadarchive.raw/RTDC4010/ "%USERPROFILE%\AppData\Local\Temp\OnboardLogs"\RTDC4010\2017-11-18 --exclude "*" --recursive --include "*20171118*" &amp; "%USERPROFILE%\Documents\GitHub\mrs-test-scripts\Headless Mode &amp; Sideloading\WalkAndUnGZ.bat" "%USERPROFILE%\AppData\Local\Temp\OnboardLogs"\RTDC4010\2017-11-18</v>
      </c>
      <c r="AF116" s="74" t="str">
        <f t="shared" si="33"/>
        <v>"C:\Program Files (x86)\AstroGrep\AstroGrep.exe" /e /r /s /spath="%USERPROFILE%\AppData\Local\Temp\OnboardLogs" /stypes="app*4010*20171117*" /stext=" 23:.+((SYSTEM_STATE.+slice.+state.+changed )|(ment ac)|(multiple cpu faults)|(system.+state.+changed )|(\[timeout)|(PRM\|1\|D)|(kpr)|(kdp)|(train st.+moving)|(\|lc)|(penalty))"</v>
      </c>
      <c r="AG116" s="182" t="str">
        <f t="shared" si="34"/>
        <v>EC</v>
      </c>
      <c r="AH116" s="78" t="str">
        <f t="shared" si="35"/>
        <v>"%USERPROFILE%\Documents\GitHub\eaglep3\Utilities\RefineRTDCRunTimes.py" --tripid 201-17 --locoid 4010 --swversion DE.1.0.9.0 --startMP 204:531 --initTime 2017-11-17T16:10:07 --startdatetime 2017-11-17T16:15:17 --delay 67 --endMP 204:233234 --enddatetime 2017-11-17T16:53:11 --enforcementcount 1 &gt;&gt;%USERPROFILE%\Documents\GitHub\eaglep3-reporting\EC\2017-11-17-refined-times.txt</v>
      </c>
      <c r="AI116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{"issue":{"subject":"","project_id":79,"tracker_id":40,"status_id":1,"priority_id":2,"assigned_to_id":338,"start_date":"2017-11-17","description":"","custom_fields":[{"id":1,"name":"Subdivision","value":"EC"},{"id":4,"name":"Milepost","value":"23.3234"},{"id":17,"name":"Train ID","value":"201-17"},{"id":16,"name":"Locomotive ID","value":"4010"},{"id":130,"name":"Impact","value":""},{"id":150,"name":"Time of Event (Mountain Time)","value":"16:53:11"},{"id":151,"name":"Denver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6" s="47"/>
      <c r="AL116" s="47"/>
      <c r="AM116" s="142" t="str">
        <f t="shared" si="37"/>
        <v>start /low /b %USERPROFILE%\Documents\GitHub\eaglep3\Utilities\DownloadLogsFromS3.py --loco 4010 --day 2017-11-17</v>
      </c>
      <c r="AN116" s="151" t="str">
        <f t="shared" si="38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23:53:11"},{"id":29,"name":"Sharepoint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168" t="str">
        <f t="shared" si="39"/>
        <v>https://d0f6bd738d7f1b3e5a7ca70fe4ff75f0.us-east-1.aws.found.io/app/kibana#/discover/Steve-Slow-Train-Analysis-(2080s-and-2083s)?_g=(refreshInterval:(display:Off,pause:!f,section:0,value:0),time:(from:'2017-11-17T15:10:07-0700',mode:absolute,to:'2017-11-17T17:53:11-0700'))&amp;_a=(columns:!('Message%20ID',Summary),filters:!(),index:'emp_*',interval:auto,query:(query_string:(analyze_wildcard:!t,query:'%22rtdc.l.rtdc.4010%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3">
      <c r="A117" s="32" t="s">
        <v>824</v>
      </c>
      <c r="B117" s="7">
        <v>4009</v>
      </c>
      <c r="C117" s="21" t="s">
        <v>192</v>
      </c>
      <c r="D117" s="21" t="s">
        <v>980</v>
      </c>
      <c r="E117" s="13">
        <v>43056.711643518516</v>
      </c>
      <c r="F117" s="13">
        <v>43056.716979166667</v>
      </c>
      <c r="G117" s="7">
        <v>79</v>
      </c>
      <c r="H117" s="21" t="s">
        <v>597</v>
      </c>
      <c r="I117" s="13">
        <v>43056.744351851848</v>
      </c>
      <c r="J117" s="7">
        <v>1</v>
      </c>
      <c r="K117" s="89" t="str">
        <f t="shared" si="23"/>
        <v>4009/4010</v>
      </c>
      <c r="L117" s="185" t="str">
        <f>VLOOKUP(A117,'Trips&amp;Operators'!$C$1:$G$99911,5,FALSE)</f>
        <v>HOLCOMB KAMDEN</v>
      </c>
      <c r="M117" s="6">
        <f t="shared" si="24"/>
        <v>2.7372685181035195E-2</v>
      </c>
      <c r="N117" s="7">
        <f t="shared" si="42"/>
        <v>39.41666666069068</v>
      </c>
      <c r="O117" s="7"/>
      <c r="P117" s="7"/>
      <c r="Q117" s="22"/>
      <c r="R117" s="174"/>
      <c r="S117" s="221">
        <f t="shared" si="43"/>
        <v>1</v>
      </c>
      <c r="T117" s="174" t="str">
        <f t="shared" si="25"/>
        <v>Southbound</v>
      </c>
      <c r="U117" s="198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16" t="str">
        <f t="shared" si="26"/>
        <v>https://d0f6bd738d7f1b3e5a7ca70fe4ff75f0.us-east-1.aws.found.io/app/kibana#/discover/Steve-Slow-Train-Analysis-(2080s-and-2083s)?_g=(refreshInterval:(display:Off,pause:!f,section:0,value:0),time:(from:'2017-11-17T16:04:46-0700',mode:absolute,to:'2017-11-17T18:51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17" s="204" t="str">
        <f>IF(AA117&lt;VLOOKUP(AG117,Variables!$AC$3:$AD$8,2,FALSE),"Y","N")</f>
        <v>N</v>
      </c>
      <c r="X117" s="204">
        <f t="shared" si="27"/>
        <v>1</v>
      </c>
      <c r="Y117" s="204">
        <f t="shared" si="44"/>
        <v>23.290700000000001</v>
      </c>
      <c r="Z117" s="204">
        <f t="shared" si="45"/>
        <v>2.3400000000000001E-2</v>
      </c>
      <c r="AA117" s="204">
        <f t="shared" si="30"/>
        <v>23.267300000000002</v>
      </c>
      <c r="AB117" s="54" t="e">
        <f>VLOOKUP(A117,Enforcements!$C$7:$K$9,8,0)</f>
        <v>#N/A</v>
      </c>
      <c r="AC117" s="51" t="e">
        <f>VLOOKUP(A117,Enforcements!$C$7:$E$9,3,0)</f>
        <v>#N/A</v>
      </c>
      <c r="AD117" s="179">
        <f t="shared" si="31"/>
        <v>202</v>
      </c>
      <c r="AE117" s="77" t="str">
        <f t="shared" si="32"/>
        <v>aws s3 cp s3://rtdc.mdm.uploadarchive.raw/RTDC4009/ "%USERPROFILE%\AppData\Local\Temp\OnboardLogs"\RTDC4009\2017-11-17 --exclude "*" --recursive --include "*20171117*" &amp; "%USERPROFILE%\Documents\GitHub\mrs-test-scripts\Headless Mode &amp; Sideloading\WalkAndUnGZ.bat" "%USERPROFILE%\AppData\Local\Temp\OnboardLogs"\RTDC4009\2017-11-17 &amp; aws s3 cp s3://rtdc.mdm.uploadarchive.raw/RTDC4009/ "%USERPROFILE%\AppData\Local\Temp\OnboardLogs"\RTDC4009\2017-11-18 --exclude "*" --recursive --include "*20171118*" &amp; "%USERPROFILE%\Documents\GitHub\mrs-test-scripts\Headless Mode &amp; Sideloading\WalkAndUnGZ.bat" "%USERPROFILE%\AppData\Local\Temp\OnboardLogs"\RTDC4009\2017-11-18</v>
      </c>
      <c r="AF117" s="74" t="str">
        <f t="shared" si="33"/>
        <v>"C:\Program Files (x86)\AstroGrep\AstroGrep.exe" /e /r /s /spath="%USERPROFILE%\AppData\Local\Temp\OnboardLogs" /stypes="app*4009*20171118*" /stext=" 00:.+((SYSTEM_STATE.+slice.+state.+changed )|(ment ac)|(multiple cpu faults)|(system.+state.+changed )|(\[timeout)|(PRM\|1\|D)|(kpr)|(kdp)|(train st.+moving)|(\|lc)|(penalty))"</v>
      </c>
      <c r="AG117" s="182" t="str">
        <f t="shared" si="34"/>
        <v>EC</v>
      </c>
      <c r="AH117" s="78" t="str">
        <f t="shared" si="35"/>
        <v>"%USERPROFILE%\Documents\GitHub\eaglep3\Utilities\RefineRTDCRunTimes.py" --tripid 202-17 --locoid 4009 --swversion DE.1.0.9.0 --startMP 204:232907 --initTime 2017-11-17T17:04:46 --startdatetime 2017-11-17T17:12:27 --delay 79 --endMP 204:234 --enddatetime 2017-11-17T17:51:52 --enforcementcount 1 &gt;&gt;%USERPROFILE%\Documents\GitHub\eaglep3-reporting\EC\2017-11-17-refined-times.txt</v>
      </c>
      <c r="AI117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{"issue":{"subject":"","project_id":79,"tracker_id":40,"status_id":1,"priority_id":2,"assigned_to_id":338,"start_date":"2017-11-17","description":"","custom_fields":[{"id":1,"name":"Subdivision","value":"EC"},{"id":4,"name":"Milepost","value":"0.0234"},{"id":17,"name":"Train ID","value":"202-17"},{"id":16,"name":"Locomotive ID","value":"4009"},{"id":130,"name":"Impact","value":""},{"id":150,"name":"Time of Event (Mountain Time)","value":"17:51:52"},{"id":151,"name":"Denver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7" s="47"/>
      <c r="AL117" s="47"/>
      <c r="AM117" s="142" t="str">
        <f t="shared" si="37"/>
        <v>start /low /b %USERPROFILE%\Documents\GitHub\eaglep3\Utilities\DownloadLogsFromS3.py --loco 4009 --day 2017-11-17</v>
      </c>
      <c r="AN117" s="151" t="str">
        <f t="shared" si="38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00:51:52"},{"id":29,"name":"Sharepoint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168" t="str">
        <f t="shared" si="39"/>
        <v>https://d0f6bd738d7f1b3e5a7ca70fe4ff75f0.us-east-1.aws.found.io/app/kibana#/discover/Steve-Slow-Train-Analysis-(2080s-and-2083s)?_g=(refreshInterval:(display:Off,pause:!f,section:0,value:0),time:(from:'2017-11-17T16:04:46-0700',mode:absolute,to:'2017-11-17T18:51:52-0700'))&amp;_a=(columns:!('Message%20ID',Summary),filters:!(),index:'emp_*',interval:auto,query:(query_string:(analyze_wildcard:!t,query:'%22rtdc.l.rtdc.4009%22')),sort:!(Time.ISO8601,asc))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3">
      <c r="A118" s="32" t="s">
        <v>813</v>
      </c>
      <c r="B118" s="7">
        <v>4036</v>
      </c>
      <c r="C118" s="21" t="s">
        <v>192</v>
      </c>
      <c r="D118" s="21" t="s">
        <v>529</v>
      </c>
      <c r="E118" s="13">
        <v>43056.682326388887</v>
      </c>
      <c r="F118" s="13">
        <v>43056.687974537039</v>
      </c>
      <c r="G118" s="7">
        <v>101</v>
      </c>
      <c r="H118" s="21" t="s">
        <v>990</v>
      </c>
      <c r="I118" s="13">
        <v>43056.713113425925</v>
      </c>
      <c r="J118" s="7">
        <v>1</v>
      </c>
      <c r="K118" s="89" t="str">
        <f t="shared" si="23"/>
        <v>4035/4036</v>
      </c>
      <c r="L118" s="185" t="str">
        <f>VLOOKUP(A118,'Trips&amp;Operators'!$C$1:$G$99911,5,FALSE)</f>
        <v>SAFIEF AEIMEN</v>
      </c>
      <c r="M118" s="6">
        <f t="shared" si="24"/>
        <v>2.5138888886431232E-2</v>
      </c>
      <c r="N118" s="7">
        <f t="shared" si="42"/>
        <v>36.199999996460974</v>
      </c>
      <c r="O118" s="7"/>
      <c r="P118" s="7"/>
      <c r="Q118" s="22"/>
      <c r="R118" s="174"/>
      <c r="S118" s="221">
        <f t="shared" si="43"/>
        <v>1</v>
      </c>
      <c r="T118" s="174" t="str">
        <f t="shared" si="25"/>
        <v>NorthBound</v>
      </c>
      <c r="U118" s="198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16" t="str">
        <f t="shared" si="26"/>
        <v>https://d0f6bd738d7f1b3e5a7ca70fe4ff75f0.us-east-1.aws.found.io/app/kibana#/discover/Steve-Slow-Train-Analysis-(2080s-and-2083s)?_g=(refreshInterval:(display:Off,pause:!f,section:0,value:0),time:(from:'2017-11-17T15:22:33-0700',mode:absolute,to:'2017-11-17T18:06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18" s="204" t="str">
        <f>IF(AA118&lt;VLOOKUP(AG118,Variables!$AC$3:$AD$8,2,FALSE),"Y","N")</f>
        <v>N</v>
      </c>
      <c r="X118" s="204">
        <f t="shared" si="27"/>
        <v>1</v>
      </c>
      <c r="Y118" s="204">
        <f t="shared" si="44"/>
        <v>4.8800000000000003E-2</v>
      </c>
      <c r="Z118" s="204">
        <f t="shared" si="45"/>
        <v>23.322900000000001</v>
      </c>
      <c r="AA118" s="204">
        <f t="shared" si="30"/>
        <v>23.274100000000001</v>
      </c>
      <c r="AB118" s="54" t="e">
        <f>VLOOKUP(A118,Enforcements!$C$7:$K$9,8,0)</f>
        <v>#N/A</v>
      </c>
      <c r="AC118" s="51" t="e">
        <f>VLOOKUP(A118,Enforcements!$C$7:$E$9,3,0)</f>
        <v>#N/A</v>
      </c>
      <c r="AD118" s="179">
        <f t="shared" si="31"/>
        <v>203</v>
      </c>
      <c r="AE118" s="77" t="str">
        <f t="shared" si="32"/>
        <v>aws s3 cp s3://rtdc.mdm.uploadarchive.raw/RTDC4036/ "%USERPROFILE%\AppData\Local\Temp\OnboardLogs"\RTDC4036\2017-11-17 --exclude "*" --recursive --include "*20171117*" &amp; "%USERPROFILE%\Documents\GitHub\mrs-test-scripts\Headless Mode &amp; Sideloading\WalkAndUnGZ.bat" "%USERPROFILE%\AppData\Local\Temp\OnboardLogs"\RTDC4036\2017-11-17 &amp; aws s3 cp s3://rtdc.mdm.uploadarchive.raw/RTDC4036/ "%USERPROFILE%\AppData\Local\Temp\OnboardLogs"\RTDC4036\2017-11-18 --exclude "*" --recursive --include "*20171118*" &amp; "%USERPROFILE%\Documents\GitHub\mrs-test-scripts\Headless Mode &amp; Sideloading\WalkAndUnGZ.bat" "%USERPROFILE%\AppData\Local\Temp\OnboardLogs"\RTDC4036\2017-11-18</v>
      </c>
      <c r="AF118" s="74" t="str">
        <f t="shared" si="33"/>
        <v>"C:\Program Files (x86)\AstroGrep\AstroGrep.exe" /e /r /s /spath="%USERPROFILE%\AppData\Local\Temp\OnboardLogs" /stypes="app*4036*20171118*" /stext=" 00:.+((SYSTEM_STATE.+slice.+state.+changed )|(ment ac)|(multiple cpu faults)|(system.+state.+changed )|(\[timeout)|(PRM\|1\|D)|(kpr)|(kdp)|(train st.+moving)|(\|lc)|(penalty))"</v>
      </c>
      <c r="AG118" s="182" t="str">
        <f t="shared" si="34"/>
        <v>EC</v>
      </c>
      <c r="AH118" s="78" t="str">
        <f t="shared" si="35"/>
        <v>"%USERPROFILE%\Documents\GitHub\eaglep3\Utilities\RefineRTDCRunTimes.py" --tripid 203-17 --locoid 4036 --swversion DE.1.0.9.0 --startMP 204:488 --initTime 2017-11-17T16:22:33 --startdatetime 2017-11-17T16:30:41 --delay 101 --endMP 204:233229 --enddatetime 2017-11-17T17:06:53 --enforcementcount 1 &gt;&gt;%USERPROFILE%\Documents\GitHub\eaglep3-reporting\EC\2017-11-17-refined-times.txt</v>
      </c>
      <c r="AI118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{"issue":{"subject":"","project_id":79,"tracker_id":40,"status_id":1,"priority_id":2,"assigned_to_id":338,"start_date":"2017-11-17","description":"","custom_fields":[{"id":1,"name":"Subdivision","value":"EC"},{"id":4,"name":"Milepost","value":"23.3229"},{"id":17,"name":"Train ID","value":"203-17"},{"id":16,"name":"Locomotive ID","value":"4036"},{"id":130,"name":"Impact","value":""},{"id":150,"name":"Time of Event (Mountain Time)","value":"17:06:53"},{"id":151,"name":"Denver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8" s="47"/>
      <c r="AL118" s="47"/>
      <c r="AM118" s="142" t="str">
        <f t="shared" si="37"/>
        <v>start /low /b %USERPROFILE%\Documents\GitHub\eaglep3\Utilities\DownloadLogsFromS3.py --loco 4036 --day 2017-11-17</v>
      </c>
      <c r="AN118" s="151" t="str">
        <f t="shared" si="38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00:06:53"},{"id":29,"name":"Sharepoint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168" t="str">
        <f t="shared" si="39"/>
        <v>https://d0f6bd738d7f1b3e5a7ca70fe4ff75f0.us-east-1.aws.found.io/app/kibana#/discover/Steve-Slow-Train-Analysis-(2080s-and-2083s)?_g=(refreshInterval:(display:Off,pause:!f,section:0,value:0),time:(from:'2017-11-17T15:22:33-0700',mode:absolute,to:'2017-11-17T18:06:53-0700'))&amp;_a=(columns:!('Message%20ID',Summary),filters:!(),index:'emp_*',interval:auto,query:(query_string:(analyze_wildcard:!t,query:'%22rtdc.l.rtdc.4036%22')),sort:!(Time.ISO8601,asc))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3">
      <c r="A119" s="32" t="s">
        <v>649</v>
      </c>
      <c r="B119" s="7">
        <v>4035</v>
      </c>
      <c r="C119" s="21" t="s">
        <v>192</v>
      </c>
      <c r="D119" s="21" t="s">
        <v>991</v>
      </c>
      <c r="E119" s="13">
        <v>43056.71565972222</v>
      </c>
      <c r="F119" s="13">
        <v>43056.72729166667</v>
      </c>
      <c r="G119" s="7">
        <v>163</v>
      </c>
      <c r="H119" s="21" t="s">
        <v>991</v>
      </c>
      <c r="I119" s="13">
        <v>43056.738576388889</v>
      </c>
      <c r="J119" s="7">
        <v>1</v>
      </c>
      <c r="K119" s="89" t="str">
        <f t="shared" si="23"/>
        <v>4035/4036</v>
      </c>
      <c r="L119" s="185" t="str">
        <f>VLOOKUP(A119,'Trips&amp;Operators'!$C$1:$G$99911,5,FALSE)</f>
        <v>SAFIEF AEIMEN</v>
      </c>
      <c r="M119" s="6">
        <f t="shared" si="24"/>
        <v>1.1284722218988463E-2</v>
      </c>
      <c r="N119" s="7"/>
      <c r="O119" s="7"/>
      <c r="P119" s="7"/>
      <c r="Q119" s="22"/>
      <c r="R119" s="174"/>
      <c r="S119" s="221"/>
      <c r="T119" s="174" t="str">
        <f t="shared" si="25"/>
        <v>Southbound</v>
      </c>
      <c r="U119" s="198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0</v>
      </c>
      <c r="V119" s="216" t="str">
        <f t="shared" si="26"/>
        <v>https://d0f6bd738d7f1b3e5a7ca70fe4ff75f0.us-east-1.aws.found.io/app/kibana#/discover/Steve-Slow-Train-Analysis-(2080s-and-2083s)?_g=(refreshInterval:(display:Off,pause:!f,section:0,value:0),time:(from:'2017-11-17T16:10:33-0700',mode:absolute,to:'2017-11-17T18:43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19" s="204" t="str">
        <f>IF(AA119&lt;VLOOKUP(AG119,Variables!$AC$3:$AD$8,2,FALSE),"Y","N")</f>
        <v>Y</v>
      </c>
      <c r="X119" s="204">
        <f t="shared" si="27"/>
        <v>1</v>
      </c>
      <c r="Y119" s="204">
        <f t="shared" si="44"/>
        <v>23.290900000000001</v>
      </c>
      <c r="Z119" s="204">
        <f t="shared" si="45"/>
        <v>23.290900000000001</v>
      </c>
      <c r="AA119" s="204">
        <f t="shared" si="30"/>
        <v>0</v>
      </c>
      <c r="AB119" s="54" t="e">
        <f>VLOOKUP(A119,Enforcements!$C$7:$K$9,8,0)</f>
        <v>#N/A</v>
      </c>
      <c r="AC119" s="51" t="e">
        <f>VLOOKUP(A119,Enforcements!$C$7:$E$9,3,0)</f>
        <v>#N/A</v>
      </c>
      <c r="AD119" s="179">
        <f t="shared" si="31"/>
        <v>204</v>
      </c>
      <c r="AE119" s="77" t="str">
        <f t="shared" si="32"/>
        <v>aws s3 cp s3://rtdc.mdm.uploadarchive.raw/RTDC4035/ "%USERPROFILE%\AppData\Local\Temp\OnboardLogs"\RTDC4035\2017-11-17 --exclude "*" --recursive --include "*20171117*" &amp; "%USERPROFILE%\Documents\GitHub\mrs-test-scripts\Headless Mode &amp; Sideloading\WalkAndUnGZ.bat" "%USERPROFILE%\AppData\Local\Temp\OnboardLogs"\RTDC4035\2017-11-17 &amp; aws s3 cp s3://rtdc.mdm.uploadarchive.raw/RTDC4035/ "%USERPROFILE%\AppData\Local\Temp\OnboardLogs"\RTDC4035\2017-11-18 --exclude "*" --recursive --include "*20171118*" &amp; "%USERPROFILE%\Documents\GitHub\mrs-test-scripts\Headless Mode &amp; Sideloading\WalkAndUnGZ.bat" "%USERPROFILE%\AppData\Local\Temp\OnboardLogs"\RTDC4035\2017-11-18</v>
      </c>
      <c r="AF119" s="74" t="str">
        <f t="shared" si="33"/>
        <v>"C:\Program Files (x86)\AstroGrep\AstroGrep.exe" /e /r /s /spath="%USERPROFILE%\AppData\Local\Temp\OnboardLogs" /stypes="app*4035*20171118*" /stext=" 00:.+((SYSTEM_STATE.+slice.+state.+changed )|(ment ac)|(multiple cpu faults)|(system.+state.+changed )|(\[timeout)|(PRM\|1\|D)|(kpr)|(kdp)|(train st.+moving)|(\|lc)|(penalty))"</v>
      </c>
      <c r="AG119" s="182" t="str">
        <f t="shared" si="34"/>
        <v>EC</v>
      </c>
      <c r="AH119" s="78" t="str">
        <f t="shared" si="35"/>
        <v>"%USERPROFILE%\Documents\GitHub\eaglep3\Utilities\RefineRTDCRunTimes.py" --tripid 204-17 --locoid 4035 --swversion DE.1.0.9.0 --startMP 204:232909 --initTime 2017-11-17T17:10:33 --startdatetime 2017-11-17T17:27:18 --delay 163 --endMP 204:232909 --enddatetime 2017-11-17T17:43:33 --enforcementcount 1 &gt;&gt;%USERPROFILE%\Documents\GitHub\eaglep3-reporting\EC\2017-11-17-refined-times.txt</v>
      </c>
      <c r="AI119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{"issue":{"subject":"","project_id":79,"tracker_id":40,"status_id":1,"priority_id":2,"assigned_to_id":338,"start_date":"2017-11-17","description":"","custom_fields":[{"id":1,"name":"Subdivision","value":"EC"},{"id":4,"name":"Milepost","value":"23.2909"},{"id":17,"name":"Train ID","value":"204-17"},{"id":16,"name":"Locomotive ID","value":"4035"},{"id":130,"name":"Impact","value":""},{"id":150,"name":"Time of Event (Mountain Time)","value":"17:43:33"},{"id":151,"name":"Denver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9" s="47"/>
      <c r="AL119" s="47"/>
      <c r="AM119" s="142" t="str">
        <f t="shared" si="37"/>
        <v>start /low /b %USERPROFILE%\Documents\GitHub\eaglep3\Utilities\DownloadLogsFromS3.py --loco 4035 --day 2017-11-17</v>
      </c>
      <c r="AN119" s="151" t="str">
        <f t="shared" si="38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00:43:33"},{"id":29,"name":"Sharepoint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168" t="str">
        <f t="shared" si="39"/>
        <v>https://d0f6bd738d7f1b3e5a7ca70fe4ff75f0.us-east-1.aws.found.io/app/kibana#/discover/Steve-Slow-Train-Analysis-(2080s-and-2083s)?_g=(refreshInterval:(display:Off,pause:!f,section:0,value:0),time:(from:'2017-11-17T16:10:33-0700',mode:absolute,to:'2017-11-17T18:43:33-0700'))&amp;_a=(columns:!('Message%20ID',Summary),filters:!(),index:'emp_*',interval:auto,query:(query_string:(analyze_wildcard:!t,query:'%22rtdc.l.rtdc.4035%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3">
      <c r="A120" s="32" t="s">
        <v>649</v>
      </c>
      <c r="B120" s="7">
        <v>4035</v>
      </c>
      <c r="C120" s="21" t="s">
        <v>192</v>
      </c>
      <c r="D120" s="21" t="s">
        <v>991</v>
      </c>
      <c r="E120" s="13">
        <v>43056.724976851852</v>
      </c>
      <c r="F120" s="13">
        <v>43056.72729166667</v>
      </c>
      <c r="G120" s="7">
        <v>63</v>
      </c>
      <c r="H120" s="21" t="s">
        <v>580</v>
      </c>
      <c r="I120" s="13">
        <v>43056.757337962961</v>
      </c>
      <c r="J120" s="7">
        <v>1</v>
      </c>
      <c r="K120" s="89" t="str">
        <f t="shared" si="23"/>
        <v>4035/4036</v>
      </c>
      <c r="L120" s="185" t="str">
        <f>VLOOKUP(A120,'Trips&amp;Operators'!$C$1:$G$99911,5,FALSE)</f>
        <v>SAFIEF AEIMEN</v>
      </c>
      <c r="M120" s="6">
        <f t="shared" si="24"/>
        <v>3.0046296291402541E-2</v>
      </c>
      <c r="N120" s="7">
        <f t="shared" ref="N120:N141" si="46">24*60*SUM($M120:$M120)</f>
        <v>43.266666659619659</v>
      </c>
      <c r="O120" s="7"/>
      <c r="P120" s="7"/>
      <c r="Q120" s="22"/>
      <c r="R120" s="174" t="s">
        <v>1128</v>
      </c>
      <c r="S120" s="221">
        <f t="shared" ref="S120:S142" si="47">1/IF(AG120="EC",12,1)*SUM(U120:U120)</f>
        <v>1</v>
      </c>
      <c r="T120" s="174" t="str">
        <f t="shared" si="25"/>
        <v>Southbound</v>
      </c>
      <c r="U120" s="198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16" t="str">
        <f t="shared" si="26"/>
        <v>https://d0f6bd738d7f1b3e5a7ca70fe4ff75f0.us-east-1.aws.found.io/app/kibana#/discover/Steve-Slow-Train-Analysis-(2080s-and-2083s)?_g=(refreshInterval:(display:Off,pause:!f,section:0,value:0),time:(from:'2017-11-17T16:23:58-0700',mode:absolute,to:'2017-11-17T19:10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20" s="204" t="str">
        <f>IF(AA120&lt;VLOOKUP(AG120,Variables!$AC$3:$AD$8,2,FALSE),"Y","N")</f>
        <v>N</v>
      </c>
      <c r="X120" s="204">
        <f t="shared" si="27"/>
        <v>0</v>
      </c>
      <c r="Y120" s="204">
        <f t="shared" si="44"/>
        <v>23.290900000000001</v>
      </c>
      <c r="Z120" s="204">
        <f t="shared" si="45"/>
        <v>1.9599999999999999E-2</v>
      </c>
      <c r="AA120" s="204">
        <f t="shared" si="30"/>
        <v>23.2713</v>
      </c>
      <c r="AB120" s="54" t="e">
        <f>VLOOKUP(A120,Enforcements!$C$7:$K$9,8,0)</f>
        <v>#N/A</v>
      </c>
      <c r="AC120" s="51" t="e">
        <f>VLOOKUP(A120,Enforcements!$C$7:$E$9,3,0)</f>
        <v>#N/A</v>
      </c>
      <c r="AD120" s="179">
        <f t="shared" si="31"/>
        <v>204</v>
      </c>
      <c r="AE120" s="77" t="str">
        <f t="shared" si="32"/>
        <v>aws s3 cp s3://rtdc.mdm.uploadarchive.raw/RTDC4035/ "%USERPROFILE%\AppData\Local\Temp\OnboardLogs"\RTDC4035\2017-11-17 --exclude "*" --recursive --include "*20171117*" &amp; "%USERPROFILE%\Documents\GitHub\mrs-test-scripts\Headless Mode &amp; Sideloading\WalkAndUnGZ.bat" "%USERPROFILE%\AppData\Local\Temp\OnboardLogs"\RTDC4035\2017-11-17 &amp; aws s3 cp s3://rtdc.mdm.uploadarchive.raw/RTDC4035/ "%USERPROFILE%\AppData\Local\Temp\OnboardLogs"\RTDC4035\2017-11-18 --exclude "*" --recursive --include "*20171118*" &amp; "%USERPROFILE%\Documents\GitHub\mrs-test-scripts\Headless Mode &amp; Sideloading\WalkAndUnGZ.bat" "%USERPROFILE%\AppData\Local\Temp\OnboardLogs"\RTDC4035\2017-11-18</v>
      </c>
      <c r="AF120" s="74" t="str">
        <f t="shared" si="33"/>
        <v>"C:\Program Files (x86)\AstroGrep\AstroGrep.exe" /e /r /s /spath="%USERPROFILE%\AppData\Local\Temp\OnboardLogs" /stypes="app*4035*20171118*" /stext=" 01:.+((SYSTEM_STATE.+slice.+state.+changed )|(ment ac)|(multiple cpu faults)|(system.+state.+changed )|(\[timeout)|(PRM\|1\|D)|(kpr)|(kdp)|(train st.+moving)|(\|lc)|(penalty))"</v>
      </c>
      <c r="AG120" s="182" t="str">
        <f t="shared" si="34"/>
        <v>EC</v>
      </c>
      <c r="AH120" s="78" t="str">
        <f t="shared" si="35"/>
        <v>"%USERPROFILE%\Documents\GitHub\eaglep3\Utilities\RefineRTDCRunTimes.py" --tripid 204-17 --locoid 4035 --swversion DE.1.0.9.0 --startMP 204:232909 --initTime 2017-11-17T17:23:58 --startdatetime 2017-11-17T17:27:18 --delay 63 --endMP 204:196 --enddatetime 2017-11-17T18:10:34 --enforcementcount 1 &gt;&gt;%USERPROFILE%\Documents\GitHub\eaglep3-reporting\EC\2017-11-17-refined-times.txt</v>
      </c>
      <c r="AI120" s="96" t="str">
        <f t="shared" si="36"/>
        <v>echo {"issue":{"subject":"Observed wheel tach issue","project_id":79,"tracker_id":40,"status_id":1,"priority_id":2,"assigned_to_id":338,"start_date":"2017-11-17","description":"","custom_fields":[{"id":1,"name":"Subdivision","value":"EC"},{"id":4,"name":"Milepost","value":"0.0196"},{"id":17,"name":"Train ID","value":"204-17"},{"id":16,"name":"Locomotive ID","value":"4035"},{"id":130,"name":"Impact","value":""},{"id":150,"name":"Time of Event (Mountain Time)","value":"18:10:34"},{"id":151,"name":"Denver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0" s="47"/>
      <c r="AL120" s="47"/>
      <c r="AM120" s="142" t="str">
        <f t="shared" si="37"/>
        <v>start /low /b %USERPROFILE%\Documents\GitHub\eaglep3\Utilities\DownloadLogsFromS3.py --loco 4035 --day 2017-11-17</v>
      </c>
      <c r="AN120" s="151" t="str">
        <f t="shared" si="38"/>
        <v>echo {"issue":{"subject":"Observed wheel tach issue","project_id":30,"tracker_id":4,"status_id":1,"priority_id":1,"assigned_to_id":10,"start_date":"2017-11-18","description":"","custom_fields":[{"id":30,"name":"Category","value":"Issue"},{"id":3,"name":"Functional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01:10:34"},{"id":29,"name":"Sharepoint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168" t="str">
        <f t="shared" si="39"/>
        <v>https://d0f6bd738d7f1b3e5a7ca70fe4ff75f0.us-east-1.aws.found.io/app/kibana#/discover/Steve-Slow-Train-Analysis-(2080s-and-2083s)?_g=(refreshInterval:(display:Off,pause:!f,section:0,value:0),time:(from:'2017-11-17T16:23:58-0700',mode:absolute,to:'2017-11-17T19:10:34-0700'))&amp;_a=(columns:!('Message%20ID',Summary),filters:!(),index:'emp_*',interval:auto,query:(query_string:(analyze_wildcard:!t,query:'%22rtdc.l.rtdc.4035%22')),sort:!(Time.ISO8601,asc))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3">
      <c r="A121" s="32" t="s">
        <v>817</v>
      </c>
      <c r="B121" s="7">
        <v>4014</v>
      </c>
      <c r="C121" s="21" t="s">
        <v>192</v>
      </c>
      <c r="D121" s="21" t="s">
        <v>992</v>
      </c>
      <c r="E121" s="13">
        <v>43056.693564814814</v>
      </c>
      <c r="F121" s="13">
        <v>43056.698275462964</v>
      </c>
      <c r="G121" s="7">
        <v>61</v>
      </c>
      <c r="H121" s="21" t="s">
        <v>987</v>
      </c>
      <c r="I121" s="13">
        <v>43056.723055555558</v>
      </c>
      <c r="J121" s="7">
        <v>1</v>
      </c>
      <c r="K121" s="89" t="str">
        <f t="shared" si="23"/>
        <v>4013/4014</v>
      </c>
      <c r="L121" s="185" t="str">
        <f>VLOOKUP(A121,'Trips&amp;Operators'!$C$1:$G$99911,5,FALSE)</f>
        <v>DELGADO DIANAH</v>
      </c>
      <c r="M121" s="6">
        <f t="shared" si="24"/>
        <v>2.4780092593573499E-2</v>
      </c>
      <c r="N121" s="7">
        <f t="shared" si="46"/>
        <v>35.683333334745839</v>
      </c>
      <c r="O121" s="7"/>
      <c r="P121" s="7"/>
      <c r="Q121" s="22"/>
      <c r="R121" s="174"/>
      <c r="S121" s="221">
        <f t="shared" si="47"/>
        <v>1</v>
      </c>
      <c r="T121" s="174" t="str">
        <f t="shared" si="25"/>
        <v>NorthBound</v>
      </c>
      <c r="U121" s="198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16" t="str">
        <f t="shared" si="26"/>
        <v>https://d0f6bd738d7f1b3e5a7ca70fe4ff75f0.us-east-1.aws.found.io/app/kibana#/discover/Steve-Slow-Train-Analysis-(2080s-and-2083s)?_g=(refreshInterval:(display:Off,pause:!f,section:0,value:0),time:(from:'2017-11-17T15:38:44-0700',mode:absolute,to:'2017-11-17T18:21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21" s="204" t="str">
        <f>IF(AA121&lt;VLOOKUP(AG121,Variables!$AC$3:$AD$8,2,FALSE),"Y","N")</f>
        <v>N</v>
      </c>
      <c r="X121" s="204">
        <f t="shared" si="27"/>
        <v>1</v>
      </c>
      <c r="Y121" s="204">
        <f t="shared" si="44"/>
        <v>0.12330000000000001</v>
      </c>
      <c r="Z121" s="204">
        <f t="shared" si="45"/>
        <v>23.331099999999999</v>
      </c>
      <c r="AA121" s="204">
        <f t="shared" si="30"/>
        <v>23.207799999999999</v>
      </c>
      <c r="AB121" s="54" t="e">
        <f>VLOOKUP(A121,Enforcements!$C$7:$K$9,8,0)</f>
        <v>#N/A</v>
      </c>
      <c r="AC121" s="51" t="e">
        <f>VLOOKUP(A121,Enforcements!$C$7:$E$9,3,0)</f>
        <v>#N/A</v>
      </c>
      <c r="AD121" s="179">
        <f t="shared" si="31"/>
        <v>205</v>
      </c>
      <c r="AE121" s="77" t="str">
        <f t="shared" si="32"/>
        <v>aws s3 cp s3://rtdc.mdm.uploadarchive.raw/RTDC4014/ "%USERPROFILE%\AppData\Local\Temp\OnboardLogs"\RTDC4014\2017-11-17 --exclude "*" --recursive --include "*20171117*" &amp; "%USERPROFILE%\Documents\GitHub\mrs-test-scripts\Headless Mode &amp; Sideloading\WalkAndUnGZ.bat" "%USERPROFILE%\AppData\Local\Temp\OnboardLogs"\RTDC4014\2017-11-17 &amp; aws s3 cp s3://rtdc.mdm.uploadarchive.raw/RTDC4014/ "%USERPROFILE%\AppData\Local\Temp\OnboardLogs"\RTDC4014\2017-11-18 --exclude "*" --recursive --include "*20171118*" &amp; "%USERPROFILE%\Documents\GitHub\mrs-test-scripts\Headless Mode &amp; Sideloading\WalkAndUnGZ.bat" "%USERPROFILE%\AppData\Local\Temp\OnboardLogs"\RTDC4014\2017-11-18</v>
      </c>
      <c r="AF121" s="74" t="str">
        <f t="shared" si="33"/>
        <v>"C:\Program Files (x86)\AstroGrep\AstroGrep.exe" /e /r /s /spath="%USERPROFILE%\AppData\Local\Temp\OnboardLogs" /stypes="app*4014*20171118*" /stext=" 00:.+((SYSTEM_STATE.+slice.+state.+changed )|(ment ac)|(multiple cpu faults)|(system.+state.+changed )|(\[timeout)|(PRM\|1\|D)|(kpr)|(kdp)|(train st.+moving)|(\|lc)|(penalty))"</v>
      </c>
      <c r="AG121" s="182" t="str">
        <f t="shared" si="34"/>
        <v>EC</v>
      </c>
      <c r="AH121" s="78" t="str">
        <f t="shared" si="35"/>
        <v>"%USERPROFILE%\Documents\GitHub\eaglep3\Utilities\RefineRTDCRunTimes.py" --tripid 205-17 --locoid 4014 --swversion DE.1.0.9.0 --startMP 204:1233 --initTime 2017-11-17T16:38:44 --startdatetime 2017-11-17T16:45:31 --delay 61 --endMP 204:233311 --enddatetime 2017-11-17T17:21:12 --enforcementcount 1 &gt;&gt;%USERPROFILE%\Documents\GitHub\eaglep3-reporting\EC\2017-11-17-refined-times.txt</v>
      </c>
      <c r="AI121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{"issue":{"subject":"","project_id":79,"tracker_id":40,"status_id":1,"priority_id":2,"assigned_to_id":338,"start_date":"2017-11-17","description":"","custom_fields":[{"id":1,"name":"Subdivision","value":"EC"},{"id":4,"name":"Milepost","value":"23.3311"},{"id":17,"name":"Train ID","value":"205-17"},{"id":16,"name":"Locomotive ID","value":"4014"},{"id":130,"name":"Impact","value":""},{"id":150,"name":"Time of Event (Mountain Time)","value":"17:21:12"},{"id":151,"name":"Denver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1" s="47"/>
      <c r="AL121" s="47"/>
      <c r="AM121" s="142" t="str">
        <f t="shared" si="37"/>
        <v>start /low /b %USERPROFILE%\Documents\GitHub\eaglep3\Utilities\DownloadLogsFromS3.py --loco 4014 --day 2017-11-17</v>
      </c>
      <c r="AN121" s="151" t="str">
        <f t="shared" si="38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00:21:12"},{"id":29,"name":"Sharepoint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168" t="str">
        <f t="shared" si="39"/>
        <v>https://d0f6bd738d7f1b3e5a7ca70fe4ff75f0.us-east-1.aws.found.io/app/kibana#/discover/Steve-Slow-Train-Analysis-(2080s-and-2083s)?_g=(refreshInterval:(display:Off,pause:!f,section:0,value:0),time:(from:'2017-11-17T15:38:44-0700',mode:absolute,to:'2017-11-17T18:21:12-0700'))&amp;_a=(columns:!('Message%20ID',Summary),filters:!(),index:'emp_*',interval:auto,query:(query_string:(analyze_wildcard:!t,query:'%22rtdc.l.rtdc.4014%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3">
      <c r="A122" s="32" t="s">
        <v>826</v>
      </c>
      <c r="B122" s="7">
        <v>4013</v>
      </c>
      <c r="C122" s="21" t="s">
        <v>192</v>
      </c>
      <c r="D122" s="21" t="s">
        <v>974</v>
      </c>
      <c r="E122" s="13">
        <v>43056.724409722221</v>
      </c>
      <c r="F122" s="13">
        <v>43056.737685185188</v>
      </c>
      <c r="G122" s="7">
        <v>894</v>
      </c>
      <c r="H122" s="21" t="s">
        <v>993</v>
      </c>
      <c r="I122" s="13">
        <v>43056.763877314814</v>
      </c>
      <c r="J122" s="7">
        <v>1</v>
      </c>
      <c r="K122" s="89" t="str">
        <f t="shared" si="23"/>
        <v>4013/4014</v>
      </c>
      <c r="L122" s="185" t="str">
        <f>VLOOKUP(A122,'Trips&amp;Operators'!$C$1:$G$99911,5,FALSE)</f>
        <v>DELGADO DIANAH</v>
      </c>
      <c r="M122" s="6">
        <f t="shared" si="24"/>
        <v>2.619212962599704E-2</v>
      </c>
      <c r="N122" s="7">
        <f t="shared" si="46"/>
        <v>37.716666661435738</v>
      </c>
      <c r="O122" s="7"/>
      <c r="P122" s="7"/>
      <c r="Q122" s="22"/>
      <c r="R122" s="174"/>
      <c r="S122" s="221">
        <f t="shared" si="47"/>
        <v>1</v>
      </c>
      <c r="T122" s="174" t="str">
        <f t="shared" si="25"/>
        <v>Southbound</v>
      </c>
      <c r="U122" s="198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16" t="str">
        <f t="shared" si="26"/>
        <v>https://d0f6bd738d7f1b3e5a7ca70fe4ff75f0.us-east-1.aws.found.io/app/kibana#/discover/Steve-Slow-Train-Analysis-(2080s-and-2083s)?_g=(refreshInterval:(display:Off,pause:!f,section:0,value:0),time:(from:'2017-11-17T16:23:09-0700',mode:absolute,to:'2017-11-17T19:19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22" s="204" t="str">
        <f>IF(AA122&lt;VLOOKUP(AG122,Variables!$AC$3:$AD$8,2,FALSE),"Y","N")</f>
        <v>N</v>
      </c>
      <c r="X122" s="204">
        <f t="shared" si="27"/>
        <v>1</v>
      </c>
      <c r="Y122" s="204">
        <f t="shared" si="44"/>
        <v>23.3</v>
      </c>
      <c r="Z122" s="204">
        <f t="shared" si="45"/>
        <v>1.1299999999999999E-2</v>
      </c>
      <c r="AA122" s="204">
        <f t="shared" si="30"/>
        <v>23.288700000000002</v>
      </c>
      <c r="AB122" s="54" t="e">
        <f>VLOOKUP(A122,Enforcements!$C$7:$K$9,8,0)</f>
        <v>#N/A</v>
      </c>
      <c r="AC122" s="51" t="e">
        <f>VLOOKUP(A122,Enforcements!$C$7:$E$9,3,0)</f>
        <v>#N/A</v>
      </c>
      <c r="AD122" s="179">
        <f t="shared" si="31"/>
        <v>206</v>
      </c>
      <c r="AE122" s="77" t="str">
        <f t="shared" si="32"/>
        <v>aws s3 cp s3://rtdc.mdm.uploadarchive.raw/RTDC4013/ "%USERPROFILE%\AppData\Local\Temp\OnboardLogs"\RTDC4013\2017-11-17 --exclude "*" --recursive --include "*20171117*" &amp; "%USERPROFILE%\Documents\GitHub\mrs-test-scripts\Headless Mode &amp; Sideloading\WalkAndUnGZ.bat" "%USERPROFILE%\AppData\Local\Temp\OnboardLogs"\RTDC4013\2017-11-17 &amp; aws s3 cp s3://rtdc.mdm.uploadarchive.raw/RTDC4013/ "%USERPROFILE%\AppData\Local\Temp\OnboardLogs"\RTDC4013\2017-11-18 --exclude "*" --recursive --include "*20171118*" &amp; "%USERPROFILE%\Documents\GitHub\mrs-test-scripts\Headless Mode &amp; Sideloading\WalkAndUnGZ.bat" "%USERPROFILE%\AppData\Local\Temp\OnboardLogs"\RTDC4013\2017-11-18</v>
      </c>
      <c r="AF122" s="74" t="str">
        <f t="shared" si="33"/>
        <v>"C:\Program Files (x86)\AstroGrep\AstroGrep.exe" /e /r /s /spath="%USERPROFILE%\AppData\Local\Temp\OnboardLogs" /stypes="app*4013*20171118*" /stext=" 01:.+((SYSTEM_STATE.+slice.+state.+changed )|(ment ac)|(multiple cpu faults)|(system.+state.+changed )|(\[timeout)|(PRM\|1\|D)|(kpr)|(kdp)|(train st.+moving)|(\|lc)|(penalty))"</v>
      </c>
      <c r="AG122" s="182" t="str">
        <f t="shared" si="34"/>
        <v>EC</v>
      </c>
      <c r="AH122" s="78" t="str">
        <f t="shared" si="35"/>
        <v>"%USERPROFILE%\Documents\GitHub\eaglep3\Utilities\RefineRTDCRunTimes.py" --tripid 206-17 --locoid 4013 --swversion DE.1.0.9.0 --startMP 204:233000 --initTime 2017-11-17T17:23:09 --startdatetime 2017-11-17T17:42:16 --delay 894 --endMP 204:113 --enddatetime 2017-11-17T18:19:59 --enforcementcount 1 &gt;&gt;%USERPROFILE%\Documents\GitHub\eaglep3-reporting\EC\2017-11-17-refined-times.txt</v>
      </c>
      <c r="AI122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{"issue":{"subject":"","project_id":79,"tracker_id":40,"status_id":1,"priority_id":2,"assigned_to_id":338,"start_date":"2017-11-17","description":"","custom_fields":[{"id":1,"name":"Subdivision","value":"EC"},{"id":4,"name":"Milepost","value":"0.0113"},{"id":17,"name":"Train ID","value":"206-17"},{"id":16,"name":"Locomotive ID","value":"4013"},{"id":130,"name":"Impact","value":""},{"id":150,"name":"Time of Event (Mountain Time)","value":"18:19:59"},{"id":151,"name":"Denver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2" s="47"/>
      <c r="AL122" s="47"/>
      <c r="AM122" s="142" t="str">
        <f t="shared" si="37"/>
        <v>start /low /b %USERPROFILE%\Documents\GitHub\eaglep3\Utilities\DownloadLogsFromS3.py --loco 4013 --day 2017-11-17</v>
      </c>
      <c r="AN122" s="151" t="str">
        <f t="shared" si="38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01:19:59"},{"id":29,"name":"Sharepoint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168" t="str">
        <f t="shared" si="39"/>
        <v>https://d0f6bd738d7f1b3e5a7ca70fe4ff75f0.us-east-1.aws.found.io/app/kibana#/discover/Steve-Slow-Train-Analysis-(2080s-and-2083s)?_g=(refreshInterval:(display:Off,pause:!f,section:0,value:0),time:(from:'2017-11-17T16:23:09-0700',mode:absolute,to:'2017-11-17T19:19:59-0700'))&amp;_a=(columns:!('Message%20ID',Summary),filters:!(),index:'emp_*',interval:auto,query:(query_string:(analyze_wildcard:!t,query:'%22rtdc.l.rtdc.4013%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3">
      <c r="A123" s="32" t="s">
        <v>822</v>
      </c>
      <c r="B123" s="7">
        <v>4040</v>
      </c>
      <c r="C123" s="21" t="s">
        <v>192</v>
      </c>
      <c r="D123" s="21" t="s">
        <v>587</v>
      </c>
      <c r="E123" s="13">
        <v>43056.709120370368</v>
      </c>
      <c r="F123" s="13">
        <v>43056.710613425923</v>
      </c>
      <c r="G123" s="7">
        <v>52</v>
      </c>
      <c r="H123" s="21" t="s">
        <v>990</v>
      </c>
      <c r="I123" s="13">
        <v>43056.737430555557</v>
      </c>
      <c r="J123" s="7">
        <v>1</v>
      </c>
      <c r="K123" s="89" t="str">
        <f t="shared" si="23"/>
        <v>4039/4040</v>
      </c>
      <c r="L123" s="185" t="str">
        <f>VLOOKUP(A123,'Trips&amp;Operators'!$C$1:$G$99911,5,FALSE)</f>
        <v>LEVERE CRAIG</v>
      </c>
      <c r="M123" s="6">
        <f t="shared" si="24"/>
        <v>2.6817129633855075E-2</v>
      </c>
      <c r="N123" s="7">
        <f t="shared" si="46"/>
        <v>38.616666672751307</v>
      </c>
      <c r="O123" s="7"/>
      <c r="P123" s="7"/>
      <c r="Q123" s="22"/>
      <c r="R123" s="174"/>
      <c r="S123" s="221">
        <f t="shared" si="47"/>
        <v>1</v>
      </c>
      <c r="T123" s="174" t="str">
        <f t="shared" si="25"/>
        <v>NorthBound</v>
      </c>
      <c r="U123" s="198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16" t="str">
        <f t="shared" si="26"/>
        <v>https://d0f6bd738d7f1b3e5a7ca70fe4ff75f0.us-east-1.aws.found.io/app/kibana#/discover/Steve-Slow-Train-Analysis-(2080s-and-2083s)?_g=(refreshInterval:(display:Off,pause:!f,section:0,value:0),time:(from:'2017-11-17T16:01:08-0700',mode:absolute,to:'2017-11-17T18:41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23" s="204" t="str">
        <f>IF(AA123&lt;VLOOKUP(AG123,Variables!$AC$3:$AD$8,2,FALSE),"Y","N")</f>
        <v>N</v>
      </c>
      <c r="X123" s="204">
        <f t="shared" si="27"/>
        <v>1</v>
      </c>
      <c r="Y123" s="204">
        <f t="shared" si="44"/>
        <v>5.3900000000000003E-2</v>
      </c>
      <c r="Z123" s="204">
        <f t="shared" si="45"/>
        <v>23.322900000000001</v>
      </c>
      <c r="AA123" s="204">
        <f t="shared" si="30"/>
        <v>23.269000000000002</v>
      </c>
      <c r="AB123" s="54" t="e">
        <f>VLOOKUP(A123,Enforcements!$C$7:$K$9,8,0)</f>
        <v>#N/A</v>
      </c>
      <c r="AC123" s="51" t="e">
        <f>VLOOKUP(A123,Enforcements!$C$7:$E$9,3,0)</f>
        <v>#N/A</v>
      </c>
      <c r="AD123" s="179">
        <f t="shared" si="31"/>
        <v>207</v>
      </c>
      <c r="AE123" s="77" t="str">
        <f t="shared" si="32"/>
        <v>aws s3 cp s3://rtdc.mdm.uploadarchive.raw/RTDC4040/ "%USERPROFILE%\AppData\Local\Temp\OnboardLogs"\RTDC4040\2017-11-17 --exclude "*" --recursive --include "*20171117*" &amp; "%USERPROFILE%\Documents\GitHub\mrs-test-scripts\Headless Mode &amp; Sideloading\WalkAndUnGZ.bat" "%USERPROFILE%\AppData\Local\Temp\OnboardLogs"\RTDC4040\2017-11-17 &amp; aws s3 cp s3://rtdc.mdm.uploadarchive.raw/RTDC4040/ "%USERPROFILE%\AppData\Local\Temp\OnboardLogs"\RTDC4040\2017-11-18 --exclude "*" --recursive --include "*20171118*" &amp; "%USERPROFILE%\Documents\GitHub\mrs-test-scripts\Headless Mode &amp; Sideloading\WalkAndUnGZ.bat" "%USERPROFILE%\AppData\Local\Temp\OnboardLogs"\RTDC4040\2017-11-18</v>
      </c>
      <c r="AF123" s="74" t="str">
        <f t="shared" si="33"/>
        <v>"C:\Program Files (x86)\AstroGrep\AstroGrep.exe" /e /r /s /spath="%USERPROFILE%\AppData\Local\Temp\OnboardLogs" /stypes="app*4040*20171118*" /stext=" 00:.+((SYSTEM_STATE.+slice.+state.+changed )|(ment ac)|(multiple cpu faults)|(system.+state.+changed )|(\[timeout)|(PRM\|1\|D)|(kpr)|(kdp)|(train st.+moving)|(\|lc)|(penalty))"</v>
      </c>
      <c r="AG123" s="182" t="str">
        <f t="shared" si="34"/>
        <v>EC</v>
      </c>
      <c r="AH123" s="78" t="str">
        <f t="shared" si="35"/>
        <v>"%USERPROFILE%\Documents\GitHub\eaglep3\Utilities\RefineRTDCRunTimes.py" --tripid 207-17 --locoid 4040 --swversion DE.1.0.9.0 --startMP 204:539 --initTime 2017-11-17T17:01:08 --startdatetime 2017-11-17T17:03:17 --delay 52 --endMP 204:233229 --enddatetime 2017-11-17T17:41:54 --enforcementcount 1 &gt;&gt;%USERPROFILE%\Documents\GitHub\eaglep3-reporting\EC\2017-11-17-refined-times.txt</v>
      </c>
      <c r="AI123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{"issue":{"subject":"","project_id":79,"tracker_id":40,"status_id":1,"priority_id":2,"assigned_to_id":338,"start_date":"2017-11-17","description":"","custom_fields":[{"id":1,"name":"Subdivision","value":"EC"},{"id":4,"name":"Milepost","value":"23.3229"},{"id":17,"name":"Train ID","value":"207-17"},{"id":16,"name":"Locomotive ID","value":"4040"},{"id":130,"name":"Impact","value":""},{"id":150,"name":"Time of Event (Mountain Time)","value":"17:41:54"},{"id":151,"name":"Denver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3" s="47"/>
      <c r="AL123" s="47"/>
      <c r="AM123" s="142" t="str">
        <f t="shared" si="37"/>
        <v>start /low /b %USERPROFILE%\Documents\GitHub\eaglep3\Utilities\DownloadLogsFromS3.py --loco 4040 --day 2017-11-17</v>
      </c>
      <c r="AN123" s="151" t="str">
        <f t="shared" si="38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00:41:54"},{"id":29,"name":"Sharepoint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168" t="str">
        <f t="shared" si="39"/>
        <v>https://d0f6bd738d7f1b3e5a7ca70fe4ff75f0.us-east-1.aws.found.io/app/kibana#/discover/Steve-Slow-Train-Analysis-(2080s-and-2083s)?_g=(refreshInterval:(display:Off,pause:!f,section:0,value:0),time:(from:'2017-11-17T16:01:08-0700',mode:absolute,to:'2017-11-17T18:41:54-0700'))&amp;_a=(columns:!('Message%20ID',Summary),filters:!(),index:'emp_*',interval:auto,query:(query_string:(analyze_wildcard:!t,query:'%22rtdc.l.rtdc.4040%22')),sort:!(Time.ISO8601,asc))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3">
      <c r="A124" s="32" t="s">
        <v>831</v>
      </c>
      <c r="B124" s="7">
        <v>4039</v>
      </c>
      <c r="C124" s="21" t="s">
        <v>192</v>
      </c>
      <c r="D124" s="21" t="s">
        <v>601</v>
      </c>
      <c r="E124" s="13">
        <v>43056.743391203701</v>
      </c>
      <c r="F124" s="13">
        <v>43056.748298611114</v>
      </c>
      <c r="G124" s="7">
        <v>59</v>
      </c>
      <c r="H124" s="21" t="s">
        <v>590</v>
      </c>
      <c r="I124" s="13">
        <v>43056.776643518519</v>
      </c>
      <c r="J124" s="7">
        <v>1</v>
      </c>
      <c r="K124" s="89" t="str">
        <f t="shared" si="23"/>
        <v>4039/4040</v>
      </c>
      <c r="L124" s="185" t="str">
        <f>VLOOKUP(A124,'Trips&amp;Operators'!$C$1:$G$99911,5,FALSE)</f>
        <v>LEVERE CRAIG</v>
      </c>
      <c r="M124" s="6">
        <f t="shared" si="24"/>
        <v>2.8344907404971309E-2</v>
      </c>
      <c r="N124" s="7">
        <f t="shared" si="46"/>
        <v>40.816666663158685</v>
      </c>
      <c r="O124" s="7"/>
      <c r="P124" s="7"/>
      <c r="Q124" s="22"/>
      <c r="R124" s="174"/>
      <c r="S124" s="221">
        <f t="shared" si="47"/>
        <v>1</v>
      </c>
      <c r="T124" s="174" t="str">
        <f t="shared" si="25"/>
        <v>Southbound</v>
      </c>
      <c r="U124" s="198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16" t="str">
        <f t="shared" si="26"/>
        <v>https://d0f6bd738d7f1b3e5a7ca70fe4ff75f0.us-east-1.aws.found.io/app/kibana#/discover/Steve-Slow-Train-Analysis-(2080s-and-2083s)?_g=(refreshInterval:(display:Off,pause:!f,section:0,value:0),time:(from:'2017-11-17T16:50:29-0700',mode:absolute,to:'2017-11-17T19:38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24" s="204" t="str">
        <f>IF(AA124&lt;VLOOKUP(AG124,Variables!$AC$3:$AD$8,2,FALSE),"Y","N")</f>
        <v>N</v>
      </c>
      <c r="X124" s="204">
        <f t="shared" si="27"/>
        <v>1</v>
      </c>
      <c r="Y124" s="204">
        <f t="shared" si="44"/>
        <v>23.2925</v>
      </c>
      <c r="Z124" s="204">
        <f t="shared" si="45"/>
        <v>2.3800000000000002E-2</v>
      </c>
      <c r="AA124" s="204">
        <f t="shared" si="30"/>
        <v>23.268699999999999</v>
      </c>
      <c r="AB124" s="54" t="e">
        <f>VLOOKUP(A124,Enforcements!$C$7:$K$9,8,0)</f>
        <v>#N/A</v>
      </c>
      <c r="AC124" s="51" t="e">
        <f>VLOOKUP(A124,Enforcements!$C$7:$E$9,3,0)</f>
        <v>#N/A</v>
      </c>
      <c r="AD124" s="179">
        <f t="shared" si="31"/>
        <v>208</v>
      </c>
      <c r="AE124" s="77" t="str">
        <f t="shared" si="32"/>
        <v>aws s3 cp s3://rtdc.mdm.uploadarchive.raw/RTDC4039/ "%USERPROFILE%\AppData\Local\Temp\OnboardLogs"\RTDC4039\2017-11-17 --exclude "*" --recursive --include "*20171117*" &amp; "%USERPROFILE%\Documents\GitHub\mrs-test-scripts\Headless Mode &amp; Sideloading\WalkAndUnGZ.bat" "%USERPROFILE%\AppData\Local\Temp\OnboardLogs"\RTDC4039\2017-11-17 &amp; aws s3 cp s3://rtdc.mdm.uploadarchive.raw/RTDC4039/ "%USERPROFILE%\AppData\Local\Temp\OnboardLogs"\RTDC4039\2017-11-18 --exclude "*" --recursive --include "*20171118*" &amp; "%USERPROFILE%\Documents\GitHub\mrs-test-scripts\Headless Mode &amp; Sideloading\WalkAndUnGZ.bat" "%USERPROFILE%\AppData\Local\Temp\OnboardLogs"\RTDC4039\2017-11-18</v>
      </c>
      <c r="AF124" s="74" t="str">
        <f t="shared" si="33"/>
        <v>"C:\Program Files (x86)\AstroGrep\AstroGrep.exe" /e /r /s /spath="%USERPROFILE%\AppData\Local\Temp\OnboardLogs" /stypes="app*4039*20171118*" /stext=" 01:.+((SYSTEM_STATE.+slice.+state.+changed )|(ment ac)|(multiple cpu faults)|(system.+state.+changed )|(\[timeout)|(PRM\|1\|D)|(kpr)|(kdp)|(train st.+moving)|(\|lc)|(penalty))"</v>
      </c>
      <c r="AG124" s="182" t="str">
        <f t="shared" si="34"/>
        <v>EC</v>
      </c>
      <c r="AH124" s="78" t="str">
        <f t="shared" si="35"/>
        <v>"%USERPROFILE%\Documents\GitHub\eaglep3\Utilities\RefineRTDCRunTimes.py" --tripid 208-17 --locoid 4039 --swversion DE.1.0.9.0 --startMP 204:232925 --initTime 2017-11-17T17:50:29 --startdatetime 2017-11-17T17:57:33 --delay 59 --endMP 204:238 --enddatetime 2017-11-17T18:38:22 --enforcementcount 1 &gt;&gt;%USERPROFILE%\Documents\GitHub\eaglep3-reporting\EC\2017-11-17-refined-times.txt</v>
      </c>
      <c r="AI124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{"issue":{"subject":"","project_id":79,"tracker_id":40,"status_id":1,"priority_id":2,"assigned_to_id":338,"start_date":"2017-11-17","description":"","custom_fields":[{"id":1,"name":"Subdivision","value":"EC"},{"id":4,"name":"Milepost","value":"0.0238"},{"id":17,"name":"Train ID","value":"208-17"},{"id":16,"name":"Locomotive ID","value":"4039"},{"id":130,"name":"Impact","value":""},{"id":150,"name":"Time of Event (Mountain Time)","value":"18:38:22"},{"id":151,"name":"Denver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4" s="47"/>
      <c r="AL124" s="47"/>
      <c r="AM124" s="142" t="str">
        <f t="shared" si="37"/>
        <v>start /low /b %USERPROFILE%\Documents\GitHub\eaglep3\Utilities\DownloadLogsFromS3.py --loco 4039 --day 2017-11-17</v>
      </c>
      <c r="AN124" s="151" t="str">
        <f t="shared" si="38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01:38:22"},{"id":29,"name":"Sharepoint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168" t="str">
        <f t="shared" si="39"/>
        <v>https://d0f6bd738d7f1b3e5a7ca70fe4ff75f0.us-east-1.aws.found.io/app/kibana#/discover/Steve-Slow-Train-Analysis-(2080s-and-2083s)?_g=(refreshInterval:(display:Off,pause:!f,section:0,value:0),time:(from:'2017-11-17T16:50:29-0700',mode:absolute,to:'2017-11-17T19:38:22-0700'))&amp;_a=(columns:!('Message%20ID',Summary),filters:!(),index:'emp_*',interval:auto,query:(query_string:(analyze_wildcard:!t,query:'%22rtdc.l.rtdc.4039%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3">
      <c r="A125" s="32" t="s">
        <v>825</v>
      </c>
      <c r="B125" s="7">
        <v>4066</v>
      </c>
      <c r="C125" s="21" t="s">
        <v>192</v>
      </c>
      <c r="D125" s="21" t="s">
        <v>498</v>
      </c>
      <c r="E125" s="13">
        <v>43056.715208333335</v>
      </c>
      <c r="F125" s="13">
        <v>43056.718946759262</v>
      </c>
      <c r="G125" s="7">
        <v>52</v>
      </c>
      <c r="H125" s="21" t="s">
        <v>584</v>
      </c>
      <c r="I125" s="13">
        <v>43056.745509259257</v>
      </c>
      <c r="J125" s="7">
        <v>1</v>
      </c>
      <c r="K125" s="89" t="str">
        <f t="shared" si="23"/>
        <v>4065/4066</v>
      </c>
      <c r="L125" s="185" t="str">
        <f>VLOOKUP(A125,'Trips&amp;Operators'!$C$1:$G$99911,5,FALSE)</f>
        <v>FORTUNATO FRANK</v>
      </c>
      <c r="M125" s="6">
        <f t="shared" si="24"/>
        <v>2.6562499995634425E-2</v>
      </c>
      <c r="N125" s="7">
        <f t="shared" si="46"/>
        <v>38.249999993713573</v>
      </c>
      <c r="O125" s="7"/>
      <c r="P125" s="7"/>
      <c r="Q125" s="22"/>
      <c r="R125" s="174"/>
      <c r="S125" s="221">
        <f t="shared" si="47"/>
        <v>1</v>
      </c>
      <c r="T125" s="174" t="str">
        <f t="shared" si="25"/>
        <v>NorthBound</v>
      </c>
      <c r="U125" s="198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16" t="str">
        <f t="shared" si="26"/>
        <v>https://d0f6bd738d7f1b3e5a7ca70fe4ff75f0.us-east-1.aws.found.io/app/kibana#/discover/Steve-Slow-Train-Analysis-(2080s-and-2083s)?_g=(refreshInterval:(display:Off,pause:!f,section:0,value:0),time:(from:'2017-11-17T16:09:54-0700',mode:absolute,to:'2017-11-17T18:53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25" s="204" t="str">
        <f>IF(AA125&lt;VLOOKUP(AG125,Variables!$AC$3:$AD$8,2,FALSE),"Y","N")</f>
        <v>N</v>
      </c>
      <c r="X125" s="204">
        <f t="shared" si="27"/>
        <v>1</v>
      </c>
      <c r="Y125" s="204">
        <f t="shared" si="44"/>
        <v>5.2400000000000002E-2</v>
      </c>
      <c r="Z125" s="204">
        <f t="shared" si="45"/>
        <v>23.319700000000001</v>
      </c>
      <c r="AA125" s="204">
        <f t="shared" si="30"/>
        <v>23.267300000000002</v>
      </c>
      <c r="AB125" s="54" t="e">
        <f>VLOOKUP(A125,Enforcements!$C$7:$K$9,8,0)</f>
        <v>#N/A</v>
      </c>
      <c r="AC125" s="51" t="e">
        <f>VLOOKUP(A125,Enforcements!$C$7:$E$9,3,0)</f>
        <v>#N/A</v>
      </c>
      <c r="AD125" s="179">
        <f t="shared" si="31"/>
        <v>209</v>
      </c>
      <c r="AE125" s="77" t="str">
        <f t="shared" si="32"/>
        <v>aws s3 cp s3://rtdc.mdm.uploadarchive.raw/RTDC4066/ "%USERPROFILE%\AppData\Local\Temp\OnboardLogs"\RTDC4066\2017-11-17 --exclude "*" --recursive --include "*20171117*" &amp; "%USERPROFILE%\Documents\GitHub\mrs-test-scripts\Headless Mode &amp; Sideloading\WalkAndUnGZ.bat" "%USERPROFILE%\AppData\Local\Temp\OnboardLogs"\RTDC4066\2017-11-17 &amp; aws s3 cp s3://rtdc.mdm.uploadarchive.raw/RTDC4066/ "%USERPROFILE%\AppData\Local\Temp\OnboardLogs"\RTDC4066\2017-11-18 --exclude "*" --recursive --include "*20171118*" &amp; "%USERPROFILE%\Documents\GitHub\mrs-test-scripts\Headless Mode &amp; Sideloading\WalkAndUnGZ.bat" "%USERPROFILE%\AppData\Local\Temp\OnboardLogs"\RTDC4066\2017-11-18</v>
      </c>
      <c r="AF125" s="74" t="str">
        <f t="shared" si="33"/>
        <v>"C:\Program Files (x86)\AstroGrep\AstroGrep.exe" /e /r /s /spath="%USERPROFILE%\AppData\Local\Temp\OnboardLogs" /stypes="app*4066*20171118*" /stext=" 00:.+((SYSTEM_STATE.+slice.+state.+changed )|(ment ac)|(multiple cpu faults)|(system.+state.+changed )|(\[timeout)|(PRM\|1\|D)|(kpr)|(kdp)|(train st.+moving)|(\|lc)|(penalty))"</v>
      </c>
      <c r="AG125" s="182" t="str">
        <f t="shared" si="34"/>
        <v>EC</v>
      </c>
      <c r="AH125" s="78" t="str">
        <f t="shared" si="35"/>
        <v>"%USERPROFILE%\Documents\GitHub\eaglep3\Utilities\RefineRTDCRunTimes.py" --tripid 209-17 --locoid 4066 --swversion DE.1.0.9.0 --startMP 204:524 --initTime 2017-11-17T17:09:54 --startdatetime 2017-11-17T17:15:17 --delay 52 --endMP 204:233197 --enddatetime 2017-11-17T17:53:32 --enforcementcount 1 &gt;&gt;%USERPROFILE%\Documents\GitHub\eaglep3-reporting\EC\2017-11-17-refined-times.txt</v>
      </c>
      <c r="AI125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{"issue":{"subject":"","project_id":79,"tracker_id":40,"status_id":1,"priority_id":2,"assigned_to_id":338,"start_date":"2017-11-17","description":"","custom_fields":[{"id":1,"name":"Subdivision","value":"EC"},{"id":4,"name":"Milepost","value":"23.3197"},{"id":17,"name":"Train ID","value":"209-17"},{"id":16,"name":"Locomotive ID","value":"4066"},{"id":130,"name":"Impact","value":""},{"id":150,"name":"Time of Event (Mountain Time)","value":"17:53:32"},{"id":151,"name":"Denver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5" s="47"/>
      <c r="AL125" s="47"/>
      <c r="AM125" s="142" t="str">
        <f t="shared" si="37"/>
        <v>start /low /b %USERPROFILE%\Documents\GitHub\eaglep3\Utilities\DownloadLogsFromS3.py --loco 4066 --day 2017-11-17</v>
      </c>
      <c r="AN125" s="151" t="str">
        <f t="shared" si="38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00:53:32"},{"id":29,"name":"Sharepoint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168" t="str">
        <f t="shared" si="39"/>
        <v>https://d0f6bd738d7f1b3e5a7ca70fe4ff75f0.us-east-1.aws.found.io/app/kibana#/discover/Steve-Slow-Train-Analysis-(2080s-and-2083s)?_g=(refreshInterval:(display:Off,pause:!f,section:0,value:0),time:(from:'2017-11-17T16:09:54-0700',mode:absolute,to:'2017-11-17T18:53:32-0700'))&amp;_a=(columns:!('Message%20ID',Summary),filters:!(),index:'emp_*',interval:auto,query:(query_string:(analyze_wildcard:!t,query:'%22rtdc.l.rtdc.4066%22')),sort:!(Time.ISO8601,asc))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3">
      <c r="A126" s="32" t="s">
        <v>832</v>
      </c>
      <c r="B126" s="7">
        <v>4065</v>
      </c>
      <c r="C126" s="21" t="s">
        <v>192</v>
      </c>
      <c r="D126" s="21" t="s">
        <v>994</v>
      </c>
      <c r="E126" s="13">
        <v>43056.746805555558</v>
      </c>
      <c r="F126" s="13">
        <v>43056.758506944447</v>
      </c>
      <c r="G126" s="7">
        <v>46</v>
      </c>
      <c r="H126" s="21" t="s">
        <v>602</v>
      </c>
      <c r="I126" s="13">
        <v>43056.78497685185</v>
      </c>
      <c r="J126" s="7">
        <v>1</v>
      </c>
      <c r="K126" s="89" t="str">
        <f t="shared" si="23"/>
        <v>4065/4066</v>
      </c>
      <c r="L126" s="185" t="str">
        <f>VLOOKUP(A126,'Trips&amp;Operators'!$C$1:$G$99911,5,FALSE)</f>
        <v>FORTUNATO FRANK</v>
      </c>
      <c r="M126" s="6">
        <f t="shared" si="24"/>
        <v>2.6469907403225079E-2</v>
      </c>
      <c r="N126" s="7">
        <f t="shared" si="46"/>
        <v>38.116666660644114</v>
      </c>
      <c r="O126" s="7"/>
      <c r="P126" s="7"/>
      <c r="Q126" s="22"/>
      <c r="R126" s="174"/>
      <c r="S126" s="221">
        <f t="shared" si="47"/>
        <v>1</v>
      </c>
      <c r="T126" s="174" t="str">
        <f t="shared" si="25"/>
        <v>Southbound</v>
      </c>
      <c r="U126" s="198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16" t="str">
        <f t="shared" si="26"/>
        <v>https://d0f6bd738d7f1b3e5a7ca70fe4ff75f0.us-east-1.aws.found.io/app/kibana#/discover/Steve-Slow-Train-Analysis-(2080s-and-2083s)?_g=(refreshInterval:(display:Off,pause:!f,section:0,value:0),time:(from:'2017-11-17T16:55:24-0700',mode:absolute,to:'2017-11-17T19:50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26" s="204" t="str">
        <f>IF(AA126&lt;VLOOKUP(AG126,Variables!$AC$3:$AD$8,2,FALSE),"Y","N")</f>
        <v>N</v>
      </c>
      <c r="X126" s="204">
        <f t="shared" si="27"/>
        <v>1</v>
      </c>
      <c r="Y126" s="204">
        <f t="shared" si="44"/>
        <v>23.286300000000001</v>
      </c>
      <c r="Z126" s="204">
        <f t="shared" si="45"/>
        <v>2.12E-2</v>
      </c>
      <c r="AA126" s="204">
        <f t="shared" si="30"/>
        <v>23.2651</v>
      </c>
      <c r="AB126" s="54" t="e">
        <f>VLOOKUP(A126,Enforcements!$C$7:$K$9,8,0)</f>
        <v>#N/A</v>
      </c>
      <c r="AC126" s="51" t="e">
        <f>VLOOKUP(A126,Enforcements!$C$7:$E$9,3,0)</f>
        <v>#N/A</v>
      </c>
      <c r="AD126" s="179">
        <f t="shared" si="31"/>
        <v>210</v>
      </c>
      <c r="AE126" s="77" t="str">
        <f t="shared" si="32"/>
        <v>aws s3 cp s3://rtdc.mdm.uploadarchive.raw/RTDC4065/ "%USERPROFILE%\AppData\Local\Temp\OnboardLogs"\RTDC4065\2017-11-17 --exclude "*" --recursive --include "*20171117*" &amp; "%USERPROFILE%\Documents\GitHub\mrs-test-scripts\Headless Mode &amp; Sideloading\WalkAndUnGZ.bat" "%USERPROFILE%\AppData\Local\Temp\OnboardLogs"\RTDC4065\2017-11-17 &amp; aws s3 cp s3://rtdc.mdm.uploadarchive.raw/RTDC4065/ "%USERPROFILE%\AppData\Local\Temp\OnboardLogs"\RTDC4065\2017-11-18 --exclude "*" --recursive --include "*20171118*" &amp; "%USERPROFILE%\Documents\GitHub\mrs-test-scripts\Headless Mode &amp; Sideloading\WalkAndUnGZ.bat" "%USERPROFILE%\AppData\Local\Temp\OnboardLogs"\RTDC4065\2017-11-18</v>
      </c>
      <c r="AF126" s="74" t="str">
        <f t="shared" si="33"/>
        <v>"C:\Program Files (x86)\AstroGrep\AstroGrep.exe" /e /r /s /spath="%USERPROFILE%\AppData\Local\Temp\OnboardLogs" /stypes="app*4065*20171118*" /stext=" 01:.+((SYSTEM_STATE.+slice.+state.+changed )|(ment ac)|(multiple cpu faults)|(system.+state.+changed )|(\[timeout)|(PRM\|1\|D)|(kpr)|(kdp)|(train st.+moving)|(\|lc)|(penalty))"</v>
      </c>
      <c r="AG126" s="182" t="str">
        <f t="shared" si="34"/>
        <v>EC</v>
      </c>
      <c r="AH126" s="78" t="str">
        <f t="shared" si="35"/>
        <v>"%USERPROFILE%\Documents\GitHub\eaglep3\Utilities\RefineRTDCRunTimes.py" --tripid 210-17 --locoid 4065 --swversion DE.1.0.9.0 --startMP 204:232863 --initTime 2017-11-17T17:55:24 --startdatetime 2017-11-17T18:12:15 --delay 46 --endMP 204:212 --enddatetime 2017-11-17T18:50:22 --enforcementcount 1 &gt;&gt;%USERPROFILE%\Documents\GitHub\eaglep3-reporting\EC\2017-11-17-refined-times.txt</v>
      </c>
      <c r="AI126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{"issue":{"subject":"","project_id":79,"tracker_id":40,"status_id":1,"priority_id":2,"assigned_to_id":338,"start_date":"2017-11-17","description":"","custom_fields":[{"id":1,"name":"Subdivision","value":"EC"},{"id":4,"name":"Milepost","value":"0.0212"},{"id":17,"name":"Train ID","value":"210-17"},{"id":16,"name":"Locomotive ID","value":"4065"},{"id":130,"name":"Impact","value":""},{"id":150,"name":"Time of Event (Mountain Time)","value":"18:50:22"},{"id":151,"name":"Denver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6" s="47"/>
      <c r="AL126" s="47"/>
      <c r="AM126" s="142" t="str">
        <f t="shared" si="37"/>
        <v>start /low /b %USERPROFILE%\Documents\GitHub\eaglep3\Utilities\DownloadLogsFromS3.py --loco 4065 --day 2017-11-17</v>
      </c>
      <c r="AN126" s="151" t="str">
        <f t="shared" si="38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01:50:22"},{"id":29,"name":"Sharepoint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168" t="str">
        <f t="shared" si="39"/>
        <v>https://d0f6bd738d7f1b3e5a7ca70fe4ff75f0.us-east-1.aws.found.io/app/kibana#/discover/Steve-Slow-Train-Analysis-(2080s-and-2083s)?_g=(refreshInterval:(display:Off,pause:!f,section:0,value:0),time:(from:'2017-11-17T16:55:24-0700',mode:absolute,to:'2017-11-17T19:50:22-0700'))&amp;_a=(columns:!('Message%20ID',Summary),filters:!(),index:'emp_*',interval:auto,query:(query_string:(analyze_wildcard:!t,query:'%22rtdc.l.rtdc.4065%22')),sort:!(Time.ISO8601,asc))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3">
      <c r="A127" s="32" t="s">
        <v>650</v>
      </c>
      <c r="B127" s="7">
        <v>4028</v>
      </c>
      <c r="C127" s="21" t="s">
        <v>192</v>
      </c>
      <c r="D127" s="21" t="s">
        <v>525</v>
      </c>
      <c r="E127" s="13">
        <v>43056.724675925929</v>
      </c>
      <c r="F127" s="13">
        <v>43056.729444444441</v>
      </c>
      <c r="G127" s="7">
        <v>51</v>
      </c>
      <c r="H127" s="21" t="s">
        <v>518</v>
      </c>
      <c r="I127" s="13">
        <v>43056.756620370368</v>
      </c>
      <c r="J127" s="7">
        <v>1</v>
      </c>
      <c r="K127" s="89" t="str">
        <f t="shared" si="23"/>
        <v>4027/4028</v>
      </c>
      <c r="L127" s="185" t="str">
        <f>VLOOKUP(A127,'Trips&amp;Operators'!$C$1:$G$99911,5,FALSE)</f>
        <v>LEVIN SCOTT</v>
      </c>
      <c r="M127" s="6">
        <f t="shared" si="24"/>
        <v>2.7175925926712807E-2</v>
      </c>
      <c r="N127" s="7">
        <f t="shared" si="46"/>
        <v>39.133333334466442</v>
      </c>
      <c r="O127" s="7"/>
      <c r="P127" s="7"/>
      <c r="Q127" s="22"/>
      <c r="R127" s="174"/>
      <c r="S127" s="221">
        <f t="shared" si="47"/>
        <v>1</v>
      </c>
      <c r="T127" s="174" t="str">
        <f t="shared" si="25"/>
        <v>NorthBound</v>
      </c>
      <c r="U127" s="198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16" t="str">
        <f t="shared" si="26"/>
        <v>https://d0f6bd738d7f1b3e5a7ca70fe4ff75f0.us-east-1.aws.found.io/app/kibana#/discover/Steve-Slow-Train-Analysis-(2080s-and-2083s)?_g=(refreshInterval:(display:Off,pause:!f,section:0,value:0),time:(from:'2017-11-17T16:23:32-0700',mode:absolute,to:'2017-11-17T19:09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27" s="204" t="str">
        <f>IF(AA127&lt;VLOOKUP(AG127,Variables!$AC$3:$AD$8,2,FALSE),"Y","N")</f>
        <v>N</v>
      </c>
      <c r="X127" s="204">
        <f t="shared" si="27"/>
        <v>1</v>
      </c>
      <c r="Y127" s="204">
        <f t="shared" si="44"/>
        <v>5.0200000000000002E-2</v>
      </c>
      <c r="Z127" s="204">
        <f t="shared" si="45"/>
        <v>23.327999999999999</v>
      </c>
      <c r="AA127" s="204">
        <f t="shared" si="30"/>
        <v>23.277799999999999</v>
      </c>
      <c r="AB127" s="54" t="e">
        <f>VLOOKUP(A127,Enforcements!$C$7:$K$9,8,0)</f>
        <v>#N/A</v>
      </c>
      <c r="AC127" s="51" t="e">
        <f>VLOOKUP(A127,Enforcements!$C$7:$E$9,3,0)</f>
        <v>#N/A</v>
      </c>
      <c r="AD127" s="179">
        <f t="shared" si="31"/>
        <v>211</v>
      </c>
      <c r="AE127" s="77" t="str">
        <f t="shared" si="32"/>
        <v>aws s3 cp s3://rtdc.mdm.uploadarchive.raw/RTDC4028/ "%USERPROFILE%\AppData\Local\Temp\OnboardLogs"\RTDC4028\2017-11-17 --exclude "*" --recursive --include "*20171117*" &amp; "%USERPROFILE%\Documents\GitHub\mrs-test-scripts\Headless Mode &amp; Sideloading\WalkAndUnGZ.bat" "%USERPROFILE%\AppData\Local\Temp\OnboardLogs"\RTDC4028\2017-11-17 &amp; aws s3 cp s3://rtdc.mdm.uploadarchive.raw/RTDC4028/ "%USERPROFILE%\AppData\Local\Temp\OnboardLogs"\RTDC4028\2017-11-18 --exclude "*" --recursive --include "*20171118*" &amp; "%USERPROFILE%\Documents\GitHub\mrs-test-scripts\Headless Mode &amp; Sideloading\WalkAndUnGZ.bat" "%USERPROFILE%\AppData\Local\Temp\OnboardLogs"\RTDC4028\2017-11-18</v>
      </c>
      <c r="AF127" s="74" t="str">
        <f t="shared" si="33"/>
        <v>"C:\Program Files (x86)\AstroGrep\AstroGrep.exe" /e /r /s /spath="%USERPROFILE%\AppData\Local\Temp\OnboardLogs" /stypes="app*4028*20171118*" /stext=" 01:.+((SYSTEM_STATE.+slice.+state.+changed )|(ment ac)|(multiple cpu faults)|(system.+state.+changed )|(\[timeout)|(PRM\|1\|D)|(kpr)|(kdp)|(train st.+moving)|(\|lc)|(penalty))"</v>
      </c>
      <c r="AG127" s="182" t="str">
        <f t="shared" si="34"/>
        <v>EC</v>
      </c>
      <c r="AH127" s="78" t="str">
        <f t="shared" si="35"/>
        <v>"%USERPROFILE%\Documents\GitHub\eaglep3\Utilities\RefineRTDCRunTimes.py" --tripid 211-17 --locoid 4028 --swversion DE.1.0.9.0 --startMP 204:502 --initTime 2017-11-17T17:23:32 --startdatetime 2017-11-17T17:30:24 --delay 51 --endMP 204:233280 --enddatetime 2017-11-17T18:09:32 --enforcementcount 1 &gt;&gt;%USERPROFILE%\Documents\GitHub\eaglep3-reporting\EC\2017-11-17-refined-times.txt</v>
      </c>
      <c r="AI127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{"issue":{"subject":"","project_id":79,"tracker_id":40,"status_id":1,"priority_id":2,"assigned_to_id":338,"start_date":"2017-11-17","description":"","custom_fields":[{"id":1,"name":"Subdivision","value":"EC"},{"id":4,"name":"Milepost","value":"23.328"},{"id":17,"name":"Train ID","value":"211-17"},{"id":16,"name":"Locomotive ID","value":"4028"},{"id":130,"name":"Impact","value":""},{"id":150,"name":"Time of Event (Mountain Time)","value":"18:09:32"},{"id":151,"name":"Denver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7" s="47"/>
      <c r="AL127" s="47"/>
      <c r="AM127" s="142" t="str">
        <f t="shared" si="37"/>
        <v>start /low /b %USERPROFILE%\Documents\GitHub\eaglep3\Utilities\DownloadLogsFromS3.py --loco 4028 --day 2017-11-17</v>
      </c>
      <c r="AN127" s="151" t="str">
        <f t="shared" si="38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01:09:32"},{"id":29,"name":"Sharepoint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168" t="str">
        <f t="shared" si="39"/>
        <v>https://d0f6bd738d7f1b3e5a7ca70fe4ff75f0.us-east-1.aws.found.io/app/kibana#/discover/Steve-Slow-Train-Analysis-(2080s-and-2083s)?_g=(refreshInterval:(display:Off,pause:!f,section:0,value:0),time:(from:'2017-11-17T16:23:32-0700',mode:absolute,to:'2017-11-17T19:09:32-0700'))&amp;_a=(columns:!('Message%20ID',Summary),filters:!(),index:'emp_*',interval:auto,query:(query_string:(analyze_wildcard:!t,query:'%22rtdc.l.rtdc.4028%22')),sort:!(Time.ISO8601,asc))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3">
      <c r="A128" s="32" t="s">
        <v>841</v>
      </c>
      <c r="B128" s="7">
        <v>4027</v>
      </c>
      <c r="C128" s="21" t="s">
        <v>192</v>
      </c>
      <c r="D128" s="21" t="s">
        <v>444</v>
      </c>
      <c r="E128" s="13">
        <v>43056.760787037034</v>
      </c>
      <c r="F128" s="13">
        <v>43056.768923611111</v>
      </c>
      <c r="G128" s="7">
        <v>58</v>
      </c>
      <c r="H128" s="21" t="s">
        <v>995</v>
      </c>
      <c r="I128" s="13">
        <v>43056.794930555552</v>
      </c>
      <c r="J128" s="7">
        <v>1</v>
      </c>
      <c r="K128" s="89" t="str">
        <f t="shared" si="23"/>
        <v>4027/4028</v>
      </c>
      <c r="L128" s="185" t="str">
        <f>VLOOKUP(A128,'Trips&amp;Operators'!$C$1:$G$99911,5,FALSE)</f>
        <v>LEVIN SCOTT</v>
      </c>
      <c r="M128" s="6">
        <f t="shared" si="24"/>
        <v>2.6006944441178348E-2</v>
      </c>
      <c r="N128" s="7">
        <f t="shared" si="46"/>
        <v>37.449999995296821</v>
      </c>
      <c r="O128" s="7"/>
      <c r="P128" s="7"/>
      <c r="Q128" s="22"/>
      <c r="R128" s="174"/>
      <c r="S128" s="221">
        <f t="shared" si="47"/>
        <v>1</v>
      </c>
      <c r="T128" s="174" t="str">
        <f t="shared" si="25"/>
        <v>Southbound</v>
      </c>
      <c r="U128" s="198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16" t="str">
        <f t="shared" si="26"/>
        <v>https://d0f6bd738d7f1b3e5a7ca70fe4ff75f0.us-east-1.aws.found.io/app/kibana#/discover/Steve-Slow-Train-Analysis-(2080s-and-2083s)?_g=(refreshInterval:(display:Off,pause:!f,section:0,value:0),time:(from:'2017-11-17T17:15:32-0700',mode:absolute,to:'2017-11-17T20:04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28" s="204" t="str">
        <f>IF(AA128&lt;VLOOKUP(AG128,Variables!$AC$3:$AD$8,2,FALSE),"Y","N")</f>
        <v>N</v>
      </c>
      <c r="X128" s="204">
        <f t="shared" si="27"/>
        <v>1</v>
      </c>
      <c r="Y128" s="204">
        <f t="shared" si="44"/>
        <v>23.297699999999999</v>
      </c>
      <c r="Z128" s="204">
        <f t="shared" si="45"/>
        <v>1.1900000000000001E-2</v>
      </c>
      <c r="AA128" s="204">
        <f t="shared" si="30"/>
        <v>23.285799999999998</v>
      </c>
      <c r="AB128" s="54" t="e">
        <f>VLOOKUP(A128,Enforcements!$C$7:$K$9,8,0)</f>
        <v>#N/A</v>
      </c>
      <c r="AC128" s="51" t="e">
        <f>VLOOKUP(A128,Enforcements!$C$7:$E$9,3,0)</f>
        <v>#N/A</v>
      </c>
      <c r="AD128" s="179">
        <f t="shared" si="31"/>
        <v>212</v>
      </c>
      <c r="AE128" s="77" t="str">
        <f t="shared" si="32"/>
        <v>aws s3 cp s3://rtdc.mdm.uploadarchive.raw/RTDC4027/ "%USERPROFILE%\AppData\Local\Temp\OnboardLogs"\RTDC4027\2017-11-17 --exclude "*" --recursive --include "*20171117*" &amp; "%USERPROFILE%\Documents\GitHub\mrs-test-scripts\Headless Mode &amp; Sideloading\WalkAndUnGZ.bat" "%USERPROFILE%\AppData\Local\Temp\OnboardLogs"\RTDC4027\2017-11-17 &amp; aws s3 cp s3://rtdc.mdm.uploadarchive.raw/RTDC4027/ "%USERPROFILE%\AppData\Local\Temp\OnboardLogs"\RTDC4027\2017-11-18 --exclude "*" --recursive --include "*20171118*" &amp; "%USERPROFILE%\Documents\GitHub\mrs-test-scripts\Headless Mode &amp; Sideloading\WalkAndUnGZ.bat" "%USERPROFILE%\AppData\Local\Temp\OnboardLogs"\RTDC4027\2017-11-18</v>
      </c>
      <c r="AF128" s="74" t="str">
        <f t="shared" si="33"/>
        <v>"C:\Program Files (x86)\AstroGrep\AstroGrep.exe" /e /r /s /spath="%USERPROFILE%\AppData\Local\Temp\OnboardLogs" /stypes="app*4027*20171118*" /stext=" 02:.+((SYSTEM_STATE.+slice.+state.+changed )|(ment ac)|(multiple cpu faults)|(system.+state.+changed )|(\[timeout)|(PRM\|1\|D)|(kpr)|(kdp)|(train st.+moving)|(\|lc)|(penalty))"</v>
      </c>
      <c r="AG128" s="182" t="str">
        <f t="shared" si="34"/>
        <v>EC</v>
      </c>
      <c r="AH128" s="78" t="str">
        <f t="shared" si="35"/>
        <v>"%USERPROFILE%\Documents\GitHub\eaglep3\Utilities\RefineRTDCRunTimes.py" --tripid 212-17 --locoid 4027 --swversion DE.1.0.9.0 --startMP 204:232977 --initTime 2017-11-17T18:15:32 --startdatetime 2017-11-17T18:27:15 --delay 58 --endMP 204:119 --enddatetime 2017-11-17T19:04:42 --enforcementcount 1 &gt;&gt;%USERPROFILE%\Documents\GitHub\eaglep3-reporting\EC\2017-11-17-refined-times.txt</v>
      </c>
      <c r="AI128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{"issue":{"subject":"","project_id":79,"tracker_id":40,"status_id":1,"priority_id":2,"assigned_to_id":338,"start_date":"2017-11-17","description":"","custom_fields":[{"id":1,"name":"Subdivision","value":"EC"},{"id":4,"name":"Milepost","value":"0.0119"},{"id":17,"name":"Train ID","value":"212-17"},{"id":16,"name":"Locomotive ID","value":"4027"},{"id":130,"name":"Impact","value":""},{"id":150,"name":"Time of Event (Mountain Time)","value":"19:04:42"},{"id":151,"name":"Denver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8" s="47"/>
      <c r="AL128" s="47"/>
      <c r="AM128" s="142" t="str">
        <f t="shared" si="37"/>
        <v>start /low /b %USERPROFILE%\Documents\GitHub\eaglep3\Utilities\DownloadLogsFromS3.py --loco 4027 --day 2017-11-17</v>
      </c>
      <c r="AN128" s="151" t="str">
        <f t="shared" si="38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02:04:42"},{"id":29,"name":"Sharepoint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168" t="str">
        <f t="shared" si="39"/>
        <v>https://d0f6bd738d7f1b3e5a7ca70fe4ff75f0.us-east-1.aws.found.io/app/kibana#/discover/Steve-Slow-Train-Analysis-(2080s-and-2083s)?_g=(refreshInterval:(display:Off,pause:!f,section:0,value:0),time:(from:'2017-11-17T17:15:32-0700',mode:absolute,to:'2017-11-17T20:04:42-0700'))&amp;_a=(columns:!('Message%20ID',Summary),filters:!(),index:'emp_*',interval:auto,query:(query_string:(analyze_wildcard:!t,query:'%22rtdc.l.rtdc.4027%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3">
      <c r="A129" s="32" t="s">
        <v>830</v>
      </c>
      <c r="B129" s="7">
        <v>4020</v>
      </c>
      <c r="C129" s="21" t="s">
        <v>192</v>
      </c>
      <c r="D129" s="21" t="s">
        <v>996</v>
      </c>
      <c r="E129" s="13">
        <v>43056.736932870372</v>
      </c>
      <c r="F129" s="13">
        <v>43056.739768518521</v>
      </c>
      <c r="G129" s="7">
        <v>80</v>
      </c>
      <c r="H129" s="21" t="s">
        <v>997</v>
      </c>
      <c r="I129" s="13">
        <v>43056.766296296293</v>
      </c>
      <c r="J129" s="7">
        <v>1</v>
      </c>
      <c r="K129" s="89" t="str">
        <f t="shared" si="23"/>
        <v>4019/4020</v>
      </c>
      <c r="L129" s="185" t="str">
        <f>VLOOKUP(A129,'Trips&amp;Operators'!$C$1:$G$99911,5,FALSE)</f>
        <v>DAVIDSON DAVID</v>
      </c>
      <c r="M129" s="6">
        <f t="shared" si="24"/>
        <v>2.6527777772571426E-2</v>
      </c>
      <c r="N129" s="7">
        <f t="shared" si="46"/>
        <v>38.199999992502853</v>
      </c>
      <c r="O129" s="7"/>
      <c r="P129" s="7"/>
      <c r="Q129" s="22"/>
      <c r="R129" s="174"/>
      <c r="S129" s="221">
        <f t="shared" si="47"/>
        <v>1</v>
      </c>
      <c r="T129" s="174" t="str">
        <f t="shared" si="25"/>
        <v>NorthBound</v>
      </c>
      <c r="U129" s="198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16" t="str">
        <f t="shared" si="26"/>
        <v>https://d0f6bd738d7f1b3e5a7ca70fe4ff75f0.us-east-1.aws.found.io/app/kibana#/discover/Steve-Slow-Train-Analysis-(2080s-and-2083s)?_g=(refreshInterval:(display:Off,pause:!f,section:0,value:0),time:(from:'2017-11-17T16:41:11-0700',mode:absolute,to:'2017-11-17T19:23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29" s="204" t="str">
        <f>IF(AA129&lt;VLOOKUP(AG129,Variables!$AC$3:$AD$8,2,FALSE),"Y","N")</f>
        <v>N</v>
      </c>
      <c r="X129" s="204">
        <f t="shared" si="27"/>
        <v>1</v>
      </c>
      <c r="Y129" s="204">
        <f t="shared" si="44"/>
        <v>5.4899999999999997E-2</v>
      </c>
      <c r="Z129" s="204">
        <f t="shared" si="45"/>
        <v>23.3322</v>
      </c>
      <c r="AA129" s="204">
        <f t="shared" si="30"/>
        <v>23.2773</v>
      </c>
      <c r="AB129" s="54" t="e">
        <f>VLOOKUP(A129,Enforcements!$C$7:$K$9,8,0)</f>
        <v>#N/A</v>
      </c>
      <c r="AC129" s="51" t="e">
        <f>VLOOKUP(A129,Enforcements!$C$7:$E$9,3,0)</f>
        <v>#N/A</v>
      </c>
      <c r="AD129" s="179">
        <f t="shared" si="31"/>
        <v>213</v>
      </c>
      <c r="AE129" s="77" t="str">
        <f t="shared" si="32"/>
        <v>aws s3 cp s3://rtdc.mdm.uploadarchive.raw/RTDC4020/ "%USERPROFILE%\AppData\Local\Temp\OnboardLogs"\RTDC4020\2017-11-17 --exclude "*" --recursive --include "*20171117*" &amp; "%USERPROFILE%\Documents\GitHub\mrs-test-scripts\Headless Mode &amp; Sideloading\WalkAndUnGZ.bat" "%USERPROFILE%\AppData\Local\Temp\OnboardLogs"\RTDC4020\2017-11-17 &amp; aws s3 cp s3://rtdc.mdm.uploadarchive.raw/RTDC4020/ "%USERPROFILE%\AppData\Local\Temp\OnboardLogs"\RTDC4020\2017-11-18 --exclude "*" --recursive --include "*20171118*" &amp; "%USERPROFILE%\Documents\GitHub\mrs-test-scripts\Headless Mode &amp; Sideloading\WalkAndUnGZ.bat" "%USERPROFILE%\AppData\Local\Temp\OnboardLogs"\RTDC4020\2017-11-18</v>
      </c>
      <c r="AF129" s="74" t="str">
        <f t="shared" si="33"/>
        <v>"C:\Program Files (x86)\AstroGrep\AstroGrep.exe" /e /r /s /spath="%USERPROFILE%\AppData\Local\Temp\OnboardLogs" /stypes="app*4020*20171118*" /stext=" 01:.+((SYSTEM_STATE.+slice.+state.+changed )|(ment ac)|(multiple cpu faults)|(system.+state.+changed )|(\[timeout)|(PRM\|1\|D)|(kpr)|(kdp)|(train st.+moving)|(\|lc)|(penalty))"</v>
      </c>
      <c r="AG129" s="182" t="str">
        <f t="shared" si="34"/>
        <v>EC</v>
      </c>
      <c r="AH129" s="78" t="str">
        <f t="shared" si="35"/>
        <v>"%USERPROFILE%\Documents\GitHub\eaglep3\Utilities\RefineRTDCRunTimes.py" --tripid 213-17 --locoid 4020 --swversion DE.1.0.9.0 --startMP 204:549 --initTime 2017-11-17T17:41:11 --startdatetime 2017-11-17T17:45:16 --delay 80 --endMP 204:233322 --enddatetime 2017-11-17T18:23:28 --enforcementcount 1 &gt;&gt;%USERPROFILE%\Documents\GitHub\eaglep3-reporting\EC\2017-11-17-refined-times.txt</v>
      </c>
      <c r="AI129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{"issue":{"subject":"","project_id":79,"tracker_id":40,"status_id":1,"priority_id":2,"assigned_to_id":338,"start_date":"2017-11-17","description":"","custom_fields":[{"id":1,"name":"Subdivision","value":"EC"},{"id":4,"name":"Milepost","value":"23.3322"},{"id":17,"name":"Train ID","value":"213-17"},{"id":16,"name":"Locomotive ID","value":"4020"},{"id":130,"name":"Impact","value":""},{"id":150,"name":"Time of Event (Mountain Time)","value":"18:23:28"},{"id":151,"name":"Denver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9" s="47"/>
      <c r="AL129" s="47"/>
      <c r="AM129" s="142" t="str">
        <f t="shared" si="37"/>
        <v>start /low /b %USERPROFILE%\Documents\GitHub\eaglep3\Utilities\DownloadLogsFromS3.py --loco 4020 --day 2017-11-17</v>
      </c>
      <c r="AN129" s="151" t="str">
        <f t="shared" si="38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01:23:28"},{"id":29,"name":"Sharepoint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168" t="str">
        <f t="shared" si="39"/>
        <v>https://d0f6bd738d7f1b3e5a7ca70fe4ff75f0.us-east-1.aws.found.io/app/kibana#/discover/Steve-Slow-Train-Analysis-(2080s-and-2083s)?_g=(refreshInterval:(display:Off,pause:!f,section:0,value:0),time:(from:'2017-11-17T16:41:11-0700',mode:absolute,to:'2017-11-17T19:23:28-0700'))&amp;_a=(columns:!('Message%20ID',Summary),filters:!(),index:'emp_*',interval:auto,query:(query_string:(analyze_wildcard:!t,query:'%22rtdc.l.rtdc.4020%22')),sort:!(Time.ISO8601,asc))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3">
      <c r="A130" s="32" t="s">
        <v>842</v>
      </c>
      <c r="B130" s="7">
        <v>4019</v>
      </c>
      <c r="C130" s="21" t="s">
        <v>192</v>
      </c>
      <c r="D130" s="21" t="s">
        <v>998</v>
      </c>
      <c r="E130" s="13">
        <v>43056.767488425925</v>
      </c>
      <c r="F130" s="13">
        <v>43056.779432870368</v>
      </c>
      <c r="G130" s="7">
        <v>69</v>
      </c>
      <c r="H130" s="21" t="s">
        <v>568</v>
      </c>
      <c r="I130" s="13">
        <v>43056.806817129633</v>
      </c>
      <c r="J130" s="7">
        <v>1</v>
      </c>
      <c r="K130" s="89" t="str">
        <f t="shared" si="23"/>
        <v>4019/4020</v>
      </c>
      <c r="L130" s="185" t="str">
        <f>VLOOKUP(A130,'Trips&amp;Operators'!$C$1:$G$99911,5,FALSE)</f>
        <v>DAVIDSON DAVID</v>
      </c>
      <c r="M130" s="6">
        <f t="shared" si="24"/>
        <v>2.7384259265090805E-2</v>
      </c>
      <c r="N130" s="7">
        <f t="shared" si="46"/>
        <v>39.433333341730759</v>
      </c>
      <c r="O130" s="7"/>
      <c r="P130" s="7"/>
      <c r="Q130" s="22"/>
      <c r="R130" s="174"/>
      <c r="S130" s="221">
        <f t="shared" si="47"/>
        <v>1</v>
      </c>
      <c r="T130" s="174" t="str">
        <f t="shared" si="25"/>
        <v>Southbound</v>
      </c>
      <c r="U130" s="198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16" t="str">
        <f t="shared" si="26"/>
        <v>https://d0f6bd738d7f1b3e5a7ca70fe4ff75f0.us-east-1.aws.found.io/app/kibana#/discover/Steve-Slow-Train-Analysis-(2080s-and-2083s)?_g=(refreshInterval:(display:Off,pause:!f,section:0,value:0),time:(from:'2017-11-17T17:25:11-0700',mode:absolute,to:'2017-11-17T20:21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30" s="204" t="str">
        <f>IF(AA130&lt;VLOOKUP(AG130,Variables!$AC$3:$AD$8,2,FALSE),"Y","N")</f>
        <v>N</v>
      </c>
      <c r="X130" s="204">
        <f t="shared" si="27"/>
        <v>1</v>
      </c>
      <c r="Y130" s="204">
        <f t="shared" si="44"/>
        <v>23.2971</v>
      </c>
      <c r="Z130" s="204">
        <f t="shared" si="45"/>
        <v>2.0500000000000001E-2</v>
      </c>
      <c r="AA130" s="204">
        <f t="shared" si="30"/>
        <v>23.276600000000002</v>
      </c>
      <c r="AB130" s="54" t="e">
        <f>VLOOKUP(A130,Enforcements!$C$7:$K$9,8,0)</f>
        <v>#N/A</v>
      </c>
      <c r="AC130" s="51" t="e">
        <f>VLOOKUP(A130,Enforcements!$C$7:$E$9,3,0)</f>
        <v>#N/A</v>
      </c>
      <c r="AD130" s="179">
        <f t="shared" si="31"/>
        <v>214</v>
      </c>
      <c r="AE130" s="77" t="str">
        <f t="shared" si="32"/>
        <v>aws s3 cp s3://rtdc.mdm.uploadarchive.raw/RTDC4019/ "%USERPROFILE%\AppData\Local\Temp\OnboardLogs"\RTDC4019\2017-11-17 --exclude "*" --recursive --include "*20171117*" &amp; "%USERPROFILE%\Documents\GitHub\mrs-test-scripts\Headless Mode &amp; Sideloading\WalkAndUnGZ.bat" "%USERPROFILE%\AppData\Local\Temp\OnboardLogs"\RTDC4019\2017-11-17 &amp; aws s3 cp s3://rtdc.mdm.uploadarchive.raw/RTDC4019/ "%USERPROFILE%\AppData\Local\Temp\OnboardLogs"\RTDC4019\2017-11-18 --exclude "*" --recursive --include "*20171118*" &amp; "%USERPROFILE%\Documents\GitHub\mrs-test-scripts\Headless Mode &amp; Sideloading\WalkAndUnGZ.bat" "%USERPROFILE%\AppData\Local\Temp\OnboardLogs"\RTDC4019\2017-11-18</v>
      </c>
      <c r="AF130" s="74" t="str">
        <f t="shared" si="33"/>
        <v>"C:\Program Files (x86)\AstroGrep\AstroGrep.exe" /e /r /s /spath="%USERPROFILE%\AppData\Local\Temp\OnboardLogs" /stypes="app*4019*20171118*" /stext=" 02:.+((SYSTEM_STATE.+slice.+state.+changed )|(ment ac)|(multiple cpu faults)|(system.+state.+changed )|(\[timeout)|(PRM\|1\|D)|(kpr)|(kdp)|(train st.+moving)|(\|lc)|(penalty))"</v>
      </c>
      <c r="AG130" s="182" t="str">
        <f t="shared" si="34"/>
        <v>EC</v>
      </c>
      <c r="AH130" s="78" t="str">
        <f t="shared" si="35"/>
        <v>"%USERPROFILE%\Documents\GitHub\eaglep3\Utilities\RefineRTDCRunTimes.py" --tripid 214-17 --locoid 4019 --swversion DE.1.0.9.0 --startMP 204:232971 --initTime 2017-11-17T18:25:11 --startdatetime 2017-11-17T18:42:23 --delay 69 --endMP 204:205 --enddatetime 2017-11-17T19:21:49 --enforcementcount 1 &gt;&gt;%USERPROFILE%\Documents\GitHub\eaglep3-reporting\EC\2017-11-17-refined-times.txt</v>
      </c>
      <c r="AI130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{"issue":{"subject":"","project_id":79,"tracker_id":40,"status_id":1,"priority_id":2,"assigned_to_id":338,"start_date":"2017-11-17","description":"","custom_fields":[{"id":1,"name":"Subdivision","value":"EC"},{"id":4,"name":"Milepost","value":"0.0205"},{"id":17,"name":"Train ID","value":"214-17"},{"id":16,"name":"Locomotive ID","value":"4019"},{"id":130,"name":"Impact","value":""},{"id":150,"name":"Time of Event (Mountain Time)","value":"19:21:49"},{"id":151,"name":"Denver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0" s="47"/>
      <c r="AL130" s="47"/>
      <c r="AM130" s="142" t="str">
        <f t="shared" si="37"/>
        <v>start /low /b %USERPROFILE%\Documents\GitHub\eaglep3\Utilities\DownloadLogsFromS3.py --loco 4019 --day 2017-11-17</v>
      </c>
      <c r="AN130" s="151" t="str">
        <f t="shared" si="38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02:21:49"},{"id":29,"name":"Sharepoint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168" t="str">
        <f t="shared" si="39"/>
        <v>https://d0f6bd738d7f1b3e5a7ca70fe4ff75f0.us-east-1.aws.found.io/app/kibana#/discover/Steve-Slow-Train-Analysis-(2080s-and-2083s)?_g=(refreshInterval:(display:Off,pause:!f,section:0,value:0),time:(from:'2017-11-17T17:25:11-0700',mode:absolute,to:'2017-11-17T20:21:49-0700'))&amp;_a=(columns:!('Message%20ID',Summary),filters:!(),index:'emp_*',interval:auto,query:(query_string:(analyze_wildcard:!t,query:'%22rtdc.l.rtdc.4019%22')),sort:!(Time.ISO8601,asc))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3">
      <c r="A131" s="32" t="s">
        <v>833</v>
      </c>
      <c r="B131" s="7">
        <v>4010</v>
      </c>
      <c r="C131" s="21" t="s">
        <v>192</v>
      </c>
      <c r="D131" s="21" t="s">
        <v>469</v>
      </c>
      <c r="E131" s="13">
        <v>43056.746620370373</v>
      </c>
      <c r="F131" s="13">
        <v>43056.750196759262</v>
      </c>
      <c r="G131" s="7">
        <v>64</v>
      </c>
      <c r="H131" s="21" t="s">
        <v>570</v>
      </c>
      <c r="I131" s="13">
        <v>43056.775196759256</v>
      </c>
      <c r="J131" s="7">
        <v>1</v>
      </c>
      <c r="K131" s="89" t="str">
        <f t="shared" si="23"/>
        <v>4009/4010</v>
      </c>
      <c r="L131" s="185" t="str">
        <f>VLOOKUP(A131,'Trips&amp;Operators'!$C$1:$G$99911,5,FALSE)</f>
        <v>ZEWDU DEREJE</v>
      </c>
      <c r="M131" s="6">
        <f t="shared" si="24"/>
        <v>2.4999999994179234E-2</v>
      </c>
      <c r="N131" s="7">
        <f t="shared" si="46"/>
        <v>35.999999991618097</v>
      </c>
      <c r="O131" s="7"/>
      <c r="P131" s="7"/>
      <c r="Q131" s="22"/>
      <c r="R131" s="174"/>
      <c r="S131" s="221">
        <f t="shared" si="47"/>
        <v>1</v>
      </c>
      <c r="T131" s="174" t="str">
        <f t="shared" si="25"/>
        <v>NorthBound</v>
      </c>
      <c r="U131" s="198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16" t="str">
        <f t="shared" si="26"/>
        <v>https://d0f6bd738d7f1b3e5a7ca70fe4ff75f0.us-east-1.aws.found.io/app/kibana#/discover/Steve-Slow-Train-Analysis-(2080s-and-2083s)?_g=(refreshInterval:(display:Off,pause:!f,section:0,value:0),time:(from:'2017-11-17T16:55:08-0700',mode:absolute,to:'2017-11-17T19:36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31" s="204" t="str">
        <f>IF(AA131&lt;VLOOKUP(AG131,Variables!$AC$3:$AD$8,2,FALSE),"Y","N")</f>
        <v>N</v>
      </c>
      <c r="X131" s="204">
        <f t="shared" si="27"/>
        <v>1</v>
      </c>
      <c r="Y131" s="204">
        <f t="shared" si="44"/>
        <v>5.33E-2</v>
      </c>
      <c r="Z131" s="204">
        <f t="shared" si="45"/>
        <v>23.33</v>
      </c>
      <c r="AA131" s="204">
        <f t="shared" si="30"/>
        <v>23.276699999999998</v>
      </c>
      <c r="AB131" s="54" t="e">
        <f>VLOOKUP(A131,Enforcements!$C$7:$K$9,8,0)</f>
        <v>#N/A</v>
      </c>
      <c r="AC131" s="51" t="e">
        <f>VLOOKUP(A131,Enforcements!$C$7:$E$9,3,0)</f>
        <v>#N/A</v>
      </c>
      <c r="AD131" s="179">
        <f t="shared" si="31"/>
        <v>215</v>
      </c>
      <c r="AE131" s="77" t="str">
        <f t="shared" si="32"/>
        <v>aws s3 cp s3://rtdc.mdm.uploadarchive.raw/RTDC4010/ "%USERPROFILE%\AppData\Local\Temp\OnboardLogs"\RTDC4010\2017-11-17 --exclude "*" --recursive --include "*20171117*" &amp; "%USERPROFILE%\Documents\GitHub\mrs-test-scripts\Headless Mode &amp; Sideloading\WalkAndUnGZ.bat" "%USERPROFILE%\AppData\Local\Temp\OnboardLogs"\RTDC4010\2017-11-17 &amp; aws s3 cp s3://rtdc.mdm.uploadarchive.raw/RTDC4010/ "%USERPROFILE%\AppData\Local\Temp\OnboardLogs"\RTDC4010\2017-11-18 --exclude "*" --recursive --include "*20171118*" &amp; "%USERPROFILE%\Documents\GitHub\mrs-test-scripts\Headless Mode &amp; Sideloading\WalkAndUnGZ.bat" "%USERPROFILE%\AppData\Local\Temp\OnboardLogs"\RTDC4010\2017-11-18</v>
      </c>
      <c r="AF131" s="74" t="str">
        <f t="shared" si="33"/>
        <v>"C:\Program Files (x86)\AstroGrep\AstroGrep.exe" /e /r /s /spath="%USERPROFILE%\AppData\Local\Temp\OnboardLogs" /stypes="app*4010*20171118*" /stext=" 01:.+((SYSTEM_STATE.+slice.+state.+changed )|(ment ac)|(multiple cpu faults)|(system.+state.+changed )|(\[timeout)|(PRM\|1\|D)|(kpr)|(kdp)|(train st.+moving)|(\|lc)|(penalty))"</v>
      </c>
      <c r="AG131" s="182" t="str">
        <f t="shared" si="34"/>
        <v>EC</v>
      </c>
      <c r="AH131" s="78" t="str">
        <f t="shared" si="35"/>
        <v>"%USERPROFILE%\Documents\GitHub\eaglep3\Utilities\RefineRTDCRunTimes.py" --tripid 215-17 --locoid 4010 --swversion DE.1.0.9.0 --startMP 204:533 --initTime 2017-11-17T17:55:08 --startdatetime 2017-11-17T18:00:17 --delay 64 --endMP 204:233300 --enddatetime 2017-11-17T18:36:17 --enforcementcount 1 &gt;&gt;%USERPROFILE%\Documents\GitHub\eaglep3-reporting\EC\2017-11-17-refined-times.txt</v>
      </c>
      <c r="AI131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{"issue":{"subject":"","project_id":79,"tracker_id":40,"status_id":1,"priority_id":2,"assigned_to_id":338,"start_date":"2017-11-17","description":"","custom_fields":[{"id":1,"name":"Subdivision","value":"EC"},{"id":4,"name":"Milepost","value":"23.33"},{"id":17,"name":"Train ID","value":"215-17"},{"id":16,"name":"Locomotive ID","value":"4010"},{"id":130,"name":"Impact","value":""},{"id":150,"name":"Time of Event (Mountain Time)","value":"18:36:17"},{"id":151,"name":"Denver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1" s="47"/>
      <c r="AL131" s="47"/>
      <c r="AM131" s="142" t="str">
        <f t="shared" si="37"/>
        <v>start /low /b %USERPROFILE%\Documents\GitHub\eaglep3\Utilities\DownloadLogsFromS3.py --loco 4010 --day 2017-11-17</v>
      </c>
      <c r="AN131" s="151" t="str">
        <f t="shared" si="38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01:36:17"},{"id":29,"name":"Sharepoint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168" t="str">
        <f t="shared" si="39"/>
        <v>https://d0f6bd738d7f1b3e5a7ca70fe4ff75f0.us-east-1.aws.found.io/app/kibana#/discover/Steve-Slow-Train-Analysis-(2080s-and-2083s)?_g=(refreshInterval:(display:Off,pause:!f,section:0,value:0),time:(from:'2017-11-17T16:55:08-0700',mode:absolute,to:'2017-11-17T19:36:17-0700'))&amp;_a=(columns:!('Message%20ID',Summary),filters:!(),index:'emp_*',interval:auto,query:(query_string:(analyze_wildcard:!t,query:'%22rtdc.l.rtdc.4010%22')),sort:!(Time.ISO8601,asc))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3">
      <c r="A132" s="32" t="s">
        <v>847</v>
      </c>
      <c r="B132" s="7">
        <v>4009</v>
      </c>
      <c r="C132" s="21" t="s">
        <v>192</v>
      </c>
      <c r="D132" s="21" t="s">
        <v>572</v>
      </c>
      <c r="E132" s="13">
        <v>43056.777002314811</v>
      </c>
      <c r="F132" s="13">
        <v>43056.789768518516</v>
      </c>
      <c r="G132" s="7">
        <v>87</v>
      </c>
      <c r="H132" s="21" t="s">
        <v>999</v>
      </c>
      <c r="I132" s="13">
        <v>43056.815092592595</v>
      </c>
      <c r="J132" s="7">
        <v>1</v>
      </c>
      <c r="K132" s="89" t="str">
        <f t="shared" si="23"/>
        <v>4009/4010</v>
      </c>
      <c r="L132" s="185" t="str">
        <f>VLOOKUP(A132,'Trips&amp;Operators'!$C$1:$G$99911,5,FALSE)</f>
        <v>ZEWDU DEREJE</v>
      </c>
      <c r="M132" s="6">
        <f t="shared" si="24"/>
        <v>2.5324074078525882E-2</v>
      </c>
      <c r="N132" s="7">
        <f t="shared" si="46"/>
        <v>36.46666667307727</v>
      </c>
      <c r="O132" s="7"/>
      <c r="P132" s="7"/>
      <c r="Q132" s="22"/>
      <c r="R132" s="174"/>
      <c r="S132" s="221">
        <f t="shared" si="47"/>
        <v>1</v>
      </c>
      <c r="T132" s="174" t="str">
        <f t="shared" si="25"/>
        <v>Southbound</v>
      </c>
      <c r="U132" s="198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16" t="str">
        <f t="shared" si="26"/>
        <v>https://d0f6bd738d7f1b3e5a7ca70fe4ff75f0.us-east-1.aws.found.io/app/kibana#/discover/Steve-Slow-Train-Analysis-(2080s-and-2083s)?_g=(refreshInterval:(display:Off,pause:!f,section:0,value:0),time:(from:'2017-11-17T17:38:53-0700',mode:absolute,to:'2017-11-17T20:33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32" s="204" t="str">
        <f>IF(AA132&lt;VLOOKUP(AG132,Variables!$AC$3:$AD$8,2,FALSE),"Y","N")</f>
        <v>N</v>
      </c>
      <c r="X132" s="204">
        <f t="shared" si="27"/>
        <v>1</v>
      </c>
      <c r="Y132" s="204">
        <f t="shared" si="44"/>
        <v>23.297899999999998</v>
      </c>
      <c r="Z132" s="204">
        <f t="shared" si="45"/>
        <v>0.16500000000000001</v>
      </c>
      <c r="AA132" s="204">
        <f t="shared" si="30"/>
        <v>23.132899999999999</v>
      </c>
      <c r="AB132" s="54" t="e">
        <f>VLOOKUP(A132,Enforcements!$C$7:$K$9,8,0)</f>
        <v>#N/A</v>
      </c>
      <c r="AC132" s="51" t="e">
        <f>VLOOKUP(A132,Enforcements!$C$7:$E$9,3,0)</f>
        <v>#N/A</v>
      </c>
      <c r="AD132" s="179">
        <f t="shared" si="31"/>
        <v>216</v>
      </c>
      <c r="AE132" s="77" t="str">
        <f t="shared" si="32"/>
        <v>aws s3 cp s3://rtdc.mdm.uploadarchive.raw/RTDC4009/ "%USERPROFILE%\AppData\Local\Temp\OnboardLogs"\RTDC4009\2017-11-17 --exclude "*" --recursive --include "*20171117*" &amp; "%USERPROFILE%\Documents\GitHub\mrs-test-scripts\Headless Mode &amp; Sideloading\WalkAndUnGZ.bat" "%USERPROFILE%\AppData\Local\Temp\OnboardLogs"\RTDC4009\2017-11-17 &amp; aws s3 cp s3://rtdc.mdm.uploadarchive.raw/RTDC4009/ "%USERPROFILE%\AppData\Local\Temp\OnboardLogs"\RTDC4009\2017-11-18 --exclude "*" --recursive --include "*20171118*" &amp; "%USERPROFILE%\Documents\GitHub\mrs-test-scripts\Headless Mode &amp; Sideloading\WalkAndUnGZ.bat" "%USERPROFILE%\AppData\Local\Temp\OnboardLogs"\RTDC4009\2017-11-18</v>
      </c>
      <c r="AF132" s="74" t="str">
        <f t="shared" si="33"/>
        <v>"C:\Program Files (x86)\AstroGrep\AstroGrep.exe" /e /r /s /spath="%USERPROFILE%\AppData\Local\Temp\OnboardLogs" /stypes="app*4009*20171118*" /stext=" 02:.+((SYSTEM_STATE.+slice.+state.+changed )|(ment ac)|(multiple cpu faults)|(system.+state.+changed )|(\[timeout)|(PRM\|1\|D)|(kpr)|(kdp)|(train st.+moving)|(\|lc)|(penalty))"</v>
      </c>
      <c r="AG132" s="182" t="str">
        <f t="shared" si="34"/>
        <v>EC</v>
      </c>
      <c r="AH132" s="78" t="str">
        <f t="shared" si="35"/>
        <v>"%USERPROFILE%\Documents\GitHub\eaglep3\Utilities\RefineRTDCRunTimes.py" --tripid 216-17 --locoid 4009 --swversion DE.1.0.9.0 --startMP 204:232979 --initTime 2017-11-17T18:38:53 --startdatetime 2017-11-17T18:57:16 --delay 87 --endMP 204:1650 --enddatetime 2017-11-17T19:33:44 --enforcementcount 1 &gt;&gt;%USERPROFILE%\Documents\GitHub\eaglep3-reporting\EC\2017-11-17-refined-times.txt</v>
      </c>
      <c r="AI132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{"issue":{"subject":"","project_id":79,"tracker_id":40,"status_id":1,"priority_id":2,"assigned_to_id":338,"start_date":"2017-11-17","description":"","custom_fields":[{"id":1,"name":"Subdivision","value":"EC"},{"id":4,"name":"Milepost","value":"0.165"},{"id":17,"name":"Train ID","value":"216-17"},{"id":16,"name":"Locomotive ID","value":"4009"},{"id":130,"name":"Impact","value":""},{"id":150,"name":"Time of Event (Mountain Time)","value":"19:33:44"},{"id":151,"name":"Denver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2" s="47"/>
      <c r="AL132" s="47"/>
      <c r="AM132" s="142" t="str">
        <f t="shared" si="37"/>
        <v>start /low /b %USERPROFILE%\Documents\GitHub\eaglep3\Utilities\DownloadLogsFromS3.py --loco 4009 --day 2017-11-17</v>
      </c>
      <c r="AN132" s="151" t="str">
        <f t="shared" si="38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02:33:44"},{"id":29,"name":"Sharepoint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168" t="str">
        <f t="shared" si="39"/>
        <v>https://d0f6bd738d7f1b3e5a7ca70fe4ff75f0.us-east-1.aws.found.io/app/kibana#/discover/Steve-Slow-Train-Analysis-(2080s-and-2083s)?_g=(refreshInterval:(display:Off,pause:!f,section:0,value:0),time:(from:'2017-11-17T17:38:53-0700',mode:absolute,to:'2017-11-17T20:33:44-0700'))&amp;_a=(columns:!('Message%20ID',Summary),filters:!(),index:'emp_*',interval:auto,query:(query_string:(analyze_wildcard:!t,query:'%22rtdc.l.rtdc.4009%22')),sort:!(Time.ISO8601,asc))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3">
      <c r="A133" s="32" t="s">
        <v>840</v>
      </c>
      <c r="B133" s="7">
        <v>4036</v>
      </c>
      <c r="C133" s="21" t="s">
        <v>192</v>
      </c>
      <c r="D133" s="21" t="s">
        <v>533</v>
      </c>
      <c r="E133" s="13">
        <v>43056.759120370371</v>
      </c>
      <c r="F133" s="13">
        <v>43056.761273148149</v>
      </c>
      <c r="G133" s="7">
        <v>109</v>
      </c>
      <c r="H133" s="21" t="s">
        <v>1000</v>
      </c>
      <c r="I133" s="13">
        <v>43056.787326388891</v>
      </c>
      <c r="J133" s="7">
        <v>1</v>
      </c>
      <c r="K133" s="89" t="str">
        <f t="shared" si="23"/>
        <v>4035/4036</v>
      </c>
      <c r="L133" s="185" t="str">
        <f>VLOOKUP(A133,'Trips&amp;Operators'!$C$1:$G$99911,5,FALSE)</f>
        <v>NICHOLSON WESLEY</v>
      </c>
      <c r="M133" s="6">
        <f t="shared" si="24"/>
        <v>2.6053240741021E-2</v>
      </c>
      <c r="N133" s="7">
        <f t="shared" si="46"/>
        <v>37.51666666707024</v>
      </c>
      <c r="O133" s="7"/>
      <c r="P133" s="7"/>
      <c r="Q133" s="22"/>
      <c r="R133" s="174"/>
      <c r="S133" s="221">
        <f t="shared" si="47"/>
        <v>1</v>
      </c>
      <c r="T133" s="174" t="str">
        <f t="shared" si="25"/>
        <v>NorthBound</v>
      </c>
      <c r="U133" s="198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16" t="str">
        <f t="shared" si="26"/>
        <v>https://d0f6bd738d7f1b3e5a7ca70fe4ff75f0.us-east-1.aws.found.io/app/kibana#/discover/Steve-Slow-Train-Analysis-(2080s-and-2083s)?_g=(refreshInterval:(display:Off,pause:!f,section:0,value:0),time:(from:'2017-11-17T17:13:08-0700',mode:absolute,to:'2017-11-17T19:53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33" s="204" t="str">
        <f>IF(AA133&lt;VLOOKUP(AG133,Variables!$AC$3:$AD$8,2,FALSE),"Y","N")</f>
        <v>N</v>
      </c>
      <c r="X133" s="204">
        <f t="shared" si="27"/>
        <v>1</v>
      </c>
      <c r="Y133" s="204">
        <f t="shared" si="44"/>
        <v>4.9700000000000001E-2</v>
      </c>
      <c r="Z133" s="204">
        <f t="shared" si="45"/>
        <v>23.333200000000001</v>
      </c>
      <c r="AA133" s="204">
        <f t="shared" si="30"/>
        <v>23.2835</v>
      </c>
      <c r="AB133" s="54" t="e">
        <f>VLOOKUP(A133,Enforcements!$C$7:$K$9,8,0)</f>
        <v>#N/A</v>
      </c>
      <c r="AC133" s="51" t="e">
        <f>VLOOKUP(A133,Enforcements!$C$7:$E$9,3,0)</f>
        <v>#N/A</v>
      </c>
      <c r="AD133" s="179">
        <f t="shared" si="31"/>
        <v>217</v>
      </c>
      <c r="AE133" s="77" t="str">
        <f t="shared" si="32"/>
        <v>aws s3 cp s3://rtdc.mdm.uploadarchive.raw/RTDC4036/ "%USERPROFILE%\AppData\Local\Temp\OnboardLogs"\RTDC4036\2017-11-17 --exclude "*" --recursive --include "*20171117*" &amp; "%USERPROFILE%\Documents\GitHub\mrs-test-scripts\Headless Mode &amp; Sideloading\WalkAndUnGZ.bat" "%USERPROFILE%\AppData\Local\Temp\OnboardLogs"\RTDC4036\2017-11-17 &amp; aws s3 cp s3://rtdc.mdm.uploadarchive.raw/RTDC4036/ "%USERPROFILE%\AppData\Local\Temp\OnboardLogs"\RTDC4036\2017-11-18 --exclude "*" --recursive --include "*20171118*" &amp; "%USERPROFILE%\Documents\GitHub\mrs-test-scripts\Headless Mode &amp; Sideloading\WalkAndUnGZ.bat" "%USERPROFILE%\AppData\Local\Temp\OnboardLogs"\RTDC4036\2017-11-18</v>
      </c>
      <c r="AF133" s="74" t="str">
        <f t="shared" si="33"/>
        <v>"C:\Program Files (x86)\AstroGrep\AstroGrep.exe" /e /r /s /spath="%USERPROFILE%\AppData\Local\Temp\OnboardLogs" /stypes="app*4036*20171118*" /stext=" 01:.+((SYSTEM_STATE.+slice.+state.+changed )|(ment ac)|(multiple cpu faults)|(system.+state.+changed )|(\[timeout)|(PRM\|1\|D)|(kpr)|(kdp)|(train st.+moving)|(\|lc)|(penalty))"</v>
      </c>
      <c r="AG133" s="182" t="str">
        <f t="shared" si="34"/>
        <v>EC</v>
      </c>
      <c r="AH133" s="78" t="str">
        <f t="shared" si="35"/>
        <v>"%USERPROFILE%\Documents\GitHub\eaglep3\Utilities\RefineRTDCRunTimes.py" --tripid 217-17 --locoid 4036 --swversion DE.1.0.9.0 --startMP 204:497 --initTime 2017-11-17T18:13:08 --startdatetime 2017-11-17T18:16:14 --delay 109 --endMP 204:233332 --enddatetime 2017-11-17T18:53:45 --enforcementcount 1 &gt;&gt;%USERPROFILE%\Documents\GitHub\eaglep3-reporting\EC\2017-11-17-refined-times.txt</v>
      </c>
      <c r="AI133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{"issue":{"subject":"","project_id":79,"tracker_id":40,"status_id":1,"priority_id":2,"assigned_to_id":338,"start_date":"2017-11-17","description":"","custom_fields":[{"id":1,"name":"Subdivision","value":"EC"},{"id":4,"name":"Milepost","value":"23.3332"},{"id":17,"name":"Train ID","value":"217-17"},{"id":16,"name":"Locomotive ID","value":"4036"},{"id":130,"name":"Impact","value":""},{"id":150,"name":"Time of Event (Mountain Time)","value":"18:53:45"},{"id":151,"name":"Denver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3" s="47"/>
      <c r="AL133" s="47"/>
      <c r="AM133" s="142" t="str">
        <f t="shared" si="37"/>
        <v>start /low /b %USERPROFILE%\Documents\GitHub\eaglep3\Utilities\DownloadLogsFromS3.py --loco 4036 --day 2017-11-17</v>
      </c>
      <c r="AN133" s="151" t="str">
        <f t="shared" si="38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01:53:45"},{"id":29,"name":"Sharepoint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168" t="str">
        <f t="shared" si="39"/>
        <v>https://d0f6bd738d7f1b3e5a7ca70fe4ff75f0.us-east-1.aws.found.io/app/kibana#/discover/Steve-Slow-Train-Analysis-(2080s-and-2083s)?_g=(refreshInterval:(display:Off,pause:!f,section:0,value:0),time:(from:'2017-11-17T17:13:08-0700',mode:absolute,to:'2017-11-17T19:53:45-0700'))&amp;_a=(columns:!('Message%20ID',Summary),filters:!(),index:'emp_*',interval:auto,query:(query_string:(analyze_wildcard:!t,query:'%22rtdc.l.rtdc.4036%22')),sort:!(Time.ISO8601,asc))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3">
      <c r="A134" s="32" t="s">
        <v>853</v>
      </c>
      <c r="B134" s="7">
        <v>4035</v>
      </c>
      <c r="C134" s="21" t="s">
        <v>192</v>
      </c>
      <c r="D134" s="21" t="s">
        <v>530</v>
      </c>
      <c r="E134" s="13">
        <v>43056.792048611111</v>
      </c>
      <c r="F134" s="13">
        <v>43056.80028935185</v>
      </c>
      <c r="G134" s="7">
        <v>109</v>
      </c>
      <c r="H134" s="21" t="s">
        <v>599</v>
      </c>
      <c r="I134" s="13">
        <v>43056.827650462961</v>
      </c>
      <c r="J134" s="7">
        <v>1</v>
      </c>
      <c r="K134" s="89" t="str">
        <f t="shared" si="23"/>
        <v>4035/4036</v>
      </c>
      <c r="L134" s="185" t="str">
        <f>VLOOKUP(A134,'Trips&amp;Operators'!$C$1:$G$99911,5,FALSE)</f>
        <v>NICHOLSON WESLEY</v>
      </c>
      <c r="M134" s="6">
        <f t="shared" si="24"/>
        <v>2.73611111115315E-2</v>
      </c>
      <c r="N134" s="7">
        <f t="shared" si="46"/>
        <v>39.40000000060536</v>
      </c>
      <c r="O134" s="7"/>
      <c r="P134" s="7"/>
      <c r="Q134" s="22"/>
      <c r="R134" s="174"/>
      <c r="S134" s="221">
        <f t="shared" si="47"/>
        <v>1</v>
      </c>
      <c r="T134" s="174" t="str">
        <f t="shared" si="25"/>
        <v>Southbound</v>
      </c>
      <c r="U134" s="198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16" t="str">
        <f t="shared" si="26"/>
        <v>https://d0f6bd738d7f1b3e5a7ca70fe4ff75f0.us-east-1.aws.found.io/app/kibana#/discover/Steve-Slow-Train-Analysis-(2080s-and-2083s)?_g=(refreshInterval:(display:Off,pause:!f,section:0,value:0),time:(from:'2017-11-17T18:00:33-0700',mode:absolute,to:'2017-11-17T20:51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34" s="204" t="str">
        <f>IF(AA134&lt;VLOOKUP(AG134,Variables!$AC$3:$AD$8,2,FALSE),"Y","N")</f>
        <v>N</v>
      </c>
      <c r="X134" s="204">
        <f t="shared" si="27"/>
        <v>1</v>
      </c>
      <c r="Y134" s="204">
        <f t="shared" si="44"/>
        <v>23.2959</v>
      </c>
      <c r="Z134" s="204">
        <f t="shared" si="45"/>
        <v>2.5600000000000001E-2</v>
      </c>
      <c r="AA134" s="204">
        <f t="shared" si="30"/>
        <v>23.270299999999999</v>
      </c>
      <c r="AB134" s="54" t="e">
        <f>VLOOKUP(A134,Enforcements!$C$7:$K$9,8,0)</f>
        <v>#N/A</v>
      </c>
      <c r="AC134" s="51" t="e">
        <f>VLOOKUP(A134,Enforcements!$C$7:$E$9,3,0)</f>
        <v>#N/A</v>
      </c>
      <c r="AD134" s="179">
        <f t="shared" si="31"/>
        <v>218</v>
      </c>
      <c r="AE134" s="77" t="str">
        <f t="shared" si="32"/>
        <v>aws s3 cp s3://rtdc.mdm.uploadarchive.raw/RTDC4035/ "%USERPROFILE%\AppData\Local\Temp\OnboardLogs"\RTDC4035\2017-11-17 --exclude "*" --recursive --include "*20171117*" &amp; "%USERPROFILE%\Documents\GitHub\mrs-test-scripts\Headless Mode &amp; Sideloading\WalkAndUnGZ.bat" "%USERPROFILE%\AppData\Local\Temp\OnboardLogs"\RTDC4035\2017-11-17 &amp; aws s3 cp s3://rtdc.mdm.uploadarchive.raw/RTDC4035/ "%USERPROFILE%\AppData\Local\Temp\OnboardLogs"\RTDC4035\2017-11-18 --exclude "*" --recursive --include "*20171118*" &amp; "%USERPROFILE%\Documents\GitHub\mrs-test-scripts\Headless Mode &amp; Sideloading\WalkAndUnGZ.bat" "%USERPROFILE%\AppData\Local\Temp\OnboardLogs"\RTDC4035\2017-11-18</v>
      </c>
      <c r="AF134" s="74" t="str">
        <f t="shared" si="33"/>
        <v>"C:\Program Files (x86)\AstroGrep\AstroGrep.exe" /e /r /s /spath="%USERPROFILE%\AppData\Local\Temp\OnboardLogs" /stypes="app*4035*20171118*" /stext=" 02:.+((SYSTEM_STATE.+slice.+state.+changed )|(ment ac)|(multiple cpu faults)|(system.+state.+changed )|(\[timeout)|(PRM\|1\|D)|(kpr)|(kdp)|(train st.+moving)|(\|lc)|(penalty))"</v>
      </c>
      <c r="AG134" s="182" t="str">
        <f t="shared" si="34"/>
        <v>EC</v>
      </c>
      <c r="AH134" s="78" t="str">
        <f t="shared" si="35"/>
        <v>"%USERPROFILE%\Documents\GitHub\eaglep3\Utilities\RefineRTDCRunTimes.py" --tripid 218-17 --locoid 4035 --swversion DE.1.0.9.0 --startMP 204:232959 --initTime 2017-11-17T19:00:33 --startdatetime 2017-11-17T19:12:25 --delay 109 --endMP 204:256 --enddatetime 2017-11-17T19:51:49 --enforcementcount 1 &gt;&gt;%USERPROFILE%\Documents\GitHub\eaglep3-reporting\EC\2017-11-17-refined-times.txt</v>
      </c>
      <c r="AI134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{"issue":{"subject":"","project_id":79,"tracker_id":40,"status_id":1,"priority_id":2,"assigned_to_id":338,"start_date":"2017-11-17","description":"","custom_fields":[{"id":1,"name":"Subdivision","value":"EC"},{"id":4,"name":"Milepost","value":"0.0256"},{"id":17,"name":"Train ID","value":"218-17"},{"id":16,"name":"Locomotive ID","value":"4035"},{"id":130,"name":"Impact","value":""},{"id":150,"name":"Time of Event (Mountain Time)","value":"19:51:49"},{"id":151,"name":"Denver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4" s="47"/>
      <c r="AL134" s="47"/>
      <c r="AM134" s="142" t="str">
        <f t="shared" si="37"/>
        <v>start /low /b %USERPROFILE%\Documents\GitHub\eaglep3\Utilities\DownloadLogsFromS3.py --loco 4035 --day 2017-11-17</v>
      </c>
      <c r="AN134" s="151" t="str">
        <f t="shared" si="38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02:51:49"},{"id":29,"name":"Sharepoint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168" t="str">
        <f t="shared" si="39"/>
        <v>https://d0f6bd738d7f1b3e5a7ca70fe4ff75f0.us-east-1.aws.found.io/app/kibana#/discover/Steve-Slow-Train-Analysis-(2080s-and-2083s)?_g=(refreshInterval:(display:Off,pause:!f,section:0,value:0),time:(from:'2017-11-17T18:00:33-0700',mode:absolute,to:'2017-11-17T20:51:49-0700'))&amp;_a=(columns:!('Message%20ID',Summary),filters:!(),index:'emp_*',interval:auto,query:(query_string:(analyze_wildcard:!t,query:'%22rtdc.l.rtdc.4035%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3">
      <c r="A135" s="32" t="s">
        <v>846</v>
      </c>
      <c r="B135" s="7">
        <v>4042</v>
      </c>
      <c r="C135" s="21" t="s">
        <v>192</v>
      </c>
      <c r="D135" s="21" t="s">
        <v>447</v>
      </c>
      <c r="E135" s="13">
        <v>43056.769513888888</v>
      </c>
      <c r="F135" s="13">
        <v>43056.771597222221</v>
      </c>
      <c r="G135" s="7">
        <v>102</v>
      </c>
      <c r="H135" s="21" t="s">
        <v>1001</v>
      </c>
      <c r="I135" s="13">
        <v>43056.795613425929</v>
      </c>
      <c r="J135" s="7">
        <v>1</v>
      </c>
      <c r="K135" s="89" t="str">
        <f t="shared" si="23"/>
        <v>4041/4042</v>
      </c>
      <c r="L135" s="185" t="str">
        <f>VLOOKUP(A135,'Trips&amp;Operators'!$C$1:$G$99911,5,FALSE)</f>
        <v>ELBAUM MIKE</v>
      </c>
      <c r="M135" s="6">
        <f t="shared" si="24"/>
        <v>2.4016203708015382E-2</v>
      </c>
      <c r="N135" s="7">
        <f t="shared" si="46"/>
        <v>34.58333333954215</v>
      </c>
      <c r="O135" s="7"/>
      <c r="P135" s="7"/>
      <c r="Q135" s="22"/>
      <c r="R135" s="174"/>
      <c r="S135" s="221">
        <f t="shared" si="47"/>
        <v>1</v>
      </c>
      <c r="T135" s="174" t="str">
        <f t="shared" si="25"/>
        <v>NorthBound</v>
      </c>
      <c r="U135" s="198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16" t="str">
        <f t="shared" si="26"/>
        <v>https://d0f6bd738d7f1b3e5a7ca70fe4ff75f0.us-east-1.aws.found.io/app/kibana#/discover/Steve-Slow-Train-Analysis-(2080s-and-2083s)?_g=(refreshInterval:(display:Off,pause:!f,section:0,value:0),time:(from:'2017-11-17T17:28:06-0700',mode:absolute,to:'2017-11-17T20:05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35" s="204" t="str">
        <f>IF(AA135&lt;VLOOKUP(AG135,Variables!$AC$3:$AD$8,2,FALSE),"Y","N")</f>
        <v>N</v>
      </c>
      <c r="X135" s="204">
        <f t="shared" si="27"/>
        <v>1</v>
      </c>
      <c r="Y135" s="204">
        <f t="shared" si="44"/>
        <v>5.1700000000000003E-2</v>
      </c>
      <c r="Z135" s="204">
        <f t="shared" si="45"/>
        <v>23.328099999999999</v>
      </c>
      <c r="AA135" s="204">
        <f t="shared" si="30"/>
        <v>23.276399999999999</v>
      </c>
      <c r="AB135" s="54" t="e">
        <f>VLOOKUP(A135,Enforcements!$C$7:$K$9,8,0)</f>
        <v>#N/A</v>
      </c>
      <c r="AC135" s="51" t="e">
        <f>VLOOKUP(A135,Enforcements!$C$7:$E$9,3,0)</f>
        <v>#N/A</v>
      </c>
      <c r="AD135" s="179">
        <f t="shared" si="31"/>
        <v>219</v>
      </c>
      <c r="AE135" s="77" t="str">
        <f t="shared" si="32"/>
        <v>aws s3 cp s3://rtdc.mdm.uploadarchive.raw/RTDC4042/ "%USERPROFILE%\AppData\Local\Temp\OnboardLogs"\RTDC4042\2017-11-17 --exclude "*" --recursive --include "*20171117*" &amp; "%USERPROFILE%\Documents\GitHub\mrs-test-scripts\Headless Mode &amp; Sideloading\WalkAndUnGZ.bat" "%USERPROFILE%\AppData\Local\Temp\OnboardLogs"\RTDC4042\2017-11-17 &amp; aws s3 cp s3://rtdc.mdm.uploadarchive.raw/RTDC4042/ "%USERPROFILE%\AppData\Local\Temp\OnboardLogs"\RTDC4042\2017-11-18 --exclude "*" --recursive --include "*20171118*" &amp; "%USERPROFILE%\Documents\GitHub\mrs-test-scripts\Headless Mode &amp; Sideloading\WalkAndUnGZ.bat" "%USERPROFILE%\AppData\Local\Temp\OnboardLogs"\RTDC4042\2017-11-18</v>
      </c>
      <c r="AF135" s="74" t="str">
        <f t="shared" si="33"/>
        <v>"C:\Program Files (x86)\AstroGrep\AstroGrep.exe" /e /r /s /spath="%USERPROFILE%\AppData\Local\Temp\OnboardLogs" /stypes="app*4042*20171118*" /stext=" 02:.+((SYSTEM_STATE.+slice.+state.+changed )|(ment ac)|(multiple cpu faults)|(system.+state.+changed )|(\[timeout)|(PRM\|1\|D)|(kpr)|(kdp)|(train st.+moving)|(\|lc)|(penalty))"</v>
      </c>
      <c r="AG135" s="182" t="str">
        <f t="shared" si="34"/>
        <v>EC</v>
      </c>
      <c r="AH135" s="78" t="str">
        <f t="shared" si="35"/>
        <v>"%USERPROFILE%\Documents\GitHub\eaglep3\Utilities\RefineRTDCRunTimes.py" --tripid 219-17 --locoid 4042 --swversion DE.1.0.9.0 --startMP 204:517 --initTime 2017-11-17T18:28:06 --startdatetime 2017-11-17T18:31:06 --delay 102 --endMP 204:233281 --enddatetime 2017-11-17T19:05:41 --enforcementcount 1 &gt;&gt;%USERPROFILE%\Documents\GitHub\eaglep3-reporting\EC\2017-11-17-refined-times.txt</v>
      </c>
      <c r="AI135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{"issue":{"subject":"","project_id":79,"tracker_id":40,"status_id":1,"priority_id":2,"assigned_to_id":338,"start_date":"2017-11-17","description":"","custom_fields":[{"id":1,"name":"Subdivision","value":"EC"},{"id":4,"name":"Milepost","value":"23.3281"},{"id":17,"name":"Train ID","value":"219-17"},{"id":16,"name":"Locomotive ID","value":"4042"},{"id":130,"name":"Impact","value":""},{"id":150,"name":"Time of Event (Mountain Time)","value":"19:05:41"},{"id":151,"name":"Denver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5" s="47"/>
      <c r="AL135" s="47"/>
      <c r="AM135" s="142" t="str">
        <f t="shared" si="37"/>
        <v>start /low /b %USERPROFILE%\Documents\GitHub\eaglep3\Utilities\DownloadLogsFromS3.py --loco 4042 --day 2017-11-17</v>
      </c>
      <c r="AN135" s="151" t="str">
        <f t="shared" si="38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02:05:41"},{"id":29,"name":"Sharepoint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168" t="str">
        <f t="shared" si="39"/>
        <v>https://d0f6bd738d7f1b3e5a7ca70fe4ff75f0.us-east-1.aws.found.io/app/kibana#/discover/Steve-Slow-Train-Analysis-(2080s-and-2083s)?_g=(refreshInterval:(display:Off,pause:!f,section:0,value:0),time:(from:'2017-11-17T17:28:06-0700',mode:absolute,to:'2017-11-17T20:05:41-0700'))&amp;_a=(columns:!('Message%20ID',Summary),filters:!(),index:'emp_*',interval:auto,query:(query_string:(analyze_wildcard:!t,query:'%22rtdc.l.rtdc.4042%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3">
      <c r="A136" s="32" t="s">
        <v>856</v>
      </c>
      <c r="B136" s="7">
        <v>4041</v>
      </c>
      <c r="C136" s="21" t="s">
        <v>192</v>
      </c>
      <c r="D136" s="21" t="s">
        <v>566</v>
      </c>
      <c r="E136" s="13">
        <v>43056.797199074077</v>
      </c>
      <c r="F136" s="13">
        <v>43056.810682870368</v>
      </c>
      <c r="G136" s="7">
        <v>72</v>
      </c>
      <c r="H136" s="21" t="s">
        <v>592</v>
      </c>
      <c r="I136" s="13">
        <v>43056.835798611108</v>
      </c>
      <c r="J136" s="7">
        <v>1</v>
      </c>
      <c r="K136" s="89" t="str">
        <f t="shared" si="23"/>
        <v>4041/4042</v>
      </c>
      <c r="L136" s="185" t="str">
        <f>VLOOKUP(A136,'Trips&amp;Operators'!$C$1:$G$99911,5,FALSE)</f>
        <v>ELBAUM MIKE</v>
      </c>
      <c r="M136" s="6">
        <f t="shared" si="24"/>
        <v>2.5115740740147885E-2</v>
      </c>
      <c r="N136" s="7">
        <f t="shared" si="46"/>
        <v>36.166666665812954</v>
      </c>
      <c r="O136" s="7"/>
      <c r="P136" s="7"/>
      <c r="Q136" s="22"/>
      <c r="R136" s="174"/>
      <c r="S136" s="221">
        <f t="shared" si="47"/>
        <v>1</v>
      </c>
      <c r="T136" s="174" t="str">
        <f t="shared" si="25"/>
        <v>Southbound</v>
      </c>
      <c r="U136" s="198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16" t="str">
        <f t="shared" si="26"/>
        <v>https://d0f6bd738d7f1b3e5a7ca70fe4ff75f0.us-east-1.aws.found.io/app/kibana#/discover/Steve-Slow-Train-Analysis-(2080s-and-2083s)?_g=(refreshInterval:(display:Off,pause:!f,section:0,value:0),time:(from:'2017-11-17T18:07:58-0700',mode:absolute,to:'2017-11-17T21:03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36" s="204" t="str">
        <f>IF(AA136&lt;VLOOKUP(AG136,Variables!$AC$3:$AD$8,2,FALSE),"Y","N")</f>
        <v>N</v>
      </c>
      <c r="X136" s="204">
        <f t="shared" si="27"/>
        <v>1</v>
      </c>
      <c r="Y136" s="204">
        <f t="shared" si="44"/>
        <v>23.297000000000001</v>
      </c>
      <c r="Z136" s="204">
        <f t="shared" si="45"/>
        <v>2.69E-2</v>
      </c>
      <c r="AA136" s="204">
        <f t="shared" si="30"/>
        <v>23.270099999999999</v>
      </c>
      <c r="AB136" s="54" t="e">
        <f>VLOOKUP(A136,Enforcements!$C$7:$K$9,8,0)</f>
        <v>#N/A</v>
      </c>
      <c r="AC136" s="51" t="e">
        <f>VLOOKUP(A136,Enforcements!$C$7:$E$9,3,0)</f>
        <v>#N/A</v>
      </c>
      <c r="AD136" s="179">
        <f t="shared" si="31"/>
        <v>220</v>
      </c>
      <c r="AE136" s="77" t="str">
        <f t="shared" si="32"/>
        <v>aws s3 cp s3://rtdc.mdm.uploadarchive.raw/RTDC4041/ "%USERPROFILE%\AppData\Local\Temp\OnboardLogs"\RTDC4041\2017-11-17 --exclude "*" --recursive --include "*20171117*" &amp; "%USERPROFILE%\Documents\GitHub\mrs-test-scripts\Headless Mode &amp; Sideloading\WalkAndUnGZ.bat" "%USERPROFILE%\AppData\Local\Temp\OnboardLogs"\RTDC4041\2017-11-17 &amp; aws s3 cp s3://rtdc.mdm.uploadarchive.raw/RTDC4041/ "%USERPROFILE%\AppData\Local\Temp\OnboardLogs"\RTDC4041\2017-11-18 --exclude "*" --recursive --include "*20171118*" &amp; "%USERPROFILE%\Documents\GitHub\mrs-test-scripts\Headless Mode &amp; Sideloading\WalkAndUnGZ.bat" "%USERPROFILE%\AppData\Local\Temp\OnboardLogs"\RTDC4041\2017-11-18</v>
      </c>
      <c r="AF136" s="74" t="str">
        <f t="shared" si="33"/>
        <v>"C:\Program Files (x86)\AstroGrep\AstroGrep.exe" /e /r /s /spath="%USERPROFILE%\AppData\Local\Temp\OnboardLogs" /stypes="app*4041*20171118*" /stext=" 03:.+((SYSTEM_STATE.+slice.+state.+changed )|(ment ac)|(multiple cpu faults)|(system.+state.+changed )|(\[timeout)|(PRM\|1\|D)|(kpr)|(kdp)|(train st.+moving)|(\|lc)|(penalty))"</v>
      </c>
      <c r="AG136" s="182" t="str">
        <f t="shared" si="34"/>
        <v>EC</v>
      </c>
      <c r="AH136" s="78" t="str">
        <f t="shared" si="35"/>
        <v>"%USERPROFILE%\Documents\GitHub\eaglep3\Utilities\RefineRTDCRunTimes.py" --tripid 220-17 --locoid 4041 --swversion DE.1.0.9.0 --startMP 204:232970 --initTime 2017-11-17T19:07:58 --startdatetime 2017-11-17T19:27:23 --delay 72 --endMP 204:269 --enddatetime 2017-11-17T20:03:33 --enforcementcount 1 &gt;&gt;%USERPROFILE%\Documents\GitHub\eaglep3-reporting\EC\2017-11-17-refined-times.txt</v>
      </c>
      <c r="AI136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{"issue":{"subject":"","project_id":79,"tracker_id":40,"status_id":1,"priority_id":2,"assigned_to_id":338,"start_date":"2017-11-17","description":"","custom_fields":[{"id":1,"name":"Subdivision","value":"EC"},{"id":4,"name":"Milepost","value":"0.0269"},{"id":17,"name":"Train ID","value":"220-17"},{"id":16,"name":"Locomotive ID","value":"4041"},{"id":130,"name":"Impact","value":""},{"id":150,"name":"Time of Event (Mountain Time)","value":"20:03:33"},{"id":151,"name":"Denver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6" s="47"/>
      <c r="AL136" s="47"/>
      <c r="AM136" s="142" t="str">
        <f t="shared" si="37"/>
        <v>start /low /b %USERPROFILE%\Documents\GitHub\eaglep3\Utilities\DownloadLogsFromS3.py --loco 4041 --day 2017-11-17</v>
      </c>
      <c r="AN136" s="151" t="str">
        <f t="shared" si="38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03:03:33"},{"id":29,"name":"Sharepoint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168" t="str">
        <f t="shared" si="39"/>
        <v>https://d0f6bd738d7f1b3e5a7ca70fe4ff75f0.us-east-1.aws.found.io/app/kibana#/discover/Steve-Slow-Train-Analysis-(2080s-and-2083s)?_g=(refreshInterval:(display:Off,pause:!f,section:0,value:0),time:(from:'2017-11-17T18:07:58-0700',mode:absolute,to:'2017-11-17T21:03:33-0700'))&amp;_a=(columns:!('Message%20ID',Summary),filters:!(),index:'emp_*',interval:auto,query:(query_string:(analyze_wildcard:!t,query:'%22rtdc.l.rtdc.4041%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3">
      <c r="A137" s="32" t="s">
        <v>850</v>
      </c>
      <c r="B137" s="7">
        <v>4066</v>
      </c>
      <c r="C137" s="21" t="s">
        <v>192</v>
      </c>
      <c r="D137" s="21" t="s">
        <v>526</v>
      </c>
      <c r="E137" s="13">
        <v>43056.78800925926</v>
      </c>
      <c r="F137" s="13">
        <v>43056.792037037034</v>
      </c>
      <c r="G137" s="7">
        <v>275</v>
      </c>
      <c r="H137" s="21" t="s">
        <v>495</v>
      </c>
      <c r="I137" s="13">
        <v>43056.817337962966</v>
      </c>
      <c r="J137" s="7">
        <v>1</v>
      </c>
      <c r="K137" s="89" t="str">
        <f t="shared" si="23"/>
        <v>4065/4066</v>
      </c>
      <c r="L137" s="185" t="str">
        <f>VLOOKUP(A137,'Trips&amp;Operators'!$C$1:$G$99911,5,FALSE)</f>
        <v>HAMMOND JUSTYNN</v>
      </c>
      <c r="M137" s="6">
        <f t="shared" si="24"/>
        <v>2.5300925932242535E-2</v>
      </c>
      <c r="N137" s="7">
        <f t="shared" si="46"/>
        <v>36.43333334242925</v>
      </c>
      <c r="O137" s="7"/>
      <c r="P137" s="7"/>
      <c r="Q137" s="22"/>
      <c r="R137" s="174"/>
      <c r="S137" s="221">
        <f t="shared" si="47"/>
        <v>1</v>
      </c>
      <c r="T137" s="174" t="str">
        <f t="shared" si="25"/>
        <v>NorthBound</v>
      </c>
      <c r="U137" s="198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16" t="str">
        <f t="shared" si="26"/>
        <v>https://d0f6bd738d7f1b3e5a7ca70fe4ff75f0.us-east-1.aws.found.io/app/kibana#/discover/Steve-Slow-Train-Analysis-(2080s-and-2083s)?_g=(refreshInterval:(display:Off,pause:!f,section:0,value:0),time:(from:'2017-11-17T17:54:44-0700',mode:absolute,to:'2017-11-17T20:36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37" s="204" t="str">
        <f>IF(AA137&lt;VLOOKUP(AG137,Variables!$AC$3:$AD$8,2,FALSE),"Y","N")</f>
        <v>N</v>
      </c>
      <c r="X137" s="204">
        <f t="shared" si="27"/>
        <v>1</v>
      </c>
      <c r="Y137" s="204">
        <f t="shared" si="44"/>
        <v>5.2200000000000003E-2</v>
      </c>
      <c r="Z137" s="204">
        <f t="shared" si="45"/>
        <v>23.327000000000002</v>
      </c>
      <c r="AA137" s="204">
        <f t="shared" si="30"/>
        <v>23.274800000000003</v>
      </c>
      <c r="AB137" s="54" t="e">
        <f>VLOOKUP(A137,Enforcements!$C$7:$K$9,8,0)</f>
        <v>#N/A</v>
      </c>
      <c r="AC137" s="51" t="e">
        <f>VLOOKUP(A137,Enforcements!$C$7:$E$9,3,0)</f>
        <v>#N/A</v>
      </c>
      <c r="AD137" s="179">
        <f t="shared" si="31"/>
        <v>221</v>
      </c>
      <c r="AE137" s="77" t="str">
        <f t="shared" si="32"/>
        <v>aws s3 cp s3://rtdc.mdm.uploadarchive.raw/RTDC4066/ "%USERPROFILE%\AppData\Local\Temp\OnboardLogs"\RTDC4066\2017-11-17 --exclude "*" --recursive --include "*20171117*" &amp; "%USERPROFILE%\Documents\GitHub\mrs-test-scripts\Headless Mode &amp; Sideloading\WalkAndUnGZ.bat" "%USERPROFILE%\AppData\Local\Temp\OnboardLogs"\RTDC4066\2017-11-17 &amp; aws s3 cp s3://rtdc.mdm.uploadarchive.raw/RTDC4066/ "%USERPROFILE%\AppData\Local\Temp\OnboardLogs"\RTDC4066\2017-11-18 --exclude "*" --recursive --include "*20171118*" &amp; "%USERPROFILE%\Documents\GitHub\mrs-test-scripts\Headless Mode &amp; Sideloading\WalkAndUnGZ.bat" "%USERPROFILE%\AppData\Local\Temp\OnboardLogs"\RTDC4066\2017-11-18</v>
      </c>
      <c r="AF137" s="74" t="str">
        <f t="shared" si="33"/>
        <v>"C:\Program Files (x86)\AstroGrep\AstroGrep.exe" /e /r /s /spath="%USERPROFILE%\AppData\Local\Temp\OnboardLogs" /stypes="app*4066*20171118*" /stext=" 02:.+((SYSTEM_STATE.+slice.+state.+changed )|(ment ac)|(multiple cpu faults)|(system.+state.+changed )|(\[timeout)|(PRM\|1\|D)|(kpr)|(kdp)|(train st.+moving)|(\|lc)|(penalty))"</v>
      </c>
      <c r="AG137" s="182" t="str">
        <f t="shared" si="34"/>
        <v>EC</v>
      </c>
      <c r="AH137" s="78" t="str">
        <f t="shared" si="35"/>
        <v>"%USERPROFILE%\Documents\GitHub\eaglep3\Utilities\RefineRTDCRunTimes.py" --tripid 221-17 --locoid 4066 --swversion DE.1.0.9.0 --startMP 204:522 --initTime 2017-11-17T18:54:44 --startdatetime 2017-11-17T19:00:32 --delay 275 --endMP 204:233270 --enddatetime 2017-11-17T19:36:58 --enforcementcount 1 &gt;&gt;%USERPROFILE%\Documents\GitHub\eaglep3-reporting\EC\2017-11-17-refined-times.txt</v>
      </c>
      <c r="AI137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{"issue":{"subject":"","project_id":79,"tracker_id":40,"status_id":1,"priority_id":2,"assigned_to_id":338,"start_date":"2017-11-17","description":"","custom_fields":[{"id":1,"name":"Subdivision","value":"EC"},{"id":4,"name":"Milepost","value":"23.327"},{"id":17,"name":"Train ID","value":"221-17"},{"id":16,"name":"Locomotive ID","value":"4066"},{"id":130,"name":"Impact","value":""},{"id":150,"name":"Time of Event (Mountain Time)","value":"19:36:58"},{"id":151,"name":"Denver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7" s="47"/>
      <c r="AL137" s="47"/>
      <c r="AM137" s="142" t="str">
        <f t="shared" si="37"/>
        <v>start /low /b %USERPROFILE%\Documents\GitHub\eaglep3\Utilities\DownloadLogsFromS3.py --loco 4066 --day 2017-11-17</v>
      </c>
      <c r="AN137" s="151" t="str">
        <f t="shared" si="38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02:36:58"},{"id":29,"name":"Sharepoint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168" t="str">
        <f t="shared" si="39"/>
        <v>https://d0f6bd738d7f1b3e5a7ca70fe4ff75f0.us-east-1.aws.found.io/app/kibana#/discover/Steve-Slow-Train-Analysis-(2080s-and-2083s)?_g=(refreshInterval:(display:Off,pause:!f,section:0,value:0),time:(from:'2017-11-17T17:54:44-0700',mode:absolute,to:'2017-11-17T20:36:58-0700'))&amp;_a=(columns:!('Message%20ID',Summary),filters:!(),index:'emp_*',interval:auto,query:(query_string:(analyze_wildcard:!t,query:'%22rtdc.l.rtdc.4066%22')),sort:!(Time.ISO8601,asc))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3">
      <c r="A138" s="32" t="s">
        <v>858</v>
      </c>
      <c r="B138" s="7">
        <v>4065</v>
      </c>
      <c r="C138" s="21" t="s">
        <v>192</v>
      </c>
      <c r="D138" s="21" t="s">
        <v>449</v>
      </c>
      <c r="E138" s="13">
        <v>43056.828067129631</v>
      </c>
      <c r="F138" s="13">
        <v>43056.831446759257</v>
      </c>
      <c r="G138" s="7">
        <v>120</v>
      </c>
      <c r="H138" s="21" t="s">
        <v>563</v>
      </c>
      <c r="I138" s="13">
        <v>43056.857685185183</v>
      </c>
      <c r="J138" s="7">
        <v>1</v>
      </c>
      <c r="K138" s="89" t="str">
        <f t="shared" si="23"/>
        <v>4065/4066</v>
      </c>
      <c r="L138" s="185" t="str">
        <f>VLOOKUP(A138,'Trips&amp;Operators'!$C$1:$G$99911,5,FALSE)</f>
        <v>HAMMOND JUSTYNN</v>
      </c>
      <c r="M138" s="6">
        <f t="shared" si="24"/>
        <v>2.6238425925839692E-2</v>
      </c>
      <c r="N138" s="7">
        <f t="shared" si="46"/>
        <v>37.783333333209157</v>
      </c>
      <c r="O138" s="7"/>
      <c r="P138" s="7"/>
      <c r="Q138" s="22"/>
      <c r="R138" s="174"/>
      <c r="S138" s="221">
        <f t="shared" si="47"/>
        <v>1</v>
      </c>
      <c r="T138" s="174" t="str">
        <f t="shared" si="25"/>
        <v>Southbound</v>
      </c>
      <c r="U138" s="198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16" t="str">
        <f t="shared" si="26"/>
        <v>https://d0f6bd738d7f1b3e5a7ca70fe4ff75f0.us-east-1.aws.found.io/app/kibana#/discover/Steve-Slow-Train-Analysis-(2080s-and-2083s)?_g=(refreshInterval:(display:Off,pause:!f,section:0,value:0),time:(from:'2017-11-17T18:52:25-0700',mode:absolute,to:'2017-11-17T21:35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38" s="204" t="str">
        <f>IF(AA138&lt;VLOOKUP(AG138,Variables!$AC$3:$AD$8,2,FALSE),"Y","N")</f>
        <v>N</v>
      </c>
      <c r="X138" s="204">
        <f t="shared" si="27"/>
        <v>1</v>
      </c>
      <c r="Y138" s="204">
        <f t="shared" si="44"/>
        <v>23.293800000000001</v>
      </c>
      <c r="Z138" s="204">
        <f t="shared" si="45"/>
        <v>1.5800000000000002E-2</v>
      </c>
      <c r="AA138" s="204">
        <f t="shared" si="30"/>
        <v>23.278000000000002</v>
      </c>
      <c r="AB138" s="54" t="e">
        <f>VLOOKUP(A138,Enforcements!$C$7:$K$9,8,0)</f>
        <v>#N/A</v>
      </c>
      <c r="AC138" s="51" t="e">
        <f>VLOOKUP(A138,Enforcements!$C$7:$E$9,3,0)</f>
        <v>#N/A</v>
      </c>
      <c r="AD138" s="179">
        <f t="shared" si="31"/>
        <v>222</v>
      </c>
      <c r="AE138" s="77" t="str">
        <f t="shared" si="32"/>
        <v>aws s3 cp s3://rtdc.mdm.uploadarchive.raw/RTDC4065/ "%USERPROFILE%\AppData\Local\Temp\OnboardLogs"\RTDC4065\2017-11-17 --exclude "*" --recursive --include "*20171117*" &amp; "%USERPROFILE%\Documents\GitHub\mrs-test-scripts\Headless Mode &amp; Sideloading\WalkAndUnGZ.bat" "%USERPROFILE%\AppData\Local\Temp\OnboardLogs"\RTDC4065\2017-11-17 &amp; aws s3 cp s3://rtdc.mdm.uploadarchive.raw/RTDC4065/ "%USERPROFILE%\AppData\Local\Temp\OnboardLogs"\RTDC4065\2017-11-18 --exclude "*" --recursive --include "*20171118*" &amp; "%USERPROFILE%\Documents\GitHub\mrs-test-scripts\Headless Mode &amp; Sideloading\WalkAndUnGZ.bat" "%USERPROFILE%\AppData\Local\Temp\OnboardLogs"\RTDC4065\2017-11-18</v>
      </c>
      <c r="AF138" s="74" t="str">
        <f t="shared" si="33"/>
        <v>"C:\Program Files (x86)\AstroGrep\AstroGrep.exe" /e /r /s /spath="%USERPROFILE%\AppData\Local\Temp\OnboardLogs" /stypes="app*4065*20171118*" /stext=" 03:.+((SYSTEM_STATE.+slice.+state.+changed )|(ment ac)|(multiple cpu faults)|(system.+state.+changed )|(\[timeout)|(PRM\|1\|D)|(kpr)|(kdp)|(train st.+moving)|(\|lc)|(penalty))"</v>
      </c>
      <c r="AG138" s="182" t="str">
        <f t="shared" si="34"/>
        <v>EC</v>
      </c>
      <c r="AH138" s="78" t="str">
        <f t="shared" si="35"/>
        <v>"%USERPROFILE%\Documents\GitHub\eaglep3\Utilities\RefineRTDCRunTimes.py" --tripid 222-17 --locoid 4065 --swversion DE.1.0.9.0 --startMP 204:232938 --initTime 2017-11-17T19:52:25 --startdatetime 2017-11-17T19:57:17 --delay 120 --endMP 204:158 --enddatetime 2017-11-17T20:35:04 --enforcementcount 1 &gt;&gt;%USERPROFILE%\Documents\GitHub\eaglep3-reporting\EC\2017-11-17-refined-times.txt</v>
      </c>
      <c r="AI138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{"issue":{"subject":"","project_id":79,"tracker_id":40,"status_id":1,"priority_id":2,"assigned_to_id":338,"start_date":"2017-11-17","description":"","custom_fields":[{"id":1,"name":"Subdivision","value":"EC"},{"id":4,"name":"Milepost","value":"0.0158"},{"id":17,"name":"Train ID","value":"222-17"},{"id":16,"name":"Locomotive ID","value":"4065"},{"id":130,"name":"Impact","value":""},{"id":150,"name":"Time of Event (Mountain Time)","value":"20:35:04"},{"id":151,"name":"Denver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8" s="47"/>
      <c r="AL138" s="47"/>
      <c r="AM138" s="142" t="str">
        <f t="shared" si="37"/>
        <v>start /low /b %USERPROFILE%\Documents\GitHub\eaglep3\Utilities\DownloadLogsFromS3.py --loco 4065 --day 2017-11-17</v>
      </c>
      <c r="AN138" s="151" t="str">
        <f t="shared" si="38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03:35:04"},{"id":29,"name":"Sharepoint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168" t="str">
        <f t="shared" si="39"/>
        <v>https://d0f6bd738d7f1b3e5a7ca70fe4ff75f0.us-east-1.aws.found.io/app/kibana#/discover/Steve-Slow-Train-Analysis-(2080s-and-2083s)?_g=(refreshInterval:(display:Off,pause:!f,section:0,value:0),time:(from:'2017-11-17T18:52:25-0700',mode:absolute,to:'2017-11-17T21:35:04-0700'))&amp;_a=(columns:!('Message%20ID',Summary),filters:!(),index:'emp_*',interval:auto,query:(query_string:(analyze_wildcard:!t,query:'%22rtdc.l.rtdc.4065%22')),sort:!(Time.ISO8601,asc))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3">
      <c r="A139" s="32" t="s">
        <v>857</v>
      </c>
      <c r="B139" s="7">
        <v>4020</v>
      </c>
      <c r="C139" s="21" t="s">
        <v>192</v>
      </c>
      <c r="D139" s="21" t="s">
        <v>1002</v>
      </c>
      <c r="E139" s="13">
        <v>43056.808761574073</v>
      </c>
      <c r="F139" s="13">
        <v>43056.812685185185</v>
      </c>
      <c r="G139" s="7">
        <v>83</v>
      </c>
      <c r="H139" s="21" t="s">
        <v>1003</v>
      </c>
      <c r="I139" s="13">
        <v>43056.837696759256</v>
      </c>
      <c r="J139" s="7">
        <v>1</v>
      </c>
      <c r="K139" s="89" t="str">
        <f t="shared" si="23"/>
        <v>4019/4020</v>
      </c>
      <c r="L139" s="185" t="str">
        <f>VLOOKUP(A139,'Trips&amp;Operators'!$C$1:$G$99911,5,FALSE)</f>
        <v>MCREYNOLDS KYLE</v>
      </c>
      <c r="M139" s="6">
        <f t="shared" si="24"/>
        <v>2.5011574070958886E-2</v>
      </c>
      <c r="N139" s="7">
        <f t="shared" si="46"/>
        <v>36.016666662180796</v>
      </c>
      <c r="O139" s="7"/>
      <c r="P139" s="7"/>
      <c r="Q139" s="22"/>
      <c r="R139" s="174"/>
      <c r="S139" s="221">
        <f t="shared" si="47"/>
        <v>1</v>
      </c>
      <c r="T139" s="174" t="str">
        <f t="shared" si="25"/>
        <v>NorthBound</v>
      </c>
      <c r="U139" s="198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16" t="str">
        <f t="shared" si="26"/>
        <v>https://d0f6bd738d7f1b3e5a7ca70fe4ff75f0.us-east-1.aws.found.io/app/kibana#/discover/Steve-Slow-Train-Analysis-(2080s-and-2083s)?_g=(refreshInterval:(display:Off,pause:!f,section:0,value:0),time:(from:'2017-11-17T18:24:37-0700',mode:absolute,to:'2017-11-17T21:06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39" s="204" t="str">
        <f>IF(AA139&lt;VLOOKUP(AG139,Variables!$AC$3:$AD$8,2,FALSE),"Y","N")</f>
        <v>N</v>
      </c>
      <c r="X139" s="204">
        <f t="shared" si="27"/>
        <v>1</v>
      </c>
      <c r="Y139" s="204">
        <f t="shared" si="44"/>
        <v>5.3499999999999999E-2</v>
      </c>
      <c r="Z139" s="204">
        <f t="shared" si="45"/>
        <v>23.316800000000001</v>
      </c>
      <c r="AA139" s="204">
        <f t="shared" si="30"/>
        <v>23.263300000000001</v>
      </c>
      <c r="AB139" s="54" t="e">
        <f>VLOOKUP(A139,Enforcements!$C$7:$K$9,8,0)</f>
        <v>#N/A</v>
      </c>
      <c r="AC139" s="51" t="e">
        <f>VLOOKUP(A139,Enforcements!$C$7:$E$9,3,0)</f>
        <v>#N/A</v>
      </c>
      <c r="AD139" s="179">
        <f t="shared" si="31"/>
        <v>223</v>
      </c>
      <c r="AE139" s="77" t="str">
        <f t="shared" si="32"/>
        <v>aws s3 cp s3://rtdc.mdm.uploadarchive.raw/RTDC4020/ "%USERPROFILE%\AppData\Local\Temp\OnboardLogs"\RTDC4020\2017-11-17 --exclude "*" --recursive --include "*20171117*" &amp; "%USERPROFILE%\Documents\GitHub\mrs-test-scripts\Headless Mode &amp; Sideloading\WalkAndUnGZ.bat" "%USERPROFILE%\AppData\Local\Temp\OnboardLogs"\RTDC4020\2017-11-17 &amp; aws s3 cp s3://rtdc.mdm.uploadarchive.raw/RTDC4020/ "%USERPROFILE%\AppData\Local\Temp\OnboardLogs"\RTDC4020\2017-11-18 --exclude "*" --recursive --include "*20171118*" &amp; "%USERPROFILE%\Documents\GitHub\mrs-test-scripts\Headless Mode &amp; Sideloading\WalkAndUnGZ.bat" "%USERPROFILE%\AppData\Local\Temp\OnboardLogs"\RTDC4020\2017-11-18</v>
      </c>
      <c r="AF139" s="74" t="str">
        <f t="shared" si="33"/>
        <v>"C:\Program Files (x86)\AstroGrep\AstroGrep.exe" /e /r /s /spath="%USERPROFILE%\AppData\Local\Temp\OnboardLogs" /stypes="app*4020*20171118*" /stext=" 03:.+((SYSTEM_STATE.+slice.+state.+changed )|(ment ac)|(multiple cpu faults)|(system.+state.+changed )|(\[timeout)|(PRM\|1\|D)|(kpr)|(kdp)|(train st.+moving)|(\|lc)|(penalty))"</v>
      </c>
      <c r="AG139" s="182" t="str">
        <f t="shared" si="34"/>
        <v>EC</v>
      </c>
      <c r="AH139" s="78" t="str">
        <f t="shared" si="35"/>
        <v>"%USERPROFILE%\Documents\GitHub\eaglep3\Utilities\RefineRTDCRunTimes.py" --tripid 223-17 --locoid 4020 --swversion DE.1.0.9.0 --startMP 204:535 --initTime 2017-11-17T19:24:37 --startdatetime 2017-11-17T19:30:16 --delay 83 --endMP 204:233168 --enddatetime 2017-11-17T20:06:17 --enforcementcount 1 &gt;&gt;%USERPROFILE%\Documents\GitHub\eaglep3-reporting\EC\2017-11-17-refined-times.txt</v>
      </c>
      <c r="AI139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{"issue":{"subject":"","project_id":79,"tracker_id":40,"status_id":1,"priority_id":2,"assigned_to_id":338,"start_date":"2017-11-17","description":"","custom_fields":[{"id":1,"name":"Subdivision","value":"EC"},{"id":4,"name":"Milepost","value":"23.3168"},{"id":17,"name":"Train ID","value":"223-17"},{"id":16,"name":"Locomotive ID","value":"4020"},{"id":130,"name":"Impact","value":""},{"id":150,"name":"Time of Event (Mountain Time)","value":"20:06:17"},{"id":151,"name":"Denver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9" s="47"/>
      <c r="AL139" s="47"/>
      <c r="AM139" s="142" t="str">
        <f t="shared" si="37"/>
        <v>start /low /b %USERPROFILE%\Documents\GitHub\eaglep3\Utilities\DownloadLogsFromS3.py --loco 4020 --day 2017-11-17</v>
      </c>
      <c r="AN139" s="151" t="str">
        <f t="shared" si="38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03:06:17"},{"id":29,"name":"Sharepoint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168" t="str">
        <f t="shared" si="39"/>
        <v>https://d0f6bd738d7f1b3e5a7ca70fe4ff75f0.us-east-1.aws.found.io/app/kibana#/discover/Steve-Slow-Train-Analysis-(2080s-and-2083s)?_g=(refreshInterval:(display:Off,pause:!f,section:0,value:0),time:(from:'2017-11-17T18:24:37-0700',mode:absolute,to:'2017-11-17T21:06:17-0700'))&amp;_a=(columns:!('Message%20ID',Summary),filters:!(),index:'emp_*',interval:auto,query:(query_string:(analyze_wildcard:!t,query:'%22rtdc.l.rtdc.4020%22')),sort:!(Time.ISO8601,asc))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3">
      <c r="A140" s="32" t="s">
        <v>862</v>
      </c>
      <c r="B140" s="7">
        <v>4019</v>
      </c>
      <c r="C140" s="21" t="s">
        <v>192</v>
      </c>
      <c r="D140" s="21" t="s">
        <v>1004</v>
      </c>
      <c r="E140" s="13">
        <v>43056.845104166663</v>
      </c>
      <c r="F140" s="13">
        <v>43056.852268518516</v>
      </c>
      <c r="G140" s="7">
        <v>86</v>
      </c>
      <c r="H140" s="21" t="s">
        <v>539</v>
      </c>
      <c r="I140" s="13">
        <v>43056.877627314818</v>
      </c>
      <c r="J140" s="7">
        <v>1</v>
      </c>
      <c r="K140" s="89" t="str">
        <f t="shared" si="23"/>
        <v>4019/4020</v>
      </c>
      <c r="L140" s="185" t="str">
        <f>VLOOKUP(A140,'Trips&amp;Operators'!$C$1:$G$99911,5,FALSE)</f>
        <v>MCREYNOLDS KYLE</v>
      </c>
      <c r="M140" s="6">
        <f t="shared" si="24"/>
        <v>2.5358796301588882E-2</v>
      </c>
      <c r="N140" s="7">
        <f t="shared" si="46"/>
        <v>36.51666667428799</v>
      </c>
      <c r="O140" s="7"/>
      <c r="P140" s="7"/>
      <c r="Q140" s="22"/>
      <c r="R140" s="174"/>
      <c r="S140" s="221">
        <f t="shared" si="47"/>
        <v>1</v>
      </c>
      <c r="T140" s="174" t="str">
        <f t="shared" si="25"/>
        <v>Southbound</v>
      </c>
      <c r="U140" s="198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16" t="str">
        <f t="shared" si="26"/>
        <v>https://d0f6bd738d7f1b3e5a7ca70fe4ff75f0.us-east-1.aws.found.io/app/kibana#/discover/Steve-Slow-Train-Analysis-(2080s-and-2083s)?_g=(refreshInterval:(display:Off,pause:!f,section:0,value:0),time:(from:'2017-11-17T19:16:57-0700',mode:absolute,to:'2017-11-17T22:03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40" s="204" t="str">
        <f>IF(AA140&lt;VLOOKUP(AG140,Variables!$AC$3:$AD$8,2,FALSE),"Y","N")</f>
        <v>N</v>
      </c>
      <c r="X140" s="204">
        <f t="shared" si="27"/>
        <v>1</v>
      </c>
      <c r="Y140" s="204">
        <f t="shared" si="44"/>
        <v>23.2852</v>
      </c>
      <c r="Z140" s="204">
        <f t="shared" si="45"/>
        <v>2.4899999999999999E-2</v>
      </c>
      <c r="AA140" s="204">
        <f t="shared" si="30"/>
        <v>23.260300000000001</v>
      </c>
      <c r="AB140" s="54" t="e">
        <f>VLOOKUP(A140,Enforcements!$C$7:$K$9,8,0)</f>
        <v>#N/A</v>
      </c>
      <c r="AC140" s="51" t="e">
        <f>VLOOKUP(A140,Enforcements!$C$7:$E$9,3,0)</f>
        <v>#N/A</v>
      </c>
      <c r="AD140" s="179">
        <f t="shared" si="31"/>
        <v>224</v>
      </c>
      <c r="AE140" s="77" t="str">
        <f t="shared" si="32"/>
        <v>aws s3 cp s3://rtdc.mdm.uploadarchive.raw/RTDC4019/ "%USERPROFILE%\AppData\Local\Temp\OnboardLogs"\RTDC4019\2017-11-17 --exclude "*" --recursive --include "*20171117*" &amp; "%USERPROFILE%\Documents\GitHub\mrs-test-scripts\Headless Mode &amp; Sideloading\WalkAndUnGZ.bat" "%USERPROFILE%\AppData\Local\Temp\OnboardLogs"\RTDC4019\2017-11-17 &amp; aws s3 cp s3://rtdc.mdm.uploadarchive.raw/RTDC4019/ "%USERPROFILE%\AppData\Local\Temp\OnboardLogs"\RTDC4019\2017-11-18 --exclude "*" --recursive --include "*20171118*" &amp; "%USERPROFILE%\Documents\GitHub\mrs-test-scripts\Headless Mode &amp; Sideloading\WalkAndUnGZ.bat" "%USERPROFILE%\AppData\Local\Temp\OnboardLogs"\RTDC4019\2017-11-18</v>
      </c>
      <c r="AF140" s="74" t="str">
        <f t="shared" si="33"/>
        <v>"C:\Program Files (x86)\AstroGrep\AstroGrep.exe" /e /r /s /spath="%USERPROFILE%\AppData\Local\Temp\OnboardLogs" /stypes="app*4019*20171118*" /stext=" 04:.+((SYSTEM_STATE.+slice.+state.+changed )|(ment ac)|(multiple cpu faults)|(system.+state.+changed )|(\[timeout)|(PRM\|1\|D)|(kpr)|(kdp)|(train st.+moving)|(\|lc)|(penalty))"</v>
      </c>
      <c r="AG140" s="182" t="str">
        <f t="shared" si="34"/>
        <v>EC</v>
      </c>
      <c r="AH140" s="78" t="str">
        <f t="shared" si="35"/>
        <v>"%USERPROFILE%\Documents\GitHub\eaglep3\Utilities\RefineRTDCRunTimes.py" --tripid 224-17 --locoid 4019 --swversion DE.1.0.9.0 --startMP 204:232852 --initTime 2017-11-17T20:16:57 --startdatetime 2017-11-17T20:27:16 --delay 86 --endMP 204:249 --enddatetime 2017-11-17T21:03:47 --enforcementcount 1 &gt;&gt;%USERPROFILE%\Documents\GitHub\eaglep3-reporting\EC\2017-11-17-refined-times.txt</v>
      </c>
      <c r="AI140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{"issue":{"subject":"","project_id":79,"tracker_id":40,"status_id":1,"priority_id":2,"assigned_to_id":338,"start_date":"2017-11-17","description":"","custom_fields":[{"id":1,"name":"Subdivision","value":"EC"},{"id":4,"name":"Milepost","value":"0.0249"},{"id":17,"name":"Train ID","value":"224-17"},{"id":16,"name":"Locomotive ID","value":"4019"},{"id":130,"name":"Impact","value":""},{"id":150,"name":"Time of Event (Mountain Time)","value":"21:03:47"},{"id":151,"name":"Denver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0" s="47"/>
      <c r="AL140" s="47"/>
      <c r="AM140" s="142" t="str">
        <f t="shared" si="37"/>
        <v>start /low /b %USERPROFILE%\Documents\GitHub\eaglep3\Utilities\DownloadLogsFromS3.py --loco 4019 --day 2017-11-17</v>
      </c>
      <c r="AN140" s="151" t="str">
        <f t="shared" si="38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04:03:47"},{"id":29,"name":"Sharepoint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168" t="str">
        <f t="shared" si="39"/>
        <v>https://d0f6bd738d7f1b3e5a7ca70fe4ff75f0.us-east-1.aws.found.io/app/kibana#/discover/Steve-Slow-Train-Analysis-(2080s-and-2083s)?_g=(refreshInterval:(display:Off,pause:!f,section:0,value:0),time:(from:'2017-11-17T19:16:57-0700',mode:absolute,to:'2017-11-17T22:03:47-0700'))&amp;_a=(columns:!('Message%20ID',Summary),filters:!(),index:'emp_*',interval:auto,query:(query_string:(analyze_wildcard:!t,query:'%22rtdc.l.rtdc.4019%22')),sort:!(Time.ISO8601,asc))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3">
      <c r="A141" s="32" t="s">
        <v>859</v>
      </c>
      <c r="B141" s="7">
        <v>4036</v>
      </c>
      <c r="C141" s="21" t="s">
        <v>192</v>
      </c>
      <c r="D141" s="21" t="s">
        <v>536</v>
      </c>
      <c r="E141" s="13">
        <v>43056.829189814816</v>
      </c>
      <c r="F141" s="13">
        <v>43056.833657407406</v>
      </c>
      <c r="G141" s="7">
        <v>93</v>
      </c>
      <c r="H141" s="21" t="s">
        <v>1005</v>
      </c>
      <c r="I141" s="13">
        <v>43056.858344907407</v>
      </c>
      <c r="J141" s="7">
        <v>1</v>
      </c>
      <c r="K141" s="89" t="str">
        <f t="shared" ref="K141:K206" si="48">IF(ISEVEN(B141),(B141-1)&amp;"/"&amp;B141,B141&amp;"/"&amp;(B141+1))</f>
        <v>4035/4036</v>
      </c>
      <c r="L141" s="185" t="str">
        <f>VLOOKUP(A141,'Trips&amp;Operators'!$C$1:$G$99911,5,FALSE)</f>
        <v>LOPES KIMBERLY</v>
      </c>
      <c r="M141" s="6">
        <f t="shared" ref="M141:M206" si="49">I141-F141</f>
        <v>2.4687500001164153E-2</v>
      </c>
      <c r="N141" s="7">
        <f t="shared" si="46"/>
        <v>35.550000001676381</v>
      </c>
      <c r="O141" s="7"/>
      <c r="P141" s="7"/>
      <c r="Q141" s="22"/>
      <c r="R141" s="174"/>
      <c r="S141" s="221">
        <f t="shared" si="47"/>
        <v>1</v>
      </c>
      <c r="T141" s="174" t="str">
        <f t="shared" ref="T141:T206" si="50">IF(ISEVEN(LEFT(AD141,4)),"Southbound","NorthBound")</f>
        <v>NorthBound</v>
      </c>
      <c r="U141" s="198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16" t="str">
        <f t="shared" ref="V141:V206" si="51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-11-17T18:54:02-0700',mode:absolute,to:'2017-11-17T21:36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41" s="204" t="str">
        <f>IF(AA141&lt;VLOOKUP(AG141,Variables!$AC$3:$AD$8,2,FALSE),"Y","N")</f>
        <v>N</v>
      </c>
      <c r="X141" s="204">
        <f t="shared" ref="X141:X206" si="52">VALUE(LEFT(AD141,4))-VALUE(LEFT(AD140,4))</f>
        <v>1</v>
      </c>
      <c r="Y141" s="204">
        <f t="shared" si="44"/>
        <v>5.5100000000000003E-2</v>
      </c>
      <c r="Z141" s="204">
        <f t="shared" si="45"/>
        <v>23.3203</v>
      </c>
      <c r="AA141" s="204">
        <f t="shared" ref="AA141:AA206" si="53">ABS(Z141-Y141)</f>
        <v>23.2652</v>
      </c>
      <c r="AB141" s="54" t="e">
        <f>VLOOKUP(A141,Enforcements!$C$7:$K$9,8,0)</f>
        <v>#N/A</v>
      </c>
      <c r="AC141" s="51" t="e">
        <f>VLOOKUP(A141,Enforcements!$C$7:$E$9,3,0)</f>
        <v>#N/A</v>
      </c>
      <c r="AD141" s="179">
        <f t="shared" ref="AD141:AD206" si="54">VALUE(LEFT(A141,LEN(A141)-3))</f>
        <v>225</v>
      </c>
      <c r="AE141" s="77" t="str">
        <f t="shared" ref="AE141:AE206" si="55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s3://rtdc.mdm.uploadarchive.raw/RTDC4036/ "%USERPROFILE%\AppData\Local\Temp\OnboardLogs"\RTDC4036\2017-11-17 --exclude "*" --recursive --include "*20171117*" &amp; "%USERPROFILE%\Documents\GitHub\mrs-test-scripts\Headless Mode &amp; Sideloading\WalkAndUnGZ.bat" "%USERPROFILE%\AppData\Local\Temp\OnboardLogs"\RTDC4036\2017-11-17 &amp; aws s3 cp s3://rtdc.mdm.uploadarchive.raw/RTDC4036/ "%USERPROFILE%\AppData\Local\Temp\OnboardLogs"\RTDC4036\2017-11-18 --exclude "*" --recursive --include "*20171118*" &amp; "%USERPROFILE%\Documents\GitHub\mrs-test-scripts\Headless Mode &amp; Sideloading\WalkAndUnGZ.bat" "%USERPROFILE%\AppData\Local\Temp\OnboardLogs"\RTDC4036\2017-11-18</v>
      </c>
      <c r="AF141" s="74" t="str">
        <f t="shared" ref="AF141:AF206" si="56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/stypes="app*4036*20171118*" /stext=" 03:.+((SYSTEM_STATE.+slice.+state.+changed )|(ment ac)|(multiple cpu faults)|(system.+state.+changed )|(\[timeout)|(PRM\|1\|D)|(kpr)|(kdp)|(train st.+moving)|(\|lc)|(penalty))"</v>
      </c>
      <c r="AG141" s="182" t="str">
        <f t="shared" ref="AG141:AG206" si="57">DetSubdiv(A141)</f>
        <v>EC</v>
      </c>
      <c r="AH141" s="78" t="str">
        <f t="shared" ref="AH141:AH206" si="58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"&amp;J141&amp;IF(outputrefinedruntimes," &gt;&gt;"&amp;RefinedRTDCRunTimesOutputFile,"")</f>
        <v>"%USERPROFILE%\Documents\GitHub\eaglep3\Utilities\RefineRTDCRunTimes.py" --tripid 225-17 --locoid 4036 --swversion DE.1.0.9.0 --startMP 204:551 --initTime 2017-11-17T19:54:02 --startdatetime 2017-11-17T20:00:28 --delay 93 --endMP 204:233203 --enddatetime 2017-11-17T20:36:01 --enforcementcount 1 &gt;&gt;%USERPROFILE%\Documents\GitHub\eaglep3-reporting\EC\2017-11-17-refined-times.txt</v>
      </c>
      <c r="AI141" s="96" t="str">
        <f t="shared" ref="AI141:AI206" si="59"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Z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{"issue":{"subject":"","project_id":79,"tracker_id":40,"status_id":1,"priority_id":2,"assigned_to_id":338,"start_date":"2017-11-17","description":"","custom_fields":[{"id":1,"name":"Subdivision","value":"EC"},{"id":4,"name":"Milepost","value":"23.3203"},{"id":17,"name":"Train ID","value":"225-17"},{"id":16,"name":"Locomotive ID","value":"4036"},{"id":130,"name":"Impact","value":""},{"id":150,"name":"Time of Event (Mountain Time)","value":"20:36:01"},{"id":151,"name":"Denver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1" s="47"/>
      <c r="AL141" s="47"/>
      <c r="AM141" s="142" t="str">
        <f t="shared" ref="AM141:AM206" si="60">"start /low /b "&amp;dls3logs&amp;" --loco "&amp;B141&amp;" --day "&amp;TEXT(F141,"YYYY-MM-DD")</f>
        <v>start /low /b %USERPROFILE%\Documents\GitHub\eaglep3\Utilities\DownloadLogsFromS3.py --loco 4036 --day 2017-11-17</v>
      </c>
      <c r="AN141" s="151" t="str">
        <f t="shared" ref="AN141:AN206" si="61">"echo {""issue"":{""subject"":"""&amp;R141&amp;""",""project_id"":30,""tracker_id"":4,""status_id"":"&amp;redmine_status_wcr&amp;",""priority_id"":"&amp;redmine_priority_wcr&amp;",""assigned_to_id"":"&amp;redmine_assignee_wcr&amp;",""start_date"":"""&amp;TEXT(I141-utc_offset/24,"YYYY-mm-dd")&amp;""",""description"":"""&amp;AJ141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03:36:01"},{"id":29,"name":"Sharepoint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168" t="str">
        <f t="shared" ref="AO141:AO206" si="62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Message%20ID',Summary),filters:!(),index:'emp_*',interval:auto,query:"&amp;"(query_string:(analyze_wildcard:!t,query:'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-11-17T18:54:02-0700',mode:absolute,to:'2017-11-17T21:36:01-0700'))&amp;_a=(columns:!('Message%20ID',Summary),filters:!(),index:'emp_*',interval:auto,query:(query_string:(analyze_wildcard:!t,query:'%22rtdc.l.rtdc.4036%22')),sort:!(Time.ISO8601,asc))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3">
      <c r="A142" s="32" t="s">
        <v>866</v>
      </c>
      <c r="B142" s="7">
        <v>4035</v>
      </c>
      <c r="C142" s="21" t="s">
        <v>192</v>
      </c>
      <c r="D142" s="21" t="s">
        <v>1006</v>
      </c>
      <c r="E142" s="13">
        <v>43056.882824074077</v>
      </c>
      <c r="F142" s="13">
        <v>43056.886307870373</v>
      </c>
      <c r="G142" s="7">
        <v>59</v>
      </c>
      <c r="H142" s="21" t="s">
        <v>602</v>
      </c>
      <c r="I142" s="13">
        <v>43056.902511574073</v>
      </c>
      <c r="J142" s="7">
        <v>1</v>
      </c>
      <c r="K142" s="89" t="str">
        <f t="shared" si="48"/>
        <v>4035/4036</v>
      </c>
      <c r="L142" s="185" t="str">
        <f>VLOOKUP(A142,'Trips&amp;Operators'!$C$1:$G$99911,5,FALSE)</f>
        <v>LOPES KIMBERLY</v>
      </c>
      <c r="M142" s="6">
        <f t="shared" si="49"/>
        <v>1.6203703700739425E-2</v>
      </c>
      <c r="N142" s="7"/>
      <c r="O142" s="7"/>
      <c r="P142" s="7">
        <f>24*60*SUM($M142:$M142)</f>
        <v>23.333333329064772</v>
      </c>
      <c r="Q142" s="22"/>
      <c r="R142" s="174" t="s">
        <v>1127</v>
      </c>
      <c r="S142" s="221">
        <f t="shared" si="47"/>
        <v>1</v>
      </c>
      <c r="T142" s="174" t="str">
        <f t="shared" si="50"/>
        <v>Southbound</v>
      </c>
      <c r="U142" s="198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16" t="str">
        <f t="shared" si="51"/>
        <v>https://d0f6bd738d7f1b3e5a7ca70fe4ff75f0.us-east-1.aws.found.io/app/kibana#/discover/Steve-Slow-Train-Analysis-(2080s-and-2083s)?_g=(refreshInterval:(display:Off,pause:!f,section:0,value:0),time:(from:'2017-11-17T20:11:16-0700',mode:absolute,to:'2017-11-17T22:39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42" s="204" t="str">
        <f>IF(AA142&lt;VLOOKUP(AG142,Variables!$AC$3:$AD$8,2,FALSE),"Y","N")</f>
        <v>Y</v>
      </c>
      <c r="X142" s="204">
        <f t="shared" si="52"/>
        <v>1</v>
      </c>
      <c r="Y142" s="204">
        <f t="shared" si="44"/>
        <v>12.786</v>
      </c>
      <c r="Z142" s="204">
        <f t="shared" si="45"/>
        <v>2.12E-2</v>
      </c>
      <c r="AA142" s="204">
        <f t="shared" si="53"/>
        <v>12.764799999999999</v>
      </c>
      <c r="AB142" s="54" t="e">
        <f>VLOOKUP(A142,Enforcements!$C$7:$K$9,8,0)</f>
        <v>#N/A</v>
      </c>
      <c r="AC142" s="51" t="e">
        <f>VLOOKUP(A142,Enforcements!$C$7:$E$9,3,0)</f>
        <v>#N/A</v>
      </c>
      <c r="AD142" s="179">
        <f t="shared" si="54"/>
        <v>226</v>
      </c>
      <c r="AE142" s="77" t="str">
        <f t="shared" si="55"/>
        <v>aws s3 cp s3://rtdc.mdm.uploadarchive.raw/RTDC4035/ "%USERPROFILE%\AppData\Local\Temp\OnboardLogs"\RTDC4035\2017-11-17 --exclude "*" --recursive --include "*20171117*" &amp; "%USERPROFILE%\Documents\GitHub\mrs-test-scripts\Headless Mode &amp; Sideloading\WalkAndUnGZ.bat" "%USERPROFILE%\AppData\Local\Temp\OnboardLogs"\RTDC4035\2017-11-17 &amp; aws s3 cp s3://rtdc.mdm.uploadarchive.raw/RTDC4035/ "%USERPROFILE%\AppData\Local\Temp\OnboardLogs"\RTDC4035\2017-11-18 --exclude "*" --recursive --include "*20171118*" &amp; "%USERPROFILE%\Documents\GitHub\mrs-test-scripts\Headless Mode &amp; Sideloading\WalkAndUnGZ.bat" "%USERPROFILE%\AppData\Local\Temp\OnboardLogs"\RTDC4035\2017-11-18</v>
      </c>
      <c r="AF142" s="74" t="str">
        <f t="shared" si="56"/>
        <v>"C:\Program Files (x86)\AstroGrep\AstroGrep.exe" /e /r /s /spath="%USERPROFILE%\AppData\Local\Temp\OnboardLogs" /stypes="app*4035*20171118*" /stext=" 04:.+((SYSTEM_STATE.+slice.+state.+changed )|(ment ac)|(multiple cpu faults)|(system.+state.+changed )|(\[timeout)|(PRM\|1\|D)|(kpr)|(kdp)|(train st.+moving)|(\|lc)|(penalty))"</v>
      </c>
      <c r="AG142" s="182" t="str">
        <f t="shared" si="57"/>
        <v>EC</v>
      </c>
      <c r="AH142" s="78" t="str">
        <f t="shared" si="58"/>
        <v>"%USERPROFILE%\Documents\GitHub\eaglep3\Utilities\RefineRTDCRunTimes.py" --tripid 226-17 --locoid 4035 --swversion DE.1.0.9.0 --startMP 204:127860 --initTime 2017-11-17T21:11:16 --startdatetime 2017-11-17T21:16:17 --delay 59 --endMP 204:212 --enddatetime 2017-11-17T21:39:37 --enforcementcount 1 &gt;&gt;%USERPROFILE%\Documents\GitHub\eaglep3-reporting\EC\2017-11-17-refined-times.txt</v>
      </c>
      <c r="AI142" s="96" t="str">
        <f t="shared" si="59"/>
        <v>echo {"issue":{"subject":"Onboard en route failure","project_id":79,"tracker_id":40,"status_id":1,"priority_id":2,"assigned_to_id":338,"start_date":"2017-11-17","description":"","custom_fields":[{"id":1,"name":"Subdivision","value":"EC"},{"id":4,"name":"Milepost","value":"0.0212"},{"id":17,"name":"Train ID","value":"226-17"},{"id":16,"name":"Locomotive ID","value":"4035"},{"id":130,"name":"Impact","value":""},{"id":150,"name":"Time of Event (Mountain Time)","value":"21:39:37"},{"id":151,"name":"Denver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2" s="47"/>
      <c r="AL142" s="47"/>
      <c r="AM142" s="142" t="str">
        <f t="shared" si="60"/>
        <v>start /low /b %USERPROFILE%\Documents\GitHub\eaglep3\Utilities\DownloadLogsFromS3.py --loco 4035 --day 2017-11-17</v>
      </c>
      <c r="AN142" s="151" t="str">
        <f t="shared" si="61"/>
        <v>echo {"issue":{"subject":"Onboard en route failure","project_id":30,"tracker_id":4,"status_id":1,"priority_id":1,"assigned_to_id":10,"start_date":"2017-11-18","description":"","custom_fields":[{"id":30,"name":"Category","value":"Issue"},{"id":3,"name":"Functional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04:39:37"},{"id":29,"name":"Sharepoint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168" t="str">
        <f t="shared" si="62"/>
        <v>https://d0f6bd738d7f1b3e5a7ca70fe4ff75f0.us-east-1.aws.found.io/app/kibana#/discover/Steve-Slow-Train-Analysis-(2080s-and-2083s)?_g=(refreshInterval:(display:Off,pause:!f,section:0,value:0),time:(from:'2017-11-17T20:11:16-0700',mode:absolute,to:'2017-11-17T22:39:37-0700'))&amp;_a=(columns:!('Message%20ID',Summary),filters:!(),index:'emp_*',interval:auto,query:(query_string:(analyze_wildcard:!t,query:'%22rtdc.l.rtdc.4035%22')),sort:!(Time.ISO8601,asc))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3">
      <c r="A143" s="32" t="s">
        <v>866</v>
      </c>
      <c r="B143" s="7">
        <v>4035</v>
      </c>
      <c r="C143" s="21" t="s">
        <v>192</v>
      </c>
      <c r="D143" s="21" t="s">
        <v>1007</v>
      </c>
      <c r="E143" s="13">
        <v>43056.870115740741</v>
      </c>
      <c r="F143" s="13">
        <v>43056.886307870373</v>
      </c>
      <c r="G143" s="7">
        <v>118</v>
      </c>
      <c r="H143" s="21" t="s">
        <v>1007</v>
      </c>
      <c r="I143" s="13">
        <v>43056.902511574073</v>
      </c>
      <c r="J143" s="7">
        <v>1</v>
      </c>
      <c r="K143" s="89" t="str">
        <f t="shared" si="48"/>
        <v>4035/4036</v>
      </c>
      <c r="L143" s="185" t="str">
        <f>VLOOKUP(A143,'Trips&amp;Operators'!$C$1:$G$99911,5,FALSE)</f>
        <v>LOPES KIMBERLY</v>
      </c>
      <c r="M143" s="6">
        <f t="shared" si="49"/>
        <v>1.6203703700739425E-2</v>
      </c>
      <c r="N143" s="7"/>
      <c r="O143" s="7"/>
      <c r="P143" s="7"/>
      <c r="Q143" s="22"/>
      <c r="R143" s="174"/>
      <c r="S143" s="221"/>
      <c r="T143" s="174" t="str">
        <f t="shared" si="50"/>
        <v>Southbound</v>
      </c>
      <c r="U143" s="198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0</v>
      </c>
      <c r="V143" s="216" t="str">
        <f t="shared" si="51"/>
        <v>https://d0f6bd738d7f1b3e5a7ca70fe4ff75f0.us-east-1.aws.found.io/app/kibana#/discover/Steve-Slow-Train-Analysis-(2080s-and-2083s)?_g=(refreshInterval:(display:Off,pause:!f,section:0,value:0),time:(from:'2017-11-17T19:52:58-0700',mode:absolute,to:'2017-11-17T22:39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43" s="204" t="str">
        <f>IF(AA143&lt;VLOOKUP(AG143,Variables!$AC$3:$AD$8,2,FALSE),"Y","N")</f>
        <v>Y</v>
      </c>
      <c r="X143" s="204">
        <f t="shared" si="52"/>
        <v>0</v>
      </c>
      <c r="Y143" s="204">
        <f t="shared" si="44"/>
        <v>23.287099999999999</v>
      </c>
      <c r="Z143" s="204">
        <f t="shared" si="45"/>
        <v>23.287099999999999</v>
      </c>
      <c r="AA143" s="204">
        <f t="shared" si="53"/>
        <v>0</v>
      </c>
      <c r="AB143" s="54" t="e">
        <f>VLOOKUP(A143,Enforcements!$C$7:$K$9,8,0)</f>
        <v>#N/A</v>
      </c>
      <c r="AC143" s="51" t="e">
        <f>VLOOKUP(A143,Enforcements!$C$7:$E$9,3,0)</f>
        <v>#N/A</v>
      </c>
      <c r="AD143" s="179">
        <f t="shared" si="54"/>
        <v>226</v>
      </c>
      <c r="AE143" s="77" t="str">
        <f t="shared" si="55"/>
        <v>aws s3 cp s3://rtdc.mdm.uploadarchive.raw/RTDC4035/ "%USERPROFILE%\AppData\Local\Temp\OnboardLogs"\RTDC4035\2017-11-17 --exclude "*" --recursive --include "*20171117*" &amp; "%USERPROFILE%\Documents\GitHub\mrs-test-scripts\Headless Mode &amp; Sideloading\WalkAndUnGZ.bat" "%USERPROFILE%\AppData\Local\Temp\OnboardLogs"\RTDC4035\2017-11-17 &amp; aws s3 cp s3://rtdc.mdm.uploadarchive.raw/RTDC4035/ "%USERPROFILE%\AppData\Local\Temp\OnboardLogs"\RTDC4035\2017-11-18 --exclude "*" --recursive --include "*20171118*" &amp; "%USERPROFILE%\Documents\GitHub\mrs-test-scripts\Headless Mode &amp; Sideloading\WalkAndUnGZ.bat" "%USERPROFILE%\AppData\Local\Temp\OnboardLogs"\RTDC4035\2017-11-18</v>
      </c>
      <c r="AF143" s="74" t="str">
        <f t="shared" si="56"/>
        <v>"C:\Program Files (x86)\AstroGrep\AstroGrep.exe" /e /r /s /spath="%USERPROFILE%\AppData\Local\Temp\OnboardLogs" /stypes="app*4035*20171118*" /stext=" 04:.+((SYSTEM_STATE.+slice.+state.+changed )|(ment ac)|(multiple cpu faults)|(system.+state.+changed )|(\[timeout)|(PRM\|1\|D)|(kpr)|(kdp)|(train st.+moving)|(\|lc)|(penalty))"</v>
      </c>
      <c r="AG143" s="182" t="str">
        <f t="shared" si="57"/>
        <v>EC</v>
      </c>
      <c r="AH143" s="78" t="str">
        <f t="shared" si="58"/>
        <v>"%USERPROFILE%\Documents\GitHub\eaglep3\Utilities\RefineRTDCRunTimes.py" --tripid 226-17 --locoid 4035 --swversion DE.1.0.9.0 --startMP 204:232871 --initTime 2017-11-17T20:52:58 --startdatetime 2017-11-17T21:16:17 --delay 118 --endMP 204:232871 --enddatetime 2017-11-17T21:39:37 --enforcementcount 1 &gt;&gt;%USERPROFILE%\Documents\GitHub\eaglep3-reporting\EC\2017-11-17-refined-times.txt</v>
      </c>
      <c r="AI143" s="96" t="str">
        <f t="shared" si="59"/>
        <v>echo {"issue":{"subject":"","project_id":79,"tracker_id":40,"status_id":1,"priority_id":2,"assigned_to_id":338,"start_date":"2017-11-17","description":"","custom_fields":[{"id":1,"name":"Subdivision","value":"EC"},{"id":4,"name":"Milepost","value":"23.2871"},{"id":17,"name":"Train ID","value":"226-17"},{"id":16,"name":"Locomotive ID","value":"4035"},{"id":130,"name":"Impact","value":""},{"id":150,"name":"Time of Event (Mountain Time)","value":"21:39:37"},{"id":151,"name":"Denver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3" s="47"/>
      <c r="AL143" s="47"/>
      <c r="AM143" s="142" t="str">
        <f t="shared" si="60"/>
        <v>start /low /b %USERPROFILE%\Documents\GitHub\eaglep3\Utilities\DownloadLogsFromS3.py --loco 4035 --day 2017-11-17</v>
      </c>
      <c r="AN143" s="151" t="str">
        <f t="shared" si="61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04:39:37"},{"id":29,"name":"Sharepoint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168" t="str">
        <f t="shared" si="62"/>
        <v>https://d0f6bd738d7f1b3e5a7ca70fe4ff75f0.us-east-1.aws.found.io/app/kibana#/discover/Steve-Slow-Train-Analysis-(2080s-and-2083s)?_g=(refreshInterval:(display:Off,pause:!f,section:0,value:0),time:(from:'2017-11-17T19:52:58-0700',mode:absolute,to:'2017-11-17T22:39:37-0700'))&amp;_a=(columns:!('Message%20ID',Summary),filters:!(),index:'emp_*',interval:auto,query:(query_string:(analyze_wildcard:!t,query:'%22rtdc.l.rtdc.4035%22')),sort:!(Time.ISO8601,asc))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3">
      <c r="A144" s="32" t="s">
        <v>861</v>
      </c>
      <c r="B144" s="7">
        <v>4042</v>
      </c>
      <c r="C144" s="21" t="s">
        <v>192</v>
      </c>
      <c r="D144" s="21" t="s">
        <v>541</v>
      </c>
      <c r="E144" s="13">
        <v>43056.840312499997</v>
      </c>
      <c r="F144" s="13">
        <v>43056.854363425926</v>
      </c>
      <c r="G144" s="7">
        <v>83</v>
      </c>
      <c r="H144" s="21" t="s">
        <v>466</v>
      </c>
      <c r="I144" s="13">
        <v>43056.879108796296</v>
      </c>
      <c r="J144" s="7">
        <v>1</v>
      </c>
      <c r="K144" s="89" t="str">
        <f t="shared" si="48"/>
        <v>4041/4042</v>
      </c>
      <c r="L144" s="185" t="str">
        <f>VLOOKUP(A144,'Trips&amp;Operators'!$C$1:$G$99911,5,FALSE)</f>
        <v>ZEWDU DEREJE</v>
      </c>
      <c r="M144" s="6">
        <f t="shared" si="49"/>
        <v>2.47453703705105E-2</v>
      </c>
      <c r="N144" s="7">
        <f t="shared" ref="N144:N164" si="63">24*60*SUM($M144:$M144)</f>
        <v>35.63333333353512</v>
      </c>
      <c r="O144" s="7"/>
      <c r="P144" s="7"/>
      <c r="Q144" s="22"/>
      <c r="R144" s="174"/>
      <c r="S144" s="221">
        <f t="shared" ref="S144:S175" si="64">1/IF(AG144="EC",12,1)*SUM(U144:U144)</f>
        <v>1</v>
      </c>
      <c r="T144" s="174" t="str">
        <f t="shared" si="50"/>
        <v>NorthBound</v>
      </c>
      <c r="U144" s="198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16" t="str">
        <f t="shared" si="51"/>
        <v>https://d0f6bd738d7f1b3e5a7ca70fe4ff75f0.us-east-1.aws.found.io/app/kibana#/discover/Steve-Slow-Train-Analysis-(2080s-and-2083s)?_g=(refreshInterval:(display:Off,pause:!f,section:0,value:0),time:(from:'2017-11-17T19:10:03-0700',mode:absolute,to:'2017-11-17T22:05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44" s="204" t="str">
        <f>IF(AA144&lt;VLOOKUP(AG144,Variables!$AC$3:$AD$8,2,FALSE),"Y","N")</f>
        <v>N</v>
      </c>
      <c r="X144" s="204">
        <f t="shared" si="52"/>
        <v>1</v>
      </c>
      <c r="Y144" s="204">
        <f t="shared" si="44"/>
        <v>5.7299999999999997E-2</v>
      </c>
      <c r="Z144" s="204">
        <f t="shared" si="45"/>
        <v>23.3276</v>
      </c>
      <c r="AA144" s="204">
        <f t="shared" si="53"/>
        <v>23.270299999999999</v>
      </c>
      <c r="AB144" s="54" t="e">
        <f>VLOOKUP(A144,Enforcements!$C$7:$K$9,8,0)</f>
        <v>#N/A</v>
      </c>
      <c r="AC144" s="51" t="e">
        <f>VLOOKUP(A144,Enforcements!$C$7:$E$9,3,0)</f>
        <v>#N/A</v>
      </c>
      <c r="AD144" s="179">
        <f t="shared" si="54"/>
        <v>227</v>
      </c>
      <c r="AE144" s="77" t="str">
        <f t="shared" si="55"/>
        <v>aws s3 cp s3://rtdc.mdm.uploadarchive.raw/RTDC4042/ "%USERPROFILE%\AppData\Local\Temp\OnboardLogs"\RTDC4042\2017-11-17 --exclude "*" --recursive --include "*20171117*" &amp; "%USERPROFILE%\Documents\GitHub\mrs-test-scripts\Headless Mode &amp; Sideloading\WalkAndUnGZ.bat" "%USERPROFILE%\AppData\Local\Temp\OnboardLogs"\RTDC4042\2017-11-17 &amp; aws s3 cp s3://rtdc.mdm.uploadarchive.raw/RTDC4042/ "%USERPROFILE%\AppData\Local\Temp\OnboardLogs"\RTDC4042\2017-11-18 --exclude "*" --recursive --include "*20171118*" &amp; "%USERPROFILE%\Documents\GitHub\mrs-test-scripts\Headless Mode &amp; Sideloading\WalkAndUnGZ.bat" "%USERPROFILE%\AppData\Local\Temp\OnboardLogs"\RTDC4042\2017-11-18</v>
      </c>
      <c r="AF144" s="74" t="str">
        <f t="shared" si="56"/>
        <v>"C:\Program Files (x86)\AstroGrep\AstroGrep.exe" /e /r /s /spath="%USERPROFILE%\AppData\Local\Temp\OnboardLogs" /stypes="app*4042*20171118*" /stext=" 04:.+((SYSTEM_STATE.+slice.+state.+changed )|(ment ac)|(multiple cpu faults)|(system.+state.+changed )|(\[timeout)|(PRM\|1\|D)|(kpr)|(kdp)|(train st.+moving)|(\|lc)|(penalty))"</v>
      </c>
      <c r="AG144" s="182" t="str">
        <f t="shared" si="57"/>
        <v>EC</v>
      </c>
      <c r="AH144" s="78" t="str">
        <f t="shared" si="58"/>
        <v>"%USERPROFILE%\Documents\GitHub\eaglep3\Utilities\RefineRTDCRunTimes.py" --tripid 227-17 --locoid 4042 --swversion DE.1.0.9.0 --startMP 204:573 --initTime 2017-11-17T20:10:03 --startdatetime 2017-11-17T20:30:17 --delay 83 --endMP 204:233276 --enddatetime 2017-11-17T21:05:55 --enforcementcount 1 &gt;&gt;%USERPROFILE%\Documents\GitHub\eaglep3-reporting\EC\2017-11-17-refined-times.txt</v>
      </c>
      <c r="AI144" s="96" t="str">
        <f t="shared" si="59"/>
        <v>echo {"issue":{"subject":"","project_id":79,"tracker_id":40,"status_id":1,"priority_id":2,"assigned_to_id":338,"start_date":"2017-11-17","description":"","custom_fields":[{"id":1,"name":"Subdivision","value":"EC"},{"id":4,"name":"Milepost","value":"23.3276"},{"id":17,"name":"Train ID","value":"227-17"},{"id":16,"name":"Locomotive ID","value":"4042"},{"id":130,"name":"Impact","value":""},{"id":150,"name":"Time of Event (Mountain Time)","value":"21:05:55"},{"id":151,"name":"Denver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4" s="47"/>
      <c r="AL144" s="47"/>
      <c r="AM144" s="142" t="str">
        <f t="shared" si="60"/>
        <v>start /low /b %USERPROFILE%\Documents\GitHub\eaglep3\Utilities\DownloadLogsFromS3.py --loco 4042 --day 2017-11-17</v>
      </c>
      <c r="AN144" s="151" t="str">
        <f t="shared" si="61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04:05:55"},{"id":29,"name":"Sharepoint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168" t="str">
        <f t="shared" si="62"/>
        <v>https://d0f6bd738d7f1b3e5a7ca70fe4ff75f0.us-east-1.aws.found.io/app/kibana#/discover/Steve-Slow-Train-Analysis-(2080s-and-2083s)?_g=(refreshInterval:(display:Off,pause:!f,section:0,value:0),time:(from:'2017-11-17T19:10:03-0700',mode:absolute,to:'2017-11-17T22:05:55-0700'))&amp;_a=(columns:!('Message%20ID',Summary),filters:!(),index:'emp_*',interval:auto,query:(query_string:(analyze_wildcard:!t,query:'%22rtdc.l.rtdc.4042%22')),sort:!(Time.ISO8601,asc))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3">
      <c r="A145" s="32" t="s">
        <v>870</v>
      </c>
      <c r="B145" s="7">
        <v>4041</v>
      </c>
      <c r="C145" s="21" t="s">
        <v>192</v>
      </c>
      <c r="D145" s="21" t="s">
        <v>541</v>
      </c>
      <c r="E145" s="13">
        <v>43056.840312499997</v>
      </c>
      <c r="F145" s="13">
        <v>43056.893946759257</v>
      </c>
      <c r="G145" s="7">
        <v>83</v>
      </c>
      <c r="H145" s="21" t="s">
        <v>466</v>
      </c>
      <c r="I145" s="13">
        <v>43056.920775462961</v>
      </c>
      <c r="J145" s="7">
        <v>1</v>
      </c>
      <c r="K145" s="89" t="str">
        <f t="shared" si="48"/>
        <v>4041/4042</v>
      </c>
      <c r="L145" s="185" t="str">
        <f>VLOOKUP(A145,'Trips&amp;Operators'!$C$1:$G$99911,5,FALSE)</f>
        <v>ZEWDU DEREJE</v>
      </c>
      <c r="M145" s="6">
        <f t="shared" si="49"/>
        <v>2.6828703703358769E-2</v>
      </c>
      <c r="N145" s="7">
        <f t="shared" si="63"/>
        <v>38.633333332836628</v>
      </c>
      <c r="O145" s="7"/>
      <c r="P145" s="7"/>
      <c r="Q145" s="22"/>
      <c r="R145" s="174"/>
      <c r="S145" s="221">
        <f t="shared" si="64"/>
        <v>1</v>
      </c>
      <c r="T145" s="174" t="str">
        <f t="shared" si="50"/>
        <v>Southbound</v>
      </c>
      <c r="U145" s="198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16" t="str">
        <f t="shared" si="51"/>
        <v>https://d0f6bd738d7f1b3e5a7ca70fe4ff75f0.us-east-1.aws.found.io/app/kibana#/discover/Steve-Slow-Train-Analysis-(2080s-and-2083s)?_g=(refreshInterval:(display:Off,pause:!f,section:0,value:0),time:(from:'2017-11-17T19:10:03-0700',mode:absolute,to:'2017-11-17T23:05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45" s="204" t="str">
        <f>IF(AA145&lt;VLOOKUP(AG145,Variables!$AC$3:$AD$8,2,FALSE),"Y","N")</f>
        <v>N</v>
      </c>
      <c r="X145" s="204">
        <f t="shared" si="52"/>
        <v>1</v>
      </c>
      <c r="Y145" s="204">
        <v>23.2852</v>
      </c>
      <c r="Z145" s="204">
        <v>2.4899999999999999E-2</v>
      </c>
      <c r="AA145" s="204">
        <f t="shared" si="53"/>
        <v>23.260300000000001</v>
      </c>
      <c r="AB145" s="54" t="e">
        <f>VLOOKUP(A145,Enforcements!$C$7:$K$9,8,0)</f>
        <v>#N/A</v>
      </c>
      <c r="AC145" s="51" t="e">
        <f>VLOOKUP(A145,Enforcements!$C$7:$E$9,3,0)</f>
        <v>#N/A</v>
      </c>
      <c r="AD145" s="179">
        <f t="shared" si="54"/>
        <v>228</v>
      </c>
      <c r="AE145" s="77" t="str">
        <f t="shared" si="55"/>
        <v>aws s3 cp s3://rtdc.mdm.uploadarchive.raw/RTDC4041/ "%USERPROFILE%\AppData\Local\Temp\OnboardLogs"\RTDC4041\2017-11-17 --exclude "*" --recursive --include "*20171117*" &amp; "%USERPROFILE%\Documents\GitHub\mrs-test-scripts\Headless Mode &amp; Sideloading\WalkAndUnGZ.bat" "%USERPROFILE%\AppData\Local\Temp\OnboardLogs"\RTDC4041\2017-11-17 &amp; aws s3 cp s3://rtdc.mdm.uploadarchive.raw/RTDC4041/ "%USERPROFILE%\AppData\Local\Temp\OnboardLogs"\RTDC4041\2017-11-18 --exclude "*" --recursive --include "*20171118*" &amp; "%USERPROFILE%\Documents\GitHub\mrs-test-scripts\Headless Mode &amp; Sideloading\WalkAndUnGZ.bat" "%USERPROFILE%\AppData\Local\Temp\OnboardLogs"\RTDC4041\2017-11-18</v>
      </c>
      <c r="AF145" s="74" t="str">
        <f t="shared" si="56"/>
        <v>"C:\Program Files (x86)\AstroGrep\AstroGrep.exe" /e /r /s /spath="%USERPROFILE%\AppData\Local\Temp\OnboardLogs" /stypes="app*4041*20171118*" /stext=" 05:.+((SYSTEM_STATE.+slice.+state.+changed )|(ment ac)|(multiple cpu faults)|(system.+state.+changed )|(\[timeout)|(PRM\|1\|D)|(kpr)|(kdp)|(train st.+moving)|(\|lc)|(penalty))"</v>
      </c>
      <c r="AG145" s="182" t="str">
        <f t="shared" si="57"/>
        <v>EC</v>
      </c>
      <c r="AH145" s="78" t="str">
        <f>refinertdcruntimes&amp;" --tripid "&amp;A145&amp;" --locoid "&amp;B145&amp;" --swversion "&amp;C145&amp;" --startMP "&amp;D145&amp;" --initTime "&amp;TEXT(E145,"yyyy-mm-ddTHH:MM:SS")&amp;" --startdatetime "&amp;TEXT(F145,"yyyy-mm-ddTHH:MM:SS")&amp;" --delay "&amp;G145&amp;" --endMP "&amp;H145&amp;" --enddatetime "&amp;TEXT(I145,"yyyy-mm-ddTHH:MM:SS")&amp;" --enforcementcount "&amp;J145&amp;IF(outputrefinedruntimes," &gt;&gt;"&amp;RefinedRTDCRunTimesOutputFile,"")</f>
        <v>"%USERPROFILE%\Documents\GitHub\eaglep3\Utilities\RefineRTDCRunTimes.py" --tripid 228-17 --locoid 4041 --swversion DE.1.0.9.0 --startMP 204:573 --initTime 2017-11-17T20:10:03 --startdatetime 2017-11-17T21:27:17 --delay 83 --endMP 204:233276 --enddatetime 2017-11-17T22:05:55 --enforcementcount 1 &gt;&gt;%USERPROFILE%\Documents\GitHub\eaglep3-reporting\EC\2017-11-17-refined-times.txt</v>
      </c>
      <c r="AI145" s="96" t="str">
        <f>"echo {""issue"":{""subject"":"""&amp;R145&amp;""",""project_id"":79,""tracker_id"":40,""status_id"":"&amp;redmine_status&amp;",""priority_id"":"&amp;redmine_priority&amp;",""assigned_to_id"":"&amp;redmine_assignee&amp;",""start_date"":"""&amp;TEXT(I145,"YYYY-mm-dd")&amp;""",""description"":"""&amp;AJ145&amp;""",""custom_fields"":[{""id"":1,""name"":""Subdivision"",""value"":"""&amp;AG145&amp;"""},{""id"":4,""name"":""Milepost"",""value"":"""&amp;Z145&amp;"""},{""id"":17,""name"":""Train ID"",""value"":"""&amp;A145&amp;"""},{""id"":16,""name"":""Locomotive ID"",""value"":"""&amp;B145&amp;"""},{""id"":130,""name"":""Impact"",""value"":"""&amp;AK145&amp;"""},{""id"":150,""name"":""Time of Event (Mountain Time)"",""value"":"""&amp;TEXT(I145,"hh:mm:ss")&amp;"""},{""id"":151,""name"":""Denver Issue ID"",""value"":"""&amp;"""},{""id"":178,""name"":""Operational Impact"",""value"":"""&amp;redmine_op_impact&amp;"""},{""id"":179,""name"":""Denver Segment Assigned"",""value"":"""&amp;AL145&amp;"""}]}}"&amp;"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{"issue":{"subject":"","project_id":79,"tracker_id":40,"status_id":1,"priority_id":2,"assigned_to_id":338,"start_date":"2017-11-17","description":"","custom_fields":[{"id":1,"name":"Subdivision","value":"EC"},{"id":4,"name":"Milepost","value":"0.0249"},{"id":17,"name":"Train ID","value":"228-17"},{"id":16,"name":"Locomotive ID","value":"4041"},{"id":130,"name":"Impact","value":""},{"id":150,"name":"Time of Event (Mountain Time)","value":"22:05:55"},{"id":151,"name":"Denver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5" s="47"/>
      <c r="AL145" s="47"/>
      <c r="AM145" s="142" t="str">
        <f>"start /low /b "&amp;dls3logs&amp;" --loco "&amp;B145&amp;" --day "&amp;TEXT(F145,"YYYY-MM-DD")</f>
        <v>start /low /b %USERPROFILE%\Documents\GitHub\eaglep3\Utilities\DownloadLogsFromS3.py --loco 4041 --day 2017-11-17</v>
      </c>
      <c r="AN145" s="151" t="str">
        <f>"echo {""issue"":{""subject"":"""&amp;R145&amp;""",""project_id"":30,""tracker_id"":4,""status_id"":"&amp;redmine_status_wcr&amp;",""priority_id"":"&amp;redmine_priority_wcr&amp;",""assigned_to_id"":"&amp;redmine_assignee_wcr&amp;",""start_date"":"""&amp;TEXT(I145-utc_offset/24,"YYYY-mm-dd")&amp;""",""description"":"""&amp;AJ145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05:05:55"},{"id":29,"name":"Sharepoint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168" t="str">
        <f>"https://d0f6bd738d7f1b3e5a7ca70fe4ff75f0.us-east-1.aws.found.io/app/kibana#/discover/Steve-Slow-Train-Analysis-(2080s-and-2083s)?_g="&amp;"(refreshInterval:(display:Off,pause:!f,section:0,value:0),time:(from:'"&amp;TEXT(E145-1/24,"yyyy-MM-DDThh:mm:ss")&amp;utc_offset&amp;"00"&amp;"',mode:absolute,to:'"&amp;TEXT(I145+1/24,"yyyy-MM-DDThh:mm:ss")&amp;utc_offset&amp;"00"&amp;"'))&amp;_a=(columns:!('Message%20ID',Summary),filters:!(),index:'emp_*',interval:auto,query:"&amp;"(query_string:(analyze_wildcard:!t,query:'%22rtdc.l.rtdc."&amp;B145&amp;"%22')),sort:!(Time.ISO8601,asc))"</f>
        <v>https://d0f6bd738d7f1b3e5a7ca70fe4ff75f0.us-east-1.aws.found.io/app/kibana#/discover/Steve-Slow-Train-Analysis-(2080s-and-2083s)?_g=(refreshInterval:(display:Off,pause:!f,section:0,value:0),time:(from:'2017-11-17T19:10:03-0700',mode:absolute,to:'2017-11-17T23:05:55-0700'))&amp;_a=(columns:!('Message%20ID',Summary),filters:!(),index:'emp_*',interval:auto,query:(query_string:(analyze_wildcard:!t,query:'%22rtdc.l.rtdc.4041%22')),sort:!(Time.ISO8601,asc))</v>
      </c>
    </row>
    <row r="146" spans="1:91" s="20" customFormat="1" x14ac:dyDescent="0.3">
      <c r="A146" s="32" t="s">
        <v>867</v>
      </c>
      <c r="B146" s="7">
        <v>4010</v>
      </c>
      <c r="C146" s="21" t="s">
        <v>192</v>
      </c>
      <c r="D146" s="21" t="s">
        <v>469</v>
      </c>
      <c r="E146" s="13">
        <v>43056.873020833336</v>
      </c>
      <c r="F146" s="13">
        <v>43056.875497685185</v>
      </c>
      <c r="G146" s="7">
        <v>114</v>
      </c>
      <c r="H146" s="21" t="s">
        <v>1008</v>
      </c>
      <c r="I146" s="13">
        <v>43056.900833333333</v>
      </c>
      <c r="J146" s="7">
        <v>1</v>
      </c>
      <c r="K146" s="89" t="str">
        <f t="shared" si="48"/>
        <v>4009/4010</v>
      </c>
      <c r="L146" s="185" t="str">
        <f>VLOOKUP(A146,'Trips&amp;Operators'!$C$1:$G$99911,5,FALSE)</f>
        <v>HAMMOND JUSTYNN</v>
      </c>
      <c r="M146" s="6">
        <f t="shared" si="49"/>
        <v>2.5335648148029577E-2</v>
      </c>
      <c r="N146" s="7">
        <f t="shared" si="63"/>
        <v>36.483333333162591</v>
      </c>
      <c r="O146" s="7"/>
      <c r="P146" s="7"/>
      <c r="Q146" s="22"/>
      <c r="R146" s="174"/>
      <c r="S146" s="221">
        <f t="shared" si="64"/>
        <v>1</v>
      </c>
      <c r="T146" s="174" t="str">
        <f t="shared" si="50"/>
        <v>NorthBound</v>
      </c>
      <c r="U146" s="198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16" t="str">
        <f t="shared" si="51"/>
        <v>https://d0f6bd738d7f1b3e5a7ca70fe4ff75f0.us-east-1.aws.found.io/app/kibana#/discover/Steve-Slow-Train-Analysis-(2080s-and-2083s)?_g=(refreshInterval:(display:Off,pause:!f,section:0,value:0),time:(from:'2017-11-17T19:57:09-0700',mode:absolute,to:'2017-11-17T22:37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46" s="204" t="str">
        <f>IF(AA146&lt;VLOOKUP(AG146,Variables!$AC$3:$AD$8,2,FALSE),"Y","N")</f>
        <v>N</v>
      </c>
      <c r="X146" s="204">
        <f t="shared" si="52"/>
        <v>1</v>
      </c>
      <c r="Y146" s="204">
        <f>RIGHT(D146,LEN(D146)-4)/10000</f>
        <v>5.33E-2</v>
      </c>
      <c r="Z146" s="204">
        <f>RIGHT(H146,LEN(H146)-4)/10000</f>
        <v>23.324100000000001</v>
      </c>
      <c r="AA146" s="204">
        <f t="shared" si="53"/>
        <v>23.270800000000001</v>
      </c>
      <c r="AB146" s="54" t="e">
        <f>VLOOKUP(A146,Enforcements!$C$7:$K$9,8,0)</f>
        <v>#N/A</v>
      </c>
      <c r="AC146" s="51" t="e">
        <f>VLOOKUP(A146,Enforcements!$C$7:$E$9,3,0)</f>
        <v>#N/A</v>
      </c>
      <c r="AD146" s="179">
        <f t="shared" si="54"/>
        <v>229</v>
      </c>
      <c r="AE146" s="77" t="str">
        <f t="shared" si="55"/>
        <v>aws s3 cp s3://rtdc.mdm.uploadarchive.raw/RTDC4010/ "%USERPROFILE%\AppData\Local\Temp\OnboardLogs"\RTDC4010\2017-11-17 --exclude "*" --recursive --include "*20171117*" &amp; "%USERPROFILE%\Documents\GitHub\mrs-test-scripts\Headless Mode &amp; Sideloading\WalkAndUnGZ.bat" "%USERPROFILE%\AppData\Local\Temp\OnboardLogs"\RTDC4010\2017-11-17 &amp; aws s3 cp s3://rtdc.mdm.uploadarchive.raw/RTDC4010/ "%USERPROFILE%\AppData\Local\Temp\OnboardLogs"\RTDC4010\2017-11-18 --exclude "*" --recursive --include "*20171118*" &amp; "%USERPROFILE%\Documents\GitHub\mrs-test-scripts\Headless Mode &amp; Sideloading\WalkAndUnGZ.bat" "%USERPROFILE%\AppData\Local\Temp\OnboardLogs"\RTDC4010\2017-11-18</v>
      </c>
      <c r="AF146" s="74" t="str">
        <f t="shared" si="56"/>
        <v>"C:\Program Files (x86)\AstroGrep\AstroGrep.exe" /e /r /s /spath="%USERPROFILE%\AppData\Local\Temp\OnboardLogs" /stypes="app*4010*20171118*" /stext=" 04:.+((SYSTEM_STATE.+slice.+state.+changed )|(ment ac)|(multiple cpu faults)|(system.+state.+changed )|(\[timeout)|(PRM\|1\|D)|(kpr)|(kdp)|(train st.+moving)|(\|lc)|(penalty))"</v>
      </c>
      <c r="AG146" s="182" t="str">
        <f t="shared" si="57"/>
        <v>EC</v>
      </c>
      <c r="AH146" s="78" t="str">
        <f t="shared" si="58"/>
        <v>"%USERPROFILE%\Documents\GitHub\eaglep3\Utilities\RefineRTDCRunTimes.py" --tripid 229-17 --locoid 4010 --swversion DE.1.0.9.0 --startMP 204:533 --initTime 2017-11-17T20:57:09 --startdatetime 2017-11-17T21:00:43 --delay 114 --endMP 204:233241 --enddatetime 2017-11-17T21:37:12 --enforcementcount 1 &gt;&gt;%USERPROFILE%\Documents\GitHub\eaglep3-reporting\EC\2017-11-17-refined-times.txt</v>
      </c>
      <c r="AI146" s="96" t="str">
        <f t="shared" si="59"/>
        <v>echo {"issue":{"subject":"","project_id":79,"tracker_id":40,"status_id":1,"priority_id":2,"assigned_to_id":338,"start_date":"2017-11-17","description":"","custom_fields":[{"id":1,"name":"Subdivision","value":"EC"},{"id":4,"name":"Milepost","value":"23.3241"},{"id":17,"name":"Train ID","value":"229-17"},{"id":16,"name":"Locomotive ID","value":"4010"},{"id":130,"name":"Impact","value":""},{"id":150,"name":"Time of Event (Mountain Time)","value":"21:37:12"},{"id":151,"name":"Denver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6" s="47"/>
      <c r="AL146" s="47"/>
      <c r="AM146" s="142" t="str">
        <f t="shared" si="60"/>
        <v>start /low /b %USERPROFILE%\Documents\GitHub\eaglep3\Utilities\DownloadLogsFromS3.py --loco 4010 --day 2017-11-17</v>
      </c>
      <c r="AN146" s="151" t="str">
        <f t="shared" si="61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04:37:12"},{"id":29,"name":"Sharepoint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168" t="str">
        <f t="shared" si="62"/>
        <v>https://d0f6bd738d7f1b3e5a7ca70fe4ff75f0.us-east-1.aws.found.io/app/kibana#/discover/Steve-Slow-Train-Analysis-(2080s-and-2083s)?_g=(refreshInterval:(display:Off,pause:!f,section:0,value:0),time:(from:'2017-11-17T19:57:09-0700',mode:absolute,to:'2017-11-17T22:37:12-0700'))&amp;_a=(columns:!('Message%20ID',Summary),filters:!(),index:'emp_*',interval:auto,query:(query_string:(analyze_wildcard:!t,query:'%22rtdc.l.rtdc.4010%22')),sort:!(Time.ISO8601,asc))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3">
      <c r="A147" s="32" t="s">
        <v>874</v>
      </c>
      <c r="B147" s="7">
        <v>4009</v>
      </c>
      <c r="C147" s="21" t="s">
        <v>192</v>
      </c>
      <c r="D147" s="21" t="s">
        <v>909</v>
      </c>
      <c r="E147" s="13">
        <v>43056.908912037034</v>
      </c>
      <c r="F147" s="13">
        <v>43056.914872685185</v>
      </c>
      <c r="G147" s="7">
        <v>210</v>
      </c>
      <c r="H147" s="21" t="s">
        <v>590</v>
      </c>
      <c r="I147" s="13">
        <v>43056.941574074073</v>
      </c>
      <c r="J147" s="7">
        <v>1</v>
      </c>
      <c r="K147" s="89" t="str">
        <f t="shared" si="48"/>
        <v>4009/4010</v>
      </c>
      <c r="L147" s="185" t="str">
        <f>VLOOKUP(A147,'Trips&amp;Operators'!$C$1:$G$99911,5,FALSE)</f>
        <v>ANDERS STEVEN</v>
      </c>
      <c r="M147" s="6">
        <f t="shared" si="49"/>
        <v>2.6701388887886424E-2</v>
      </c>
      <c r="N147" s="7">
        <f t="shared" si="63"/>
        <v>38.44999999855645</v>
      </c>
      <c r="O147" s="7"/>
      <c r="P147" s="7"/>
      <c r="Q147" s="22"/>
      <c r="R147" s="174"/>
      <c r="S147" s="221">
        <f t="shared" si="64"/>
        <v>1</v>
      </c>
      <c r="T147" s="174" t="str">
        <f t="shared" si="50"/>
        <v>Southbound</v>
      </c>
      <c r="U147" s="198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16" t="str">
        <f t="shared" si="51"/>
        <v>https://d0f6bd738d7f1b3e5a7ca70fe4ff75f0.us-east-1.aws.found.io/app/kibana#/discover/Steve-Slow-Train-Analysis-(2080s-and-2083s)?_g=(refreshInterval:(display:Off,pause:!f,section:0,value:0),time:(from:'2017-11-17T20:48:50-0700',mode:absolute,to:'2017-11-17T23:35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47" s="204" t="str">
        <f>IF(AA147&lt;VLOOKUP(AG147,Variables!$AC$3:$AD$8,2,FALSE),"Y","N")</f>
        <v>N</v>
      </c>
      <c r="X147" s="204">
        <f t="shared" si="52"/>
        <v>1</v>
      </c>
      <c r="Y147" s="204">
        <f>RIGHT(D147,LEN(D147)-4)/10000</f>
        <v>23.293199999999999</v>
      </c>
      <c r="Z147" s="204">
        <f>RIGHT(H147,LEN(H147)-4)/10000</f>
        <v>2.3800000000000002E-2</v>
      </c>
      <c r="AA147" s="204">
        <f t="shared" si="53"/>
        <v>23.269399999999997</v>
      </c>
      <c r="AB147" s="54" t="e">
        <f>VLOOKUP(A147,Enforcements!$C$7:$K$9,8,0)</f>
        <v>#N/A</v>
      </c>
      <c r="AC147" s="51" t="e">
        <f>VLOOKUP(A147,Enforcements!$C$7:$E$9,3,0)</f>
        <v>#N/A</v>
      </c>
      <c r="AD147" s="179">
        <f t="shared" si="54"/>
        <v>230</v>
      </c>
      <c r="AE147" s="77" t="str">
        <f t="shared" si="55"/>
        <v>aws s3 cp s3://rtdc.mdm.uploadarchive.raw/RTDC4009/ "%USERPROFILE%\AppData\Local\Temp\OnboardLogs"\RTDC4009\2017-11-17 --exclude "*" --recursive --include "*20171117*" &amp; "%USERPROFILE%\Documents\GitHub\mrs-test-scripts\Headless Mode &amp; Sideloading\WalkAndUnGZ.bat" "%USERPROFILE%\AppData\Local\Temp\OnboardLogs"\RTDC4009\2017-11-17 &amp; aws s3 cp s3://rtdc.mdm.uploadarchive.raw/RTDC4009/ "%USERPROFILE%\AppData\Local\Temp\OnboardLogs"\RTDC4009\2017-11-18 --exclude "*" --recursive --include "*20171118*" &amp; "%USERPROFILE%\Documents\GitHub\mrs-test-scripts\Headless Mode &amp; Sideloading\WalkAndUnGZ.bat" "%USERPROFILE%\AppData\Local\Temp\OnboardLogs"\RTDC4009\2017-11-18</v>
      </c>
      <c r="AF147" s="74" t="str">
        <f t="shared" si="56"/>
        <v>"C:\Program Files (x86)\AstroGrep\AstroGrep.exe" /e /r /s /spath="%USERPROFILE%\AppData\Local\Temp\OnboardLogs" /stypes="app*4009*20171118*" /stext=" 05:.+((SYSTEM_STATE.+slice.+state.+changed )|(ment ac)|(multiple cpu faults)|(system.+state.+changed )|(\[timeout)|(PRM\|1\|D)|(kpr)|(kdp)|(train st.+moving)|(\|lc)|(penalty))"</v>
      </c>
      <c r="AG147" s="182" t="str">
        <f t="shared" si="57"/>
        <v>EC</v>
      </c>
      <c r="AH147" s="78" t="str">
        <f t="shared" si="58"/>
        <v>"%USERPROFILE%\Documents\GitHub\eaglep3\Utilities\RefineRTDCRunTimes.py" --tripid 230-17 --locoid 4009 --swversion DE.1.0.9.0 --startMP 204:232932 --initTime 2017-11-17T21:48:50 --startdatetime 2017-11-17T21:57:25 --delay 210 --endMP 204:238 --enddatetime 2017-11-17T22:35:52 --enforcementcount 1 &gt;&gt;%USERPROFILE%\Documents\GitHub\eaglep3-reporting\EC\2017-11-17-refined-times.txt</v>
      </c>
      <c r="AI147" s="96" t="str">
        <f t="shared" si="59"/>
        <v>echo {"issue":{"subject":"","project_id":79,"tracker_id":40,"status_id":1,"priority_id":2,"assigned_to_id":338,"start_date":"2017-11-17","description":"","custom_fields":[{"id":1,"name":"Subdivision","value":"EC"},{"id":4,"name":"Milepost","value":"0.0238"},{"id":17,"name":"Train ID","value":"230-17"},{"id":16,"name":"Locomotive ID","value":"4009"},{"id":130,"name":"Impact","value":""},{"id":150,"name":"Time of Event (Mountain Time)","value":"22:35:52"},{"id":151,"name":"Denver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7" s="47"/>
      <c r="AL147" s="47"/>
      <c r="AM147" s="142" t="str">
        <f t="shared" si="60"/>
        <v>start /low /b %USERPROFILE%\Documents\GitHub\eaglep3\Utilities\DownloadLogsFromS3.py --loco 4009 --day 2017-11-17</v>
      </c>
      <c r="AN147" s="151" t="str">
        <f t="shared" si="61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05:35:52"},{"id":29,"name":"Sharepoint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168" t="str">
        <f t="shared" si="62"/>
        <v>https://d0f6bd738d7f1b3e5a7ca70fe4ff75f0.us-east-1.aws.found.io/app/kibana#/discover/Steve-Slow-Train-Analysis-(2080s-and-2083s)?_g=(refreshInterval:(display:Off,pause:!f,section:0,value:0),time:(from:'2017-11-17T20:48:50-0700',mode:absolute,to:'2017-11-17T23:35:52-0700'))&amp;_a=(columns:!('Message%20ID',Summary),filters:!(),index:'emp_*',interval:auto,query:(query_string:(analyze_wildcard:!t,query:'%22rtdc.l.rtdc.4009%22')),sort:!(Time.ISO8601,asc))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3">
      <c r="A148" s="32" t="s">
        <v>869</v>
      </c>
      <c r="B148" s="7">
        <v>4020</v>
      </c>
      <c r="C148" s="21" t="s">
        <v>192</v>
      </c>
      <c r="D148" s="21" t="s">
        <v>598</v>
      </c>
      <c r="E148" s="13">
        <v>43056.886053240742</v>
      </c>
      <c r="F148" s="13">
        <v>43056.89603009259</v>
      </c>
      <c r="G148" s="7">
        <v>81</v>
      </c>
      <c r="H148" s="21" t="s">
        <v>495</v>
      </c>
      <c r="I148" s="13">
        <v>43056.921550925923</v>
      </c>
      <c r="J148" s="7">
        <v>1</v>
      </c>
      <c r="K148" s="89" t="str">
        <f t="shared" si="48"/>
        <v>4019/4020</v>
      </c>
      <c r="L148" s="185" t="str">
        <f>VLOOKUP(A148,'Trips&amp;Operators'!$C$1:$G$99911,5,FALSE)</f>
        <v>DAVIDSON DAVID</v>
      </c>
      <c r="M148" s="6">
        <f t="shared" si="49"/>
        <v>2.5520833332848269E-2</v>
      </c>
      <c r="N148" s="7">
        <f t="shared" si="63"/>
        <v>36.749999999301508</v>
      </c>
      <c r="O148" s="7"/>
      <c r="P148" s="7"/>
      <c r="Q148" s="22"/>
      <c r="R148" s="174"/>
      <c r="S148" s="221">
        <f t="shared" si="64"/>
        <v>1</v>
      </c>
      <c r="T148" s="174" t="str">
        <f t="shared" si="50"/>
        <v>NorthBound</v>
      </c>
      <c r="U148" s="198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16" t="str">
        <f t="shared" si="51"/>
        <v>https://d0f6bd738d7f1b3e5a7ca70fe4ff75f0.us-east-1.aws.found.io/app/kibana#/discover/Steve-Slow-Train-Analysis-(2080s-and-2083s)?_g=(refreshInterval:(display:Off,pause:!f,section:0,value:0),time:(from:'2017-11-17T20:15:55-0700',mode:absolute,to:'2017-11-17T23:07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48" s="204" t="str">
        <f>IF(AA148&lt;VLOOKUP(AG148,Variables!$AC$3:$AD$8,2,FALSE),"Y","N")</f>
        <v>N</v>
      </c>
      <c r="X148" s="204">
        <f t="shared" si="52"/>
        <v>1</v>
      </c>
      <c r="Y148" s="204">
        <f>RIGHT(D148,LEN(D148)-4)/10000</f>
        <v>5.6399999999999999E-2</v>
      </c>
      <c r="Z148" s="204">
        <f>RIGHT(H148,LEN(H148)-4)/10000</f>
        <v>23.327000000000002</v>
      </c>
      <c r="AA148" s="204">
        <f t="shared" si="53"/>
        <v>23.270600000000002</v>
      </c>
      <c r="AB148" s="54" t="e">
        <f>VLOOKUP(A148,Enforcements!$C$7:$K$9,8,0)</f>
        <v>#N/A</v>
      </c>
      <c r="AC148" s="51" t="e">
        <f>VLOOKUP(A148,Enforcements!$C$7:$E$9,3,0)</f>
        <v>#N/A</v>
      </c>
      <c r="AD148" s="179">
        <f t="shared" si="54"/>
        <v>231</v>
      </c>
      <c r="AE148" s="77" t="str">
        <f t="shared" si="55"/>
        <v>aws s3 cp s3://rtdc.mdm.uploadarchive.raw/RTDC4020/ "%USERPROFILE%\AppData\Local\Temp\OnboardLogs"\RTDC4020\2017-11-17 --exclude "*" --recursive --include "*20171117*" &amp; "%USERPROFILE%\Documents\GitHub\mrs-test-scripts\Headless Mode &amp; Sideloading\WalkAndUnGZ.bat" "%USERPROFILE%\AppData\Local\Temp\OnboardLogs"\RTDC4020\2017-11-17 &amp; aws s3 cp s3://rtdc.mdm.uploadarchive.raw/RTDC4020/ "%USERPROFILE%\AppData\Local\Temp\OnboardLogs"\RTDC4020\2017-11-18 --exclude "*" --recursive --include "*20171118*" &amp; "%USERPROFILE%\Documents\GitHub\mrs-test-scripts\Headless Mode &amp; Sideloading\WalkAndUnGZ.bat" "%USERPROFILE%\AppData\Local\Temp\OnboardLogs"\RTDC4020\2017-11-18</v>
      </c>
      <c r="AF148" s="74" t="str">
        <f t="shared" si="56"/>
        <v>"C:\Program Files (x86)\AstroGrep\AstroGrep.exe" /e /r /s /spath="%USERPROFILE%\AppData\Local\Temp\OnboardLogs" /stypes="app*4020*20171118*" /stext=" 05:.+((SYSTEM_STATE.+slice.+state.+changed )|(ment ac)|(multiple cpu faults)|(system.+state.+changed )|(\[timeout)|(PRM\|1\|D)|(kpr)|(kdp)|(train st.+moving)|(\|lc)|(penalty))"</v>
      </c>
      <c r="AG148" s="182" t="str">
        <f t="shared" si="57"/>
        <v>EC</v>
      </c>
      <c r="AH148" s="78" t="str">
        <f t="shared" si="58"/>
        <v>"%USERPROFILE%\Documents\GitHub\eaglep3\Utilities\RefineRTDCRunTimes.py" --tripid 231-17 --locoid 4020 --swversion DE.1.0.9.0 --startMP 204:564 --initTime 2017-11-17T21:15:55 --startdatetime 2017-11-17T21:30:17 --delay 81 --endMP 204:233270 --enddatetime 2017-11-17T22:07:02 --enforcementcount 1 &gt;&gt;%USERPROFILE%\Documents\GitHub\eaglep3-reporting\EC\2017-11-17-refined-times.txt</v>
      </c>
      <c r="AI148" s="96" t="str">
        <f t="shared" si="59"/>
        <v>echo {"issue":{"subject":"","project_id":79,"tracker_id":40,"status_id":1,"priority_id":2,"assigned_to_id":338,"start_date":"2017-11-17","description":"","custom_fields":[{"id":1,"name":"Subdivision","value":"EC"},{"id":4,"name":"Milepost","value":"23.327"},{"id":17,"name":"Train ID","value":"231-17"},{"id":16,"name":"Locomotive ID","value":"4020"},{"id":130,"name":"Impact","value":""},{"id":150,"name":"Time of Event (Mountain Time)","value":"22:07:02"},{"id":151,"name":"Denver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8" s="47"/>
      <c r="AL148" s="47"/>
      <c r="AM148" s="142" t="str">
        <f t="shared" si="60"/>
        <v>start /low /b %USERPROFILE%\Documents\GitHub\eaglep3\Utilities\DownloadLogsFromS3.py --loco 4020 --day 2017-11-17</v>
      </c>
      <c r="AN148" s="151" t="str">
        <f t="shared" si="61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05:07:02"},{"id":29,"name":"Sharepoint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168" t="str">
        <f t="shared" si="62"/>
        <v>https://d0f6bd738d7f1b3e5a7ca70fe4ff75f0.us-east-1.aws.found.io/app/kibana#/discover/Steve-Slow-Train-Analysis-(2080s-and-2083s)?_g=(refreshInterval:(display:Off,pause:!f,section:0,value:0),time:(from:'2017-11-17T20:15:55-0700',mode:absolute,to:'2017-11-17T23:07:02-0700'))&amp;_a=(columns:!('Message%20ID',Summary),filters:!(),index:'emp_*',interval:auto,query:(query_string:(analyze_wildcard:!t,query:'%22rtdc.l.rtdc.4020%22')),sort:!(Time.ISO8601,asc))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3">
      <c r="A149" s="32" t="s">
        <v>877</v>
      </c>
      <c r="B149" s="7">
        <v>4019</v>
      </c>
      <c r="C149" s="21" t="s">
        <v>192</v>
      </c>
      <c r="D149" s="21" t="s">
        <v>1009</v>
      </c>
      <c r="E149" s="13">
        <v>43056.922754629632</v>
      </c>
      <c r="F149" s="13">
        <v>43056.935648148145</v>
      </c>
      <c r="G149" s="7">
        <v>77</v>
      </c>
      <c r="H149" s="21" t="s">
        <v>462</v>
      </c>
      <c r="I149" s="13">
        <v>43056.962106481478</v>
      </c>
      <c r="J149" s="7">
        <v>1</v>
      </c>
      <c r="K149" s="89" t="str">
        <f t="shared" si="48"/>
        <v>4019/4020</v>
      </c>
      <c r="L149" s="185" t="str">
        <f>VLOOKUP(A149,'Trips&amp;Operators'!$C$1:$G$99911,5,FALSE)</f>
        <v>DAVIDSON DAVID</v>
      </c>
      <c r="M149" s="6">
        <f t="shared" si="49"/>
        <v>2.6458333333721384E-2</v>
      </c>
      <c r="N149" s="7">
        <f t="shared" si="63"/>
        <v>38.100000000558794</v>
      </c>
      <c r="O149" s="7"/>
      <c r="P149" s="7"/>
      <c r="Q149" s="22"/>
      <c r="R149" s="174"/>
      <c r="S149" s="221">
        <f t="shared" si="64"/>
        <v>1</v>
      </c>
      <c r="T149" s="174" t="str">
        <f t="shared" si="50"/>
        <v>Southbound</v>
      </c>
      <c r="U149" s="198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16" t="str">
        <f t="shared" si="51"/>
        <v>https://d0f6bd738d7f1b3e5a7ca70fe4ff75f0.us-east-1.aws.found.io/app/kibana#/discover/Steve-Slow-Train-Analysis-(2080s-and-2083s)?_g=(refreshInterval:(display:Off,pause:!f,section:0,value:0),time:(from:'2017-11-17T21:08:46-0700',mode:absolute,to:'2017-11-18T00:05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49" s="204" t="str">
        <f>IF(AA149&lt;VLOOKUP(AG149,Variables!$AC$3:$AD$8,2,FALSE),"Y","N")</f>
        <v>N</v>
      </c>
      <c r="X149" s="204">
        <f t="shared" si="52"/>
        <v>1</v>
      </c>
      <c r="Y149" s="204">
        <f>RIGHT(D149,LEN(D149)-4)/10000</f>
        <v>23.295200000000001</v>
      </c>
      <c r="Z149" s="204">
        <f>RIGHT(H149,LEN(H149)-4)/10000</f>
        <v>2.29E-2</v>
      </c>
      <c r="AA149" s="204">
        <f t="shared" si="53"/>
        <v>23.272300000000001</v>
      </c>
      <c r="AB149" s="54" t="e">
        <f>VLOOKUP(A149,Enforcements!$C$7:$K$9,8,0)</f>
        <v>#N/A</v>
      </c>
      <c r="AC149" s="51" t="e">
        <f>VLOOKUP(A149,Enforcements!$C$7:$E$9,3,0)</f>
        <v>#N/A</v>
      </c>
      <c r="AD149" s="179">
        <f t="shared" si="54"/>
        <v>232</v>
      </c>
      <c r="AE149" s="77" t="str">
        <f t="shared" si="55"/>
        <v>aws s3 cp s3://rtdc.mdm.uploadarchive.raw/RTDC4019/ "%USERPROFILE%\AppData\Local\Temp\OnboardLogs"\RTDC4019\2017-11-17 --exclude "*" --recursive --include "*20171117*" &amp; "%USERPROFILE%\Documents\GitHub\mrs-test-scripts\Headless Mode &amp; Sideloading\WalkAndUnGZ.bat" "%USERPROFILE%\AppData\Local\Temp\OnboardLogs"\RTDC4019\2017-11-17 &amp; aws s3 cp s3://rtdc.mdm.uploadarchive.raw/RTDC4019/ "%USERPROFILE%\AppData\Local\Temp\OnboardLogs"\RTDC4019\2017-11-18 --exclude "*" --recursive --include "*20171118*" &amp; "%USERPROFILE%\Documents\GitHub\mrs-test-scripts\Headless Mode &amp; Sideloading\WalkAndUnGZ.bat" "%USERPROFILE%\AppData\Local\Temp\OnboardLogs"\RTDC4019\2017-11-18</v>
      </c>
      <c r="AF149" s="74" t="str">
        <f t="shared" si="56"/>
        <v>"C:\Program Files (x86)\AstroGrep\AstroGrep.exe" /e /r /s /spath="%USERPROFILE%\AppData\Local\Temp\OnboardLogs" /stypes="app*4019*20171118*" /stext=" 06:.+((SYSTEM_STATE.+slice.+state.+changed )|(ment ac)|(multiple cpu faults)|(system.+state.+changed )|(\[timeout)|(PRM\|1\|D)|(kpr)|(kdp)|(train st.+moving)|(\|lc)|(penalty))"</v>
      </c>
      <c r="AG149" s="182" t="str">
        <f t="shared" si="57"/>
        <v>EC</v>
      </c>
      <c r="AH149" s="78" t="str">
        <f t="shared" si="58"/>
        <v>"%USERPROFILE%\Documents\GitHub\eaglep3\Utilities\RefineRTDCRunTimes.py" --tripid 232-17 --locoid 4019 --swversion DE.1.0.9.0 --startMP 204:232952 --initTime 2017-11-17T22:08:46 --startdatetime 2017-11-17T22:27:20 --delay 77 --endMP 204:229 --enddatetime 2017-11-17T23:05:26 --enforcementcount 1 &gt;&gt;%USERPROFILE%\Documents\GitHub\eaglep3-reporting\EC\2017-11-17-refined-times.txt</v>
      </c>
      <c r="AI149" s="96" t="str">
        <f t="shared" si="59"/>
        <v>echo {"issue":{"subject":"","project_id":79,"tracker_id":40,"status_id":1,"priority_id":2,"assigned_to_id":338,"start_date":"2017-11-17","description":"","custom_fields":[{"id":1,"name":"Subdivision","value":"EC"},{"id":4,"name":"Milepost","value":"0.0229"},{"id":17,"name":"Train ID","value":"232-17"},{"id":16,"name":"Locomotive ID","value":"4019"},{"id":130,"name":"Impact","value":""},{"id":150,"name":"Time of Event (Mountain Time)","value":"23:05:26"},{"id":151,"name":"Denver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9" s="47"/>
      <c r="AL149" s="47"/>
      <c r="AM149" s="142" t="str">
        <f t="shared" si="60"/>
        <v>start /low /b %USERPROFILE%\Documents\GitHub\eaglep3\Utilities\DownloadLogsFromS3.py --loco 4019 --day 2017-11-17</v>
      </c>
      <c r="AN149" s="151" t="str">
        <f t="shared" si="61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06:05:26"},{"id":29,"name":"Sharepoint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168" t="str">
        <f t="shared" si="62"/>
        <v>https://d0f6bd738d7f1b3e5a7ca70fe4ff75f0.us-east-1.aws.found.io/app/kibana#/discover/Steve-Slow-Train-Analysis-(2080s-and-2083s)?_g=(refreshInterval:(display:Off,pause:!f,section:0,value:0),time:(from:'2017-11-17T21:08:46-0700',mode:absolute,to:'2017-11-18T00:05:26-0700'))&amp;_a=(columns:!('Message%20ID',Summary),filters:!(),index:'emp_*',interval:auto,query:(query_string:(analyze_wildcard:!t,query:'%22rtdc.l.rtdc.4019%22')),sort:!(Time.ISO8601,asc))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3">
      <c r="A150" s="32" t="s">
        <v>873</v>
      </c>
      <c r="B150" s="7">
        <v>4036</v>
      </c>
      <c r="C150" s="21" t="s">
        <v>192</v>
      </c>
      <c r="D150" s="21" t="s">
        <v>456</v>
      </c>
      <c r="E150" s="13">
        <v>43056.907083333332</v>
      </c>
      <c r="F150" s="13">
        <v>43056.916875000003</v>
      </c>
      <c r="G150" s="7">
        <v>124</v>
      </c>
      <c r="H150" s="21" t="s">
        <v>593</v>
      </c>
      <c r="I150" s="13">
        <v>43056.942372685182</v>
      </c>
      <c r="J150" s="7">
        <v>1</v>
      </c>
      <c r="K150" s="89" t="str">
        <f t="shared" si="48"/>
        <v>4035/4036</v>
      </c>
      <c r="L150" s="185" t="str">
        <f>VLOOKUP(A150,'Trips&amp;Operators'!$C$1:$G$99911,5,FALSE)</f>
        <v>NICHOLSON WESLEY</v>
      </c>
      <c r="M150" s="6">
        <f t="shared" si="49"/>
        <v>2.5497685179288965E-2</v>
      </c>
      <c r="N150" s="7">
        <f t="shared" si="63"/>
        <v>36.716666658176109</v>
      </c>
      <c r="O150" s="7"/>
      <c r="P150" s="7"/>
      <c r="Q150" s="22"/>
      <c r="R150" s="174"/>
      <c r="S150" s="221">
        <f t="shared" si="64"/>
        <v>1</v>
      </c>
      <c r="T150" s="174" t="str">
        <f t="shared" si="50"/>
        <v>NorthBound</v>
      </c>
      <c r="U150" s="198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16" t="str">
        <f t="shared" si="51"/>
        <v>https://d0f6bd738d7f1b3e5a7ca70fe4ff75f0.us-east-1.aws.found.io/app/kibana#/discover/Steve-Slow-Train-Analysis-(2080s-and-2083s)?_g=(refreshInterval:(display:Off,pause:!f,section:0,value:0),time:(from:'2017-11-17T20:46:12-0700',mode:absolute,to:'2017-11-17T23:37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50" s="204" t="str">
        <f>IF(AA150&lt;VLOOKUP(AG150,Variables!$AC$3:$AD$8,2,FALSE),"Y","N")</f>
        <v>N</v>
      </c>
      <c r="X150" s="204">
        <f t="shared" si="52"/>
        <v>1</v>
      </c>
      <c r="Y150" s="204">
        <f>RIGHT(D150,LEN(D150)-4)/10000</f>
        <v>5.3699999999999998E-2</v>
      </c>
      <c r="Z150" s="204">
        <f>RIGHT(H150,LEN(H150)-4)/10000</f>
        <v>23.3216</v>
      </c>
      <c r="AA150" s="204">
        <f t="shared" si="53"/>
        <v>23.267900000000001</v>
      </c>
      <c r="AB150" s="54" t="e">
        <f>VLOOKUP(A150,Enforcements!$C$7:$K$9,8,0)</f>
        <v>#N/A</v>
      </c>
      <c r="AC150" s="51" t="e">
        <f>VLOOKUP(A150,Enforcements!$C$7:$E$9,3,0)</f>
        <v>#N/A</v>
      </c>
      <c r="AD150" s="179">
        <f t="shared" si="54"/>
        <v>233</v>
      </c>
      <c r="AE150" s="77" t="str">
        <f t="shared" si="55"/>
        <v>aws s3 cp s3://rtdc.mdm.uploadarchive.raw/RTDC4036/ "%USERPROFILE%\AppData\Local\Temp\OnboardLogs"\RTDC4036\2017-11-17 --exclude "*" --recursive --include "*20171117*" &amp; "%USERPROFILE%\Documents\GitHub\mrs-test-scripts\Headless Mode &amp; Sideloading\WalkAndUnGZ.bat" "%USERPROFILE%\AppData\Local\Temp\OnboardLogs"\RTDC4036\2017-11-17 &amp; aws s3 cp s3://rtdc.mdm.uploadarchive.raw/RTDC4036/ "%USERPROFILE%\AppData\Local\Temp\OnboardLogs"\RTDC4036\2017-11-18 --exclude "*" --recursive --include "*20171118*" &amp; "%USERPROFILE%\Documents\GitHub\mrs-test-scripts\Headless Mode &amp; Sideloading\WalkAndUnGZ.bat" "%USERPROFILE%\AppData\Local\Temp\OnboardLogs"\RTDC4036\2017-11-18</v>
      </c>
      <c r="AF150" s="74" t="str">
        <f t="shared" si="56"/>
        <v>"C:\Program Files (x86)\AstroGrep\AstroGrep.exe" /e /r /s /spath="%USERPROFILE%\AppData\Local\Temp\OnboardLogs" /stypes="app*4036*20171118*" /stext=" 05:.+((SYSTEM_STATE.+slice.+state.+changed )|(ment ac)|(multiple cpu faults)|(system.+state.+changed )|(\[timeout)|(PRM\|1\|D)|(kpr)|(kdp)|(train st.+moving)|(\|lc)|(penalty))"</v>
      </c>
      <c r="AG150" s="182" t="str">
        <f t="shared" si="57"/>
        <v>EC</v>
      </c>
      <c r="AH150" s="78" t="str">
        <f t="shared" si="58"/>
        <v>"%USERPROFILE%\Documents\GitHub\eaglep3\Utilities\RefineRTDCRunTimes.py" --tripid 233-17 --locoid 4036 --swversion DE.1.0.9.0 --startMP 204:537 --initTime 2017-11-17T21:46:12 --startdatetime 2017-11-17T22:00:18 --delay 124 --endMP 204:233216 --enddatetime 2017-11-17T22:37:01 --enforcementcount 1 &gt;&gt;%USERPROFILE%\Documents\GitHub\eaglep3-reporting\EC\2017-11-17-refined-times.txt</v>
      </c>
      <c r="AI150" s="96" t="str">
        <f t="shared" si="59"/>
        <v>echo {"issue":{"subject":"","project_id":79,"tracker_id":40,"status_id":1,"priority_id":2,"assigned_to_id":338,"start_date":"2017-11-17","description":"","custom_fields":[{"id":1,"name":"Subdivision","value":"EC"},{"id":4,"name":"Milepost","value":"23.3216"},{"id":17,"name":"Train ID","value":"233-17"},{"id":16,"name":"Locomotive ID","value":"4036"},{"id":130,"name":"Impact","value":""},{"id":150,"name":"Time of Event (Mountain Time)","value":"22:37:01"},{"id":151,"name":"Denver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0" s="47"/>
      <c r="AL150" s="47"/>
      <c r="AM150" s="142" t="str">
        <f t="shared" si="60"/>
        <v>start /low /b %USERPROFILE%\Documents\GitHub\eaglep3\Utilities\DownloadLogsFromS3.py --loco 4036 --day 2017-11-17</v>
      </c>
      <c r="AN150" s="151" t="str">
        <f t="shared" si="61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05:37:01"},{"id":29,"name":"Sharepoint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168" t="str">
        <f t="shared" si="62"/>
        <v>https://d0f6bd738d7f1b3e5a7ca70fe4ff75f0.us-east-1.aws.found.io/app/kibana#/discover/Steve-Slow-Train-Analysis-(2080s-and-2083s)?_g=(refreshInterval:(display:Off,pause:!f,section:0,value:0),time:(from:'2017-11-17T20:46:12-0700',mode:absolute,to:'2017-11-17T23:37:01-0700'))&amp;_a=(columns:!('Message%20ID',Summary),filters:!(),index:'emp_*',interval:auto,query:(query_string:(analyze_wildcard:!t,query:'%22rtdc.l.rtdc.4036%22')),sort:!(Time.ISO8601,asc))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3">
      <c r="A151" s="32" t="s">
        <v>880</v>
      </c>
      <c r="B151" s="7">
        <v>4035</v>
      </c>
      <c r="C151" s="21" t="s">
        <v>192</v>
      </c>
      <c r="D151" s="21" t="s">
        <v>456</v>
      </c>
      <c r="E151" s="13">
        <v>43056.907083333332</v>
      </c>
      <c r="F151" s="13">
        <v>43056.956597222219</v>
      </c>
      <c r="G151" s="7">
        <v>124</v>
      </c>
      <c r="H151" s="21" t="s">
        <v>593</v>
      </c>
      <c r="I151" s="13">
        <v>43056.983368055553</v>
      </c>
      <c r="J151" s="7">
        <v>1</v>
      </c>
      <c r="K151" s="89" t="str">
        <f t="shared" si="48"/>
        <v>4035/4036</v>
      </c>
      <c r="L151" s="185" t="str">
        <f>VLOOKUP(A151,'Trips&amp;Operators'!$C$1:$G$99911,5,FALSE)</f>
        <v>NICHOLSON WESLEY</v>
      </c>
      <c r="M151" s="6">
        <f t="shared" si="49"/>
        <v>2.6770833334012423E-2</v>
      </c>
      <c r="N151" s="7">
        <f t="shared" si="63"/>
        <v>38.550000000977889</v>
      </c>
      <c r="O151" s="7"/>
      <c r="P151" s="7"/>
      <c r="Q151" s="22"/>
      <c r="R151" s="174"/>
      <c r="S151" s="221">
        <f t="shared" si="64"/>
        <v>1</v>
      </c>
      <c r="T151" s="174" t="str">
        <f t="shared" si="50"/>
        <v>Southbound</v>
      </c>
      <c r="U151" s="198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16" t="str">
        <f t="shared" si="51"/>
        <v>https://d0f6bd738d7f1b3e5a7ca70fe4ff75f0.us-east-1.aws.found.io/app/kibana#/discover/Steve-Slow-Train-Analysis-(2080s-and-2083s)?_g=(refreshInterval:(display:Off,pause:!f,section:0,value:0),time:(from:'2017-11-17T20:46:12-0700',mode:absolute,to:'2017-11-18T00:36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51" s="204" t="str">
        <f>IF(AA151&lt;VLOOKUP(AG151,Variables!$AC$3:$AD$8,2,FALSE),"Y","N")</f>
        <v>N</v>
      </c>
      <c r="X151" s="204">
        <f t="shared" si="52"/>
        <v>1</v>
      </c>
      <c r="Y151" s="204">
        <v>23.295200000000001</v>
      </c>
      <c r="Z151" s="204">
        <v>2.29E-2</v>
      </c>
      <c r="AA151" s="204">
        <f t="shared" si="53"/>
        <v>23.272300000000001</v>
      </c>
      <c r="AB151" s="54" t="e">
        <f>VLOOKUP(A151,Enforcements!$C$7:$K$9,8,0)</f>
        <v>#N/A</v>
      </c>
      <c r="AC151" s="51" t="e">
        <f>VLOOKUP(A151,Enforcements!$C$7:$E$9,3,0)</f>
        <v>#N/A</v>
      </c>
      <c r="AD151" s="179">
        <f t="shared" si="54"/>
        <v>234</v>
      </c>
      <c r="AE151" s="77" t="str">
        <f t="shared" si="55"/>
        <v>aws s3 cp s3://rtdc.mdm.uploadarchive.raw/RTDC4035/ "%USERPROFILE%\AppData\Local\Temp\OnboardLogs"\RTDC4035\2017-11-17 --exclude "*" --recursive --include "*20171117*" &amp; "%USERPROFILE%\Documents\GitHub\mrs-test-scripts\Headless Mode &amp; Sideloading\WalkAndUnGZ.bat" "%USERPROFILE%\AppData\Local\Temp\OnboardLogs"\RTDC4035\2017-11-17 &amp; aws s3 cp s3://rtdc.mdm.uploadarchive.raw/RTDC4035/ "%USERPROFILE%\AppData\Local\Temp\OnboardLogs"\RTDC4035\2017-11-18 --exclude "*" --recursive --include "*20171118*" &amp; "%USERPROFILE%\Documents\GitHub\mrs-test-scripts\Headless Mode &amp; Sideloading\WalkAndUnGZ.bat" "%USERPROFILE%\AppData\Local\Temp\OnboardLogs"\RTDC4035\2017-11-18</v>
      </c>
      <c r="AF151" s="74" t="str">
        <f t="shared" si="56"/>
        <v>"C:\Program Files (x86)\AstroGrep\AstroGrep.exe" /e /r /s /spath="%USERPROFILE%\AppData\Local\Temp\OnboardLogs" /stypes="app*4035*20171118*" /stext=" 06:.+((SYSTEM_STATE.+slice.+state.+changed )|(ment ac)|(multiple cpu faults)|(system.+state.+changed )|(\[timeout)|(PRM\|1\|D)|(kpr)|(kdp)|(train st.+moving)|(\|lc)|(penalty))"</v>
      </c>
      <c r="AG151" s="182" t="str">
        <f t="shared" si="57"/>
        <v>EC</v>
      </c>
      <c r="AH151" s="78" t="str">
        <f>refinertdcruntimes&amp;" --tripid "&amp;A151&amp;" --locoid "&amp;B151&amp;" --swversion "&amp;C151&amp;" --startMP "&amp;D151&amp;" --initTime "&amp;TEXT(E151,"yyyy-mm-ddTHH:MM:SS")&amp;" --startdatetime "&amp;TEXT(F151,"yyyy-mm-ddTHH:MM:SS")&amp;" --delay "&amp;G151&amp;" --endMP "&amp;H151&amp;" --enddatetime "&amp;TEXT(I151,"yyyy-mm-ddTHH:MM:SS")&amp;" --enforcementcount "&amp;J151&amp;IF(outputrefinedruntimes," &gt;&gt;"&amp;RefinedRTDCRunTimesOutputFile,"")</f>
        <v>"%USERPROFILE%\Documents\GitHub\eaglep3\Utilities\RefineRTDCRunTimes.py" --tripid 234-17 --locoid 4035 --swversion DE.1.0.9.0 --startMP 204:537 --initTime 2017-11-17T21:46:12 --startdatetime 2017-11-17T22:57:30 --delay 124 --endMP 204:233216 --enddatetime 2017-11-17T23:36:03 --enforcementcount 1 &gt;&gt;%USERPROFILE%\Documents\GitHub\eaglep3-reporting\EC\2017-11-17-refined-times.txt</v>
      </c>
      <c r="AI151" s="96" t="str">
        <f>"echo {""issue"":{""subject"":"""&amp;R151&amp;""",""project_id"":79,""tracker_id"":40,""status_id"":"&amp;redmine_status&amp;",""priority_id"":"&amp;redmine_priority&amp;",""assigned_to_id"":"&amp;redmine_assignee&amp;",""start_date"":"""&amp;TEXT(I151,"YYYY-mm-dd")&amp;""",""description"":"""&amp;AJ151&amp;""",""custom_fields"":[{""id"":1,""name"":""Subdivision"",""value"":"""&amp;AG151&amp;"""},{""id"":4,""name"":""Milepost"",""value"":"""&amp;Z151&amp;"""},{""id"":17,""name"":""Train ID"",""value"":"""&amp;A151&amp;"""},{""id"":16,""name"":""Locomotive ID"",""value"":"""&amp;B151&amp;"""},{""id"":130,""name"":""Impact"",""value"":"""&amp;AK151&amp;"""},{""id"":150,""name"":""Time of Event (Mountain Time)"",""value"":"""&amp;TEXT(I151,"hh:mm:ss")&amp;"""},{""id"":151,""name"":""Denver Issue ID"",""value"":"""&amp;"""},{""id"":178,""name"":""Operational Impact"",""value"":"""&amp;redmine_op_impact&amp;"""},{""id"":179,""name"":""Denver Segment Assigned"",""value"":"""&amp;AL151&amp;"""}]}}"&amp;"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{"issue":{"subject":"","project_id":79,"tracker_id":40,"status_id":1,"priority_id":2,"assigned_to_id":338,"start_date":"2017-11-17","description":"","custom_fields":[{"id":1,"name":"Subdivision","value":"EC"},{"id":4,"name":"Milepost","value":"0.0229"},{"id":17,"name":"Train ID","value":"234-17"},{"id":16,"name":"Locomotive ID","value":"4035"},{"id":130,"name":"Impact","value":""},{"id":150,"name":"Time of Event (Mountain Time)","value":"23:36:03"},{"id":151,"name":"Denver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1" s="47"/>
      <c r="AL151" s="47"/>
      <c r="AM151" s="142" t="str">
        <f>"start /low /b "&amp;dls3logs&amp;" --loco "&amp;B151&amp;" --day "&amp;TEXT(F151,"YYYY-MM-DD")</f>
        <v>start /low /b %USERPROFILE%\Documents\GitHub\eaglep3\Utilities\DownloadLogsFromS3.py --loco 4035 --day 2017-11-17</v>
      </c>
      <c r="AN151" s="151" t="str">
        <f>"echo {""issue"":{""subject"":"""&amp;R151&amp;""",""project_id"":30,""tracker_id"":4,""status_id"":"&amp;redmine_status_wcr&amp;",""priority_id"":"&amp;redmine_priority_wcr&amp;",""assigned_to_id"":"&amp;redmine_assignee_wcr&amp;",""start_date"":"""&amp;TEXT(I151-utc_offset/24,"YYYY-mm-dd")&amp;""",""description"":"""&amp;AJ151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06:36:03"},{"id":29,"name":"Sharepoint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168" t="str">
        <f>"https://d0f6bd738d7f1b3e5a7ca70fe4ff75f0.us-east-1.aws.found.io/app/kibana#/discover/Steve-Slow-Train-Analysis-(2080s-and-2083s)?_g="&amp;"(refreshInterval:(display:Off,pause:!f,section:0,value:0),time:(from:'"&amp;TEXT(E151-1/24,"yyyy-MM-DDThh:mm:ss")&amp;utc_offset&amp;"00"&amp;"',mode:absolute,to:'"&amp;TEXT(I151+1/24,"yyyy-MM-DDThh:mm:ss")&amp;utc_offset&amp;"00"&amp;"'))&amp;_a=(columns:!('Message%20ID',Summary),filters:!(),index:'emp_*',interval:auto,query:"&amp;"(query_string:(analyze_wildcard:!t,query:'%22rtdc.l.rtdc."&amp;B151&amp;"%22')),sort:!(Time.ISO8601,asc))"</f>
        <v>https://d0f6bd738d7f1b3e5a7ca70fe4ff75f0.us-east-1.aws.found.io/app/kibana#/discover/Steve-Slow-Train-Analysis-(2080s-and-2083s)?_g=(refreshInterval:(display:Off,pause:!f,section:0,value:0),time:(from:'2017-11-17T20:46:12-0700',mode:absolute,to:'2017-11-18T00:36:03-0700'))&amp;_a=(columns:!('Message%20ID',Summary),filters:!(),index:'emp_*',interval:auto,query:(query_string:(analyze_wildcard:!t,query:'%22rtdc.l.rtdc.4035%22')),sort:!(Time.ISO8601,asc))</v>
      </c>
    </row>
    <row r="152" spans="1:91" s="20" customFormat="1" x14ac:dyDescent="0.3">
      <c r="A152" s="32" t="s">
        <v>876</v>
      </c>
      <c r="B152" s="7">
        <v>4042</v>
      </c>
      <c r="C152" s="21" t="s">
        <v>192</v>
      </c>
      <c r="D152" s="21" t="s">
        <v>540</v>
      </c>
      <c r="E152" s="13">
        <v>43056.921770833331</v>
      </c>
      <c r="F152" s="13">
        <v>43056.937743055554</v>
      </c>
      <c r="G152" s="7">
        <v>72</v>
      </c>
      <c r="H152" s="21" t="s">
        <v>1010</v>
      </c>
      <c r="I152" s="13">
        <v>43056.961678240739</v>
      </c>
      <c r="J152" s="7">
        <v>1</v>
      </c>
      <c r="K152" s="89" t="str">
        <f t="shared" si="48"/>
        <v>4041/4042</v>
      </c>
      <c r="L152" s="185" t="str">
        <f>VLOOKUP(A152,'Trips&amp;Operators'!$C$1:$G$99911,5,FALSE)</f>
        <v>ELBAUM MIKE</v>
      </c>
      <c r="M152" s="6">
        <f t="shared" si="49"/>
        <v>2.3935185185109731E-2</v>
      </c>
      <c r="N152" s="7">
        <f t="shared" si="63"/>
        <v>34.466666666558012</v>
      </c>
      <c r="O152" s="7"/>
      <c r="P152" s="7"/>
      <c r="Q152" s="22"/>
      <c r="R152" s="174"/>
      <c r="S152" s="221">
        <f t="shared" si="64"/>
        <v>1</v>
      </c>
      <c r="T152" s="174" t="str">
        <f t="shared" si="50"/>
        <v>NorthBound</v>
      </c>
      <c r="U152" s="198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16" t="str">
        <f t="shared" si="51"/>
        <v>https://d0f6bd738d7f1b3e5a7ca70fe4ff75f0.us-east-1.aws.found.io/app/kibana#/discover/Steve-Slow-Train-Analysis-(2080s-and-2083s)?_g=(refreshInterval:(display:Off,pause:!f,section:0,value:0),time:(from:'2017-11-17T21:07:21-0700',mode:absolute,to:'2017-11-18T00:04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52" s="204" t="str">
        <f>IF(AA152&lt;VLOOKUP(AG152,Variables!$AC$3:$AD$8,2,FALSE),"Y","N")</f>
        <v>N</v>
      </c>
      <c r="X152" s="204">
        <f t="shared" si="52"/>
        <v>1</v>
      </c>
      <c r="Y152" s="204">
        <f t="shared" ref="Y152:Y160" si="65">RIGHT(D152,LEN(D152)-4)/10000</f>
        <v>5.5300000000000002E-2</v>
      </c>
      <c r="Z152" s="204">
        <f t="shared" ref="Z152:Z160" si="66">RIGHT(H152,LEN(H152)-4)/10000</f>
        <v>23.325700000000001</v>
      </c>
      <c r="AA152" s="204">
        <f t="shared" si="53"/>
        <v>23.270400000000002</v>
      </c>
      <c r="AB152" s="54" t="e">
        <f>VLOOKUP(A152,Enforcements!$C$7:$K$9,8,0)</f>
        <v>#N/A</v>
      </c>
      <c r="AC152" s="51" t="e">
        <f>VLOOKUP(A152,Enforcements!$C$7:$E$9,3,0)</f>
        <v>#N/A</v>
      </c>
      <c r="AD152" s="179">
        <f t="shared" si="54"/>
        <v>235</v>
      </c>
      <c r="AE152" s="77" t="str">
        <f t="shared" si="55"/>
        <v>aws s3 cp s3://rtdc.mdm.uploadarchive.raw/RTDC4042/ "%USERPROFILE%\AppData\Local\Temp\OnboardLogs"\RTDC4042\2017-11-17 --exclude "*" --recursive --include "*20171117*" &amp; "%USERPROFILE%\Documents\GitHub\mrs-test-scripts\Headless Mode &amp; Sideloading\WalkAndUnGZ.bat" "%USERPROFILE%\AppData\Local\Temp\OnboardLogs"\RTDC4042\2017-11-17 &amp; aws s3 cp s3://rtdc.mdm.uploadarchive.raw/RTDC4042/ "%USERPROFILE%\AppData\Local\Temp\OnboardLogs"\RTDC4042\2017-11-18 --exclude "*" --recursive --include "*20171118*" &amp; "%USERPROFILE%\Documents\GitHub\mrs-test-scripts\Headless Mode &amp; Sideloading\WalkAndUnGZ.bat" "%USERPROFILE%\AppData\Local\Temp\OnboardLogs"\RTDC4042\2017-11-18</v>
      </c>
      <c r="AF152" s="74" t="str">
        <f t="shared" si="56"/>
        <v>"C:\Program Files (x86)\AstroGrep\AstroGrep.exe" /e /r /s /spath="%USERPROFILE%\AppData\Local\Temp\OnboardLogs" /stypes="app*4042*20171118*" /stext=" 06:.+((SYSTEM_STATE.+slice.+state.+changed )|(ment ac)|(multiple cpu faults)|(system.+state.+changed )|(\[timeout)|(PRM\|1\|D)|(kpr)|(kdp)|(train st.+moving)|(\|lc)|(penalty))"</v>
      </c>
      <c r="AG152" s="182" t="str">
        <f t="shared" si="57"/>
        <v>EC</v>
      </c>
      <c r="AH152" s="78" t="str">
        <f t="shared" si="58"/>
        <v>"%USERPROFILE%\Documents\GitHub\eaglep3\Utilities\RefineRTDCRunTimes.py" --tripid 235-17 --locoid 4042 --swversion DE.1.0.9.0 --startMP 204:553 --initTime 2017-11-17T22:07:21 --startdatetime 2017-11-17T22:30:21 --delay 72 --endMP 204:233257 --enddatetime 2017-11-17T23:04:49 --enforcementcount 1 &gt;&gt;%USERPROFILE%\Documents\GitHub\eaglep3-reporting\EC\2017-11-17-refined-times.txt</v>
      </c>
      <c r="AI152" s="96" t="str">
        <f t="shared" si="59"/>
        <v>echo {"issue":{"subject":"","project_id":79,"tracker_id":40,"status_id":1,"priority_id":2,"assigned_to_id":338,"start_date":"2017-11-17","description":"","custom_fields":[{"id":1,"name":"Subdivision","value":"EC"},{"id":4,"name":"Milepost","value":"23.3257"},{"id":17,"name":"Train ID","value":"235-17"},{"id":16,"name":"Locomotive ID","value":"4042"},{"id":130,"name":"Impact","value":""},{"id":150,"name":"Time of Event (Mountain Time)","value":"23:04:49"},{"id":151,"name":"Denver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2" s="47"/>
      <c r="AL152" s="47"/>
      <c r="AM152" s="142" t="str">
        <f t="shared" si="60"/>
        <v>start /low /b %USERPROFILE%\Documents\GitHub\eaglep3\Utilities\DownloadLogsFromS3.py --loco 4042 --day 2017-11-17</v>
      </c>
      <c r="AN152" s="151" t="str">
        <f t="shared" si="61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06:04:49"},{"id":29,"name":"Sharepoint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168" t="str">
        <f t="shared" si="62"/>
        <v>https://d0f6bd738d7f1b3e5a7ca70fe4ff75f0.us-east-1.aws.found.io/app/kibana#/discover/Steve-Slow-Train-Analysis-(2080s-and-2083s)?_g=(refreshInterval:(display:Off,pause:!f,section:0,value:0),time:(from:'2017-11-17T21:07:21-0700',mode:absolute,to:'2017-11-18T00:04:49-0700'))&amp;_a=(columns:!('Message%20ID',Summary),filters:!(),index:'emp_*',interval:auto,query:(query_string:(analyze_wildcard:!t,query:'%22rtdc.l.rtdc.4042%22')),sort:!(Time.ISO8601,asc))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3">
      <c r="A153" s="32" t="s">
        <v>882</v>
      </c>
      <c r="B153" s="7">
        <v>4041</v>
      </c>
      <c r="C153" s="21" t="s">
        <v>192</v>
      </c>
      <c r="D153" s="21" t="s">
        <v>1011</v>
      </c>
      <c r="E153" s="13">
        <v>43056.965856481482</v>
      </c>
      <c r="F153" s="13">
        <v>43056.977233796293</v>
      </c>
      <c r="G153" s="7">
        <v>104</v>
      </c>
      <c r="H153" s="21" t="s">
        <v>586</v>
      </c>
      <c r="I153" s="13">
        <v>43057.002662037034</v>
      </c>
      <c r="J153" s="7">
        <v>1</v>
      </c>
      <c r="K153" s="89" t="str">
        <f t="shared" si="48"/>
        <v>4041/4042</v>
      </c>
      <c r="L153" s="185" t="str">
        <f>VLOOKUP(A153,'Trips&amp;Operators'!$C$1:$G$99911,5,FALSE)</f>
        <v>ELBAUM MIKE</v>
      </c>
      <c r="M153" s="6">
        <f t="shared" si="49"/>
        <v>2.5428240740438923E-2</v>
      </c>
      <c r="N153" s="7">
        <f t="shared" si="63"/>
        <v>36.616666666232049</v>
      </c>
      <c r="O153" s="7"/>
      <c r="P153" s="7"/>
      <c r="Q153" s="22"/>
      <c r="R153" s="174"/>
      <c r="S153" s="221">
        <f t="shared" si="64"/>
        <v>1</v>
      </c>
      <c r="T153" s="174" t="str">
        <f t="shared" si="50"/>
        <v>Southbound</v>
      </c>
      <c r="U153" s="198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16" t="str">
        <f t="shared" si="51"/>
        <v>https://d0f6bd738d7f1b3e5a7ca70fe4ff75f0.us-east-1.aws.found.io/app/kibana#/discover/Steve-Slow-Train-Analysis-(2080s-and-2083s)?_g=(refreshInterval:(display:Off,pause:!f,section:0,value:0),time:(from:'2017-11-17T22:10:50-0700',mode:absolute,to:'2017-11-18T01:03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53" s="204" t="str">
        <f>IF(AA153&lt;VLOOKUP(AG153,Variables!$AC$3:$AD$8,2,FALSE),"Y","N")</f>
        <v>N</v>
      </c>
      <c r="X153" s="204">
        <f t="shared" si="52"/>
        <v>1</v>
      </c>
      <c r="Y153" s="204">
        <f t="shared" si="65"/>
        <v>23.295100000000001</v>
      </c>
      <c r="Z153" s="204">
        <f t="shared" si="66"/>
        <v>2.6499999999999999E-2</v>
      </c>
      <c r="AA153" s="204">
        <f t="shared" si="53"/>
        <v>23.268600000000003</v>
      </c>
      <c r="AB153" s="54" t="e">
        <f>VLOOKUP(A153,Enforcements!$C$7:$K$9,8,0)</f>
        <v>#N/A</v>
      </c>
      <c r="AC153" s="51" t="e">
        <f>VLOOKUP(A153,Enforcements!$C$7:$E$9,3,0)</f>
        <v>#N/A</v>
      </c>
      <c r="AD153" s="179">
        <f t="shared" si="54"/>
        <v>236</v>
      </c>
      <c r="AE153" s="77" t="str">
        <f t="shared" si="55"/>
        <v>aws s3 cp s3://rtdc.mdm.uploadarchive.raw/RTDC4041/ "%USERPROFILE%\AppData\Local\Temp\OnboardLogs"\RTDC4041\2017-11-17 --exclude "*" --recursive --include "*20171117*" &amp; "%USERPROFILE%\Documents\GitHub\mrs-test-scripts\Headless Mode &amp; Sideloading\WalkAndUnGZ.bat" "%USERPROFILE%\AppData\Local\Temp\OnboardLogs"\RTDC4041\2017-11-17 &amp; aws s3 cp s3://rtdc.mdm.uploadarchive.raw/RTDC4041/ "%USERPROFILE%\AppData\Local\Temp\OnboardLogs"\RTDC4041\2017-11-18 --exclude "*" --recursive --include "*20171118*" &amp; "%USERPROFILE%\Documents\GitHub\mrs-test-scripts\Headless Mode &amp; Sideloading\WalkAndUnGZ.bat" "%USERPROFILE%\AppData\Local\Temp\OnboardLogs"\RTDC4041\2017-11-18</v>
      </c>
      <c r="AF153" s="74" t="str">
        <f t="shared" si="56"/>
        <v>"C:\Program Files (x86)\AstroGrep\AstroGrep.exe" /e /r /s /spath="%USERPROFILE%\AppData\Local\Temp\OnboardLogs" /stypes="app*4041*20171118*" /stext=" 07:.+((SYSTEM_STATE.+slice.+state.+changed )|(ment ac)|(multiple cpu faults)|(system.+state.+changed )|(\[timeout)|(PRM\|1\|D)|(kpr)|(kdp)|(train st.+moving)|(\|lc)|(penalty))"</v>
      </c>
      <c r="AG153" s="182" t="str">
        <f t="shared" si="57"/>
        <v>EC</v>
      </c>
      <c r="AH153" s="78" t="str">
        <f t="shared" si="58"/>
        <v>"%USERPROFILE%\Documents\GitHub\eaglep3\Utilities\RefineRTDCRunTimes.py" --tripid 236-17 --locoid 4041 --swversion DE.1.0.9.0 --startMP 204:232951 --initTime 2017-11-17T23:10:50 --startdatetime 2017-11-17T23:27:13 --delay 104 --endMP 204:265 --enddatetime 2017-11-18T00:03:50 --enforcementcount 1 &gt;&gt;%USERPROFILE%\Documents\GitHub\eaglep3-reporting\EC\2017-11-17-refined-times.txt</v>
      </c>
      <c r="AI153" s="96" t="str">
        <f t="shared" si="59"/>
        <v>echo {"issue":{"subject":"","project_id":79,"tracker_id":40,"status_id":1,"priority_id":2,"assigned_to_id":338,"start_date":"2017-11-18","description":"","custom_fields":[{"id":1,"name":"Subdivision","value":"EC"},{"id":4,"name":"Milepost","value":"0.0265"},{"id":17,"name":"Train ID","value":"236-17"},{"id":16,"name":"Locomotive ID","value":"4041"},{"id":130,"name":"Impact","value":""},{"id":150,"name":"Time of Event (Mountain Time)","value":"00:03:50"},{"id":151,"name":"Denver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3" s="47"/>
      <c r="AL153" s="47"/>
      <c r="AM153" s="142" t="str">
        <f t="shared" si="60"/>
        <v>start /low /b %USERPROFILE%\Documents\GitHub\eaglep3\Utilities\DownloadLogsFromS3.py --loco 4041 --day 2017-11-17</v>
      </c>
      <c r="AN153" s="151" t="str">
        <f t="shared" si="61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07:03:50"},{"id":29,"name":"Sharepoint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168" t="str">
        <f t="shared" si="62"/>
        <v>https://d0f6bd738d7f1b3e5a7ca70fe4ff75f0.us-east-1.aws.found.io/app/kibana#/discover/Steve-Slow-Train-Analysis-(2080s-and-2083s)?_g=(refreshInterval:(display:Off,pause:!f,section:0,value:0),time:(from:'2017-11-17T22:10:50-0700',mode:absolute,to:'2017-11-18T01:03:50-0700'))&amp;_a=(columns:!('Message%20ID',Summary),filters:!(),index:'emp_*',interval:auto,query:(query_string:(analyze_wildcard:!t,query:'%22rtdc.l.rtdc.4041%22')),sort:!(Time.ISO8601,asc))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3">
      <c r="A154" s="32" t="s">
        <v>879</v>
      </c>
      <c r="B154" s="7">
        <v>4010</v>
      </c>
      <c r="C154" s="21" t="s">
        <v>192</v>
      </c>
      <c r="D154" s="21" t="s">
        <v>596</v>
      </c>
      <c r="E154" s="13">
        <v>43056.948263888888</v>
      </c>
      <c r="F154" s="13">
        <v>43056.958645833336</v>
      </c>
      <c r="G154" s="7">
        <v>57</v>
      </c>
      <c r="H154" s="21" t="s">
        <v>1012</v>
      </c>
      <c r="I154" s="13">
        <v>43056.983842592592</v>
      </c>
      <c r="J154" s="7">
        <v>1</v>
      </c>
      <c r="K154" s="89" t="str">
        <f t="shared" si="48"/>
        <v>4009/4010</v>
      </c>
      <c r="L154" s="185" t="str">
        <f>VLOOKUP(A154,'Trips&amp;Operators'!$C$1:$G$99911,5,FALSE)</f>
        <v>HAMMOND JUSTYNN</v>
      </c>
      <c r="M154" s="6">
        <f t="shared" si="49"/>
        <v>2.5196759255777579E-2</v>
      </c>
      <c r="N154" s="7">
        <f t="shared" si="63"/>
        <v>36.283333328319713</v>
      </c>
      <c r="O154" s="7"/>
      <c r="P154" s="7"/>
      <c r="Q154" s="22"/>
      <c r="R154" s="174"/>
      <c r="S154" s="221">
        <f t="shared" si="64"/>
        <v>1</v>
      </c>
      <c r="T154" s="174" t="str">
        <f t="shared" si="50"/>
        <v>NorthBound</v>
      </c>
      <c r="U154" s="198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16" t="str">
        <f t="shared" si="51"/>
        <v>https://d0f6bd738d7f1b3e5a7ca70fe4ff75f0.us-east-1.aws.found.io/app/kibana#/discover/Steve-Slow-Train-Analysis-(2080s-and-2083s)?_g=(refreshInterval:(display:Off,pause:!f,section:0,value:0),time:(from:'2017-11-17T21:45:30-0700',mode:absolute,to:'2017-11-18T00:36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54" s="204" t="str">
        <f>IF(AA154&lt;VLOOKUP(AG154,Variables!$AC$3:$AD$8,2,FALSE),"Y","N")</f>
        <v>N</v>
      </c>
      <c r="X154" s="204">
        <f t="shared" si="52"/>
        <v>1</v>
      </c>
      <c r="Y154" s="204">
        <f t="shared" si="65"/>
        <v>5.3100000000000001E-2</v>
      </c>
      <c r="Z154" s="204">
        <f t="shared" si="66"/>
        <v>23.315899999999999</v>
      </c>
      <c r="AA154" s="204">
        <f t="shared" si="53"/>
        <v>23.262799999999999</v>
      </c>
      <c r="AB154" s="54" t="e">
        <f>VLOOKUP(A154,Enforcements!$C$7:$K$9,8,0)</f>
        <v>#N/A</v>
      </c>
      <c r="AC154" s="51" t="e">
        <f>VLOOKUP(A154,Enforcements!$C$7:$E$9,3,0)</f>
        <v>#N/A</v>
      </c>
      <c r="AD154" s="179">
        <f t="shared" si="54"/>
        <v>237</v>
      </c>
      <c r="AE154" s="77" t="str">
        <f t="shared" si="55"/>
        <v>aws s3 cp s3://rtdc.mdm.uploadarchive.raw/RTDC4010/ "%USERPROFILE%\AppData\Local\Temp\OnboardLogs"\RTDC4010\2017-11-17 --exclude "*" --recursive --include "*20171117*" &amp; "%USERPROFILE%\Documents\GitHub\mrs-test-scripts\Headless Mode &amp; Sideloading\WalkAndUnGZ.bat" "%USERPROFILE%\AppData\Local\Temp\OnboardLogs"\RTDC4010\2017-11-17 &amp; aws s3 cp s3://rtdc.mdm.uploadarchive.raw/RTDC4010/ "%USERPROFILE%\AppData\Local\Temp\OnboardLogs"\RTDC4010\2017-11-18 --exclude "*" --recursive --include "*20171118*" &amp; "%USERPROFILE%\Documents\GitHub\mrs-test-scripts\Headless Mode &amp; Sideloading\WalkAndUnGZ.bat" "%USERPROFILE%\AppData\Local\Temp\OnboardLogs"\RTDC4010\2017-11-18</v>
      </c>
      <c r="AF154" s="74" t="str">
        <f t="shared" si="56"/>
        <v>"C:\Program Files (x86)\AstroGrep\AstroGrep.exe" /e /r /s /spath="%USERPROFILE%\AppData\Local\Temp\OnboardLogs" /stypes="app*4010*20171118*" /stext=" 06:.+((SYSTEM_STATE.+slice.+state.+changed )|(ment ac)|(multiple cpu faults)|(system.+state.+changed )|(\[timeout)|(PRM\|1\|D)|(kpr)|(kdp)|(train st.+moving)|(\|lc)|(penalty))"</v>
      </c>
      <c r="AG154" s="182" t="str">
        <f t="shared" si="57"/>
        <v>EC</v>
      </c>
      <c r="AH154" s="78" t="str">
        <f t="shared" si="58"/>
        <v>"%USERPROFILE%\Documents\GitHub\eaglep3\Utilities\RefineRTDCRunTimes.py" --tripid 237-17 --locoid 4010 --swversion DE.1.0.9.0 --startMP 204:531 --initTime 2017-11-17T22:45:30 --startdatetime 2017-11-17T23:00:27 --delay 57 --endMP 204:233159 --enddatetime 2017-11-17T23:36:44 --enforcementcount 1 &gt;&gt;%USERPROFILE%\Documents\GitHub\eaglep3-reporting\EC\2017-11-17-refined-times.txt</v>
      </c>
      <c r="AI154" s="96" t="str">
        <f t="shared" si="59"/>
        <v>echo {"issue":{"subject":"","project_id":79,"tracker_id":40,"status_id":1,"priority_id":2,"assigned_to_id":338,"start_date":"2017-11-17","description":"","custom_fields":[{"id":1,"name":"Subdivision","value":"EC"},{"id":4,"name":"Milepost","value":"23.3159"},{"id":17,"name":"Train ID","value":"237-17"},{"id":16,"name":"Locomotive ID","value":"4010"},{"id":130,"name":"Impact","value":""},{"id":150,"name":"Time of Event (Mountain Time)","value":"23:36:44"},{"id":151,"name":"Denver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4" s="47"/>
      <c r="AL154" s="47"/>
      <c r="AM154" s="142" t="str">
        <f t="shared" si="60"/>
        <v>start /low /b %USERPROFILE%\Documents\GitHub\eaglep3\Utilities\DownloadLogsFromS3.py --loco 4010 --day 2017-11-17</v>
      </c>
      <c r="AN154" s="151" t="str">
        <f t="shared" si="61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06:36:44"},{"id":29,"name":"Sharepoint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168" t="str">
        <f t="shared" si="62"/>
        <v>https://d0f6bd738d7f1b3e5a7ca70fe4ff75f0.us-east-1.aws.found.io/app/kibana#/discover/Steve-Slow-Train-Analysis-(2080s-and-2083s)?_g=(refreshInterval:(display:Off,pause:!f,section:0,value:0),time:(from:'2017-11-17T21:45:30-0700',mode:absolute,to:'2017-11-18T00:36:44-0700'))&amp;_a=(columns:!('Message%20ID',Summary),filters:!(),index:'emp_*',interval:auto,query:(query_string:(analyze_wildcard:!t,query:'%22rtdc.l.rtdc.4010%22')),sort:!(Time.ISO8601,asc))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3">
      <c r="A155" s="32" t="s">
        <v>885</v>
      </c>
      <c r="B155" s="7">
        <v>4009</v>
      </c>
      <c r="C155" s="21" t="s">
        <v>192</v>
      </c>
      <c r="D155" s="21" t="s">
        <v>600</v>
      </c>
      <c r="E155" s="13">
        <v>43056.995081018518</v>
      </c>
      <c r="F155" s="13">
        <v>43056.998252314814</v>
      </c>
      <c r="G155" s="7">
        <v>64</v>
      </c>
      <c r="H155" s="21" t="s">
        <v>499</v>
      </c>
      <c r="I155" s="13">
        <v>43057.025127314817</v>
      </c>
      <c r="J155" s="7">
        <v>1</v>
      </c>
      <c r="K155" s="89" t="str">
        <f t="shared" si="48"/>
        <v>4009/4010</v>
      </c>
      <c r="L155" s="185" t="str">
        <f>VLOOKUP(A155,'Trips&amp;Operators'!$C$1:$G$99911,5,FALSE)</f>
        <v>ANDERS STEVEN</v>
      </c>
      <c r="M155" s="6">
        <f t="shared" si="49"/>
        <v>2.6875000003201421E-2</v>
      </c>
      <c r="N155" s="7">
        <f t="shared" si="63"/>
        <v>38.700000004610047</v>
      </c>
      <c r="O155" s="7"/>
      <c r="P155" s="7"/>
      <c r="Q155" s="22"/>
      <c r="R155" s="174"/>
      <c r="S155" s="221">
        <f t="shared" si="64"/>
        <v>1</v>
      </c>
      <c r="T155" s="174" t="str">
        <f t="shared" si="50"/>
        <v>Southbound</v>
      </c>
      <c r="U155" s="198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16" t="str">
        <f t="shared" si="51"/>
        <v>https://d0f6bd738d7f1b3e5a7ca70fe4ff75f0.us-east-1.aws.found.io/app/kibana#/discover/Steve-Slow-Train-Analysis-(2080s-and-2083s)?_g=(refreshInterval:(display:Off,pause:!f,section:0,value:0),time:(from:'2017-11-17T22:52:55-0700',mode:absolute,to:'2017-11-18T01:36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55" s="204" t="str">
        <f>IF(AA155&lt;VLOOKUP(AG155,Variables!$AC$3:$AD$8,2,FALSE),"Y","N")</f>
        <v>N</v>
      </c>
      <c r="X155" s="204">
        <f t="shared" si="52"/>
        <v>1</v>
      </c>
      <c r="Y155" s="204">
        <f t="shared" si="65"/>
        <v>23.2943</v>
      </c>
      <c r="Z155" s="204">
        <f t="shared" si="66"/>
        <v>2.4199999999999999E-2</v>
      </c>
      <c r="AA155" s="204">
        <f t="shared" si="53"/>
        <v>23.270099999999999</v>
      </c>
      <c r="AB155" s="54" t="e">
        <f>VLOOKUP(A155,Enforcements!$C$7:$K$9,8,0)</f>
        <v>#N/A</v>
      </c>
      <c r="AC155" s="51" t="e">
        <f>VLOOKUP(A155,Enforcements!$C$7:$E$9,3,0)</f>
        <v>#N/A</v>
      </c>
      <c r="AD155" s="179">
        <f t="shared" si="54"/>
        <v>238</v>
      </c>
      <c r="AE155" s="77" t="str">
        <f t="shared" si="55"/>
        <v>aws s3 cp s3://rtdc.mdm.uploadarchive.raw/RTDC4009/ "%USERPROFILE%\AppData\Local\Temp\OnboardLogs"\RTDC4009\2017-11-17 --exclude "*" --recursive --include "*20171117*" &amp; "%USERPROFILE%\Documents\GitHub\mrs-test-scripts\Headless Mode &amp; Sideloading\WalkAndUnGZ.bat" "%USERPROFILE%\AppData\Local\Temp\OnboardLogs"\RTDC4009\2017-11-17 &amp; aws s3 cp s3://rtdc.mdm.uploadarchive.raw/RTDC4009/ "%USERPROFILE%\AppData\Local\Temp\OnboardLogs"\RTDC4009\2017-11-18 --exclude "*" --recursive --include "*20171118*" &amp; "%USERPROFILE%\Documents\GitHub\mrs-test-scripts\Headless Mode &amp; Sideloading\WalkAndUnGZ.bat" "%USERPROFILE%\AppData\Local\Temp\OnboardLogs"\RTDC4009\2017-11-18</v>
      </c>
      <c r="AF155" s="74" t="str">
        <f t="shared" si="56"/>
        <v>"C:\Program Files (x86)\AstroGrep\AstroGrep.exe" /e /r /s /spath="%USERPROFILE%\AppData\Local\Temp\OnboardLogs" /stypes="app*4009*20171118*" /stext=" 07:.+((SYSTEM_STATE.+slice.+state.+changed )|(ment ac)|(multiple cpu faults)|(system.+state.+changed )|(\[timeout)|(PRM\|1\|D)|(kpr)|(kdp)|(train st.+moving)|(\|lc)|(penalty))"</v>
      </c>
      <c r="AG155" s="182" t="str">
        <f t="shared" si="57"/>
        <v>EC</v>
      </c>
      <c r="AH155" s="78" t="str">
        <f t="shared" si="58"/>
        <v>"%USERPROFILE%\Documents\GitHub\eaglep3\Utilities\RefineRTDCRunTimes.py" --tripid 238-17 --locoid 4009 --swversion DE.1.0.9.0 --startMP 204:232943 --initTime 2017-11-17T23:52:55 --startdatetime 2017-11-17T23:57:29 --delay 64 --endMP 204:242 --enddatetime 2017-11-18T00:36:11 --enforcementcount 1 &gt;&gt;%USERPROFILE%\Documents\GitHub\eaglep3-reporting\EC\2017-11-17-refined-times.txt</v>
      </c>
      <c r="AI155" s="96" t="str">
        <f t="shared" si="59"/>
        <v>echo {"issue":{"subject":"","project_id":79,"tracker_id":40,"status_id":1,"priority_id":2,"assigned_to_id":338,"start_date":"2017-11-18","description":"","custom_fields":[{"id":1,"name":"Subdivision","value":"EC"},{"id":4,"name":"Milepost","value":"0.0242"},{"id":17,"name":"Train ID","value":"238-17"},{"id":16,"name":"Locomotive ID","value":"4009"},{"id":130,"name":"Impact","value":""},{"id":150,"name":"Time of Event (Mountain Time)","value":"00:36:11"},{"id":151,"name":"Denver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5" s="47"/>
      <c r="AL155" s="47"/>
      <c r="AM155" s="142" t="str">
        <f t="shared" si="60"/>
        <v>start /low /b %USERPROFILE%\Documents\GitHub\eaglep3\Utilities\DownloadLogsFromS3.py --loco 4009 --day 2017-11-17</v>
      </c>
      <c r="AN155" s="151" t="str">
        <f t="shared" si="61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07:36:11"},{"id":29,"name":"Sharepoint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168" t="str">
        <f t="shared" si="62"/>
        <v>https://d0f6bd738d7f1b3e5a7ca70fe4ff75f0.us-east-1.aws.found.io/app/kibana#/discover/Steve-Slow-Train-Analysis-(2080s-and-2083s)?_g=(refreshInterval:(display:Off,pause:!f,section:0,value:0),time:(from:'2017-11-17T22:52:55-0700',mode:absolute,to:'2017-11-18T01:36:11-0700'))&amp;_a=(columns:!('Message%20ID',Summary),filters:!(),index:'emp_*',interval:auto,query:(query_string:(analyze_wildcard:!t,query:'%22rtdc.l.rtdc.4009%22')),sort:!(Time.ISO8601,asc))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3">
      <c r="A156" s="32" t="s">
        <v>652</v>
      </c>
      <c r="B156" s="7">
        <v>4020</v>
      </c>
      <c r="C156" s="21" t="s">
        <v>192</v>
      </c>
      <c r="D156" s="21" t="s">
        <v>1013</v>
      </c>
      <c r="E156" s="13">
        <v>43056.963773148149</v>
      </c>
      <c r="F156" s="13">
        <v>43056.979456018518</v>
      </c>
      <c r="G156" s="7">
        <v>69</v>
      </c>
      <c r="H156" s="21" t="s">
        <v>565</v>
      </c>
      <c r="I156" s="13">
        <v>43057.004479166666</v>
      </c>
      <c r="J156" s="7">
        <v>1</v>
      </c>
      <c r="K156" s="89" t="str">
        <f t="shared" si="48"/>
        <v>4019/4020</v>
      </c>
      <c r="L156" s="185" t="str">
        <f>VLOOKUP(A156,'Trips&amp;Operators'!$C$1:$G$99911,5,FALSE)</f>
        <v>DAVIDSON DAVID</v>
      </c>
      <c r="M156" s="6">
        <f t="shared" si="49"/>
        <v>2.5023148147738539E-2</v>
      </c>
      <c r="N156" s="7">
        <f t="shared" si="63"/>
        <v>36.033333332743496</v>
      </c>
      <c r="O156" s="7"/>
      <c r="P156" s="7"/>
      <c r="Q156" s="22"/>
      <c r="R156" s="174"/>
      <c r="S156" s="221">
        <f t="shared" si="64"/>
        <v>1</v>
      </c>
      <c r="T156" s="174" t="str">
        <f t="shared" si="50"/>
        <v>NorthBound</v>
      </c>
      <c r="U156" s="198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16" t="str">
        <f t="shared" si="51"/>
        <v>https://d0f6bd738d7f1b3e5a7ca70fe4ff75f0.us-east-1.aws.found.io/app/kibana#/discover/Steve-Slow-Train-Analysis-(2080s-and-2083s)?_g=(refreshInterval:(display:Off,pause:!f,section:0,value:0),time:(from:'2017-11-17T22:07:50-0700',mode:absolute,to:'2017-11-18T01:06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56" s="204" t="str">
        <f>IF(AA156&lt;VLOOKUP(AG156,Variables!$AC$3:$AD$8,2,FALSE),"Y","N")</f>
        <v>N</v>
      </c>
      <c r="X156" s="204">
        <f t="shared" si="52"/>
        <v>1</v>
      </c>
      <c r="Y156" s="204">
        <f t="shared" si="65"/>
        <v>5.3999999999999999E-2</v>
      </c>
      <c r="Z156" s="204">
        <f t="shared" si="66"/>
        <v>23.3291</v>
      </c>
      <c r="AA156" s="204">
        <f t="shared" si="53"/>
        <v>23.275100000000002</v>
      </c>
      <c r="AB156" s="54" t="e">
        <f>VLOOKUP(A156,Enforcements!$C$7:$K$9,8,0)</f>
        <v>#N/A</v>
      </c>
      <c r="AC156" s="51" t="e">
        <f>VLOOKUP(A156,Enforcements!$C$7:$E$9,3,0)</f>
        <v>#N/A</v>
      </c>
      <c r="AD156" s="179">
        <f t="shared" si="54"/>
        <v>239</v>
      </c>
      <c r="AE156" s="77" t="str">
        <f t="shared" si="55"/>
        <v>aws s3 cp s3://rtdc.mdm.uploadarchive.raw/RTDC4020/ "%USERPROFILE%\AppData\Local\Temp\OnboardLogs"\RTDC4020\2017-11-17 --exclude "*" --recursive --include "*20171117*" &amp; "%USERPROFILE%\Documents\GitHub\mrs-test-scripts\Headless Mode &amp; Sideloading\WalkAndUnGZ.bat" "%USERPROFILE%\AppData\Local\Temp\OnboardLogs"\RTDC4020\2017-11-17 &amp; aws s3 cp s3://rtdc.mdm.uploadarchive.raw/RTDC4020/ "%USERPROFILE%\AppData\Local\Temp\OnboardLogs"\RTDC4020\2017-11-18 --exclude "*" --recursive --include "*20171118*" &amp; "%USERPROFILE%\Documents\GitHub\mrs-test-scripts\Headless Mode &amp; Sideloading\WalkAndUnGZ.bat" "%USERPROFILE%\AppData\Local\Temp\OnboardLogs"\RTDC4020\2017-11-18</v>
      </c>
      <c r="AF156" s="74" t="str">
        <f t="shared" si="56"/>
        <v>"C:\Program Files (x86)\AstroGrep\AstroGrep.exe" /e /r /s /spath="%USERPROFILE%\AppData\Local\Temp\OnboardLogs" /stypes="app*4020*20171118*" /stext=" 07:.+((SYSTEM_STATE.+slice.+state.+changed )|(ment ac)|(multiple cpu faults)|(system.+state.+changed )|(\[timeout)|(PRM\|1\|D)|(kpr)|(kdp)|(train st.+moving)|(\|lc)|(penalty))"</v>
      </c>
      <c r="AG156" s="182" t="str">
        <f t="shared" si="57"/>
        <v>EC</v>
      </c>
      <c r="AH156" s="78" t="str">
        <f t="shared" si="58"/>
        <v>"%USERPROFILE%\Documents\GitHub\eaglep3\Utilities\RefineRTDCRunTimes.py" --tripid 239-17 --locoid 4020 --swversion DE.1.0.9.0 --startMP 204:540 --initTime 2017-11-17T23:07:50 --startdatetime 2017-11-17T23:30:25 --delay 69 --endMP 204:233291 --enddatetime 2017-11-18T00:06:27 --enforcementcount 1 &gt;&gt;%USERPROFILE%\Documents\GitHub\eaglep3-reporting\EC\2017-11-17-refined-times.txt</v>
      </c>
      <c r="AI156" s="96" t="str">
        <f t="shared" si="59"/>
        <v>echo {"issue":{"subject":"","project_id":79,"tracker_id":40,"status_id":1,"priority_id":2,"assigned_to_id":338,"start_date":"2017-11-18","description":"","custom_fields":[{"id":1,"name":"Subdivision","value":"EC"},{"id":4,"name":"Milepost","value":"23.3291"},{"id":17,"name":"Train ID","value":"239-17"},{"id":16,"name":"Locomotive ID","value":"4020"},{"id":130,"name":"Impact","value":""},{"id":150,"name":"Time of Event (Mountain Time)","value":"00:06:27"},{"id":151,"name":"Denver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6" s="47"/>
      <c r="AL156" s="47"/>
      <c r="AM156" s="142" t="str">
        <f t="shared" si="60"/>
        <v>start /low /b %USERPROFILE%\Documents\GitHub\eaglep3\Utilities\DownloadLogsFromS3.py --loco 4020 --day 2017-11-17</v>
      </c>
      <c r="AN156" s="151" t="str">
        <f t="shared" si="61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07:06:27"},{"id":29,"name":"Sharepoint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168" t="str">
        <f t="shared" si="62"/>
        <v>https://d0f6bd738d7f1b3e5a7ca70fe4ff75f0.us-east-1.aws.found.io/app/kibana#/discover/Steve-Slow-Train-Analysis-(2080s-and-2083s)?_g=(refreshInterval:(display:Off,pause:!f,section:0,value:0),time:(from:'2017-11-17T22:07:50-0700',mode:absolute,to:'2017-11-18T01:06:27-0700'))&amp;_a=(columns:!('Message%20ID',Summary),filters:!(),index:'emp_*',interval:auto,query:(query_string:(analyze_wildcard:!t,query:'%22rtdc.l.rtdc.4020%22')),sort:!(Time.ISO8601,asc))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3">
      <c r="A157" s="32" t="s">
        <v>886</v>
      </c>
      <c r="B157" s="7">
        <v>4019</v>
      </c>
      <c r="C157" s="21" t="s">
        <v>192</v>
      </c>
      <c r="D157" s="21" t="s">
        <v>1014</v>
      </c>
      <c r="E157" s="13">
        <v>43057.006863425922</v>
      </c>
      <c r="F157" s="13">
        <v>43057.018958333334</v>
      </c>
      <c r="G157" s="7">
        <v>83</v>
      </c>
      <c r="H157" s="21" t="s">
        <v>468</v>
      </c>
      <c r="I157" s="13">
        <v>43057.045659722222</v>
      </c>
      <c r="J157" s="7">
        <v>1</v>
      </c>
      <c r="K157" s="89" t="str">
        <f t="shared" si="48"/>
        <v>4019/4020</v>
      </c>
      <c r="L157" s="185" t="str">
        <f>VLOOKUP(A157,'Trips&amp;Operators'!$C$1:$G$99911,5,FALSE)</f>
        <v>DAVIDSON DAVID</v>
      </c>
      <c r="M157" s="6">
        <f t="shared" si="49"/>
        <v>2.6701388887886424E-2</v>
      </c>
      <c r="N157" s="7">
        <f t="shared" si="63"/>
        <v>38.44999999855645</v>
      </c>
      <c r="O157" s="7"/>
      <c r="P157" s="7"/>
      <c r="Q157" s="22"/>
      <c r="R157" s="174"/>
      <c r="S157" s="221">
        <f t="shared" si="64"/>
        <v>1</v>
      </c>
      <c r="T157" s="174" t="str">
        <f t="shared" si="50"/>
        <v>Southbound</v>
      </c>
      <c r="U157" s="198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16" t="str">
        <f t="shared" si="51"/>
        <v>https://d0f6bd738d7f1b3e5a7ca70fe4ff75f0.us-east-1.aws.found.io/app/kibana#/discover/Steve-Slow-Train-Analysis-(2080s-and-2083s)?_g=(refreshInterval:(display:Off,pause:!f,section:0,value:0),time:(from:'2017-11-17T23:09:53-0700',mode:absolute,to:'2017-11-18T02:05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57" s="204" t="str">
        <f>IF(AA157&lt;VLOOKUP(AG157,Variables!$AC$3:$AD$8,2,FALSE),"Y","N")</f>
        <v>N</v>
      </c>
      <c r="X157" s="204">
        <f t="shared" si="52"/>
        <v>1</v>
      </c>
      <c r="Y157" s="204">
        <f t="shared" si="65"/>
        <v>23.297599999999999</v>
      </c>
      <c r="Z157" s="204">
        <f t="shared" si="66"/>
        <v>2.2700000000000001E-2</v>
      </c>
      <c r="AA157" s="204">
        <f t="shared" si="53"/>
        <v>23.274899999999999</v>
      </c>
      <c r="AB157" s="54" t="e">
        <f>VLOOKUP(A157,Enforcements!$C$7:$K$9,8,0)</f>
        <v>#N/A</v>
      </c>
      <c r="AC157" s="51" t="e">
        <f>VLOOKUP(A157,Enforcements!$C$7:$E$9,3,0)</f>
        <v>#N/A</v>
      </c>
      <c r="AD157" s="179">
        <f t="shared" si="54"/>
        <v>240</v>
      </c>
      <c r="AE157" s="77" t="str">
        <f t="shared" si="55"/>
        <v>aws s3 cp s3://rtdc.mdm.uploadarchive.raw/RTDC4019/ "%USERPROFILE%\AppData\Local\Temp\OnboardLogs"\RTDC4019\2017-11-18 --exclude "*" --recursive --include "*20171118*" &amp; "%USERPROFILE%\Documents\GitHub\mrs-test-scripts\Headless Mode &amp; Sideloading\WalkAndUnGZ.bat" "%USERPROFILE%\AppData\Local\Temp\OnboardLogs"\RTDC4019\2017-11-18 &amp; aws s3 cp s3://rtdc.mdm.uploadarchive.raw/RTDC4019/ "%USERPROFILE%\AppData\Local\Temp\OnboardLogs"\RTDC4019\2017-11-19 --exclude "*" --recursive --include "*20171119*" &amp; "%USERPROFILE%\Documents\GitHub\mrs-test-scripts\Headless Mode &amp; Sideloading\WalkAndUnGZ.bat" "%USERPROFILE%\AppData\Local\Temp\OnboardLogs"\RTDC4019\2017-11-19</v>
      </c>
      <c r="AF157" s="74" t="str">
        <f t="shared" si="56"/>
        <v>"C:\Program Files (x86)\AstroGrep\AstroGrep.exe" /e /r /s /spath="%USERPROFILE%\AppData\Local\Temp\OnboardLogs" /stypes="app*4019*20171118*" /stext=" 08:.+((SYSTEM_STATE.+slice.+state.+changed )|(ment ac)|(multiple cpu faults)|(system.+state.+changed )|(\[timeout)|(PRM\|1\|D)|(kpr)|(kdp)|(train st.+moving)|(\|lc)|(penalty))"</v>
      </c>
      <c r="AG157" s="182" t="str">
        <f t="shared" si="57"/>
        <v>EC</v>
      </c>
      <c r="AH157" s="78" t="str">
        <f t="shared" si="58"/>
        <v>"%USERPROFILE%\Documents\GitHub\eaglep3\Utilities\RefineRTDCRunTimes.py" --tripid 240-17 --locoid 4019 --swversion DE.1.0.9.0 --startMP 204:232976 --initTime 2017-11-18T00:09:53 --startdatetime 2017-11-18T00:27:18 --delay 83 --endMP 204:227 --enddatetime 2017-11-18T01:05:45 --enforcementcount 1 &gt;&gt;%USERPROFILE%\Documents\GitHub\eaglep3-reporting\EC\2017-11-17-refined-times.txt</v>
      </c>
      <c r="AI157" s="96" t="str">
        <f t="shared" si="59"/>
        <v>echo {"issue":{"subject":"","project_id":79,"tracker_id":40,"status_id":1,"priority_id":2,"assigned_to_id":338,"start_date":"2017-11-18","description":"","custom_fields":[{"id":1,"name":"Subdivision","value":"EC"},{"id":4,"name":"Milepost","value":"0.0227"},{"id":17,"name":"Train ID","value":"240-17"},{"id":16,"name":"Locomotive ID","value":"4019"},{"id":130,"name":"Impact","value":""},{"id":150,"name":"Time of Event (Mountain Time)","value":"01:05:45"},{"id":151,"name":"Denver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7" s="47"/>
      <c r="AL157" s="47"/>
      <c r="AM157" s="142" t="str">
        <f t="shared" si="60"/>
        <v>start /low /b %USERPROFILE%\Documents\GitHub\eaglep3\Utilities\DownloadLogsFromS3.py --loco 4019 --day 2017-11-18</v>
      </c>
      <c r="AN157" s="151" t="str">
        <f t="shared" si="61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08:05:45"},{"id":29,"name":"Sharepoint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168" t="str">
        <f t="shared" si="62"/>
        <v>https://d0f6bd738d7f1b3e5a7ca70fe4ff75f0.us-east-1.aws.found.io/app/kibana#/discover/Steve-Slow-Train-Analysis-(2080s-and-2083s)?_g=(refreshInterval:(display:Off,pause:!f,section:0,value:0),time:(from:'2017-11-17T23:09:53-0700',mode:absolute,to:'2017-11-18T02:05:45-0700'))&amp;_a=(columns:!('Message%20ID',Summary),filters:!(),index:'emp_*',interval:auto,query:(query_string:(analyze_wildcard:!t,query:'%22rtdc.l.rtdc.4019%22')),sort:!(Time.ISO8601,asc))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3">
      <c r="A158" s="32" t="s">
        <v>884</v>
      </c>
      <c r="B158" s="7">
        <v>4036</v>
      </c>
      <c r="C158" s="21" t="s">
        <v>192</v>
      </c>
      <c r="D158" s="21" t="s">
        <v>587</v>
      </c>
      <c r="E158" s="13">
        <v>43056.986678240741</v>
      </c>
      <c r="F158" s="13">
        <v>43057.000231481485</v>
      </c>
      <c r="G158" s="7">
        <v>69</v>
      </c>
      <c r="H158" s="21" t="s">
        <v>959</v>
      </c>
      <c r="I158" s="13">
        <v>43057.025370370371</v>
      </c>
      <c r="J158" s="7">
        <v>1</v>
      </c>
      <c r="K158" s="89" t="str">
        <f t="shared" si="48"/>
        <v>4035/4036</v>
      </c>
      <c r="L158" s="185" t="str">
        <f>VLOOKUP(A158,'Trips&amp;Operators'!$C$1:$G$99911,5,FALSE)</f>
        <v>NICHOLSON WESLEY</v>
      </c>
      <c r="M158" s="6">
        <f t="shared" si="49"/>
        <v>2.5138888886431232E-2</v>
      </c>
      <c r="N158" s="7">
        <f t="shared" si="63"/>
        <v>36.199999996460974</v>
      </c>
      <c r="O158" s="7"/>
      <c r="P158" s="7"/>
      <c r="Q158" s="22"/>
      <c r="R158" s="174"/>
      <c r="S158" s="221">
        <f t="shared" si="64"/>
        <v>1</v>
      </c>
      <c r="T158" s="174" t="str">
        <f t="shared" si="50"/>
        <v>NorthBound</v>
      </c>
      <c r="U158" s="198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216" t="str">
        <f t="shared" si="51"/>
        <v>https://d0f6bd738d7f1b3e5a7ca70fe4ff75f0.us-east-1.aws.found.io/app/kibana#/discover/Steve-Slow-Train-Analysis-(2080s-and-2083s)?_g=(refreshInterval:(display:Off,pause:!f,section:0,value:0),time:(from:'2017-11-17T22:40:49-0700',mode:absolute,to:'2017-11-18T01:36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58" s="204" t="str">
        <f>IF(AA158&lt;VLOOKUP(AG158,Variables!$AC$3:$AD$8,2,FALSE),"Y","N")</f>
        <v>N</v>
      </c>
      <c r="X158" s="204">
        <f t="shared" si="52"/>
        <v>1</v>
      </c>
      <c r="Y158" s="204">
        <f t="shared" si="65"/>
        <v>5.3900000000000003E-2</v>
      </c>
      <c r="Z158" s="204">
        <f t="shared" si="66"/>
        <v>23.319299999999998</v>
      </c>
      <c r="AA158" s="204">
        <f t="shared" si="53"/>
        <v>23.2654</v>
      </c>
      <c r="AB158" s="54" t="e">
        <f>VLOOKUP(A158,Enforcements!$C$7:$K$9,8,0)</f>
        <v>#N/A</v>
      </c>
      <c r="AC158" s="51" t="e">
        <f>VLOOKUP(A158,Enforcements!$C$7:$E$9,3,0)</f>
        <v>#N/A</v>
      </c>
      <c r="AD158" s="179">
        <f t="shared" si="54"/>
        <v>241</v>
      </c>
      <c r="AE158" s="77" t="str">
        <f t="shared" si="55"/>
        <v>aws s3 cp s3://rtdc.mdm.uploadarchive.raw/RTDC4036/ "%USERPROFILE%\AppData\Local\Temp\OnboardLogs"\RTDC4036\2017-11-18 --exclude "*" --recursive --include "*20171118*" &amp; "%USERPROFILE%\Documents\GitHub\mrs-test-scripts\Headless Mode &amp; Sideloading\WalkAndUnGZ.bat" "%USERPROFILE%\AppData\Local\Temp\OnboardLogs"\RTDC4036\2017-11-18 &amp; aws s3 cp s3://rtdc.mdm.uploadarchive.raw/RTDC4036/ "%USERPROFILE%\AppData\Local\Temp\OnboardLogs"\RTDC4036\2017-11-19 --exclude "*" --recursive --include "*20171119*" &amp; "%USERPROFILE%\Documents\GitHub\mrs-test-scripts\Headless Mode &amp; Sideloading\WalkAndUnGZ.bat" "%USERPROFILE%\AppData\Local\Temp\OnboardLogs"\RTDC4036\2017-11-19</v>
      </c>
      <c r="AF158" s="74" t="str">
        <f t="shared" si="56"/>
        <v>"C:\Program Files (x86)\AstroGrep\AstroGrep.exe" /e /r /s /spath="%USERPROFILE%\AppData\Local\Temp\OnboardLogs" /stypes="app*4036*20171118*" /stext=" 07:.+((SYSTEM_STATE.+slice.+state.+changed )|(ment ac)|(multiple cpu faults)|(system.+state.+changed )|(\[timeout)|(PRM\|1\|D)|(kpr)|(kdp)|(train st.+moving)|(\|lc)|(penalty))"</v>
      </c>
      <c r="AG158" s="182" t="str">
        <f t="shared" si="57"/>
        <v>EC</v>
      </c>
      <c r="AH158" s="78" t="str">
        <f t="shared" si="58"/>
        <v>"%USERPROFILE%\Documents\GitHub\eaglep3\Utilities\RefineRTDCRunTimes.py" --tripid 241-17 --locoid 4036 --swversion DE.1.0.9.0 --startMP 204:539 --initTime 2017-11-17T23:40:49 --startdatetime 2017-11-18T00:00:20 --delay 69 --endMP 204:233193 --enddatetime 2017-11-18T00:36:32 --enforcementcount 1 &gt;&gt;%USERPROFILE%\Documents\GitHub\eaglep3-reporting\EC\2017-11-17-refined-times.txt</v>
      </c>
      <c r="AI158" s="96" t="str">
        <f t="shared" si="59"/>
        <v>echo {"issue":{"subject":"","project_id":79,"tracker_id":40,"status_id":1,"priority_id":2,"assigned_to_id":338,"start_date":"2017-11-18","description":"","custom_fields":[{"id":1,"name":"Subdivision","value":"EC"},{"id":4,"name":"Milepost","value":"23.3193"},{"id":17,"name":"Train ID","value":"241-17"},{"id":16,"name":"Locomotive ID","value":"4036"},{"id":130,"name":"Impact","value":""},{"id":150,"name":"Time of Event (Mountain Time)","value":"00:36:32"},{"id":151,"name":"Denver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8" s="47"/>
      <c r="AL158" s="47"/>
      <c r="AM158" s="142" t="str">
        <f t="shared" si="60"/>
        <v>start /low /b %USERPROFILE%\Documents\GitHub\eaglep3\Utilities\DownloadLogsFromS3.py --loco 4036 --day 2017-11-18</v>
      </c>
      <c r="AN158" s="151" t="str">
        <f t="shared" si="61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07:36:32"},{"id":29,"name":"Sharepoint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168" t="str">
        <f t="shared" si="62"/>
        <v>https://d0f6bd738d7f1b3e5a7ca70fe4ff75f0.us-east-1.aws.found.io/app/kibana#/discover/Steve-Slow-Train-Analysis-(2080s-and-2083s)?_g=(refreshInterval:(display:Off,pause:!f,section:0,value:0),time:(from:'2017-11-17T22:40:49-0700',mode:absolute,to:'2017-11-18T01:36:32-0700'))&amp;_a=(columns:!('Message%20ID',Summary),filters:!(),index:'emp_*',interval:auto,query:(query_string:(analyze_wildcard:!t,query:'%22rtdc.l.rtdc.4036%22')),sort:!(Time.ISO8601,asc))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3">
      <c r="A159" s="32" t="s">
        <v>888</v>
      </c>
      <c r="B159" s="7">
        <v>4035</v>
      </c>
      <c r="C159" s="21" t="s">
        <v>192</v>
      </c>
      <c r="D159" s="21" t="s">
        <v>1015</v>
      </c>
      <c r="E159" s="13">
        <v>43057.034016203703</v>
      </c>
      <c r="F159" s="13">
        <v>43057.040219907409</v>
      </c>
      <c r="G159" s="7">
        <v>69</v>
      </c>
      <c r="H159" s="21" t="s">
        <v>939</v>
      </c>
      <c r="I159" s="13">
        <v>43057.067164351851</v>
      </c>
      <c r="J159" s="7">
        <v>1</v>
      </c>
      <c r="K159" s="89" t="str">
        <f t="shared" si="48"/>
        <v>4035/4036</v>
      </c>
      <c r="L159" s="185" t="str">
        <f>VLOOKUP(A159,'Trips&amp;Operators'!$C$1:$G$99911,5,FALSE)</f>
        <v>NICHOLSON WESLEY</v>
      </c>
      <c r="M159" s="6">
        <f t="shared" si="49"/>
        <v>2.6944444442051463E-2</v>
      </c>
      <c r="N159" s="7">
        <f t="shared" si="63"/>
        <v>38.799999996554106</v>
      </c>
      <c r="O159" s="7"/>
      <c r="P159" s="7"/>
      <c r="Q159" s="22"/>
      <c r="R159" s="174"/>
      <c r="S159" s="221">
        <f t="shared" si="64"/>
        <v>1</v>
      </c>
      <c r="T159" s="174" t="str">
        <f t="shared" si="50"/>
        <v>Southbound</v>
      </c>
      <c r="U159" s="198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216" t="str">
        <f t="shared" si="51"/>
        <v>https://d0f6bd738d7f1b3e5a7ca70fe4ff75f0.us-east-1.aws.found.io/app/kibana#/discover/Steve-Slow-Train-Analysis-(2080s-and-2083s)?_g=(refreshInterval:(display:Off,pause:!f,section:0,value:0),time:(from:'2017-11-17T23:48:59-0700',mode:absolute,to:'2017-11-18T02:36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59" s="204" t="str">
        <f>IF(AA159&lt;VLOOKUP(AG159,Variables!$AC$3:$AD$8,2,FALSE),"Y","N")</f>
        <v>N</v>
      </c>
      <c r="X159" s="204">
        <f t="shared" si="52"/>
        <v>1</v>
      </c>
      <c r="Y159" s="204">
        <f t="shared" si="65"/>
        <v>23.288499999999999</v>
      </c>
      <c r="Z159" s="204">
        <f t="shared" si="66"/>
        <v>2.1600000000000001E-2</v>
      </c>
      <c r="AA159" s="204">
        <f t="shared" si="53"/>
        <v>23.2669</v>
      </c>
      <c r="AB159" s="54" t="e">
        <f>VLOOKUP(A159,Enforcements!$C$7:$K$9,8,0)</f>
        <v>#N/A</v>
      </c>
      <c r="AC159" s="51" t="e">
        <f>VLOOKUP(A159,Enforcements!$C$7:$E$9,3,0)</f>
        <v>#N/A</v>
      </c>
      <c r="AD159" s="179">
        <f t="shared" si="54"/>
        <v>242</v>
      </c>
      <c r="AE159" s="77" t="str">
        <f t="shared" si="55"/>
        <v>aws s3 cp s3://rtdc.mdm.uploadarchive.raw/RTDC4035/ "%USERPROFILE%\AppData\Local\Temp\OnboardLogs"\RTDC4035\2017-11-18 --exclude "*" --recursive --include "*20171118*" &amp; "%USERPROFILE%\Documents\GitHub\mrs-test-scripts\Headless Mode &amp; Sideloading\WalkAndUnGZ.bat" "%USERPROFILE%\AppData\Local\Temp\OnboardLogs"\RTDC4035\2017-11-18 &amp; aws s3 cp s3://rtdc.mdm.uploadarchive.raw/RTDC4035/ "%USERPROFILE%\AppData\Local\Temp\OnboardLogs"\RTDC4035\2017-11-19 --exclude "*" --recursive --include "*20171119*" &amp; "%USERPROFILE%\Documents\GitHub\mrs-test-scripts\Headless Mode &amp; Sideloading\WalkAndUnGZ.bat" "%USERPROFILE%\AppData\Local\Temp\OnboardLogs"\RTDC4035\2017-11-19</v>
      </c>
      <c r="AF159" s="74" t="str">
        <f t="shared" si="56"/>
        <v>"C:\Program Files (x86)\AstroGrep\AstroGrep.exe" /e /r /s /spath="%USERPROFILE%\AppData\Local\Temp\OnboardLogs" /stypes="app*4035*20171118*" /stext=" 08:.+((SYSTEM_STATE.+slice.+state.+changed )|(ment ac)|(multiple cpu faults)|(system.+state.+changed )|(\[timeout)|(PRM\|1\|D)|(kpr)|(kdp)|(train st.+moving)|(\|lc)|(penalty))"</v>
      </c>
      <c r="AG159" s="182" t="str">
        <f t="shared" si="57"/>
        <v>EC</v>
      </c>
      <c r="AH159" s="78" t="str">
        <f t="shared" si="58"/>
        <v>"%USERPROFILE%\Documents\GitHub\eaglep3\Utilities\RefineRTDCRunTimes.py" --tripid 242-17 --locoid 4035 --swversion DE.1.0.9.0 --startMP 204:232885 --initTime 2017-11-18T00:48:59 --startdatetime 2017-11-18T00:57:55 --delay 69 --endMP 204:216 --enddatetime 2017-11-18T01:36:43 --enforcementcount 1 &gt;&gt;%USERPROFILE%\Documents\GitHub\eaglep3-reporting\EC\2017-11-17-refined-times.txt</v>
      </c>
      <c r="AI159" s="96" t="str">
        <f t="shared" si="59"/>
        <v>echo {"issue":{"subject":"","project_id":79,"tracker_id":40,"status_id":1,"priority_id":2,"assigned_to_id":338,"start_date":"2017-11-18","description":"","custom_fields":[{"id":1,"name":"Subdivision","value":"EC"},{"id":4,"name":"Milepost","value":"0.0216"},{"id":17,"name":"Train ID","value":"242-17"},{"id":16,"name":"Locomotive ID","value":"4035"},{"id":130,"name":"Impact","value":""},{"id":150,"name":"Time of Event (Mountain Time)","value":"01:36:43"},{"id":151,"name":"Denver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9" s="47"/>
      <c r="AL159" s="47"/>
      <c r="AM159" s="142" t="str">
        <f t="shared" si="60"/>
        <v>start /low /b %USERPROFILE%\Documents\GitHub\eaglep3\Utilities\DownloadLogsFromS3.py --loco 4035 --day 2017-11-18</v>
      </c>
      <c r="AN159" s="151" t="str">
        <f t="shared" si="61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08:36:43"},{"id":29,"name":"Sharepoint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168" t="str">
        <f t="shared" si="62"/>
        <v>https://d0f6bd738d7f1b3e5a7ca70fe4ff75f0.us-east-1.aws.found.io/app/kibana#/discover/Steve-Slow-Train-Analysis-(2080s-and-2083s)?_g=(refreshInterval:(display:Off,pause:!f,section:0,value:0),time:(from:'2017-11-17T23:48:59-0700',mode:absolute,to:'2017-11-18T02:36:43-0700'))&amp;_a=(columns:!('Message%20ID',Summary),filters:!(),index:'emp_*',interval:auto,query:(query_string:(analyze_wildcard:!t,query:'%22rtdc.l.rtdc.4035%22')),sort:!(Time.ISO8601,asc))</v>
      </c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3">
      <c r="A160" s="32" t="s">
        <v>887</v>
      </c>
      <c r="B160" s="7">
        <v>4042</v>
      </c>
      <c r="C160" s="21" t="s">
        <v>192</v>
      </c>
      <c r="D160" s="21" t="s">
        <v>541</v>
      </c>
      <c r="E160" s="13">
        <v>43057.007418981484</v>
      </c>
      <c r="F160" s="13">
        <v>43057.020995370367</v>
      </c>
      <c r="G160" s="7">
        <v>65</v>
      </c>
      <c r="H160" s="21" t="s">
        <v>461</v>
      </c>
      <c r="I160" s="13">
        <v>43057.045092592591</v>
      </c>
      <c r="J160" s="7">
        <v>1</v>
      </c>
      <c r="K160" s="89" t="str">
        <f t="shared" si="48"/>
        <v>4041/4042</v>
      </c>
      <c r="L160" s="185" t="str">
        <f>VLOOKUP(A160,'Trips&amp;Operators'!$C$1:$G$99911,5,FALSE)</f>
        <v>ELBAUM MIKE</v>
      </c>
      <c r="M160" s="6">
        <f t="shared" si="49"/>
        <v>2.4097222223645076E-2</v>
      </c>
      <c r="N160" s="7">
        <f t="shared" si="63"/>
        <v>34.70000000204891</v>
      </c>
      <c r="O160" s="7"/>
      <c r="P160" s="7"/>
      <c r="Q160" s="22"/>
      <c r="R160" s="174"/>
      <c r="S160" s="221">
        <f t="shared" si="64"/>
        <v>1</v>
      </c>
      <c r="T160" s="174" t="str">
        <f t="shared" si="50"/>
        <v>NorthBound</v>
      </c>
      <c r="U160" s="198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216" t="str">
        <f t="shared" si="51"/>
        <v>https://d0f6bd738d7f1b3e5a7ca70fe4ff75f0.us-east-1.aws.found.io/app/kibana#/discover/Steve-Slow-Train-Analysis-(2080s-and-2083s)?_g=(refreshInterval:(display:Off,pause:!f,section:0,value:0),time:(from:'2017-11-17T23:10:41-0700',mode:absolute,to:'2017-11-18T02:04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60" s="204" t="str">
        <f>IF(AA160&lt;VLOOKUP(AG160,Variables!$AC$3:$AD$8,2,FALSE),"Y","N")</f>
        <v>N</v>
      </c>
      <c r="X160" s="204">
        <f t="shared" si="52"/>
        <v>1</v>
      </c>
      <c r="Y160" s="204">
        <f t="shared" si="65"/>
        <v>5.7299999999999997E-2</v>
      </c>
      <c r="Z160" s="204">
        <f t="shared" si="66"/>
        <v>23.3261</v>
      </c>
      <c r="AA160" s="204">
        <f t="shared" si="53"/>
        <v>23.268799999999999</v>
      </c>
      <c r="AB160" s="54" t="e">
        <f>VLOOKUP(A160,Enforcements!$C$7:$K$9,8,0)</f>
        <v>#N/A</v>
      </c>
      <c r="AC160" s="51" t="e">
        <f>VLOOKUP(A160,Enforcements!$C$7:$E$9,3,0)</f>
        <v>#N/A</v>
      </c>
      <c r="AD160" s="179">
        <f t="shared" si="54"/>
        <v>243</v>
      </c>
      <c r="AE160" s="77" t="str">
        <f t="shared" si="55"/>
        <v>aws s3 cp s3://rtdc.mdm.uploadarchive.raw/RTDC4042/ "%USERPROFILE%\AppData\Local\Temp\OnboardLogs"\RTDC4042\2017-11-18 --exclude "*" --recursive --include "*20171118*" &amp; "%USERPROFILE%\Documents\GitHub\mrs-test-scripts\Headless Mode &amp; Sideloading\WalkAndUnGZ.bat" "%USERPROFILE%\AppData\Local\Temp\OnboardLogs"\RTDC4042\2017-11-18 &amp; aws s3 cp s3://rtdc.mdm.uploadarchive.raw/RTDC4042/ "%USERPROFILE%\AppData\Local\Temp\OnboardLogs"\RTDC4042\2017-11-19 --exclude "*" --recursive --include "*20171119*" &amp; "%USERPROFILE%\Documents\GitHub\mrs-test-scripts\Headless Mode &amp; Sideloading\WalkAndUnGZ.bat" "%USERPROFILE%\AppData\Local\Temp\OnboardLogs"\RTDC4042\2017-11-19</v>
      </c>
      <c r="AF160" s="74" t="str">
        <f t="shared" si="56"/>
        <v>"C:\Program Files (x86)\AstroGrep\AstroGrep.exe" /e /r /s /spath="%USERPROFILE%\AppData\Local\Temp\OnboardLogs" /stypes="app*4042*20171118*" /stext=" 08:.+((SYSTEM_STATE.+slice.+state.+changed )|(ment ac)|(multiple cpu faults)|(system.+state.+changed )|(\[timeout)|(PRM\|1\|D)|(kpr)|(kdp)|(train st.+moving)|(\|lc)|(penalty))"</v>
      </c>
      <c r="AG160" s="182" t="str">
        <f t="shared" si="57"/>
        <v>EC</v>
      </c>
      <c r="AH160" s="78" t="str">
        <f t="shared" si="58"/>
        <v>"%USERPROFILE%\Documents\GitHub\eaglep3\Utilities\RefineRTDCRunTimes.py" --tripid 243-17 --locoid 4042 --swversion DE.1.0.9.0 --startMP 204:573 --initTime 2017-11-18T00:10:41 --startdatetime 2017-11-18T00:30:14 --delay 65 --endMP 204:233261 --enddatetime 2017-11-18T01:04:56 --enforcementcount 1 &gt;&gt;%USERPROFILE%\Documents\GitHub\eaglep3-reporting\EC\2017-11-17-refined-times.txt</v>
      </c>
      <c r="AI160" s="96" t="str">
        <f t="shared" si="59"/>
        <v>echo {"issue":{"subject":"","project_id":79,"tracker_id":40,"status_id":1,"priority_id":2,"assigned_to_id":338,"start_date":"2017-11-18","description":"","custom_fields":[{"id":1,"name":"Subdivision","value":"EC"},{"id":4,"name":"Milepost","value":"23.3261"},{"id":17,"name":"Train ID","value":"243-17"},{"id":16,"name":"Locomotive ID","value":"4042"},{"id":130,"name":"Impact","value":""},{"id":150,"name":"Time of Event (Mountain Time)","value":"01:04:56"},{"id":151,"name":"Denver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0" s="47"/>
      <c r="AL160" s="47"/>
      <c r="AM160" s="142" t="str">
        <f t="shared" si="60"/>
        <v>start /low /b %USERPROFILE%\Documents\GitHub\eaglep3\Utilities\DownloadLogsFromS3.py --loco 4042 --day 2017-11-18</v>
      </c>
      <c r="AN160" s="151" t="str">
        <f t="shared" si="61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08:04:56"},{"id":29,"name":"Sharepoint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168" t="str">
        <f t="shared" si="62"/>
        <v>https://d0f6bd738d7f1b3e5a7ca70fe4ff75f0.us-east-1.aws.found.io/app/kibana#/discover/Steve-Slow-Train-Analysis-(2080s-and-2083s)?_g=(refreshInterval:(display:Off,pause:!f,section:0,value:0),time:(from:'2017-11-17T23:10:41-0700',mode:absolute,to:'2017-11-18T02:04:56-0700'))&amp;_a=(columns:!('Message%20ID',Summary),filters:!(),index:'emp_*',interval:auto,query:(query_string:(analyze_wildcard:!t,query:'%22rtdc.l.rtdc.4042%22')),sort:!(Time.ISO8601,asc))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3">
      <c r="A161" s="32" t="s">
        <v>890</v>
      </c>
      <c r="B161" s="7">
        <v>4041</v>
      </c>
      <c r="C161" s="21" t="s">
        <v>192</v>
      </c>
      <c r="D161" s="21" t="s">
        <v>541</v>
      </c>
      <c r="E161" s="13">
        <v>43057.007418981484</v>
      </c>
      <c r="F161" s="13">
        <v>43057.060567129629</v>
      </c>
      <c r="G161" s="7">
        <v>65</v>
      </c>
      <c r="H161" s="21" t="s">
        <v>461</v>
      </c>
      <c r="I161" s="13">
        <v>43057.085451388892</v>
      </c>
      <c r="J161" s="7">
        <v>1</v>
      </c>
      <c r="K161" s="89" t="str">
        <f t="shared" si="48"/>
        <v>4041/4042</v>
      </c>
      <c r="L161" s="185" t="str">
        <f>VLOOKUP(A161,'Trips&amp;Operators'!$C$1:$G$99911,5,FALSE)</f>
        <v>ELBAUM MIKE</v>
      </c>
      <c r="M161" s="6">
        <f t="shared" si="49"/>
        <v>2.4884259262762498E-2</v>
      </c>
      <c r="N161" s="7">
        <f t="shared" si="63"/>
        <v>35.833333338377997</v>
      </c>
      <c r="O161" s="7"/>
      <c r="P161" s="7"/>
      <c r="Q161" s="22"/>
      <c r="R161" s="174"/>
      <c r="S161" s="221">
        <f t="shared" si="64"/>
        <v>1</v>
      </c>
      <c r="T161" s="174" t="str">
        <f t="shared" si="50"/>
        <v>Southbound</v>
      </c>
      <c r="U161" s="198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12</v>
      </c>
      <c r="V161" s="216" t="str">
        <f t="shared" si="51"/>
        <v>https://d0f6bd738d7f1b3e5a7ca70fe4ff75f0.us-east-1.aws.found.io/app/kibana#/discover/Steve-Slow-Train-Analysis-(2080s-and-2083s)?_g=(refreshInterval:(display:Off,pause:!f,section:0,value:0),time:(from:'2017-11-17T23:10:41-0700',mode:absolute,to:'2017-11-18T03:03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61" s="204" t="str">
        <f>IF(AA161&lt;VLOOKUP(AG161,Variables!$AC$3:$AD$8,2,FALSE),"Y","N")</f>
        <v>N</v>
      </c>
      <c r="X161" s="204">
        <f t="shared" si="52"/>
        <v>1</v>
      </c>
      <c r="Y161" s="204">
        <v>23.288499999999999</v>
      </c>
      <c r="Z161" s="204">
        <v>2.1600000000000001E-2</v>
      </c>
      <c r="AA161" s="204">
        <f t="shared" si="53"/>
        <v>23.2669</v>
      </c>
      <c r="AB161" s="54" t="e">
        <f>VLOOKUP(A161,Enforcements!$C$7:$K$9,8,0)</f>
        <v>#N/A</v>
      </c>
      <c r="AC161" s="51" t="e">
        <f>VLOOKUP(A161,Enforcements!$C$7:$E$9,3,0)</f>
        <v>#N/A</v>
      </c>
      <c r="AD161" s="179">
        <f t="shared" si="54"/>
        <v>244</v>
      </c>
      <c r="AE161" s="77" t="str">
        <f t="shared" si="55"/>
        <v>aws s3 cp s3://rtdc.mdm.uploadarchive.raw/RTDC4041/ "%USERPROFILE%\AppData\Local\Temp\OnboardLogs"\RTDC4041\2017-11-18 --exclude "*" --recursive --include "*20171118*" &amp; "%USERPROFILE%\Documents\GitHub\mrs-test-scripts\Headless Mode &amp; Sideloading\WalkAndUnGZ.bat" "%USERPROFILE%\AppData\Local\Temp\OnboardLogs"\RTDC4041\2017-11-18 &amp; aws s3 cp s3://rtdc.mdm.uploadarchive.raw/RTDC4041/ "%USERPROFILE%\AppData\Local\Temp\OnboardLogs"\RTDC4041\2017-11-19 --exclude "*" --recursive --include "*20171119*" &amp; "%USERPROFILE%\Documents\GitHub\mrs-test-scripts\Headless Mode &amp; Sideloading\WalkAndUnGZ.bat" "%USERPROFILE%\AppData\Local\Temp\OnboardLogs"\RTDC4041\2017-11-19</v>
      </c>
      <c r="AF161" s="74" t="str">
        <f t="shared" si="56"/>
        <v>"C:\Program Files (x86)\AstroGrep\AstroGrep.exe" /e /r /s /spath="%USERPROFILE%\AppData\Local\Temp\OnboardLogs" /stypes="app*4041*20171118*" /stext=" 09:.+((SYSTEM_STATE.+slice.+state.+changed )|(ment ac)|(multiple cpu faults)|(system.+state.+changed )|(\[timeout)|(PRM\|1\|D)|(kpr)|(kdp)|(train st.+moving)|(\|lc)|(penalty))"</v>
      </c>
      <c r="AG161" s="182" t="str">
        <f t="shared" si="57"/>
        <v>EC</v>
      </c>
      <c r="AH161" s="78" t="str">
        <f>refinertdcruntimes&amp;" --tripid "&amp;A161&amp;" --locoid "&amp;B161&amp;" --swversion "&amp;C161&amp;" --startMP "&amp;D161&amp;" --initTime "&amp;TEXT(E161,"yyyy-mm-ddTHH:MM:SS")&amp;" --startdatetime "&amp;TEXT(F161,"yyyy-mm-ddTHH:MM:SS")&amp;" --delay "&amp;G161&amp;" --endMP "&amp;H161&amp;" --enddatetime "&amp;TEXT(I161,"yyyy-mm-ddTHH:MM:SS")&amp;" --enforcementcount "&amp;J161&amp;IF(outputrefinedruntimes," &gt;&gt;"&amp;RefinedRTDCRunTimesOutputFile,"")</f>
        <v>"%USERPROFILE%\Documents\GitHub\eaglep3\Utilities\RefineRTDCRunTimes.py" --tripid 244-17 --locoid 4041 --swversion DE.1.0.9.0 --startMP 204:573 --initTime 2017-11-18T00:10:41 --startdatetime 2017-11-18T01:27:13 --delay 65 --endMP 204:233261 --enddatetime 2017-11-18T02:03:03 --enforcementcount 1 &gt;&gt;%USERPROFILE%\Documents\GitHub\eaglep3-reporting\EC\2017-11-17-refined-times.txt</v>
      </c>
      <c r="AI161" s="96" t="str">
        <f>"echo {""issue"":{""subject"":"""&amp;R161&amp;""",""project_id"":79,""tracker_id"":40,""status_id"":"&amp;redmine_status&amp;",""priority_id"":"&amp;redmine_priority&amp;",""assigned_to_id"":"&amp;redmine_assignee&amp;",""start_date"":"""&amp;TEXT(I161,"YYYY-mm-dd")&amp;""",""description"":"""&amp;AJ161&amp;""",""custom_fields"":[{""id"":1,""name"":""Subdivision"",""value"":"""&amp;AG161&amp;"""},{""id"":4,""name"":""Milepost"",""value"":"""&amp;Z161&amp;"""},{""id"":17,""name"":""Train ID"",""value"":"""&amp;A161&amp;"""},{""id"":16,""name"":""Locomotive ID"",""value"":"""&amp;B161&amp;"""},{""id"":130,""name"":""Impact"",""value"":"""&amp;AK161&amp;"""},{""id"":150,""name"":""Time of Event (Mountain Time)"",""value"":"""&amp;TEXT(I161,"hh:mm:ss")&amp;"""},{""id"":151,""name"":""Denver Issue ID"",""value"":"""&amp;"""},{""id"":178,""name"":""Operational Impact"",""value"":"""&amp;redmine_op_impact&amp;"""},{""id"":179,""name"":""Denver Segment Assigned"",""value"":"""&amp;AL161&amp;"""}]}}"&amp;"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{"issue":{"subject":"","project_id":79,"tracker_id":40,"status_id":1,"priority_id":2,"assigned_to_id":338,"start_date":"2017-11-18","description":"","custom_fields":[{"id":1,"name":"Subdivision","value":"EC"},{"id":4,"name":"Milepost","value":"0.0216"},{"id":17,"name":"Train ID","value":"244-17"},{"id":16,"name":"Locomotive ID","value":"4041"},{"id":130,"name":"Impact","value":""},{"id":150,"name":"Time of Event (Mountain Time)","value":"02:03:03"},{"id":151,"name":"Denver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1" s="47"/>
      <c r="AL161" s="47"/>
      <c r="AM161" s="142" t="str">
        <f>"start /low /b "&amp;dls3logs&amp;" --loco "&amp;B161&amp;" --day "&amp;TEXT(F161,"YYYY-MM-DD")</f>
        <v>start /low /b %USERPROFILE%\Documents\GitHub\eaglep3\Utilities\DownloadLogsFromS3.py --loco 4041 --day 2017-11-18</v>
      </c>
      <c r="AN161" s="151" t="str">
        <f>"echo {""issue"":{""subject"":"""&amp;R161&amp;""",""project_id"":30,""tracker_id"":4,""status_id"":"&amp;redmine_status_wcr&amp;",""priority_id"":"&amp;redmine_priority_wcr&amp;",""assigned_to_id"":"&amp;redmine_assignee_wcr&amp;",""start_date"":"""&amp;TEXT(I161-utc_offset/24,"YYYY-mm-dd")&amp;""",""description"":"""&amp;AJ161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ID"",""value"":"""&amp;B161&amp;"""},{""id"":20,""name"":""RR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UTC"",""value"":"""&amp;TEXT(I161-utc_offset/24,"YYYY-MM-DD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09:03:03"},{"id":29,"name":"Sharepoint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168" t="str">
        <f>"https://d0f6bd738d7f1b3e5a7ca70fe4ff75f0.us-east-1.aws.found.io/app/kibana#/discover/Steve-Slow-Train-Analysis-(2080s-and-2083s)?_g="&amp;"(refreshInterval:(display:Off,pause:!f,section:0,value:0),time:(from:'"&amp;TEXT(E161-1/24,"yyyy-MM-DDThh:mm:ss")&amp;utc_offset&amp;"00"&amp;"',mode:absolute,to:'"&amp;TEXT(I161+1/24,"yyyy-MM-DDThh:mm:ss")&amp;utc_offset&amp;"00"&amp;"'))&amp;_a=(columns:!('Message%20ID',Summary),filters:!(),index:'emp_*',interval:auto,query:"&amp;"(query_string:(analyze_wildcard:!t,query:'%22rtdc.l.rtdc."&amp;B161&amp;"%22')),sort:!(Time.ISO8601,asc))"</f>
        <v>https://d0f6bd738d7f1b3e5a7ca70fe4ff75f0.us-east-1.aws.found.io/app/kibana#/discover/Steve-Slow-Train-Analysis-(2080s-and-2083s)?_g=(refreshInterval:(display:Off,pause:!f,section:0,value:0),time:(from:'2017-11-17T23:10:41-0700',mode:absolute,to:'2017-11-18T03:03:03-0700'))&amp;_a=(columns:!('Message%20ID',Summary),filters:!(),index:'emp_*',interval:auto,query:(query_string:(analyze_wildcard:!t,query:'%22rtdc.l.rtdc.4041%22')),sort:!(Time.ISO8601,asc))</v>
      </c>
    </row>
    <row r="162" spans="1:91" s="20" customFormat="1" x14ac:dyDescent="0.3">
      <c r="A162" s="32" t="s">
        <v>889</v>
      </c>
      <c r="B162" s="7">
        <v>4010</v>
      </c>
      <c r="C162" s="21" t="s">
        <v>192</v>
      </c>
      <c r="D162" s="21" t="s">
        <v>591</v>
      </c>
      <c r="E162" s="13">
        <v>43057.039074074077</v>
      </c>
      <c r="F162" s="13">
        <v>43057.041921296295</v>
      </c>
      <c r="G162" s="7">
        <v>85</v>
      </c>
      <c r="H162" s="21" t="s">
        <v>523</v>
      </c>
      <c r="I162" s="13">
        <v>43057.066516203704</v>
      </c>
      <c r="J162" s="7">
        <v>1</v>
      </c>
      <c r="K162" s="89" t="str">
        <f t="shared" si="48"/>
        <v>4009/4010</v>
      </c>
      <c r="L162" s="185" t="str">
        <f>VLOOKUP(A162,'Trips&amp;Operators'!$C$1:$G$99911,5,FALSE)</f>
        <v>HAMMOND JUSTYNN</v>
      </c>
      <c r="M162" s="6">
        <f t="shared" si="49"/>
        <v>2.4594907408754807E-2</v>
      </c>
      <c r="N162" s="7">
        <f t="shared" si="63"/>
        <v>35.416666668606922</v>
      </c>
      <c r="O162" s="7"/>
      <c r="P162" s="7"/>
      <c r="Q162" s="22"/>
      <c r="R162" s="174"/>
      <c r="S162" s="221">
        <f t="shared" si="64"/>
        <v>1</v>
      </c>
      <c r="T162" s="174" t="str">
        <f t="shared" si="50"/>
        <v>NorthBound</v>
      </c>
      <c r="U162" s="198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12</v>
      </c>
      <c r="V162" s="216" t="str">
        <f t="shared" si="51"/>
        <v>https://d0f6bd738d7f1b3e5a7ca70fe4ff75f0.us-east-1.aws.found.io/app/kibana#/discover/Steve-Slow-Train-Analysis-(2080s-and-2083s)?_g=(refreshInterval:(display:Off,pause:!f,section:0,value:0),time:(from:'2017-11-17T23:56:16-0700',mode:absolute,to:'2017-11-18T02:35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62" s="204" t="str">
        <f>IF(AA162&lt;VLOOKUP(AG162,Variables!$AC$3:$AD$8,2,FALSE),"Y","N")</f>
        <v>N</v>
      </c>
      <c r="X162" s="204">
        <f t="shared" si="52"/>
        <v>1</v>
      </c>
      <c r="Y162" s="204">
        <f t="shared" ref="Y162:Y170" si="67">RIGHT(D162,LEN(D162)-4)/10000</f>
        <v>5.5899999999999998E-2</v>
      </c>
      <c r="Z162" s="204">
        <f t="shared" ref="Z162:Z170" si="68">RIGHT(H162,LEN(H162)-4)/10000</f>
        <v>23.3264</v>
      </c>
      <c r="AA162" s="204">
        <f t="shared" si="53"/>
        <v>23.270499999999998</v>
      </c>
      <c r="AB162" s="54" t="e">
        <f>VLOOKUP(A162,Enforcements!$C$7:$K$9,8,0)</f>
        <v>#N/A</v>
      </c>
      <c r="AC162" s="51" t="e">
        <f>VLOOKUP(A162,Enforcements!$C$7:$E$9,3,0)</f>
        <v>#N/A</v>
      </c>
      <c r="AD162" s="179">
        <f t="shared" si="54"/>
        <v>245</v>
      </c>
      <c r="AE162" s="77" t="str">
        <f t="shared" si="55"/>
        <v>aws s3 cp s3://rtdc.mdm.uploadarchive.raw/RTDC4010/ "%USERPROFILE%\AppData\Local\Temp\OnboardLogs"\RTDC4010\2017-11-18 --exclude "*" --recursive --include "*20171118*" &amp; "%USERPROFILE%\Documents\GitHub\mrs-test-scripts\Headless Mode &amp; Sideloading\WalkAndUnGZ.bat" "%USERPROFILE%\AppData\Local\Temp\OnboardLogs"\RTDC4010\2017-11-18 &amp; aws s3 cp s3://rtdc.mdm.uploadarchive.raw/RTDC4010/ "%USERPROFILE%\AppData\Local\Temp\OnboardLogs"\RTDC4010\2017-11-19 --exclude "*" --recursive --include "*20171119*" &amp; "%USERPROFILE%\Documents\GitHub\mrs-test-scripts\Headless Mode &amp; Sideloading\WalkAndUnGZ.bat" "%USERPROFILE%\AppData\Local\Temp\OnboardLogs"\RTDC4010\2017-11-19</v>
      </c>
      <c r="AF162" s="74" t="str">
        <f t="shared" si="56"/>
        <v>"C:\Program Files (x86)\AstroGrep\AstroGrep.exe" /e /r /s /spath="%USERPROFILE%\AppData\Local\Temp\OnboardLogs" /stypes="app*4010*20171118*" /stext=" 08:.+((SYSTEM_STATE.+slice.+state.+changed )|(ment ac)|(multiple cpu faults)|(system.+state.+changed )|(\[timeout)|(PRM\|1\|D)|(kpr)|(kdp)|(train st.+moving)|(\|lc)|(penalty))"</v>
      </c>
      <c r="AG162" s="182" t="str">
        <f t="shared" si="57"/>
        <v>EC</v>
      </c>
      <c r="AH162" s="78" t="str">
        <f t="shared" si="58"/>
        <v>"%USERPROFILE%\Documents\GitHub\eaglep3\Utilities\RefineRTDCRunTimes.py" --tripid 245-17 --locoid 4010 --swversion DE.1.0.9.0 --startMP 204:559 --initTime 2017-11-18T00:56:16 --startdatetime 2017-11-18T01:00:22 --delay 85 --endMP 204:233264 --enddatetime 2017-11-18T01:35:47 --enforcementcount 1 &gt;&gt;%USERPROFILE%\Documents\GitHub\eaglep3-reporting\EC\2017-11-17-refined-times.txt</v>
      </c>
      <c r="AI162" s="96" t="str">
        <f t="shared" si="59"/>
        <v>echo {"issue":{"subject":"","project_id":79,"tracker_id":40,"status_id":1,"priority_id":2,"assigned_to_id":338,"start_date":"2017-11-18","description":"","custom_fields":[{"id":1,"name":"Subdivision","value":"EC"},{"id":4,"name":"Milepost","value":"23.3264"},{"id":17,"name":"Train ID","value":"245-17"},{"id":16,"name":"Locomotive ID","value":"4010"},{"id":130,"name":"Impact","value":""},{"id":150,"name":"Time of Event (Mountain Time)","value":"01:35:47"},{"id":151,"name":"Denver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2" s="47"/>
      <c r="AL162" s="47"/>
      <c r="AM162" s="142" t="str">
        <f t="shared" si="60"/>
        <v>start /low /b %USERPROFILE%\Documents\GitHub\eaglep3\Utilities\DownloadLogsFromS3.py --loco 4010 --day 2017-11-18</v>
      </c>
      <c r="AN162" s="151" t="str">
        <f t="shared" si="61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08:35:47"},{"id":29,"name":"Sharepoint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168" t="str">
        <f t="shared" si="62"/>
        <v>https://d0f6bd738d7f1b3e5a7ca70fe4ff75f0.us-east-1.aws.found.io/app/kibana#/discover/Steve-Slow-Train-Analysis-(2080s-and-2083s)?_g=(refreshInterval:(display:Off,pause:!f,section:0,value:0),time:(from:'2017-11-17T23:56:16-0700',mode:absolute,to:'2017-11-18T02:35:47-0700'))&amp;_a=(columns:!('Message%20ID',Summary),filters:!(),index:'emp_*',interval:auto,query:(query_string:(analyze_wildcard:!t,query:'%22rtdc.l.rtdc.4010%22')),sort:!(Time.ISO8601,asc))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3">
      <c r="A163" s="32" t="s">
        <v>891</v>
      </c>
      <c r="B163" s="7">
        <v>4009</v>
      </c>
      <c r="C163" s="21" t="s">
        <v>192</v>
      </c>
      <c r="D163" s="21" t="s">
        <v>1016</v>
      </c>
      <c r="E163" s="13">
        <v>43057.068541666667</v>
      </c>
      <c r="F163" s="13">
        <v>43057.081597222219</v>
      </c>
      <c r="G163" s="7">
        <v>135</v>
      </c>
      <c r="H163" s="21" t="s">
        <v>468</v>
      </c>
      <c r="I163" s="13">
        <v>43057.10732638889</v>
      </c>
      <c r="J163" s="7">
        <v>1</v>
      </c>
      <c r="K163" s="89" t="str">
        <f t="shared" si="48"/>
        <v>4009/4010</v>
      </c>
      <c r="L163" s="185" t="str">
        <f>VLOOKUP(A163,'Trips&amp;Operators'!$C$1:$G$99911,5,FALSE)</f>
        <v>ANDERS STEVEN</v>
      </c>
      <c r="M163" s="6">
        <f t="shared" si="49"/>
        <v>2.5729166671226267E-2</v>
      </c>
      <c r="N163" s="7">
        <f t="shared" si="63"/>
        <v>37.050000006565824</v>
      </c>
      <c r="O163" s="7"/>
      <c r="P163" s="7"/>
      <c r="Q163" s="22"/>
      <c r="R163" s="174"/>
      <c r="S163" s="221">
        <f t="shared" si="64"/>
        <v>1</v>
      </c>
      <c r="T163" s="174" t="str">
        <f t="shared" si="50"/>
        <v>Southbound</v>
      </c>
      <c r="U163" s="198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12</v>
      </c>
      <c r="V163" s="216" t="str">
        <f t="shared" si="51"/>
        <v>https://d0f6bd738d7f1b3e5a7ca70fe4ff75f0.us-east-1.aws.found.io/app/kibana#/discover/Steve-Slow-Train-Analysis-(2080s-and-2083s)?_g=(refreshInterval:(display:Off,pause:!f,section:0,value:0),time:(from:'2017-11-18T00:38:42-0700',mode:absolute,to:'2017-11-18T03:34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63" s="204" t="str">
        <f>IF(AA163&lt;VLOOKUP(AG163,Variables!$AC$3:$AD$8,2,FALSE),"Y","N")</f>
        <v>N</v>
      </c>
      <c r="X163" s="204">
        <f t="shared" si="52"/>
        <v>1</v>
      </c>
      <c r="Y163" s="204">
        <f t="shared" si="67"/>
        <v>23.294699999999999</v>
      </c>
      <c r="Z163" s="204">
        <f t="shared" si="68"/>
        <v>2.2700000000000001E-2</v>
      </c>
      <c r="AA163" s="204">
        <f t="shared" si="53"/>
        <v>23.271999999999998</v>
      </c>
      <c r="AB163" s="54" t="e">
        <f>VLOOKUP(A163,Enforcements!$C$7:$K$9,8,0)</f>
        <v>#N/A</v>
      </c>
      <c r="AC163" s="51" t="e">
        <f>VLOOKUP(A163,Enforcements!$C$7:$E$9,3,0)</f>
        <v>#N/A</v>
      </c>
      <c r="AD163" s="179">
        <f t="shared" si="54"/>
        <v>246</v>
      </c>
      <c r="AE163" s="77" t="str">
        <f t="shared" si="55"/>
        <v>aws s3 cp s3://rtdc.mdm.uploadarchive.raw/RTDC4009/ "%USERPROFILE%\AppData\Local\Temp\OnboardLogs"\RTDC4009\2017-11-18 --exclude "*" --recursive --include "*20171118*" &amp; "%USERPROFILE%\Documents\GitHub\mrs-test-scripts\Headless Mode &amp; Sideloading\WalkAndUnGZ.bat" "%USERPROFILE%\AppData\Local\Temp\OnboardLogs"\RTDC4009\2017-11-18 &amp; aws s3 cp s3://rtdc.mdm.uploadarchive.raw/RTDC4009/ "%USERPROFILE%\AppData\Local\Temp\OnboardLogs"\RTDC4009\2017-11-19 --exclude "*" --recursive --include "*20171119*" &amp; "%USERPROFILE%\Documents\GitHub\mrs-test-scripts\Headless Mode &amp; Sideloading\WalkAndUnGZ.bat" "%USERPROFILE%\AppData\Local\Temp\OnboardLogs"\RTDC4009\2017-11-19</v>
      </c>
      <c r="AF163" s="74" t="str">
        <f t="shared" si="56"/>
        <v>"C:\Program Files (x86)\AstroGrep\AstroGrep.exe" /e /r /s /spath="%USERPROFILE%\AppData\Local\Temp\OnboardLogs" /stypes="app*4009*20171118*" /stext=" 09:.+((SYSTEM_STATE.+slice.+state.+changed )|(ment ac)|(multiple cpu faults)|(system.+state.+changed )|(\[timeout)|(PRM\|1\|D)|(kpr)|(kdp)|(train st.+moving)|(\|lc)|(penalty))"</v>
      </c>
      <c r="AG163" s="182" t="str">
        <f t="shared" si="57"/>
        <v>EC</v>
      </c>
      <c r="AH163" s="78" t="str">
        <f t="shared" si="58"/>
        <v>"%USERPROFILE%\Documents\GitHub\eaglep3\Utilities\RefineRTDCRunTimes.py" --tripid 246-17 --locoid 4009 --swversion DE.1.0.9.0 --startMP 204:232947 --initTime 2017-11-18T01:38:42 --startdatetime 2017-11-18T01:57:30 --delay 135 --endMP 204:227 --enddatetime 2017-11-18T02:34:33 --enforcementcount 1 &gt;&gt;%USERPROFILE%\Documents\GitHub\eaglep3-reporting\EC\2017-11-17-refined-times.txt</v>
      </c>
      <c r="AI163" s="96" t="str">
        <f t="shared" si="59"/>
        <v>echo {"issue":{"subject":"","project_id":79,"tracker_id":40,"status_id":1,"priority_id":2,"assigned_to_id":338,"start_date":"2017-11-18","description":"","custom_fields":[{"id":1,"name":"Subdivision","value":"EC"},{"id":4,"name":"Milepost","value":"0.0227"},{"id":17,"name":"Train ID","value":"246-17"},{"id":16,"name":"Locomotive ID","value":"4009"},{"id":130,"name":"Impact","value":""},{"id":150,"name":"Time of Event (Mountain Time)","value":"02:34:33"},{"id":151,"name":"Denver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3" s="47"/>
      <c r="AL163" s="47"/>
      <c r="AM163" s="142" t="str">
        <f t="shared" si="60"/>
        <v>start /low /b %USERPROFILE%\Documents\GitHub\eaglep3\Utilities\DownloadLogsFromS3.py --loco 4009 --day 2017-11-18</v>
      </c>
      <c r="AN163" s="151" t="str">
        <f t="shared" si="61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09:34:33"},{"id":29,"name":"Sharepoint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168" t="str">
        <f t="shared" si="62"/>
        <v>https://d0f6bd738d7f1b3e5a7ca70fe4ff75f0.us-east-1.aws.found.io/app/kibana#/discover/Steve-Slow-Train-Analysis-(2080s-and-2083s)?_g=(refreshInterval:(display:Off,pause:!f,section:0,value:0),time:(from:'2017-11-18T00:38:42-0700',mode:absolute,to:'2017-11-18T03:34:33-0700'))&amp;_a=(columns:!('Message%20ID',Summary),filters:!(),index:'emp_*',interval:auto,query:(query_string:(analyze_wildcard:!t,query:'%22rtdc.l.rtdc.4009%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3">
      <c r="A164" s="32" t="s">
        <v>673</v>
      </c>
      <c r="B164" s="7">
        <v>4029</v>
      </c>
      <c r="C164" s="21" t="s">
        <v>192</v>
      </c>
      <c r="D164" s="21" t="s">
        <v>532</v>
      </c>
      <c r="E164" s="13">
        <v>43056.206423611111</v>
      </c>
      <c r="F164" s="13">
        <v>43056.217418981483</v>
      </c>
      <c r="G164" s="7">
        <v>86</v>
      </c>
      <c r="H164" s="21" t="s">
        <v>621</v>
      </c>
      <c r="I164" s="13">
        <v>43056.226446759261</v>
      </c>
      <c r="J164" s="7">
        <v>1</v>
      </c>
      <c r="K164" s="89" t="str">
        <f t="shared" si="48"/>
        <v>4029/4030</v>
      </c>
      <c r="L164" s="185" t="str">
        <f>VLOOKUP(A164,'Trips&amp;Operators'!$C$1:$G$99911,5,FALSE)</f>
        <v>WILLIAMS DONTE</v>
      </c>
      <c r="M164" s="6">
        <f t="shared" si="49"/>
        <v>9.0277777781011537E-3</v>
      </c>
      <c r="N164" s="7">
        <f t="shared" si="63"/>
        <v>13.000000000465661</v>
      </c>
      <c r="O164" s="7"/>
      <c r="P164" s="7"/>
      <c r="Q164" s="22"/>
      <c r="R164" s="174"/>
      <c r="S164" s="221">
        <f t="shared" si="64"/>
        <v>1</v>
      </c>
      <c r="T164" s="174" t="str">
        <f t="shared" si="50"/>
        <v>Southbound</v>
      </c>
      <c r="U164" s="198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16" t="str">
        <f t="shared" si="51"/>
        <v>https://d0f6bd738d7f1b3e5a7ca70fe4ff75f0.us-east-1.aws.found.io/app/kibana#/discover/Steve-Slow-Train-Analysis-(2080s-and-2083s)?_g=(refreshInterval:(display:Off,pause:!f,section:0,value:0),time:(from:'2017-11-17T03:57:15-0700',mode:absolute,to:'2017-11-17T06:26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64" s="204" t="str">
        <f>IF(AA164&lt;VLOOKUP(AG164,Variables!$AC$3:$AD$8,2,FALSE),"Y","N")</f>
        <v>N</v>
      </c>
      <c r="X164" s="204">
        <f t="shared" si="52"/>
        <v>554</v>
      </c>
      <c r="Y164" s="204">
        <f t="shared" si="67"/>
        <v>5.8619000000000003</v>
      </c>
      <c r="Z164" s="204">
        <f t="shared" si="68"/>
        <v>7.17E-2</v>
      </c>
      <c r="AA164" s="204">
        <f t="shared" si="53"/>
        <v>5.7902000000000005</v>
      </c>
      <c r="AB164" s="54" t="e">
        <f>VLOOKUP(A164,Enforcements!$C$7:$K$9,8,0)</f>
        <v>#N/A</v>
      </c>
      <c r="AC164" s="51" t="e">
        <f>VLOOKUP(A164,Enforcements!$C$7:$E$9,3,0)</f>
        <v>#N/A</v>
      </c>
      <c r="AD164" s="179">
        <f t="shared" si="54"/>
        <v>800</v>
      </c>
      <c r="AE164" s="77" t="str">
        <f t="shared" si="55"/>
        <v>aws s3 cp s3://rtdc.mdm.uploadarchive.raw/RTDC4029/ "%USERPROFILE%\AppData\Local\Temp\OnboardLogs"\RTDC4029\2017-11-17 --exclude "*" --recursive --include "*20171117*" &amp; "%USERPROFILE%\Documents\GitHub\mrs-test-scripts\Headless Mode &amp; Sideloading\WalkAndUnGZ.bat" "%USERPROFILE%\AppData\Local\Temp\OnboardLogs"\RTDC4029\2017-11-17 &amp; aws s3 cp s3://rtdc.mdm.uploadarchive.raw/RTDC4029/ "%USERPROFILE%\AppData\Local\Temp\OnboardLogs"\RTDC4029\2017-11-18 --exclude "*" --recursive --include "*20171118*" &amp; "%USERPROFILE%\Documents\GitHub\mrs-test-scripts\Headless Mode &amp; Sideloading\WalkAndUnGZ.bat" "%USERPROFILE%\AppData\Local\Temp\OnboardLogs"\RTDC4029\2017-11-18</v>
      </c>
      <c r="AF164" s="74" t="str">
        <f t="shared" si="56"/>
        <v>"C:\Program Files (x86)\AstroGrep\AstroGrep.exe" /e /r /s /spath="%USERPROFILE%\AppData\Local\Temp\OnboardLogs" /stypes="app*4029*20171117*" /stext=" 12:.+((SYSTEM_STATE.+slice.+state.+changed )|(ment ac)|(multiple cpu faults)|(system.+state.+changed )|(\[timeout)|(PRM\|1\|D)|(kpr)|(kdp)|(train st.+moving)|(\|lc)|(penalty))"</v>
      </c>
      <c r="AG164" s="182" t="str">
        <f t="shared" si="57"/>
        <v>NW</v>
      </c>
      <c r="AH164" s="78" t="str">
        <f t="shared" si="58"/>
        <v>"%USERPROFILE%\Documents\GitHub\eaglep3\Utilities\RefineRTDCRunTimes.py" --tripid 800-17 --locoid 4029 --swversion DE.1.0.9.0 --startMP 300:58619 --initTime 2017-11-17T04:57:15 --startdatetime 2017-11-17T05:13:05 --delay 86 --endMP 204:717 --enddatetime 2017-11-17T05:26:05 --enforcementcount 1 &gt;&gt;%USERPROFILE%\Documents\GitHub\eaglep3-reporting\EC\2017-11-17-refined-times.txt</v>
      </c>
      <c r="AI164" s="96" t="str">
        <f t="shared" si="59"/>
        <v>echo {"issue":{"subject":"","project_id":79,"tracker_id":40,"status_id":1,"priority_id":2,"assigned_to_id":338,"start_date":"2017-11-17","description":"","custom_fields":[{"id":1,"name":"Subdivision","value":"NW"},{"id":4,"name":"Milepost","value":"0.0717"},{"id":17,"name":"Train ID","value":"800-17"},{"id":16,"name":"Locomotive ID","value":"4029"},{"id":130,"name":"Impact","value":""},{"id":150,"name":"Time of Event (Mountain Time)","value":"05:26:05"},{"id":151,"name":"Denver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4" s="47"/>
      <c r="AL164" s="47"/>
      <c r="AM164" s="142" t="str">
        <f t="shared" si="60"/>
        <v>start /low /b %USERPROFILE%\Documents\GitHub\eaglep3\Utilities\DownloadLogsFromS3.py --loco 4029 --day 2017-11-17</v>
      </c>
      <c r="AN164" s="151" t="str">
        <f t="shared" si="61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12:26:05"},{"id":29,"name":"Sharepoint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168" t="str">
        <f t="shared" si="62"/>
        <v>https://d0f6bd738d7f1b3e5a7ca70fe4ff75f0.us-east-1.aws.found.io/app/kibana#/discover/Steve-Slow-Train-Analysis-(2080s-and-2083s)?_g=(refreshInterval:(display:Off,pause:!f,section:0,value:0),time:(from:'2017-11-17T03:57:15-0700',mode:absolute,to:'2017-11-17T06:26:05-0700'))&amp;_a=(columns:!('Message%20ID',Summary),filters:!(),index:'emp_*',interval:auto,query:(query_string:(analyze_wildcard:!t,query:'%22rtdc.l.rtdc.4029%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3">
      <c r="A165" s="32" t="s">
        <v>681</v>
      </c>
      <c r="B165" s="7">
        <v>4030</v>
      </c>
      <c r="C165" s="21" t="s">
        <v>192</v>
      </c>
      <c r="D165" s="21" t="s">
        <v>1057</v>
      </c>
      <c r="E165" s="13">
        <v>43056.233368055553</v>
      </c>
      <c r="F165" s="13">
        <v>43056.233368055553</v>
      </c>
      <c r="G165" s="7">
        <v>60</v>
      </c>
      <c r="H165" s="21" t="s">
        <v>1057</v>
      </c>
      <c r="I165" s="13">
        <v>43056.2340625</v>
      </c>
      <c r="J165" s="7">
        <v>1</v>
      </c>
      <c r="K165" s="89" t="str">
        <f t="shared" si="48"/>
        <v>4029/4030</v>
      </c>
      <c r="L165" s="185" t="str">
        <f>VLOOKUP(A165,'Trips&amp;Operators'!$C$1:$G$99911,5,FALSE)</f>
        <v>WILLIAMS DONTE</v>
      </c>
      <c r="M165" s="6">
        <f t="shared" si="49"/>
        <v>6.944444467080757E-4</v>
      </c>
      <c r="N165" s="7"/>
      <c r="O165" s="7"/>
      <c r="P165" s="7">
        <f>24*60*SUM($M165:$M165)</f>
        <v>1.000000003259629</v>
      </c>
      <c r="Q165" s="22"/>
      <c r="R165" s="174" t="s">
        <v>1127</v>
      </c>
      <c r="S165" s="221">
        <f t="shared" si="64"/>
        <v>0</v>
      </c>
      <c r="T165" s="174" t="str">
        <f t="shared" si="50"/>
        <v>NorthBound</v>
      </c>
      <c r="U165" s="198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0</v>
      </c>
      <c r="V165" s="216" t="str">
        <f t="shared" si="51"/>
        <v>https://d0f6bd738d7f1b3e5a7ca70fe4ff75f0.us-east-1.aws.found.io/app/kibana#/discover/Steve-Slow-Train-Analysis-(2080s-and-2083s)?_g=(refreshInterval:(display:Off,pause:!f,section:0,value:0),time:(from:'2017-11-17T04:36:03-0700',mode:absolute,to:'2017-11-17T06:37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65" s="204" t="str">
        <f>IF(AA165&lt;VLOOKUP(AG165,Variables!$AC$3:$AD$8,2,FALSE),"Y","N")</f>
        <v>Y</v>
      </c>
      <c r="X165" s="204">
        <f t="shared" si="52"/>
        <v>1</v>
      </c>
      <c r="Y165" s="204">
        <f t="shared" si="67"/>
        <v>9.9299999999999999E-2</v>
      </c>
      <c r="Z165" s="204">
        <f t="shared" si="68"/>
        <v>9.9299999999999999E-2</v>
      </c>
      <c r="AA165" s="204">
        <f t="shared" si="53"/>
        <v>0</v>
      </c>
      <c r="AB165" s="54" t="e">
        <f>VLOOKUP(A165,Enforcements!$C$7:$K$9,8,0)</f>
        <v>#N/A</v>
      </c>
      <c r="AC165" s="51" t="e">
        <f>VLOOKUP(A165,Enforcements!$C$7:$E$9,3,0)</f>
        <v>#N/A</v>
      </c>
      <c r="AD165" s="179">
        <f t="shared" si="54"/>
        <v>801</v>
      </c>
      <c r="AE165" s="77" t="str">
        <f t="shared" si="55"/>
        <v>aws s3 cp s3://rtdc.mdm.uploadarchive.raw/RTDC4030/ "%USERPROFILE%\AppData\Local\Temp\OnboardLogs"\RTDC4030\2017-11-17 --exclude "*" --recursive --include "*20171117*" &amp; "%USERPROFILE%\Documents\GitHub\mrs-test-scripts\Headless Mode &amp; Sideloading\WalkAndUnGZ.bat" "%USERPROFILE%\AppData\Local\Temp\OnboardLogs"\RTDC4030\2017-11-17 &amp; aws s3 cp s3://rtdc.mdm.uploadarchive.raw/RTDC4030/ "%USERPROFILE%\AppData\Local\Temp\OnboardLogs"\RTDC4030\2017-11-18 --exclude "*" --recursive --include "*20171118*" &amp; "%USERPROFILE%\Documents\GitHub\mrs-test-scripts\Headless Mode &amp; Sideloading\WalkAndUnGZ.bat" "%USERPROFILE%\AppData\Local\Temp\OnboardLogs"\RTDC4030\2017-11-18</v>
      </c>
      <c r="AF165" s="74" t="str">
        <f t="shared" si="56"/>
        <v>"C:\Program Files (x86)\AstroGrep\AstroGrep.exe" /e /r /s /spath="%USERPROFILE%\AppData\Local\Temp\OnboardLogs" /stypes="app*4030*20171117*" /stext=" 12:.+((SYSTEM_STATE.+slice.+state.+changed )|(ment ac)|(multiple cpu faults)|(system.+state.+changed )|(\[timeout)|(PRM\|1\|D)|(kpr)|(kdp)|(train st.+moving)|(\|lc)|(penalty))"</v>
      </c>
      <c r="AG165" s="182" t="str">
        <f t="shared" si="57"/>
        <v>NW</v>
      </c>
      <c r="AH165" s="78" t="str">
        <f t="shared" si="58"/>
        <v>"%USERPROFILE%\Documents\GitHub\eaglep3\Utilities\RefineRTDCRunTimes.py" --tripid 801-17 --locoid 4030 --swversion DE.1.0.9.0 --startMP 204:993 --initTime 2017-11-17T05:36:03 --startdatetime 2017-11-17T05:36:03 --delay 60 --endMP 204:993 --enddatetime 2017-11-17T05:37:03 --enforcementcount 1 &gt;&gt;%USERPROFILE%\Documents\GitHub\eaglep3-reporting\EC\2017-11-17-refined-times.txt</v>
      </c>
      <c r="AI165" s="96" t="str">
        <f t="shared" si="59"/>
        <v>echo {"issue":{"subject":"Onboard en route failure","project_id":79,"tracker_id":40,"status_id":1,"priority_id":2,"assigned_to_id":338,"start_date":"2017-11-17","description":"","custom_fields":[{"id":1,"name":"Subdivision","value":"NW"},{"id":4,"name":"Milepost","value":"0.0993"},{"id":17,"name":"Train ID","value":"801-17"},{"id":16,"name":"Locomotive ID","value":"4030"},{"id":130,"name":"Impact","value":""},{"id":150,"name":"Time of Event (Mountain Time)","value":"05:37:03"},{"id":151,"name":"Denver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5" s="47"/>
      <c r="AL165" s="47"/>
      <c r="AM165" s="142" t="str">
        <f t="shared" si="60"/>
        <v>start /low /b %USERPROFILE%\Documents\GitHub\eaglep3\Utilities\DownloadLogsFromS3.py --loco 4030 --day 2017-11-17</v>
      </c>
      <c r="AN165" s="151" t="str">
        <f t="shared" si="61"/>
        <v>echo {"issue":{"subject":"Onboard en route failure","project_id":30,"tracker_id":4,"status_id":1,"priority_id":1,"assigned_to_id":10,"start_date":"2017-11-17","description":"","custom_fields":[{"id":30,"name":"Category","value":"Issue"},{"id":3,"name":"Functional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12:37:03"},{"id":29,"name":"Sharepoint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168" t="str">
        <f t="shared" si="62"/>
        <v>https://d0f6bd738d7f1b3e5a7ca70fe4ff75f0.us-east-1.aws.found.io/app/kibana#/discover/Steve-Slow-Train-Analysis-(2080s-and-2083s)?_g=(refreshInterval:(display:Off,pause:!f,section:0,value:0),time:(from:'2017-11-17T04:36:03-0700',mode:absolute,to:'2017-11-17T06:37:03-0700'))&amp;_a=(columns:!('Message%20ID',Summary),filters:!(),index:'emp_*',interval:auto,query:(query_string:(analyze_wildcard:!t,query:'%22rtdc.l.rtdc.4030%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3">
      <c r="A166" s="32" t="s">
        <v>687</v>
      </c>
      <c r="B166" s="7">
        <v>4029</v>
      </c>
      <c r="C166" s="21" t="s">
        <v>192</v>
      </c>
      <c r="D166" s="21" t="s">
        <v>625</v>
      </c>
      <c r="E166" s="13">
        <v>43056.248749999999</v>
      </c>
      <c r="F166" s="13">
        <v>43056.259085648147</v>
      </c>
      <c r="G166" s="7">
        <v>50</v>
      </c>
      <c r="H166" s="21" t="s">
        <v>1058</v>
      </c>
      <c r="I166" s="13">
        <v>43056.267916666664</v>
      </c>
      <c r="J166" s="7">
        <v>1</v>
      </c>
      <c r="K166" s="89" t="str">
        <f t="shared" si="48"/>
        <v>4029/4030</v>
      </c>
      <c r="L166" s="185" t="str">
        <f>VLOOKUP(A166,'Trips&amp;Operators'!$C$1:$G$99911,5,FALSE)</f>
        <v>WILLIAMS DONTE</v>
      </c>
      <c r="M166" s="6">
        <f t="shared" si="49"/>
        <v>8.8310185165028088E-3</v>
      </c>
      <c r="N166" s="7">
        <f t="shared" ref="N166:N198" si="69">24*60*SUM($M166:$M166)</f>
        <v>12.716666663764045</v>
      </c>
      <c r="O166" s="7"/>
      <c r="P166" s="7"/>
      <c r="Q166" s="22"/>
      <c r="R166" s="174"/>
      <c r="S166" s="221">
        <f t="shared" si="64"/>
        <v>1</v>
      </c>
      <c r="T166" s="174" t="str">
        <f t="shared" si="50"/>
        <v>Southbound</v>
      </c>
      <c r="U166" s="198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16" t="str">
        <f t="shared" si="51"/>
        <v>https://d0f6bd738d7f1b3e5a7ca70fe4ff75f0.us-east-1.aws.found.io/app/kibana#/discover/Steve-Slow-Train-Analysis-(2080s-and-2083s)?_g=(refreshInterval:(display:Off,pause:!f,section:0,value:0),time:(from:'2017-11-17T04:58:12-0700',mode:absolute,to:'2017-11-17T07:25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66" s="204" t="str">
        <f>IF(AA166&lt;VLOOKUP(AG166,Variables!$AC$3:$AD$8,2,FALSE),"Y","N")</f>
        <v>N</v>
      </c>
      <c r="X166" s="204">
        <f t="shared" si="52"/>
        <v>1</v>
      </c>
      <c r="Y166" s="204">
        <f t="shared" si="67"/>
        <v>5.8625999999999996</v>
      </c>
      <c r="Z166" s="204">
        <f t="shared" si="68"/>
        <v>6.8699999999999997E-2</v>
      </c>
      <c r="AA166" s="204">
        <f t="shared" si="53"/>
        <v>5.7938999999999998</v>
      </c>
      <c r="AB166" s="54" t="e">
        <f>VLOOKUP(A166,Enforcements!$C$7:$K$9,8,0)</f>
        <v>#N/A</v>
      </c>
      <c r="AC166" s="51" t="e">
        <f>VLOOKUP(A166,Enforcements!$C$7:$E$9,3,0)</f>
        <v>#N/A</v>
      </c>
      <c r="AD166" s="179">
        <f t="shared" si="54"/>
        <v>802</v>
      </c>
      <c r="AE166" s="77" t="str">
        <f t="shared" si="55"/>
        <v>aws s3 cp s3://rtdc.mdm.uploadarchive.raw/RTDC4029/ "%USERPROFILE%\AppData\Local\Temp\OnboardLogs"\RTDC4029\2017-11-17 --exclude "*" --recursive --include "*20171117*" &amp; "%USERPROFILE%\Documents\GitHub\mrs-test-scripts\Headless Mode &amp; Sideloading\WalkAndUnGZ.bat" "%USERPROFILE%\AppData\Local\Temp\OnboardLogs"\RTDC4029\2017-11-17 &amp; aws s3 cp s3://rtdc.mdm.uploadarchive.raw/RTDC4029/ "%USERPROFILE%\AppData\Local\Temp\OnboardLogs"\RTDC4029\2017-11-18 --exclude "*" --recursive --include "*20171118*" &amp; "%USERPROFILE%\Documents\GitHub\mrs-test-scripts\Headless Mode &amp; Sideloading\WalkAndUnGZ.bat" "%USERPROFILE%\AppData\Local\Temp\OnboardLogs"\RTDC4029\2017-11-18</v>
      </c>
      <c r="AF166" s="74" t="str">
        <f t="shared" si="56"/>
        <v>"C:\Program Files (x86)\AstroGrep\AstroGrep.exe" /e /r /s /spath="%USERPROFILE%\AppData\Local\Temp\OnboardLogs" /stypes="app*4029*20171117*" /stext=" 13:.+((SYSTEM_STATE.+slice.+state.+changed )|(ment ac)|(multiple cpu faults)|(system.+state.+changed )|(\[timeout)|(PRM\|1\|D)|(kpr)|(kdp)|(train st.+moving)|(\|lc)|(penalty))"</v>
      </c>
      <c r="AG166" s="182" t="str">
        <f t="shared" si="57"/>
        <v>NW</v>
      </c>
      <c r="AH166" s="78" t="str">
        <f t="shared" si="58"/>
        <v>"%USERPROFILE%\Documents\GitHub\eaglep3\Utilities\RefineRTDCRunTimes.py" --tripid 802-17 --locoid 4029 --swversion DE.1.0.9.0 --startMP 300:58626 --initTime 2017-11-17T05:58:12 --startdatetime 2017-11-17T06:13:05 --delay 50 --endMP 204:687 --enddatetime 2017-11-17T06:25:48 --enforcementcount 1 &gt;&gt;%USERPROFILE%\Documents\GitHub\eaglep3-reporting\EC\2017-11-17-refined-times.txt</v>
      </c>
      <c r="AI166" s="96" t="str">
        <f t="shared" si="59"/>
        <v>echo {"issue":{"subject":"","project_id":79,"tracker_id":40,"status_id":1,"priority_id":2,"assigned_to_id":338,"start_date":"2017-11-17","description":"","custom_fields":[{"id":1,"name":"Subdivision","value":"NW"},{"id":4,"name":"Milepost","value":"0.0687"},{"id":17,"name":"Train ID","value":"802-17"},{"id":16,"name":"Locomotive ID","value":"4029"},{"id":130,"name":"Impact","value":""},{"id":150,"name":"Time of Event (Mountain Time)","value":"06:25:48"},{"id":151,"name":"Denver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6" s="47"/>
      <c r="AL166" s="47"/>
      <c r="AM166" s="142" t="str">
        <f t="shared" si="60"/>
        <v>start /low /b %USERPROFILE%\Documents\GitHub\eaglep3\Utilities\DownloadLogsFromS3.py --loco 4029 --day 2017-11-17</v>
      </c>
      <c r="AN166" s="151" t="str">
        <f t="shared" si="61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13:25:48"},{"id":29,"name":"Sharepoint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168" t="str">
        <f t="shared" si="62"/>
        <v>https://d0f6bd738d7f1b3e5a7ca70fe4ff75f0.us-east-1.aws.found.io/app/kibana#/discover/Steve-Slow-Train-Analysis-(2080s-and-2083s)?_g=(refreshInterval:(display:Off,pause:!f,section:0,value:0),time:(from:'2017-11-17T04:58:12-0700',mode:absolute,to:'2017-11-17T07:25:48-0700'))&amp;_a=(columns:!('Message%20ID',Summary),filters:!(),index:'emp_*',interval:auto,query:(query_string:(analyze_wildcard:!t,query:'%22rtdc.l.rtdc.4029%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3">
      <c r="A167" s="32" t="s">
        <v>688</v>
      </c>
      <c r="B167" s="7">
        <v>4024</v>
      </c>
      <c r="C167" s="21" t="s">
        <v>192</v>
      </c>
      <c r="D167" s="21" t="s">
        <v>1059</v>
      </c>
      <c r="E167" s="13">
        <v>43056.253344907411</v>
      </c>
      <c r="F167" s="13">
        <v>43056.257430555554</v>
      </c>
      <c r="G167" s="7">
        <v>228</v>
      </c>
      <c r="H167" s="21" t="s">
        <v>1060</v>
      </c>
      <c r="I167" s="13">
        <v>43056.268055555556</v>
      </c>
      <c r="J167" s="7">
        <v>1</v>
      </c>
      <c r="K167" s="89" t="str">
        <f t="shared" si="48"/>
        <v>4023/4024</v>
      </c>
      <c r="L167" s="185" t="str">
        <f>VLOOKUP(A167,'Trips&amp;Operators'!$C$1:$G$99911,5,FALSE)</f>
        <v>BARRON PERLA</v>
      </c>
      <c r="M167" s="6">
        <f t="shared" si="49"/>
        <v>1.0625000002619345E-2</v>
      </c>
      <c r="N167" s="7">
        <f t="shared" si="69"/>
        <v>15.300000003771856</v>
      </c>
      <c r="O167" s="7"/>
      <c r="P167" s="7"/>
      <c r="Q167" s="22"/>
      <c r="R167" s="174"/>
      <c r="S167" s="221">
        <f t="shared" si="64"/>
        <v>1</v>
      </c>
      <c r="T167" s="174" t="str">
        <f t="shared" si="50"/>
        <v>NorthBound</v>
      </c>
      <c r="U167" s="198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16" t="str">
        <f t="shared" si="51"/>
        <v>https://d0f6bd738d7f1b3e5a7ca70fe4ff75f0.us-east-1.aws.found.io/app/kibana#/discover/Steve-Slow-Train-Analysis-(2080s-and-2083s)?_g=(refreshInterval:(display:Off,pause:!f,section:0,value:0),time:(from:'2017-11-17T05:04:49-0700',mode:absolute,to:'2017-11-17T07:26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67" s="204" t="str">
        <f>IF(AA167&lt;VLOOKUP(AG167,Variables!$AC$3:$AD$8,2,FALSE),"Y","N")</f>
        <v>N</v>
      </c>
      <c r="X167" s="204">
        <f t="shared" si="52"/>
        <v>1</v>
      </c>
      <c r="Y167" s="204">
        <f t="shared" si="67"/>
        <v>0.10580000000000001</v>
      </c>
      <c r="Z167" s="204">
        <f t="shared" si="68"/>
        <v>5.8943000000000003</v>
      </c>
      <c r="AA167" s="204">
        <f t="shared" si="53"/>
        <v>5.7885</v>
      </c>
      <c r="AB167" s="54" t="e">
        <f>VLOOKUP(A167,Enforcements!$C$7:$K$9,8,0)</f>
        <v>#N/A</v>
      </c>
      <c r="AC167" s="51" t="e">
        <f>VLOOKUP(A167,Enforcements!$C$7:$E$9,3,0)</f>
        <v>#N/A</v>
      </c>
      <c r="AD167" s="179">
        <f t="shared" si="54"/>
        <v>803</v>
      </c>
      <c r="AE167" s="77" t="str">
        <f t="shared" si="55"/>
        <v>aws s3 cp s3://rtdc.mdm.uploadarchive.raw/RTDC4024/ "%USERPROFILE%\AppData\Local\Temp\OnboardLogs"\RTDC4024\2017-11-17 --exclude "*" --recursive --include "*20171117*" &amp; "%USERPROFILE%\Documents\GitHub\mrs-test-scripts\Headless Mode &amp; Sideloading\WalkAndUnGZ.bat" "%USERPROFILE%\AppData\Local\Temp\OnboardLogs"\RTDC4024\2017-11-17 &amp; aws s3 cp s3://rtdc.mdm.uploadarchive.raw/RTDC4024/ "%USERPROFILE%\AppData\Local\Temp\OnboardLogs"\RTDC4024\2017-11-18 --exclude "*" --recursive --include "*20171118*" &amp; "%USERPROFILE%\Documents\GitHub\mrs-test-scripts\Headless Mode &amp; Sideloading\WalkAndUnGZ.bat" "%USERPROFILE%\AppData\Local\Temp\OnboardLogs"\RTDC4024\2017-11-18</v>
      </c>
      <c r="AF167" s="74" t="str">
        <f t="shared" si="56"/>
        <v>"C:\Program Files (x86)\AstroGrep\AstroGrep.exe" /e /r /s /spath="%USERPROFILE%\AppData\Local\Temp\OnboardLogs" /stypes="app*4024*20171117*" /stext=" 13:.+((SYSTEM_STATE.+slice.+state.+changed )|(ment ac)|(multiple cpu faults)|(system.+state.+changed )|(\[timeout)|(PRM\|1\|D)|(kpr)|(kdp)|(train st.+moving)|(\|lc)|(penalty))"</v>
      </c>
      <c r="AG167" s="182" t="str">
        <f t="shared" si="57"/>
        <v>NW</v>
      </c>
      <c r="AH167" s="78" t="str">
        <f t="shared" si="58"/>
        <v>"%USERPROFILE%\Documents\GitHub\eaglep3\Utilities\RefineRTDCRunTimes.py" --tripid 803-17 --locoid 4024 --swversion DE.1.0.9.0 --startMP 204:1058 --initTime 2017-11-17T06:04:49 --startdatetime 2017-11-17T06:10:42 --delay 228 --endMP 300:58943 --enddatetime 2017-11-17T06:26:00 --enforcementcount 1 &gt;&gt;%USERPROFILE%\Documents\GitHub\eaglep3-reporting\EC\2017-11-17-refined-times.txt</v>
      </c>
      <c r="AI167" s="96" t="str">
        <f t="shared" si="59"/>
        <v>echo {"issue":{"subject":"","project_id":79,"tracker_id":40,"status_id":1,"priority_id":2,"assigned_to_id":338,"start_date":"2017-11-17","description":"","custom_fields":[{"id":1,"name":"Subdivision","value":"NW"},{"id":4,"name":"Milepost","value":"5.8943"},{"id":17,"name":"Train ID","value":"803-17"},{"id":16,"name":"Locomotive ID","value":"4024"},{"id":130,"name":"Impact","value":""},{"id":150,"name":"Time of Event (Mountain Time)","value":"06:26:00"},{"id":151,"name":"Denver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7" s="47"/>
      <c r="AL167" s="47"/>
      <c r="AM167" s="142" t="str">
        <f t="shared" si="60"/>
        <v>start /low /b %USERPROFILE%\Documents\GitHub\eaglep3\Utilities\DownloadLogsFromS3.py --loco 4024 --day 2017-11-17</v>
      </c>
      <c r="AN167" s="151" t="str">
        <f t="shared" si="61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13:26:00"},{"id":29,"name":"Sharepoint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168" t="str">
        <f t="shared" si="62"/>
        <v>https://d0f6bd738d7f1b3e5a7ca70fe4ff75f0.us-east-1.aws.found.io/app/kibana#/discover/Steve-Slow-Train-Analysis-(2080s-and-2083s)?_g=(refreshInterval:(display:Off,pause:!f,section:0,value:0),time:(from:'2017-11-17T05:04:49-0700',mode:absolute,to:'2017-11-17T07:26:00-0700'))&amp;_a=(columns:!('Message%20ID',Summary),filters:!(),index:'emp_*',interval:auto,query:(query_string:(analyze_wildcard:!t,query:'%22rtdc.l.rtdc.4024%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3">
      <c r="A168" s="32" t="s">
        <v>696</v>
      </c>
      <c r="B168" s="7">
        <v>4023</v>
      </c>
      <c r="C168" s="21" t="s">
        <v>192</v>
      </c>
      <c r="D168" s="21" t="s">
        <v>625</v>
      </c>
      <c r="E168" s="13">
        <v>43056.269386574073</v>
      </c>
      <c r="F168" s="13">
        <v>43056.280011574076</v>
      </c>
      <c r="G168" s="7">
        <v>70</v>
      </c>
      <c r="H168" s="21" t="s">
        <v>623</v>
      </c>
      <c r="I168" s="13">
        <v>43056.288599537038</v>
      </c>
      <c r="J168" s="7">
        <v>1</v>
      </c>
      <c r="K168" s="89" t="str">
        <f t="shared" si="48"/>
        <v>4023/4024</v>
      </c>
      <c r="L168" s="185" t="str">
        <f>VLOOKUP(A168,'Trips&amp;Operators'!$C$1:$G$99911,5,FALSE)</f>
        <v>BARRON PERLA</v>
      </c>
      <c r="M168" s="6">
        <f t="shared" si="49"/>
        <v>8.5879629623377696E-3</v>
      </c>
      <c r="N168" s="7">
        <f t="shared" si="69"/>
        <v>12.366666665766388</v>
      </c>
      <c r="O168" s="7"/>
      <c r="P168" s="7"/>
      <c r="Q168" s="22"/>
      <c r="R168" s="174"/>
      <c r="S168" s="221">
        <f t="shared" si="64"/>
        <v>1</v>
      </c>
      <c r="T168" s="174" t="str">
        <f t="shared" si="50"/>
        <v>Southbound</v>
      </c>
      <c r="U168" s="198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16" t="str">
        <f t="shared" si="51"/>
        <v>https://d0f6bd738d7f1b3e5a7ca70fe4ff75f0.us-east-1.aws.found.io/app/kibana#/discover/Steve-Slow-Train-Analysis-(2080s-and-2083s)?_g=(refreshInterval:(display:Off,pause:!f,section:0,value:0),time:(from:'2017-11-17T05:27:55-0700',mode:absolute,to:'2017-11-17T07:55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68" s="204" t="str">
        <f>IF(AA168&lt;VLOOKUP(AG168,Variables!$AC$3:$AD$8,2,FALSE),"Y","N")</f>
        <v>N</v>
      </c>
      <c r="X168" s="204">
        <f t="shared" si="52"/>
        <v>1</v>
      </c>
      <c r="Y168" s="204">
        <f t="shared" si="67"/>
        <v>5.8625999999999996</v>
      </c>
      <c r="Z168" s="204">
        <f t="shared" si="68"/>
        <v>8.0299999999999996E-2</v>
      </c>
      <c r="AA168" s="204">
        <f t="shared" si="53"/>
        <v>5.7822999999999993</v>
      </c>
      <c r="AB168" s="54" t="e">
        <f>VLOOKUP(A168,Enforcements!$C$7:$K$9,8,0)</f>
        <v>#N/A</v>
      </c>
      <c r="AC168" s="51" t="e">
        <f>VLOOKUP(A168,Enforcements!$C$7:$E$9,3,0)</f>
        <v>#N/A</v>
      </c>
      <c r="AD168" s="179">
        <f t="shared" si="54"/>
        <v>804</v>
      </c>
      <c r="AE168" s="77" t="str">
        <f t="shared" si="55"/>
        <v>aws s3 cp s3://rtdc.mdm.uploadarchive.raw/RTDC4023/ "%USERPROFILE%\AppData\Local\Temp\OnboardLogs"\RTDC4023\2017-11-17 --exclude "*" --recursive --include "*20171117*" &amp; "%USERPROFILE%\Documents\GitHub\mrs-test-scripts\Headless Mode &amp; Sideloading\WalkAndUnGZ.bat" "%USERPROFILE%\AppData\Local\Temp\OnboardLogs"\RTDC4023\2017-11-17 &amp; aws s3 cp s3://rtdc.mdm.uploadarchive.raw/RTDC4023/ "%USERPROFILE%\AppData\Local\Temp\OnboardLogs"\RTDC4023\2017-11-18 --exclude "*" --recursive --include "*20171118*" &amp; "%USERPROFILE%\Documents\GitHub\mrs-test-scripts\Headless Mode &amp; Sideloading\WalkAndUnGZ.bat" "%USERPROFILE%\AppData\Local\Temp\OnboardLogs"\RTDC4023\2017-11-18</v>
      </c>
      <c r="AF168" s="74" t="str">
        <f t="shared" si="56"/>
        <v>"C:\Program Files (x86)\AstroGrep\AstroGrep.exe" /e /r /s /spath="%USERPROFILE%\AppData\Local\Temp\OnboardLogs" /stypes="app*4023*20171117*" /stext=" 13:.+((SYSTEM_STATE.+slice.+state.+changed )|(ment ac)|(multiple cpu faults)|(system.+state.+changed )|(\[timeout)|(PRM\|1\|D)|(kpr)|(kdp)|(train st.+moving)|(\|lc)|(penalty))"</v>
      </c>
      <c r="AG168" s="182" t="str">
        <f t="shared" si="57"/>
        <v>NW</v>
      </c>
      <c r="AH168" s="78" t="str">
        <f t="shared" si="58"/>
        <v>"%USERPROFILE%\Documents\GitHub\eaglep3\Utilities\RefineRTDCRunTimes.py" --tripid 804-17 --locoid 4023 --swversion DE.1.0.9.0 --startMP 300:58626 --initTime 2017-11-17T06:27:55 --startdatetime 2017-11-17T06:43:13 --delay 70 --endMP 204:803 --enddatetime 2017-11-17T06:55:35 --enforcementcount 1 &gt;&gt;%USERPROFILE%\Documents\GitHub\eaglep3-reporting\EC\2017-11-17-refined-times.txt</v>
      </c>
      <c r="AI168" s="96" t="str">
        <f t="shared" si="59"/>
        <v>echo {"issue":{"subject":"","project_id":79,"tracker_id":40,"status_id":1,"priority_id":2,"assigned_to_id":338,"start_date":"2017-11-17","description":"","custom_fields":[{"id":1,"name":"Subdivision","value":"NW"},{"id":4,"name":"Milepost","value":"0.0803"},{"id":17,"name":"Train ID","value":"804-17"},{"id":16,"name":"Locomotive ID","value":"4023"},{"id":130,"name":"Impact","value":""},{"id":150,"name":"Time of Event (Mountain Time)","value":"06:55:35"},{"id":151,"name":"Denver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8" s="47"/>
      <c r="AL168" s="47"/>
      <c r="AM168" s="142" t="str">
        <f t="shared" si="60"/>
        <v>start /low /b %USERPROFILE%\Documents\GitHub\eaglep3\Utilities\DownloadLogsFromS3.py --loco 4023 --day 2017-11-17</v>
      </c>
      <c r="AN168" s="151" t="str">
        <f t="shared" si="61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13:55:35"},{"id":29,"name":"Sharepoint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168" t="str">
        <f t="shared" si="62"/>
        <v>https://d0f6bd738d7f1b3e5a7ca70fe4ff75f0.us-east-1.aws.found.io/app/kibana#/discover/Steve-Slow-Train-Analysis-(2080s-and-2083s)?_g=(refreshInterval:(display:Off,pause:!f,section:0,value:0),time:(from:'2017-11-17T05:27:55-0700',mode:absolute,to:'2017-11-17T07:55:35-0700'))&amp;_a=(columns:!('Message%20ID',Summary),filters:!(),index:'emp_*',interval:auto,query:(query_string:(analyze_wildcard:!t,query:'%22rtdc.l.rtdc.4023%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3">
      <c r="A169" s="32" t="s">
        <v>698</v>
      </c>
      <c r="B169" s="7">
        <v>4030</v>
      </c>
      <c r="C169" s="21" t="s">
        <v>192</v>
      </c>
      <c r="D169" s="21" t="s">
        <v>626</v>
      </c>
      <c r="E169" s="13">
        <v>43056.275081018517</v>
      </c>
      <c r="F169" s="13">
        <v>43056.277650462966</v>
      </c>
      <c r="G169" s="7">
        <v>53</v>
      </c>
      <c r="H169" s="21" t="s">
        <v>505</v>
      </c>
      <c r="I169" s="13">
        <v>43056.288101851853</v>
      </c>
      <c r="J169" s="7">
        <v>1</v>
      </c>
      <c r="K169" s="89" t="str">
        <f t="shared" si="48"/>
        <v>4029/4030</v>
      </c>
      <c r="L169" s="185" t="str">
        <f>VLOOKUP(A169,'Trips&amp;Operators'!$C$1:$G$99911,5,FALSE)</f>
        <v>WILLIAMS DONTE</v>
      </c>
      <c r="M169" s="6">
        <f t="shared" si="49"/>
        <v>1.0451388887304347E-2</v>
      </c>
      <c r="N169" s="7">
        <f t="shared" si="69"/>
        <v>15.04999999771826</v>
      </c>
      <c r="O169" s="7"/>
      <c r="P169" s="7"/>
      <c r="Q169" s="22"/>
      <c r="R169" s="174"/>
      <c r="S169" s="221">
        <f t="shared" si="64"/>
        <v>1</v>
      </c>
      <c r="T169" s="174" t="str">
        <f t="shared" si="50"/>
        <v>NorthBound</v>
      </c>
      <c r="U169" s="198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16" t="str">
        <f t="shared" si="51"/>
        <v>https://d0f6bd738d7f1b3e5a7ca70fe4ff75f0.us-east-1.aws.found.io/app/kibana#/discover/Steve-Slow-Train-Analysis-(2080s-and-2083s)?_g=(refreshInterval:(display:Off,pause:!f,section:0,value:0),time:(from:'2017-11-17T05:36:07-0700',mode:absolute,to:'2017-11-17T07:54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69" s="204" t="str">
        <f>IF(AA169&lt;VLOOKUP(AG169,Variables!$AC$3:$AD$8,2,FALSE),"Y","N")</f>
        <v>N</v>
      </c>
      <c r="X169" s="204">
        <f t="shared" si="52"/>
        <v>1</v>
      </c>
      <c r="Y169" s="204">
        <f t="shared" si="67"/>
        <v>9.8799999999999999E-2</v>
      </c>
      <c r="Z169" s="204">
        <f t="shared" si="68"/>
        <v>5.8921999999999999</v>
      </c>
      <c r="AA169" s="204">
        <f t="shared" si="53"/>
        <v>5.7934000000000001</v>
      </c>
      <c r="AB169" s="54" t="e">
        <f>VLOOKUP(A169,Enforcements!$C$7:$K$9,8,0)</f>
        <v>#N/A</v>
      </c>
      <c r="AC169" s="51" t="e">
        <f>VLOOKUP(A169,Enforcements!$C$7:$E$9,3,0)</f>
        <v>#N/A</v>
      </c>
      <c r="AD169" s="179">
        <f t="shared" si="54"/>
        <v>805</v>
      </c>
      <c r="AE169" s="77" t="str">
        <f t="shared" si="55"/>
        <v>aws s3 cp s3://rtdc.mdm.uploadarchive.raw/RTDC4030/ "%USERPROFILE%\AppData\Local\Temp\OnboardLogs"\RTDC4030\2017-11-17 --exclude "*" --recursive --include "*20171117*" &amp; "%USERPROFILE%\Documents\GitHub\mrs-test-scripts\Headless Mode &amp; Sideloading\WalkAndUnGZ.bat" "%USERPROFILE%\AppData\Local\Temp\OnboardLogs"\RTDC4030\2017-11-17 &amp; aws s3 cp s3://rtdc.mdm.uploadarchive.raw/RTDC4030/ "%USERPROFILE%\AppData\Local\Temp\OnboardLogs"\RTDC4030\2017-11-18 --exclude "*" --recursive --include "*20171118*" &amp; "%USERPROFILE%\Documents\GitHub\mrs-test-scripts\Headless Mode &amp; Sideloading\WalkAndUnGZ.bat" "%USERPROFILE%\AppData\Local\Temp\OnboardLogs"\RTDC4030\2017-11-18</v>
      </c>
      <c r="AF169" s="74" t="str">
        <f t="shared" si="56"/>
        <v>"C:\Program Files (x86)\AstroGrep\AstroGrep.exe" /e /r /s /spath="%USERPROFILE%\AppData\Local\Temp\OnboardLogs" /stypes="app*4030*20171117*" /stext=" 13:.+((SYSTEM_STATE.+slice.+state.+changed )|(ment ac)|(multiple cpu faults)|(system.+state.+changed )|(\[timeout)|(PRM\|1\|D)|(kpr)|(kdp)|(train st.+moving)|(\|lc)|(penalty))"</v>
      </c>
      <c r="AG169" s="182" t="str">
        <f t="shared" si="57"/>
        <v>NW</v>
      </c>
      <c r="AH169" s="78" t="str">
        <f t="shared" si="58"/>
        <v>"%USERPROFILE%\Documents\GitHub\eaglep3\Utilities\RefineRTDCRunTimes.py" --tripid 805-17 --locoid 4030 --swversion DE.1.0.9.0 --startMP 204:988 --initTime 2017-11-17T06:36:07 --startdatetime 2017-11-17T06:39:49 --delay 53 --endMP 300:58922 --enddatetime 2017-11-17T06:54:52 --enforcementcount 1 &gt;&gt;%USERPROFILE%\Documents\GitHub\eaglep3-reporting\EC\2017-11-17-refined-times.txt</v>
      </c>
      <c r="AI169" s="96" t="str">
        <f t="shared" si="59"/>
        <v>echo {"issue":{"subject":"","project_id":79,"tracker_id":40,"status_id":1,"priority_id":2,"assigned_to_id":338,"start_date":"2017-11-17","description":"","custom_fields":[{"id":1,"name":"Subdivision","value":"NW"},{"id":4,"name":"Milepost","value":"5.8922"},{"id":17,"name":"Train ID","value":"805-17"},{"id":16,"name":"Locomotive ID","value":"4030"},{"id":130,"name":"Impact","value":""},{"id":150,"name":"Time of Event (Mountain Time)","value":"06:54:52"},{"id":151,"name":"Denver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9" s="47"/>
      <c r="AL169" s="47"/>
      <c r="AM169" s="142" t="str">
        <f t="shared" si="60"/>
        <v>start /low /b %USERPROFILE%\Documents\GitHub\eaglep3\Utilities\DownloadLogsFromS3.py --loco 4030 --day 2017-11-17</v>
      </c>
      <c r="AN169" s="151" t="str">
        <f t="shared" si="61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13:54:52"},{"id":29,"name":"Sharepoint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168" t="str">
        <f t="shared" si="62"/>
        <v>https://d0f6bd738d7f1b3e5a7ca70fe4ff75f0.us-east-1.aws.found.io/app/kibana#/discover/Steve-Slow-Train-Analysis-(2080s-and-2083s)?_g=(refreshInterval:(display:Off,pause:!f,section:0,value:0),time:(from:'2017-11-17T05:36:07-0700',mode:absolute,to:'2017-11-17T07:54:52-0700'))&amp;_a=(columns:!('Message%20ID',Summary),filters:!(),index:'emp_*',interval:auto,query:(query_string:(analyze_wildcard:!t,query:'%22rtdc.l.rtdc.4030%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3">
      <c r="A170" s="32" t="s">
        <v>702</v>
      </c>
      <c r="B170" s="7">
        <v>4029</v>
      </c>
      <c r="C170" s="21" t="s">
        <v>192</v>
      </c>
      <c r="D170" s="21" t="s">
        <v>610</v>
      </c>
      <c r="E170" s="13">
        <v>43056.289189814815</v>
      </c>
      <c r="F170" s="13">
        <v>43056.300752314812</v>
      </c>
      <c r="G170" s="7">
        <v>93</v>
      </c>
      <c r="H170" s="21" t="s">
        <v>1061</v>
      </c>
      <c r="I170" s="13">
        <v>43056.309317129628</v>
      </c>
      <c r="J170" s="7">
        <v>1</v>
      </c>
      <c r="K170" s="89" t="str">
        <f t="shared" si="48"/>
        <v>4029/4030</v>
      </c>
      <c r="L170" s="185" t="str">
        <f>VLOOKUP(A170,'Trips&amp;Operators'!$C$1:$G$99911,5,FALSE)</f>
        <v>WILLIAMS DONTE</v>
      </c>
      <c r="M170" s="6">
        <f t="shared" si="49"/>
        <v>8.5648148160544224E-3</v>
      </c>
      <c r="N170" s="7">
        <f t="shared" si="69"/>
        <v>12.333333335118368</v>
      </c>
      <c r="O170" s="7"/>
      <c r="P170" s="7"/>
      <c r="Q170" s="22"/>
      <c r="R170" s="174"/>
      <c r="S170" s="221">
        <f t="shared" si="64"/>
        <v>1</v>
      </c>
      <c r="T170" s="174" t="str">
        <f t="shared" si="50"/>
        <v>Southbound</v>
      </c>
      <c r="U170" s="198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16" t="str">
        <f t="shared" si="51"/>
        <v>https://d0f6bd738d7f1b3e5a7ca70fe4ff75f0.us-east-1.aws.found.io/app/kibana#/discover/Steve-Slow-Train-Analysis-(2080s-and-2083s)?_g=(refreshInterval:(display:Off,pause:!f,section:0,value:0),time:(from:'2017-11-17T05:56:26-0700',mode:absolute,to:'2017-11-17T08:25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70" s="204" t="str">
        <f>IF(AA170&lt;VLOOKUP(AG170,Variables!$AC$3:$AD$8,2,FALSE),"Y","N")</f>
        <v>N</v>
      </c>
      <c r="X170" s="204">
        <f t="shared" si="52"/>
        <v>1</v>
      </c>
      <c r="Y170" s="204">
        <f t="shared" si="67"/>
        <v>5.8608000000000002</v>
      </c>
      <c r="Z170" s="204">
        <f t="shared" si="68"/>
        <v>7.1199999999999999E-2</v>
      </c>
      <c r="AA170" s="204">
        <f t="shared" si="53"/>
        <v>5.7896000000000001</v>
      </c>
      <c r="AB170" s="54" t="e">
        <f>VLOOKUP(A170,Enforcements!$C$7:$K$9,8,0)</f>
        <v>#N/A</v>
      </c>
      <c r="AC170" s="51" t="e">
        <f>VLOOKUP(A170,Enforcements!$C$7:$E$9,3,0)</f>
        <v>#N/A</v>
      </c>
      <c r="AD170" s="179">
        <f t="shared" si="54"/>
        <v>806</v>
      </c>
      <c r="AE170" s="77" t="str">
        <f t="shared" si="55"/>
        <v>aws s3 cp s3://rtdc.mdm.uploadarchive.raw/RTDC4029/ "%USERPROFILE%\AppData\Local\Temp\OnboardLogs"\RTDC4029\2017-11-17 --exclude "*" --recursive --include "*20171117*" &amp; "%USERPROFILE%\Documents\GitHub\mrs-test-scripts\Headless Mode &amp; Sideloading\WalkAndUnGZ.bat" "%USERPROFILE%\AppData\Local\Temp\OnboardLogs"\RTDC4029\2017-11-17 &amp; aws s3 cp s3://rtdc.mdm.uploadarchive.raw/RTDC4029/ "%USERPROFILE%\AppData\Local\Temp\OnboardLogs"\RTDC4029\2017-11-18 --exclude "*" --recursive --include "*20171118*" &amp; "%USERPROFILE%\Documents\GitHub\mrs-test-scripts\Headless Mode &amp; Sideloading\WalkAndUnGZ.bat" "%USERPROFILE%\AppData\Local\Temp\OnboardLogs"\RTDC4029\2017-11-18</v>
      </c>
      <c r="AF170" s="74" t="str">
        <f t="shared" si="56"/>
        <v>"C:\Program Files (x86)\AstroGrep\AstroGrep.exe" /e /r /s /spath="%USERPROFILE%\AppData\Local\Temp\OnboardLogs" /stypes="app*4029*20171117*" /stext=" 14:.+((SYSTEM_STATE.+slice.+state.+changed )|(ment ac)|(multiple cpu faults)|(system.+state.+changed )|(\[timeout)|(PRM\|1\|D)|(kpr)|(kdp)|(train st.+moving)|(\|lc)|(penalty))"</v>
      </c>
      <c r="AG170" s="182" t="str">
        <f t="shared" si="57"/>
        <v>NW</v>
      </c>
      <c r="AH170" s="78" t="str">
        <f t="shared" si="58"/>
        <v>"%USERPROFILE%\Documents\GitHub\eaglep3\Utilities\RefineRTDCRunTimes.py" --tripid 806-17 --locoid 4029 --swversion DE.1.0.9.0 --startMP 300:58608 --initTime 2017-11-17T06:56:26 --startdatetime 2017-11-17T07:13:05 --delay 93 --endMP 204:712 --enddatetime 2017-11-17T07:25:25 --enforcementcount 1 &gt;&gt;%USERPROFILE%\Documents\GitHub\eaglep3-reporting\EC\2017-11-17-refined-times.txt</v>
      </c>
      <c r="AI170" s="96" t="str">
        <f t="shared" si="59"/>
        <v>echo {"issue":{"subject":"","project_id":79,"tracker_id":40,"status_id":1,"priority_id":2,"assigned_to_id":338,"start_date":"2017-11-17","description":"","custom_fields":[{"id":1,"name":"Subdivision","value":"NW"},{"id":4,"name":"Milepost","value":"0.0712"},{"id":17,"name":"Train ID","value":"806-17"},{"id":16,"name":"Locomotive ID","value":"4029"},{"id":130,"name":"Impact","value":""},{"id":150,"name":"Time of Event (Mountain Time)","value":"07:25:25"},{"id":151,"name":"Denver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0" s="47"/>
      <c r="AL170" s="47"/>
      <c r="AM170" s="142" t="str">
        <f t="shared" si="60"/>
        <v>start /low /b %USERPROFILE%\Documents\GitHub\eaglep3\Utilities\DownloadLogsFromS3.py --loco 4029 --day 2017-11-17</v>
      </c>
      <c r="AN170" s="151" t="str">
        <f t="shared" si="61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14:25:25"},{"id":29,"name":"Sharepoint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168" t="str">
        <f t="shared" si="62"/>
        <v>https://d0f6bd738d7f1b3e5a7ca70fe4ff75f0.us-east-1.aws.found.io/app/kibana#/discover/Steve-Slow-Train-Analysis-(2080s-and-2083s)?_g=(refreshInterval:(display:Off,pause:!f,section:0,value:0),time:(from:'2017-11-17T05:56:26-0700',mode:absolute,to:'2017-11-17T08:25:25-0700'))&amp;_a=(columns:!('Message%20ID',Summary),filters:!(),index:'emp_*',interval:auto,query:(query_string:(analyze_wildcard:!t,query:'%22rtdc.l.rtdc.4029%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3">
      <c r="A171" s="32" t="s">
        <v>703</v>
      </c>
      <c r="B171" s="7">
        <v>4024</v>
      </c>
      <c r="C171" s="21" t="s">
        <v>192</v>
      </c>
      <c r="D171" s="21" t="s">
        <v>629</v>
      </c>
      <c r="E171" s="13">
        <v>43056.289988425924</v>
      </c>
      <c r="F171" s="13">
        <v>43056.298136574071</v>
      </c>
      <c r="G171" s="7">
        <v>73</v>
      </c>
      <c r="H171" s="21" t="s">
        <v>1062</v>
      </c>
      <c r="I171" s="13">
        <v>43056.30878472222</v>
      </c>
      <c r="J171" s="7">
        <v>1</v>
      </c>
      <c r="K171" s="89" t="str">
        <f t="shared" si="48"/>
        <v>4023/4024</v>
      </c>
      <c r="L171" s="185" t="str">
        <f>VLOOKUP(A171,'Trips&amp;Operators'!$C$1:$G$99911,5,FALSE)</f>
        <v>LANGERAK WILLIAM</v>
      </c>
      <c r="M171" s="6">
        <f t="shared" si="49"/>
        <v>1.0648148148902692E-2</v>
      </c>
      <c r="N171" s="7">
        <f t="shared" si="69"/>
        <v>15.333333334419876</v>
      </c>
      <c r="O171" s="7"/>
      <c r="P171" s="7"/>
      <c r="Q171" s="22"/>
      <c r="R171" s="174" t="s">
        <v>1129</v>
      </c>
      <c r="S171" s="221">
        <f t="shared" si="64"/>
        <v>1</v>
      </c>
      <c r="T171" s="174" t="str">
        <f t="shared" si="50"/>
        <v>NorthBound</v>
      </c>
      <c r="U171" s="198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16" t="str">
        <f t="shared" si="51"/>
        <v>https://d0f6bd738d7f1b3e5a7ca70fe4ff75f0.us-east-1.aws.found.io/app/kibana#/discover/Steve-Slow-Train-Analysis-(2080s-and-2083s)?_g=(refreshInterval:(display:Off,pause:!f,section:0,value:0),time:(from:'2017-11-17T05:57:35-0700',mode:absolute,to:'2017-11-17T08:24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71" s="204" t="str">
        <f>IF(AA171&lt;VLOOKUP(AG171,Variables!$AC$3:$AD$8,2,FALSE),"Y","N")</f>
        <v>N</v>
      </c>
      <c r="X171" s="204">
        <f t="shared" si="52"/>
        <v>1</v>
      </c>
      <c r="Y171" s="204">
        <v>0.1191</v>
      </c>
      <c r="Z171" s="204">
        <v>5.8943000000000003</v>
      </c>
      <c r="AA171" s="204">
        <f t="shared" si="53"/>
        <v>5.7751999999999999</v>
      </c>
      <c r="AB171" s="54" t="e">
        <f>VLOOKUP(A171,Enforcements!$C$7:$K$9,8,0)</f>
        <v>#N/A</v>
      </c>
      <c r="AC171" s="51" t="e">
        <f>VLOOKUP(A171,Enforcements!$C$7:$E$9,3,0)</f>
        <v>#N/A</v>
      </c>
      <c r="AD171" s="179">
        <f t="shared" si="54"/>
        <v>807</v>
      </c>
      <c r="AE171" s="77" t="str">
        <f t="shared" si="55"/>
        <v>aws s3 cp s3://rtdc.mdm.uploadarchive.raw/RTDC4024/ "%USERPROFILE%\AppData\Local\Temp\OnboardLogs"\RTDC4024\2017-11-17 --exclude "*" --recursive --include "*20171117*" &amp; "%USERPROFILE%\Documents\GitHub\mrs-test-scripts\Headless Mode &amp; Sideloading\WalkAndUnGZ.bat" "%USERPROFILE%\AppData\Local\Temp\OnboardLogs"\RTDC4024\2017-11-17 &amp; aws s3 cp s3://rtdc.mdm.uploadarchive.raw/RTDC4024/ "%USERPROFILE%\AppData\Local\Temp\OnboardLogs"\RTDC4024\2017-11-18 --exclude "*" --recursive --include "*20171118*" &amp; "%USERPROFILE%\Documents\GitHub\mrs-test-scripts\Headless Mode &amp; Sideloading\WalkAndUnGZ.bat" "%USERPROFILE%\AppData\Local\Temp\OnboardLogs"\RTDC4024\2017-11-18</v>
      </c>
      <c r="AF171" s="74" t="str">
        <f t="shared" si="56"/>
        <v>"C:\Program Files (x86)\AstroGrep\AstroGrep.exe" /e /r /s /spath="%USERPROFILE%\AppData\Local\Temp\OnboardLogs" /stypes="app*4024*20171117*" /stext=" 14:.+((SYSTEM_STATE.+slice.+state.+changed )|(ment ac)|(multiple cpu faults)|(system.+state.+changed )|(\[timeout)|(PRM\|1\|D)|(kpr)|(kdp)|(train st.+moving)|(\|lc)|(penalty))"</v>
      </c>
      <c r="AG171" s="182" t="str">
        <f t="shared" si="57"/>
        <v>NW</v>
      </c>
      <c r="AH171" s="78" t="str">
        <f t="shared" si="58"/>
        <v>"%USERPROFILE%\Documents\GitHub\eaglep3\Utilities\RefineRTDCRunTimes.py" --tripid 807-17 --locoid 4024 --swversion DE.1.0.9.0 --startMP 204:1060 --initTime 2017-11-17T06:57:35 --startdatetime 2017-11-17T07:09:19 --delay 73 --endMP 204:1088 --enddatetime 2017-11-17T07:24:39 --enforcementcount 1 &gt;&gt;%USERPROFILE%\Documents\GitHub\eaglep3-reporting\EC\2017-11-17-refined-times.txt</v>
      </c>
      <c r="AI171" s="96" t="str">
        <f t="shared" si="59"/>
        <v>echo {"issue":{"subject":"Observed poor GPS at DUS, no PTC enforcement","project_id":79,"tracker_id":40,"status_id":1,"priority_id":2,"assigned_to_id":338,"start_date":"2017-11-17","description":"","custom_fields":[{"id":1,"name":"Subdivision","value":"NW"},{"id":4,"name":"Milepost","value":"5.8943"},{"id":17,"name":"Train ID","value":"807-17"},{"id":16,"name":"Locomotive ID","value":"4024"},{"id":130,"name":"Impact","value":""},{"id":150,"name":"Time of Event (Mountain Time)","value":"07:24:39"},{"id":151,"name":"Denver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1" s="47"/>
      <c r="AL171" s="47"/>
      <c r="AM171" s="142" t="str">
        <f t="shared" si="60"/>
        <v>start /low /b %USERPROFILE%\Documents\GitHub\eaglep3\Utilities\DownloadLogsFromS3.py --loco 4024 --day 2017-11-17</v>
      </c>
      <c r="AN171" s="151" t="str">
        <f t="shared" si="61"/>
        <v>echo {"issue":{"subject":"Observed poor GPS at DUS, no PTC enforcement","project_id":30,"tracker_id":4,"status_id":1,"priority_id":1,"assigned_to_id":10,"start_date":"2017-11-17","description":"","custom_fields":[{"id":30,"name":"Category","value":"Issue"},{"id":3,"name":"Functional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14:24:39"},{"id":29,"name":"Sharepoint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168" t="str">
        <f t="shared" si="62"/>
        <v>https://d0f6bd738d7f1b3e5a7ca70fe4ff75f0.us-east-1.aws.found.io/app/kibana#/discover/Steve-Slow-Train-Analysis-(2080s-and-2083s)?_g=(refreshInterval:(display:Off,pause:!f,section:0,value:0),time:(from:'2017-11-17T05:57:35-0700',mode:absolute,to:'2017-11-17T08:24:39-0700'))&amp;_a=(columns:!('Message%20ID',Summary),filters:!(),index:'emp_*',interval:auto,query:(query_string:(analyze_wildcard:!t,query:'%22rtdc.l.rtdc.4024%22')),sort:!(Time.ISO8601,asc))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3">
      <c r="A172" s="32" t="s">
        <v>709</v>
      </c>
      <c r="B172" s="7">
        <v>4023</v>
      </c>
      <c r="C172" s="21" t="s">
        <v>192</v>
      </c>
      <c r="D172" s="21" t="s">
        <v>1063</v>
      </c>
      <c r="E172" s="13">
        <v>43056.309930555559</v>
      </c>
      <c r="F172" s="13">
        <v>43056.321608796294</v>
      </c>
      <c r="G172" s="7">
        <v>72</v>
      </c>
      <c r="H172" s="21" t="s">
        <v>1064</v>
      </c>
      <c r="I172" s="13">
        <v>43056.330451388887</v>
      </c>
      <c r="J172" s="7">
        <v>1</v>
      </c>
      <c r="K172" s="89" t="str">
        <f t="shared" si="48"/>
        <v>4023/4024</v>
      </c>
      <c r="L172" s="185" t="str">
        <f>VLOOKUP(A172,'Trips&amp;Operators'!$C$1:$G$99911,5,FALSE)</f>
        <v>LANGERAK WILLIAM</v>
      </c>
      <c r="M172" s="6">
        <f t="shared" si="49"/>
        <v>8.8425925932824612E-3</v>
      </c>
      <c r="N172" s="7">
        <f t="shared" si="69"/>
        <v>12.733333334326744</v>
      </c>
      <c r="O172" s="7"/>
      <c r="P172" s="7"/>
      <c r="Q172" s="22"/>
      <c r="R172" s="174"/>
      <c r="S172" s="221">
        <f t="shared" si="64"/>
        <v>1</v>
      </c>
      <c r="T172" s="174" t="str">
        <f t="shared" si="50"/>
        <v>Southbound</v>
      </c>
      <c r="U172" s="198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16" t="str">
        <f t="shared" si="51"/>
        <v>https://d0f6bd738d7f1b3e5a7ca70fe4ff75f0.us-east-1.aws.found.io/app/kibana#/discover/Steve-Slow-Train-Analysis-(2080s-and-2083s)?_g=(refreshInterval:(display:Off,pause:!f,section:0,value:0),time:(from:'2017-11-17T06:26:18-0700',mode:absolute,to:'2017-11-17T08:55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72" s="204" t="str">
        <f>IF(AA172&lt;VLOOKUP(AG172,Variables!$AC$3:$AD$8,2,FALSE),"Y","N")</f>
        <v>N</v>
      </c>
      <c r="X172" s="204">
        <f t="shared" si="52"/>
        <v>1</v>
      </c>
      <c r="Y172" s="204">
        <f t="shared" ref="Y172:Y205" si="70">RIGHT(D172,LEN(D172)-4)/10000</f>
        <v>5.8634000000000004</v>
      </c>
      <c r="Z172" s="204">
        <f t="shared" ref="Z172:Z205" si="71">RIGHT(H172,LEN(H172)-4)/10000</f>
        <v>7.5200000000000003E-2</v>
      </c>
      <c r="AA172" s="204">
        <f t="shared" si="53"/>
        <v>5.7882000000000007</v>
      </c>
      <c r="AB172" s="54" t="e">
        <f>VLOOKUP(A172,Enforcements!$C$7:$K$9,8,0)</f>
        <v>#N/A</v>
      </c>
      <c r="AC172" s="51" t="e">
        <f>VLOOKUP(A172,Enforcements!$C$7:$E$9,3,0)</f>
        <v>#N/A</v>
      </c>
      <c r="AD172" s="179">
        <f t="shared" si="54"/>
        <v>808</v>
      </c>
      <c r="AE172" s="77" t="str">
        <f t="shared" si="55"/>
        <v>aws s3 cp s3://rtdc.mdm.uploadarchive.raw/RTDC4023/ "%USERPROFILE%\AppData\Local\Temp\OnboardLogs"\RTDC4023\2017-11-17 --exclude "*" --recursive --include "*20171117*" &amp; "%USERPROFILE%\Documents\GitHub\mrs-test-scripts\Headless Mode &amp; Sideloading\WalkAndUnGZ.bat" "%USERPROFILE%\AppData\Local\Temp\OnboardLogs"\RTDC4023\2017-11-17 &amp; aws s3 cp s3://rtdc.mdm.uploadarchive.raw/RTDC4023/ "%USERPROFILE%\AppData\Local\Temp\OnboardLogs"\RTDC4023\2017-11-18 --exclude "*" --recursive --include "*20171118*" &amp; "%USERPROFILE%\Documents\GitHub\mrs-test-scripts\Headless Mode &amp; Sideloading\WalkAndUnGZ.bat" "%USERPROFILE%\AppData\Local\Temp\OnboardLogs"\RTDC4023\2017-11-18</v>
      </c>
      <c r="AF172" s="74" t="str">
        <f t="shared" si="56"/>
        <v>"C:\Program Files (x86)\AstroGrep\AstroGrep.exe" /e /r /s /spath="%USERPROFILE%\AppData\Local\Temp\OnboardLogs" /stypes="app*4023*20171117*" /stext=" 14:.+((SYSTEM_STATE.+slice.+state.+changed )|(ment ac)|(multiple cpu faults)|(system.+state.+changed )|(\[timeout)|(PRM\|1\|D)|(kpr)|(kdp)|(train st.+moving)|(\|lc)|(penalty))"</v>
      </c>
      <c r="AG172" s="182" t="str">
        <f t="shared" si="57"/>
        <v>NW</v>
      </c>
      <c r="AH172" s="78" t="str">
        <f t="shared" si="58"/>
        <v>"%USERPROFILE%\Documents\GitHub\eaglep3\Utilities\RefineRTDCRunTimes.py" --tripid 808-17 --locoid 4023 --swversion DE.1.0.9.0 --startMP 300:58634 --initTime 2017-11-17T07:26:18 --startdatetime 2017-11-17T07:43:07 --delay 72 --endMP 204:752 --enddatetime 2017-11-17T07:55:51 --enforcementcount 1 &gt;&gt;%USERPROFILE%\Documents\GitHub\eaglep3-reporting\EC\2017-11-17-refined-times.txt</v>
      </c>
      <c r="AI172" s="96" t="str">
        <f t="shared" si="59"/>
        <v>echo {"issue":{"subject":"","project_id":79,"tracker_id":40,"status_id":1,"priority_id":2,"assigned_to_id":338,"start_date":"2017-11-17","description":"","custom_fields":[{"id":1,"name":"Subdivision","value":"NW"},{"id":4,"name":"Milepost","value":"0.0752"},{"id":17,"name":"Train ID","value":"808-17"},{"id":16,"name":"Locomotive ID","value":"4023"},{"id":130,"name":"Impact","value":""},{"id":150,"name":"Time of Event (Mountain Time)","value":"07:55:51"},{"id":151,"name":"Denver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2" s="47"/>
      <c r="AL172" s="47"/>
      <c r="AM172" s="142" t="str">
        <f t="shared" si="60"/>
        <v>start /low /b %USERPROFILE%\Documents\GitHub\eaglep3\Utilities\DownloadLogsFromS3.py --loco 4023 --day 2017-11-17</v>
      </c>
      <c r="AN172" s="151" t="str">
        <f t="shared" si="61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14:55:51"},{"id":29,"name":"Sharepoint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168" t="str">
        <f t="shared" si="62"/>
        <v>https://d0f6bd738d7f1b3e5a7ca70fe4ff75f0.us-east-1.aws.found.io/app/kibana#/discover/Steve-Slow-Train-Analysis-(2080s-and-2083s)?_g=(refreshInterval:(display:Off,pause:!f,section:0,value:0),time:(from:'2017-11-17T06:26:18-0700',mode:absolute,to:'2017-11-17T08:55:51-0700'))&amp;_a=(columns:!('Message%20ID',Summary),filters:!(),index:'emp_*',interval:auto,query:(query_string:(analyze_wildcard:!t,query:'%22rtdc.l.rtdc.4023%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3">
      <c r="A173" s="32" t="s">
        <v>710</v>
      </c>
      <c r="B173" s="7">
        <v>4030</v>
      </c>
      <c r="C173" s="21" t="s">
        <v>192</v>
      </c>
      <c r="D173" s="21" t="s">
        <v>1065</v>
      </c>
      <c r="E173" s="13">
        <v>43056.316666666666</v>
      </c>
      <c r="F173" s="13">
        <v>43056.319305555553</v>
      </c>
      <c r="G173" s="7">
        <v>59</v>
      </c>
      <c r="H173" s="21" t="s">
        <v>609</v>
      </c>
      <c r="I173" s="13">
        <v>43056.329976851855</v>
      </c>
      <c r="J173" s="7">
        <v>1</v>
      </c>
      <c r="K173" s="89" t="str">
        <f t="shared" si="48"/>
        <v>4029/4030</v>
      </c>
      <c r="L173" s="185" t="str">
        <f>VLOOKUP(A173,'Trips&amp;Operators'!$C$1:$G$99911,5,FALSE)</f>
        <v>WILLIAMS DONTE</v>
      </c>
      <c r="M173" s="6">
        <f t="shared" si="49"/>
        <v>1.0671296302461997E-2</v>
      </c>
      <c r="N173" s="7">
        <f t="shared" si="69"/>
        <v>15.366666675545275</v>
      </c>
      <c r="O173" s="7"/>
      <c r="P173" s="7"/>
      <c r="Q173" s="22"/>
      <c r="R173" s="174"/>
      <c r="S173" s="221">
        <f t="shared" si="64"/>
        <v>1</v>
      </c>
      <c r="T173" s="174" t="str">
        <f t="shared" si="50"/>
        <v>NorthBound</v>
      </c>
      <c r="U173" s="198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16" t="str">
        <f t="shared" si="51"/>
        <v>https://d0f6bd738d7f1b3e5a7ca70fe4ff75f0.us-east-1.aws.found.io/app/kibana#/discover/Steve-Slow-Train-Analysis-(2080s-and-2083s)?_g=(refreshInterval:(display:Off,pause:!f,section:0,value:0),time:(from:'2017-11-17T06:36:00-0700',mode:absolute,to:'2017-11-17T08:55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73" s="204" t="str">
        <f>IF(AA173&lt;VLOOKUP(AG173,Variables!$AC$3:$AD$8,2,FALSE),"Y","N")</f>
        <v>N</v>
      </c>
      <c r="X173" s="204">
        <f t="shared" si="52"/>
        <v>1</v>
      </c>
      <c r="Y173" s="204">
        <f t="shared" si="70"/>
        <v>0.13850000000000001</v>
      </c>
      <c r="Z173" s="204">
        <f t="shared" si="71"/>
        <v>5.8925999999999998</v>
      </c>
      <c r="AA173" s="204">
        <f t="shared" si="53"/>
        <v>5.7541000000000002</v>
      </c>
      <c r="AB173" s="54" t="e">
        <f>VLOOKUP(A173,Enforcements!$C$7:$K$9,8,0)</f>
        <v>#N/A</v>
      </c>
      <c r="AC173" s="51" t="e">
        <f>VLOOKUP(A173,Enforcements!$C$7:$E$9,3,0)</f>
        <v>#N/A</v>
      </c>
      <c r="AD173" s="179">
        <f t="shared" si="54"/>
        <v>809</v>
      </c>
      <c r="AE173" s="77" t="str">
        <f t="shared" si="55"/>
        <v>aws s3 cp s3://rtdc.mdm.uploadarchive.raw/RTDC4030/ "%USERPROFILE%\AppData\Local\Temp\OnboardLogs"\RTDC4030\2017-11-17 --exclude "*" --recursive --include "*20171117*" &amp; "%USERPROFILE%\Documents\GitHub\mrs-test-scripts\Headless Mode &amp; Sideloading\WalkAndUnGZ.bat" "%USERPROFILE%\AppData\Local\Temp\OnboardLogs"\RTDC4030\2017-11-17 &amp; aws s3 cp s3://rtdc.mdm.uploadarchive.raw/RTDC4030/ "%USERPROFILE%\AppData\Local\Temp\OnboardLogs"\RTDC4030\2017-11-18 --exclude "*" --recursive --include "*20171118*" &amp; "%USERPROFILE%\Documents\GitHub\mrs-test-scripts\Headless Mode &amp; Sideloading\WalkAndUnGZ.bat" "%USERPROFILE%\AppData\Local\Temp\OnboardLogs"\RTDC4030\2017-11-18</v>
      </c>
      <c r="AF173" s="74" t="str">
        <f t="shared" si="56"/>
        <v>"C:\Program Files (x86)\AstroGrep\AstroGrep.exe" /e /r /s /spath="%USERPROFILE%\AppData\Local\Temp\OnboardLogs" /stypes="app*4030*20171117*" /stext=" 14:.+((SYSTEM_STATE.+slice.+state.+changed )|(ment ac)|(multiple cpu faults)|(system.+state.+changed )|(\[timeout)|(PRM\|1\|D)|(kpr)|(kdp)|(train st.+moving)|(\|lc)|(penalty))"</v>
      </c>
      <c r="AG173" s="182" t="str">
        <f t="shared" si="57"/>
        <v>NW</v>
      </c>
      <c r="AH173" s="78" t="str">
        <f t="shared" si="58"/>
        <v>"%USERPROFILE%\Documents\GitHub\eaglep3\Utilities\RefineRTDCRunTimes.py" --tripid 809-17 --locoid 4030 --swversion DE.1.0.9.0 --startMP 204:1385 --initTime 2017-11-17T07:36:00 --startdatetime 2017-11-17T07:39:48 --delay 59 --endMP 300:58926 --enddatetime 2017-11-17T07:55:10 --enforcementcount 1 &gt;&gt;%USERPROFILE%\Documents\GitHub\eaglep3-reporting\EC\2017-11-17-refined-times.txt</v>
      </c>
      <c r="AI173" s="96" t="str">
        <f t="shared" si="59"/>
        <v>echo {"issue":{"subject":"","project_id":79,"tracker_id":40,"status_id":1,"priority_id":2,"assigned_to_id":338,"start_date":"2017-11-17","description":"","custom_fields":[{"id":1,"name":"Subdivision","value":"NW"},{"id":4,"name":"Milepost","value":"5.8926"},{"id":17,"name":"Train ID","value":"809-17"},{"id":16,"name":"Locomotive ID","value":"4030"},{"id":130,"name":"Impact","value":""},{"id":150,"name":"Time of Event (Mountain Time)","value":"07:55:10"},{"id":151,"name":"Denver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3" s="47"/>
      <c r="AL173" s="47"/>
      <c r="AM173" s="142" t="str">
        <f t="shared" si="60"/>
        <v>start /low /b %USERPROFILE%\Documents\GitHub\eaglep3\Utilities\DownloadLogsFromS3.py --loco 4030 --day 2017-11-17</v>
      </c>
      <c r="AN173" s="151" t="str">
        <f t="shared" si="61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14:55:10"},{"id":29,"name":"Sharepoint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168" t="str">
        <f t="shared" si="62"/>
        <v>https://d0f6bd738d7f1b3e5a7ca70fe4ff75f0.us-east-1.aws.found.io/app/kibana#/discover/Steve-Slow-Train-Analysis-(2080s-and-2083s)?_g=(refreshInterval:(display:Off,pause:!f,section:0,value:0),time:(from:'2017-11-17T06:36:00-0700',mode:absolute,to:'2017-11-17T08:55:10-0700'))&amp;_a=(columns:!('Message%20ID',Summary),filters:!(),index:'emp_*',interval:auto,query:(query_string:(analyze_wildcard:!t,query:'%22rtdc.l.rtdc.4030%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3">
      <c r="A174" s="32" t="s">
        <v>715</v>
      </c>
      <c r="B174" s="7">
        <v>4029</v>
      </c>
      <c r="C174" s="21" t="s">
        <v>192</v>
      </c>
      <c r="D174" s="21" t="s">
        <v>607</v>
      </c>
      <c r="E174" s="13">
        <v>43056.33148148148</v>
      </c>
      <c r="F174" s="13">
        <v>43056.342291666668</v>
      </c>
      <c r="G174" s="7">
        <v>65</v>
      </c>
      <c r="H174" s="21" t="s">
        <v>995</v>
      </c>
      <c r="I174" s="13">
        <v>43056.351377314815</v>
      </c>
      <c r="J174" s="7">
        <v>1</v>
      </c>
      <c r="K174" s="89" t="str">
        <f t="shared" si="48"/>
        <v>4029/4030</v>
      </c>
      <c r="L174" s="185" t="str">
        <f>VLOOKUP(A174,'Trips&amp;Operators'!$C$1:$G$99911,5,FALSE)</f>
        <v>WILLIAMS DONTE</v>
      </c>
      <c r="M174" s="6">
        <f t="shared" si="49"/>
        <v>9.0856481474475004E-3</v>
      </c>
      <c r="N174" s="7">
        <f t="shared" si="69"/>
        <v>13.083333332324401</v>
      </c>
      <c r="O174" s="7"/>
      <c r="P174" s="7"/>
      <c r="Q174" s="22"/>
      <c r="R174" s="174"/>
      <c r="S174" s="221">
        <f t="shared" si="64"/>
        <v>1</v>
      </c>
      <c r="T174" s="174" t="str">
        <f t="shared" si="50"/>
        <v>Southbound</v>
      </c>
      <c r="U174" s="198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16" t="str">
        <f t="shared" si="51"/>
        <v>https://d0f6bd738d7f1b3e5a7ca70fe4ff75f0.us-east-1.aws.found.io/app/kibana#/discover/Steve-Slow-Train-Analysis-(2080s-and-2083s)?_g=(refreshInterval:(display:Off,pause:!f,section:0,value:0),time:(from:'2017-11-17T06:57:20-0700',mode:absolute,to:'2017-11-17T09:25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74" s="204" t="str">
        <f>IF(AA174&lt;VLOOKUP(AG174,Variables!$AC$3:$AD$8,2,FALSE),"Y","N")</f>
        <v>N</v>
      </c>
      <c r="X174" s="204">
        <f t="shared" si="52"/>
        <v>1</v>
      </c>
      <c r="Y174" s="204">
        <f t="shared" si="70"/>
        <v>5.8609</v>
      </c>
      <c r="Z174" s="204">
        <f t="shared" si="71"/>
        <v>1.1900000000000001E-2</v>
      </c>
      <c r="AA174" s="204">
        <f t="shared" si="53"/>
        <v>5.8490000000000002</v>
      </c>
      <c r="AB174" s="54" t="e">
        <f>VLOOKUP(A174,Enforcements!$C$7:$K$9,8,0)</f>
        <v>#N/A</v>
      </c>
      <c r="AC174" s="51" t="e">
        <f>VLOOKUP(A174,Enforcements!$C$7:$E$9,3,0)</f>
        <v>#N/A</v>
      </c>
      <c r="AD174" s="179">
        <f t="shared" si="54"/>
        <v>810</v>
      </c>
      <c r="AE174" s="77" t="str">
        <f t="shared" si="55"/>
        <v>aws s3 cp s3://rtdc.mdm.uploadarchive.raw/RTDC4029/ "%USERPROFILE%\AppData\Local\Temp\OnboardLogs"\RTDC4029\2017-11-17 --exclude "*" --recursive --include "*20171117*" &amp; "%USERPROFILE%\Documents\GitHub\mrs-test-scripts\Headless Mode &amp; Sideloading\WalkAndUnGZ.bat" "%USERPROFILE%\AppData\Local\Temp\OnboardLogs"\RTDC4029\2017-11-17 &amp; aws s3 cp s3://rtdc.mdm.uploadarchive.raw/RTDC4029/ "%USERPROFILE%\AppData\Local\Temp\OnboardLogs"\RTDC4029\2017-11-18 --exclude "*" --recursive --include "*20171118*" &amp; "%USERPROFILE%\Documents\GitHub\mrs-test-scripts\Headless Mode &amp; Sideloading\WalkAndUnGZ.bat" "%USERPROFILE%\AppData\Local\Temp\OnboardLogs"\RTDC4029\2017-11-18</v>
      </c>
      <c r="AF174" s="74" t="str">
        <f t="shared" si="56"/>
        <v>"C:\Program Files (x86)\AstroGrep\AstroGrep.exe" /e /r /s /spath="%USERPROFILE%\AppData\Local\Temp\OnboardLogs" /stypes="app*4029*20171117*" /stext=" 15:.+((SYSTEM_STATE.+slice.+state.+changed )|(ment ac)|(multiple cpu faults)|(system.+state.+changed )|(\[timeout)|(PRM\|1\|D)|(kpr)|(kdp)|(train st.+moving)|(\|lc)|(penalty))"</v>
      </c>
      <c r="AG174" s="182" t="str">
        <f t="shared" si="57"/>
        <v>NW</v>
      </c>
      <c r="AH174" s="78" t="str">
        <f t="shared" si="58"/>
        <v>"%USERPROFILE%\Documents\GitHub\eaglep3\Utilities\RefineRTDCRunTimes.py" --tripid 810-17 --locoid 4029 --swversion DE.1.0.9.0 --startMP 300:58609 --initTime 2017-11-17T07:57:20 --startdatetime 2017-11-17T08:12:54 --delay 65 --endMP 204:119 --enddatetime 2017-11-17T08:25:59 --enforcementcount 1 &gt;&gt;%USERPROFILE%\Documents\GitHub\eaglep3-reporting\EC\2017-11-17-refined-times.txt</v>
      </c>
      <c r="AI174" s="96" t="str">
        <f t="shared" si="59"/>
        <v>echo {"issue":{"subject":"","project_id":79,"tracker_id":40,"status_id":1,"priority_id":2,"assigned_to_id":338,"start_date":"2017-11-17","description":"","custom_fields":[{"id":1,"name":"Subdivision","value":"NW"},{"id":4,"name":"Milepost","value":"0.0119"},{"id":17,"name":"Train ID","value":"810-17"},{"id":16,"name":"Locomotive ID","value":"4029"},{"id":130,"name":"Impact","value":""},{"id":150,"name":"Time of Event (Mountain Time)","value":"08:25:59"},{"id":151,"name":"Denver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4" s="47"/>
      <c r="AL174" s="47"/>
      <c r="AM174" s="142" t="str">
        <f t="shared" si="60"/>
        <v>start /low /b %USERPROFILE%\Documents\GitHub\eaglep3\Utilities\DownloadLogsFromS3.py --loco 4029 --day 2017-11-17</v>
      </c>
      <c r="AN174" s="151" t="str">
        <f t="shared" si="61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15:25:59"},{"id":29,"name":"Sharepoint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168" t="str">
        <f t="shared" si="62"/>
        <v>https://d0f6bd738d7f1b3e5a7ca70fe4ff75f0.us-east-1.aws.found.io/app/kibana#/discover/Steve-Slow-Train-Analysis-(2080s-and-2083s)?_g=(refreshInterval:(display:Off,pause:!f,section:0,value:0),time:(from:'2017-11-17T06:57:20-0700',mode:absolute,to:'2017-11-17T09:25:59-0700'))&amp;_a=(columns:!('Message%20ID',Summary),filters:!(),index:'emp_*',interval:auto,query:(query_string:(analyze_wildcard:!t,query:'%22rtdc.l.rtdc.4029%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3">
      <c r="A175" s="32" t="s">
        <v>716</v>
      </c>
      <c r="B175" s="7">
        <v>4024</v>
      </c>
      <c r="C175" s="21" t="s">
        <v>192</v>
      </c>
      <c r="D175" s="21" t="s">
        <v>1059</v>
      </c>
      <c r="E175" s="13">
        <v>43056.337141203701</v>
      </c>
      <c r="F175" s="13">
        <v>43056.339768518519</v>
      </c>
      <c r="G175" s="7">
        <v>88</v>
      </c>
      <c r="H175" s="21" t="s">
        <v>627</v>
      </c>
      <c r="I175" s="13">
        <v>43056.350243055553</v>
      </c>
      <c r="J175" s="7">
        <v>1</v>
      </c>
      <c r="K175" s="89" t="str">
        <f t="shared" si="48"/>
        <v>4023/4024</v>
      </c>
      <c r="L175" s="185" t="str">
        <f>VLOOKUP(A175,'Trips&amp;Operators'!$C$1:$G$99911,5,FALSE)</f>
        <v>BARRON PERLA</v>
      </c>
      <c r="M175" s="6">
        <f t="shared" si="49"/>
        <v>1.0474537033587694E-2</v>
      </c>
      <c r="N175" s="7">
        <f t="shared" si="69"/>
        <v>15.08333332836628</v>
      </c>
      <c r="O175" s="7"/>
      <c r="P175" s="7"/>
      <c r="Q175" s="22"/>
      <c r="R175" s="174"/>
      <c r="S175" s="221">
        <f t="shared" si="64"/>
        <v>1</v>
      </c>
      <c r="T175" s="174" t="str">
        <f t="shared" si="50"/>
        <v>NorthBound</v>
      </c>
      <c r="U175" s="198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16" t="str">
        <f t="shared" si="51"/>
        <v>https://d0f6bd738d7f1b3e5a7ca70fe4ff75f0.us-east-1.aws.found.io/app/kibana#/discover/Steve-Slow-Train-Analysis-(2080s-and-2083s)?_g=(refreshInterval:(display:Off,pause:!f,section:0,value:0),time:(from:'2017-11-17T07:05:29-0700',mode:absolute,to:'2017-11-17T09:24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75" s="204" t="str">
        <f>IF(AA175&lt;VLOOKUP(AG175,Variables!$AC$3:$AD$8,2,FALSE),"Y","N")</f>
        <v>N</v>
      </c>
      <c r="X175" s="204">
        <f t="shared" si="52"/>
        <v>1</v>
      </c>
      <c r="Y175" s="204">
        <f t="shared" si="70"/>
        <v>0.10580000000000001</v>
      </c>
      <c r="Z175" s="204">
        <f t="shared" si="71"/>
        <v>5.8964999999999996</v>
      </c>
      <c r="AA175" s="204">
        <f t="shared" si="53"/>
        <v>5.7906999999999993</v>
      </c>
      <c r="AB175" s="54" t="e">
        <f>VLOOKUP(A175,Enforcements!$C$7:$K$9,8,0)</f>
        <v>#N/A</v>
      </c>
      <c r="AC175" s="51" t="e">
        <f>VLOOKUP(A175,Enforcements!$C$7:$E$9,3,0)</f>
        <v>#N/A</v>
      </c>
      <c r="AD175" s="179">
        <f t="shared" si="54"/>
        <v>811</v>
      </c>
      <c r="AE175" s="77" t="str">
        <f t="shared" si="55"/>
        <v>aws s3 cp s3://rtdc.mdm.uploadarchive.raw/RTDC4024/ "%USERPROFILE%\AppData\Local\Temp\OnboardLogs"\RTDC4024\2017-11-17 --exclude "*" --recursive --include "*20171117*" &amp; "%USERPROFILE%\Documents\GitHub\mrs-test-scripts\Headless Mode &amp; Sideloading\WalkAndUnGZ.bat" "%USERPROFILE%\AppData\Local\Temp\OnboardLogs"\RTDC4024\2017-11-17 &amp; aws s3 cp s3://rtdc.mdm.uploadarchive.raw/RTDC4024/ "%USERPROFILE%\AppData\Local\Temp\OnboardLogs"\RTDC4024\2017-11-18 --exclude "*" --recursive --include "*20171118*" &amp; "%USERPROFILE%\Documents\GitHub\mrs-test-scripts\Headless Mode &amp; Sideloading\WalkAndUnGZ.bat" "%USERPROFILE%\AppData\Local\Temp\OnboardLogs"\RTDC4024\2017-11-18</v>
      </c>
      <c r="AF175" s="74" t="str">
        <f t="shared" si="56"/>
        <v>"C:\Program Files (x86)\AstroGrep\AstroGrep.exe" /e /r /s /spath="%USERPROFILE%\AppData\Local\Temp\OnboardLogs" /stypes="app*4024*20171117*" /stext=" 15:.+((SYSTEM_STATE.+slice.+state.+changed )|(ment ac)|(multiple cpu faults)|(system.+state.+changed )|(\[timeout)|(PRM\|1\|D)|(kpr)|(kdp)|(train st.+moving)|(\|lc)|(penalty))"</v>
      </c>
      <c r="AG175" s="182" t="str">
        <f t="shared" si="57"/>
        <v>NW</v>
      </c>
      <c r="AH175" s="78" t="str">
        <f t="shared" si="58"/>
        <v>"%USERPROFILE%\Documents\GitHub\eaglep3\Utilities\RefineRTDCRunTimes.py" --tripid 811-17 --locoid 4024 --swversion DE.1.0.9.0 --startMP 204:1058 --initTime 2017-11-17T08:05:29 --startdatetime 2017-11-17T08:09:16 --delay 88 --endMP 300:58965 --enddatetime 2017-11-17T08:24:21 --enforcementcount 1 &gt;&gt;%USERPROFILE%\Documents\GitHub\eaglep3-reporting\EC\2017-11-17-refined-times.txt</v>
      </c>
      <c r="AI175" s="96" t="str">
        <f t="shared" si="59"/>
        <v>echo {"issue":{"subject":"","project_id":79,"tracker_id":40,"status_id":1,"priority_id":2,"assigned_to_id":338,"start_date":"2017-11-17","description":"","custom_fields":[{"id":1,"name":"Subdivision","value":"NW"},{"id":4,"name":"Milepost","value":"5.8965"},{"id":17,"name":"Train ID","value":"811-17"},{"id":16,"name":"Locomotive ID","value":"4024"},{"id":130,"name":"Impact","value":""},{"id":150,"name":"Time of Event (Mountain Time)","value":"08:24:21"},{"id":151,"name":"Denver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5" s="47"/>
      <c r="AL175" s="47"/>
      <c r="AM175" s="142" t="str">
        <f t="shared" si="60"/>
        <v>start /low /b %USERPROFILE%\Documents\GitHub\eaglep3\Utilities\DownloadLogsFromS3.py --loco 4024 --day 2017-11-17</v>
      </c>
      <c r="AN175" s="151" t="str">
        <f t="shared" si="61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15:24:21"},{"id":29,"name":"Sharepoint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168" t="str">
        <f t="shared" si="62"/>
        <v>https://d0f6bd738d7f1b3e5a7ca70fe4ff75f0.us-east-1.aws.found.io/app/kibana#/discover/Steve-Slow-Train-Analysis-(2080s-and-2083s)?_g=(refreshInterval:(display:Off,pause:!f,section:0,value:0),time:(from:'2017-11-17T07:05:29-0700',mode:absolute,to:'2017-11-17T09:24:21-0700'))&amp;_a=(columns:!('Message%20ID',Summary),filters:!(),index:'emp_*',interval:auto,query:(query_string:(analyze_wildcard:!t,query:'%22rtdc.l.rtdc.4024%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3">
      <c r="A176" s="32" t="s">
        <v>720</v>
      </c>
      <c r="B176" s="7">
        <v>4023</v>
      </c>
      <c r="C176" s="21" t="s">
        <v>192</v>
      </c>
      <c r="D176" s="21" t="s">
        <v>535</v>
      </c>
      <c r="E176" s="13">
        <v>43056.351678240739</v>
      </c>
      <c r="F176" s="13">
        <v>43056.363252314812</v>
      </c>
      <c r="G176" s="7">
        <v>73</v>
      </c>
      <c r="H176" s="21" t="s">
        <v>1066</v>
      </c>
      <c r="I176" s="13">
        <v>43056.37228009259</v>
      </c>
      <c r="J176" s="7">
        <v>1</v>
      </c>
      <c r="K176" s="89" t="str">
        <f t="shared" si="48"/>
        <v>4023/4024</v>
      </c>
      <c r="L176" s="185" t="str">
        <f>VLOOKUP(A176,'Trips&amp;Operators'!$C$1:$G$99911,5,FALSE)</f>
        <v>BARRON PERLA</v>
      </c>
      <c r="M176" s="6">
        <f t="shared" si="49"/>
        <v>9.0277777781011537E-3</v>
      </c>
      <c r="N176" s="7">
        <f t="shared" si="69"/>
        <v>13.000000000465661</v>
      </c>
      <c r="O176" s="7"/>
      <c r="P176" s="7"/>
      <c r="Q176" s="22"/>
      <c r="R176" s="174"/>
      <c r="S176" s="221">
        <f t="shared" ref="S176:S210" si="72">1/IF(AG176="EC",12,1)*SUM(U176:U176)</f>
        <v>1</v>
      </c>
      <c r="T176" s="174" t="str">
        <f t="shared" si="50"/>
        <v>Southbound</v>
      </c>
      <c r="U176" s="198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16" t="str">
        <f t="shared" si="51"/>
        <v>https://d0f6bd738d7f1b3e5a7ca70fe4ff75f0.us-east-1.aws.found.io/app/kibana#/discover/Steve-Slow-Train-Analysis-(2080s-and-2083s)?_g=(refreshInterval:(display:Off,pause:!f,section:0,value:0),time:(from:'2017-11-17T07:26:25-0700',mode:absolute,to:'2017-11-17T09:56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76" s="204" t="str">
        <f>IF(AA176&lt;VLOOKUP(AG176,Variables!$AC$3:$AD$8,2,FALSE),"Y","N")</f>
        <v>N</v>
      </c>
      <c r="X176" s="204">
        <f t="shared" si="52"/>
        <v>1</v>
      </c>
      <c r="Y176" s="204">
        <f t="shared" si="70"/>
        <v>5.8643000000000001</v>
      </c>
      <c r="Z176" s="204">
        <f t="shared" si="71"/>
        <v>7.5899999999999995E-2</v>
      </c>
      <c r="AA176" s="204">
        <f t="shared" si="53"/>
        <v>5.7884000000000002</v>
      </c>
      <c r="AB176" s="54" t="e">
        <f>VLOOKUP(A176,Enforcements!$C$7:$K$9,8,0)</f>
        <v>#N/A</v>
      </c>
      <c r="AC176" s="51" t="e">
        <f>VLOOKUP(A176,Enforcements!$C$7:$E$9,3,0)</f>
        <v>#N/A</v>
      </c>
      <c r="AD176" s="179">
        <f t="shared" si="54"/>
        <v>812</v>
      </c>
      <c r="AE176" s="77" t="str">
        <f t="shared" si="55"/>
        <v>aws s3 cp s3://rtdc.mdm.uploadarchive.raw/RTDC4023/ "%USERPROFILE%\AppData\Local\Temp\OnboardLogs"\RTDC4023\2017-11-17 --exclude "*" --recursive --include "*20171117*" &amp; "%USERPROFILE%\Documents\GitHub\mrs-test-scripts\Headless Mode &amp; Sideloading\WalkAndUnGZ.bat" "%USERPROFILE%\AppData\Local\Temp\OnboardLogs"\RTDC4023\2017-11-17 &amp; aws s3 cp s3://rtdc.mdm.uploadarchive.raw/RTDC4023/ "%USERPROFILE%\AppData\Local\Temp\OnboardLogs"\RTDC4023\2017-11-18 --exclude "*" --recursive --include "*20171118*" &amp; "%USERPROFILE%\Documents\GitHub\mrs-test-scripts\Headless Mode &amp; Sideloading\WalkAndUnGZ.bat" "%USERPROFILE%\AppData\Local\Temp\OnboardLogs"\RTDC4023\2017-11-18</v>
      </c>
      <c r="AF176" s="74" t="str">
        <f t="shared" si="56"/>
        <v>"C:\Program Files (x86)\AstroGrep\AstroGrep.exe" /e /r /s /spath="%USERPROFILE%\AppData\Local\Temp\OnboardLogs" /stypes="app*4023*20171117*" /stext=" 15:.+((SYSTEM_STATE.+slice.+state.+changed )|(ment ac)|(multiple cpu faults)|(system.+state.+changed )|(\[timeout)|(PRM\|1\|D)|(kpr)|(kdp)|(train st.+moving)|(\|lc)|(penalty))"</v>
      </c>
      <c r="AG176" s="182" t="str">
        <f t="shared" si="57"/>
        <v>NW</v>
      </c>
      <c r="AH176" s="78" t="str">
        <f t="shared" si="58"/>
        <v>"%USERPROFILE%\Documents\GitHub\eaglep3\Utilities\RefineRTDCRunTimes.py" --tripid 812-17 --locoid 4023 --swversion DE.1.0.9.0 --startMP 300:58643 --initTime 2017-11-17T08:26:25 --startdatetime 2017-11-17T08:43:05 --delay 73 --endMP 204:759 --enddatetime 2017-11-17T08:56:05 --enforcementcount 1 &gt;&gt;%USERPROFILE%\Documents\GitHub\eaglep3-reporting\EC\2017-11-17-refined-times.txt</v>
      </c>
      <c r="AI176" s="96" t="str">
        <f t="shared" si="59"/>
        <v>echo {"issue":{"subject":"","project_id":79,"tracker_id":40,"status_id":1,"priority_id":2,"assigned_to_id":338,"start_date":"2017-11-17","description":"","custom_fields":[{"id":1,"name":"Subdivision","value":"NW"},{"id":4,"name":"Milepost","value":"0.0759"},{"id":17,"name":"Train ID","value":"812-17"},{"id":16,"name":"Locomotive ID","value":"4023"},{"id":130,"name":"Impact","value":""},{"id":150,"name":"Time of Event (Mountain Time)","value":"08:56:05"},{"id":151,"name":"Denver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6" s="47"/>
      <c r="AL176" s="47"/>
      <c r="AM176" s="142" t="str">
        <f t="shared" si="60"/>
        <v>start /low /b %USERPROFILE%\Documents\GitHub\eaglep3\Utilities\DownloadLogsFromS3.py --loco 4023 --day 2017-11-17</v>
      </c>
      <c r="AN176" s="151" t="str">
        <f t="shared" si="61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15:56:05"},{"id":29,"name":"Sharepoint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168" t="str">
        <f t="shared" si="62"/>
        <v>https://d0f6bd738d7f1b3e5a7ca70fe4ff75f0.us-east-1.aws.found.io/app/kibana#/discover/Steve-Slow-Train-Analysis-(2080s-and-2083s)?_g=(refreshInterval:(display:Off,pause:!f,section:0,value:0),time:(from:'2017-11-17T07:26:25-0700',mode:absolute,to:'2017-11-17T09:56:05-0700'))&amp;_a=(columns:!('Message%20ID',Summary),filters:!(),index:'emp_*',interval:auto,query:(query_string:(analyze_wildcard:!t,query:'%22rtdc.l.rtdc.4023%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3">
      <c r="A177" s="32" t="s">
        <v>726</v>
      </c>
      <c r="B177" s="7">
        <v>4024</v>
      </c>
      <c r="C177" s="21" t="s">
        <v>192</v>
      </c>
      <c r="D177" s="21" t="s">
        <v>1067</v>
      </c>
      <c r="E177" s="13">
        <v>43056.377268518518</v>
      </c>
      <c r="F177" s="13">
        <v>43056.381469907406</v>
      </c>
      <c r="G177" s="7">
        <v>80</v>
      </c>
      <c r="H177" s="21" t="s">
        <v>618</v>
      </c>
      <c r="I177" s="13">
        <v>43056.391435185185</v>
      </c>
      <c r="J177" s="7">
        <v>1</v>
      </c>
      <c r="K177" s="89" t="str">
        <f t="shared" si="48"/>
        <v>4023/4024</v>
      </c>
      <c r="L177" s="185" t="str">
        <f>VLOOKUP(A177,'Trips&amp;Operators'!$C$1:$G$99911,5,FALSE)</f>
        <v>BARRON PERLA</v>
      </c>
      <c r="M177" s="6">
        <f t="shared" si="49"/>
        <v>9.9652777789742686E-3</v>
      </c>
      <c r="N177" s="7">
        <f t="shared" si="69"/>
        <v>14.350000001722947</v>
      </c>
      <c r="O177" s="7"/>
      <c r="P177" s="7"/>
      <c r="Q177" s="22"/>
      <c r="R177" s="174"/>
      <c r="S177" s="221">
        <f t="shared" si="72"/>
        <v>1</v>
      </c>
      <c r="T177" s="174" t="str">
        <f t="shared" si="50"/>
        <v>NorthBound</v>
      </c>
      <c r="U177" s="198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16" t="str">
        <f t="shared" si="51"/>
        <v>https://d0f6bd738d7f1b3e5a7ca70fe4ff75f0.us-east-1.aws.found.io/app/kibana#/discover/Steve-Slow-Train-Analysis-(2080s-and-2083s)?_g=(refreshInterval:(display:Off,pause:!f,section:0,value:0),time:(from:'2017-11-17T08:03:16-0700',mode:absolute,to:'2017-11-17T10:23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77" s="204" t="str">
        <f>IF(AA177&lt;VLOOKUP(AG177,Variables!$AC$3:$AD$8,2,FALSE),"Y","N")</f>
        <v>N</v>
      </c>
      <c r="X177" s="204">
        <f t="shared" si="52"/>
        <v>1</v>
      </c>
      <c r="Y177" s="204">
        <f t="shared" si="70"/>
        <v>0.1048</v>
      </c>
      <c r="Z177" s="204">
        <f t="shared" si="71"/>
        <v>5.8945999999999996</v>
      </c>
      <c r="AA177" s="204">
        <f t="shared" si="53"/>
        <v>5.7897999999999996</v>
      </c>
      <c r="AB177" s="54" t="e">
        <f>VLOOKUP(A177,Enforcements!$C$7:$K$9,8,0)</f>
        <v>#N/A</v>
      </c>
      <c r="AC177" s="51" t="e">
        <f>VLOOKUP(A177,Enforcements!$C$7:$E$9,3,0)</f>
        <v>#N/A</v>
      </c>
      <c r="AD177" s="179">
        <f t="shared" si="54"/>
        <v>813</v>
      </c>
      <c r="AE177" s="77" t="str">
        <f t="shared" si="55"/>
        <v>aws s3 cp s3://rtdc.mdm.uploadarchive.raw/RTDC4024/ "%USERPROFILE%\AppData\Local\Temp\OnboardLogs"\RTDC4024\2017-11-17 --exclude "*" --recursive --include "*20171117*" &amp; "%USERPROFILE%\Documents\GitHub\mrs-test-scripts\Headless Mode &amp; Sideloading\WalkAndUnGZ.bat" "%USERPROFILE%\AppData\Local\Temp\OnboardLogs"\RTDC4024\2017-11-17 &amp; aws s3 cp s3://rtdc.mdm.uploadarchive.raw/RTDC4024/ "%USERPROFILE%\AppData\Local\Temp\OnboardLogs"\RTDC4024\2017-11-18 --exclude "*" --recursive --include "*20171118*" &amp; "%USERPROFILE%\Documents\GitHub\mrs-test-scripts\Headless Mode &amp; Sideloading\WalkAndUnGZ.bat" "%USERPROFILE%\AppData\Local\Temp\OnboardLogs"\RTDC4024\2017-11-18</v>
      </c>
      <c r="AF177" s="74" t="str">
        <f t="shared" si="56"/>
        <v>"C:\Program Files (x86)\AstroGrep\AstroGrep.exe" /e /r /s /spath="%USERPROFILE%\AppData\Local\Temp\OnboardLogs" /stypes="app*4024*20171117*" /stext=" 16:.+((SYSTEM_STATE.+slice.+state.+changed )|(ment ac)|(multiple cpu faults)|(system.+state.+changed )|(\[timeout)|(PRM\|1\|D)|(kpr)|(kdp)|(train st.+moving)|(\|lc)|(penalty))"</v>
      </c>
      <c r="AG177" s="182" t="str">
        <f t="shared" si="57"/>
        <v>NW</v>
      </c>
      <c r="AH177" s="78" t="str">
        <f t="shared" si="58"/>
        <v>"%USERPROFILE%\Documents\GitHub\eaglep3\Utilities\RefineRTDCRunTimes.py" --tripid 813-17 --locoid 4024 --swversion DE.1.0.9.0 --startMP 204:1048 --initTime 2017-11-17T09:03:16 --startdatetime 2017-11-17T09:09:19 --delay 80 --endMP 300:58946 --enddatetime 2017-11-17T09:23:40 --enforcementcount 1 &gt;&gt;%USERPROFILE%\Documents\GitHub\eaglep3-reporting\EC\2017-11-17-refined-times.txt</v>
      </c>
      <c r="AI177" s="96" t="str">
        <f t="shared" si="59"/>
        <v>echo {"issue":{"subject":"","project_id":79,"tracker_id":40,"status_id":1,"priority_id":2,"assigned_to_id":338,"start_date":"2017-11-17","description":"","custom_fields":[{"id":1,"name":"Subdivision","value":"NW"},{"id":4,"name":"Milepost","value":"5.8946"},{"id":17,"name":"Train ID","value":"813-17"},{"id":16,"name":"Locomotive ID","value":"4024"},{"id":130,"name":"Impact","value":""},{"id":150,"name":"Time of Event (Mountain Time)","value":"09:23:40"},{"id":151,"name":"Denver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7" s="47"/>
      <c r="AL177" s="47"/>
      <c r="AM177" s="142" t="str">
        <f t="shared" si="60"/>
        <v>start /low /b %USERPROFILE%\Documents\GitHub\eaglep3\Utilities\DownloadLogsFromS3.py --loco 4024 --day 2017-11-17</v>
      </c>
      <c r="AN177" s="151" t="str">
        <f t="shared" si="61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16:23:40"},{"id":29,"name":"Sharepoint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168" t="str">
        <f t="shared" si="62"/>
        <v>https://d0f6bd738d7f1b3e5a7ca70fe4ff75f0.us-east-1.aws.found.io/app/kibana#/discover/Steve-Slow-Train-Analysis-(2080s-and-2083s)?_g=(refreshInterval:(display:Off,pause:!f,section:0,value:0),time:(from:'2017-11-17T08:03:16-0700',mode:absolute,to:'2017-11-17T10:23:40-0700'))&amp;_a=(columns:!('Message%20ID',Summary),filters:!(),index:'emp_*',interval:auto,query:(query_string:(analyze_wildcard:!t,query:'%22rtdc.l.rtdc.4024%22')),sort:!(Time.ISO8601,asc))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3">
      <c r="A178" s="32" t="s">
        <v>730</v>
      </c>
      <c r="B178" s="7">
        <v>4023</v>
      </c>
      <c r="C178" s="21" t="s">
        <v>192</v>
      </c>
      <c r="D178" s="21" t="s">
        <v>620</v>
      </c>
      <c r="E178" s="13">
        <v>43056.393750000003</v>
      </c>
      <c r="F178" s="13">
        <v>43056.40483796296</v>
      </c>
      <c r="G178" s="7">
        <v>59</v>
      </c>
      <c r="H178" s="21" t="s">
        <v>1068</v>
      </c>
      <c r="I178" s="13">
        <v>43056.413425925923</v>
      </c>
      <c r="J178" s="7">
        <v>1</v>
      </c>
      <c r="K178" s="89" t="str">
        <f t="shared" si="48"/>
        <v>4023/4024</v>
      </c>
      <c r="L178" s="185" t="str">
        <f>VLOOKUP(A178,'Trips&amp;Operators'!$C$1:$G$99911,5,FALSE)</f>
        <v>BARRON PERLA</v>
      </c>
      <c r="M178" s="6">
        <f t="shared" si="49"/>
        <v>8.5879629623377696E-3</v>
      </c>
      <c r="N178" s="7">
        <f t="shared" si="69"/>
        <v>12.366666665766388</v>
      </c>
      <c r="O178" s="7"/>
      <c r="P178" s="7"/>
      <c r="Q178" s="22"/>
      <c r="R178" s="174"/>
      <c r="S178" s="221">
        <f t="shared" si="72"/>
        <v>1</v>
      </c>
      <c r="T178" s="174" t="str">
        <f t="shared" si="50"/>
        <v>Southbound</v>
      </c>
      <c r="U178" s="198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16" t="str">
        <f t="shared" si="51"/>
        <v>https://d0f6bd738d7f1b3e5a7ca70fe4ff75f0.us-east-1.aws.found.io/app/kibana#/discover/Steve-Slow-Train-Analysis-(2080s-and-2083s)?_g=(refreshInterval:(display:Off,pause:!f,section:0,value:0),time:(from:'2017-11-17T08:27:00-0700',mode:absolute,to:'2017-11-17T10:55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78" s="204" t="str">
        <f>IF(AA178&lt;VLOOKUP(AG178,Variables!$AC$3:$AD$8,2,FALSE),"Y","N")</f>
        <v>N</v>
      </c>
      <c r="X178" s="204">
        <f t="shared" si="52"/>
        <v>1</v>
      </c>
      <c r="Y178" s="204">
        <f t="shared" si="70"/>
        <v>5.8630000000000004</v>
      </c>
      <c r="Z178" s="204">
        <f t="shared" si="71"/>
        <v>7.7100000000000002E-2</v>
      </c>
      <c r="AA178" s="204">
        <f t="shared" si="53"/>
        <v>5.7859000000000007</v>
      </c>
      <c r="AB178" s="54" t="e">
        <f>VLOOKUP(A178,Enforcements!$C$7:$K$9,8,0)</f>
        <v>#N/A</v>
      </c>
      <c r="AC178" s="51" t="e">
        <f>VLOOKUP(A178,Enforcements!$C$7:$E$9,3,0)</f>
        <v>#N/A</v>
      </c>
      <c r="AD178" s="179">
        <f t="shared" si="54"/>
        <v>814</v>
      </c>
      <c r="AE178" s="77" t="str">
        <f t="shared" si="55"/>
        <v>aws s3 cp s3://rtdc.mdm.uploadarchive.raw/RTDC4023/ "%USERPROFILE%\AppData\Local\Temp\OnboardLogs"\RTDC4023\2017-11-17 --exclude "*" --recursive --include "*20171117*" &amp; "%USERPROFILE%\Documents\GitHub\mrs-test-scripts\Headless Mode &amp; Sideloading\WalkAndUnGZ.bat" "%USERPROFILE%\AppData\Local\Temp\OnboardLogs"\RTDC4023\2017-11-17 &amp; aws s3 cp s3://rtdc.mdm.uploadarchive.raw/RTDC4023/ "%USERPROFILE%\AppData\Local\Temp\OnboardLogs"\RTDC4023\2017-11-18 --exclude "*" --recursive --include "*20171118*" &amp; "%USERPROFILE%\Documents\GitHub\mrs-test-scripts\Headless Mode &amp; Sideloading\WalkAndUnGZ.bat" "%USERPROFILE%\AppData\Local\Temp\OnboardLogs"\RTDC4023\2017-11-18</v>
      </c>
      <c r="AF178" s="74" t="str">
        <f t="shared" si="56"/>
        <v>"C:\Program Files (x86)\AstroGrep\AstroGrep.exe" /e /r /s /spath="%USERPROFILE%\AppData\Local\Temp\OnboardLogs" /stypes="app*4023*20171117*" /stext=" 16:.+((SYSTEM_STATE.+slice.+state.+changed )|(ment ac)|(multiple cpu faults)|(system.+state.+changed )|(\[timeout)|(PRM\|1\|D)|(kpr)|(kdp)|(train st.+moving)|(\|lc)|(penalty))"</v>
      </c>
      <c r="AG178" s="182" t="str">
        <f t="shared" si="57"/>
        <v>NW</v>
      </c>
      <c r="AH178" s="78" t="str">
        <f t="shared" si="58"/>
        <v>"%USERPROFILE%\Documents\GitHub\eaglep3\Utilities\RefineRTDCRunTimes.py" --tripid 814-17 --locoid 4023 --swversion DE.1.0.9.0 --startMP 300:58630 --initTime 2017-11-17T09:27:00 --startdatetime 2017-11-17T09:42:58 --delay 59 --endMP 204:771 --enddatetime 2017-11-17T09:55:20 --enforcementcount 1 &gt;&gt;%USERPROFILE%\Documents\GitHub\eaglep3-reporting\EC\2017-11-17-refined-times.txt</v>
      </c>
      <c r="AI178" s="96" t="str">
        <f t="shared" si="59"/>
        <v>echo {"issue":{"subject":"","project_id":79,"tracker_id":40,"status_id":1,"priority_id":2,"assigned_to_id":338,"start_date":"2017-11-17","description":"","custom_fields":[{"id":1,"name":"Subdivision","value":"NW"},{"id":4,"name":"Milepost","value":"0.0771"},{"id":17,"name":"Train ID","value":"814-17"},{"id":16,"name":"Locomotive ID","value":"4023"},{"id":130,"name":"Impact","value":""},{"id":150,"name":"Time of Event (Mountain Time)","value":"09:55:20"},{"id":151,"name":"Denver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8" s="47"/>
      <c r="AL178" s="47"/>
      <c r="AM178" s="142" t="str">
        <f t="shared" si="60"/>
        <v>start /low /b %USERPROFILE%\Documents\GitHub\eaglep3\Utilities\DownloadLogsFromS3.py --loco 4023 --day 2017-11-17</v>
      </c>
      <c r="AN178" s="151" t="str">
        <f t="shared" si="61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16:55:20"},{"id":29,"name":"Sharepoint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168" t="str">
        <f t="shared" si="62"/>
        <v>https://d0f6bd738d7f1b3e5a7ca70fe4ff75f0.us-east-1.aws.found.io/app/kibana#/discover/Steve-Slow-Train-Analysis-(2080s-and-2083s)?_g=(refreshInterval:(display:Off,pause:!f,section:0,value:0),time:(from:'2017-11-17T08:27:00-0700',mode:absolute,to:'2017-11-17T10:55:20-0700'))&amp;_a=(columns:!('Message%20ID',Summary),filters:!(),index:'emp_*',interval:auto,query:(query_string:(analyze_wildcard:!t,query:'%22rtdc.l.rtdc.4023%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3">
      <c r="A179" s="32" t="s">
        <v>640</v>
      </c>
      <c r="B179" s="7">
        <v>4024</v>
      </c>
      <c r="C179" s="21" t="s">
        <v>192</v>
      </c>
      <c r="D179" s="21" t="s">
        <v>608</v>
      </c>
      <c r="E179" s="13">
        <v>43056.415636574071</v>
      </c>
      <c r="F179" s="13">
        <v>43056.423217592594</v>
      </c>
      <c r="G179" s="7">
        <v>84</v>
      </c>
      <c r="H179" s="21" t="s">
        <v>1069</v>
      </c>
      <c r="I179" s="13">
        <v>43056.434629629628</v>
      </c>
      <c r="J179" s="7">
        <v>1</v>
      </c>
      <c r="K179" s="89" t="str">
        <f t="shared" si="48"/>
        <v>4023/4024</v>
      </c>
      <c r="L179" s="185" t="str">
        <f>VLOOKUP(A179,'Trips&amp;Operators'!$C$1:$G$99911,5,FALSE)</f>
        <v>BARRON PERLA</v>
      </c>
      <c r="M179" s="6">
        <f t="shared" si="49"/>
        <v>1.1412037034460809E-2</v>
      </c>
      <c r="N179" s="7">
        <f t="shared" si="69"/>
        <v>16.433333329623565</v>
      </c>
      <c r="O179" s="7"/>
      <c r="P179" s="7"/>
      <c r="Q179" s="22"/>
      <c r="R179" s="174"/>
      <c r="S179" s="221">
        <f t="shared" si="72"/>
        <v>1</v>
      </c>
      <c r="T179" s="174" t="str">
        <f t="shared" si="50"/>
        <v>NorthBound</v>
      </c>
      <c r="U179" s="198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16" t="str">
        <f t="shared" si="51"/>
        <v>https://d0f6bd738d7f1b3e5a7ca70fe4ff75f0.us-east-1.aws.found.io/app/kibana#/discover/Steve-Slow-Train-Analysis-(2080s-and-2083s)?_g=(refreshInterval:(display:Off,pause:!f,section:0,value:0),time:(from:'2017-11-17T08:58:31-0700',mode:absolute,to:'2017-11-17T11:25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79" s="204" t="str">
        <f>IF(AA179&lt;VLOOKUP(AG179,Variables!$AC$3:$AD$8,2,FALSE),"Y","N")</f>
        <v>N</v>
      </c>
      <c r="X179" s="204">
        <f t="shared" si="52"/>
        <v>1</v>
      </c>
      <c r="Y179" s="204">
        <f t="shared" si="70"/>
        <v>0.10630000000000001</v>
      </c>
      <c r="Z179" s="204">
        <f t="shared" si="71"/>
        <v>5.8952</v>
      </c>
      <c r="AA179" s="204">
        <f t="shared" si="53"/>
        <v>5.7888999999999999</v>
      </c>
      <c r="AB179" s="54" t="e">
        <f>VLOOKUP(A179,Enforcements!$C$7:$K$9,8,0)</f>
        <v>#N/A</v>
      </c>
      <c r="AC179" s="51" t="e">
        <f>VLOOKUP(A179,Enforcements!$C$7:$E$9,3,0)</f>
        <v>#N/A</v>
      </c>
      <c r="AD179" s="179">
        <f t="shared" si="54"/>
        <v>815</v>
      </c>
      <c r="AE179" s="77" t="str">
        <f t="shared" si="55"/>
        <v>aws s3 cp s3://rtdc.mdm.uploadarchive.raw/RTDC4024/ "%USERPROFILE%\AppData\Local\Temp\OnboardLogs"\RTDC4024\2017-11-17 --exclude "*" --recursive --include "*20171117*" &amp; "%USERPROFILE%\Documents\GitHub\mrs-test-scripts\Headless Mode &amp; Sideloading\WalkAndUnGZ.bat" "%USERPROFILE%\AppData\Local\Temp\OnboardLogs"\RTDC4024\2017-11-17 &amp; aws s3 cp s3://rtdc.mdm.uploadarchive.raw/RTDC4024/ "%USERPROFILE%\AppData\Local\Temp\OnboardLogs"\RTDC4024\2017-11-18 --exclude "*" --recursive --include "*20171118*" &amp; "%USERPROFILE%\Documents\GitHub\mrs-test-scripts\Headless Mode &amp; Sideloading\WalkAndUnGZ.bat" "%USERPROFILE%\AppData\Local\Temp\OnboardLogs"\RTDC4024\2017-11-18</v>
      </c>
      <c r="AF179" s="74" t="str">
        <f t="shared" si="56"/>
        <v>"C:\Program Files (x86)\AstroGrep\AstroGrep.exe" /e /r /s /spath="%USERPROFILE%\AppData\Local\Temp\OnboardLogs" /stypes="app*4024*20171117*" /stext=" 17:.+((SYSTEM_STATE.+slice.+state.+changed )|(ment ac)|(multiple cpu faults)|(system.+state.+changed )|(\[timeout)|(PRM\|1\|D)|(kpr)|(kdp)|(train st.+moving)|(\|lc)|(penalty))"</v>
      </c>
      <c r="AG179" s="182" t="str">
        <f t="shared" si="57"/>
        <v>NW</v>
      </c>
      <c r="AH179" s="78" t="str">
        <f t="shared" si="58"/>
        <v>"%USERPROFILE%\Documents\GitHub\eaglep3\Utilities\RefineRTDCRunTimes.py" --tripid 815-17 --locoid 4024 --swversion DE.1.0.9.0 --startMP 204:1063 --initTime 2017-11-17T09:58:31 --startdatetime 2017-11-17T10:09:26 --delay 84 --endMP 300:58952 --enddatetime 2017-11-17T10:25:52 --enforcementcount 1 &gt;&gt;%USERPROFILE%\Documents\GitHub\eaglep3-reporting\EC\2017-11-17-refined-times.txt</v>
      </c>
      <c r="AI179" s="96" t="str">
        <f t="shared" si="59"/>
        <v>echo {"issue":{"subject":"","project_id":79,"tracker_id":40,"status_id":1,"priority_id":2,"assigned_to_id":338,"start_date":"2017-11-17","description":"","custom_fields":[{"id":1,"name":"Subdivision","value":"NW"},{"id":4,"name":"Milepost","value":"5.8952"},{"id":17,"name":"Train ID","value":"815-17"},{"id":16,"name":"Locomotive ID","value":"4024"},{"id":130,"name":"Impact","value":""},{"id":150,"name":"Time of Event (Mountain Time)","value":"10:25:52"},{"id":151,"name":"Denver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9" s="47"/>
      <c r="AL179" s="47"/>
      <c r="AM179" s="142" t="str">
        <f t="shared" si="60"/>
        <v>start /low /b %USERPROFILE%\Documents\GitHub\eaglep3\Utilities\DownloadLogsFromS3.py --loco 4024 --day 2017-11-17</v>
      </c>
      <c r="AN179" s="151" t="str">
        <f t="shared" si="61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17:25:52"},{"id":29,"name":"Sharepoint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168" t="str">
        <f t="shared" si="62"/>
        <v>https://d0f6bd738d7f1b3e5a7ca70fe4ff75f0.us-east-1.aws.found.io/app/kibana#/discover/Steve-Slow-Train-Analysis-(2080s-and-2083s)?_g=(refreshInterval:(display:Off,pause:!f,section:0,value:0),time:(from:'2017-11-17T08:58:31-0700',mode:absolute,to:'2017-11-17T11:25:52-0700'))&amp;_a=(columns:!('Message%20ID',Summary),filters:!(),index:'emp_*',interval:auto,query:(query_string:(analyze_wildcard:!t,query:'%22rtdc.l.rtdc.4024%22')),sort:!(Time.ISO8601,asc))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3">
      <c r="A180" s="32" t="s">
        <v>642</v>
      </c>
      <c r="B180" s="7">
        <v>4023</v>
      </c>
      <c r="C180" s="21" t="s">
        <v>192</v>
      </c>
      <c r="D180" s="21" t="s">
        <v>619</v>
      </c>
      <c r="E180" s="13">
        <v>43056.435810185183</v>
      </c>
      <c r="F180" s="13">
        <v>43056.446631944447</v>
      </c>
      <c r="G180" s="7">
        <v>94</v>
      </c>
      <c r="H180" s="21" t="s">
        <v>1070</v>
      </c>
      <c r="I180" s="13">
        <v>43056.455324074072</v>
      </c>
      <c r="J180" s="7">
        <v>1</v>
      </c>
      <c r="K180" s="89" t="str">
        <f t="shared" si="48"/>
        <v>4023/4024</v>
      </c>
      <c r="L180" s="185" t="str">
        <f>VLOOKUP(A180,'Trips&amp;Operators'!$C$1:$G$99911,5,FALSE)</f>
        <v>BARRON PERLA</v>
      </c>
      <c r="M180" s="6">
        <f t="shared" si="49"/>
        <v>8.6921296242508106E-3</v>
      </c>
      <c r="N180" s="7">
        <f t="shared" si="69"/>
        <v>12.516666658921167</v>
      </c>
      <c r="O180" s="7"/>
      <c r="P180" s="7"/>
      <c r="Q180" s="22"/>
      <c r="R180" s="174"/>
      <c r="S180" s="221">
        <f t="shared" si="72"/>
        <v>1</v>
      </c>
      <c r="T180" s="174" t="str">
        <f t="shared" si="50"/>
        <v>Southbound</v>
      </c>
      <c r="U180" s="198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16" t="str">
        <f t="shared" si="51"/>
        <v>https://d0f6bd738d7f1b3e5a7ca70fe4ff75f0.us-east-1.aws.found.io/app/kibana#/discover/Steve-Slow-Train-Analysis-(2080s-and-2083s)?_g=(refreshInterval:(display:Off,pause:!f,section:0,value:0),time:(from:'2017-11-17T09:27:34-0700',mode:absolute,to:'2017-11-17T11:55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80" s="204" t="str">
        <f>IF(AA180&lt;VLOOKUP(AG180,Variables!$AC$3:$AD$8,2,FALSE),"Y","N")</f>
        <v>Y</v>
      </c>
      <c r="X180" s="204">
        <f t="shared" si="52"/>
        <v>1</v>
      </c>
      <c r="Y180" s="204">
        <f t="shared" si="70"/>
        <v>5.8638000000000003</v>
      </c>
      <c r="Z180" s="204">
        <f t="shared" si="71"/>
        <v>0.4556</v>
      </c>
      <c r="AA180" s="204">
        <f t="shared" si="53"/>
        <v>5.4082000000000008</v>
      </c>
      <c r="AB180" s="54" t="e">
        <f>VLOOKUP(A180,Enforcements!$C$7:$K$9,8,0)</f>
        <v>#N/A</v>
      </c>
      <c r="AC180" s="51" t="e">
        <f>VLOOKUP(A180,Enforcements!$C$7:$E$9,3,0)</f>
        <v>#N/A</v>
      </c>
      <c r="AD180" s="179">
        <f t="shared" si="54"/>
        <v>816</v>
      </c>
      <c r="AE180" s="77" t="str">
        <f t="shared" si="55"/>
        <v>aws s3 cp s3://rtdc.mdm.uploadarchive.raw/RTDC4023/ "%USERPROFILE%\AppData\Local\Temp\OnboardLogs"\RTDC4023\2017-11-17 --exclude "*" --recursive --include "*20171117*" &amp; "%USERPROFILE%\Documents\GitHub\mrs-test-scripts\Headless Mode &amp; Sideloading\WalkAndUnGZ.bat" "%USERPROFILE%\AppData\Local\Temp\OnboardLogs"\RTDC4023\2017-11-17 &amp; aws s3 cp s3://rtdc.mdm.uploadarchive.raw/RTDC4023/ "%USERPROFILE%\AppData\Local\Temp\OnboardLogs"\RTDC4023\2017-11-18 --exclude "*" --recursive --include "*20171118*" &amp; "%USERPROFILE%\Documents\GitHub\mrs-test-scripts\Headless Mode &amp; Sideloading\WalkAndUnGZ.bat" "%USERPROFILE%\AppData\Local\Temp\OnboardLogs"\RTDC4023\2017-11-18</v>
      </c>
      <c r="AF180" s="74" t="str">
        <f t="shared" si="56"/>
        <v>"C:\Program Files (x86)\AstroGrep\AstroGrep.exe" /e /r /s /spath="%USERPROFILE%\AppData\Local\Temp\OnboardLogs" /stypes="app*4023*20171117*" /stext=" 17:.+((SYSTEM_STATE.+slice.+state.+changed )|(ment ac)|(multiple cpu faults)|(system.+state.+changed )|(\[timeout)|(PRM\|1\|D)|(kpr)|(kdp)|(train st.+moving)|(\|lc)|(penalty))"</v>
      </c>
      <c r="AG180" s="182" t="str">
        <f t="shared" si="57"/>
        <v>NW</v>
      </c>
      <c r="AH180" s="78" t="str">
        <f t="shared" si="58"/>
        <v>"%USERPROFILE%\Documents\GitHub\eaglep3\Utilities\RefineRTDCRunTimes.py" --tripid 816-17 --locoid 4023 --swversion DE.1.0.9.0 --startMP 300:58638 --initTime 2017-11-17T10:27:34 --startdatetime 2017-11-17T10:43:09 --delay 94 --endMP 204:4556 --enddatetime 2017-11-17T10:55:40 --enforcementcount 1 &gt;&gt;%USERPROFILE%\Documents\GitHub\eaglep3-reporting\EC\2017-11-17-refined-times.txt</v>
      </c>
      <c r="AI180" s="96" t="str">
        <f t="shared" si="59"/>
        <v>echo {"issue":{"subject":"","project_id":79,"tracker_id":40,"status_id":1,"priority_id":2,"assigned_to_id":338,"start_date":"2017-11-17","description":"","custom_fields":[{"id":1,"name":"Subdivision","value":"NW"},{"id":4,"name":"Milepost","value":"0.4556"},{"id":17,"name":"Train ID","value":"816-17"},{"id":16,"name":"Locomotive ID","value":"4023"},{"id":130,"name":"Impact","value":""},{"id":150,"name":"Time of Event (Mountain Time)","value":"10:55:40"},{"id":151,"name":"Denver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0" s="47"/>
      <c r="AL180" s="47"/>
      <c r="AM180" s="142" t="str">
        <f t="shared" si="60"/>
        <v>start /low /b %USERPROFILE%\Documents\GitHub\eaglep3\Utilities\DownloadLogsFromS3.py --loco 4023 --day 2017-11-17</v>
      </c>
      <c r="AN180" s="151" t="str">
        <f t="shared" si="61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17:55:40"},{"id":29,"name":"Sharepoint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168" t="str">
        <f t="shared" si="62"/>
        <v>https://d0f6bd738d7f1b3e5a7ca70fe4ff75f0.us-east-1.aws.found.io/app/kibana#/discover/Steve-Slow-Train-Analysis-(2080s-and-2083s)?_g=(refreshInterval:(display:Off,pause:!f,section:0,value:0),time:(from:'2017-11-17T09:27:34-0700',mode:absolute,to:'2017-11-17T11:55:40-0700'))&amp;_a=(columns:!('Message%20ID',Summary),filters:!(),index:'emp_*',interval:auto,query:(query_string:(analyze_wildcard:!t,query:'%22rtdc.l.rtdc.4023%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3">
      <c r="A181" s="32" t="s">
        <v>745</v>
      </c>
      <c r="B181" s="7">
        <v>4024</v>
      </c>
      <c r="C181" s="21" t="s">
        <v>192</v>
      </c>
      <c r="D181" s="21" t="s">
        <v>615</v>
      </c>
      <c r="E181" s="13">
        <v>43056.459560185183</v>
      </c>
      <c r="F181" s="13">
        <v>43056.464814814812</v>
      </c>
      <c r="G181" s="7">
        <v>100</v>
      </c>
      <c r="H181" s="21" t="s">
        <v>1060</v>
      </c>
      <c r="I181" s="13">
        <v>43056.475706018522</v>
      </c>
      <c r="J181" s="7">
        <v>1</v>
      </c>
      <c r="K181" s="89" t="str">
        <f t="shared" si="48"/>
        <v>4023/4024</v>
      </c>
      <c r="L181" s="185" t="str">
        <f>VLOOKUP(A181,'Trips&amp;Operators'!$C$1:$G$99911,5,FALSE)</f>
        <v>BARRON PERLA</v>
      </c>
      <c r="M181" s="6">
        <f t="shared" si="49"/>
        <v>1.0891203710343689E-2</v>
      </c>
      <c r="N181" s="7">
        <f t="shared" si="69"/>
        <v>15.683333342894912</v>
      </c>
      <c r="O181" s="7"/>
      <c r="P181" s="7"/>
      <c r="Q181" s="22"/>
      <c r="R181" s="174"/>
      <c r="S181" s="221">
        <f t="shared" si="72"/>
        <v>1</v>
      </c>
      <c r="T181" s="174" t="str">
        <f t="shared" si="50"/>
        <v>NorthBound</v>
      </c>
      <c r="U181" s="198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16" t="str">
        <f t="shared" si="51"/>
        <v>https://d0f6bd738d7f1b3e5a7ca70fe4ff75f0.us-east-1.aws.found.io/app/kibana#/discover/Steve-Slow-Train-Analysis-(2080s-and-2083s)?_g=(refreshInterval:(display:Off,pause:!f,section:0,value:0),time:(from:'2017-11-17T10:01:46-0700',mode:absolute,to:'2017-11-17T12:25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81" s="204" t="str">
        <f>IF(AA181&lt;VLOOKUP(AG181,Variables!$AC$3:$AD$8,2,FALSE),"Y","N")</f>
        <v>N</v>
      </c>
      <c r="X181" s="204">
        <f t="shared" si="52"/>
        <v>1</v>
      </c>
      <c r="Y181" s="204">
        <f t="shared" si="70"/>
        <v>0.10489999999999999</v>
      </c>
      <c r="Z181" s="204">
        <f t="shared" si="71"/>
        <v>5.8943000000000003</v>
      </c>
      <c r="AA181" s="204">
        <f t="shared" si="53"/>
        <v>5.7894000000000005</v>
      </c>
      <c r="AB181" s="54" t="e">
        <f>VLOOKUP(A181,Enforcements!$C$7:$K$9,8,0)</f>
        <v>#N/A</v>
      </c>
      <c r="AC181" s="51" t="e">
        <f>VLOOKUP(A181,Enforcements!$C$7:$E$9,3,0)</f>
        <v>#N/A</v>
      </c>
      <c r="AD181" s="179">
        <f t="shared" si="54"/>
        <v>817</v>
      </c>
      <c r="AE181" s="77" t="str">
        <f t="shared" si="55"/>
        <v>aws s3 cp s3://rtdc.mdm.uploadarchive.raw/RTDC4024/ "%USERPROFILE%\AppData\Local\Temp\OnboardLogs"\RTDC4024\2017-11-17 --exclude "*" --recursive --include "*20171117*" &amp; "%USERPROFILE%\Documents\GitHub\mrs-test-scripts\Headless Mode &amp; Sideloading\WalkAndUnGZ.bat" "%USERPROFILE%\AppData\Local\Temp\OnboardLogs"\RTDC4024\2017-11-17 &amp; aws s3 cp s3://rtdc.mdm.uploadarchive.raw/RTDC4024/ "%USERPROFILE%\AppData\Local\Temp\OnboardLogs"\RTDC4024\2017-11-18 --exclude "*" --recursive --include "*20171118*" &amp; "%USERPROFILE%\Documents\GitHub\mrs-test-scripts\Headless Mode &amp; Sideloading\WalkAndUnGZ.bat" "%USERPROFILE%\AppData\Local\Temp\OnboardLogs"\RTDC4024\2017-11-18</v>
      </c>
      <c r="AF181" s="74" t="str">
        <f t="shared" si="56"/>
        <v>"C:\Program Files (x86)\AstroGrep\AstroGrep.exe" /e /r /s /spath="%USERPROFILE%\AppData\Local\Temp\OnboardLogs" /stypes="app*4024*20171117*" /stext=" 18:.+((SYSTEM_STATE.+slice.+state.+changed )|(ment ac)|(multiple cpu faults)|(system.+state.+changed )|(\[timeout)|(PRM\|1\|D)|(kpr)|(kdp)|(train st.+moving)|(\|lc)|(penalty))"</v>
      </c>
      <c r="AG181" s="182" t="str">
        <f t="shared" si="57"/>
        <v>NW</v>
      </c>
      <c r="AH181" s="78" t="str">
        <f t="shared" si="58"/>
        <v>"%USERPROFILE%\Documents\GitHub\eaglep3\Utilities\RefineRTDCRunTimes.py" --tripid 817-17 --locoid 4024 --swversion DE.1.0.9.0 --startMP 204:1049 --initTime 2017-11-17T11:01:46 --startdatetime 2017-11-17T11:09:20 --delay 100 --endMP 300:58943 --enddatetime 2017-11-17T11:25:01 --enforcementcount 1 &gt;&gt;%USERPROFILE%\Documents\GitHub\eaglep3-reporting\EC\2017-11-17-refined-times.txt</v>
      </c>
      <c r="AI181" s="96" t="str">
        <f t="shared" si="59"/>
        <v>echo {"issue":{"subject":"","project_id":79,"tracker_id":40,"status_id":1,"priority_id":2,"assigned_to_id":338,"start_date":"2017-11-17","description":"","custom_fields":[{"id":1,"name":"Subdivision","value":"NW"},{"id":4,"name":"Milepost","value":"5.8943"},{"id":17,"name":"Train ID","value":"817-17"},{"id":16,"name":"Locomotive ID","value":"4024"},{"id":130,"name":"Impact","value":""},{"id":150,"name":"Time of Event (Mountain Time)","value":"11:25:01"},{"id":151,"name":"Denver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1" s="47"/>
      <c r="AL181" s="47"/>
      <c r="AM181" s="142" t="str">
        <f t="shared" si="60"/>
        <v>start /low /b %USERPROFILE%\Documents\GitHub\eaglep3\Utilities\DownloadLogsFromS3.py --loco 4024 --day 2017-11-17</v>
      </c>
      <c r="AN181" s="151" t="str">
        <f t="shared" si="61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18:25:01"},{"id":29,"name":"Sharepoint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168" t="str">
        <f t="shared" si="62"/>
        <v>https://d0f6bd738d7f1b3e5a7ca70fe4ff75f0.us-east-1.aws.found.io/app/kibana#/discover/Steve-Slow-Train-Analysis-(2080s-and-2083s)?_g=(refreshInterval:(display:Off,pause:!f,section:0,value:0),time:(from:'2017-11-17T10:01:46-0700',mode:absolute,to:'2017-11-17T12:25:01-0700'))&amp;_a=(columns:!('Message%20ID',Summary),filters:!(),index:'emp_*',interval:auto,query:(query_string:(analyze_wildcard:!t,query:'%22rtdc.l.rtdc.4024%22')),sort:!(Time.ISO8601,asc))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0" customFormat="1" x14ac:dyDescent="0.3">
      <c r="A182" s="32" t="s">
        <v>644</v>
      </c>
      <c r="B182" s="7">
        <v>4023</v>
      </c>
      <c r="C182" s="21" t="s">
        <v>192</v>
      </c>
      <c r="D182" s="21" t="s">
        <v>532</v>
      </c>
      <c r="E182" s="13">
        <v>43056.477002314816</v>
      </c>
      <c r="F182" s="13">
        <v>43056.488159722219</v>
      </c>
      <c r="G182" s="7">
        <v>65</v>
      </c>
      <c r="H182" s="21" t="s">
        <v>623</v>
      </c>
      <c r="I182" s="13">
        <v>43056.496365740742</v>
      </c>
      <c r="J182" s="7">
        <v>1</v>
      </c>
      <c r="K182" s="89" t="str">
        <f t="shared" si="48"/>
        <v>4023/4024</v>
      </c>
      <c r="L182" s="185" t="str">
        <f>VLOOKUP(A182,'Trips&amp;Operators'!$C$1:$G$99911,5,FALSE)</f>
        <v>BARRON PERLA</v>
      </c>
      <c r="M182" s="6">
        <f t="shared" si="49"/>
        <v>8.2060185231966898E-3</v>
      </c>
      <c r="N182" s="7">
        <f t="shared" si="69"/>
        <v>11.816666673403233</v>
      </c>
      <c r="O182" s="7"/>
      <c r="P182" s="7"/>
      <c r="Q182" s="22"/>
      <c r="R182" s="174"/>
      <c r="S182" s="221">
        <f t="shared" si="72"/>
        <v>1</v>
      </c>
      <c r="T182" s="174" t="str">
        <f t="shared" si="50"/>
        <v>Southbound</v>
      </c>
      <c r="U182" s="198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16" t="str">
        <f t="shared" si="51"/>
        <v>https://d0f6bd738d7f1b3e5a7ca70fe4ff75f0.us-east-1.aws.found.io/app/kibana#/discover/Steve-Slow-Train-Analysis-(2080s-and-2083s)?_g=(refreshInterval:(display:Off,pause:!f,section:0,value:0),time:(from:'2017-11-17T10:26:53-0700',mode:absolute,to:'2017-11-17T12:54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82" s="204" t="str">
        <f>IF(AA182&lt;VLOOKUP(AG182,Variables!$AC$3:$AD$8,2,FALSE),"Y","N")</f>
        <v>N</v>
      </c>
      <c r="X182" s="204">
        <f t="shared" si="52"/>
        <v>1</v>
      </c>
      <c r="Y182" s="204">
        <f t="shared" si="70"/>
        <v>5.8619000000000003</v>
      </c>
      <c r="Z182" s="204">
        <f t="shared" si="71"/>
        <v>8.0299999999999996E-2</v>
      </c>
      <c r="AA182" s="204">
        <f t="shared" si="53"/>
        <v>5.7816000000000001</v>
      </c>
      <c r="AB182" s="54" t="e">
        <f>VLOOKUP(A182,Enforcements!$C$7:$K$9,8,0)</f>
        <v>#N/A</v>
      </c>
      <c r="AC182" s="51" t="e">
        <f>VLOOKUP(A182,Enforcements!$C$7:$E$9,3,0)</f>
        <v>#N/A</v>
      </c>
      <c r="AD182" s="179">
        <f t="shared" si="54"/>
        <v>818</v>
      </c>
      <c r="AE182" s="77" t="str">
        <f t="shared" si="55"/>
        <v>aws s3 cp s3://rtdc.mdm.uploadarchive.raw/RTDC4023/ "%USERPROFILE%\AppData\Local\Temp\OnboardLogs"\RTDC4023\2017-11-17 --exclude "*" --recursive --include "*20171117*" &amp; "%USERPROFILE%\Documents\GitHub\mrs-test-scripts\Headless Mode &amp; Sideloading\WalkAndUnGZ.bat" "%USERPROFILE%\AppData\Local\Temp\OnboardLogs"\RTDC4023\2017-11-17 &amp; aws s3 cp s3://rtdc.mdm.uploadarchive.raw/RTDC4023/ "%USERPROFILE%\AppData\Local\Temp\OnboardLogs"\RTDC4023\2017-11-18 --exclude "*" --recursive --include "*20171118*" &amp; "%USERPROFILE%\Documents\GitHub\mrs-test-scripts\Headless Mode &amp; Sideloading\WalkAndUnGZ.bat" "%USERPROFILE%\AppData\Local\Temp\OnboardLogs"\RTDC4023\2017-11-18</v>
      </c>
      <c r="AF182" s="74" t="str">
        <f t="shared" si="56"/>
        <v>"C:\Program Files (x86)\AstroGrep\AstroGrep.exe" /e /r /s /spath="%USERPROFILE%\AppData\Local\Temp\OnboardLogs" /stypes="app*4023*20171117*" /stext=" 18:.+((SYSTEM_STATE.+slice.+state.+changed )|(ment ac)|(multiple cpu faults)|(system.+state.+changed )|(\[timeout)|(PRM\|1\|D)|(kpr)|(kdp)|(train st.+moving)|(\|lc)|(penalty))"</v>
      </c>
      <c r="AG182" s="182" t="str">
        <f t="shared" si="57"/>
        <v>NW</v>
      </c>
      <c r="AH182" s="78" t="str">
        <f t="shared" si="58"/>
        <v>"%USERPROFILE%\Documents\GitHub\eaglep3\Utilities\RefineRTDCRunTimes.py" --tripid 818-17 --locoid 4023 --swversion DE.1.0.9.0 --startMP 300:58619 --initTime 2017-11-17T11:26:53 --startdatetime 2017-11-17T11:42:57 --delay 65 --endMP 204:803 --enddatetime 2017-11-17T11:54:46 --enforcementcount 1 &gt;&gt;%USERPROFILE%\Documents\GitHub\eaglep3-reporting\EC\2017-11-17-refined-times.txt</v>
      </c>
      <c r="AI182" s="96" t="str">
        <f t="shared" si="59"/>
        <v>echo {"issue":{"subject":"","project_id":79,"tracker_id":40,"status_id":1,"priority_id":2,"assigned_to_id":338,"start_date":"2017-11-17","description":"","custom_fields":[{"id":1,"name":"Subdivision","value":"NW"},{"id":4,"name":"Milepost","value":"0.0803"},{"id":17,"name":"Train ID","value":"818-17"},{"id":16,"name":"Locomotive ID","value":"4023"},{"id":130,"name":"Impact","value":""},{"id":150,"name":"Time of Event (Mountain Time)","value":"11:54:46"},{"id":151,"name":"Denver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2" s="47"/>
      <c r="AL182" s="47"/>
      <c r="AM182" s="142" t="str">
        <f t="shared" si="60"/>
        <v>start /low /b %USERPROFILE%\Documents\GitHub\eaglep3\Utilities\DownloadLogsFromS3.py --loco 4023 --day 2017-11-17</v>
      </c>
      <c r="AN182" s="151" t="str">
        <f t="shared" si="61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18:54:46"},{"id":29,"name":"Sharepoint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168" t="str">
        <f t="shared" si="62"/>
        <v>https://d0f6bd738d7f1b3e5a7ca70fe4ff75f0.us-east-1.aws.found.io/app/kibana#/discover/Steve-Slow-Train-Analysis-(2080s-and-2083s)?_g=(refreshInterval:(display:Off,pause:!f,section:0,value:0),time:(from:'2017-11-17T10:26:53-0700',mode:absolute,to:'2017-11-17T12:54:46-0700'))&amp;_a=(columns:!('Message%20ID',Summary),filters:!(),index:'emp_*',interval:auto,query:(query_string:(analyze_wildcard:!t,query:'%22rtdc.l.rtdc.4023%22')),sort:!(Time.ISO8601,asc))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0" customFormat="1" x14ac:dyDescent="0.3">
      <c r="A183" s="32" t="s">
        <v>761</v>
      </c>
      <c r="B183" s="7">
        <v>4024</v>
      </c>
      <c r="C183" s="21" t="s">
        <v>192</v>
      </c>
      <c r="D183" s="21" t="s">
        <v>1071</v>
      </c>
      <c r="E183" s="13">
        <v>43056.500937500001</v>
      </c>
      <c r="F183" s="13">
        <v>43056.50644675926</v>
      </c>
      <c r="G183" s="7">
        <v>63</v>
      </c>
      <c r="H183" s="21" t="s">
        <v>618</v>
      </c>
      <c r="I183" s="13">
        <v>43056.51699074074</v>
      </c>
      <c r="J183" s="7">
        <v>1</v>
      </c>
      <c r="K183" s="89" t="str">
        <f t="shared" si="48"/>
        <v>4023/4024</v>
      </c>
      <c r="L183" s="185" t="str">
        <f>VLOOKUP(A183,'Trips&amp;Operators'!$C$1:$G$99911,5,FALSE)</f>
        <v>BARRON PERLA</v>
      </c>
      <c r="M183" s="6">
        <f t="shared" si="49"/>
        <v>1.0543981479713693E-2</v>
      </c>
      <c r="N183" s="7">
        <f t="shared" si="69"/>
        <v>15.183333330787718</v>
      </c>
      <c r="O183" s="7"/>
      <c r="P183" s="7"/>
      <c r="Q183" s="22"/>
      <c r="R183" s="174"/>
      <c r="S183" s="221">
        <f t="shared" si="72"/>
        <v>1</v>
      </c>
      <c r="T183" s="174" t="str">
        <f t="shared" si="50"/>
        <v>NorthBound</v>
      </c>
      <c r="U183" s="198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16" t="str">
        <f t="shared" si="51"/>
        <v>https://d0f6bd738d7f1b3e5a7ca70fe4ff75f0.us-east-1.aws.found.io/app/kibana#/discover/Steve-Slow-Train-Analysis-(2080s-and-2083s)?_g=(refreshInterval:(display:Off,pause:!f,section:0,value:0),time:(from:'2017-11-17T11:01:21-0700',mode:absolute,to:'2017-11-17T13:24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83" s="204" t="str">
        <f>IF(AA183&lt;VLOOKUP(AG183,Variables!$AC$3:$AD$8,2,FALSE),"Y","N")</f>
        <v>N</v>
      </c>
      <c r="X183" s="204">
        <f t="shared" si="52"/>
        <v>1</v>
      </c>
      <c r="Y183" s="204">
        <f t="shared" si="70"/>
        <v>0.109</v>
      </c>
      <c r="Z183" s="204">
        <f t="shared" si="71"/>
        <v>5.8945999999999996</v>
      </c>
      <c r="AA183" s="204">
        <f t="shared" si="53"/>
        <v>5.7855999999999996</v>
      </c>
      <c r="AB183" s="54" t="e">
        <f>VLOOKUP(A183,Enforcements!$C$7:$K$9,8,0)</f>
        <v>#N/A</v>
      </c>
      <c r="AC183" s="51" t="e">
        <f>VLOOKUP(A183,Enforcements!$C$7:$E$9,3,0)</f>
        <v>#N/A</v>
      </c>
      <c r="AD183" s="179">
        <f t="shared" si="54"/>
        <v>819</v>
      </c>
      <c r="AE183" s="77" t="str">
        <f t="shared" si="55"/>
        <v>aws s3 cp s3://rtdc.mdm.uploadarchive.raw/RTDC4024/ "%USERPROFILE%\AppData\Local\Temp\OnboardLogs"\RTDC4024\2017-11-17 --exclude "*" --recursive --include "*20171117*" &amp; "%USERPROFILE%\Documents\GitHub\mrs-test-scripts\Headless Mode &amp; Sideloading\WalkAndUnGZ.bat" "%USERPROFILE%\AppData\Local\Temp\OnboardLogs"\RTDC4024\2017-11-17 &amp; aws s3 cp s3://rtdc.mdm.uploadarchive.raw/RTDC4024/ "%USERPROFILE%\AppData\Local\Temp\OnboardLogs"\RTDC4024\2017-11-18 --exclude "*" --recursive --include "*20171118*" &amp; "%USERPROFILE%\Documents\GitHub\mrs-test-scripts\Headless Mode &amp; Sideloading\WalkAndUnGZ.bat" "%USERPROFILE%\AppData\Local\Temp\OnboardLogs"\RTDC4024\2017-11-18</v>
      </c>
      <c r="AF183" s="74" t="str">
        <f t="shared" si="56"/>
        <v>"C:\Program Files (x86)\AstroGrep\AstroGrep.exe" /e /r /s /spath="%USERPROFILE%\AppData\Local\Temp\OnboardLogs" /stypes="app*4024*20171117*" /stext=" 19:.+((SYSTEM_STATE.+slice.+state.+changed )|(ment ac)|(multiple cpu faults)|(system.+state.+changed )|(\[timeout)|(PRM\|1\|D)|(kpr)|(kdp)|(train st.+moving)|(\|lc)|(penalty))"</v>
      </c>
      <c r="AG183" s="182" t="str">
        <f t="shared" si="57"/>
        <v>NW</v>
      </c>
      <c r="AH183" s="78" t="str">
        <f t="shared" si="58"/>
        <v>"%USERPROFILE%\Documents\GitHub\eaglep3\Utilities\RefineRTDCRunTimes.py" --tripid 819-17 --locoid 4024 --swversion DE.1.0.9.0 --startMP 204:1090 --initTime 2017-11-17T12:01:21 --startdatetime 2017-11-17T12:09:17 --delay 63 --endMP 300:58946 --enddatetime 2017-11-17T12:24:28 --enforcementcount 1 &gt;&gt;%USERPROFILE%\Documents\GitHub\eaglep3-reporting\EC\2017-11-17-refined-times.txt</v>
      </c>
      <c r="AI183" s="96" t="str">
        <f t="shared" si="59"/>
        <v>echo {"issue":{"subject":"","project_id":79,"tracker_id":40,"status_id":1,"priority_id":2,"assigned_to_id":338,"start_date":"2017-11-17","description":"","custom_fields":[{"id":1,"name":"Subdivision","value":"NW"},{"id":4,"name":"Milepost","value":"5.8946"},{"id":17,"name":"Train ID","value":"819-17"},{"id":16,"name":"Locomotive ID","value":"4024"},{"id":130,"name":"Impact","value":""},{"id":150,"name":"Time of Event (Mountain Time)","value":"12:24:28"},{"id":151,"name":"Denver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3" s="47"/>
      <c r="AL183" s="47"/>
      <c r="AM183" s="142" t="str">
        <f t="shared" si="60"/>
        <v>start /low /b %USERPROFILE%\Documents\GitHub\eaglep3\Utilities\DownloadLogsFromS3.py --loco 4024 --day 2017-11-17</v>
      </c>
      <c r="AN183" s="151" t="str">
        <f t="shared" si="61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19:24:28"},{"id":29,"name":"Sharepoint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168" t="str">
        <f t="shared" si="62"/>
        <v>https://d0f6bd738d7f1b3e5a7ca70fe4ff75f0.us-east-1.aws.found.io/app/kibana#/discover/Steve-Slow-Train-Analysis-(2080s-and-2083s)?_g=(refreshInterval:(display:Off,pause:!f,section:0,value:0),time:(from:'2017-11-17T11:01:21-0700',mode:absolute,to:'2017-11-17T13:24:28-0700'))&amp;_a=(columns:!('Message%20ID',Summary),filters:!(),index:'emp_*',interval:auto,query:(query_string:(analyze_wildcard:!t,query:'%22rtdc.l.rtdc.4024%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3">
      <c r="A184" s="32" t="s">
        <v>764</v>
      </c>
      <c r="B184" s="7">
        <v>4023</v>
      </c>
      <c r="C184" s="21" t="s">
        <v>192</v>
      </c>
      <c r="D184" s="21" t="s">
        <v>625</v>
      </c>
      <c r="E184" s="13">
        <v>43056.518495370372</v>
      </c>
      <c r="F184" s="13">
        <v>43056.529768518521</v>
      </c>
      <c r="G184" s="7">
        <v>60</v>
      </c>
      <c r="H184" s="21" t="s">
        <v>1072</v>
      </c>
      <c r="I184" s="13">
        <v>43056.538263888891</v>
      </c>
      <c r="J184" s="7">
        <v>1</v>
      </c>
      <c r="K184" s="89" t="str">
        <f t="shared" si="48"/>
        <v>4023/4024</v>
      </c>
      <c r="L184" s="185" t="str">
        <f>VLOOKUP(A184,'Trips&amp;Operators'!$C$1:$G$99911,5,FALSE)</f>
        <v>BARRON PERLA</v>
      </c>
      <c r="M184" s="6">
        <f t="shared" si="49"/>
        <v>8.4953703699284233E-3</v>
      </c>
      <c r="N184" s="7">
        <f t="shared" si="69"/>
        <v>12.23333333269693</v>
      </c>
      <c r="O184" s="7"/>
      <c r="P184" s="7"/>
      <c r="Q184" s="22"/>
      <c r="R184" s="174"/>
      <c r="S184" s="221">
        <f t="shared" si="72"/>
        <v>1</v>
      </c>
      <c r="T184" s="174" t="str">
        <f t="shared" si="50"/>
        <v>Southbound</v>
      </c>
      <c r="U184" s="198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16" t="str">
        <f t="shared" si="51"/>
        <v>https://d0f6bd738d7f1b3e5a7ca70fe4ff75f0.us-east-1.aws.found.io/app/kibana#/discover/Steve-Slow-Train-Analysis-(2080s-and-2083s)?_g=(refreshInterval:(display:Off,pause:!f,section:0,value:0),time:(from:'2017-11-17T11:26:38-0700',mode:absolute,to:'2017-11-17T13:55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84" s="204" t="str">
        <f>IF(AA184&lt;VLOOKUP(AG184,Variables!$AC$3:$AD$8,2,FALSE),"Y","N")</f>
        <v>N</v>
      </c>
      <c r="X184" s="204">
        <f t="shared" si="52"/>
        <v>1</v>
      </c>
      <c r="Y184" s="204">
        <f t="shared" si="70"/>
        <v>5.8625999999999996</v>
      </c>
      <c r="Z184" s="204">
        <f t="shared" si="71"/>
        <v>7.8E-2</v>
      </c>
      <c r="AA184" s="204">
        <f t="shared" si="53"/>
        <v>5.7845999999999993</v>
      </c>
      <c r="AB184" s="54" t="e">
        <f>VLOOKUP(A184,Enforcements!$C$7:$K$9,8,0)</f>
        <v>#N/A</v>
      </c>
      <c r="AC184" s="51" t="e">
        <f>VLOOKUP(A184,Enforcements!$C$7:$E$9,3,0)</f>
        <v>#N/A</v>
      </c>
      <c r="AD184" s="179">
        <f t="shared" si="54"/>
        <v>820</v>
      </c>
      <c r="AE184" s="77" t="str">
        <f t="shared" si="55"/>
        <v>aws s3 cp s3://rtdc.mdm.uploadarchive.raw/RTDC4023/ "%USERPROFILE%\AppData\Local\Temp\OnboardLogs"\RTDC4023\2017-11-17 --exclude "*" --recursive --include "*20171117*" &amp; "%USERPROFILE%\Documents\GitHub\mrs-test-scripts\Headless Mode &amp; Sideloading\WalkAndUnGZ.bat" "%USERPROFILE%\AppData\Local\Temp\OnboardLogs"\RTDC4023\2017-11-17 &amp; aws s3 cp s3://rtdc.mdm.uploadarchive.raw/RTDC4023/ "%USERPROFILE%\AppData\Local\Temp\OnboardLogs"\RTDC4023\2017-11-18 --exclude "*" --recursive --include "*20171118*" &amp; "%USERPROFILE%\Documents\GitHub\mrs-test-scripts\Headless Mode &amp; Sideloading\WalkAndUnGZ.bat" "%USERPROFILE%\AppData\Local\Temp\OnboardLogs"\RTDC4023\2017-11-18</v>
      </c>
      <c r="AF184" s="74" t="str">
        <f t="shared" si="56"/>
        <v>"C:\Program Files (x86)\AstroGrep\AstroGrep.exe" /e /r /s /spath="%USERPROFILE%\AppData\Local\Temp\OnboardLogs" /stypes="app*4023*20171117*" /stext=" 19:.+((SYSTEM_STATE.+slice.+state.+changed )|(ment ac)|(multiple cpu faults)|(system.+state.+changed )|(\[timeout)|(PRM\|1\|D)|(kpr)|(kdp)|(train st.+moving)|(\|lc)|(penalty))"</v>
      </c>
      <c r="AG184" s="182" t="str">
        <f t="shared" si="57"/>
        <v>NW</v>
      </c>
      <c r="AH184" s="78" t="str">
        <f t="shared" si="58"/>
        <v>"%USERPROFILE%\Documents\GitHub\eaglep3\Utilities\RefineRTDCRunTimes.py" --tripid 820-17 --locoid 4023 --swversion DE.1.0.9.0 --startMP 300:58626 --initTime 2017-11-17T12:26:38 --startdatetime 2017-11-17T12:42:52 --delay 60 --endMP 204:780 --enddatetime 2017-11-17T12:55:06 --enforcementcount 1 &gt;&gt;%USERPROFILE%\Documents\GitHub\eaglep3-reporting\EC\2017-11-17-refined-times.txt</v>
      </c>
      <c r="AI184" s="96" t="str">
        <f t="shared" si="59"/>
        <v>echo {"issue":{"subject":"","project_id":79,"tracker_id":40,"status_id":1,"priority_id":2,"assigned_to_id":338,"start_date":"2017-11-17","description":"","custom_fields":[{"id":1,"name":"Subdivision","value":"NW"},{"id":4,"name":"Milepost","value":"0.078"},{"id":17,"name":"Train ID","value":"820-17"},{"id":16,"name":"Locomotive ID","value":"4023"},{"id":130,"name":"Impact","value":""},{"id":150,"name":"Time of Event (Mountain Time)","value":"12:55:06"},{"id":151,"name":"Denver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4" s="47"/>
      <c r="AL184" s="47"/>
      <c r="AM184" s="142" t="str">
        <f t="shared" si="60"/>
        <v>start /low /b %USERPROFILE%\Documents\GitHub\eaglep3\Utilities\DownloadLogsFromS3.py --loco 4023 --day 2017-11-17</v>
      </c>
      <c r="AN184" s="151" t="str">
        <f t="shared" si="61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19:55:06"},{"id":29,"name":"Sharepoint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168" t="str">
        <f t="shared" si="62"/>
        <v>https://d0f6bd738d7f1b3e5a7ca70fe4ff75f0.us-east-1.aws.found.io/app/kibana#/discover/Steve-Slow-Train-Analysis-(2080s-and-2083s)?_g=(refreshInterval:(display:Off,pause:!f,section:0,value:0),time:(from:'2017-11-17T11:26:38-0700',mode:absolute,to:'2017-11-17T13:55:06-0700'))&amp;_a=(columns:!('Message%20ID',Summary),filters:!(),index:'emp_*',interval:auto,query:(query_string:(analyze_wildcard:!t,query:'%22rtdc.l.rtdc.4023%22')),sort:!(Time.ISO8601,asc))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3">
      <c r="A185" s="32" t="s">
        <v>772</v>
      </c>
      <c r="B185" s="7">
        <v>4024</v>
      </c>
      <c r="C185" s="21" t="s">
        <v>192</v>
      </c>
      <c r="D185" s="21" t="s">
        <v>1073</v>
      </c>
      <c r="E185" s="13">
        <v>43056.540208333332</v>
      </c>
      <c r="F185" s="13">
        <v>43056.548078703701</v>
      </c>
      <c r="G185" s="7">
        <v>81</v>
      </c>
      <c r="H185" s="21" t="s">
        <v>613</v>
      </c>
      <c r="I185" s="13">
        <v>43056.558449074073</v>
      </c>
      <c r="J185" s="7">
        <v>1</v>
      </c>
      <c r="K185" s="89" t="str">
        <f t="shared" si="48"/>
        <v>4023/4024</v>
      </c>
      <c r="L185" s="185" t="str">
        <f>VLOOKUP(A185,'Trips&amp;Operators'!$C$1:$G$99911,5,FALSE)</f>
        <v>BERLING GARY</v>
      </c>
      <c r="M185" s="6">
        <f t="shared" si="49"/>
        <v>1.0370370371674653E-2</v>
      </c>
      <c r="N185" s="7">
        <f t="shared" si="69"/>
        <v>14.933333335211501</v>
      </c>
      <c r="O185" s="7"/>
      <c r="P185" s="7"/>
      <c r="Q185" s="22"/>
      <c r="R185" s="174"/>
      <c r="S185" s="221">
        <f t="shared" si="72"/>
        <v>1</v>
      </c>
      <c r="T185" s="174" t="str">
        <f t="shared" si="50"/>
        <v>NorthBound</v>
      </c>
      <c r="U185" s="198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16" t="str">
        <f t="shared" si="51"/>
        <v>https://d0f6bd738d7f1b3e5a7ca70fe4ff75f0.us-east-1.aws.found.io/app/kibana#/discover/Steve-Slow-Train-Analysis-(2080s-and-2083s)?_g=(refreshInterval:(display:Off,pause:!f,section:0,value:0),time:(from:'2017-11-17T11:57:54-0700',mode:absolute,to:'2017-11-17T14:24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85" s="204" t="str">
        <f>IF(AA185&lt;VLOOKUP(AG185,Variables!$AC$3:$AD$8,2,FALSE),"Y","N")</f>
        <v>N</v>
      </c>
      <c r="X185" s="204">
        <f t="shared" si="52"/>
        <v>1</v>
      </c>
      <c r="Y185" s="204">
        <f t="shared" si="70"/>
        <v>0.1055</v>
      </c>
      <c r="Z185" s="204">
        <f t="shared" si="71"/>
        <v>5.8956</v>
      </c>
      <c r="AA185" s="204">
        <f t="shared" si="53"/>
        <v>5.7900999999999998</v>
      </c>
      <c r="AB185" s="54" t="e">
        <f>VLOOKUP(A185,Enforcements!$C$7:$K$9,8,0)</f>
        <v>#N/A</v>
      </c>
      <c r="AC185" s="51" t="e">
        <f>VLOOKUP(A185,Enforcements!$C$7:$E$9,3,0)</f>
        <v>#N/A</v>
      </c>
      <c r="AD185" s="179">
        <f t="shared" si="54"/>
        <v>821</v>
      </c>
      <c r="AE185" s="77" t="str">
        <f t="shared" si="55"/>
        <v>aws s3 cp s3://rtdc.mdm.uploadarchive.raw/RTDC4024/ "%USERPROFILE%\AppData\Local\Temp\OnboardLogs"\RTDC4024\2017-11-17 --exclude "*" --recursive --include "*20171117*" &amp; "%USERPROFILE%\Documents\GitHub\mrs-test-scripts\Headless Mode &amp; Sideloading\WalkAndUnGZ.bat" "%USERPROFILE%\AppData\Local\Temp\OnboardLogs"\RTDC4024\2017-11-17 &amp; aws s3 cp s3://rtdc.mdm.uploadarchive.raw/RTDC4024/ "%USERPROFILE%\AppData\Local\Temp\OnboardLogs"\RTDC4024\2017-11-18 --exclude "*" --recursive --include "*20171118*" &amp; "%USERPROFILE%\Documents\GitHub\mrs-test-scripts\Headless Mode &amp; Sideloading\WalkAndUnGZ.bat" "%USERPROFILE%\AppData\Local\Temp\OnboardLogs"\RTDC4024\2017-11-18</v>
      </c>
      <c r="AF185" s="74" t="str">
        <f t="shared" si="56"/>
        <v>"C:\Program Files (x86)\AstroGrep\AstroGrep.exe" /e /r /s /spath="%USERPROFILE%\AppData\Local\Temp\OnboardLogs" /stypes="app*4024*20171117*" /stext=" 20:.+((SYSTEM_STATE.+slice.+state.+changed )|(ment ac)|(multiple cpu faults)|(system.+state.+changed )|(\[timeout)|(PRM\|1\|D)|(kpr)|(kdp)|(train st.+moving)|(\|lc)|(penalty))"</v>
      </c>
      <c r="AG185" s="182" t="str">
        <f t="shared" si="57"/>
        <v>NW</v>
      </c>
      <c r="AH185" s="78" t="str">
        <f t="shared" si="58"/>
        <v>"%USERPROFILE%\Documents\GitHub\eaglep3\Utilities\RefineRTDCRunTimes.py" --tripid 821-17 --locoid 4024 --swversion DE.1.0.9.0 --startMP 204:1055 --initTime 2017-11-17T12:57:54 --startdatetime 2017-11-17T13:09:14 --delay 81 --endMP 300:58956 --enddatetime 2017-11-17T13:24:10 --enforcementcount 1 &gt;&gt;%USERPROFILE%\Documents\GitHub\eaglep3-reporting\EC\2017-11-17-refined-times.txt</v>
      </c>
      <c r="AI185" s="96" t="str">
        <f t="shared" si="59"/>
        <v>echo {"issue":{"subject":"","project_id":79,"tracker_id":40,"status_id":1,"priority_id":2,"assigned_to_id":338,"start_date":"2017-11-17","description":"","custom_fields":[{"id":1,"name":"Subdivision","value":"NW"},{"id":4,"name":"Milepost","value":"5.8956"},{"id":17,"name":"Train ID","value":"821-17"},{"id":16,"name":"Locomotive ID","value":"4024"},{"id":130,"name":"Impact","value":""},{"id":150,"name":"Time of Event (Mountain Time)","value":"13:24:10"},{"id":151,"name":"Denver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5" s="47"/>
      <c r="AL185" s="47"/>
      <c r="AM185" s="142" t="str">
        <f t="shared" si="60"/>
        <v>start /low /b %USERPROFILE%\Documents\GitHub\eaglep3\Utilities\DownloadLogsFromS3.py --loco 4024 --day 2017-11-17</v>
      </c>
      <c r="AN185" s="151" t="str">
        <f t="shared" si="61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20:24:10"},{"id":29,"name":"Sharepoint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168" t="str">
        <f t="shared" si="62"/>
        <v>https://d0f6bd738d7f1b3e5a7ca70fe4ff75f0.us-east-1.aws.found.io/app/kibana#/discover/Steve-Slow-Train-Analysis-(2080s-and-2083s)?_g=(refreshInterval:(display:Off,pause:!f,section:0,value:0),time:(from:'2017-11-17T11:57:54-0700',mode:absolute,to:'2017-11-17T14:24:10-0700'))&amp;_a=(columns:!('Message%20ID',Summary),filters:!(),index:'emp_*',interval:auto,query:(query_string:(analyze_wildcard:!t,query:'%22rtdc.l.rtdc.4024%22')),sort:!(Time.ISO8601,asc))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0" customFormat="1" x14ac:dyDescent="0.3">
      <c r="A186" s="32" t="s">
        <v>780</v>
      </c>
      <c r="B186" s="7">
        <v>4023</v>
      </c>
      <c r="C186" s="21" t="s">
        <v>192</v>
      </c>
      <c r="D186" s="21" t="s">
        <v>619</v>
      </c>
      <c r="E186" s="13">
        <v>43056.559791666667</v>
      </c>
      <c r="F186" s="13">
        <v>43056.571458333332</v>
      </c>
      <c r="G186" s="7">
        <v>85</v>
      </c>
      <c r="H186" s="21" t="s">
        <v>1074</v>
      </c>
      <c r="I186" s="13">
        <v>43056.57949074074</v>
      </c>
      <c r="J186" s="7">
        <v>1</v>
      </c>
      <c r="K186" s="89" t="str">
        <f t="shared" si="48"/>
        <v>4023/4024</v>
      </c>
      <c r="L186" s="185" t="str">
        <f>VLOOKUP(A186,'Trips&amp;Operators'!$C$1:$G$99911,5,FALSE)</f>
        <v>BERLING GARY</v>
      </c>
      <c r="M186" s="6">
        <f t="shared" si="49"/>
        <v>8.0324074078816921E-3</v>
      </c>
      <c r="N186" s="7">
        <f t="shared" si="69"/>
        <v>11.566666667349637</v>
      </c>
      <c r="O186" s="7"/>
      <c r="P186" s="7"/>
      <c r="Q186" s="22"/>
      <c r="R186" s="174"/>
      <c r="S186" s="221">
        <f t="shared" si="72"/>
        <v>1</v>
      </c>
      <c r="T186" s="174" t="str">
        <f t="shared" si="50"/>
        <v>Southbound</v>
      </c>
      <c r="U186" s="198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16" t="str">
        <f t="shared" si="51"/>
        <v>https://d0f6bd738d7f1b3e5a7ca70fe4ff75f0.us-east-1.aws.found.io/app/kibana#/discover/Steve-Slow-Train-Analysis-(2080s-and-2083s)?_g=(refreshInterval:(display:Off,pause:!f,section:0,value:0),time:(from:'2017-11-17T12:26:06-0700',mode:absolute,to:'2017-11-17T14:54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86" s="204" t="str">
        <f>IF(AA186&lt;VLOOKUP(AG186,Variables!$AC$3:$AD$8,2,FALSE),"Y","N")</f>
        <v>N</v>
      </c>
      <c r="X186" s="204">
        <f t="shared" si="52"/>
        <v>1</v>
      </c>
      <c r="Y186" s="204">
        <f t="shared" si="70"/>
        <v>5.8638000000000003</v>
      </c>
      <c r="Z186" s="204">
        <f t="shared" si="71"/>
        <v>7.4700000000000003E-2</v>
      </c>
      <c r="AA186" s="204">
        <f t="shared" si="53"/>
        <v>5.7891000000000004</v>
      </c>
      <c r="AB186" s="54" t="e">
        <f>VLOOKUP(A186,Enforcements!$C$7:$K$9,8,0)</f>
        <v>#N/A</v>
      </c>
      <c r="AC186" s="51" t="e">
        <f>VLOOKUP(A186,Enforcements!$C$7:$E$9,3,0)</f>
        <v>#N/A</v>
      </c>
      <c r="AD186" s="179">
        <f t="shared" si="54"/>
        <v>822</v>
      </c>
      <c r="AE186" s="77" t="str">
        <f t="shared" si="55"/>
        <v>aws s3 cp s3://rtdc.mdm.uploadarchive.raw/RTDC4023/ "%USERPROFILE%\AppData\Local\Temp\OnboardLogs"\RTDC4023\2017-11-17 --exclude "*" --recursive --include "*20171117*" &amp; "%USERPROFILE%\Documents\GitHub\mrs-test-scripts\Headless Mode &amp; Sideloading\WalkAndUnGZ.bat" "%USERPROFILE%\AppData\Local\Temp\OnboardLogs"\RTDC4023\2017-11-17 &amp; aws s3 cp s3://rtdc.mdm.uploadarchive.raw/RTDC4023/ "%USERPROFILE%\AppData\Local\Temp\OnboardLogs"\RTDC4023\2017-11-18 --exclude "*" --recursive --include "*20171118*" &amp; "%USERPROFILE%\Documents\GitHub\mrs-test-scripts\Headless Mode &amp; Sideloading\WalkAndUnGZ.bat" "%USERPROFILE%\AppData\Local\Temp\OnboardLogs"\RTDC4023\2017-11-18</v>
      </c>
      <c r="AF186" s="74" t="str">
        <f t="shared" si="56"/>
        <v>"C:\Program Files (x86)\AstroGrep\AstroGrep.exe" /e /r /s /spath="%USERPROFILE%\AppData\Local\Temp\OnboardLogs" /stypes="app*4023*20171117*" /stext=" 20:.+((SYSTEM_STATE.+slice.+state.+changed )|(ment ac)|(multiple cpu faults)|(system.+state.+changed )|(\[timeout)|(PRM\|1\|D)|(kpr)|(kdp)|(train st.+moving)|(\|lc)|(penalty))"</v>
      </c>
      <c r="AG186" s="182" t="str">
        <f t="shared" si="57"/>
        <v>NW</v>
      </c>
      <c r="AH186" s="78" t="str">
        <f t="shared" si="58"/>
        <v>"%USERPROFILE%\Documents\GitHub\eaglep3\Utilities\RefineRTDCRunTimes.py" --tripid 822-17 --locoid 4023 --swversion DE.1.0.9.0 --startMP 300:58638 --initTime 2017-11-17T13:26:06 --startdatetime 2017-11-17T13:42:54 --delay 85 --endMP 204:747 --enddatetime 2017-11-17T13:54:28 --enforcementcount 1 &gt;&gt;%USERPROFILE%\Documents\GitHub\eaglep3-reporting\EC\2017-11-17-refined-times.txt</v>
      </c>
      <c r="AI186" s="96" t="str">
        <f t="shared" si="59"/>
        <v>echo {"issue":{"subject":"","project_id":79,"tracker_id":40,"status_id":1,"priority_id":2,"assigned_to_id":338,"start_date":"2017-11-17","description":"","custom_fields":[{"id":1,"name":"Subdivision","value":"NW"},{"id":4,"name":"Milepost","value":"0.0747"},{"id":17,"name":"Train ID","value":"822-17"},{"id":16,"name":"Locomotive ID","value":"4023"},{"id":130,"name":"Impact","value":""},{"id":150,"name":"Time of Event (Mountain Time)","value":"13:54:28"},{"id":151,"name":"Denver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6" s="47"/>
      <c r="AL186" s="47"/>
      <c r="AM186" s="142" t="str">
        <f t="shared" si="60"/>
        <v>start /low /b %USERPROFILE%\Documents\GitHub\eaglep3\Utilities\DownloadLogsFromS3.py --loco 4023 --day 2017-11-17</v>
      </c>
      <c r="AN186" s="151" t="str">
        <f t="shared" si="61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20:54:28"},{"id":29,"name":"Sharepoint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168" t="str">
        <f t="shared" si="62"/>
        <v>https://d0f6bd738d7f1b3e5a7ca70fe4ff75f0.us-east-1.aws.found.io/app/kibana#/discover/Steve-Slow-Train-Analysis-(2080s-and-2083s)?_g=(refreshInterval:(display:Off,pause:!f,section:0,value:0),time:(from:'2017-11-17T12:26:06-0700',mode:absolute,to:'2017-11-17T14:54:28-0700'))&amp;_a=(columns:!('Message%20ID',Summary),filters:!(),index:'emp_*',interval:auto,query:(query_string:(analyze_wildcard:!t,query:'%22rtdc.l.rtdc.4023%22')),sort:!(Time.ISO8601,asc))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0" customFormat="1" x14ac:dyDescent="0.3">
      <c r="A187" s="32" t="s">
        <v>787</v>
      </c>
      <c r="B187" s="7">
        <v>4024</v>
      </c>
      <c r="C187" s="21" t="s">
        <v>192</v>
      </c>
      <c r="D187" s="21" t="s">
        <v>619</v>
      </c>
      <c r="E187" s="13">
        <v>43056.559791666667</v>
      </c>
      <c r="F187" s="13">
        <v>43056.589745370373</v>
      </c>
      <c r="G187" s="7">
        <v>85</v>
      </c>
      <c r="H187" s="21" t="s">
        <v>1074</v>
      </c>
      <c r="I187" s="231">
        <v>43056.599594907406</v>
      </c>
      <c r="J187" s="7">
        <v>1</v>
      </c>
      <c r="K187" s="89" t="str">
        <f t="shared" ref="K187" si="73">IF(ISEVEN(B187),(B187-1)&amp;"/"&amp;B187,B187&amp;"/"&amp;(B187+1))</f>
        <v>4023/4024</v>
      </c>
      <c r="L187" s="185" t="str">
        <f>VLOOKUP(A187,'Trips&amp;Operators'!$C$1:$G$99911,5,FALSE)</f>
        <v>BERLING GARY</v>
      </c>
      <c r="M187" s="6">
        <f t="shared" ref="M187" si="74">I187-F187</f>
        <v>9.8495370330056176E-3</v>
      </c>
      <c r="N187" s="7">
        <f t="shared" si="69"/>
        <v>14.183333327528089</v>
      </c>
      <c r="O187" s="7"/>
      <c r="P187" s="7"/>
      <c r="Q187" s="22"/>
      <c r="R187" s="174"/>
      <c r="S187" s="221">
        <f t="shared" ref="S187" si="75">1/IF(AG187="EC",12,1)*SUM(U187:U187)</f>
        <v>1</v>
      </c>
      <c r="T187" s="174" t="str">
        <f t="shared" ref="T187" si="76">IF(ISEVEN(LEFT(AD187,4)),"Southbound","NorthBound")</f>
        <v>NorthBound</v>
      </c>
      <c r="U187" s="198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16" t="str">
        <f t="shared" ref="V187" si="77">"https://d0f6bd738d7f1b3e5a7ca70fe4ff75f0.us-east-1.aws.found.io/app/kibana#/discover/Steve-Slow-Train-Analysis-(2080s-and-2083s)?_g="&amp;"(refreshInterval:(display:Off,pause:!f,section:0,value:0),time:(from:'"&amp;TEXT(E187-1/24,"yyyy-MM-DDThh:mm:ss")&amp;utc_offset&amp;"00"&amp;"',mode:absolute,to:'"&amp;TEXT(I187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187&amp;"%22')),sort:!(Time.ISO8601,asc))"</f>
        <v>https://d0f6bd738d7f1b3e5a7ca70fe4ff75f0.us-east-1.aws.found.io/app/kibana#/discover/Steve-Slow-Train-Analysis-(2080s-and-2083s)?_g=(refreshInterval:(display:Off,pause:!f,section:0,value:0),time:(from:'2017-11-17T12:26:06-0700',mode:absolute,to:'2017-11-17T15:23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87" s="204" t="str">
        <f>IF(AA187&lt;VLOOKUP(AG187,Variables!$AC$3:$AD$8,2,FALSE),"Y","N")</f>
        <v>N</v>
      </c>
      <c r="X187" s="204">
        <f t="shared" ref="X187:X189" si="78">VALUE(LEFT(AD187,4))-VALUE(LEFT(AD186,4))</f>
        <v>1</v>
      </c>
      <c r="Y187" s="204">
        <v>0.1055</v>
      </c>
      <c r="Z187" s="204">
        <v>5.8956</v>
      </c>
      <c r="AA187" s="204">
        <f t="shared" ref="AA187" si="79">ABS(Z187-Y187)</f>
        <v>5.7900999999999998</v>
      </c>
      <c r="AB187" s="54" t="e">
        <f>VLOOKUP(A187,Enforcements!$C$7:$K$9,8,0)</f>
        <v>#N/A</v>
      </c>
      <c r="AC187" s="51" t="e">
        <f>VLOOKUP(A187,Enforcements!$C$7:$E$9,3,0)</f>
        <v>#N/A</v>
      </c>
      <c r="AD187" s="179">
        <f t="shared" ref="AD187" si="80">VALUE(LEFT(A187,LEN(A187)-3))</f>
        <v>823</v>
      </c>
      <c r="AE187" s="77" t="str">
        <f t="shared" ref="AE187" si="81">"aws s3 cp "&amp;s3_bucket&amp;"/RTDC"&amp;B187&amp;"/ "&amp;search_path&amp;"\RTDC"&amp;B187&amp;"\"&amp;TEXT(F187,"YYYY-MM-DD")&amp;" --exclude ""*"" --recursive --include ""*"&amp;TEXT(F187,"YYYYMMDD")&amp;"*"" &amp; """&amp;walkandungz&amp;""" "&amp;search_path&amp;"\RTDC"&amp;B187&amp;"\"&amp;TEXT(F187,"YYYY-MM-DD")
&amp;" &amp; "&amp;"aws s3 cp "&amp;s3_bucket&amp;"/RTDC"&amp;B187&amp;"/ "&amp;search_path&amp;"\RTDC"&amp;B187&amp;"\"&amp;TEXT(F187+1,"YYYY-MM-DD")&amp;" --exclude ""*"" --recursive --include ""*"&amp;TEXT(F187+1,"YYYYMMDD")&amp;"*"" &amp; """&amp;walkandungz&amp;""" "&amp;search_path&amp;"\RTDC"&amp;B187&amp;"\"&amp;TEXT(F187+1,"YYYY-MM-DD")</f>
        <v>aws s3 cp s3://rtdc.mdm.uploadarchive.raw/RTDC4024/ "%USERPROFILE%\AppData\Local\Temp\OnboardLogs"\RTDC4024\2017-11-17 --exclude "*" --recursive --include "*20171117*" &amp; "%USERPROFILE%\Documents\GitHub\mrs-test-scripts\Headless Mode &amp; Sideloading\WalkAndUnGZ.bat" "%USERPROFILE%\AppData\Local\Temp\OnboardLogs"\RTDC4024\2017-11-17 &amp; aws s3 cp s3://rtdc.mdm.uploadarchive.raw/RTDC4024/ "%USERPROFILE%\AppData\Local\Temp\OnboardLogs"\RTDC4024\2017-11-18 --exclude "*" --recursive --include "*20171118*" &amp; "%USERPROFILE%\Documents\GitHub\mrs-test-scripts\Headless Mode &amp; Sideloading\WalkAndUnGZ.bat" "%USERPROFILE%\AppData\Local\Temp\OnboardLogs"\RTDC4024\2017-11-18</v>
      </c>
      <c r="AF187" s="74" t="str">
        <f t="shared" ref="AF187" si="82">astrogrep_path&amp;" /e /r /s /spath="&amp;search_path&amp;" /stypes=""app*"&amp;B187&amp;"*"&amp;TEXT(I187-utc_offset/24,"YYYYMMDD")&amp;"*"" /stext="" "&amp;TEXT(I187-utc_offset/24,"HH")&amp;search_regexp&amp;""""</f>
        <v>"C:\Program Files (x86)\AstroGrep\AstroGrep.exe" /e /r /s /spath="%USERPROFILE%\AppData\Local\Temp\OnboardLogs" /stypes="app*4024*20171117*" /stext=" 21:.+((SYSTEM_STATE.+slice.+state.+changed )|(ment ac)|(multiple cpu faults)|(system.+state.+changed )|(\[timeout)|(PRM\|1\|D)|(kpr)|(kdp)|(train st.+moving)|(\|lc)|(penalty))"</v>
      </c>
      <c r="AG187" s="182" t="str">
        <f t="shared" ref="AG187" si="83">DetSubdiv(A187)</f>
        <v>NW</v>
      </c>
      <c r="AH187" s="78" t="str">
        <f t="shared" ref="AH187" si="84">refinertdcruntimes&amp;" --tripid "&amp;A187&amp;" --locoid "&amp;B187&amp;" --swversion "&amp;C187&amp;" --startMP "&amp;D187&amp;" --initTime "&amp;TEXT(E187,"yyyy-mm-ddTHH:MM:SS")&amp;" --startdatetime "&amp;TEXT(F187,"yyyy-mm-ddTHH:MM:SS")&amp;" --delay "&amp;G187&amp;" --endMP "&amp;H187&amp;" --enddatetime "&amp;TEXT(I187,"yyyy-mm-ddTHH:MM:SS")&amp;" --enforcementcount "&amp;J187&amp;IF(outputrefinedruntimes," &gt;&gt;"&amp;RefinedRTDCRunTimesOutputFile,"")</f>
        <v>"%USERPROFILE%\Documents\GitHub\eaglep3\Utilities\RefineRTDCRunTimes.py" --tripid 823-17 --locoid 4024 --swversion DE.1.0.9.0 --startMP 300:58638 --initTime 2017-11-17T13:26:06 --startdatetime 2017-11-17T14:09:14 --delay 85 --endMP 204:747 --enddatetime 2017-11-17T14:23:25 --enforcementcount 1 &gt;&gt;%USERPROFILE%\Documents\GitHub\eaglep3-reporting\EC\2017-11-17-refined-times.txt</v>
      </c>
      <c r="AI187" s="96" t="str">
        <f t="shared" ref="AI187" si="85">"echo {""issue"":{""subject"":"""&amp;R187&amp;""",""project_id"":79,""tracker_id"":40,""status_id"":"&amp;redmine_status&amp;",""priority_id"":"&amp;redmine_priority&amp;",""assigned_to_id"":"&amp;redmine_assignee&amp;",""start_date"":"""&amp;TEXT(I187,"YYYY-mm-dd")&amp;""",""description"":"""&amp;AJ187&amp;""",""custom_fields"":[{""id"":1,""name"":""Subdivision"",""value"":"""&amp;AG187&amp;"""},{""id"":4,""name"":""Milepost"",""value"":"""&amp;Z187&amp;"""},{""id"":17,""name"":""Train ID"",""value"":"""&amp;A187&amp;"""},{""id"":16,""name"":""Locomotive ID"",""value"":"""&amp;B187&amp;"""},{""id"":130,""name"":""Impact"",""value"":"""&amp;AK187&amp;"""},{""id"":150,""name"":""Time of Event (Mountain Time)"",""value"":"""&amp;TEXT(I187,"hh:mm:ss")&amp;"""},{""id"":151,""name"":""Denver Issue ID"",""value"":"""&amp;"""},{""id"":178,""name"":""Operational Impact"",""value"":"""&amp;redmine_op_impact&amp;"""},{""id"":179,""name"":""Denver Segment Assigned"",""value"":"""&amp;AL187&amp;"""}]}}"&amp;"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{"issue":{"subject":"","project_id":79,"tracker_id":40,"status_id":1,"priority_id":2,"assigned_to_id":338,"start_date":"2017-11-17","description":"","custom_fields":[{"id":1,"name":"Subdivision","value":"NW"},{"id":4,"name":"Milepost","value":"5.8956"},{"id":17,"name":"Train ID","value":"823-17"},{"id":16,"name":"Locomotive ID","value":"4024"},{"id":130,"name":"Impact","value":""},{"id":150,"name":"Time of Event (Mountain Time)","value":"14:23:25"},{"id":151,"name":"Denver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7" s="47"/>
      <c r="AL187" s="47"/>
      <c r="AM187" s="142" t="str">
        <f t="shared" ref="AM187" si="86">"start /low /b "&amp;dls3logs&amp;" --loco "&amp;B187&amp;" --day "&amp;TEXT(F187,"YYYY-MM-DD")</f>
        <v>start /low /b %USERPROFILE%\Documents\GitHub\eaglep3\Utilities\DownloadLogsFromS3.py --loco 4024 --day 2017-11-17</v>
      </c>
      <c r="AN187" s="151" t="str">
        <f t="shared" ref="AN187" si="87">"echo {""issue"":{""subject"":"""&amp;R187&amp;""",""project_id"":30,""tracker_id"":4,""status_id"":"&amp;redmine_status_wcr&amp;",""priority_id"":"&amp;redmine_priority_wcr&amp;",""assigned_to_id"":"&amp;redmine_assignee_wcr&amp;",""start_date"":"""&amp;TEXT(I187-utc_offset/24,"YYYY-mm-dd")&amp;""",""description"":"""&amp;AJ187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ID"",""value"":"""&amp;B187&amp;"""},{""id"":20,""name"":""RR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UTC"",""value"":"""&amp;TEXT(I187-utc_offset/24,"YYYY-MM-DD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21:23:25"},{"id":29,"name":"Sharepoint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168" t="str">
        <f t="shared" ref="AO187" si="88">"https://d0f6bd738d7f1b3e5a7ca70fe4ff75f0.us-east-1.aws.found.io/app/kibana#/discover/Steve-Slow-Train-Analysis-(2080s-and-2083s)?_g="&amp;"(refreshInterval:(display:Off,pause:!f,section:0,value:0),time:(from:'"&amp;TEXT(E187-1/24,"yyyy-MM-DDThh:mm:ss")&amp;utc_offset&amp;"00"&amp;"',mode:absolute,to:'"&amp;TEXT(I187+1/24,"yyyy-MM-DDThh:mm:ss")&amp;utc_offset&amp;"00"&amp;"'))&amp;_a=(columns:!('Message%20ID',Summary),filters:!(),index:'emp_*',interval:auto,query:"&amp;"(query_string:(analyze_wildcard:!t,query:'%22rtdc.l.rtdc."&amp;B187&amp;"%22')),sort:!(Time.ISO8601,asc))"</f>
        <v>https://d0f6bd738d7f1b3e5a7ca70fe4ff75f0.us-east-1.aws.found.io/app/kibana#/discover/Steve-Slow-Train-Analysis-(2080s-and-2083s)?_g=(refreshInterval:(display:Off,pause:!f,section:0,value:0),time:(from:'2017-11-17T12:26:06-0700',mode:absolute,to:'2017-11-17T15:23:25-0700'))&amp;_a=(columns:!('Message%20ID',Summary),filters:!(),index:'emp_*',interval:auto,query:(query_string:(analyze_wildcard:!t,query:'%22rtdc.l.rtdc.4024%22')),sort:!(Time.ISO8601,asc))</v>
      </c>
    </row>
    <row r="188" spans="1:91" s="20" customFormat="1" x14ac:dyDescent="0.3">
      <c r="A188" s="32" t="s">
        <v>792</v>
      </c>
      <c r="B188" s="7">
        <v>4023</v>
      </c>
      <c r="C188" s="21" t="s">
        <v>192</v>
      </c>
      <c r="D188" s="21" t="s">
        <v>1075</v>
      </c>
      <c r="E188" s="13">
        <v>43056.602118055554</v>
      </c>
      <c r="F188" s="13">
        <v>43056.612939814811</v>
      </c>
      <c r="G188" s="7">
        <v>74</v>
      </c>
      <c r="H188" s="21" t="s">
        <v>1076</v>
      </c>
      <c r="I188" s="13">
        <v>43056.621261574073</v>
      </c>
      <c r="J188" s="7">
        <v>1</v>
      </c>
      <c r="K188" s="89" t="str">
        <f t="shared" si="48"/>
        <v>4023/4024</v>
      </c>
      <c r="L188" s="185" t="str">
        <f>VLOOKUP(A188,'Trips&amp;Operators'!$C$1:$G$99911,5,FALSE)</f>
        <v>BERLING GARY</v>
      </c>
      <c r="M188" s="6">
        <f t="shared" si="49"/>
        <v>8.3217592618893832E-3</v>
      </c>
      <c r="N188" s="7">
        <f t="shared" si="69"/>
        <v>11.983333337120712</v>
      </c>
      <c r="O188" s="7"/>
      <c r="P188" s="7"/>
      <c r="Q188" s="22"/>
      <c r="R188" s="174"/>
      <c r="S188" s="221">
        <f t="shared" si="72"/>
        <v>1</v>
      </c>
      <c r="T188" s="174" t="str">
        <f t="shared" si="50"/>
        <v>Southbound</v>
      </c>
      <c r="U188" s="198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16" t="str">
        <f t="shared" si="51"/>
        <v>https://d0f6bd738d7f1b3e5a7ca70fe4ff75f0.us-east-1.aws.found.io/app/kibana#/discover/Steve-Slow-Train-Analysis-(2080s-and-2083s)?_g=(refreshInterval:(display:Off,pause:!f,section:0,value:0),time:(from:'2017-11-17T13:27:03-0700',mode:absolute,to:'2017-11-17T15:54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88" s="204" t="str">
        <f>IF(AA188&lt;VLOOKUP(AG188,Variables!$AC$3:$AD$8,2,FALSE),"Y","N")</f>
        <v>N</v>
      </c>
      <c r="X188" s="252">
        <f t="shared" si="78"/>
        <v>1</v>
      </c>
      <c r="Y188" s="204">
        <f t="shared" si="70"/>
        <v>5.8659999999999997</v>
      </c>
      <c r="Z188" s="204">
        <f t="shared" si="71"/>
        <v>7.5499999999999998E-2</v>
      </c>
      <c r="AA188" s="204">
        <f t="shared" si="53"/>
        <v>5.7904999999999998</v>
      </c>
      <c r="AB188" s="54" t="e">
        <f>VLOOKUP(A188,Enforcements!$C$7:$K$9,8,0)</f>
        <v>#N/A</v>
      </c>
      <c r="AC188" s="51" t="e">
        <f>VLOOKUP(A188,Enforcements!$C$7:$E$9,3,0)</f>
        <v>#N/A</v>
      </c>
      <c r="AD188" s="179">
        <f t="shared" si="54"/>
        <v>824</v>
      </c>
      <c r="AE188" s="77" t="str">
        <f t="shared" si="55"/>
        <v>aws s3 cp s3://rtdc.mdm.uploadarchive.raw/RTDC4023/ "%USERPROFILE%\AppData\Local\Temp\OnboardLogs"\RTDC4023\2017-11-17 --exclude "*" --recursive --include "*20171117*" &amp; "%USERPROFILE%\Documents\GitHub\mrs-test-scripts\Headless Mode &amp; Sideloading\WalkAndUnGZ.bat" "%USERPROFILE%\AppData\Local\Temp\OnboardLogs"\RTDC4023\2017-11-17 &amp; aws s3 cp s3://rtdc.mdm.uploadarchive.raw/RTDC4023/ "%USERPROFILE%\AppData\Local\Temp\OnboardLogs"\RTDC4023\2017-11-18 --exclude "*" --recursive --include "*20171118*" &amp; "%USERPROFILE%\Documents\GitHub\mrs-test-scripts\Headless Mode &amp; Sideloading\WalkAndUnGZ.bat" "%USERPROFILE%\AppData\Local\Temp\OnboardLogs"\RTDC4023\2017-11-18</v>
      </c>
      <c r="AF188" s="74" t="str">
        <f t="shared" si="56"/>
        <v>"C:\Program Files (x86)\AstroGrep\AstroGrep.exe" /e /r /s /spath="%USERPROFILE%\AppData\Local\Temp\OnboardLogs" /stypes="app*4023*20171117*" /stext=" 21:.+((SYSTEM_STATE.+slice.+state.+changed )|(ment ac)|(multiple cpu faults)|(system.+state.+changed )|(\[timeout)|(PRM\|1\|D)|(kpr)|(kdp)|(train st.+moving)|(\|lc)|(penalty))"</v>
      </c>
      <c r="AG188" s="182" t="str">
        <f t="shared" si="57"/>
        <v>NW</v>
      </c>
      <c r="AH188" s="78" t="str">
        <f t="shared" si="58"/>
        <v>"%USERPROFILE%\Documents\GitHub\eaglep3\Utilities\RefineRTDCRunTimes.py" --tripid 824-17 --locoid 4023 --swversion DE.1.0.9.0 --startMP 300:58660 --initTime 2017-11-17T14:27:03 --startdatetime 2017-11-17T14:42:38 --delay 74 --endMP 204:755 --enddatetime 2017-11-17T14:54:37 --enforcementcount 1 &gt;&gt;%USERPROFILE%\Documents\GitHub\eaglep3-reporting\EC\2017-11-17-refined-times.txt</v>
      </c>
      <c r="AI188" s="96" t="str">
        <f t="shared" si="59"/>
        <v>echo {"issue":{"subject":"","project_id":79,"tracker_id":40,"status_id":1,"priority_id":2,"assigned_to_id":338,"start_date":"2017-11-17","description":"","custom_fields":[{"id":1,"name":"Subdivision","value":"NW"},{"id":4,"name":"Milepost","value":"0.0755"},{"id":17,"name":"Train ID","value":"824-17"},{"id":16,"name":"Locomotive ID","value":"4023"},{"id":130,"name":"Impact","value":""},{"id":150,"name":"Time of Event (Mountain Time)","value":"14:54:37"},{"id":151,"name":"Denver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8" s="47"/>
      <c r="AL188" s="47"/>
      <c r="AM188" s="142" t="str">
        <f t="shared" si="60"/>
        <v>start /low /b %USERPROFILE%\Documents\GitHub\eaglep3\Utilities\DownloadLogsFromS3.py --loco 4023 --day 2017-11-17</v>
      </c>
      <c r="AN188" s="151" t="str">
        <f t="shared" si="61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21:54:37"},{"id":29,"name":"Sharepoint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168" t="str">
        <f t="shared" si="62"/>
        <v>https://d0f6bd738d7f1b3e5a7ca70fe4ff75f0.us-east-1.aws.found.io/app/kibana#/discover/Steve-Slow-Train-Analysis-(2080s-and-2083s)?_g=(refreshInterval:(display:Off,pause:!f,section:0,value:0),time:(from:'2017-11-17T13:27:03-0700',mode:absolute,to:'2017-11-17T15:54:37-0700'))&amp;_a=(columns:!('Message%20ID',Summary),filters:!(),index:'emp_*',interval:auto,query:(query_string:(analyze_wildcard:!t,query:'%22rtdc.l.rtdc.4023%22')),sort:!(Time.ISO8601,asc))</v>
      </c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0" customFormat="1" x14ac:dyDescent="0.3">
      <c r="A189" s="32" t="s">
        <v>798</v>
      </c>
      <c r="B189" s="7">
        <v>4024</v>
      </c>
      <c r="C189" s="21" t="s">
        <v>192</v>
      </c>
      <c r="D189" s="21" t="s">
        <v>1067</v>
      </c>
      <c r="E189" s="13">
        <v>43056.628240740742</v>
      </c>
      <c r="F189" s="13">
        <v>43056.631458333337</v>
      </c>
      <c r="G189" s="7">
        <v>132</v>
      </c>
      <c r="H189" s="21" t="s">
        <v>1077</v>
      </c>
      <c r="I189" s="13">
        <v>43056.641782407409</v>
      </c>
      <c r="J189" s="7">
        <v>1</v>
      </c>
      <c r="K189" s="89" t="str">
        <f t="shared" si="48"/>
        <v>4023/4024</v>
      </c>
      <c r="L189" s="185" t="str">
        <f>VLOOKUP(A189,'Trips&amp;Operators'!$C$1:$G$99911,5,FALSE)</f>
        <v>BERLING GARY</v>
      </c>
      <c r="M189" s="6">
        <f t="shared" si="49"/>
        <v>1.0324074071832001E-2</v>
      </c>
      <c r="N189" s="7">
        <f t="shared" si="69"/>
        <v>14.866666663438082</v>
      </c>
      <c r="O189" s="7"/>
      <c r="P189" s="7"/>
      <c r="Q189" s="22"/>
      <c r="R189" s="174"/>
      <c r="S189" s="221">
        <f t="shared" si="72"/>
        <v>1</v>
      </c>
      <c r="T189" s="174" t="str">
        <f t="shared" si="50"/>
        <v>NorthBound</v>
      </c>
      <c r="U189" s="198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16" t="str">
        <f t="shared" si="51"/>
        <v>https://d0f6bd738d7f1b3e5a7ca70fe4ff75f0.us-east-1.aws.found.io/app/kibana#/discover/Steve-Slow-Train-Analysis-(2080s-and-2083s)?_g=(refreshInterval:(display:Off,pause:!f,section:0,value:0),time:(from:'2017-11-17T14:04:40-0700',mode:absolute,to:'2017-11-17T16:24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89" s="204" t="str">
        <f>IF(AA189&lt;VLOOKUP(AG189,Variables!$AC$3:$AD$8,2,FALSE),"Y","N")</f>
        <v>N</v>
      </c>
      <c r="X189" s="252">
        <f t="shared" si="78"/>
        <v>1</v>
      </c>
      <c r="Y189" s="204">
        <f t="shared" si="70"/>
        <v>0.1048</v>
      </c>
      <c r="Z189" s="204">
        <f t="shared" si="71"/>
        <v>5.8977000000000004</v>
      </c>
      <c r="AA189" s="204">
        <f t="shared" si="53"/>
        <v>5.7929000000000004</v>
      </c>
      <c r="AB189" s="54" t="e">
        <f>VLOOKUP(A189,Enforcements!$C$7:$K$9,8,0)</f>
        <v>#N/A</v>
      </c>
      <c r="AC189" s="51" t="e">
        <f>VLOOKUP(A189,Enforcements!$C$7:$E$9,3,0)</f>
        <v>#N/A</v>
      </c>
      <c r="AD189" s="179">
        <f t="shared" si="54"/>
        <v>825</v>
      </c>
      <c r="AE189" s="77" t="str">
        <f t="shared" si="55"/>
        <v>aws s3 cp s3://rtdc.mdm.uploadarchive.raw/RTDC4024/ "%USERPROFILE%\AppData\Local\Temp\OnboardLogs"\RTDC4024\2017-11-17 --exclude "*" --recursive --include "*20171117*" &amp; "%USERPROFILE%\Documents\GitHub\mrs-test-scripts\Headless Mode &amp; Sideloading\WalkAndUnGZ.bat" "%USERPROFILE%\AppData\Local\Temp\OnboardLogs"\RTDC4024\2017-11-17 &amp; aws s3 cp s3://rtdc.mdm.uploadarchive.raw/RTDC4024/ "%USERPROFILE%\AppData\Local\Temp\OnboardLogs"\RTDC4024\2017-11-18 --exclude "*" --recursive --include "*20171118*" &amp; "%USERPROFILE%\Documents\GitHub\mrs-test-scripts\Headless Mode &amp; Sideloading\WalkAndUnGZ.bat" "%USERPROFILE%\AppData\Local\Temp\OnboardLogs"\RTDC4024\2017-11-18</v>
      </c>
      <c r="AF189" s="74" t="str">
        <f t="shared" si="56"/>
        <v>"C:\Program Files (x86)\AstroGrep\AstroGrep.exe" /e /r /s /spath="%USERPROFILE%\AppData\Local\Temp\OnboardLogs" /stypes="app*4024*20171117*" /stext=" 22:.+((SYSTEM_STATE.+slice.+state.+changed )|(ment ac)|(multiple cpu faults)|(system.+state.+changed )|(\[timeout)|(PRM\|1\|D)|(kpr)|(kdp)|(train st.+moving)|(\|lc)|(penalty))"</v>
      </c>
      <c r="AG189" s="182" t="str">
        <f t="shared" si="57"/>
        <v>NW</v>
      </c>
      <c r="AH189" s="78" t="str">
        <f t="shared" si="58"/>
        <v>"%USERPROFILE%\Documents\GitHub\eaglep3\Utilities\RefineRTDCRunTimes.py" --tripid 825-17 --locoid 4024 --swversion DE.1.0.9.0 --startMP 204:1048 --initTime 2017-11-17T15:04:40 --startdatetime 2017-11-17T15:09:18 --delay 132 --endMP 300:58977 --enddatetime 2017-11-17T15:24:10 --enforcementcount 1 &gt;&gt;%USERPROFILE%\Documents\GitHub\eaglep3-reporting\EC\2017-11-17-refined-times.txt</v>
      </c>
      <c r="AI189" s="96" t="str">
        <f t="shared" si="59"/>
        <v>echo {"issue":{"subject":"","project_id":79,"tracker_id":40,"status_id":1,"priority_id":2,"assigned_to_id":338,"start_date":"2017-11-17","description":"","custom_fields":[{"id":1,"name":"Subdivision","value":"NW"},{"id":4,"name":"Milepost","value":"5.8977"},{"id":17,"name":"Train ID","value":"825-17"},{"id":16,"name":"Locomotive ID","value":"4024"},{"id":130,"name":"Impact","value":""},{"id":150,"name":"Time of Event (Mountain Time)","value":"15:24:10"},{"id":151,"name":"Denver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9" s="47"/>
      <c r="AL189" s="47"/>
      <c r="AM189" s="142" t="str">
        <f t="shared" si="60"/>
        <v>start /low /b %USERPROFILE%\Documents\GitHub\eaglep3\Utilities\DownloadLogsFromS3.py --loco 4024 --day 2017-11-17</v>
      </c>
      <c r="AN189" s="151" t="str">
        <f t="shared" si="61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22:24:10"},{"id":29,"name":"Sharepoint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168" t="str">
        <f t="shared" si="62"/>
        <v>https://d0f6bd738d7f1b3e5a7ca70fe4ff75f0.us-east-1.aws.found.io/app/kibana#/discover/Steve-Slow-Train-Analysis-(2080s-and-2083s)?_g=(refreshInterval:(display:Off,pause:!f,section:0,value:0),time:(from:'2017-11-17T14:04:40-0700',mode:absolute,to:'2017-11-17T16:24:10-0700'))&amp;_a=(columns:!('Message%20ID',Summary),filters:!(),index:'emp_*',interval:auto,query:(query_string:(analyze_wildcard:!t,query:'%22rtdc.l.rtdc.4024%22')),sort:!(Time.ISO8601,asc))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0" customFormat="1" x14ac:dyDescent="0.3">
      <c r="A190" s="32" t="s">
        <v>648</v>
      </c>
      <c r="B190" s="7">
        <v>4023</v>
      </c>
      <c r="C190" s="21" t="s">
        <v>192</v>
      </c>
      <c r="D190" s="21" t="s">
        <v>1078</v>
      </c>
      <c r="E190" s="13">
        <v>43056.644050925926</v>
      </c>
      <c r="F190" s="231">
        <v>43056.654895833337</v>
      </c>
      <c r="G190" s="7">
        <v>73</v>
      </c>
      <c r="H190" s="21" t="s">
        <v>520</v>
      </c>
      <c r="I190" s="13">
        <v>43056.663275462961</v>
      </c>
      <c r="J190" s="7">
        <v>1</v>
      </c>
      <c r="K190" s="89" t="str">
        <f t="shared" si="48"/>
        <v>4023/4024</v>
      </c>
      <c r="L190" s="185" t="str">
        <f>VLOOKUP(A190,'Trips&amp;Operators'!$C$1:$G$99911,5,FALSE)</f>
        <v>BERLING GARY</v>
      </c>
      <c r="M190" s="6">
        <f t="shared" si="49"/>
        <v>8.3796296239597723E-3</v>
      </c>
      <c r="N190" s="7">
        <f t="shared" si="69"/>
        <v>12.066666658502072</v>
      </c>
      <c r="O190" s="7"/>
      <c r="P190" s="7"/>
      <c r="Q190" s="22"/>
      <c r="R190" s="174"/>
      <c r="S190" s="221">
        <f t="shared" si="72"/>
        <v>1</v>
      </c>
      <c r="T190" s="174" t="str">
        <f t="shared" si="50"/>
        <v>Southbound</v>
      </c>
      <c r="U190" s="198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16" t="str">
        <f t="shared" si="51"/>
        <v>https://d0f6bd738d7f1b3e5a7ca70fe4ff75f0.us-east-1.aws.found.io/app/kibana#/discover/Steve-Slow-Train-Analysis-(2080s-and-2083s)?_g=(refreshInterval:(display:Off,pause:!f,section:0,value:0),time:(from:'2017-11-17T14:27:26-0700',mode:absolute,to:'2017-11-17T16:55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90" s="204" t="str">
        <f>IF(AA190&lt;VLOOKUP(AG190,Variables!$AC$3:$AD$8,2,FALSE),"Y","N")</f>
        <v>N</v>
      </c>
      <c r="X190" s="204">
        <f t="shared" si="52"/>
        <v>1</v>
      </c>
      <c r="Y190" s="204">
        <f t="shared" si="70"/>
        <v>5.8661000000000003</v>
      </c>
      <c r="Z190" s="204">
        <f t="shared" si="71"/>
        <v>1.6899999999999998E-2</v>
      </c>
      <c r="AA190" s="204">
        <f t="shared" si="53"/>
        <v>5.8492000000000006</v>
      </c>
      <c r="AB190" s="54" t="e">
        <f>VLOOKUP(A190,Enforcements!$C$7:$K$9,8,0)</f>
        <v>#N/A</v>
      </c>
      <c r="AC190" s="51" t="e">
        <f>VLOOKUP(A190,Enforcements!$C$7:$E$9,3,0)</f>
        <v>#N/A</v>
      </c>
      <c r="AD190" s="179">
        <f t="shared" si="54"/>
        <v>826</v>
      </c>
      <c r="AE190" s="77" t="str">
        <f t="shared" si="55"/>
        <v>aws s3 cp s3://rtdc.mdm.uploadarchive.raw/RTDC4023/ "%USERPROFILE%\AppData\Local\Temp\OnboardLogs"\RTDC4023\2017-11-17 --exclude "*" --recursive --include "*20171117*" &amp; "%USERPROFILE%\Documents\GitHub\mrs-test-scripts\Headless Mode &amp; Sideloading\WalkAndUnGZ.bat" "%USERPROFILE%\AppData\Local\Temp\OnboardLogs"\RTDC4023\2017-11-17 &amp; aws s3 cp s3://rtdc.mdm.uploadarchive.raw/RTDC4023/ "%USERPROFILE%\AppData\Local\Temp\OnboardLogs"\RTDC4023\2017-11-18 --exclude "*" --recursive --include "*20171118*" &amp; "%USERPROFILE%\Documents\GitHub\mrs-test-scripts\Headless Mode &amp; Sideloading\WalkAndUnGZ.bat" "%USERPROFILE%\AppData\Local\Temp\OnboardLogs"\RTDC4023\2017-11-18</v>
      </c>
      <c r="AF190" s="74" t="str">
        <f t="shared" si="56"/>
        <v>"C:\Program Files (x86)\AstroGrep\AstroGrep.exe" /e /r /s /spath="%USERPROFILE%\AppData\Local\Temp\OnboardLogs" /stypes="app*4023*20171117*" /stext=" 22:.+((SYSTEM_STATE.+slice.+state.+changed )|(ment ac)|(multiple cpu faults)|(system.+state.+changed )|(\[timeout)|(PRM\|1\|D)|(kpr)|(kdp)|(train st.+moving)|(\|lc)|(penalty))"</v>
      </c>
      <c r="AG190" s="182" t="str">
        <f t="shared" si="57"/>
        <v>NW</v>
      </c>
      <c r="AH190" s="78" t="str">
        <f t="shared" si="58"/>
        <v>"%USERPROFILE%\Documents\GitHub\eaglep3\Utilities\RefineRTDCRunTimes.py" --tripid 826-17 --locoid 4023 --swversion DE.1.0.9.0 --startMP 300:58661 --initTime 2017-11-17T15:27:26 --startdatetime 2017-11-17T15:43:03 --delay 73 --endMP 204:169 --enddatetime 2017-11-17T15:55:07 --enforcementcount 1 &gt;&gt;%USERPROFILE%\Documents\GitHub\eaglep3-reporting\EC\2017-11-17-refined-times.txt</v>
      </c>
      <c r="AI190" s="96" t="str">
        <f t="shared" si="59"/>
        <v>echo {"issue":{"subject":"","project_id":79,"tracker_id":40,"status_id":1,"priority_id":2,"assigned_to_id":338,"start_date":"2017-11-17","description":"","custom_fields":[{"id":1,"name":"Subdivision","value":"NW"},{"id":4,"name":"Milepost","value":"0.0169"},{"id":17,"name":"Train ID","value":"826-17"},{"id":16,"name":"Locomotive ID","value":"4023"},{"id":130,"name":"Impact","value":""},{"id":150,"name":"Time of Event (Mountain Time)","value":"15:55:07"},{"id":151,"name":"Denver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0" s="47"/>
      <c r="AL190" s="47"/>
      <c r="AM190" s="142" t="str">
        <f t="shared" si="60"/>
        <v>start /low /b %USERPROFILE%\Documents\GitHub\eaglep3\Utilities\DownloadLogsFromS3.py --loco 4023 --day 2017-11-17</v>
      </c>
      <c r="AN190" s="151" t="str">
        <f t="shared" si="61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22:55:07"},{"id":29,"name":"Sharepoint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168" t="str">
        <f t="shared" si="62"/>
        <v>https://d0f6bd738d7f1b3e5a7ca70fe4ff75f0.us-east-1.aws.found.io/app/kibana#/discover/Steve-Slow-Train-Analysis-(2080s-and-2083s)?_g=(refreshInterval:(display:Off,pause:!f,section:0,value:0),time:(from:'2017-11-17T14:27:26-0700',mode:absolute,to:'2017-11-17T16:55:07-0700'))&amp;_a=(columns:!('Message%20ID',Summary),filters:!(),index:'emp_*',interval:auto,query:(query_string:(analyze_wildcard:!t,query:'%22rtdc.l.rtdc.4023%22')),sort:!(Time.ISO8601,asc))</v>
      </c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0" customFormat="1" x14ac:dyDescent="0.3">
      <c r="A191" s="32" t="s">
        <v>803</v>
      </c>
      <c r="B191" s="7">
        <v>4030</v>
      </c>
      <c r="C191" s="21" t="s">
        <v>192</v>
      </c>
      <c r="D191" s="21" t="s">
        <v>569</v>
      </c>
      <c r="E191" s="13">
        <v>43056.644837962966</v>
      </c>
      <c r="F191" s="13">
        <v>43056.652314814812</v>
      </c>
      <c r="G191" s="7">
        <v>82</v>
      </c>
      <c r="H191" s="21" t="s">
        <v>505</v>
      </c>
      <c r="I191" s="13">
        <v>43056.663101851853</v>
      </c>
      <c r="J191" s="7">
        <v>1</v>
      </c>
      <c r="K191" s="89" t="str">
        <f t="shared" si="48"/>
        <v>4029/4030</v>
      </c>
      <c r="L191" s="185" t="str">
        <f>VLOOKUP(A191,'Trips&amp;Operators'!$C$1:$G$99911,5,FALSE)</f>
        <v>ANDREA WILLIAMS</v>
      </c>
      <c r="M191" s="6">
        <f t="shared" si="49"/>
        <v>1.078703704115469E-2</v>
      </c>
      <c r="N191" s="7">
        <f t="shared" si="69"/>
        <v>15.533333339262754</v>
      </c>
      <c r="O191" s="7"/>
      <c r="P191" s="7"/>
      <c r="Q191" s="22"/>
      <c r="R191" s="174"/>
      <c r="S191" s="221">
        <f t="shared" si="72"/>
        <v>1</v>
      </c>
      <c r="T191" s="174" t="str">
        <f t="shared" si="50"/>
        <v>NorthBound</v>
      </c>
      <c r="U191" s="198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16" t="str">
        <f t="shared" si="51"/>
        <v>https://d0f6bd738d7f1b3e5a7ca70fe4ff75f0.us-east-1.aws.found.io/app/kibana#/discover/Steve-Slow-Train-Analysis-(2080s-and-2083s)?_g=(refreshInterval:(display:Off,pause:!f,section:0,value:0),time:(from:'2017-11-17T14:28:34-0700',mode:absolute,to:'2017-11-17T16:54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91" s="204" t="str">
        <f>IF(AA191&lt;VLOOKUP(AG191,Variables!$AC$3:$AD$8,2,FALSE),"Y","N")</f>
        <v>N</v>
      </c>
      <c r="X191" s="204">
        <f t="shared" si="52"/>
        <v>1</v>
      </c>
      <c r="Y191" s="204">
        <f t="shared" si="70"/>
        <v>4.6199999999999998E-2</v>
      </c>
      <c r="Z191" s="204">
        <f t="shared" si="71"/>
        <v>5.8921999999999999</v>
      </c>
      <c r="AA191" s="204">
        <f t="shared" si="53"/>
        <v>5.8460000000000001</v>
      </c>
      <c r="AB191" s="54" t="e">
        <f>VLOOKUP(A191,Enforcements!$C$7:$K$9,8,0)</f>
        <v>#N/A</v>
      </c>
      <c r="AC191" s="51" t="e">
        <f>VLOOKUP(A191,Enforcements!$C$7:$E$9,3,0)</f>
        <v>#N/A</v>
      </c>
      <c r="AD191" s="179">
        <f t="shared" si="54"/>
        <v>827</v>
      </c>
      <c r="AE191" s="77" t="str">
        <f t="shared" si="55"/>
        <v>aws s3 cp s3://rtdc.mdm.uploadarchive.raw/RTDC4030/ "%USERPROFILE%\AppData\Local\Temp\OnboardLogs"\RTDC4030\2017-11-17 --exclude "*" --recursive --include "*20171117*" &amp; "%USERPROFILE%\Documents\GitHub\mrs-test-scripts\Headless Mode &amp; Sideloading\WalkAndUnGZ.bat" "%USERPROFILE%\AppData\Local\Temp\OnboardLogs"\RTDC4030\2017-11-17 &amp; aws s3 cp s3://rtdc.mdm.uploadarchive.raw/RTDC4030/ "%USERPROFILE%\AppData\Local\Temp\OnboardLogs"\RTDC4030\2017-11-18 --exclude "*" --recursive --include "*20171118*" &amp; "%USERPROFILE%\Documents\GitHub\mrs-test-scripts\Headless Mode &amp; Sideloading\WalkAndUnGZ.bat" "%USERPROFILE%\AppData\Local\Temp\OnboardLogs"\RTDC4030\2017-11-18</v>
      </c>
      <c r="AF191" s="74" t="str">
        <f t="shared" si="56"/>
        <v>"C:\Program Files (x86)\AstroGrep\AstroGrep.exe" /e /r /s /spath="%USERPROFILE%\AppData\Local\Temp\OnboardLogs" /stypes="app*4030*20171117*" /stext=" 22:.+((SYSTEM_STATE.+slice.+state.+changed )|(ment ac)|(multiple cpu faults)|(system.+state.+changed )|(\[timeout)|(PRM\|1\|D)|(kpr)|(kdp)|(train st.+moving)|(\|lc)|(penalty))"</v>
      </c>
      <c r="AG191" s="182" t="str">
        <f t="shared" si="57"/>
        <v>NW</v>
      </c>
      <c r="AH191" s="78" t="str">
        <f t="shared" si="58"/>
        <v>"%USERPROFILE%\Documents\GitHub\eaglep3\Utilities\RefineRTDCRunTimes.py" --tripid 827-17 --locoid 4030 --swversion DE.1.0.9.0 --startMP 204:462 --initTime 2017-11-17T15:28:34 --startdatetime 2017-11-17T15:39:20 --delay 82 --endMP 300:58922 --enddatetime 2017-11-17T15:54:52 --enforcementcount 1 &gt;&gt;%USERPROFILE%\Documents\GitHub\eaglep3-reporting\EC\2017-11-17-refined-times.txt</v>
      </c>
      <c r="AI191" s="96" t="str">
        <f t="shared" si="59"/>
        <v>echo {"issue":{"subject":"","project_id":79,"tracker_id":40,"status_id":1,"priority_id":2,"assigned_to_id":338,"start_date":"2017-11-17","description":"","custom_fields":[{"id":1,"name":"Subdivision","value":"NW"},{"id":4,"name":"Milepost","value":"5.8922"},{"id":17,"name":"Train ID","value":"827-17"},{"id":16,"name":"Locomotive ID","value":"4030"},{"id":130,"name":"Impact","value":""},{"id":150,"name":"Time of Event (Mountain Time)","value":"15:54:52"},{"id":151,"name":"Denver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1" s="47"/>
      <c r="AL191" s="47"/>
      <c r="AM191" s="142" t="str">
        <f t="shared" si="60"/>
        <v>start /low /b %USERPROFILE%\Documents\GitHub\eaglep3\Utilities\DownloadLogsFromS3.py --loco 4030 --day 2017-11-17</v>
      </c>
      <c r="AN191" s="151" t="str">
        <f t="shared" si="61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22:54:52"},{"id":29,"name":"Sharepoint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168" t="str">
        <f t="shared" si="62"/>
        <v>https://d0f6bd738d7f1b3e5a7ca70fe4ff75f0.us-east-1.aws.found.io/app/kibana#/discover/Steve-Slow-Train-Analysis-(2080s-and-2083s)?_g=(refreshInterval:(display:Off,pause:!f,section:0,value:0),time:(from:'2017-11-17T14:28:34-0700',mode:absolute,to:'2017-11-17T16:54:52-0700'))&amp;_a=(columns:!('Message%20ID',Summary),filters:!(),index:'emp_*',interval:auto,query:(query_string:(analyze_wildcard:!t,query:'%22rtdc.l.rtdc.4030%22')),sort:!(Time.ISO8601,asc))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0" customFormat="1" x14ac:dyDescent="0.3">
      <c r="A192" s="32" t="s">
        <v>808</v>
      </c>
      <c r="B192" s="7">
        <v>4029</v>
      </c>
      <c r="C192" s="21" t="s">
        <v>192</v>
      </c>
      <c r="D192" s="21" t="s">
        <v>624</v>
      </c>
      <c r="E192" s="13">
        <v>43056.664780092593</v>
      </c>
      <c r="F192" s="231">
        <v>43056.675891203704</v>
      </c>
      <c r="G192" s="7">
        <v>54</v>
      </c>
      <c r="H192" s="21" t="s">
        <v>1079</v>
      </c>
      <c r="I192" s="13">
        <v>43056.684120370373</v>
      </c>
      <c r="J192" s="7">
        <v>1</v>
      </c>
      <c r="K192" s="89" t="str">
        <f t="shared" si="48"/>
        <v>4029/4030</v>
      </c>
      <c r="L192" s="185" t="str">
        <f>VLOOKUP(A192,'Trips&amp;Operators'!$C$1:$G$99911,5,FALSE)</f>
        <v>ANDREA WILLIAMS</v>
      </c>
      <c r="M192" s="6">
        <f t="shared" si="49"/>
        <v>8.2291666694800369E-3</v>
      </c>
      <c r="N192" s="7">
        <f t="shared" si="69"/>
        <v>11.850000004051253</v>
      </c>
      <c r="O192" s="7"/>
      <c r="P192" s="7"/>
      <c r="Q192" s="22"/>
      <c r="R192" s="174"/>
      <c r="S192" s="221">
        <f t="shared" si="72"/>
        <v>1</v>
      </c>
      <c r="T192" s="174" t="str">
        <f t="shared" si="50"/>
        <v>Southbound</v>
      </c>
      <c r="U192" s="198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16" t="str">
        <f t="shared" si="51"/>
        <v>https://d0f6bd738d7f1b3e5a7ca70fe4ff75f0.us-east-1.aws.found.io/app/kibana#/discover/Steve-Slow-Train-Analysis-(2080s-and-2083s)?_g=(refreshInterval:(display:Off,pause:!f,section:0,value:0),time:(from:'2017-11-17T14:57:17-0700',mode:absolute,to:'2017-11-17T17:25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92" s="204" t="str">
        <f>IF(AA192&lt;VLOOKUP(AG192,Variables!$AC$3:$AD$8,2,FALSE),"Y","N")</f>
        <v>N</v>
      </c>
      <c r="X192" s="204">
        <f t="shared" si="52"/>
        <v>1</v>
      </c>
      <c r="Y192" s="204">
        <f t="shared" si="70"/>
        <v>5.8604000000000003</v>
      </c>
      <c r="Z192" s="204">
        <f t="shared" si="71"/>
        <v>1.7100000000000001E-2</v>
      </c>
      <c r="AA192" s="204">
        <f t="shared" si="53"/>
        <v>5.8433000000000002</v>
      </c>
      <c r="AB192" s="54" t="e">
        <f>VLOOKUP(A192,Enforcements!$C$7:$K$9,8,0)</f>
        <v>#N/A</v>
      </c>
      <c r="AC192" s="51" t="e">
        <f>VLOOKUP(A192,Enforcements!$C$7:$E$9,3,0)</f>
        <v>#N/A</v>
      </c>
      <c r="AD192" s="179">
        <f t="shared" si="54"/>
        <v>828</v>
      </c>
      <c r="AE192" s="77" t="str">
        <f t="shared" si="55"/>
        <v>aws s3 cp s3://rtdc.mdm.uploadarchive.raw/RTDC4029/ "%USERPROFILE%\AppData\Local\Temp\OnboardLogs"\RTDC4029\2017-11-17 --exclude "*" --recursive --include "*20171117*" &amp; "%USERPROFILE%\Documents\GitHub\mrs-test-scripts\Headless Mode &amp; Sideloading\WalkAndUnGZ.bat" "%USERPROFILE%\AppData\Local\Temp\OnboardLogs"\RTDC4029\2017-11-17 &amp; aws s3 cp s3://rtdc.mdm.uploadarchive.raw/RTDC4029/ "%USERPROFILE%\AppData\Local\Temp\OnboardLogs"\RTDC4029\2017-11-18 --exclude "*" --recursive --include "*20171118*" &amp; "%USERPROFILE%\Documents\GitHub\mrs-test-scripts\Headless Mode &amp; Sideloading\WalkAndUnGZ.bat" "%USERPROFILE%\AppData\Local\Temp\OnboardLogs"\RTDC4029\2017-11-18</v>
      </c>
      <c r="AF192" s="74" t="str">
        <f t="shared" si="56"/>
        <v>"C:\Program Files (x86)\AstroGrep\AstroGrep.exe" /e /r /s /spath="%USERPROFILE%\AppData\Local\Temp\OnboardLogs" /stypes="app*4029*20171117*" /stext=" 23:.+((SYSTEM_STATE.+slice.+state.+changed )|(ment ac)|(multiple cpu faults)|(system.+state.+changed )|(\[timeout)|(PRM\|1\|D)|(kpr)|(kdp)|(train st.+moving)|(\|lc)|(penalty))"</v>
      </c>
      <c r="AG192" s="182" t="str">
        <f t="shared" si="57"/>
        <v>NW</v>
      </c>
      <c r="AH192" s="78" t="str">
        <f t="shared" si="58"/>
        <v>"%USERPROFILE%\Documents\GitHub\eaglep3\Utilities\RefineRTDCRunTimes.py" --tripid 828-17 --locoid 4029 --swversion DE.1.0.9.0 --startMP 300:58604 --initTime 2017-11-17T15:57:17 --startdatetime 2017-11-17T16:13:17 --delay 54 --endMP 204:171 --enddatetime 2017-11-17T16:25:08 --enforcementcount 1 &gt;&gt;%USERPROFILE%\Documents\GitHub\eaglep3-reporting\EC\2017-11-17-refined-times.txt</v>
      </c>
      <c r="AI192" s="96" t="str">
        <f t="shared" si="59"/>
        <v>echo {"issue":{"subject":"","project_id":79,"tracker_id":40,"status_id":1,"priority_id":2,"assigned_to_id":338,"start_date":"2017-11-17","description":"","custom_fields":[{"id":1,"name":"Subdivision","value":"NW"},{"id":4,"name":"Milepost","value":"0.0171"},{"id":17,"name":"Train ID","value":"828-17"},{"id":16,"name":"Locomotive ID","value":"4029"},{"id":130,"name":"Impact","value":""},{"id":150,"name":"Time of Event (Mountain Time)","value":"16:25:08"},{"id":151,"name":"Denver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2" s="47"/>
      <c r="AL192" s="47"/>
      <c r="AM192" s="142" t="str">
        <f t="shared" si="60"/>
        <v>start /low /b %USERPROFILE%\Documents\GitHub\eaglep3\Utilities\DownloadLogsFromS3.py --loco 4029 --day 2017-11-17</v>
      </c>
      <c r="AN192" s="151" t="str">
        <f t="shared" si="61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23:25:08"},{"id":29,"name":"Sharepoint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168" t="str">
        <f t="shared" si="62"/>
        <v>https://d0f6bd738d7f1b3e5a7ca70fe4ff75f0.us-east-1.aws.found.io/app/kibana#/discover/Steve-Slow-Train-Analysis-(2080s-and-2083s)?_g=(refreshInterval:(display:Off,pause:!f,section:0,value:0),time:(from:'2017-11-17T14:57:17-0700',mode:absolute,to:'2017-11-17T17:25:08-0700'))&amp;_a=(columns:!('Message%20ID',Summary),filters:!(),index:'emp_*',interval:auto,query:(query_string:(analyze_wildcard:!t,query:'%22rtdc.l.rtdc.4029%22')),sort:!(Time.ISO8601,asc))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0" customFormat="1" x14ac:dyDescent="0.3">
      <c r="A193" s="32" t="s">
        <v>810</v>
      </c>
      <c r="B193" s="7">
        <v>4024</v>
      </c>
      <c r="C193" s="21" t="s">
        <v>192</v>
      </c>
      <c r="D193" s="21" t="s">
        <v>1080</v>
      </c>
      <c r="E193" s="13">
        <v>43056.669247685182</v>
      </c>
      <c r="F193" s="13">
        <v>43056.673113425924</v>
      </c>
      <c r="G193" s="7">
        <v>91</v>
      </c>
      <c r="H193" s="21" t="s">
        <v>1081</v>
      </c>
      <c r="I193" s="13">
        <v>43056.683680555558</v>
      </c>
      <c r="J193" s="7">
        <v>1</v>
      </c>
      <c r="K193" s="89" t="str">
        <f t="shared" si="48"/>
        <v>4023/4024</v>
      </c>
      <c r="L193" s="185" t="str">
        <f>VLOOKUP(A193,'Trips&amp;Operators'!$C$1:$G$99911,5,FALSE)</f>
        <v>BERLING GARY</v>
      </c>
      <c r="M193" s="6">
        <f t="shared" si="49"/>
        <v>1.0567129633272998E-2</v>
      </c>
      <c r="N193" s="7">
        <f t="shared" si="69"/>
        <v>15.216666671913117</v>
      </c>
      <c r="O193" s="7"/>
      <c r="P193" s="7"/>
      <c r="Q193" s="22"/>
      <c r="R193" s="174"/>
      <c r="S193" s="221">
        <f t="shared" si="72"/>
        <v>1</v>
      </c>
      <c r="T193" s="174" t="str">
        <f t="shared" si="50"/>
        <v>NorthBound</v>
      </c>
      <c r="U193" s="198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16" t="str">
        <f t="shared" si="51"/>
        <v>https://d0f6bd738d7f1b3e5a7ca70fe4ff75f0.us-east-1.aws.found.io/app/kibana#/discover/Steve-Slow-Train-Analysis-(2080s-and-2083s)?_g=(refreshInterval:(display:Off,pause:!f,section:0,value:0),time:(from:'2017-11-17T15:03:43-0700',mode:absolute,to:'2017-11-17T17:24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93" s="204" t="str">
        <f>IF(AA193&lt;VLOOKUP(AG193,Variables!$AC$3:$AD$8,2,FALSE),"Y","N")</f>
        <v>N</v>
      </c>
      <c r="X193" s="204">
        <f t="shared" si="52"/>
        <v>1</v>
      </c>
      <c r="Y193" s="204">
        <f t="shared" si="70"/>
        <v>4.7899999999999998E-2</v>
      </c>
      <c r="Z193" s="204">
        <f t="shared" si="71"/>
        <v>5.8949999999999996</v>
      </c>
      <c r="AA193" s="204">
        <f t="shared" si="53"/>
        <v>5.8470999999999993</v>
      </c>
      <c r="AB193" s="54" t="e">
        <f>VLOOKUP(A193,Enforcements!$C$7:$K$9,8,0)</f>
        <v>#N/A</v>
      </c>
      <c r="AC193" s="51" t="e">
        <f>VLOOKUP(A193,Enforcements!$C$7:$E$9,3,0)</f>
        <v>#N/A</v>
      </c>
      <c r="AD193" s="179">
        <f t="shared" si="54"/>
        <v>829</v>
      </c>
      <c r="AE193" s="77" t="str">
        <f t="shared" si="55"/>
        <v>aws s3 cp s3://rtdc.mdm.uploadarchive.raw/RTDC4024/ "%USERPROFILE%\AppData\Local\Temp\OnboardLogs"\RTDC4024\2017-11-17 --exclude "*" --recursive --include "*20171117*" &amp; "%USERPROFILE%\Documents\GitHub\mrs-test-scripts\Headless Mode &amp; Sideloading\WalkAndUnGZ.bat" "%USERPROFILE%\AppData\Local\Temp\OnboardLogs"\RTDC4024\2017-11-17 &amp; aws s3 cp s3://rtdc.mdm.uploadarchive.raw/RTDC4024/ "%USERPROFILE%\AppData\Local\Temp\OnboardLogs"\RTDC4024\2017-11-18 --exclude "*" --recursive --include "*20171118*" &amp; "%USERPROFILE%\Documents\GitHub\mrs-test-scripts\Headless Mode &amp; Sideloading\WalkAndUnGZ.bat" "%USERPROFILE%\AppData\Local\Temp\OnboardLogs"\RTDC4024\2017-11-18</v>
      </c>
      <c r="AF193" s="74" t="str">
        <f t="shared" si="56"/>
        <v>"C:\Program Files (x86)\AstroGrep\AstroGrep.exe" /e /r /s /spath="%USERPROFILE%\AppData\Local\Temp\OnboardLogs" /stypes="app*4024*20171117*" /stext=" 23:.+((SYSTEM_STATE.+slice.+state.+changed )|(ment ac)|(multiple cpu faults)|(system.+state.+changed )|(\[timeout)|(PRM\|1\|D)|(kpr)|(kdp)|(train st.+moving)|(\|lc)|(penalty))"</v>
      </c>
      <c r="AG193" s="182" t="str">
        <f t="shared" si="57"/>
        <v>NW</v>
      </c>
      <c r="AH193" s="78" t="str">
        <f t="shared" si="58"/>
        <v>"%USERPROFILE%\Documents\GitHub\eaglep3\Utilities\RefineRTDCRunTimes.py" --tripid 829-17 --locoid 4024 --swversion DE.1.0.9.0 --startMP 204:479 --initTime 2017-11-17T16:03:43 --startdatetime 2017-11-17T16:09:17 --delay 91 --endMP 300:58950 --enddatetime 2017-11-17T16:24:30 --enforcementcount 1 &gt;&gt;%USERPROFILE%\Documents\GitHub\eaglep3-reporting\EC\2017-11-17-refined-times.txt</v>
      </c>
      <c r="AI193" s="96" t="str">
        <f t="shared" si="59"/>
        <v>echo {"issue":{"subject":"","project_id":79,"tracker_id":40,"status_id":1,"priority_id":2,"assigned_to_id":338,"start_date":"2017-11-17","description":"","custom_fields":[{"id":1,"name":"Subdivision","value":"NW"},{"id":4,"name":"Milepost","value":"5.895"},{"id":17,"name":"Train ID","value":"829-17"},{"id":16,"name":"Locomotive ID","value":"4024"},{"id":130,"name":"Impact","value":""},{"id":150,"name":"Time of Event (Mountain Time)","value":"16:24:30"},{"id":151,"name":"Denver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3" s="47"/>
      <c r="AL193" s="47"/>
      <c r="AM193" s="142" t="str">
        <f t="shared" si="60"/>
        <v>start /low /b %USERPROFILE%\Documents\GitHub\eaglep3\Utilities\DownloadLogsFromS3.py --loco 4024 --day 2017-11-17</v>
      </c>
      <c r="AN193" s="151" t="str">
        <f t="shared" si="61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23:24:30"},{"id":29,"name":"Sharepoint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168" t="str">
        <f t="shared" si="62"/>
        <v>https://d0f6bd738d7f1b3e5a7ca70fe4ff75f0.us-east-1.aws.found.io/app/kibana#/discover/Steve-Slow-Train-Analysis-(2080s-and-2083s)?_g=(refreshInterval:(display:Off,pause:!f,section:0,value:0),time:(from:'2017-11-17T15:03:43-0700',mode:absolute,to:'2017-11-17T17:24:30-0700'))&amp;_a=(columns:!('Message%20ID',Summary),filters:!(),index:'emp_*',interval:auto,query:(query_string:(analyze_wildcard:!t,query:'%22rtdc.l.rtdc.4024%22')),sort:!(Time.ISO8601,asc))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0" customFormat="1" x14ac:dyDescent="0.3">
      <c r="A194" s="32" t="s">
        <v>815</v>
      </c>
      <c r="B194" s="7">
        <v>4023</v>
      </c>
      <c r="C194" s="21" t="s">
        <v>192</v>
      </c>
      <c r="D194" s="21" t="s">
        <v>614</v>
      </c>
      <c r="E194" s="13">
        <v>43056.685810185183</v>
      </c>
      <c r="F194" s="231">
        <v>43056.696087962962</v>
      </c>
      <c r="G194" s="7">
        <v>57</v>
      </c>
      <c r="H194" s="21" t="s">
        <v>1082</v>
      </c>
      <c r="I194" s="13">
        <v>43056.705439814818</v>
      </c>
      <c r="J194" s="7">
        <v>1</v>
      </c>
      <c r="K194" s="89" t="str">
        <f t="shared" si="48"/>
        <v>4023/4024</v>
      </c>
      <c r="L194" s="185" t="str">
        <f>VLOOKUP(A194,'Trips&amp;Operators'!$C$1:$G$99911,5,FALSE)</f>
        <v>BERLING GARY</v>
      </c>
      <c r="M194" s="6">
        <f t="shared" si="49"/>
        <v>9.3518518551718444E-3</v>
      </c>
      <c r="N194" s="7">
        <f t="shared" si="69"/>
        <v>13.466666671447456</v>
      </c>
      <c r="O194" s="7"/>
      <c r="P194" s="7"/>
      <c r="Q194" s="22"/>
      <c r="R194" s="174"/>
      <c r="S194" s="221">
        <f t="shared" si="72"/>
        <v>1</v>
      </c>
      <c r="T194" s="174" t="str">
        <f t="shared" si="50"/>
        <v>Southbound</v>
      </c>
      <c r="U194" s="198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16" t="str">
        <f t="shared" si="51"/>
        <v>https://d0f6bd738d7f1b3e5a7ca70fe4ff75f0.us-east-1.aws.found.io/app/kibana#/discover/Steve-Slow-Train-Analysis-(2080s-and-2083s)?_g=(refreshInterval:(display:Off,pause:!f,section:0,value:0),time:(from:'2017-11-17T15:27:34-0700',mode:absolute,to:'2017-11-17T17:55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94" s="204" t="str">
        <f>IF(AA194&lt;VLOOKUP(AG194,Variables!$AC$3:$AD$8,2,FALSE),"Y","N")</f>
        <v>N</v>
      </c>
      <c r="X194" s="204">
        <f t="shared" si="52"/>
        <v>1</v>
      </c>
      <c r="Y194" s="204">
        <f t="shared" si="70"/>
        <v>5.8632</v>
      </c>
      <c r="Z194" s="204">
        <f t="shared" si="71"/>
        <v>1.37E-2</v>
      </c>
      <c r="AA194" s="204">
        <f t="shared" si="53"/>
        <v>5.8494999999999999</v>
      </c>
      <c r="AB194" s="54" t="e">
        <f>VLOOKUP(A194,Enforcements!$C$7:$K$9,8,0)</f>
        <v>#N/A</v>
      </c>
      <c r="AC194" s="51" t="e">
        <f>VLOOKUP(A194,Enforcements!$C$7:$E$9,3,0)</f>
        <v>#N/A</v>
      </c>
      <c r="AD194" s="179">
        <f t="shared" si="54"/>
        <v>830</v>
      </c>
      <c r="AE194" s="77" t="str">
        <f t="shared" si="55"/>
        <v>aws s3 cp s3://rtdc.mdm.uploadarchive.raw/RTDC4023/ "%USERPROFILE%\AppData\Local\Temp\OnboardLogs"\RTDC4023\2017-11-17 --exclude "*" --recursive --include "*20171117*" &amp; "%USERPROFILE%\Documents\GitHub\mrs-test-scripts\Headless Mode &amp; Sideloading\WalkAndUnGZ.bat" "%USERPROFILE%\AppData\Local\Temp\OnboardLogs"\RTDC4023\2017-11-17 &amp; aws s3 cp s3://rtdc.mdm.uploadarchive.raw/RTDC4023/ "%USERPROFILE%\AppData\Local\Temp\OnboardLogs"\RTDC4023\2017-11-18 --exclude "*" --recursive --include "*20171118*" &amp; "%USERPROFILE%\Documents\GitHub\mrs-test-scripts\Headless Mode &amp; Sideloading\WalkAndUnGZ.bat" "%USERPROFILE%\AppData\Local\Temp\OnboardLogs"\RTDC4023\2017-11-18</v>
      </c>
      <c r="AF194" s="74" t="str">
        <f t="shared" si="56"/>
        <v>"C:\Program Files (x86)\AstroGrep\AstroGrep.exe" /e /r /s /spath="%USERPROFILE%\AppData\Local\Temp\OnboardLogs" /stypes="app*4023*20171117*" /stext=" 23:.+((SYSTEM_STATE.+slice.+state.+changed )|(ment ac)|(multiple cpu faults)|(system.+state.+changed )|(\[timeout)|(PRM\|1\|D)|(kpr)|(kdp)|(train st.+moving)|(\|lc)|(penalty))"</v>
      </c>
      <c r="AG194" s="182" t="str">
        <f t="shared" si="57"/>
        <v>NW</v>
      </c>
      <c r="AH194" s="78" t="str">
        <f t="shared" si="58"/>
        <v>"%USERPROFILE%\Documents\GitHub\eaglep3\Utilities\RefineRTDCRunTimes.py" --tripid 830-17 --locoid 4023 --swversion DE.1.0.9.0 --startMP 300:58632 --initTime 2017-11-17T16:27:34 --startdatetime 2017-11-17T16:42:22 --delay 57 --endMP 204:137 --enddatetime 2017-11-17T16:55:50 --enforcementcount 1 &gt;&gt;%USERPROFILE%\Documents\GitHub\eaglep3-reporting\EC\2017-11-17-refined-times.txt</v>
      </c>
      <c r="AI194" s="96" t="str">
        <f t="shared" si="59"/>
        <v>echo {"issue":{"subject":"","project_id":79,"tracker_id":40,"status_id":1,"priority_id":2,"assigned_to_id":338,"start_date":"2017-11-17","description":"","custom_fields":[{"id":1,"name":"Subdivision","value":"NW"},{"id":4,"name":"Milepost","value":"0.0137"},{"id":17,"name":"Train ID","value":"830-17"},{"id":16,"name":"Locomotive ID","value":"4023"},{"id":130,"name":"Impact","value":""},{"id":150,"name":"Time of Event (Mountain Time)","value":"16:55:50"},{"id":151,"name":"Denver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4" s="47"/>
      <c r="AL194" s="47"/>
      <c r="AM194" s="142" t="str">
        <f t="shared" si="60"/>
        <v>start /low /b %USERPROFILE%\Documents\GitHub\eaglep3\Utilities\DownloadLogsFromS3.py --loco 4023 --day 2017-11-17</v>
      </c>
      <c r="AN194" s="151" t="str">
        <f t="shared" si="61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23:55:50"},{"id":29,"name":"Sharepoint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168" t="str">
        <f t="shared" si="62"/>
        <v>https://d0f6bd738d7f1b3e5a7ca70fe4ff75f0.us-east-1.aws.found.io/app/kibana#/discover/Steve-Slow-Train-Analysis-(2080s-and-2083s)?_g=(refreshInterval:(display:Off,pause:!f,section:0,value:0),time:(from:'2017-11-17T15:27:34-0700',mode:absolute,to:'2017-11-17T17:55:50-0700'))&amp;_a=(columns:!('Message%20ID',Summary),filters:!(),index:'emp_*',interval:auto,query:(query_string:(analyze_wildcard:!t,query:'%22rtdc.l.rtdc.4023%22')),sort:!(Time.ISO8601,asc))</v>
      </c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0" customFormat="1" x14ac:dyDescent="0.3">
      <c r="A195" s="32" t="s">
        <v>816</v>
      </c>
      <c r="B195" s="7">
        <v>4030</v>
      </c>
      <c r="C195" s="21" t="s">
        <v>192</v>
      </c>
      <c r="D195" s="21" t="s">
        <v>1083</v>
      </c>
      <c r="E195" s="13">
        <v>43056.685844907406</v>
      </c>
      <c r="F195" s="13">
        <v>43056.694062499999</v>
      </c>
      <c r="G195" s="7">
        <v>71</v>
      </c>
      <c r="H195" s="21" t="s">
        <v>1084</v>
      </c>
      <c r="I195" s="13">
        <v>43056.704583333332</v>
      </c>
      <c r="J195" s="7">
        <v>1</v>
      </c>
      <c r="K195" s="89" t="str">
        <f t="shared" si="48"/>
        <v>4029/4030</v>
      </c>
      <c r="L195" s="185" t="str">
        <f>VLOOKUP(A195,'Trips&amp;Operators'!$C$1:$G$99911,5,FALSE)</f>
        <v>ANDREA WILLIAMS</v>
      </c>
      <c r="M195" s="6">
        <f t="shared" si="49"/>
        <v>1.0520833333430346E-2</v>
      </c>
      <c r="N195" s="7">
        <f t="shared" si="69"/>
        <v>15.150000000139698</v>
      </c>
      <c r="O195" s="7"/>
      <c r="P195" s="7"/>
      <c r="Q195" s="22"/>
      <c r="R195" s="174"/>
      <c r="S195" s="221">
        <f t="shared" si="72"/>
        <v>1</v>
      </c>
      <c r="T195" s="174" t="str">
        <f t="shared" si="50"/>
        <v>NorthBound</v>
      </c>
      <c r="U195" s="198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16" t="str">
        <f t="shared" si="51"/>
        <v>https://d0f6bd738d7f1b3e5a7ca70fe4ff75f0.us-east-1.aws.found.io/app/kibana#/discover/Steve-Slow-Train-Analysis-(2080s-and-2083s)?_g=(refreshInterval:(display:Off,pause:!f,section:0,value:0),time:(from:'2017-11-17T15:27:37-0700',mode:absolute,to:'2017-11-17T17:54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95" s="204" t="str">
        <f>IF(AA195&lt;VLOOKUP(AG195,Variables!$AC$3:$AD$8,2,FALSE),"Y","N")</f>
        <v>N</v>
      </c>
      <c r="X195" s="204">
        <f t="shared" si="52"/>
        <v>1</v>
      </c>
      <c r="Y195" s="204">
        <f t="shared" si="70"/>
        <v>4.82E-2</v>
      </c>
      <c r="Z195" s="204">
        <f t="shared" si="71"/>
        <v>5.8924000000000003</v>
      </c>
      <c r="AA195" s="204">
        <f t="shared" si="53"/>
        <v>5.8442000000000007</v>
      </c>
      <c r="AB195" s="54" t="e">
        <f>VLOOKUP(A195,Enforcements!$C$7:$K$9,8,0)</f>
        <v>#N/A</v>
      </c>
      <c r="AC195" s="51" t="e">
        <f>VLOOKUP(A195,Enforcements!$C$7:$E$9,3,0)</f>
        <v>#N/A</v>
      </c>
      <c r="AD195" s="179">
        <f t="shared" si="54"/>
        <v>831</v>
      </c>
      <c r="AE195" s="77" t="str">
        <f t="shared" si="55"/>
        <v>aws s3 cp s3://rtdc.mdm.uploadarchive.raw/RTDC4030/ "%USERPROFILE%\AppData\Local\Temp\OnboardLogs"\RTDC4030\2017-11-17 --exclude "*" --recursive --include "*20171117*" &amp; "%USERPROFILE%\Documents\GitHub\mrs-test-scripts\Headless Mode &amp; Sideloading\WalkAndUnGZ.bat" "%USERPROFILE%\AppData\Local\Temp\OnboardLogs"\RTDC4030\2017-11-17 &amp; aws s3 cp s3://rtdc.mdm.uploadarchive.raw/RTDC4030/ "%USERPROFILE%\AppData\Local\Temp\OnboardLogs"\RTDC4030\2017-11-18 --exclude "*" --recursive --include "*20171118*" &amp; "%USERPROFILE%\Documents\GitHub\mrs-test-scripts\Headless Mode &amp; Sideloading\WalkAndUnGZ.bat" "%USERPROFILE%\AppData\Local\Temp\OnboardLogs"\RTDC4030\2017-11-18</v>
      </c>
      <c r="AF195" s="74" t="str">
        <f t="shared" si="56"/>
        <v>"C:\Program Files (x86)\AstroGrep\AstroGrep.exe" /e /r /s /spath="%USERPROFILE%\AppData\Local\Temp\OnboardLogs" /stypes="app*4030*20171117*" /stext=" 23:.+((SYSTEM_STATE.+slice.+state.+changed )|(ment ac)|(multiple cpu faults)|(system.+state.+changed )|(\[timeout)|(PRM\|1\|D)|(kpr)|(kdp)|(train st.+moving)|(\|lc)|(penalty))"</v>
      </c>
      <c r="AG195" s="182" t="str">
        <f t="shared" si="57"/>
        <v>NW</v>
      </c>
      <c r="AH195" s="78" t="str">
        <f t="shared" si="58"/>
        <v>"%USERPROFILE%\Documents\GitHub\eaglep3\Utilities\RefineRTDCRunTimes.py" --tripid 831-17 --locoid 4030 --swversion DE.1.0.9.0 --startMP 204:482 --initTime 2017-11-17T16:27:37 --startdatetime 2017-11-17T16:39:27 --delay 71 --endMP 300:58924 --enddatetime 2017-11-17T16:54:36 --enforcementcount 1 &gt;&gt;%USERPROFILE%\Documents\GitHub\eaglep3-reporting\EC\2017-11-17-refined-times.txt</v>
      </c>
      <c r="AI195" s="96" t="str">
        <f t="shared" si="59"/>
        <v>echo {"issue":{"subject":"","project_id":79,"tracker_id":40,"status_id":1,"priority_id":2,"assigned_to_id":338,"start_date":"2017-11-17","description":"","custom_fields":[{"id":1,"name":"Subdivision","value":"NW"},{"id":4,"name":"Milepost","value":"5.8924"},{"id":17,"name":"Train ID","value":"831-17"},{"id":16,"name":"Locomotive ID","value":"4030"},{"id":130,"name":"Impact","value":""},{"id":150,"name":"Time of Event (Mountain Time)","value":"16:54:36"},{"id":151,"name":"Denver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5" s="47"/>
      <c r="AL195" s="47"/>
      <c r="AM195" s="142" t="str">
        <f t="shared" si="60"/>
        <v>start /low /b %USERPROFILE%\Documents\GitHub\eaglep3\Utilities\DownloadLogsFromS3.py --loco 4030 --day 2017-11-17</v>
      </c>
      <c r="AN195" s="151" t="str">
        <f t="shared" si="61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23:54:36"},{"id":29,"name":"Sharepoint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168" t="str">
        <f t="shared" si="62"/>
        <v>https://d0f6bd738d7f1b3e5a7ca70fe4ff75f0.us-east-1.aws.found.io/app/kibana#/discover/Steve-Slow-Train-Analysis-(2080s-and-2083s)?_g=(refreshInterval:(display:Off,pause:!f,section:0,value:0),time:(from:'2017-11-17T15:27:37-0700',mode:absolute,to:'2017-11-17T17:54:36-0700'))&amp;_a=(columns:!('Message%20ID',Summary),filters:!(),index:'emp_*',interval:auto,query:(query_string:(analyze_wildcard:!t,query:'%22rtdc.l.rtdc.4030%22')),sort:!(Time.ISO8601,asc))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0" customFormat="1" x14ac:dyDescent="0.3">
      <c r="A196" s="32" t="s">
        <v>821</v>
      </c>
      <c r="B196" s="7">
        <v>4029</v>
      </c>
      <c r="C196" s="21" t="s">
        <v>192</v>
      </c>
      <c r="D196" s="21" t="s">
        <v>1085</v>
      </c>
      <c r="E196" s="13">
        <v>43056.705752314818</v>
      </c>
      <c r="F196" s="231">
        <v>43056.717453703706</v>
      </c>
      <c r="G196" s="7">
        <v>60</v>
      </c>
      <c r="H196" s="21" t="s">
        <v>563</v>
      </c>
      <c r="I196" s="231">
        <v>43056.725798611114</v>
      </c>
      <c r="J196" s="7">
        <v>1</v>
      </c>
      <c r="K196" s="89" t="str">
        <f t="shared" si="48"/>
        <v>4029/4030</v>
      </c>
      <c r="L196" s="185" t="str">
        <f>VLOOKUP(A196,'Trips&amp;Operators'!$C$1:$G$99911,5,FALSE)</f>
        <v>ANDREA WILLIAMS</v>
      </c>
      <c r="M196" s="6">
        <f t="shared" si="49"/>
        <v>8.3449074081727304E-3</v>
      </c>
      <c r="N196" s="7">
        <f t="shared" si="69"/>
        <v>12.016666667768732</v>
      </c>
      <c r="O196" s="7"/>
      <c r="P196" s="7"/>
      <c r="Q196" s="22"/>
      <c r="R196" s="174"/>
      <c r="S196" s="221">
        <f t="shared" si="72"/>
        <v>1</v>
      </c>
      <c r="T196" s="174" t="str">
        <f t="shared" si="50"/>
        <v>Southbound</v>
      </c>
      <c r="U196" s="198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16" t="str">
        <f t="shared" si="51"/>
        <v>https://d0f6bd738d7f1b3e5a7ca70fe4ff75f0.us-east-1.aws.found.io/app/kibana#/discover/Steve-Slow-Train-Analysis-(2080s-and-2083s)?_g=(refreshInterval:(display:Off,pause:!f,section:0,value:0),time:(from:'2017-11-17T15:56:17-0700',mode:absolute,to:'2017-11-17T18:25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96" s="204" t="str">
        <f>IF(AA196&lt;VLOOKUP(AG196,Variables!$AC$3:$AD$8,2,FALSE),"Y","N")</f>
        <v>N</v>
      </c>
      <c r="X196" s="204">
        <f t="shared" si="52"/>
        <v>1</v>
      </c>
      <c r="Y196" s="204">
        <f t="shared" si="70"/>
        <v>5.8593999999999999</v>
      </c>
      <c r="Z196" s="204">
        <f t="shared" si="71"/>
        <v>1.5800000000000002E-2</v>
      </c>
      <c r="AA196" s="204">
        <f t="shared" si="53"/>
        <v>5.8436000000000003</v>
      </c>
      <c r="AB196" s="54" t="e">
        <f>VLOOKUP(A196,Enforcements!$C$7:$K$9,8,0)</f>
        <v>#N/A</v>
      </c>
      <c r="AC196" s="51" t="e">
        <f>VLOOKUP(A196,Enforcements!$C$7:$E$9,3,0)</f>
        <v>#N/A</v>
      </c>
      <c r="AD196" s="179">
        <f t="shared" si="54"/>
        <v>832</v>
      </c>
      <c r="AE196" s="77" t="str">
        <f t="shared" si="55"/>
        <v>aws s3 cp s3://rtdc.mdm.uploadarchive.raw/RTDC4029/ "%USERPROFILE%\AppData\Local\Temp\OnboardLogs"\RTDC4029\2017-11-17 --exclude "*" --recursive --include "*20171117*" &amp; "%USERPROFILE%\Documents\GitHub\mrs-test-scripts\Headless Mode &amp; Sideloading\WalkAndUnGZ.bat" "%USERPROFILE%\AppData\Local\Temp\OnboardLogs"\RTDC4029\2017-11-17 &amp; aws s3 cp s3://rtdc.mdm.uploadarchive.raw/RTDC4029/ "%USERPROFILE%\AppData\Local\Temp\OnboardLogs"\RTDC4029\2017-11-18 --exclude "*" --recursive --include "*20171118*" &amp; "%USERPROFILE%\Documents\GitHub\mrs-test-scripts\Headless Mode &amp; Sideloading\WalkAndUnGZ.bat" "%USERPROFILE%\AppData\Local\Temp\OnboardLogs"\RTDC4029\2017-11-18</v>
      </c>
      <c r="AF196" s="74" t="str">
        <f t="shared" si="56"/>
        <v>"C:\Program Files (x86)\AstroGrep\AstroGrep.exe" /e /r /s /spath="%USERPROFILE%\AppData\Local\Temp\OnboardLogs" /stypes="app*4029*20171118*" /stext=" 00:.+((SYSTEM_STATE.+slice.+state.+changed )|(ment ac)|(multiple cpu faults)|(system.+state.+changed )|(\[timeout)|(PRM\|1\|D)|(kpr)|(kdp)|(train st.+moving)|(\|lc)|(penalty))"</v>
      </c>
      <c r="AG196" s="182" t="str">
        <f t="shared" si="57"/>
        <v>NW</v>
      </c>
      <c r="AH196" s="78" t="str">
        <f t="shared" si="58"/>
        <v>"%USERPROFILE%\Documents\GitHub\eaglep3\Utilities\RefineRTDCRunTimes.py" --tripid 832-17 --locoid 4029 --swversion DE.1.0.9.0 --startMP 300:58594 --initTime 2017-11-17T16:56:17 --startdatetime 2017-11-17T17:13:08 --delay 60 --endMP 204:158 --enddatetime 2017-11-17T17:25:09 --enforcementcount 1 &gt;&gt;%USERPROFILE%\Documents\GitHub\eaglep3-reporting\EC\2017-11-17-refined-times.txt</v>
      </c>
      <c r="AI196" s="96" t="str">
        <f t="shared" si="59"/>
        <v>echo {"issue":{"subject":"","project_id":79,"tracker_id":40,"status_id":1,"priority_id":2,"assigned_to_id":338,"start_date":"2017-11-17","description":"","custom_fields":[{"id":1,"name":"Subdivision","value":"NW"},{"id":4,"name":"Milepost","value":"0.0158"},{"id":17,"name":"Train ID","value":"832-17"},{"id":16,"name":"Locomotive ID","value":"4029"},{"id":130,"name":"Impact","value":""},{"id":150,"name":"Time of Event (Mountain Time)","value":"17:25:09"},{"id":151,"name":"Denver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6" s="47"/>
      <c r="AL196" s="47"/>
      <c r="AM196" s="142" t="str">
        <f t="shared" si="60"/>
        <v>start /low /b %USERPROFILE%\Documents\GitHub\eaglep3\Utilities\DownloadLogsFromS3.py --loco 4029 --day 2017-11-17</v>
      </c>
      <c r="AN196" s="151" t="str">
        <f t="shared" si="61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00:25:09"},{"id":29,"name":"Sharepoint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168" t="str">
        <f t="shared" si="62"/>
        <v>https://d0f6bd738d7f1b3e5a7ca70fe4ff75f0.us-east-1.aws.found.io/app/kibana#/discover/Steve-Slow-Train-Analysis-(2080s-and-2083s)?_g=(refreshInterval:(display:Off,pause:!f,section:0,value:0),time:(from:'2017-11-17T15:56:17-0700',mode:absolute,to:'2017-11-17T18:25:09-0700'))&amp;_a=(columns:!('Message%20ID',Summary),filters:!(),index:'emp_*',interval:auto,query:(query_string:(analyze_wildcard:!t,query:'%22rtdc.l.rtdc.4029%22')),sort:!(Time.ISO8601,asc))</v>
      </c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0" customFormat="1" x14ac:dyDescent="0.3">
      <c r="A197" s="32" t="s">
        <v>823</v>
      </c>
      <c r="B197" s="7">
        <v>4024</v>
      </c>
      <c r="C197" s="21" t="s">
        <v>192</v>
      </c>
      <c r="D197" s="21" t="s">
        <v>1056</v>
      </c>
      <c r="E197" s="13">
        <v>43056.710868055554</v>
      </c>
      <c r="F197" s="13">
        <v>43056.714837962965</v>
      </c>
      <c r="G197" s="7">
        <v>69</v>
      </c>
      <c r="H197" s="21" t="s">
        <v>1086</v>
      </c>
      <c r="I197" s="13">
        <v>43056.726157407407</v>
      </c>
      <c r="J197" s="7">
        <v>1</v>
      </c>
      <c r="K197" s="89" t="str">
        <f t="shared" si="48"/>
        <v>4023/4024</v>
      </c>
      <c r="L197" s="185" t="str">
        <f>VLOOKUP(A197,'Trips&amp;Operators'!$C$1:$G$99911,5,FALSE)</f>
        <v>BERLING GARY</v>
      </c>
      <c r="M197" s="6">
        <f t="shared" si="49"/>
        <v>1.1319444442051463E-2</v>
      </c>
      <c r="N197" s="7">
        <f t="shared" si="69"/>
        <v>16.299999996554106</v>
      </c>
      <c r="O197" s="7"/>
      <c r="P197" s="7"/>
      <c r="Q197" s="22"/>
      <c r="R197" s="174"/>
      <c r="S197" s="221">
        <f t="shared" si="72"/>
        <v>1</v>
      </c>
      <c r="T197" s="174" t="str">
        <f t="shared" si="50"/>
        <v>NorthBound</v>
      </c>
      <c r="U197" s="198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16" t="str">
        <f t="shared" si="51"/>
        <v>https://d0f6bd738d7f1b3e5a7ca70fe4ff75f0.us-east-1.aws.found.io/app/kibana#/discover/Steve-Slow-Train-Analysis-(2080s-and-2083s)?_g=(refreshInterval:(display:Off,pause:!f,section:0,value:0),time:(from:'2017-11-17T16:03:39-0700',mode:absolute,to:'2017-11-17T18:25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97" s="204" t="str">
        <f>IF(AA197&lt;VLOOKUP(AG197,Variables!$AC$3:$AD$8,2,FALSE),"Y","N")</f>
        <v>N</v>
      </c>
      <c r="X197" s="204">
        <f t="shared" si="52"/>
        <v>1</v>
      </c>
      <c r="Y197" s="204">
        <f t="shared" si="70"/>
        <v>4.2999999999999997E-2</v>
      </c>
      <c r="Z197" s="204">
        <f t="shared" si="71"/>
        <v>5.8940999999999999</v>
      </c>
      <c r="AA197" s="204">
        <f t="shared" si="53"/>
        <v>5.8510999999999997</v>
      </c>
      <c r="AB197" s="54" t="e">
        <f>VLOOKUP(A197,Enforcements!$C$7:$K$9,8,0)</f>
        <v>#N/A</v>
      </c>
      <c r="AC197" s="51" t="e">
        <f>VLOOKUP(A197,Enforcements!$C$7:$E$9,3,0)</f>
        <v>#N/A</v>
      </c>
      <c r="AD197" s="179">
        <f t="shared" si="54"/>
        <v>833</v>
      </c>
      <c r="AE197" s="77" t="str">
        <f t="shared" si="55"/>
        <v>aws s3 cp s3://rtdc.mdm.uploadarchive.raw/RTDC4024/ "%USERPROFILE%\AppData\Local\Temp\OnboardLogs"\RTDC4024\2017-11-17 --exclude "*" --recursive --include "*20171117*" &amp; "%USERPROFILE%\Documents\GitHub\mrs-test-scripts\Headless Mode &amp; Sideloading\WalkAndUnGZ.bat" "%USERPROFILE%\AppData\Local\Temp\OnboardLogs"\RTDC4024\2017-11-17 &amp; aws s3 cp s3://rtdc.mdm.uploadarchive.raw/RTDC4024/ "%USERPROFILE%\AppData\Local\Temp\OnboardLogs"\RTDC4024\2017-11-18 --exclude "*" --recursive --include "*20171118*" &amp; "%USERPROFILE%\Documents\GitHub\mrs-test-scripts\Headless Mode &amp; Sideloading\WalkAndUnGZ.bat" "%USERPROFILE%\AppData\Local\Temp\OnboardLogs"\RTDC4024\2017-11-18</v>
      </c>
      <c r="AF197" s="74" t="str">
        <f t="shared" si="56"/>
        <v>"C:\Program Files (x86)\AstroGrep\AstroGrep.exe" /e /r /s /spath="%USERPROFILE%\AppData\Local\Temp\OnboardLogs" /stypes="app*4024*20171118*" /stext=" 00:.+((SYSTEM_STATE.+slice.+state.+changed )|(ment ac)|(multiple cpu faults)|(system.+state.+changed )|(\[timeout)|(PRM\|1\|D)|(kpr)|(kdp)|(train st.+moving)|(\|lc)|(penalty))"</v>
      </c>
      <c r="AG197" s="182" t="str">
        <f t="shared" si="57"/>
        <v>NW</v>
      </c>
      <c r="AH197" s="78" t="str">
        <f t="shared" si="58"/>
        <v>"%USERPROFILE%\Documents\GitHub\eaglep3\Utilities\RefineRTDCRunTimes.py" --tripid 833-17 --locoid 4024 --swversion DE.1.0.9.0 --startMP 204:430 --initTime 2017-11-17T17:03:39 --startdatetime 2017-11-17T17:09:22 --delay 69 --endMP 300:58941 --enddatetime 2017-11-17T17:25:40 --enforcementcount 1 &gt;&gt;%USERPROFILE%\Documents\GitHub\eaglep3-reporting\EC\2017-11-17-refined-times.txt</v>
      </c>
      <c r="AI197" s="96" t="str">
        <f t="shared" si="59"/>
        <v>echo {"issue":{"subject":"","project_id":79,"tracker_id":40,"status_id":1,"priority_id":2,"assigned_to_id":338,"start_date":"2017-11-17","description":"","custom_fields":[{"id":1,"name":"Subdivision","value":"NW"},{"id":4,"name":"Milepost","value":"5.8941"},{"id":17,"name":"Train ID","value":"833-17"},{"id":16,"name":"Locomotive ID","value":"4024"},{"id":130,"name":"Impact","value":""},{"id":150,"name":"Time of Event (Mountain Time)","value":"17:25:40"},{"id":151,"name":"Denver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7" s="47"/>
      <c r="AL197" s="47"/>
      <c r="AM197" s="142" t="str">
        <f t="shared" si="60"/>
        <v>start /low /b %USERPROFILE%\Documents\GitHub\eaglep3\Utilities\DownloadLogsFromS3.py --loco 4024 --day 2017-11-17</v>
      </c>
      <c r="AN197" s="151" t="str">
        <f t="shared" si="61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00:25:40"},{"id":29,"name":"Sharepoint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168" t="str">
        <f t="shared" si="62"/>
        <v>https://d0f6bd738d7f1b3e5a7ca70fe4ff75f0.us-east-1.aws.found.io/app/kibana#/discover/Steve-Slow-Train-Analysis-(2080s-and-2083s)?_g=(refreshInterval:(display:Off,pause:!f,section:0,value:0),time:(from:'2017-11-17T16:03:39-0700',mode:absolute,to:'2017-11-17T18:25:40-0700'))&amp;_a=(columns:!('Message%20ID',Summary),filters:!(),index:'emp_*',interval:auto,query:(query_string:(analyze_wildcard:!t,query:'%22rtdc.l.rtdc.4024%22')),sort:!(Time.ISO8601,asc))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0" customFormat="1" x14ac:dyDescent="0.3">
      <c r="A198" s="32" t="s">
        <v>827</v>
      </c>
      <c r="B198" s="7">
        <v>4023</v>
      </c>
      <c r="C198" s="21" t="s">
        <v>192</v>
      </c>
      <c r="D198" s="21" t="s">
        <v>622</v>
      </c>
      <c r="E198" s="13">
        <v>43056.727256944447</v>
      </c>
      <c r="F198" s="231">
        <v>43056.738229166665</v>
      </c>
      <c r="G198" s="7">
        <v>81</v>
      </c>
      <c r="H198" s="21" t="s">
        <v>1087</v>
      </c>
      <c r="I198" s="13">
        <v>43056.746516203704</v>
      </c>
      <c r="J198" s="7">
        <v>1</v>
      </c>
      <c r="K198" s="89" t="str">
        <f t="shared" si="48"/>
        <v>4023/4024</v>
      </c>
      <c r="L198" s="185" t="str">
        <f>VLOOKUP(A198,'Trips&amp;Operators'!$C$1:$G$99911,5,FALSE)</f>
        <v>BERLING GARY</v>
      </c>
      <c r="M198" s="6">
        <f t="shared" si="49"/>
        <v>8.2870370388263837E-3</v>
      </c>
      <c r="N198" s="7">
        <f t="shared" si="69"/>
        <v>11.933333335909992</v>
      </c>
      <c r="O198" s="7"/>
      <c r="P198" s="7"/>
      <c r="Q198" s="22"/>
      <c r="R198" s="174"/>
      <c r="S198" s="221">
        <f t="shared" si="72"/>
        <v>1</v>
      </c>
      <c r="T198" s="174" t="str">
        <f t="shared" si="50"/>
        <v>Southbound</v>
      </c>
      <c r="U198" s="198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16" t="str">
        <f t="shared" si="51"/>
        <v>https://d0f6bd738d7f1b3e5a7ca70fe4ff75f0.us-east-1.aws.found.io/app/kibana#/discover/Steve-Slow-Train-Analysis-(2080s-and-2083s)?_g=(refreshInterval:(display:Off,pause:!f,section:0,value:0),time:(from:'2017-11-17T16:27:15-0700',mode:absolute,to:'2017-11-17T18:54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98" s="204" t="str">
        <f>IF(AA198&lt;VLOOKUP(AG198,Variables!$AC$3:$AD$8,2,FALSE),"Y","N")</f>
        <v>N</v>
      </c>
      <c r="X198" s="204">
        <f t="shared" si="52"/>
        <v>1</v>
      </c>
      <c r="Y198" s="204">
        <f t="shared" si="70"/>
        <v>5.8623000000000003</v>
      </c>
      <c r="Z198" s="204">
        <f t="shared" si="71"/>
        <v>1.26E-2</v>
      </c>
      <c r="AA198" s="204">
        <f t="shared" si="53"/>
        <v>5.8497000000000003</v>
      </c>
      <c r="AB198" s="54" t="e">
        <f>VLOOKUP(A198,Enforcements!$C$7:$K$9,8,0)</f>
        <v>#N/A</v>
      </c>
      <c r="AC198" s="51" t="e">
        <f>VLOOKUP(A198,Enforcements!$C$7:$E$9,3,0)</f>
        <v>#N/A</v>
      </c>
      <c r="AD198" s="179">
        <f t="shared" si="54"/>
        <v>834</v>
      </c>
      <c r="AE198" s="77" t="str">
        <f t="shared" si="55"/>
        <v>aws s3 cp s3://rtdc.mdm.uploadarchive.raw/RTDC4023/ "%USERPROFILE%\AppData\Local\Temp\OnboardLogs"\RTDC4023\2017-11-17 --exclude "*" --recursive --include "*20171117*" &amp; "%USERPROFILE%\Documents\GitHub\mrs-test-scripts\Headless Mode &amp; Sideloading\WalkAndUnGZ.bat" "%USERPROFILE%\AppData\Local\Temp\OnboardLogs"\RTDC4023\2017-11-17 &amp; aws s3 cp s3://rtdc.mdm.uploadarchive.raw/RTDC4023/ "%USERPROFILE%\AppData\Local\Temp\OnboardLogs"\RTDC4023\2017-11-18 --exclude "*" --recursive --include "*20171118*" &amp; "%USERPROFILE%\Documents\GitHub\mrs-test-scripts\Headless Mode &amp; Sideloading\WalkAndUnGZ.bat" "%USERPROFILE%\AppData\Local\Temp\OnboardLogs"\RTDC4023\2017-11-18</v>
      </c>
      <c r="AF198" s="74" t="str">
        <f t="shared" si="56"/>
        <v>"C:\Program Files (x86)\AstroGrep\AstroGrep.exe" /e /r /s /spath="%USERPROFILE%\AppData\Local\Temp\OnboardLogs" /stypes="app*4023*20171118*" /stext=" 00:.+((SYSTEM_STATE.+slice.+state.+changed )|(ment ac)|(multiple cpu faults)|(system.+state.+changed )|(\[timeout)|(PRM\|1\|D)|(kpr)|(kdp)|(train st.+moving)|(\|lc)|(penalty))"</v>
      </c>
      <c r="AG198" s="182" t="str">
        <f t="shared" si="57"/>
        <v>NW</v>
      </c>
      <c r="AH198" s="78" t="str">
        <f t="shared" si="58"/>
        <v>"%USERPROFILE%\Documents\GitHub\eaglep3\Utilities\RefineRTDCRunTimes.py" --tripid 834-17 --locoid 4023 --swversion DE.1.0.9.0 --startMP 300:58623 --initTime 2017-11-17T17:27:15 --startdatetime 2017-11-17T17:43:03 --delay 81 --endMP 204:126 --enddatetime 2017-11-17T17:54:59 --enforcementcount 1 &gt;&gt;%USERPROFILE%\Documents\GitHub\eaglep3-reporting\EC\2017-11-17-refined-times.txt</v>
      </c>
      <c r="AI198" s="96" t="str">
        <f t="shared" si="59"/>
        <v>echo {"issue":{"subject":"","project_id":79,"tracker_id":40,"status_id":1,"priority_id":2,"assigned_to_id":338,"start_date":"2017-11-17","description":"","custom_fields":[{"id":1,"name":"Subdivision","value":"NW"},{"id":4,"name":"Milepost","value":"0.0126"},{"id":17,"name":"Train ID","value":"834-17"},{"id":16,"name":"Locomotive ID","value":"4023"},{"id":130,"name":"Impact","value":""},{"id":150,"name":"Time of Event (Mountain Time)","value":"17:54:59"},{"id":151,"name":"Denver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8" s="47"/>
      <c r="AL198" s="47"/>
      <c r="AM198" s="142" t="str">
        <f t="shared" si="60"/>
        <v>start /low /b %USERPROFILE%\Documents\GitHub\eaglep3\Utilities\DownloadLogsFromS3.py --loco 4023 --day 2017-11-17</v>
      </c>
      <c r="AN198" s="151" t="str">
        <f t="shared" si="61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00:54:59"},{"id":29,"name":"Sharepoint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168" t="str">
        <f t="shared" si="62"/>
        <v>https://d0f6bd738d7f1b3e5a7ca70fe4ff75f0.us-east-1.aws.found.io/app/kibana#/discover/Steve-Slow-Train-Analysis-(2080s-and-2083s)?_g=(refreshInterval:(display:Off,pause:!f,section:0,value:0),time:(from:'2017-11-17T16:27:15-0700',mode:absolute,to:'2017-11-17T18:54:59-0700'))&amp;_a=(columns:!('Message%20ID',Summary),filters:!(),index:'emp_*',interval:auto,query:(query_string:(analyze_wildcard:!t,query:'%22rtdc.l.rtdc.4023%22')),sort:!(Time.ISO8601,asc))</v>
      </c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0" customFormat="1" x14ac:dyDescent="0.3">
      <c r="A199" s="32" t="s">
        <v>828</v>
      </c>
      <c r="B199" s="7">
        <v>4030</v>
      </c>
      <c r="C199" s="21" t="s">
        <v>192</v>
      </c>
      <c r="D199" s="21" t="s">
        <v>910</v>
      </c>
      <c r="E199" s="13">
        <v>43056.728206018517</v>
      </c>
      <c r="F199" s="13">
        <v>43056.735625000001</v>
      </c>
      <c r="G199" s="7">
        <v>61</v>
      </c>
      <c r="H199" s="21" t="s">
        <v>1088</v>
      </c>
      <c r="I199" s="13">
        <v>43056.747743055559</v>
      </c>
      <c r="J199" s="7">
        <v>1</v>
      </c>
      <c r="K199" s="89" t="str">
        <f t="shared" si="48"/>
        <v>4029/4030</v>
      </c>
      <c r="L199" s="185" t="str">
        <f>VLOOKUP(A199,'Trips&amp;Operators'!$C$1:$G$99911,5,FALSE)</f>
        <v>ANDREA WILLIAMS</v>
      </c>
      <c r="M199" s="6">
        <f t="shared" si="49"/>
        <v>1.2118055557948537E-2</v>
      </c>
      <c r="N199" s="7">
        <f t="shared" ref="N199:N232" si="89">24*60*SUM($M199:$M199)</f>
        <v>17.450000003445894</v>
      </c>
      <c r="O199" s="7"/>
      <c r="P199" s="7"/>
      <c r="Q199" s="22"/>
      <c r="R199" s="174"/>
      <c r="S199" s="221">
        <f t="shared" si="72"/>
        <v>1</v>
      </c>
      <c r="T199" s="174" t="str">
        <f t="shared" si="50"/>
        <v>NorthBound</v>
      </c>
      <c r="U199" s="198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16" t="str">
        <f t="shared" si="51"/>
        <v>https://d0f6bd738d7f1b3e5a7ca70fe4ff75f0.us-east-1.aws.found.io/app/kibana#/discover/Steve-Slow-Train-Analysis-(2080s-and-2083s)?_g=(refreshInterval:(display:Off,pause:!f,section:0,value:0),time:(from:'2017-11-17T16:28:37-0700',mode:absolute,to:'2017-11-17T18:56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99" s="204" t="str">
        <f>IF(AA199&lt;VLOOKUP(AG199,Variables!$AC$3:$AD$8,2,FALSE),"Y","N")</f>
        <v>N</v>
      </c>
      <c r="X199" s="204">
        <f t="shared" si="52"/>
        <v>1</v>
      </c>
      <c r="Y199" s="204">
        <f t="shared" si="70"/>
        <v>4.3700000000000003E-2</v>
      </c>
      <c r="Z199" s="204">
        <f t="shared" si="71"/>
        <v>5.8963000000000001</v>
      </c>
      <c r="AA199" s="204">
        <f t="shared" si="53"/>
        <v>5.8525999999999998</v>
      </c>
      <c r="AB199" s="54" t="e">
        <f>VLOOKUP(A199,Enforcements!$C$7:$K$9,8,0)</f>
        <v>#N/A</v>
      </c>
      <c r="AC199" s="51" t="e">
        <f>VLOOKUP(A199,Enforcements!$C$7:$E$9,3,0)</f>
        <v>#N/A</v>
      </c>
      <c r="AD199" s="179">
        <f t="shared" si="54"/>
        <v>835</v>
      </c>
      <c r="AE199" s="77" t="str">
        <f t="shared" si="55"/>
        <v>aws s3 cp s3://rtdc.mdm.uploadarchive.raw/RTDC4030/ "%USERPROFILE%\AppData\Local\Temp\OnboardLogs"\RTDC4030\2017-11-17 --exclude "*" --recursive --include "*20171117*" &amp; "%USERPROFILE%\Documents\GitHub\mrs-test-scripts\Headless Mode &amp; Sideloading\WalkAndUnGZ.bat" "%USERPROFILE%\AppData\Local\Temp\OnboardLogs"\RTDC4030\2017-11-17 &amp; aws s3 cp s3://rtdc.mdm.uploadarchive.raw/RTDC4030/ "%USERPROFILE%\AppData\Local\Temp\OnboardLogs"\RTDC4030\2017-11-18 --exclude "*" --recursive --include "*20171118*" &amp; "%USERPROFILE%\Documents\GitHub\mrs-test-scripts\Headless Mode &amp; Sideloading\WalkAndUnGZ.bat" "%USERPROFILE%\AppData\Local\Temp\OnboardLogs"\RTDC4030\2017-11-18</v>
      </c>
      <c r="AF199" s="74" t="str">
        <f t="shared" si="56"/>
        <v>"C:\Program Files (x86)\AstroGrep\AstroGrep.exe" /e /r /s /spath="%USERPROFILE%\AppData\Local\Temp\OnboardLogs" /stypes="app*4030*20171118*" /stext=" 00:.+((SYSTEM_STATE.+slice.+state.+changed )|(ment ac)|(multiple cpu faults)|(system.+state.+changed )|(\[timeout)|(PRM\|1\|D)|(kpr)|(kdp)|(train st.+moving)|(\|lc)|(penalty))"</v>
      </c>
      <c r="AG199" s="182" t="str">
        <f t="shared" si="57"/>
        <v>NW</v>
      </c>
      <c r="AH199" s="78" t="str">
        <f t="shared" si="58"/>
        <v>"%USERPROFILE%\Documents\GitHub\eaglep3\Utilities\RefineRTDCRunTimes.py" --tripid 835-17 --locoid 4030 --swversion DE.1.0.9.0 --startMP 204:437 --initTime 2017-11-17T17:28:37 --startdatetime 2017-11-17T17:39:18 --delay 61 --endMP 300:58963 --enddatetime 2017-11-17T17:56:45 --enforcementcount 1 &gt;&gt;%USERPROFILE%\Documents\GitHub\eaglep3-reporting\EC\2017-11-17-refined-times.txt</v>
      </c>
      <c r="AI199" s="96" t="str">
        <f t="shared" si="59"/>
        <v>echo {"issue":{"subject":"","project_id":79,"tracker_id":40,"status_id":1,"priority_id":2,"assigned_to_id":338,"start_date":"2017-11-17","description":"","custom_fields":[{"id":1,"name":"Subdivision","value":"NW"},{"id":4,"name":"Milepost","value":"5.8963"},{"id":17,"name":"Train ID","value":"835-17"},{"id":16,"name":"Locomotive ID","value":"4030"},{"id":130,"name":"Impact","value":""},{"id":150,"name":"Time of Event (Mountain Time)","value":"17:56:45"},{"id":151,"name":"Denver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9" s="47"/>
      <c r="AL199" s="47"/>
      <c r="AM199" s="142" t="str">
        <f t="shared" si="60"/>
        <v>start /low /b %USERPROFILE%\Documents\GitHub\eaglep3\Utilities\DownloadLogsFromS3.py --loco 4030 --day 2017-11-17</v>
      </c>
      <c r="AN199" s="151" t="str">
        <f t="shared" si="61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00:56:45"},{"id":29,"name":"Sharepoint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168" t="str">
        <f t="shared" si="62"/>
        <v>https://d0f6bd738d7f1b3e5a7ca70fe4ff75f0.us-east-1.aws.found.io/app/kibana#/discover/Steve-Slow-Train-Analysis-(2080s-and-2083s)?_g=(refreshInterval:(display:Off,pause:!f,section:0,value:0),time:(from:'2017-11-17T16:28:37-0700',mode:absolute,to:'2017-11-17T18:56:45-0700'))&amp;_a=(columns:!('Message%20ID',Summary),filters:!(),index:'emp_*',interval:auto,query:(query_string:(analyze_wildcard:!t,query:'%22rtdc.l.rtdc.4030%22')),sort:!(Time.ISO8601,asc))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0" customFormat="1" x14ac:dyDescent="0.3">
      <c r="A200" s="32" t="s">
        <v>836</v>
      </c>
      <c r="B200" s="7">
        <v>4029</v>
      </c>
      <c r="C200" s="21" t="s">
        <v>192</v>
      </c>
      <c r="D200" s="21" t="s">
        <v>1089</v>
      </c>
      <c r="E200" s="13">
        <v>43056.749421296299</v>
      </c>
      <c r="F200" s="231">
        <v>43056.758587962962</v>
      </c>
      <c r="G200" s="7">
        <v>61</v>
      </c>
      <c r="H200" s="21" t="s">
        <v>1090</v>
      </c>
      <c r="I200" s="13">
        <v>43056.767881944441</v>
      </c>
      <c r="J200" s="7">
        <v>1</v>
      </c>
      <c r="K200" s="89" t="str">
        <f t="shared" si="48"/>
        <v>4029/4030</v>
      </c>
      <c r="L200" s="185" t="str">
        <f>VLOOKUP(A200,'Trips&amp;Operators'!$C$1:$G$99911,5,FALSE)</f>
        <v>ANDREA WILLIAMS</v>
      </c>
      <c r="M200" s="6">
        <f t="shared" si="49"/>
        <v>9.29398147854954E-3</v>
      </c>
      <c r="N200" s="7">
        <f t="shared" si="89"/>
        <v>13.383333329111338</v>
      </c>
      <c r="O200" s="7"/>
      <c r="P200" s="7"/>
      <c r="Q200" s="22"/>
      <c r="R200" s="174"/>
      <c r="S200" s="221">
        <f t="shared" si="72"/>
        <v>1</v>
      </c>
      <c r="T200" s="174" t="str">
        <f t="shared" si="50"/>
        <v>Southbound</v>
      </c>
      <c r="U200" s="198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16" t="str">
        <f t="shared" si="51"/>
        <v>https://d0f6bd738d7f1b3e5a7ca70fe4ff75f0.us-east-1.aws.found.io/app/kibana#/discover/Steve-Slow-Train-Analysis-(2080s-and-2083s)?_g=(refreshInterval:(display:Off,pause:!f,section:0,value:0),time:(from:'2017-11-17T16:59:10-0700',mode:absolute,to:'2017-11-17T19:25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00" s="204" t="str">
        <f>IF(AA200&lt;VLOOKUP(AG200,Variables!$AC$3:$AD$8,2,FALSE),"Y","N")</f>
        <v>N</v>
      </c>
      <c r="X200" s="204">
        <f t="shared" si="52"/>
        <v>1</v>
      </c>
      <c r="Y200" s="204">
        <f t="shared" si="70"/>
        <v>5.8651</v>
      </c>
      <c r="Z200" s="204">
        <f t="shared" si="71"/>
        <v>7.9600000000000004E-2</v>
      </c>
      <c r="AA200" s="204">
        <f t="shared" si="53"/>
        <v>5.7854999999999999</v>
      </c>
      <c r="AB200" s="54" t="e">
        <f>VLOOKUP(A200,Enforcements!$C$7:$K$9,8,0)</f>
        <v>#N/A</v>
      </c>
      <c r="AC200" s="51" t="e">
        <f>VLOOKUP(A200,Enforcements!$C$7:$E$9,3,0)</f>
        <v>#N/A</v>
      </c>
      <c r="AD200" s="179">
        <f t="shared" si="54"/>
        <v>836</v>
      </c>
      <c r="AE200" s="77" t="str">
        <f t="shared" si="55"/>
        <v>aws s3 cp s3://rtdc.mdm.uploadarchive.raw/RTDC4029/ "%USERPROFILE%\AppData\Local\Temp\OnboardLogs"\RTDC4029\2017-11-17 --exclude "*" --recursive --include "*20171117*" &amp; "%USERPROFILE%\Documents\GitHub\mrs-test-scripts\Headless Mode &amp; Sideloading\WalkAndUnGZ.bat" "%USERPROFILE%\AppData\Local\Temp\OnboardLogs"\RTDC4029\2017-11-17 &amp; aws s3 cp s3://rtdc.mdm.uploadarchive.raw/RTDC4029/ "%USERPROFILE%\AppData\Local\Temp\OnboardLogs"\RTDC4029\2017-11-18 --exclude "*" --recursive --include "*20171118*" &amp; "%USERPROFILE%\Documents\GitHub\mrs-test-scripts\Headless Mode &amp; Sideloading\WalkAndUnGZ.bat" "%USERPROFILE%\AppData\Local\Temp\OnboardLogs"\RTDC4029\2017-11-18</v>
      </c>
      <c r="AF200" s="74" t="str">
        <f t="shared" si="56"/>
        <v>"C:\Program Files (x86)\AstroGrep\AstroGrep.exe" /e /r /s /spath="%USERPROFILE%\AppData\Local\Temp\OnboardLogs" /stypes="app*4029*20171118*" /stext=" 01:.+((SYSTEM_STATE.+slice.+state.+changed )|(ment ac)|(multiple cpu faults)|(system.+state.+changed )|(\[timeout)|(PRM\|1\|D)|(kpr)|(kdp)|(train st.+moving)|(\|lc)|(penalty))"</v>
      </c>
      <c r="AG200" s="182" t="str">
        <f t="shared" si="57"/>
        <v>NW</v>
      </c>
      <c r="AH200" s="78" t="str">
        <f t="shared" si="58"/>
        <v>"%USERPROFILE%\Documents\GitHub\eaglep3\Utilities\RefineRTDCRunTimes.py" --tripid 836-17 --locoid 4029 --swversion DE.1.0.9.0 --startMP 300:58651 --initTime 2017-11-17T17:59:10 --startdatetime 2017-11-17T18:12:22 --delay 61 --endMP 204:796 --enddatetime 2017-11-17T18:25:45 --enforcementcount 1 &gt;&gt;%USERPROFILE%\Documents\GitHub\eaglep3-reporting\EC\2017-11-17-refined-times.txt</v>
      </c>
      <c r="AI200" s="96" t="str">
        <f t="shared" si="59"/>
        <v>echo {"issue":{"subject":"","project_id":79,"tracker_id":40,"status_id":1,"priority_id":2,"assigned_to_id":338,"start_date":"2017-11-17","description":"","custom_fields":[{"id":1,"name":"Subdivision","value":"NW"},{"id":4,"name":"Milepost","value":"0.0796"},{"id":17,"name":"Train ID","value":"836-17"},{"id":16,"name":"Locomotive ID","value":"4029"},{"id":130,"name":"Impact","value":""},{"id":150,"name":"Time of Event (Mountain Time)","value":"18:25:45"},{"id":151,"name":"Denver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0" s="47"/>
      <c r="AL200" s="47"/>
      <c r="AM200" s="142" t="str">
        <f t="shared" si="60"/>
        <v>start /low /b %USERPROFILE%\Documents\GitHub\eaglep3\Utilities\DownloadLogsFromS3.py --loco 4029 --day 2017-11-17</v>
      </c>
      <c r="AN200" s="151" t="str">
        <f t="shared" si="61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01:25:45"},{"id":29,"name":"Sharepoint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168" t="str">
        <f t="shared" si="62"/>
        <v>https://d0f6bd738d7f1b3e5a7ca70fe4ff75f0.us-east-1.aws.found.io/app/kibana#/discover/Steve-Slow-Train-Analysis-(2080s-and-2083s)?_g=(refreshInterval:(display:Off,pause:!f,section:0,value:0),time:(from:'2017-11-17T16:59:10-0700',mode:absolute,to:'2017-11-17T19:25:45-0700'))&amp;_a=(columns:!('Message%20ID',Summary),filters:!(),index:'emp_*',interval:auto,query:(query_string:(analyze_wildcard:!t,query:'%22rtdc.l.rtdc.4029%22')),sort:!(Time.ISO8601,asc))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0" customFormat="1" x14ac:dyDescent="0.3">
      <c r="A201" s="32" t="s">
        <v>837</v>
      </c>
      <c r="B201" s="7">
        <v>4024</v>
      </c>
      <c r="C201" s="21" t="s">
        <v>192</v>
      </c>
      <c r="D201" s="21" t="s">
        <v>986</v>
      </c>
      <c r="E201" s="13">
        <v>43056.748530092591</v>
      </c>
      <c r="F201" s="13">
        <v>43056.756435185183</v>
      </c>
      <c r="G201" s="7">
        <v>371</v>
      </c>
      <c r="H201" s="21" t="s">
        <v>1091</v>
      </c>
      <c r="I201" s="13">
        <v>43056.767604166664</v>
      </c>
      <c r="J201" s="7">
        <v>1</v>
      </c>
      <c r="K201" s="89" t="str">
        <f t="shared" si="48"/>
        <v>4023/4024</v>
      </c>
      <c r="L201" s="185" t="str">
        <f>VLOOKUP(A201,'Trips&amp;Operators'!$C$1:$G$99911,5,FALSE)</f>
        <v>BERLING GARY</v>
      </c>
      <c r="M201" s="6">
        <f t="shared" si="49"/>
        <v>1.116898148029577E-2</v>
      </c>
      <c r="N201" s="7">
        <f t="shared" si="89"/>
        <v>16.083333331625909</v>
      </c>
      <c r="O201" s="7"/>
      <c r="P201" s="7"/>
      <c r="Q201" s="22"/>
      <c r="R201" s="174"/>
      <c r="S201" s="221">
        <f t="shared" si="72"/>
        <v>1</v>
      </c>
      <c r="T201" s="174" t="str">
        <f t="shared" si="50"/>
        <v>NorthBound</v>
      </c>
      <c r="U201" s="198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16" t="str">
        <f t="shared" si="51"/>
        <v>https://d0f6bd738d7f1b3e5a7ca70fe4ff75f0.us-east-1.aws.found.io/app/kibana#/discover/Steve-Slow-Train-Analysis-(2080s-and-2083s)?_g=(refreshInterval:(display:Off,pause:!f,section:0,value:0),time:(from:'2017-11-17T16:57:53-0700',mode:absolute,to:'2017-11-17T19:25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01" s="204" t="str">
        <f>IF(AA201&lt;VLOOKUP(AG201,Variables!$AC$3:$AD$8,2,FALSE),"Y","N")</f>
        <v>N</v>
      </c>
      <c r="X201" s="204">
        <f t="shared" si="52"/>
        <v>1</v>
      </c>
      <c r="Y201" s="204">
        <f t="shared" si="70"/>
        <v>4.5100000000000001E-2</v>
      </c>
      <c r="Z201" s="204">
        <f t="shared" si="71"/>
        <v>5.8916000000000004</v>
      </c>
      <c r="AA201" s="204">
        <f t="shared" si="53"/>
        <v>5.8465000000000007</v>
      </c>
      <c r="AB201" s="54" t="e">
        <f>VLOOKUP(A201,Enforcements!$C$7:$K$9,8,0)</f>
        <v>#N/A</v>
      </c>
      <c r="AC201" s="51" t="e">
        <f>VLOOKUP(A201,Enforcements!$C$7:$E$9,3,0)</f>
        <v>#N/A</v>
      </c>
      <c r="AD201" s="179">
        <f t="shared" si="54"/>
        <v>837</v>
      </c>
      <c r="AE201" s="77" t="str">
        <f t="shared" si="55"/>
        <v>aws s3 cp s3://rtdc.mdm.uploadarchive.raw/RTDC4024/ "%USERPROFILE%\AppData\Local\Temp\OnboardLogs"\RTDC4024\2017-11-17 --exclude "*" --recursive --include "*20171117*" &amp; "%USERPROFILE%\Documents\GitHub\mrs-test-scripts\Headless Mode &amp; Sideloading\WalkAndUnGZ.bat" "%USERPROFILE%\AppData\Local\Temp\OnboardLogs"\RTDC4024\2017-11-17 &amp; aws s3 cp s3://rtdc.mdm.uploadarchive.raw/RTDC4024/ "%USERPROFILE%\AppData\Local\Temp\OnboardLogs"\RTDC4024\2017-11-18 --exclude "*" --recursive --include "*20171118*" &amp; "%USERPROFILE%\Documents\GitHub\mrs-test-scripts\Headless Mode &amp; Sideloading\WalkAndUnGZ.bat" "%USERPROFILE%\AppData\Local\Temp\OnboardLogs"\RTDC4024\2017-11-18</v>
      </c>
      <c r="AF201" s="74" t="str">
        <f t="shared" si="56"/>
        <v>"C:\Program Files (x86)\AstroGrep\AstroGrep.exe" /e /r /s /spath="%USERPROFILE%\AppData\Local\Temp\OnboardLogs" /stypes="app*4024*20171118*" /stext=" 01:.+((SYSTEM_STATE.+slice.+state.+changed )|(ment ac)|(multiple cpu faults)|(system.+state.+changed )|(\[timeout)|(PRM\|1\|D)|(kpr)|(kdp)|(train st.+moving)|(\|lc)|(penalty))"</v>
      </c>
      <c r="AG201" s="182" t="str">
        <f t="shared" si="57"/>
        <v>NW</v>
      </c>
      <c r="AH201" s="78" t="str">
        <f t="shared" si="58"/>
        <v>"%USERPROFILE%\Documents\GitHub\eaglep3\Utilities\RefineRTDCRunTimes.py" --tripid 837-17 --locoid 4024 --swversion DE.1.0.9.0 --startMP 204:451 --initTime 2017-11-17T17:57:53 --startdatetime 2017-11-17T18:09:16 --delay 371 --endMP 300:58916 --enddatetime 2017-11-17T18:25:21 --enforcementcount 1 &gt;&gt;%USERPROFILE%\Documents\GitHub\eaglep3-reporting\EC\2017-11-17-refined-times.txt</v>
      </c>
      <c r="AI201" s="96" t="str">
        <f t="shared" si="59"/>
        <v>echo {"issue":{"subject":"","project_id":79,"tracker_id":40,"status_id":1,"priority_id":2,"assigned_to_id":338,"start_date":"2017-11-17","description":"","custom_fields":[{"id":1,"name":"Subdivision","value":"NW"},{"id":4,"name":"Milepost","value":"5.8916"},{"id":17,"name":"Train ID","value":"837-17"},{"id":16,"name":"Locomotive ID","value":"4024"},{"id":130,"name":"Impact","value":""},{"id":150,"name":"Time of Event (Mountain Time)","value":"18:25:21"},{"id":151,"name":"Denver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1" s="47"/>
      <c r="AL201" s="47"/>
      <c r="AM201" s="142" t="str">
        <f t="shared" si="60"/>
        <v>start /low /b %USERPROFILE%\Documents\GitHub\eaglep3\Utilities\DownloadLogsFromS3.py --loco 4024 --day 2017-11-17</v>
      </c>
      <c r="AN201" s="151" t="str">
        <f t="shared" si="61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01:25:21"},{"id":29,"name":"Sharepoint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168" t="str">
        <f t="shared" si="62"/>
        <v>https://d0f6bd738d7f1b3e5a7ca70fe4ff75f0.us-east-1.aws.found.io/app/kibana#/discover/Steve-Slow-Train-Analysis-(2080s-and-2083s)?_g=(refreshInterval:(display:Off,pause:!f,section:0,value:0),time:(from:'2017-11-17T16:57:53-0700',mode:absolute,to:'2017-11-17T19:25:21-0700'))&amp;_a=(columns:!('Message%20ID',Summary),filters:!(),index:'emp_*',interval:auto,query:(query_string:(analyze_wildcard:!t,query:'%22rtdc.l.rtdc.4024%22')),sort:!(Time.ISO8601,asc))</v>
      </c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0" customFormat="1" x14ac:dyDescent="0.3">
      <c r="A202" s="32" t="s">
        <v>844</v>
      </c>
      <c r="B202" s="7">
        <v>4023</v>
      </c>
      <c r="C202" s="21" t="s">
        <v>192</v>
      </c>
      <c r="D202" s="21" t="s">
        <v>1092</v>
      </c>
      <c r="E202" s="13">
        <v>43056.768923611111</v>
      </c>
      <c r="F202" s="231">
        <v>43056.779907407406</v>
      </c>
      <c r="G202" s="7">
        <v>63</v>
      </c>
      <c r="H202" s="21" t="s">
        <v>616</v>
      </c>
      <c r="I202" s="13">
        <v>43056.788495370369</v>
      </c>
      <c r="J202" s="7">
        <v>1</v>
      </c>
      <c r="K202" s="89" t="str">
        <f t="shared" si="48"/>
        <v>4023/4024</v>
      </c>
      <c r="L202" s="185" t="str">
        <f>VLOOKUP(A202,'Trips&amp;Operators'!$C$1:$G$99911,5,FALSE)</f>
        <v>BERLING GARY</v>
      </c>
      <c r="M202" s="6">
        <f t="shared" si="49"/>
        <v>8.5879629623377696E-3</v>
      </c>
      <c r="N202" s="7">
        <f t="shared" si="89"/>
        <v>12.366666665766388</v>
      </c>
      <c r="O202" s="7"/>
      <c r="P202" s="7"/>
      <c r="Q202" s="22"/>
      <c r="R202" s="174"/>
      <c r="S202" s="221">
        <f t="shared" si="72"/>
        <v>1</v>
      </c>
      <c r="T202" s="174" t="str">
        <f t="shared" si="50"/>
        <v>Southbound</v>
      </c>
      <c r="U202" s="198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16" t="str">
        <f t="shared" si="51"/>
        <v>https://d0f6bd738d7f1b3e5a7ca70fe4ff75f0.us-east-1.aws.found.io/app/kibana#/discover/Steve-Slow-Train-Analysis-(2080s-and-2083s)?_g=(refreshInterval:(display:Off,pause:!f,section:0,value:0),time:(from:'2017-11-17T17:27:15-0700',mode:absolute,to:'2017-11-17T19:55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02" s="204" t="str">
        <f>IF(AA202&lt;VLOOKUP(AG202,Variables!$AC$3:$AD$8,2,FALSE),"Y","N")</f>
        <v>N</v>
      </c>
      <c r="X202" s="204">
        <f t="shared" si="52"/>
        <v>1</v>
      </c>
      <c r="Y202" s="204">
        <f t="shared" si="70"/>
        <v>5.86</v>
      </c>
      <c r="Z202" s="204">
        <f t="shared" si="71"/>
        <v>7.6100000000000001E-2</v>
      </c>
      <c r="AA202" s="204">
        <f t="shared" si="53"/>
        <v>5.7839</v>
      </c>
      <c r="AB202" s="54" t="e">
        <f>VLOOKUP(A202,Enforcements!$C$7:$K$9,8,0)</f>
        <v>#N/A</v>
      </c>
      <c r="AC202" s="51" t="e">
        <f>VLOOKUP(A202,Enforcements!$C$7:$E$9,3,0)</f>
        <v>#N/A</v>
      </c>
      <c r="AD202" s="179">
        <f t="shared" si="54"/>
        <v>838</v>
      </c>
      <c r="AE202" s="77" t="str">
        <f t="shared" si="55"/>
        <v>aws s3 cp s3://rtdc.mdm.uploadarchive.raw/RTDC4023/ "%USERPROFILE%\AppData\Local\Temp\OnboardLogs"\RTDC4023\2017-11-17 --exclude "*" --recursive --include "*20171117*" &amp; "%USERPROFILE%\Documents\GitHub\mrs-test-scripts\Headless Mode &amp; Sideloading\WalkAndUnGZ.bat" "%USERPROFILE%\AppData\Local\Temp\OnboardLogs"\RTDC4023\2017-11-17 &amp; aws s3 cp s3://rtdc.mdm.uploadarchive.raw/RTDC4023/ "%USERPROFILE%\AppData\Local\Temp\OnboardLogs"\RTDC4023\2017-11-18 --exclude "*" --recursive --include "*20171118*" &amp; "%USERPROFILE%\Documents\GitHub\mrs-test-scripts\Headless Mode &amp; Sideloading\WalkAndUnGZ.bat" "%USERPROFILE%\AppData\Local\Temp\OnboardLogs"\RTDC4023\2017-11-18</v>
      </c>
      <c r="AF202" s="74" t="str">
        <f t="shared" si="56"/>
        <v>"C:\Program Files (x86)\AstroGrep\AstroGrep.exe" /e /r /s /spath="%USERPROFILE%\AppData\Local\Temp\OnboardLogs" /stypes="app*4023*20171118*" /stext=" 01:.+((SYSTEM_STATE.+slice.+state.+changed )|(ment ac)|(multiple cpu faults)|(system.+state.+changed )|(\[timeout)|(PRM\|1\|D)|(kpr)|(kdp)|(train st.+moving)|(\|lc)|(penalty))"</v>
      </c>
      <c r="AG202" s="182" t="str">
        <f t="shared" si="57"/>
        <v>NW</v>
      </c>
      <c r="AH202" s="78" t="str">
        <f t="shared" si="58"/>
        <v>"%USERPROFILE%\Documents\GitHub\eaglep3\Utilities\RefineRTDCRunTimes.py" --tripid 838-17 --locoid 4023 --swversion DE.1.0.9.0 --startMP 300:58600 --initTime 2017-11-17T18:27:15 --startdatetime 2017-11-17T18:43:04 --delay 63 --endMP 204:761 --enddatetime 2017-11-17T18:55:26 --enforcementcount 1 &gt;&gt;%USERPROFILE%\Documents\GitHub\eaglep3-reporting\EC\2017-11-17-refined-times.txt</v>
      </c>
      <c r="AI202" s="96" t="str">
        <f t="shared" si="59"/>
        <v>echo {"issue":{"subject":"","project_id":79,"tracker_id":40,"status_id":1,"priority_id":2,"assigned_to_id":338,"start_date":"2017-11-17","description":"","custom_fields":[{"id":1,"name":"Subdivision","value":"NW"},{"id":4,"name":"Milepost","value":"0.0761"},{"id":17,"name":"Train ID","value":"838-17"},{"id":16,"name":"Locomotive ID","value":"4023"},{"id":130,"name":"Impact","value":""},{"id":150,"name":"Time of Event (Mountain Time)","value":"18:55:26"},{"id":151,"name":"Denver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2" s="47"/>
      <c r="AL202" s="47"/>
      <c r="AM202" s="142" t="str">
        <f t="shared" si="60"/>
        <v>start /low /b %USERPROFILE%\Documents\GitHub\eaglep3\Utilities\DownloadLogsFromS3.py --loco 4023 --day 2017-11-17</v>
      </c>
      <c r="AN202" s="151" t="str">
        <f t="shared" si="61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01:55:26"},{"id":29,"name":"Sharepoint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168" t="str">
        <f t="shared" si="62"/>
        <v>https://d0f6bd738d7f1b3e5a7ca70fe4ff75f0.us-east-1.aws.found.io/app/kibana#/discover/Steve-Slow-Train-Analysis-(2080s-and-2083s)?_g=(refreshInterval:(display:Off,pause:!f,section:0,value:0),time:(from:'2017-11-17T17:27:15-0700',mode:absolute,to:'2017-11-17T19:55:26-0700'))&amp;_a=(columns:!('Message%20ID',Summary),filters:!(),index:'emp_*',interval:auto,query:(query_string:(analyze_wildcard:!t,query:'%22rtdc.l.rtdc.4023%22')),sort:!(Time.ISO8601,asc))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28" customFormat="1" x14ac:dyDescent="0.3">
      <c r="A203" s="234" t="s">
        <v>843</v>
      </c>
      <c r="B203" s="230">
        <v>4030</v>
      </c>
      <c r="C203" s="232" t="s">
        <v>192</v>
      </c>
      <c r="D203" s="232" t="s">
        <v>1092</v>
      </c>
      <c r="E203" s="231">
        <v>43056.768923611111</v>
      </c>
      <c r="F203" s="231">
        <v>43056.777800925927</v>
      </c>
      <c r="G203" s="230">
        <v>63</v>
      </c>
      <c r="H203" s="232" t="s">
        <v>616</v>
      </c>
      <c r="I203" s="231">
        <v>43056.788090277776</v>
      </c>
      <c r="J203" s="230">
        <v>1</v>
      </c>
      <c r="K203" s="242" t="str">
        <f t="shared" ref="K203" si="90">IF(ISEVEN(B203),(B203-1)&amp;"/"&amp;B203,B203&amp;"/"&amp;(B203+1))</f>
        <v>4029/4030</v>
      </c>
      <c r="L203" s="250" t="str">
        <f>VLOOKUP(A203,'Trips&amp;Operators'!$C$1:$G$99911,5,FALSE)</f>
        <v>ANDREA WILLIAMS</v>
      </c>
      <c r="M203" s="229">
        <f t="shared" ref="M203" si="91">I203-F203</f>
        <v>1.0289351848769002E-2</v>
      </c>
      <c r="N203" s="230">
        <f t="shared" si="89"/>
        <v>14.816666662227362</v>
      </c>
      <c r="O203" s="230"/>
      <c r="P203" s="230"/>
      <c r="Q203" s="233"/>
      <c r="R203" s="247"/>
      <c r="S203" s="254">
        <f t="shared" ref="S203" si="92">1/IF(AG203="EC",12,1)*SUM(U203:U203)</f>
        <v>1</v>
      </c>
      <c r="T203" s="247" t="str">
        <f t="shared" ref="T203" si="93">IF(ISEVEN(LEFT(AD203,4)),"Southbound","NorthBound")</f>
        <v>NorthBound</v>
      </c>
      <c r="U203" s="251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53" t="str">
        <f t="shared" ref="V203" si="94">"https://d0f6bd738d7f1b3e5a7ca70fe4ff75f0.us-east-1.aws.found.io/app/kibana#/discover/Steve-Slow-Train-Analysis-(2080s-and-2083s)?_g="&amp;"(refreshInterval:(display:Off,pause:!f,section:0,value:0),time:(from:'"&amp;TEXT(E203-1/24,"yyyy-MM-DDThh:mm:ss")&amp;utc_offset&amp;"00"&amp;"',mode:absolute,to:'"&amp;TEXT(I203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203&amp;"%22')),sort:!(Time.ISO8601,asc))"</f>
        <v>https://d0f6bd738d7f1b3e5a7ca70fe4ff75f0.us-east-1.aws.found.io/app/kibana#/discover/Steve-Slow-Train-Analysis-(2080s-and-2083s)?_g=(refreshInterval:(display:Off,pause:!f,section:0,value:0),time:(from:'2017-11-17T17:27:15-0700',mode:absolute,to:'2017-11-17T19:54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03" s="252" t="str">
        <f>IF(AA203&lt;VLOOKUP(AG203,Variables!$AC$3:$AD$8,2,FALSE),"Y","N")</f>
        <v>N</v>
      </c>
      <c r="X203" s="252">
        <f t="shared" ref="X203:X205" si="95">VALUE(LEFT(AD203,4))-VALUE(LEFT(AD202,4))</f>
        <v>1</v>
      </c>
      <c r="Y203" s="252">
        <v>4.5100000000000001E-2</v>
      </c>
      <c r="Z203" s="252">
        <v>5.8916000000000004</v>
      </c>
      <c r="AA203" s="252">
        <f t="shared" ref="AA203" si="96">ABS(Z203-Y203)</f>
        <v>5.8465000000000007</v>
      </c>
      <c r="AB203" s="238" t="e">
        <f>VLOOKUP(A203,Enforcements!$C$7:$K$9,8,0)</f>
        <v>#N/A</v>
      </c>
      <c r="AC203" s="237" t="e">
        <f>VLOOKUP(A203,Enforcements!$C$7:$E$9,3,0)</f>
        <v>#N/A</v>
      </c>
      <c r="AD203" s="248">
        <f t="shared" ref="AD203" si="97">VALUE(LEFT(A203,LEN(A203)-3))</f>
        <v>839</v>
      </c>
      <c r="AE203" s="240" t="str">
        <f t="shared" ref="AE203" si="98"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s3://rtdc.mdm.uploadarchive.raw/RTDC4030/ "%USERPROFILE%\AppData\Local\Temp\OnboardLogs"\RTDC4030\2017-11-17 --exclude "*" --recursive --include "*20171117*" &amp; "%USERPROFILE%\Documents\GitHub\mrs-test-scripts\Headless Mode &amp; Sideloading\WalkAndUnGZ.bat" "%USERPROFILE%\AppData\Local\Temp\OnboardLogs"\RTDC4030\2017-11-17 &amp; aws s3 cp s3://rtdc.mdm.uploadarchive.raw/RTDC4030/ "%USERPROFILE%\AppData\Local\Temp\OnboardLogs"\RTDC4030\2017-11-18 --exclude "*" --recursive --include "*20171118*" &amp; "%USERPROFILE%\Documents\GitHub\mrs-test-scripts\Headless Mode &amp; Sideloading\WalkAndUnGZ.bat" "%USERPROFILE%\AppData\Local\Temp\OnboardLogs"\RTDC4030\2017-11-18</v>
      </c>
      <c r="AF203" s="239" t="str">
        <f t="shared" ref="AF203" si="99">astrogrep_path&amp;" /e /r /s /spath="&amp;search_path&amp;" /stypes=""app*"&amp;B203&amp;"*"&amp;TEXT(I203-utc_offset/24,"YYYYMMDD")&amp;"*"" /stext="" "&amp;TEXT(I203-utc_offset/24,"HH")&amp;search_regexp&amp;""""</f>
        <v>"C:\Program Files (x86)\AstroGrep\AstroGrep.exe" /e /r /s /spath="%USERPROFILE%\AppData\Local\Temp\OnboardLogs" /stypes="app*4030*20171118*" /stext=" 01:.+((SYSTEM_STATE.+slice.+state.+changed )|(ment ac)|(multiple cpu faults)|(system.+state.+changed )|(\[timeout)|(PRM\|1\|D)|(kpr)|(kdp)|(train st.+moving)|(\|lc)|(penalty))"</v>
      </c>
      <c r="AG203" s="249" t="str">
        <f t="shared" ref="AG203" si="100">DetSubdiv(A203)</f>
        <v>NW</v>
      </c>
      <c r="AH203" s="241" t="str">
        <f t="shared" ref="AH203" si="101">refinertdcruntimes&amp;" --tripid "&amp;A203&amp;" --locoid "&amp;B203&amp;" --swversion "&amp;C203&amp;" --startMP "&amp;D203&amp;" --initTime "&amp;TEXT(E203,"yyyy-mm-ddTHH:MM:SS")&amp;" --startdatetime "&amp;TEXT(F203,"yyyy-mm-ddTHH:MM:SS")&amp;" --delay "&amp;G203&amp;" --endMP "&amp;H203&amp;" --enddatetime "&amp;TEXT(I203,"yyyy-mm-ddTHH:MM:SS")&amp;" --enforcementcount "&amp;J203&amp;IF(outputrefinedruntimes," &gt;&gt;"&amp;RefinedRTDCRunTimesOutputFile,"")</f>
        <v>"%USERPROFILE%\Documents\GitHub\eaglep3\Utilities\RefineRTDCRunTimes.py" --tripid 839-17 --locoid 4030 --swversion DE.1.0.9.0 --startMP 300:58600 --initTime 2017-11-17T18:27:15 --startdatetime 2017-11-17T18:40:02 --delay 63 --endMP 204:761 --enddatetime 2017-11-17T18:54:51 --enforcementcount 1 &gt;&gt;%USERPROFILE%\Documents\GitHub\eaglep3-reporting\EC\2017-11-17-refined-times.txt</v>
      </c>
      <c r="AI203" s="243" t="str">
        <f t="shared" ref="AI203" si="102">"echo {""issue"":{""subject"":"""&amp;R203&amp;""",""project_id"":79,""tracker_id"":40,""status_id"":"&amp;redmine_status&amp;",""priority_id"":"&amp;redmine_priority&amp;",""assigned_to_id"":"&amp;redmine_assignee&amp;",""start_date"":"""&amp;TEXT(I203,"YYYY-mm-dd")&amp;""",""description"":"""&amp;AJ203&amp;""",""custom_fields"":[{""id"":1,""name"":""Subdivision"",""value"":"""&amp;AG203&amp;"""},{""id"":4,""name"":""Milepost"",""value"":"""&amp;Z203&amp;"""},{""id"":17,""name"":""Train ID"",""value"":"""&amp;A203&amp;"""},{""id"":16,""name"":""Locomotive ID"",""value"":"""&amp;B203&amp;"""},{""id"":130,""name"":""Impact"",""value"":"""&amp;AK203&amp;"""},{""id"":150,""name"":""Time of Event (Mountain Time)"",""value"":"""&amp;TEXT(I203,"hh:mm:ss")&amp;"""},{""id"":151,""name"":""Denver Issue ID"",""value"":"""&amp;"""},{""id"":178,""name"":""Operational Impact"",""value"":"""&amp;redmine_op_impact&amp;"""},{""id"":179,""name"":""Denver Segment Assigned"",""value"":"""&amp;AL203&amp;"""}]}}"&amp;"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{"issue":{"subject":"","project_id":79,"tracker_id":40,"status_id":1,"priority_id":2,"assigned_to_id":338,"start_date":"2017-11-17","description":"","custom_fields":[{"id":1,"name":"Subdivision","value":"NW"},{"id":4,"name":"Milepost","value":"5.8916"},{"id":17,"name":"Train ID","value":"839-17"},{"id":16,"name":"Locomotive ID","value":"4030"},{"id":130,"name":"Impact","value":""},{"id":150,"name":"Time of Event (Mountain Time)","value":"18:54:51"},{"id":151,"name":"Denver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3" s="236"/>
      <c r="AL203" s="236"/>
      <c r="AM203" s="245" t="str">
        <f t="shared" ref="AM203" si="103">"start /low /b "&amp;dls3logs&amp;" --loco "&amp;B203&amp;" --day "&amp;TEXT(F203,"YYYY-MM-DD")</f>
        <v>start /low /b %USERPROFILE%\Documents\GitHub\eaglep3\Utilities\DownloadLogsFromS3.py --loco 4030 --day 2017-11-17</v>
      </c>
      <c r="AN203" s="246" t="str">
        <f t="shared" ref="AN203" si="104">"echo {""issue"":{""subject"":"""&amp;R203&amp;""",""project_id"":30,""tracker_id"":4,""status_id"":"&amp;redmine_status_wcr&amp;",""priority_id"":"&amp;redmine_priority_wcr&amp;",""assigned_to_id"":"&amp;redmine_assignee_wcr&amp;",""start_date"":"""&amp;TEXT(I203-utc_offset/24,"YYYY-mm-dd")&amp;""",""description"":"""&amp;AJ203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01:54:51"},{"id":29,"name":"Sharepoint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235" t="str">
        <f t="shared" ref="AO203" si="105">"https://d0f6bd738d7f1b3e5a7ca70fe4ff75f0.us-east-1.aws.found.io/app/kibana#/discover/Steve-Slow-Train-Analysis-(2080s-and-2083s)?_g="&amp;"(refreshInterval:(display:Off,pause:!f,section:0,value:0),time:(from:'"&amp;TEXT(E203-1/24,"yyyy-MM-DDThh:mm:ss")&amp;utc_offset&amp;"00"&amp;"',mode:absolute,to:'"&amp;TEXT(I203+1/24,"yyyy-MM-DDThh:mm:ss")&amp;utc_offset&amp;"00"&amp;"'))&amp;_a=(columns:!('Message%20ID',Summary),filters:!(),index:'emp_*',interval:auto,query:"&amp;"(query_string:(analyze_wildcard:!t,query:'%22rtdc.l.rtdc."&amp;B203&amp;"%22')),sort:!(Time.ISO8601,asc))"</f>
        <v>https://d0f6bd738d7f1b3e5a7ca70fe4ff75f0.us-east-1.aws.found.io/app/kibana#/discover/Steve-Slow-Train-Analysis-(2080s-and-2083s)?_g=(refreshInterval:(display:Off,pause:!f,section:0,value:0),time:(from:'2017-11-17T17:27:15-0700',mode:absolute,to:'2017-11-17T19:54:51-0700'))&amp;_a=(columns:!('Message%20ID',Summary),filters:!(),index:'emp_*',interval:auto,query:(query_string:(analyze_wildcard:!t,query:'%22rtdc.l.rtdc.4030%22')),sort:!(Time.ISO8601,asc))</v>
      </c>
    </row>
    <row r="204" spans="1:91" s="20" customFormat="1" x14ac:dyDescent="0.3">
      <c r="A204" s="32" t="s">
        <v>651</v>
      </c>
      <c r="B204" s="7">
        <v>4023</v>
      </c>
      <c r="C204" s="21" t="s">
        <v>192</v>
      </c>
      <c r="D204" s="21" t="s">
        <v>1093</v>
      </c>
      <c r="E204" s="13">
        <v>43056.81177083333</v>
      </c>
      <c r="F204" s="231">
        <v>43056.821840277778</v>
      </c>
      <c r="G204" s="7">
        <v>52</v>
      </c>
      <c r="H204" s="21" t="s">
        <v>1094</v>
      </c>
      <c r="I204" s="13">
        <v>43056.829513888886</v>
      </c>
      <c r="J204" s="7">
        <v>1</v>
      </c>
      <c r="K204" s="89" t="str">
        <f t="shared" si="48"/>
        <v>4023/4024</v>
      </c>
      <c r="L204" s="185" t="str">
        <f>VLOOKUP(A204,'Trips&amp;Operators'!$C$1:$G$99911,5,FALSE)</f>
        <v>BERLING GARY</v>
      </c>
      <c r="M204" s="6">
        <f t="shared" si="49"/>
        <v>7.6736111077480018E-3</v>
      </c>
      <c r="N204" s="7">
        <f t="shared" si="89"/>
        <v>11.049999995157123</v>
      </c>
      <c r="O204" s="7"/>
      <c r="P204" s="7"/>
      <c r="Q204" s="22"/>
      <c r="R204" s="174"/>
      <c r="S204" s="221">
        <f t="shared" si="72"/>
        <v>1</v>
      </c>
      <c r="T204" s="174" t="str">
        <f t="shared" si="50"/>
        <v>Southbound</v>
      </c>
      <c r="U204" s="198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16" t="str">
        <f t="shared" si="51"/>
        <v>https://d0f6bd738d7f1b3e5a7ca70fe4ff75f0.us-east-1.aws.found.io/app/kibana#/discover/Steve-Slow-Train-Analysis-(2080s-and-2083s)?_g=(refreshInterval:(display:Off,pause:!f,section:0,value:0),time:(from:'2017-11-17T18:28:57-0700',mode:absolute,to:'2017-11-17T20:54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04" s="204" t="str">
        <f>IF(AA204&lt;VLOOKUP(AG204,Variables!$AC$3:$AD$8,2,FALSE),"Y","N")</f>
        <v>Y</v>
      </c>
      <c r="X204" s="252">
        <f t="shared" si="95"/>
        <v>1</v>
      </c>
      <c r="Y204" s="204">
        <f t="shared" si="70"/>
        <v>5.867</v>
      </c>
      <c r="Z204" s="204">
        <f t="shared" si="71"/>
        <v>0.4461</v>
      </c>
      <c r="AA204" s="204">
        <f t="shared" si="53"/>
        <v>5.4208999999999996</v>
      </c>
      <c r="AB204" s="54" t="e">
        <f>VLOOKUP(A204,Enforcements!$C$7:$K$9,8,0)</f>
        <v>#N/A</v>
      </c>
      <c r="AC204" s="51" t="e">
        <f>VLOOKUP(A204,Enforcements!$C$7:$E$9,3,0)</f>
        <v>#N/A</v>
      </c>
      <c r="AD204" s="179">
        <f t="shared" si="54"/>
        <v>840</v>
      </c>
      <c r="AE204" s="77" t="str">
        <f t="shared" si="55"/>
        <v>aws s3 cp s3://rtdc.mdm.uploadarchive.raw/RTDC4023/ "%USERPROFILE%\AppData\Local\Temp\OnboardLogs"\RTDC4023\2017-11-17 --exclude "*" --recursive --include "*20171117*" &amp; "%USERPROFILE%\Documents\GitHub\mrs-test-scripts\Headless Mode &amp; Sideloading\WalkAndUnGZ.bat" "%USERPROFILE%\AppData\Local\Temp\OnboardLogs"\RTDC4023\2017-11-17 &amp; aws s3 cp s3://rtdc.mdm.uploadarchive.raw/RTDC4023/ "%USERPROFILE%\AppData\Local\Temp\OnboardLogs"\RTDC4023\2017-11-18 --exclude "*" --recursive --include "*20171118*" &amp; "%USERPROFILE%\Documents\GitHub\mrs-test-scripts\Headless Mode &amp; Sideloading\WalkAndUnGZ.bat" "%USERPROFILE%\AppData\Local\Temp\OnboardLogs"\RTDC4023\2017-11-18</v>
      </c>
      <c r="AF204" s="74" t="str">
        <f t="shared" si="56"/>
        <v>"C:\Program Files (x86)\AstroGrep\AstroGrep.exe" /e /r /s /spath="%USERPROFILE%\AppData\Local\Temp\OnboardLogs" /stypes="app*4023*20171118*" /stext=" 02:.+((SYSTEM_STATE.+slice.+state.+changed )|(ment ac)|(multiple cpu faults)|(system.+state.+changed )|(\[timeout)|(PRM\|1\|D)|(kpr)|(kdp)|(train st.+moving)|(\|lc)|(penalty))"</v>
      </c>
      <c r="AG204" s="182" t="str">
        <f t="shared" si="57"/>
        <v>NW</v>
      </c>
      <c r="AH204" s="78" t="str">
        <f t="shared" si="58"/>
        <v>"%USERPROFILE%\Documents\GitHub\eaglep3\Utilities\RefineRTDCRunTimes.py" --tripid 840-17 --locoid 4023 --swversion DE.1.0.9.0 --startMP 300:58670 --initTime 2017-11-17T19:28:57 --startdatetime 2017-11-17T19:43:27 --delay 52 --endMP 204:4461 --enddatetime 2017-11-17T19:54:30 --enforcementcount 1 &gt;&gt;%USERPROFILE%\Documents\GitHub\eaglep3-reporting\EC\2017-11-17-refined-times.txt</v>
      </c>
      <c r="AI204" s="96" t="str">
        <f t="shared" si="59"/>
        <v>echo {"issue":{"subject":"","project_id":79,"tracker_id":40,"status_id":1,"priority_id":2,"assigned_to_id":338,"start_date":"2017-11-17","description":"","custom_fields":[{"id":1,"name":"Subdivision","value":"NW"},{"id":4,"name":"Milepost","value":"0.4461"},{"id":17,"name":"Train ID","value":"840-17"},{"id":16,"name":"Locomotive ID","value":"4023"},{"id":130,"name":"Impact","value":""},{"id":150,"name":"Time of Event (Mountain Time)","value":"19:54:30"},{"id":151,"name":"Denver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4" s="47"/>
      <c r="AL204" s="47"/>
      <c r="AM204" s="142" t="str">
        <f t="shared" si="60"/>
        <v>start /low /b %USERPROFILE%\Documents\GitHub\eaglep3\Utilities\DownloadLogsFromS3.py --loco 4023 --day 2017-11-17</v>
      </c>
      <c r="AN204" s="151" t="str">
        <f t="shared" si="61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02:54:30"},{"id":29,"name":"Sharepoint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168" t="str">
        <f t="shared" si="62"/>
        <v>https://d0f6bd738d7f1b3e5a7ca70fe4ff75f0.us-east-1.aws.found.io/app/kibana#/discover/Steve-Slow-Train-Analysis-(2080s-and-2083s)?_g=(refreshInterval:(display:Off,pause:!f,section:0,value:0),time:(from:'2017-11-17T18:28:57-0700',mode:absolute,to:'2017-11-17T20:54:30-0700'))&amp;_a=(columns:!('Message%20ID',Summary),filters:!(),index:'emp_*',interval:auto,query:(query_string:(analyze_wildcard:!t,query:'%22rtdc.l.rtdc.4023%22')),sort:!(Time.ISO8601,asc))</v>
      </c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20" customFormat="1" x14ac:dyDescent="0.3">
      <c r="A205" s="32" t="s">
        <v>854</v>
      </c>
      <c r="B205" s="7">
        <v>4024</v>
      </c>
      <c r="C205" s="21" t="s">
        <v>192</v>
      </c>
      <c r="D205" s="21" t="s">
        <v>1095</v>
      </c>
      <c r="E205" s="13">
        <v>43056.794270833336</v>
      </c>
      <c r="F205" s="13">
        <v>43056.798576388886</v>
      </c>
      <c r="G205" s="7">
        <v>81</v>
      </c>
      <c r="H205" s="21" t="s">
        <v>1077</v>
      </c>
      <c r="I205" s="13">
        <v>43056.808182870373</v>
      </c>
      <c r="J205" s="7">
        <v>1</v>
      </c>
      <c r="K205" s="89" t="str">
        <f t="shared" si="48"/>
        <v>4023/4024</v>
      </c>
      <c r="L205" s="185" t="str">
        <f>VLOOKUP(A205,'Trips&amp;Operators'!$C$1:$G$99911,5,FALSE)</f>
        <v>BERLING GARY</v>
      </c>
      <c r="M205" s="6">
        <f t="shared" si="49"/>
        <v>9.606481486116536E-3</v>
      </c>
      <c r="N205" s="7">
        <f t="shared" si="89"/>
        <v>13.833333340007812</v>
      </c>
      <c r="O205" s="7"/>
      <c r="P205" s="7"/>
      <c r="Q205" s="22"/>
      <c r="R205" s="174"/>
      <c r="S205" s="221">
        <f t="shared" si="72"/>
        <v>1</v>
      </c>
      <c r="T205" s="174" t="str">
        <f t="shared" si="50"/>
        <v>NorthBound</v>
      </c>
      <c r="U205" s="198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16" t="str">
        <f t="shared" si="51"/>
        <v>https://d0f6bd738d7f1b3e5a7ca70fe4ff75f0.us-east-1.aws.found.io/app/kibana#/discover/Steve-Slow-Train-Analysis-(2080s-and-2083s)?_g=(refreshInterval:(display:Off,pause:!f,section:0,value:0),time:(from:'2017-11-17T18:03:45-0700',mode:absolute,to:'2017-11-17T20:23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05" s="204" t="str">
        <f>IF(AA205&lt;VLOOKUP(AG205,Variables!$AC$3:$AD$8,2,FALSE),"Y","N")</f>
        <v>N</v>
      </c>
      <c r="X205" s="252">
        <f t="shared" si="95"/>
        <v>1</v>
      </c>
      <c r="Y205" s="204">
        <f t="shared" si="70"/>
        <v>0.10340000000000001</v>
      </c>
      <c r="Z205" s="204">
        <f t="shared" si="71"/>
        <v>5.8977000000000004</v>
      </c>
      <c r="AA205" s="204">
        <f t="shared" si="53"/>
        <v>5.7943000000000007</v>
      </c>
      <c r="AB205" s="54" t="e">
        <f>VLOOKUP(A205,Enforcements!$C$7:$K$9,8,0)</f>
        <v>#N/A</v>
      </c>
      <c r="AC205" s="51" t="e">
        <f>VLOOKUP(A205,Enforcements!$C$7:$E$9,3,0)</f>
        <v>#N/A</v>
      </c>
      <c r="AD205" s="179">
        <f t="shared" si="54"/>
        <v>841</v>
      </c>
      <c r="AE205" s="77" t="str">
        <f t="shared" si="55"/>
        <v>aws s3 cp s3://rtdc.mdm.uploadarchive.raw/RTDC4024/ "%USERPROFILE%\AppData\Local\Temp\OnboardLogs"\RTDC4024\2017-11-17 --exclude "*" --recursive --include "*20171117*" &amp; "%USERPROFILE%\Documents\GitHub\mrs-test-scripts\Headless Mode &amp; Sideloading\WalkAndUnGZ.bat" "%USERPROFILE%\AppData\Local\Temp\OnboardLogs"\RTDC4024\2017-11-17 &amp; aws s3 cp s3://rtdc.mdm.uploadarchive.raw/RTDC4024/ "%USERPROFILE%\AppData\Local\Temp\OnboardLogs"\RTDC4024\2017-11-18 --exclude "*" --recursive --include "*20171118*" &amp; "%USERPROFILE%\Documents\GitHub\mrs-test-scripts\Headless Mode &amp; Sideloading\WalkAndUnGZ.bat" "%USERPROFILE%\AppData\Local\Temp\OnboardLogs"\RTDC4024\2017-11-18</v>
      </c>
      <c r="AF205" s="74" t="str">
        <f t="shared" si="56"/>
        <v>"C:\Program Files (x86)\AstroGrep\AstroGrep.exe" /e /r /s /spath="%USERPROFILE%\AppData\Local\Temp\OnboardLogs" /stypes="app*4024*20171118*" /stext=" 02:.+((SYSTEM_STATE.+slice.+state.+changed )|(ment ac)|(multiple cpu faults)|(system.+state.+changed )|(\[timeout)|(PRM\|1\|D)|(kpr)|(kdp)|(train st.+moving)|(\|lc)|(penalty))"</v>
      </c>
      <c r="AG205" s="182" t="str">
        <f t="shared" si="57"/>
        <v>NW</v>
      </c>
      <c r="AH205" s="78" t="str">
        <f t="shared" si="58"/>
        <v>"%USERPROFILE%\Documents\GitHub\eaglep3\Utilities\RefineRTDCRunTimes.py" --tripid 841-17 --locoid 4024 --swversion DE.1.0.9.0 --startMP 204:1034 --initTime 2017-11-17T19:03:45 --startdatetime 2017-11-17T19:09:57 --delay 81 --endMP 300:58977 --enddatetime 2017-11-17T19:23:47 --enforcementcount 1 &gt;&gt;%USERPROFILE%\Documents\GitHub\eaglep3-reporting\EC\2017-11-17-refined-times.txt</v>
      </c>
      <c r="AI205" s="96" t="str">
        <f t="shared" si="59"/>
        <v>echo {"issue":{"subject":"","project_id":79,"tracker_id":40,"status_id":1,"priority_id":2,"assigned_to_id":338,"start_date":"2017-11-17","description":"","custom_fields":[{"id":1,"name":"Subdivision","value":"NW"},{"id":4,"name":"Milepost","value":"5.8977"},{"id":17,"name":"Train ID","value":"841-17"},{"id":16,"name":"Locomotive ID","value":"4024"},{"id":130,"name":"Impact","value":""},{"id":150,"name":"Time of Event (Mountain Time)","value":"19:23:47"},{"id":151,"name":"Denver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5" s="47"/>
      <c r="AL205" s="47"/>
      <c r="AM205" s="142" t="str">
        <f t="shared" si="60"/>
        <v>start /low /b %USERPROFILE%\Documents\GitHub\eaglep3\Utilities\DownloadLogsFromS3.py --loco 4024 --day 2017-11-17</v>
      </c>
      <c r="AN205" s="151" t="str">
        <f t="shared" si="61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02:23:47"},{"id":29,"name":"Sharepoint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168" t="str">
        <f t="shared" si="62"/>
        <v>https://d0f6bd738d7f1b3e5a7ca70fe4ff75f0.us-east-1.aws.found.io/app/kibana#/discover/Steve-Slow-Train-Analysis-(2080s-and-2083s)?_g=(refreshInterval:(display:Off,pause:!f,section:0,value:0),time:(from:'2017-11-17T18:03:45-0700',mode:absolute,to:'2017-11-17T20:23:47-0700'))&amp;_a=(columns:!('Message%20ID',Summary),filters:!(),index:'emp_*',interval:auto,query:(query_string:(analyze_wildcard:!t,query:'%22rtdc.l.rtdc.4024%22')),sort:!(Time.ISO8601,asc))</v>
      </c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0" customFormat="1" x14ac:dyDescent="0.3">
      <c r="A206" s="32" t="s">
        <v>863</v>
      </c>
      <c r="B206" s="7">
        <v>4023</v>
      </c>
      <c r="C206" s="21" t="s">
        <v>192</v>
      </c>
      <c r="D206" s="21" t="s">
        <v>504</v>
      </c>
      <c r="E206" s="13">
        <v>43056.850717592592</v>
      </c>
      <c r="F206" s="231">
        <v>43056.863009259258</v>
      </c>
      <c r="G206" s="7">
        <v>282</v>
      </c>
      <c r="H206" s="21" t="s">
        <v>612</v>
      </c>
      <c r="I206" s="13">
        <v>43056.871620370373</v>
      </c>
      <c r="J206" s="7">
        <v>1</v>
      </c>
      <c r="K206" s="89" t="str">
        <f t="shared" si="48"/>
        <v>4023/4024</v>
      </c>
      <c r="L206" s="185" t="str">
        <f>VLOOKUP(A206,'Trips&amp;Operators'!$C$1:$G$99911,5,FALSE)</f>
        <v>BERLING GARY</v>
      </c>
      <c r="M206" s="6">
        <f t="shared" si="49"/>
        <v>8.6111111158970743E-3</v>
      </c>
      <c r="N206" s="7">
        <f t="shared" si="89"/>
        <v>12.400000006891787</v>
      </c>
      <c r="O206" s="7"/>
      <c r="P206" s="7"/>
      <c r="Q206" s="22"/>
      <c r="R206" s="174"/>
      <c r="S206" s="221">
        <f t="shared" si="72"/>
        <v>1</v>
      </c>
      <c r="T206" s="174" t="str">
        <f t="shared" si="50"/>
        <v>Southbound</v>
      </c>
      <c r="U206" s="198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16" t="str">
        <f t="shared" si="51"/>
        <v>https://d0f6bd738d7f1b3e5a7ca70fe4ff75f0.us-east-1.aws.found.io/app/kibana#/discover/Steve-Slow-Train-Analysis-(2080s-and-2083s)?_g=(refreshInterval:(display:Off,pause:!f,section:0,value:0),time:(from:'2017-11-17T19:25:02-0700',mode:absolute,to:'2017-11-17T21:55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06" s="204" t="str">
        <f>IF(AA206&lt;VLOOKUP(AG206,Variables!$AC$3:$AD$8,2,FALSE),"Y","N")</f>
        <v>N</v>
      </c>
      <c r="X206" s="204">
        <f t="shared" si="52"/>
        <v>1</v>
      </c>
      <c r="Y206" s="204">
        <f t="shared" ref="Y206:Y238" si="106">RIGHT(D206,LEN(D206)-4)/10000</f>
        <v>5.8644999999999996</v>
      </c>
      <c r="Z206" s="204">
        <f t="shared" ref="Z206:Z238" si="107">RIGHT(H206,LEN(H206)-4)/10000</f>
        <v>7.6899999999999996E-2</v>
      </c>
      <c r="AA206" s="204">
        <f t="shared" si="53"/>
        <v>5.7875999999999994</v>
      </c>
      <c r="AB206" s="54" t="e">
        <f>VLOOKUP(A206,Enforcements!$C$7:$K$9,8,0)</f>
        <v>#N/A</v>
      </c>
      <c r="AC206" s="51" t="e">
        <f>VLOOKUP(A206,Enforcements!$C$7:$E$9,3,0)</f>
        <v>#N/A</v>
      </c>
      <c r="AD206" s="179">
        <f t="shared" si="54"/>
        <v>842</v>
      </c>
      <c r="AE206" s="77" t="str">
        <f t="shared" si="55"/>
        <v>aws s3 cp s3://rtdc.mdm.uploadarchive.raw/RTDC4023/ "%USERPROFILE%\AppData\Local\Temp\OnboardLogs"\RTDC4023\2017-11-17 --exclude "*" --recursive --include "*20171117*" &amp; "%USERPROFILE%\Documents\GitHub\mrs-test-scripts\Headless Mode &amp; Sideloading\WalkAndUnGZ.bat" "%USERPROFILE%\AppData\Local\Temp\OnboardLogs"\RTDC4023\2017-11-17 &amp; aws s3 cp s3://rtdc.mdm.uploadarchive.raw/RTDC4023/ "%USERPROFILE%\AppData\Local\Temp\OnboardLogs"\RTDC4023\2017-11-18 --exclude "*" --recursive --include "*20171118*" &amp; "%USERPROFILE%\Documents\GitHub\mrs-test-scripts\Headless Mode &amp; Sideloading\WalkAndUnGZ.bat" "%USERPROFILE%\AppData\Local\Temp\OnboardLogs"\RTDC4023\2017-11-18</v>
      </c>
      <c r="AF206" s="74" t="str">
        <f t="shared" si="56"/>
        <v>"C:\Program Files (x86)\AstroGrep\AstroGrep.exe" /e /r /s /spath="%USERPROFILE%\AppData\Local\Temp\OnboardLogs" /stypes="app*4023*20171118*" /stext=" 03:.+((SYSTEM_STATE.+slice.+state.+changed )|(ment ac)|(multiple cpu faults)|(system.+state.+changed )|(\[timeout)|(PRM\|1\|D)|(kpr)|(kdp)|(train st.+moving)|(\|lc)|(penalty))"</v>
      </c>
      <c r="AG206" s="182" t="str">
        <f t="shared" si="57"/>
        <v>NW</v>
      </c>
      <c r="AH206" s="78" t="str">
        <f t="shared" si="58"/>
        <v>"%USERPROFILE%\Documents\GitHub\eaglep3\Utilities\RefineRTDCRunTimes.py" --tripid 842-17 --locoid 4023 --swversion DE.1.0.9.0 --startMP 300:58645 --initTime 2017-11-17T20:25:02 --startdatetime 2017-11-17T20:42:44 --delay 282 --endMP 204:769 --enddatetime 2017-11-17T20:55:08 --enforcementcount 1 &gt;&gt;%USERPROFILE%\Documents\GitHub\eaglep3-reporting\EC\2017-11-17-refined-times.txt</v>
      </c>
      <c r="AI206" s="96" t="str">
        <f t="shared" si="59"/>
        <v>echo {"issue":{"subject":"","project_id":79,"tracker_id":40,"status_id":1,"priority_id":2,"assigned_to_id":338,"start_date":"2017-11-17","description":"","custom_fields":[{"id":1,"name":"Subdivision","value":"NW"},{"id":4,"name":"Milepost","value":"0.0769"},{"id":17,"name":"Train ID","value":"842-17"},{"id":16,"name":"Locomotive ID","value":"4023"},{"id":130,"name":"Impact","value":""},{"id":150,"name":"Time of Event (Mountain Time)","value":"20:55:08"},{"id":151,"name":"Denver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6" s="47"/>
      <c r="AL206" s="47"/>
      <c r="AM206" s="142" t="str">
        <f t="shared" si="60"/>
        <v>start /low /b %USERPROFILE%\Documents\GitHub\eaglep3\Utilities\DownloadLogsFromS3.py --loco 4023 --day 2017-11-17</v>
      </c>
      <c r="AN206" s="151" t="str">
        <f t="shared" si="61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03:55:08"},{"id":29,"name":"Sharepoint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168" t="str">
        <f t="shared" si="62"/>
        <v>https://d0f6bd738d7f1b3e5a7ca70fe4ff75f0.us-east-1.aws.found.io/app/kibana#/discover/Steve-Slow-Train-Analysis-(2080s-and-2083s)?_g=(refreshInterval:(display:Off,pause:!f,section:0,value:0),time:(from:'2017-11-17T19:25:02-0700',mode:absolute,to:'2017-11-17T21:55:08-0700'))&amp;_a=(columns:!('Message%20ID',Summary),filters:!(),index:'emp_*',interval:auto,query:(query_string:(analyze_wildcard:!t,query:'%22rtdc.l.rtdc.4023%22')),sort:!(Time.ISO8601,asc))</v>
      </c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0" customFormat="1" x14ac:dyDescent="0.3">
      <c r="A207" s="32" t="s">
        <v>860</v>
      </c>
      <c r="B207" s="7">
        <v>4024</v>
      </c>
      <c r="C207" s="21" t="s">
        <v>192</v>
      </c>
      <c r="D207" s="21" t="s">
        <v>1096</v>
      </c>
      <c r="E207" s="13">
        <v>43056.83803240741</v>
      </c>
      <c r="F207" s="13">
        <v>43056.839733796296</v>
      </c>
      <c r="G207" s="7">
        <v>55</v>
      </c>
      <c r="H207" s="21" t="s">
        <v>1097</v>
      </c>
      <c r="I207" s="13">
        <v>43056.84983796296</v>
      </c>
      <c r="J207" s="7">
        <v>1</v>
      </c>
      <c r="K207" s="89" t="str">
        <f t="shared" ref="K207:K244" si="108">IF(ISEVEN(B207),(B207-1)&amp;"/"&amp;B207,B207&amp;"/"&amp;(B207+1))</f>
        <v>4023/4024</v>
      </c>
      <c r="L207" s="185" t="str">
        <f>VLOOKUP(A207,'Trips&amp;Operators'!$C$1:$G$99911,5,FALSE)</f>
        <v>BERLING GARY</v>
      </c>
      <c r="M207" s="6">
        <f t="shared" ref="M207:M244" si="109">I207-F207</f>
        <v>1.0104166663950309E-2</v>
      </c>
      <c r="N207" s="7">
        <f t="shared" si="89"/>
        <v>14.549999996088445</v>
      </c>
      <c r="O207" s="7"/>
      <c r="P207" s="7"/>
      <c r="Q207" s="22"/>
      <c r="R207" s="174"/>
      <c r="S207" s="221">
        <f t="shared" si="72"/>
        <v>1</v>
      </c>
      <c r="T207" s="174" t="str">
        <f t="shared" ref="T207:T244" si="110">IF(ISEVEN(LEFT(AD207,4)),"Southbound","NorthBound")</f>
        <v>NorthBound</v>
      </c>
      <c r="U207" s="198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16" t="str">
        <f t="shared" ref="V207:V244" si="111">"https://d0f6bd738d7f1b3e5a7ca70fe4ff75f0.us-east-1.aws.found.io/app/kibana#/discover/Steve-Slow-Train-Analysis-(2080s-and-2083s)?_g="&amp;"(refreshInterval:(display:Off,pause:!f,section:0,value:0),time:(from:'"&amp;TEXT(E207-1/24,"yyyy-MM-DDThh:mm:ss")&amp;utc_offset&amp;"00"&amp;"',mode:absolute,to:'"&amp;TEXT(I207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207&amp;"%22')),sort:!(Time.ISO8601,asc))"</f>
        <v>https://d0f6bd738d7f1b3e5a7ca70fe4ff75f0.us-east-1.aws.found.io/app/kibana#/discover/Steve-Slow-Train-Analysis-(2080s-and-2083s)?_g=(refreshInterval:(display:Off,pause:!f,section:0,value:0),time:(from:'2017-11-17T19:06:46-0700',mode:absolute,to:'2017-11-17T21:23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07" s="204" t="str">
        <f>IF(AA207&lt;VLOOKUP(AG207,Variables!$AC$3:$AD$8,2,FALSE),"Y","N")</f>
        <v>N</v>
      </c>
      <c r="X207" s="204">
        <f t="shared" ref="X207:X244" si="112">VALUE(LEFT(AD207,4))-VALUE(LEFT(AD206,4))</f>
        <v>1</v>
      </c>
      <c r="Y207" s="204">
        <f t="shared" si="106"/>
        <v>0.10299999999999999</v>
      </c>
      <c r="Z207" s="204">
        <f t="shared" si="107"/>
        <v>5.8971</v>
      </c>
      <c r="AA207" s="204">
        <f t="shared" ref="AA207:AA271" si="113">ABS(Z207-Y207)</f>
        <v>5.7941000000000003</v>
      </c>
      <c r="AB207" s="54" t="e">
        <f>VLOOKUP(A207,Enforcements!$C$7:$K$9,8,0)</f>
        <v>#N/A</v>
      </c>
      <c r="AC207" s="51" t="e">
        <f>VLOOKUP(A207,Enforcements!$C$7:$E$9,3,0)</f>
        <v>#N/A</v>
      </c>
      <c r="AD207" s="179">
        <f t="shared" ref="AD207:AD244" si="114">VALUE(LEFT(A207,LEN(A207)-3))</f>
        <v>843</v>
      </c>
      <c r="AE207" s="77" t="str">
        <f t="shared" ref="AE207:AE244" si="115">"aws s3 cp "&amp;s3_bucket&amp;"/RTDC"&amp;B207&amp;"/ "&amp;search_path&amp;"\RTDC"&amp;B207&amp;"\"&amp;TEXT(F207,"YYYY-MM-DD")&amp;" --exclude ""*"" --recursive --include ""*"&amp;TEXT(F207,"YYYYMMDD")&amp;"*"" &amp; """&amp;walkandungz&amp;""" "&amp;search_path&amp;"\RTDC"&amp;B207&amp;"\"&amp;TEXT(F207,"YYYY-MM-DD")
&amp;" &amp; "&amp;"aws s3 cp "&amp;s3_bucket&amp;"/RTDC"&amp;B207&amp;"/ "&amp;search_path&amp;"\RTDC"&amp;B207&amp;"\"&amp;TEXT(F207+1,"YYYY-MM-DD")&amp;" --exclude ""*"" --recursive --include ""*"&amp;TEXT(F207+1,"YYYYMMDD")&amp;"*"" &amp; """&amp;walkandungz&amp;""" "&amp;search_path&amp;"\RTDC"&amp;B207&amp;"\"&amp;TEXT(F207+1,"YYYY-MM-DD")</f>
        <v>aws s3 cp s3://rtdc.mdm.uploadarchive.raw/RTDC4024/ "%USERPROFILE%\AppData\Local\Temp\OnboardLogs"\RTDC4024\2017-11-17 --exclude "*" --recursive --include "*20171117*" &amp; "%USERPROFILE%\Documents\GitHub\mrs-test-scripts\Headless Mode &amp; Sideloading\WalkAndUnGZ.bat" "%USERPROFILE%\AppData\Local\Temp\OnboardLogs"\RTDC4024\2017-11-17 &amp; aws s3 cp s3://rtdc.mdm.uploadarchive.raw/RTDC4024/ "%USERPROFILE%\AppData\Local\Temp\OnboardLogs"\RTDC4024\2017-11-18 --exclude "*" --recursive --include "*20171118*" &amp; "%USERPROFILE%\Documents\GitHub\mrs-test-scripts\Headless Mode &amp; Sideloading\WalkAndUnGZ.bat" "%USERPROFILE%\AppData\Local\Temp\OnboardLogs"\RTDC4024\2017-11-18</v>
      </c>
      <c r="AF207" s="74" t="str">
        <f t="shared" ref="AF207:AF244" si="116">astrogrep_path&amp;" /e /r /s /spath="&amp;search_path&amp;" /stypes=""app*"&amp;B207&amp;"*"&amp;TEXT(I207-utc_offset/24,"YYYYMMDD")&amp;"*"" /stext="" "&amp;TEXT(I207-utc_offset/24,"HH")&amp;search_regexp&amp;""""</f>
        <v>"C:\Program Files (x86)\AstroGrep\AstroGrep.exe" /e /r /s /spath="%USERPROFILE%\AppData\Local\Temp\OnboardLogs" /stypes="app*4024*20171118*" /stext=" 03:.+((SYSTEM_STATE.+slice.+state.+changed )|(ment ac)|(multiple cpu faults)|(system.+state.+changed )|(\[timeout)|(PRM\|1\|D)|(kpr)|(kdp)|(train st.+moving)|(\|lc)|(penalty))"</v>
      </c>
      <c r="AG207" s="182" t="str">
        <f t="shared" ref="AG207:AG244" si="117">DetSubdiv(A207)</f>
        <v>NW</v>
      </c>
      <c r="AH207" s="78" t="str">
        <f t="shared" ref="AH207:AH244" si="118">refinertdcruntimes&amp;" --tripid "&amp;A207&amp;" --locoid "&amp;B207&amp;" --swversion "&amp;C207&amp;" --startMP "&amp;D207&amp;" --initTime "&amp;TEXT(E207,"yyyy-mm-ddTHH:MM:SS")&amp;" --startdatetime "&amp;TEXT(F207,"yyyy-mm-ddTHH:MM:SS")&amp;" --delay "&amp;G207&amp;" --endMP "&amp;H207&amp;" --enddatetime "&amp;TEXT(I207,"yyyy-mm-ddTHH:MM:SS")&amp;" --enforcementcount "&amp;J207&amp;IF(outputrefinedruntimes," &gt;&gt;"&amp;RefinedRTDCRunTimesOutputFile,"")</f>
        <v>"%USERPROFILE%\Documents\GitHub\eaglep3\Utilities\RefineRTDCRunTimes.py" --tripid 843-17 --locoid 4024 --swversion DE.1.0.9.0 --startMP 204:1030 --initTime 2017-11-17T20:06:46 --startdatetime 2017-11-17T20:09:13 --delay 55 --endMP 300:58971 --enddatetime 2017-11-17T20:23:46 --enforcementcount 1 &gt;&gt;%USERPROFILE%\Documents\GitHub\eaglep3-reporting\EC\2017-11-17-refined-times.txt</v>
      </c>
      <c r="AI207" s="96" t="str">
        <f t="shared" ref="AI207:AI244" si="119">"echo {""issue"":{""subject"":"""&amp;R207&amp;""",""project_id"":79,""tracker_id"":40,""status_id"":"&amp;redmine_status&amp;",""priority_id"":"&amp;redmine_priority&amp;",""assigned_to_id"":"&amp;redmine_assignee&amp;",""start_date"":"""&amp;TEXT(I207,"YYYY-mm-dd")&amp;""",""description"":"""&amp;AJ207&amp;""",""custom_fields"":[{""id"":1,""name"":""Subdivision"",""value"":"""&amp;AG207&amp;"""},{""id"":4,""name"":""Milepost"",""value"":"""&amp;Z207&amp;"""},{""id"":17,""name"":""Train ID"",""value"":"""&amp;A207&amp;"""},{""id"":16,""name"":""Locomotive ID"",""value"":"""&amp;B207&amp;"""},{""id"":130,""name"":""Impact"",""value"":"""&amp;AK207&amp;"""},{""id"":150,""name"":""Time of Event (Mountain Time)"",""value"":"""&amp;TEXT(I207,"hh:mm:ss")&amp;"""},{""id"":151,""name"":""Denver Issue ID"",""value"":"""&amp;"""},{""id"":178,""name"":""Operational Impact"",""value"":"""&amp;redmine_op_impact&amp;"""},{""id"":179,""name"":""Denver Segment Assigned"",""value"":"""&amp;AL207&amp;"""}]}}"&amp;"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{"issue":{"subject":"","project_id":79,"tracker_id":40,"status_id":1,"priority_id":2,"assigned_to_id":338,"start_date":"2017-11-17","description":"","custom_fields":[{"id":1,"name":"Subdivision","value":"NW"},{"id":4,"name":"Milepost","value":"5.8971"},{"id":17,"name":"Train ID","value":"843-17"},{"id":16,"name":"Locomotive ID","value":"4024"},{"id":130,"name":"Impact","value":""},{"id":150,"name":"Time of Event (Mountain Time)","value":"20:23:46"},{"id":151,"name":"Denver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7" s="47"/>
      <c r="AL207" s="47"/>
      <c r="AM207" s="142" t="str">
        <f t="shared" ref="AM207:AM244" si="120">"start /low /b "&amp;dls3logs&amp;" --loco "&amp;B207&amp;" --day "&amp;TEXT(F207,"YYYY-MM-DD")</f>
        <v>start /low /b %USERPROFILE%\Documents\GitHub\eaglep3\Utilities\DownloadLogsFromS3.py --loco 4024 --day 2017-11-17</v>
      </c>
      <c r="AN207" s="151" t="str">
        <f t="shared" ref="AN207:AN244" si="121">"echo {""issue"":{""subject"":"""&amp;R207&amp;""",""project_id"":30,""tracker_id"":4,""status_id"":"&amp;redmine_status_wcr&amp;",""priority_id"":"&amp;redmine_priority_wcr&amp;",""assigned_to_id"":"&amp;redmine_assignee_wcr&amp;",""start_date"":"""&amp;TEXT(I207-utc_offset/24,"YYYY-mm-dd")&amp;""",""description"":"""&amp;AJ207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03:23:46"},{"id":29,"name":"Sharepoint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168" t="str">
        <f t="shared" ref="AO207:AO244" si="122">"https://d0f6bd738d7f1b3e5a7ca70fe4ff75f0.us-east-1.aws.found.io/app/kibana#/discover/Steve-Slow-Train-Analysis-(2080s-and-2083s)?_g="&amp;"(refreshInterval:(display:Off,pause:!f,section:0,value:0),time:(from:'"&amp;TEXT(E207-1/24,"yyyy-MM-DDThh:mm:ss")&amp;utc_offset&amp;"00"&amp;"',mode:absolute,to:'"&amp;TEXT(I207+1/24,"yyyy-MM-DDThh:mm:ss")&amp;utc_offset&amp;"00"&amp;"'))&amp;_a=(columns:!('Message%20ID',Summary),filters:!(),index:'emp_*',interval:auto,query:"&amp;"(query_string:(analyze_wildcard:!t,query:'%22rtdc.l.rtdc."&amp;B207&amp;"%22')),sort:!(Time.ISO8601,asc))"</f>
        <v>https://d0f6bd738d7f1b3e5a7ca70fe4ff75f0.us-east-1.aws.found.io/app/kibana#/discover/Steve-Slow-Train-Analysis-(2080s-and-2083s)?_g=(refreshInterval:(display:Off,pause:!f,section:0,value:0),time:(from:'2017-11-17T19:06:46-0700',mode:absolute,to:'2017-11-17T21:23:46-0700'))&amp;_a=(columns:!('Message%20ID',Summary),filters:!(),index:'emp_*',interval:auto,query:(query_string:(analyze_wildcard:!t,query:'%22rtdc.l.rtdc.4024%22')),sort:!(Time.ISO8601,asc))</v>
      </c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s="228" customFormat="1" x14ac:dyDescent="0.3">
      <c r="A208" s="234" t="s">
        <v>871</v>
      </c>
      <c r="B208" s="230">
        <v>4023</v>
      </c>
      <c r="C208" s="232" t="s">
        <v>192</v>
      </c>
      <c r="D208" s="232" t="s">
        <v>1096</v>
      </c>
      <c r="E208" s="231">
        <v>43056.83803240741</v>
      </c>
      <c r="F208" s="231">
        <v>43056.904895833337</v>
      </c>
      <c r="G208" s="230">
        <v>55</v>
      </c>
      <c r="H208" s="232" t="s">
        <v>1097</v>
      </c>
      <c r="I208" s="231">
        <v>43056.913425925923</v>
      </c>
      <c r="J208" s="230">
        <v>1</v>
      </c>
      <c r="K208" s="242" t="str">
        <f t="shared" ref="K208" si="123">IF(ISEVEN(B208),(B208-1)&amp;"/"&amp;B208,B208&amp;"/"&amp;(B208+1))</f>
        <v>4023/4024</v>
      </c>
      <c r="L208" s="250" t="str">
        <f>VLOOKUP(A208,'Trips&amp;Operators'!$C$1:$G$99911,5,FALSE)</f>
        <v>ANDREA WILLIAMS</v>
      </c>
      <c r="M208" s="229">
        <f t="shared" ref="M208" si="124">I208-F208</f>
        <v>8.5300925857154652E-3</v>
      </c>
      <c r="N208" s="230">
        <f t="shared" si="89"/>
        <v>12.28333332343027</v>
      </c>
      <c r="O208" s="230"/>
      <c r="P208" s="230"/>
      <c r="Q208" s="233"/>
      <c r="R208" s="247"/>
      <c r="S208" s="254">
        <f t="shared" ref="S208" si="125">1/IF(AG208="EC",12,1)*SUM(U208:U208)</f>
        <v>1</v>
      </c>
      <c r="T208" s="247" t="str">
        <f t="shared" ref="T208" si="126">IF(ISEVEN(LEFT(AD208,4)),"Southbound","NorthBound")</f>
        <v>Southbound</v>
      </c>
      <c r="U208" s="251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53" t="str">
        <f t="shared" ref="V208" si="127">"https://d0f6bd738d7f1b3e5a7ca70fe4ff75f0.us-east-1.aws.found.io/app/kibana#/discover/Steve-Slow-Train-Analysis-(2080s-and-2083s)?_g="&amp;"(refreshInterval:(display:Off,pause:!f,section:0,value:0),time:(from:'"&amp;TEXT(E208-1/24,"yyyy-MM-DDThh:mm:ss")&amp;utc_offset&amp;"00"&amp;"',mode:absolute,to:'"&amp;TEXT(I208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208&amp;"%22')),sort:!(Time.ISO8601,asc))"</f>
        <v>https://d0f6bd738d7f1b3e5a7ca70fe4ff75f0.us-east-1.aws.found.io/app/kibana#/discover/Steve-Slow-Train-Analysis-(2080s-and-2083s)?_g=(refreshInterval:(display:Off,pause:!f,section:0,value:0),time:(from:'2017-11-17T19:06:46-0700',mode:absolute,to:'2017-11-17T22:55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08" s="252" t="str">
        <f>IF(AA208&lt;VLOOKUP(AG208,Variables!$AC$3:$AD$8,2,FALSE),"Y","N")</f>
        <v>N</v>
      </c>
      <c r="X208" s="252">
        <f t="shared" si="112"/>
        <v>1</v>
      </c>
      <c r="Y208" s="252">
        <v>5.8644999999999996</v>
      </c>
      <c r="Z208" s="252">
        <v>7.6899999999999996E-2</v>
      </c>
      <c r="AA208" s="252">
        <f t="shared" ref="AA208" si="128">ABS(Z208-Y208)</f>
        <v>5.7875999999999994</v>
      </c>
      <c r="AB208" s="238" t="e">
        <f>VLOOKUP(A208,Enforcements!$C$7:$K$9,8,0)</f>
        <v>#N/A</v>
      </c>
      <c r="AC208" s="237" t="e">
        <f>VLOOKUP(A208,Enforcements!$C$7:$E$9,3,0)</f>
        <v>#N/A</v>
      </c>
      <c r="AD208" s="248">
        <f t="shared" ref="AD208" si="129">VALUE(LEFT(A208,LEN(A208)-3))</f>
        <v>844</v>
      </c>
      <c r="AE208" s="240" t="str">
        <f t="shared" ref="AE208" si="130">"aws s3 cp "&amp;s3_bucket&amp;"/RTDC"&amp;B208&amp;"/ "&amp;search_path&amp;"\RTDC"&amp;B208&amp;"\"&amp;TEXT(F208,"YYYY-MM-DD")&amp;" --exclude ""*"" --recursive --include ""*"&amp;TEXT(F208,"YYYYMMDD")&amp;"*"" &amp; """&amp;walkandungz&amp;""" "&amp;search_path&amp;"\RTDC"&amp;B208&amp;"\"&amp;TEXT(F208,"YYYY-MM-DD")
&amp;" &amp; "&amp;"aws s3 cp "&amp;s3_bucket&amp;"/RTDC"&amp;B208&amp;"/ "&amp;search_path&amp;"\RTDC"&amp;B208&amp;"\"&amp;TEXT(F208+1,"YYYY-MM-DD")&amp;" --exclude ""*"" --recursive --include ""*"&amp;TEXT(F208+1,"YYYYMMDD")&amp;"*"" &amp; """&amp;walkandungz&amp;""" "&amp;search_path&amp;"\RTDC"&amp;B208&amp;"\"&amp;TEXT(F208+1,"YYYY-MM-DD")</f>
        <v>aws s3 cp s3://rtdc.mdm.uploadarchive.raw/RTDC4023/ "%USERPROFILE%\AppData\Local\Temp\OnboardLogs"\RTDC4023\2017-11-17 --exclude "*" --recursive --include "*20171117*" &amp; "%USERPROFILE%\Documents\GitHub\mrs-test-scripts\Headless Mode &amp; Sideloading\WalkAndUnGZ.bat" "%USERPROFILE%\AppData\Local\Temp\OnboardLogs"\RTDC4023\2017-11-17 &amp; aws s3 cp s3://rtdc.mdm.uploadarchive.raw/RTDC4023/ "%USERPROFILE%\AppData\Local\Temp\OnboardLogs"\RTDC4023\2017-11-18 --exclude "*" --recursive --include "*20171118*" &amp; "%USERPROFILE%\Documents\GitHub\mrs-test-scripts\Headless Mode &amp; Sideloading\WalkAndUnGZ.bat" "%USERPROFILE%\AppData\Local\Temp\OnboardLogs"\RTDC4023\2017-11-18</v>
      </c>
      <c r="AF208" s="239" t="str">
        <f t="shared" ref="AF208" si="131">astrogrep_path&amp;" /e /r /s /spath="&amp;search_path&amp;" /stypes=""app*"&amp;B208&amp;"*"&amp;TEXT(I208-utc_offset/24,"YYYYMMDD")&amp;"*"" /stext="" "&amp;TEXT(I208-utc_offset/24,"HH")&amp;search_regexp&amp;""""</f>
        <v>"C:\Program Files (x86)\AstroGrep\AstroGrep.exe" /e /r /s /spath="%USERPROFILE%\AppData\Local\Temp\OnboardLogs" /stypes="app*4023*20171118*" /stext=" 04:.+((SYSTEM_STATE.+slice.+state.+changed )|(ment ac)|(multiple cpu faults)|(system.+state.+changed )|(\[timeout)|(PRM\|1\|D)|(kpr)|(kdp)|(train st.+moving)|(\|lc)|(penalty))"</v>
      </c>
      <c r="AG208" s="249" t="str">
        <f t="shared" ref="AG208" si="132">DetSubdiv(A208)</f>
        <v>NW</v>
      </c>
      <c r="AH208" s="241" t="str">
        <f t="shared" ref="AH208" si="133">refinertdcruntimes&amp;" --tripid "&amp;A208&amp;" --locoid "&amp;B208&amp;" --swversion "&amp;C208&amp;" --startMP "&amp;D208&amp;" --initTime "&amp;TEXT(E208,"yyyy-mm-ddTHH:MM:SS")&amp;" --startdatetime "&amp;TEXT(F208,"yyyy-mm-ddTHH:MM:SS")&amp;" --delay "&amp;G208&amp;" --endMP "&amp;H208&amp;" --enddatetime "&amp;TEXT(I208,"yyyy-mm-ddTHH:MM:SS")&amp;" --enforcementcount "&amp;J208&amp;IF(outputrefinedruntimes," &gt;&gt;"&amp;RefinedRTDCRunTimesOutputFile,"")</f>
        <v>"%USERPROFILE%\Documents\GitHub\eaglep3\Utilities\RefineRTDCRunTimes.py" --tripid 844-17 --locoid 4023 --swversion DE.1.0.9.0 --startMP 204:1030 --initTime 2017-11-17T20:06:46 --startdatetime 2017-11-17T21:43:03 --delay 55 --endMP 300:58971 --enddatetime 2017-11-17T21:55:20 --enforcementcount 1 &gt;&gt;%USERPROFILE%\Documents\GitHub\eaglep3-reporting\EC\2017-11-17-refined-times.txt</v>
      </c>
      <c r="AI208" s="243" t="str">
        <f t="shared" ref="AI208" si="134">"echo {""issue"":{""subject"":"""&amp;R208&amp;""",""project_id"":79,""tracker_id"":40,""status_id"":"&amp;redmine_status&amp;",""priority_id"":"&amp;redmine_priority&amp;",""assigned_to_id"":"&amp;redmine_assignee&amp;",""start_date"":"""&amp;TEXT(I208,"YYYY-mm-dd")&amp;""",""description"":"""&amp;AJ208&amp;""",""custom_fields"":[{""id"":1,""name"":""Subdivision"",""value"":"""&amp;AG208&amp;"""},{""id"":4,""name"":""Milepost"",""value"":"""&amp;Z208&amp;"""},{""id"":17,""name"":""Train ID"",""value"":"""&amp;A208&amp;"""},{""id"":16,""name"":""Locomotive ID"",""value"":"""&amp;B208&amp;"""},{""id"":130,""name"":""Impact"",""value"":"""&amp;AK208&amp;"""},{""id"":150,""name"":""Time of Event (Mountain Time)"",""value"":"""&amp;TEXT(I208,"hh:mm:ss")&amp;"""},{""id"":151,""name"":""Denver Issue ID"",""value"":"""&amp;"""},{""id"":178,""name"":""Operational Impact"",""value"":"""&amp;redmine_op_impact&amp;"""},{""id"":179,""name"":""Denver Segment Assigned"",""value"":"""&amp;AL208&amp;"""}]}}"&amp;"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{"issue":{"subject":"","project_id":79,"tracker_id":40,"status_id":1,"priority_id":2,"assigned_to_id":338,"start_date":"2017-11-17","description":"","custom_fields":[{"id":1,"name":"Subdivision","value":"NW"},{"id":4,"name":"Milepost","value":"0.0769"},{"id":17,"name":"Train ID","value":"844-17"},{"id":16,"name":"Locomotive ID","value":"4023"},{"id":130,"name":"Impact","value":""},{"id":150,"name":"Time of Event (Mountain Time)","value":"21:55:20"},{"id":151,"name":"Denver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8" s="236"/>
      <c r="AL208" s="236"/>
      <c r="AM208" s="245" t="str">
        <f t="shared" ref="AM208" si="135">"start /low /b "&amp;dls3logs&amp;" --loco "&amp;B208&amp;" --day "&amp;TEXT(F208,"YYYY-MM-DD")</f>
        <v>start /low /b %USERPROFILE%\Documents\GitHub\eaglep3\Utilities\DownloadLogsFromS3.py --loco 4023 --day 2017-11-17</v>
      </c>
      <c r="AN208" s="246" t="str">
        <f t="shared" ref="AN208" si="136">"echo {""issue"":{""subject"":"""&amp;R208&amp;""",""project_id"":30,""tracker_id"":4,""status_id"":"&amp;redmine_status_wcr&amp;",""priority_id"":"&amp;redmine_priority_wcr&amp;",""assigned_to_id"":"&amp;redmine_assignee_wcr&amp;",""start_date"":"""&amp;TEXT(I208-utc_offset/24,"YYYY-mm-dd")&amp;""",""description"":"""&amp;AJ208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04:55:20"},{"id":29,"name":"Sharepoint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235" t="str">
        <f t="shared" ref="AO208" si="137">"https://d0f6bd738d7f1b3e5a7ca70fe4ff75f0.us-east-1.aws.found.io/app/kibana#/discover/Steve-Slow-Train-Analysis-(2080s-and-2083s)?_g="&amp;"(refreshInterval:(display:Off,pause:!f,section:0,value:0),time:(from:'"&amp;TEXT(E208-1/24,"yyyy-MM-DDThh:mm:ss")&amp;utc_offset&amp;"00"&amp;"',mode:absolute,to:'"&amp;TEXT(I208+1/24,"yyyy-MM-DDThh:mm:ss")&amp;utc_offset&amp;"00"&amp;"'))&amp;_a=(columns:!('Message%20ID',Summary),filters:!(),index:'emp_*',interval:auto,query:"&amp;"(query_string:(analyze_wildcard:!t,query:'%22rtdc.l.rtdc."&amp;B208&amp;"%22')),sort:!(Time.ISO8601,asc))"</f>
        <v>https://d0f6bd738d7f1b3e5a7ca70fe4ff75f0.us-east-1.aws.found.io/app/kibana#/discover/Steve-Slow-Train-Analysis-(2080s-and-2083s)?_g=(refreshInterval:(display:Off,pause:!f,section:0,value:0),time:(from:'2017-11-17T19:06:46-0700',mode:absolute,to:'2017-11-17T22:55:20-0700'))&amp;_a=(columns:!('Message%20ID',Summary),filters:!(),index:'emp_*',interval:auto,query:(query_string:(analyze_wildcard:!t,query:'%22rtdc.l.rtdc.4023%22')),sort:!(Time.ISO8601,asc))</v>
      </c>
    </row>
    <row r="209" spans="1:91" s="20" customFormat="1" x14ac:dyDescent="0.3">
      <c r="A209" s="32" t="s">
        <v>868</v>
      </c>
      <c r="B209" s="7">
        <v>4024</v>
      </c>
      <c r="C209" s="21" t="s">
        <v>192</v>
      </c>
      <c r="D209" s="21" t="s">
        <v>1098</v>
      </c>
      <c r="E209" s="13">
        <v>43056.875115740739</v>
      </c>
      <c r="F209" s="13">
        <v>43056.881493055553</v>
      </c>
      <c r="G209" s="7">
        <v>79</v>
      </c>
      <c r="H209" s="21" t="s">
        <v>1099</v>
      </c>
      <c r="I209" s="13">
        <v>43056.891041666669</v>
      </c>
      <c r="J209" s="7">
        <v>1</v>
      </c>
      <c r="K209" s="89" t="str">
        <f t="shared" si="108"/>
        <v>4023/4024</v>
      </c>
      <c r="L209" s="185" t="str">
        <f>VLOOKUP(A209,'Trips&amp;Operators'!$C$1:$G$99911,5,FALSE)</f>
        <v>ANDREA WILLIAMS</v>
      </c>
      <c r="M209" s="6">
        <f t="shared" si="109"/>
        <v>9.5486111167701893E-3</v>
      </c>
      <c r="N209" s="7">
        <f t="shared" si="89"/>
        <v>13.750000008149073</v>
      </c>
      <c r="O209" s="7"/>
      <c r="P209" s="7"/>
      <c r="Q209" s="22"/>
      <c r="R209" s="174"/>
      <c r="S209" s="221">
        <f t="shared" si="72"/>
        <v>1</v>
      </c>
      <c r="T209" s="174" t="str">
        <f t="shared" si="110"/>
        <v>NorthBound</v>
      </c>
      <c r="U209" s="198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216" t="str">
        <f t="shared" si="111"/>
        <v>https://d0f6bd738d7f1b3e5a7ca70fe4ff75f0.us-east-1.aws.found.io/app/kibana#/discover/Steve-Slow-Train-Analysis-(2080s-and-2083s)?_g=(refreshInterval:(display:Off,pause:!f,section:0,value:0),time:(from:'2017-11-17T20:00:10-0700',mode:absolute,to:'2017-11-17T22:23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09" s="204" t="str">
        <f>IF(AA209&lt;VLOOKUP(AG209,Variables!$AC$3:$AD$8,2,FALSE),"Y","N")</f>
        <v>N</v>
      </c>
      <c r="X209" s="252">
        <f t="shared" si="112"/>
        <v>1</v>
      </c>
      <c r="Y209" s="204">
        <f t="shared" si="106"/>
        <v>0.1081</v>
      </c>
      <c r="Z209" s="204">
        <f t="shared" si="107"/>
        <v>5.8944000000000001</v>
      </c>
      <c r="AA209" s="204">
        <f t="shared" si="113"/>
        <v>5.7862999999999998</v>
      </c>
      <c r="AB209" s="54" t="e">
        <f>VLOOKUP(A209,Enforcements!$C$7:$K$9,8,0)</f>
        <v>#N/A</v>
      </c>
      <c r="AC209" s="51" t="e">
        <f>VLOOKUP(A209,Enforcements!$C$7:$E$9,3,0)</f>
        <v>#N/A</v>
      </c>
      <c r="AD209" s="179">
        <f t="shared" si="114"/>
        <v>845</v>
      </c>
      <c r="AE209" s="77" t="str">
        <f t="shared" si="115"/>
        <v>aws s3 cp s3://rtdc.mdm.uploadarchive.raw/RTDC4024/ "%USERPROFILE%\AppData\Local\Temp\OnboardLogs"\RTDC4024\2017-11-17 --exclude "*" --recursive --include "*20171117*" &amp; "%USERPROFILE%\Documents\GitHub\mrs-test-scripts\Headless Mode &amp; Sideloading\WalkAndUnGZ.bat" "%USERPROFILE%\AppData\Local\Temp\OnboardLogs"\RTDC4024\2017-11-17 &amp; aws s3 cp s3://rtdc.mdm.uploadarchive.raw/RTDC4024/ "%USERPROFILE%\AppData\Local\Temp\OnboardLogs"\RTDC4024\2017-11-18 --exclude "*" --recursive --include "*20171118*" &amp; "%USERPROFILE%\Documents\GitHub\mrs-test-scripts\Headless Mode &amp; Sideloading\WalkAndUnGZ.bat" "%USERPROFILE%\AppData\Local\Temp\OnboardLogs"\RTDC4024\2017-11-18</v>
      </c>
      <c r="AF209" s="74" t="str">
        <f t="shared" si="116"/>
        <v>"C:\Program Files (x86)\AstroGrep\AstroGrep.exe" /e /r /s /spath="%USERPROFILE%\AppData\Local\Temp\OnboardLogs" /stypes="app*4024*20171118*" /stext=" 04:.+((SYSTEM_STATE.+slice.+state.+changed )|(ment ac)|(multiple cpu faults)|(system.+state.+changed )|(\[timeout)|(PRM\|1\|D)|(kpr)|(kdp)|(train st.+moving)|(\|lc)|(penalty))"</v>
      </c>
      <c r="AG209" s="182" t="str">
        <f t="shared" si="117"/>
        <v>NW</v>
      </c>
      <c r="AH209" s="78" t="str">
        <f t="shared" si="118"/>
        <v>"%USERPROFILE%\Documents\GitHub\eaglep3\Utilities\RefineRTDCRunTimes.py" --tripid 845-17 --locoid 4024 --swversion DE.1.0.9.0 --startMP 204:1081 --initTime 2017-11-17T21:00:10 --startdatetime 2017-11-17T21:09:21 --delay 79 --endMP 300:58944 --enddatetime 2017-11-17T21:23:06 --enforcementcount 1 &gt;&gt;%USERPROFILE%\Documents\GitHub\eaglep3-reporting\EC\2017-11-17-refined-times.txt</v>
      </c>
      <c r="AI209" s="96" t="str">
        <f t="shared" si="119"/>
        <v>echo {"issue":{"subject":"","project_id":79,"tracker_id":40,"status_id":1,"priority_id":2,"assigned_to_id":338,"start_date":"2017-11-17","description":"","custom_fields":[{"id":1,"name":"Subdivision","value":"NW"},{"id":4,"name":"Milepost","value":"5.8944"},{"id":17,"name":"Train ID","value":"845-17"},{"id":16,"name":"Locomotive ID","value":"4024"},{"id":130,"name":"Impact","value":""},{"id":150,"name":"Time of Event (Mountain Time)","value":"21:23:06"},{"id":151,"name":"Denver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9" s="47"/>
      <c r="AL209" s="47"/>
      <c r="AM209" s="142" t="str">
        <f t="shared" si="120"/>
        <v>start /low /b %USERPROFILE%\Documents\GitHub\eaglep3\Utilities\DownloadLogsFromS3.py --loco 4024 --day 2017-11-17</v>
      </c>
      <c r="AN209" s="151" t="str">
        <f t="shared" si="121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04:23:06"},{"id":29,"name":"Sharepoint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168" t="str">
        <f t="shared" si="122"/>
        <v>https://d0f6bd738d7f1b3e5a7ca70fe4ff75f0.us-east-1.aws.found.io/app/kibana#/discover/Steve-Slow-Train-Analysis-(2080s-and-2083s)?_g=(refreshInterval:(display:Off,pause:!f,section:0,value:0),time:(from:'2017-11-17T20:00:10-0700',mode:absolute,to:'2017-11-17T22:23:06-0700'))&amp;_a=(columns:!('Message%20ID',Summary),filters:!(),index:'emp_*',interval:auto,query:(query_string:(analyze_wildcard:!t,query:'%22rtdc.l.rtdc.4024%22')),sort:!(Time.ISO8601,asc))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0" customFormat="1" x14ac:dyDescent="0.3">
      <c r="A210" s="32" t="s">
        <v>878</v>
      </c>
      <c r="B210" s="7">
        <v>4023</v>
      </c>
      <c r="C210" s="21" t="s">
        <v>192</v>
      </c>
      <c r="D210" s="21" t="s">
        <v>628</v>
      </c>
      <c r="E210" s="13">
        <v>43056.93476851852</v>
      </c>
      <c r="F210" s="231">
        <v>43056.946620370371</v>
      </c>
      <c r="G210" s="7">
        <v>63</v>
      </c>
      <c r="H210" s="21" t="s">
        <v>1100</v>
      </c>
      <c r="I210" s="13">
        <v>43056.954548611109</v>
      </c>
      <c r="J210" s="7">
        <v>1</v>
      </c>
      <c r="K210" s="89" t="str">
        <f t="shared" si="108"/>
        <v>4023/4024</v>
      </c>
      <c r="L210" s="185" t="str">
        <f>VLOOKUP(A210,'Trips&amp;Operators'!$C$1:$G$99911,5,FALSE)</f>
        <v>ANDREA WILLIAMS</v>
      </c>
      <c r="M210" s="6">
        <f t="shared" si="109"/>
        <v>7.9282407386926934E-3</v>
      </c>
      <c r="N210" s="7">
        <f t="shared" si="89"/>
        <v>11.416666663717479</v>
      </c>
      <c r="O210" s="7"/>
      <c r="P210" s="7"/>
      <c r="Q210" s="22"/>
      <c r="R210" s="174"/>
      <c r="S210" s="221">
        <f t="shared" si="72"/>
        <v>1</v>
      </c>
      <c r="T210" s="174" t="str">
        <f t="shared" si="110"/>
        <v>Southbound</v>
      </c>
      <c r="U210" s="198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216" t="str">
        <f t="shared" si="111"/>
        <v>https://d0f6bd738d7f1b3e5a7ca70fe4ff75f0.us-east-1.aws.found.io/app/kibana#/discover/Steve-Slow-Train-Analysis-(2080s-and-2083s)?_g=(refreshInterval:(display:Off,pause:!f,section:0,value:0),time:(from:'2017-11-17T21:26:04-0700',mode:absolute,to:'2017-11-17T23:54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10" s="204" t="str">
        <f>IF(AA210&lt;VLOOKUP(AG210,Variables!$AC$3:$AD$8,2,FALSE),"Y","N")</f>
        <v>N</v>
      </c>
      <c r="X210" s="252">
        <f t="shared" si="112"/>
        <v>1</v>
      </c>
      <c r="Y210" s="204">
        <f t="shared" si="106"/>
        <v>5.8624000000000001</v>
      </c>
      <c r="Z210" s="204">
        <f t="shared" si="107"/>
        <v>7.2400000000000006E-2</v>
      </c>
      <c r="AA210" s="204">
        <f t="shared" si="113"/>
        <v>5.79</v>
      </c>
      <c r="AB210" s="54" t="e">
        <f>VLOOKUP(A210,Enforcements!$C$7:$K$9,8,0)</f>
        <v>#N/A</v>
      </c>
      <c r="AC210" s="51" t="e">
        <f>VLOOKUP(A210,Enforcements!$C$7:$E$9,3,0)</f>
        <v>#N/A</v>
      </c>
      <c r="AD210" s="179">
        <f t="shared" si="114"/>
        <v>846</v>
      </c>
      <c r="AE210" s="77" t="str">
        <f t="shared" si="115"/>
        <v>aws s3 cp s3://rtdc.mdm.uploadarchive.raw/RTDC4023/ "%USERPROFILE%\AppData\Local\Temp\OnboardLogs"\RTDC4023\2017-11-17 --exclude "*" --recursive --include "*20171117*" &amp; "%USERPROFILE%\Documents\GitHub\mrs-test-scripts\Headless Mode &amp; Sideloading\WalkAndUnGZ.bat" "%USERPROFILE%\AppData\Local\Temp\OnboardLogs"\RTDC4023\2017-11-17 &amp; aws s3 cp s3://rtdc.mdm.uploadarchive.raw/RTDC4023/ "%USERPROFILE%\AppData\Local\Temp\OnboardLogs"\RTDC4023\2017-11-18 --exclude "*" --recursive --include "*20171118*" &amp; "%USERPROFILE%\Documents\GitHub\mrs-test-scripts\Headless Mode &amp; Sideloading\WalkAndUnGZ.bat" "%USERPROFILE%\AppData\Local\Temp\OnboardLogs"\RTDC4023\2017-11-18</v>
      </c>
      <c r="AF210" s="74" t="str">
        <f t="shared" si="116"/>
        <v>"C:\Program Files (x86)\AstroGrep\AstroGrep.exe" /e /r /s /spath="%USERPROFILE%\AppData\Local\Temp\OnboardLogs" /stypes="app*4023*20171118*" /stext=" 05:.+((SYSTEM_STATE.+slice.+state.+changed )|(ment ac)|(multiple cpu faults)|(system.+state.+changed )|(\[timeout)|(PRM\|1\|D)|(kpr)|(kdp)|(train st.+moving)|(\|lc)|(penalty))"</v>
      </c>
      <c r="AG210" s="182" t="str">
        <f t="shared" si="117"/>
        <v>NW</v>
      </c>
      <c r="AH210" s="78" t="str">
        <f t="shared" si="118"/>
        <v>"%USERPROFILE%\Documents\GitHub\eaglep3\Utilities\RefineRTDCRunTimes.py" --tripid 846-17 --locoid 4023 --swversion DE.1.0.9.0 --startMP 300:58624 --initTime 2017-11-17T22:26:04 --startdatetime 2017-11-17T22:43:08 --delay 63 --endMP 204:724 --enddatetime 2017-11-17T22:54:33 --enforcementcount 1 &gt;&gt;%USERPROFILE%\Documents\GitHub\eaglep3-reporting\EC\2017-11-17-refined-times.txt</v>
      </c>
      <c r="AI210" s="96" t="str">
        <f t="shared" si="119"/>
        <v>echo {"issue":{"subject":"","project_id":79,"tracker_id":40,"status_id":1,"priority_id":2,"assigned_to_id":338,"start_date":"2017-11-17","description":"","custom_fields":[{"id":1,"name":"Subdivision","value":"NW"},{"id":4,"name":"Milepost","value":"0.0724"},{"id":17,"name":"Train ID","value":"846-17"},{"id":16,"name":"Locomotive ID","value":"4023"},{"id":130,"name":"Impact","value":""},{"id":150,"name":"Time of Event (Mountain Time)","value":"22:54:33"},{"id":151,"name":"Denver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0" s="47"/>
      <c r="AL210" s="47"/>
      <c r="AM210" s="142" t="str">
        <f t="shared" si="120"/>
        <v>start /low /b %USERPROFILE%\Documents\GitHub\eaglep3\Utilities\DownloadLogsFromS3.py --loco 4023 --day 2017-11-17</v>
      </c>
      <c r="AN210" s="151" t="str">
        <f t="shared" si="121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05:54:33"},{"id":29,"name":"Sharepoint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168" t="str">
        <f t="shared" si="122"/>
        <v>https://d0f6bd738d7f1b3e5a7ca70fe4ff75f0.us-east-1.aws.found.io/app/kibana#/discover/Steve-Slow-Train-Analysis-(2080s-and-2083s)?_g=(refreshInterval:(display:Off,pause:!f,section:0,value:0),time:(from:'2017-11-17T21:26:04-0700',mode:absolute,to:'2017-11-17T23:54:33-0700'))&amp;_a=(columns:!('Message%20ID',Summary),filters:!(),index:'emp_*',interval:auto,query:(query_string:(analyze_wildcard:!t,query:'%22rtdc.l.rtdc.4023%22')),sort:!(Time.ISO8601,asc))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0" customFormat="1" x14ac:dyDescent="0.3">
      <c r="A211" s="32" t="s">
        <v>875</v>
      </c>
      <c r="B211" s="7">
        <v>4024</v>
      </c>
      <c r="C211" s="21" t="s">
        <v>192</v>
      </c>
      <c r="D211" s="21" t="s">
        <v>629</v>
      </c>
      <c r="E211" s="13">
        <v>43056.916481481479</v>
      </c>
      <c r="F211" s="13">
        <v>43056.923657407409</v>
      </c>
      <c r="G211" s="7">
        <v>68</v>
      </c>
      <c r="H211" s="21" t="s">
        <v>1101</v>
      </c>
      <c r="I211" s="13">
        <v>43056.933645833335</v>
      </c>
      <c r="J211" s="7">
        <v>1</v>
      </c>
      <c r="K211" s="89" t="str">
        <f t="shared" si="108"/>
        <v>4023/4024</v>
      </c>
      <c r="L211" s="185" t="str">
        <f>VLOOKUP(A211,'Trips&amp;Operators'!$C$1:$G$99911,5,FALSE)</f>
        <v>ANDREA WILLIAMS</v>
      </c>
      <c r="M211" s="6">
        <f t="shared" si="109"/>
        <v>9.9884259252576157E-3</v>
      </c>
      <c r="N211" s="7">
        <f t="shared" si="89"/>
        <v>14.383333332370967</v>
      </c>
      <c r="O211" s="7"/>
      <c r="P211" s="7"/>
      <c r="Q211" s="22"/>
      <c r="R211" s="174"/>
      <c r="S211" s="221">
        <f t="shared" ref="S211:S244" si="138">1/IF(AG211="EC",12,1)*SUM(U211:U211)</f>
        <v>1</v>
      </c>
      <c r="T211" s="174" t="str">
        <f t="shared" si="110"/>
        <v>NorthBound</v>
      </c>
      <c r="U211" s="198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216" t="str">
        <f t="shared" si="111"/>
        <v>https://d0f6bd738d7f1b3e5a7ca70fe4ff75f0.us-east-1.aws.found.io/app/kibana#/discover/Steve-Slow-Train-Analysis-(2080s-and-2083s)?_g=(refreshInterval:(display:Off,pause:!f,section:0,value:0),time:(from:'2017-11-17T20:59:44-0700',mode:absolute,to:'2017-11-17T23:24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11" s="204" t="str">
        <f>IF(AA211&lt;VLOOKUP(AG211,Variables!$AC$3:$AD$8,2,FALSE),"Y","N")</f>
        <v>N</v>
      </c>
      <c r="X211" s="204">
        <f t="shared" si="112"/>
        <v>1</v>
      </c>
      <c r="Y211" s="204">
        <f t="shared" si="106"/>
        <v>0.106</v>
      </c>
      <c r="Z211" s="204">
        <f t="shared" si="107"/>
        <v>5.8939000000000004</v>
      </c>
      <c r="AA211" s="204">
        <f t="shared" si="113"/>
        <v>5.7879000000000005</v>
      </c>
      <c r="AB211" s="54" t="e">
        <f>VLOOKUP(A211,Enforcements!$C$7:$K$9,8,0)</f>
        <v>#N/A</v>
      </c>
      <c r="AC211" s="51" t="e">
        <f>VLOOKUP(A211,Enforcements!$C$7:$E$9,3,0)</f>
        <v>#N/A</v>
      </c>
      <c r="AD211" s="179">
        <f t="shared" si="114"/>
        <v>847</v>
      </c>
      <c r="AE211" s="77" t="str">
        <f t="shared" si="115"/>
        <v>aws s3 cp s3://rtdc.mdm.uploadarchive.raw/RTDC4024/ "%USERPROFILE%\AppData\Local\Temp\OnboardLogs"\RTDC4024\2017-11-17 --exclude "*" --recursive --include "*20171117*" &amp; "%USERPROFILE%\Documents\GitHub\mrs-test-scripts\Headless Mode &amp; Sideloading\WalkAndUnGZ.bat" "%USERPROFILE%\AppData\Local\Temp\OnboardLogs"\RTDC4024\2017-11-17 &amp; aws s3 cp s3://rtdc.mdm.uploadarchive.raw/RTDC4024/ "%USERPROFILE%\AppData\Local\Temp\OnboardLogs"\RTDC4024\2017-11-18 --exclude "*" --recursive --include "*20171118*" &amp; "%USERPROFILE%\Documents\GitHub\mrs-test-scripts\Headless Mode &amp; Sideloading\WalkAndUnGZ.bat" "%USERPROFILE%\AppData\Local\Temp\OnboardLogs"\RTDC4024\2017-11-18</v>
      </c>
      <c r="AF211" s="74" t="str">
        <f t="shared" si="116"/>
        <v>"C:\Program Files (x86)\AstroGrep\AstroGrep.exe" /e /r /s /spath="%USERPROFILE%\AppData\Local\Temp\OnboardLogs" /stypes="app*4024*20171118*" /stext=" 05:.+((SYSTEM_STATE.+slice.+state.+changed )|(ment ac)|(multiple cpu faults)|(system.+state.+changed )|(\[timeout)|(PRM\|1\|D)|(kpr)|(kdp)|(train st.+moving)|(\|lc)|(penalty))"</v>
      </c>
      <c r="AG211" s="182" t="str">
        <f t="shared" si="117"/>
        <v>NW</v>
      </c>
      <c r="AH211" s="78" t="str">
        <f t="shared" si="118"/>
        <v>"%USERPROFILE%\Documents\GitHub\eaglep3\Utilities\RefineRTDCRunTimes.py" --tripid 847-17 --locoid 4024 --swversion DE.1.0.9.0 --startMP 204:1060 --initTime 2017-11-17T21:59:44 --startdatetime 2017-11-17T22:10:04 --delay 68 --endMP 300:58939 --enddatetime 2017-11-17T22:24:27 --enforcementcount 1 &gt;&gt;%USERPROFILE%\Documents\GitHub\eaglep3-reporting\EC\2017-11-17-refined-times.txt</v>
      </c>
      <c r="AI211" s="96" t="str">
        <f t="shared" si="119"/>
        <v>echo {"issue":{"subject":"","project_id":79,"tracker_id":40,"status_id":1,"priority_id":2,"assigned_to_id":338,"start_date":"2017-11-17","description":"","custom_fields":[{"id":1,"name":"Subdivision","value":"NW"},{"id":4,"name":"Milepost","value":"5.8939"},{"id":17,"name":"Train ID","value":"847-17"},{"id":16,"name":"Locomotive ID","value":"4024"},{"id":130,"name":"Impact","value":""},{"id":150,"name":"Time of Event (Mountain Time)","value":"22:24:27"},{"id":151,"name":"Denver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1" s="47"/>
      <c r="AL211" s="47"/>
      <c r="AM211" s="142" t="str">
        <f t="shared" si="120"/>
        <v>start /low /b %USERPROFILE%\Documents\GitHub\eaglep3\Utilities\DownloadLogsFromS3.py --loco 4024 --day 2017-11-17</v>
      </c>
      <c r="AN211" s="151" t="str">
        <f t="shared" si="121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05:24:27"},{"id":29,"name":"Sharepoint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168" t="str">
        <f t="shared" si="122"/>
        <v>https://d0f6bd738d7f1b3e5a7ca70fe4ff75f0.us-east-1.aws.found.io/app/kibana#/discover/Steve-Slow-Train-Analysis-(2080s-and-2083s)?_g=(refreshInterval:(display:Off,pause:!f,section:0,value:0),time:(from:'2017-11-17T20:59:44-0700',mode:absolute,to:'2017-11-17T23:24:27-0700'))&amp;_a=(columns:!('Message%20ID',Summary),filters:!(),index:'emp_*',interval:auto,query:(query_string:(analyze_wildcard:!t,query:'%22rtdc.l.rtdc.4024%22')),sort:!(Time.ISO8601,asc))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0" customFormat="1" x14ac:dyDescent="0.3">
      <c r="A212" s="32" t="s">
        <v>881</v>
      </c>
      <c r="B212" s="7">
        <v>4024</v>
      </c>
      <c r="C212" s="21" t="s">
        <v>192</v>
      </c>
      <c r="D212" s="21" t="s">
        <v>617</v>
      </c>
      <c r="E212" s="13">
        <v>43056.956458333334</v>
      </c>
      <c r="F212" s="13">
        <v>43056.965069444443</v>
      </c>
      <c r="G212" s="7">
        <v>60</v>
      </c>
      <c r="H212" s="21" t="s">
        <v>1102</v>
      </c>
      <c r="I212" s="13">
        <v>43056.974618055552</v>
      </c>
      <c r="J212" s="7">
        <v>1</v>
      </c>
      <c r="K212" s="89" t="str">
        <f t="shared" si="108"/>
        <v>4023/4024</v>
      </c>
      <c r="L212" s="185" t="str">
        <f>VLOOKUP(A212,'Trips&amp;Operators'!$C$1:$G$99911,5,FALSE)</f>
        <v>ANDREA WILLIAMS</v>
      </c>
      <c r="M212" s="6">
        <f t="shared" si="109"/>
        <v>9.5486111094942316E-3</v>
      </c>
      <c r="N212" s="7">
        <f t="shared" si="89"/>
        <v>13.749999997671694</v>
      </c>
      <c r="O212" s="7"/>
      <c r="P212" s="7"/>
      <c r="Q212" s="22"/>
      <c r="R212" s="174"/>
      <c r="S212" s="221">
        <f t="shared" si="138"/>
        <v>1</v>
      </c>
      <c r="T212" s="174" t="str">
        <f t="shared" si="110"/>
        <v>NorthBound</v>
      </c>
      <c r="U212" s="198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216" t="str">
        <f t="shared" si="111"/>
        <v>https://d0f6bd738d7f1b3e5a7ca70fe4ff75f0.us-east-1.aws.found.io/app/kibana#/discover/Steve-Slow-Train-Analysis-(2080s-and-2083s)?_g=(refreshInterval:(display:Off,pause:!f,section:0,value:0),time:(from:'2017-11-17T21:57:18-0700',mode:absolute,to:'2017-11-18T00:23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12" s="204" t="str">
        <f>IF(AA212&lt;VLOOKUP(AG212,Variables!$AC$3:$AD$8,2,FALSE),"Y","N")</f>
        <v>N</v>
      </c>
      <c r="X212" s="204">
        <f t="shared" si="112"/>
        <v>2</v>
      </c>
      <c r="Y212" s="204">
        <f t="shared" si="106"/>
        <v>0.10249999999999999</v>
      </c>
      <c r="Z212" s="204">
        <f t="shared" si="107"/>
        <v>5.8948</v>
      </c>
      <c r="AA212" s="204">
        <f t="shared" si="113"/>
        <v>5.7923</v>
      </c>
      <c r="AB212" s="54" t="e">
        <f>VLOOKUP(A212,Enforcements!$C$7:$K$9,8,0)</f>
        <v>#N/A</v>
      </c>
      <c r="AC212" s="51" t="e">
        <f>VLOOKUP(A212,Enforcements!$C$7:$E$9,3,0)</f>
        <v>#N/A</v>
      </c>
      <c r="AD212" s="179">
        <f t="shared" si="114"/>
        <v>849</v>
      </c>
      <c r="AE212" s="77" t="str">
        <f t="shared" si="115"/>
        <v>aws s3 cp s3://rtdc.mdm.uploadarchive.raw/RTDC4024/ "%USERPROFILE%\AppData\Local\Temp\OnboardLogs"\RTDC4024\2017-11-17 --exclude "*" --recursive --include "*20171117*" &amp; "%USERPROFILE%\Documents\GitHub\mrs-test-scripts\Headless Mode &amp; Sideloading\WalkAndUnGZ.bat" "%USERPROFILE%\AppData\Local\Temp\OnboardLogs"\RTDC4024\2017-11-17 &amp; aws s3 cp s3://rtdc.mdm.uploadarchive.raw/RTDC4024/ "%USERPROFILE%\AppData\Local\Temp\OnboardLogs"\RTDC4024\2017-11-18 --exclude "*" --recursive --include "*20171118*" &amp; "%USERPROFILE%\Documents\GitHub\mrs-test-scripts\Headless Mode &amp; Sideloading\WalkAndUnGZ.bat" "%USERPROFILE%\AppData\Local\Temp\OnboardLogs"\RTDC4024\2017-11-18</v>
      </c>
      <c r="AF212" s="74" t="str">
        <f t="shared" si="116"/>
        <v>"C:\Program Files (x86)\AstroGrep\AstroGrep.exe" /e /r /s /spath="%USERPROFILE%\AppData\Local\Temp\OnboardLogs" /stypes="app*4024*20171118*" /stext=" 06:.+((SYSTEM_STATE.+slice.+state.+changed )|(ment ac)|(multiple cpu faults)|(system.+state.+changed )|(\[timeout)|(PRM\|1\|D)|(kpr)|(kdp)|(train st.+moving)|(\|lc)|(penalty))"</v>
      </c>
      <c r="AG212" s="182" t="str">
        <f t="shared" si="117"/>
        <v>NW</v>
      </c>
      <c r="AH212" s="78" t="str">
        <f t="shared" si="118"/>
        <v>"%USERPROFILE%\Documents\GitHub\eaglep3\Utilities\RefineRTDCRunTimes.py" --tripid 849-17 --locoid 4024 --swversion DE.1.0.9.0 --startMP 204:1025 --initTime 2017-11-17T22:57:18 --startdatetime 2017-11-17T23:09:42 --delay 60 --endMP 300:58948 --enddatetime 2017-11-17T23:23:27 --enforcementcount 1 &gt;&gt;%USERPROFILE%\Documents\GitHub\eaglep3-reporting\EC\2017-11-17-refined-times.txt</v>
      </c>
      <c r="AI212" s="96" t="str">
        <f t="shared" si="119"/>
        <v>echo {"issue":{"subject":"","project_id":79,"tracker_id":40,"status_id":1,"priority_id":2,"assigned_to_id":338,"start_date":"2017-11-17","description":"","custom_fields":[{"id":1,"name":"Subdivision","value":"NW"},{"id":4,"name":"Milepost","value":"5.8948"},{"id":17,"name":"Train ID","value":"849-17"},{"id":16,"name":"Locomotive ID","value":"4024"},{"id":130,"name":"Impact","value":""},{"id":150,"name":"Time of Event (Mountain Time)","value":"23:23:27"},{"id":151,"name":"Denver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2" s="47"/>
      <c r="AL212" s="47"/>
      <c r="AM212" s="142" t="str">
        <f t="shared" si="120"/>
        <v>start /low /b %USERPROFILE%\Documents\GitHub\eaglep3\Utilities\DownloadLogsFromS3.py --loco 4024 --day 2017-11-17</v>
      </c>
      <c r="AN212" s="151" t="str">
        <f t="shared" si="121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06:23:27"},{"id":29,"name":"Sharepoint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168" t="str">
        <f t="shared" si="122"/>
        <v>https://d0f6bd738d7f1b3e5a7ca70fe4ff75f0.us-east-1.aws.found.io/app/kibana#/discover/Steve-Slow-Train-Analysis-(2080s-and-2083s)?_g=(refreshInterval:(display:Off,pause:!f,section:0,value:0),time:(from:'2017-11-17T21:57:18-0700',mode:absolute,to:'2017-11-18T00:23:27-0700'))&amp;_a=(columns:!('Message%20ID',Summary),filters:!(),index:'emp_*',interval:auto,query:(query_string:(analyze_wildcard:!t,query:'%22rtdc.l.rtdc.4024%22')),sort:!(Time.ISO8601,asc))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0" customFormat="1" x14ac:dyDescent="0.3">
      <c r="A213" s="32" t="s">
        <v>848</v>
      </c>
      <c r="B213" s="7">
        <v>4040</v>
      </c>
      <c r="C213" s="21" t="s">
        <v>192</v>
      </c>
      <c r="D213" s="21" t="s">
        <v>1002</v>
      </c>
      <c r="E213" s="13">
        <v>43056.778368055559</v>
      </c>
      <c r="F213" s="13">
        <v>43056.779930555553</v>
      </c>
      <c r="G213" s="7">
        <v>59</v>
      </c>
      <c r="H213" s="21" t="s">
        <v>603</v>
      </c>
      <c r="I213" s="13">
        <v>43056.787314814814</v>
      </c>
      <c r="J213" s="7">
        <v>1</v>
      </c>
      <c r="K213" s="89" t="str">
        <f t="shared" si="108"/>
        <v>4039/4040</v>
      </c>
      <c r="L213" s="185" t="str">
        <f>VLOOKUP(A213,'Trips&amp;Operators'!$C$1:$G$99911,5,FALSE)</f>
        <v>LEVERE CRAIG</v>
      </c>
      <c r="M213" s="6">
        <f t="shared" si="109"/>
        <v>7.3842592610162683E-3</v>
      </c>
      <c r="N213" s="7">
        <f t="shared" si="89"/>
        <v>10.633333335863426</v>
      </c>
      <c r="O213" s="7"/>
      <c r="P213" s="7"/>
      <c r="Q213" s="22"/>
      <c r="R213" s="174"/>
      <c r="S213" s="221">
        <f t="shared" si="138"/>
        <v>1</v>
      </c>
      <c r="T213" s="174" t="str">
        <f t="shared" si="110"/>
        <v>NorthBound</v>
      </c>
      <c r="U213" s="198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216" t="str">
        <f t="shared" si="111"/>
        <v>https://d0f6bd738d7f1b3e5a7ca70fe4ff75f0.us-east-1.aws.found.io/app/kibana#/discover/Steve-Slow-Train-Analysis-(2080s-and-2083s)?_g=(refreshInterval:(display:Off,pause:!f,section:0,value:0),time:(from:'2017-11-17T17:40:51-0700',mode:absolute,to:'2017-11-17T19:53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13" s="204" t="str">
        <f>IF(AA213&lt;VLOOKUP(AG213,Variables!$AC$3:$AD$8,2,FALSE),"Y","N")</f>
        <v>Y</v>
      </c>
      <c r="X213" s="204">
        <f t="shared" si="112"/>
        <v>-548</v>
      </c>
      <c r="Y213" s="204">
        <f t="shared" si="106"/>
        <v>5.3499999999999999E-2</v>
      </c>
      <c r="Z213" s="204">
        <f t="shared" si="107"/>
        <v>2.3346</v>
      </c>
      <c r="AA213" s="204">
        <f t="shared" si="113"/>
        <v>2.2810999999999999</v>
      </c>
      <c r="AB213" s="54" t="e">
        <f>VLOOKUP(A213,Enforcements!$C$7:$K$9,8,0)</f>
        <v>#N/A</v>
      </c>
      <c r="AC213" s="51" t="e">
        <f>VLOOKUP(A213,Enforcements!$C$7:$E$9,3,0)</f>
        <v>#N/A</v>
      </c>
      <c r="AD213" s="179">
        <f t="shared" si="114"/>
        <v>301</v>
      </c>
      <c r="AE213" s="77" t="str">
        <f t="shared" si="115"/>
        <v>aws s3 cp s3://rtdc.mdm.uploadarchive.raw/RTDC4040/ "%USERPROFILE%\AppData\Local\Temp\OnboardLogs"\RTDC4040\2017-11-17 --exclude "*" --recursive --include "*20171117*" &amp; "%USERPROFILE%\Documents\GitHub\mrs-test-scripts\Headless Mode &amp; Sideloading\WalkAndUnGZ.bat" "%USERPROFILE%\AppData\Local\Temp\OnboardLogs"\RTDC4040\2017-11-17 &amp; aws s3 cp s3://rtdc.mdm.uploadarchive.raw/RTDC4040/ "%USERPROFILE%\AppData\Local\Temp\OnboardLogs"\RTDC4040\2017-11-18 --exclude "*" --recursive --include "*20171118*" &amp; "%USERPROFILE%\Documents\GitHub\mrs-test-scripts\Headless Mode &amp; Sideloading\WalkAndUnGZ.bat" "%USERPROFILE%\AppData\Local\Temp\OnboardLogs"\RTDC4040\2017-11-18</v>
      </c>
      <c r="AF213" s="74" t="str">
        <f t="shared" si="116"/>
        <v>"C:\Program Files (x86)\AstroGrep\AstroGrep.exe" /e /r /s /spath="%USERPROFILE%\AppData\Local\Temp\OnboardLogs" /stypes="app*4040*20171118*" /stext=" 01:.+((SYSTEM_STATE.+slice.+state.+changed )|(ment ac)|(multiple cpu faults)|(system.+state.+changed )|(\[timeout)|(PRM\|1\|D)|(kpr)|(kdp)|(train st.+moving)|(\|lc)|(penalty))"</v>
      </c>
      <c r="AG213" s="182" t="str">
        <f t="shared" si="117"/>
        <v>Other</v>
      </c>
      <c r="AH213" s="78" t="str">
        <f t="shared" si="118"/>
        <v>"%USERPROFILE%\Documents\GitHub\eaglep3\Utilities\RefineRTDCRunTimes.py" --tripid 301-17 --locoid 4040 --swversion DE.1.0.9.0 --startMP 204:535 --initTime 2017-11-17T18:40:51 --startdatetime 2017-11-17T18:43:06 --delay 59 --endMP 300:23346 --enddatetime 2017-11-17T18:53:44 --enforcementcount 1 &gt;&gt;%USERPROFILE%\Documents\GitHub\eaglep3-reporting\EC\2017-11-17-refined-times.txt</v>
      </c>
      <c r="AI213" s="96" t="str">
        <f t="shared" si="119"/>
        <v>echo {"issue":{"subject":"","project_id":79,"tracker_id":40,"status_id":1,"priority_id":2,"assigned_to_id":338,"start_date":"2017-11-17","description":"","custom_fields":[{"id":1,"name":"Subdivision","value":"Other"},{"id":4,"name":"Milepost","value":"2.3346"},{"id":17,"name":"Train ID","value":"301-17"},{"id":16,"name":"Locomotive ID","value":"4040"},{"id":130,"name":"Impact","value":""},{"id":150,"name":"Time of Event (Mountain Time)","value":"18:53:44"},{"id":151,"name":"Denver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3" s="47"/>
      <c r="AL213" s="47"/>
      <c r="AM213" s="142" t="str">
        <f t="shared" si="120"/>
        <v>start /low /b %USERPROFILE%\Documents\GitHub\eaglep3\Utilities\DownloadLogsFromS3.py --loco 4040 --day 2017-11-17</v>
      </c>
      <c r="AN213" s="151" t="str">
        <f t="shared" si="121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01:53:44"},{"id":29,"name":"Sharepoint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168" t="str">
        <f t="shared" si="122"/>
        <v>https://d0f6bd738d7f1b3e5a7ca70fe4ff75f0.us-east-1.aws.found.io/app/kibana#/discover/Steve-Slow-Train-Analysis-(2080s-and-2083s)?_g=(refreshInterval:(display:Off,pause:!f,section:0,value:0),time:(from:'2017-11-17T17:40:51-0700',mode:absolute,to:'2017-11-17T19:53:44-0700'))&amp;_a=(columns:!('Message%20ID',Summary),filters:!(),index:'emp_*',interval:auto,query:(query_string:(analyze_wildcard:!t,query:'%22rtdc.l.rtdc.4040%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0" customFormat="1" x14ac:dyDescent="0.3">
      <c r="A214" s="32" t="s">
        <v>660</v>
      </c>
      <c r="B214" s="7">
        <v>4019</v>
      </c>
      <c r="C214" s="21" t="s">
        <v>192</v>
      </c>
      <c r="D214" s="21" t="s">
        <v>1017</v>
      </c>
      <c r="E214" s="13">
        <v>43056.138877314814</v>
      </c>
      <c r="F214" s="13">
        <v>43056.144525462965</v>
      </c>
      <c r="G214" s="7">
        <v>88</v>
      </c>
      <c r="H214" s="21" t="s">
        <v>1018</v>
      </c>
      <c r="I214" s="13">
        <v>43056.149247685185</v>
      </c>
      <c r="J214" s="7">
        <v>1</v>
      </c>
      <c r="K214" s="89" t="str">
        <f t="shared" si="108"/>
        <v>4019/4020</v>
      </c>
      <c r="L214" s="185" t="str">
        <f>VLOOKUP(A214,'Trips&amp;Operators'!$C$1:$G$99911,5,FALSE)</f>
        <v>MAELZER KURT</v>
      </c>
      <c r="M214" s="6">
        <f t="shared" si="109"/>
        <v>4.7222222201526165E-3</v>
      </c>
      <c r="N214" s="7">
        <f t="shared" si="89"/>
        <v>6.7999999970197678</v>
      </c>
      <c r="O214" s="7"/>
      <c r="P214" s="7"/>
      <c r="Q214" s="22"/>
      <c r="R214" s="174"/>
      <c r="S214" s="221">
        <f t="shared" si="138"/>
        <v>1</v>
      </c>
      <c r="T214" s="174" t="str">
        <f t="shared" si="110"/>
        <v>Southbound</v>
      </c>
      <c r="U214" s="198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216" t="str">
        <f t="shared" si="111"/>
        <v>https://d0f6bd738d7f1b3e5a7ca70fe4ff75f0.us-east-1.aws.found.io/app/kibana#/discover/Steve-Slow-Train-Analysis-(2080s-and-2083s)?_g=(refreshInterval:(display:Off,pause:!f,section:0,value:0),time:(from:'2017-11-17T02:19:59-0700',mode:absolute,to:'2017-11-17T04:34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14" s="204" t="str">
        <f>IF(AA214&lt;VLOOKUP(AG214,Variables!$AC$3:$AD$8,2,FALSE),"Y","N")</f>
        <v>Y</v>
      </c>
      <c r="X214" s="204">
        <f t="shared" si="112"/>
        <v>1</v>
      </c>
      <c r="Y214" s="204">
        <f t="shared" si="106"/>
        <v>1.9410000000000001</v>
      </c>
      <c r="Z214" s="204">
        <f t="shared" si="107"/>
        <v>1.8499999999999999E-2</v>
      </c>
      <c r="AA214" s="204">
        <f t="shared" si="113"/>
        <v>1.9225000000000001</v>
      </c>
      <c r="AB214" s="54" t="e">
        <f>VLOOKUP(A214,Enforcements!$C$7:$K$9,8,0)</f>
        <v>#N/A</v>
      </c>
      <c r="AC214" s="51" t="e">
        <f>VLOOKUP(A214,Enforcements!$C$7:$E$9,3,0)</f>
        <v>#N/A</v>
      </c>
      <c r="AD214" s="179">
        <f t="shared" si="114"/>
        <v>302</v>
      </c>
      <c r="AE214" s="77" t="str">
        <f t="shared" si="115"/>
        <v>aws s3 cp s3://rtdc.mdm.uploadarchive.raw/RTDC4019/ "%USERPROFILE%\AppData\Local\Temp\OnboardLogs"\RTDC4019\2017-11-17 --exclude "*" --recursive --include "*20171117*" &amp; "%USERPROFILE%\Documents\GitHub\mrs-test-scripts\Headless Mode &amp; Sideloading\WalkAndUnGZ.bat" "%USERPROFILE%\AppData\Local\Temp\OnboardLogs"\RTDC4019\2017-11-17 &amp; aws s3 cp s3://rtdc.mdm.uploadarchive.raw/RTDC4019/ "%USERPROFILE%\AppData\Local\Temp\OnboardLogs"\RTDC4019\2017-11-18 --exclude "*" --recursive --include "*20171118*" &amp; "%USERPROFILE%\Documents\GitHub\mrs-test-scripts\Headless Mode &amp; Sideloading\WalkAndUnGZ.bat" "%USERPROFILE%\AppData\Local\Temp\OnboardLogs"\RTDC4019\2017-11-18</v>
      </c>
      <c r="AF214" s="74" t="str">
        <f t="shared" si="116"/>
        <v>"C:\Program Files (x86)\AstroGrep\AstroGrep.exe" /e /r /s /spath="%USERPROFILE%\AppData\Local\Temp\OnboardLogs" /stypes="app*4019*20171117*" /stext=" 10:.+((SYSTEM_STATE.+slice.+state.+changed )|(ment ac)|(multiple cpu faults)|(system.+state.+changed )|(\[timeout)|(PRM\|1\|D)|(kpr)|(kdp)|(train st.+moving)|(\|lc)|(penalty))"</v>
      </c>
      <c r="AG214" s="182" t="str">
        <f t="shared" si="117"/>
        <v>Other</v>
      </c>
      <c r="AH214" s="78" t="str">
        <f t="shared" si="118"/>
        <v>"%USERPROFILE%\Documents\GitHub\eaglep3\Utilities\RefineRTDCRunTimes.py" --tripid 302-17 --locoid 4019 --swversion DE.1.0.9.0 --startMP 300:19410 --initTime 2017-11-17T03:19:59 --startdatetime 2017-11-17T03:28:07 --delay 88 --endMP 204:185 --enddatetime 2017-11-17T03:34:55 --enforcementcount 1 &gt;&gt;%USERPROFILE%\Documents\GitHub\eaglep3-reporting\EC\2017-11-17-refined-times.txt</v>
      </c>
      <c r="AI214" s="96" t="str">
        <f t="shared" si="119"/>
        <v>echo {"issue":{"subject":"","project_id":79,"tracker_id":40,"status_id":1,"priority_id":2,"assigned_to_id":338,"start_date":"2017-11-17","description":"","custom_fields":[{"id":1,"name":"Subdivision","value":"Other"},{"id":4,"name":"Milepost","value":"0.0185"},{"id":17,"name":"Train ID","value":"302-17"},{"id":16,"name":"Locomotive ID","value":"4019"},{"id":130,"name":"Impact","value":""},{"id":150,"name":"Time of Event (Mountain Time)","value":"03:34:55"},{"id":151,"name":"Denver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4" s="47"/>
      <c r="AL214" s="47"/>
      <c r="AM214" s="142" t="str">
        <f t="shared" si="120"/>
        <v>start /low /b %USERPROFILE%\Documents\GitHub\eaglep3\Utilities\DownloadLogsFromS3.py --loco 4019 --day 2017-11-17</v>
      </c>
      <c r="AN214" s="151" t="str">
        <f t="shared" si="121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10:34:55"},{"id":29,"name":"Sharepoint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168" t="str">
        <f t="shared" si="122"/>
        <v>https://d0f6bd738d7f1b3e5a7ca70fe4ff75f0.us-east-1.aws.found.io/app/kibana#/discover/Steve-Slow-Train-Analysis-(2080s-and-2083s)?_g=(refreshInterval:(display:Off,pause:!f,section:0,value:0),time:(from:'2017-11-17T02:19:59-0700',mode:absolute,to:'2017-11-17T04:34:55-0700'))&amp;_a=(columns:!('Message%20ID',Summary),filters:!(),index:'emp_*',interval:auto,query:(query_string:(analyze_wildcard:!t,query:'%22rtdc.l.rtdc.4019%22')),sort:!(Time.ISO8601,asc))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0" customFormat="1" x14ac:dyDescent="0.3">
      <c r="A215" s="32" t="s">
        <v>855</v>
      </c>
      <c r="B215" s="7">
        <v>4028</v>
      </c>
      <c r="C215" s="21" t="s">
        <v>192</v>
      </c>
      <c r="D215" s="21" t="s">
        <v>1019</v>
      </c>
      <c r="E215" s="13">
        <v>43056.796689814815</v>
      </c>
      <c r="F215" s="13">
        <v>43056.797835648147</v>
      </c>
      <c r="G215" s="7">
        <v>46</v>
      </c>
      <c r="H215" s="21" t="s">
        <v>603</v>
      </c>
      <c r="I215" s="13">
        <v>43056.803518518522</v>
      </c>
      <c r="J215" s="7">
        <v>1</v>
      </c>
      <c r="K215" s="89" t="str">
        <f t="shared" si="108"/>
        <v>4027/4028</v>
      </c>
      <c r="L215" s="185" t="str">
        <f>VLOOKUP(A215,'Trips&amp;Operators'!$C$1:$G$99911,5,FALSE)</f>
        <v>LEVIN SCOTT</v>
      </c>
      <c r="M215" s="6">
        <f t="shared" si="109"/>
        <v>5.6828703745850362E-3</v>
      </c>
      <c r="N215" s="7">
        <f t="shared" si="89"/>
        <v>8.1833333394024521</v>
      </c>
      <c r="O215" s="7"/>
      <c r="P215" s="7"/>
      <c r="Q215" s="22"/>
      <c r="R215" s="174"/>
      <c r="S215" s="221">
        <f t="shared" si="138"/>
        <v>1</v>
      </c>
      <c r="T215" s="174" t="str">
        <f t="shared" si="110"/>
        <v>NorthBound</v>
      </c>
      <c r="U215" s="198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216" t="str">
        <f t="shared" si="111"/>
        <v>https://d0f6bd738d7f1b3e5a7ca70fe4ff75f0.us-east-1.aws.found.io/app/kibana#/discover/Steve-Slow-Train-Analysis-(2080s-and-2083s)?_g=(refreshInterval:(display:Off,pause:!f,section:0,value:0),time:(from:'2017-11-17T18:07:14-0700',mode:absolute,to:'2017-11-17T20:17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15" s="204" t="str">
        <f>IF(AA215&lt;VLOOKUP(AG215,Variables!$AC$3:$AD$8,2,FALSE),"Y","N")</f>
        <v>Y</v>
      </c>
      <c r="X215" s="204">
        <f t="shared" si="112"/>
        <v>1</v>
      </c>
      <c r="Y215" s="204">
        <f t="shared" si="106"/>
        <v>4.48E-2</v>
      </c>
      <c r="Z215" s="204">
        <f t="shared" si="107"/>
        <v>2.3346</v>
      </c>
      <c r="AA215" s="204">
        <f t="shared" si="113"/>
        <v>2.2898000000000001</v>
      </c>
      <c r="AB215" s="54" t="e">
        <f>VLOOKUP(A215,Enforcements!$C$7:$K$9,8,0)</f>
        <v>#N/A</v>
      </c>
      <c r="AC215" s="51" t="e">
        <f>VLOOKUP(A215,Enforcements!$C$7:$E$9,3,0)</f>
        <v>#N/A</v>
      </c>
      <c r="AD215" s="179">
        <f t="shared" si="114"/>
        <v>303</v>
      </c>
      <c r="AE215" s="77" t="str">
        <f t="shared" si="115"/>
        <v>aws s3 cp s3://rtdc.mdm.uploadarchive.raw/RTDC4028/ "%USERPROFILE%\AppData\Local\Temp\OnboardLogs"\RTDC4028\2017-11-17 --exclude "*" --recursive --include "*20171117*" &amp; "%USERPROFILE%\Documents\GitHub\mrs-test-scripts\Headless Mode &amp; Sideloading\WalkAndUnGZ.bat" "%USERPROFILE%\AppData\Local\Temp\OnboardLogs"\RTDC4028\2017-11-17 &amp; aws s3 cp s3://rtdc.mdm.uploadarchive.raw/RTDC4028/ "%USERPROFILE%\AppData\Local\Temp\OnboardLogs"\RTDC4028\2017-11-18 --exclude "*" --recursive --include "*20171118*" &amp; "%USERPROFILE%\Documents\GitHub\mrs-test-scripts\Headless Mode &amp; Sideloading\WalkAndUnGZ.bat" "%USERPROFILE%\AppData\Local\Temp\OnboardLogs"\RTDC4028\2017-11-18</v>
      </c>
      <c r="AF215" s="74" t="str">
        <f t="shared" si="116"/>
        <v>"C:\Program Files (x86)\AstroGrep\AstroGrep.exe" /e /r /s /spath="%USERPROFILE%\AppData\Local\Temp\OnboardLogs" /stypes="app*4028*20171118*" /stext=" 02:.+((SYSTEM_STATE.+slice.+state.+changed )|(ment ac)|(multiple cpu faults)|(system.+state.+changed )|(\[timeout)|(PRM\|1\|D)|(kpr)|(kdp)|(train st.+moving)|(\|lc)|(penalty))"</v>
      </c>
      <c r="AG215" s="182" t="str">
        <f t="shared" si="117"/>
        <v>Other</v>
      </c>
      <c r="AH215" s="78" t="str">
        <f t="shared" si="118"/>
        <v>"%USERPROFILE%\Documents\GitHub\eaglep3\Utilities\RefineRTDCRunTimes.py" --tripid 303-17 --locoid 4028 --swversion DE.1.0.9.0 --startMP 204:448 --initTime 2017-11-17T19:07:14 --startdatetime 2017-11-17T19:08:53 --delay 46 --endMP 300:23346 --enddatetime 2017-11-17T19:17:04 --enforcementcount 1 &gt;&gt;%USERPROFILE%\Documents\GitHub\eaglep3-reporting\EC\2017-11-17-refined-times.txt</v>
      </c>
      <c r="AI215" s="96" t="str">
        <f t="shared" si="119"/>
        <v>echo {"issue":{"subject":"","project_id":79,"tracker_id":40,"status_id":1,"priority_id":2,"assigned_to_id":338,"start_date":"2017-11-17","description":"","custom_fields":[{"id":1,"name":"Subdivision","value":"Other"},{"id":4,"name":"Milepost","value":"2.3346"},{"id":17,"name":"Train ID","value":"303-17"},{"id":16,"name":"Locomotive ID","value":"4028"},{"id":130,"name":"Impact","value":""},{"id":150,"name":"Time of Event (Mountain Time)","value":"19:17:04"},{"id":151,"name":"Denver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5" s="47"/>
      <c r="AL215" s="47"/>
      <c r="AM215" s="142" t="str">
        <f t="shared" si="120"/>
        <v>start /low /b %USERPROFILE%\Documents\GitHub\eaglep3\Utilities\DownloadLogsFromS3.py --loco 4028 --day 2017-11-17</v>
      </c>
      <c r="AN215" s="151" t="str">
        <f t="shared" si="121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02:17:04"},{"id":29,"name":"Sharepoint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168" t="str">
        <f t="shared" si="122"/>
        <v>https://d0f6bd738d7f1b3e5a7ca70fe4ff75f0.us-east-1.aws.found.io/app/kibana#/discover/Steve-Slow-Train-Analysis-(2080s-and-2083s)?_g=(refreshInterval:(display:Off,pause:!f,section:0,value:0),time:(from:'2017-11-17T18:07:14-0700',mode:absolute,to:'2017-11-17T20:17:04-0700'))&amp;_a=(columns:!('Message%20ID',Summary),filters:!(),index:'emp_*',interval:auto,query:(query_string:(analyze_wildcard:!t,query:'%22rtdc.l.rtdc.4028%22')),sort:!(Time.ISO8601,asc))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0" customFormat="1" x14ac:dyDescent="0.3">
      <c r="A216" s="32" t="s">
        <v>662</v>
      </c>
      <c r="B216" s="7">
        <v>4035</v>
      </c>
      <c r="C216" s="21" t="s">
        <v>192</v>
      </c>
      <c r="D216" s="21" t="s">
        <v>1020</v>
      </c>
      <c r="E216" s="13">
        <v>43056.162777777776</v>
      </c>
      <c r="F216" s="13">
        <v>43056.165960648148</v>
      </c>
      <c r="G216" s="7">
        <v>51</v>
      </c>
      <c r="H216" s="21" t="s">
        <v>522</v>
      </c>
      <c r="I216" s="13">
        <v>43056.171458333331</v>
      </c>
      <c r="J216" s="7">
        <v>1</v>
      </c>
      <c r="K216" s="89" t="str">
        <f t="shared" si="108"/>
        <v>4035/4036</v>
      </c>
      <c r="L216" s="185" t="str">
        <f>VLOOKUP(A216,'Trips&amp;Operators'!$C$1:$G$99911,5,FALSE)</f>
        <v>AUSTIN THOMPSON</v>
      </c>
      <c r="M216" s="6">
        <f t="shared" si="109"/>
        <v>5.4976851824903861E-3</v>
      </c>
      <c r="N216" s="7">
        <f t="shared" si="89"/>
        <v>7.9166666627861559</v>
      </c>
      <c r="O216" s="7"/>
      <c r="P216" s="7"/>
      <c r="Q216" s="22"/>
      <c r="R216" s="174"/>
      <c r="S216" s="221">
        <f t="shared" si="138"/>
        <v>1</v>
      </c>
      <c r="T216" s="174" t="str">
        <f t="shared" si="110"/>
        <v>Southbound</v>
      </c>
      <c r="U216" s="198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216" t="str">
        <f t="shared" si="111"/>
        <v>https://d0f6bd738d7f1b3e5a7ca70fe4ff75f0.us-east-1.aws.found.io/app/kibana#/discover/Steve-Slow-Train-Analysis-(2080s-and-2083s)?_g=(refreshInterval:(display:Off,pause:!f,section:0,value:0),time:(from:'2017-11-17T02:54:24-0700',mode:absolute,to:'2017-11-17T05:06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16" s="204" t="str">
        <f>IF(AA216&lt;VLOOKUP(AG216,Variables!$AC$3:$AD$8,2,FALSE),"Y","N")</f>
        <v>Y</v>
      </c>
      <c r="X216" s="204">
        <f t="shared" si="112"/>
        <v>1</v>
      </c>
      <c r="Y216" s="204">
        <f t="shared" si="106"/>
        <v>2.3498999999999999</v>
      </c>
      <c r="Z216" s="204">
        <f t="shared" si="107"/>
        <v>0.02</v>
      </c>
      <c r="AA216" s="204">
        <f t="shared" si="113"/>
        <v>2.3298999999999999</v>
      </c>
      <c r="AB216" s="54" t="e">
        <f>VLOOKUP(A216,Enforcements!$C$7:$K$9,8,0)</f>
        <v>#N/A</v>
      </c>
      <c r="AC216" s="51" t="e">
        <f>VLOOKUP(A216,Enforcements!$C$7:$E$9,3,0)</f>
        <v>#N/A</v>
      </c>
      <c r="AD216" s="179">
        <f t="shared" si="114"/>
        <v>304</v>
      </c>
      <c r="AE216" s="77" t="str">
        <f t="shared" si="115"/>
        <v>aws s3 cp s3://rtdc.mdm.uploadarchive.raw/RTDC4035/ "%USERPROFILE%\AppData\Local\Temp\OnboardLogs"\RTDC4035\2017-11-17 --exclude "*" --recursive --include "*20171117*" &amp; "%USERPROFILE%\Documents\GitHub\mrs-test-scripts\Headless Mode &amp; Sideloading\WalkAndUnGZ.bat" "%USERPROFILE%\AppData\Local\Temp\OnboardLogs"\RTDC4035\2017-11-17 &amp; aws s3 cp s3://rtdc.mdm.uploadarchive.raw/RTDC4035/ "%USERPROFILE%\AppData\Local\Temp\OnboardLogs"\RTDC4035\2017-11-18 --exclude "*" --recursive --include "*20171118*" &amp; "%USERPROFILE%\Documents\GitHub\mrs-test-scripts\Headless Mode &amp; Sideloading\WalkAndUnGZ.bat" "%USERPROFILE%\AppData\Local\Temp\OnboardLogs"\RTDC4035\2017-11-18</v>
      </c>
      <c r="AF216" s="74" t="str">
        <f t="shared" si="116"/>
        <v>"C:\Program Files (x86)\AstroGrep\AstroGrep.exe" /e /r /s /spath="%USERPROFILE%\AppData\Local\Temp\OnboardLogs" /stypes="app*4035*20171117*" /stext=" 11:.+((SYSTEM_STATE.+slice.+state.+changed )|(ment ac)|(multiple cpu faults)|(system.+state.+changed )|(\[timeout)|(PRM\|1\|D)|(kpr)|(kdp)|(train st.+moving)|(\|lc)|(penalty))"</v>
      </c>
      <c r="AG216" s="182" t="str">
        <f t="shared" si="117"/>
        <v>Other</v>
      </c>
      <c r="AH216" s="78" t="str">
        <f t="shared" si="118"/>
        <v>"%USERPROFILE%\Documents\GitHub\eaglep3\Utilities\RefineRTDCRunTimes.py" --tripid 304-17 --locoid 4035 --swversion DE.1.0.9.0 --startMP 300:23499 --initTime 2017-11-17T03:54:24 --startdatetime 2017-11-17T03:58:59 --delay 51 --endMP 204:200 --enddatetime 2017-11-17T04:06:54 --enforcementcount 1 &gt;&gt;%USERPROFILE%\Documents\GitHub\eaglep3-reporting\EC\2017-11-17-refined-times.txt</v>
      </c>
      <c r="AI216" s="96" t="str">
        <f t="shared" si="119"/>
        <v>echo {"issue":{"subject":"","project_id":79,"tracker_id":40,"status_id":1,"priority_id":2,"assigned_to_id":338,"start_date":"2017-11-17","description":"","custom_fields":[{"id":1,"name":"Subdivision","value":"Other"},{"id":4,"name":"Milepost","value":"0.02"},{"id":17,"name":"Train ID","value":"304-17"},{"id":16,"name":"Locomotive ID","value":"4035"},{"id":130,"name":"Impact","value":""},{"id":150,"name":"Time of Event (Mountain Time)","value":"04:06:54"},{"id":151,"name":"Denver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6" s="47"/>
      <c r="AL216" s="47"/>
      <c r="AM216" s="142" t="str">
        <f t="shared" si="120"/>
        <v>start /low /b %USERPROFILE%\Documents\GitHub\eaglep3\Utilities\DownloadLogsFromS3.py --loco 4035 --day 2017-11-17</v>
      </c>
      <c r="AN216" s="151" t="str">
        <f t="shared" si="121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11:06:54"},{"id":29,"name":"Sharepoint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 s="168" t="str">
        <f t="shared" si="122"/>
        <v>https://d0f6bd738d7f1b3e5a7ca70fe4ff75f0.us-east-1.aws.found.io/app/kibana#/discover/Steve-Slow-Train-Analysis-(2080s-and-2083s)?_g=(refreshInterval:(display:Off,pause:!f,section:0,value:0),time:(from:'2017-11-17T02:54:24-0700',mode:absolute,to:'2017-11-17T05:06:54-0700'))&amp;_a=(columns:!('Message%20ID',Summary),filters:!(),index:'emp_*',interval:auto,query:(query_string:(analyze_wildcard:!t,query:'%22rtdc.l.rtdc.4035%22')),sort:!(Time.ISO8601,asc))</v>
      </c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0" customFormat="1" x14ac:dyDescent="0.3">
      <c r="A217" s="32" t="s">
        <v>664</v>
      </c>
      <c r="B217" s="7">
        <v>4041</v>
      </c>
      <c r="C217" s="21" t="s">
        <v>192</v>
      </c>
      <c r="D217" s="21" t="s">
        <v>1021</v>
      </c>
      <c r="E217" s="13">
        <v>43056.169479166667</v>
      </c>
      <c r="F217" s="13">
        <v>43056.17460648148</v>
      </c>
      <c r="G217" s="7">
        <v>150</v>
      </c>
      <c r="H217" s="21" t="s">
        <v>935</v>
      </c>
      <c r="I217" s="13">
        <v>43056.180069444446</v>
      </c>
      <c r="J217" s="7">
        <v>1</v>
      </c>
      <c r="K217" s="89" t="str">
        <f t="shared" si="108"/>
        <v>4041/4042</v>
      </c>
      <c r="L217" s="185" t="str">
        <f>VLOOKUP(A217,'Trips&amp;Operators'!$C$1:$G$99911,5,FALSE)</f>
        <v>STRICKLAND EVAN</v>
      </c>
      <c r="M217" s="6">
        <f t="shared" si="109"/>
        <v>5.4629629667033441E-3</v>
      </c>
      <c r="N217" s="7">
        <f t="shared" si="89"/>
        <v>7.8666666720528156</v>
      </c>
      <c r="O217" s="7"/>
      <c r="P217" s="7"/>
      <c r="Q217" s="22"/>
      <c r="R217" s="174"/>
      <c r="S217" s="221">
        <f t="shared" si="138"/>
        <v>1</v>
      </c>
      <c r="T217" s="174" t="str">
        <f t="shared" si="110"/>
        <v>Southbound</v>
      </c>
      <c r="U217" s="198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216" t="str">
        <f t="shared" si="111"/>
        <v>https://d0f6bd738d7f1b3e5a7ca70fe4ff75f0.us-east-1.aws.found.io/app/kibana#/discover/Steve-Slow-Train-Analysis-(2080s-and-2083s)?_g=(refreshInterval:(display:Off,pause:!f,section:0,value:0),time:(from:'2017-11-17T03:04:03-0700',mode:absolute,to:'2017-11-17T05:19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17" s="204" t="str">
        <f>IF(AA217&lt;VLOOKUP(AG217,Variables!$AC$3:$AD$8,2,FALSE),"Y","N")</f>
        <v>Y</v>
      </c>
      <c r="X217" s="204">
        <f t="shared" si="112"/>
        <v>2</v>
      </c>
      <c r="Y217" s="204">
        <f t="shared" si="106"/>
        <v>2.1781999999999999</v>
      </c>
      <c r="Z217" s="204">
        <f t="shared" si="107"/>
        <v>2.2100000000000002E-2</v>
      </c>
      <c r="AA217" s="204">
        <f t="shared" si="113"/>
        <v>2.1560999999999999</v>
      </c>
      <c r="AB217" s="54" t="e">
        <f>VLOOKUP(A217,Enforcements!$C$7:$K$9,8,0)</f>
        <v>#N/A</v>
      </c>
      <c r="AC217" s="51" t="e">
        <f>VLOOKUP(A217,Enforcements!$C$7:$E$9,3,0)</f>
        <v>#N/A</v>
      </c>
      <c r="AD217" s="179">
        <f t="shared" si="114"/>
        <v>306</v>
      </c>
      <c r="AE217" s="77" t="str">
        <f t="shared" si="115"/>
        <v>aws s3 cp s3://rtdc.mdm.uploadarchive.raw/RTDC4041/ "%USERPROFILE%\AppData\Local\Temp\OnboardLogs"\RTDC4041\2017-11-17 --exclude "*" --recursive --include "*20171117*" &amp; "%USERPROFILE%\Documents\GitHub\mrs-test-scripts\Headless Mode &amp; Sideloading\WalkAndUnGZ.bat" "%USERPROFILE%\AppData\Local\Temp\OnboardLogs"\RTDC4041\2017-11-17 &amp; aws s3 cp s3://rtdc.mdm.uploadarchive.raw/RTDC4041/ "%USERPROFILE%\AppData\Local\Temp\OnboardLogs"\RTDC4041\2017-11-18 --exclude "*" --recursive --include "*20171118*" &amp; "%USERPROFILE%\Documents\GitHub\mrs-test-scripts\Headless Mode &amp; Sideloading\WalkAndUnGZ.bat" "%USERPROFILE%\AppData\Local\Temp\OnboardLogs"\RTDC4041\2017-11-18</v>
      </c>
      <c r="AF217" s="74" t="str">
        <f t="shared" si="116"/>
        <v>"C:\Program Files (x86)\AstroGrep\AstroGrep.exe" /e /r /s /spath="%USERPROFILE%\AppData\Local\Temp\OnboardLogs" /stypes="app*4041*20171117*" /stext=" 11:.+((SYSTEM_STATE.+slice.+state.+changed )|(ment ac)|(multiple cpu faults)|(system.+state.+changed )|(\[timeout)|(PRM\|1\|D)|(kpr)|(kdp)|(train st.+moving)|(\|lc)|(penalty))"</v>
      </c>
      <c r="AG217" s="182" t="str">
        <f t="shared" si="117"/>
        <v>Other</v>
      </c>
      <c r="AH217" s="78" t="str">
        <f t="shared" si="118"/>
        <v>"%USERPROFILE%\Documents\GitHub\eaglep3\Utilities\RefineRTDCRunTimes.py" --tripid 306-17 --locoid 4041 --swversion DE.1.0.9.0 --startMP 300:21782 --initTime 2017-11-17T04:04:03 --startdatetime 2017-11-17T04:11:26 --delay 150 --endMP 204:221 --enddatetime 2017-11-17T04:19:18 --enforcementcount 1 &gt;&gt;%USERPROFILE%\Documents\GitHub\eaglep3-reporting\EC\2017-11-17-refined-times.txt</v>
      </c>
      <c r="AI217" s="96" t="str">
        <f t="shared" si="119"/>
        <v>echo {"issue":{"subject":"","project_id":79,"tracker_id":40,"status_id":1,"priority_id":2,"assigned_to_id":338,"start_date":"2017-11-17","description":"","custom_fields":[{"id":1,"name":"Subdivision","value":"Other"},{"id":4,"name":"Milepost","value":"0.0221"},{"id":17,"name":"Train ID","value":"306-17"},{"id":16,"name":"Locomotive ID","value":"4041"},{"id":130,"name":"Impact","value":""},{"id":150,"name":"Time of Event (Mountain Time)","value":"04:19:18"},{"id":151,"name":"Denver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7" s="47"/>
      <c r="AL217" s="47"/>
      <c r="AM217" s="142" t="str">
        <f t="shared" si="120"/>
        <v>start /low /b %USERPROFILE%\Documents\GitHub\eaglep3\Utilities\DownloadLogsFromS3.py --loco 4041 --day 2017-11-17</v>
      </c>
      <c r="AN217" s="151" t="str">
        <f t="shared" si="121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11:19:18"},{"id":29,"name":"Sharepoint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 s="168" t="str">
        <f t="shared" si="122"/>
        <v>https://d0f6bd738d7f1b3e5a7ca70fe4ff75f0.us-east-1.aws.found.io/app/kibana#/discover/Steve-Slow-Train-Analysis-(2080s-and-2083s)?_g=(refreshInterval:(display:Off,pause:!f,section:0,value:0),time:(from:'2017-11-17T03:04:03-0700',mode:absolute,to:'2017-11-17T05:19:18-0700'))&amp;_a=(columns:!('Message%20ID',Summary),filters:!(),index:'emp_*',interval:auto,query:(query_string:(analyze_wildcard:!t,query:'%22rtdc.l.rtdc.4041%22')),sort:!(Time.ISO8601,asc))</v>
      </c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0" customFormat="1" x14ac:dyDescent="0.3">
      <c r="A218" s="32" t="s">
        <v>653</v>
      </c>
      <c r="B218" s="7">
        <v>4020</v>
      </c>
      <c r="C218" s="21" t="s">
        <v>192</v>
      </c>
      <c r="D218" s="21" t="s">
        <v>587</v>
      </c>
      <c r="E218" s="13">
        <v>43057.04755787037</v>
      </c>
      <c r="F218" s="13">
        <v>43057.050891203704</v>
      </c>
      <c r="G218" s="7">
        <v>219</v>
      </c>
      <c r="H218" s="21" t="s">
        <v>1022</v>
      </c>
      <c r="I218" s="13">
        <v>43057.056307870371</v>
      </c>
      <c r="J218" s="7">
        <v>1</v>
      </c>
      <c r="K218" s="89" t="str">
        <f t="shared" si="108"/>
        <v>4019/4020</v>
      </c>
      <c r="L218" s="185" t="str">
        <f>VLOOKUP(A218,'Trips&amp;Operators'!$C$1:$G$99911,5,FALSE)</f>
        <v>DAVIDSON DAVID</v>
      </c>
      <c r="M218" s="6">
        <f t="shared" si="109"/>
        <v>5.4166666668606922E-3</v>
      </c>
      <c r="N218" s="7">
        <f t="shared" si="89"/>
        <v>7.8000000002793968</v>
      </c>
      <c r="O218" s="7"/>
      <c r="P218" s="7"/>
      <c r="Q218" s="22"/>
      <c r="R218" s="174"/>
      <c r="S218" s="221">
        <f t="shared" si="138"/>
        <v>1</v>
      </c>
      <c r="T218" s="174" t="str">
        <f t="shared" si="110"/>
        <v>NorthBound</v>
      </c>
      <c r="U218" s="198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216" t="str">
        <f t="shared" si="111"/>
        <v>https://d0f6bd738d7f1b3e5a7ca70fe4ff75f0.us-east-1.aws.found.io/app/kibana#/discover/Steve-Slow-Train-Analysis-(2080s-and-2083s)?_g=(refreshInterval:(display:Off,pause:!f,section:0,value:0),time:(from:'2017-11-18T00:08:29-0700',mode:absolute,to:'2017-11-18T02:21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18" s="204" t="str">
        <f>IF(AA218&lt;VLOOKUP(AG218,Variables!$AC$3:$AD$8,2,FALSE),"Y","N")</f>
        <v>Y</v>
      </c>
      <c r="X218" s="204">
        <f t="shared" si="112"/>
        <v>1</v>
      </c>
      <c r="Y218" s="204">
        <f t="shared" si="106"/>
        <v>5.3900000000000003E-2</v>
      </c>
      <c r="Z218" s="204">
        <f t="shared" si="107"/>
        <v>2.2646000000000002</v>
      </c>
      <c r="AA218" s="204">
        <f t="shared" si="113"/>
        <v>2.2107000000000001</v>
      </c>
      <c r="AB218" s="54" t="e">
        <f>VLOOKUP(A218,Enforcements!$C$7:$K$9,8,0)</f>
        <v>#N/A</v>
      </c>
      <c r="AC218" s="51" t="e">
        <f>VLOOKUP(A218,Enforcements!$C$7:$E$9,3,0)</f>
        <v>#N/A</v>
      </c>
      <c r="AD218" s="179">
        <f t="shared" si="114"/>
        <v>307</v>
      </c>
      <c r="AE218" s="77" t="str">
        <f t="shared" si="115"/>
        <v>aws s3 cp s3://rtdc.mdm.uploadarchive.raw/RTDC4020/ "%USERPROFILE%\AppData\Local\Temp\OnboardLogs"\RTDC4020\2017-11-18 --exclude "*" --recursive --include "*20171118*" &amp; "%USERPROFILE%\Documents\GitHub\mrs-test-scripts\Headless Mode &amp; Sideloading\WalkAndUnGZ.bat" "%USERPROFILE%\AppData\Local\Temp\OnboardLogs"\RTDC4020\2017-11-18 &amp; aws s3 cp s3://rtdc.mdm.uploadarchive.raw/RTDC4020/ "%USERPROFILE%\AppData\Local\Temp\OnboardLogs"\RTDC4020\2017-11-19 --exclude "*" --recursive --include "*20171119*" &amp; "%USERPROFILE%\Documents\GitHub\mrs-test-scripts\Headless Mode &amp; Sideloading\WalkAndUnGZ.bat" "%USERPROFILE%\AppData\Local\Temp\OnboardLogs"\RTDC4020\2017-11-19</v>
      </c>
      <c r="AF218" s="74" t="str">
        <f t="shared" si="116"/>
        <v>"C:\Program Files (x86)\AstroGrep\AstroGrep.exe" /e /r /s /spath="%USERPROFILE%\AppData\Local\Temp\OnboardLogs" /stypes="app*4020*20171118*" /stext=" 08:.+((SYSTEM_STATE.+slice.+state.+changed )|(ment ac)|(multiple cpu faults)|(system.+state.+changed )|(\[timeout)|(PRM\|1\|D)|(kpr)|(kdp)|(train st.+moving)|(\|lc)|(penalty))"</v>
      </c>
      <c r="AG218" s="182" t="str">
        <f t="shared" si="117"/>
        <v>Other</v>
      </c>
      <c r="AH218" s="78" t="str">
        <f t="shared" si="118"/>
        <v>"%USERPROFILE%\Documents\GitHub\eaglep3\Utilities\RefineRTDCRunTimes.py" --tripid 307-17 --locoid 4020 --swversion DE.1.0.9.0 --startMP 204:539 --initTime 2017-11-18T01:08:29 --startdatetime 2017-11-18T01:13:17 --delay 219 --endMP 300:22646 --enddatetime 2017-11-18T01:21:05 --enforcementcount 1 &gt;&gt;%USERPROFILE%\Documents\GitHub\eaglep3-reporting\EC\2017-11-17-refined-times.txt</v>
      </c>
      <c r="AI218" s="96" t="str">
        <f t="shared" si="119"/>
        <v>echo {"issue":{"subject":"","project_id":79,"tracker_id":40,"status_id":1,"priority_id":2,"assigned_to_id":338,"start_date":"2017-11-18","description":"","custom_fields":[{"id":1,"name":"Subdivision","value":"Other"},{"id":4,"name":"Milepost","value":"2.2646"},{"id":17,"name":"Train ID","value":"307-17"},{"id":16,"name":"Locomotive ID","value":"4020"},{"id":130,"name":"Impact","value":""},{"id":150,"name":"Time of Event (Mountain Time)","value":"01:21:05"},{"id":151,"name":"Denver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8" s="47"/>
      <c r="AL218" s="47"/>
      <c r="AM218" s="142" t="str">
        <f t="shared" si="120"/>
        <v>start /low /b %USERPROFILE%\Documents\GitHub\eaglep3\Utilities\DownloadLogsFromS3.py --loco 4020 --day 2017-11-18</v>
      </c>
      <c r="AN218" s="151" t="str">
        <f t="shared" si="121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08:21:05"},{"id":29,"name":"Sharepoint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 s="168" t="str">
        <f t="shared" si="122"/>
        <v>https://d0f6bd738d7f1b3e5a7ca70fe4ff75f0.us-east-1.aws.found.io/app/kibana#/discover/Steve-Slow-Train-Analysis-(2080s-and-2083s)?_g=(refreshInterval:(display:Off,pause:!f,section:0,value:0),time:(from:'2017-11-18T00:08:29-0700',mode:absolute,to:'2017-11-18T02:21:05-0700'))&amp;_a=(columns:!('Message%20ID',Summary),filters:!(),index:'emp_*',interval:auto,query:(query_string:(analyze_wildcard:!t,query:'%22rtdc.l.rtdc.4020%22')),sort:!(Time.ISO8601,asc))</v>
      </c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0" customFormat="1" x14ac:dyDescent="0.3">
      <c r="A219" s="32" t="s">
        <v>666</v>
      </c>
      <c r="B219" s="7">
        <v>4039</v>
      </c>
      <c r="C219" s="21" t="s">
        <v>192</v>
      </c>
      <c r="D219" s="21" t="s">
        <v>1023</v>
      </c>
      <c r="E219" s="13">
        <v>43056.183645833335</v>
      </c>
      <c r="F219" s="13">
        <v>43056.186527777776</v>
      </c>
      <c r="G219" s="7">
        <v>96</v>
      </c>
      <c r="H219" s="21" t="s">
        <v>1024</v>
      </c>
      <c r="I219" s="13">
        <v>43056.192523148151</v>
      </c>
      <c r="J219" s="7">
        <v>1</v>
      </c>
      <c r="K219" s="89" t="str">
        <f t="shared" si="108"/>
        <v>4039/4040</v>
      </c>
      <c r="L219" s="185" t="str">
        <f>VLOOKUP(A219,'Trips&amp;Operators'!$C$1:$G$99911,5,FALSE)</f>
        <v>HUFFSMITH MONTY</v>
      </c>
      <c r="M219" s="6">
        <f t="shared" si="109"/>
        <v>5.9953703748760745E-3</v>
      </c>
      <c r="N219" s="7">
        <f t="shared" si="89"/>
        <v>8.6333333398215473</v>
      </c>
      <c r="O219" s="7"/>
      <c r="P219" s="7"/>
      <c r="Q219" s="22"/>
      <c r="R219" s="174"/>
      <c r="S219" s="221">
        <f t="shared" si="138"/>
        <v>1</v>
      </c>
      <c r="T219" s="174" t="str">
        <f t="shared" si="110"/>
        <v>Southbound</v>
      </c>
      <c r="U219" s="198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216" t="str">
        <f t="shared" si="111"/>
        <v>https://d0f6bd738d7f1b3e5a7ca70fe4ff75f0.us-east-1.aws.found.io/app/kibana#/discover/Steve-Slow-Train-Analysis-(2080s-and-2083s)?_g=(refreshInterval:(display:Off,pause:!f,section:0,value:0),time:(from:'2017-11-17T03:24:27-0700',mode:absolute,to:'2017-11-17T05:37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19" s="204" t="str">
        <f>IF(AA219&lt;VLOOKUP(AG219,Variables!$AC$3:$AD$8,2,FALSE),"Y","N")</f>
        <v>Y</v>
      </c>
      <c r="X219" s="204">
        <f t="shared" si="112"/>
        <v>1</v>
      </c>
      <c r="Y219" s="204">
        <f t="shared" si="106"/>
        <v>2.3521000000000001</v>
      </c>
      <c r="Z219" s="204">
        <f t="shared" si="107"/>
        <v>1.3599999999999999E-2</v>
      </c>
      <c r="AA219" s="204">
        <f t="shared" si="113"/>
        <v>2.3385000000000002</v>
      </c>
      <c r="AB219" s="54" t="e">
        <f>VLOOKUP(A219,Enforcements!$C$7:$K$9,8,0)</f>
        <v>#N/A</v>
      </c>
      <c r="AC219" s="51" t="e">
        <f>VLOOKUP(A219,Enforcements!$C$7:$E$9,3,0)</f>
        <v>#N/A</v>
      </c>
      <c r="AD219" s="179">
        <f t="shared" si="114"/>
        <v>308</v>
      </c>
      <c r="AE219" s="77" t="str">
        <f t="shared" si="115"/>
        <v>aws s3 cp s3://rtdc.mdm.uploadarchive.raw/RTDC4039/ "%USERPROFILE%\AppData\Local\Temp\OnboardLogs"\RTDC4039\2017-11-17 --exclude "*" --recursive --include "*20171117*" &amp; "%USERPROFILE%\Documents\GitHub\mrs-test-scripts\Headless Mode &amp; Sideloading\WalkAndUnGZ.bat" "%USERPROFILE%\AppData\Local\Temp\OnboardLogs"\RTDC4039\2017-11-17 &amp; aws s3 cp s3://rtdc.mdm.uploadarchive.raw/RTDC4039/ "%USERPROFILE%\AppData\Local\Temp\OnboardLogs"\RTDC4039\2017-11-18 --exclude "*" --recursive --include "*20171118*" &amp; "%USERPROFILE%\Documents\GitHub\mrs-test-scripts\Headless Mode &amp; Sideloading\WalkAndUnGZ.bat" "%USERPROFILE%\AppData\Local\Temp\OnboardLogs"\RTDC4039\2017-11-18</v>
      </c>
      <c r="AF219" s="74" t="str">
        <f t="shared" si="116"/>
        <v>"C:\Program Files (x86)\AstroGrep\AstroGrep.exe" /e /r /s /spath="%USERPROFILE%\AppData\Local\Temp\OnboardLogs" /stypes="app*4039*20171117*" /stext=" 11:.+((SYSTEM_STATE.+slice.+state.+changed )|(ment ac)|(multiple cpu faults)|(system.+state.+changed )|(\[timeout)|(PRM\|1\|D)|(kpr)|(kdp)|(train st.+moving)|(\|lc)|(penalty))"</v>
      </c>
      <c r="AG219" s="182" t="str">
        <f t="shared" si="117"/>
        <v>Other</v>
      </c>
      <c r="AH219" s="78" t="str">
        <f t="shared" si="118"/>
        <v>"%USERPROFILE%\Documents\GitHub\eaglep3\Utilities\RefineRTDCRunTimes.py" --tripid 308-17 --locoid 4039 --swversion DE.1.0.9.0 --startMP 300:23521 --initTime 2017-11-17T04:24:27 --startdatetime 2017-11-17T04:28:36 --delay 96 --endMP 204:136 --enddatetime 2017-11-17T04:37:14 --enforcementcount 1 &gt;&gt;%USERPROFILE%\Documents\GitHub\eaglep3-reporting\EC\2017-11-17-refined-times.txt</v>
      </c>
      <c r="AI219" s="96" t="str">
        <f t="shared" si="119"/>
        <v>echo {"issue":{"subject":"","project_id":79,"tracker_id":40,"status_id":1,"priority_id":2,"assigned_to_id":338,"start_date":"2017-11-17","description":"","custom_fields":[{"id":1,"name":"Subdivision","value":"Other"},{"id":4,"name":"Milepost","value":"0.0136"},{"id":17,"name":"Train ID","value":"308-17"},{"id":16,"name":"Locomotive ID","value":"4039"},{"id":130,"name":"Impact","value":""},{"id":150,"name":"Time of Event (Mountain Time)","value":"04:37:14"},{"id":151,"name":"Denver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9" s="47"/>
      <c r="AL219" s="47"/>
      <c r="AM219" s="142" t="str">
        <f t="shared" si="120"/>
        <v>start /low /b %USERPROFILE%\Documents\GitHub\eaglep3\Utilities\DownloadLogsFromS3.py --loco 4039 --day 2017-11-17</v>
      </c>
      <c r="AN219" s="151" t="str">
        <f t="shared" si="121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11:37:14"},{"id":29,"name":"Sharepoint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 s="168" t="str">
        <f t="shared" si="122"/>
        <v>https://d0f6bd738d7f1b3e5a7ca70fe4ff75f0.us-east-1.aws.found.io/app/kibana#/discover/Steve-Slow-Train-Analysis-(2080s-and-2083s)?_g=(refreshInterval:(display:Off,pause:!f,section:0,value:0),time:(from:'2017-11-17T03:24:27-0700',mode:absolute,to:'2017-11-17T05:37:14-0700'))&amp;_a=(columns:!('Message%20ID',Summary),filters:!(),index:'emp_*',interval:auto,query:(query_string:(analyze_wildcard:!t,query:'%22rtdc.l.rtdc.4039%22')),sort:!(Time.ISO8601,asc))</v>
      </c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0" customFormat="1" x14ac:dyDescent="0.3">
      <c r="A220" s="32" t="s">
        <v>892</v>
      </c>
      <c r="B220" s="7">
        <v>4036</v>
      </c>
      <c r="C220" s="21" t="s">
        <v>192</v>
      </c>
      <c r="D220" s="21" t="s">
        <v>951</v>
      </c>
      <c r="E220" s="13">
        <v>43057.069537037038</v>
      </c>
      <c r="F220" s="13">
        <v>43057.071516203701</v>
      </c>
      <c r="G220" s="7">
        <v>106</v>
      </c>
      <c r="H220" s="21" t="s">
        <v>1025</v>
      </c>
      <c r="I220" s="13">
        <v>43057.083101851851</v>
      </c>
      <c r="J220" s="7">
        <v>1</v>
      </c>
      <c r="K220" s="89" t="str">
        <f t="shared" si="108"/>
        <v>4035/4036</v>
      </c>
      <c r="L220" s="185" t="str">
        <f>VLOOKUP(A220,'Trips&amp;Operators'!$C$1:$G$99911,5,FALSE)</f>
        <v>NICHOLSON WESLEY</v>
      </c>
      <c r="M220" s="6">
        <f t="shared" si="109"/>
        <v>1.1585648149775807E-2</v>
      </c>
      <c r="N220" s="7">
        <f t="shared" si="89"/>
        <v>16.683333335677162</v>
      </c>
      <c r="O220" s="7"/>
      <c r="P220" s="7"/>
      <c r="Q220" s="22"/>
      <c r="R220" s="174"/>
      <c r="S220" s="221">
        <f t="shared" si="138"/>
        <v>1</v>
      </c>
      <c r="T220" s="174" t="str">
        <f t="shared" si="110"/>
        <v>NorthBound</v>
      </c>
      <c r="U220" s="198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216" t="str">
        <f t="shared" si="111"/>
        <v>https://d0f6bd738d7f1b3e5a7ca70fe4ff75f0.us-east-1.aws.found.io/app/kibana#/discover/Steve-Slow-Train-Analysis-(2080s-and-2083s)?_g=(refreshInterval:(display:Off,pause:!f,section:0,value:0),time:(from:'2017-11-18T00:40:08-0700',mode:absolute,to:'2017-11-18T02:59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220" s="204" t="str">
        <f>IF(AA220&lt;VLOOKUP(AG220,Variables!$AC$3:$AD$8,2,FALSE),"Y","N")</f>
        <v>Y</v>
      </c>
      <c r="X220" s="204">
        <f t="shared" si="112"/>
        <v>1</v>
      </c>
      <c r="Y220" s="204">
        <f t="shared" si="106"/>
        <v>5.1499999999999997E-2</v>
      </c>
      <c r="Z220" s="204">
        <f t="shared" si="107"/>
        <v>2.3313999999999999</v>
      </c>
      <c r="AA220" s="204">
        <f t="shared" si="113"/>
        <v>2.2799</v>
      </c>
      <c r="AB220" s="54" t="e">
        <f>VLOOKUP(A220,Enforcements!$C$7:$K$9,8,0)</f>
        <v>#N/A</v>
      </c>
      <c r="AC220" s="51" t="e">
        <f>VLOOKUP(A220,Enforcements!$C$7:$E$9,3,0)</f>
        <v>#N/A</v>
      </c>
      <c r="AD220" s="179">
        <f t="shared" si="114"/>
        <v>309</v>
      </c>
      <c r="AE220" s="77" t="str">
        <f t="shared" si="115"/>
        <v>aws s3 cp s3://rtdc.mdm.uploadarchive.raw/RTDC4036/ "%USERPROFILE%\AppData\Local\Temp\OnboardLogs"\RTDC4036\2017-11-18 --exclude "*" --recursive --include "*20171118*" &amp; "%USERPROFILE%\Documents\GitHub\mrs-test-scripts\Headless Mode &amp; Sideloading\WalkAndUnGZ.bat" "%USERPROFILE%\AppData\Local\Temp\OnboardLogs"\RTDC4036\2017-11-18 &amp; aws s3 cp s3://rtdc.mdm.uploadarchive.raw/RTDC4036/ "%USERPROFILE%\AppData\Local\Temp\OnboardLogs"\RTDC4036\2017-11-19 --exclude "*" --recursive --include "*20171119*" &amp; "%USERPROFILE%\Documents\GitHub\mrs-test-scripts\Headless Mode &amp; Sideloading\WalkAndUnGZ.bat" "%USERPROFILE%\AppData\Local\Temp\OnboardLogs"\RTDC4036\2017-11-19</v>
      </c>
      <c r="AF220" s="74" t="str">
        <f t="shared" si="116"/>
        <v>"C:\Program Files (x86)\AstroGrep\AstroGrep.exe" /e /r /s /spath="%USERPROFILE%\AppData\Local\Temp\OnboardLogs" /stypes="app*4036*20171118*" /stext=" 08:.+((SYSTEM_STATE.+slice.+state.+changed )|(ment ac)|(multiple cpu faults)|(system.+state.+changed )|(\[timeout)|(PRM\|1\|D)|(kpr)|(kdp)|(train st.+moving)|(\|lc)|(penalty))"</v>
      </c>
      <c r="AG220" s="182" t="str">
        <f t="shared" si="117"/>
        <v>Other</v>
      </c>
      <c r="AH220" s="78" t="str">
        <f t="shared" si="118"/>
        <v>"%USERPROFILE%\Documents\GitHub\eaglep3\Utilities\RefineRTDCRunTimes.py" --tripid 309-17 --locoid 4036 --swversion DE.1.0.9.0 --startMP 204:515 --initTime 2017-11-18T01:40:08 --startdatetime 2017-11-18T01:42:59 --delay 106 --endMP 300:23314 --enddatetime 2017-11-18T01:59:40 --enforcementcount 1 &gt;&gt;%USERPROFILE%\Documents\GitHub\eaglep3-reporting\EC\2017-11-17-refined-times.txt</v>
      </c>
      <c r="AI220" s="96" t="str">
        <f t="shared" si="119"/>
        <v>echo {"issue":{"subject":"","project_id":79,"tracker_id":40,"status_id":1,"priority_id":2,"assigned_to_id":338,"start_date":"2017-11-18","description":"","custom_fields":[{"id":1,"name":"Subdivision","value":"Other"},{"id":4,"name":"Milepost","value":"2.3314"},{"id":17,"name":"Train ID","value":"309-17"},{"id":16,"name":"Locomotive ID","value":"4036"},{"id":130,"name":"Impact","value":""},{"id":150,"name":"Time of Event (Mountain Time)","value":"01:59:40"},{"id":151,"name":"Denver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0" s="47"/>
      <c r="AL220" s="47"/>
      <c r="AM220" s="142" t="str">
        <f t="shared" si="120"/>
        <v>start /low /b %USERPROFILE%\Documents\GitHub\eaglep3\Utilities\DownloadLogsFromS3.py --loco 4036 --day 2017-11-18</v>
      </c>
      <c r="AN220" s="151" t="str">
        <f t="shared" si="121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08:59:40"},{"id":29,"name":"Sharepoint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 s="168" t="str">
        <f t="shared" si="122"/>
        <v>https://d0f6bd738d7f1b3e5a7ca70fe4ff75f0.us-east-1.aws.found.io/app/kibana#/discover/Steve-Slow-Train-Analysis-(2080s-and-2083s)?_g=(refreshInterval:(display:Off,pause:!f,section:0,value:0),time:(from:'2017-11-18T00:40:08-0700',mode:absolute,to:'2017-11-18T02:59:40-0700'))&amp;_a=(columns:!('Message%20ID',Summary),filters:!(),index:'emp_*',interval:auto,query:(query_string:(analyze_wildcard:!t,query:'%22rtdc.l.rtdc.4036%22')),sort:!(Time.ISO8601,asc))</v>
      </c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0" customFormat="1" x14ac:dyDescent="0.3">
      <c r="A221" s="32" t="s">
        <v>672</v>
      </c>
      <c r="B221" s="7">
        <v>4027</v>
      </c>
      <c r="C221" s="21" t="s">
        <v>192</v>
      </c>
      <c r="D221" s="21" t="s">
        <v>1026</v>
      </c>
      <c r="E221" s="13">
        <v>43056.204560185186</v>
      </c>
      <c r="F221" s="13">
        <v>43056.207569444443</v>
      </c>
      <c r="G221" s="7">
        <v>81</v>
      </c>
      <c r="H221" s="21" t="s">
        <v>576</v>
      </c>
      <c r="I221" s="13">
        <v>43056.213622685187</v>
      </c>
      <c r="J221" s="7">
        <v>1</v>
      </c>
      <c r="K221" s="89" t="str">
        <f t="shared" si="108"/>
        <v>4027/4028</v>
      </c>
      <c r="L221" s="185" t="str">
        <f>VLOOKUP(A221,'Trips&amp;Operators'!$C$1:$G$99911,5,FALSE)</f>
        <v>MACDONALD THOMAS</v>
      </c>
      <c r="M221" s="6">
        <f t="shared" si="109"/>
        <v>6.0532407442224212E-3</v>
      </c>
      <c r="N221" s="7">
        <f t="shared" si="89"/>
        <v>8.7166666716802865</v>
      </c>
      <c r="O221" s="7"/>
      <c r="P221" s="7"/>
      <c r="Q221" s="22"/>
      <c r="R221" s="174"/>
      <c r="S221" s="221">
        <f t="shared" si="138"/>
        <v>1</v>
      </c>
      <c r="T221" s="174" t="str">
        <f t="shared" si="110"/>
        <v>Southbound</v>
      </c>
      <c r="U221" s="198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216" t="str">
        <f t="shared" si="111"/>
        <v>https://d0f6bd738d7f1b3e5a7ca70fe4ff75f0.us-east-1.aws.found.io/app/kibana#/discover/Steve-Slow-Train-Analysis-(2080s-and-2083s)?_g=(refreshInterval:(display:Off,pause:!f,section:0,value:0),time:(from:'2017-11-17T03:54:34-0700',mode:absolute,to:'2017-11-17T06:07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21" s="204" t="str">
        <f>IF(AA221&lt;VLOOKUP(AG221,Variables!$AC$3:$AD$8,2,FALSE),"Y","N")</f>
        <v>Y</v>
      </c>
      <c r="X221" s="204">
        <f t="shared" si="112"/>
        <v>1</v>
      </c>
      <c r="Y221" s="204">
        <f t="shared" si="106"/>
        <v>2.3647999999999998</v>
      </c>
      <c r="Z221" s="204">
        <f t="shared" si="107"/>
        <v>2.4500000000000001E-2</v>
      </c>
      <c r="AA221" s="204">
        <f t="shared" si="113"/>
        <v>2.3402999999999996</v>
      </c>
      <c r="AB221" s="54" t="e">
        <f>VLOOKUP(A221,Enforcements!$C$7:$K$9,8,0)</f>
        <v>#N/A</v>
      </c>
      <c r="AC221" s="51" t="e">
        <f>VLOOKUP(A221,Enforcements!$C$7:$E$9,3,0)</f>
        <v>#N/A</v>
      </c>
      <c r="AD221" s="179">
        <f t="shared" si="114"/>
        <v>310</v>
      </c>
      <c r="AE221" s="77" t="str">
        <f t="shared" si="115"/>
        <v>aws s3 cp s3://rtdc.mdm.uploadarchive.raw/RTDC4027/ "%USERPROFILE%\AppData\Local\Temp\OnboardLogs"\RTDC4027\2017-11-17 --exclude "*" --recursive --include "*20171117*" &amp; "%USERPROFILE%\Documents\GitHub\mrs-test-scripts\Headless Mode &amp; Sideloading\WalkAndUnGZ.bat" "%USERPROFILE%\AppData\Local\Temp\OnboardLogs"\RTDC4027\2017-11-17 &amp; aws s3 cp s3://rtdc.mdm.uploadarchive.raw/RTDC4027/ "%USERPROFILE%\AppData\Local\Temp\OnboardLogs"\RTDC4027\2017-11-18 --exclude "*" --recursive --include "*20171118*" &amp; "%USERPROFILE%\Documents\GitHub\mrs-test-scripts\Headless Mode &amp; Sideloading\WalkAndUnGZ.bat" "%USERPROFILE%\AppData\Local\Temp\OnboardLogs"\RTDC4027\2017-11-18</v>
      </c>
      <c r="AF221" s="74" t="str">
        <f t="shared" si="116"/>
        <v>"C:\Program Files (x86)\AstroGrep\AstroGrep.exe" /e /r /s /spath="%USERPROFILE%\AppData\Local\Temp\OnboardLogs" /stypes="app*4027*20171117*" /stext=" 12:.+((SYSTEM_STATE.+slice.+state.+changed )|(ment ac)|(multiple cpu faults)|(system.+state.+changed )|(\[timeout)|(PRM\|1\|D)|(kpr)|(kdp)|(train st.+moving)|(\|lc)|(penalty))"</v>
      </c>
      <c r="AG221" s="182" t="str">
        <f t="shared" si="117"/>
        <v>Other</v>
      </c>
      <c r="AH221" s="78" t="str">
        <f t="shared" si="118"/>
        <v>"%USERPROFILE%\Documents\GitHub\eaglep3\Utilities\RefineRTDCRunTimes.py" --tripid 310-17 --locoid 4027 --swversion DE.1.0.9.0 --startMP 300:23648 --initTime 2017-11-17T04:54:34 --startdatetime 2017-11-17T04:58:54 --delay 81 --endMP 204:245 --enddatetime 2017-11-17T05:07:37 --enforcementcount 1 &gt;&gt;%USERPROFILE%\Documents\GitHub\eaglep3-reporting\EC\2017-11-17-refined-times.txt</v>
      </c>
      <c r="AI221" s="96" t="str">
        <f t="shared" si="119"/>
        <v>echo {"issue":{"subject":"","project_id":79,"tracker_id":40,"status_id":1,"priority_id":2,"assigned_to_id":338,"start_date":"2017-11-17","description":"","custom_fields":[{"id":1,"name":"Subdivision","value":"Other"},{"id":4,"name":"Milepost","value":"0.0245"},{"id":17,"name":"Train ID","value":"310-17"},{"id":16,"name":"Locomotive ID","value":"4027"},{"id":130,"name":"Impact","value":""},{"id":150,"name":"Time of Event (Mountain Time)","value":"05:07:37"},{"id":151,"name":"Denver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1" s="47"/>
      <c r="AL221" s="47"/>
      <c r="AM221" s="142" t="str">
        <f t="shared" si="120"/>
        <v>start /low /b %USERPROFILE%\Documents\GitHub\eaglep3\Utilities\DownloadLogsFromS3.py --loco 4027 --day 2017-11-17</v>
      </c>
      <c r="AN221" s="151" t="str">
        <f t="shared" si="121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12:07:37"},{"id":29,"name":"Sharepoint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 s="168" t="str">
        <f t="shared" si="122"/>
        <v>https://d0f6bd738d7f1b3e5a7ca70fe4ff75f0.us-east-1.aws.found.io/app/kibana#/discover/Steve-Slow-Train-Analysis-(2080s-and-2083s)?_g=(refreshInterval:(display:Off,pause:!f,section:0,value:0),time:(from:'2017-11-17T03:54:34-0700',mode:absolute,to:'2017-11-17T06:07:37-0700'))&amp;_a=(columns:!('Message%20ID',Summary),filters:!(),index:'emp_*',interval:auto,query:(query_string:(analyze_wildcard:!t,query:'%22rtdc.l.rtdc.4027%22')),sort:!(Time.ISO8601,asc))</v>
      </c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0" customFormat="1" x14ac:dyDescent="0.3">
      <c r="A222" s="32" t="s">
        <v>893</v>
      </c>
      <c r="B222" s="7">
        <v>4042</v>
      </c>
      <c r="C222" s="21" t="s">
        <v>192</v>
      </c>
      <c r="D222" s="21" t="s">
        <v>1027</v>
      </c>
      <c r="E222" s="13">
        <v>43057.086342592593</v>
      </c>
      <c r="F222" s="13">
        <v>43057.08761574074</v>
      </c>
      <c r="G222" s="7">
        <v>48</v>
      </c>
      <c r="H222" s="21" t="s">
        <v>1028</v>
      </c>
      <c r="I222" s="13">
        <v>43057.095231481479</v>
      </c>
      <c r="J222" s="7">
        <v>1</v>
      </c>
      <c r="K222" s="89" t="str">
        <f t="shared" si="108"/>
        <v>4041/4042</v>
      </c>
      <c r="L222" s="185" t="str">
        <f>VLOOKUP(A222,'Trips&amp;Operators'!$C$1:$G$99911,5,FALSE)</f>
        <v>ELBAUM MIKE</v>
      </c>
      <c r="M222" s="6">
        <f t="shared" si="109"/>
        <v>7.6157407384016551E-3</v>
      </c>
      <c r="N222" s="7">
        <f t="shared" si="89"/>
        <v>10.966666663298383</v>
      </c>
      <c r="O222" s="7"/>
      <c r="P222" s="7"/>
      <c r="Q222" s="22"/>
      <c r="R222" s="174"/>
      <c r="S222" s="221">
        <f t="shared" si="138"/>
        <v>1</v>
      </c>
      <c r="T222" s="174" t="str">
        <f t="shared" si="110"/>
        <v>NorthBound</v>
      </c>
      <c r="U222" s="198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216" t="str">
        <f t="shared" si="111"/>
        <v>https://d0f6bd738d7f1b3e5a7ca70fe4ff75f0.us-east-1.aws.found.io/app/kibana#/discover/Steve-Slow-Train-Analysis-(2080s-and-2083s)?_g=(refreshInterval:(display:Off,pause:!f,section:0,value:0),time:(from:'2017-11-18T01:04:20-0700',mode:absolute,to:'2017-11-18T03:17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22" s="204" t="str">
        <f>IF(AA222&lt;VLOOKUP(AG222,Variables!$AC$3:$AD$8,2,FALSE),"Y","N")</f>
        <v>Y</v>
      </c>
      <c r="X222" s="204">
        <f t="shared" si="112"/>
        <v>1</v>
      </c>
      <c r="Y222" s="204">
        <f t="shared" si="106"/>
        <v>5.6599999999999998E-2</v>
      </c>
      <c r="Z222" s="204">
        <f t="shared" si="107"/>
        <v>2.3306</v>
      </c>
      <c r="AA222" s="204">
        <f t="shared" si="113"/>
        <v>2.274</v>
      </c>
      <c r="AB222" s="54" t="e">
        <f>VLOOKUP(A222,Enforcements!$C$7:$K$9,8,0)</f>
        <v>#N/A</v>
      </c>
      <c r="AC222" s="51" t="e">
        <f>VLOOKUP(A222,Enforcements!$C$7:$E$9,3,0)</f>
        <v>#N/A</v>
      </c>
      <c r="AD222" s="179">
        <f t="shared" si="114"/>
        <v>311</v>
      </c>
      <c r="AE222" s="77" t="str">
        <f t="shared" si="115"/>
        <v>aws s3 cp s3://rtdc.mdm.uploadarchive.raw/RTDC4042/ "%USERPROFILE%\AppData\Local\Temp\OnboardLogs"\RTDC4042\2017-11-18 --exclude "*" --recursive --include "*20171118*" &amp; "%USERPROFILE%\Documents\GitHub\mrs-test-scripts\Headless Mode &amp; Sideloading\WalkAndUnGZ.bat" "%USERPROFILE%\AppData\Local\Temp\OnboardLogs"\RTDC4042\2017-11-18 &amp; aws s3 cp s3://rtdc.mdm.uploadarchive.raw/RTDC4042/ "%USERPROFILE%\AppData\Local\Temp\OnboardLogs"\RTDC4042\2017-11-19 --exclude "*" --recursive --include "*20171119*" &amp; "%USERPROFILE%\Documents\GitHub\mrs-test-scripts\Headless Mode &amp; Sideloading\WalkAndUnGZ.bat" "%USERPROFILE%\AppData\Local\Temp\OnboardLogs"\RTDC4042\2017-11-19</v>
      </c>
      <c r="AF222" s="74" t="str">
        <f t="shared" si="116"/>
        <v>"C:\Program Files (x86)\AstroGrep\AstroGrep.exe" /e /r /s /spath="%USERPROFILE%\AppData\Local\Temp\OnboardLogs" /stypes="app*4042*20171118*" /stext=" 09:.+((SYSTEM_STATE.+slice.+state.+changed )|(ment ac)|(multiple cpu faults)|(system.+state.+changed )|(\[timeout)|(PRM\|1\|D)|(kpr)|(kdp)|(train st.+moving)|(\|lc)|(penalty))"</v>
      </c>
      <c r="AG222" s="182" t="str">
        <f t="shared" si="117"/>
        <v>Other</v>
      </c>
      <c r="AH222" s="78" t="str">
        <f t="shared" si="118"/>
        <v>"%USERPROFILE%\Documents\GitHub\eaglep3\Utilities\RefineRTDCRunTimes.py" --tripid 311-17 --locoid 4042 --swversion DE.1.0.9.0 --startMP 204:566 --initTime 2017-11-18T02:04:20 --startdatetime 2017-11-18T02:06:10 --delay 48 --endMP 300:23306 --enddatetime 2017-11-18T02:17:08 --enforcementcount 1 &gt;&gt;%USERPROFILE%\Documents\GitHub\eaglep3-reporting\EC\2017-11-17-refined-times.txt</v>
      </c>
      <c r="AI222" s="96" t="str">
        <f t="shared" si="119"/>
        <v>echo {"issue":{"subject":"","project_id":79,"tracker_id":40,"status_id":1,"priority_id":2,"assigned_to_id":338,"start_date":"2017-11-18","description":"","custom_fields":[{"id":1,"name":"Subdivision","value":"Other"},{"id":4,"name":"Milepost","value":"2.3306"},{"id":17,"name":"Train ID","value":"311-17"},{"id":16,"name":"Locomotive ID","value":"4042"},{"id":130,"name":"Impact","value":""},{"id":150,"name":"Time of Event (Mountain Time)","value":"02:17:08"},{"id":151,"name":"Denver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2" s="47"/>
      <c r="AL222" s="47"/>
      <c r="AM222" s="142" t="str">
        <f t="shared" si="120"/>
        <v>start /low /b %USERPROFILE%\Documents\GitHub\eaglep3\Utilities\DownloadLogsFromS3.py --loco 4042 --day 2017-11-18</v>
      </c>
      <c r="AN222" s="151" t="str">
        <f t="shared" si="121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09:17:08"},{"id":29,"name":"Sharepoint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 s="168" t="str">
        <f t="shared" si="122"/>
        <v>https://d0f6bd738d7f1b3e5a7ca70fe4ff75f0.us-east-1.aws.found.io/app/kibana#/discover/Steve-Slow-Train-Analysis-(2080s-and-2083s)?_g=(refreshInterval:(display:Off,pause:!f,section:0,value:0),time:(from:'2017-11-18T01:04:20-0700',mode:absolute,to:'2017-11-18T03:17:08-0700'))&amp;_a=(columns:!('Message%20ID',Summary),filters:!(),index:'emp_*',interval:auto,query:(query_string:(analyze_wildcard:!t,query:'%22rtdc.l.rtdc.4042%22')),sort:!(Time.ISO8601,asc))</v>
      </c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0" customFormat="1" x14ac:dyDescent="0.3">
      <c r="A223" s="32" t="s">
        <v>678</v>
      </c>
      <c r="B223" s="7">
        <v>4063</v>
      </c>
      <c r="C223" s="21" t="s">
        <v>192</v>
      </c>
      <c r="D223" s="21" t="s">
        <v>1029</v>
      </c>
      <c r="E223" s="13">
        <v>43056.217673611114</v>
      </c>
      <c r="F223" s="13">
        <v>43056.222615740742</v>
      </c>
      <c r="G223" s="7">
        <v>109</v>
      </c>
      <c r="H223" s="21" t="s">
        <v>1030</v>
      </c>
      <c r="I223" s="13">
        <v>43056.227800925924</v>
      </c>
      <c r="J223" s="7">
        <v>1</v>
      </c>
      <c r="K223" s="89" t="str">
        <f t="shared" si="108"/>
        <v>4063/4064</v>
      </c>
      <c r="L223" s="185" t="str">
        <f>VLOOKUP(A223,'Trips&amp;Operators'!$C$1:$G$99911,5,FALSE)</f>
        <v>YANAI IAN</v>
      </c>
      <c r="M223" s="6">
        <f t="shared" si="109"/>
        <v>5.1851851821993478E-3</v>
      </c>
      <c r="N223" s="7">
        <f t="shared" si="89"/>
        <v>7.4666666623670608</v>
      </c>
      <c r="O223" s="7"/>
      <c r="P223" s="7"/>
      <c r="Q223" s="22"/>
      <c r="R223" s="174"/>
      <c r="S223" s="221">
        <f t="shared" si="138"/>
        <v>1</v>
      </c>
      <c r="T223" s="174" t="str">
        <f t="shared" si="110"/>
        <v>Southbound</v>
      </c>
      <c r="U223" s="198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216" t="str">
        <f t="shared" si="111"/>
        <v>https://d0f6bd738d7f1b3e5a7ca70fe4ff75f0.us-east-1.aws.found.io/app/kibana#/discover/Steve-Slow-Train-Analysis-(2080s-and-2083s)?_g=(refreshInterval:(display:Off,pause:!f,section:0,value:0),time:(from:'2017-11-17T04:13:27-0700',mode:absolute,to:'2017-11-17T06:28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23" s="204" t="str">
        <f>IF(AA223&lt;VLOOKUP(AG223,Variables!$AC$3:$AD$8,2,FALSE),"Y","N")</f>
        <v>Y</v>
      </c>
      <c r="X223" s="204">
        <f t="shared" si="112"/>
        <v>1</v>
      </c>
      <c r="Y223" s="204">
        <f t="shared" si="106"/>
        <v>2.3769</v>
      </c>
      <c r="Z223" s="204">
        <f t="shared" si="107"/>
        <v>1.34E-2</v>
      </c>
      <c r="AA223" s="204">
        <f t="shared" si="113"/>
        <v>2.3635000000000002</v>
      </c>
      <c r="AB223" s="54" t="e">
        <f>VLOOKUP(A223,Enforcements!$C$7:$K$9,8,0)</f>
        <v>#N/A</v>
      </c>
      <c r="AC223" s="51" t="e">
        <f>VLOOKUP(A223,Enforcements!$C$7:$E$9,3,0)</f>
        <v>#N/A</v>
      </c>
      <c r="AD223" s="179">
        <f t="shared" si="114"/>
        <v>312</v>
      </c>
      <c r="AE223" s="77" t="str">
        <f t="shared" si="115"/>
        <v>aws s3 cp s3://rtdc.mdm.uploadarchive.raw/RTDC4063/ "%USERPROFILE%\AppData\Local\Temp\OnboardLogs"\RTDC4063\2017-11-17 --exclude "*" --recursive --include "*20171117*" &amp; "%USERPROFILE%\Documents\GitHub\mrs-test-scripts\Headless Mode &amp; Sideloading\WalkAndUnGZ.bat" "%USERPROFILE%\AppData\Local\Temp\OnboardLogs"\RTDC4063\2017-11-17 &amp; aws s3 cp s3://rtdc.mdm.uploadarchive.raw/RTDC4063/ "%USERPROFILE%\AppData\Local\Temp\OnboardLogs"\RTDC4063\2017-11-18 --exclude "*" --recursive --include "*20171118*" &amp; "%USERPROFILE%\Documents\GitHub\mrs-test-scripts\Headless Mode &amp; Sideloading\WalkAndUnGZ.bat" "%USERPROFILE%\AppData\Local\Temp\OnboardLogs"\RTDC4063\2017-11-18</v>
      </c>
      <c r="AF223" s="74" t="str">
        <f t="shared" si="116"/>
        <v>"C:\Program Files (x86)\AstroGrep\AstroGrep.exe" /e /r /s /spath="%USERPROFILE%\AppData\Local\Temp\OnboardLogs" /stypes="app*4063*20171117*" /stext=" 12:.+((SYSTEM_STATE.+slice.+state.+changed )|(ment ac)|(multiple cpu faults)|(system.+state.+changed )|(\[timeout)|(PRM\|1\|D)|(kpr)|(kdp)|(train st.+moving)|(\|lc)|(penalty))"</v>
      </c>
      <c r="AG223" s="182" t="str">
        <f t="shared" si="117"/>
        <v>Other</v>
      </c>
      <c r="AH223" s="78" t="str">
        <f t="shared" si="118"/>
        <v>"%USERPROFILE%\Documents\GitHub\eaglep3\Utilities\RefineRTDCRunTimes.py" --tripid 312-17 --locoid 4063 --swversion DE.1.0.9.0 --startMP 300:23769 --initTime 2017-11-17T05:13:27 --startdatetime 2017-11-17T05:20:34 --delay 109 --endMP 204:134 --enddatetime 2017-11-17T05:28:02 --enforcementcount 1 &gt;&gt;%USERPROFILE%\Documents\GitHub\eaglep3-reporting\EC\2017-11-17-refined-times.txt</v>
      </c>
      <c r="AI223" s="96" t="str">
        <f t="shared" si="119"/>
        <v>echo {"issue":{"subject":"","project_id":79,"tracker_id":40,"status_id":1,"priority_id":2,"assigned_to_id":338,"start_date":"2017-11-17","description":"","custom_fields":[{"id":1,"name":"Subdivision","value":"Other"},{"id":4,"name":"Milepost","value":"0.0134"},{"id":17,"name":"Train ID","value":"312-17"},{"id":16,"name":"Locomotive ID","value":"4063"},{"id":130,"name":"Impact","value":""},{"id":150,"name":"Time of Event (Mountain Time)","value":"05:28:02"},{"id":151,"name":"Denver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3" s="47"/>
      <c r="AL223" s="47"/>
      <c r="AM223" s="142" t="str">
        <f t="shared" si="120"/>
        <v>start /low /b %USERPROFILE%\Documents\GitHub\eaglep3\Utilities\DownloadLogsFromS3.py --loco 4063 --day 2017-11-17</v>
      </c>
      <c r="AN223" s="151" t="str">
        <f t="shared" si="121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12:28:02"},{"id":29,"name":"Sharepoint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 s="168" t="str">
        <f t="shared" si="122"/>
        <v>https://d0f6bd738d7f1b3e5a7ca70fe4ff75f0.us-east-1.aws.found.io/app/kibana#/discover/Steve-Slow-Train-Analysis-(2080s-and-2083s)?_g=(refreshInterval:(display:Off,pause:!f,section:0,value:0),time:(from:'2017-11-17T04:13:27-0700',mode:absolute,to:'2017-11-17T06:28:02-0700'))&amp;_a=(columns:!('Message%20ID',Summary),filters:!(),index:'emp_*',interval:auto,query:(query_string:(analyze_wildcard:!t,query:'%22rtdc.l.rtdc.4063%22')),sort:!(Time.ISO8601,asc))</v>
      </c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0" customFormat="1" x14ac:dyDescent="0.3">
      <c r="A224" s="32" t="s">
        <v>671</v>
      </c>
      <c r="B224" s="7">
        <v>4030</v>
      </c>
      <c r="C224" s="21" t="s">
        <v>192</v>
      </c>
      <c r="D224" s="21" t="s">
        <v>1103</v>
      </c>
      <c r="E224" s="13">
        <v>43056.194340277776</v>
      </c>
      <c r="F224" s="13">
        <v>43056.199386574073</v>
      </c>
      <c r="G224" s="7">
        <v>110</v>
      </c>
      <c r="H224" s="21" t="s">
        <v>537</v>
      </c>
      <c r="I224" s="13">
        <v>43056.205081018517</v>
      </c>
      <c r="J224" s="7">
        <v>1</v>
      </c>
      <c r="K224" s="89" t="str">
        <f t="shared" si="108"/>
        <v>4029/4030</v>
      </c>
      <c r="L224" s="185" t="str">
        <f>VLOOKUP(A224,'Trips&amp;Operators'!$C$1:$G$99911,5,FALSE)</f>
        <v>WILLIAMS DONTE</v>
      </c>
      <c r="M224" s="6">
        <f t="shared" si="109"/>
        <v>5.694444444088731E-3</v>
      </c>
      <c r="N224" s="7">
        <f t="shared" si="89"/>
        <v>8.1999999994877726</v>
      </c>
      <c r="O224" s="7"/>
      <c r="P224" s="7"/>
      <c r="Q224" s="22"/>
      <c r="R224" s="174"/>
      <c r="S224" s="221">
        <f t="shared" si="138"/>
        <v>0</v>
      </c>
      <c r="T224" s="174" t="str">
        <f t="shared" si="110"/>
        <v>NorthBound</v>
      </c>
      <c r="U224" s="198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216" t="str">
        <f t="shared" si="111"/>
        <v>https://d0f6bd738d7f1b3e5a7ca70fe4ff75f0.us-east-1.aws.found.io/app/kibana#/discover/Steve-Slow-Train-Analysis-(2080s-and-2083s)?_g=(refreshInterval:(display:Off,pause:!f,section:0,value:0),time:(from:'2017-11-17T03:39:51-0700',mode:absolute,to:'2017-11-17T05:55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24" s="204" t="str">
        <f>IF(AA224&lt;VLOOKUP(AG224,Variables!$AC$3:$AD$8,2,FALSE),"Y","N")</f>
        <v>Y</v>
      </c>
      <c r="X224" s="204">
        <f t="shared" si="112"/>
        <v>589</v>
      </c>
      <c r="Y224" s="204">
        <f t="shared" si="106"/>
        <v>2.9977999999999998</v>
      </c>
      <c r="Z224" s="204">
        <f t="shared" si="107"/>
        <v>5.8930999999999996</v>
      </c>
      <c r="AA224" s="204">
        <f t="shared" si="113"/>
        <v>2.8952999999999998</v>
      </c>
      <c r="AB224" s="54" t="e">
        <f>VLOOKUP(A224,Enforcements!$C$7:$K$9,8,0)</f>
        <v>#N/A</v>
      </c>
      <c r="AC224" s="51" t="e">
        <f>VLOOKUP(A224,Enforcements!$C$7:$E$9,3,0)</f>
        <v>#N/A</v>
      </c>
      <c r="AD224" s="179">
        <f t="shared" si="114"/>
        <v>901</v>
      </c>
      <c r="AE224" s="77" t="str">
        <f t="shared" si="115"/>
        <v>aws s3 cp s3://rtdc.mdm.uploadarchive.raw/RTDC4030/ "%USERPROFILE%\AppData\Local\Temp\OnboardLogs"\RTDC4030\2017-11-17 --exclude "*" --recursive --include "*20171117*" &amp; "%USERPROFILE%\Documents\GitHub\mrs-test-scripts\Headless Mode &amp; Sideloading\WalkAndUnGZ.bat" "%USERPROFILE%\AppData\Local\Temp\OnboardLogs"\RTDC4030\2017-11-17 &amp; aws s3 cp s3://rtdc.mdm.uploadarchive.raw/RTDC4030/ "%USERPROFILE%\AppData\Local\Temp\OnboardLogs"\RTDC4030\2017-11-18 --exclude "*" --recursive --include "*20171118*" &amp; "%USERPROFILE%\Documents\GitHub\mrs-test-scripts\Headless Mode &amp; Sideloading\WalkAndUnGZ.bat" "%USERPROFILE%\AppData\Local\Temp\OnboardLogs"\RTDC4030\2017-11-18</v>
      </c>
      <c r="AF224" s="74" t="str">
        <f t="shared" si="116"/>
        <v>"C:\Program Files (x86)\AstroGrep\AstroGrep.exe" /e /r /s /spath="%USERPROFILE%\AppData\Local\Temp\OnboardLogs" /stypes="app*4030*20171117*" /stext=" 11:.+((SYSTEM_STATE.+slice.+state.+changed )|(ment ac)|(multiple cpu faults)|(system.+state.+changed )|(\[timeout)|(PRM\|1\|D)|(kpr)|(kdp)|(train st.+moving)|(\|lc)|(penalty))"</v>
      </c>
      <c r="AG224" s="182" t="str">
        <f t="shared" si="117"/>
        <v>Other</v>
      </c>
      <c r="AH224" s="78" t="str">
        <f t="shared" si="118"/>
        <v>"%USERPROFILE%\Documents\GitHub\eaglep3\Utilities\RefineRTDCRunTimes.py" --tripid 901-17 --locoid 4030 --swversion DE.1.0.9.0 --startMP 300:29978 --initTime 2017-11-17T04:39:51 --startdatetime 2017-11-17T04:47:07 --delay 110 --endMP 300:58931 --enddatetime 2017-11-17T04:55:19 --enforcementcount 1 &gt;&gt;%USERPROFILE%\Documents\GitHub\eaglep3-reporting\EC\2017-11-17-refined-times.txt</v>
      </c>
      <c r="AI224" s="96" t="str">
        <f t="shared" si="119"/>
        <v>echo {"issue":{"subject":"","project_id":79,"tracker_id":40,"status_id":1,"priority_id":2,"assigned_to_id":338,"start_date":"2017-11-17","description":"","custom_fields":[{"id":1,"name":"Subdivision","value":"Other"},{"id":4,"name":"Milepost","value":"5.8931"},{"id":17,"name":"Train ID","value":"901-17"},{"id":16,"name":"Locomotive ID","value":"4030"},{"id":130,"name":"Impact","value":""},{"id":150,"name":"Time of Event (Mountain Time)","value":"04:55:19"},{"id":151,"name":"Denver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4" s="47"/>
      <c r="AL224" s="47"/>
      <c r="AM224" s="142" t="str">
        <f t="shared" si="120"/>
        <v>start /low /b %USERPROFILE%\Documents\GitHub\eaglep3\Utilities\DownloadLogsFromS3.py --loco 4030 --day 2017-11-17</v>
      </c>
      <c r="AN224" s="151" t="str">
        <f t="shared" si="121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11:55:19"},{"id":29,"name":"Sharepoint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 s="168" t="str">
        <f t="shared" si="122"/>
        <v>https://d0f6bd738d7f1b3e5a7ca70fe4ff75f0.us-east-1.aws.found.io/app/kibana#/discover/Steve-Slow-Train-Analysis-(2080s-and-2083s)?_g=(refreshInterval:(display:Off,pause:!f,section:0,value:0),time:(from:'2017-11-17T03:39:51-0700',mode:absolute,to:'2017-11-17T05:55:19-0700'))&amp;_a=(columns:!('Message%20ID',Summary),filters:!(),index:'emp_*',interval:auto,query:(query_string:(analyze_wildcard:!t,query:'%22rtdc.l.rtdc.4030%22')),sort:!(Time.ISO8601,asc))</v>
      </c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0" customFormat="1" x14ac:dyDescent="0.3">
      <c r="A225" s="32" t="s">
        <v>685</v>
      </c>
      <c r="B225" s="7">
        <v>4023</v>
      </c>
      <c r="C225" s="21" t="s">
        <v>192</v>
      </c>
      <c r="D225" s="21" t="s">
        <v>1104</v>
      </c>
      <c r="E225" s="13">
        <v>43056.240231481483</v>
      </c>
      <c r="F225" s="13">
        <v>43056.244444444441</v>
      </c>
      <c r="G225" s="7">
        <v>91</v>
      </c>
      <c r="H225" s="21" t="s">
        <v>1105</v>
      </c>
      <c r="I225" s="13">
        <v>43056.250208333331</v>
      </c>
      <c r="J225" s="7">
        <v>1</v>
      </c>
      <c r="K225" s="89" t="str">
        <f t="shared" si="108"/>
        <v>4023/4024</v>
      </c>
      <c r="L225" s="185" t="str">
        <f>VLOOKUP(A225,'Trips&amp;Operators'!$C$1:$G$99911,5,FALSE)</f>
        <v>BARRON PERLA</v>
      </c>
      <c r="M225" s="6">
        <f t="shared" si="109"/>
        <v>5.7638888902147301E-3</v>
      </c>
      <c r="N225" s="7">
        <f t="shared" si="89"/>
        <v>8.3000000019092113</v>
      </c>
      <c r="O225" s="7"/>
      <c r="P225" s="7"/>
      <c r="Q225" s="22"/>
      <c r="R225" s="174"/>
      <c r="S225" s="221">
        <f t="shared" si="138"/>
        <v>1</v>
      </c>
      <c r="T225" s="174" t="str">
        <f t="shared" si="110"/>
        <v>Southbound</v>
      </c>
      <c r="U225" s="198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1</v>
      </c>
      <c r="V225" s="216" t="str">
        <f t="shared" si="111"/>
        <v>https://d0f6bd738d7f1b3e5a7ca70fe4ff75f0.us-east-1.aws.found.io/app/kibana#/discover/Steve-Slow-Train-Analysis-(2080s-and-2083s)?_g=(refreshInterval:(display:Off,pause:!f,section:0,value:0),time:(from:'2017-11-17T04:45:56-0700',mode:absolute,to:'2017-11-17T07:00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25" s="204" t="str">
        <f>IF(AA225&lt;VLOOKUP(AG225,Variables!$AC$3:$AD$8,2,FALSE),"Y","N")</f>
        <v>Y</v>
      </c>
      <c r="X225" s="204">
        <f t="shared" si="112"/>
        <v>1</v>
      </c>
      <c r="Y225" s="204">
        <f t="shared" si="106"/>
        <v>2.3702999999999999</v>
      </c>
      <c r="Z225" s="204">
        <f t="shared" si="107"/>
        <v>7.4999999999999997E-2</v>
      </c>
      <c r="AA225" s="204">
        <f t="shared" si="113"/>
        <v>2.2952999999999997</v>
      </c>
      <c r="AB225" s="54" t="e">
        <f>VLOOKUP(A225,Enforcements!$C$7:$K$9,8,0)</f>
        <v>#N/A</v>
      </c>
      <c r="AC225" s="51" t="e">
        <f>VLOOKUP(A225,Enforcements!$C$7:$E$9,3,0)</f>
        <v>#N/A</v>
      </c>
      <c r="AD225" s="179">
        <f t="shared" si="114"/>
        <v>902</v>
      </c>
      <c r="AE225" s="77" t="str">
        <f t="shared" si="115"/>
        <v>aws s3 cp s3://rtdc.mdm.uploadarchive.raw/RTDC4023/ "%USERPROFILE%\AppData\Local\Temp\OnboardLogs"\RTDC4023\2017-11-17 --exclude "*" --recursive --include "*20171117*" &amp; "%USERPROFILE%\Documents\GitHub\mrs-test-scripts\Headless Mode &amp; Sideloading\WalkAndUnGZ.bat" "%USERPROFILE%\AppData\Local\Temp\OnboardLogs"\RTDC4023\2017-11-17 &amp; aws s3 cp s3://rtdc.mdm.uploadarchive.raw/RTDC4023/ "%USERPROFILE%\AppData\Local\Temp\OnboardLogs"\RTDC4023\2017-11-18 --exclude "*" --recursive --include "*20171118*" &amp; "%USERPROFILE%\Documents\GitHub\mrs-test-scripts\Headless Mode &amp; Sideloading\WalkAndUnGZ.bat" "%USERPROFILE%\AppData\Local\Temp\OnboardLogs"\RTDC4023\2017-11-18</v>
      </c>
      <c r="AF225" s="74" t="str">
        <f t="shared" si="116"/>
        <v>"C:\Program Files (x86)\AstroGrep\AstroGrep.exe" /e /r /s /spath="%USERPROFILE%\AppData\Local\Temp\OnboardLogs" /stypes="app*4023*20171117*" /stext=" 13:.+((SYSTEM_STATE.+slice.+state.+changed )|(ment ac)|(multiple cpu faults)|(system.+state.+changed )|(\[timeout)|(PRM\|1\|D)|(kpr)|(kdp)|(train st.+moving)|(\|lc)|(penalty))"</v>
      </c>
      <c r="AG225" s="182" t="str">
        <f t="shared" si="117"/>
        <v>Other</v>
      </c>
      <c r="AH225" s="78" t="str">
        <f t="shared" si="118"/>
        <v>"%USERPROFILE%\Documents\GitHub\eaglep3\Utilities\RefineRTDCRunTimes.py" --tripid 902-17 --locoid 4023 --swversion DE.1.0.9.0 --startMP 300:23703 --initTime 2017-11-17T05:45:56 --startdatetime 2017-11-17T05:52:00 --delay 91 --endMP 204:750 --enddatetime 2017-11-17T06:00:18 --enforcementcount 1 &gt;&gt;%USERPROFILE%\Documents\GitHub\eaglep3-reporting\EC\2017-11-17-refined-times.txt</v>
      </c>
      <c r="AI225" s="96" t="str">
        <f t="shared" si="119"/>
        <v>echo {"issue":{"subject":"","project_id":79,"tracker_id":40,"status_id":1,"priority_id":2,"assigned_to_id":338,"start_date":"2017-11-17","description":"","custom_fields":[{"id":1,"name":"Subdivision","value":"Other"},{"id":4,"name":"Milepost","value":"0.075"},{"id":17,"name":"Train ID","value":"902-17"},{"id":16,"name":"Locomotive ID","value":"4023"},{"id":130,"name":"Impact","value":""},{"id":150,"name":"Time of Event (Mountain Time)","value":"06:00:18"},{"id":151,"name":"Denver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5" s="47"/>
      <c r="AL225" s="47"/>
      <c r="AM225" s="142" t="str">
        <f t="shared" si="120"/>
        <v>start /low /b %USERPROFILE%\Documents\GitHub\eaglep3\Utilities\DownloadLogsFromS3.py --loco 4023 --day 2017-11-17</v>
      </c>
      <c r="AN225" s="151" t="str">
        <f t="shared" si="121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13:00:18"},{"id":29,"name":"Sharepoint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 s="168" t="str">
        <f t="shared" si="122"/>
        <v>https://d0f6bd738d7f1b3e5a7ca70fe4ff75f0.us-east-1.aws.found.io/app/kibana#/discover/Steve-Slow-Train-Analysis-(2080s-and-2083s)?_g=(refreshInterval:(display:Off,pause:!f,section:0,value:0),time:(from:'2017-11-17T04:45:56-0700',mode:absolute,to:'2017-11-17T07:00:18-0700'))&amp;_a=(columns:!('Message%20ID',Summary),filters:!(),index:'emp_*',interval:auto,query:(query_string:(analyze_wildcard:!t,query:'%22rtdc.l.rtdc.4023%22')),sort:!(Time.ISO8601,asc))</v>
      </c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s="20" customFormat="1" x14ac:dyDescent="0.3">
      <c r="A226" s="32" t="s">
        <v>721</v>
      </c>
      <c r="B226" s="7">
        <v>4030</v>
      </c>
      <c r="C226" s="21" t="s">
        <v>192</v>
      </c>
      <c r="D226" s="21" t="s">
        <v>1106</v>
      </c>
      <c r="E226" s="13">
        <v>43056.354259259257</v>
      </c>
      <c r="F226" s="13">
        <v>43056.356087962966</v>
      </c>
      <c r="G226" s="7">
        <v>76</v>
      </c>
      <c r="H226" s="21" t="s">
        <v>1107</v>
      </c>
      <c r="I226" s="13">
        <v>43056.367430555554</v>
      </c>
      <c r="J226" s="7">
        <v>1</v>
      </c>
      <c r="K226" s="89" t="str">
        <f t="shared" si="108"/>
        <v>4029/4030</v>
      </c>
      <c r="L226" s="185" t="str">
        <f>VLOOKUP(A226,'Trips&amp;Operators'!$C$1:$G$99911,5,FALSE)</f>
        <v>WILLIAMS DONTE</v>
      </c>
      <c r="M226" s="6">
        <f t="shared" si="109"/>
        <v>1.134259258833481E-2</v>
      </c>
      <c r="N226" s="7">
        <f t="shared" si="89"/>
        <v>16.333333327202126</v>
      </c>
      <c r="O226" s="7"/>
      <c r="P226" s="7"/>
      <c r="Q226" s="22"/>
      <c r="R226" s="174"/>
      <c r="S226" s="221">
        <f t="shared" si="138"/>
        <v>1</v>
      </c>
      <c r="T226" s="174" t="str">
        <f t="shared" si="110"/>
        <v>NorthBound</v>
      </c>
      <c r="U226" s="198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1</v>
      </c>
      <c r="V226" s="216" t="str">
        <f t="shared" si="111"/>
        <v>https://d0f6bd738d7f1b3e5a7ca70fe4ff75f0.us-east-1.aws.found.io/app/kibana#/discover/Steve-Slow-Train-Analysis-(2080s-and-2083s)?_g=(refreshInterval:(display:Off,pause:!f,section:0,value:0),time:(from:'2017-11-17T07:30:08-0700',mode:absolute,to:'2017-11-17T09:49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26" s="204" t="str">
        <f>IF(AA226&lt;VLOOKUP(AG226,Variables!$AC$3:$AD$8,2,FALSE),"Y","N")</f>
        <v>Y</v>
      </c>
      <c r="X226" s="204">
        <f t="shared" si="112"/>
        <v>1</v>
      </c>
      <c r="Y226" s="204">
        <f t="shared" si="106"/>
        <v>3.85E-2</v>
      </c>
      <c r="Z226" s="204">
        <f t="shared" si="107"/>
        <v>2.4207000000000001</v>
      </c>
      <c r="AA226" s="204">
        <f t="shared" si="113"/>
        <v>2.3822000000000001</v>
      </c>
      <c r="AB226" s="54" t="e">
        <f>VLOOKUP(A226,Enforcements!$C$7:$K$9,8,0)</f>
        <v>#N/A</v>
      </c>
      <c r="AC226" s="51" t="e">
        <f>VLOOKUP(A226,Enforcements!$C$7:$E$9,3,0)</f>
        <v>#N/A</v>
      </c>
      <c r="AD226" s="179">
        <f t="shared" si="114"/>
        <v>903</v>
      </c>
      <c r="AE226" s="77" t="str">
        <f t="shared" si="115"/>
        <v>aws s3 cp s3://rtdc.mdm.uploadarchive.raw/RTDC4030/ "%USERPROFILE%\AppData\Local\Temp\OnboardLogs"\RTDC4030\2017-11-17 --exclude "*" --recursive --include "*20171117*" &amp; "%USERPROFILE%\Documents\GitHub\mrs-test-scripts\Headless Mode &amp; Sideloading\WalkAndUnGZ.bat" "%USERPROFILE%\AppData\Local\Temp\OnboardLogs"\RTDC4030\2017-11-17 &amp; aws s3 cp s3://rtdc.mdm.uploadarchive.raw/RTDC4030/ "%USERPROFILE%\AppData\Local\Temp\OnboardLogs"\RTDC4030\2017-11-18 --exclude "*" --recursive --include "*20171118*" &amp; "%USERPROFILE%\Documents\GitHub\mrs-test-scripts\Headless Mode &amp; Sideloading\WalkAndUnGZ.bat" "%USERPROFILE%\AppData\Local\Temp\OnboardLogs"\RTDC4030\2017-11-18</v>
      </c>
      <c r="AF226" s="74" t="str">
        <f t="shared" si="116"/>
        <v>"C:\Program Files (x86)\AstroGrep\AstroGrep.exe" /e /r /s /spath="%USERPROFILE%\AppData\Local\Temp\OnboardLogs" /stypes="app*4030*20171117*" /stext=" 15:.+((SYSTEM_STATE.+slice.+state.+changed )|(ment ac)|(multiple cpu faults)|(system.+state.+changed )|(\[timeout)|(PRM\|1\|D)|(kpr)|(kdp)|(train st.+moving)|(\|lc)|(penalty))"</v>
      </c>
      <c r="AG226" s="182" t="str">
        <f t="shared" si="117"/>
        <v>Other</v>
      </c>
      <c r="AH226" s="78" t="str">
        <f t="shared" si="118"/>
        <v>"%USERPROFILE%\Documents\GitHub\eaglep3\Utilities\RefineRTDCRunTimes.py" --tripid 903-17 --locoid 4030 --swversion DE.1.0.9.0 --startMP 204:385 --initTime 2017-11-17T08:30:08 --startdatetime 2017-11-17T08:32:46 --delay 76 --endMP 300:24207 --enddatetime 2017-11-17T08:49:06 --enforcementcount 1 &gt;&gt;%USERPROFILE%\Documents\GitHub\eaglep3-reporting\EC\2017-11-17-refined-times.txt</v>
      </c>
      <c r="AI226" s="96" t="str">
        <f t="shared" si="119"/>
        <v>echo {"issue":{"subject":"","project_id":79,"tracker_id":40,"status_id":1,"priority_id":2,"assigned_to_id":338,"start_date":"2017-11-17","description":"","custom_fields":[{"id":1,"name":"Subdivision","value":"Other"},{"id":4,"name":"Milepost","value":"2.4207"},{"id":17,"name":"Train ID","value":"903-17"},{"id":16,"name":"Locomotive ID","value":"4030"},{"id":130,"name":"Impact","value":""},{"id":150,"name":"Time of Event (Mountain Time)","value":"08:49:06"},{"id":151,"name":"Denver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6" s="47"/>
      <c r="AL226" s="47"/>
      <c r="AM226" s="142" t="str">
        <f t="shared" si="120"/>
        <v>start /low /b %USERPROFILE%\Documents\GitHub\eaglep3\Utilities\DownloadLogsFromS3.py --loco 4030 --day 2017-11-17</v>
      </c>
      <c r="AN226" s="151" t="str">
        <f t="shared" si="121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15:49:06"},{"id":29,"name":"Sharepoint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 s="168" t="str">
        <f t="shared" si="122"/>
        <v>https://d0f6bd738d7f1b3e5a7ca70fe4ff75f0.us-east-1.aws.found.io/app/kibana#/discover/Steve-Slow-Train-Analysis-(2080s-and-2083s)?_g=(refreshInterval:(display:Off,pause:!f,section:0,value:0),time:(from:'2017-11-17T07:30:08-0700',mode:absolute,to:'2017-11-17T09:49:06-0700'))&amp;_a=(columns:!('Message%20ID',Summary),filters:!(),index:'emp_*',interval:auto,query:(query_string:(analyze_wildcard:!t,query:'%22rtdc.l.rtdc.4030%22')),sort:!(Time.ISO8601,asc))</v>
      </c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s="20" customFormat="1" x14ac:dyDescent="0.3">
      <c r="A227" s="32" t="s">
        <v>800</v>
      </c>
      <c r="B227" s="7">
        <v>4029</v>
      </c>
      <c r="C227" s="21" t="s">
        <v>192</v>
      </c>
      <c r="D227" s="21" t="s">
        <v>1108</v>
      </c>
      <c r="E227" s="13">
        <v>43056.632789351854</v>
      </c>
      <c r="F227" s="13">
        <v>43056.63722222222</v>
      </c>
      <c r="G227" s="7">
        <v>105</v>
      </c>
      <c r="H227" s="21" t="s">
        <v>520</v>
      </c>
      <c r="I227" s="13">
        <v>43056.64267361111</v>
      </c>
      <c r="J227" s="7">
        <v>1</v>
      </c>
      <c r="K227" s="89" t="str">
        <f t="shared" si="108"/>
        <v>4029/4030</v>
      </c>
      <c r="L227" s="185" t="str">
        <f>VLOOKUP(A227,'Trips&amp;Operators'!$C$1:$G$99911,5,FALSE)</f>
        <v>ANDREA WILLIAMS</v>
      </c>
      <c r="M227" s="6">
        <f t="shared" si="109"/>
        <v>5.4513888899236917E-3</v>
      </c>
      <c r="N227" s="7">
        <f t="shared" si="89"/>
        <v>7.8500000014901161</v>
      </c>
      <c r="O227" s="7"/>
      <c r="P227" s="7"/>
      <c r="Q227" s="22"/>
      <c r="R227" s="174"/>
      <c r="S227" s="221">
        <f t="shared" si="138"/>
        <v>1</v>
      </c>
      <c r="T227" s="174" t="str">
        <f t="shared" si="110"/>
        <v>Southbound</v>
      </c>
      <c r="U227" s="198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1</v>
      </c>
      <c r="V227" s="216" t="str">
        <f t="shared" si="111"/>
        <v>https://d0f6bd738d7f1b3e5a7ca70fe4ff75f0.us-east-1.aws.found.io/app/kibana#/discover/Steve-Slow-Train-Analysis-(2080s-and-2083s)?_g=(refreshInterval:(display:Off,pause:!f,section:0,value:0),time:(from:'2017-11-17T14:11:13-0700',mode:absolute,to:'2017-11-17T16:25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27" s="204" t="str">
        <f>IF(AA227&lt;VLOOKUP(AG227,Variables!$AC$3:$AD$8,2,FALSE),"Y","N")</f>
        <v>Y</v>
      </c>
      <c r="X227" s="204">
        <f t="shared" si="112"/>
        <v>1</v>
      </c>
      <c r="Y227" s="204">
        <f t="shared" si="106"/>
        <v>2.3683999999999998</v>
      </c>
      <c r="Z227" s="204">
        <f t="shared" si="107"/>
        <v>1.6899999999999998E-2</v>
      </c>
      <c r="AA227" s="204">
        <f t="shared" si="113"/>
        <v>2.3514999999999997</v>
      </c>
      <c r="AB227" s="54" t="e">
        <f>VLOOKUP(A227,Enforcements!$C$7:$K$9,8,0)</f>
        <v>#N/A</v>
      </c>
      <c r="AC227" s="51" t="e">
        <f>VLOOKUP(A227,Enforcements!$C$7:$E$9,3,0)</f>
        <v>#N/A</v>
      </c>
      <c r="AD227" s="179">
        <f t="shared" si="114"/>
        <v>904</v>
      </c>
      <c r="AE227" s="77" t="str">
        <f t="shared" si="115"/>
        <v>aws s3 cp s3://rtdc.mdm.uploadarchive.raw/RTDC4029/ "%USERPROFILE%\AppData\Local\Temp\OnboardLogs"\RTDC4029\2017-11-17 --exclude "*" --recursive --include "*20171117*" &amp; "%USERPROFILE%\Documents\GitHub\mrs-test-scripts\Headless Mode &amp; Sideloading\WalkAndUnGZ.bat" "%USERPROFILE%\AppData\Local\Temp\OnboardLogs"\RTDC4029\2017-11-17 &amp; aws s3 cp s3://rtdc.mdm.uploadarchive.raw/RTDC4029/ "%USERPROFILE%\AppData\Local\Temp\OnboardLogs"\RTDC4029\2017-11-18 --exclude "*" --recursive --include "*20171118*" &amp; "%USERPROFILE%\Documents\GitHub\mrs-test-scripts\Headless Mode &amp; Sideloading\WalkAndUnGZ.bat" "%USERPROFILE%\AppData\Local\Temp\OnboardLogs"\RTDC4029\2017-11-18</v>
      </c>
      <c r="AF227" s="74" t="str">
        <f t="shared" si="116"/>
        <v>"C:\Program Files (x86)\AstroGrep\AstroGrep.exe" /e /r /s /spath="%USERPROFILE%\AppData\Local\Temp\OnboardLogs" /stypes="app*4029*20171117*" /stext=" 22:.+((SYSTEM_STATE.+slice.+state.+changed )|(ment ac)|(multiple cpu faults)|(system.+state.+changed )|(\[timeout)|(PRM\|1\|D)|(kpr)|(kdp)|(train st.+moving)|(\|lc)|(penalty))"</v>
      </c>
      <c r="AG227" s="182" t="str">
        <f t="shared" si="117"/>
        <v>Other</v>
      </c>
      <c r="AH227" s="78" t="str">
        <f t="shared" si="118"/>
        <v>"%USERPROFILE%\Documents\GitHub\eaglep3\Utilities\RefineRTDCRunTimes.py" --tripid 904-17 --locoid 4029 --swversion DE.1.0.9.0 --startMP 300:23684 --initTime 2017-11-17T15:11:13 --startdatetime 2017-11-17T15:17:36 --delay 105 --endMP 204:169 --enddatetime 2017-11-17T15:25:27 --enforcementcount 1 &gt;&gt;%USERPROFILE%\Documents\GitHub\eaglep3-reporting\EC\2017-11-17-refined-times.txt</v>
      </c>
      <c r="AI227" s="96" t="str">
        <f t="shared" si="119"/>
        <v>echo {"issue":{"subject":"","project_id":79,"tracker_id":40,"status_id":1,"priority_id":2,"assigned_to_id":338,"start_date":"2017-11-17","description":"","custom_fields":[{"id":1,"name":"Subdivision","value":"Other"},{"id":4,"name":"Milepost","value":"0.0169"},{"id":17,"name":"Train ID","value":"904-17"},{"id":16,"name":"Locomotive ID","value":"4029"},{"id":130,"name":"Impact","value":""},{"id":150,"name":"Time of Event (Mountain Time)","value":"15:25:27"},{"id":151,"name":"Denver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7" s="47"/>
      <c r="AL227" s="47"/>
      <c r="AM227" s="142" t="str">
        <f t="shared" si="120"/>
        <v>start /low /b %USERPROFILE%\Documents\GitHub\eaglep3\Utilities\DownloadLogsFromS3.py --loco 4029 --day 2017-11-17</v>
      </c>
      <c r="AN227" s="151" t="str">
        <f t="shared" si="121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22:25:27"},{"id":29,"name":"Sharepoint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 s="168" t="str">
        <f t="shared" si="122"/>
        <v>https://d0f6bd738d7f1b3e5a7ca70fe4ff75f0.us-east-1.aws.found.io/app/kibana#/discover/Steve-Slow-Train-Analysis-(2080s-and-2083s)?_g=(refreshInterval:(display:Off,pause:!f,section:0,value:0),time:(from:'2017-11-17T14:11:13-0700',mode:absolute,to:'2017-11-17T16:25:27-0700'))&amp;_a=(columns:!('Message%20ID',Summary),filters:!(),index:'emp_*',interval:auto,query:(query_string:(analyze_wildcard:!t,query:'%22rtdc.l.rtdc.4029%22')),sort:!(Time.ISO8601,asc))</v>
      </c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s="20" customFormat="1" x14ac:dyDescent="0.3">
      <c r="A228" s="32" t="s">
        <v>849</v>
      </c>
      <c r="B228" s="7">
        <v>4029</v>
      </c>
      <c r="C228" s="21" t="s">
        <v>192</v>
      </c>
      <c r="D228" s="21" t="s">
        <v>611</v>
      </c>
      <c r="E228" s="13">
        <v>43056.789270833331</v>
      </c>
      <c r="F228" s="13">
        <v>43056.79115740741</v>
      </c>
      <c r="G228" s="7">
        <v>75</v>
      </c>
      <c r="H228" s="21" t="s">
        <v>1109</v>
      </c>
      <c r="I228" s="13">
        <v>43056.798645833333</v>
      </c>
      <c r="J228" s="7">
        <v>1</v>
      </c>
      <c r="K228" s="89" t="str">
        <f t="shared" si="108"/>
        <v>4029/4030</v>
      </c>
      <c r="L228" s="185" t="str">
        <f>VLOOKUP(A228,'Trips&amp;Operators'!$C$1:$G$99911,5,FALSE)</f>
        <v>ANDREA WILLIAMS</v>
      </c>
      <c r="M228" s="6">
        <f t="shared" si="109"/>
        <v>7.4884259229293093E-3</v>
      </c>
      <c r="N228" s="7">
        <f t="shared" si="89"/>
        <v>10.783333329018205</v>
      </c>
      <c r="O228" s="7"/>
      <c r="P228" s="7"/>
      <c r="Q228" s="22"/>
      <c r="R228" s="174"/>
      <c r="S228" s="221">
        <f t="shared" si="138"/>
        <v>0</v>
      </c>
      <c r="T228" s="174" t="str">
        <f t="shared" si="110"/>
        <v>Southbound</v>
      </c>
      <c r="U228" s="198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216" t="str">
        <f t="shared" si="111"/>
        <v>https://d0f6bd738d7f1b3e5a7ca70fe4ff75f0.us-east-1.aws.found.io/app/kibana#/discover/Steve-Slow-Train-Analysis-(2080s-and-2083s)?_g=(refreshInterval:(display:Off,pause:!f,section:0,value:0),time:(from:'2017-11-17T17:56:33-0700',mode:absolute,to:'2017-11-17T20:10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28" s="204" t="str">
        <f>IF(AA228&lt;VLOOKUP(AG228,Variables!$AC$3:$AD$8,2,FALSE),"Y","N")</f>
        <v>Y</v>
      </c>
      <c r="X228" s="204">
        <f t="shared" si="112"/>
        <v>2</v>
      </c>
      <c r="Y228" s="204">
        <f t="shared" si="106"/>
        <v>5.8611000000000004</v>
      </c>
      <c r="Z228" s="204">
        <f t="shared" si="107"/>
        <v>2.8782000000000001</v>
      </c>
      <c r="AA228" s="204">
        <f t="shared" si="113"/>
        <v>2.9829000000000003</v>
      </c>
      <c r="AB228" s="54" t="e">
        <f>VLOOKUP(A228,Enforcements!$C$7:$K$9,8,0)</f>
        <v>#N/A</v>
      </c>
      <c r="AC228" s="51" t="e">
        <f>VLOOKUP(A228,Enforcements!$C$7:$E$9,3,0)</f>
        <v>#N/A</v>
      </c>
      <c r="AD228" s="179">
        <f t="shared" si="114"/>
        <v>906</v>
      </c>
      <c r="AE228" s="77" t="str">
        <f t="shared" si="115"/>
        <v>aws s3 cp s3://rtdc.mdm.uploadarchive.raw/RTDC4029/ "%USERPROFILE%\AppData\Local\Temp\OnboardLogs"\RTDC4029\2017-11-17 --exclude "*" --recursive --include "*20171117*" &amp; "%USERPROFILE%\Documents\GitHub\mrs-test-scripts\Headless Mode &amp; Sideloading\WalkAndUnGZ.bat" "%USERPROFILE%\AppData\Local\Temp\OnboardLogs"\RTDC4029\2017-11-17 &amp; aws s3 cp s3://rtdc.mdm.uploadarchive.raw/RTDC4029/ "%USERPROFILE%\AppData\Local\Temp\OnboardLogs"\RTDC4029\2017-11-18 --exclude "*" --recursive --include "*20171118*" &amp; "%USERPROFILE%\Documents\GitHub\mrs-test-scripts\Headless Mode &amp; Sideloading\WalkAndUnGZ.bat" "%USERPROFILE%\AppData\Local\Temp\OnboardLogs"\RTDC4029\2017-11-18</v>
      </c>
      <c r="AF228" s="74" t="str">
        <f t="shared" si="116"/>
        <v>"C:\Program Files (x86)\AstroGrep\AstroGrep.exe" /e /r /s /spath="%USERPROFILE%\AppData\Local\Temp\OnboardLogs" /stypes="app*4029*20171118*" /stext=" 02:.+((SYSTEM_STATE.+slice.+state.+changed )|(ment ac)|(multiple cpu faults)|(system.+state.+changed )|(\[timeout)|(PRM\|1\|D)|(kpr)|(kdp)|(train st.+moving)|(\|lc)|(penalty))"</v>
      </c>
      <c r="AG228" s="182" t="str">
        <f t="shared" si="117"/>
        <v>Other</v>
      </c>
      <c r="AH228" s="78" t="str">
        <f t="shared" si="118"/>
        <v>"%USERPROFILE%\Documents\GitHub\eaglep3\Utilities\RefineRTDCRunTimes.py" --tripid 906-17 --locoid 4029 --swversion DE.1.0.9.0 --startMP 300:58611 --initTime 2017-11-17T18:56:33 --startdatetime 2017-11-17T18:59:16 --delay 75 --endMP 300:28782 --enddatetime 2017-11-17T19:10:03 --enforcementcount 1 &gt;&gt;%USERPROFILE%\Documents\GitHub\eaglep3-reporting\EC\2017-11-17-refined-times.txt</v>
      </c>
      <c r="AI228" s="96" t="str">
        <f t="shared" si="119"/>
        <v>echo {"issue":{"subject":"","project_id":79,"tracker_id":40,"status_id":1,"priority_id":2,"assigned_to_id":338,"start_date":"2017-11-17","description":"","custom_fields":[{"id":1,"name":"Subdivision","value":"Other"},{"id":4,"name":"Milepost","value":"2.8782"},{"id":17,"name":"Train ID","value":"906-17"},{"id":16,"name":"Locomotive ID","value":"4029"},{"id":130,"name":"Impact","value":""},{"id":150,"name":"Time of Event (Mountain Time)","value":"19:10:03"},{"id":151,"name":"Denver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8" s="47"/>
      <c r="AL228" s="47"/>
      <c r="AM228" s="142" t="str">
        <f t="shared" si="120"/>
        <v>start /low /b %USERPROFILE%\Documents\GitHub\eaglep3\Utilities\DownloadLogsFromS3.py --loco 4029 --day 2017-11-17</v>
      </c>
      <c r="AN228" s="151" t="str">
        <f t="shared" si="121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02:10:03"},{"id":29,"name":"Sharepoint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 s="168" t="str">
        <f t="shared" si="122"/>
        <v>https://d0f6bd738d7f1b3e5a7ca70fe4ff75f0.us-east-1.aws.found.io/app/kibana#/discover/Steve-Slow-Train-Analysis-(2080s-and-2083s)?_g=(refreshInterval:(display:Off,pause:!f,section:0,value:0),time:(from:'2017-11-17T17:56:33-0700',mode:absolute,to:'2017-11-17T20:10:03-0700'))&amp;_a=(columns:!('Message%20ID',Summary),filters:!(),index:'emp_*',interval:auto,query:(query_string:(analyze_wildcard:!t,query:'%22rtdc.l.rtdc.4029%22')),sort:!(Time.ISO8601,asc))</v>
      </c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s="20" customFormat="1" x14ac:dyDescent="0.3">
      <c r="A229" s="32" t="s">
        <v>661</v>
      </c>
      <c r="B229" s="7">
        <v>4009</v>
      </c>
      <c r="C229" s="21" t="s">
        <v>192</v>
      </c>
      <c r="D229" s="21" t="s">
        <v>1031</v>
      </c>
      <c r="E229" s="13">
        <v>43056.140439814815</v>
      </c>
      <c r="F229" s="13">
        <v>43056.141956018517</v>
      </c>
      <c r="G229" s="7">
        <v>65</v>
      </c>
      <c r="H229" s="21" t="s">
        <v>605</v>
      </c>
      <c r="I229" s="13">
        <v>43056.143113425926</v>
      </c>
      <c r="J229" s="7">
        <v>1</v>
      </c>
      <c r="K229" s="89" t="str">
        <f t="shared" si="108"/>
        <v>4009/4010</v>
      </c>
      <c r="L229" s="185" t="str">
        <f>VLOOKUP(A229,'Trips&amp;Operators'!$C$1:$G$99911,5,FALSE)</f>
        <v>SPECTOR MICHAEL</v>
      </c>
      <c r="M229" s="6">
        <f t="shared" si="109"/>
        <v>1.157407408754807E-3</v>
      </c>
      <c r="N229" s="7">
        <f t="shared" si="89"/>
        <v>1.666666668606922</v>
      </c>
      <c r="O229" s="7"/>
      <c r="P229" s="7"/>
      <c r="Q229" s="22"/>
      <c r="R229" s="174"/>
      <c r="S229" s="221">
        <f t="shared" si="138"/>
        <v>0</v>
      </c>
      <c r="T229" s="174" t="str">
        <f t="shared" si="110"/>
        <v>Southbound</v>
      </c>
      <c r="U229" s="198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216" t="str">
        <f t="shared" si="111"/>
        <v>https://d0f6bd738d7f1b3e5a7ca70fe4ff75f0.us-east-1.aws.found.io/app/kibana#/discover/Steve-Slow-Train-Analysis-(2080s-and-2083s)?_g=(refreshInterval:(display:Off,pause:!f,section:0,value:0),time:(from:'2017-11-17T02:22:14-0700',mode:absolute,to:'2017-11-17T04:26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29" s="204" t="str">
        <f>IF(AA229&lt;VLOOKUP(AG229,Variables!$AC$3:$AD$8,2,FALSE),"Y","N")</f>
        <v>Y</v>
      </c>
      <c r="X229" s="204">
        <f t="shared" si="112"/>
        <v>-856</v>
      </c>
      <c r="Y229" s="204">
        <f t="shared" si="106"/>
        <v>0.34320000000000001</v>
      </c>
      <c r="Z229" s="204">
        <f t="shared" si="107"/>
        <v>0.11749999999999999</v>
      </c>
      <c r="AA229" s="204">
        <f t="shared" si="113"/>
        <v>0.22570000000000001</v>
      </c>
      <c r="AB229" s="54" t="e">
        <f>VLOOKUP(A229,Enforcements!$C$7:$K$9,8,0)</f>
        <v>#N/A</v>
      </c>
      <c r="AC229" s="51" t="e">
        <f>VLOOKUP(A229,Enforcements!$C$7:$E$9,3,0)</f>
        <v>#N/A</v>
      </c>
      <c r="AD229" s="179">
        <f t="shared" si="114"/>
        <v>50</v>
      </c>
      <c r="AE229" s="77" t="str">
        <f t="shared" si="115"/>
        <v>aws s3 cp s3://rtdc.mdm.uploadarchive.raw/RTDC4009/ "%USERPROFILE%\AppData\Local\Temp\OnboardLogs"\RTDC4009\2017-11-17 --exclude "*" --recursive --include "*20171117*" &amp; "%USERPROFILE%\Documents\GitHub\mrs-test-scripts\Headless Mode &amp; Sideloading\WalkAndUnGZ.bat" "%USERPROFILE%\AppData\Local\Temp\OnboardLogs"\RTDC4009\2017-11-17 &amp; aws s3 cp s3://rtdc.mdm.uploadarchive.raw/RTDC4009/ "%USERPROFILE%\AppData\Local\Temp\OnboardLogs"\RTDC4009\2017-11-18 --exclude "*" --recursive --include "*20171118*" &amp; "%USERPROFILE%\Documents\GitHub\mrs-test-scripts\Headless Mode &amp; Sideloading\WalkAndUnGZ.bat" "%USERPROFILE%\AppData\Local\Temp\OnboardLogs"\RTDC4009\2017-11-18</v>
      </c>
      <c r="AF229" s="74" t="str">
        <f t="shared" si="116"/>
        <v>"C:\Program Files (x86)\AstroGrep\AstroGrep.exe" /e /r /s /spath="%USERPROFILE%\AppData\Local\Temp\OnboardLogs" /stypes="app*4009*20171117*" /stext=" 10:.+((SYSTEM_STATE.+slice.+state.+changed )|(ment ac)|(multiple cpu faults)|(system.+state.+changed )|(\[timeout)|(PRM\|1\|D)|(kpr)|(kdp)|(train st.+moving)|(\|lc)|(penalty))"</v>
      </c>
      <c r="AG229" s="182" t="str">
        <f t="shared" si="117"/>
        <v>Shuttle/Test</v>
      </c>
      <c r="AH229" s="78" t="str">
        <f t="shared" si="118"/>
        <v>"%USERPROFILE%\Documents\GitHub\eaglep3\Utilities\RefineRTDCRunTimes.py" --tripid 50-17 --locoid 4009 --swversion DE.1.0.9.0 --startMP 204:3432 --initTime 2017-11-17T03:22:14 --startdatetime 2017-11-17T03:24:25 --delay 65 --endMP 204:1175 --enddatetime 2017-11-17T03:26:05 --enforcementcount 1 &gt;&gt;%USERPROFILE%\Documents\GitHub\eaglep3-reporting\EC\2017-11-17-refined-times.txt</v>
      </c>
      <c r="AI229" s="96" t="str">
        <f t="shared" si="119"/>
        <v>echo {"issue":{"subject":"","project_id":79,"tracker_id":40,"status_id":1,"priority_id":2,"assigned_to_id":338,"start_date":"2017-11-17","description":"","custom_fields":[{"id":1,"name":"Subdivision","value":"Shuttle/Test"},{"id":4,"name":"Milepost","value":"0.1175"},{"id":17,"name":"Train ID","value":"50-17"},{"id":16,"name":"Locomotive ID","value":"4009"},{"id":130,"name":"Impact","value":""},{"id":150,"name":"Time of Event (Mountain Time)","value":"03:26:05"},{"id":151,"name":"Denver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9" s="47"/>
      <c r="AL229" s="47"/>
      <c r="AM229" s="142" t="str">
        <f t="shared" si="120"/>
        <v>start /low /b %USERPROFILE%\Documents\GitHub\eaglep3\Utilities\DownloadLogsFromS3.py --loco 4009 --day 2017-11-17</v>
      </c>
      <c r="AN229" s="151" t="str">
        <f t="shared" si="121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10:26:05"},{"id":29,"name":"Sharepoint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 s="168" t="str">
        <f t="shared" si="122"/>
        <v>https://d0f6bd738d7f1b3e5a7ca70fe4ff75f0.us-east-1.aws.found.io/app/kibana#/discover/Steve-Slow-Train-Analysis-(2080s-and-2083s)?_g=(refreshInterval:(display:Off,pause:!f,section:0,value:0),time:(from:'2017-11-17T02:22:14-0700',mode:absolute,to:'2017-11-17T04:26:05-0700'))&amp;_a=(columns:!('Message%20ID',Summary),filters:!(),index:'emp_*',interval:auto,query:(query_string:(analyze_wildcard:!t,query:'%22rtdc.l.rtdc.4009%22')),sort:!(Time.ISO8601,asc))</v>
      </c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s="20" customFormat="1" x14ac:dyDescent="0.3">
      <c r="A230" s="32" t="s">
        <v>659</v>
      </c>
      <c r="B230" s="7">
        <v>4010</v>
      </c>
      <c r="C230" s="21" t="s">
        <v>192</v>
      </c>
      <c r="D230" s="21" t="s">
        <v>1032</v>
      </c>
      <c r="E230" s="13">
        <v>43056.128993055558</v>
      </c>
      <c r="F230" s="13">
        <v>43056.138020833336</v>
      </c>
      <c r="G230" s="7">
        <v>67</v>
      </c>
      <c r="H230" s="21" t="s">
        <v>1033</v>
      </c>
      <c r="I230" s="13">
        <v>43056.139409722222</v>
      </c>
      <c r="J230" s="7">
        <v>1</v>
      </c>
      <c r="K230" s="89" t="str">
        <f t="shared" si="108"/>
        <v>4009/4010</v>
      </c>
      <c r="L230" s="185" t="str">
        <f>VLOOKUP(A230,'Trips&amp;Operators'!$C$1:$G$99911,5,FALSE)</f>
        <v>SPECTOR MICHAEL</v>
      </c>
      <c r="M230" s="6">
        <f t="shared" si="109"/>
        <v>1.3888888861401938E-3</v>
      </c>
      <c r="N230" s="7">
        <f t="shared" si="89"/>
        <v>1.9999999960418791</v>
      </c>
      <c r="O230" s="7"/>
      <c r="P230" s="7"/>
      <c r="Q230" s="22"/>
      <c r="R230" s="174"/>
      <c r="S230" s="221">
        <f t="shared" si="138"/>
        <v>0</v>
      </c>
      <c r="T230" s="174" t="str">
        <f t="shared" si="110"/>
        <v>NorthBound</v>
      </c>
      <c r="U230" s="198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216" t="str">
        <f t="shared" si="111"/>
        <v>https://d0f6bd738d7f1b3e5a7ca70fe4ff75f0.us-east-1.aws.found.io/app/kibana#/discover/Steve-Slow-Train-Analysis-(2080s-and-2083s)?_g=(refreshInterval:(display:Off,pause:!f,section:0,value:0),time:(from:'2017-11-17T02:05:45-0700',mode:absolute,to:'2017-11-17T04:20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30" s="204" t="str">
        <f>IF(AA230&lt;VLOOKUP(AG230,Variables!$AC$3:$AD$8,2,FALSE),"Y","N")</f>
        <v>Y</v>
      </c>
      <c r="X230" s="204">
        <f t="shared" si="112"/>
        <v>1</v>
      </c>
      <c r="Y230" s="204">
        <f t="shared" si="106"/>
        <v>4.4900000000000002E-2</v>
      </c>
      <c r="Z230" s="204">
        <f t="shared" si="107"/>
        <v>0.374</v>
      </c>
      <c r="AA230" s="204">
        <f t="shared" si="113"/>
        <v>0.3291</v>
      </c>
      <c r="AB230" s="54" t="e">
        <f>VLOOKUP(A230,Enforcements!$C$7:$K$9,8,0)</f>
        <v>#N/A</v>
      </c>
      <c r="AC230" s="51" t="e">
        <f>VLOOKUP(A230,Enforcements!$C$7:$E$9,3,0)</f>
        <v>#N/A</v>
      </c>
      <c r="AD230" s="179">
        <f t="shared" si="114"/>
        <v>51</v>
      </c>
      <c r="AE230" s="77" t="str">
        <f t="shared" si="115"/>
        <v>aws s3 cp s3://rtdc.mdm.uploadarchive.raw/RTDC4010/ "%USERPROFILE%\AppData\Local\Temp\OnboardLogs"\RTDC4010\2017-11-17 --exclude "*" --recursive --include "*20171117*" &amp; "%USERPROFILE%\Documents\GitHub\mrs-test-scripts\Headless Mode &amp; Sideloading\WalkAndUnGZ.bat" "%USERPROFILE%\AppData\Local\Temp\OnboardLogs"\RTDC4010\2017-11-17 &amp; aws s3 cp s3://rtdc.mdm.uploadarchive.raw/RTDC4010/ "%USERPROFILE%\AppData\Local\Temp\OnboardLogs"\RTDC4010\2017-11-18 --exclude "*" --recursive --include "*20171118*" &amp; "%USERPROFILE%\Documents\GitHub\mrs-test-scripts\Headless Mode &amp; Sideloading\WalkAndUnGZ.bat" "%USERPROFILE%\AppData\Local\Temp\OnboardLogs"\RTDC4010\2017-11-18</v>
      </c>
      <c r="AF230" s="74" t="str">
        <f t="shared" si="116"/>
        <v>"C:\Program Files (x86)\AstroGrep\AstroGrep.exe" /e /r /s /spath="%USERPROFILE%\AppData\Local\Temp\OnboardLogs" /stypes="app*4010*20171117*" /stext=" 10:.+((SYSTEM_STATE.+slice.+state.+changed )|(ment ac)|(multiple cpu faults)|(system.+state.+changed )|(\[timeout)|(PRM\|1\|D)|(kpr)|(kdp)|(train st.+moving)|(\|lc)|(penalty))"</v>
      </c>
      <c r="AG230" s="182" t="str">
        <f t="shared" si="117"/>
        <v>Shuttle/Test</v>
      </c>
      <c r="AH230" s="78" t="str">
        <f t="shared" si="118"/>
        <v>"%USERPROFILE%\Documents\GitHub\eaglep3\Utilities\RefineRTDCRunTimes.py" --tripid 51-17 --locoid 4010 --swversion DE.1.0.9.0 --startMP 204:449 --initTime 2017-11-17T03:05:45 --startdatetime 2017-11-17T03:18:45 --delay 67 --endMP 204:3740 --enddatetime 2017-11-17T03:20:45 --enforcementcount 1 &gt;&gt;%USERPROFILE%\Documents\GitHub\eaglep3-reporting\EC\2017-11-17-refined-times.txt</v>
      </c>
      <c r="AI230" s="96" t="str">
        <f t="shared" si="119"/>
        <v>echo {"issue":{"subject":"","project_id":79,"tracker_id":40,"status_id":1,"priority_id":2,"assigned_to_id":338,"start_date":"2017-11-17","description":"","custom_fields":[{"id":1,"name":"Subdivision","value":"Shuttle/Test"},{"id":4,"name":"Milepost","value":"0.374"},{"id":17,"name":"Train ID","value":"51-17"},{"id":16,"name":"Locomotive ID","value":"4010"},{"id":130,"name":"Impact","value":""},{"id":150,"name":"Time of Event (Mountain Time)","value":"03:20:45"},{"id":151,"name":"Denver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0" s="47"/>
      <c r="AL230" s="47"/>
      <c r="AM230" s="142" t="str">
        <f t="shared" si="120"/>
        <v>start /low /b %USERPROFILE%\Documents\GitHub\eaglep3\Utilities\DownloadLogsFromS3.py --loco 4010 --day 2017-11-17</v>
      </c>
      <c r="AN230" s="151" t="str">
        <f t="shared" si="121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10:20:45"},{"id":29,"name":"Sharepoint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 s="168" t="str">
        <f t="shared" si="122"/>
        <v>https://d0f6bd738d7f1b3e5a7ca70fe4ff75f0.us-east-1.aws.found.io/app/kibana#/discover/Steve-Slow-Train-Analysis-(2080s-and-2083s)?_g=(refreshInterval:(display:Off,pause:!f,section:0,value:0),time:(from:'2017-11-17T02:05:45-0700',mode:absolute,to:'2017-11-17T04:20:45-0700'))&amp;_a=(columns:!('Message%20ID',Summary),filters:!(),index:'emp_*',interval:auto,query:(query_string:(analyze_wildcard:!t,query:'%22rtdc.l.rtdc.4010%22')),sort:!(Time.ISO8601,asc))</v>
      </c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s="20" customFormat="1" x14ac:dyDescent="0.3">
      <c r="A231" s="32" t="s">
        <v>659</v>
      </c>
      <c r="B231" s="7">
        <v>4010</v>
      </c>
      <c r="C231" s="21" t="s">
        <v>192</v>
      </c>
      <c r="D231" s="21" t="s">
        <v>1034</v>
      </c>
      <c r="E231" s="13">
        <v>43056.435219907406</v>
      </c>
      <c r="F231" s="13">
        <v>43056.445138888892</v>
      </c>
      <c r="G231" s="7">
        <v>61</v>
      </c>
      <c r="H231" s="21" t="s">
        <v>1035</v>
      </c>
      <c r="I231" s="13">
        <v>43056.446435185186</v>
      </c>
      <c r="J231" s="7">
        <v>1</v>
      </c>
      <c r="K231" s="89" t="str">
        <f t="shared" si="108"/>
        <v>4009/4010</v>
      </c>
      <c r="L231" s="185" t="str">
        <f>VLOOKUP(A231,'Trips&amp;Operators'!$C$1:$G$99911,5,FALSE)</f>
        <v>SPECTOR MICHAEL</v>
      </c>
      <c r="M231" s="6">
        <f t="shared" si="109"/>
        <v>1.2962962937308475E-3</v>
      </c>
      <c r="N231" s="7">
        <f t="shared" si="89"/>
        <v>1.8666666629724205</v>
      </c>
      <c r="O231" s="7"/>
      <c r="P231" s="7"/>
      <c r="Q231" s="22"/>
      <c r="R231" s="174"/>
      <c r="S231" s="221">
        <f t="shared" si="138"/>
        <v>0</v>
      </c>
      <c r="T231" s="174" t="str">
        <f t="shared" si="110"/>
        <v>NorthBound</v>
      </c>
      <c r="U231" s="198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216" t="str">
        <f t="shared" si="111"/>
        <v>https://d0f6bd738d7f1b3e5a7ca70fe4ff75f0.us-east-1.aws.found.io/app/kibana#/discover/Steve-Slow-Train-Analysis-(2080s-and-2083s)?_g=(refreshInterval:(display:Off,pause:!f,section:0,value:0),time:(from:'2017-11-17T09:26:43-0700',mode:absolute,to:'2017-11-17T11:42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31" s="204" t="str">
        <f>IF(AA231&lt;VLOOKUP(AG231,Variables!$AC$3:$AD$8,2,FALSE),"Y","N")</f>
        <v>Y</v>
      </c>
      <c r="X231" s="204">
        <f t="shared" si="112"/>
        <v>0</v>
      </c>
      <c r="Y231" s="204">
        <f t="shared" si="106"/>
        <v>0.14979999999999999</v>
      </c>
      <c r="Z231" s="204">
        <f t="shared" si="107"/>
        <v>0.33979999999999999</v>
      </c>
      <c r="AA231" s="204">
        <f t="shared" si="113"/>
        <v>0.19</v>
      </c>
      <c r="AB231" s="54" t="e">
        <f>VLOOKUP(A231,Enforcements!$C$7:$K$9,8,0)</f>
        <v>#N/A</v>
      </c>
      <c r="AC231" s="51" t="e">
        <f>VLOOKUP(A231,Enforcements!$C$7:$E$9,3,0)</f>
        <v>#N/A</v>
      </c>
      <c r="AD231" s="179">
        <f t="shared" si="114"/>
        <v>51</v>
      </c>
      <c r="AE231" s="77" t="str">
        <f t="shared" si="115"/>
        <v>aws s3 cp s3://rtdc.mdm.uploadarchive.raw/RTDC4010/ "%USERPROFILE%\AppData\Local\Temp\OnboardLogs"\RTDC4010\2017-11-17 --exclude "*" --recursive --include "*20171117*" &amp; "%USERPROFILE%\Documents\GitHub\mrs-test-scripts\Headless Mode &amp; Sideloading\WalkAndUnGZ.bat" "%USERPROFILE%\AppData\Local\Temp\OnboardLogs"\RTDC4010\2017-11-17 &amp; aws s3 cp s3://rtdc.mdm.uploadarchive.raw/RTDC4010/ "%USERPROFILE%\AppData\Local\Temp\OnboardLogs"\RTDC4010\2017-11-18 --exclude "*" --recursive --include "*20171118*" &amp; "%USERPROFILE%\Documents\GitHub\mrs-test-scripts\Headless Mode &amp; Sideloading\WalkAndUnGZ.bat" "%USERPROFILE%\AppData\Local\Temp\OnboardLogs"\RTDC4010\2017-11-18</v>
      </c>
      <c r="AF231" s="74" t="str">
        <f t="shared" si="116"/>
        <v>"C:\Program Files (x86)\AstroGrep\AstroGrep.exe" /e /r /s /spath="%USERPROFILE%\AppData\Local\Temp\OnboardLogs" /stypes="app*4010*20171117*" /stext=" 17:.+((SYSTEM_STATE.+slice.+state.+changed )|(ment ac)|(multiple cpu faults)|(system.+state.+changed )|(\[timeout)|(PRM\|1\|D)|(kpr)|(kdp)|(train st.+moving)|(\|lc)|(penalty))"</v>
      </c>
      <c r="AG231" s="182" t="str">
        <f t="shared" si="117"/>
        <v>Shuttle/Test</v>
      </c>
      <c r="AH231" s="78" t="str">
        <f t="shared" si="118"/>
        <v>"%USERPROFILE%\Documents\GitHub\eaglep3\Utilities\RefineRTDCRunTimes.py" --tripid 51-17 --locoid 4010 --swversion DE.1.0.9.0 --startMP 204:1498 --initTime 2017-11-17T10:26:43 --startdatetime 2017-11-17T10:41:00 --delay 61 --endMP 204:3398 --enddatetime 2017-11-17T10:42:52 --enforcementcount 1 &gt;&gt;%USERPROFILE%\Documents\GitHub\eaglep3-reporting\EC\2017-11-17-refined-times.txt</v>
      </c>
      <c r="AI231" s="96" t="str">
        <f t="shared" si="119"/>
        <v>echo {"issue":{"subject":"","project_id":79,"tracker_id":40,"status_id":1,"priority_id":2,"assigned_to_id":338,"start_date":"2017-11-17","description":"","custom_fields":[{"id":1,"name":"Subdivision","value":"Shuttle/Test"},{"id":4,"name":"Milepost","value":"0.3398"},{"id":17,"name":"Train ID","value":"51-17"},{"id":16,"name":"Locomotive ID","value":"4010"},{"id":130,"name":"Impact","value":""},{"id":150,"name":"Time of Event (Mountain Time)","value":"10:42:52"},{"id":151,"name":"Denver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1" s="47"/>
      <c r="AL231" s="47"/>
      <c r="AM231" s="142" t="str">
        <f t="shared" si="120"/>
        <v>start /low /b %USERPROFILE%\Documents\GitHub\eaglep3\Utilities\DownloadLogsFromS3.py --loco 4010 --day 2017-11-17</v>
      </c>
      <c r="AN231" s="151" t="str">
        <f t="shared" si="121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17:42:52"},{"id":29,"name":"Sharepoint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 s="168" t="str">
        <f t="shared" si="122"/>
        <v>https://d0f6bd738d7f1b3e5a7ca70fe4ff75f0.us-east-1.aws.found.io/app/kibana#/discover/Steve-Slow-Train-Analysis-(2080s-and-2083s)?_g=(refreshInterval:(display:Off,pause:!f,section:0,value:0),time:(from:'2017-11-17T09:26:43-0700',mode:absolute,to:'2017-11-17T11:42:52-0700'))&amp;_a=(columns:!('Message%20ID',Summary),filters:!(),index:'emp_*',interval:auto,query:(query_string:(analyze_wildcard:!t,query:'%22rtdc.l.rtdc.4010%22')),sort:!(Time.ISO8601,asc))</v>
      </c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s="20" customFormat="1" x14ac:dyDescent="0.3">
      <c r="A232" s="32" t="s">
        <v>659</v>
      </c>
      <c r="B232" s="7">
        <v>4009</v>
      </c>
      <c r="C232" s="21" t="s">
        <v>192</v>
      </c>
      <c r="D232" s="21" t="s">
        <v>1036</v>
      </c>
      <c r="E232" s="13">
        <v>43056.444050925929</v>
      </c>
      <c r="F232" s="13">
        <v>43056.445138888892</v>
      </c>
      <c r="G232" s="7">
        <v>44</v>
      </c>
      <c r="H232" s="21" t="s">
        <v>927</v>
      </c>
      <c r="I232" s="13">
        <v>43056.446435185186</v>
      </c>
      <c r="J232" s="7">
        <v>1</v>
      </c>
      <c r="K232" s="89" t="str">
        <f t="shared" si="108"/>
        <v>4009/4010</v>
      </c>
      <c r="L232" s="185" t="str">
        <f>VLOOKUP(A232,'Trips&amp;Operators'!$C$1:$G$99911,5,FALSE)</f>
        <v>SPECTOR MICHAEL</v>
      </c>
      <c r="M232" s="6">
        <f t="shared" si="109"/>
        <v>1.2962962937308475E-3</v>
      </c>
      <c r="N232" s="7">
        <f t="shared" si="89"/>
        <v>1.8666666629724205</v>
      </c>
      <c r="O232" s="7"/>
      <c r="P232" s="7"/>
      <c r="Q232" s="22"/>
      <c r="R232" s="174"/>
      <c r="S232" s="221">
        <f t="shared" si="138"/>
        <v>0</v>
      </c>
      <c r="T232" s="174" t="str">
        <f t="shared" si="110"/>
        <v>NorthBound</v>
      </c>
      <c r="U232" s="198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216" t="str">
        <f t="shared" si="111"/>
        <v>https://d0f6bd738d7f1b3e5a7ca70fe4ff75f0.us-east-1.aws.found.io/app/kibana#/discover/Steve-Slow-Train-Analysis-(2080s-and-2083s)?_g=(refreshInterval:(display:Off,pause:!f,section:0,value:0),time:(from:'2017-11-17T09:39:26-0700',mode:absolute,to:'2017-11-17T11:42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32" s="204" t="str">
        <f>IF(AA232&lt;VLOOKUP(AG232,Variables!$AC$3:$AD$8,2,FALSE),"Y","N")</f>
        <v>Y</v>
      </c>
      <c r="X232" s="204">
        <f t="shared" si="112"/>
        <v>0</v>
      </c>
      <c r="Y232" s="204">
        <f t="shared" si="106"/>
        <v>0.30730000000000002</v>
      </c>
      <c r="Z232" s="204">
        <f t="shared" si="107"/>
        <v>1.49E-2</v>
      </c>
      <c r="AA232" s="204">
        <f t="shared" si="113"/>
        <v>0.29239999999999999</v>
      </c>
      <c r="AB232" s="54" t="e">
        <f>VLOOKUP(A232,Enforcements!$C$7:$K$9,8,0)</f>
        <v>#N/A</v>
      </c>
      <c r="AC232" s="51" t="e">
        <f>VLOOKUP(A232,Enforcements!$C$7:$E$9,3,0)</f>
        <v>#N/A</v>
      </c>
      <c r="AD232" s="179">
        <f t="shared" si="114"/>
        <v>51</v>
      </c>
      <c r="AE232" s="77" t="str">
        <f t="shared" si="115"/>
        <v>aws s3 cp s3://rtdc.mdm.uploadarchive.raw/RTDC4009/ "%USERPROFILE%\AppData\Local\Temp\OnboardLogs"\RTDC4009\2017-11-17 --exclude "*" --recursive --include "*20171117*" &amp; "%USERPROFILE%\Documents\GitHub\mrs-test-scripts\Headless Mode &amp; Sideloading\WalkAndUnGZ.bat" "%USERPROFILE%\AppData\Local\Temp\OnboardLogs"\RTDC4009\2017-11-17 &amp; aws s3 cp s3://rtdc.mdm.uploadarchive.raw/RTDC4009/ "%USERPROFILE%\AppData\Local\Temp\OnboardLogs"\RTDC4009\2017-11-18 --exclude "*" --recursive --include "*20171118*" &amp; "%USERPROFILE%\Documents\GitHub\mrs-test-scripts\Headless Mode &amp; Sideloading\WalkAndUnGZ.bat" "%USERPROFILE%\AppData\Local\Temp\OnboardLogs"\RTDC4009\2017-11-18</v>
      </c>
      <c r="AF232" s="74" t="str">
        <f t="shared" si="116"/>
        <v>"C:\Program Files (x86)\AstroGrep\AstroGrep.exe" /e /r /s /spath="%USERPROFILE%\AppData\Local\Temp\OnboardLogs" /stypes="app*4009*20171117*" /stext=" 17:.+((SYSTEM_STATE.+slice.+state.+changed )|(ment ac)|(multiple cpu faults)|(system.+state.+changed )|(\[timeout)|(PRM\|1\|D)|(kpr)|(kdp)|(train st.+moving)|(\|lc)|(penalty))"</v>
      </c>
      <c r="AG232" s="182" t="str">
        <f t="shared" si="117"/>
        <v>Shuttle/Test</v>
      </c>
      <c r="AH232" s="78" t="str">
        <f t="shared" si="118"/>
        <v>"%USERPROFILE%\Documents\GitHub\eaglep3\Utilities\RefineRTDCRunTimes.py" --tripid 51-17 --locoid 4009 --swversion DE.1.0.9.0 --startMP 204:3073 --initTime 2017-11-17T10:39:26 --startdatetime 2017-11-17T10:41:00 --delay 44 --endMP 204:149 --enddatetime 2017-11-17T10:42:52 --enforcementcount 1 &gt;&gt;%USERPROFILE%\Documents\GitHub\eaglep3-reporting\EC\2017-11-17-refined-times.txt</v>
      </c>
      <c r="AI232" s="96" t="str">
        <f t="shared" si="119"/>
        <v>echo {"issue":{"subject":"","project_id":79,"tracker_id":40,"status_id":1,"priority_id":2,"assigned_to_id":338,"start_date":"2017-11-17","description":"","custom_fields":[{"id":1,"name":"Subdivision","value":"Shuttle/Test"},{"id":4,"name":"Milepost","value":"0.0149"},{"id":17,"name":"Train ID","value":"51-17"},{"id":16,"name":"Locomotive ID","value":"4009"},{"id":130,"name":"Impact","value":""},{"id":150,"name":"Time of Event (Mountain Time)","value":"10:42:52"},{"id":151,"name":"Denver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2" s="47"/>
      <c r="AL232" s="47"/>
      <c r="AM232" s="142" t="str">
        <f t="shared" si="120"/>
        <v>start /low /b %USERPROFILE%\Documents\GitHub\eaglep3\Utilities\DownloadLogsFromS3.py --loco 4009 --day 2017-11-17</v>
      </c>
      <c r="AN232" s="151" t="str">
        <f t="shared" si="121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17:42:52"},{"id":29,"name":"Sharepoint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 s="168" t="str">
        <f t="shared" si="122"/>
        <v>https://d0f6bd738d7f1b3e5a7ca70fe4ff75f0.us-east-1.aws.found.io/app/kibana#/discover/Steve-Slow-Train-Analysis-(2080s-and-2083s)?_g=(refreshInterval:(display:Off,pause:!f,section:0,value:0),time:(from:'2017-11-17T09:39:26-0700',mode:absolute,to:'2017-11-17T11:42:52-0700'))&amp;_a=(columns:!('Message%20ID',Summary),filters:!(),index:'emp_*',interval:auto,query:(query_string:(analyze_wildcard:!t,query:'%22rtdc.l.rtdc.4009%22')),sort:!(Time.ISO8601,asc))</v>
      </c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s="20" customFormat="1" x14ac:dyDescent="0.3">
      <c r="A233" s="32" t="s">
        <v>743</v>
      </c>
      <c r="B233" s="7">
        <v>4061</v>
      </c>
      <c r="C233" s="21" t="s">
        <v>192</v>
      </c>
      <c r="D233" s="21" t="s">
        <v>1037</v>
      </c>
      <c r="E233" s="13">
        <v>43056.448877314811</v>
      </c>
      <c r="F233" s="13">
        <v>43056.453460648147</v>
      </c>
      <c r="G233" s="7">
        <v>75</v>
      </c>
      <c r="H233" s="21" t="s">
        <v>941</v>
      </c>
      <c r="I233" s="13">
        <v>43056.458622685182</v>
      </c>
      <c r="J233" s="7">
        <v>1</v>
      </c>
      <c r="K233" s="89" t="str">
        <f t="shared" si="108"/>
        <v>4061/4062</v>
      </c>
      <c r="L233" s="185" t="str">
        <f>VLOOKUP(A233,'Trips&amp;Operators'!$C$1:$G$99911,5,FALSE)</f>
        <v>MOSES BRADLEY</v>
      </c>
      <c r="M233" s="6">
        <f t="shared" si="109"/>
        <v>5.1620370359160006E-3</v>
      </c>
      <c r="N233" s="7">
        <f t="shared" ref="N233:N244" si="139">24*60*SUM($M233:$M233)</f>
        <v>7.4333333317190409</v>
      </c>
      <c r="O233" s="7"/>
      <c r="P233" s="7"/>
      <c r="Q233" s="22"/>
      <c r="R233" s="174"/>
      <c r="S233" s="221">
        <f t="shared" si="138"/>
        <v>1</v>
      </c>
      <c r="T233" s="174" t="str">
        <f t="shared" si="110"/>
        <v>Southbound</v>
      </c>
      <c r="U233" s="198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1</v>
      </c>
      <c r="V233" s="216" t="str">
        <f t="shared" si="111"/>
        <v>https://d0f6bd738d7f1b3e5a7ca70fe4ff75f0.us-east-1.aws.found.io/app/kibana#/discover/Steve-Slow-Train-Analysis-(2080s-and-2083s)?_g=(refreshInterval:(display:Off,pause:!f,section:0,value:0),time:(from:'2017-11-17T09:46:23-0700',mode:absolute,to:'2017-11-17T12:00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33" s="204" t="str">
        <f>IF(AA233&lt;VLOOKUP(AG233,Variables!$AC$3:$AD$8,2,FALSE),"Y","N")</f>
        <v>Y</v>
      </c>
      <c r="X233" s="204">
        <f t="shared" si="112"/>
        <v>7</v>
      </c>
      <c r="Y233" s="204">
        <f t="shared" si="106"/>
        <v>2.0200999999999998</v>
      </c>
      <c r="Z233" s="204">
        <f t="shared" si="107"/>
        <v>1.7600000000000001E-2</v>
      </c>
      <c r="AA233" s="204">
        <f t="shared" si="113"/>
        <v>2.0024999999999999</v>
      </c>
      <c r="AB233" s="54" t="e">
        <f>VLOOKUP(A233,Enforcements!$C$7:$K$9,8,0)</f>
        <v>#N/A</v>
      </c>
      <c r="AC233" s="51" t="e">
        <f>VLOOKUP(A233,Enforcements!$C$7:$E$9,3,0)</f>
        <v>#N/A</v>
      </c>
      <c r="AD233" s="179">
        <f t="shared" si="114"/>
        <v>58</v>
      </c>
      <c r="AE233" s="77" t="str">
        <f t="shared" si="115"/>
        <v>aws s3 cp s3://rtdc.mdm.uploadarchive.raw/RTDC4061/ "%USERPROFILE%\AppData\Local\Temp\OnboardLogs"\RTDC4061\2017-11-17 --exclude "*" --recursive --include "*20171117*" &amp; "%USERPROFILE%\Documents\GitHub\mrs-test-scripts\Headless Mode &amp; Sideloading\WalkAndUnGZ.bat" "%USERPROFILE%\AppData\Local\Temp\OnboardLogs"\RTDC4061\2017-11-17 &amp; aws s3 cp s3://rtdc.mdm.uploadarchive.raw/RTDC4061/ "%USERPROFILE%\AppData\Local\Temp\OnboardLogs"\RTDC4061\2017-11-18 --exclude "*" --recursive --include "*20171118*" &amp; "%USERPROFILE%\Documents\GitHub\mrs-test-scripts\Headless Mode &amp; Sideloading\WalkAndUnGZ.bat" "%USERPROFILE%\AppData\Local\Temp\OnboardLogs"\RTDC4061\2017-11-18</v>
      </c>
      <c r="AF233" s="74" t="str">
        <f t="shared" si="116"/>
        <v>"C:\Program Files (x86)\AstroGrep\AstroGrep.exe" /e /r /s /spath="%USERPROFILE%\AppData\Local\Temp\OnboardLogs" /stypes="app*4061*20171117*" /stext=" 18:.+((SYSTEM_STATE.+slice.+state.+changed )|(ment ac)|(multiple cpu faults)|(system.+state.+changed )|(\[timeout)|(PRM\|1\|D)|(kpr)|(kdp)|(train st.+moving)|(\|lc)|(penalty))"</v>
      </c>
      <c r="AG233" s="182" t="str">
        <f t="shared" si="117"/>
        <v>Shuttle/Test</v>
      </c>
      <c r="AH233" s="78" t="str">
        <f t="shared" si="118"/>
        <v>"%USERPROFILE%\Documents\GitHub\eaglep3\Utilities\RefineRTDCRunTimes.py" --tripid 58-17 --locoid 4061 --swversion DE.1.0.9.0 --startMP 300:20201 --initTime 2017-11-17T10:46:23 --startdatetime 2017-11-17T10:52:59 --delay 75 --endMP 204:176 --enddatetime 2017-11-17T11:00:25 --enforcementcount 1 &gt;&gt;%USERPROFILE%\Documents\GitHub\eaglep3-reporting\EC\2017-11-17-refined-times.txt</v>
      </c>
      <c r="AI233" s="96" t="str">
        <f t="shared" si="119"/>
        <v>echo {"issue":{"subject":"","project_id":79,"tracker_id":40,"status_id":1,"priority_id":2,"assigned_to_id":338,"start_date":"2017-11-17","description":"","custom_fields":[{"id":1,"name":"Subdivision","value":"Shuttle/Test"},{"id":4,"name":"Milepost","value":"0.0176"},{"id":17,"name":"Train ID","value":"58-17"},{"id":16,"name":"Locomotive ID","value":"4061"},{"id":130,"name":"Impact","value":""},{"id":150,"name":"Time of Event (Mountain Time)","value":"11:00:25"},{"id":151,"name":"Denver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3" s="47"/>
      <c r="AL233" s="47"/>
      <c r="AM233" s="142" t="str">
        <f t="shared" si="120"/>
        <v>start /low /b %USERPROFILE%\Documents\GitHub\eaglep3\Utilities\DownloadLogsFromS3.py --loco 4061 --day 2017-11-17</v>
      </c>
      <c r="AN233" s="151" t="str">
        <f t="shared" si="121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18:00:25"},{"id":29,"name":"Sharepoint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 s="168" t="str">
        <f t="shared" si="122"/>
        <v>https://d0f6bd738d7f1b3e5a7ca70fe4ff75f0.us-east-1.aws.found.io/app/kibana#/discover/Steve-Slow-Train-Analysis-(2080s-and-2083s)?_g=(refreshInterval:(display:Off,pause:!f,section:0,value:0),time:(from:'2017-11-17T09:46:23-0700',mode:absolute,to:'2017-11-17T12:00:25-0700'))&amp;_a=(columns:!('Message%20ID',Summary),filters:!(),index:'emp_*',interval:auto,query:(query_string:(analyze_wildcard:!t,query:'%22rtdc.l.rtdc.4061%22')),sort:!(Time.ISO8601,asc))</v>
      </c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s="20" customFormat="1" x14ac:dyDescent="0.3">
      <c r="A234" s="32" t="s">
        <v>751</v>
      </c>
      <c r="B234" s="7">
        <v>4062</v>
      </c>
      <c r="C234" s="21" t="s">
        <v>192</v>
      </c>
      <c r="D234" s="21" t="s">
        <v>1038</v>
      </c>
      <c r="E234" s="13">
        <v>43056.477534722224</v>
      </c>
      <c r="F234" s="13">
        <v>43056.479548611111</v>
      </c>
      <c r="G234" s="7">
        <v>56</v>
      </c>
      <c r="H234" s="21" t="s">
        <v>1039</v>
      </c>
      <c r="I234" s="13">
        <v>43056.486076388886</v>
      </c>
      <c r="J234" s="7">
        <v>1</v>
      </c>
      <c r="K234" s="89" t="str">
        <f t="shared" si="108"/>
        <v>4061/4062</v>
      </c>
      <c r="L234" s="185" t="str">
        <f>VLOOKUP(A234,'Trips&amp;Operators'!$C$1:$G$99911,5,FALSE)</f>
        <v>BIRENBAUM THOMAS</v>
      </c>
      <c r="M234" s="6">
        <f t="shared" si="109"/>
        <v>6.5277777757728472E-3</v>
      </c>
      <c r="N234" s="7">
        <f t="shared" si="139"/>
        <v>9.3999999971129</v>
      </c>
      <c r="O234" s="7"/>
      <c r="P234" s="7"/>
      <c r="Q234" s="22"/>
      <c r="R234" s="174"/>
      <c r="S234" s="221">
        <f t="shared" si="138"/>
        <v>1</v>
      </c>
      <c r="T234" s="174" t="str">
        <f t="shared" si="110"/>
        <v>NorthBound</v>
      </c>
      <c r="U234" s="198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1</v>
      </c>
      <c r="V234" s="216" t="str">
        <f t="shared" si="111"/>
        <v>https://d0f6bd738d7f1b3e5a7ca70fe4ff75f0.us-east-1.aws.found.io/app/kibana#/discover/Steve-Slow-Train-Analysis-(2080s-and-2083s)?_g=(refreshInterval:(display:Off,pause:!f,section:0,value:0),time:(from:'2017-11-17T10:27:39-0700',mode:absolute,to:'2017-11-17T12:39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34" s="204" t="str">
        <f>IF(AA234&lt;VLOOKUP(AG234,Variables!$AC$3:$AD$8,2,FALSE),"Y","N")</f>
        <v>Y</v>
      </c>
      <c r="X234" s="204">
        <f t="shared" si="112"/>
        <v>1</v>
      </c>
      <c r="Y234" s="204">
        <f t="shared" si="106"/>
        <v>4.6800000000000001E-2</v>
      </c>
      <c r="Z234" s="204">
        <f t="shared" si="107"/>
        <v>2.4289999999999998</v>
      </c>
      <c r="AA234" s="204">
        <f t="shared" si="113"/>
        <v>2.3821999999999997</v>
      </c>
      <c r="AB234" s="54" t="e">
        <f>VLOOKUP(A234,Enforcements!$C$7:$K$9,8,0)</f>
        <v>#N/A</v>
      </c>
      <c r="AC234" s="51" t="e">
        <f>VLOOKUP(A234,Enforcements!$C$7:$E$9,3,0)</f>
        <v>#N/A</v>
      </c>
      <c r="AD234" s="179">
        <f t="shared" si="114"/>
        <v>59</v>
      </c>
      <c r="AE234" s="77" t="str">
        <f t="shared" si="115"/>
        <v>aws s3 cp s3://rtdc.mdm.uploadarchive.raw/RTDC4062/ "%USERPROFILE%\AppData\Local\Temp\OnboardLogs"\RTDC4062\2017-11-17 --exclude "*" --recursive --include "*20171117*" &amp; "%USERPROFILE%\Documents\GitHub\mrs-test-scripts\Headless Mode &amp; Sideloading\WalkAndUnGZ.bat" "%USERPROFILE%\AppData\Local\Temp\OnboardLogs"\RTDC4062\2017-11-17 &amp; aws s3 cp s3://rtdc.mdm.uploadarchive.raw/RTDC4062/ "%USERPROFILE%\AppData\Local\Temp\OnboardLogs"\RTDC4062\2017-11-18 --exclude "*" --recursive --include "*20171118*" &amp; "%USERPROFILE%\Documents\GitHub\mrs-test-scripts\Headless Mode &amp; Sideloading\WalkAndUnGZ.bat" "%USERPROFILE%\AppData\Local\Temp\OnboardLogs"\RTDC4062\2017-11-18</v>
      </c>
      <c r="AF234" s="74" t="str">
        <f t="shared" si="116"/>
        <v>"C:\Program Files (x86)\AstroGrep\AstroGrep.exe" /e /r /s /spath="%USERPROFILE%\AppData\Local\Temp\OnboardLogs" /stypes="app*4062*20171117*" /stext=" 18:.+((SYSTEM_STATE.+slice.+state.+changed )|(ment ac)|(multiple cpu faults)|(system.+state.+changed )|(\[timeout)|(PRM\|1\|D)|(kpr)|(kdp)|(train st.+moving)|(\|lc)|(penalty))"</v>
      </c>
      <c r="AG234" s="182" t="str">
        <f t="shared" si="117"/>
        <v>Shuttle/Test</v>
      </c>
      <c r="AH234" s="78" t="str">
        <f t="shared" si="118"/>
        <v>"%USERPROFILE%\Documents\GitHub\eaglep3\Utilities\RefineRTDCRunTimes.py" --tripid 59-17 --locoid 4062 --swversion DE.1.0.9.0 --startMP 204:468 --initTime 2017-11-17T11:27:39 --startdatetime 2017-11-17T11:30:33 --delay 56 --endMP 300:24290 --enddatetime 2017-11-17T11:39:57 --enforcementcount 1 &gt;&gt;%USERPROFILE%\Documents\GitHub\eaglep3-reporting\EC\2017-11-17-refined-times.txt</v>
      </c>
      <c r="AI234" s="96" t="str">
        <f t="shared" si="119"/>
        <v>echo {"issue":{"subject":"","project_id":79,"tracker_id":40,"status_id":1,"priority_id":2,"assigned_to_id":338,"start_date":"2017-11-17","description":"","custom_fields":[{"id":1,"name":"Subdivision","value":"Shuttle/Test"},{"id":4,"name":"Milepost","value":"2.429"},{"id":17,"name":"Train ID","value":"59-17"},{"id":16,"name":"Locomotive ID","value":"4062"},{"id":130,"name":"Impact","value":""},{"id":150,"name":"Time of Event (Mountain Time)","value":"11:39:57"},{"id":151,"name":"Denver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4" s="47"/>
      <c r="AL234" s="47"/>
      <c r="AM234" s="142" t="str">
        <f t="shared" si="120"/>
        <v>start /low /b %USERPROFILE%\Documents\GitHub\eaglep3\Utilities\DownloadLogsFromS3.py --loco 4062 --day 2017-11-17</v>
      </c>
      <c r="AN234" s="151" t="str">
        <f t="shared" si="121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18:39:57"},{"id":29,"name":"Sharepoint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 s="168" t="str">
        <f t="shared" si="122"/>
        <v>https://d0f6bd738d7f1b3e5a7ca70fe4ff75f0.us-east-1.aws.found.io/app/kibana#/discover/Steve-Slow-Train-Analysis-(2080s-and-2083s)?_g=(refreshInterval:(display:Off,pause:!f,section:0,value:0),time:(from:'2017-11-17T10:27:39-0700',mode:absolute,to:'2017-11-17T12:39:57-0700'))&amp;_a=(columns:!('Message%20ID',Summary),filters:!(),index:'emp_*',interval:auto,query:(query_string:(analyze_wildcard:!t,query:'%22rtdc.l.rtdc.4062%22')),sort:!(Time.ISO8601,asc))</v>
      </c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s="20" customFormat="1" x14ac:dyDescent="0.3">
      <c r="A235" s="32" t="s">
        <v>829</v>
      </c>
      <c r="B235" s="7">
        <v>4015</v>
      </c>
      <c r="C235" s="21" t="s">
        <v>192</v>
      </c>
      <c r="D235" s="21" t="s">
        <v>1040</v>
      </c>
      <c r="E235" s="13">
        <v>43056.736493055556</v>
      </c>
      <c r="F235" s="13">
        <v>25568.708333333332</v>
      </c>
      <c r="G235" s="7">
        <v>117</v>
      </c>
      <c r="H235" s="21" t="s">
        <v>1041</v>
      </c>
      <c r="I235" s="13">
        <v>25568.708333333332</v>
      </c>
      <c r="J235" s="7">
        <v>1</v>
      </c>
      <c r="K235" s="89" t="str">
        <f t="shared" si="108"/>
        <v>4015/4016</v>
      </c>
      <c r="L235" s="185" t="str">
        <f>VLOOKUP(A235,'Trips&amp;Operators'!$C$1:$G$99911,5,FALSE)</f>
        <v>GUNTHIER ERIC</v>
      </c>
      <c r="M235" s="6">
        <f t="shared" si="109"/>
        <v>0</v>
      </c>
      <c r="N235" s="7">
        <f t="shared" si="139"/>
        <v>0</v>
      </c>
      <c r="O235" s="7"/>
      <c r="P235" s="7"/>
      <c r="Q235" s="22"/>
      <c r="R235" s="174"/>
      <c r="S235" s="221">
        <f t="shared" si="138"/>
        <v>1</v>
      </c>
      <c r="T235" s="174" t="str">
        <f t="shared" si="110"/>
        <v>Southbound</v>
      </c>
      <c r="U235" s="198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1</v>
      </c>
      <c r="V235" s="216" t="str">
        <f t="shared" si="111"/>
        <v>https://d0f6bd738d7f1b3e5a7ca70fe4ff75f0.us-east-1.aws.found.io/app/kibana#/discover/Steve-Slow-Train-Analysis-(2080s-and-2083s)?_g=(refreshInterval:(display:Off,pause:!f,section:0,value:0),time:(from:'2017-11-17T16:40:33-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35" s="204" t="str">
        <f>IF(AA235&lt;VLOOKUP(AG235,Variables!$AC$3:$AD$8,2,FALSE),"Y","N")</f>
        <v>Y</v>
      </c>
      <c r="X235" s="204">
        <f t="shared" si="112"/>
        <v>15</v>
      </c>
      <c r="Y235" s="204">
        <f t="shared" si="106"/>
        <v>2.3641999999999999</v>
      </c>
      <c r="Z235" s="204">
        <f t="shared" si="107"/>
        <v>0.1014</v>
      </c>
      <c r="AA235" s="204">
        <f t="shared" si="113"/>
        <v>2.2627999999999999</v>
      </c>
      <c r="AB235" s="54" t="e">
        <f>VLOOKUP(A235,Enforcements!$C$7:$K$9,8,0)</f>
        <v>#N/A</v>
      </c>
      <c r="AC235" s="51" t="e">
        <f>VLOOKUP(A235,Enforcements!$C$7:$E$9,3,0)</f>
        <v>#N/A</v>
      </c>
      <c r="AD235" s="179">
        <f t="shared" si="114"/>
        <v>74</v>
      </c>
      <c r="AE235" s="77" t="str">
        <f t="shared" si="115"/>
        <v>aws s3 cp s3://rtdc.mdm.uploadarchive.raw/RTDC4015/ "%USERPROFILE%\AppData\Local\Temp\OnboardLogs"\RTDC4015\1969-12-31 --exclude "*" --recursive --include "*19691231*" &amp; "%USERPROFILE%\Documents\GitHub\mrs-test-scripts\Headless Mode &amp; Sideloading\WalkAndUnGZ.bat" "%USERPROFILE%\AppData\Local\Temp\OnboardLogs"\RTDC4015\1969-12-31 &amp; aws s3 cp s3://rtdc.mdm.uploadarchive.raw/RTDC4015/ "%USERPROFILE%\AppData\Local\Temp\OnboardLogs"\RTDC4015\1970-01-01 --exclude "*" --recursive --include "*19700101*" &amp; "%USERPROFILE%\Documents\GitHub\mrs-test-scripts\Headless Mode &amp; Sideloading\WalkAndUnGZ.bat" "%USERPROFILE%\AppData\Local\Temp\OnboardLogs"\RTDC4015\1970-01-01</v>
      </c>
      <c r="AF235" s="74" t="str">
        <f t="shared" si="116"/>
        <v>"C:\Program Files (x86)\AstroGrep\AstroGrep.exe" /e /r /s /spath="%USERPROFILE%\AppData\Local\Temp\OnboardLogs" /stypes="app*4015*19700101*" /stext=" 00:.+((SYSTEM_STATE.+slice.+state.+changed )|(ment ac)|(multiple cpu faults)|(system.+state.+changed )|(\[timeout)|(PRM\|1\|D)|(kpr)|(kdp)|(train st.+moving)|(\|lc)|(penalty))"</v>
      </c>
      <c r="AG235" s="182" t="str">
        <f t="shared" si="117"/>
        <v>Shuttle/Test</v>
      </c>
      <c r="AH235" s="78" t="str">
        <f t="shared" si="118"/>
        <v>"%USERPROFILE%\Documents\GitHub\eaglep3\Utilities\RefineRTDCRunTimes.py" --tripid 74-17 --locoid 4015 --swversion DE.1.0.9.0 --startMP 300:23642 --initTime 2017-11-17T17:40:33 --startdatetime 1969-12-31T17:00:00 --delay 117 --endMP 204:1014 --enddatetime 1969-12-31T17:00:00 --enforcementcount 1 &gt;&gt;%USERPROFILE%\Documents\GitHub\eaglep3-reporting\EC\2017-11-17-refined-times.txt</v>
      </c>
      <c r="AI235" s="96" t="str">
        <f t="shared" si="119"/>
        <v>echo {"issue":{"subject":"","project_id":79,"tracker_id":40,"status_id":1,"priority_id":2,"assigned_to_id":338,"start_date":"1969-12-31","description":"","custom_fields":[{"id":1,"name":"Subdivision","value":"Shuttle/Test"},{"id":4,"name":"Milepost","value":"0.1014"},{"id":17,"name":"Train ID","value":"74-17"},{"id":16,"name":"Locomotive ID","value":"4015"},{"id":130,"name":"Impact","value":""},{"id":150,"name":"Time of Event (Mountain Time)","value":"17:00:00"},{"id":151,"name":"Denver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5" s="47"/>
      <c r="AL235" s="47"/>
      <c r="AM235" s="142" t="str">
        <f t="shared" si="120"/>
        <v>start /low /b %USERPROFILE%\Documents\GitHub\eaglep3\Utilities\DownloadLogsFromS3.py --loco 4015 --day 1969-12-31</v>
      </c>
      <c r="AN235" s="151" t="str">
        <f t="shared" si="121"/>
        <v>echo {"issue":{"subject":"","project_id":30,"tracker_id":4,"status_id":1,"priority_id":1,"assigned_to_id":10,"start_date":"1970-01-01","description":"","custom_fields":[{"id":30,"name":"Category","value":"Issue"},{"id":3,"name":"Functional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UTC","value":"1970-01-01 00:00:00"},{"id":29,"name":"Sharepoint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5" s="168" t="str">
        <f t="shared" si="122"/>
        <v>https://d0f6bd738d7f1b3e5a7ca70fe4ff75f0.us-east-1.aws.found.io/app/kibana#/discover/Steve-Slow-Train-Analysis-(2080s-and-2083s)?_g=(refreshInterval:(display:Off,pause:!f,section:0,value:0),time:(from:'2017-11-17T16:40:33-0700',mode:absolute,to:'1969-12-31T18:00:00-0700'))&amp;_a=(columns:!('Message%20ID',Summary),filters:!(),index:'emp_*',interval:auto,query:(query_string:(analyze_wildcard:!t,query:'%22rtdc.l.rtdc.4015%22')),sort:!(Time.ISO8601,asc))</v>
      </c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s="20" customFormat="1" x14ac:dyDescent="0.3">
      <c r="A236" s="32" t="s">
        <v>829</v>
      </c>
      <c r="B236" s="7">
        <v>4015</v>
      </c>
      <c r="C236" s="21" t="s">
        <v>192</v>
      </c>
      <c r="D236" s="21" t="s">
        <v>1042</v>
      </c>
      <c r="E236" s="13">
        <v>43056.906828703701</v>
      </c>
      <c r="F236" s="13">
        <v>43056.908148148148</v>
      </c>
      <c r="G236" s="7">
        <v>48</v>
      </c>
      <c r="H236" s="21" t="s">
        <v>1043</v>
      </c>
      <c r="I236" s="13">
        <v>43056.909733796296</v>
      </c>
      <c r="J236" s="7">
        <v>1</v>
      </c>
      <c r="K236" s="89" t="str">
        <f t="shared" si="108"/>
        <v>4015/4016</v>
      </c>
      <c r="L236" s="185" t="str">
        <f>VLOOKUP(A236,'Trips&amp;Operators'!$C$1:$G$99911,5,FALSE)</f>
        <v>GUNTHIER ERIC</v>
      </c>
      <c r="M236" s="6">
        <f t="shared" si="109"/>
        <v>1.5856481477385387E-3</v>
      </c>
      <c r="N236" s="7">
        <f t="shared" si="139"/>
        <v>2.2833333327434957</v>
      </c>
      <c r="O236" s="7"/>
      <c r="P236" s="7"/>
      <c r="Q236" s="22"/>
      <c r="R236" s="174"/>
      <c r="S236" s="221">
        <f t="shared" si="138"/>
        <v>0</v>
      </c>
      <c r="T236" s="174" t="str">
        <f t="shared" si="110"/>
        <v>Southbound</v>
      </c>
      <c r="U236" s="198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216" t="str">
        <f t="shared" si="111"/>
        <v>https://d0f6bd738d7f1b3e5a7ca70fe4ff75f0.us-east-1.aws.found.io/app/kibana#/discover/Steve-Slow-Train-Analysis-(2080s-and-2083s)?_g=(refreshInterval:(display:Off,pause:!f,section:0,value:0),time:(from:'2017-11-17T20:45:50-0700',mode:absolute,to:'2017-11-17T22:50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36" s="204" t="str">
        <f>IF(AA236&lt;VLOOKUP(AG236,Variables!$AC$3:$AD$8,2,FALSE),"Y","N")</f>
        <v>Y</v>
      </c>
      <c r="X236" s="204">
        <f t="shared" si="112"/>
        <v>0</v>
      </c>
      <c r="Y236" s="204">
        <f t="shared" si="106"/>
        <v>0.50929999999999997</v>
      </c>
      <c r="Z236" s="204">
        <f t="shared" si="107"/>
        <v>0.1192</v>
      </c>
      <c r="AA236" s="204">
        <f t="shared" si="113"/>
        <v>0.3901</v>
      </c>
      <c r="AB236" s="54" t="e">
        <f>VLOOKUP(A236,Enforcements!$C$7:$K$9,8,0)</f>
        <v>#N/A</v>
      </c>
      <c r="AC236" s="51" t="e">
        <f>VLOOKUP(A236,Enforcements!$C$7:$E$9,3,0)</f>
        <v>#N/A</v>
      </c>
      <c r="AD236" s="179">
        <f t="shared" si="114"/>
        <v>74</v>
      </c>
      <c r="AE236" s="77" t="str">
        <f t="shared" si="115"/>
        <v>aws s3 cp s3://rtdc.mdm.uploadarchive.raw/RTDC4015/ "%USERPROFILE%\AppData\Local\Temp\OnboardLogs"\RTDC4015\2017-11-17 --exclude "*" --recursive --include "*20171117*" &amp; "%USERPROFILE%\Documents\GitHub\mrs-test-scripts\Headless Mode &amp; Sideloading\WalkAndUnGZ.bat" "%USERPROFILE%\AppData\Local\Temp\OnboardLogs"\RTDC4015\2017-11-17 &amp; aws s3 cp s3://rtdc.mdm.uploadarchive.raw/RTDC4015/ "%USERPROFILE%\AppData\Local\Temp\OnboardLogs"\RTDC4015\2017-11-18 --exclude "*" --recursive --include "*20171118*" &amp; "%USERPROFILE%\Documents\GitHub\mrs-test-scripts\Headless Mode &amp; Sideloading\WalkAndUnGZ.bat" "%USERPROFILE%\AppData\Local\Temp\OnboardLogs"\RTDC4015\2017-11-18</v>
      </c>
      <c r="AF236" s="74" t="str">
        <f t="shared" si="116"/>
        <v>"C:\Program Files (x86)\AstroGrep\AstroGrep.exe" /e /r /s /spath="%USERPROFILE%\AppData\Local\Temp\OnboardLogs" /stypes="app*4015*20171118*" /stext=" 04:.+((SYSTEM_STATE.+slice.+state.+changed )|(ment ac)|(multiple cpu faults)|(system.+state.+changed )|(\[timeout)|(PRM\|1\|D)|(kpr)|(kdp)|(train st.+moving)|(\|lc)|(penalty))"</v>
      </c>
      <c r="AG236" s="182" t="str">
        <f t="shared" si="117"/>
        <v>Shuttle/Test</v>
      </c>
      <c r="AH236" s="78" t="str">
        <f t="shared" si="118"/>
        <v>"%USERPROFILE%\Documents\GitHub\eaglep3\Utilities\RefineRTDCRunTimes.py" --tripid 74-17 --locoid 4015 --swversion DE.1.0.9.0 --startMP 300:5093 --initTime 2017-11-17T21:45:50 --startdatetime 2017-11-17T21:47:44 --delay 48 --endMP 204:1192 --enddatetime 2017-11-17T21:50:01 --enforcementcount 1 &gt;&gt;%USERPROFILE%\Documents\GitHub\eaglep3-reporting\EC\2017-11-17-refined-times.txt</v>
      </c>
      <c r="AI236" s="96" t="str">
        <f t="shared" si="119"/>
        <v>echo {"issue":{"subject":"","project_id":79,"tracker_id":40,"status_id":1,"priority_id":2,"assigned_to_id":338,"start_date":"2017-11-17","description":"","custom_fields":[{"id":1,"name":"Subdivision","value":"Shuttle/Test"},{"id":4,"name":"Milepost","value":"0.1192"},{"id":17,"name":"Train ID","value":"74-17"},{"id":16,"name":"Locomotive ID","value":"4015"},{"id":130,"name":"Impact","value":""},{"id":150,"name":"Time of Event (Mountain Time)","value":"21:50:01"},{"id":151,"name":"Denver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6" s="47"/>
      <c r="AL236" s="47"/>
      <c r="AM236" s="142" t="str">
        <f t="shared" si="120"/>
        <v>start /low /b %USERPROFILE%\Documents\GitHub\eaglep3\Utilities\DownloadLogsFromS3.py --loco 4015 --day 2017-11-17</v>
      </c>
      <c r="AN236" s="151" t="str">
        <f t="shared" si="121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04:50:01"},{"id":29,"name":"Sharepoint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6" s="168" t="str">
        <f t="shared" si="122"/>
        <v>https://d0f6bd738d7f1b3e5a7ca70fe4ff75f0.us-east-1.aws.found.io/app/kibana#/discover/Steve-Slow-Train-Analysis-(2080s-and-2083s)?_g=(refreshInterval:(display:Off,pause:!f,section:0,value:0),time:(from:'2017-11-17T20:45:50-0700',mode:absolute,to:'2017-11-17T22:50:01-0700'))&amp;_a=(columns:!('Message%20ID',Summary),filters:!(),index:'emp_*',interval:auto,query:(query_string:(analyze_wildcard:!t,query:'%22rtdc.l.rtdc.4015%22')),sort:!(Time.ISO8601,asc))</v>
      </c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s="20" customFormat="1" x14ac:dyDescent="0.3">
      <c r="A237" s="32" t="s">
        <v>829</v>
      </c>
      <c r="B237" s="7">
        <v>4016</v>
      </c>
      <c r="C237" s="21" t="s">
        <v>192</v>
      </c>
      <c r="D237" s="21" t="s">
        <v>1044</v>
      </c>
      <c r="E237" s="13">
        <v>43056.901712962965</v>
      </c>
      <c r="F237" s="13">
        <v>43056.908148148148</v>
      </c>
      <c r="G237" s="7">
        <v>57</v>
      </c>
      <c r="H237" s="21" t="s">
        <v>1045</v>
      </c>
      <c r="I237" s="13">
        <v>43056.909733796296</v>
      </c>
      <c r="J237" s="7">
        <v>1</v>
      </c>
      <c r="K237" s="89" t="str">
        <f t="shared" si="108"/>
        <v>4015/4016</v>
      </c>
      <c r="L237" s="185" t="str">
        <f>VLOOKUP(A237,'Trips&amp;Operators'!$C$1:$G$99911,5,FALSE)</f>
        <v>GUNTHIER ERIC</v>
      </c>
      <c r="M237" s="6">
        <f t="shared" si="109"/>
        <v>1.5856481477385387E-3</v>
      </c>
      <c r="N237" s="7">
        <f t="shared" si="139"/>
        <v>2.2833333327434957</v>
      </c>
      <c r="O237" s="7"/>
      <c r="P237" s="7"/>
      <c r="Q237" s="22"/>
      <c r="R237" s="174"/>
      <c r="S237" s="221">
        <f t="shared" si="138"/>
        <v>0</v>
      </c>
      <c r="T237" s="174" t="str">
        <f t="shared" si="110"/>
        <v>Southbound</v>
      </c>
      <c r="U237" s="198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216" t="str">
        <f t="shared" si="111"/>
        <v>https://d0f6bd738d7f1b3e5a7ca70fe4ff75f0.us-east-1.aws.found.io/app/kibana#/discover/Steve-Slow-Train-Analysis-(2080s-and-2083s)?_g=(refreshInterval:(display:Off,pause:!f,section:0,value:0),time:(from:'2017-11-17T20:38:28-0700',mode:absolute,to:'2017-11-17T22:50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37" s="204" t="str">
        <f>IF(AA237&lt;VLOOKUP(AG237,Variables!$AC$3:$AD$8,2,FALSE),"Y","N")</f>
        <v>Y</v>
      </c>
      <c r="X237" s="204">
        <f t="shared" si="112"/>
        <v>0</v>
      </c>
      <c r="Y237" s="204">
        <f t="shared" si="106"/>
        <v>0.13389999999999999</v>
      </c>
      <c r="Z237" s="204">
        <f t="shared" si="107"/>
        <v>0.53939999999999999</v>
      </c>
      <c r="AA237" s="204">
        <f t="shared" si="113"/>
        <v>0.40549999999999997</v>
      </c>
      <c r="AB237" s="54" t="e">
        <f>VLOOKUP(A237,Enforcements!$C$7:$K$9,8,0)</f>
        <v>#N/A</v>
      </c>
      <c r="AC237" s="51" t="e">
        <f>VLOOKUP(A237,Enforcements!$C$7:$E$9,3,0)</f>
        <v>#N/A</v>
      </c>
      <c r="AD237" s="179">
        <f t="shared" si="114"/>
        <v>74</v>
      </c>
      <c r="AE237" s="77" t="str">
        <f t="shared" si="115"/>
        <v>aws s3 cp s3://rtdc.mdm.uploadarchive.raw/RTDC4016/ "%USERPROFILE%\AppData\Local\Temp\OnboardLogs"\RTDC4016\2017-11-17 --exclude "*" --recursive --include "*20171117*" &amp; "%USERPROFILE%\Documents\GitHub\mrs-test-scripts\Headless Mode &amp; Sideloading\WalkAndUnGZ.bat" "%USERPROFILE%\AppData\Local\Temp\OnboardLogs"\RTDC4016\2017-11-17 &amp; aws s3 cp s3://rtdc.mdm.uploadarchive.raw/RTDC4016/ "%USERPROFILE%\AppData\Local\Temp\OnboardLogs"\RTDC4016\2017-11-18 --exclude "*" --recursive --include "*20171118*" &amp; "%USERPROFILE%\Documents\GitHub\mrs-test-scripts\Headless Mode &amp; Sideloading\WalkAndUnGZ.bat" "%USERPROFILE%\AppData\Local\Temp\OnboardLogs"\RTDC4016\2017-11-18</v>
      </c>
      <c r="AF237" s="74" t="str">
        <f t="shared" si="116"/>
        <v>"C:\Program Files (x86)\AstroGrep\AstroGrep.exe" /e /r /s /spath="%USERPROFILE%\AppData\Local\Temp\OnboardLogs" /stypes="app*4016*20171118*" /stext=" 04:.+((SYSTEM_STATE.+slice.+state.+changed )|(ment ac)|(multiple cpu faults)|(system.+state.+changed )|(\[timeout)|(PRM\|1\|D)|(kpr)|(kdp)|(train st.+moving)|(\|lc)|(penalty))"</v>
      </c>
      <c r="AG237" s="182" t="str">
        <f t="shared" si="117"/>
        <v>Shuttle/Test</v>
      </c>
      <c r="AH237" s="78" t="str">
        <f t="shared" si="118"/>
        <v>"%USERPROFILE%\Documents\GitHub\eaglep3\Utilities\RefineRTDCRunTimes.py" --tripid 74-17 --locoid 4016 --swversion DE.1.0.9.0 --startMP 204:1339 --initTime 2017-11-17T21:38:28 --startdatetime 2017-11-17T21:47:44 --delay 57 --endMP 300:5394 --enddatetime 2017-11-17T21:50:01 --enforcementcount 1 &gt;&gt;%USERPROFILE%\Documents\GitHub\eaglep3-reporting\EC\2017-11-17-refined-times.txt</v>
      </c>
      <c r="AI237" s="96" t="str">
        <f t="shared" si="119"/>
        <v>echo {"issue":{"subject":"","project_id":79,"tracker_id":40,"status_id":1,"priority_id":2,"assigned_to_id":338,"start_date":"2017-11-17","description":"","custom_fields":[{"id":1,"name":"Subdivision","value":"Shuttle/Test"},{"id":4,"name":"Milepost","value":"0.5394"},{"id":17,"name":"Train ID","value":"74-17"},{"id":16,"name":"Locomotive ID","value":"4016"},{"id":130,"name":"Impact","value":""},{"id":150,"name":"Time of Event (Mountain Time)","value":"21:50:01"},{"id":151,"name":"Denver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7" s="47"/>
      <c r="AL237" s="47"/>
      <c r="AM237" s="142" t="str">
        <f t="shared" si="120"/>
        <v>start /low /b %USERPROFILE%\Documents\GitHub\eaglep3\Utilities\DownloadLogsFromS3.py --loco 4016 --day 2017-11-17</v>
      </c>
      <c r="AN237" s="151" t="str">
        <f t="shared" si="121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04:50:01"},{"id":29,"name":"Sharepoint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7" s="168" t="str">
        <f t="shared" si="122"/>
        <v>https://d0f6bd738d7f1b3e5a7ca70fe4ff75f0.us-east-1.aws.found.io/app/kibana#/discover/Steve-Slow-Train-Analysis-(2080s-and-2083s)?_g=(refreshInterval:(display:Off,pause:!f,section:0,value:0),time:(from:'2017-11-17T20:38:28-0700',mode:absolute,to:'2017-11-17T22:50:01-0700'))&amp;_a=(columns:!('Message%20ID',Summary),filters:!(),index:'emp_*',interval:auto,query:(query_string:(analyze_wildcard:!t,query:'%22rtdc.l.rtdc.4016%22')),sort:!(Time.ISO8601,asc))</v>
      </c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s="20" customFormat="1" x14ac:dyDescent="0.3">
      <c r="A238" s="32" t="s">
        <v>818</v>
      </c>
      <c r="B238" s="7">
        <v>4064</v>
      </c>
      <c r="C238" s="21" t="s">
        <v>192</v>
      </c>
      <c r="D238" s="21" t="s">
        <v>1046</v>
      </c>
      <c r="E238" s="13">
        <v>43056.693055555559</v>
      </c>
      <c r="F238" s="13">
        <v>43056.695949074077</v>
      </c>
      <c r="G238" s="7">
        <v>75</v>
      </c>
      <c r="H238" s="21" t="s">
        <v>1047</v>
      </c>
      <c r="I238" s="13">
        <v>43056.702962962961</v>
      </c>
      <c r="J238" s="7">
        <v>1</v>
      </c>
      <c r="K238" s="89" t="str">
        <f t="shared" si="108"/>
        <v>4063/4064</v>
      </c>
      <c r="L238" s="185" t="str">
        <f>VLOOKUP(A238,'Trips&amp;Operators'!$C$1:$G$99911,5,FALSE)</f>
        <v>DE LA ROSA ALEX</v>
      </c>
      <c r="M238" s="6">
        <f t="shared" si="109"/>
        <v>7.0138888841029257E-3</v>
      </c>
      <c r="N238" s="7">
        <f t="shared" si="139"/>
        <v>10.099999993108213</v>
      </c>
      <c r="O238" s="7"/>
      <c r="P238" s="7"/>
      <c r="Q238" s="22"/>
      <c r="R238" s="174"/>
      <c r="S238" s="221">
        <f t="shared" si="138"/>
        <v>1</v>
      </c>
      <c r="T238" s="174" t="str">
        <f t="shared" si="110"/>
        <v>NorthBound</v>
      </c>
      <c r="U238" s="198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1</v>
      </c>
      <c r="V238" s="216" t="str">
        <f t="shared" si="111"/>
        <v>https://d0f6bd738d7f1b3e5a7ca70fe4ff75f0.us-east-1.aws.found.io/app/kibana#/discover/Steve-Slow-Train-Analysis-(2080s-and-2083s)?_g=(refreshInterval:(display:Off,pause:!f,section:0,value:0),time:(from:'2017-11-17T15:38:00-0700',mode:absolute,to:'2017-11-17T17:52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38" s="204" t="str">
        <f>IF(AA238&lt;VLOOKUP(AG238,Variables!$AC$3:$AD$8,2,FALSE),"Y","N")</f>
        <v>Y</v>
      </c>
      <c r="X238" s="204">
        <f t="shared" si="112"/>
        <v>1</v>
      </c>
      <c r="Y238" s="204">
        <f t="shared" si="106"/>
        <v>0.1244</v>
      </c>
      <c r="Z238" s="204">
        <f t="shared" si="107"/>
        <v>2.3296999999999999</v>
      </c>
      <c r="AA238" s="204">
        <f t="shared" si="113"/>
        <v>2.2052999999999998</v>
      </c>
      <c r="AB238" s="54" t="e">
        <f>VLOOKUP(A238,Enforcements!$C$7:$K$9,8,0)</f>
        <v>#N/A</v>
      </c>
      <c r="AC238" s="51" t="e">
        <f>VLOOKUP(A238,Enforcements!$C$7:$E$9,3,0)</f>
        <v>#N/A</v>
      </c>
      <c r="AD238" s="179">
        <f t="shared" si="114"/>
        <v>75</v>
      </c>
      <c r="AE238" s="77" t="str">
        <f t="shared" si="115"/>
        <v>aws s3 cp s3://rtdc.mdm.uploadarchive.raw/RTDC4064/ "%USERPROFILE%\AppData\Local\Temp\OnboardLogs"\RTDC4064\2017-11-17 --exclude "*" --recursive --include "*20171117*" &amp; "%USERPROFILE%\Documents\GitHub\mrs-test-scripts\Headless Mode &amp; Sideloading\WalkAndUnGZ.bat" "%USERPROFILE%\AppData\Local\Temp\OnboardLogs"\RTDC4064\2017-11-17 &amp; aws s3 cp s3://rtdc.mdm.uploadarchive.raw/RTDC4064/ "%USERPROFILE%\AppData\Local\Temp\OnboardLogs"\RTDC4064\2017-11-18 --exclude "*" --recursive --include "*20171118*" &amp; "%USERPROFILE%\Documents\GitHub\mrs-test-scripts\Headless Mode &amp; Sideloading\WalkAndUnGZ.bat" "%USERPROFILE%\AppData\Local\Temp\OnboardLogs"\RTDC4064\2017-11-18</v>
      </c>
      <c r="AF238" s="74" t="str">
        <f t="shared" si="116"/>
        <v>"C:\Program Files (x86)\AstroGrep\AstroGrep.exe" /e /r /s /spath="%USERPROFILE%\AppData\Local\Temp\OnboardLogs" /stypes="app*4064*20171117*" /stext=" 23:.+((SYSTEM_STATE.+slice.+state.+changed )|(ment ac)|(multiple cpu faults)|(system.+state.+changed )|(\[timeout)|(PRM\|1\|D)|(kpr)|(kdp)|(train st.+moving)|(\|lc)|(penalty))"</v>
      </c>
      <c r="AG238" s="182" t="str">
        <f t="shared" si="117"/>
        <v>Shuttle/Test</v>
      </c>
      <c r="AH238" s="78" t="str">
        <f t="shared" si="118"/>
        <v>"%USERPROFILE%\Documents\GitHub\eaglep3\Utilities\RefineRTDCRunTimes.py" --tripid 75-17 --locoid 4064 --swversion DE.1.0.9.0 --startMP 204:1244 --initTime 2017-11-17T16:38:00 --startdatetime 2017-11-17T16:42:10 --delay 75 --endMP 300:23297 --enddatetime 2017-11-17T16:52:16 --enforcementcount 1 &gt;&gt;%USERPROFILE%\Documents\GitHub\eaglep3-reporting\EC\2017-11-17-refined-times.txt</v>
      </c>
      <c r="AI238" s="96" t="str">
        <f t="shared" si="119"/>
        <v>echo {"issue":{"subject":"","project_id":79,"tracker_id":40,"status_id":1,"priority_id":2,"assigned_to_id":338,"start_date":"2017-11-17","description":"","custom_fields":[{"id":1,"name":"Subdivision","value":"Shuttle/Test"},{"id":4,"name":"Milepost","value":"2.3297"},{"id":17,"name":"Train ID","value":"75-17"},{"id":16,"name":"Locomotive ID","value":"4064"},{"id":130,"name":"Impact","value":""},{"id":150,"name":"Time of Event (Mountain Time)","value":"16:52:16"},{"id":151,"name":"Denver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8" s="47"/>
      <c r="AL238" s="47"/>
      <c r="AM238" s="142" t="str">
        <f t="shared" si="120"/>
        <v>start /low /b %USERPROFILE%\Documents\GitHub\eaglep3\Utilities\DownloadLogsFromS3.py --loco 4064 --day 2017-11-17</v>
      </c>
      <c r="AN238" s="151" t="str">
        <f t="shared" si="121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23:52:16"},{"id":29,"name":"Sharepoint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8" s="168" t="str">
        <f t="shared" si="122"/>
        <v>https://d0f6bd738d7f1b3e5a7ca70fe4ff75f0.us-east-1.aws.found.io/app/kibana#/discover/Steve-Slow-Train-Analysis-(2080s-and-2083s)?_g=(refreshInterval:(display:Off,pause:!f,section:0,value:0),time:(from:'2017-11-17T15:38:00-0700',mode:absolute,to:'2017-11-17T17:52:16-0700'))&amp;_a=(columns:!('Message%20ID',Summary),filters:!(),index:'emp_*',interval:auto,query:(query_string:(analyze_wildcard:!t,query:'%22rtdc.l.rtdc.4064%22')),sort:!(Time.ISO8601,asc))</v>
      </c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s="20" customFormat="1" x14ac:dyDescent="0.3">
      <c r="A239" s="32" t="s">
        <v>818</v>
      </c>
      <c r="B239" s="7">
        <v>4066</v>
      </c>
      <c r="C239" s="21" t="s">
        <v>192</v>
      </c>
      <c r="D239" s="21" t="s">
        <v>1048</v>
      </c>
      <c r="E239" s="13">
        <v>43056.86078703704</v>
      </c>
      <c r="F239" s="13">
        <v>43056.862442129626</v>
      </c>
      <c r="G239" s="7">
        <v>72</v>
      </c>
      <c r="H239" s="21" t="s">
        <v>1049</v>
      </c>
      <c r="I239" s="13">
        <v>43056.87327546296</v>
      </c>
      <c r="J239" s="7">
        <v>1</v>
      </c>
      <c r="K239" s="89" t="str">
        <f t="shared" si="108"/>
        <v>4065/4066</v>
      </c>
      <c r="L239" s="185" t="str">
        <f>VLOOKUP(A239,'Trips&amp;Operators'!$C$1:$G$99911,5,FALSE)</f>
        <v>DE LA ROSA ALEX</v>
      </c>
      <c r="M239" s="6">
        <f t="shared" si="109"/>
        <v>1.0833333333721384E-2</v>
      </c>
      <c r="N239" s="7">
        <f t="shared" si="139"/>
        <v>15.600000000558794</v>
      </c>
      <c r="O239" s="7"/>
      <c r="P239" s="7"/>
      <c r="Q239" s="22"/>
      <c r="R239" s="174"/>
      <c r="S239" s="221">
        <f t="shared" si="138"/>
        <v>1</v>
      </c>
      <c r="T239" s="174" t="str">
        <f t="shared" si="110"/>
        <v>NorthBound</v>
      </c>
      <c r="U239" s="198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1</v>
      </c>
      <c r="V239" s="216" t="str">
        <f t="shared" si="111"/>
        <v>https://d0f6bd738d7f1b3e5a7ca70fe4ff75f0.us-east-1.aws.found.io/app/kibana#/discover/Steve-Slow-Train-Analysis-(2080s-and-2083s)?_g=(refreshInterval:(display:Off,pause:!f,section:0,value:0),time:(from:'2017-11-17T19:39:32-0700',mode:absolute,to:'2017-11-17T21:57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39" s="204" t="str">
        <f>IF(AA239&lt;VLOOKUP(AG239,Variables!$AC$3:$AD$8,2,FALSE),"Y","N")</f>
        <v>Y</v>
      </c>
      <c r="X239" s="204">
        <f t="shared" si="112"/>
        <v>0</v>
      </c>
      <c r="Y239" s="204">
        <f t="shared" ref="Y239:Y244" si="140">RIGHT(D239,LEN(D239)-4)/10000</f>
        <v>4.4600000000000001E-2</v>
      </c>
      <c r="Z239" s="204">
        <f t="shared" ref="Z239:Z244" si="141">RIGHT(H239,LEN(H239)-4)/10000</f>
        <v>2.3302</v>
      </c>
      <c r="AA239" s="204">
        <f t="shared" si="113"/>
        <v>2.2856000000000001</v>
      </c>
      <c r="AB239" s="54" t="e">
        <f>VLOOKUP(A239,Enforcements!$C$7:$K$9,8,0)</f>
        <v>#N/A</v>
      </c>
      <c r="AC239" s="51" t="e">
        <f>VLOOKUP(A239,Enforcements!$C$7:$E$9,3,0)</f>
        <v>#N/A</v>
      </c>
      <c r="AD239" s="179">
        <f t="shared" si="114"/>
        <v>75</v>
      </c>
      <c r="AE239" s="77" t="str">
        <f t="shared" si="115"/>
        <v>aws s3 cp s3://rtdc.mdm.uploadarchive.raw/RTDC4066/ "%USERPROFILE%\AppData\Local\Temp\OnboardLogs"\RTDC4066\2017-11-17 --exclude "*" --recursive --include "*20171117*" &amp; "%USERPROFILE%\Documents\GitHub\mrs-test-scripts\Headless Mode &amp; Sideloading\WalkAndUnGZ.bat" "%USERPROFILE%\AppData\Local\Temp\OnboardLogs"\RTDC4066\2017-11-17 &amp; aws s3 cp s3://rtdc.mdm.uploadarchive.raw/RTDC4066/ "%USERPROFILE%\AppData\Local\Temp\OnboardLogs"\RTDC4066\2017-11-18 --exclude "*" --recursive --include "*20171118*" &amp; "%USERPROFILE%\Documents\GitHub\mrs-test-scripts\Headless Mode &amp; Sideloading\WalkAndUnGZ.bat" "%USERPROFILE%\AppData\Local\Temp\OnboardLogs"\RTDC4066\2017-11-18</v>
      </c>
      <c r="AF239" s="74" t="str">
        <f t="shared" si="116"/>
        <v>"C:\Program Files (x86)\AstroGrep\AstroGrep.exe" /e /r /s /spath="%USERPROFILE%\AppData\Local\Temp\OnboardLogs" /stypes="app*4066*20171118*" /stext=" 03:.+((SYSTEM_STATE.+slice.+state.+changed )|(ment ac)|(multiple cpu faults)|(system.+state.+changed )|(\[timeout)|(PRM\|1\|D)|(kpr)|(kdp)|(train st.+moving)|(\|lc)|(penalty))"</v>
      </c>
      <c r="AG239" s="182" t="str">
        <f t="shared" si="117"/>
        <v>Shuttle/Test</v>
      </c>
      <c r="AH239" s="78" t="str">
        <f t="shared" si="118"/>
        <v>"%USERPROFILE%\Documents\GitHub\eaglep3\Utilities\RefineRTDCRunTimes.py" --tripid 75-17 --locoid 4066 --swversion DE.1.0.9.0 --startMP 204:446 --initTime 2017-11-17T20:39:32 --startdatetime 2017-11-17T20:41:55 --delay 72 --endMP 300:23302 --enddatetime 2017-11-17T20:57:31 --enforcementcount 1 &gt;&gt;%USERPROFILE%\Documents\GitHub\eaglep3-reporting\EC\2017-11-17-refined-times.txt</v>
      </c>
      <c r="AI239" s="96" t="str">
        <f t="shared" si="119"/>
        <v>echo {"issue":{"subject":"","project_id":79,"tracker_id":40,"status_id":1,"priority_id":2,"assigned_to_id":338,"start_date":"2017-11-17","description":"","custom_fields":[{"id":1,"name":"Subdivision","value":"Shuttle/Test"},{"id":4,"name":"Milepost","value":"2.3302"},{"id":17,"name":"Train ID","value":"75-17"},{"id":16,"name":"Locomotive ID","value":"4066"},{"id":130,"name":"Impact","value":""},{"id":150,"name":"Time of Event (Mountain Time)","value":"20:57:31"},{"id":151,"name":"Denver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9" s="47"/>
      <c r="AL239" s="47"/>
      <c r="AM239" s="142" t="str">
        <f t="shared" si="120"/>
        <v>start /low /b %USERPROFILE%\Documents\GitHub\eaglep3\Utilities\DownloadLogsFromS3.py --loco 4066 --day 2017-11-17</v>
      </c>
      <c r="AN239" s="151" t="str">
        <f t="shared" si="121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03:57:31"},{"id":29,"name":"Sharepoint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9" s="168" t="str">
        <f t="shared" si="122"/>
        <v>https://d0f6bd738d7f1b3e5a7ca70fe4ff75f0.us-east-1.aws.found.io/app/kibana#/discover/Steve-Slow-Train-Analysis-(2080s-and-2083s)?_g=(refreshInterval:(display:Off,pause:!f,section:0,value:0),time:(from:'2017-11-17T19:39:32-0700',mode:absolute,to:'2017-11-17T21:57:31-0700'))&amp;_a=(columns:!('Message%20ID',Summary),filters:!(),index:'emp_*',interval:auto,query:(query_string:(analyze_wildcard:!t,query:'%22rtdc.l.rtdc.4066%22')),sort:!(Time.ISO8601,asc))</v>
      </c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s="20" customFormat="1" x14ac:dyDescent="0.3">
      <c r="A240" s="32" t="s">
        <v>814</v>
      </c>
      <c r="B240" s="7">
        <v>4014</v>
      </c>
      <c r="C240" s="21" t="s">
        <v>192</v>
      </c>
      <c r="D240" s="21" t="s">
        <v>1050</v>
      </c>
      <c r="E240" s="13">
        <v>43056.685081018521</v>
      </c>
      <c r="F240" s="13">
        <v>43056.686678240738</v>
      </c>
      <c r="G240" s="7">
        <v>70</v>
      </c>
      <c r="H240" s="21" t="s">
        <v>1051</v>
      </c>
      <c r="I240" s="13">
        <v>43056.686747685184</v>
      </c>
      <c r="J240" s="7">
        <v>1</v>
      </c>
      <c r="K240" s="89" t="str">
        <f t="shared" si="108"/>
        <v>4013/4014</v>
      </c>
      <c r="L240" s="185" t="str">
        <f>VLOOKUP(A240,'Trips&amp;Operators'!$C$1:$G$99911,5,FALSE)</f>
        <v>NEWELL JAMES</v>
      </c>
      <c r="M240" s="6">
        <f t="shared" si="109"/>
        <v>6.9444446125999093E-5</v>
      </c>
      <c r="N240" s="7">
        <f t="shared" si="139"/>
        <v>0.10000000242143869</v>
      </c>
      <c r="O240" s="7"/>
      <c r="P240" s="7"/>
      <c r="Q240" s="22"/>
      <c r="R240" s="174"/>
      <c r="S240" s="221">
        <f t="shared" si="138"/>
        <v>0</v>
      </c>
      <c r="T240" s="174" t="str">
        <f t="shared" si="110"/>
        <v>NorthBound</v>
      </c>
      <c r="U240" s="198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216" t="str">
        <f t="shared" si="111"/>
        <v>https://d0f6bd738d7f1b3e5a7ca70fe4ff75f0.us-east-1.aws.found.io/app/kibana#/discover/Steve-Slow-Train-Analysis-(2080s-and-2083s)?_g=(refreshInterval:(display:Off,pause:!f,section:0,value:0),time:(from:'2017-11-17T15:26:31-0700',mode:absolute,to:'2017-11-17T17:28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40" s="204" t="str">
        <f>IF(AA240&lt;VLOOKUP(AG240,Variables!$AC$3:$AD$8,2,FALSE),"Y","N")</f>
        <v>Y</v>
      </c>
      <c r="X240" s="204">
        <f t="shared" si="112"/>
        <v>2</v>
      </c>
      <c r="Y240" s="204">
        <f t="shared" si="140"/>
        <v>0.1148</v>
      </c>
      <c r="Z240" s="204">
        <f t="shared" si="141"/>
        <v>0.1241</v>
      </c>
      <c r="AA240" s="204">
        <f t="shared" si="113"/>
        <v>9.3000000000000027E-3</v>
      </c>
      <c r="AB240" s="54" t="e">
        <f>VLOOKUP(A240,Enforcements!$C$7:$K$9,8,0)</f>
        <v>#N/A</v>
      </c>
      <c r="AC240" s="51" t="e">
        <f>VLOOKUP(A240,Enforcements!$C$7:$E$9,3,0)</f>
        <v>#N/A</v>
      </c>
      <c r="AD240" s="179">
        <f t="shared" si="114"/>
        <v>77</v>
      </c>
      <c r="AE240" s="77" t="str">
        <f t="shared" si="115"/>
        <v>aws s3 cp s3://rtdc.mdm.uploadarchive.raw/RTDC4014/ "%USERPROFILE%\AppData\Local\Temp\OnboardLogs"\RTDC4014\2017-11-17 --exclude "*" --recursive --include "*20171117*" &amp; "%USERPROFILE%\Documents\GitHub\mrs-test-scripts\Headless Mode &amp; Sideloading\WalkAndUnGZ.bat" "%USERPROFILE%\AppData\Local\Temp\OnboardLogs"\RTDC4014\2017-11-17 &amp; aws s3 cp s3://rtdc.mdm.uploadarchive.raw/RTDC4014/ "%USERPROFILE%\AppData\Local\Temp\OnboardLogs"\RTDC4014\2017-11-18 --exclude "*" --recursive --include "*20171118*" &amp; "%USERPROFILE%\Documents\GitHub\mrs-test-scripts\Headless Mode &amp; Sideloading\WalkAndUnGZ.bat" "%USERPROFILE%\AppData\Local\Temp\OnboardLogs"\RTDC4014\2017-11-18</v>
      </c>
      <c r="AF240" s="74" t="str">
        <f t="shared" si="116"/>
        <v>"C:\Program Files (x86)\AstroGrep\AstroGrep.exe" /e /r /s /spath="%USERPROFILE%\AppData\Local\Temp\OnboardLogs" /stypes="app*4014*20171117*" /stext=" 23:.+((SYSTEM_STATE.+slice.+state.+changed )|(ment ac)|(multiple cpu faults)|(system.+state.+changed )|(\[timeout)|(PRM\|1\|D)|(kpr)|(kdp)|(train st.+moving)|(\|lc)|(penalty))"</v>
      </c>
      <c r="AG240" s="182" t="str">
        <f t="shared" si="117"/>
        <v>Shuttle/Test</v>
      </c>
      <c r="AH240" s="78" t="str">
        <f t="shared" si="118"/>
        <v>"%USERPROFILE%\Documents\GitHub\eaglep3\Utilities\RefineRTDCRunTimes.py" --tripid 77-17 --locoid 4014 --swversion DE.1.0.9.0 --startMP 204:1148 --initTime 2017-11-17T16:26:31 --startdatetime 2017-11-17T16:28:49 --delay 70 --endMP 204:1241 --enddatetime 2017-11-17T16:28:55 --enforcementcount 1 &gt;&gt;%USERPROFILE%\Documents\GitHub\eaglep3-reporting\EC\2017-11-17-refined-times.txt</v>
      </c>
      <c r="AI240" s="96" t="str">
        <f t="shared" si="119"/>
        <v>echo {"issue":{"subject":"","project_id":79,"tracker_id":40,"status_id":1,"priority_id":2,"assigned_to_id":338,"start_date":"2017-11-17","description":"","custom_fields":[{"id":1,"name":"Subdivision","value":"Shuttle/Test"},{"id":4,"name":"Milepost","value":"0.1241"},{"id":17,"name":"Train ID","value":"77-17"},{"id":16,"name":"Locomotive ID","value":"4014"},{"id":130,"name":"Impact","value":""},{"id":150,"name":"Time of Event (Mountain Time)","value":"16:28:55"},{"id":151,"name":"Denver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0" s="47"/>
      <c r="AL240" s="47"/>
      <c r="AM240" s="142" t="str">
        <f t="shared" si="120"/>
        <v>start /low /b %USERPROFILE%\Documents\GitHub\eaglep3\Utilities\DownloadLogsFromS3.py --loco 4014 --day 2017-11-17</v>
      </c>
      <c r="AN240" s="151" t="str">
        <f t="shared" si="121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23:28:55"},{"id":29,"name":"Sharepoint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0" s="168" t="str">
        <f t="shared" si="122"/>
        <v>https://d0f6bd738d7f1b3e5a7ca70fe4ff75f0.us-east-1.aws.found.io/app/kibana#/discover/Steve-Slow-Train-Analysis-(2080s-and-2083s)?_g=(refreshInterval:(display:Off,pause:!f,section:0,value:0),time:(from:'2017-11-17T15:26:31-0700',mode:absolute,to:'2017-11-17T17:28:55-0700'))&amp;_a=(columns:!('Message%20ID',Summary),filters:!(),index:'emp_*',interval:auto,query:(query_string:(analyze_wildcard:!t,query:'%22rtdc.l.rtdc.4014%22')),sort:!(Time.ISO8601,asc))</v>
      </c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:91" s="20" customFormat="1" x14ac:dyDescent="0.3">
      <c r="A241" s="32" t="s">
        <v>814</v>
      </c>
      <c r="B241" s="7">
        <v>4042</v>
      </c>
      <c r="C241" s="21" t="s">
        <v>192</v>
      </c>
      <c r="D241" s="21" t="s">
        <v>1052</v>
      </c>
      <c r="E241" s="13">
        <v>43056.754814814813</v>
      </c>
      <c r="F241" s="13">
        <v>43056.767407407409</v>
      </c>
      <c r="G241" s="7">
        <v>242</v>
      </c>
      <c r="H241" s="21" t="s">
        <v>1053</v>
      </c>
      <c r="I241" s="13">
        <v>43056.768634259257</v>
      </c>
      <c r="J241" s="7">
        <v>1</v>
      </c>
      <c r="K241" s="89" t="str">
        <f t="shared" si="108"/>
        <v>4041/4042</v>
      </c>
      <c r="L241" s="185" t="str">
        <f>VLOOKUP(A241,'Trips&amp;Operators'!$C$1:$G$99911,5,FALSE)</f>
        <v>NEWELL JAMES</v>
      </c>
      <c r="M241" s="6">
        <f t="shared" si="109"/>
        <v>1.2268518476048484E-3</v>
      </c>
      <c r="N241" s="7">
        <f t="shared" si="139"/>
        <v>1.7666666605509818</v>
      </c>
      <c r="O241" s="7"/>
      <c r="P241" s="7"/>
      <c r="Q241" s="22"/>
      <c r="R241" s="174"/>
      <c r="S241" s="221">
        <f t="shared" si="138"/>
        <v>0</v>
      </c>
      <c r="T241" s="174" t="str">
        <f t="shared" si="110"/>
        <v>NorthBound</v>
      </c>
      <c r="U241" s="198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0</v>
      </c>
      <c r="V241" s="216" t="str">
        <f t="shared" si="111"/>
        <v>https://d0f6bd738d7f1b3e5a7ca70fe4ff75f0.us-east-1.aws.found.io/app/kibana#/discover/Steve-Slow-Train-Analysis-(2080s-and-2083s)?_g=(refreshInterval:(display:Off,pause:!f,section:0,value:0),time:(from:'2017-11-17T17:06:56-0700',mode:absolute,to:'2017-11-17T19:26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41" s="204" t="str">
        <f>IF(AA241&lt;VLOOKUP(AG241,Variables!$AC$3:$AD$8,2,FALSE),"Y","N")</f>
        <v>Y</v>
      </c>
      <c r="X241" s="204">
        <f t="shared" si="112"/>
        <v>0</v>
      </c>
      <c r="Y241" s="204">
        <f t="shared" si="140"/>
        <v>0.1162</v>
      </c>
      <c r="Z241" s="204">
        <f t="shared" si="141"/>
        <v>0.3518</v>
      </c>
      <c r="AA241" s="204">
        <f t="shared" si="113"/>
        <v>0.2356</v>
      </c>
      <c r="AB241" s="54" t="e">
        <f>VLOOKUP(A241,Enforcements!$C$7:$K$9,8,0)</f>
        <v>#N/A</v>
      </c>
      <c r="AC241" s="51" t="e">
        <f>VLOOKUP(A241,Enforcements!$C$7:$E$9,3,0)</f>
        <v>#N/A</v>
      </c>
      <c r="AD241" s="179">
        <f t="shared" si="114"/>
        <v>77</v>
      </c>
      <c r="AE241" s="77" t="str">
        <f t="shared" si="115"/>
        <v>aws s3 cp s3://rtdc.mdm.uploadarchive.raw/RTDC4042/ "%USERPROFILE%\AppData\Local\Temp\OnboardLogs"\RTDC4042\2017-11-17 --exclude "*" --recursive --include "*20171117*" &amp; "%USERPROFILE%\Documents\GitHub\mrs-test-scripts\Headless Mode &amp; Sideloading\WalkAndUnGZ.bat" "%USERPROFILE%\AppData\Local\Temp\OnboardLogs"\RTDC4042\2017-11-17 &amp; aws s3 cp s3://rtdc.mdm.uploadarchive.raw/RTDC4042/ "%USERPROFILE%\AppData\Local\Temp\OnboardLogs"\RTDC4042\2017-11-18 --exclude "*" --recursive --include "*20171118*" &amp; "%USERPROFILE%\Documents\GitHub\mrs-test-scripts\Headless Mode &amp; Sideloading\WalkAndUnGZ.bat" "%USERPROFILE%\AppData\Local\Temp\OnboardLogs"\RTDC4042\2017-11-18</v>
      </c>
      <c r="AF241" s="74" t="str">
        <f t="shared" si="116"/>
        <v>"C:\Program Files (x86)\AstroGrep\AstroGrep.exe" /e /r /s /spath="%USERPROFILE%\AppData\Local\Temp\OnboardLogs" /stypes="app*4042*20171118*" /stext=" 01:.+((SYSTEM_STATE.+slice.+state.+changed )|(ment ac)|(multiple cpu faults)|(system.+state.+changed )|(\[timeout)|(PRM\|1\|D)|(kpr)|(kdp)|(train st.+moving)|(\|lc)|(penalty))"</v>
      </c>
      <c r="AG241" s="182" t="str">
        <f t="shared" si="117"/>
        <v>Shuttle/Test</v>
      </c>
      <c r="AH241" s="78" t="str">
        <f t="shared" si="118"/>
        <v>"%USERPROFILE%\Documents\GitHub\eaglep3\Utilities\RefineRTDCRunTimes.py" --tripid 77-17 --locoid 4042 --swversion DE.1.0.9.0 --startMP 204:1162 --initTime 2017-11-17T18:06:56 --startdatetime 2017-11-17T18:25:04 --delay 242 --endMP 204:3518 --enddatetime 2017-11-17T18:26:50 --enforcementcount 1 &gt;&gt;%USERPROFILE%\Documents\GitHub\eaglep3-reporting\EC\2017-11-17-refined-times.txt</v>
      </c>
      <c r="AI241" s="96" t="str">
        <f t="shared" si="119"/>
        <v>echo {"issue":{"subject":"","project_id":79,"tracker_id":40,"status_id":1,"priority_id":2,"assigned_to_id":338,"start_date":"2017-11-17","description":"","custom_fields":[{"id":1,"name":"Subdivision","value":"Shuttle/Test"},{"id":4,"name":"Milepost","value":"0.3518"},{"id":17,"name":"Train ID","value":"77-17"},{"id":16,"name":"Locomotive ID","value":"4042"},{"id":130,"name":"Impact","value":""},{"id":150,"name":"Time of Event (Mountain Time)","value":"18:26:50"},{"id":151,"name":"Denver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1" s="47"/>
      <c r="AL241" s="47"/>
      <c r="AM241" s="142" t="str">
        <f t="shared" si="120"/>
        <v>start /low /b %USERPROFILE%\Documents\GitHub\eaglep3\Utilities\DownloadLogsFromS3.py --loco 4042 --day 2017-11-17</v>
      </c>
      <c r="AN241" s="151" t="str">
        <f t="shared" si="121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01:26:50"},{"id":29,"name":"Sharepoint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1" s="168" t="str">
        <f t="shared" si="122"/>
        <v>https://d0f6bd738d7f1b3e5a7ca70fe4ff75f0.us-east-1.aws.found.io/app/kibana#/discover/Steve-Slow-Train-Analysis-(2080s-and-2083s)?_g=(refreshInterval:(display:Off,pause:!f,section:0,value:0),time:(from:'2017-11-17T17:06:56-0700',mode:absolute,to:'2017-11-17T19:26:50-0700'))&amp;_a=(columns:!('Message%20ID',Summary),filters:!(),index:'emp_*',interval:auto,query:(query_string:(analyze_wildcard:!t,query:'%22rtdc.l.rtdc.4042%22')),sort:!(Time.ISO8601,asc))</v>
      </c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s="20" customFormat="1" x14ac:dyDescent="0.3">
      <c r="A242" s="32" t="s">
        <v>814</v>
      </c>
      <c r="B242" s="7">
        <v>4009</v>
      </c>
      <c r="C242" s="21" t="s">
        <v>192</v>
      </c>
      <c r="D242" s="21" t="s">
        <v>604</v>
      </c>
      <c r="E242" s="13">
        <v>43056.86917824074</v>
      </c>
      <c r="F242" s="13">
        <v>43056.870520833334</v>
      </c>
      <c r="G242" s="7">
        <v>64</v>
      </c>
      <c r="H242" s="21" t="s">
        <v>496</v>
      </c>
      <c r="I242" s="13">
        <v>43056.871724537035</v>
      </c>
      <c r="J242" s="7">
        <v>1</v>
      </c>
      <c r="K242" s="89" t="str">
        <f t="shared" si="108"/>
        <v>4009/4010</v>
      </c>
      <c r="L242" s="185" t="str">
        <f>VLOOKUP(A242,'Trips&amp;Operators'!$C$1:$G$99911,5,FALSE)</f>
        <v>NEWELL JAMES</v>
      </c>
      <c r="M242" s="6">
        <f t="shared" si="109"/>
        <v>1.2037037013215013E-3</v>
      </c>
      <c r="N242" s="7">
        <f t="shared" si="139"/>
        <v>1.7333333299029619</v>
      </c>
      <c r="O242" s="7"/>
      <c r="P242" s="7"/>
      <c r="Q242" s="22"/>
      <c r="R242" s="174"/>
      <c r="S242" s="221">
        <f t="shared" si="138"/>
        <v>0</v>
      </c>
      <c r="T242" s="174" t="str">
        <f t="shared" si="110"/>
        <v>NorthBound</v>
      </c>
      <c r="U242" s="198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0</v>
      </c>
      <c r="V242" s="216" t="str">
        <f t="shared" si="111"/>
        <v>https://d0f6bd738d7f1b3e5a7ca70fe4ff75f0.us-east-1.aws.found.io/app/kibana#/discover/Steve-Slow-Train-Analysis-(2080s-and-2083s)?_g=(refreshInterval:(display:Off,pause:!f,section:0,value:0),time:(from:'2017-11-17T19:51:37-0700',mode:absolute,to:'2017-11-17T21:55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42" s="204" t="str">
        <f>IF(AA242&lt;VLOOKUP(AG242,Variables!$AC$3:$AD$8,2,FALSE),"Y","N")</f>
        <v>Y</v>
      </c>
      <c r="X242" s="204">
        <f t="shared" si="112"/>
        <v>0</v>
      </c>
      <c r="Y242" s="204">
        <f t="shared" si="140"/>
        <v>0.32150000000000001</v>
      </c>
      <c r="Z242" s="204">
        <f t="shared" si="141"/>
        <v>2.3199999999999998E-2</v>
      </c>
      <c r="AA242" s="204">
        <f t="shared" si="113"/>
        <v>0.29830000000000001</v>
      </c>
      <c r="AB242" s="54" t="e">
        <f>VLOOKUP(A242,Enforcements!$C$7:$K$9,8,0)</f>
        <v>#N/A</v>
      </c>
      <c r="AC242" s="51" t="e">
        <f>VLOOKUP(A242,Enforcements!$C$7:$E$9,3,0)</f>
        <v>#N/A</v>
      </c>
      <c r="AD242" s="179">
        <f t="shared" si="114"/>
        <v>77</v>
      </c>
      <c r="AE242" s="77" t="str">
        <f t="shared" si="115"/>
        <v>aws s3 cp s3://rtdc.mdm.uploadarchive.raw/RTDC4009/ "%USERPROFILE%\AppData\Local\Temp\OnboardLogs"\RTDC4009\2017-11-17 --exclude "*" --recursive --include "*20171117*" &amp; "%USERPROFILE%\Documents\GitHub\mrs-test-scripts\Headless Mode &amp; Sideloading\WalkAndUnGZ.bat" "%USERPROFILE%\AppData\Local\Temp\OnboardLogs"\RTDC4009\2017-11-17 &amp; aws s3 cp s3://rtdc.mdm.uploadarchive.raw/RTDC4009/ "%USERPROFILE%\AppData\Local\Temp\OnboardLogs"\RTDC4009\2017-11-18 --exclude "*" --recursive --include "*20171118*" &amp; "%USERPROFILE%\Documents\GitHub\mrs-test-scripts\Headless Mode &amp; Sideloading\WalkAndUnGZ.bat" "%USERPROFILE%\AppData\Local\Temp\OnboardLogs"\RTDC4009\2017-11-18</v>
      </c>
      <c r="AF242" s="74" t="str">
        <f t="shared" si="116"/>
        <v>"C:\Program Files (x86)\AstroGrep\AstroGrep.exe" /e /r /s /spath="%USERPROFILE%\AppData\Local\Temp\OnboardLogs" /stypes="app*4009*20171118*" /stext=" 03:.+((SYSTEM_STATE.+slice.+state.+changed )|(ment ac)|(multiple cpu faults)|(system.+state.+changed )|(\[timeout)|(PRM\|1\|D)|(kpr)|(kdp)|(train st.+moving)|(\|lc)|(penalty))"</v>
      </c>
      <c r="AG242" s="182" t="str">
        <f t="shared" si="117"/>
        <v>Shuttle/Test</v>
      </c>
      <c r="AH242" s="78" t="str">
        <f t="shared" si="118"/>
        <v>"%USERPROFILE%\Documents\GitHub\eaglep3\Utilities\RefineRTDCRunTimes.py" --tripid 77-17 --locoid 4009 --swversion DE.1.0.9.0 --startMP 204:3215 --initTime 2017-11-17T20:51:37 --startdatetime 2017-11-17T20:53:33 --delay 64 --endMP 204:232 --enddatetime 2017-11-17T20:55:17 --enforcementcount 1 &gt;&gt;%USERPROFILE%\Documents\GitHub\eaglep3-reporting\EC\2017-11-17-refined-times.txt</v>
      </c>
      <c r="AI242" s="96" t="str">
        <f t="shared" si="119"/>
        <v>echo {"issue":{"subject":"","project_id":79,"tracker_id":40,"status_id":1,"priority_id":2,"assigned_to_id":338,"start_date":"2017-11-17","description":"","custom_fields":[{"id":1,"name":"Subdivision","value":"Shuttle/Test"},{"id":4,"name":"Milepost","value":"0.0232"},{"id":17,"name":"Train ID","value":"77-17"},{"id":16,"name":"Locomotive ID","value":"4009"},{"id":130,"name":"Impact","value":""},{"id":150,"name":"Time of Event (Mountain Time)","value":"20:55:17"},{"id":151,"name":"Denver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2" s="47"/>
      <c r="AL242" s="47"/>
      <c r="AM242" s="142" t="str">
        <f t="shared" si="120"/>
        <v>start /low /b %USERPROFILE%\Documents\GitHub\eaglep3\Utilities\DownloadLogsFromS3.py --loco 4009 --day 2017-11-17</v>
      </c>
      <c r="AN242" s="151" t="str">
        <f t="shared" si="121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03:55:17"},{"id":29,"name":"Sharepoint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2" s="168" t="str">
        <f t="shared" si="122"/>
        <v>https://d0f6bd738d7f1b3e5a7ca70fe4ff75f0.us-east-1.aws.found.io/app/kibana#/discover/Steve-Slow-Train-Analysis-(2080s-and-2083s)?_g=(refreshInterval:(display:Off,pause:!f,section:0,value:0),time:(from:'2017-11-17T19:51:37-0700',mode:absolute,to:'2017-11-17T21:55:17-0700'))&amp;_a=(columns:!('Message%20ID',Summary),filters:!(),index:'emp_*',interval:auto,query:(query_string:(analyze_wildcard:!t,query:'%22rtdc.l.rtdc.4009%22')),sort:!(Time.ISO8601,asc))</v>
      </c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:91" s="20" customFormat="1" x14ac:dyDescent="0.3">
      <c r="A243" s="32" t="s">
        <v>814</v>
      </c>
      <c r="B243" s="7">
        <v>4010</v>
      </c>
      <c r="C243" s="21" t="s">
        <v>192</v>
      </c>
      <c r="D243" s="21" t="s">
        <v>1054</v>
      </c>
      <c r="E243" s="13">
        <v>43056.86482638889</v>
      </c>
      <c r="F243" s="13">
        <v>43056.870520833334</v>
      </c>
      <c r="G243" s="7">
        <v>82</v>
      </c>
      <c r="H243" s="21" t="s">
        <v>1055</v>
      </c>
      <c r="I243" s="13">
        <v>43056.871724537035</v>
      </c>
      <c r="J243" s="7">
        <v>1</v>
      </c>
      <c r="K243" s="89" t="str">
        <f t="shared" si="108"/>
        <v>4009/4010</v>
      </c>
      <c r="L243" s="185" t="str">
        <f>VLOOKUP(A243,'Trips&amp;Operators'!$C$1:$G$99911,5,FALSE)</f>
        <v>NEWELL JAMES</v>
      </c>
      <c r="M243" s="6">
        <f t="shared" si="109"/>
        <v>1.2037037013215013E-3</v>
      </c>
      <c r="N243" s="7">
        <f t="shared" si="139"/>
        <v>1.7333333299029619</v>
      </c>
      <c r="O243" s="7"/>
      <c r="P243" s="7"/>
      <c r="Q243" s="22"/>
      <c r="R243" s="174"/>
      <c r="S243" s="221">
        <f t="shared" si="138"/>
        <v>0</v>
      </c>
      <c r="T243" s="174" t="str">
        <f t="shared" si="110"/>
        <v>NorthBound</v>
      </c>
      <c r="U243" s="198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0</v>
      </c>
      <c r="V243" s="216" t="str">
        <f t="shared" si="111"/>
        <v>https://d0f6bd738d7f1b3e5a7ca70fe4ff75f0.us-east-1.aws.found.io/app/kibana#/discover/Steve-Slow-Train-Analysis-(2080s-and-2083s)?_g=(refreshInterval:(display:Off,pause:!f,section:0,value:0),time:(from:'2017-11-17T19:45:21-0700',mode:absolute,to:'2017-11-17T21:55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43" s="204" t="str">
        <f>IF(AA243&lt;VLOOKUP(AG243,Variables!$AC$3:$AD$8,2,FALSE),"Y","N")</f>
        <v>Y</v>
      </c>
      <c r="X243" s="204">
        <f t="shared" si="112"/>
        <v>0</v>
      </c>
      <c r="Y243" s="204">
        <f t="shared" si="140"/>
        <v>0.1173</v>
      </c>
      <c r="Z243" s="204">
        <f t="shared" si="141"/>
        <v>0.35420000000000001</v>
      </c>
      <c r="AA243" s="204">
        <f t="shared" si="113"/>
        <v>0.2369</v>
      </c>
      <c r="AB243" s="54" t="e">
        <f>VLOOKUP(A243,Enforcements!$C$7:$K$9,8,0)</f>
        <v>#N/A</v>
      </c>
      <c r="AC243" s="51" t="e">
        <f>VLOOKUP(A243,Enforcements!$C$7:$E$9,3,0)</f>
        <v>#N/A</v>
      </c>
      <c r="AD243" s="179">
        <f t="shared" si="114"/>
        <v>77</v>
      </c>
      <c r="AE243" s="77" t="str">
        <f t="shared" si="115"/>
        <v>aws s3 cp s3://rtdc.mdm.uploadarchive.raw/RTDC4010/ "%USERPROFILE%\AppData\Local\Temp\OnboardLogs"\RTDC4010\2017-11-17 --exclude "*" --recursive --include "*20171117*" &amp; "%USERPROFILE%\Documents\GitHub\mrs-test-scripts\Headless Mode &amp; Sideloading\WalkAndUnGZ.bat" "%USERPROFILE%\AppData\Local\Temp\OnboardLogs"\RTDC4010\2017-11-17 &amp; aws s3 cp s3://rtdc.mdm.uploadarchive.raw/RTDC4010/ "%USERPROFILE%\AppData\Local\Temp\OnboardLogs"\RTDC4010\2017-11-18 --exclude "*" --recursive --include "*20171118*" &amp; "%USERPROFILE%\Documents\GitHub\mrs-test-scripts\Headless Mode &amp; Sideloading\WalkAndUnGZ.bat" "%USERPROFILE%\AppData\Local\Temp\OnboardLogs"\RTDC4010\2017-11-18</v>
      </c>
      <c r="AF243" s="74" t="str">
        <f t="shared" si="116"/>
        <v>"C:\Program Files (x86)\AstroGrep\AstroGrep.exe" /e /r /s /spath="%USERPROFILE%\AppData\Local\Temp\OnboardLogs" /stypes="app*4010*20171118*" /stext=" 03:.+((SYSTEM_STATE.+slice.+state.+changed )|(ment ac)|(multiple cpu faults)|(system.+state.+changed )|(\[timeout)|(PRM\|1\|D)|(kpr)|(kdp)|(train st.+moving)|(\|lc)|(penalty))"</v>
      </c>
      <c r="AG243" s="182" t="str">
        <f t="shared" si="117"/>
        <v>Shuttle/Test</v>
      </c>
      <c r="AH243" s="78" t="str">
        <f t="shared" si="118"/>
        <v>"%USERPROFILE%\Documents\GitHub\eaglep3\Utilities\RefineRTDCRunTimes.py" --tripid 77-17 --locoid 4010 --swversion DE.1.0.9.0 --startMP 204:1173 --initTime 2017-11-17T20:45:21 --startdatetime 2017-11-17T20:53:33 --delay 82 --endMP 204:3542 --enddatetime 2017-11-17T20:55:17 --enforcementcount 1 &gt;&gt;%USERPROFILE%\Documents\GitHub\eaglep3-reporting\EC\2017-11-17-refined-times.txt</v>
      </c>
      <c r="AI243" s="96" t="str">
        <f t="shared" si="119"/>
        <v>echo {"issue":{"subject":"","project_id":79,"tracker_id":40,"status_id":1,"priority_id":2,"assigned_to_id":338,"start_date":"2017-11-17","description":"","custom_fields":[{"id":1,"name":"Subdivision","value":"Shuttle/Test"},{"id":4,"name":"Milepost","value":"0.3542"},{"id":17,"name":"Train ID","value":"77-17"},{"id":16,"name":"Locomotive ID","value":"4010"},{"id":130,"name":"Impact","value":""},{"id":150,"name":"Time of Event (Mountain Time)","value":"20:55:17"},{"id":151,"name":"Denver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3" s="47"/>
      <c r="AL243" s="47"/>
      <c r="AM243" s="142" t="str">
        <f t="shared" si="120"/>
        <v>start /low /b %USERPROFILE%\Documents\GitHub\eaglep3\Utilities\DownloadLogsFromS3.py --loco 4010 --day 2017-11-17</v>
      </c>
      <c r="AN243" s="151" t="str">
        <f t="shared" si="121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03:55:17"},{"id":29,"name":"Sharepoint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3" s="168" t="str">
        <f t="shared" si="122"/>
        <v>https://d0f6bd738d7f1b3e5a7ca70fe4ff75f0.us-east-1.aws.found.io/app/kibana#/discover/Steve-Slow-Train-Analysis-(2080s-and-2083s)?_g=(refreshInterval:(display:Off,pause:!f,section:0,value:0),time:(from:'2017-11-17T19:45:21-0700',mode:absolute,to:'2017-11-17T21:55:17-0700'))&amp;_a=(columns:!('Message%20ID',Summary),filters:!(),index:'emp_*',interval:auto,query:(query_string:(analyze_wildcard:!t,query:'%22rtdc.l.rtdc.4010%22')),sort:!(Time.ISO8601,asc))</v>
      </c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:91" s="20" customFormat="1" x14ac:dyDescent="0.3">
      <c r="A244" s="32" t="s">
        <v>845</v>
      </c>
      <c r="B244" s="7">
        <v>4014</v>
      </c>
      <c r="C244" s="21" t="s">
        <v>192</v>
      </c>
      <c r="D244" s="21" t="s">
        <v>1056</v>
      </c>
      <c r="E244" s="13">
        <v>43056.771273148152</v>
      </c>
      <c r="F244" s="13">
        <v>43056.772511574076</v>
      </c>
      <c r="G244" s="7">
        <v>61</v>
      </c>
      <c r="H244" s="21" t="s">
        <v>470</v>
      </c>
      <c r="I244" s="13">
        <v>43056.779756944445</v>
      </c>
      <c r="J244" s="7">
        <v>1</v>
      </c>
      <c r="K244" s="89" t="str">
        <f t="shared" si="108"/>
        <v>4013/4014</v>
      </c>
      <c r="L244" s="185" t="str">
        <f>VLOOKUP(A244,'Trips&amp;Operators'!$C$1:$G$99911,5,FALSE)</f>
        <v>DELGADO DIANAH</v>
      </c>
      <c r="M244" s="6">
        <f t="shared" si="109"/>
        <v>7.2453703687642701E-3</v>
      </c>
      <c r="N244" s="7">
        <f t="shared" si="139"/>
        <v>10.433333331020549</v>
      </c>
      <c r="O244" s="7"/>
      <c r="P244" s="7"/>
      <c r="Q244" s="22"/>
      <c r="R244" s="174"/>
      <c r="S244" s="221">
        <f t="shared" si="138"/>
        <v>1</v>
      </c>
      <c r="T244" s="174" t="str">
        <f t="shared" si="110"/>
        <v>NorthBound</v>
      </c>
      <c r="U244" s="198">
        <f>IF(AG244="EC",COUNTIFS(Variables!$M$2:$M$19,IF(T244="NorthBound","&gt;=","&lt;=")&amp;Y244,Variables!$M$2:$M$19,IF(T244="NorthBound","&lt;=","&gt;=")&amp;Z244),COUNTIFS(Variables!$P$2:$P$19,IF(T244="NorthBound","&gt;=","&lt;=")&amp;Y244,Variables!$P$2:$P$19,IF(T244="NorthBound","&lt;=","&gt;=")&amp;Z244))</f>
        <v>1</v>
      </c>
      <c r="V244" s="216" t="str">
        <f t="shared" si="111"/>
        <v>https://d0f6bd738d7f1b3e5a7ca70fe4ff75f0.us-east-1.aws.found.io/app/kibana#/discover/Steve-Slow-Train-Analysis-(2080s-and-2083s)?_g=(refreshInterval:(display:Off,pause:!f,section:0,value:0),time:(from:'2017-11-17T17:30:38-0700',mode:absolute,to:'2017-11-17T19:42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44" s="204" t="str">
        <f>IF(AA244&lt;VLOOKUP(AG244,Variables!$AC$3:$AD$8,2,FALSE),"Y","N")</f>
        <v>Y</v>
      </c>
      <c r="X244" s="204">
        <f t="shared" si="112"/>
        <v>2</v>
      </c>
      <c r="Y244" s="204">
        <f t="shared" si="140"/>
        <v>4.2999999999999997E-2</v>
      </c>
      <c r="Z244" s="204">
        <f t="shared" si="141"/>
        <v>2.3315999999999999</v>
      </c>
      <c r="AA244" s="204">
        <f t="shared" si="113"/>
        <v>2.2885999999999997</v>
      </c>
      <c r="AB244" s="54" t="e">
        <f>VLOOKUP(A244,Enforcements!$C$7:$K$9,8,0)</f>
        <v>#N/A</v>
      </c>
      <c r="AC244" s="51" t="e">
        <f>VLOOKUP(A244,Enforcements!$C$7:$E$9,3,0)</f>
        <v>#N/A</v>
      </c>
      <c r="AD244" s="179">
        <f t="shared" si="114"/>
        <v>79</v>
      </c>
      <c r="AE244" s="77" t="str">
        <f t="shared" si="115"/>
        <v>aws s3 cp s3://rtdc.mdm.uploadarchive.raw/RTDC4014/ "%USERPROFILE%\AppData\Local\Temp\OnboardLogs"\RTDC4014\2017-11-17 --exclude "*" --recursive --include "*20171117*" &amp; "%USERPROFILE%\Documents\GitHub\mrs-test-scripts\Headless Mode &amp; Sideloading\WalkAndUnGZ.bat" "%USERPROFILE%\AppData\Local\Temp\OnboardLogs"\RTDC4014\2017-11-17 &amp; aws s3 cp s3://rtdc.mdm.uploadarchive.raw/RTDC4014/ "%USERPROFILE%\AppData\Local\Temp\OnboardLogs"\RTDC4014\2017-11-18 --exclude "*" --recursive --include "*20171118*" &amp; "%USERPROFILE%\Documents\GitHub\mrs-test-scripts\Headless Mode &amp; Sideloading\WalkAndUnGZ.bat" "%USERPROFILE%\AppData\Local\Temp\OnboardLogs"\RTDC4014\2017-11-18</v>
      </c>
      <c r="AF244" s="74" t="str">
        <f t="shared" si="116"/>
        <v>"C:\Program Files (x86)\AstroGrep\AstroGrep.exe" /e /r /s /spath="%USERPROFILE%\AppData\Local\Temp\OnboardLogs" /stypes="app*4014*20171118*" /stext=" 01:.+((SYSTEM_STATE.+slice.+state.+changed )|(ment ac)|(multiple cpu faults)|(system.+state.+changed )|(\[timeout)|(PRM\|1\|D)|(kpr)|(kdp)|(train st.+moving)|(\|lc)|(penalty))"</v>
      </c>
      <c r="AG244" s="182" t="str">
        <f t="shared" si="117"/>
        <v>Shuttle/Test</v>
      </c>
      <c r="AH244" s="78" t="str">
        <f t="shared" si="118"/>
        <v>"%USERPROFILE%\Documents\GitHub\eaglep3\Utilities\RefineRTDCRunTimes.py" --tripid 79-17 --locoid 4014 --swversion DE.1.0.9.0 --startMP 204:430 --initTime 2017-11-17T18:30:38 --startdatetime 2017-11-17T18:32:25 --delay 61 --endMP 300:23316 --enddatetime 2017-11-17T18:42:51 --enforcementcount 1 &gt;&gt;%USERPROFILE%\Documents\GitHub\eaglep3-reporting\EC\2017-11-17-refined-times.txt</v>
      </c>
      <c r="AI244" s="96" t="str">
        <f t="shared" si="119"/>
        <v>echo {"issue":{"subject":"","project_id":79,"tracker_id":40,"status_id":1,"priority_id":2,"assigned_to_id":338,"start_date":"2017-11-17","description":"","custom_fields":[{"id":1,"name":"Subdivision","value":"Shuttle/Test"},{"id":4,"name":"Milepost","value":"2.3316"},{"id":17,"name":"Train ID","value":"79-17"},{"id":16,"name":"Locomotive ID","value":"4014"},{"id":130,"name":"Impact","value":""},{"id":150,"name":"Time of Event (Mountain Time)","value":"18:42:51"},{"id":151,"name":"Denver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4" s="47"/>
      <c r="AL244" s="47"/>
      <c r="AM244" s="142" t="str">
        <f t="shared" si="120"/>
        <v>start /low /b %USERPROFILE%\Documents\GitHub\eaglep3\Utilities\DownloadLogsFromS3.py --loco 4014 --day 2017-11-17</v>
      </c>
      <c r="AN244" s="151" t="str">
        <f t="shared" si="121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01:42:51"},{"id":29,"name":"Sharepoint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4" s="168" t="str">
        <f t="shared" si="122"/>
        <v>https://d0f6bd738d7f1b3e5a7ca70fe4ff75f0.us-east-1.aws.found.io/app/kibana#/discover/Steve-Slow-Train-Analysis-(2080s-and-2083s)?_g=(refreshInterval:(display:Off,pause:!f,section:0,value:0),time:(from:'2017-11-17T17:30:38-0700',mode:absolute,to:'2017-11-17T19:42:51-0700'))&amp;_a=(columns:!('Message%20ID',Summary),filters:!(),index:'emp_*',interval:auto,query:(query_string:(analyze_wildcard:!t,query:'%22rtdc.l.rtdc.4014%22')),sort:!(Time.ISO8601,asc))</v>
      </c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s="20" customFormat="1" x14ac:dyDescent="0.3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:91" s="20" customFormat="1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:91" s="20" customFormat="1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:91" s="20" customFormat="1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:91" s="20" customFormat="1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:91" s="20" customFormat="1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:91" s="20" customFormat="1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:91" s="20" customFormat="1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:91" s="20" customFormat="1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:91" s="20" customFormat="1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:91" s="20" customFormat="1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:91" s="20" customFormat="1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:91" s="20" customFormat="1" x14ac:dyDescent="0.3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:91" s="20" customFormat="1" x14ac:dyDescent="0.3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:91" s="20" customFormat="1" x14ac:dyDescent="0.3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:91" s="20" customFormat="1" x14ac:dyDescent="0.3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:91" s="20" customFormat="1" x14ac:dyDescent="0.3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:91" s="20" customFormat="1" x14ac:dyDescent="0.3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:91" s="20" customFormat="1" x14ac:dyDescent="0.3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:91" s="20" customFormat="1" x14ac:dyDescent="0.3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:91" s="20" customFormat="1" x14ac:dyDescent="0.3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:91" s="20" customFormat="1" x14ac:dyDescent="0.3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:91" s="20" customFormat="1" x14ac:dyDescent="0.3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:91" s="20" customFormat="1" x14ac:dyDescent="0.3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:91" s="20" customFormat="1" x14ac:dyDescent="0.3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:91" s="20" customFormat="1" x14ac:dyDescent="0.3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:91" s="20" customFormat="1" x14ac:dyDescent="0.3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:91" s="20" customFormat="1" x14ac:dyDescent="0.3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:91" s="20" customFormat="1" x14ac:dyDescent="0.3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:91" s="20" customFormat="1" x14ac:dyDescent="0.3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:91" s="20" customFormat="1" x14ac:dyDescent="0.3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:91" s="20" customFormat="1" x14ac:dyDescent="0.3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:91" s="20" customFormat="1" x14ac:dyDescent="0.3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:91" s="20" customFormat="1" x14ac:dyDescent="0.3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:91" s="20" customFormat="1" x14ac:dyDescent="0.3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:91" s="20" customFormat="1" x14ac:dyDescent="0.3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:91" s="20" customFormat="1" x14ac:dyDescent="0.3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:91" s="20" customFormat="1" x14ac:dyDescent="0.3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:91" s="20" customFormat="1" x14ac:dyDescent="0.3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:91" s="20" customFormat="1" x14ac:dyDescent="0.3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:91" s="20" customFormat="1" x14ac:dyDescent="0.3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:91" s="20" customFormat="1" x14ac:dyDescent="0.3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:91" s="20" customFormat="1" x14ac:dyDescent="0.3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:91" s="20" customFormat="1" x14ac:dyDescent="0.3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:91" s="20" customFormat="1" x14ac:dyDescent="0.3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:91" s="20" customFormat="1" x14ac:dyDescent="0.3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:91" s="20" customFormat="1" x14ac:dyDescent="0.3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:91" s="20" customFormat="1" x14ac:dyDescent="0.3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:91" s="20" customFormat="1" x14ac:dyDescent="0.3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:91" s="20" customFormat="1" x14ac:dyDescent="0.3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:91" s="20" customFormat="1" x14ac:dyDescent="0.3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:91" s="20" customFormat="1" x14ac:dyDescent="0.3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:91" s="20" customFormat="1" x14ac:dyDescent="0.3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:91" s="20" customFormat="1" x14ac:dyDescent="0.3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:91" s="20" customFormat="1" x14ac:dyDescent="0.3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:91" s="20" customFormat="1" x14ac:dyDescent="0.3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:91" s="20" customFormat="1" x14ac:dyDescent="0.3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:91" s="20" customFormat="1" x14ac:dyDescent="0.3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</row>
    <row r="303" spans="1:91" s="20" customFormat="1" x14ac:dyDescent="0.3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:91" s="20" customFormat="1" x14ac:dyDescent="0.3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:91" s="20" customFormat="1" x14ac:dyDescent="0.3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:91" s="20" customFormat="1" x14ac:dyDescent="0.3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</row>
    <row r="307" spans="1:91" s="20" customFormat="1" x14ac:dyDescent="0.3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:91" s="20" customFormat="1" x14ac:dyDescent="0.3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</row>
    <row r="309" spans="1:91" s="20" customFormat="1" x14ac:dyDescent="0.3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</row>
    <row r="310" spans="1:91" s="20" customFormat="1" x14ac:dyDescent="0.3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:91" s="20" customFormat="1" x14ac:dyDescent="0.3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:91" s="20" customFormat="1" x14ac:dyDescent="0.3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:91" s="20" customFormat="1" x14ac:dyDescent="0.3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</row>
    <row r="314" spans="1:91" s="20" customFormat="1" x14ac:dyDescent="0.3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:91" s="20" customFormat="1" x14ac:dyDescent="0.3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</row>
    <row r="316" spans="1:91" s="20" customFormat="1" x14ac:dyDescent="0.3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:91" s="20" customFormat="1" x14ac:dyDescent="0.3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</row>
    <row r="318" spans="1:91" s="20" customFormat="1" x14ac:dyDescent="0.3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</row>
    <row r="319" spans="1:91" s="20" customFormat="1" x14ac:dyDescent="0.3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</row>
    <row r="320" spans="1:91" s="20" customFormat="1" x14ac:dyDescent="0.3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</row>
    <row r="321" spans="1:91" s="20" customFormat="1" x14ac:dyDescent="0.3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</row>
    <row r="322" spans="1:91" s="20" customFormat="1" x14ac:dyDescent="0.3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</row>
    <row r="323" spans="1:91" s="20" customFormat="1" x14ac:dyDescent="0.3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</row>
    <row r="324" spans="1:91" s="20" customFormat="1" x14ac:dyDescent="0.3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</row>
    <row r="325" spans="1:91" s="20" customFormat="1" x14ac:dyDescent="0.3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</row>
    <row r="326" spans="1:91" s="20" customFormat="1" x14ac:dyDescent="0.3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</row>
    <row r="327" spans="1:91" s="20" customFormat="1" x14ac:dyDescent="0.3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</row>
    <row r="328" spans="1:91" s="20" customFormat="1" x14ac:dyDescent="0.3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</row>
    <row r="329" spans="1:91" s="20" customFormat="1" x14ac:dyDescent="0.3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</row>
    <row r="330" spans="1:91" s="20" customFormat="1" x14ac:dyDescent="0.3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</row>
    <row r="331" spans="1:91" s="20" customFormat="1" x14ac:dyDescent="0.3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</row>
    <row r="332" spans="1:91" s="20" customFormat="1" x14ac:dyDescent="0.3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</row>
    <row r="333" spans="1:91" s="20" customFormat="1" x14ac:dyDescent="0.3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</row>
    <row r="334" spans="1:91" s="20" customFormat="1" x14ac:dyDescent="0.3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</row>
    <row r="335" spans="1:91" s="20" customFormat="1" x14ac:dyDescent="0.3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</row>
    <row r="336" spans="1:91" s="20" customFormat="1" x14ac:dyDescent="0.3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</row>
    <row r="337" spans="1:91" s="20" customFormat="1" x14ac:dyDescent="0.3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</row>
    <row r="338" spans="1:91" s="20" customFormat="1" x14ac:dyDescent="0.3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</row>
    <row r="339" spans="1:91" s="20" customFormat="1" x14ac:dyDescent="0.3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</row>
    <row r="340" spans="1:91" s="20" customFormat="1" x14ac:dyDescent="0.3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</row>
    <row r="341" spans="1:91" s="20" customFormat="1" x14ac:dyDescent="0.3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</row>
    <row r="342" spans="1:91" s="20" customFormat="1" x14ac:dyDescent="0.3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</row>
    <row r="343" spans="1:91" s="20" customFormat="1" x14ac:dyDescent="0.3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</row>
    <row r="344" spans="1:91" s="20" customFormat="1" x14ac:dyDescent="0.3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</row>
    <row r="345" spans="1:91" s="20" customFormat="1" x14ac:dyDescent="0.3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</row>
    <row r="346" spans="1:91" s="20" customFormat="1" x14ac:dyDescent="0.3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</row>
    <row r="347" spans="1:91" s="20" customFormat="1" x14ac:dyDescent="0.3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</row>
    <row r="348" spans="1:91" s="20" customFormat="1" x14ac:dyDescent="0.3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</row>
    <row r="349" spans="1:91" s="20" customFormat="1" x14ac:dyDescent="0.3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</row>
    <row r="350" spans="1:91" s="20" customFormat="1" x14ac:dyDescent="0.3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</row>
    <row r="351" spans="1:91" s="20" customFormat="1" x14ac:dyDescent="0.3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</row>
    <row r="352" spans="1:91" s="20" customFormat="1" x14ac:dyDescent="0.3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</row>
    <row r="353" spans="1:91" s="20" customFormat="1" x14ac:dyDescent="0.3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</row>
    <row r="354" spans="1:91" s="20" customFormat="1" x14ac:dyDescent="0.3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</row>
    <row r="355" spans="1:91" s="20" customFormat="1" x14ac:dyDescent="0.3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</row>
    <row r="356" spans="1:91" s="20" customFormat="1" x14ac:dyDescent="0.3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</row>
    <row r="357" spans="1:91" s="20" customFormat="1" x14ac:dyDescent="0.3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</row>
    <row r="358" spans="1:91" s="20" customFormat="1" x14ac:dyDescent="0.3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</row>
    <row r="359" spans="1:91" s="20" customFormat="1" x14ac:dyDescent="0.3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</row>
    <row r="360" spans="1:91" s="20" customFormat="1" x14ac:dyDescent="0.3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</row>
    <row r="361" spans="1:91" s="20" customFormat="1" x14ac:dyDescent="0.3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</row>
    <row r="362" spans="1:91" s="20" customFormat="1" x14ac:dyDescent="0.3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</row>
    <row r="363" spans="1:91" s="20" customFormat="1" x14ac:dyDescent="0.3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</row>
    <row r="364" spans="1:91" s="20" customFormat="1" x14ac:dyDescent="0.3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</row>
    <row r="365" spans="1:91" s="20" customFormat="1" x14ac:dyDescent="0.3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</row>
    <row r="366" spans="1:91" s="20" customFormat="1" x14ac:dyDescent="0.3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</row>
    <row r="367" spans="1:91" s="20" customFormat="1" x14ac:dyDescent="0.3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</row>
    <row r="368" spans="1:91" s="20" customFormat="1" x14ac:dyDescent="0.3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</row>
    <row r="369" spans="1:91" s="20" customFormat="1" x14ac:dyDescent="0.3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</row>
    <row r="370" spans="1:91" s="20" customFormat="1" x14ac:dyDescent="0.3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</row>
    <row r="371" spans="1:91" x14ac:dyDescent="0.3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M371"/>
      <c r="AO371"/>
    </row>
    <row r="372" spans="1:91" s="20" customFormat="1" x14ac:dyDescent="0.3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</row>
    <row r="373" spans="1:91" s="20" customFormat="1" x14ac:dyDescent="0.3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</row>
    <row r="374" spans="1:91" s="20" customFormat="1" x14ac:dyDescent="0.3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</row>
    <row r="375" spans="1:91" s="20" customFormat="1" x14ac:dyDescent="0.3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</row>
    <row r="376" spans="1:91" s="20" customFormat="1" x14ac:dyDescent="0.3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</row>
    <row r="377" spans="1:91" x14ac:dyDescent="0.3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M377"/>
      <c r="AO377"/>
    </row>
    <row r="378" spans="1:91" x14ac:dyDescent="0.3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M378"/>
      <c r="AO378"/>
    </row>
    <row r="379" spans="1:91" s="20" customFormat="1" x14ac:dyDescent="0.3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</row>
    <row r="380" spans="1:91" s="20" customFormat="1" x14ac:dyDescent="0.3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</row>
    <row r="381" spans="1:91" s="20" customFormat="1" x14ac:dyDescent="0.3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</row>
    <row r="382" spans="1:91" s="20" customFormat="1" x14ac:dyDescent="0.3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</row>
    <row r="383" spans="1:91" s="20" customFormat="1" x14ac:dyDescent="0.3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</row>
    <row r="384" spans="1:91" s="20" customFormat="1" x14ac:dyDescent="0.3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</row>
    <row r="385" spans="1:91" x14ac:dyDescent="0.3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M385"/>
      <c r="AO385"/>
    </row>
    <row r="386" spans="1:91" s="20" customFormat="1" x14ac:dyDescent="0.3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</row>
    <row r="387" spans="1:91" x14ac:dyDescent="0.3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M387"/>
      <c r="AO387"/>
    </row>
    <row r="388" spans="1:91" s="20" customFormat="1" x14ac:dyDescent="0.3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</row>
    <row r="389" spans="1:91" x14ac:dyDescent="0.3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M389"/>
      <c r="AO389"/>
    </row>
    <row r="390" spans="1:91" s="20" customFormat="1" x14ac:dyDescent="0.3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</row>
    <row r="391" spans="1:91" x14ac:dyDescent="0.3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M391"/>
      <c r="AO391"/>
    </row>
    <row r="392" spans="1:91" s="20" customFormat="1" x14ac:dyDescent="0.3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</row>
    <row r="393" spans="1:91" s="20" customFormat="1" x14ac:dyDescent="0.3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</row>
    <row r="394" spans="1:91" x14ac:dyDescent="0.3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M394"/>
      <c r="AO394"/>
    </row>
    <row r="395" spans="1:91" s="20" customFormat="1" x14ac:dyDescent="0.3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</row>
    <row r="396" spans="1:91" x14ac:dyDescent="0.3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M396"/>
      <c r="AO396"/>
    </row>
    <row r="397" spans="1:91" s="20" customFormat="1" x14ac:dyDescent="0.3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</row>
    <row r="398" spans="1:91" s="20" customFormat="1" x14ac:dyDescent="0.3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</row>
    <row r="399" spans="1:91" s="20" customFormat="1" x14ac:dyDescent="0.3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</row>
    <row r="400" spans="1:91" x14ac:dyDescent="0.3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M400"/>
      <c r="AO400"/>
    </row>
    <row r="401" spans="1:91" s="20" customFormat="1" x14ac:dyDescent="0.3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</row>
    <row r="402" spans="1:91" s="20" customFormat="1" x14ac:dyDescent="0.3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</row>
    <row r="403" spans="1:91" s="20" customFormat="1" x14ac:dyDescent="0.3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</row>
    <row r="404" spans="1:91" x14ac:dyDescent="0.3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M404"/>
      <c r="AO404"/>
    </row>
    <row r="405" spans="1:91" s="20" customFormat="1" x14ac:dyDescent="0.3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</row>
    <row r="406" spans="1:91" s="20" customFormat="1" x14ac:dyDescent="0.3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</row>
    <row r="407" spans="1:91" s="20" customFormat="1" x14ac:dyDescent="0.3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</row>
    <row r="408" spans="1:91" s="20" customFormat="1" x14ac:dyDescent="0.3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</row>
    <row r="409" spans="1:91" x14ac:dyDescent="0.3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M409"/>
      <c r="AO409"/>
    </row>
    <row r="410" spans="1:91" x14ac:dyDescent="0.3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M410"/>
      <c r="AO410"/>
    </row>
    <row r="411" spans="1:91" s="20" customFormat="1" x14ac:dyDescent="0.3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</row>
    <row r="412" spans="1:91" x14ac:dyDescent="0.3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M412"/>
      <c r="AO412"/>
    </row>
    <row r="413" spans="1:91" s="20" customFormat="1" x14ac:dyDescent="0.3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</row>
    <row r="414" spans="1:91" s="20" customFormat="1" x14ac:dyDescent="0.3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</row>
    <row r="415" spans="1:91" s="20" customFormat="1" x14ac:dyDescent="0.3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</row>
    <row r="416" spans="1:91" x14ac:dyDescent="0.3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M416"/>
      <c r="AO416"/>
    </row>
    <row r="417" spans="1:91" x14ac:dyDescent="0.3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M417"/>
      <c r="AO417"/>
    </row>
    <row r="418" spans="1:91" x14ac:dyDescent="0.3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M418"/>
      <c r="AO418"/>
    </row>
    <row r="419" spans="1:91" s="20" customFormat="1" x14ac:dyDescent="0.3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</row>
    <row r="420" spans="1:91" x14ac:dyDescent="0.3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M420"/>
      <c r="AO420"/>
    </row>
    <row r="421" spans="1:91" x14ac:dyDescent="0.3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M421"/>
      <c r="AO421"/>
    </row>
    <row r="422" spans="1:91" x14ac:dyDescent="0.3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M422"/>
      <c r="AO422"/>
    </row>
    <row r="423" spans="1:91" x14ac:dyDescent="0.3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M423"/>
      <c r="AO423"/>
    </row>
    <row r="424" spans="1:91" x14ac:dyDescent="0.3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M424"/>
      <c r="AO424"/>
    </row>
    <row r="425" spans="1:91" s="20" customFormat="1" x14ac:dyDescent="0.3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</row>
    <row r="426" spans="1:91" s="20" customFormat="1" x14ac:dyDescent="0.3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</row>
    <row r="427" spans="1:91" x14ac:dyDescent="0.3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M427"/>
      <c r="AO427"/>
    </row>
    <row r="428" spans="1:91" x14ac:dyDescent="0.3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M428"/>
      <c r="AO428"/>
    </row>
    <row r="429" spans="1:91" s="20" customFormat="1" x14ac:dyDescent="0.3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</row>
    <row r="430" spans="1:91" x14ac:dyDescent="0.3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M430"/>
      <c r="AO430"/>
    </row>
    <row r="431" spans="1:91" x14ac:dyDescent="0.3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M431"/>
      <c r="AO431"/>
    </row>
    <row r="432" spans="1:91" x14ac:dyDescent="0.3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M432"/>
      <c r="AO432"/>
    </row>
    <row r="433" spans="1:91" x14ac:dyDescent="0.3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M433"/>
      <c r="AO433"/>
    </row>
    <row r="434" spans="1:91" x14ac:dyDescent="0.3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M434"/>
      <c r="AO434"/>
    </row>
    <row r="435" spans="1:91" x14ac:dyDescent="0.3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M435"/>
      <c r="AO435"/>
    </row>
    <row r="436" spans="1:91" x14ac:dyDescent="0.3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M436"/>
      <c r="AO436"/>
    </row>
    <row r="437" spans="1:91" x14ac:dyDescent="0.3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M437"/>
      <c r="AO437"/>
    </row>
    <row r="438" spans="1:91" x14ac:dyDescent="0.3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M438"/>
      <c r="AO438"/>
    </row>
    <row r="439" spans="1:91" x14ac:dyDescent="0.3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M439"/>
      <c r="AO439"/>
    </row>
    <row r="440" spans="1:91" s="20" customFormat="1" x14ac:dyDescent="0.3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</row>
    <row r="441" spans="1:91" x14ac:dyDescent="0.3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M441"/>
      <c r="AO441"/>
    </row>
    <row r="442" spans="1:91" x14ac:dyDescent="0.3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M442"/>
      <c r="AO442"/>
    </row>
    <row r="443" spans="1:91" x14ac:dyDescent="0.3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M443"/>
      <c r="AO443"/>
    </row>
    <row r="444" spans="1:91" x14ac:dyDescent="0.3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M444"/>
      <c r="AO444"/>
    </row>
    <row r="445" spans="1:91" x14ac:dyDescent="0.3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M445"/>
      <c r="AO445"/>
    </row>
    <row r="446" spans="1:91" s="20" customFormat="1" x14ac:dyDescent="0.3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</row>
    <row r="447" spans="1:91" x14ac:dyDescent="0.3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M447"/>
      <c r="AO447"/>
    </row>
    <row r="448" spans="1:91" x14ac:dyDescent="0.3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M448"/>
      <c r="AO448"/>
    </row>
    <row r="449" spans="1:91" x14ac:dyDescent="0.3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M449"/>
      <c r="AO449"/>
    </row>
    <row r="450" spans="1:91" x14ac:dyDescent="0.3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M450"/>
      <c r="AO450"/>
    </row>
    <row r="451" spans="1:91" x14ac:dyDescent="0.3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M451"/>
      <c r="AO451"/>
    </row>
    <row r="452" spans="1:91" x14ac:dyDescent="0.3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M452"/>
      <c r="AO452"/>
    </row>
    <row r="453" spans="1:91" x14ac:dyDescent="0.3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M453"/>
      <c r="AO453"/>
    </row>
    <row r="454" spans="1:91" x14ac:dyDescent="0.3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M454"/>
      <c r="AO454"/>
    </row>
    <row r="455" spans="1:91" x14ac:dyDescent="0.3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M455"/>
      <c r="AO455"/>
    </row>
    <row r="456" spans="1:91" x14ac:dyDescent="0.3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M456"/>
      <c r="AO456"/>
    </row>
    <row r="457" spans="1:91" x14ac:dyDescent="0.3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M457"/>
      <c r="AO457"/>
    </row>
    <row r="458" spans="1:91" x14ac:dyDescent="0.3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M458"/>
      <c r="AO458"/>
    </row>
    <row r="459" spans="1:91" x14ac:dyDescent="0.3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M459"/>
      <c r="AO459"/>
    </row>
    <row r="460" spans="1:91" x14ac:dyDescent="0.3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M460"/>
      <c r="AO460"/>
    </row>
    <row r="461" spans="1:91" x14ac:dyDescent="0.3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M461"/>
      <c r="AO461"/>
    </row>
    <row r="462" spans="1:91" x14ac:dyDescent="0.3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M462"/>
      <c r="AO462"/>
    </row>
    <row r="463" spans="1:91" s="20" customFormat="1" x14ac:dyDescent="0.3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</row>
    <row r="464" spans="1:91" x14ac:dyDescent="0.3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M464"/>
      <c r="AO464"/>
    </row>
    <row r="465" spans="1:91" x14ac:dyDescent="0.3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M465"/>
      <c r="AO465"/>
    </row>
    <row r="466" spans="1:91" x14ac:dyDescent="0.3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M466"/>
      <c r="AO466"/>
    </row>
    <row r="467" spans="1:91" s="20" customFormat="1" x14ac:dyDescent="0.3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</row>
    <row r="468" spans="1:91" x14ac:dyDescent="0.3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M468"/>
      <c r="AO468"/>
    </row>
    <row r="469" spans="1:91" x14ac:dyDescent="0.3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M469"/>
      <c r="AO469"/>
    </row>
    <row r="470" spans="1:91" x14ac:dyDescent="0.3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M470"/>
      <c r="AO470"/>
    </row>
    <row r="471" spans="1:91" x14ac:dyDescent="0.3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M471"/>
      <c r="AO471"/>
    </row>
    <row r="472" spans="1:91" x14ac:dyDescent="0.3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M472"/>
      <c r="AO472"/>
    </row>
    <row r="473" spans="1:91" x14ac:dyDescent="0.3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M473"/>
      <c r="AO473"/>
    </row>
    <row r="474" spans="1:91" x14ac:dyDescent="0.3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M474"/>
      <c r="AO474"/>
    </row>
    <row r="475" spans="1:91" x14ac:dyDescent="0.3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M475"/>
      <c r="AO475"/>
    </row>
    <row r="476" spans="1:91" x14ac:dyDescent="0.3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M476"/>
      <c r="AO476"/>
    </row>
    <row r="477" spans="1:91" x14ac:dyDescent="0.3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M477"/>
      <c r="AO477"/>
    </row>
    <row r="478" spans="1:91" x14ac:dyDescent="0.3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M478"/>
      <c r="AO478"/>
    </row>
    <row r="479" spans="1:91" x14ac:dyDescent="0.3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M479"/>
      <c r="AO479"/>
    </row>
    <row r="480" spans="1:91" x14ac:dyDescent="0.3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M480"/>
      <c r="AO480"/>
    </row>
    <row r="481" spans="1:41" x14ac:dyDescent="0.3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M481"/>
      <c r="AO481"/>
    </row>
    <row r="482" spans="1:41" x14ac:dyDescent="0.3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M482"/>
      <c r="AO482"/>
    </row>
    <row r="483" spans="1:41" x14ac:dyDescent="0.3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M483"/>
      <c r="AO483"/>
    </row>
    <row r="484" spans="1:41" x14ac:dyDescent="0.3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M484"/>
      <c r="AO484"/>
    </row>
    <row r="485" spans="1:41" x14ac:dyDescent="0.3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M485"/>
      <c r="AO485"/>
    </row>
    <row r="486" spans="1:41" x14ac:dyDescent="0.3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M486"/>
      <c r="AO486"/>
    </row>
    <row r="487" spans="1:41" x14ac:dyDescent="0.3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M487"/>
      <c r="AO487"/>
    </row>
    <row r="488" spans="1:41" x14ac:dyDescent="0.3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M488"/>
      <c r="AO488"/>
    </row>
  </sheetData>
  <autoFilter ref="A12:AG483">
    <sortState ref="A13:AG483">
      <sortCondition ref="AG13:AG244"/>
      <sortCondition ref="AD13:AD244"/>
    </sortState>
  </autoFilter>
  <sortState ref="A13:AN388">
    <sortCondition ref="AG13:AG388"/>
    <sortCondition ref="AD13:AD388"/>
  </sortState>
  <mergeCells count="1">
    <mergeCell ref="A11:P11"/>
  </mergeCells>
  <conditionalFormatting sqref="W11:W12 W489:X1048576 W13:X244">
    <cfRule type="cellIs" dxfId="10" priority="465" operator="equal">
      <formula>"Y"</formula>
    </cfRule>
  </conditionalFormatting>
  <conditionalFormatting sqref="X489:X1048576 X13:X244">
    <cfRule type="cellIs" dxfId="9" priority="448" operator="greaterThan">
      <formula>1</formula>
    </cfRule>
  </conditionalFormatting>
  <conditionalFormatting sqref="X489:X1048576 X12:X244">
    <cfRule type="cellIs" dxfId="8" priority="445" operator="equal">
      <formula>0</formula>
    </cfRule>
  </conditionalFormatting>
  <conditionalFormatting sqref="A13:S244">
    <cfRule type="expression" dxfId="7" priority="439" stopIfTrue="1">
      <formula>$P13&gt;0</formula>
    </cfRule>
    <cfRule type="expression" dxfId="6" priority="440" stopIfTrue="1">
      <formula>$O13&gt;0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556260</xdr:colOff>
                    <xdr:row>2</xdr:row>
                    <xdr:rowOff>38100</xdr:rowOff>
                  </from>
                  <to>
                    <xdr:col>26</xdr:col>
                    <xdr:colOff>464820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4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A13:S244</xm:sqref>
        </x14:conditionalFormatting>
        <x14:conditionalFormatting xmlns:xm="http://schemas.microsoft.com/office/excel/2006/main">
          <x14:cfRule type="expression" priority="12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A13:S244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AK13:AK244</xm:sqref>
        </x14:dataValidation>
        <x14:dataValidation type="list" allowBlank="1" showInputMessage="1" showErrorMessage="1">
          <x14:formula1>
            <xm:f>'Redmine List Values'!$C$2:$C$15</xm:f>
          </x14:formula1>
          <xm:sqref>AL13:AL244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28"/>
  <sheetViews>
    <sheetView topLeftCell="A5" zoomScaleNormal="100" workbookViewId="0">
      <selection activeCell="O29" sqref="O29"/>
    </sheetView>
  </sheetViews>
  <sheetFormatPr defaultRowHeight="14.4" x14ac:dyDescent="0.3"/>
  <cols>
    <col min="1" max="1" width="18.33203125" style="8" bestFit="1" customWidth="1"/>
    <col min="2" max="2" width="13.88671875" customWidth="1"/>
    <col min="3" max="3" width="7" customWidth="1"/>
    <col min="4" max="4" width="12.88671875" style="113" customWidth="1"/>
    <col min="5" max="5" width="29.44140625" style="113" customWidth="1"/>
    <col min="6" max="6" width="5.6640625" style="113" customWidth="1"/>
    <col min="7" max="7" width="5.88671875" style="113" customWidth="1"/>
    <col min="8" max="8" width="7.88671875" style="113" customWidth="1"/>
    <col min="9" max="9" width="9" style="113" customWidth="1"/>
    <col min="10" max="10" width="11.5546875" style="113" hidden="1" customWidth="1"/>
    <col min="11" max="11" width="9.109375" style="113" customWidth="1"/>
    <col min="12" max="12" width="4.88671875" style="113" customWidth="1"/>
    <col min="13" max="13" width="7.88671875" style="2" customWidth="1"/>
    <col min="14" max="14" width="16" style="112" customWidth="1"/>
    <col min="15" max="15" width="4.44140625" style="168" customWidth="1"/>
    <col min="16" max="16" width="30.44140625" style="113" customWidth="1"/>
    <col min="17" max="17" width="5" hidden="1" customWidth="1"/>
    <col min="18" max="18" width="5.5546875" style="75" customWidth="1"/>
    <col min="19" max="19" width="5.5546875" style="82" customWidth="1"/>
    <col min="20" max="20" width="6" style="72" customWidth="1"/>
    <col min="21" max="21" width="5.109375" customWidth="1"/>
    <col min="22" max="22" width="18.5546875" style="43" customWidth="1"/>
    <col min="23" max="23" width="5.33203125" customWidth="1"/>
    <col min="24" max="24" width="6.5546875" style="2" hidden="1" customWidth="1"/>
    <col min="25" max="25" width="5" customWidth="1"/>
    <col min="26" max="26" width="5" style="157" customWidth="1"/>
    <col min="27" max="27" width="5.33203125" customWidth="1"/>
    <col min="28" max="28" width="5.5546875" customWidth="1"/>
    <col min="29" max="29" width="5.33203125" style="115" customWidth="1"/>
    <col min="30" max="30" width="6.6640625" customWidth="1"/>
    <col min="31" max="31" width="9.109375" style="142"/>
  </cols>
  <sheetData>
    <row r="1" spans="1:32" s="20" customFormat="1" ht="15" hidden="1" thickBot="1" x14ac:dyDescent="0.35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8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3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22">
        <f>COUNTIF($O$7:$O$202,"=Y")</f>
        <v>9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" thickBot="1" x14ac:dyDescent="0.35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23">
        <f>COUNTA($O$7:$O$202)-O2</f>
        <v>13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3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96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3">
      <c r="A5" s="226" t="str">
        <f>"Eagle P3 Braking Events - "&amp;TEXT(Variables!$A$2,"YYYY-mm-dd")</f>
        <v>Eagle P3 Braking Events - 2017-11-17</v>
      </c>
      <c r="B5" s="226"/>
      <c r="C5" s="226"/>
      <c r="D5" s="226"/>
      <c r="E5" s="226"/>
      <c r="F5" s="226"/>
      <c r="G5" s="226"/>
      <c r="H5" s="226"/>
      <c r="I5" s="226"/>
      <c r="J5" s="226"/>
      <c r="K5" s="226"/>
      <c r="L5" s="226"/>
      <c r="M5" s="226"/>
      <c r="N5" s="226"/>
      <c r="O5" s="226"/>
      <c r="P5" s="128"/>
      <c r="R5" s="80"/>
      <c r="S5" s="83"/>
      <c r="T5" s="85"/>
      <c r="V5" s="44"/>
      <c r="X5" s="180"/>
      <c r="AC5" s="117"/>
      <c r="AE5" s="144"/>
    </row>
    <row r="6" spans="1:32" s="107" customFormat="1" ht="69.75" customHeight="1" x14ac:dyDescent="0.25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147</v>
      </c>
      <c r="J6" s="114" t="s">
        <v>30</v>
      </c>
      <c r="K6" s="114" t="s">
        <v>29</v>
      </c>
      <c r="L6" s="114" t="s">
        <v>28</v>
      </c>
      <c r="M6" s="99" t="s">
        <v>148</v>
      </c>
      <c r="N6" s="129" t="s">
        <v>47</v>
      </c>
      <c r="O6" s="175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343</v>
      </c>
      <c r="X6" s="181" t="s">
        <v>336</v>
      </c>
      <c r="Y6" s="105" t="s">
        <v>141</v>
      </c>
      <c r="Z6" s="158" t="s">
        <v>142</v>
      </c>
      <c r="AA6" s="106" t="s">
        <v>115</v>
      </c>
      <c r="AB6" s="106" t="s">
        <v>143</v>
      </c>
      <c r="AC6" s="118" t="s">
        <v>167</v>
      </c>
      <c r="AD6" s="107" t="s">
        <v>182</v>
      </c>
      <c r="AE6" s="143" t="s">
        <v>187</v>
      </c>
    </row>
    <row r="7" spans="1:32" s="1" customFormat="1" x14ac:dyDescent="0.3">
      <c r="A7" s="31">
        <v>43056.342673611114</v>
      </c>
      <c r="B7" s="30" t="s">
        <v>561</v>
      </c>
      <c r="C7" s="30" t="s">
        <v>638</v>
      </c>
      <c r="D7" s="30" t="s">
        <v>49</v>
      </c>
      <c r="E7" s="30" t="s">
        <v>183</v>
      </c>
      <c r="F7" s="42">
        <v>10</v>
      </c>
      <c r="G7" s="42">
        <v>62</v>
      </c>
      <c r="H7" s="42">
        <v>27448</v>
      </c>
      <c r="I7" s="42">
        <v>27353</v>
      </c>
      <c r="J7" s="30" t="s">
        <v>184</v>
      </c>
      <c r="K7" s="42">
        <v>27350</v>
      </c>
      <c r="L7" s="131" t="s">
        <v>51</v>
      </c>
      <c r="M7" s="132">
        <f t="shared" ref="M7:M28" si="0">CONVERT((I7-K7)/10000,"mi","ft")*IF(L7="Increasing Mileposts (1)",-1,1)</f>
        <v>1.5840000000000001</v>
      </c>
      <c r="N7" s="133" t="str">
        <f>VLOOKUP(C7,'Trips&amp;Operators'!$C$1:$G$99911,5,FALSE)</f>
        <v>YORK EDGAR</v>
      </c>
      <c r="O7" s="176" t="s">
        <v>178</v>
      </c>
      <c r="P7" s="134" t="s">
        <v>344</v>
      </c>
      <c r="Q7" s="30"/>
      <c r="R7" s="81" t="str">
        <f>VLOOKUP(C7,'Train Runs'!$A$13:$AE$10142,31,0)</f>
        <v>aws s3 cp s3://rtdc.mdm.uploadarchive.raw/RTDC4065/ "%USERPROFILE%\AppData\Local\Temp\OnboardLogs"\RTDC4065\2017-11-17 --exclude "*" --recursive --include "*20171117*" &amp; "%USERPROFILE%\Documents\GitHub\mrs-test-scripts\Headless Mode &amp; Sideloading\WalkAndUnGZ.bat" "%USERPROFILE%\AppData\Local\Temp\OnboardLogs"\RTDC4065\2017-11-17 &amp; aws s3 cp s3://rtdc.mdm.uploadarchive.raw/RTDC4065/ "%USERPROFILE%\AppData\Local\Temp\OnboardLogs"\RTDC4065\2017-11-18 --exclude "*" --recursive --include "*20171118*" &amp; "%USERPROFILE%\Documents\GitHub\mrs-test-scripts\Headless Mode &amp; Sideloading\WalkAndUnGZ.bat" "%USERPROFILE%\AppData\Local\Temp\OnboardLogs"\RTDC4065\2017-11-18</v>
      </c>
      <c r="S7" s="84" t="str">
        <f>VLOOKUP(C7,'Train Runs'!$A$13:$AE$10142,22,0)</f>
        <v>https://d0f6bd738d7f1b3e5a7ca70fe4ff75f0.us-east-1.aws.found.io/app/kibana#/discover/Steve-Slow-Train-Analysis-(2080s-and-2083s)?_g=(refreshInterval:(display:Off,pause:!f,section:0,value:0),time:(from:'2017-11-17T06:21:16-0700',mode:absolute,to:'2017-11-17T09:21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T7" s="86" t="str">
        <f t="shared" ref="T7:T28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/stypes="*4065*201711171*" /stext=" 15:.+((SYSTEM_STATE.+slice.+state.+changed )|(ment ac)|(multiple cpu faults)|(system.+state.+changed )|(\[timeout)|(PRM\|1\|D)|(kpr)|(kdp)|(train st.+moving)|(\|lc)|(penalty))"</v>
      </c>
      <c r="U7" s="9" t="str">
        <f t="shared" ref="U7:U28" si="2">MID(B7,13,4)</f>
        <v>4065</v>
      </c>
      <c r="V7" s="31">
        <f t="shared" ref="V7:V28" si="3">A7-utc_offset/24</f>
        <v>43056.634340277778</v>
      </c>
      <c r="W7" s="45" t="str">
        <f t="shared" ref="W7:W28" si="4">DetSubdiv(C7)</f>
        <v>EC</v>
      </c>
      <c r="X7" s="22">
        <f t="shared" ref="X7:X28" si="5">VALUE(LEFT(C7,LEN(C7)-3))</f>
        <v>126</v>
      </c>
      <c r="Y7" s="96" t="str">
        <f t="shared" ref="Y7:Y2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Arrival","project_id":79,"tracker_id":40,"status_id":1,"priority_id":2,"assigned_to_id":338,"start_date":"2017-11-17","description":"","custom_fields":[{"id":1,"name":"Subdivision","value":"EC"},{"id":4,"name":"Milepost","value":"2.735"},{"id":17,"name":"Train ID","value":"126-17"},{"id":16,"name":"Locomotive ID","value":"4065"},{"id":130,"name":"Impact","value":""},{"id":150,"name":"Time of Event (Mountain Time)","value":"08:13:27"},{"id":151,"name":"Denver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7" s="159"/>
      <c r="AA7" s="47"/>
      <c r="AB7" s="47"/>
      <c r="AC7" s="115" t="str">
        <f t="shared" ref="AC7:AC28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/c/Users/stu/AppData/Local/Temp/OnboardLogs/RTDC4065 --include="*4065*201711171*"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"%USERPROFILE%\AppData\Local\Temp\OnboardLogs"\RTDC4065\*4065*201711171* &gt;&gt; 2017-11-17-SliceDisagreementCheck.txt</v>
      </c>
      <c r="AE7" s="145" t="str">
        <f>"start /low /b "&amp;dls3logs&amp;" --loco "&amp;U7&amp;" --day "&amp;TEXT(V7,"YYYY-MM-DD")</f>
        <v>start /low /b %USERPROFILE%\Documents\GitHub\eaglep3\Utilities\DownloadLogsFromS3.py --loco 4065 --day 2017-11-17</v>
      </c>
    </row>
    <row r="8" spans="1:32" s="1" customFormat="1" x14ac:dyDescent="0.3">
      <c r="A8" s="31">
        <v>43056.342291666668</v>
      </c>
      <c r="B8" s="30" t="s">
        <v>561</v>
      </c>
      <c r="C8" s="30" t="s">
        <v>638</v>
      </c>
      <c r="D8" s="30" t="s">
        <v>49</v>
      </c>
      <c r="E8" s="30" t="s">
        <v>183</v>
      </c>
      <c r="F8" s="42">
        <v>110</v>
      </c>
      <c r="G8" s="42">
        <v>181</v>
      </c>
      <c r="H8" s="42">
        <v>27712</v>
      </c>
      <c r="I8" s="42">
        <v>27469</v>
      </c>
      <c r="J8" s="30" t="s">
        <v>184</v>
      </c>
      <c r="K8" s="42">
        <v>27350</v>
      </c>
      <c r="L8" s="131" t="s">
        <v>51</v>
      </c>
      <c r="M8" s="132">
        <f t="shared" si="0"/>
        <v>62.832000000000001</v>
      </c>
      <c r="N8" s="133" t="str">
        <f>VLOOKUP(C8,'Trips&amp;Operators'!$C$1:$G$99911,5,FALSE)</f>
        <v>YORK EDGAR</v>
      </c>
      <c r="O8" s="176" t="s">
        <v>178</v>
      </c>
      <c r="P8" s="134" t="s">
        <v>344</v>
      </c>
      <c r="Q8" s="30"/>
      <c r="R8" s="81" t="str">
        <f>VLOOKUP(C8,'Train Runs'!$A$13:$AE$10142,31,0)</f>
        <v>aws s3 cp s3://rtdc.mdm.uploadarchive.raw/RTDC4065/ "%USERPROFILE%\AppData\Local\Temp\OnboardLogs"\RTDC4065\2017-11-17 --exclude "*" --recursive --include "*20171117*" &amp; "%USERPROFILE%\Documents\GitHub\mrs-test-scripts\Headless Mode &amp; Sideloading\WalkAndUnGZ.bat" "%USERPROFILE%\AppData\Local\Temp\OnboardLogs"\RTDC4065\2017-11-17 &amp; aws s3 cp s3://rtdc.mdm.uploadarchive.raw/RTDC4065/ "%USERPROFILE%\AppData\Local\Temp\OnboardLogs"\RTDC4065\2017-11-18 --exclude "*" --recursive --include "*20171118*" &amp; "%USERPROFILE%\Documents\GitHub\mrs-test-scripts\Headless Mode &amp; Sideloading\WalkAndUnGZ.bat" "%USERPROFILE%\AppData\Local\Temp\OnboardLogs"\RTDC4065\2017-11-18</v>
      </c>
      <c r="S8" s="84" t="str">
        <f>VLOOKUP(C8,'Train Runs'!$A$13:$AE$10142,22,0)</f>
        <v>https://d0f6bd738d7f1b3e5a7ca70fe4ff75f0.us-east-1.aws.found.io/app/kibana#/discover/Steve-Slow-Train-Analysis-(2080s-and-2083s)?_g=(refreshInterval:(display:Off,pause:!f,section:0,value:0),time:(from:'2017-11-17T06:21:16-0700',mode:absolute,to:'2017-11-17T09:21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T8" s="86" t="str">
        <f t="shared" si="1"/>
        <v>"C:\Program Files (x86)\AstroGrep\AstroGrep.exe" /e /r /s /spath="%USERPROFILE%\AppData\Local\Temp\OnboardLogs" /stypes="*4065*201711171*" /stext=" 15:.+((SYSTEM_STATE.+slice.+state.+changed )|(ment ac)|(multiple cpu faults)|(system.+state.+changed )|(\[timeout)|(PRM\|1\|D)|(kpr)|(kdp)|(train st.+moving)|(\|lc)|(penalty))"</v>
      </c>
      <c r="U8" s="9" t="str">
        <f t="shared" si="2"/>
        <v>4065</v>
      </c>
      <c r="V8" s="31">
        <f t="shared" si="3"/>
        <v>43056.633958333332</v>
      </c>
      <c r="W8" s="45" t="str">
        <f t="shared" si="4"/>
        <v>EC</v>
      </c>
      <c r="X8" s="22">
        <f t="shared" si="5"/>
        <v>126</v>
      </c>
      <c r="Y8" s="96" t="str">
        <f t="shared" si="6"/>
        <v>echo {"issue":{"subject":"Early Arrival","project_id":79,"tracker_id":40,"status_id":1,"priority_id":2,"assigned_to_id":338,"start_date":"2017-11-17","description":"","custom_fields":[{"id":1,"name":"Subdivision","value":"EC"},{"id":4,"name":"Milepost","value":"2.735"},{"id":17,"name":"Train ID","value":"126-17"},{"id":16,"name":"Locomotive ID","value":"4065"},{"id":130,"name":"Impact","value":""},{"id":150,"name":"Time of Event (Mountain Time)","value":"08:12:54"},{"id":151,"name":"Denver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8" s="159"/>
      <c r="AA8" s="47"/>
      <c r="AB8" s="47"/>
      <c r="AC8" s="115" t="str">
        <f t="shared" si="7"/>
        <v>grep -hrE -A400 "Enforcement Action" /c/Users/stu/AppData/Local/Temp/OnboardLogs/RTDC4065 --include="*4065*201711171*"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"%USERPROFILE%\AppData\Local\Temp\OnboardLogs"\RTDC4065\*4065*201711171* &gt;&gt; 2017-11-17-SliceDisagreementCheck.txt</v>
      </c>
      <c r="AE8" s="145" t="str">
        <f t="shared" ref="AE8:AE28" si="8">"start /low /b "&amp;dls3logs&amp;" --loco "&amp;U8&amp;" --day "&amp;TEXT(V8,"YYYY-MM-DD")</f>
        <v>start /low /b %USERPROFILE%\Documents\GitHub\eaglep3\Utilities\DownloadLogsFromS3.py --loco 4065 --day 2017-11-17</v>
      </c>
    </row>
    <row r="9" spans="1:32" s="1" customFormat="1" x14ac:dyDescent="0.3">
      <c r="A9" s="31">
        <v>43056.566412037035</v>
      </c>
      <c r="B9" s="30" t="s">
        <v>545</v>
      </c>
      <c r="C9" s="30" t="s">
        <v>645</v>
      </c>
      <c r="D9" s="30" t="s">
        <v>49</v>
      </c>
      <c r="E9" s="30" t="s">
        <v>183</v>
      </c>
      <c r="F9" s="42">
        <v>110</v>
      </c>
      <c r="G9" s="42">
        <v>163</v>
      </c>
      <c r="H9" s="42">
        <v>63949</v>
      </c>
      <c r="I9" s="42">
        <v>63725</v>
      </c>
      <c r="J9" s="30" t="s">
        <v>184</v>
      </c>
      <c r="K9" s="42">
        <v>63309</v>
      </c>
      <c r="L9" s="131" t="s">
        <v>51</v>
      </c>
      <c r="M9" s="132">
        <f t="shared" si="0"/>
        <v>219.648</v>
      </c>
      <c r="N9" s="133" t="str">
        <f>VLOOKUP(C9,'Trips&amp;Operators'!$C$1:$G$99911,5,FALSE)</f>
        <v>LEVIN SCOTT</v>
      </c>
      <c r="O9" s="176" t="s">
        <v>178</v>
      </c>
      <c r="P9" s="134" t="s">
        <v>344</v>
      </c>
      <c r="Q9" s="30"/>
      <c r="R9" s="81" t="str">
        <f>VLOOKUP(C9,'Train Runs'!$A$13:$AE$10142,31,0)</f>
        <v>aws s3 cp s3://rtdc.mdm.uploadarchive.raw/RTDC4027/ "%USERPROFILE%\AppData\Local\Temp\OnboardLogs"\RTDC4027\2017-11-17 --exclude "*" --recursive --include "*20171117*" &amp; "%USERPROFILE%\Documents\GitHub\mrs-test-scripts\Headless Mode &amp; Sideloading\WalkAndUnGZ.bat" "%USERPROFILE%\AppData\Local\Temp\OnboardLogs"\RTDC4027\2017-11-17 &amp; aws s3 cp s3://rtdc.mdm.uploadarchive.raw/RTDC4027/ "%USERPROFILE%\AppData\Local\Temp\OnboardLogs"\RTDC4027\2017-11-18 --exclude "*" --recursive --include "*20171118*" &amp; "%USERPROFILE%\Documents\GitHub\mrs-test-scripts\Headless Mode &amp; Sideloading\WalkAndUnGZ.bat" "%USERPROFILE%\AppData\Local\Temp\OnboardLogs"\RTDC4027\2017-11-18</v>
      </c>
      <c r="S9" s="84" t="str">
        <f>VLOOKUP(C9,'Train Runs'!$A$13:$AE$10142,22,0)</f>
        <v>https://d0f6bd738d7f1b3e5a7ca70fe4ff75f0.us-east-1.aws.found.io/app/kibana#/discover/Steve-Slow-Train-Analysis-(2080s-and-2083s)?_g=(refreshInterval:(display:Off,pause:!f,section:0,value:0),time:(from:'2017-11-17T12:05:13-0700',mode:absolute,to:'2017-11-17T14:49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9" s="86" t="str">
        <f t="shared" si="1"/>
        <v>"C:\Program Files (x86)\AstroGrep\AstroGrep.exe" /e /r /s /spath="%USERPROFILE%\AppData\Local\Temp\OnboardLogs" /stypes="*4027*201711172*" /stext=" 20:.+((SYSTEM_STATE.+slice.+state.+changed )|(ment ac)|(multiple cpu faults)|(system.+state.+changed )|(\[timeout)|(PRM\|1\|D)|(kpr)|(kdp)|(train st.+moving)|(\|lc)|(penalty))"</v>
      </c>
      <c r="U9" s="9" t="str">
        <f t="shared" si="2"/>
        <v>4027</v>
      </c>
      <c r="V9" s="31">
        <f t="shared" si="3"/>
        <v>43056.858078703699</v>
      </c>
      <c r="W9" s="45" t="str">
        <f t="shared" si="4"/>
        <v>EC</v>
      </c>
      <c r="X9" s="22">
        <f t="shared" si="5"/>
        <v>170</v>
      </c>
      <c r="Y9" s="96" t="str">
        <f t="shared" si="6"/>
        <v>echo {"issue":{"subject":"Early Arrival","project_id":79,"tracker_id":40,"status_id":1,"priority_id":2,"assigned_to_id":338,"start_date":"2017-11-17","description":"","custom_fields":[{"id":1,"name":"Subdivision","value":"EC"},{"id":4,"name":"Milepost","value":"6.3309"},{"id":17,"name":"Train ID","value":"170-17"},{"id":16,"name":"Locomotive ID","value":"4027"},{"id":130,"name":"Impact","value":""},{"id":150,"name":"Time of Event (Mountain Time)","value":"13:35:38"},{"id":151,"name":"Denver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9" s="159"/>
      <c r="AA9" s="47"/>
      <c r="AB9" s="47"/>
      <c r="AC9" s="115" t="str">
        <f t="shared" si="7"/>
        <v>grep -hrE -A400 "Enforcement Action" /c/Users/stu/AppData/Local/Temp/OnboardLogs/RTDC4027 --include="*4027*201711172*"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"%USERPROFILE%\AppData\Local\Temp\OnboardLogs"\RTDC4027\*4027*201711172* &gt;&gt; 2017-11-17-SliceDisagreementCheck.txt</v>
      </c>
      <c r="AE9" s="145" t="str">
        <f t="shared" si="8"/>
        <v>start /low /b %USERPROFILE%\Documents\GitHub\eaglep3\Utilities\DownloadLogsFromS3.py --loco 4027 --day 2017-11-17</v>
      </c>
    </row>
    <row r="10" spans="1:32" x14ac:dyDescent="0.3">
      <c r="A10" s="31">
        <v>43056.395497685182</v>
      </c>
      <c r="B10" s="30" t="s">
        <v>548</v>
      </c>
      <c r="C10" s="30" t="s">
        <v>639</v>
      </c>
      <c r="D10" s="30" t="s">
        <v>49</v>
      </c>
      <c r="E10" s="30" t="s">
        <v>183</v>
      </c>
      <c r="F10" s="42">
        <v>0</v>
      </c>
      <c r="G10" s="42">
        <v>350</v>
      </c>
      <c r="H10" s="42">
        <v>109499</v>
      </c>
      <c r="I10" s="42">
        <v>109005</v>
      </c>
      <c r="J10" s="30" t="s">
        <v>184</v>
      </c>
      <c r="K10" s="42">
        <v>109135</v>
      </c>
      <c r="L10" s="131" t="s">
        <v>51</v>
      </c>
      <c r="M10" s="132">
        <f t="shared" si="0"/>
        <v>-68.64</v>
      </c>
      <c r="N10" s="133" t="str">
        <f>VLOOKUP(C10,'Trips&amp;Operators'!$C$1:$G$99911,5,FALSE)</f>
        <v>HUFFSMITH MONTY</v>
      </c>
      <c r="O10" s="176" t="s">
        <v>178</v>
      </c>
      <c r="P10" s="244" t="s">
        <v>344</v>
      </c>
      <c r="Q10" s="30"/>
      <c r="R10" s="81" t="str">
        <f>VLOOKUP(C10,'Train Runs'!$A$13:$AE$10142,31,0)</f>
        <v>aws s3 cp s3://rtdc.mdm.uploadarchive.raw/RTDC4039/ "%USERPROFILE%\AppData\Local\Temp\OnboardLogs"\RTDC4039\2017-11-17 --exclude "*" --recursive --include "*20171117*" &amp; "%USERPROFILE%\Documents\GitHub\mrs-test-scripts\Headless Mode &amp; Sideloading\WalkAndUnGZ.bat" "%USERPROFILE%\AppData\Local\Temp\OnboardLogs"\RTDC4039\2017-11-17 &amp; aws s3 cp s3://rtdc.mdm.uploadarchive.raw/RTDC4039/ "%USERPROFILE%\AppData\Local\Temp\OnboardLogs"\RTDC4039\2017-11-18 --exclude "*" --recursive --include "*20171118*" &amp; "%USERPROFILE%\Documents\GitHub\mrs-test-scripts\Headless Mode &amp; Sideloading\WalkAndUnGZ.bat" "%USERPROFILE%\AppData\Local\Temp\OnboardLogs"\RTDC4039\2017-11-18</v>
      </c>
      <c r="S10" s="84" t="str">
        <f>VLOOKUP(C10,'Train Runs'!$A$13:$AE$10142,22,0)</f>
        <v>https://d0f6bd738d7f1b3e5a7ca70fe4ff75f0.us-east-1.aws.found.io/app/kibana#/discover/Steve-Slow-Train-Analysis-(2080s-and-2083s)?_g=(refreshInterval:(display:Off,pause:!f,section:0,value:0),time:(from:'2017-11-17T07:57:20-0700',mode:absolute,to:'2017-11-17T10:52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10" s="86" t="str">
        <f t="shared" si="1"/>
        <v>"C:\Program Files (x86)\AstroGrep\AstroGrep.exe" /e /r /s /spath="%USERPROFILE%\AppData\Local\Temp\OnboardLogs" /stypes="*4039*201711171*" /stext=" 16:.+((SYSTEM_STATE.+slice.+state.+changed )|(ment ac)|(multiple cpu faults)|(system.+state.+changed )|(\[timeout)|(PRM\|1\|D)|(kpr)|(kdp)|(train st.+moving)|(\|lc)|(penalty))"</v>
      </c>
      <c r="U10" s="9" t="str">
        <f t="shared" si="2"/>
        <v>4039</v>
      </c>
      <c r="V10" s="31">
        <f t="shared" si="3"/>
        <v>43056.687164351846</v>
      </c>
      <c r="W10" s="45" t="str">
        <f t="shared" si="4"/>
        <v>EC</v>
      </c>
      <c r="X10" s="22">
        <f t="shared" si="5"/>
        <v>138</v>
      </c>
      <c r="Y10" s="96" t="str">
        <f t="shared" si="6"/>
        <v>echo {"issue":{"subject":"Early Arrival","project_id":79,"tracker_id":40,"status_id":1,"priority_id":2,"assigned_to_id":338,"start_date":"2017-11-17","description":"","custom_fields":[{"id":1,"name":"Subdivision","value":"EC"},{"id":4,"name":"Milepost","value":"10.9135"},{"id":17,"name":"Train ID","value":"138-17"},{"id":16,"name":"Locomotive ID","value":"4039"},{"id":130,"name":"Impact","value":""},{"id":150,"name":"Time of Event (Mountain Time)","value":"09:29:31"},{"id":151,"name":"Denver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0" s="159"/>
      <c r="AA10" s="47"/>
      <c r="AB10" s="47"/>
      <c r="AC10" s="115" t="str">
        <f t="shared" si="7"/>
        <v>grep -hrE -A400 "Enforcement Action" /c/Users/stu/AppData/Local/Temp/OnboardLogs/RTDC4039 --include="*4039*201711171*"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"%USERPROFILE%\AppData\Local\Temp\OnboardLogs"\RTDC4039\*4039*201711171* &gt;&gt; 2017-11-17-SliceDisagreementCheck.txt</v>
      </c>
      <c r="AE10" s="145" t="str">
        <f t="shared" si="8"/>
        <v>start /low /b %USERPROFILE%\Documents\GitHub\eaglep3\Utilities\DownloadLogsFromS3.py --loco 4039 --day 2017-11-17</v>
      </c>
      <c r="AF10" s="1"/>
    </row>
    <row r="11" spans="1:32" x14ac:dyDescent="0.3">
      <c r="A11" s="31">
        <v>43056.605902777781</v>
      </c>
      <c r="B11" s="30" t="s">
        <v>452</v>
      </c>
      <c r="C11" s="30" t="s">
        <v>646</v>
      </c>
      <c r="D11" s="30" t="s">
        <v>95</v>
      </c>
      <c r="E11" s="30" t="s">
        <v>190</v>
      </c>
      <c r="F11" s="42">
        <v>200</v>
      </c>
      <c r="G11" s="42">
        <v>251</v>
      </c>
      <c r="H11" s="42">
        <v>5480</v>
      </c>
      <c r="I11" s="42">
        <v>6053</v>
      </c>
      <c r="J11" s="30" t="s">
        <v>191</v>
      </c>
      <c r="K11" s="42">
        <v>4677</v>
      </c>
      <c r="L11" s="131" t="s">
        <v>50</v>
      </c>
      <c r="M11" s="132">
        <f t="shared" si="0"/>
        <v>-726.52800000000002</v>
      </c>
      <c r="N11" s="133" t="str">
        <f>VLOOKUP(C11,'Trips&amp;Operators'!$C$1:$G$99911,5,FALSE)</f>
        <v>HOLCOMB KAMDEN</v>
      </c>
      <c r="O11" s="176" t="s">
        <v>178</v>
      </c>
      <c r="P11" s="134"/>
      <c r="Q11" s="30"/>
      <c r="R11" s="81" t="str">
        <f>VLOOKUP(C11,'Train Runs'!$A$13:$AE$10142,31,0)</f>
        <v>aws s3 cp s3://rtdc.mdm.uploadarchive.raw/RTDC4010/ "%USERPROFILE%\AppData\Local\Temp\OnboardLogs"\RTDC4010\2017-11-17 --exclude "*" --recursive --include "*20171117*" &amp; "%USERPROFILE%\Documents\GitHub\mrs-test-scripts\Headless Mode &amp; Sideloading\WalkAndUnGZ.bat" "%USERPROFILE%\AppData\Local\Temp\OnboardLogs"\RTDC4010\2017-11-17 &amp; aws s3 cp s3://rtdc.mdm.uploadarchive.raw/RTDC4010/ "%USERPROFILE%\AppData\Local\Temp\OnboardLogs"\RTDC4010\2017-11-18 --exclude "*" --recursive --include "*20171118*" &amp; "%USERPROFILE%\Documents\GitHub\mrs-test-scripts\Headless Mode &amp; Sideloading\WalkAndUnGZ.bat" "%USERPROFILE%\AppData\Local\Temp\OnboardLogs"\RTDC4010\2017-11-18</v>
      </c>
      <c r="S11" s="84" t="str">
        <f>VLOOKUP(C11,'Train Runs'!$A$13:$AE$10142,22,0)</f>
        <v>https://d0f6bd738d7f1b3e5a7ca70fe4ff75f0.us-east-1.aws.found.io/app/kibana#/discover/Steve-Slow-Train-Analysis-(2080s-and-2083s)?_g=(refreshInterval:(display:Off,pause:!f,section:0,value:0),time:(from:'2017-11-17T13:25:05-0700',mode:absolute,to:'2017-11-17T16:05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11" s="86" t="str">
        <f t="shared" si="1"/>
        <v>"C:\Program Files (x86)\AstroGrep\AstroGrep.exe" /e /r /s /spath="%USERPROFILE%\AppData\Local\Temp\OnboardLogs" /stypes="*4010*201711172*" /stext=" 21:.+((SYSTEM_STATE.+slice.+state.+changed )|(ment ac)|(multiple cpu faults)|(system.+state.+changed )|(\[timeout)|(PRM\|1\|D)|(kpr)|(kdp)|(train st.+moving)|(\|lc)|(penalty))"</v>
      </c>
      <c r="U11" s="9" t="str">
        <f t="shared" si="2"/>
        <v>4010</v>
      </c>
      <c r="V11" s="31">
        <f t="shared" si="3"/>
        <v>43056.897569444445</v>
      </c>
      <c r="W11" s="45" t="str">
        <f t="shared" si="4"/>
        <v>EC</v>
      </c>
      <c r="X11" s="22">
        <f t="shared" si="5"/>
        <v>187</v>
      </c>
      <c r="Y11" s="96" t="str">
        <f t="shared" si="6"/>
        <v>echo {"issue":{"subject":"","project_id":79,"tracker_id":40,"status_id":1,"priority_id":2,"assigned_to_id":338,"start_date":"2017-11-17","description":"","custom_fields":[{"id":1,"name":"Subdivision","value":"EC"},{"id":4,"name":"Milepost","value":"0.4677"},{"id":17,"name":"Train ID","value":"187-17"},{"id":16,"name":"Locomotive ID","value":"4010"},{"id":130,"name":"Impact","value":""},{"id":150,"name":"Time of Event (Mountain Time)","value":"14:32:30"},{"id":151,"name":"Denver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1" s="159"/>
      <c r="AA11" s="47"/>
      <c r="AB11" s="47"/>
      <c r="AC11" s="115" t="str">
        <f t="shared" si="7"/>
        <v>grep -hrE -A400 "Enforcement Action" /c/Users/stu/AppData/Local/Temp/OnboardLogs/RTDC4010 --include="*4010*201711172*"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"%USERPROFILE%\AppData\Local\Temp\OnboardLogs"\RTDC4010\*4010*201711172* &gt;&gt; 2017-11-17-SliceDisagreementCheck.txt</v>
      </c>
      <c r="AE11" s="145" t="str">
        <f t="shared" si="8"/>
        <v>start /low /b %USERPROFILE%\Documents\GitHub\eaglep3\Utilities\DownloadLogsFromS3.py --loco 4010 --day 2017-11-17</v>
      </c>
      <c r="AF11" s="1"/>
    </row>
    <row r="12" spans="1:32" x14ac:dyDescent="0.3">
      <c r="A12" s="31">
        <v>43056.250185185185</v>
      </c>
      <c r="B12" s="30" t="s">
        <v>636</v>
      </c>
      <c r="C12" s="30" t="s">
        <v>637</v>
      </c>
      <c r="D12" s="30" t="s">
        <v>49</v>
      </c>
      <c r="E12" s="30" t="s">
        <v>190</v>
      </c>
      <c r="F12" s="42">
        <v>300</v>
      </c>
      <c r="G12" s="42">
        <v>401</v>
      </c>
      <c r="H12" s="42">
        <v>22678</v>
      </c>
      <c r="I12" s="42">
        <v>21630</v>
      </c>
      <c r="J12" s="30" t="s">
        <v>191</v>
      </c>
      <c r="K12" s="42">
        <v>21848</v>
      </c>
      <c r="L12" s="131" t="s">
        <v>51</v>
      </c>
      <c r="M12" s="132">
        <f t="shared" si="0"/>
        <v>-115.104</v>
      </c>
      <c r="N12" s="133" t="str">
        <f>VLOOKUP(C12,'Trips&amp;Operators'!$C$1:$G$99911,5,FALSE)</f>
        <v>STRICKLAND EVAN</v>
      </c>
      <c r="O12" s="176" t="s">
        <v>178</v>
      </c>
      <c r="P12" s="134"/>
      <c r="Q12" s="30"/>
      <c r="R12" s="81" t="str">
        <f>VLOOKUP(C12,'Train Runs'!$A$13:$AE$10142,31,0)</f>
        <v>aws s3 cp s3://rtdc.mdm.uploadarchive.raw/RTDC4041/ "%USERPROFILE%\AppData\Local\Temp\OnboardLogs"\RTDC4041\2017-11-17 --exclude "*" --recursive --include "*20171117*" &amp; "%USERPROFILE%\Documents\GitHub\mrs-test-scripts\Headless Mode &amp; Sideloading\WalkAndUnGZ.bat" "%USERPROFILE%\AppData\Local\Temp\OnboardLogs"\RTDC4041\2017-11-17 &amp; aws s3 cp s3://rtdc.mdm.uploadarchive.raw/RTDC4041/ "%USERPROFILE%\AppData\Local\Temp\OnboardLogs"\RTDC4041\2017-11-18 --exclude "*" --recursive --include "*20171118*" &amp; "%USERPROFILE%\Documents\GitHub\mrs-test-scripts\Headless Mode &amp; Sideloading\WalkAndUnGZ.bat" "%USERPROFILE%\AppData\Local\Temp\OnboardLogs"\RTDC4041\2017-11-18</v>
      </c>
      <c r="S12" s="84" t="str">
        <f>VLOOKUP(C12,'Train Runs'!$A$13:$AE$10142,22,0)</f>
        <v>https://d0f6bd738d7f1b3e5a7ca70fe4ff75f0.us-east-1.aws.found.io/app/kibana#/discover/Steve-Slow-Train-Analysis-(2080s-and-2083s)?_g=(refreshInterval:(display:Off,pause:!f,section:0,value:0),time:(from:'2017-11-17T04:08:51-0700',mode:absolute,to:'2017-11-17T07:07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2" s="86" t="str">
        <f t="shared" si="1"/>
        <v>"C:\Program Files (x86)\AstroGrep\AstroGrep.exe" /e /r /s /spath="%USERPROFILE%\AppData\Local\Temp\OnboardLogs" /stypes="*4041*201711171*" /stext=" 13:.+((SYSTEM_STATE.+slice.+state.+changed )|(ment ac)|(multiple cpu faults)|(system.+state.+changed )|(\[timeout)|(PRM\|1\|D)|(kpr)|(kdp)|(train st.+moving)|(\|lc)|(penalty))"</v>
      </c>
      <c r="U12" s="9" t="str">
        <f t="shared" si="2"/>
        <v>4041</v>
      </c>
      <c r="V12" s="31">
        <f t="shared" si="3"/>
        <v>43056.541851851849</v>
      </c>
      <c r="W12" s="45" t="str">
        <f t="shared" si="4"/>
        <v>EC</v>
      </c>
      <c r="X12" s="22">
        <f t="shared" si="5"/>
        <v>108</v>
      </c>
      <c r="Y12" s="96" t="str">
        <f t="shared" si="6"/>
        <v>echo {"issue":{"subject":"","project_id":79,"tracker_id":40,"status_id":1,"priority_id":2,"assigned_to_id":338,"start_date":"2017-11-17","description":"","custom_fields":[{"id":1,"name":"Subdivision","value":"EC"},{"id":4,"name":"Milepost","value":"2.1848"},{"id":17,"name":"Train ID","value":"108-17"},{"id":16,"name":"Locomotive ID","value":"4041"},{"id":130,"name":"Impact","value":""},{"id":150,"name":"Time of Event (Mountain Time)","value":"06:00:16"},{"id":151,"name":"Denver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2" s="159"/>
      <c r="AA12" s="47"/>
      <c r="AB12" s="47"/>
      <c r="AC12" s="115" t="str">
        <f t="shared" si="7"/>
        <v>grep -hrE -A400 "Enforcement Action" /c/Users/stu/AppData/Local/Temp/OnboardLogs/RTDC4041 --include="*4041*201711171*"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"%USERPROFILE%\AppData\Local\Temp\OnboardLogs"\RTDC4041\*4041*201711171* &gt;&gt; 2017-11-17-SliceDisagreementCheck.txt</v>
      </c>
      <c r="AE12" s="145" t="str">
        <f t="shared" si="8"/>
        <v>start /low /b %USERPROFILE%\Documents\GitHub\eaglep3\Utilities\DownloadLogsFromS3.py --loco 4041 --day 2017-11-17</v>
      </c>
      <c r="AF12" s="1"/>
    </row>
    <row r="13" spans="1:32" x14ac:dyDescent="0.3">
      <c r="A13" s="31">
        <v>43056.478437500002</v>
      </c>
      <c r="B13" s="30" t="s">
        <v>452</v>
      </c>
      <c r="C13" s="30" t="s">
        <v>643</v>
      </c>
      <c r="D13" s="30" t="s">
        <v>49</v>
      </c>
      <c r="E13" s="30" t="s">
        <v>190</v>
      </c>
      <c r="F13" s="42">
        <v>600</v>
      </c>
      <c r="G13" s="42">
        <v>732</v>
      </c>
      <c r="H13" s="42">
        <v>181489</v>
      </c>
      <c r="I13" s="42">
        <v>184363</v>
      </c>
      <c r="J13" s="30" t="s">
        <v>191</v>
      </c>
      <c r="K13" s="42">
        <v>183829</v>
      </c>
      <c r="L13" s="131" t="s">
        <v>50</v>
      </c>
      <c r="M13" s="132">
        <f t="shared" si="0"/>
        <v>-281.952</v>
      </c>
      <c r="N13" s="133" t="str">
        <f>VLOOKUP(C13,'Trips&amp;Operators'!$C$1:$G$99911,5,FALSE)</f>
        <v>YANAI IAN</v>
      </c>
      <c r="O13" s="176" t="s">
        <v>178</v>
      </c>
      <c r="P13" s="134"/>
      <c r="Q13" s="30"/>
      <c r="R13" s="81" t="str">
        <f>VLOOKUP(C13,'Train Runs'!$A$13:$AE$10142,31,0)</f>
        <v>aws s3 cp s3://rtdc.mdm.uploadarchive.raw/RTDC4010/ "%USERPROFILE%\AppData\Local\Temp\OnboardLogs"\RTDC4010\2017-11-17 --exclude "*" --recursive --include "*20171117*" &amp; "%USERPROFILE%\Documents\GitHub\mrs-test-scripts\Headless Mode &amp; Sideloading\WalkAndUnGZ.bat" "%USERPROFILE%\AppData\Local\Temp\OnboardLogs"\RTDC4010\2017-11-17 &amp; aws s3 cp s3://rtdc.mdm.uploadarchive.raw/RTDC4010/ "%USERPROFILE%\AppData\Local\Temp\OnboardLogs"\RTDC4010\2017-11-18 --exclude "*" --recursive --include "*20171118*" &amp; "%USERPROFILE%\Documents\GitHub\mrs-test-scripts\Headless Mode &amp; Sideloading\WalkAndUnGZ.bat" "%USERPROFILE%\AppData\Local\Temp\OnboardLogs"\RTDC4010\2017-11-18</v>
      </c>
      <c r="S13" s="84" t="str">
        <f>VLOOKUP(C13,'Train Runs'!$A$13:$AE$10142,22,0)</f>
        <v>https://d0f6bd738d7f1b3e5a7ca70fe4ff75f0.us-east-1.aws.found.io/app/kibana#/discover/Steve-Slow-Train-Analysis-(2080s-and-2083s)?_g=(refreshInterval:(display:Off,pause:!f,section:0,value:0),time:(from:'2017-11-17T09:45:09-0700',mode:absolute,to:'2017-11-17T12:36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13" s="86" t="str">
        <f t="shared" si="1"/>
        <v>"C:\Program Files (x86)\AstroGrep\AstroGrep.exe" /e /r /s /spath="%USERPROFILE%\AppData\Local\Temp\OnboardLogs" /stypes="*4010*201711171*" /stext=" 18:.+((SYSTEM_STATE.+slice.+state.+changed )|(ment ac)|(multiple cpu faults)|(system.+state.+changed )|(\[timeout)|(PRM\|1\|D)|(kpr)|(kdp)|(train st.+moving)|(\|lc)|(penalty))"</v>
      </c>
      <c r="U13" s="9" t="str">
        <f t="shared" si="2"/>
        <v>4010</v>
      </c>
      <c r="V13" s="31">
        <f t="shared" si="3"/>
        <v>43056.770104166666</v>
      </c>
      <c r="W13" s="45" t="str">
        <f t="shared" si="4"/>
        <v>EC</v>
      </c>
      <c r="X13" s="22">
        <f t="shared" si="5"/>
        <v>159</v>
      </c>
      <c r="Y13" s="96" t="str">
        <f t="shared" si="6"/>
        <v>echo {"issue":{"subject":"","project_id":79,"tracker_id":40,"status_id":1,"priority_id":2,"assigned_to_id":338,"start_date":"2017-11-17","description":"","custom_fields":[{"id":1,"name":"Subdivision","value":"EC"},{"id":4,"name":"Milepost","value":"18.3829"},{"id":17,"name":"Train ID","value":"159-17"},{"id":16,"name":"Locomotive ID","value":"4010"},{"id":130,"name":"Impact","value":""},{"id":150,"name":"Time of Event (Mountain Time)","value":"11:28:57"},{"id":151,"name":"Denver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3" s="159"/>
      <c r="AA13" s="47"/>
      <c r="AB13" s="47"/>
      <c r="AC13" s="115" t="str">
        <f t="shared" si="7"/>
        <v>grep -hrE -A400 "Enforcement Action" /c/Users/stu/AppData/Local/Temp/OnboardLogs/RTDC4010 --include="*4010*201711171*"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"%USERPROFILE%\AppData\Local\Temp\OnboardLogs"\RTDC4010\*4010*201711171* &gt;&gt; 2017-11-17-SliceDisagreementCheck.txt</v>
      </c>
      <c r="AE13" s="145" t="str">
        <f t="shared" si="8"/>
        <v>start /low /b %USERPROFILE%\Documents\GitHub\eaglep3\Utilities\DownloadLogsFromS3.py --loco 4010 --day 2017-11-17</v>
      </c>
      <c r="AF13" s="1"/>
    </row>
    <row r="14" spans="1:32" x14ac:dyDescent="0.3">
      <c r="A14" s="31">
        <v>43056.44804398148</v>
      </c>
      <c r="B14" s="30" t="s">
        <v>636</v>
      </c>
      <c r="C14" s="30" t="s">
        <v>641</v>
      </c>
      <c r="D14" s="30" t="s">
        <v>95</v>
      </c>
      <c r="E14" s="30" t="s">
        <v>190</v>
      </c>
      <c r="F14" s="42">
        <v>350</v>
      </c>
      <c r="G14" s="42">
        <v>402</v>
      </c>
      <c r="H14" s="42">
        <v>225675</v>
      </c>
      <c r="I14" s="42">
        <v>224700</v>
      </c>
      <c r="J14" s="30" t="s">
        <v>191</v>
      </c>
      <c r="K14" s="42">
        <v>228668</v>
      </c>
      <c r="L14" s="131" t="s">
        <v>51</v>
      </c>
      <c r="M14" s="132">
        <f t="shared" si="0"/>
        <v>-2095.1039999999998</v>
      </c>
      <c r="N14" s="133" t="str">
        <f>VLOOKUP(C14,'Trips&amp;Operators'!$C$1:$G$99911,5,FALSE)</f>
        <v>STRICKLAND EVAN</v>
      </c>
      <c r="O14" s="176" t="s">
        <v>178</v>
      </c>
      <c r="P14" s="134"/>
      <c r="Q14" s="30"/>
      <c r="R14" s="81" t="str">
        <f>VLOOKUP(C14,'Train Runs'!$A$13:$AE$10142,31,0)</f>
        <v>aws s3 cp s3://rtdc.mdm.uploadarchive.raw/RTDC4041/ "%USERPROFILE%\AppData\Local\Temp\OnboardLogs"\RTDC4041\2017-11-17 --exclude "*" --recursive --include "*20171117*" &amp; "%USERPROFILE%\Documents\GitHub\mrs-test-scripts\Headless Mode &amp; Sideloading\WalkAndUnGZ.bat" "%USERPROFILE%\AppData\Local\Temp\OnboardLogs"\RTDC4041\2017-11-17 &amp; aws s3 cp s3://rtdc.mdm.uploadarchive.raw/RTDC4041/ "%USERPROFILE%\AppData\Local\Temp\OnboardLogs"\RTDC4041\2017-11-18 --exclude "*" --recursive --include "*20171118*" &amp; "%USERPROFILE%\Documents\GitHub\mrs-test-scripts\Headless Mode &amp; Sideloading\WalkAndUnGZ.bat" "%USERPROFILE%\AppData\Local\Temp\OnboardLogs"\RTDC4041\2017-11-18</v>
      </c>
      <c r="S14" s="84" t="str">
        <f>VLOOKUP(C14,'Train Runs'!$A$13:$AE$10142,22,0)</f>
        <v>https://d0f6bd738d7f1b3e5a7ca70fe4ff75f0.us-east-1.aws.found.io/app/kibana#/discover/Steve-Slow-Train-Analysis-(2080s-and-2083s)?_g=(refreshInterval:(display:Off,pause:!f,section:0,value:0),time:(from:'2017-11-17T09:23:57-0700',mode:absolute,to:'2017-11-17T12:21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4" s="86" t="str">
        <f t="shared" si="1"/>
        <v>"C:\Program Files (x86)\AstroGrep\AstroGrep.exe" /e /r /s /spath="%USERPROFILE%\AppData\Local\Temp\OnboardLogs" /stypes="*4041*201711171*" /stext=" 17:.+((SYSTEM_STATE.+slice.+state.+changed )|(ment ac)|(multiple cpu faults)|(system.+state.+changed )|(\[timeout)|(PRM\|1\|D)|(kpr)|(kdp)|(train st.+moving)|(\|lc)|(penalty))"</v>
      </c>
      <c r="U14" s="9" t="str">
        <f t="shared" si="2"/>
        <v>4041</v>
      </c>
      <c r="V14" s="31">
        <f t="shared" si="3"/>
        <v>43056.739710648144</v>
      </c>
      <c r="W14" s="45" t="str">
        <f t="shared" si="4"/>
        <v>EC</v>
      </c>
      <c r="X14" s="22">
        <f t="shared" si="5"/>
        <v>150</v>
      </c>
      <c r="Y14" s="96" t="str">
        <f t="shared" si="6"/>
        <v>echo {"issue":{"subject":"","project_id":79,"tracker_id":40,"status_id":1,"priority_id":2,"assigned_to_id":338,"start_date":"2017-11-17","description":"","custom_fields":[{"id":1,"name":"Subdivision","value":"EC"},{"id":4,"name":"Milepost","value":"22.8668"},{"id":17,"name":"Train ID","value":"150-17"},{"id":16,"name":"Locomotive ID","value":"4041"},{"id":130,"name":"Impact","value":""},{"id":150,"name":"Time of Event (Mountain Time)","value":"10:45:11"},{"id":151,"name":"Denver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4" s="159"/>
      <c r="AA14" s="47"/>
      <c r="AB14" s="47"/>
      <c r="AC14" s="115" t="str">
        <f t="shared" si="7"/>
        <v>grep -hrE -A400 "Enforcement Action" /c/Users/stu/AppData/Local/Temp/OnboardLogs/RTDC4041 --include="*4041*201711171*"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"%USERPROFILE%\AppData\Local\Temp\OnboardLogs"\RTDC4041\*4041*201711171* &gt;&gt; 2017-11-17-SliceDisagreementCheck.txt</v>
      </c>
      <c r="AE14" s="145" t="str">
        <f t="shared" si="8"/>
        <v>start /low /b %USERPROFILE%\Documents\GitHub\eaglep3\Utilities\DownloadLogsFromS3.py --loco 4041 --day 2017-11-17</v>
      </c>
      <c r="AF14" s="1"/>
    </row>
    <row r="15" spans="1:32" x14ac:dyDescent="0.3">
      <c r="A15" s="31">
        <v>43056.136203703703</v>
      </c>
      <c r="B15" s="30" t="s">
        <v>632</v>
      </c>
      <c r="C15" s="30" t="s">
        <v>633</v>
      </c>
      <c r="D15" s="30" t="s">
        <v>95</v>
      </c>
      <c r="E15" s="30" t="s">
        <v>355</v>
      </c>
      <c r="F15" s="42">
        <v>0</v>
      </c>
      <c r="G15" s="42">
        <v>109</v>
      </c>
      <c r="H15" s="42">
        <v>1880</v>
      </c>
      <c r="I15" s="42">
        <v>2038</v>
      </c>
      <c r="J15" s="30" t="s">
        <v>356</v>
      </c>
      <c r="K15" s="42">
        <v>1692</v>
      </c>
      <c r="L15" s="131" t="s">
        <v>50</v>
      </c>
      <c r="M15" s="132">
        <f t="shared" si="0"/>
        <v>-182.68799999999999</v>
      </c>
      <c r="N15" s="133" t="str">
        <f>VLOOKUP(C15,'Trips&amp;Operators'!$C$1:$G$99911,5,FALSE)</f>
        <v>YORK EDGAR</v>
      </c>
      <c r="O15" s="176" t="s">
        <v>349</v>
      </c>
      <c r="P15" s="134" t="s">
        <v>630</v>
      </c>
      <c r="Q15" s="30"/>
      <c r="R15" s="81" t="str">
        <f>VLOOKUP(C15,'Train Runs'!$A$13:$AE$10142,31,0)</f>
        <v>aws s3 cp s3://rtdc.mdm.uploadarchive.raw/RTDC4066/ "%USERPROFILE%\AppData\Local\Temp\OnboardLogs"\RTDC4066\2017-11-17 --exclude "*" --recursive --include "*20171117*" &amp; "%USERPROFILE%\Documents\GitHub\mrs-test-scripts\Headless Mode &amp; Sideloading\WalkAndUnGZ.bat" "%USERPROFILE%\AppData\Local\Temp\OnboardLogs"\RTDC4066\2017-11-17 &amp; aws s3 cp s3://rtdc.mdm.uploadarchive.raw/RTDC4066/ "%USERPROFILE%\AppData\Local\Temp\OnboardLogs"\RTDC4066\2017-11-18 --exclude "*" --recursive --include "*20171118*" &amp; "%USERPROFILE%\Documents\GitHub\mrs-test-scripts\Headless Mode &amp; Sideloading\WalkAndUnGZ.bat" "%USERPROFILE%\AppData\Local\Temp\OnboardLogs"\RTDC4066\2017-11-18</v>
      </c>
      <c r="S15" s="84" t="str">
        <f>VLOOKUP(C15,'Train Runs'!$A$13:$AE$10142,22,0)</f>
        <v>https://d0f6bd738d7f1b3e5a7ca70fe4ff75f0.us-east-1.aws.found.io/app/kibana#/discover/Steve-Slow-Train-Analysis-(2080s-and-2083s)?_g=(refreshInterval:(display:Off,pause:!f,section:0,value:0),time:(from:'2017-11-17T02:07:34-0700',mode:absolute,to:'2017-11-17T04:51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T15" s="86" t="str">
        <f t="shared" si="1"/>
        <v>"C:\Program Files (x86)\AstroGrep\AstroGrep.exe" /e /r /s /spath="%USERPROFILE%\AppData\Local\Temp\OnboardLogs" /stypes="*4066*201711171*" /stext=" 10:.+((SYSTEM_STATE.+slice.+state.+changed )|(ment ac)|(multiple cpu faults)|(system.+state.+changed )|(\[timeout)|(PRM\|1\|D)|(kpr)|(kdp)|(train st.+moving)|(\|lc)|(penalty))"</v>
      </c>
      <c r="U15" s="9" t="str">
        <f t="shared" si="2"/>
        <v>4066</v>
      </c>
      <c r="V15" s="31">
        <f t="shared" si="3"/>
        <v>43056.427870370368</v>
      </c>
      <c r="W15" s="45" t="str">
        <f t="shared" si="4"/>
        <v>EC</v>
      </c>
      <c r="X15" s="22">
        <f t="shared" si="5"/>
        <v>101</v>
      </c>
      <c r="Y15" s="96" t="str">
        <f t="shared" si="6"/>
        <v>echo {"issue":{"subject":"Poor GPS at DUS","project_id":79,"tracker_id":40,"status_id":1,"priority_id":2,"assigned_to_id":338,"start_date":"2017-11-17","description":"","custom_fields":[{"id":1,"name":"Subdivision","value":"EC"},{"id":4,"name":"Milepost","value":"0.1692"},{"id":17,"name":"Train ID","value":"101-17"},{"id":16,"name":"Locomotive ID","value":"4066"},{"id":130,"name":"Impact","value":""},{"id":150,"name":"Time of Event (Mountain Time)","value":"03:16:08"},{"id":151,"name":"Denver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5" s="159"/>
      <c r="AA15" s="47"/>
      <c r="AB15" s="47"/>
      <c r="AC15" s="115" t="str">
        <f t="shared" si="7"/>
        <v>grep -hrE -A400 "Enforcement Action" /c/Users/stu/AppData/Local/Temp/OnboardLogs/RTDC4066 --include="*4066*201711171*"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"%USERPROFILE%\AppData\Local\Temp\OnboardLogs"\RTDC4066\*4066*201711171* &gt;&gt; 2017-11-17-SliceDisagreementCheck.txt</v>
      </c>
      <c r="AE15" s="145" t="str">
        <f t="shared" si="8"/>
        <v>start /low /b %USERPROFILE%\Documents\GitHub\eaglep3\Utilities\DownloadLogsFromS3.py --loco 4066 --day 2017-11-17</v>
      </c>
      <c r="AF15" s="1"/>
    </row>
    <row r="16" spans="1:32" x14ac:dyDescent="0.3">
      <c r="A16" s="31">
        <v>43056.211296296293</v>
      </c>
      <c r="B16" s="30" t="s">
        <v>543</v>
      </c>
      <c r="C16" s="30" t="s">
        <v>635</v>
      </c>
      <c r="D16" s="30" t="s">
        <v>49</v>
      </c>
      <c r="E16" s="30" t="s">
        <v>355</v>
      </c>
      <c r="F16" s="42">
        <v>0</v>
      </c>
      <c r="G16" s="42">
        <v>331</v>
      </c>
      <c r="H16" s="42">
        <v>94151</v>
      </c>
      <c r="I16" s="42">
        <v>95023</v>
      </c>
      <c r="J16" s="30" t="s">
        <v>356</v>
      </c>
      <c r="K16" s="42">
        <v>95978</v>
      </c>
      <c r="L16" s="131" t="s">
        <v>50</v>
      </c>
      <c r="M16" s="132">
        <f t="shared" si="0"/>
        <v>504.24</v>
      </c>
      <c r="N16" s="133" t="str">
        <f>VLOOKUP(C16,'Trips&amp;Operators'!$C$1:$G$99911,5,FALSE)</f>
        <v>HUFFSMITH MONTY</v>
      </c>
      <c r="O16" s="176" t="s">
        <v>349</v>
      </c>
      <c r="P16" s="134" t="s">
        <v>631</v>
      </c>
      <c r="Q16" s="30"/>
      <c r="R16" s="81" t="str">
        <f>VLOOKUP(C16,'Train Runs'!$A$13:$AE$10142,31,0)</f>
        <v>aws s3 cp s3://rtdc.mdm.uploadarchive.raw/RTDC4040/ "%USERPROFILE%\AppData\Local\Temp\OnboardLogs"\RTDC4040\2017-11-17 --exclude "*" --recursive --include "*20171117*" &amp; "%USERPROFILE%\Documents\GitHub\mrs-test-scripts\Headless Mode &amp; Sideloading\WalkAndUnGZ.bat" "%USERPROFILE%\AppData\Local\Temp\OnboardLogs"\RTDC4040\2017-11-17 &amp; aws s3 cp s3://rtdc.mdm.uploadarchive.raw/RTDC4040/ "%USERPROFILE%\AppData\Local\Temp\OnboardLogs"\RTDC4040\2017-11-18 --exclude "*" --recursive --include "*20171118*" &amp; "%USERPROFILE%\Documents\GitHub\mrs-test-scripts\Headless Mode &amp; Sideloading\WalkAndUnGZ.bat" "%USERPROFILE%\AppData\Local\Temp\OnboardLogs"\RTDC4040\2017-11-18</v>
      </c>
      <c r="S16" s="84" t="str">
        <f>VLOOKUP(C16,'Train Runs'!$A$13:$AE$10142,22,0)</f>
        <v>https://d0f6bd738d7f1b3e5a7ca70fe4ff75f0.us-east-1.aws.found.io/app/kibana#/discover/Steve-Slow-Train-Analysis-(2080s-and-2083s)?_g=(refreshInterval:(display:Off,pause:!f,section:0,value:0),time:(from:'2017-11-17T03:40:47-0700',mode:absolute,to:'2017-11-17T06:23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16" s="86" t="str">
        <f t="shared" si="1"/>
        <v>"C:\Program Files (x86)\AstroGrep\AstroGrep.exe" /e /r /s /spath="%USERPROFILE%\AppData\Local\Temp\OnboardLogs" /stypes="*4040*201711171*" /stext=" 12:.+((SYSTEM_STATE.+slice.+state.+changed )|(ment ac)|(multiple cpu faults)|(system.+state.+changed )|(\[timeout)|(PRM\|1\|D)|(kpr)|(kdp)|(train st.+moving)|(\|lc)|(penalty))"</v>
      </c>
      <c r="U16" s="9" t="str">
        <f t="shared" si="2"/>
        <v>4040</v>
      </c>
      <c r="V16" s="31">
        <f t="shared" si="3"/>
        <v>43056.502962962957</v>
      </c>
      <c r="W16" s="45" t="str">
        <f t="shared" si="4"/>
        <v>EC</v>
      </c>
      <c r="X16" s="22">
        <f t="shared" si="5"/>
        <v>109</v>
      </c>
      <c r="Y16" s="96" t="str">
        <f t="shared" si="6"/>
        <v>echo {"issue":{"subject":"Wi-MAX data drop","project_id":79,"tracker_id":40,"status_id":1,"priority_id":2,"assigned_to_id":338,"start_date":"2017-11-17","description":"","custom_fields":[{"id":1,"name":"Subdivision","value":"EC"},{"id":4,"name":"Milepost","value":"9.5978"},{"id":17,"name":"Train ID","value":"109-17"},{"id":16,"name":"Locomotive ID","value":"4040"},{"id":130,"name":"Impact","value":""},{"id":150,"name":"Time of Event (Mountain Time)","value":"05:04:16"},{"id":151,"name":"Denver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6" s="159"/>
      <c r="AA16" s="47"/>
      <c r="AB16" s="47"/>
      <c r="AC16" s="115" t="str">
        <f t="shared" si="7"/>
        <v>grep -hrE -A400 "Enforcement Action" /c/Users/stu/AppData/Local/Temp/OnboardLogs/RTDC4040 --include="*4040*201711171*"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"%USERPROFILE%\AppData\Local\Temp\OnboardLogs"\RTDC4040\*4040*201711171* &gt;&gt; 2017-11-17-SliceDisagreementCheck.txt</v>
      </c>
      <c r="AE16" s="145" t="str">
        <f t="shared" si="8"/>
        <v>start /low /b %USERPROFILE%\Documents\GitHub\eaglep3\Utilities\DownloadLogsFromS3.py --loco 4040 --day 2017-11-17</v>
      </c>
      <c r="AF16" s="1"/>
    </row>
    <row r="17" spans="1:32" x14ac:dyDescent="0.3">
      <c r="A17" s="31">
        <v>43056.739120370374</v>
      </c>
      <c r="B17" s="30" t="s">
        <v>368</v>
      </c>
      <c r="C17" s="30" t="s">
        <v>649</v>
      </c>
      <c r="D17" s="30" t="s">
        <v>95</v>
      </c>
      <c r="E17" s="30" t="s">
        <v>355</v>
      </c>
      <c r="F17" s="42">
        <v>200</v>
      </c>
      <c r="G17" s="42">
        <v>434</v>
      </c>
      <c r="H17" s="42">
        <v>131708</v>
      </c>
      <c r="I17" s="42">
        <v>130501</v>
      </c>
      <c r="J17" s="30" t="s">
        <v>356</v>
      </c>
      <c r="K17" s="42">
        <v>133166</v>
      </c>
      <c r="L17" s="131" t="s">
        <v>51</v>
      </c>
      <c r="M17" s="132">
        <f t="shared" si="0"/>
        <v>-1407.12</v>
      </c>
      <c r="N17" s="133" t="str">
        <f>VLOOKUP(C17,'Trips&amp;Operators'!$C$1:$G$99911,5,FALSE)</f>
        <v>SAFIEF AEIMEN</v>
      </c>
      <c r="O17" s="176" t="s">
        <v>178</v>
      </c>
      <c r="P17" s="134" t="s">
        <v>1131</v>
      </c>
      <c r="Q17" s="30"/>
      <c r="R17" s="81" t="str">
        <f>VLOOKUP(C17,'Train Runs'!$A$13:$AE$10142,31,0)</f>
        <v>aws s3 cp s3://rtdc.mdm.uploadarchive.raw/RTDC4035/ "%USERPROFILE%\AppData\Local\Temp\OnboardLogs"\RTDC4035\2017-11-17 --exclude "*" --recursive --include "*20171117*" &amp; "%USERPROFILE%\Documents\GitHub\mrs-test-scripts\Headless Mode &amp; Sideloading\WalkAndUnGZ.bat" "%USERPROFILE%\AppData\Local\Temp\OnboardLogs"\RTDC4035\2017-11-17 &amp; aws s3 cp s3://rtdc.mdm.uploadarchive.raw/RTDC4035/ "%USERPROFILE%\AppData\Local\Temp\OnboardLogs"\RTDC4035\2017-11-18 --exclude "*" --recursive --include "*20171118*" &amp; "%USERPROFILE%\Documents\GitHub\mrs-test-scripts\Headless Mode &amp; Sideloading\WalkAndUnGZ.bat" "%USERPROFILE%\AppData\Local\Temp\OnboardLogs"\RTDC4035\2017-11-18</v>
      </c>
      <c r="S17" s="84" t="str">
        <f>VLOOKUP(C17,'Train Runs'!$A$13:$AE$10142,22,0)</f>
        <v>https://d0f6bd738d7f1b3e5a7ca70fe4ff75f0.us-east-1.aws.found.io/app/kibana#/discover/Steve-Slow-Train-Analysis-(2080s-and-2083s)?_g=(refreshInterval:(display:Off,pause:!f,section:0,value:0),time:(from:'2017-11-17T16:10:33-0700',mode:absolute,to:'2017-11-17T18:43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T17" s="86" t="str">
        <f t="shared" si="1"/>
        <v>"C:\Program Files (x86)\AstroGrep\AstroGrep.exe" /e /r /s /spath="%USERPROFILE%\AppData\Local\Temp\OnboardLogs" /stypes="*4035*201711180*" /stext=" 00:.+((SYSTEM_STATE.+slice.+state.+changed )|(ment ac)|(multiple cpu faults)|(system.+state.+changed )|(\[timeout)|(PRM\|1\|D)|(kpr)|(kdp)|(train st.+moving)|(\|lc)|(penalty))"</v>
      </c>
      <c r="U17" s="9" t="str">
        <f t="shared" si="2"/>
        <v>4035</v>
      </c>
      <c r="V17" s="31">
        <f t="shared" si="3"/>
        <v>43057.030787037038</v>
      </c>
      <c r="W17" s="45" t="str">
        <f t="shared" si="4"/>
        <v>EC</v>
      </c>
      <c r="X17" s="22">
        <f t="shared" si="5"/>
        <v>204</v>
      </c>
      <c r="Y17" s="96" t="str">
        <f t="shared" si="6"/>
        <v>echo {"issue":{"subject":"Restricted aspect","project_id":79,"tracker_id":40,"status_id":1,"priority_id":2,"assigned_to_id":338,"start_date":"2017-11-17","description":"","custom_fields":[{"id":1,"name":"Subdivision","value":"EC"},{"id":4,"name":"Milepost","value":"13.3166"},{"id":17,"name":"Train ID","value":"204-17"},{"id":16,"name":"Locomotive ID","value":"4035"},{"id":130,"name":"Impact","value":""},{"id":150,"name":"Time of Event (Mountain Time)","value":"17:44:20"},{"id":151,"name":"Denver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7" s="159"/>
      <c r="AA17" s="47"/>
      <c r="AB17" s="47"/>
      <c r="AC17" s="115" t="str">
        <f t="shared" si="7"/>
        <v>grep -hrE -A400 "Enforcement Action" /c/Users/stu/AppData/Local/Temp/OnboardLogs/RTDC4035 --include="*4035*201711180*"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"%USERPROFILE%\AppData\Local\Temp\OnboardLogs"\RTDC4035\*4035*201711180* &gt;&gt; 2017-11-17-SliceDisagreementCheck.txt</v>
      </c>
      <c r="AE17" s="145" t="str">
        <f t="shared" si="8"/>
        <v>start /low /b %USERPROFILE%\Documents\GitHub\eaglep3\Utilities\DownloadLogsFromS3.py --loco 4035 --day 2017-11-18</v>
      </c>
      <c r="AF17" s="1"/>
    </row>
    <row r="18" spans="1:32" x14ac:dyDescent="0.3">
      <c r="A18" s="31">
        <v>43056.751458333332</v>
      </c>
      <c r="B18" s="30" t="s">
        <v>393</v>
      </c>
      <c r="C18" s="30" t="s">
        <v>650</v>
      </c>
      <c r="D18" s="30" t="s">
        <v>49</v>
      </c>
      <c r="E18" s="30" t="s">
        <v>355</v>
      </c>
      <c r="F18" s="42">
        <v>0</v>
      </c>
      <c r="G18" s="42">
        <v>445</v>
      </c>
      <c r="H18" s="42">
        <v>186921</v>
      </c>
      <c r="I18" s="42">
        <v>188294</v>
      </c>
      <c r="J18" s="30" t="s">
        <v>356</v>
      </c>
      <c r="K18" s="42">
        <v>190738</v>
      </c>
      <c r="L18" s="131" t="s">
        <v>50</v>
      </c>
      <c r="M18" s="132">
        <f t="shared" si="0"/>
        <v>1290.432</v>
      </c>
      <c r="N18" s="133" t="str">
        <f>VLOOKUP(C18,'Trips&amp;Operators'!$C$1:$G$99911,5,FALSE)</f>
        <v>LEVIN SCOTT</v>
      </c>
      <c r="O18" s="176" t="s">
        <v>349</v>
      </c>
      <c r="P18" s="244" t="s">
        <v>631</v>
      </c>
      <c r="Q18" s="30"/>
      <c r="R18" s="81" t="str">
        <f>VLOOKUP(C18,'Train Runs'!$A$13:$AE$10142,31,0)</f>
        <v>aws s3 cp s3://rtdc.mdm.uploadarchive.raw/RTDC4028/ "%USERPROFILE%\AppData\Local\Temp\OnboardLogs"\RTDC4028\2017-11-17 --exclude "*" --recursive --include "*20171117*" &amp; "%USERPROFILE%\Documents\GitHub\mrs-test-scripts\Headless Mode &amp; Sideloading\WalkAndUnGZ.bat" "%USERPROFILE%\AppData\Local\Temp\OnboardLogs"\RTDC4028\2017-11-17 &amp; aws s3 cp s3://rtdc.mdm.uploadarchive.raw/RTDC4028/ "%USERPROFILE%\AppData\Local\Temp\OnboardLogs"\RTDC4028\2017-11-18 --exclude "*" --recursive --include "*20171118*" &amp; "%USERPROFILE%\Documents\GitHub\mrs-test-scripts\Headless Mode &amp; Sideloading\WalkAndUnGZ.bat" "%USERPROFILE%\AppData\Local\Temp\OnboardLogs"\RTDC4028\2017-11-18</v>
      </c>
      <c r="S18" s="84" t="str">
        <f>VLOOKUP(C18,'Train Runs'!$A$13:$AE$10142,22,0)</f>
        <v>https://d0f6bd738d7f1b3e5a7ca70fe4ff75f0.us-east-1.aws.found.io/app/kibana#/discover/Steve-Slow-Train-Analysis-(2080s-and-2083s)?_g=(refreshInterval:(display:Off,pause:!f,section:0,value:0),time:(from:'2017-11-17T16:23:32-0700',mode:absolute,to:'2017-11-17T19:09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18" s="86" t="str">
        <f t="shared" si="1"/>
        <v>"C:\Program Files (x86)\AstroGrep\AstroGrep.exe" /e /r /s /spath="%USERPROFILE%\AppData\Local\Temp\OnboardLogs" /stypes="*4028*201711180*" /stext=" 01:.+((SYSTEM_STATE.+slice.+state.+changed )|(ment ac)|(multiple cpu faults)|(system.+state.+changed )|(\[timeout)|(PRM\|1\|D)|(kpr)|(kdp)|(train st.+moving)|(\|lc)|(penalty))"</v>
      </c>
      <c r="U18" s="9" t="str">
        <f t="shared" si="2"/>
        <v>4028</v>
      </c>
      <c r="V18" s="31">
        <f t="shared" si="3"/>
        <v>43057.043124999997</v>
      </c>
      <c r="W18" s="45" t="str">
        <f t="shared" si="4"/>
        <v>EC</v>
      </c>
      <c r="X18" s="22">
        <f t="shared" si="5"/>
        <v>211</v>
      </c>
      <c r="Y18" s="96" t="str">
        <f t="shared" si="6"/>
        <v>echo {"issue":{"subject":"Wi-MAX data drop","project_id":79,"tracker_id":40,"status_id":1,"priority_id":2,"assigned_to_id":338,"start_date":"2017-11-17","description":"","custom_fields":[{"id":1,"name":"Subdivision","value":"EC"},{"id":4,"name":"Milepost","value":"19.0738"},{"id":17,"name":"Train ID","value":"211-17"},{"id":16,"name":"Locomotive ID","value":"4028"},{"id":130,"name":"Impact","value":""},{"id":150,"name":"Time of Event (Mountain Time)","value":"18:02:06"},{"id":151,"name":"Denver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8" s="159"/>
      <c r="AA18" s="47"/>
      <c r="AB18" s="47"/>
      <c r="AC18" s="115" t="str">
        <f t="shared" si="7"/>
        <v>grep -hrE -A400 "Enforcement Action" /c/Users/stu/AppData/Local/Temp/OnboardLogs/RTDC4028 --include="*4028*201711180*"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"%USERPROFILE%\AppData\Local\Temp\OnboardLogs"\RTDC4028\*4028*201711180* &gt;&gt; 2017-11-17-SliceDisagreementCheck.txt</v>
      </c>
      <c r="AE18" s="145" t="str">
        <f t="shared" si="8"/>
        <v>start /low /b %USERPROFILE%\Documents\GitHub\eaglep3\Utilities\DownloadLogsFromS3.py --loco 4028 --day 2017-11-18</v>
      </c>
      <c r="AF18" s="1"/>
    </row>
    <row r="19" spans="1:32" x14ac:dyDescent="0.3">
      <c r="A19" s="31">
        <v>43056.645057870373</v>
      </c>
      <c r="B19" s="30" t="s">
        <v>542</v>
      </c>
      <c r="C19" s="30" t="s">
        <v>647</v>
      </c>
      <c r="D19" s="30" t="s">
        <v>49</v>
      </c>
      <c r="E19" s="30" t="s">
        <v>471</v>
      </c>
      <c r="F19" s="42">
        <v>0</v>
      </c>
      <c r="G19" s="42">
        <v>399</v>
      </c>
      <c r="H19" s="42">
        <v>112034</v>
      </c>
      <c r="I19" s="42">
        <v>110897</v>
      </c>
      <c r="J19" s="30" t="s">
        <v>472</v>
      </c>
      <c r="K19" s="42">
        <v>110617</v>
      </c>
      <c r="L19" s="131" t="s">
        <v>51</v>
      </c>
      <c r="M19" s="132">
        <f t="shared" si="0"/>
        <v>147.84</v>
      </c>
      <c r="N19" s="133" t="str">
        <f>VLOOKUP(C19,'Trips&amp;Operators'!$C$1:$G$99911,5,FALSE)</f>
        <v>BADERTSCHER DIANE</v>
      </c>
      <c r="O19" s="176" t="s">
        <v>349</v>
      </c>
      <c r="P19" s="244" t="s">
        <v>631</v>
      </c>
      <c r="Q19" s="30"/>
      <c r="R19" s="81" t="str">
        <f>VLOOKUP(C19,'Train Runs'!$A$13:$AE$10142,31,0)</f>
        <v>aws s3 cp s3://rtdc.mdm.uploadarchive.raw/RTDC4019/ "%USERPROFILE%\AppData\Local\Temp\OnboardLogs"\RTDC4019\2017-11-17 --exclude "*" --recursive --include "*20171117*" &amp; "%USERPROFILE%\Documents\GitHub\mrs-test-scripts\Headless Mode &amp; Sideloading\WalkAndUnGZ.bat" "%USERPROFILE%\AppData\Local\Temp\OnboardLogs"\RTDC4019\2017-11-17 &amp; aws s3 cp s3://rtdc.mdm.uploadarchive.raw/RTDC4019/ "%USERPROFILE%\AppData\Local\Temp\OnboardLogs"\RTDC4019\2017-11-18 --exclude "*" --recursive --include "*20171118*" &amp; "%USERPROFILE%\Documents\GitHub\mrs-test-scripts\Headless Mode &amp; Sideloading\WalkAndUnGZ.bat" "%USERPROFILE%\AppData\Local\Temp\OnboardLogs"\RTDC4019\2017-11-18</v>
      </c>
      <c r="S19" s="84" t="str">
        <f>VLOOKUP(C19,'Train Runs'!$A$13:$AE$10142,22,0)</f>
        <v>https://d0f6bd738d7f1b3e5a7ca70fe4ff75f0.us-east-1.aws.found.io/app/kibana#/discover/Steve-Slow-Train-Analysis-(2080s-and-2083s)?_g=(refreshInterval:(display:Off,pause:!f,section:0,value:0),time:(from:'2017-11-17T13:59:37-0700',mode:absolute,to:'2017-11-17T16:54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19" s="86" t="str">
        <f t="shared" si="1"/>
        <v>"C:\Program Files (x86)\AstroGrep\AstroGrep.exe" /e /r /s /spath="%USERPROFILE%\AppData\Local\Temp\OnboardLogs" /stypes="*4019*201711172*" /stext=" 22:.+((SYSTEM_STATE.+slice.+state.+changed )|(ment ac)|(multiple cpu faults)|(system.+state.+changed )|(\[timeout)|(PRM\|1\|D)|(kpr)|(kdp)|(train st.+moving)|(\|lc)|(penalty))"</v>
      </c>
      <c r="U19" s="9" t="str">
        <f t="shared" si="2"/>
        <v>4019</v>
      </c>
      <c r="V19" s="31">
        <f t="shared" si="3"/>
        <v>43056.936724537038</v>
      </c>
      <c r="W19" s="45" t="str">
        <f t="shared" si="4"/>
        <v>EC</v>
      </c>
      <c r="X19" s="22">
        <f t="shared" si="5"/>
        <v>186</v>
      </c>
      <c r="Y19" s="96" t="str">
        <f t="shared" si="6"/>
        <v>echo {"issue":{"subject":"Wi-MAX data drop","project_id":79,"tracker_id":40,"status_id":1,"priority_id":2,"assigned_to_id":338,"start_date":"2017-11-17","description":"","custom_fields":[{"id":1,"name":"Subdivision","value":"EC"},{"id":4,"name":"Milepost","value":"11.0617"},{"id":17,"name":"Train ID","value":"186-17"},{"id":16,"name":"Locomotive ID","value":"4019"},{"id":130,"name":"Impact","value":""},{"id":150,"name":"Time of Event (Mountain Time)","value":"15:28:53"},{"id":151,"name":"Denver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9" s="159"/>
      <c r="AA19" s="47"/>
      <c r="AB19" s="47"/>
      <c r="AC19" s="115" t="str">
        <f t="shared" si="7"/>
        <v>grep -hrE -A400 "Enforcement Action" /c/Users/stu/AppData/Local/Temp/OnboardLogs/RTDC4019 --include="*4019*201711172*"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"%USERPROFILE%\AppData\Local\Temp\OnboardLogs"\RTDC4019\*4019*201711172* &gt;&gt; 2017-11-17-SliceDisagreementCheck.txt</v>
      </c>
      <c r="AE19" s="145" t="str">
        <f t="shared" si="8"/>
        <v>start /low /b %USERPROFILE%\Documents\GitHub\eaglep3\Utilities\DownloadLogsFromS3.py --loco 4019 --day 2017-11-17</v>
      </c>
      <c r="AF19" s="1"/>
    </row>
    <row r="20" spans="1:32" x14ac:dyDescent="0.3">
      <c r="A20" s="31">
        <v>43056.171851851854</v>
      </c>
      <c r="B20" s="30" t="s">
        <v>544</v>
      </c>
      <c r="C20" s="30" t="s">
        <v>634</v>
      </c>
      <c r="D20" s="30" t="s">
        <v>49</v>
      </c>
      <c r="E20" s="30" t="s">
        <v>471</v>
      </c>
      <c r="F20" s="42">
        <v>0</v>
      </c>
      <c r="G20" s="42">
        <v>581</v>
      </c>
      <c r="H20" s="42">
        <v>124647</v>
      </c>
      <c r="I20" s="42">
        <v>126846</v>
      </c>
      <c r="J20" s="30" t="s">
        <v>472</v>
      </c>
      <c r="K20" s="42">
        <v>126678</v>
      </c>
      <c r="L20" s="131" t="s">
        <v>50</v>
      </c>
      <c r="M20" s="132">
        <f t="shared" si="0"/>
        <v>-88.703999999999994</v>
      </c>
      <c r="N20" s="133" t="str">
        <f>VLOOKUP(C20,'Trips&amp;Operators'!$C$1:$G$99911,5,FALSE)</f>
        <v>MAELZER KURT</v>
      </c>
      <c r="O20" s="176" t="s">
        <v>349</v>
      </c>
      <c r="P20" s="134" t="s">
        <v>631</v>
      </c>
      <c r="Q20" s="30"/>
      <c r="R20" s="81" t="str">
        <f>VLOOKUP(C20,'Train Runs'!$A$13:$AE$10142,31,0)</f>
        <v>aws s3 cp s3://rtdc.mdm.uploadarchive.raw/RTDC4020/ "%USERPROFILE%\AppData\Local\Temp\OnboardLogs"\RTDC4020\2017-11-17 --exclude "*" --recursive --include "*20171117*" &amp; "%USERPROFILE%\Documents\GitHub\mrs-test-scripts\Headless Mode &amp; Sideloading\WalkAndUnGZ.bat" "%USERPROFILE%\AppData\Local\Temp\OnboardLogs"\RTDC4020\2017-11-17 &amp; aws s3 cp s3://rtdc.mdm.uploadarchive.raw/RTDC4020/ "%USERPROFILE%\AppData\Local\Temp\OnboardLogs"\RTDC4020\2017-11-18 --exclude "*" --recursive --include "*20171118*" &amp; "%USERPROFILE%\Documents\GitHub\mrs-test-scripts\Headless Mode &amp; Sideloading\WalkAndUnGZ.bat" "%USERPROFILE%\AppData\Local\Temp\OnboardLogs"\RTDC4020\2017-11-18</v>
      </c>
      <c r="S20" s="84" t="str">
        <f>VLOOKUP(C20,'Train Runs'!$A$13:$AE$10142,22,0)</f>
        <v>https://d0f6bd738d7f1b3e5a7ca70fe4ff75f0.us-east-1.aws.found.io/app/kibana#/discover/Steve-Slow-Train-Analysis-(2080s-and-2083s)?_g=(refreshInterval:(display:Off,pause:!f,section:0,value:0),time:(from:'2017-11-17T02:38:35-0700',mode:absolute,to:'2017-11-17T05:07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20" s="86" t="str">
        <f t="shared" si="1"/>
        <v>"C:\Program Files (x86)\AstroGrep\AstroGrep.exe" /e /r /s /spath="%USERPROFILE%\AppData\Local\Temp\OnboardLogs" /stypes="*4020*201711171*" /stext=" 11:.+((SYSTEM_STATE.+slice.+state.+changed )|(ment ac)|(multiple cpu faults)|(system.+state.+changed )|(\[timeout)|(PRM\|1\|D)|(kpr)|(kdp)|(train st.+moving)|(\|lc)|(penalty))"</v>
      </c>
      <c r="U20" s="9" t="str">
        <f t="shared" si="2"/>
        <v>4020</v>
      </c>
      <c r="V20" s="31">
        <f t="shared" si="3"/>
        <v>43056.463518518518</v>
      </c>
      <c r="W20" s="45" t="str">
        <f t="shared" si="4"/>
        <v>EC</v>
      </c>
      <c r="X20" s="22">
        <f t="shared" si="5"/>
        <v>103</v>
      </c>
      <c r="Y20" s="96" t="str">
        <f t="shared" si="6"/>
        <v>echo {"issue":{"subject":"Wi-MAX data drop","project_id":79,"tracker_id":40,"status_id":1,"priority_id":2,"assigned_to_id":338,"start_date":"2017-11-17","description":"","custom_fields":[{"id":1,"name":"Subdivision","value":"EC"},{"id":4,"name":"Milepost","value":"12.6678"},{"id":17,"name":"Train ID","value":"103-17"},{"id":16,"name":"Locomotive ID","value":"4020"},{"id":130,"name":"Impact","value":""},{"id":150,"name":"Time of Event (Mountain Time)","value":"04:07:28"},{"id":151,"name":"Denver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0" s="159"/>
      <c r="AA20" s="47"/>
      <c r="AB20" s="47"/>
      <c r="AC20" s="115" t="str">
        <f t="shared" si="7"/>
        <v>grep -hrE -A400 "Enforcement Action" /c/Users/stu/AppData/Local/Temp/OnboardLogs/RTDC4020 --include="*4020*201711171*"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"%USERPROFILE%\AppData\Local\Temp\OnboardLogs"\RTDC4020\*4020*201711171* &gt;&gt; 2017-11-17-SliceDisagreementCheck.txt</v>
      </c>
      <c r="AE20" s="145" t="str">
        <f t="shared" si="8"/>
        <v>start /low /b %USERPROFILE%\Documents\GitHub\eaglep3\Utilities\DownloadLogsFromS3.py --loco 4020 --day 2017-11-17</v>
      </c>
      <c r="AF20" s="1"/>
    </row>
    <row r="21" spans="1:32" x14ac:dyDescent="0.3">
      <c r="A21" s="31">
        <v>43057.004479166666</v>
      </c>
      <c r="B21" s="30" t="s">
        <v>544</v>
      </c>
      <c r="C21" s="30" t="s">
        <v>652</v>
      </c>
      <c r="D21" s="30" t="s">
        <v>49</v>
      </c>
      <c r="E21" s="30" t="s">
        <v>463</v>
      </c>
      <c r="F21" s="42">
        <v>0</v>
      </c>
      <c r="G21" s="42">
        <v>147</v>
      </c>
      <c r="H21" s="42">
        <v>232832</v>
      </c>
      <c r="I21" s="42">
        <v>232991</v>
      </c>
      <c r="J21" s="30" t="s">
        <v>464</v>
      </c>
      <c r="K21" s="42">
        <v>233491</v>
      </c>
      <c r="L21" s="131" t="s">
        <v>50</v>
      </c>
      <c r="M21" s="132">
        <f t="shared" si="0"/>
        <v>264</v>
      </c>
      <c r="N21" s="133" t="str">
        <f>VLOOKUP(C21,'Trips&amp;Operators'!$C$1:$G$99911,5,FALSE)</f>
        <v>DAVIDSON DAVID</v>
      </c>
      <c r="O21" s="176" t="s">
        <v>178</v>
      </c>
      <c r="P21" s="134"/>
      <c r="Q21" s="30"/>
      <c r="R21" s="81" t="str">
        <f>VLOOKUP(C21,'Train Runs'!$A$13:$AE$10142,31,0)</f>
        <v>aws s3 cp s3://rtdc.mdm.uploadarchive.raw/RTDC4020/ "%USERPROFILE%\AppData\Local\Temp\OnboardLogs"\RTDC4020\2017-11-17 --exclude "*" --recursive --include "*20171117*" &amp; "%USERPROFILE%\Documents\GitHub\mrs-test-scripts\Headless Mode &amp; Sideloading\WalkAndUnGZ.bat" "%USERPROFILE%\AppData\Local\Temp\OnboardLogs"\RTDC4020\2017-11-17 &amp; aws s3 cp s3://rtdc.mdm.uploadarchive.raw/RTDC4020/ "%USERPROFILE%\AppData\Local\Temp\OnboardLogs"\RTDC4020\2017-11-18 --exclude "*" --recursive --include "*20171118*" &amp; "%USERPROFILE%\Documents\GitHub\mrs-test-scripts\Headless Mode &amp; Sideloading\WalkAndUnGZ.bat" "%USERPROFILE%\AppData\Local\Temp\OnboardLogs"\RTDC4020\2017-11-18</v>
      </c>
      <c r="S21" s="84" t="str">
        <f>VLOOKUP(C21,'Train Runs'!$A$13:$AE$10142,22,0)</f>
        <v>https://d0f6bd738d7f1b3e5a7ca70fe4ff75f0.us-east-1.aws.found.io/app/kibana#/discover/Steve-Slow-Train-Analysis-(2080s-and-2083s)?_g=(refreshInterval:(display:Off,pause:!f,section:0,value:0),time:(from:'2017-11-17T22:07:50-0700',mode:absolute,to:'2017-11-18T01:06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21" s="86" t="str">
        <f t="shared" si="1"/>
        <v>"C:\Program Files (x86)\AstroGrep\AstroGrep.exe" /e /r /s /spath="%USERPROFILE%\AppData\Local\Temp\OnboardLogs" /stypes="*4020*201711180*" /stext=" 07:.+((SYSTEM_STATE.+slice.+state.+changed )|(ment ac)|(multiple cpu faults)|(system.+state.+changed )|(\[timeout)|(PRM\|1\|D)|(kpr)|(kdp)|(train st.+moving)|(\|lc)|(penalty))"</v>
      </c>
      <c r="U21" s="9" t="str">
        <f t="shared" si="2"/>
        <v>4020</v>
      </c>
      <c r="V21" s="31">
        <f t="shared" si="3"/>
        <v>43057.29614583333</v>
      </c>
      <c r="W21" s="45" t="str">
        <f t="shared" si="4"/>
        <v>EC</v>
      </c>
      <c r="X21" s="22">
        <f t="shared" si="5"/>
        <v>239</v>
      </c>
      <c r="Y21" s="96" t="str">
        <f t="shared" si="6"/>
        <v>echo {"issue":{"subject":"","project_id":79,"tracker_id":40,"status_id":1,"priority_id":2,"assigned_to_id":338,"start_date":"2017-11-18","description":"","custom_fields":[{"id":1,"name":"Subdivision","value":"EC"},{"id":4,"name":"Milepost","value":"23.3491"},{"id":17,"name":"Train ID","value":"239-17"},{"id":16,"name":"Locomotive ID","value":"4020"},{"id":130,"name":"Impact","value":""},{"id":150,"name":"Time of Event (Mountain Time)","value":"00:06:27"},{"id":151,"name":"Denver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1" s="159"/>
      <c r="AA21" s="47"/>
      <c r="AB21" s="47"/>
      <c r="AC21" s="115" t="str">
        <f t="shared" si="7"/>
        <v>grep -hrE -A400 "Enforcement Action" /c/Users/stu/AppData/Local/Temp/OnboardLogs/RTDC4020 --include="*4020*201711180*"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"%USERPROFILE%\AppData\Local\Temp\OnboardLogs"\RTDC4020\*4020*201711180* &gt;&gt; 2017-11-17-SliceDisagreementCheck.txt</v>
      </c>
      <c r="AE21" s="145" t="str">
        <f t="shared" si="8"/>
        <v>start /low /b %USERPROFILE%\Documents\GitHub\eaglep3\Utilities\DownloadLogsFromS3.py --loco 4020 --day 2017-11-18</v>
      </c>
      <c r="AF21" s="1"/>
    </row>
    <row r="22" spans="1:32" x14ac:dyDescent="0.3">
      <c r="A22" s="31">
        <v>43056.423391203702</v>
      </c>
      <c r="B22" s="30" t="s">
        <v>474</v>
      </c>
      <c r="C22" s="30" t="s">
        <v>640</v>
      </c>
      <c r="D22" s="30" t="s">
        <v>49</v>
      </c>
      <c r="E22" s="30" t="s">
        <v>355</v>
      </c>
      <c r="F22" s="42">
        <v>0</v>
      </c>
      <c r="G22" s="42">
        <v>77</v>
      </c>
      <c r="H22" s="42">
        <v>1359</v>
      </c>
      <c r="I22" s="42">
        <v>1450</v>
      </c>
      <c r="J22" s="30" t="s">
        <v>356</v>
      </c>
      <c r="K22" s="42">
        <v>1725</v>
      </c>
      <c r="L22" s="131" t="s">
        <v>50</v>
      </c>
      <c r="M22" s="132">
        <f t="shared" si="0"/>
        <v>145.19999999999999</v>
      </c>
      <c r="N22" s="133" t="str">
        <f>VLOOKUP(C22,'Trips&amp;Operators'!$C$1:$G$99911,5,FALSE)</f>
        <v>BARRON PERLA</v>
      </c>
      <c r="O22" s="176" t="s">
        <v>349</v>
      </c>
      <c r="P22" s="134" t="s">
        <v>630</v>
      </c>
      <c r="Q22" s="30"/>
      <c r="R22" s="81" t="str">
        <f>VLOOKUP(C22,'Train Runs'!$A$13:$AE$10142,31,0)</f>
        <v>aws s3 cp s3://rtdc.mdm.uploadarchive.raw/RTDC4024/ "%USERPROFILE%\AppData\Local\Temp\OnboardLogs"\RTDC4024\2017-11-17 --exclude "*" --recursive --include "*20171117*" &amp; "%USERPROFILE%\Documents\GitHub\mrs-test-scripts\Headless Mode &amp; Sideloading\WalkAndUnGZ.bat" "%USERPROFILE%\AppData\Local\Temp\OnboardLogs"\RTDC4024\2017-11-17 &amp; aws s3 cp s3://rtdc.mdm.uploadarchive.raw/RTDC4024/ "%USERPROFILE%\AppData\Local\Temp\OnboardLogs"\RTDC4024\2017-11-18 --exclude "*" --recursive --include "*20171118*" &amp; "%USERPROFILE%\Documents\GitHub\mrs-test-scripts\Headless Mode &amp; Sideloading\WalkAndUnGZ.bat" "%USERPROFILE%\AppData\Local\Temp\OnboardLogs"\RTDC4024\2017-11-18</v>
      </c>
      <c r="S22" s="84" t="str">
        <f>VLOOKUP(C22,'Train Runs'!$A$13:$AE$10142,22,0)</f>
        <v>https://d0f6bd738d7f1b3e5a7ca70fe4ff75f0.us-east-1.aws.found.io/app/kibana#/discover/Steve-Slow-Train-Analysis-(2080s-and-2083s)?_g=(refreshInterval:(display:Off,pause:!f,section:0,value:0),time:(from:'2017-11-17T08:58:31-0700',mode:absolute,to:'2017-11-17T11:25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T22" s="86" t="str">
        <f t="shared" si="1"/>
        <v>"C:\Program Files (x86)\AstroGrep\AstroGrep.exe" /e /r /s /spath="%USERPROFILE%\AppData\Local\Temp\OnboardLogs" /stypes="*4024*201711171*" /stext=" 17:.+((SYSTEM_STATE.+slice.+state.+changed )|(ment ac)|(multiple cpu faults)|(system.+state.+changed )|(\[timeout)|(PRM\|1\|D)|(kpr)|(kdp)|(train st.+moving)|(\|lc)|(penalty))"</v>
      </c>
      <c r="U22" s="9" t="str">
        <f t="shared" si="2"/>
        <v>4024</v>
      </c>
      <c r="V22" s="31">
        <f t="shared" si="3"/>
        <v>43056.715057870366</v>
      </c>
      <c r="W22" s="45" t="str">
        <f t="shared" si="4"/>
        <v>NW</v>
      </c>
      <c r="X22" s="22">
        <f t="shared" si="5"/>
        <v>815</v>
      </c>
      <c r="Y22" s="96" t="str">
        <f t="shared" si="6"/>
        <v>echo {"issue":{"subject":"Poor GPS at DUS","project_id":79,"tracker_id":40,"status_id":1,"priority_id":2,"assigned_to_id":338,"start_date":"2017-11-17","description":"","custom_fields":[{"id":1,"name":"Subdivision","value":"NW"},{"id":4,"name":"Milepost","value":"0.1725"},{"id":17,"name":"Train ID","value":"815-17"},{"id":16,"name":"Locomotive ID","value":"4024"},{"id":130,"name":"Impact","value":""},{"id":150,"name":"Time of Event (Mountain Time)","value":"10:09:41"},{"id":151,"name":"Denver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2" s="159"/>
      <c r="AA22" s="47"/>
      <c r="AB22" s="47"/>
      <c r="AC22" s="115" t="str">
        <f t="shared" si="7"/>
        <v>grep -hrE -A400 "Enforcement Action" /c/Users/stu/AppData/Local/Temp/OnboardLogs/RTDC4024 --include="*4024*201711171*"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"%USERPROFILE%\AppData\Local\Temp\OnboardLogs"\RTDC4024\*4024*201711171* &gt;&gt; 2017-11-17-SliceDisagreementCheck.txt</v>
      </c>
      <c r="AE22" s="145" t="str">
        <f t="shared" si="8"/>
        <v>start /low /b %USERPROFILE%\Documents\GitHub\eaglep3\Utilities\DownloadLogsFromS3.py --loco 4024 --day 2017-11-17</v>
      </c>
      <c r="AF22" s="1"/>
    </row>
    <row r="23" spans="1:32" x14ac:dyDescent="0.3">
      <c r="A23" s="31">
        <v>43056.454664351855</v>
      </c>
      <c r="B23" s="30" t="s">
        <v>476</v>
      </c>
      <c r="C23" s="30" t="s">
        <v>642</v>
      </c>
      <c r="D23" s="30" t="s">
        <v>49</v>
      </c>
      <c r="E23" s="30" t="s">
        <v>355</v>
      </c>
      <c r="F23" s="42">
        <v>0</v>
      </c>
      <c r="G23" s="42">
        <v>75</v>
      </c>
      <c r="H23" s="42">
        <v>4800</v>
      </c>
      <c r="I23" s="42">
        <v>4694</v>
      </c>
      <c r="J23" s="30" t="s">
        <v>356</v>
      </c>
      <c r="K23" s="42">
        <v>4798</v>
      </c>
      <c r="L23" s="131" t="s">
        <v>51</v>
      </c>
      <c r="M23" s="132">
        <f t="shared" si="0"/>
        <v>-54.911999999999999</v>
      </c>
      <c r="N23" s="133" t="str">
        <f>VLOOKUP(C23,'Trips&amp;Operators'!$C$1:$G$99911,5,FALSE)</f>
        <v>BARRON PERLA</v>
      </c>
      <c r="O23" s="176" t="s">
        <v>349</v>
      </c>
      <c r="P23" s="134" t="s">
        <v>1130</v>
      </c>
      <c r="Q23" s="30"/>
      <c r="R23" s="81" t="str">
        <f>VLOOKUP(C23,'Train Runs'!$A$13:$AE$10142,31,0)</f>
        <v>aws s3 cp s3://rtdc.mdm.uploadarchive.raw/RTDC4023/ "%USERPROFILE%\AppData\Local\Temp\OnboardLogs"\RTDC4023\2017-11-17 --exclude "*" --recursive --include "*20171117*" &amp; "%USERPROFILE%\Documents\GitHub\mrs-test-scripts\Headless Mode &amp; Sideloading\WalkAndUnGZ.bat" "%USERPROFILE%\AppData\Local\Temp\OnboardLogs"\RTDC4023\2017-11-17 &amp; aws s3 cp s3://rtdc.mdm.uploadarchive.raw/RTDC4023/ "%USERPROFILE%\AppData\Local\Temp\OnboardLogs"\RTDC4023\2017-11-18 --exclude "*" --recursive --include "*20171118*" &amp; "%USERPROFILE%\Documents\GitHub\mrs-test-scripts\Headless Mode &amp; Sideloading\WalkAndUnGZ.bat" "%USERPROFILE%\AppData\Local\Temp\OnboardLogs"\RTDC4023\2017-11-18</v>
      </c>
      <c r="S23" s="84" t="str">
        <f>VLOOKUP(C23,'Train Runs'!$A$13:$AE$10142,22,0)</f>
        <v>https://d0f6bd738d7f1b3e5a7ca70fe4ff75f0.us-east-1.aws.found.io/app/kibana#/discover/Steve-Slow-Train-Analysis-(2080s-and-2083s)?_g=(refreshInterval:(display:Off,pause:!f,section:0,value:0),time:(from:'2017-11-17T09:27:34-0700',mode:absolute,to:'2017-11-17T11:55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23" s="86" t="str">
        <f t="shared" si="1"/>
        <v>"C:\Program Files (x86)\AstroGrep\AstroGrep.exe" /e /r /s /spath="%USERPROFILE%\AppData\Local\Temp\OnboardLogs" /stypes="*4023*201711171*" /stext=" 17:.+((SYSTEM_STATE.+slice.+state.+changed )|(ment ac)|(multiple cpu faults)|(system.+state.+changed )|(\[timeout)|(PRM\|1\|D)|(kpr)|(kdp)|(train st.+moving)|(\|lc)|(penalty))"</v>
      </c>
      <c r="U23" s="9" t="str">
        <f t="shared" si="2"/>
        <v>4023</v>
      </c>
      <c r="V23" s="31">
        <f t="shared" si="3"/>
        <v>43056.746331018519</v>
      </c>
      <c r="W23" s="45" t="str">
        <f t="shared" si="4"/>
        <v>NW</v>
      </c>
      <c r="X23" s="22">
        <f t="shared" si="5"/>
        <v>816</v>
      </c>
      <c r="Y23" s="96" t="str">
        <f t="shared" si="6"/>
        <v>echo {"issue":{"subject":"Poor GPS under Wewatta St. overpass","project_id":79,"tracker_id":40,"status_id":1,"priority_id":2,"assigned_to_id":338,"start_date":"2017-11-17","description":"","custom_fields":[{"id":1,"name":"Subdivision","value":"NW"},{"id":4,"name":"Milepost","value":"0.4798"},{"id":17,"name":"Train ID","value":"816-17"},{"id":16,"name":"Locomotive ID","value":"4023"},{"id":130,"name":"Impact","value":""},{"id":150,"name":"Time of Event (Mountain Time)","value":"10:54:43"},{"id":151,"name":"Denver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3" s="159"/>
      <c r="AA23" s="47"/>
      <c r="AB23" s="47"/>
      <c r="AC23" s="115" t="str">
        <f t="shared" si="7"/>
        <v>grep -hrE -A400 "Enforcement Action" /c/Users/stu/AppData/Local/Temp/OnboardLogs/RTDC4023 --include="*4023*201711171*"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"%USERPROFILE%\AppData\Local\Temp\OnboardLogs"\RTDC4023\*4023*201711171* &gt;&gt; 2017-11-17-SliceDisagreementCheck.txt</v>
      </c>
      <c r="AE23" s="145" t="str">
        <f t="shared" si="8"/>
        <v>start /low /b %USERPROFILE%\Documents\GitHub\eaglep3\Utilities\DownloadLogsFromS3.py --loco 4023 --day 2017-11-17</v>
      </c>
      <c r="AF23" s="1"/>
    </row>
    <row r="24" spans="1:32" x14ac:dyDescent="0.3">
      <c r="A24" s="31">
        <v>43056.829513888886</v>
      </c>
      <c r="B24" s="30" t="s">
        <v>476</v>
      </c>
      <c r="C24" s="30" t="s">
        <v>651</v>
      </c>
      <c r="D24" s="30" t="s">
        <v>95</v>
      </c>
      <c r="E24" s="30" t="s">
        <v>355</v>
      </c>
      <c r="F24" s="42">
        <v>0</v>
      </c>
      <c r="G24" s="42">
        <v>6</v>
      </c>
      <c r="H24" s="42">
        <v>4484</v>
      </c>
      <c r="I24" s="42">
        <v>4427</v>
      </c>
      <c r="J24" s="30" t="s">
        <v>356</v>
      </c>
      <c r="K24" s="42">
        <v>4798</v>
      </c>
      <c r="L24" s="131" t="s">
        <v>51</v>
      </c>
      <c r="M24" s="132">
        <f t="shared" si="0"/>
        <v>-195.88800000000001</v>
      </c>
      <c r="N24" s="133" t="str">
        <f>VLOOKUP(C24,'Trips&amp;Operators'!$C$1:$G$99911,5,FALSE)</f>
        <v>BERLING GARY</v>
      </c>
      <c r="O24" s="176" t="s">
        <v>349</v>
      </c>
      <c r="P24" s="244" t="s">
        <v>1130</v>
      </c>
      <c r="Q24" s="30"/>
      <c r="R24" s="81" t="str">
        <f>VLOOKUP(C24,'Train Runs'!$A$13:$AE$10142,31,0)</f>
        <v>aws s3 cp s3://rtdc.mdm.uploadarchive.raw/RTDC4023/ "%USERPROFILE%\AppData\Local\Temp\OnboardLogs"\RTDC4023\2017-11-17 --exclude "*" --recursive --include "*20171117*" &amp; "%USERPROFILE%\Documents\GitHub\mrs-test-scripts\Headless Mode &amp; Sideloading\WalkAndUnGZ.bat" "%USERPROFILE%\AppData\Local\Temp\OnboardLogs"\RTDC4023\2017-11-17 &amp; aws s3 cp s3://rtdc.mdm.uploadarchive.raw/RTDC4023/ "%USERPROFILE%\AppData\Local\Temp\OnboardLogs"\RTDC4023\2017-11-18 --exclude "*" --recursive --include "*20171118*" &amp; "%USERPROFILE%\Documents\GitHub\mrs-test-scripts\Headless Mode &amp; Sideloading\WalkAndUnGZ.bat" "%USERPROFILE%\AppData\Local\Temp\OnboardLogs"\RTDC4023\2017-11-18</v>
      </c>
      <c r="S24" s="84" t="str">
        <f>VLOOKUP(C24,'Train Runs'!$A$13:$AE$10142,22,0)</f>
        <v>https://d0f6bd738d7f1b3e5a7ca70fe4ff75f0.us-east-1.aws.found.io/app/kibana#/discover/Steve-Slow-Train-Analysis-(2080s-and-2083s)?_g=(refreshInterval:(display:Off,pause:!f,section:0,value:0),time:(from:'2017-11-17T18:28:57-0700',mode:absolute,to:'2017-11-17T20:54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24" s="86" t="str">
        <f t="shared" si="1"/>
        <v>"C:\Program Files (x86)\AstroGrep\AstroGrep.exe" /e /r /s /spath="%USERPROFILE%\AppData\Local\Temp\OnboardLogs" /stypes="*4023*201711180*" /stext=" 02:.+((SYSTEM_STATE.+slice.+state.+changed )|(ment ac)|(multiple cpu faults)|(system.+state.+changed )|(\[timeout)|(PRM\|1\|D)|(kpr)|(kdp)|(train st.+moving)|(\|lc)|(penalty))"</v>
      </c>
      <c r="U24" s="9" t="str">
        <f t="shared" si="2"/>
        <v>4023</v>
      </c>
      <c r="V24" s="31">
        <f t="shared" si="3"/>
        <v>43057.12118055555</v>
      </c>
      <c r="W24" s="45" t="str">
        <f t="shared" si="4"/>
        <v>NW</v>
      </c>
      <c r="X24" s="22">
        <f t="shared" si="5"/>
        <v>840</v>
      </c>
      <c r="Y24" s="96" t="str">
        <f t="shared" si="6"/>
        <v>echo {"issue":{"subject":"Poor GPS under Wewatta St. overpass","project_id":79,"tracker_id":40,"status_id":1,"priority_id":2,"assigned_to_id":338,"start_date":"2017-11-17","description":"","custom_fields":[{"id":1,"name":"Subdivision","value":"NW"},{"id":4,"name":"Milepost","value":"0.4798"},{"id":17,"name":"Train ID","value":"840-17"},{"id":16,"name":"Locomotive ID","value":"4023"},{"id":130,"name":"Impact","value":""},{"id":150,"name":"Time of Event (Mountain Time)","value":"19:54:30"},{"id":151,"name":"Denver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4" s="159"/>
      <c r="AA24" s="47"/>
      <c r="AB24" s="47"/>
      <c r="AC24" s="115" t="str">
        <f t="shared" si="7"/>
        <v>grep -hrE -A400 "Enforcement Action" /c/Users/stu/AppData/Local/Temp/OnboardLogs/RTDC4023 --include="*4023*201711180*"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"%USERPROFILE%\AppData\Local\Temp\OnboardLogs"\RTDC4023\*4023*201711180* &gt;&gt; 2017-11-17-SliceDisagreementCheck.txt</v>
      </c>
      <c r="AE24" s="145" t="str">
        <f t="shared" si="8"/>
        <v>start /low /b %USERPROFILE%\Documents\GitHub\eaglep3\Utilities\DownloadLogsFromS3.py --loco 4023 --day 2017-11-18</v>
      </c>
      <c r="AF24" s="1"/>
    </row>
    <row r="25" spans="1:32" x14ac:dyDescent="0.3">
      <c r="A25" s="31">
        <v>43056.42396990741</v>
      </c>
      <c r="B25" s="30" t="s">
        <v>474</v>
      </c>
      <c r="C25" s="30" t="s">
        <v>640</v>
      </c>
      <c r="D25" s="30" t="s">
        <v>49</v>
      </c>
      <c r="E25" s="30" t="s">
        <v>471</v>
      </c>
      <c r="F25" s="42">
        <v>0</v>
      </c>
      <c r="G25" s="42">
        <v>38</v>
      </c>
      <c r="H25" s="42">
        <v>1476</v>
      </c>
      <c r="I25" s="42">
        <v>1522</v>
      </c>
      <c r="J25" s="30" t="s">
        <v>472</v>
      </c>
      <c r="K25" s="42">
        <v>1725</v>
      </c>
      <c r="L25" s="131" t="s">
        <v>50</v>
      </c>
      <c r="M25" s="132">
        <f t="shared" si="0"/>
        <v>107.184</v>
      </c>
      <c r="N25" s="133" t="str">
        <f>VLOOKUP(C25,'Trips&amp;Operators'!$C$1:$G$99911,5,FALSE)</f>
        <v>BARRON PERLA</v>
      </c>
      <c r="O25" s="176" t="s">
        <v>349</v>
      </c>
      <c r="P25" s="134" t="s">
        <v>631</v>
      </c>
      <c r="Q25" s="30"/>
      <c r="R25" s="81" t="str">
        <f>VLOOKUP(C25,'Train Runs'!$A$13:$AE$10142,31,0)</f>
        <v>aws s3 cp s3://rtdc.mdm.uploadarchive.raw/RTDC4024/ "%USERPROFILE%\AppData\Local\Temp\OnboardLogs"\RTDC4024\2017-11-17 --exclude "*" --recursive --include "*20171117*" &amp; "%USERPROFILE%\Documents\GitHub\mrs-test-scripts\Headless Mode &amp; Sideloading\WalkAndUnGZ.bat" "%USERPROFILE%\AppData\Local\Temp\OnboardLogs"\RTDC4024\2017-11-17 &amp; aws s3 cp s3://rtdc.mdm.uploadarchive.raw/RTDC4024/ "%USERPROFILE%\AppData\Local\Temp\OnboardLogs"\RTDC4024\2017-11-18 --exclude "*" --recursive --include "*20171118*" &amp; "%USERPROFILE%\Documents\GitHub\mrs-test-scripts\Headless Mode &amp; Sideloading\WalkAndUnGZ.bat" "%USERPROFILE%\AppData\Local\Temp\OnboardLogs"\RTDC4024\2017-11-18</v>
      </c>
      <c r="S25" s="84" t="str">
        <f>VLOOKUP(C25,'Train Runs'!$A$13:$AE$10142,22,0)</f>
        <v>https://d0f6bd738d7f1b3e5a7ca70fe4ff75f0.us-east-1.aws.found.io/app/kibana#/discover/Steve-Slow-Train-Analysis-(2080s-and-2083s)?_g=(refreshInterval:(display:Off,pause:!f,section:0,value:0),time:(from:'2017-11-17T08:58:31-0700',mode:absolute,to:'2017-11-17T11:25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T25" s="86" t="str">
        <f t="shared" si="1"/>
        <v>"C:\Program Files (x86)\AstroGrep\AstroGrep.exe" /e /r /s /spath="%USERPROFILE%\AppData\Local\Temp\OnboardLogs" /stypes="*4024*201711171*" /stext=" 17:.+((SYSTEM_STATE.+slice.+state.+changed )|(ment ac)|(multiple cpu faults)|(system.+state.+changed )|(\[timeout)|(PRM\|1\|D)|(kpr)|(kdp)|(train st.+moving)|(\|lc)|(penalty))"</v>
      </c>
      <c r="U25" s="9" t="str">
        <f t="shared" si="2"/>
        <v>4024</v>
      </c>
      <c r="V25" s="31">
        <f t="shared" si="3"/>
        <v>43056.715636574074</v>
      </c>
      <c r="W25" s="45" t="str">
        <f t="shared" si="4"/>
        <v>NW</v>
      </c>
      <c r="X25" s="22">
        <f t="shared" si="5"/>
        <v>815</v>
      </c>
      <c r="Y25" s="96" t="str">
        <f t="shared" si="6"/>
        <v>echo {"issue":{"subject":"Wi-MAX data drop","project_id":79,"tracker_id":40,"status_id":1,"priority_id":2,"assigned_to_id":338,"start_date":"2017-11-17","description":"","custom_fields":[{"id":1,"name":"Subdivision","value":"NW"},{"id":4,"name":"Milepost","value":"0.1725"},{"id":17,"name":"Train ID","value":"815-17"},{"id":16,"name":"Locomotive ID","value":"4024"},{"id":130,"name":"Impact","value":""},{"id":150,"name":"Time of Event (Mountain Time)","value":"10:10:31"},{"id":151,"name":"Denver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5" s="159"/>
      <c r="AA25" s="47"/>
      <c r="AB25" s="47"/>
      <c r="AC25" s="115" t="str">
        <f t="shared" si="7"/>
        <v>grep -hrE -A400 "Enforcement Action" /c/Users/stu/AppData/Local/Temp/OnboardLogs/RTDC4024 --include="*4024*201711171*"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"%USERPROFILE%\AppData\Local\Temp\OnboardLogs"\RTDC4024\*4024*201711171* &gt;&gt; 2017-11-17-SliceDisagreementCheck.txt</v>
      </c>
      <c r="AE25" s="145" t="str">
        <f t="shared" si="8"/>
        <v>start /low /b %USERPROFILE%\Documents\GitHub\eaglep3\Utilities\DownloadLogsFromS3.py --loco 4024 --day 2017-11-17</v>
      </c>
      <c r="AF25" s="1"/>
    </row>
    <row r="26" spans="1:32" x14ac:dyDescent="0.3">
      <c r="A26" s="31">
        <v>43056.496365740742</v>
      </c>
      <c r="B26" s="30" t="s">
        <v>476</v>
      </c>
      <c r="C26" s="30" t="s">
        <v>644</v>
      </c>
      <c r="D26" s="30" t="s">
        <v>49</v>
      </c>
      <c r="E26" s="30" t="s">
        <v>463</v>
      </c>
      <c r="F26" s="42">
        <v>0</v>
      </c>
      <c r="G26" s="42">
        <v>151</v>
      </c>
      <c r="H26" s="42">
        <v>1622</v>
      </c>
      <c r="I26" s="42">
        <v>1359</v>
      </c>
      <c r="J26" s="30" t="s">
        <v>464</v>
      </c>
      <c r="K26" s="42">
        <v>575</v>
      </c>
      <c r="L26" s="131" t="s">
        <v>51</v>
      </c>
      <c r="M26" s="132">
        <f t="shared" si="0"/>
        <v>413.952</v>
      </c>
      <c r="N26" s="133" t="str">
        <f>VLOOKUP(C26,'Trips&amp;Operators'!$C$1:$G$99911,5,FALSE)</f>
        <v>BARRON PERLA</v>
      </c>
      <c r="O26" s="176" t="s">
        <v>178</v>
      </c>
      <c r="P26" s="134"/>
      <c r="Q26" s="30"/>
      <c r="R26" s="81" t="str">
        <f>VLOOKUP(C26,'Train Runs'!$A$13:$AE$10142,31,0)</f>
        <v>aws s3 cp s3://rtdc.mdm.uploadarchive.raw/RTDC4023/ "%USERPROFILE%\AppData\Local\Temp\OnboardLogs"\RTDC4023\2017-11-17 --exclude "*" --recursive --include "*20171117*" &amp; "%USERPROFILE%\Documents\GitHub\mrs-test-scripts\Headless Mode &amp; Sideloading\WalkAndUnGZ.bat" "%USERPROFILE%\AppData\Local\Temp\OnboardLogs"\RTDC4023\2017-11-17 &amp; aws s3 cp s3://rtdc.mdm.uploadarchive.raw/RTDC4023/ "%USERPROFILE%\AppData\Local\Temp\OnboardLogs"\RTDC4023\2017-11-18 --exclude "*" --recursive --include "*20171118*" &amp; "%USERPROFILE%\Documents\GitHub\mrs-test-scripts\Headless Mode &amp; Sideloading\WalkAndUnGZ.bat" "%USERPROFILE%\AppData\Local\Temp\OnboardLogs"\RTDC4023\2017-11-18</v>
      </c>
      <c r="S26" s="84" t="str">
        <f>VLOOKUP(C26,'Train Runs'!$A$13:$AE$10142,22,0)</f>
        <v>https://d0f6bd738d7f1b3e5a7ca70fe4ff75f0.us-east-1.aws.found.io/app/kibana#/discover/Steve-Slow-Train-Analysis-(2080s-and-2083s)?_g=(refreshInterval:(display:Off,pause:!f,section:0,value:0),time:(from:'2017-11-17T10:26:53-0700',mode:absolute,to:'2017-11-17T12:54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26" s="86" t="str">
        <f t="shared" si="1"/>
        <v>"C:\Program Files (x86)\AstroGrep\AstroGrep.exe" /e /r /s /spath="%USERPROFILE%\AppData\Local\Temp\OnboardLogs" /stypes="*4023*201711171*" /stext=" 18:.+((SYSTEM_STATE.+slice.+state.+changed )|(ment ac)|(multiple cpu faults)|(system.+state.+changed )|(\[timeout)|(PRM\|1\|D)|(kpr)|(kdp)|(train st.+moving)|(\|lc)|(penalty))"</v>
      </c>
      <c r="U26" s="9" t="str">
        <f t="shared" si="2"/>
        <v>4023</v>
      </c>
      <c r="V26" s="31">
        <f t="shared" si="3"/>
        <v>43056.788032407407</v>
      </c>
      <c r="W26" s="45" t="str">
        <f t="shared" si="4"/>
        <v>NW</v>
      </c>
      <c r="X26" s="22">
        <f t="shared" si="5"/>
        <v>818</v>
      </c>
      <c r="Y26" s="96" t="str">
        <f t="shared" si="6"/>
        <v>echo {"issue":{"subject":"","project_id":79,"tracker_id":40,"status_id":1,"priority_id":2,"assigned_to_id":338,"start_date":"2017-11-17","description":"","custom_fields":[{"id":1,"name":"Subdivision","value":"NW"},{"id":4,"name":"Milepost","value":"0.0575"},{"id":17,"name":"Train ID","value":"818-17"},{"id":16,"name":"Locomotive ID","value":"4023"},{"id":130,"name":"Impact","value":""},{"id":150,"name":"Time of Event (Mountain Time)","value":"11:54:46"},{"id":151,"name":"Denver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6" s="159"/>
      <c r="AA26" s="47"/>
      <c r="AB26" s="47"/>
      <c r="AC26" s="115" t="str">
        <f t="shared" si="7"/>
        <v>grep -hrE -A400 "Enforcement Action" /c/Users/stu/AppData/Local/Temp/OnboardLogs/RTDC4023 --include="*4023*201711171*"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"%USERPROFILE%\AppData\Local\Temp\OnboardLogs"\RTDC4023\*4023*201711171* &gt;&gt; 2017-11-17-SliceDisagreementCheck.txt</v>
      </c>
      <c r="AE26" s="145" t="str">
        <f t="shared" si="8"/>
        <v>start /low /b %USERPROFILE%\Documents\GitHub\eaglep3\Utilities\DownloadLogsFromS3.py --loco 4023 --day 2017-11-17</v>
      </c>
      <c r="AF26" s="1"/>
    </row>
    <row r="27" spans="1:32" x14ac:dyDescent="0.3">
      <c r="A27" s="31">
        <v>43057.056307870371</v>
      </c>
      <c r="B27" s="30" t="s">
        <v>544</v>
      </c>
      <c r="C27" s="30" t="s">
        <v>653</v>
      </c>
      <c r="D27" s="30" t="s">
        <v>95</v>
      </c>
      <c r="E27" s="30" t="s">
        <v>355</v>
      </c>
      <c r="F27" s="42">
        <v>0</v>
      </c>
      <c r="G27" s="42">
        <v>113</v>
      </c>
      <c r="H27" s="42">
        <v>22440</v>
      </c>
      <c r="I27" s="42">
        <v>22606</v>
      </c>
      <c r="J27" s="30" t="s">
        <v>356</v>
      </c>
      <c r="K27" s="42">
        <v>22314</v>
      </c>
      <c r="L27" s="131" t="s">
        <v>50</v>
      </c>
      <c r="M27" s="132">
        <f t="shared" si="0"/>
        <v>-154.17599999999999</v>
      </c>
      <c r="N27" s="133" t="str">
        <f>VLOOKUP(C27,'Trips&amp;Operators'!$C$1:$G$99911,5,FALSE)</f>
        <v>DAVIDSON DAVID</v>
      </c>
      <c r="O27" s="176" t="s">
        <v>178</v>
      </c>
      <c r="P27" s="134"/>
      <c r="Q27" s="30"/>
      <c r="R27" s="81" t="str">
        <f>VLOOKUP(C27,'Train Runs'!$A$13:$AE$10142,31,0)</f>
        <v>aws s3 cp s3://rtdc.mdm.uploadarchive.raw/RTDC4020/ "%USERPROFILE%\AppData\Local\Temp\OnboardLogs"\RTDC4020\2017-11-18 --exclude "*" --recursive --include "*20171118*" &amp; "%USERPROFILE%\Documents\GitHub\mrs-test-scripts\Headless Mode &amp; Sideloading\WalkAndUnGZ.bat" "%USERPROFILE%\AppData\Local\Temp\OnboardLogs"\RTDC4020\2017-11-18 &amp; aws s3 cp s3://rtdc.mdm.uploadarchive.raw/RTDC4020/ "%USERPROFILE%\AppData\Local\Temp\OnboardLogs"\RTDC4020\2017-11-19 --exclude "*" --recursive --include "*20171119*" &amp; "%USERPROFILE%\Documents\GitHub\mrs-test-scripts\Headless Mode &amp; Sideloading\WalkAndUnGZ.bat" "%USERPROFILE%\AppData\Local\Temp\OnboardLogs"\RTDC4020\2017-11-19</v>
      </c>
      <c r="S27" s="84" t="str">
        <f>VLOOKUP(C27,'Train Runs'!$A$13:$AE$10142,22,0)</f>
        <v>https://d0f6bd738d7f1b3e5a7ca70fe4ff75f0.us-east-1.aws.found.io/app/kibana#/discover/Steve-Slow-Train-Analysis-(2080s-and-2083s)?_g=(refreshInterval:(display:Off,pause:!f,section:0,value:0),time:(from:'2017-11-18T00:08:29-0700',mode:absolute,to:'2017-11-18T02:21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27" s="86" t="str">
        <f t="shared" si="1"/>
        <v>"C:\Program Files (x86)\AstroGrep\AstroGrep.exe" /e /r /s /spath="%USERPROFILE%\AppData\Local\Temp\OnboardLogs" /stypes="*4020*201711180*" /stext=" 08:.+((SYSTEM_STATE.+slice.+state.+changed )|(ment ac)|(multiple cpu faults)|(system.+state.+changed )|(\[timeout)|(PRM\|1\|D)|(kpr)|(kdp)|(train st.+moving)|(\|lc)|(penalty))"</v>
      </c>
      <c r="U27" s="9" t="str">
        <f t="shared" si="2"/>
        <v>4020</v>
      </c>
      <c r="V27" s="31">
        <f t="shared" si="3"/>
        <v>43057.347974537035</v>
      </c>
      <c r="W27" s="45" t="str">
        <f t="shared" si="4"/>
        <v>Other</v>
      </c>
      <c r="X27" s="22">
        <f t="shared" si="5"/>
        <v>307</v>
      </c>
      <c r="Y27" s="96" t="str">
        <f t="shared" si="6"/>
        <v>echo {"issue":{"subject":"","project_id":79,"tracker_id":40,"status_id":1,"priority_id":2,"assigned_to_id":338,"start_date":"2017-11-18","description":"","custom_fields":[{"id":1,"name":"Subdivision","value":"Other"},{"id":4,"name":"Milepost","value":"2.2314"},{"id":17,"name":"Train ID","value":"307-17"},{"id":16,"name":"Locomotive ID","value":"4020"},{"id":130,"name":"Impact","value":""},{"id":150,"name":"Time of Event (Mountain Time)","value":"01:21:05"},{"id":151,"name":"Denver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7" s="159"/>
      <c r="AA27" s="47"/>
      <c r="AB27" s="47"/>
      <c r="AC27" s="115" t="str">
        <f t="shared" si="7"/>
        <v>grep -hrE -A400 "Enforcement Action" /c/Users/stu/AppData/Local/Temp/OnboardLogs/RTDC4020 --include="*4020*201711180*"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"%USERPROFILE%\AppData\Local\Temp\OnboardLogs"\RTDC4020\*4020*201711180* &gt;&gt; 2017-11-17-SliceDisagreementCheck.txt</v>
      </c>
      <c r="AE27" s="145" t="str">
        <f t="shared" si="8"/>
        <v>start /low /b %USERPROFILE%\Documents\GitHub\eaglep3\Utilities\DownloadLogsFromS3.py --loco 4020 --day 2017-11-18</v>
      </c>
      <c r="AF27" s="1"/>
    </row>
    <row r="28" spans="1:32" x14ac:dyDescent="0.3">
      <c r="A28" s="31">
        <v>43057.05672453704</v>
      </c>
      <c r="B28" s="30" t="s">
        <v>544</v>
      </c>
      <c r="C28" s="30" t="s">
        <v>653</v>
      </c>
      <c r="D28" s="30" t="s">
        <v>95</v>
      </c>
      <c r="E28" s="30" t="s">
        <v>355</v>
      </c>
      <c r="F28" s="42">
        <v>0</v>
      </c>
      <c r="G28" s="42">
        <v>8</v>
      </c>
      <c r="H28" s="42">
        <v>22616</v>
      </c>
      <c r="I28" s="42">
        <v>22684</v>
      </c>
      <c r="J28" s="30" t="s">
        <v>356</v>
      </c>
      <c r="K28" s="42">
        <v>22314</v>
      </c>
      <c r="L28" s="131" t="s">
        <v>50</v>
      </c>
      <c r="M28" s="132">
        <f t="shared" si="0"/>
        <v>-195.36</v>
      </c>
      <c r="N28" s="133" t="str">
        <f>VLOOKUP(C28,'Trips&amp;Operators'!$C$1:$G$99911,5,FALSE)</f>
        <v>DAVIDSON DAVID</v>
      </c>
      <c r="O28" s="176" t="s">
        <v>178</v>
      </c>
      <c r="P28" s="134"/>
      <c r="Q28" s="30"/>
      <c r="R28" s="81" t="str">
        <f>VLOOKUP(C28,'Train Runs'!$A$13:$AE$10142,31,0)</f>
        <v>aws s3 cp s3://rtdc.mdm.uploadarchive.raw/RTDC4020/ "%USERPROFILE%\AppData\Local\Temp\OnboardLogs"\RTDC4020\2017-11-18 --exclude "*" --recursive --include "*20171118*" &amp; "%USERPROFILE%\Documents\GitHub\mrs-test-scripts\Headless Mode &amp; Sideloading\WalkAndUnGZ.bat" "%USERPROFILE%\AppData\Local\Temp\OnboardLogs"\RTDC4020\2017-11-18 &amp; aws s3 cp s3://rtdc.mdm.uploadarchive.raw/RTDC4020/ "%USERPROFILE%\AppData\Local\Temp\OnboardLogs"\RTDC4020\2017-11-19 --exclude "*" --recursive --include "*20171119*" &amp; "%USERPROFILE%\Documents\GitHub\mrs-test-scripts\Headless Mode &amp; Sideloading\WalkAndUnGZ.bat" "%USERPROFILE%\AppData\Local\Temp\OnboardLogs"\RTDC4020\2017-11-19</v>
      </c>
      <c r="S28" s="84" t="str">
        <f>VLOOKUP(C28,'Train Runs'!$A$13:$AE$10142,22,0)</f>
        <v>https://d0f6bd738d7f1b3e5a7ca70fe4ff75f0.us-east-1.aws.found.io/app/kibana#/discover/Steve-Slow-Train-Analysis-(2080s-and-2083s)?_g=(refreshInterval:(display:Off,pause:!f,section:0,value:0),time:(from:'2017-11-18T00:08:29-0700',mode:absolute,to:'2017-11-18T02:21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28" s="86" t="str">
        <f t="shared" si="1"/>
        <v>"C:\Program Files (x86)\AstroGrep\AstroGrep.exe" /e /r /s /spath="%USERPROFILE%\AppData\Local\Temp\OnboardLogs" /stypes="*4020*201711180*" /stext=" 08:.+((SYSTEM_STATE.+slice.+state.+changed )|(ment ac)|(multiple cpu faults)|(system.+state.+changed )|(\[timeout)|(PRM\|1\|D)|(kpr)|(kdp)|(train st.+moving)|(\|lc)|(penalty))"</v>
      </c>
      <c r="U28" s="9" t="str">
        <f t="shared" si="2"/>
        <v>4020</v>
      </c>
      <c r="V28" s="31">
        <f t="shared" si="3"/>
        <v>43057.348391203705</v>
      </c>
      <c r="W28" s="45" t="str">
        <f t="shared" si="4"/>
        <v>Other</v>
      </c>
      <c r="X28" s="22">
        <f t="shared" si="5"/>
        <v>307</v>
      </c>
      <c r="Y28" s="96" t="str">
        <f t="shared" si="6"/>
        <v>echo {"issue":{"subject":"","project_id":79,"tracker_id":40,"status_id":1,"priority_id":2,"assigned_to_id":338,"start_date":"2017-11-18","description":"","custom_fields":[{"id":1,"name":"Subdivision","value":"Other"},{"id":4,"name":"Milepost","value":"2.2314"},{"id":17,"name":"Train ID","value":"307-17"},{"id":16,"name":"Locomotive ID","value":"4020"},{"id":130,"name":"Impact","value":""},{"id":150,"name":"Time of Event (Mountain Time)","value":"01:21:41"},{"id":151,"name":"Denver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8" s="159"/>
      <c r="AA28" s="47"/>
      <c r="AB28" s="47"/>
      <c r="AC28" s="115" t="str">
        <f t="shared" si="7"/>
        <v>grep -hrE -A400 "Enforcement Action" /c/Users/stu/AppData/Local/Temp/OnboardLogs/RTDC4020 --include="*4020*201711180*"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"%USERPROFILE%\AppData\Local\Temp\OnboardLogs"\RTDC4020\*4020*201711180* &gt;&gt; 2017-11-17-SliceDisagreementCheck.txt</v>
      </c>
      <c r="AE28" s="145" t="str">
        <f t="shared" si="8"/>
        <v>start /low /b %USERPROFILE%\Documents\GitHub\eaglep3\Utilities\DownloadLogsFromS3.py --loco 4020 --day 2017-11-18</v>
      </c>
      <c r="AF28" s="1"/>
    </row>
  </sheetData>
  <autoFilter ref="A6:AC20">
    <sortState ref="A7:AC28">
      <sortCondition ref="W7:W28"/>
      <sortCondition ref="E7:E28"/>
      <sortCondition ref="K7:K28"/>
      <sortCondition ref="F7:F28"/>
    </sortState>
  </autoFilter>
  <sortState ref="A7:AE19">
    <sortCondition ref="W7:W19"/>
    <sortCondition ref="E7:E19"/>
    <sortCondition ref="K7:K19"/>
    <sortCondition ref="C7:C19"/>
    <sortCondition ref="F7:F19"/>
  </sortState>
  <mergeCells count="1">
    <mergeCell ref="A5:O5"/>
  </mergeCells>
  <conditionalFormatting sqref="O6:P6 R6 O7:O1048576">
    <cfRule type="cellIs" dxfId="3" priority="42" operator="equal">
      <formula>"Y"</formula>
    </cfRule>
  </conditionalFormatting>
  <conditionalFormatting sqref="O2:O3">
    <cfRule type="cellIs" dxfId="2" priority="33" operator="equal">
      <formula>"Y"</formula>
    </cfRule>
  </conditionalFormatting>
  <conditionalFormatting sqref="A7:P28">
    <cfRule type="expression" dxfId="1" priority="26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350520</xdr:colOff>
                    <xdr:row>1</xdr:row>
                    <xdr:rowOff>30480</xdr:rowOff>
                  </from>
                  <to>
                    <xdr:col>15</xdr:col>
                    <xdr:colOff>1150620</xdr:colOff>
                    <xdr:row>3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AA7:AA28</xm:sqref>
        </x14:dataValidation>
        <x14:dataValidation type="list" allowBlank="1" showInputMessage="1" showErrorMessage="1">
          <x14:formula1>
            <xm:f>'Redmine List Values'!$C$2:$C$15</xm:f>
          </x14:formula1>
          <xm:sqref>AB7:AB28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>
      <selection activeCell="A4" sqref="A4"/>
    </sheetView>
  </sheetViews>
  <sheetFormatPr defaultRowHeight="14.4" x14ac:dyDescent="0.3"/>
  <cols>
    <col min="1" max="1" width="8" style="196" customWidth="1"/>
    <col min="2" max="2" width="9.109375" style="2" customWidth="1"/>
    <col min="3" max="3" width="8" style="88" bestFit="1" customWidth="1"/>
    <col min="4" max="4" width="11.33203125" style="139" bestFit="1" customWidth="1"/>
    <col min="5" max="5" width="50.88671875" bestFit="1" customWidth="1"/>
    <col min="6" max="6" width="20.44140625" bestFit="1" customWidth="1"/>
    <col min="7" max="7" width="13.5546875" customWidth="1"/>
    <col min="8" max="8" width="14.6640625" customWidth="1"/>
    <col min="9" max="9" width="9.109375" style="189" customWidth="1"/>
    <col min="10" max="10" width="9.109375" customWidth="1"/>
  </cols>
  <sheetData>
    <row r="1" spans="1:10" s="20" customFormat="1" x14ac:dyDescent="0.3">
      <c r="A1" s="196"/>
      <c r="B1" s="227" t="str">
        <f>"Trips that did not appear in PTC Data "&amp;TEXT(Variables!$A$2,"YYYY-mm-dd")</f>
        <v>Trips that did not appear in PTC Data 2017-11-17</v>
      </c>
      <c r="C1" s="227"/>
      <c r="D1" s="227"/>
      <c r="E1" s="227"/>
      <c r="F1" s="227"/>
      <c r="I1" s="189"/>
    </row>
    <row r="2" spans="1:10" s="23" customFormat="1" ht="43.2" x14ac:dyDescent="0.3">
      <c r="A2" s="224" t="s">
        <v>146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90" t="s">
        <v>101</v>
      </c>
      <c r="J2" s="28" t="s">
        <v>60</v>
      </c>
    </row>
    <row r="3" spans="1:10" x14ac:dyDescent="0.3">
      <c r="A3" s="198"/>
      <c r="B3" s="42" t="str">
        <f>A3&amp;"-"&amp;IF(DAY(Variables!$A$2)&lt;10,0,"")&amp;DAY(Variables!$A$2)</f>
        <v>-17</v>
      </c>
      <c r="C3" s="135"/>
      <c r="D3" s="225" t="e">
        <f>VLOOKUP(B3,'Trips&amp;Operators'!$C$1:$H$1072,6,FALSE)</f>
        <v>#N/A</v>
      </c>
      <c r="E3" s="30"/>
      <c r="F3" s="21" t="e">
        <f>VLOOKUP(B3,'Trips&amp;Operators'!$C$2:$E$9912,3,FALSE)</f>
        <v>#N/A</v>
      </c>
      <c r="G3" s="21" t="e">
        <f>VLOOKUP(B3,'Trips&amp;Operators'!$C$1:$F$9912,4,FALSE)</f>
        <v>#N/A</v>
      </c>
      <c r="H3" s="29" t="e">
        <f>VLOOKUP(B3,'Trips&amp;Operators'!$C$1:$H$9912,5,FALSE)</f>
        <v>#N/A</v>
      </c>
      <c r="I3" s="191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3" s="30" t="e">
        <f>VLOOKUP(B3,'Train Runs'!$A$13:$A$100139,1,FALSE)</f>
        <v>#N/A</v>
      </c>
    </row>
    <row r="4" spans="1:10" x14ac:dyDescent="0.3">
      <c r="A4" s="198"/>
      <c r="B4" s="42" t="str">
        <f>A4&amp;"-"&amp;IF(DAY(Variables!$A$2)&lt;10,0,"")&amp;DAY(Variables!$A$2)</f>
        <v>-17</v>
      </c>
      <c r="C4" s="135"/>
      <c r="D4" s="153" t="e">
        <f>VLOOKUP(B4,'Trips&amp;Operators'!$C$1:$H$1072,6,FALSE)</f>
        <v>#N/A</v>
      </c>
      <c r="E4" s="30"/>
      <c r="F4" s="21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4" s="30" t="e">
        <f>VLOOKUP(B4,'Train Runs'!$A$13:$A$100139,1,FALSE)</f>
        <v>#N/A</v>
      </c>
    </row>
    <row r="5" spans="1:10" x14ac:dyDescent="0.3">
      <c r="A5" s="198"/>
      <c r="B5" s="42" t="str">
        <f>A5&amp;"-"&amp;IF(DAY(Variables!$A$2)&lt;10,0,"")&amp;DAY(Variables!$A$2)</f>
        <v>-17</v>
      </c>
      <c r="C5" s="135"/>
      <c r="D5" s="153" t="e">
        <f>VLOOKUP(B5,'Trips&amp;Operators'!$C$1:$H$1072,6,FALSE)</f>
        <v>#N/A</v>
      </c>
      <c r="E5" s="30"/>
      <c r="F5" s="21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5" s="30" t="e">
        <f>VLOOKUP(B5,'Train Runs'!$A$13:$A$100139,1,FALSE)</f>
        <v>#N/A</v>
      </c>
    </row>
    <row r="6" spans="1:10" x14ac:dyDescent="0.3">
      <c r="A6" s="198"/>
      <c r="B6" s="42" t="str">
        <f>A6&amp;"-"&amp;IF(DAY(Variables!$A$2)&lt;10,0,"")&amp;DAY(Variables!$A$2)</f>
        <v>-17</v>
      </c>
      <c r="C6" s="135"/>
      <c r="D6" s="153" t="e">
        <f>VLOOKUP(B6,'Trips&amp;Operators'!$C$1:$H$1072,6,FALSE)</f>
        <v>#N/A</v>
      </c>
      <c r="E6" s="30"/>
      <c r="F6" s="21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6" s="30" t="e">
        <f>VLOOKUP(B6,'Train Runs'!$A$13:$A$100139,1,FALSE)</f>
        <v>#N/A</v>
      </c>
    </row>
    <row r="7" spans="1:10" x14ac:dyDescent="0.3">
      <c r="A7" s="198"/>
      <c r="B7" s="42" t="str">
        <f>A7&amp;"-"&amp;IF(DAY(Variables!$A$2)&lt;10,0,"")&amp;DAY(Variables!$A$2)</f>
        <v>-17</v>
      </c>
      <c r="C7" s="135"/>
      <c r="D7" s="153" t="e">
        <f>VLOOKUP(B7,'Trips&amp;Operators'!$C$1:$H$1072,6,FALSE)</f>
        <v>#N/A</v>
      </c>
      <c r="E7" s="30"/>
      <c r="F7" s="21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7" s="30" t="e">
        <f>VLOOKUP(B7,'Train Runs'!$A$13:$A$100139,1,FALSE)</f>
        <v>#N/A</v>
      </c>
    </row>
    <row r="8" spans="1:10" x14ac:dyDescent="0.3">
      <c r="A8" s="198"/>
      <c r="B8" s="42" t="str">
        <f>A8&amp;"-"&amp;IF(DAY(Variables!$A$2)&lt;10,0,"")&amp;DAY(Variables!$A$2)</f>
        <v>-17</v>
      </c>
      <c r="C8" s="135"/>
      <c r="D8" s="153" t="e">
        <f>VLOOKUP(B8,'Trips&amp;Operators'!$C$1:$H$1072,6,FALSE)</f>
        <v>#N/A</v>
      </c>
      <c r="E8" s="30"/>
      <c r="F8" s="21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8" s="30" t="e">
        <f>VLOOKUP(B8,'Train Runs'!$A$13:$A$100139,1,FALSE)</f>
        <v>#N/A</v>
      </c>
    </row>
    <row r="9" spans="1:10" x14ac:dyDescent="0.3">
      <c r="A9" s="198"/>
      <c r="B9" s="42" t="str">
        <f>A9&amp;"-"&amp;IF(DAY(Variables!$A$2)&lt;10,0,"")&amp;DAY(Variables!$A$2)</f>
        <v>-17</v>
      </c>
      <c r="C9" s="135"/>
      <c r="D9" s="153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9" s="30" t="e">
        <f>VLOOKUP(B9,'Train Runs'!$A$13:$A$100139,1,FALSE)</f>
        <v>#N/A</v>
      </c>
    </row>
    <row r="10" spans="1:10" x14ac:dyDescent="0.3">
      <c r="A10" s="198"/>
      <c r="B10" s="42" t="str">
        <f>A10&amp;"-"&amp;IF(DAY(Variables!$A$2)&lt;10,0,"")&amp;DAY(Variables!$A$2)</f>
        <v>-17</v>
      </c>
      <c r="C10" s="135"/>
      <c r="D10" s="153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0" s="30" t="e">
        <f>VLOOKUP(B10,'Train Runs'!$A$13:$A$100139,1,FALSE)</f>
        <v>#N/A</v>
      </c>
    </row>
    <row r="11" spans="1:10" x14ac:dyDescent="0.3">
      <c r="A11" s="198"/>
      <c r="B11" s="42" t="str">
        <f>A11&amp;"-"&amp;IF(DAY(Variables!$A$2)&lt;10,0,"")&amp;DAY(Variables!$A$2)</f>
        <v>-17</v>
      </c>
      <c r="C11" s="135"/>
      <c r="D11" s="153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1" s="30" t="e">
        <f>VLOOKUP(B11,'Train Runs'!$A$13:$A$100139,1,FALSE)</f>
        <v>#N/A</v>
      </c>
    </row>
    <row r="12" spans="1:10" x14ac:dyDescent="0.3">
      <c r="A12" s="198"/>
      <c r="B12" s="42" t="str">
        <f>A12&amp;"-"&amp;IF(DAY(Variables!$A$2)&lt;10,0,"")&amp;DAY(Variables!$A$2)</f>
        <v>-17</v>
      </c>
      <c r="C12" s="135"/>
      <c r="D12" s="153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2" s="30" t="e">
        <f>VLOOKUP(B12,'Train Runs'!$A$13:$A$100139,1,FALSE)</f>
        <v>#N/A</v>
      </c>
    </row>
    <row r="13" spans="1:10" x14ac:dyDescent="0.3">
      <c r="A13" s="198"/>
      <c r="B13" s="42" t="str">
        <f>A13&amp;"-"&amp;IF(DAY(Variables!$A$2)&lt;10,0,"")&amp;DAY(Variables!$A$2)</f>
        <v>-17</v>
      </c>
      <c r="C13" s="135"/>
      <c r="D13" s="153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3" s="30" t="e">
        <f>VLOOKUP(B13,'Train Runs'!$A$13:$A$100139,1,FALSE)</f>
        <v>#N/A</v>
      </c>
    </row>
    <row r="14" spans="1:10" x14ac:dyDescent="0.3">
      <c r="A14" s="198"/>
      <c r="B14" s="42" t="str">
        <f>A14&amp;"-"&amp;IF(DAY(Variables!$A$2)&lt;10,0,"")&amp;DAY(Variables!$A$2)</f>
        <v>-17</v>
      </c>
      <c r="C14" s="135"/>
      <c r="D14" s="153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4" s="30" t="e">
        <f>VLOOKUP(B14,'Train Runs'!$A$13:$A$100139,1,FALSE)</f>
        <v>#N/A</v>
      </c>
    </row>
    <row r="15" spans="1:10" x14ac:dyDescent="0.3">
      <c r="A15" s="198"/>
      <c r="B15" s="42" t="str">
        <f>A15&amp;"-"&amp;IF(DAY(Variables!$A$2)&lt;10,0,"")&amp;DAY(Variables!$A$2)</f>
        <v>-17</v>
      </c>
      <c r="C15" s="135"/>
      <c r="D15" s="153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5" s="30" t="e">
        <f>VLOOKUP(B15,'Train Runs'!$A$13:$A$100139,1,FALSE)</f>
        <v>#N/A</v>
      </c>
    </row>
    <row r="16" spans="1:10" x14ac:dyDescent="0.3">
      <c r="A16" s="198"/>
      <c r="B16" s="42" t="str">
        <f>A16&amp;"-"&amp;IF(DAY(Variables!$A$2)&lt;10,0,"")&amp;DAY(Variables!$A$2)</f>
        <v>-17</v>
      </c>
      <c r="C16" s="135"/>
      <c r="D16" s="153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6" s="30" t="e">
        <f>VLOOKUP(B16,'Train Runs'!$A$13:$A$100139,1,FALSE)</f>
        <v>#N/A</v>
      </c>
    </row>
    <row r="17" spans="1:10" x14ac:dyDescent="0.3">
      <c r="A17" s="198"/>
      <c r="B17" s="42" t="str">
        <f>A17&amp;"-"&amp;IF(DAY(Variables!$A$2)&lt;10,0,"")&amp;DAY(Variables!$A$2)</f>
        <v>-17</v>
      </c>
      <c r="C17" s="135"/>
      <c r="D17" s="153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7" s="30" t="e">
        <f>VLOOKUP(B17,'Train Runs'!$A$13:$A$100139,1,FALSE)</f>
        <v>#N/A</v>
      </c>
    </row>
    <row r="18" spans="1:10" x14ac:dyDescent="0.3">
      <c r="A18" s="198"/>
      <c r="B18" s="42" t="str">
        <f>A18&amp;"-"&amp;IF(DAY(Variables!$A$2)&lt;10,0,"")&amp;DAY(Variables!$A$2)</f>
        <v>-17</v>
      </c>
      <c r="C18" s="135"/>
      <c r="D18" s="153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8" s="30" t="e">
        <f>VLOOKUP(B18,'Train Runs'!$A$13:$A$100139,1,FALSE)</f>
        <v>#N/A</v>
      </c>
    </row>
    <row r="19" spans="1:10" x14ac:dyDescent="0.3">
      <c r="A19" s="198"/>
      <c r="B19" s="42"/>
      <c r="C19" s="135"/>
      <c r="D19" s="153"/>
      <c r="E19" s="30"/>
      <c r="F19" s="21"/>
      <c r="G19" s="21"/>
      <c r="H19" s="29"/>
      <c r="I19" s="191"/>
      <c r="J19" s="30"/>
    </row>
    <row r="20" spans="1:10" x14ac:dyDescent="0.3">
      <c r="A20" s="198"/>
      <c r="B20" s="42"/>
      <c r="C20" s="135"/>
      <c r="D20" s="153"/>
      <c r="E20" s="30"/>
      <c r="F20" s="21"/>
      <c r="G20" s="21"/>
      <c r="H20" s="29"/>
      <c r="I20" s="191"/>
      <c r="J20" s="30"/>
    </row>
    <row r="21" spans="1:10" x14ac:dyDescent="0.3">
      <c r="A21" s="198"/>
      <c r="B21" s="42"/>
      <c r="C21" s="135"/>
      <c r="D21" s="153"/>
      <c r="E21" s="30"/>
      <c r="F21" s="21"/>
      <c r="G21" s="21"/>
      <c r="H21" s="29"/>
      <c r="I21" s="191"/>
      <c r="J21" s="30"/>
    </row>
    <row r="22" spans="1:10" x14ac:dyDescent="0.3">
      <c r="A22" s="198"/>
      <c r="B22" s="42"/>
      <c r="C22" s="135"/>
      <c r="D22" s="153"/>
      <c r="E22" s="30"/>
      <c r="F22" s="21"/>
      <c r="G22" s="21"/>
      <c r="H22" s="29"/>
      <c r="I22" s="191"/>
      <c r="J22" s="30"/>
    </row>
    <row r="23" spans="1:10" x14ac:dyDescent="0.3">
      <c r="A23" s="198"/>
      <c r="B23" s="42"/>
      <c r="C23" s="135"/>
      <c r="D23" s="153"/>
      <c r="E23" s="30"/>
      <c r="F23" s="21"/>
      <c r="G23" s="21"/>
      <c r="H23" s="29"/>
      <c r="I23" s="191"/>
      <c r="J23" s="30"/>
    </row>
    <row r="24" spans="1:10" x14ac:dyDescent="0.3">
      <c r="A24" s="198"/>
      <c r="B24" s="42"/>
      <c r="C24" s="135"/>
      <c r="D24" s="153"/>
      <c r="E24" s="30"/>
      <c r="F24" s="21"/>
      <c r="G24" s="21"/>
      <c r="H24" s="29"/>
      <c r="I24" s="191"/>
      <c r="J24" s="30"/>
    </row>
    <row r="25" spans="1:10" x14ac:dyDescent="0.3">
      <c r="A25" s="198"/>
      <c r="B25" s="42"/>
      <c r="C25" s="135"/>
      <c r="D25" s="153"/>
      <c r="E25" s="30"/>
      <c r="F25" s="21"/>
      <c r="G25" s="21"/>
      <c r="H25" s="29"/>
      <c r="I25" s="191"/>
      <c r="J25" s="30"/>
    </row>
    <row r="26" spans="1:10" x14ac:dyDescent="0.3">
      <c r="A26" s="198"/>
      <c r="B26" s="42"/>
      <c r="C26" s="135"/>
      <c r="D26" s="153"/>
      <c r="E26" s="30"/>
      <c r="F26" s="21"/>
      <c r="G26" s="21"/>
      <c r="H26" s="29"/>
      <c r="I26" s="191"/>
      <c r="J26" s="30"/>
    </row>
    <row r="27" spans="1:10" x14ac:dyDescent="0.3">
      <c r="A27" s="198"/>
      <c r="B27" s="42"/>
      <c r="C27" s="135"/>
      <c r="D27" s="153"/>
      <c r="E27" s="30"/>
      <c r="F27" s="21"/>
      <c r="G27" s="21"/>
      <c r="H27" s="29"/>
      <c r="I27" s="191"/>
      <c r="J27" s="30"/>
    </row>
    <row r="28" spans="1:10" x14ac:dyDescent="0.3">
      <c r="A28" s="198"/>
      <c r="B28" s="42"/>
      <c r="C28" s="135"/>
      <c r="D28" s="153"/>
      <c r="E28" s="30"/>
      <c r="F28" s="21"/>
      <c r="G28" s="21"/>
      <c r="H28" s="29"/>
      <c r="I28" s="191"/>
      <c r="J28" s="30"/>
    </row>
    <row r="29" spans="1:10" x14ac:dyDescent="0.3">
      <c r="A29" s="198"/>
      <c r="B29" s="42"/>
      <c r="C29" s="135"/>
      <c r="D29" s="153"/>
      <c r="E29" s="30"/>
      <c r="F29" s="21"/>
      <c r="G29" s="21"/>
      <c r="H29" s="29"/>
      <c r="I29" s="191"/>
      <c r="J29" s="30"/>
    </row>
    <row r="30" spans="1:10" x14ac:dyDescent="0.3">
      <c r="A30" s="198"/>
      <c r="B30" s="42"/>
      <c r="C30" s="135"/>
      <c r="D30" s="153"/>
      <c r="E30" s="30"/>
      <c r="F30" s="21"/>
      <c r="G30" s="21"/>
      <c r="H30" s="29"/>
      <c r="I30" s="191"/>
      <c r="J30" s="30"/>
    </row>
    <row r="31" spans="1:10" x14ac:dyDescent="0.3">
      <c r="A31" s="198"/>
      <c r="B31" s="42"/>
      <c r="C31" s="135"/>
      <c r="D31" s="153"/>
      <c r="E31" s="30"/>
      <c r="F31" s="21"/>
      <c r="G31" s="21"/>
      <c r="H31" s="29"/>
      <c r="I31" s="191"/>
      <c r="J31" s="30"/>
    </row>
    <row r="32" spans="1:10" x14ac:dyDescent="0.3">
      <c r="A32" s="198"/>
      <c r="B32" s="42"/>
      <c r="C32" s="135"/>
      <c r="D32" s="153"/>
      <c r="E32" s="30"/>
      <c r="F32" s="21"/>
      <c r="G32" s="21"/>
      <c r="H32" s="29"/>
      <c r="I32" s="191"/>
      <c r="J32" s="30"/>
    </row>
    <row r="33" spans="1:10" x14ac:dyDescent="0.3">
      <c r="A33" s="198"/>
      <c r="B33" s="42"/>
      <c r="C33" s="135"/>
      <c r="D33" s="153"/>
      <c r="E33" s="30"/>
      <c r="F33" s="21"/>
      <c r="G33" s="21"/>
      <c r="H33" s="29"/>
      <c r="I33" s="191"/>
      <c r="J33" s="30"/>
    </row>
    <row r="34" spans="1:10" x14ac:dyDescent="0.3">
      <c r="A34" s="198"/>
      <c r="B34" s="42"/>
      <c r="C34" s="135"/>
      <c r="D34" s="153"/>
      <c r="E34" s="30"/>
      <c r="F34" s="21"/>
      <c r="G34" s="21"/>
      <c r="H34" s="29"/>
      <c r="I34" s="191"/>
      <c r="J34" s="30"/>
    </row>
    <row r="35" spans="1:10" x14ac:dyDescent="0.3">
      <c r="A35" s="198"/>
      <c r="B35" s="42"/>
      <c r="C35" s="135"/>
      <c r="D35" s="153"/>
      <c r="E35" s="30"/>
      <c r="F35" s="21"/>
      <c r="G35" s="21"/>
      <c r="H35" s="29"/>
      <c r="I35" s="191"/>
      <c r="J35" s="30"/>
    </row>
    <row r="36" spans="1:10" x14ac:dyDescent="0.3">
      <c r="A36" s="198"/>
      <c r="B36" s="42"/>
      <c r="C36" s="135"/>
      <c r="D36" s="153"/>
      <c r="E36" s="30"/>
      <c r="F36" s="21"/>
      <c r="G36" s="21"/>
      <c r="H36" s="29"/>
      <c r="I36" s="191"/>
      <c r="J36" s="30"/>
    </row>
    <row r="37" spans="1:10" x14ac:dyDescent="0.3">
      <c r="A37" s="198"/>
      <c r="B37" s="42"/>
      <c r="C37" s="135"/>
      <c r="D37" s="153"/>
      <c r="E37" s="30"/>
      <c r="F37" s="21"/>
      <c r="G37" s="21"/>
      <c r="H37" s="29"/>
      <c r="I37" s="191"/>
      <c r="J37" s="30"/>
    </row>
    <row r="38" spans="1:10" x14ac:dyDescent="0.3">
      <c r="A38" s="198"/>
      <c r="B38" s="42"/>
      <c r="C38" s="135"/>
      <c r="D38" s="153"/>
      <c r="E38" s="30"/>
      <c r="F38" s="21"/>
      <c r="G38" s="21"/>
      <c r="H38" s="29"/>
      <c r="I38" s="191"/>
      <c r="J38" s="30"/>
    </row>
    <row r="39" spans="1:10" x14ac:dyDescent="0.3">
      <c r="A39" s="198"/>
      <c r="B39" s="42"/>
      <c r="C39" s="135"/>
      <c r="D39" s="153"/>
      <c r="E39" s="30"/>
      <c r="F39" s="21"/>
      <c r="G39" s="21"/>
      <c r="H39" s="29"/>
      <c r="I39" s="191"/>
      <c r="J39" s="30"/>
    </row>
    <row r="40" spans="1:10" x14ac:dyDescent="0.3">
      <c r="A40" s="198"/>
      <c r="B40" s="42"/>
      <c r="C40" s="135"/>
      <c r="D40" s="153"/>
      <c r="E40" s="30"/>
      <c r="F40" s="21"/>
      <c r="G40" s="21"/>
      <c r="H40" s="29"/>
      <c r="I40" s="191"/>
      <c r="J40" s="30"/>
    </row>
    <row r="41" spans="1:10" x14ac:dyDescent="0.3">
      <c r="A41" s="198"/>
      <c r="B41" s="42"/>
      <c r="C41" s="135"/>
      <c r="D41" s="153"/>
      <c r="E41" s="30"/>
      <c r="F41" s="21"/>
      <c r="G41" s="21"/>
      <c r="H41" s="29"/>
      <c r="I41" s="191"/>
      <c r="J41" s="30"/>
    </row>
    <row r="42" spans="1:10" x14ac:dyDescent="0.3">
      <c r="A42" s="198"/>
      <c r="B42" s="42"/>
      <c r="C42" s="135"/>
      <c r="D42" s="153"/>
      <c r="E42" s="30"/>
      <c r="F42" s="21"/>
      <c r="G42" s="21"/>
      <c r="H42" s="29"/>
      <c r="I42" s="191"/>
      <c r="J42" s="30"/>
    </row>
    <row r="43" spans="1:10" x14ac:dyDescent="0.3">
      <c r="A43" s="198"/>
      <c r="B43" s="42"/>
      <c r="C43" s="135"/>
      <c r="D43" s="153"/>
      <c r="E43" s="30"/>
      <c r="F43" s="21"/>
      <c r="G43" s="21"/>
      <c r="H43" s="29"/>
      <c r="I43" s="191"/>
      <c r="J43" s="30"/>
    </row>
    <row r="44" spans="1:10" x14ac:dyDescent="0.3">
      <c r="A44" s="198"/>
      <c r="B44" s="42"/>
      <c r="C44" s="135"/>
      <c r="D44" s="153"/>
      <c r="E44" s="30"/>
      <c r="F44" s="21"/>
      <c r="G44" s="21"/>
      <c r="H44" s="29"/>
      <c r="I44" s="191"/>
      <c r="J44" s="30"/>
    </row>
    <row r="45" spans="1:10" x14ac:dyDescent="0.3">
      <c r="A45" s="198"/>
      <c r="B45" s="42"/>
      <c r="C45" s="135"/>
      <c r="D45" s="153"/>
      <c r="E45" s="30"/>
      <c r="F45" s="21"/>
      <c r="G45" s="21"/>
      <c r="H45" s="29"/>
      <c r="I45" s="191"/>
      <c r="J45" s="30"/>
    </row>
    <row r="46" spans="1:10" x14ac:dyDescent="0.3">
      <c r="A46" s="198"/>
      <c r="B46" s="42"/>
      <c r="C46" s="135"/>
      <c r="D46" s="153"/>
      <c r="E46" s="30"/>
      <c r="F46" s="21"/>
      <c r="G46" s="21"/>
      <c r="H46" s="29"/>
      <c r="I46" s="191"/>
      <c r="J46" s="30"/>
    </row>
    <row r="47" spans="1:10" x14ac:dyDescent="0.3">
      <c r="A47" s="198"/>
      <c r="B47" s="42"/>
      <c r="C47" s="135"/>
      <c r="D47" s="153"/>
      <c r="E47" s="30"/>
      <c r="F47" s="21"/>
      <c r="G47" s="21"/>
      <c r="H47" s="29"/>
      <c r="I47" s="191"/>
      <c r="J47" s="30"/>
    </row>
    <row r="48" spans="1:10" x14ac:dyDescent="0.3">
      <c r="A48" s="198"/>
      <c r="B48" s="42"/>
      <c r="C48" s="135"/>
      <c r="D48" s="153"/>
      <c r="E48" s="30"/>
      <c r="F48" s="21"/>
      <c r="G48" s="21"/>
      <c r="H48" s="29"/>
      <c r="I48" s="191"/>
      <c r="J48" s="30"/>
    </row>
    <row r="49" spans="1:10" x14ac:dyDescent="0.3">
      <c r="A49" s="198"/>
      <c r="B49" s="42"/>
      <c r="C49" s="135"/>
      <c r="D49" s="153"/>
      <c r="E49" s="30"/>
      <c r="F49" s="21"/>
      <c r="G49" s="21"/>
      <c r="H49" s="29"/>
      <c r="I49" s="191"/>
      <c r="J49" s="30"/>
    </row>
    <row r="50" spans="1:10" x14ac:dyDescent="0.3">
      <c r="A50" s="198"/>
      <c r="B50" s="42"/>
      <c r="C50" s="135"/>
      <c r="D50" s="153"/>
      <c r="E50" s="30"/>
      <c r="F50" s="21"/>
      <c r="G50" s="21"/>
      <c r="H50" s="29"/>
      <c r="I50" s="191"/>
      <c r="J50" s="30"/>
    </row>
    <row r="51" spans="1:10" x14ac:dyDescent="0.3">
      <c r="A51" s="198"/>
      <c r="B51" s="42"/>
      <c r="C51" s="135"/>
      <c r="D51" s="153"/>
      <c r="E51" s="30"/>
      <c r="F51" s="21"/>
      <c r="G51" s="21"/>
      <c r="H51" s="29"/>
      <c r="I51" s="191"/>
      <c r="J51" s="30"/>
    </row>
    <row r="52" spans="1:10" x14ac:dyDescent="0.3">
      <c r="A52" s="198"/>
      <c r="B52" s="42"/>
      <c r="C52" s="135"/>
      <c r="D52" s="153"/>
      <c r="E52" s="30"/>
      <c r="F52" s="21"/>
      <c r="G52" s="21"/>
      <c r="H52" s="29"/>
      <c r="I52" s="191"/>
      <c r="J52" s="30"/>
    </row>
    <row r="53" spans="1:10" x14ac:dyDescent="0.3">
      <c r="A53" s="198"/>
      <c r="B53" s="42"/>
      <c r="C53" s="135"/>
      <c r="D53" s="153"/>
      <c r="E53" s="30"/>
      <c r="F53" s="21"/>
      <c r="G53" s="21"/>
      <c r="H53" s="29"/>
      <c r="I53" s="191"/>
      <c r="J53" s="30"/>
    </row>
    <row r="54" spans="1:10" x14ac:dyDescent="0.3">
      <c r="A54" s="198"/>
      <c r="B54" s="42"/>
      <c r="C54" s="135"/>
      <c r="D54" s="153"/>
      <c r="E54" s="30"/>
      <c r="F54" s="21"/>
      <c r="G54" s="21"/>
      <c r="H54" s="29"/>
      <c r="I54" s="191"/>
      <c r="J54" s="30"/>
    </row>
    <row r="55" spans="1:10" x14ac:dyDescent="0.3">
      <c r="A55" s="198"/>
      <c r="B55" s="42"/>
      <c r="C55" s="135"/>
      <c r="D55" s="153"/>
      <c r="E55" s="30"/>
      <c r="F55" s="21"/>
      <c r="G55" s="21"/>
      <c r="H55" s="29"/>
      <c r="I55" s="191"/>
      <c r="J55" s="30"/>
    </row>
    <row r="56" spans="1:10" x14ac:dyDescent="0.3">
      <c r="A56" s="198"/>
      <c r="B56" s="42"/>
      <c r="C56" s="135"/>
      <c r="D56" s="153"/>
      <c r="E56" s="30"/>
      <c r="F56" s="21"/>
      <c r="G56" s="21"/>
      <c r="H56" s="29"/>
      <c r="I56" s="191"/>
      <c r="J56" s="30"/>
    </row>
    <row r="57" spans="1:10" x14ac:dyDescent="0.3">
      <c r="A57" s="198"/>
      <c r="B57" s="42"/>
      <c r="C57" s="135"/>
      <c r="D57" s="153"/>
      <c r="E57" s="30"/>
      <c r="F57" s="21"/>
      <c r="G57" s="21"/>
      <c r="H57" s="29"/>
      <c r="I57" s="191"/>
      <c r="J57" s="30"/>
    </row>
    <row r="58" spans="1:10" x14ac:dyDescent="0.3">
      <c r="A58" s="198"/>
      <c r="B58" s="42"/>
      <c r="C58" s="135"/>
      <c r="D58" s="153"/>
      <c r="E58" s="30"/>
      <c r="F58" s="21"/>
      <c r="G58" s="21"/>
      <c r="H58" s="29"/>
      <c r="I58" s="191"/>
      <c r="J58" s="30"/>
    </row>
    <row r="59" spans="1:10" x14ac:dyDescent="0.3">
      <c r="A59" s="198"/>
      <c r="B59" s="42"/>
      <c r="C59" s="135"/>
      <c r="D59" s="153"/>
      <c r="E59" s="30"/>
      <c r="F59" s="21"/>
      <c r="G59" s="21"/>
      <c r="H59" s="29"/>
      <c r="I59" s="191"/>
      <c r="J59" s="30"/>
    </row>
    <row r="60" spans="1:10" x14ac:dyDescent="0.3">
      <c r="A60" s="198"/>
      <c r="B60" s="42"/>
      <c r="C60" s="135"/>
      <c r="D60" s="153"/>
      <c r="E60" s="30"/>
      <c r="F60" s="21"/>
      <c r="G60" s="21"/>
      <c r="H60" s="29"/>
      <c r="I60" s="191"/>
      <c r="J60" s="30"/>
    </row>
    <row r="61" spans="1:10" x14ac:dyDescent="0.3">
      <c r="A61" s="198"/>
      <c r="B61" s="42"/>
      <c r="C61" s="135"/>
      <c r="D61" s="153"/>
      <c r="E61" s="30"/>
      <c r="F61" s="21"/>
      <c r="G61" s="21"/>
      <c r="H61" s="29"/>
      <c r="I61" s="191"/>
      <c r="J61" s="30"/>
    </row>
    <row r="62" spans="1:10" x14ac:dyDescent="0.3">
      <c r="A62" s="198"/>
      <c r="B62" s="42"/>
      <c r="C62" s="135"/>
      <c r="D62" s="153"/>
      <c r="E62" s="30"/>
      <c r="F62" s="21"/>
      <c r="G62" s="21"/>
      <c r="H62" s="29"/>
      <c r="I62" s="191"/>
      <c r="J62" s="30"/>
    </row>
    <row r="63" spans="1:10" x14ac:dyDescent="0.3">
      <c r="A63" s="198"/>
      <c r="B63" s="42"/>
      <c r="C63" s="135"/>
      <c r="D63" s="153"/>
      <c r="E63" s="30"/>
      <c r="F63" s="21"/>
      <c r="G63" s="21"/>
      <c r="H63" s="29"/>
      <c r="I63" s="191"/>
      <c r="J63" s="30"/>
    </row>
    <row r="64" spans="1:10" x14ac:dyDescent="0.3">
      <c r="A64" s="198"/>
      <c r="B64" s="42"/>
      <c r="C64" s="135"/>
      <c r="D64" s="153"/>
      <c r="E64" s="30"/>
      <c r="F64" s="21"/>
      <c r="G64" s="21"/>
      <c r="H64" s="29"/>
      <c r="I64" s="191"/>
      <c r="J64" s="30"/>
    </row>
    <row r="65" spans="1:10" x14ac:dyDescent="0.3">
      <c r="A65" s="198"/>
      <c r="B65" s="42"/>
      <c r="C65" s="135"/>
      <c r="D65" s="153"/>
      <c r="E65" s="30"/>
      <c r="F65" s="21"/>
      <c r="G65" s="21"/>
      <c r="H65" s="29"/>
      <c r="I65" s="191"/>
      <c r="J65" s="30"/>
    </row>
    <row r="66" spans="1:10" x14ac:dyDescent="0.3">
      <c r="A66" s="198"/>
      <c r="B66" s="42"/>
      <c r="C66" s="135"/>
      <c r="D66" s="153"/>
      <c r="E66" s="30"/>
      <c r="F66" s="21"/>
      <c r="G66" s="21"/>
      <c r="H66" s="29"/>
      <c r="I66" s="191"/>
      <c r="J66" s="30"/>
    </row>
    <row r="67" spans="1:10" x14ac:dyDescent="0.3">
      <c r="A67" s="198"/>
      <c r="B67" s="42"/>
      <c r="C67" s="135"/>
      <c r="D67" s="153"/>
      <c r="E67" s="30"/>
      <c r="F67" s="21"/>
      <c r="G67" s="21"/>
      <c r="H67" s="29"/>
      <c r="I67" s="191"/>
      <c r="J67" s="30"/>
    </row>
    <row r="68" spans="1:10" x14ac:dyDescent="0.3">
      <c r="A68" s="198"/>
      <c r="B68" s="42"/>
      <c r="C68" s="135"/>
      <c r="D68" s="153"/>
      <c r="E68" s="30"/>
      <c r="F68" s="21"/>
      <c r="G68" s="21"/>
      <c r="H68" s="29"/>
      <c r="I68" s="191"/>
      <c r="J68" s="30"/>
    </row>
    <row r="69" spans="1:10" x14ac:dyDescent="0.3">
      <c r="A69" s="198"/>
      <c r="B69" s="42"/>
      <c r="C69" s="135"/>
      <c r="D69" s="153"/>
      <c r="E69" s="30"/>
      <c r="F69" s="21"/>
      <c r="G69" s="21"/>
      <c r="H69" s="29"/>
      <c r="I69" s="191"/>
      <c r="J69" s="30"/>
    </row>
    <row r="70" spans="1:10" x14ac:dyDescent="0.3">
      <c r="A70" s="198"/>
      <c r="B70" s="42"/>
      <c r="C70" s="135"/>
      <c r="D70" s="153"/>
      <c r="E70" s="30"/>
      <c r="F70" s="21"/>
      <c r="G70" s="21"/>
      <c r="H70" s="29"/>
      <c r="I70" s="191"/>
      <c r="J70" s="30"/>
    </row>
    <row r="71" spans="1:10" x14ac:dyDescent="0.3">
      <c r="A71" s="198"/>
      <c r="B71" s="42"/>
      <c r="C71" s="135"/>
      <c r="D71" s="153"/>
      <c r="E71" s="30"/>
      <c r="F71" s="21"/>
      <c r="G71" s="21"/>
      <c r="H71" s="29"/>
      <c r="I71" s="191"/>
      <c r="J71" s="30"/>
    </row>
    <row r="72" spans="1:10" x14ac:dyDescent="0.3">
      <c r="A72" s="198"/>
      <c r="B72" s="42"/>
      <c r="C72" s="135"/>
      <c r="D72" s="153"/>
      <c r="E72" s="30"/>
      <c r="F72" s="21"/>
      <c r="G72" s="21"/>
      <c r="H72" s="29"/>
      <c r="I72" s="191"/>
      <c r="J72" s="30"/>
    </row>
    <row r="73" spans="1:10" x14ac:dyDescent="0.3">
      <c r="A73" s="198"/>
      <c r="B73" s="42"/>
      <c r="C73" s="135"/>
      <c r="D73" s="153"/>
      <c r="E73" s="30"/>
      <c r="F73" s="21"/>
      <c r="G73" s="21"/>
      <c r="H73" s="29"/>
      <c r="I73" s="191"/>
      <c r="J73" s="30"/>
    </row>
    <row r="74" spans="1:10" x14ac:dyDescent="0.3">
      <c r="A74" s="198"/>
      <c r="B74" s="42"/>
      <c r="C74" s="135"/>
      <c r="D74" s="153"/>
      <c r="E74" s="30"/>
      <c r="F74" s="21"/>
      <c r="G74" s="21"/>
      <c r="H74" s="29"/>
      <c r="I74" s="191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313"/>
  <sheetViews>
    <sheetView topLeftCell="A104" workbookViewId="0">
      <selection sqref="A1:F256"/>
    </sheetView>
  </sheetViews>
  <sheetFormatPr defaultRowHeight="14.4" x14ac:dyDescent="0.3"/>
  <cols>
    <col min="1" max="1" width="18.33203125" style="8" bestFit="1" customWidth="1"/>
    <col min="2" max="2" width="17" bestFit="1" customWidth="1"/>
    <col min="3" max="3" width="10.109375" bestFit="1" customWidth="1"/>
    <col min="4" max="4" width="9.33203125" style="138" customWidth="1"/>
    <col min="5" max="5" width="19.6640625" bestFit="1" customWidth="1"/>
    <col min="6" max="6" width="17" style="20" bestFit="1" customWidth="1"/>
    <col min="7" max="7" width="18.33203125" style="8" bestFit="1" customWidth="1"/>
  </cols>
  <sheetData>
    <row r="1" spans="1:8" s="20" customFormat="1" x14ac:dyDescent="0.3">
      <c r="A1" s="8" t="s">
        <v>168</v>
      </c>
      <c r="B1" s="20" t="s">
        <v>169</v>
      </c>
      <c r="C1" s="20" t="s">
        <v>0</v>
      </c>
      <c r="D1" s="138" t="s">
        <v>170</v>
      </c>
      <c r="E1" s="20" t="s">
        <v>171</v>
      </c>
      <c r="F1" s="20" t="s">
        <v>186</v>
      </c>
      <c r="G1" s="8" t="s">
        <v>185</v>
      </c>
      <c r="H1" s="20" t="s">
        <v>60</v>
      </c>
    </row>
    <row r="2" spans="1:8" x14ac:dyDescent="0.3">
      <c r="A2" s="8">
        <v>43056.04855324074</v>
      </c>
      <c r="B2" s="20" t="s">
        <v>357</v>
      </c>
      <c r="C2" s="20" t="s">
        <v>654</v>
      </c>
      <c r="D2" s="138">
        <v>890000</v>
      </c>
      <c r="E2" s="20" t="s">
        <v>345</v>
      </c>
      <c r="F2" s="20" t="s">
        <v>346</v>
      </c>
      <c r="G2" s="8" t="str">
        <f>E2&amp;" "&amp;F2</f>
        <v>LOZA FIDEL</v>
      </c>
      <c r="H2" t="str">
        <f>MID(B2,13,4)</f>
        <v>4008</v>
      </c>
    </row>
    <row r="3" spans="1:8" x14ac:dyDescent="0.3">
      <c r="A3" s="8">
        <v>43056.053668981483</v>
      </c>
      <c r="B3" s="20" t="s">
        <v>363</v>
      </c>
      <c r="C3" s="20" t="s">
        <v>655</v>
      </c>
      <c r="D3" s="138">
        <v>3320000</v>
      </c>
      <c r="E3" s="20" t="s">
        <v>364</v>
      </c>
      <c r="F3" s="20" t="s">
        <v>365</v>
      </c>
      <c r="G3" s="8" t="str">
        <f t="shared" ref="G3:G66" si="0">E3&amp;" "&amp;F3</f>
        <v>NICHOLSON WESLEY</v>
      </c>
      <c r="H3" s="20" t="str">
        <f t="shared" ref="H3:H66" si="1">MID(B3,13,4)</f>
        <v>4017</v>
      </c>
    </row>
    <row r="4" spans="1:8" x14ac:dyDescent="0.3">
      <c r="A4" s="8">
        <v>43056.066157407404</v>
      </c>
      <c r="B4" s="20" t="s">
        <v>475</v>
      </c>
      <c r="C4" s="20" t="s">
        <v>656</v>
      </c>
      <c r="D4" s="138">
        <v>3340000</v>
      </c>
      <c r="E4" s="20" t="s">
        <v>507</v>
      </c>
      <c r="F4" s="20" t="s">
        <v>508</v>
      </c>
      <c r="G4" s="8" t="str">
        <f t="shared" si="0"/>
        <v>ELBAUM MIKE</v>
      </c>
      <c r="H4" s="20" t="str">
        <f t="shared" si="1"/>
        <v>4004</v>
      </c>
    </row>
    <row r="5" spans="1:8" x14ac:dyDescent="0.3">
      <c r="A5" s="8">
        <v>43056.091493055559</v>
      </c>
      <c r="B5" s="20" t="s">
        <v>361</v>
      </c>
      <c r="C5" s="20" t="s">
        <v>657</v>
      </c>
      <c r="D5" s="138">
        <v>3320000</v>
      </c>
      <c r="E5" s="20" t="s">
        <v>364</v>
      </c>
      <c r="F5" s="20" t="s">
        <v>365</v>
      </c>
      <c r="G5" s="8" t="str">
        <f t="shared" si="0"/>
        <v>NICHOLSON WESLEY</v>
      </c>
      <c r="H5" s="20" t="str">
        <f t="shared" si="1"/>
        <v>4018</v>
      </c>
    </row>
    <row r="6" spans="1:8" x14ac:dyDescent="0.3">
      <c r="A6" s="8">
        <v>43056.112928240742</v>
      </c>
      <c r="B6" s="20" t="s">
        <v>451</v>
      </c>
      <c r="C6" s="20" t="s">
        <v>658</v>
      </c>
      <c r="D6" s="138">
        <v>1830000</v>
      </c>
      <c r="E6" s="20" t="s">
        <v>347</v>
      </c>
      <c r="F6" s="20" t="s">
        <v>348</v>
      </c>
      <c r="G6" s="8" t="str">
        <f t="shared" si="0"/>
        <v>YORK EDGAR</v>
      </c>
      <c r="H6" s="20" t="str">
        <f t="shared" si="1"/>
        <v>4009</v>
      </c>
    </row>
    <row r="7" spans="1:8" x14ac:dyDescent="0.3">
      <c r="A7" s="8">
        <v>43056.12945601852</v>
      </c>
      <c r="B7" s="20" t="s">
        <v>452</v>
      </c>
      <c r="C7" s="20" t="s">
        <v>659</v>
      </c>
      <c r="D7" s="138">
        <v>1090000</v>
      </c>
      <c r="E7" s="20" t="s">
        <v>547</v>
      </c>
      <c r="F7" s="20" t="s">
        <v>353</v>
      </c>
      <c r="G7" s="8" t="str">
        <f t="shared" si="0"/>
        <v>SPECTOR MICHAEL</v>
      </c>
      <c r="H7" s="20" t="str">
        <f t="shared" si="1"/>
        <v>4010</v>
      </c>
    </row>
    <row r="8" spans="1:8" x14ac:dyDescent="0.3">
      <c r="A8" s="8">
        <v>43056.130752314813</v>
      </c>
      <c r="B8" s="20" t="s">
        <v>632</v>
      </c>
      <c r="C8" s="20" t="s">
        <v>633</v>
      </c>
      <c r="D8" s="138">
        <v>1830000</v>
      </c>
      <c r="E8" s="20" t="s">
        <v>347</v>
      </c>
      <c r="F8" s="20" t="s">
        <v>348</v>
      </c>
      <c r="G8" s="8" t="str">
        <f t="shared" si="0"/>
        <v>YORK EDGAR</v>
      </c>
      <c r="H8" s="20" t="str">
        <f t="shared" si="1"/>
        <v>4066</v>
      </c>
    </row>
    <row r="9" spans="1:8" ht="15" thickBot="1" x14ac:dyDescent="0.35">
      <c r="A9" s="24">
        <v>43056.139664351853</v>
      </c>
      <c r="B9" s="20" t="s">
        <v>542</v>
      </c>
      <c r="C9" s="20" t="s">
        <v>660</v>
      </c>
      <c r="D9" s="138">
        <v>2010000</v>
      </c>
      <c r="E9" s="20" t="s">
        <v>509</v>
      </c>
      <c r="F9" s="20" t="s">
        <v>510</v>
      </c>
      <c r="G9" s="8" t="str">
        <f t="shared" si="0"/>
        <v>MAELZER KURT</v>
      </c>
      <c r="H9" s="20" t="str">
        <f t="shared" si="1"/>
        <v>4019</v>
      </c>
    </row>
    <row r="10" spans="1:8" x14ac:dyDescent="0.3">
      <c r="A10" s="8">
        <v>43056.139687499999</v>
      </c>
      <c r="B10" s="20" t="s">
        <v>632</v>
      </c>
      <c r="C10" s="20" t="s">
        <v>633</v>
      </c>
      <c r="D10" s="138">
        <v>1830000</v>
      </c>
      <c r="E10" s="20" t="s">
        <v>347</v>
      </c>
      <c r="F10" s="20" t="s">
        <v>348</v>
      </c>
      <c r="G10" s="8" t="str">
        <f t="shared" si="0"/>
        <v>YORK EDGAR</v>
      </c>
      <c r="H10" s="20" t="str">
        <f t="shared" si="1"/>
        <v>4066</v>
      </c>
    </row>
    <row r="11" spans="1:8" x14ac:dyDescent="0.3">
      <c r="A11" s="8">
        <v>43056.140914351854</v>
      </c>
      <c r="B11" s="20" t="s">
        <v>451</v>
      </c>
      <c r="C11" s="20" t="s">
        <v>661</v>
      </c>
      <c r="D11" s="138">
        <v>1090000</v>
      </c>
      <c r="E11" s="20" t="s">
        <v>547</v>
      </c>
      <c r="F11" s="20" t="s">
        <v>353</v>
      </c>
      <c r="G11" s="8" t="str">
        <f t="shared" si="0"/>
        <v>SPECTOR MICHAEL</v>
      </c>
      <c r="H11" s="20" t="str">
        <f t="shared" si="1"/>
        <v>4009</v>
      </c>
    </row>
    <row r="12" spans="1:8" x14ac:dyDescent="0.3">
      <c r="A12" s="8">
        <v>43056.152268518519</v>
      </c>
      <c r="B12" s="20" t="s">
        <v>544</v>
      </c>
      <c r="C12" s="20" t="s">
        <v>634</v>
      </c>
      <c r="D12" s="138">
        <v>2010000</v>
      </c>
      <c r="E12" s="20" t="s">
        <v>509</v>
      </c>
      <c r="F12" s="20" t="s">
        <v>510</v>
      </c>
      <c r="G12" s="8" t="str">
        <f t="shared" si="0"/>
        <v>MAELZER KURT</v>
      </c>
      <c r="H12" s="20" t="str">
        <f t="shared" si="1"/>
        <v>4020</v>
      </c>
    </row>
    <row r="13" spans="1:8" x14ac:dyDescent="0.3">
      <c r="A13" s="8">
        <v>43056.161979166667</v>
      </c>
      <c r="B13" s="20" t="s">
        <v>368</v>
      </c>
      <c r="C13" s="20" t="s">
        <v>662</v>
      </c>
      <c r="D13" s="138">
        <v>3700000</v>
      </c>
      <c r="E13" s="20" t="s">
        <v>459</v>
      </c>
      <c r="F13" s="20" t="s">
        <v>371</v>
      </c>
      <c r="G13" s="8" t="str">
        <f t="shared" si="0"/>
        <v>AUSTIN THOMPSON</v>
      </c>
      <c r="H13" s="20" t="str">
        <f t="shared" si="1"/>
        <v>4035</v>
      </c>
    </row>
    <row r="14" spans="1:8" x14ac:dyDescent="0.3">
      <c r="A14" s="8">
        <v>43056.16238425926</v>
      </c>
      <c r="B14" s="20" t="s">
        <v>561</v>
      </c>
      <c r="C14" s="20" t="s">
        <v>663</v>
      </c>
      <c r="D14" s="138">
        <v>1830000</v>
      </c>
      <c r="E14" s="20" t="s">
        <v>347</v>
      </c>
      <c r="F14" s="20" t="s">
        <v>348</v>
      </c>
      <c r="G14" s="8" t="str">
        <f t="shared" si="0"/>
        <v>YORK EDGAR</v>
      </c>
      <c r="H14" s="20" t="str">
        <f t="shared" si="1"/>
        <v>4065</v>
      </c>
    </row>
    <row r="15" spans="1:8" x14ac:dyDescent="0.3">
      <c r="A15" s="8">
        <v>43056.163148148145</v>
      </c>
      <c r="B15" s="20" t="s">
        <v>368</v>
      </c>
      <c r="C15" s="20" t="s">
        <v>662</v>
      </c>
      <c r="D15" s="138">
        <v>3700000</v>
      </c>
      <c r="E15" s="20" t="s">
        <v>459</v>
      </c>
      <c r="F15" s="20" t="s">
        <v>371</v>
      </c>
      <c r="G15" s="8" t="str">
        <f t="shared" si="0"/>
        <v>AUSTIN THOMPSON</v>
      </c>
      <c r="H15" s="20" t="str">
        <f t="shared" si="1"/>
        <v>4035</v>
      </c>
    </row>
    <row r="16" spans="1:8" x14ac:dyDescent="0.3">
      <c r="A16" s="8">
        <v>43056.171006944445</v>
      </c>
      <c r="B16" s="20" t="s">
        <v>636</v>
      </c>
      <c r="C16" s="20" t="s">
        <v>664</v>
      </c>
      <c r="D16" s="138">
        <v>1760000</v>
      </c>
      <c r="E16" s="20" t="s">
        <v>559</v>
      </c>
      <c r="F16" s="20" t="s">
        <v>560</v>
      </c>
      <c r="G16" s="8" t="str">
        <f t="shared" si="0"/>
        <v>STRICKLAND EVAN</v>
      </c>
      <c r="H16" s="20" t="str">
        <f t="shared" si="1"/>
        <v>4041</v>
      </c>
    </row>
    <row r="17" spans="1:8" x14ac:dyDescent="0.3">
      <c r="A17" s="8">
        <v>43056.17324074074</v>
      </c>
      <c r="B17" s="20" t="s">
        <v>544</v>
      </c>
      <c r="C17" s="20" t="s">
        <v>634</v>
      </c>
      <c r="D17" s="138">
        <v>2010000</v>
      </c>
      <c r="E17" s="20" t="s">
        <v>509</v>
      </c>
      <c r="F17" s="20" t="s">
        <v>510</v>
      </c>
      <c r="G17" s="8" t="str">
        <f t="shared" si="0"/>
        <v>MAELZER KURT</v>
      </c>
      <c r="H17" s="20" t="str">
        <f t="shared" si="1"/>
        <v>4020</v>
      </c>
    </row>
    <row r="18" spans="1:8" x14ac:dyDescent="0.3">
      <c r="A18" s="8">
        <v>43056.174062500002</v>
      </c>
      <c r="B18" s="20" t="s">
        <v>367</v>
      </c>
      <c r="C18" s="20" t="s">
        <v>665</v>
      </c>
      <c r="D18" s="138">
        <v>3700000</v>
      </c>
      <c r="E18" s="20" t="s">
        <v>459</v>
      </c>
      <c r="F18" s="20" t="s">
        <v>371</v>
      </c>
      <c r="G18" s="8" t="str">
        <f t="shared" si="0"/>
        <v>AUSTIN THOMPSON</v>
      </c>
      <c r="H18" s="20" t="str">
        <f t="shared" si="1"/>
        <v>4036</v>
      </c>
    </row>
    <row r="19" spans="1:8" x14ac:dyDescent="0.3">
      <c r="A19" s="8">
        <v>43056.184490740743</v>
      </c>
      <c r="B19" s="20" t="s">
        <v>548</v>
      </c>
      <c r="C19" s="20" t="s">
        <v>666</v>
      </c>
      <c r="D19" s="138">
        <v>3180000</v>
      </c>
      <c r="E19" s="20" t="s">
        <v>667</v>
      </c>
      <c r="F19" s="20" t="s">
        <v>668</v>
      </c>
      <c r="G19" s="8" t="str">
        <f t="shared" si="0"/>
        <v>HUFFSMITH MONTY</v>
      </c>
      <c r="H19" s="20" t="str">
        <f t="shared" si="1"/>
        <v>4039</v>
      </c>
    </row>
    <row r="20" spans="1:8" x14ac:dyDescent="0.3">
      <c r="A20" s="8">
        <v>43056.18476851852</v>
      </c>
      <c r="B20" s="20" t="s">
        <v>465</v>
      </c>
      <c r="C20" s="20" t="s">
        <v>669</v>
      </c>
      <c r="D20" s="138">
        <v>1760000</v>
      </c>
      <c r="E20" s="20" t="s">
        <v>559</v>
      </c>
      <c r="F20" s="20" t="s">
        <v>560</v>
      </c>
      <c r="G20" s="8" t="str">
        <f t="shared" si="0"/>
        <v>STRICKLAND EVAN</v>
      </c>
      <c r="H20" s="20" t="str">
        <f t="shared" si="1"/>
        <v>4042</v>
      </c>
    </row>
    <row r="21" spans="1:8" x14ac:dyDescent="0.3">
      <c r="A21" s="8">
        <v>43056.193067129629</v>
      </c>
      <c r="B21" s="20" t="s">
        <v>542</v>
      </c>
      <c r="C21" s="20" t="s">
        <v>670</v>
      </c>
      <c r="D21" s="138">
        <v>2010000</v>
      </c>
      <c r="E21" s="20" t="s">
        <v>509</v>
      </c>
      <c r="F21" s="20" t="s">
        <v>510</v>
      </c>
      <c r="G21" s="8" t="str">
        <f t="shared" si="0"/>
        <v>MAELZER KURT</v>
      </c>
      <c r="H21" s="20" t="str">
        <f t="shared" si="1"/>
        <v>4019</v>
      </c>
    </row>
    <row r="22" spans="1:8" x14ac:dyDescent="0.3">
      <c r="A22" s="26">
        <v>43056.195405092592</v>
      </c>
      <c r="B22" s="20" t="s">
        <v>394</v>
      </c>
      <c r="C22" s="20" t="s">
        <v>671</v>
      </c>
      <c r="D22" s="138">
        <v>3040000</v>
      </c>
      <c r="E22" s="20" t="s">
        <v>369</v>
      </c>
      <c r="F22" s="20" t="s">
        <v>511</v>
      </c>
      <c r="G22" s="8" t="str">
        <f t="shared" si="0"/>
        <v>WILLIAMS DONTE</v>
      </c>
      <c r="H22" s="20" t="str">
        <f t="shared" si="1"/>
        <v>4030</v>
      </c>
    </row>
    <row r="23" spans="1:8" x14ac:dyDescent="0.3">
      <c r="A23" s="8">
        <v>43056.195451388892</v>
      </c>
      <c r="B23" s="20" t="s">
        <v>543</v>
      </c>
      <c r="C23" s="20" t="s">
        <v>635</v>
      </c>
      <c r="D23" s="138">
        <v>3180000</v>
      </c>
      <c r="E23" s="20" t="s">
        <v>667</v>
      </c>
      <c r="F23" s="20" t="s">
        <v>668</v>
      </c>
      <c r="G23" s="8" t="str">
        <f t="shared" si="0"/>
        <v>HUFFSMITH MONTY</v>
      </c>
      <c r="H23" s="20" t="str">
        <f t="shared" si="1"/>
        <v>4040</v>
      </c>
    </row>
    <row r="24" spans="1:8" x14ac:dyDescent="0.3">
      <c r="A24" s="8">
        <v>43056.205185185187</v>
      </c>
      <c r="B24" s="20" t="s">
        <v>545</v>
      </c>
      <c r="C24" s="20" t="s">
        <v>672</v>
      </c>
      <c r="D24" s="138">
        <v>2560000</v>
      </c>
      <c r="E24" s="20" t="s">
        <v>512</v>
      </c>
      <c r="F24" s="20" t="s">
        <v>513</v>
      </c>
      <c r="G24" s="8" t="str">
        <f t="shared" si="0"/>
        <v>MACDONALD THOMAS</v>
      </c>
      <c r="H24" s="20" t="str">
        <f t="shared" si="1"/>
        <v>4027</v>
      </c>
    </row>
    <row r="25" spans="1:8" x14ac:dyDescent="0.3">
      <c r="A25" s="8">
        <v>43056.206967592596</v>
      </c>
      <c r="B25" s="20" t="s">
        <v>388</v>
      </c>
      <c r="C25" s="20" t="s">
        <v>673</v>
      </c>
      <c r="D25" s="138">
        <v>3040000</v>
      </c>
      <c r="E25" s="20" t="s">
        <v>369</v>
      </c>
      <c r="F25" s="20" t="s">
        <v>511</v>
      </c>
      <c r="G25" s="8" t="str">
        <f t="shared" si="0"/>
        <v>WILLIAMS DONTE</v>
      </c>
      <c r="H25" s="20" t="str">
        <f t="shared" si="1"/>
        <v>4029</v>
      </c>
    </row>
    <row r="26" spans="1:8" x14ac:dyDescent="0.3">
      <c r="A26" s="8">
        <v>43056.208819444444</v>
      </c>
      <c r="B26" s="20" t="s">
        <v>632</v>
      </c>
      <c r="C26" s="20" t="s">
        <v>674</v>
      </c>
      <c r="D26" s="138">
        <v>1830000</v>
      </c>
      <c r="E26" s="20" t="s">
        <v>347</v>
      </c>
      <c r="F26" s="20" t="s">
        <v>348</v>
      </c>
      <c r="G26" s="8" t="str">
        <f t="shared" si="0"/>
        <v>YORK EDGAR</v>
      </c>
      <c r="H26" s="20" t="str">
        <f t="shared" si="1"/>
        <v>4066</v>
      </c>
    </row>
    <row r="27" spans="1:8" x14ac:dyDescent="0.3">
      <c r="A27" s="8">
        <v>43056.211041666669</v>
      </c>
      <c r="B27" s="20" t="s">
        <v>368</v>
      </c>
      <c r="C27" s="20" t="s">
        <v>675</v>
      </c>
      <c r="D27" s="138">
        <v>3700000</v>
      </c>
      <c r="E27" s="20" t="s">
        <v>459</v>
      </c>
      <c r="F27" s="20" t="s">
        <v>371</v>
      </c>
      <c r="G27" s="8" t="str">
        <f t="shared" si="0"/>
        <v>AUSTIN THOMPSON</v>
      </c>
      <c r="H27" s="20" t="str">
        <f t="shared" si="1"/>
        <v>4035</v>
      </c>
    </row>
    <row r="28" spans="1:8" x14ac:dyDescent="0.3">
      <c r="A28" s="8">
        <v>43056.214930555558</v>
      </c>
      <c r="B28" s="20" t="s">
        <v>636</v>
      </c>
      <c r="C28" s="20" t="s">
        <v>637</v>
      </c>
      <c r="D28" s="138">
        <v>1760000</v>
      </c>
      <c r="E28" s="20" t="s">
        <v>559</v>
      </c>
      <c r="F28" s="20" t="s">
        <v>560</v>
      </c>
      <c r="G28" s="8" t="str">
        <f t="shared" si="0"/>
        <v>STRICKLAND EVAN</v>
      </c>
      <c r="H28" s="20" t="str">
        <f t="shared" si="1"/>
        <v>4041</v>
      </c>
    </row>
    <row r="29" spans="1:8" x14ac:dyDescent="0.3">
      <c r="A29" s="8">
        <v>43056.216747685183</v>
      </c>
      <c r="B29" s="20" t="s">
        <v>393</v>
      </c>
      <c r="C29" s="20" t="s">
        <v>676</v>
      </c>
      <c r="D29" s="138">
        <v>2560000</v>
      </c>
      <c r="E29" s="20" t="s">
        <v>512</v>
      </c>
      <c r="F29" s="20" t="s">
        <v>513</v>
      </c>
      <c r="G29" s="8" t="str">
        <f t="shared" si="0"/>
        <v>MACDONALD THOMAS</v>
      </c>
      <c r="H29" s="20" t="str">
        <f t="shared" si="1"/>
        <v>4028</v>
      </c>
    </row>
    <row r="30" spans="1:8" x14ac:dyDescent="0.3">
      <c r="A30" s="8">
        <v>43056.218645833331</v>
      </c>
      <c r="B30" s="20" t="s">
        <v>677</v>
      </c>
      <c r="C30" s="20" t="s">
        <v>678</v>
      </c>
      <c r="D30" s="138">
        <v>1230000</v>
      </c>
      <c r="E30" s="20" t="s">
        <v>552</v>
      </c>
      <c r="F30" s="20" t="s">
        <v>553</v>
      </c>
      <c r="G30" s="8" t="str">
        <f t="shared" si="0"/>
        <v>YANAI IAN</v>
      </c>
      <c r="H30" s="20" t="str">
        <f t="shared" si="1"/>
        <v>4063</v>
      </c>
    </row>
    <row r="31" spans="1:8" x14ac:dyDescent="0.3">
      <c r="A31" s="8">
        <v>43056.22488425926</v>
      </c>
      <c r="B31" s="20" t="s">
        <v>544</v>
      </c>
      <c r="C31" s="20" t="s">
        <v>679</v>
      </c>
      <c r="D31" s="138">
        <v>2010000</v>
      </c>
      <c r="E31" s="20" t="s">
        <v>509</v>
      </c>
      <c r="F31" s="20" t="s">
        <v>510</v>
      </c>
      <c r="G31" s="8" t="str">
        <f t="shared" si="0"/>
        <v>MAELZER KURT</v>
      </c>
      <c r="H31" s="20" t="str">
        <f t="shared" si="1"/>
        <v>4020</v>
      </c>
    </row>
    <row r="32" spans="1:8" x14ac:dyDescent="0.3">
      <c r="A32" s="8">
        <v>43056.227256944447</v>
      </c>
      <c r="B32" s="20" t="s">
        <v>548</v>
      </c>
      <c r="C32" s="20" t="s">
        <v>680</v>
      </c>
      <c r="D32" s="138">
        <v>3180000</v>
      </c>
      <c r="E32" s="20" t="s">
        <v>667</v>
      </c>
      <c r="F32" s="20" t="s">
        <v>668</v>
      </c>
      <c r="G32" s="8" t="str">
        <f t="shared" si="0"/>
        <v>HUFFSMITH MONTY</v>
      </c>
      <c r="H32" s="20" t="str">
        <f t="shared" si="1"/>
        <v>4039</v>
      </c>
    </row>
    <row r="33" spans="1:8" x14ac:dyDescent="0.3">
      <c r="A33" s="8">
        <v>43056.233819444446</v>
      </c>
      <c r="B33" s="20" t="s">
        <v>394</v>
      </c>
      <c r="C33" s="20" t="s">
        <v>681</v>
      </c>
      <c r="D33" s="138">
        <v>3040000</v>
      </c>
      <c r="E33" s="20" t="s">
        <v>369</v>
      </c>
      <c r="F33" s="20" t="s">
        <v>511</v>
      </c>
      <c r="G33" s="8" t="str">
        <f t="shared" si="0"/>
        <v>WILLIAMS DONTE</v>
      </c>
      <c r="H33" s="20" t="str">
        <f t="shared" si="1"/>
        <v>4030</v>
      </c>
    </row>
    <row r="34" spans="1:8" x14ac:dyDescent="0.3">
      <c r="A34" s="8">
        <v>43056.235266203701</v>
      </c>
      <c r="B34" s="20" t="s">
        <v>561</v>
      </c>
      <c r="C34" s="20" t="s">
        <v>682</v>
      </c>
      <c r="D34" s="138">
        <v>1830000</v>
      </c>
      <c r="E34" s="20" t="s">
        <v>347</v>
      </c>
      <c r="F34" s="20" t="s">
        <v>348</v>
      </c>
      <c r="G34" s="8" t="str">
        <f t="shared" si="0"/>
        <v>YORK EDGAR</v>
      </c>
      <c r="H34" s="20" t="str">
        <f t="shared" si="1"/>
        <v>4065</v>
      </c>
    </row>
    <row r="35" spans="1:8" x14ac:dyDescent="0.3">
      <c r="A35" s="8">
        <v>43056.237268518518</v>
      </c>
      <c r="B35" s="20" t="s">
        <v>683</v>
      </c>
      <c r="C35" s="20" t="s">
        <v>684</v>
      </c>
      <c r="D35" s="138">
        <v>1230000</v>
      </c>
      <c r="E35" s="20" t="s">
        <v>552</v>
      </c>
      <c r="F35" s="20" t="s">
        <v>553</v>
      </c>
      <c r="G35" s="8" t="str">
        <f t="shared" si="0"/>
        <v>YANAI IAN</v>
      </c>
      <c r="H35" s="20" t="str">
        <f t="shared" si="1"/>
        <v>4064</v>
      </c>
    </row>
    <row r="36" spans="1:8" x14ac:dyDescent="0.3">
      <c r="A36" s="8">
        <v>43056.240972222222</v>
      </c>
      <c r="B36" s="20" t="s">
        <v>476</v>
      </c>
      <c r="C36" s="20" t="s">
        <v>685</v>
      </c>
      <c r="D36" s="138">
        <v>3510000</v>
      </c>
      <c r="E36" s="20" t="s">
        <v>549</v>
      </c>
      <c r="F36" s="20" t="s">
        <v>550</v>
      </c>
      <c r="G36" s="8" t="str">
        <f t="shared" si="0"/>
        <v>BARRON PERLA</v>
      </c>
      <c r="H36" s="20" t="str">
        <f t="shared" si="1"/>
        <v>4023</v>
      </c>
    </row>
    <row r="37" spans="1:8" x14ac:dyDescent="0.3">
      <c r="A37" s="8">
        <v>43056.246527777781</v>
      </c>
      <c r="B37" s="20" t="s">
        <v>367</v>
      </c>
      <c r="C37" s="20" t="s">
        <v>686</v>
      </c>
      <c r="D37" s="138">
        <v>3700000</v>
      </c>
      <c r="E37" s="20" t="s">
        <v>459</v>
      </c>
      <c r="F37" s="20" t="s">
        <v>371</v>
      </c>
      <c r="G37" s="8" t="str">
        <f t="shared" si="0"/>
        <v>AUSTIN THOMPSON</v>
      </c>
      <c r="H37" s="20" t="str">
        <f t="shared" si="1"/>
        <v>4036</v>
      </c>
    </row>
    <row r="38" spans="1:8" x14ac:dyDescent="0.3">
      <c r="A38" s="8">
        <v>43056.249120370368</v>
      </c>
      <c r="B38" s="20" t="s">
        <v>388</v>
      </c>
      <c r="C38" s="20" t="s">
        <v>687</v>
      </c>
      <c r="D38" s="138">
        <v>3040000</v>
      </c>
      <c r="E38" s="20" t="s">
        <v>369</v>
      </c>
      <c r="F38" s="20" t="s">
        <v>511</v>
      </c>
      <c r="G38" s="8" t="str">
        <f t="shared" si="0"/>
        <v>WILLIAMS DONTE</v>
      </c>
      <c r="H38" s="20" t="str">
        <f t="shared" si="1"/>
        <v>4029</v>
      </c>
    </row>
    <row r="39" spans="1:8" x14ac:dyDescent="0.3">
      <c r="A39" s="8">
        <v>43056.254363425927</v>
      </c>
      <c r="B39" s="20" t="s">
        <v>474</v>
      </c>
      <c r="C39" s="20" t="s">
        <v>688</v>
      </c>
      <c r="D39" s="138">
        <v>3510000</v>
      </c>
      <c r="E39" s="20" t="s">
        <v>549</v>
      </c>
      <c r="F39" s="20" t="s">
        <v>550</v>
      </c>
      <c r="G39" s="8" t="str">
        <f t="shared" si="0"/>
        <v>BARRON PERLA</v>
      </c>
      <c r="H39" s="20" t="str">
        <f t="shared" si="1"/>
        <v>4024</v>
      </c>
    </row>
    <row r="40" spans="1:8" x14ac:dyDescent="0.3">
      <c r="A40" s="8">
        <v>43056.256412037037</v>
      </c>
      <c r="B40" s="25" t="s">
        <v>545</v>
      </c>
      <c r="C40" s="20" t="s">
        <v>689</v>
      </c>
      <c r="D40" s="138">
        <v>2560000</v>
      </c>
      <c r="E40" s="20" t="s">
        <v>512</v>
      </c>
      <c r="F40" s="20" t="s">
        <v>513</v>
      </c>
      <c r="G40" s="8" t="str">
        <f t="shared" si="0"/>
        <v>MACDONALD THOMAS</v>
      </c>
      <c r="H40" s="20" t="str">
        <f t="shared" si="1"/>
        <v>4027</v>
      </c>
    </row>
    <row r="41" spans="1:8" x14ac:dyDescent="0.3">
      <c r="A41" s="8">
        <v>43056.256562499999</v>
      </c>
      <c r="B41" s="20" t="s">
        <v>474</v>
      </c>
      <c r="C41" s="20" t="s">
        <v>688</v>
      </c>
      <c r="D41" s="138">
        <v>3510000</v>
      </c>
      <c r="E41" s="20" t="s">
        <v>549</v>
      </c>
      <c r="F41" s="20" t="s">
        <v>550</v>
      </c>
      <c r="G41" s="8" t="str">
        <f t="shared" si="0"/>
        <v>BARRON PERLA</v>
      </c>
      <c r="H41" s="20" t="str">
        <f t="shared" si="1"/>
        <v>4024</v>
      </c>
    </row>
    <row r="42" spans="1:8" x14ac:dyDescent="0.3">
      <c r="A42" s="8">
        <v>43056.257673611108</v>
      </c>
      <c r="B42" s="20" t="s">
        <v>465</v>
      </c>
      <c r="C42" s="20" t="s">
        <v>690</v>
      </c>
      <c r="D42" s="138">
        <v>3030000</v>
      </c>
      <c r="E42" s="20" t="s">
        <v>514</v>
      </c>
      <c r="F42" s="20" t="s">
        <v>513</v>
      </c>
      <c r="G42" s="8" t="str">
        <f t="shared" si="0"/>
        <v>BIRENBAUM THOMAS</v>
      </c>
      <c r="H42" s="20" t="str">
        <f t="shared" si="1"/>
        <v>4042</v>
      </c>
    </row>
    <row r="43" spans="1:8" x14ac:dyDescent="0.3">
      <c r="A43" s="8">
        <v>43056.262141203704</v>
      </c>
      <c r="B43" s="20" t="s">
        <v>542</v>
      </c>
      <c r="C43" s="20" t="s">
        <v>691</v>
      </c>
      <c r="D43" s="138">
        <v>2010000</v>
      </c>
      <c r="E43" s="20" t="s">
        <v>509</v>
      </c>
      <c r="F43" s="20" t="s">
        <v>510</v>
      </c>
      <c r="G43" s="8" t="str">
        <f t="shared" si="0"/>
        <v>MAELZER KURT</v>
      </c>
      <c r="H43" s="20" t="str">
        <f t="shared" si="1"/>
        <v>4019</v>
      </c>
    </row>
    <row r="44" spans="1:8" x14ac:dyDescent="0.3">
      <c r="A44" s="8">
        <v>43056.266377314816</v>
      </c>
      <c r="B44" s="20" t="s">
        <v>543</v>
      </c>
      <c r="C44" s="20" t="s">
        <v>692</v>
      </c>
      <c r="D44" s="138">
        <v>3260000</v>
      </c>
      <c r="E44" s="20" t="s">
        <v>693</v>
      </c>
      <c r="F44" s="20" t="s">
        <v>694</v>
      </c>
      <c r="G44" s="8" t="str">
        <f t="shared" si="0"/>
        <v>PAGE MARCUS</v>
      </c>
      <c r="H44" s="20" t="str">
        <f t="shared" si="1"/>
        <v>4040</v>
      </c>
    </row>
    <row r="45" spans="1:8" x14ac:dyDescent="0.3">
      <c r="A45" s="8">
        <v>43056.266388888886</v>
      </c>
      <c r="B45" s="20" t="s">
        <v>677</v>
      </c>
      <c r="C45" s="20" t="s">
        <v>695</v>
      </c>
      <c r="D45" s="138">
        <v>1230000</v>
      </c>
      <c r="E45" s="20" t="s">
        <v>552</v>
      </c>
      <c r="F45" s="20" t="s">
        <v>553</v>
      </c>
      <c r="G45" s="8" t="str">
        <f t="shared" si="0"/>
        <v>YANAI IAN</v>
      </c>
      <c r="H45" s="20" t="str">
        <f t="shared" si="1"/>
        <v>4063</v>
      </c>
    </row>
    <row r="46" spans="1:8" x14ac:dyDescent="0.3">
      <c r="A46" s="8">
        <v>43056.269988425927</v>
      </c>
      <c r="B46" s="20" t="s">
        <v>476</v>
      </c>
      <c r="C46" s="20" t="s">
        <v>696</v>
      </c>
      <c r="D46" s="138">
        <v>3510000</v>
      </c>
      <c r="E46" s="20" t="s">
        <v>549</v>
      </c>
      <c r="F46" s="20" t="s">
        <v>550</v>
      </c>
      <c r="G46" s="8" t="str">
        <f t="shared" si="0"/>
        <v>BARRON PERLA</v>
      </c>
      <c r="H46" s="20" t="str">
        <f t="shared" si="1"/>
        <v>4023</v>
      </c>
    </row>
    <row r="47" spans="1:8" x14ac:dyDescent="0.3">
      <c r="A47" s="8">
        <v>43056.275277777779</v>
      </c>
      <c r="B47" s="20" t="s">
        <v>632</v>
      </c>
      <c r="C47" s="20" t="s">
        <v>697</v>
      </c>
      <c r="D47" s="138">
        <v>1830000</v>
      </c>
      <c r="E47" s="20" t="s">
        <v>347</v>
      </c>
      <c r="F47" s="20" t="s">
        <v>348</v>
      </c>
      <c r="G47" s="8" t="str">
        <f t="shared" si="0"/>
        <v>YORK EDGAR</v>
      </c>
      <c r="H47" s="20" t="str">
        <f t="shared" si="1"/>
        <v>4066</v>
      </c>
    </row>
    <row r="48" spans="1:8" x14ac:dyDescent="0.3">
      <c r="A48" s="8">
        <v>43056.275451388887</v>
      </c>
      <c r="B48" s="20" t="s">
        <v>394</v>
      </c>
      <c r="C48" s="20" t="s">
        <v>698</v>
      </c>
      <c r="D48" s="138">
        <v>3040000</v>
      </c>
      <c r="E48" s="20" t="s">
        <v>369</v>
      </c>
      <c r="F48" s="20" t="s">
        <v>511</v>
      </c>
      <c r="G48" s="8" t="str">
        <f t="shared" si="0"/>
        <v>WILLIAMS DONTE</v>
      </c>
      <c r="H48" s="20" t="str">
        <f t="shared" si="1"/>
        <v>4030</v>
      </c>
    </row>
    <row r="49" spans="1:8" x14ac:dyDescent="0.3">
      <c r="A49" s="8">
        <v>43056.285833333335</v>
      </c>
      <c r="B49" s="20" t="s">
        <v>636</v>
      </c>
      <c r="C49" s="20" t="s">
        <v>699</v>
      </c>
      <c r="D49" s="138">
        <v>3030000</v>
      </c>
      <c r="E49" s="20" t="s">
        <v>514</v>
      </c>
      <c r="F49" s="20" t="s">
        <v>513</v>
      </c>
      <c r="G49" s="8" t="str">
        <f t="shared" si="0"/>
        <v>BIRENBAUM THOMAS</v>
      </c>
      <c r="H49" s="20" t="str">
        <f t="shared" si="1"/>
        <v>4041</v>
      </c>
    </row>
    <row r="50" spans="1:8" x14ac:dyDescent="0.3">
      <c r="A50" s="8">
        <v>43056.288738425923</v>
      </c>
      <c r="B50" s="20" t="s">
        <v>368</v>
      </c>
      <c r="C50" s="20" t="s">
        <v>700</v>
      </c>
      <c r="D50" s="138">
        <v>3700000</v>
      </c>
      <c r="E50" s="20" t="s">
        <v>459</v>
      </c>
      <c r="F50" s="20" t="s">
        <v>371</v>
      </c>
      <c r="G50" s="8" t="str">
        <f t="shared" si="0"/>
        <v>AUSTIN THOMPSON</v>
      </c>
      <c r="H50" s="20" t="str">
        <f t="shared" si="1"/>
        <v>4035</v>
      </c>
    </row>
    <row r="51" spans="1:8" x14ac:dyDescent="0.3">
      <c r="A51" s="8">
        <v>43056.289895833332</v>
      </c>
      <c r="B51" s="20" t="s">
        <v>393</v>
      </c>
      <c r="C51" s="20" t="s">
        <v>701</v>
      </c>
      <c r="D51" s="138">
        <v>2560000</v>
      </c>
      <c r="E51" s="20" t="s">
        <v>512</v>
      </c>
      <c r="F51" s="20" t="s">
        <v>513</v>
      </c>
      <c r="G51" s="8" t="str">
        <f t="shared" si="0"/>
        <v>MACDONALD THOMAS</v>
      </c>
      <c r="H51" s="20" t="str">
        <f t="shared" si="1"/>
        <v>4028</v>
      </c>
    </row>
    <row r="52" spans="1:8" x14ac:dyDescent="0.3">
      <c r="A52" s="8">
        <v>43056.289965277778</v>
      </c>
      <c r="B52" s="20" t="s">
        <v>388</v>
      </c>
      <c r="C52" s="20" t="s">
        <v>702</v>
      </c>
      <c r="D52" s="138">
        <v>3040000</v>
      </c>
      <c r="E52" s="20" t="s">
        <v>369</v>
      </c>
      <c r="F52" s="20" t="s">
        <v>511</v>
      </c>
      <c r="G52" s="8" t="str">
        <f t="shared" si="0"/>
        <v>WILLIAMS DONTE</v>
      </c>
      <c r="H52" s="20" t="str">
        <f t="shared" si="1"/>
        <v>4029</v>
      </c>
    </row>
    <row r="53" spans="1:8" x14ac:dyDescent="0.3">
      <c r="A53" s="8">
        <v>43056.290601851855</v>
      </c>
      <c r="B53" s="20" t="s">
        <v>474</v>
      </c>
      <c r="C53" s="20" t="s">
        <v>703</v>
      </c>
      <c r="D53" s="138">
        <v>3300000</v>
      </c>
      <c r="E53" s="20" t="s">
        <v>704</v>
      </c>
      <c r="F53" s="20" t="s">
        <v>705</v>
      </c>
      <c r="G53" s="8" t="str">
        <f t="shared" si="0"/>
        <v>LANGERAK WILLIAM</v>
      </c>
      <c r="H53" s="20" t="str">
        <f t="shared" si="1"/>
        <v>4024</v>
      </c>
    </row>
    <row r="54" spans="1:8" x14ac:dyDescent="0.3">
      <c r="A54" s="8">
        <v>43056.291770833333</v>
      </c>
      <c r="B54" s="20" t="s">
        <v>474</v>
      </c>
      <c r="C54" s="20" t="s">
        <v>703</v>
      </c>
      <c r="D54" s="138">
        <v>3300000</v>
      </c>
      <c r="E54" s="20" t="s">
        <v>704</v>
      </c>
      <c r="F54" s="20" t="s">
        <v>705</v>
      </c>
      <c r="G54" s="8" t="str">
        <f t="shared" si="0"/>
        <v>LANGERAK WILLIAM</v>
      </c>
      <c r="H54" s="20" t="str">
        <f t="shared" si="1"/>
        <v>4024</v>
      </c>
    </row>
    <row r="55" spans="1:8" x14ac:dyDescent="0.3">
      <c r="A55" s="8">
        <v>43056.29619212963</v>
      </c>
      <c r="B55" s="20" t="s">
        <v>474</v>
      </c>
      <c r="C55" s="20" t="s">
        <v>703</v>
      </c>
      <c r="D55" s="138">
        <v>3300000</v>
      </c>
      <c r="E55" s="20" t="s">
        <v>704</v>
      </c>
      <c r="F55" s="20" t="s">
        <v>705</v>
      </c>
      <c r="G55" s="8" t="str">
        <f t="shared" si="0"/>
        <v>LANGERAK WILLIAM</v>
      </c>
      <c r="H55" s="20" t="str">
        <f t="shared" si="1"/>
        <v>4024</v>
      </c>
    </row>
    <row r="56" spans="1:8" x14ac:dyDescent="0.3">
      <c r="A56" s="8">
        <v>43056.298935185187</v>
      </c>
      <c r="B56" s="20" t="s">
        <v>544</v>
      </c>
      <c r="C56" s="20" t="s">
        <v>706</v>
      </c>
      <c r="D56" s="138">
        <v>2010000</v>
      </c>
      <c r="E56" s="20" t="s">
        <v>509</v>
      </c>
      <c r="F56" s="20" t="s">
        <v>510</v>
      </c>
      <c r="G56" s="8" t="str">
        <f t="shared" si="0"/>
        <v>MAELZER KURT</v>
      </c>
      <c r="H56" s="20" t="str">
        <f t="shared" si="1"/>
        <v>4020</v>
      </c>
    </row>
    <row r="57" spans="1:8" x14ac:dyDescent="0.3">
      <c r="A57" s="8">
        <v>43056.30572916667</v>
      </c>
      <c r="B57" s="20" t="s">
        <v>548</v>
      </c>
      <c r="C57" s="20" t="s">
        <v>707</v>
      </c>
      <c r="D57" s="138">
        <v>3260000</v>
      </c>
      <c r="E57" s="20" t="s">
        <v>693</v>
      </c>
      <c r="F57" s="20" t="s">
        <v>694</v>
      </c>
      <c r="G57" s="8" t="str">
        <f t="shared" si="0"/>
        <v>PAGE MARCUS</v>
      </c>
      <c r="H57" s="20" t="str">
        <f t="shared" si="1"/>
        <v>4039</v>
      </c>
    </row>
    <row r="58" spans="1:8" x14ac:dyDescent="0.3">
      <c r="A58" s="8">
        <v>43056.306712962964</v>
      </c>
      <c r="B58" s="20" t="s">
        <v>561</v>
      </c>
      <c r="C58" s="20" t="s">
        <v>638</v>
      </c>
      <c r="D58" s="138">
        <v>1830000</v>
      </c>
      <c r="E58" s="20" t="s">
        <v>347</v>
      </c>
      <c r="F58" s="20" t="s">
        <v>348</v>
      </c>
      <c r="G58" s="8" t="str">
        <f t="shared" si="0"/>
        <v>YORK EDGAR</v>
      </c>
      <c r="H58" s="20" t="str">
        <f t="shared" si="1"/>
        <v>4065</v>
      </c>
    </row>
    <row r="59" spans="1:8" x14ac:dyDescent="0.3">
      <c r="A59" s="8">
        <v>43056.308738425927</v>
      </c>
      <c r="B59" s="20" t="s">
        <v>683</v>
      </c>
      <c r="C59" s="20" t="s">
        <v>708</v>
      </c>
      <c r="D59" s="138">
        <v>1110000</v>
      </c>
      <c r="E59" s="20" t="s">
        <v>555</v>
      </c>
      <c r="F59" s="20" t="s">
        <v>556</v>
      </c>
      <c r="G59" s="8" t="str">
        <f t="shared" si="0"/>
        <v>STARKS ANGELINA</v>
      </c>
      <c r="H59" s="20" t="str">
        <f t="shared" si="1"/>
        <v>4064</v>
      </c>
    </row>
    <row r="60" spans="1:8" x14ac:dyDescent="0.3">
      <c r="A60" s="8">
        <v>43056.310543981483</v>
      </c>
      <c r="B60" s="20" t="s">
        <v>476</v>
      </c>
      <c r="C60" s="20" t="s">
        <v>709</v>
      </c>
      <c r="D60" s="138">
        <v>3300000</v>
      </c>
      <c r="E60" s="20" t="s">
        <v>704</v>
      </c>
      <c r="F60" s="20" t="s">
        <v>705</v>
      </c>
      <c r="G60" s="8" t="str">
        <f t="shared" si="0"/>
        <v>LANGERAK WILLIAM</v>
      </c>
      <c r="H60" s="20" t="str">
        <f t="shared" si="1"/>
        <v>4023</v>
      </c>
    </row>
    <row r="61" spans="1:8" x14ac:dyDescent="0.3">
      <c r="A61" s="8">
        <v>43056.317106481481</v>
      </c>
      <c r="B61" s="20" t="s">
        <v>394</v>
      </c>
      <c r="C61" s="20" t="s">
        <v>710</v>
      </c>
      <c r="D61" s="138">
        <v>3040000</v>
      </c>
      <c r="E61" s="20" t="s">
        <v>369</v>
      </c>
      <c r="F61" s="20" t="s">
        <v>511</v>
      </c>
      <c r="G61" s="8" t="str">
        <f t="shared" si="0"/>
        <v>WILLIAMS DONTE</v>
      </c>
      <c r="H61" s="20" t="str">
        <f t="shared" si="1"/>
        <v>4030</v>
      </c>
    </row>
    <row r="62" spans="1:8" x14ac:dyDescent="0.3">
      <c r="A62" s="8">
        <v>43056.317743055559</v>
      </c>
      <c r="B62" s="20" t="s">
        <v>367</v>
      </c>
      <c r="C62" s="20" t="s">
        <v>711</v>
      </c>
      <c r="D62" s="138">
        <v>3700000</v>
      </c>
      <c r="E62" s="20" t="s">
        <v>459</v>
      </c>
      <c r="F62" s="20" t="s">
        <v>371</v>
      </c>
      <c r="G62" s="8" t="str">
        <f t="shared" si="0"/>
        <v>AUSTIN THOMPSON</v>
      </c>
      <c r="H62" s="20" t="str">
        <f t="shared" si="1"/>
        <v>4036</v>
      </c>
    </row>
    <row r="63" spans="1:8" x14ac:dyDescent="0.3">
      <c r="A63" s="8">
        <v>43056.327685185184</v>
      </c>
      <c r="B63" s="20" t="s">
        <v>465</v>
      </c>
      <c r="C63" s="20" t="s">
        <v>712</v>
      </c>
      <c r="D63" s="138">
        <v>1760000</v>
      </c>
      <c r="E63" s="20" t="s">
        <v>559</v>
      </c>
      <c r="F63" s="20" t="s">
        <v>560</v>
      </c>
      <c r="G63" s="8" t="str">
        <f t="shared" si="0"/>
        <v>STRICKLAND EVAN</v>
      </c>
      <c r="H63" s="20" t="str">
        <f t="shared" si="1"/>
        <v>4042</v>
      </c>
    </row>
    <row r="64" spans="1:8" x14ac:dyDescent="0.3">
      <c r="A64" s="26">
        <v>43056.328125</v>
      </c>
      <c r="B64" s="20" t="s">
        <v>545</v>
      </c>
      <c r="C64" s="20" t="s">
        <v>713</v>
      </c>
      <c r="D64" s="138">
        <v>2560000</v>
      </c>
      <c r="E64" s="20" t="s">
        <v>512</v>
      </c>
      <c r="F64" s="20" t="s">
        <v>513</v>
      </c>
      <c r="G64" s="8" t="str">
        <f t="shared" si="0"/>
        <v>MACDONALD THOMAS</v>
      </c>
      <c r="H64" s="20" t="str">
        <f t="shared" si="1"/>
        <v>4027</v>
      </c>
    </row>
    <row r="65" spans="1:8" x14ac:dyDescent="0.3">
      <c r="A65" s="8">
        <v>43056.331967592596</v>
      </c>
      <c r="B65" s="20" t="s">
        <v>542</v>
      </c>
      <c r="C65" s="20" t="s">
        <v>714</v>
      </c>
      <c r="D65" s="138">
        <v>2010000</v>
      </c>
      <c r="E65" s="20" t="s">
        <v>509</v>
      </c>
      <c r="F65" s="20" t="s">
        <v>510</v>
      </c>
      <c r="G65" s="8" t="str">
        <f t="shared" si="0"/>
        <v>MAELZER KURT</v>
      </c>
      <c r="H65" s="20" t="str">
        <f t="shared" si="1"/>
        <v>4019</v>
      </c>
    </row>
    <row r="66" spans="1:8" x14ac:dyDescent="0.3">
      <c r="A66" s="8">
        <v>43056.332025462965</v>
      </c>
      <c r="B66" s="20" t="s">
        <v>388</v>
      </c>
      <c r="C66" s="20" t="s">
        <v>715</v>
      </c>
      <c r="D66" s="138">
        <v>3040000</v>
      </c>
      <c r="E66" s="20" t="s">
        <v>369</v>
      </c>
      <c r="F66" s="20" t="s">
        <v>511</v>
      </c>
      <c r="G66" s="8" t="str">
        <f t="shared" si="0"/>
        <v>WILLIAMS DONTE</v>
      </c>
      <c r="H66" s="20" t="str">
        <f t="shared" si="1"/>
        <v>4029</v>
      </c>
    </row>
    <row r="67" spans="1:8" x14ac:dyDescent="0.3">
      <c r="A67" s="8">
        <v>43056.337951388887</v>
      </c>
      <c r="B67" s="20" t="s">
        <v>474</v>
      </c>
      <c r="C67" s="20" t="s">
        <v>716</v>
      </c>
      <c r="D67" s="138">
        <v>3510000</v>
      </c>
      <c r="E67" s="20" t="s">
        <v>549</v>
      </c>
      <c r="F67" s="20" t="s">
        <v>550</v>
      </c>
      <c r="G67" s="8" t="str">
        <f t="shared" ref="G67:G130" si="2">E67&amp;" "&amp;F67</f>
        <v>BARRON PERLA</v>
      </c>
      <c r="H67" s="20" t="str">
        <f t="shared" ref="H67:H130" si="3">MID(B67,13,4)</f>
        <v>4024</v>
      </c>
    </row>
    <row r="68" spans="1:8" x14ac:dyDescent="0.3">
      <c r="A68" s="8">
        <v>43056.338553240741</v>
      </c>
      <c r="B68" s="20" t="s">
        <v>543</v>
      </c>
      <c r="C68" s="20" t="s">
        <v>717</v>
      </c>
      <c r="D68" s="138">
        <v>3180000</v>
      </c>
      <c r="E68" s="20" t="s">
        <v>667</v>
      </c>
      <c r="F68" s="20" t="s">
        <v>668</v>
      </c>
      <c r="G68" s="8" t="str">
        <f t="shared" si="2"/>
        <v>HUFFSMITH MONTY</v>
      </c>
      <c r="H68" s="20" t="str">
        <f t="shared" si="3"/>
        <v>4040</v>
      </c>
    </row>
    <row r="69" spans="1:8" x14ac:dyDescent="0.3">
      <c r="A69" s="8">
        <v>43056.340497685182</v>
      </c>
      <c r="B69" s="20" t="s">
        <v>677</v>
      </c>
      <c r="C69" s="20" t="s">
        <v>718</v>
      </c>
      <c r="D69" s="138">
        <v>1110000</v>
      </c>
      <c r="E69" s="20" t="s">
        <v>555</v>
      </c>
      <c r="F69" s="20" t="s">
        <v>556</v>
      </c>
      <c r="G69" s="8" t="str">
        <f t="shared" si="2"/>
        <v>STARKS ANGELINA</v>
      </c>
      <c r="H69" s="20" t="str">
        <f t="shared" si="3"/>
        <v>4063</v>
      </c>
    </row>
    <row r="70" spans="1:8" x14ac:dyDescent="0.3">
      <c r="A70" s="8">
        <v>43056.349594907406</v>
      </c>
      <c r="B70" s="20" t="s">
        <v>632</v>
      </c>
      <c r="C70" s="20" t="s">
        <v>719</v>
      </c>
      <c r="D70" s="138">
        <v>1830000</v>
      </c>
      <c r="E70" s="20" t="s">
        <v>347</v>
      </c>
      <c r="F70" s="20" t="s">
        <v>348</v>
      </c>
      <c r="G70" s="8" t="str">
        <f t="shared" si="2"/>
        <v>YORK EDGAR</v>
      </c>
      <c r="H70" s="20" t="str">
        <f t="shared" si="3"/>
        <v>4066</v>
      </c>
    </row>
    <row r="71" spans="1:8" x14ac:dyDescent="0.3">
      <c r="A71" s="8">
        <v>43056.35229166667</v>
      </c>
      <c r="B71" s="20" t="s">
        <v>476</v>
      </c>
      <c r="C71" s="20" t="s">
        <v>720</v>
      </c>
      <c r="D71" s="138">
        <v>3510000</v>
      </c>
      <c r="E71" s="20" t="s">
        <v>549</v>
      </c>
      <c r="F71" s="20" t="s">
        <v>550</v>
      </c>
      <c r="G71" s="8" t="str">
        <f t="shared" si="2"/>
        <v>BARRON PERLA</v>
      </c>
      <c r="H71" s="20" t="str">
        <f t="shared" si="3"/>
        <v>4023</v>
      </c>
    </row>
    <row r="72" spans="1:8" x14ac:dyDescent="0.3">
      <c r="A72" s="8">
        <v>43056.354907407411</v>
      </c>
      <c r="B72" s="20" t="s">
        <v>394</v>
      </c>
      <c r="C72" s="20" t="s">
        <v>721</v>
      </c>
      <c r="D72" s="138">
        <v>3040000</v>
      </c>
      <c r="E72" s="20" t="s">
        <v>369</v>
      </c>
      <c r="F72" s="20" t="s">
        <v>511</v>
      </c>
      <c r="G72" s="8" t="str">
        <f t="shared" si="2"/>
        <v>WILLIAMS DONTE</v>
      </c>
      <c r="H72" s="20" t="str">
        <f t="shared" si="3"/>
        <v>4030</v>
      </c>
    </row>
    <row r="73" spans="1:8" x14ac:dyDescent="0.3">
      <c r="A73" s="8">
        <v>43056.35833333333</v>
      </c>
      <c r="B73" s="20" t="s">
        <v>368</v>
      </c>
      <c r="C73" s="20" t="s">
        <v>722</v>
      </c>
      <c r="D73" s="138">
        <v>3700000</v>
      </c>
      <c r="E73" s="20" t="s">
        <v>459</v>
      </c>
      <c r="F73" s="20" t="s">
        <v>371</v>
      </c>
      <c r="G73" s="8" t="str">
        <f t="shared" si="2"/>
        <v>AUSTIN THOMPSON</v>
      </c>
      <c r="H73" s="20" t="str">
        <f t="shared" si="3"/>
        <v>4035</v>
      </c>
    </row>
    <row r="74" spans="1:8" x14ac:dyDescent="0.3">
      <c r="A74" s="8">
        <v>43056.361724537041</v>
      </c>
      <c r="B74" s="20" t="s">
        <v>393</v>
      </c>
      <c r="C74" s="20" t="s">
        <v>723</v>
      </c>
      <c r="D74" s="138">
        <v>2560000</v>
      </c>
      <c r="E74" s="20" t="s">
        <v>512</v>
      </c>
      <c r="F74" s="20" t="s">
        <v>513</v>
      </c>
      <c r="G74" s="8" t="str">
        <f t="shared" si="2"/>
        <v>MACDONALD THOMAS</v>
      </c>
      <c r="H74" s="20" t="str">
        <f t="shared" si="3"/>
        <v>4028</v>
      </c>
    </row>
    <row r="75" spans="1:8" x14ac:dyDescent="0.3">
      <c r="A75" s="8">
        <v>43056.362222222226</v>
      </c>
      <c r="B75" s="20" t="s">
        <v>636</v>
      </c>
      <c r="C75" s="20" t="s">
        <v>724</v>
      </c>
      <c r="D75" s="138">
        <v>1760000</v>
      </c>
      <c r="E75" s="20" t="s">
        <v>559</v>
      </c>
      <c r="F75" s="20" t="s">
        <v>560</v>
      </c>
      <c r="G75" s="8" t="str">
        <f t="shared" si="2"/>
        <v>STRICKLAND EVAN</v>
      </c>
      <c r="H75" s="20" t="str">
        <f t="shared" si="3"/>
        <v>4041</v>
      </c>
    </row>
    <row r="76" spans="1:8" x14ac:dyDescent="0.3">
      <c r="A76" s="8">
        <v>43056.370509259257</v>
      </c>
      <c r="B76" s="20" t="s">
        <v>544</v>
      </c>
      <c r="C76" s="20" t="s">
        <v>725</v>
      </c>
      <c r="D76" s="138">
        <v>2010000</v>
      </c>
      <c r="E76" s="20" t="s">
        <v>509</v>
      </c>
      <c r="F76" s="20" t="s">
        <v>510</v>
      </c>
      <c r="G76" s="8" t="str">
        <f t="shared" si="2"/>
        <v>MAELZER KURT</v>
      </c>
      <c r="H76" s="20" t="str">
        <f t="shared" si="3"/>
        <v>4020</v>
      </c>
    </row>
    <row r="77" spans="1:8" x14ac:dyDescent="0.3">
      <c r="A77" s="8">
        <v>43056.373599537037</v>
      </c>
      <c r="B77" s="20" t="s">
        <v>548</v>
      </c>
      <c r="C77" s="20" t="s">
        <v>639</v>
      </c>
      <c r="D77" s="138">
        <v>3180000</v>
      </c>
      <c r="E77" s="20" t="s">
        <v>667</v>
      </c>
      <c r="F77" s="20" t="s">
        <v>668</v>
      </c>
      <c r="G77" s="8" t="str">
        <f t="shared" si="2"/>
        <v>HUFFSMITH MONTY</v>
      </c>
      <c r="H77" s="20" t="str">
        <f t="shared" si="3"/>
        <v>4039</v>
      </c>
    </row>
    <row r="78" spans="1:8" x14ac:dyDescent="0.3">
      <c r="A78" s="8">
        <v>43056.377962962964</v>
      </c>
      <c r="B78" s="20" t="s">
        <v>474</v>
      </c>
      <c r="C78" s="20" t="s">
        <v>726</v>
      </c>
      <c r="D78" s="138">
        <v>3510000</v>
      </c>
      <c r="E78" s="20" t="s">
        <v>549</v>
      </c>
      <c r="F78" s="20" t="s">
        <v>550</v>
      </c>
      <c r="G78" s="8" t="str">
        <f t="shared" si="2"/>
        <v>BARRON PERLA</v>
      </c>
      <c r="H78" s="20" t="str">
        <f t="shared" si="3"/>
        <v>4024</v>
      </c>
    </row>
    <row r="79" spans="1:8" x14ac:dyDescent="0.3">
      <c r="A79" s="8">
        <v>43056.38003472222</v>
      </c>
      <c r="B79" s="20" t="s">
        <v>561</v>
      </c>
      <c r="C79" s="20" t="s">
        <v>727</v>
      </c>
      <c r="D79" s="138">
        <v>1830000</v>
      </c>
      <c r="E79" s="20" t="s">
        <v>347</v>
      </c>
      <c r="F79" s="20" t="s">
        <v>348</v>
      </c>
      <c r="G79" s="8" t="str">
        <f t="shared" si="2"/>
        <v>YORK EDGAR</v>
      </c>
      <c r="H79" s="20" t="str">
        <f t="shared" si="3"/>
        <v>4065</v>
      </c>
    </row>
    <row r="80" spans="1:8" x14ac:dyDescent="0.3">
      <c r="A80" s="8">
        <v>43056.382557870369</v>
      </c>
      <c r="B80" s="20" t="s">
        <v>683</v>
      </c>
      <c r="C80" s="20" t="s">
        <v>728</v>
      </c>
      <c r="D80" s="138">
        <v>1230000</v>
      </c>
      <c r="E80" s="20" t="s">
        <v>552</v>
      </c>
      <c r="F80" s="20" t="s">
        <v>553</v>
      </c>
      <c r="G80" s="8" t="str">
        <f t="shared" si="2"/>
        <v>YANAI IAN</v>
      </c>
      <c r="H80" s="20" t="str">
        <f t="shared" si="3"/>
        <v>4064</v>
      </c>
    </row>
    <row r="81" spans="1:8" x14ac:dyDescent="0.3">
      <c r="A81" s="8">
        <v>43056.390763888892</v>
      </c>
      <c r="B81" s="20" t="s">
        <v>367</v>
      </c>
      <c r="C81" s="20" t="s">
        <v>729</v>
      </c>
      <c r="D81" s="138">
        <v>3700000</v>
      </c>
      <c r="E81" s="20" t="s">
        <v>459</v>
      </c>
      <c r="F81" s="20" t="s">
        <v>371</v>
      </c>
      <c r="G81" s="8" t="str">
        <f t="shared" si="2"/>
        <v>AUSTIN THOMPSON</v>
      </c>
      <c r="H81" s="20" t="str">
        <f t="shared" si="3"/>
        <v>4036</v>
      </c>
    </row>
    <row r="82" spans="1:8" x14ac:dyDescent="0.3">
      <c r="A82" s="8">
        <v>43056.393414351849</v>
      </c>
      <c r="B82" s="20" t="s">
        <v>476</v>
      </c>
      <c r="C82" s="20" t="s">
        <v>730</v>
      </c>
      <c r="D82" s="138">
        <v>3510000</v>
      </c>
      <c r="E82" s="20" t="s">
        <v>549</v>
      </c>
      <c r="F82" s="20" t="s">
        <v>550</v>
      </c>
      <c r="G82" s="8" t="str">
        <f t="shared" si="2"/>
        <v>BARRON PERLA</v>
      </c>
      <c r="H82" s="20" t="str">
        <f t="shared" si="3"/>
        <v>4023</v>
      </c>
    </row>
    <row r="83" spans="1:8" x14ac:dyDescent="0.3">
      <c r="A83" s="8">
        <v>43056.394166666665</v>
      </c>
      <c r="B83" s="20" t="s">
        <v>476</v>
      </c>
      <c r="C83" s="20" t="s">
        <v>730</v>
      </c>
      <c r="D83" s="138">
        <v>3510000</v>
      </c>
      <c r="E83" s="20" t="s">
        <v>549</v>
      </c>
      <c r="F83" s="20" t="s">
        <v>550</v>
      </c>
      <c r="G83" s="8" t="str">
        <f t="shared" si="2"/>
        <v>BARRON PERLA</v>
      </c>
      <c r="H83" s="20" t="str">
        <f t="shared" si="3"/>
        <v>4023</v>
      </c>
    </row>
    <row r="84" spans="1:8" x14ac:dyDescent="0.3">
      <c r="A84" s="8">
        <v>43056.402592592596</v>
      </c>
      <c r="B84" s="20" t="s">
        <v>465</v>
      </c>
      <c r="C84" s="20" t="s">
        <v>731</v>
      </c>
      <c r="D84" s="138">
        <v>1760000</v>
      </c>
      <c r="E84" s="20" t="s">
        <v>559</v>
      </c>
      <c r="F84" s="20" t="s">
        <v>560</v>
      </c>
      <c r="G84" s="8" t="str">
        <f t="shared" si="2"/>
        <v>STRICKLAND EVAN</v>
      </c>
      <c r="H84" s="20" t="str">
        <f t="shared" si="3"/>
        <v>4042</v>
      </c>
    </row>
    <row r="85" spans="1:8" x14ac:dyDescent="0.3">
      <c r="A85" s="8">
        <v>43056.403657407405</v>
      </c>
      <c r="B85" s="20" t="s">
        <v>545</v>
      </c>
      <c r="C85" s="20" t="s">
        <v>732</v>
      </c>
      <c r="D85" s="138">
        <v>2560000</v>
      </c>
      <c r="E85" s="20" t="s">
        <v>512</v>
      </c>
      <c r="F85" s="20" t="s">
        <v>513</v>
      </c>
      <c r="G85" s="8" t="str">
        <f t="shared" si="2"/>
        <v>MACDONALD THOMAS</v>
      </c>
      <c r="H85" s="20" t="str">
        <f t="shared" si="3"/>
        <v>4027</v>
      </c>
    </row>
    <row r="86" spans="1:8" x14ac:dyDescent="0.3">
      <c r="A86" s="8">
        <v>43056.406273148146</v>
      </c>
      <c r="B86" s="20" t="s">
        <v>542</v>
      </c>
      <c r="C86" s="20" t="s">
        <v>733</v>
      </c>
      <c r="D86" s="138">
        <v>2010000</v>
      </c>
      <c r="E86" s="20" t="s">
        <v>509</v>
      </c>
      <c r="F86" s="20" t="s">
        <v>510</v>
      </c>
      <c r="G86" s="8" t="str">
        <f t="shared" si="2"/>
        <v>MAELZER KURT</v>
      </c>
      <c r="H86" s="20" t="str">
        <f t="shared" si="3"/>
        <v>4019</v>
      </c>
    </row>
    <row r="87" spans="1:8" x14ac:dyDescent="0.3">
      <c r="A87" s="8">
        <v>43056.411932870367</v>
      </c>
      <c r="B87" s="20" t="s">
        <v>677</v>
      </c>
      <c r="C87" s="20" t="s">
        <v>734</v>
      </c>
      <c r="D87" s="138">
        <v>1230000</v>
      </c>
      <c r="E87" s="20" t="s">
        <v>552</v>
      </c>
      <c r="F87" s="20" t="s">
        <v>553</v>
      </c>
      <c r="G87" s="8" t="str">
        <f t="shared" si="2"/>
        <v>YANAI IAN</v>
      </c>
      <c r="H87" s="20" t="str">
        <f t="shared" si="3"/>
        <v>4063</v>
      </c>
    </row>
    <row r="88" spans="1:8" x14ac:dyDescent="0.3">
      <c r="A88" s="8">
        <v>43056.414398148147</v>
      </c>
      <c r="B88" s="20" t="s">
        <v>543</v>
      </c>
      <c r="C88" s="20" t="s">
        <v>735</v>
      </c>
      <c r="D88" s="138">
        <v>3180000</v>
      </c>
      <c r="E88" s="20" t="s">
        <v>667</v>
      </c>
      <c r="F88" s="20" t="s">
        <v>668</v>
      </c>
      <c r="G88" s="8" t="str">
        <f t="shared" si="2"/>
        <v>HUFFSMITH MONTY</v>
      </c>
      <c r="H88" s="20" t="str">
        <f t="shared" si="3"/>
        <v>4040</v>
      </c>
    </row>
    <row r="89" spans="1:8" x14ac:dyDescent="0.3">
      <c r="A89" s="8">
        <v>43056.416400462964</v>
      </c>
      <c r="B89" s="20" t="s">
        <v>474</v>
      </c>
      <c r="C89" s="20" t="s">
        <v>640</v>
      </c>
      <c r="D89" s="138">
        <v>3510000</v>
      </c>
      <c r="E89" s="20" t="s">
        <v>549</v>
      </c>
      <c r="F89" s="20" t="s">
        <v>550</v>
      </c>
      <c r="G89" s="8" t="str">
        <f t="shared" si="2"/>
        <v>BARRON PERLA</v>
      </c>
      <c r="H89" s="20" t="str">
        <f t="shared" si="3"/>
        <v>4024</v>
      </c>
    </row>
    <row r="90" spans="1:8" x14ac:dyDescent="0.3">
      <c r="A90" s="8">
        <v>43056.423981481479</v>
      </c>
      <c r="B90" s="20" t="s">
        <v>632</v>
      </c>
      <c r="C90" s="20" t="s">
        <v>736</v>
      </c>
      <c r="D90" s="138">
        <v>3040000</v>
      </c>
      <c r="E90" s="20" t="s">
        <v>369</v>
      </c>
      <c r="F90" s="20" t="s">
        <v>511</v>
      </c>
      <c r="G90" s="8" t="str">
        <f t="shared" si="2"/>
        <v>WILLIAMS DONTE</v>
      </c>
      <c r="H90" s="20" t="str">
        <f t="shared" si="3"/>
        <v>4066</v>
      </c>
    </row>
    <row r="91" spans="1:8" x14ac:dyDescent="0.3">
      <c r="A91" s="8">
        <v>43056.432662037034</v>
      </c>
      <c r="B91" s="20" t="s">
        <v>368</v>
      </c>
      <c r="C91" s="20" t="s">
        <v>737</v>
      </c>
      <c r="D91" s="138">
        <v>3700000</v>
      </c>
      <c r="E91" s="20" t="s">
        <v>459</v>
      </c>
      <c r="F91" s="20" t="s">
        <v>371</v>
      </c>
      <c r="G91" s="8" t="str">
        <f t="shared" si="2"/>
        <v>AUSTIN THOMPSON</v>
      </c>
      <c r="H91" s="20" t="str">
        <f t="shared" si="3"/>
        <v>4035</v>
      </c>
    </row>
    <row r="92" spans="1:8" x14ac:dyDescent="0.3">
      <c r="A92" s="8">
        <v>43056.433993055558</v>
      </c>
      <c r="B92" s="20" t="s">
        <v>636</v>
      </c>
      <c r="C92" s="20" t="s">
        <v>641</v>
      </c>
      <c r="D92" s="138">
        <v>1760000</v>
      </c>
      <c r="E92" s="20" t="s">
        <v>559</v>
      </c>
      <c r="F92" s="20" t="s">
        <v>560</v>
      </c>
      <c r="G92" s="8" t="str">
        <f t="shared" si="2"/>
        <v>STRICKLAND EVAN</v>
      </c>
      <c r="H92" s="20" t="str">
        <f t="shared" si="3"/>
        <v>4041</v>
      </c>
    </row>
    <row r="93" spans="1:8" x14ac:dyDescent="0.3">
      <c r="A93" s="8">
        <v>43056.435694444444</v>
      </c>
      <c r="B93" s="20" t="s">
        <v>452</v>
      </c>
      <c r="C93" s="20" t="s">
        <v>659</v>
      </c>
      <c r="D93" s="138">
        <v>1340000</v>
      </c>
      <c r="E93" s="20" t="s">
        <v>738</v>
      </c>
      <c r="F93" s="20" t="s">
        <v>739</v>
      </c>
      <c r="G93" s="8" t="str">
        <f t="shared" si="2"/>
        <v>BEAM ROSS</v>
      </c>
      <c r="H93" s="20" t="str">
        <f t="shared" si="3"/>
        <v>4010</v>
      </c>
    </row>
    <row r="94" spans="1:8" x14ac:dyDescent="0.3">
      <c r="A94" s="8">
        <v>43056.435752314814</v>
      </c>
      <c r="B94" s="20" t="s">
        <v>393</v>
      </c>
      <c r="C94" s="20" t="s">
        <v>740</v>
      </c>
      <c r="D94" s="138">
        <v>2560000</v>
      </c>
      <c r="E94" s="20" t="s">
        <v>512</v>
      </c>
      <c r="F94" s="20" t="s">
        <v>513</v>
      </c>
      <c r="G94" s="8" t="str">
        <f t="shared" si="2"/>
        <v>MACDONALD THOMAS</v>
      </c>
      <c r="H94" s="20" t="str">
        <f t="shared" si="3"/>
        <v>4028</v>
      </c>
    </row>
    <row r="95" spans="1:8" x14ac:dyDescent="0.3">
      <c r="A95" s="8">
        <v>43056.436689814815</v>
      </c>
      <c r="B95" s="20" t="s">
        <v>476</v>
      </c>
      <c r="C95" s="20" t="s">
        <v>642</v>
      </c>
      <c r="D95" s="138">
        <v>3510000</v>
      </c>
      <c r="E95" s="20" t="s">
        <v>549</v>
      </c>
      <c r="F95" s="20" t="s">
        <v>550</v>
      </c>
      <c r="G95" s="8" t="str">
        <f t="shared" si="2"/>
        <v>BARRON PERLA</v>
      </c>
      <c r="H95" s="20" t="str">
        <f t="shared" si="3"/>
        <v>4023</v>
      </c>
    </row>
    <row r="96" spans="1:8" x14ac:dyDescent="0.3">
      <c r="A96" s="8">
        <v>43056.442858796298</v>
      </c>
      <c r="B96" s="20" t="s">
        <v>451</v>
      </c>
      <c r="C96" s="20" t="s">
        <v>741</v>
      </c>
      <c r="D96" s="138">
        <v>1340000</v>
      </c>
      <c r="E96" s="20" t="s">
        <v>738</v>
      </c>
      <c r="F96" s="20" t="s">
        <v>739</v>
      </c>
      <c r="G96" s="8" t="str">
        <f t="shared" si="2"/>
        <v>BEAM ROSS</v>
      </c>
      <c r="H96" s="20" t="str">
        <f t="shared" si="3"/>
        <v>4009</v>
      </c>
    </row>
    <row r="97" spans="1:8" x14ac:dyDescent="0.3">
      <c r="A97" s="8">
        <v>43056.443576388891</v>
      </c>
      <c r="B97" s="20" t="s">
        <v>451</v>
      </c>
      <c r="C97" s="20" t="s">
        <v>741</v>
      </c>
      <c r="D97" s="138">
        <v>1340000</v>
      </c>
      <c r="E97" s="20" t="s">
        <v>738</v>
      </c>
      <c r="F97" s="20" t="s">
        <v>739</v>
      </c>
      <c r="G97" s="8" t="str">
        <f t="shared" si="2"/>
        <v>BEAM ROSS</v>
      </c>
      <c r="H97" s="20" t="str">
        <f t="shared" si="3"/>
        <v>4009</v>
      </c>
    </row>
    <row r="98" spans="1:8" x14ac:dyDescent="0.3">
      <c r="A98" s="8">
        <v>43056.444340277776</v>
      </c>
      <c r="B98" s="20" t="s">
        <v>451</v>
      </c>
      <c r="C98" s="20" t="s">
        <v>659</v>
      </c>
      <c r="D98" s="138">
        <v>1340000</v>
      </c>
      <c r="E98" s="20" t="s">
        <v>738</v>
      </c>
      <c r="F98" s="20" t="s">
        <v>739</v>
      </c>
      <c r="G98" s="8" t="str">
        <f t="shared" si="2"/>
        <v>BEAM ROSS</v>
      </c>
      <c r="H98" s="20" t="str">
        <f t="shared" si="3"/>
        <v>4009</v>
      </c>
    </row>
    <row r="99" spans="1:8" x14ac:dyDescent="0.3">
      <c r="A99" s="8">
        <v>43056.444444444445</v>
      </c>
      <c r="B99" s="20" t="s">
        <v>544</v>
      </c>
      <c r="C99" s="20" t="s">
        <v>742</v>
      </c>
      <c r="D99" s="138">
        <v>2550000</v>
      </c>
      <c r="E99" s="20" t="s">
        <v>515</v>
      </c>
      <c r="F99" s="20" t="s">
        <v>516</v>
      </c>
      <c r="G99" s="8" t="str">
        <f t="shared" si="2"/>
        <v>BADERTSCHER DIANE</v>
      </c>
      <c r="H99" s="20" t="str">
        <f t="shared" si="3"/>
        <v>4020</v>
      </c>
    </row>
    <row r="100" spans="1:8" x14ac:dyDescent="0.3">
      <c r="A100" s="8">
        <v>43056.448923611111</v>
      </c>
      <c r="B100" s="20" t="s">
        <v>452</v>
      </c>
      <c r="C100" s="20" t="s">
        <v>643</v>
      </c>
      <c r="D100" s="138">
        <v>1230000</v>
      </c>
      <c r="E100" s="20" t="s">
        <v>552</v>
      </c>
      <c r="F100" s="20" t="s">
        <v>553</v>
      </c>
      <c r="G100" s="8" t="str">
        <f t="shared" si="2"/>
        <v>YANAI IAN</v>
      </c>
      <c r="H100" s="20" t="str">
        <f t="shared" si="3"/>
        <v>4010</v>
      </c>
    </row>
    <row r="101" spans="1:8" x14ac:dyDescent="0.3">
      <c r="A101" s="8">
        <v>43056.449340277781</v>
      </c>
      <c r="B101" s="20" t="s">
        <v>387</v>
      </c>
      <c r="C101" s="20" t="s">
        <v>743</v>
      </c>
      <c r="D101" s="138">
        <v>2040000</v>
      </c>
      <c r="E101" s="20" t="s">
        <v>398</v>
      </c>
      <c r="F101" s="20" t="s">
        <v>399</v>
      </c>
      <c r="G101" s="8" t="str">
        <f t="shared" si="2"/>
        <v>MOSES BRADLEY</v>
      </c>
      <c r="H101" s="20" t="str">
        <f t="shared" si="3"/>
        <v>4061</v>
      </c>
    </row>
    <row r="102" spans="1:8" x14ac:dyDescent="0.3">
      <c r="A102" s="8">
        <v>43056.449606481481</v>
      </c>
      <c r="B102" s="20" t="s">
        <v>548</v>
      </c>
      <c r="C102" s="20" t="s">
        <v>744</v>
      </c>
      <c r="D102" s="138">
        <v>3180000</v>
      </c>
      <c r="E102" s="20" t="s">
        <v>667</v>
      </c>
      <c r="F102" s="20" t="s">
        <v>668</v>
      </c>
      <c r="G102" s="8" t="str">
        <f t="shared" si="2"/>
        <v>HUFFSMITH MONTY</v>
      </c>
      <c r="H102" s="20" t="str">
        <f t="shared" si="3"/>
        <v>4039</v>
      </c>
    </row>
    <row r="103" spans="1:8" x14ac:dyDescent="0.3">
      <c r="A103" s="8">
        <v>43056.460162037038</v>
      </c>
      <c r="B103" s="20" t="s">
        <v>474</v>
      </c>
      <c r="C103" s="20" t="s">
        <v>745</v>
      </c>
      <c r="D103" s="138">
        <v>3510000</v>
      </c>
      <c r="E103" s="20" t="s">
        <v>549</v>
      </c>
      <c r="F103" s="20" t="s">
        <v>550</v>
      </c>
      <c r="G103" s="8" t="str">
        <f t="shared" si="2"/>
        <v>BARRON PERLA</v>
      </c>
      <c r="H103" s="20" t="str">
        <f t="shared" si="3"/>
        <v>4024</v>
      </c>
    </row>
    <row r="104" spans="1:8" x14ac:dyDescent="0.3">
      <c r="A104" s="8">
        <v>43056.462638888886</v>
      </c>
      <c r="B104" s="20" t="s">
        <v>561</v>
      </c>
      <c r="C104" s="20" t="s">
        <v>746</v>
      </c>
      <c r="D104" s="138">
        <v>3040000</v>
      </c>
      <c r="E104" s="20" t="s">
        <v>369</v>
      </c>
      <c r="F104" s="20" t="s">
        <v>511</v>
      </c>
      <c r="G104" s="8" t="str">
        <f t="shared" si="2"/>
        <v>WILLIAMS DONTE</v>
      </c>
      <c r="H104" s="20" t="str">
        <f t="shared" si="3"/>
        <v>4065</v>
      </c>
    </row>
    <row r="105" spans="1:8" x14ac:dyDescent="0.3">
      <c r="A105" s="8">
        <v>43056.466469907406</v>
      </c>
      <c r="B105" s="20" t="s">
        <v>367</v>
      </c>
      <c r="C105" s="20" t="s">
        <v>747</v>
      </c>
      <c r="D105" s="138">
        <v>2630000</v>
      </c>
      <c r="E105" s="20" t="s">
        <v>374</v>
      </c>
      <c r="F105" s="20" t="s">
        <v>375</v>
      </c>
      <c r="G105" s="8" t="str">
        <f t="shared" si="2"/>
        <v>SAFIEF AEIMEN</v>
      </c>
      <c r="H105" s="20" t="str">
        <f t="shared" si="3"/>
        <v>4036</v>
      </c>
    </row>
    <row r="106" spans="1:8" x14ac:dyDescent="0.3">
      <c r="A106" s="8">
        <v>43056.474386574075</v>
      </c>
      <c r="B106" s="20" t="s">
        <v>545</v>
      </c>
      <c r="C106" s="20" t="s">
        <v>748</v>
      </c>
      <c r="D106" s="138">
        <v>2560000</v>
      </c>
      <c r="E106" s="20" t="s">
        <v>512</v>
      </c>
      <c r="F106" s="20" t="s">
        <v>513</v>
      </c>
      <c r="G106" s="8" t="str">
        <f t="shared" si="2"/>
        <v>MACDONALD THOMAS</v>
      </c>
      <c r="H106" s="20" t="str">
        <f t="shared" si="3"/>
        <v>4027</v>
      </c>
    </row>
    <row r="107" spans="1:8" x14ac:dyDescent="0.3">
      <c r="A107" s="8">
        <v>43056.476064814815</v>
      </c>
      <c r="B107" s="20" t="s">
        <v>465</v>
      </c>
      <c r="C107" s="20" t="s">
        <v>749</v>
      </c>
      <c r="D107" s="138">
        <v>1810000</v>
      </c>
      <c r="E107" s="20" t="s">
        <v>750</v>
      </c>
      <c r="F107" s="20" t="s">
        <v>397</v>
      </c>
      <c r="G107" s="8" t="str">
        <f t="shared" si="2"/>
        <v>NEWELL JAMES</v>
      </c>
      <c r="H107" s="20" t="str">
        <f t="shared" si="3"/>
        <v>4042</v>
      </c>
    </row>
    <row r="108" spans="1:8" x14ac:dyDescent="0.3">
      <c r="A108" s="8">
        <v>43056.47755787037</v>
      </c>
      <c r="B108" s="20" t="s">
        <v>476</v>
      </c>
      <c r="C108" s="20" t="s">
        <v>644</v>
      </c>
      <c r="D108" s="138">
        <v>3510000</v>
      </c>
      <c r="E108" s="20" t="s">
        <v>549</v>
      </c>
      <c r="F108" s="20" t="s">
        <v>550</v>
      </c>
      <c r="G108" s="8" t="str">
        <f t="shared" si="2"/>
        <v>BARRON PERLA</v>
      </c>
      <c r="H108" s="20" t="str">
        <f t="shared" si="3"/>
        <v>4023</v>
      </c>
    </row>
    <row r="109" spans="1:8" x14ac:dyDescent="0.3">
      <c r="A109" s="8">
        <v>43056.477962962963</v>
      </c>
      <c r="B109" s="20" t="s">
        <v>385</v>
      </c>
      <c r="C109" s="20" t="s">
        <v>751</v>
      </c>
      <c r="D109" s="138">
        <v>3030000</v>
      </c>
      <c r="E109" s="20" t="s">
        <v>514</v>
      </c>
      <c r="F109" s="20" t="s">
        <v>513</v>
      </c>
      <c r="G109" s="8" t="str">
        <f t="shared" si="2"/>
        <v>BIRENBAUM THOMAS</v>
      </c>
      <c r="H109" s="20" t="str">
        <f t="shared" si="3"/>
        <v>4062</v>
      </c>
    </row>
    <row r="110" spans="1:8" x14ac:dyDescent="0.3">
      <c r="A110" s="8">
        <v>43056.481122685182</v>
      </c>
      <c r="B110" s="20" t="s">
        <v>542</v>
      </c>
      <c r="C110" s="20" t="s">
        <v>752</v>
      </c>
      <c r="D110" s="138">
        <v>2550000</v>
      </c>
      <c r="E110" s="20" t="s">
        <v>515</v>
      </c>
      <c r="F110" s="20" t="s">
        <v>516</v>
      </c>
      <c r="G110" s="8" t="str">
        <f t="shared" si="2"/>
        <v>BADERTSCHER DIANE</v>
      </c>
      <c r="H110" s="20" t="str">
        <f t="shared" si="3"/>
        <v>4019</v>
      </c>
    </row>
    <row r="111" spans="1:8" x14ac:dyDescent="0.3">
      <c r="A111" s="8">
        <v>43056.486377314817</v>
      </c>
      <c r="B111" s="20" t="s">
        <v>451</v>
      </c>
      <c r="C111" s="20" t="s">
        <v>753</v>
      </c>
      <c r="D111" s="138">
        <v>1230000</v>
      </c>
      <c r="E111" s="20" t="s">
        <v>552</v>
      </c>
      <c r="F111" s="20" t="s">
        <v>553</v>
      </c>
      <c r="G111" s="8" t="str">
        <f t="shared" si="2"/>
        <v>YANAI IAN</v>
      </c>
      <c r="H111" s="20" t="str">
        <f t="shared" si="3"/>
        <v>4009</v>
      </c>
    </row>
    <row r="112" spans="1:8" x14ac:dyDescent="0.3">
      <c r="A112" s="8">
        <v>43056.488263888888</v>
      </c>
      <c r="B112" s="20" t="s">
        <v>543</v>
      </c>
      <c r="C112" s="20" t="s">
        <v>754</v>
      </c>
      <c r="D112" s="138">
        <v>1780000</v>
      </c>
      <c r="E112" s="20" t="s">
        <v>755</v>
      </c>
      <c r="F112" s="20" t="s">
        <v>756</v>
      </c>
      <c r="G112" s="8" t="str">
        <f t="shared" si="2"/>
        <v>DE LA ROSA ALEX</v>
      </c>
      <c r="H112" s="20" t="str">
        <f t="shared" si="3"/>
        <v>4040</v>
      </c>
    </row>
    <row r="113" spans="1:8" x14ac:dyDescent="0.3">
      <c r="A113" s="8">
        <v>43056.501319444447</v>
      </c>
      <c r="B113" s="20" t="s">
        <v>632</v>
      </c>
      <c r="C113" s="20" t="s">
        <v>757</v>
      </c>
      <c r="D113" s="138">
        <v>3000000</v>
      </c>
      <c r="E113" s="20" t="s">
        <v>758</v>
      </c>
      <c r="F113" s="20" t="s">
        <v>759</v>
      </c>
      <c r="G113" s="8" t="str">
        <f t="shared" si="2"/>
        <v>FORTUNATO FRANK</v>
      </c>
      <c r="H113" s="20" t="str">
        <f t="shared" si="3"/>
        <v>4066</v>
      </c>
    </row>
    <row r="114" spans="1:8" x14ac:dyDescent="0.3">
      <c r="A114" s="8">
        <v>43056.50141203704</v>
      </c>
      <c r="B114" s="20" t="s">
        <v>368</v>
      </c>
      <c r="C114" s="20" t="s">
        <v>760</v>
      </c>
      <c r="D114" s="138">
        <v>2630000</v>
      </c>
      <c r="E114" s="20" t="s">
        <v>374</v>
      </c>
      <c r="F114" s="20" t="s">
        <v>375</v>
      </c>
      <c r="G114" s="8" t="str">
        <f t="shared" si="2"/>
        <v>SAFIEF AEIMEN</v>
      </c>
      <c r="H114" s="20" t="str">
        <f t="shared" si="3"/>
        <v>4035</v>
      </c>
    </row>
    <row r="115" spans="1:8" x14ac:dyDescent="0.3">
      <c r="A115" s="8">
        <v>43056.501423611109</v>
      </c>
      <c r="B115" s="20" t="s">
        <v>474</v>
      </c>
      <c r="C115" s="20" t="s">
        <v>761</v>
      </c>
      <c r="D115" s="138">
        <v>3510000</v>
      </c>
      <c r="E115" s="20" t="s">
        <v>549</v>
      </c>
      <c r="F115" s="20" t="s">
        <v>550</v>
      </c>
      <c r="G115" s="8" t="str">
        <f t="shared" si="2"/>
        <v>BARRON PERLA</v>
      </c>
      <c r="H115" s="20" t="str">
        <f t="shared" si="3"/>
        <v>4024</v>
      </c>
    </row>
    <row r="116" spans="1:8" x14ac:dyDescent="0.3">
      <c r="A116" s="8">
        <v>43056.507476851853</v>
      </c>
      <c r="B116" s="20" t="s">
        <v>636</v>
      </c>
      <c r="C116" s="20" t="s">
        <v>762</v>
      </c>
      <c r="D116" s="138">
        <v>1810000</v>
      </c>
      <c r="E116" s="20" t="s">
        <v>750</v>
      </c>
      <c r="F116" s="20" t="s">
        <v>397</v>
      </c>
      <c r="G116" s="8" t="str">
        <f t="shared" si="2"/>
        <v>NEWELL JAMES</v>
      </c>
      <c r="H116" s="20" t="str">
        <f t="shared" si="3"/>
        <v>4041</v>
      </c>
    </row>
    <row r="117" spans="1:8" x14ac:dyDescent="0.3">
      <c r="A117" s="8">
        <v>43056.509305555555</v>
      </c>
      <c r="B117" s="20" t="s">
        <v>393</v>
      </c>
      <c r="C117" s="20" t="s">
        <v>763</v>
      </c>
      <c r="D117" s="138">
        <v>1300000</v>
      </c>
      <c r="E117" s="20" t="s">
        <v>359</v>
      </c>
      <c r="F117" s="20" t="s">
        <v>360</v>
      </c>
      <c r="G117" s="8" t="str">
        <f t="shared" si="2"/>
        <v>LEVIN SCOTT</v>
      </c>
      <c r="H117" s="20" t="str">
        <f t="shared" si="3"/>
        <v>4028</v>
      </c>
    </row>
    <row r="118" spans="1:8" x14ac:dyDescent="0.3">
      <c r="A118" s="8">
        <v>43056.518969907411</v>
      </c>
      <c r="B118" s="20" t="s">
        <v>476</v>
      </c>
      <c r="C118" s="20" t="s">
        <v>764</v>
      </c>
      <c r="D118" s="138">
        <v>3510000</v>
      </c>
      <c r="E118" s="20" t="s">
        <v>549</v>
      </c>
      <c r="F118" s="20" t="s">
        <v>550</v>
      </c>
      <c r="G118" s="8" t="str">
        <f t="shared" si="2"/>
        <v>BARRON PERLA</v>
      </c>
      <c r="H118" s="20" t="str">
        <f t="shared" si="3"/>
        <v>4023</v>
      </c>
    </row>
    <row r="119" spans="1:8" x14ac:dyDescent="0.3">
      <c r="A119" s="8">
        <v>43056.52107638889</v>
      </c>
      <c r="B119" s="20" t="s">
        <v>544</v>
      </c>
      <c r="C119" s="20" t="s">
        <v>765</v>
      </c>
      <c r="D119" s="138">
        <v>2550000</v>
      </c>
      <c r="E119" s="20" t="s">
        <v>515</v>
      </c>
      <c r="F119" s="20" t="s">
        <v>516</v>
      </c>
      <c r="G119" s="8" t="str">
        <f t="shared" si="2"/>
        <v>BADERTSCHER DIANE</v>
      </c>
      <c r="H119" s="20" t="str">
        <f t="shared" si="3"/>
        <v>4020</v>
      </c>
    </row>
    <row r="120" spans="1:8" x14ac:dyDescent="0.3">
      <c r="A120" s="8">
        <v>43056.526284722226</v>
      </c>
      <c r="B120" s="20" t="s">
        <v>548</v>
      </c>
      <c r="C120" s="20" t="s">
        <v>766</v>
      </c>
      <c r="D120" s="138">
        <v>1780000</v>
      </c>
      <c r="E120" s="20" t="s">
        <v>755</v>
      </c>
      <c r="F120" s="20" t="s">
        <v>756</v>
      </c>
      <c r="G120" s="8" t="str">
        <f t="shared" si="2"/>
        <v>DE LA ROSA ALEX</v>
      </c>
      <c r="H120" s="20" t="str">
        <f t="shared" si="3"/>
        <v>4039</v>
      </c>
    </row>
    <row r="121" spans="1:8" x14ac:dyDescent="0.3">
      <c r="A121" s="8">
        <v>43056.529780092591</v>
      </c>
      <c r="B121" s="20" t="s">
        <v>452</v>
      </c>
      <c r="C121" s="20" t="s">
        <v>767</v>
      </c>
      <c r="D121" s="138">
        <v>2420000</v>
      </c>
      <c r="E121" s="20" t="s">
        <v>768</v>
      </c>
      <c r="F121" s="20" t="s">
        <v>769</v>
      </c>
      <c r="G121" s="8" t="str">
        <f t="shared" si="2"/>
        <v>HOLCOMB KAMDEN</v>
      </c>
      <c r="H121" s="20" t="str">
        <f t="shared" si="3"/>
        <v>4010</v>
      </c>
    </row>
    <row r="122" spans="1:8" x14ac:dyDescent="0.3">
      <c r="A122" s="8">
        <v>43056.530428240738</v>
      </c>
      <c r="B122" s="25" t="s">
        <v>561</v>
      </c>
      <c r="C122" s="20" t="s">
        <v>770</v>
      </c>
      <c r="D122" s="138">
        <v>3000000</v>
      </c>
      <c r="E122" s="20" t="s">
        <v>758</v>
      </c>
      <c r="F122" s="20" t="s">
        <v>759</v>
      </c>
      <c r="G122" s="8" t="str">
        <f t="shared" si="2"/>
        <v>FORTUNATO FRANK</v>
      </c>
      <c r="H122" s="20" t="str">
        <f t="shared" si="3"/>
        <v>4065</v>
      </c>
    </row>
    <row r="123" spans="1:8" x14ac:dyDescent="0.3">
      <c r="A123" s="8">
        <v>43056.538599537038</v>
      </c>
      <c r="B123" s="20" t="s">
        <v>367</v>
      </c>
      <c r="C123" s="20" t="s">
        <v>771</v>
      </c>
      <c r="D123" s="138">
        <v>2630000</v>
      </c>
      <c r="E123" s="20" t="s">
        <v>374</v>
      </c>
      <c r="F123" s="20" t="s">
        <v>375</v>
      </c>
      <c r="G123" s="8" t="str">
        <f t="shared" si="2"/>
        <v>SAFIEF AEIMEN</v>
      </c>
      <c r="H123" s="20" t="str">
        <f t="shared" si="3"/>
        <v>4036</v>
      </c>
    </row>
    <row r="124" spans="1:8" x14ac:dyDescent="0.3">
      <c r="A124" s="8">
        <v>43056.540879629632</v>
      </c>
      <c r="B124" s="20" t="s">
        <v>474</v>
      </c>
      <c r="C124" s="20" t="s">
        <v>772</v>
      </c>
      <c r="D124" s="138">
        <v>2350000</v>
      </c>
      <c r="E124" s="20" t="s">
        <v>773</v>
      </c>
      <c r="F124" s="20" t="s">
        <v>774</v>
      </c>
      <c r="G124" s="8" t="str">
        <f t="shared" si="2"/>
        <v>BERLING GARY</v>
      </c>
      <c r="H124" s="20" t="str">
        <f t="shared" si="3"/>
        <v>4024</v>
      </c>
    </row>
    <row r="125" spans="1:8" x14ac:dyDescent="0.3">
      <c r="A125" s="8">
        <v>43056.54583333333</v>
      </c>
      <c r="B125" s="20" t="s">
        <v>545</v>
      </c>
      <c r="C125" s="20" t="s">
        <v>645</v>
      </c>
      <c r="D125" s="138">
        <v>1300000</v>
      </c>
      <c r="E125" s="20" t="s">
        <v>359</v>
      </c>
      <c r="F125" s="20" t="s">
        <v>360</v>
      </c>
      <c r="G125" s="8" t="str">
        <f t="shared" si="2"/>
        <v>LEVIN SCOTT</v>
      </c>
      <c r="H125" s="20" t="str">
        <f t="shared" si="3"/>
        <v>4027</v>
      </c>
    </row>
    <row r="126" spans="1:8" x14ac:dyDescent="0.3">
      <c r="A126" s="8">
        <v>43056.549872685187</v>
      </c>
      <c r="B126" s="20" t="s">
        <v>465</v>
      </c>
      <c r="C126" s="20" t="s">
        <v>775</v>
      </c>
      <c r="D126" s="138">
        <v>1770000</v>
      </c>
      <c r="E126" s="20" t="s">
        <v>776</v>
      </c>
      <c r="F126" s="20" t="s">
        <v>777</v>
      </c>
      <c r="G126" s="8" t="str">
        <f t="shared" si="2"/>
        <v>BRUDER RICHARD</v>
      </c>
      <c r="H126" s="20" t="str">
        <f t="shared" si="3"/>
        <v>4042</v>
      </c>
    </row>
    <row r="127" spans="1:8" x14ac:dyDescent="0.3">
      <c r="A127" s="8">
        <v>43056.557488425926</v>
      </c>
      <c r="B127" s="20" t="s">
        <v>542</v>
      </c>
      <c r="C127" s="20" t="s">
        <v>778</v>
      </c>
      <c r="D127" s="138">
        <v>2550000</v>
      </c>
      <c r="E127" s="20" t="s">
        <v>515</v>
      </c>
      <c r="F127" s="20" t="s">
        <v>516</v>
      </c>
      <c r="G127" s="8" t="str">
        <f t="shared" si="2"/>
        <v>BADERTSCHER DIANE</v>
      </c>
      <c r="H127" s="20" t="str">
        <f t="shared" si="3"/>
        <v>4019</v>
      </c>
    </row>
    <row r="128" spans="1:8" x14ac:dyDescent="0.3">
      <c r="A128" s="8">
        <v>43056.559421296297</v>
      </c>
      <c r="B128" s="20" t="s">
        <v>543</v>
      </c>
      <c r="C128" s="20" t="s">
        <v>779</v>
      </c>
      <c r="D128" s="138">
        <v>1180000</v>
      </c>
      <c r="E128" s="20" t="s">
        <v>557</v>
      </c>
      <c r="F128" s="20" t="s">
        <v>558</v>
      </c>
      <c r="G128" s="8" t="str">
        <f t="shared" si="2"/>
        <v>LEVERE CRAIG</v>
      </c>
      <c r="H128" s="20" t="str">
        <f t="shared" si="3"/>
        <v>4040</v>
      </c>
    </row>
    <row r="129" spans="1:8" x14ac:dyDescent="0.3">
      <c r="A129" s="8">
        <v>43056.560555555552</v>
      </c>
      <c r="B129" s="20" t="s">
        <v>476</v>
      </c>
      <c r="C129" s="20" t="s">
        <v>780</v>
      </c>
      <c r="D129" s="138">
        <v>2350000</v>
      </c>
      <c r="E129" s="20" t="s">
        <v>773</v>
      </c>
      <c r="F129" s="20" t="s">
        <v>774</v>
      </c>
      <c r="G129" s="8" t="str">
        <f t="shared" si="2"/>
        <v>BERLING GARY</v>
      </c>
      <c r="H129" s="20" t="str">
        <f t="shared" si="3"/>
        <v>4023</v>
      </c>
    </row>
    <row r="130" spans="1:8" x14ac:dyDescent="0.3">
      <c r="A130" s="8">
        <v>43056.567731481482</v>
      </c>
      <c r="B130" s="20" t="s">
        <v>451</v>
      </c>
      <c r="C130" s="20" t="s">
        <v>781</v>
      </c>
      <c r="D130" s="138">
        <v>2420000</v>
      </c>
      <c r="E130" s="20" t="s">
        <v>768</v>
      </c>
      <c r="F130" s="20" t="s">
        <v>769</v>
      </c>
      <c r="G130" s="8" t="str">
        <f t="shared" si="2"/>
        <v>HOLCOMB KAMDEN</v>
      </c>
      <c r="H130" s="20" t="str">
        <f t="shared" si="3"/>
        <v>4009</v>
      </c>
    </row>
    <row r="131" spans="1:8" x14ac:dyDescent="0.3">
      <c r="A131" s="8">
        <v>43056.569328703707</v>
      </c>
      <c r="B131" s="20" t="s">
        <v>368</v>
      </c>
      <c r="C131" s="20" t="s">
        <v>782</v>
      </c>
      <c r="D131" s="138">
        <v>2630000</v>
      </c>
      <c r="E131" s="20" t="s">
        <v>374</v>
      </c>
      <c r="F131" s="20" t="s">
        <v>375</v>
      </c>
      <c r="G131" s="8" t="str">
        <f t="shared" ref="G131:G194" si="4">E131&amp;" "&amp;F131</f>
        <v>SAFIEF AEIMEN</v>
      </c>
      <c r="H131" s="20" t="str">
        <f t="shared" ref="H131:H194" si="5">MID(B131,13,4)</f>
        <v>4035</v>
      </c>
    </row>
    <row r="132" spans="1:8" x14ac:dyDescent="0.3">
      <c r="A132" s="8">
        <v>43056.569699074076</v>
      </c>
      <c r="B132" s="20" t="s">
        <v>632</v>
      </c>
      <c r="C132" s="20" t="s">
        <v>783</v>
      </c>
      <c r="D132" s="138">
        <v>3000000</v>
      </c>
      <c r="E132" s="20" t="s">
        <v>758</v>
      </c>
      <c r="F132" s="20" t="s">
        <v>759</v>
      </c>
      <c r="G132" s="8" t="str">
        <f t="shared" si="4"/>
        <v>FORTUNATO FRANK</v>
      </c>
      <c r="H132" s="20" t="str">
        <f t="shared" si="5"/>
        <v>4066</v>
      </c>
    </row>
    <row r="133" spans="1:8" x14ac:dyDescent="0.3">
      <c r="A133" s="8">
        <v>43056.578217592592</v>
      </c>
      <c r="B133" s="20" t="s">
        <v>393</v>
      </c>
      <c r="C133" s="20" t="s">
        <v>784</v>
      </c>
      <c r="D133" s="138">
        <v>2370000</v>
      </c>
      <c r="E133" s="20" t="s">
        <v>785</v>
      </c>
      <c r="F133" s="20" t="s">
        <v>786</v>
      </c>
      <c r="G133" s="8" t="str">
        <f t="shared" si="4"/>
        <v>DELGADO DIANAH</v>
      </c>
      <c r="H133" s="20" t="str">
        <f t="shared" si="5"/>
        <v>4028</v>
      </c>
    </row>
    <row r="134" spans="1:8" x14ac:dyDescent="0.3">
      <c r="A134" s="8">
        <v>43056.583726851852</v>
      </c>
      <c r="B134" s="20" t="s">
        <v>474</v>
      </c>
      <c r="C134" s="20" t="s">
        <v>787</v>
      </c>
      <c r="D134" s="138">
        <v>2350000</v>
      </c>
      <c r="E134" s="20" t="s">
        <v>773</v>
      </c>
      <c r="F134" s="20" t="s">
        <v>774</v>
      </c>
      <c r="G134" s="8" t="str">
        <f t="shared" si="4"/>
        <v>BERLING GARY</v>
      </c>
      <c r="H134" s="20" t="str">
        <f t="shared" si="5"/>
        <v>4024</v>
      </c>
    </row>
    <row r="135" spans="1:8" x14ac:dyDescent="0.3">
      <c r="A135" s="8">
        <v>43056.58902777778</v>
      </c>
      <c r="B135" s="20" t="s">
        <v>636</v>
      </c>
      <c r="C135" s="20" t="s">
        <v>788</v>
      </c>
      <c r="D135" s="138">
        <v>1770000</v>
      </c>
      <c r="E135" s="20" t="s">
        <v>776</v>
      </c>
      <c r="F135" s="20" t="s">
        <v>777</v>
      </c>
      <c r="G135" s="8" t="str">
        <f t="shared" si="4"/>
        <v>BRUDER RICHARD</v>
      </c>
      <c r="H135" s="20" t="str">
        <f t="shared" si="5"/>
        <v>4041</v>
      </c>
    </row>
    <row r="136" spans="1:8" x14ac:dyDescent="0.3">
      <c r="A136" s="8">
        <v>43056.590682870374</v>
      </c>
      <c r="B136" s="20" t="s">
        <v>544</v>
      </c>
      <c r="C136" s="20" t="s">
        <v>789</v>
      </c>
      <c r="D136" s="138">
        <v>2550000</v>
      </c>
      <c r="E136" s="20" t="s">
        <v>515</v>
      </c>
      <c r="F136" s="20" t="s">
        <v>516</v>
      </c>
      <c r="G136" s="8" t="str">
        <f t="shared" si="4"/>
        <v>BADERTSCHER DIANE</v>
      </c>
      <c r="H136" s="20" t="str">
        <f t="shared" si="5"/>
        <v>4020</v>
      </c>
    </row>
    <row r="137" spans="1:8" x14ac:dyDescent="0.3">
      <c r="A137" s="8">
        <v>43056.598113425927</v>
      </c>
      <c r="B137" s="20" t="s">
        <v>548</v>
      </c>
      <c r="C137" s="20" t="s">
        <v>790</v>
      </c>
      <c r="D137" s="138">
        <v>1180000</v>
      </c>
      <c r="E137" s="20" t="s">
        <v>557</v>
      </c>
      <c r="F137" s="20" t="s">
        <v>558</v>
      </c>
      <c r="G137" s="8" t="str">
        <f t="shared" si="4"/>
        <v>LEVERE CRAIG</v>
      </c>
      <c r="H137" s="20" t="str">
        <f t="shared" si="5"/>
        <v>4039</v>
      </c>
    </row>
    <row r="138" spans="1:8" x14ac:dyDescent="0.3">
      <c r="A138" s="8">
        <v>43056.598946759259</v>
      </c>
      <c r="B138" s="20" t="s">
        <v>561</v>
      </c>
      <c r="C138" s="20" t="s">
        <v>791</v>
      </c>
      <c r="D138" s="138">
        <v>3000000</v>
      </c>
      <c r="E138" s="20" t="s">
        <v>758</v>
      </c>
      <c r="F138" s="20" t="s">
        <v>759</v>
      </c>
      <c r="G138" s="8" t="str">
        <f t="shared" si="4"/>
        <v>FORTUNATO FRANK</v>
      </c>
      <c r="H138" s="20" t="str">
        <f t="shared" si="5"/>
        <v>4065</v>
      </c>
    </row>
    <row r="139" spans="1:8" x14ac:dyDescent="0.3">
      <c r="A139" s="8">
        <v>43056.601238425923</v>
      </c>
      <c r="B139" s="20" t="s">
        <v>452</v>
      </c>
      <c r="C139" s="20" t="s">
        <v>646</v>
      </c>
      <c r="D139" s="138">
        <v>2420000</v>
      </c>
      <c r="E139" s="20" t="s">
        <v>768</v>
      </c>
      <c r="F139" s="20" t="s">
        <v>769</v>
      </c>
      <c r="G139" s="8" t="str">
        <f t="shared" si="4"/>
        <v>HOLCOMB KAMDEN</v>
      </c>
      <c r="H139" s="20" t="str">
        <f t="shared" si="5"/>
        <v>4010</v>
      </c>
    </row>
    <row r="140" spans="1:8" x14ac:dyDescent="0.3">
      <c r="A140" s="8">
        <v>43056.602754629632</v>
      </c>
      <c r="B140" s="20" t="s">
        <v>476</v>
      </c>
      <c r="C140" s="20" t="s">
        <v>792</v>
      </c>
      <c r="D140" s="138">
        <v>2350000</v>
      </c>
      <c r="E140" s="20" t="s">
        <v>773</v>
      </c>
      <c r="F140" s="20" t="s">
        <v>774</v>
      </c>
      <c r="G140" s="8" t="str">
        <f t="shared" si="4"/>
        <v>BERLING GARY</v>
      </c>
      <c r="H140" s="20" t="str">
        <f t="shared" si="5"/>
        <v>4023</v>
      </c>
    </row>
    <row r="141" spans="1:8" x14ac:dyDescent="0.3">
      <c r="A141" s="8">
        <v>43056.609872685185</v>
      </c>
      <c r="B141" s="20" t="s">
        <v>367</v>
      </c>
      <c r="C141" s="20" t="s">
        <v>793</v>
      </c>
      <c r="D141" s="138">
        <v>2040000</v>
      </c>
      <c r="E141" s="20" t="s">
        <v>398</v>
      </c>
      <c r="F141" s="20" t="s">
        <v>399</v>
      </c>
      <c r="G141" s="8" t="str">
        <f t="shared" si="4"/>
        <v>MOSES BRADLEY</v>
      </c>
      <c r="H141" s="20" t="str">
        <f t="shared" si="5"/>
        <v>4036</v>
      </c>
    </row>
    <row r="142" spans="1:8" x14ac:dyDescent="0.3">
      <c r="A142" s="8">
        <v>43056.610497685186</v>
      </c>
      <c r="B142" s="20" t="s">
        <v>545</v>
      </c>
      <c r="C142" s="20" t="s">
        <v>794</v>
      </c>
      <c r="D142" s="138">
        <v>2370000</v>
      </c>
      <c r="E142" s="20" t="s">
        <v>785</v>
      </c>
      <c r="F142" s="20" t="s">
        <v>786</v>
      </c>
      <c r="G142" s="8" t="str">
        <f t="shared" si="4"/>
        <v>DELGADO DIANAH</v>
      </c>
      <c r="H142" s="20" t="str">
        <f t="shared" si="5"/>
        <v>4027</v>
      </c>
    </row>
    <row r="143" spans="1:8" x14ac:dyDescent="0.3">
      <c r="A143" s="8">
        <v>43056.620497685188</v>
      </c>
      <c r="B143" s="20" t="s">
        <v>465</v>
      </c>
      <c r="C143" s="20" t="s">
        <v>795</v>
      </c>
      <c r="D143" s="138">
        <v>3490000</v>
      </c>
      <c r="E143" s="20" t="s">
        <v>796</v>
      </c>
      <c r="F143" s="20" t="s">
        <v>797</v>
      </c>
      <c r="G143" s="8" t="str">
        <f t="shared" si="4"/>
        <v>WEST BRYAN</v>
      </c>
      <c r="H143" s="20" t="str">
        <f t="shared" si="5"/>
        <v>4042</v>
      </c>
    </row>
    <row r="144" spans="1:8" x14ac:dyDescent="0.3">
      <c r="A144" s="8">
        <v>43056.625381944446</v>
      </c>
      <c r="B144" s="20" t="s">
        <v>542</v>
      </c>
      <c r="C144" s="20" t="s">
        <v>647</v>
      </c>
      <c r="D144" s="138">
        <v>2550000</v>
      </c>
      <c r="E144" s="20" t="s">
        <v>515</v>
      </c>
      <c r="F144" s="20" t="s">
        <v>516</v>
      </c>
      <c r="G144" s="8" t="str">
        <f t="shared" si="4"/>
        <v>BADERTSCHER DIANE</v>
      </c>
      <c r="H144" s="20" t="str">
        <f t="shared" si="5"/>
        <v>4019</v>
      </c>
    </row>
    <row r="145" spans="1:8" x14ac:dyDescent="0.3">
      <c r="A145" s="8">
        <v>43056.629560185182</v>
      </c>
      <c r="B145" s="20" t="s">
        <v>474</v>
      </c>
      <c r="C145" s="20" t="s">
        <v>798</v>
      </c>
      <c r="D145" s="138">
        <v>2350000</v>
      </c>
      <c r="E145" s="20" t="s">
        <v>773</v>
      </c>
      <c r="F145" s="20" t="s">
        <v>774</v>
      </c>
      <c r="G145" s="8" t="str">
        <f t="shared" si="4"/>
        <v>BERLING GARY</v>
      </c>
      <c r="H145" s="20" t="str">
        <f t="shared" si="5"/>
        <v>4024</v>
      </c>
    </row>
    <row r="146" spans="1:8" x14ac:dyDescent="0.3">
      <c r="A146" s="8">
        <v>43056.630694444444</v>
      </c>
      <c r="B146" s="20" t="s">
        <v>543</v>
      </c>
      <c r="C146" s="20" t="s">
        <v>799</v>
      </c>
      <c r="D146" s="138">
        <v>1180000</v>
      </c>
      <c r="E146" s="20" t="s">
        <v>557</v>
      </c>
      <c r="F146" s="20" t="s">
        <v>558</v>
      </c>
      <c r="G146" s="8" t="str">
        <f t="shared" si="4"/>
        <v>LEVERE CRAIG</v>
      </c>
      <c r="H146" s="20" t="str">
        <f t="shared" si="5"/>
        <v>4040</v>
      </c>
    </row>
    <row r="147" spans="1:8" x14ac:dyDescent="0.3">
      <c r="A147" s="8">
        <v>43056.633773148147</v>
      </c>
      <c r="B147" s="20" t="s">
        <v>388</v>
      </c>
      <c r="C147" s="20" t="s">
        <v>800</v>
      </c>
      <c r="D147" s="138">
        <v>3670000</v>
      </c>
      <c r="E147" s="20" t="s">
        <v>384</v>
      </c>
      <c r="F147" s="20" t="s">
        <v>369</v>
      </c>
      <c r="G147" s="8" t="str">
        <f t="shared" si="4"/>
        <v>ANDREA WILLIAMS</v>
      </c>
      <c r="H147" s="20" t="str">
        <f t="shared" si="5"/>
        <v>4029</v>
      </c>
    </row>
    <row r="148" spans="1:8" x14ac:dyDescent="0.3">
      <c r="A148" s="8">
        <v>43056.641793981478</v>
      </c>
      <c r="B148" s="20" t="s">
        <v>451</v>
      </c>
      <c r="C148" s="20" t="s">
        <v>801</v>
      </c>
      <c r="D148" s="138">
        <v>2420000</v>
      </c>
      <c r="E148" s="20" t="s">
        <v>768</v>
      </c>
      <c r="F148" s="20" t="s">
        <v>769</v>
      </c>
      <c r="G148" s="8" t="str">
        <f t="shared" si="4"/>
        <v>HOLCOMB KAMDEN</v>
      </c>
      <c r="H148" s="20" t="str">
        <f t="shared" si="5"/>
        <v>4009</v>
      </c>
    </row>
    <row r="149" spans="1:8" x14ac:dyDescent="0.3">
      <c r="A149" s="8">
        <v>43056.642372685186</v>
      </c>
      <c r="B149" s="20" t="s">
        <v>632</v>
      </c>
      <c r="C149" s="20" t="s">
        <v>802</v>
      </c>
      <c r="D149" s="138">
        <v>3000000</v>
      </c>
      <c r="E149" s="20" t="s">
        <v>758</v>
      </c>
      <c r="F149" s="20" t="s">
        <v>759</v>
      </c>
      <c r="G149" s="8" t="str">
        <f t="shared" si="4"/>
        <v>FORTUNATO FRANK</v>
      </c>
      <c r="H149" s="20" t="str">
        <f t="shared" si="5"/>
        <v>4066</v>
      </c>
    </row>
    <row r="150" spans="1:8" x14ac:dyDescent="0.3">
      <c r="A150" s="8">
        <v>43056.644687499997</v>
      </c>
      <c r="B150" s="20" t="s">
        <v>476</v>
      </c>
      <c r="C150" s="20" t="s">
        <v>648</v>
      </c>
      <c r="D150" s="138">
        <v>2350000</v>
      </c>
      <c r="E150" s="20" t="s">
        <v>773</v>
      </c>
      <c r="F150" s="20" t="s">
        <v>774</v>
      </c>
      <c r="G150" s="8" t="str">
        <f t="shared" si="4"/>
        <v>BERLING GARY</v>
      </c>
      <c r="H150" s="20" t="str">
        <f t="shared" si="5"/>
        <v>4023</v>
      </c>
    </row>
    <row r="151" spans="1:8" x14ac:dyDescent="0.3">
      <c r="A151" s="8">
        <v>43056.645555555559</v>
      </c>
      <c r="B151" s="20" t="s">
        <v>394</v>
      </c>
      <c r="C151" s="20" t="s">
        <v>803</v>
      </c>
      <c r="D151" s="138">
        <v>3670000</v>
      </c>
      <c r="E151" s="20" t="s">
        <v>384</v>
      </c>
      <c r="F151" s="20" t="s">
        <v>369</v>
      </c>
      <c r="G151" s="8" t="str">
        <f t="shared" si="4"/>
        <v>ANDREA WILLIAMS</v>
      </c>
      <c r="H151" s="20" t="str">
        <f t="shared" si="5"/>
        <v>4030</v>
      </c>
    </row>
    <row r="152" spans="1:8" x14ac:dyDescent="0.3">
      <c r="A152" s="8">
        <v>43056.650381944448</v>
      </c>
      <c r="B152" s="20" t="s">
        <v>368</v>
      </c>
      <c r="C152" s="20" t="s">
        <v>804</v>
      </c>
      <c r="D152" s="138">
        <v>2040000</v>
      </c>
      <c r="E152" s="20" t="s">
        <v>398</v>
      </c>
      <c r="F152" s="20" t="s">
        <v>399</v>
      </c>
      <c r="G152" s="8" t="str">
        <f t="shared" si="4"/>
        <v>MOSES BRADLEY</v>
      </c>
      <c r="H152" s="20" t="str">
        <f t="shared" si="5"/>
        <v>4035</v>
      </c>
    </row>
    <row r="153" spans="1:8" x14ac:dyDescent="0.3">
      <c r="A153" s="8">
        <v>43056.650520833333</v>
      </c>
      <c r="B153" s="20" t="s">
        <v>393</v>
      </c>
      <c r="C153" s="20" t="s">
        <v>805</v>
      </c>
      <c r="D153" s="138">
        <v>1300000</v>
      </c>
      <c r="E153" s="20" t="s">
        <v>359</v>
      </c>
      <c r="F153" s="20" t="s">
        <v>360</v>
      </c>
      <c r="G153" s="8" t="str">
        <f t="shared" si="4"/>
        <v>LEVIN SCOTT</v>
      </c>
      <c r="H153" s="20" t="str">
        <f t="shared" si="5"/>
        <v>4028</v>
      </c>
    </row>
    <row r="154" spans="1:8" x14ac:dyDescent="0.3">
      <c r="A154" s="8">
        <v>43056.653680555559</v>
      </c>
      <c r="B154" s="20" t="s">
        <v>636</v>
      </c>
      <c r="C154" s="20" t="s">
        <v>806</v>
      </c>
      <c r="D154" s="138">
        <v>3490000</v>
      </c>
      <c r="E154" s="20" t="s">
        <v>796</v>
      </c>
      <c r="F154" s="20" t="s">
        <v>797</v>
      </c>
      <c r="G154" s="8" t="str">
        <f t="shared" si="4"/>
        <v>WEST BRYAN</v>
      </c>
      <c r="H154" s="20" t="str">
        <f t="shared" si="5"/>
        <v>4041</v>
      </c>
    </row>
    <row r="155" spans="1:8" x14ac:dyDescent="0.3">
      <c r="A155" s="8">
        <v>43056.665173611109</v>
      </c>
      <c r="B155" s="20" t="s">
        <v>544</v>
      </c>
      <c r="C155" s="20" t="s">
        <v>807</v>
      </c>
      <c r="D155" s="138">
        <v>2550000</v>
      </c>
      <c r="E155" s="20" t="s">
        <v>515</v>
      </c>
      <c r="F155" s="20" t="s">
        <v>516</v>
      </c>
      <c r="G155" s="8" t="str">
        <f t="shared" si="4"/>
        <v>BADERTSCHER DIANE</v>
      </c>
      <c r="H155" s="20" t="str">
        <f t="shared" si="5"/>
        <v>4020</v>
      </c>
    </row>
    <row r="156" spans="1:8" x14ac:dyDescent="0.3">
      <c r="A156" s="8">
        <v>43056.665173611109</v>
      </c>
      <c r="B156" s="20" t="s">
        <v>388</v>
      </c>
      <c r="C156" s="20" t="s">
        <v>808</v>
      </c>
      <c r="D156" s="138">
        <v>3670000</v>
      </c>
      <c r="E156" s="20" t="s">
        <v>384</v>
      </c>
      <c r="F156" s="20" t="s">
        <v>369</v>
      </c>
      <c r="G156" s="8" t="str">
        <f t="shared" si="4"/>
        <v>ANDREA WILLIAMS</v>
      </c>
      <c r="H156" s="20" t="str">
        <f t="shared" si="5"/>
        <v>4029</v>
      </c>
    </row>
    <row r="157" spans="1:8" x14ac:dyDescent="0.3">
      <c r="A157" s="8">
        <v>43056.668993055559</v>
      </c>
      <c r="B157" s="20" t="s">
        <v>548</v>
      </c>
      <c r="C157" s="20" t="s">
        <v>809</v>
      </c>
      <c r="D157" s="138">
        <v>1180000</v>
      </c>
      <c r="E157" s="20" t="s">
        <v>557</v>
      </c>
      <c r="F157" s="20" t="s">
        <v>558</v>
      </c>
      <c r="G157" s="8" t="str">
        <f t="shared" si="4"/>
        <v>LEVERE CRAIG</v>
      </c>
      <c r="H157" s="20" t="str">
        <f t="shared" si="5"/>
        <v>4039</v>
      </c>
    </row>
    <row r="158" spans="1:8" x14ac:dyDescent="0.3">
      <c r="A158" s="8">
        <v>43056.669942129629</v>
      </c>
      <c r="B158" s="20" t="s">
        <v>474</v>
      </c>
      <c r="C158" s="20" t="s">
        <v>810</v>
      </c>
      <c r="D158" s="138">
        <v>2350000</v>
      </c>
      <c r="E158" s="20" t="s">
        <v>773</v>
      </c>
      <c r="F158" s="20" t="s">
        <v>774</v>
      </c>
      <c r="G158" s="8" t="str">
        <f t="shared" si="4"/>
        <v>BERLING GARY</v>
      </c>
      <c r="H158" s="20" t="str">
        <f t="shared" si="5"/>
        <v>4024</v>
      </c>
    </row>
    <row r="159" spans="1:8" x14ac:dyDescent="0.3">
      <c r="A159" s="8">
        <v>43056.674039351848</v>
      </c>
      <c r="B159" s="20" t="s">
        <v>452</v>
      </c>
      <c r="C159" s="20" t="s">
        <v>811</v>
      </c>
      <c r="D159" s="138">
        <v>2420000</v>
      </c>
      <c r="E159" s="20" t="s">
        <v>768</v>
      </c>
      <c r="F159" s="20" t="s">
        <v>769</v>
      </c>
      <c r="G159" s="8" t="str">
        <f t="shared" si="4"/>
        <v>HOLCOMB KAMDEN</v>
      </c>
      <c r="H159" s="20" t="str">
        <f t="shared" si="5"/>
        <v>4010</v>
      </c>
    </row>
    <row r="160" spans="1:8" x14ac:dyDescent="0.3">
      <c r="A160" s="8">
        <v>43056.675949074073</v>
      </c>
      <c r="B160" s="20" t="s">
        <v>561</v>
      </c>
      <c r="C160" s="20" t="s">
        <v>812</v>
      </c>
      <c r="D160" s="138">
        <v>3000000</v>
      </c>
      <c r="E160" s="20" t="s">
        <v>758</v>
      </c>
      <c r="F160" s="20" t="s">
        <v>759</v>
      </c>
      <c r="G160" s="8" t="str">
        <f t="shared" si="4"/>
        <v>FORTUNATO FRANK</v>
      </c>
      <c r="H160" s="20" t="str">
        <f t="shared" si="5"/>
        <v>4065</v>
      </c>
    </row>
    <row r="161" spans="1:8" x14ac:dyDescent="0.3">
      <c r="A161" s="8">
        <v>43056.681319444448</v>
      </c>
      <c r="B161" s="20" t="s">
        <v>636</v>
      </c>
      <c r="C161" s="20" t="s">
        <v>806</v>
      </c>
      <c r="D161" s="138">
        <v>3490000</v>
      </c>
      <c r="E161" s="20" t="s">
        <v>796</v>
      </c>
      <c r="F161" s="20" t="s">
        <v>797</v>
      </c>
      <c r="G161" s="8" t="str">
        <f t="shared" si="4"/>
        <v>WEST BRYAN</v>
      </c>
      <c r="H161" s="20" t="str">
        <f t="shared" si="5"/>
        <v>4041</v>
      </c>
    </row>
    <row r="162" spans="1:8" x14ac:dyDescent="0.3">
      <c r="A162" s="8">
        <v>43056.683217592596</v>
      </c>
      <c r="B162" s="20" t="s">
        <v>367</v>
      </c>
      <c r="C162" s="20" t="s">
        <v>813</v>
      </c>
      <c r="D162" s="138">
        <v>2630000</v>
      </c>
      <c r="E162" s="20" t="s">
        <v>374</v>
      </c>
      <c r="F162" s="20" t="s">
        <v>375</v>
      </c>
      <c r="G162" s="8" t="str">
        <f t="shared" si="4"/>
        <v>SAFIEF AEIMEN</v>
      </c>
      <c r="H162" s="20" t="str">
        <f t="shared" si="5"/>
        <v>4036</v>
      </c>
    </row>
    <row r="163" spans="1:8" x14ac:dyDescent="0.3">
      <c r="A163" s="8">
        <v>43056.683437500003</v>
      </c>
      <c r="B163" s="20" t="s">
        <v>636</v>
      </c>
      <c r="C163" s="20" t="s">
        <v>806</v>
      </c>
      <c r="D163" s="138">
        <v>3490000</v>
      </c>
      <c r="E163" s="20" t="s">
        <v>796</v>
      </c>
      <c r="F163" s="20" t="s">
        <v>797</v>
      </c>
      <c r="G163" s="8" t="str">
        <f t="shared" si="4"/>
        <v>WEST BRYAN</v>
      </c>
      <c r="H163" s="20" t="str">
        <f t="shared" si="5"/>
        <v>4041</v>
      </c>
    </row>
    <row r="164" spans="1:8" x14ac:dyDescent="0.3">
      <c r="A164" s="8">
        <v>43056.685671296298</v>
      </c>
      <c r="B164" s="20" t="s">
        <v>554</v>
      </c>
      <c r="C164" s="20" t="s">
        <v>814</v>
      </c>
      <c r="D164" s="138">
        <v>1810000</v>
      </c>
      <c r="E164" s="20" t="s">
        <v>750</v>
      </c>
      <c r="F164" s="20" t="s">
        <v>397</v>
      </c>
      <c r="G164" s="8" t="str">
        <f t="shared" si="4"/>
        <v>NEWELL JAMES</v>
      </c>
      <c r="H164" s="20" t="str">
        <f t="shared" si="5"/>
        <v>4014</v>
      </c>
    </row>
    <row r="165" spans="1:8" x14ac:dyDescent="0.3">
      <c r="A165" s="8">
        <v>43056.685706018521</v>
      </c>
      <c r="B165" s="20" t="s">
        <v>636</v>
      </c>
      <c r="C165" s="20" t="s">
        <v>806</v>
      </c>
      <c r="D165" s="138">
        <v>3490000</v>
      </c>
      <c r="E165" s="20" t="s">
        <v>796</v>
      </c>
      <c r="F165" s="20" t="s">
        <v>797</v>
      </c>
      <c r="G165" s="8" t="str">
        <f t="shared" si="4"/>
        <v>WEST BRYAN</v>
      </c>
      <c r="H165" s="20" t="str">
        <f t="shared" si="5"/>
        <v>4041</v>
      </c>
    </row>
    <row r="166" spans="1:8" x14ac:dyDescent="0.3">
      <c r="A166" s="8">
        <v>43056.686249999999</v>
      </c>
      <c r="B166" s="20" t="s">
        <v>476</v>
      </c>
      <c r="C166" s="20" t="s">
        <v>815</v>
      </c>
      <c r="D166" s="138">
        <v>2350000</v>
      </c>
      <c r="E166" s="20" t="s">
        <v>773</v>
      </c>
      <c r="F166" s="20" t="s">
        <v>774</v>
      </c>
      <c r="G166" s="8" t="str">
        <f t="shared" si="4"/>
        <v>BERLING GARY</v>
      </c>
      <c r="H166" s="20" t="str">
        <f t="shared" si="5"/>
        <v>4023</v>
      </c>
    </row>
    <row r="167" spans="1:8" x14ac:dyDescent="0.3">
      <c r="A167" s="8">
        <v>43056.686435185184</v>
      </c>
      <c r="B167" s="20" t="s">
        <v>394</v>
      </c>
      <c r="C167" s="20" t="s">
        <v>816</v>
      </c>
      <c r="D167" s="138">
        <v>3670000</v>
      </c>
      <c r="E167" s="20" t="s">
        <v>384</v>
      </c>
      <c r="F167" s="20" t="s">
        <v>369</v>
      </c>
      <c r="G167" s="8" t="str">
        <f t="shared" si="4"/>
        <v>ANDREA WILLIAMS</v>
      </c>
      <c r="H167" s="20" t="str">
        <f t="shared" si="5"/>
        <v>4030</v>
      </c>
    </row>
    <row r="168" spans="1:8" x14ac:dyDescent="0.3">
      <c r="A168" s="8">
        <v>43056.693124999998</v>
      </c>
      <c r="B168" s="20" t="s">
        <v>554</v>
      </c>
      <c r="C168" s="20" t="s">
        <v>817</v>
      </c>
      <c r="D168" s="138">
        <v>2370000</v>
      </c>
      <c r="E168" s="20" t="s">
        <v>785</v>
      </c>
      <c r="F168" s="20" t="s">
        <v>786</v>
      </c>
      <c r="G168" s="8" t="str">
        <f t="shared" si="4"/>
        <v>DELGADO DIANAH</v>
      </c>
      <c r="H168" s="20" t="str">
        <f t="shared" si="5"/>
        <v>4014</v>
      </c>
    </row>
    <row r="169" spans="1:8" x14ac:dyDescent="0.3">
      <c r="A169" s="8">
        <v>43056.693576388891</v>
      </c>
      <c r="B169" s="20" t="s">
        <v>683</v>
      </c>
      <c r="C169" s="20" t="s">
        <v>818</v>
      </c>
      <c r="D169" s="138">
        <v>1780000</v>
      </c>
      <c r="E169" s="20" t="s">
        <v>755</v>
      </c>
      <c r="F169" s="20" t="s">
        <v>756</v>
      </c>
      <c r="G169" s="8" t="str">
        <f t="shared" si="4"/>
        <v>DE LA ROSA ALEX</v>
      </c>
      <c r="H169" s="20" t="str">
        <f t="shared" si="5"/>
        <v>4064</v>
      </c>
    </row>
    <row r="170" spans="1:8" x14ac:dyDescent="0.3">
      <c r="A170" s="8">
        <v>43056.694027777776</v>
      </c>
      <c r="B170" s="20" t="s">
        <v>554</v>
      </c>
      <c r="C170" s="20" t="s">
        <v>817</v>
      </c>
      <c r="D170" s="138">
        <v>2370000</v>
      </c>
      <c r="E170" s="20" t="s">
        <v>785</v>
      </c>
      <c r="F170" s="20" t="s">
        <v>786</v>
      </c>
      <c r="G170" s="8" t="str">
        <f t="shared" si="4"/>
        <v>DELGADO DIANAH</v>
      </c>
      <c r="H170" s="20" t="str">
        <f t="shared" si="5"/>
        <v>4014</v>
      </c>
    </row>
    <row r="171" spans="1:8" x14ac:dyDescent="0.3">
      <c r="A171" s="8">
        <v>43056.694386574076</v>
      </c>
      <c r="B171" s="20" t="s">
        <v>545</v>
      </c>
      <c r="C171" s="20" t="s">
        <v>819</v>
      </c>
      <c r="D171" s="138">
        <v>1300000</v>
      </c>
      <c r="E171" s="20" t="s">
        <v>359</v>
      </c>
      <c r="F171" s="20" t="s">
        <v>360</v>
      </c>
      <c r="G171" s="8" t="str">
        <f t="shared" si="4"/>
        <v>LEVIN SCOTT</v>
      </c>
      <c r="H171" s="20" t="str">
        <f t="shared" si="5"/>
        <v>4027</v>
      </c>
    </row>
    <row r="172" spans="1:8" x14ac:dyDescent="0.3">
      <c r="A172" s="8">
        <v>43056.700856481482</v>
      </c>
      <c r="B172" s="20" t="s">
        <v>542</v>
      </c>
      <c r="C172" s="20" t="s">
        <v>820</v>
      </c>
      <c r="D172" s="138">
        <v>2550000</v>
      </c>
      <c r="E172" s="20" t="s">
        <v>515</v>
      </c>
      <c r="F172" s="20" t="s">
        <v>516</v>
      </c>
      <c r="G172" s="8" t="str">
        <f t="shared" si="4"/>
        <v>BADERTSCHER DIANE</v>
      </c>
      <c r="H172" s="20" t="str">
        <f t="shared" si="5"/>
        <v>4019</v>
      </c>
    </row>
    <row r="173" spans="1:8" x14ac:dyDescent="0.3">
      <c r="A173" s="8">
        <v>43056.702569444446</v>
      </c>
      <c r="B173" s="20" t="s">
        <v>542</v>
      </c>
      <c r="C173" s="20" t="s">
        <v>820</v>
      </c>
      <c r="D173" s="138">
        <v>2550000</v>
      </c>
      <c r="E173" s="20" t="s">
        <v>515</v>
      </c>
      <c r="F173" s="20" t="s">
        <v>516</v>
      </c>
      <c r="G173" s="8" t="str">
        <f t="shared" si="4"/>
        <v>BADERTSCHER DIANE</v>
      </c>
      <c r="H173" s="20" t="str">
        <f t="shared" si="5"/>
        <v>4019</v>
      </c>
    </row>
    <row r="174" spans="1:8" x14ac:dyDescent="0.3">
      <c r="A174" s="8">
        <v>43056.706226851849</v>
      </c>
      <c r="B174" s="20" t="s">
        <v>388</v>
      </c>
      <c r="C174" s="20" t="s">
        <v>821</v>
      </c>
      <c r="D174" s="138">
        <v>3670000</v>
      </c>
      <c r="E174" s="20" t="s">
        <v>384</v>
      </c>
      <c r="F174" s="20" t="s">
        <v>369</v>
      </c>
      <c r="G174" s="8" t="str">
        <f t="shared" si="4"/>
        <v>ANDREA WILLIAMS</v>
      </c>
      <c r="H174" s="20" t="str">
        <f t="shared" si="5"/>
        <v>4029</v>
      </c>
    </row>
    <row r="175" spans="1:8" x14ac:dyDescent="0.3">
      <c r="A175" s="8">
        <v>43056.709502314814</v>
      </c>
      <c r="B175" s="20" t="s">
        <v>543</v>
      </c>
      <c r="C175" s="20" t="s">
        <v>822</v>
      </c>
      <c r="D175" s="138">
        <v>1180000</v>
      </c>
      <c r="E175" s="20" t="s">
        <v>557</v>
      </c>
      <c r="F175" s="20" t="s">
        <v>558</v>
      </c>
      <c r="G175" s="8" t="str">
        <f t="shared" si="4"/>
        <v>LEVERE CRAIG</v>
      </c>
      <c r="H175" s="20" t="str">
        <f t="shared" si="5"/>
        <v>4040</v>
      </c>
    </row>
    <row r="176" spans="1:8" x14ac:dyDescent="0.3">
      <c r="A176" s="8">
        <v>43056.711400462962</v>
      </c>
      <c r="B176" s="20" t="s">
        <v>474</v>
      </c>
      <c r="C176" s="20" t="s">
        <v>823</v>
      </c>
      <c r="D176" s="138">
        <v>2350000</v>
      </c>
      <c r="E176" s="20" t="s">
        <v>773</v>
      </c>
      <c r="F176" s="20" t="s">
        <v>774</v>
      </c>
      <c r="G176" s="8" t="str">
        <f t="shared" si="4"/>
        <v>BERLING GARY</v>
      </c>
      <c r="H176" s="20" t="str">
        <f t="shared" si="5"/>
        <v>4024</v>
      </c>
    </row>
    <row r="177" spans="1:8" x14ac:dyDescent="0.3">
      <c r="A177" s="8">
        <v>43056.712245370371</v>
      </c>
      <c r="B177" s="20" t="s">
        <v>451</v>
      </c>
      <c r="C177" s="20" t="s">
        <v>824</v>
      </c>
      <c r="D177" s="138">
        <v>2420000</v>
      </c>
      <c r="E177" s="20" t="s">
        <v>768</v>
      </c>
      <c r="F177" s="20" t="s">
        <v>769</v>
      </c>
      <c r="G177" s="8" t="str">
        <f t="shared" si="4"/>
        <v>HOLCOMB KAMDEN</v>
      </c>
      <c r="H177" s="20" t="str">
        <f t="shared" si="5"/>
        <v>4009</v>
      </c>
    </row>
    <row r="178" spans="1:8" x14ac:dyDescent="0.3">
      <c r="A178" s="8">
        <v>43056.715601851851</v>
      </c>
      <c r="B178" s="20" t="s">
        <v>632</v>
      </c>
      <c r="C178" s="20" t="s">
        <v>825</v>
      </c>
      <c r="D178" s="138">
        <v>3000000</v>
      </c>
      <c r="E178" s="20" t="s">
        <v>758</v>
      </c>
      <c r="F178" s="20" t="s">
        <v>759</v>
      </c>
      <c r="G178" s="8" t="str">
        <f t="shared" si="4"/>
        <v>FORTUNATO FRANK</v>
      </c>
      <c r="H178" s="20" t="str">
        <f t="shared" si="5"/>
        <v>4066</v>
      </c>
    </row>
    <row r="179" spans="1:8" x14ac:dyDescent="0.3">
      <c r="A179" s="8">
        <v>43056.71733796296</v>
      </c>
      <c r="B179" s="20" t="s">
        <v>368</v>
      </c>
      <c r="C179" s="20" t="s">
        <v>649</v>
      </c>
      <c r="D179" s="138">
        <v>2630000</v>
      </c>
      <c r="E179" s="20" t="s">
        <v>374</v>
      </c>
      <c r="F179" s="20" t="s">
        <v>375</v>
      </c>
      <c r="G179" s="8" t="str">
        <f t="shared" si="4"/>
        <v>SAFIEF AEIMEN</v>
      </c>
      <c r="H179" s="20" t="str">
        <f t="shared" si="5"/>
        <v>4035</v>
      </c>
    </row>
    <row r="180" spans="1:8" x14ac:dyDescent="0.3">
      <c r="A180" s="8">
        <v>43056.725057870368</v>
      </c>
      <c r="B180" s="20" t="s">
        <v>393</v>
      </c>
      <c r="C180" s="20" t="s">
        <v>650</v>
      </c>
      <c r="D180" s="138">
        <v>1300000</v>
      </c>
      <c r="E180" s="20" t="s">
        <v>359</v>
      </c>
      <c r="F180" s="20" t="s">
        <v>360</v>
      </c>
      <c r="G180" s="8" t="str">
        <f t="shared" si="4"/>
        <v>LEVIN SCOTT</v>
      </c>
      <c r="H180" s="20" t="str">
        <f t="shared" si="5"/>
        <v>4028</v>
      </c>
    </row>
    <row r="181" spans="1:8" x14ac:dyDescent="0.3">
      <c r="A181" s="8">
        <v>43056.725277777776</v>
      </c>
      <c r="B181" s="20" t="s">
        <v>546</v>
      </c>
      <c r="C181" s="20" t="s">
        <v>826</v>
      </c>
      <c r="D181" s="138">
        <v>2370000</v>
      </c>
      <c r="E181" s="20" t="s">
        <v>785</v>
      </c>
      <c r="F181" s="20" t="s">
        <v>786</v>
      </c>
      <c r="G181" s="8" t="str">
        <f t="shared" si="4"/>
        <v>DELGADO DIANAH</v>
      </c>
      <c r="H181" s="20" t="str">
        <f t="shared" si="5"/>
        <v>4013</v>
      </c>
    </row>
    <row r="182" spans="1:8" x14ac:dyDescent="0.3">
      <c r="A182" s="8">
        <v>43056.725462962961</v>
      </c>
      <c r="B182" s="20" t="s">
        <v>368</v>
      </c>
      <c r="C182" s="20" t="s">
        <v>649</v>
      </c>
      <c r="D182" s="138">
        <v>2630000</v>
      </c>
      <c r="E182" s="20" t="s">
        <v>374</v>
      </c>
      <c r="F182" s="20" t="s">
        <v>375</v>
      </c>
      <c r="G182" s="8" t="str">
        <f t="shared" si="4"/>
        <v>SAFIEF AEIMEN</v>
      </c>
      <c r="H182" s="20" t="str">
        <f t="shared" si="5"/>
        <v>4035</v>
      </c>
    </row>
    <row r="183" spans="1:8" x14ac:dyDescent="0.3">
      <c r="A183" s="8">
        <v>43056.727835648147</v>
      </c>
      <c r="B183" s="20" t="s">
        <v>476</v>
      </c>
      <c r="C183" s="20" t="s">
        <v>827</v>
      </c>
      <c r="D183" s="138">
        <v>2350000</v>
      </c>
      <c r="E183" s="20" t="s">
        <v>773</v>
      </c>
      <c r="F183" s="20" t="s">
        <v>774</v>
      </c>
      <c r="G183" s="8" t="str">
        <f t="shared" si="4"/>
        <v>BERLING GARY</v>
      </c>
      <c r="H183" s="20" t="str">
        <f t="shared" si="5"/>
        <v>4023</v>
      </c>
    </row>
    <row r="184" spans="1:8" x14ac:dyDescent="0.3">
      <c r="A184" s="8">
        <v>43056.727951388886</v>
      </c>
      <c r="B184" s="20" t="s">
        <v>394</v>
      </c>
      <c r="C184" s="20" t="s">
        <v>821</v>
      </c>
      <c r="D184" s="138">
        <v>3670000</v>
      </c>
      <c r="E184" s="20" t="s">
        <v>384</v>
      </c>
      <c r="F184" s="20" t="s">
        <v>369</v>
      </c>
      <c r="G184" s="8" t="str">
        <f t="shared" si="4"/>
        <v>ANDREA WILLIAMS</v>
      </c>
      <c r="H184" s="20" t="str">
        <f t="shared" si="5"/>
        <v>4030</v>
      </c>
    </row>
    <row r="185" spans="1:8" x14ac:dyDescent="0.3">
      <c r="A185" s="8">
        <v>43056.728692129633</v>
      </c>
      <c r="B185" s="20" t="s">
        <v>394</v>
      </c>
      <c r="C185" s="20" t="s">
        <v>828</v>
      </c>
      <c r="D185" s="138">
        <v>3670000</v>
      </c>
      <c r="E185" s="20" t="s">
        <v>384</v>
      </c>
      <c r="F185" s="20" t="s">
        <v>369</v>
      </c>
      <c r="G185" s="8" t="str">
        <f t="shared" si="4"/>
        <v>ANDREA WILLIAMS</v>
      </c>
      <c r="H185" s="20" t="str">
        <f t="shared" si="5"/>
        <v>4030</v>
      </c>
    </row>
    <row r="186" spans="1:8" x14ac:dyDescent="0.3">
      <c r="A186" s="8">
        <v>43056.737511574072</v>
      </c>
      <c r="B186" s="20" t="s">
        <v>506</v>
      </c>
      <c r="C186" s="20" t="s">
        <v>829</v>
      </c>
      <c r="D186" s="138">
        <v>3500000</v>
      </c>
      <c r="E186" s="20" t="s">
        <v>378</v>
      </c>
      <c r="F186" s="20" t="s">
        <v>379</v>
      </c>
      <c r="G186" s="8" t="str">
        <f t="shared" si="4"/>
        <v>GUNTHIER ERIC</v>
      </c>
      <c r="H186" s="20" t="str">
        <f t="shared" si="5"/>
        <v>4015</v>
      </c>
    </row>
    <row r="187" spans="1:8" x14ac:dyDescent="0.3">
      <c r="A187" s="8">
        <v>43056.737592592595</v>
      </c>
      <c r="B187" s="20" t="s">
        <v>544</v>
      </c>
      <c r="C187" s="20" t="s">
        <v>830</v>
      </c>
      <c r="D187" s="138">
        <v>2600000</v>
      </c>
      <c r="E187" s="20" t="s">
        <v>551</v>
      </c>
      <c r="F187" s="20" t="s">
        <v>517</v>
      </c>
      <c r="G187" s="8" t="str">
        <f t="shared" si="4"/>
        <v>DAVIDSON DAVID</v>
      </c>
      <c r="H187" s="20" t="str">
        <f t="shared" si="5"/>
        <v>4020</v>
      </c>
    </row>
    <row r="188" spans="1:8" x14ac:dyDescent="0.3">
      <c r="A188" s="8">
        <v>43056.743854166663</v>
      </c>
      <c r="B188" s="20" t="s">
        <v>548</v>
      </c>
      <c r="C188" s="20" t="s">
        <v>831</v>
      </c>
      <c r="D188" s="138">
        <v>1180000</v>
      </c>
      <c r="E188" s="20" t="s">
        <v>557</v>
      </c>
      <c r="F188" s="20" t="s">
        <v>558</v>
      </c>
      <c r="G188" s="8" t="str">
        <f t="shared" si="4"/>
        <v>LEVERE CRAIG</v>
      </c>
      <c r="H188" s="20" t="str">
        <f t="shared" si="5"/>
        <v>4039</v>
      </c>
    </row>
    <row r="189" spans="1:8" x14ac:dyDescent="0.3">
      <c r="A189" s="8">
        <v>43056.747129629628</v>
      </c>
      <c r="B189" s="20" t="s">
        <v>561</v>
      </c>
      <c r="C189" s="20" t="s">
        <v>832</v>
      </c>
      <c r="D189" s="138">
        <v>3000000</v>
      </c>
      <c r="E189" s="20" t="s">
        <v>758</v>
      </c>
      <c r="F189" s="20" t="s">
        <v>759</v>
      </c>
      <c r="G189" s="8" t="str">
        <f t="shared" si="4"/>
        <v>FORTUNATO FRANK</v>
      </c>
      <c r="H189" s="20" t="str">
        <f t="shared" si="5"/>
        <v>4065</v>
      </c>
    </row>
    <row r="190" spans="1:8" x14ac:dyDescent="0.3">
      <c r="A190" s="8">
        <v>43056.747141203705</v>
      </c>
      <c r="B190" s="20" t="s">
        <v>452</v>
      </c>
      <c r="C190" s="20" t="s">
        <v>833</v>
      </c>
      <c r="D190" s="138">
        <v>3130000</v>
      </c>
      <c r="E190" s="20" t="s">
        <v>834</v>
      </c>
      <c r="F190" s="20" t="s">
        <v>835</v>
      </c>
      <c r="G190" s="8" t="str">
        <f t="shared" si="4"/>
        <v>ZEWDU DEREJE</v>
      </c>
      <c r="H190" s="20" t="str">
        <f t="shared" si="5"/>
        <v>4010</v>
      </c>
    </row>
    <row r="191" spans="1:8" x14ac:dyDescent="0.3">
      <c r="A191" s="8">
        <v>43056.749918981484</v>
      </c>
      <c r="B191" s="20" t="s">
        <v>388</v>
      </c>
      <c r="C191" s="20" t="s">
        <v>836</v>
      </c>
      <c r="D191" s="138">
        <v>3670000</v>
      </c>
      <c r="E191" s="20" t="s">
        <v>384</v>
      </c>
      <c r="F191" s="20" t="s">
        <v>369</v>
      </c>
      <c r="G191" s="8" t="str">
        <f t="shared" si="4"/>
        <v>ANDREA WILLIAMS</v>
      </c>
      <c r="H191" s="20" t="str">
        <f t="shared" si="5"/>
        <v>4029</v>
      </c>
    </row>
    <row r="192" spans="1:8" x14ac:dyDescent="0.3">
      <c r="A192" s="8">
        <v>43056.752604166664</v>
      </c>
      <c r="B192" s="20" t="s">
        <v>474</v>
      </c>
      <c r="C192" s="20" t="s">
        <v>837</v>
      </c>
      <c r="D192" s="138">
        <v>2350000</v>
      </c>
      <c r="E192" s="20" t="s">
        <v>773</v>
      </c>
      <c r="F192" s="20" t="s">
        <v>774</v>
      </c>
      <c r="G192" s="8" t="str">
        <f t="shared" si="4"/>
        <v>BERLING GARY</v>
      </c>
      <c r="H192" s="20" t="str">
        <f t="shared" si="5"/>
        <v>4024</v>
      </c>
    </row>
    <row r="193" spans="1:8" x14ac:dyDescent="0.3">
      <c r="A193" s="8">
        <v>43056.757291666669</v>
      </c>
      <c r="B193" s="20" t="s">
        <v>465</v>
      </c>
      <c r="C193" s="20" t="s">
        <v>814</v>
      </c>
      <c r="D193" s="138">
        <v>3330000</v>
      </c>
      <c r="E193" s="20" t="s">
        <v>838</v>
      </c>
      <c r="F193" s="20" t="s">
        <v>839</v>
      </c>
      <c r="G193" s="8" t="str">
        <f t="shared" si="4"/>
        <v>GONZALEZ ARMANDO</v>
      </c>
      <c r="H193" s="20" t="str">
        <f t="shared" si="5"/>
        <v>4042</v>
      </c>
    </row>
    <row r="194" spans="1:8" x14ac:dyDescent="0.3">
      <c r="A194" s="8">
        <v>43056.760162037041</v>
      </c>
      <c r="B194" s="20" t="s">
        <v>367</v>
      </c>
      <c r="C194" s="20" t="s">
        <v>840</v>
      </c>
      <c r="D194" s="138">
        <v>3320000</v>
      </c>
      <c r="E194" s="20" t="s">
        <v>364</v>
      </c>
      <c r="F194" s="20" t="s">
        <v>365</v>
      </c>
      <c r="G194" s="8" t="str">
        <f t="shared" si="4"/>
        <v>NICHOLSON WESLEY</v>
      </c>
      <c r="H194" s="20" t="str">
        <f t="shared" si="5"/>
        <v>4036</v>
      </c>
    </row>
    <row r="195" spans="1:8" x14ac:dyDescent="0.3">
      <c r="A195" s="8">
        <v>43056.761192129627</v>
      </c>
      <c r="B195" s="20" t="s">
        <v>545</v>
      </c>
      <c r="C195" s="20" t="s">
        <v>841</v>
      </c>
      <c r="D195" s="138">
        <v>1300000</v>
      </c>
      <c r="E195" s="20" t="s">
        <v>359</v>
      </c>
      <c r="F195" s="20" t="s">
        <v>360</v>
      </c>
      <c r="G195" s="8" t="str">
        <f t="shared" ref="G195:G258" si="6">E195&amp;" "&amp;F195</f>
        <v>LEVIN SCOTT</v>
      </c>
      <c r="H195" s="20" t="str">
        <f t="shared" ref="H195:H258" si="7">MID(B195,13,4)</f>
        <v>4027</v>
      </c>
    </row>
    <row r="196" spans="1:8" x14ac:dyDescent="0.3">
      <c r="A196" s="8">
        <v>43056.766400462962</v>
      </c>
      <c r="B196" s="20" t="s">
        <v>636</v>
      </c>
      <c r="C196" s="20" t="s">
        <v>814</v>
      </c>
      <c r="D196" s="138">
        <v>3330000</v>
      </c>
      <c r="E196" s="20" t="s">
        <v>838</v>
      </c>
      <c r="F196" s="20" t="s">
        <v>839</v>
      </c>
      <c r="G196" s="8" t="str">
        <f t="shared" si="6"/>
        <v>GONZALEZ ARMANDO</v>
      </c>
      <c r="H196" s="20" t="str">
        <f t="shared" si="7"/>
        <v>4041</v>
      </c>
    </row>
    <row r="197" spans="1:8" x14ac:dyDescent="0.3">
      <c r="A197" s="8">
        <v>43056.768020833333</v>
      </c>
      <c r="B197" s="20" t="s">
        <v>542</v>
      </c>
      <c r="C197" s="20" t="s">
        <v>842</v>
      </c>
      <c r="D197" s="138">
        <v>2600000</v>
      </c>
      <c r="E197" s="20" t="s">
        <v>551</v>
      </c>
      <c r="F197" s="20" t="s">
        <v>517</v>
      </c>
      <c r="G197" s="8" t="str">
        <f t="shared" si="6"/>
        <v>DAVIDSON DAVID</v>
      </c>
      <c r="H197" s="20" t="str">
        <f t="shared" si="7"/>
        <v>4019</v>
      </c>
    </row>
    <row r="198" spans="1:8" x14ac:dyDescent="0.3">
      <c r="A198" s="8">
        <v>43056.769421296296</v>
      </c>
      <c r="B198" s="20" t="s">
        <v>394</v>
      </c>
      <c r="C198" s="20" t="s">
        <v>843</v>
      </c>
      <c r="D198" s="138">
        <v>3670000</v>
      </c>
      <c r="E198" s="20" t="s">
        <v>384</v>
      </c>
      <c r="F198" s="20" t="s">
        <v>369</v>
      </c>
      <c r="G198" s="8" t="str">
        <f t="shared" si="6"/>
        <v>ANDREA WILLIAMS</v>
      </c>
      <c r="H198" s="20" t="str">
        <f t="shared" si="7"/>
        <v>4030</v>
      </c>
    </row>
    <row r="199" spans="1:8" x14ac:dyDescent="0.3">
      <c r="A199" s="8">
        <v>43056.769456018519</v>
      </c>
      <c r="B199" s="20" t="s">
        <v>476</v>
      </c>
      <c r="C199" s="20" t="s">
        <v>844</v>
      </c>
      <c r="D199" s="138">
        <v>2350000</v>
      </c>
      <c r="E199" s="20" t="s">
        <v>773</v>
      </c>
      <c r="F199" s="20" t="s">
        <v>774</v>
      </c>
      <c r="G199" s="8" t="str">
        <f t="shared" si="6"/>
        <v>BERLING GARY</v>
      </c>
      <c r="H199" s="20" t="str">
        <f t="shared" si="7"/>
        <v>4023</v>
      </c>
    </row>
    <row r="200" spans="1:8" x14ac:dyDescent="0.3">
      <c r="A200" s="8">
        <v>43056.770381944443</v>
      </c>
      <c r="B200" s="20" t="s">
        <v>554</v>
      </c>
      <c r="C200" s="20" t="s">
        <v>845</v>
      </c>
      <c r="D200" s="138">
        <v>2370000</v>
      </c>
      <c r="E200" s="20" t="s">
        <v>785</v>
      </c>
      <c r="F200" s="20" t="s">
        <v>786</v>
      </c>
      <c r="G200" s="8" t="str">
        <f t="shared" si="6"/>
        <v>DELGADO DIANAH</v>
      </c>
      <c r="H200" s="20" t="str">
        <f t="shared" si="7"/>
        <v>4014</v>
      </c>
    </row>
    <row r="201" spans="1:8" x14ac:dyDescent="0.3">
      <c r="A201" s="8">
        <v>43056.770474537036</v>
      </c>
      <c r="B201" s="20" t="s">
        <v>465</v>
      </c>
      <c r="C201" s="20" t="s">
        <v>846</v>
      </c>
      <c r="D201" s="138">
        <v>3340000</v>
      </c>
      <c r="E201" s="20" t="s">
        <v>507</v>
      </c>
      <c r="F201" s="20" t="s">
        <v>508</v>
      </c>
      <c r="G201" s="8" t="str">
        <f t="shared" si="6"/>
        <v>ELBAUM MIKE</v>
      </c>
      <c r="H201" s="20" t="str">
        <f t="shared" si="7"/>
        <v>4042</v>
      </c>
    </row>
    <row r="202" spans="1:8" x14ac:dyDescent="0.3">
      <c r="A202" s="26">
        <v>43056.77175925926</v>
      </c>
      <c r="B202" s="20" t="s">
        <v>554</v>
      </c>
      <c r="C202" s="20" t="s">
        <v>845</v>
      </c>
      <c r="D202" s="138">
        <v>2370000</v>
      </c>
      <c r="E202" s="20" t="s">
        <v>785</v>
      </c>
      <c r="F202" s="20" t="s">
        <v>786</v>
      </c>
      <c r="G202" s="8" t="str">
        <f t="shared" si="6"/>
        <v>DELGADO DIANAH</v>
      </c>
      <c r="H202" s="20" t="str">
        <f t="shared" si="7"/>
        <v>4014</v>
      </c>
    </row>
    <row r="203" spans="1:8" x14ac:dyDescent="0.3">
      <c r="A203" s="8">
        <v>43056.777777777781</v>
      </c>
      <c r="B203" s="20" t="s">
        <v>451</v>
      </c>
      <c r="C203" s="20" t="s">
        <v>847</v>
      </c>
      <c r="D203" s="138">
        <v>3130000</v>
      </c>
      <c r="E203" s="20" t="s">
        <v>834</v>
      </c>
      <c r="F203" s="20" t="s">
        <v>835</v>
      </c>
      <c r="G203" s="8" t="str">
        <f t="shared" si="6"/>
        <v>ZEWDU DEREJE</v>
      </c>
      <c r="H203" s="20" t="str">
        <f t="shared" si="7"/>
        <v>4009</v>
      </c>
    </row>
    <row r="204" spans="1:8" x14ac:dyDescent="0.3">
      <c r="A204" s="8">
        <v>43056.778819444444</v>
      </c>
      <c r="B204" s="20" t="s">
        <v>543</v>
      </c>
      <c r="C204" s="20" t="s">
        <v>848</v>
      </c>
      <c r="D204" s="138">
        <v>1180000</v>
      </c>
      <c r="E204" s="20" t="s">
        <v>557</v>
      </c>
      <c r="F204" s="20" t="s">
        <v>558</v>
      </c>
      <c r="G204" s="8" t="str">
        <f t="shared" si="6"/>
        <v>LEVERE CRAIG</v>
      </c>
      <c r="H204" s="20" t="str">
        <f t="shared" si="7"/>
        <v>4040</v>
      </c>
    </row>
    <row r="205" spans="1:8" x14ac:dyDescent="0.3">
      <c r="A205" s="8">
        <v>43056.789918981478</v>
      </c>
      <c r="B205" s="20" t="s">
        <v>388</v>
      </c>
      <c r="C205" s="20" t="s">
        <v>849</v>
      </c>
      <c r="D205" s="138">
        <v>3670000</v>
      </c>
      <c r="E205" s="20" t="s">
        <v>384</v>
      </c>
      <c r="F205" s="20" t="s">
        <v>369</v>
      </c>
      <c r="G205" s="8" t="str">
        <f t="shared" si="6"/>
        <v>ANDREA WILLIAMS</v>
      </c>
      <c r="H205" s="20" t="str">
        <f t="shared" si="7"/>
        <v>4029</v>
      </c>
    </row>
    <row r="206" spans="1:8" x14ac:dyDescent="0.3">
      <c r="A206" s="8">
        <v>43056.790960648148</v>
      </c>
      <c r="B206" s="20" t="s">
        <v>632</v>
      </c>
      <c r="C206" s="20" t="s">
        <v>850</v>
      </c>
      <c r="D206" s="138">
        <v>3680000</v>
      </c>
      <c r="E206" s="20" t="s">
        <v>851</v>
      </c>
      <c r="F206" s="20" t="s">
        <v>852</v>
      </c>
      <c r="G206" s="8" t="str">
        <f t="shared" si="6"/>
        <v>HAMMOND JUSTYNN</v>
      </c>
      <c r="H206" s="20" t="str">
        <f t="shared" si="7"/>
        <v>4066</v>
      </c>
    </row>
    <row r="207" spans="1:8" x14ac:dyDescent="0.3">
      <c r="A207" s="8">
        <v>43056.793078703704</v>
      </c>
      <c r="B207" s="20" t="s">
        <v>368</v>
      </c>
      <c r="C207" s="20" t="s">
        <v>853</v>
      </c>
      <c r="D207" s="138">
        <v>3320000</v>
      </c>
      <c r="E207" s="20" t="s">
        <v>364</v>
      </c>
      <c r="F207" s="20" t="s">
        <v>365</v>
      </c>
      <c r="G207" s="8" t="str">
        <f t="shared" si="6"/>
        <v>NICHOLSON WESLEY</v>
      </c>
      <c r="H207" s="20" t="str">
        <f t="shared" si="7"/>
        <v>4035</v>
      </c>
    </row>
    <row r="208" spans="1:8" x14ac:dyDescent="0.3">
      <c r="A208" s="8">
        <v>43056.794918981483</v>
      </c>
      <c r="B208" s="20" t="s">
        <v>474</v>
      </c>
      <c r="C208" s="20" t="s">
        <v>854</v>
      </c>
      <c r="D208" s="138">
        <v>2350000</v>
      </c>
      <c r="E208" s="20" t="s">
        <v>773</v>
      </c>
      <c r="F208" s="20" t="s">
        <v>774</v>
      </c>
      <c r="G208" s="8" t="str">
        <f t="shared" si="6"/>
        <v>BERLING GARY</v>
      </c>
      <c r="H208" s="20" t="str">
        <f t="shared" si="7"/>
        <v>4024</v>
      </c>
    </row>
    <row r="209" spans="1:8" x14ac:dyDescent="0.3">
      <c r="A209" s="8">
        <v>43056.797002314815</v>
      </c>
      <c r="B209" s="20" t="s">
        <v>393</v>
      </c>
      <c r="C209" s="20" t="s">
        <v>855</v>
      </c>
      <c r="D209" s="138">
        <v>1300000</v>
      </c>
      <c r="E209" s="20" t="s">
        <v>359</v>
      </c>
      <c r="F209" s="20" t="s">
        <v>360</v>
      </c>
      <c r="G209" s="8" t="str">
        <f t="shared" si="6"/>
        <v>LEVIN SCOTT</v>
      </c>
      <c r="H209" s="20" t="str">
        <f t="shared" si="7"/>
        <v>4028</v>
      </c>
    </row>
    <row r="210" spans="1:8" x14ac:dyDescent="0.3">
      <c r="A210" s="8">
        <v>43056.797754629632</v>
      </c>
      <c r="B210" s="20" t="s">
        <v>636</v>
      </c>
      <c r="C210" s="20" t="s">
        <v>856</v>
      </c>
      <c r="D210" s="138">
        <v>3340000</v>
      </c>
      <c r="E210" s="20" t="s">
        <v>507</v>
      </c>
      <c r="F210" s="20" t="s">
        <v>508</v>
      </c>
      <c r="G210" s="8" t="str">
        <f t="shared" si="6"/>
        <v>ELBAUM MIKE</v>
      </c>
      <c r="H210" s="20" t="str">
        <f t="shared" si="7"/>
        <v>4041</v>
      </c>
    </row>
    <row r="211" spans="1:8" x14ac:dyDescent="0.3">
      <c r="A211" s="8">
        <v>43056.809432870374</v>
      </c>
      <c r="B211" s="20" t="s">
        <v>544</v>
      </c>
      <c r="C211" s="20" t="s">
        <v>857</v>
      </c>
      <c r="D211" s="138">
        <v>2540000</v>
      </c>
      <c r="E211" s="20" t="s">
        <v>481</v>
      </c>
      <c r="F211" s="20" t="s">
        <v>482</v>
      </c>
      <c r="G211" s="8" t="str">
        <f t="shared" si="6"/>
        <v>MCREYNOLDS KYLE</v>
      </c>
      <c r="H211" s="20" t="str">
        <f t="shared" si="7"/>
        <v>4020</v>
      </c>
    </row>
    <row r="212" spans="1:8" x14ac:dyDescent="0.3">
      <c r="A212" s="8">
        <v>43056.812164351853</v>
      </c>
      <c r="B212" s="20" t="s">
        <v>476</v>
      </c>
      <c r="C212" s="20" t="s">
        <v>651</v>
      </c>
      <c r="D212" s="138">
        <v>2350000</v>
      </c>
      <c r="E212" s="20" t="s">
        <v>773</v>
      </c>
      <c r="F212" s="20" t="s">
        <v>774</v>
      </c>
      <c r="G212" s="8" t="str">
        <f t="shared" si="6"/>
        <v>BERLING GARY</v>
      </c>
      <c r="H212" s="20" t="str">
        <f t="shared" si="7"/>
        <v>4023</v>
      </c>
    </row>
    <row r="213" spans="1:8" x14ac:dyDescent="0.3">
      <c r="A213" s="8">
        <v>43056.829224537039</v>
      </c>
      <c r="B213" s="20" t="s">
        <v>561</v>
      </c>
      <c r="C213" s="20" t="s">
        <v>858</v>
      </c>
      <c r="D213" s="138">
        <v>3680000</v>
      </c>
      <c r="E213" s="20" t="s">
        <v>851</v>
      </c>
      <c r="F213" s="20" t="s">
        <v>852</v>
      </c>
      <c r="G213" s="8" t="str">
        <f t="shared" si="6"/>
        <v>HAMMOND JUSTYNN</v>
      </c>
      <c r="H213" s="20" t="str">
        <f t="shared" si="7"/>
        <v>4065</v>
      </c>
    </row>
    <row r="214" spans="1:8" x14ac:dyDescent="0.3">
      <c r="A214" s="8">
        <v>43056.830057870371</v>
      </c>
      <c r="B214" s="20" t="s">
        <v>367</v>
      </c>
      <c r="C214" s="20" t="s">
        <v>859</v>
      </c>
      <c r="D214" s="138">
        <v>2440000</v>
      </c>
      <c r="E214" s="20" t="s">
        <v>479</v>
      </c>
      <c r="F214" s="20" t="s">
        <v>480</v>
      </c>
      <c r="G214" s="8" t="str">
        <f t="shared" si="6"/>
        <v>LOPES KIMBERLY</v>
      </c>
      <c r="H214" s="20" t="str">
        <f t="shared" si="7"/>
        <v>4036</v>
      </c>
    </row>
    <row r="215" spans="1:8" x14ac:dyDescent="0.3">
      <c r="A215" s="8">
        <v>43056.838460648149</v>
      </c>
      <c r="B215" s="20" t="s">
        <v>474</v>
      </c>
      <c r="C215" s="20" t="s">
        <v>860</v>
      </c>
      <c r="D215" s="138">
        <v>2350000</v>
      </c>
      <c r="E215" s="20" t="s">
        <v>773</v>
      </c>
      <c r="F215" s="20" t="s">
        <v>774</v>
      </c>
      <c r="G215" s="8" t="str">
        <f t="shared" si="6"/>
        <v>BERLING GARY</v>
      </c>
      <c r="H215" s="20" t="str">
        <f t="shared" si="7"/>
        <v>4024</v>
      </c>
    </row>
    <row r="216" spans="1:8" x14ac:dyDescent="0.3">
      <c r="A216" s="8">
        <v>43056.84103009259</v>
      </c>
      <c r="B216" s="20" t="s">
        <v>465</v>
      </c>
      <c r="C216" s="20" t="s">
        <v>861</v>
      </c>
      <c r="D216" s="138">
        <v>3130000</v>
      </c>
      <c r="E216" s="20" t="s">
        <v>834</v>
      </c>
      <c r="F216" s="20" t="s">
        <v>835</v>
      </c>
      <c r="G216" s="8" t="str">
        <f t="shared" si="6"/>
        <v>ZEWDU DEREJE</v>
      </c>
      <c r="H216" s="20" t="str">
        <f t="shared" si="7"/>
        <v>4042</v>
      </c>
    </row>
    <row r="217" spans="1:8" x14ac:dyDescent="0.3">
      <c r="A217" s="8">
        <v>43056.845833333333</v>
      </c>
      <c r="B217" s="20" t="s">
        <v>542</v>
      </c>
      <c r="C217" s="20" t="s">
        <v>862</v>
      </c>
      <c r="D217" s="138">
        <v>2540000</v>
      </c>
      <c r="E217" s="20" t="s">
        <v>481</v>
      </c>
      <c r="F217" s="20" t="s">
        <v>482</v>
      </c>
      <c r="G217" s="8" t="str">
        <f t="shared" si="6"/>
        <v>MCREYNOLDS KYLE</v>
      </c>
      <c r="H217" s="20" t="str">
        <f t="shared" si="7"/>
        <v>4019</v>
      </c>
    </row>
    <row r="218" spans="1:8" x14ac:dyDescent="0.3">
      <c r="A218" s="8">
        <v>43056.851909722223</v>
      </c>
      <c r="B218" s="20" t="s">
        <v>476</v>
      </c>
      <c r="C218" s="20" t="s">
        <v>863</v>
      </c>
      <c r="D218" s="138">
        <v>2350000</v>
      </c>
      <c r="E218" s="20" t="s">
        <v>773</v>
      </c>
      <c r="F218" s="20" t="s">
        <v>774</v>
      </c>
      <c r="G218" s="8" t="str">
        <f t="shared" si="6"/>
        <v>BERLING GARY</v>
      </c>
      <c r="H218" s="20" t="str">
        <f t="shared" si="7"/>
        <v>4023</v>
      </c>
    </row>
    <row r="219" spans="1:8" x14ac:dyDescent="0.3">
      <c r="A219" s="8">
        <v>43056.861377314817</v>
      </c>
      <c r="B219" s="20" t="s">
        <v>632</v>
      </c>
      <c r="C219" s="20" t="s">
        <v>818</v>
      </c>
      <c r="D219" s="138">
        <v>3500000</v>
      </c>
      <c r="E219" s="20" t="s">
        <v>378</v>
      </c>
      <c r="F219" s="20" t="s">
        <v>379</v>
      </c>
      <c r="G219" s="8" t="str">
        <f t="shared" si="6"/>
        <v>GUNTHIER ERIC</v>
      </c>
      <c r="H219" s="20" t="str">
        <f t="shared" si="7"/>
        <v>4066</v>
      </c>
    </row>
    <row r="220" spans="1:8" x14ac:dyDescent="0.3">
      <c r="A220" s="8">
        <v>43056.865381944444</v>
      </c>
      <c r="B220" s="20" t="s">
        <v>452</v>
      </c>
      <c r="C220" s="20" t="s">
        <v>814</v>
      </c>
      <c r="D220" s="138">
        <v>3310000</v>
      </c>
      <c r="E220" s="20" t="s">
        <v>864</v>
      </c>
      <c r="F220" s="20" t="s">
        <v>865</v>
      </c>
      <c r="G220" s="8" t="str">
        <f t="shared" si="6"/>
        <v>ANDERS STEVEN</v>
      </c>
      <c r="H220" s="20" t="str">
        <f t="shared" si="7"/>
        <v>4010</v>
      </c>
    </row>
    <row r="221" spans="1:8" x14ac:dyDescent="0.3">
      <c r="A221" s="8">
        <v>43056.869687500002</v>
      </c>
      <c r="B221" s="20" t="s">
        <v>451</v>
      </c>
      <c r="C221" s="20" t="s">
        <v>814</v>
      </c>
      <c r="D221" s="138">
        <v>3310000</v>
      </c>
      <c r="E221" s="20" t="s">
        <v>864</v>
      </c>
      <c r="F221" s="20" t="s">
        <v>865</v>
      </c>
      <c r="G221" s="8" t="str">
        <f t="shared" si="6"/>
        <v>ANDERS STEVEN</v>
      </c>
      <c r="H221" s="20" t="str">
        <f t="shared" si="7"/>
        <v>4009</v>
      </c>
    </row>
    <row r="222" spans="1:8" x14ac:dyDescent="0.3">
      <c r="A222" s="8">
        <v>43056.87127314815</v>
      </c>
      <c r="B222" s="20" t="s">
        <v>368</v>
      </c>
      <c r="C222" s="20" t="s">
        <v>866</v>
      </c>
      <c r="D222" s="138">
        <v>2440000</v>
      </c>
      <c r="E222" s="20" t="s">
        <v>479</v>
      </c>
      <c r="F222" s="20" t="s">
        <v>480</v>
      </c>
      <c r="G222" s="8" t="str">
        <f t="shared" si="6"/>
        <v>LOPES KIMBERLY</v>
      </c>
      <c r="H222" s="20" t="str">
        <f t="shared" si="7"/>
        <v>4035</v>
      </c>
    </row>
    <row r="223" spans="1:8" x14ac:dyDescent="0.3">
      <c r="A223" s="8">
        <v>43056.874131944445</v>
      </c>
      <c r="B223" s="20" t="s">
        <v>452</v>
      </c>
      <c r="C223" s="20" t="s">
        <v>867</v>
      </c>
      <c r="D223" s="138">
        <v>3680000</v>
      </c>
      <c r="E223" s="20" t="s">
        <v>851</v>
      </c>
      <c r="F223" s="20" t="s">
        <v>852</v>
      </c>
      <c r="G223" s="8" t="str">
        <f t="shared" si="6"/>
        <v>HAMMOND JUSTYNN</v>
      </c>
      <c r="H223" s="20" t="str">
        <f t="shared" si="7"/>
        <v>4010</v>
      </c>
    </row>
    <row r="224" spans="1:8" x14ac:dyDescent="0.3">
      <c r="A224" s="8">
        <v>43056.875810185185</v>
      </c>
      <c r="B224" t="s">
        <v>474</v>
      </c>
      <c r="C224" t="s">
        <v>868</v>
      </c>
      <c r="D224" s="138">
        <v>3670000</v>
      </c>
      <c r="E224" t="s">
        <v>384</v>
      </c>
      <c r="F224" s="20" t="s">
        <v>369</v>
      </c>
      <c r="G224" s="8" t="str">
        <f t="shared" si="6"/>
        <v>ANDREA WILLIAMS</v>
      </c>
      <c r="H224" s="20" t="str">
        <f t="shared" si="7"/>
        <v>4024</v>
      </c>
    </row>
    <row r="225" spans="1:8" x14ac:dyDescent="0.3">
      <c r="A225" s="8">
        <v>43056.883298611108</v>
      </c>
      <c r="B225" t="s">
        <v>368</v>
      </c>
      <c r="C225" t="s">
        <v>866</v>
      </c>
      <c r="D225" s="138">
        <v>2440000</v>
      </c>
      <c r="E225" t="s">
        <v>479</v>
      </c>
      <c r="F225" s="20" t="s">
        <v>480</v>
      </c>
      <c r="G225" s="8" t="str">
        <f t="shared" si="6"/>
        <v>LOPES KIMBERLY</v>
      </c>
      <c r="H225" s="20" t="str">
        <f t="shared" si="7"/>
        <v>4035</v>
      </c>
    </row>
    <row r="226" spans="1:8" x14ac:dyDescent="0.3">
      <c r="A226" s="8">
        <v>43056.886631944442</v>
      </c>
      <c r="B226" t="s">
        <v>544</v>
      </c>
      <c r="C226" t="s">
        <v>869</v>
      </c>
      <c r="D226" s="138">
        <v>2600000</v>
      </c>
      <c r="E226" t="s">
        <v>551</v>
      </c>
      <c r="F226" s="20" t="s">
        <v>517</v>
      </c>
      <c r="G226" s="8" t="str">
        <f t="shared" si="6"/>
        <v>DAVIDSON DAVID</v>
      </c>
      <c r="H226" s="20" t="str">
        <f t="shared" si="7"/>
        <v>4020</v>
      </c>
    </row>
    <row r="227" spans="1:8" x14ac:dyDescent="0.3">
      <c r="A227" s="8">
        <v>43056.891435185185</v>
      </c>
      <c r="B227" t="s">
        <v>636</v>
      </c>
      <c r="C227" t="s">
        <v>870</v>
      </c>
      <c r="D227" s="138">
        <v>3130000</v>
      </c>
      <c r="E227" t="s">
        <v>834</v>
      </c>
      <c r="F227" s="20" t="s">
        <v>835</v>
      </c>
      <c r="G227" s="8" t="str">
        <f t="shared" si="6"/>
        <v>ZEWDU DEREJE</v>
      </c>
      <c r="H227" s="20" t="str">
        <f t="shared" si="7"/>
        <v>4041</v>
      </c>
    </row>
    <row r="228" spans="1:8" x14ac:dyDescent="0.3">
      <c r="A228" s="8">
        <v>43056.893425925926</v>
      </c>
      <c r="B228" t="s">
        <v>476</v>
      </c>
      <c r="C228" t="s">
        <v>871</v>
      </c>
      <c r="D228" s="138">
        <v>3670000</v>
      </c>
      <c r="E228" t="s">
        <v>384</v>
      </c>
      <c r="F228" s="20" t="s">
        <v>369</v>
      </c>
      <c r="G228" s="8" t="str">
        <f t="shared" si="6"/>
        <v>ANDREA WILLIAMS</v>
      </c>
      <c r="H228" s="20" t="str">
        <f t="shared" si="7"/>
        <v>4023</v>
      </c>
    </row>
    <row r="229" spans="1:8" x14ac:dyDescent="0.3">
      <c r="A229" s="8">
        <v>43056.90215277778</v>
      </c>
      <c r="B229" t="s">
        <v>872</v>
      </c>
      <c r="C229" t="s">
        <v>829</v>
      </c>
      <c r="D229" s="138">
        <v>3500000</v>
      </c>
      <c r="E229" t="s">
        <v>378</v>
      </c>
      <c r="F229" s="20" t="s">
        <v>379</v>
      </c>
      <c r="G229" s="8" t="str">
        <f t="shared" si="6"/>
        <v>GUNTHIER ERIC</v>
      </c>
      <c r="H229" s="20" t="str">
        <f t="shared" si="7"/>
        <v>4016</v>
      </c>
    </row>
    <row r="230" spans="1:8" x14ac:dyDescent="0.3">
      <c r="A230" s="8">
        <v>43056.905752314815</v>
      </c>
      <c r="B230" t="s">
        <v>506</v>
      </c>
      <c r="C230" t="s">
        <v>829</v>
      </c>
      <c r="D230" s="138">
        <v>3500000</v>
      </c>
      <c r="E230" t="s">
        <v>378</v>
      </c>
      <c r="F230" s="20" t="s">
        <v>379</v>
      </c>
      <c r="G230" s="8" t="str">
        <f t="shared" si="6"/>
        <v>GUNTHIER ERIC</v>
      </c>
      <c r="H230" s="20" t="str">
        <f t="shared" si="7"/>
        <v>4015</v>
      </c>
    </row>
    <row r="231" spans="1:8" x14ac:dyDescent="0.3">
      <c r="A231" s="8">
        <v>43056.906284722223</v>
      </c>
      <c r="B231" t="s">
        <v>506</v>
      </c>
      <c r="C231" t="s">
        <v>829</v>
      </c>
      <c r="D231" s="138">
        <v>3500000</v>
      </c>
      <c r="E231" t="s">
        <v>378</v>
      </c>
      <c r="F231" s="20" t="s">
        <v>379</v>
      </c>
      <c r="G231" s="8" t="str">
        <f t="shared" si="6"/>
        <v>GUNTHIER ERIC</v>
      </c>
      <c r="H231" s="20" t="str">
        <f t="shared" si="7"/>
        <v>4015</v>
      </c>
    </row>
    <row r="232" spans="1:8" x14ac:dyDescent="0.3">
      <c r="A232" s="8">
        <v>43056.907164351855</v>
      </c>
      <c r="B232" t="s">
        <v>506</v>
      </c>
      <c r="C232" t="s">
        <v>829</v>
      </c>
      <c r="D232" s="138">
        <v>3500000</v>
      </c>
      <c r="E232" t="s">
        <v>378</v>
      </c>
      <c r="F232" s="20" t="s">
        <v>379</v>
      </c>
      <c r="G232" s="8" t="str">
        <f t="shared" si="6"/>
        <v>GUNTHIER ERIC</v>
      </c>
      <c r="H232" s="20" t="str">
        <f t="shared" si="7"/>
        <v>4015</v>
      </c>
    </row>
    <row r="233" spans="1:8" x14ac:dyDescent="0.3">
      <c r="A233" s="8">
        <v>43056.908263888887</v>
      </c>
      <c r="B233" t="s">
        <v>367</v>
      </c>
      <c r="C233" t="s">
        <v>873</v>
      </c>
      <c r="D233" s="138">
        <v>3320000</v>
      </c>
      <c r="E233" t="s">
        <v>364</v>
      </c>
      <c r="F233" s="20" t="s">
        <v>365</v>
      </c>
      <c r="G233" s="8" t="str">
        <f t="shared" si="6"/>
        <v>NICHOLSON WESLEY</v>
      </c>
      <c r="H233" s="20" t="str">
        <f t="shared" si="7"/>
        <v>4036</v>
      </c>
    </row>
    <row r="234" spans="1:8" x14ac:dyDescent="0.3">
      <c r="A234" s="8">
        <v>43056.909571759257</v>
      </c>
      <c r="B234" t="s">
        <v>451</v>
      </c>
      <c r="C234" t="s">
        <v>874</v>
      </c>
      <c r="D234" s="138">
        <v>3310000</v>
      </c>
      <c r="E234" t="s">
        <v>864</v>
      </c>
      <c r="F234" s="20" t="s">
        <v>865</v>
      </c>
      <c r="G234" s="8" t="str">
        <f t="shared" si="6"/>
        <v>ANDERS STEVEN</v>
      </c>
      <c r="H234" s="20" t="str">
        <f t="shared" si="7"/>
        <v>4009</v>
      </c>
    </row>
    <row r="235" spans="1:8" x14ac:dyDescent="0.3">
      <c r="A235" s="8">
        <v>43056.917060185187</v>
      </c>
      <c r="B235" t="s">
        <v>474</v>
      </c>
      <c r="C235" t="s">
        <v>875</v>
      </c>
      <c r="D235" s="138">
        <v>3670000</v>
      </c>
      <c r="E235" t="s">
        <v>384</v>
      </c>
      <c r="F235" s="20" t="s">
        <v>369</v>
      </c>
      <c r="G235" s="8" t="str">
        <f t="shared" si="6"/>
        <v>ANDREA WILLIAMS</v>
      </c>
      <c r="H235" s="20" t="str">
        <f t="shared" si="7"/>
        <v>4024</v>
      </c>
    </row>
    <row r="236" spans="1:8" x14ac:dyDescent="0.3">
      <c r="A236" s="8">
        <v>43056.922361111108</v>
      </c>
      <c r="B236" t="s">
        <v>465</v>
      </c>
      <c r="C236" t="s">
        <v>876</v>
      </c>
      <c r="D236" s="138">
        <v>3340000</v>
      </c>
      <c r="E236" t="s">
        <v>507</v>
      </c>
      <c r="F236" s="20" t="s">
        <v>508</v>
      </c>
      <c r="G236" s="8" t="str">
        <f t="shared" si="6"/>
        <v>ELBAUM MIKE</v>
      </c>
      <c r="H236" s="20" t="str">
        <f t="shared" si="7"/>
        <v>4042</v>
      </c>
    </row>
    <row r="237" spans="1:8" x14ac:dyDescent="0.3">
      <c r="A237" s="8">
        <v>43056.923414351855</v>
      </c>
      <c r="B237" t="s">
        <v>542</v>
      </c>
      <c r="C237" t="s">
        <v>877</v>
      </c>
      <c r="D237" s="138">
        <v>2600000</v>
      </c>
      <c r="E237" t="s">
        <v>551</v>
      </c>
      <c r="F237" s="20" t="s">
        <v>517</v>
      </c>
      <c r="G237" s="8" t="str">
        <f t="shared" si="6"/>
        <v>DAVIDSON DAVID</v>
      </c>
      <c r="H237" s="20" t="str">
        <f t="shared" si="7"/>
        <v>4019</v>
      </c>
    </row>
    <row r="238" spans="1:8" x14ac:dyDescent="0.3">
      <c r="A238" s="8">
        <v>43056.935300925928</v>
      </c>
      <c r="B238" t="s">
        <v>476</v>
      </c>
      <c r="C238" t="s">
        <v>878</v>
      </c>
      <c r="D238" s="138">
        <v>3670000</v>
      </c>
      <c r="E238" t="s">
        <v>384</v>
      </c>
      <c r="F238" s="20" t="s">
        <v>369</v>
      </c>
      <c r="G238" s="8" t="str">
        <f t="shared" si="6"/>
        <v>ANDREA WILLIAMS</v>
      </c>
      <c r="H238" s="20" t="str">
        <f t="shared" si="7"/>
        <v>4023</v>
      </c>
    </row>
    <row r="239" spans="1:8" x14ac:dyDescent="0.3">
      <c r="A239" s="8">
        <v>43056.948692129627</v>
      </c>
      <c r="B239" t="s">
        <v>452</v>
      </c>
      <c r="C239" t="s">
        <v>879</v>
      </c>
      <c r="D239" s="138">
        <v>3680000</v>
      </c>
      <c r="E239" t="s">
        <v>851</v>
      </c>
      <c r="F239" s="20" t="s">
        <v>852</v>
      </c>
      <c r="G239" s="8" t="str">
        <f t="shared" si="6"/>
        <v>HAMMOND JUSTYNN</v>
      </c>
      <c r="H239" s="20" t="str">
        <f t="shared" si="7"/>
        <v>4010</v>
      </c>
    </row>
    <row r="240" spans="1:8" x14ac:dyDescent="0.3">
      <c r="A240" s="8">
        <v>43056.952118055553</v>
      </c>
      <c r="B240" t="s">
        <v>368</v>
      </c>
      <c r="C240" t="s">
        <v>880</v>
      </c>
      <c r="D240" s="138">
        <v>3320000</v>
      </c>
      <c r="E240" t="s">
        <v>364</v>
      </c>
      <c r="F240" s="20" t="s">
        <v>365</v>
      </c>
      <c r="G240" s="8" t="str">
        <f t="shared" si="6"/>
        <v>NICHOLSON WESLEY</v>
      </c>
      <c r="H240" s="20" t="str">
        <f t="shared" si="7"/>
        <v>4035</v>
      </c>
    </row>
    <row r="241" spans="1:8" x14ac:dyDescent="0.3">
      <c r="A241" s="8">
        <v>43056.956944444442</v>
      </c>
      <c r="B241" t="s">
        <v>474</v>
      </c>
      <c r="C241" t="s">
        <v>881</v>
      </c>
      <c r="D241" s="138">
        <v>3670000</v>
      </c>
      <c r="E241" t="s">
        <v>384</v>
      </c>
      <c r="F241" s="20" t="s">
        <v>369</v>
      </c>
      <c r="G241" s="8" t="str">
        <f t="shared" si="6"/>
        <v>ANDREA WILLIAMS</v>
      </c>
      <c r="H241" s="20" t="str">
        <f t="shared" si="7"/>
        <v>4024</v>
      </c>
    </row>
    <row r="242" spans="1:8" x14ac:dyDescent="0.3">
      <c r="A242" s="8">
        <v>43056.964270833334</v>
      </c>
      <c r="B242" t="s">
        <v>544</v>
      </c>
      <c r="C242" t="s">
        <v>652</v>
      </c>
      <c r="D242" s="138">
        <v>2600000</v>
      </c>
      <c r="E242" t="s">
        <v>551</v>
      </c>
      <c r="F242" s="20" t="s">
        <v>517</v>
      </c>
      <c r="G242" s="8" t="str">
        <f t="shared" si="6"/>
        <v>DAVIDSON DAVID</v>
      </c>
      <c r="H242" s="20" t="str">
        <f t="shared" si="7"/>
        <v>4020</v>
      </c>
    </row>
    <row r="243" spans="1:8" x14ac:dyDescent="0.3">
      <c r="A243" s="8">
        <v>43056.966574074075</v>
      </c>
      <c r="B243" t="s">
        <v>636</v>
      </c>
      <c r="C243" t="s">
        <v>882</v>
      </c>
      <c r="D243" s="138">
        <v>3340000</v>
      </c>
      <c r="E243" t="s">
        <v>507</v>
      </c>
      <c r="F243" s="20" t="s">
        <v>508</v>
      </c>
      <c r="G243" s="8" t="str">
        <f t="shared" si="6"/>
        <v>ELBAUM MIKE</v>
      </c>
      <c r="H243" s="20" t="str">
        <f t="shared" si="7"/>
        <v>4041</v>
      </c>
    </row>
    <row r="244" spans="1:8" x14ac:dyDescent="0.3">
      <c r="A244" s="8">
        <v>43056.97625</v>
      </c>
      <c r="B244" t="s">
        <v>476</v>
      </c>
      <c r="C244" t="s">
        <v>883</v>
      </c>
      <c r="D244" s="138">
        <v>3670000</v>
      </c>
      <c r="E244" t="s">
        <v>384</v>
      </c>
      <c r="F244" s="20" t="s">
        <v>369</v>
      </c>
      <c r="G244" s="8" t="str">
        <f t="shared" si="6"/>
        <v>ANDREA WILLIAMS</v>
      </c>
      <c r="H244" s="20" t="str">
        <f t="shared" si="7"/>
        <v>4023</v>
      </c>
    </row>
    <row r="245" spans="1:8" x14ac:dyDescent="0.3">
      <c r="A245" s="8">
        <v>43056.987245370372</v>
      </c>
      <c r="B245" t="s">
        <v>367</v>
      </c>
      <c r="C245" t="s">
        <v>884</v>
      </c>
      <c r="D245" s="138">
        <v>3320000</v>
      </c>
      <c r="E245" t="s">
        <v>364</v>
      </c>
      <c r="F245" s="20" t="s">
        <v>365</v>
      </c>
      <c r="G245" s="8" t="str">
        <f t="shared" si="6"/>
        <v>NICHOLSON WESLEY</v>
      </c>
      <c r="H245" s="20" t="str">
        <f t="shared" si="7"/>
        <v>4036</v>
      </c>
    </row>
    <row r="246" spans="1:8" x14ac:dyDescent="0.3">
      <c r="A246" s="8">
        <v>43056.99559027778</v>
      </c>
      <c r="B246" t="s">
        <v>451</v>
      </c>
      <c r="C246" t="s">
        <v>885</v>
      </c>
      <c r="D246" s="138">
        <v>3310000</v>
      </c>
      <c r="E246" t="s">
        <v>864</v>
      </c>
      <c r="F246" s="20" t="s">
        <v>865</v>
      </c>
      <c r="G246" s="8" t="str">
        <f t="shared" si="6"/>
        <v>ANDERS STEVEN</v>
      </c>
      <c r="H246" s="20" t="str">
        <f t="shared" si="7"/>
        <v>4009</v>
      </c>
    </row>
    <row r="247" spans="1:8" x14ac:dyDescent="0.3">
      <c r="A247" s="8">
        <v>43057.007592592592</v>
      </c>
      <c r="B247" t="s">
        <v>542</v>
      </c>
      <c r="C247" t="s">
        <v>886</v>
      </c>
      <c r="D247" s="138">
        <v>2600000</v>
      </c>
      <c r="E247" t="s">
        <v>551</v>
      </c>
      <c r="F247" s="20" t="s">
        <v>517</v>
      </c>
      <c r="G247" s="8" t="str">
        <f t="shared" si="6"/>
        <v>DAVIDSON DAVID</v>
      </c>
      <c r="H247" s="20" t="str">
        <f t="shared" si="7"/>
        <v>4019</v>
      </c>
    </row>
    <row r="248" spans="1:8" x14ac:dyDescent="0.3">
      <c r="A248" s="8">
        <v>43057.007870370369</v>
      </c>
      <c r="B248" t="s">
        <v>465</v>
      </c>
      <c r="C248" t="s">
        <v>887</v>
      </c>
      <c r="D248" s="138">
        <v>3340000</v>
      </c>
      <c r="E248" t="s">
        <v>507</v>
      </c>
      <c r="F248" s="20" t="s">
        <v>508</v>
      </c>
      <c r="G248" s="8" t="str">
        <f t="shared" si="6"/>
        <v>ELBAUM MIKE</v>
      </c>
      <c r="H248" s="20" t="str">
        <f t="shared" si="7"/>
        <v>4042</v>
      </c>
    </row>
    <row r="249" spans="1:8" x14ac:dyDescent="0.3">
      <c r="A249" s="8">
        <v>43057.034571759257</v>
      </c>
      <c r="B249" t="s">
        <v>368</v>
      </c>
      <c r="C249" t="s">
        <v>888</v>
      </c>
      <c r="D249" s="138">
        <v>3320000</v>
      </c>
      <c r="E249" t="s">
        <v>364</v>
      </c>
      <c r="F249" s="20" t="s">
        <v>365</v>
      </c>
      <c r="G249" s="8" t="str">
        <f t="shared" si="6"/>
        <v>NICHOLSON WESLEY</v>
      </c>
      <c r="H249" s="20" t="str">
        <f t="shared" si="7"/>
        <v>4035</v>
      </c>
    </row>
    <row r="250" spans="1:8" x14ac:dyDescent="0.3">
      <c r="A250" s="8">
        <v>43057.039826388886</v>
      </c>
      <c r="B250" t="s">
        <v>452</v>
      </c>
      <c r="C250" t="s">
        <v>889</v>
      </c>
      <c r="D250" s="138">
        <v>3680000</v>
      </c>
      <c r="E250" t="s">
        <v>851</v>
      </c>
      <c r="F250" s="20" t="s">
        <v>852</v>
      </c>
      <c r="G250" s="8" t="str">
        <f t="shared" si="6"/>
        <v>HAMMOND JUSTYNN</v>
      </c>
      <c r="H250" s="20" t="str">
        <f t="shared" si="7"/>
        <v>4010</v>
      </c>
    </row>
    <row r="251" spans="1:8" x14ac:dyDescent="0.3">
      <c r="A251" s="8">
        <v>43057.047280092593</v>
      </c>
      <c r="B251" t="s">
        <v>636</v>
      </c>
      <c r="C251" t="s">
        <v>890</v>
      </c>
      <c r="D251" s="138">
        <v>3340000</v>
      </c>
      <c r="E251" t="s">
        <v>507</v>
      </c>
      <c r="F251" s="20" t="s">
        <v>508</v>
      </c>
      <c r="G251" s="8" t="str">
        <f t="shared" si="6"/>
        <v>ELBAUM MIKE</v>
      </c>
      <c r="H251" s="20" t="str">
        <f t="shared" si="7"/>
        <v>4041</v>
      </c>
    </row>
    <row r="252" spans="1:8" x14ac:dyDescent="0.3">
      <c r="A252" s="8">
        <v>43057.049861111111</v>
      </c>
      <c r="B252" t="s">
        <v>544</v>
      </c>
      <c r="C252" t="s">
        <v>653</v>
      </c>
      <c r="D252" s="138">
        <v>2600000</v>
      </c>
      <c r="E252" t="s">
        <v>551</v>
      </c>
      <c r="F252" s="20" t="s">
        <v>517</v>
      </c>
      <c r="G252" s="8" t="str">
        <f t="shared" si="6"/>
        <v>DAVIDSON DAVID</v>
      </c>
      <c r="H252" s="20" t="str">
        <f t="shared" si="7"/>
        <v>4020</v>
      </c>
    </row>
    <row r="253" spans="1:8" x14ac:dyDescent="0.3">
      <c r="A253" s="8">
        <v>43057.069861111115</v>
      </c>
      <c r="B253" t="s">
        <v>451</v>
      </c>
      <c r="C253" t="s">
        <v>891</v>
      </c>
      <c r="D253" s="138">
        <v>3310000</v>
      </c>
      <c r="E253" t="s">
        <v>864</v>
      </c>
      <c r="F253" s="20" t="s">
        <v>865</v>
      </c>
      <c r="G253" s="8" t="str">
        <f t="shared" si="6"/>
        <v>ANDERS STEVEN</v>
      </c>
      <c r="H253" s="20" t="str">
        <f t="shared" si="7"/>
        <v>4009</v>
      </c>
    </row>
    <row r="254" spans="1:8" x14ac:dyDescent="0.3">
      <c r="A254" s="8">
        <v>43057.070532407408</v>
      </c>
      <c r="B254" t="s">
        <v>367</v>
      </c>
      <c r="C254" t="s">
        <v>892</v>
      </c>
      <c r="D254" s="138">
        <v>3320000</v>
      </c>
      <c r="E254" t="s">
        <v>364</v>
      </c>
      <c r="F254" s="20" t="s">
        <v>365</v>
      </c>
      <c r="G254" s="8" t="str">
        <f t="shared" si="6"/>
        <v>NICHOLSON WESLEY</v>
      </c>
      <c r="H254" s="20" t="str">
        <f t="shared" si="7"/>
        <v>4036</v>
      </c>
    </row>
    <row r="255" spans="1:8" x14ac:dyDescent="0.3">
      <c r="A255" s="8">
        <v>43057.086678240739</v>
      </c>
      <c r="B255" t="s">
        <v>465</v>
      </c>
      <c r="C255" t="s">
        <v>893</v>
      </c>
      <c r="D255" s="138">
        <v>3340000</v>
      </c>
      <c r="E255" t="s">
        <v>507</v>
      </c>
      <c r="F255" s="20" t="s">
        <v>508</v>
      </c>
      <c r="G255" s="8" t="str">
        <f t="shared" si="6"/>
        <v>ELBAUM MIKE</v>
      </c>
      <c r="H255" s="20" t="str">
        <f t="shared" si="7"/>
        <v>4042</v>
      </c>
    </row>
    <row r="256" spans="1:8" x14ac:dyDescent="0.3">
      <c r="A256" s="8">
        <v>43057.109247685185</v>
      </c>
      <c r="B256" t="s">
        <v>452</v>
      </c>
      <c r="C256" t="s">
        <v>894</v>
      </c>
      <c r="D256" s="138">
        <v>3680000</v>
      </c>
      <c r="E256" t="s">
        <v>851</v>
      </c>
      <c r="F256" s="20" t="s">
        <v>852</v>
      </c>
      <c r="G256" s="8" t="str">
        <f t="shared" si="6"/>
        <v>HAMMOND JUSTYNN</v>
      </c>
      <c r="H256" s="20" t="str">
        <f t="shared" si="7"/>
        <v>4010</v>
      </c>
    </row>
    <row r="257" spans="1:8" x14ac:dyDescent="0.3">
      <c r="A257" s="8">
        <v>43048.013437499998</v>
      </c>
      <c r="B257" t="s">
        <v>457</v>
      </c>
      <c r="C257" t="s">
        <v>483</v>
      </c>
      <c r="D257" s="138">
        <v>2540000</v>
      </c>
      <c r="E257" t="s">
        <v>481</v>
      </c>
      <c r="F257" s="20" t="s">
        <v>482</v>
      </c>
      <c r="G257" s="8" t="str">
        <f t="shared" si="6"/>
        <v>MCREYNOLDS KYLE</v>
      </c>
      <c r="H257" s="20" t="str">
        <f t="shared" si="7"/>
        <v>4049</v>
      </c>
    </row>
    <row r="258" spans="1:8" x14ac:dyDescent="0.3">
      <c r="A258" s="8">
        <v>43048.016064814816</v>
      </c>
      <c r="B258" t="s">
        <v>358</v>
      </c>
      <c r="C258" t="s">
        <v>477</v>
      </c>
      <c r="D258" s="138">
        <v>3700000</v>
      </c>
      <c r="E258" t="s">
        <v>459</v>
      </c>
      <c r="F258" s="20" t="s">
        <v>371</v>
      </c>
      <c r="G258" s="8" t="str">
        <f t="shared" si="6"/>
        <v>AUSTIN THOMPSON</v>
      </c>
      <c r="H258" s="20" t="str">
        <f t="shared" si="7"/>
        <v>4060</v>
      </c>
    </row>
    <row r="259" spans="1:8" x14ac:dyDescent="0.3">
      <c r="A259" s="8">
        <v>43048.033553240741</v>
      </c>
      <c r="B259" t="s">
        <v>452</v>
      </c>
      <c r="C259" t="s">
        <v>484</v>
      </c>
      <c r="D259" s="138">
        <v>3320000</v>
      </c>
      <c r="E259" t="s">
        <v>364</v>
      </c>
      <c r="F259" s="20" t="s">
        <v>365</v>
      </c>
      <c r="G259" s="8" t="str">
        <f t="shared" ref="G259:G313" si="8">E259&amp;" "&amp;F259</f>
        <v>NICHOLSON WESLEY</v>
      </c>
      <c r="H259" s="20" t="str">
        <f t="shared" ref="H259:H313" si="9">MID(B259,13,4)</f>
        <v>4010</v>
      </c>
    </row>
    <row r="260" spans="1:8" x14ac:dyDescent="0.3">
      <c r="A260" s="8">
        <v>43048.038171296299</v>
      </c>
      <c r="B260" t="s">
        <v>478</v>
      </c>
      <c r="C260" t="s">
        <v>485</v>
      </c>
      <c r="D260" s="138">
        <v>890000</v>
      </c>
      <c r="E260" t="s">
        <v>345</v>
      </c>
      <c r="F260" s="20" t="s">
        <v>346</v>
      </c>
      <c r="G260" s="8" t="str">
        <f t="shared" si="8"/>
        <v>LOZA FIDEL</v>
      </c>
      <c r="H260" s="20" t="str">
        <f t="shared" si="9"/>
        <v>4051</v>
      </c>
    </row>
    <row r="261" spans="1:8" x14ac:dyDescent="0.3">
      <c r="A261" s="8">
        <v>43048.048414351855</v>
      </c>
      <c r="B261" t="s">
        <v>458</v>
      </c>
      <c r="C261" t="s">
        <v>486</v>
      </c>
      <c r="D261" s="138">
        <v>2440000</v>
      </c>
      <c r="E261" t="s">
        <v>479</v>
      </c>
      <c r="F261" s="20" t="s">
        <v>480</v>
      </c>
      <c r="G261" s="8" t="str">
        <f t="shared" si="8"/>
        <v>LOPES KIMBERLY</v>
      </c>
      <c r="H261" s="20" t="str">
        <f t="shared" si="9"/>
        <v>4050</v>
      </c>
    </row>
    <row r="262" spans="1:8" x14ac:dyDescent="0.3">
      <c r="A262" s="8">
        <v>43048.057881944442</v>
      </c>
      <c r="B262" t="s">
        <v>392</v>
      </c>
      <c r="C262" t="s">
        <v>487</v>
      </c>
      <c r="D262" s="138">
        <v>3700000</v>
      </c>
      <c r="E262" t="s">
        <v>459</v>
      </c>
      <c r="F262" s="20" t="s">
        <v>371</v>
      </c>
      <c r="G262" s="8" t="str">
        <f t="shared" si="8"/>
        <v>AUSTIN THOMPSON</v>
      </c>
      <c r="H262" s="20" t="str">
        <f t="shared" si="9"/>
        <v>4059</v>
      </c>
    </row>
    <row r="263" spans="1:8" x14ac:dyDescent="0.3">
      <c r="A263" s="8">
        <v>43048.067511574074</v>
      </c>
      <c r="B263" t="s">
        <v>473</v>
      </c>
      <c r="C263" t="s">
        <v>488</v>
      </c>
      <c r="D263" s="138">
        <v>890000</v>
      </c>
      <c r="E263" t="s">
        <v>345</v>
      </c>
      <c r="F263" s="20" t="s">
        <v>346</v>
      </c>
      <c r="G263" s="8" t="str">
        <f t="shared" si="8"/>
        <v>LOZA FIDEL</v>
      </c>
      <c r="H263" s="20" t="str">
        <f t="shared" si="9"/>
        <v>4052</v>
      </c>
    </row>
    <row r="264" spans="1:8" x14ac:dyDescent="0.3">
      <c r="A264" s="8">
        <v>43048.089965277781</v>
      </c>
      <c r="B264" t="s">
        <v>358</v>
      </c>
      <c r="C264" t="s">
        <v>489</v>
      </c>
      <c r="D264" s="138">
        <v>3700000</v>
      </c>
      <c r="E264" t="s">
        <v>459</v>
      </c>
      <c r="F264" s="20" t="s">
        <v>371</v>
      </c>
      <c r="G264" s="8" t="str">
        <f t="shared" si="8"/>
        <v>AUSTIN THOMPSON</v>
      </c>
      <c r="H264" s="20" t="str">
        <f t="shared" si="9"/>
        <v>4060</v>
      </c>
    </row>
    <row r="265" spans="1:8" x14ac:dyDescent="0.3">
      <c r="A265" s="8">
        <v>43039.772962962961</v>
      </c>
      <c r="B265" t="s">
        <v>388</v>
      </c>
      <c r="C265" t="s">
        <v>400</v>
      </c>
      <c r="D265" s="138">
        <v>3670000</v>
      </c>
      <c r="E265" t="s">
        <v>384</v>
      </c>
      <c r="F265" s="20" t="s">
        <v>369</v>
      </c>
      <c r="G265" s="8" t="str">
        <f t="shared" si="8"/>
        <v>ANDREA WILLIAMS</v>
      </c>
      <c r="H265" s="20" t="str">
        <f t="shared" si="9"/>
        <v>4029</v>
      </c>
    </row>
    <row r="266" spans="1:8" x14ac:dyDescent="0.3">
      <c r="A266" s="8">
        <v>43039.775405092594</v>
      </c>
      <c r="B266" t="s">
        <v>361</v>
      </c>
      <c r="C266" t="s">
        <v>401</v>
      </c>
      <c r="D266" s="138">
        <v>2000000</v>
      </c>
      <c r="E266" t="s">
        <v>396</v>
      </c>
      <c r="F266" s="20" t="s">
        <v>397</v>
      </c>
      <c r="G266" s="8" t="str">
        <f t="shared" si="8"/>
        <v>STAMBAUGH JAMES</v>
      </c>
      <c r="H266" s="20" t="str">
        <f t="shared" si="9"/>
        <v>4018</v>
      </c>
    </row>
    <row r="267" spans="1:8" x14ac:dyDescent="0.3">
      <c r="A267" s="8">
        <v>43039.778333333335</v>
      </c>
      <c r="B267" t="s">
        <v>386</v>
      </c>
      <c r="C267" t="s">
        <v>402</v>
      </c>
      <c r="D267" s="138">
        <v>1300000</v>
      </c>
      <c r="E267" t="s">
        <v>359</v>
      </c>
      <c r="F267" s="20" t="s">
        <v>360</v>
      </c>
      <c r="G267" s="8" t="str">
        <f t="shared" si="8"/>
        <v>LEVIN SCOTT</v>
      </c>
      <c r="H267" s="20" t="str">
        <f t="shared" si="9"/>
        <v>4022</v>
      </c>
    </row>
    <row r="268" spans="1:8" x14ac:dyDescent="0.3">
      <c r="A268" s="8">
        <v>43039.779745370368</v>
      </c>
      <c r="B268" t="s">
        <v>392</v>
      </c>
      <c r="C268" t="s">
        <v>403</v>
      </c>
      <c r="D268" s="138">
        <v>2230000</v>
      </c>
      <c r="E268" t="s">
        <v>395</v>
      </c>
      <c r="F268" s="20" t="s">
        <v>353</v>
      </c>
      <c r="G268" s="8" t="str">
        <f t="shared" si="8"/>
        <v>SMITH MICHAEL</v>
      </c>
      <c r="H268" s="20" t="str">
        <f t="shared" si="9"/>
        <v>4059</v>
      </c>
    </row>
    <row r="269" spans="1:8" x14ac:dyDescent="0.3">
      <c r="A269" s="8">
        <v>43039.788460648146</v>
      </c>
      <c r="B269" t="s">
        <v>363</v>
      </c>
      <c r="C269" t="s">
        <v>404</v>
      </c>
      <c r="D269" s="138">
        <v>2000000</v>
      </c>
      <c r="E269" t="s">
        <v>396</v>
      </c>
      <c r="F269" s="20" t="s">
        <v>397</v>
      </c>
      <c r="G269" s="8" t="str">
        <f t="shared" si="8"/>
        <v>STAMBAUGH JAMES</v>
      </c>
      <c r="H269" s="20" t="str">
        <f t="shared" si="9"/>
        <v>4017</v>
      </c>
    </row>
    <row r="270" spans="1:8" x14ac:dyDescent="0.3">
      <c r="A270" s="8">
        <v>43039.79</v>
      </c>
      <c r="B270" t="s">
        <v>357</v>
      </c>
      <c r="C270" t="s">
        <v>405</v>
      </c>
      <c r="D270" s="138">
        <v>3500000</v>
      </c>
      <c r="E270" t="s">
        <v>378</v>
      </c>
      <c r="F270" s="20" t="s">
        <v>379</v>
      </c>
      <c r="G270" s="8" t="str">
        <f t="shared" si="8"/>
        <v>GUNTHIER ERIC</v>
      </c>
      <c r="H270" s="20" t="str">
        <f t="shared" si="9"/>
        <v>4008</v>
      </c>
    </row>
    <row r="271" spans="1:8" x14ac:dyDescent="0.3">
      <c r="A271" s="8">
        <v>43039.790324074071</v>
      </c>
      <c r="B271" t="s">
        <v>373</v>
      </c>
      <c r="C271" t="s">
        <v>406</v>
      </c>
      <c r="D271" s="138">
        <v>3320000</v>
      </c>
      <c r="E271" t="s">
        <v>364</v>
      </c>
      <c r="F271" s="20" t="s">
        <v>365</v>
      </c>
      <c r="G271" s="8" t="str">
        <f t="shared" si="8"/>
        <v>NICHOLSON WESLEY</v>
      </c>
      <c r="H271" s="20" t="str">
        <f t="shared" si="9"/>
        <v>4011</v>
      </c>
    </row>
    <row r="272" spans="1:8" x14ac:dyDescent="0.3">
      <c r="A272" s="8">
        <v>43039.795312499999</v>
      </c>
      <c r="B272" t="s">
        <v>385</v>
      </c>
      <c r="C272" t="s">
        <v>407</v>
      </c>
      <c r="D272" s="138">
        <v>2610000</v>
      </c>
      <c r="E272" t="s">
        <v>382</v>
      </c>
      <c r="F272" s="20" t="s">
        <v>383</v>
      </c>
      <c r="G272" s="8" t="str">
        <f t="shared" si="8"/>
        <v>MAGEE KENYA</v>
      </c>
      <c r="H272" s="20" t="str">
        <f t="shared" si="9"/>
        <v>4062</v>
      </c>
    </row>
    <row r="273" spans="1:8" x14ac:dyDescent="0.3">
      <c r="A273" s="8">
        <v>43039.801539351851</v>
      </c>
      <c r="B273" t="s">
        <v>393</v>
      </c>
      <c r="C273" t="s">
        <v>408</v>
      </c>
      <c r="D273" s="138">
        <v>2630000</v>
      </c>
      <c r="E273" t="s">
        <v>374</v>
      </c>
      <c r="F273" s="20" t="s">
        <v>375</v>
      </c>
      <c r="G273" s="8" t="str">
        <f t="shared" si="8"/>
        <v>SAFIEF AEIMEN</v>
      </c>
      <c r="H273" s="20" t="str">
        <f t="shared" si="9"/>
        <v>4028</v>
      </c>
    </row>
    <row r="274" spans="1:8" x14ac:dyDescent="0.3">
      <c r="A274" s="8">
        <v>43039.809201388889</v>
      </c>
      <c r="B274" t="s">
        <v>394</v>
      </c>
      <c r="C274" t="s">
        <v>409</v>
      </c>
      <c r="D274" s="138">
        <v>3670000</v>
      </c>
      <c r="E274" t="s">
        <v>384</v>
      </c>
      <c r="F274" s="20" t="s">
        <v>369</v>
      </c>
      <c r="G274" s="8" t="str">
        <f t="shared" si="8"/>
        <v>ANDREA WILLIAMS</v>
      </c>
      <c r="H274" s="20" t="str">
        <f t="shared" si="9"/>
        <v>4030</v>
      </c>
    </row>
    <row r="275" spans="1:8" x14ac:dyDescent="0.3">
      <c r="A275" s="8">
        <v>43039.809328703705</v>
      </c>
      <c r="B275" t="s">
        <v>368</v>
      </c>
      <c r="C275" t="s">
        <v>410</v>
      </c>
      <c r="D275" s="138">
        <v>2040000</v>
      </c>
      <c r="E275" t="s">
        <v>398</v>
      </c>
      <c r="F275" s="20" t="s">
        <v>399</v>
      </c>
      <c r="G275" s="8" t="str">
        <f t="shared" si="8"/>
        <v>MOSES BRADLEY</v>
      </c>
      <c r="H275" s="20" t="str">
        <f t="shared" si="9"/>
        <v>4035</v>
      </c>
    </row>
    <row r="276" spans="1:8" x14ac:dyDescent="0.3">
      <c r="A276" s="8">
        <v>43039.810011574074</v>
      </c>
      <c r="B276" t="s">
        <v>387</v>
      </c>
      <c r="C276" t="s">
        <v>411</v>
      </c>
      <c r="D276" s="138">
        <v>2610000</v>
      </c>
      <c r="E276" t="s">
        <v>382</v>
      </c>
      <c r="F276" s="20" t="s">
        <v>383</v>
      </c>
      <c r="G276" s="8" t="str">
        <f t="shared" si="8"/>
        <v>MAGEE KENYA</v>
      </c>
      <c r="H276" s="20" t="str">
        <f t="shared" si="9"/>
        <v>4061</v>
      </c>
    </row>
    <row r="277" spans="1:8" x14ac:dyDescent="0.3">
      <c r="A277" s="8">
        <v>43039.818749999999</v>
      </c>
      <c r="B277" t="s">
        <v>358</v>
      </c>
      <c r="C277" t="s">
        <v>412</v>
      </c>
      <c r="D277" s="138">
        <v>2230000</v>
      </c>
      <c r="E277" t="s">
        <v>395</v>
      </c>
      <c r="F277" s="20" t="s">
        <v>353</v>
      </c>
      <c r="G277" s="8" t="str">
        <f t="shared" si="8"/>
        <v>SMITH MICHAEL</v>
      </c>
      <c r="H277" s="20" t="str">
        <f t="shared" si="9"/>
        <v>4060</v>
      </c>
    </row>
    <row r="278" spans="1:8" x14ac:dyDescent="0.3">
      <c r="A278" s="8">
        <v>43039.830092592594</v>
      </c>
      <c r="B278" t="s">
        <v>362</v>
      </c>
      <c r="C278" t="s">
        <v>413</v>
      </c>
      <c r="D278" s="138">
        <v>3500000</v>
      </c>
      <c r="E278" t="s">
        <v>378</v>
      </c>
      <c r="F278" s="20" t="s">
        <v>379</v>
      </c>
      <c r="G278" s="8" t="str">
        <f t="shared" si="8"/>
        <v>GUNTHIER ERIC</v>
      </c>
      <c r="H278" s="20" t="str">
        <f t="shared" si="9"/>
        <v>4007</v>
      </c>
    </row>
    <row r="279" spans="1:8" x14ac:dyDescent="0.3">
      <c r="A279" s="8">
        <v>43039.831967592596</v>
      </c>
      <c r="B279" t="s">
        <v>385</v>
      </c>
      <c r="C279" t="s">
        <v>414</v>
      </c>
      <c r="D279" s="138">
        <v>2970000</v>
      </c>
      <c r="E279" t="s">
        <v>376</v>
      </c>
      <c r="F279" s="20" t="s">
        <v>377</v>
      </c>
      <c r="G279" s="8" t="str">
        <f t="shared" si="8"/>
        <v>GUZMAN DANNY</v>
      </c>
      <c r="H279" s="20" t="str">
        <f t="shared" si="9"/>
        <v>4062</v>
      </c>
    </row>
    <row r="280" spans="1:8" x14ac:dyDescent="0.3">
      <c r="A280" s="8">
        <v>43039.833067129628</v>
      </c>
      <c r="B280" t="s">
        <v>372</v>
      </c>
      <c r="C280" t="s">
        <v>415</v>
      </c>
      <c r="D280" s="138">
        <v>3320000</v>
      </c>
      <c r="E280" t="s">
        <v>364</v>
      </c>
      <c r="F280" s="20" t="s">
        <v>365</v>
      </c>
      <c r="G280" s="8" t="str">
        <f t="shared" si="8"/>
        <v>NICHOLSON WESLEY</v>
      </c>
      <c r="H280" s="20" t="str">
        <f t="shared" si="9"/>
        <v>4012</v>
      </c>
    </row>
    <row r="281" spans="1:8" x14ac:dyDescent="0.3">
      <c r="A281" s="8">
        <v>43039.845081018517</v>
      </c>
      <c r="B281" t="s">
        <v>388</v>
      </c>
      <c r="C281" t="s">
        <v>389</v>
      </c>
      <c r="D281" s="138">
        <v>3670000</v>
      </c>
      <c r="E281" t="s">
        <v>384</v>
      </c>
      <c r="F281" s="20" t="s">
        <v>369</v>
      </c>
      <c r="G281" s="8" t="str">
        <f t="shared" si="8"/>
        <v>ANDREA WILLIAMS</v>
      </c>
      <c r="H281" s="20" t="str">
        <f t="shared" si="9"/>
        <v>4029</v>
      </c>
    </row>
    <row r="282" spans="1:8" x14ac:dyDescent="0.3">
      <c r="A282" s="8">
        <v>43039.85119212963</v>
      </c>
      <c r="B282" t="s">
        <v>387</v>
      </c>
      <c r="C282" t="s">
        <v>416</v>
      </c>
      <c r="D282" s="138">
        <v>2970000</v>
      </c>
      <c r="E282" t="s">
        <v>376</v>
      </c>
      <c r="F282" s="20" t="s">
        <v>377</v>
      </c>
      <c r="G282" s="8" t="str">
        <f t="shared" si="8"/>
        <v>GUZMAN DANNY</v>
      </c>
      <c r="H282" s="20" t="str">
        <f t="shared" si="9"/>
        <v>4061</v>
      </c>
    </row>
    <row r="283" spans="1:8" x14ac:dyDescent="0.3">
      <c r="A283" s="8">
        <v>43039.852789351855</v>
      </c>
      <c r="B283" t="s">
        <v>367</v>
      </c>
      <c r="C283" t="s">
        <v>417</v>
      </c>
      <c r="D283" s="138">
        <v>2040000</v>
      </c>
      <c r="E283" t="s">
        <v>398</v>
      </c>
      <c r="F283" s="20" t="s">
        <v>399</v>
      </c>
      <c r="G283" s="8" t="str">
        <f t="shared" si="8"/>
        <v>MOSES BRADLEY</v>
      </c>
      <c r="H283" s="20" t="str">
        <f t="shared" si="9"/>
        <v>4036</v>
      </c>
    </row>
    <row r="284" spans="1:8" x14ac:dyDescent="0.3">
      <c r="A284" s="8">
        <v>43039.863391203704</v>
      </c>
      <c r="B284" t="s">
        <v>357</v>
      </c>
      <c r="C284" t="s">
        <v>418</v>
      </c>
      <c r="D284" s="138">
        <v>3500000</v>
      </c>
      <c r="E284" t="s">
        <v>378</v>
      </c>
      <c r="F284" s="20" t="s">
        <v>379</v>
      </c>
      <c r="G284" s="8" t="str">
        <f t="shared" si="8"/>
        <v>GUNTHIER ERIC</v>
      </c>
      <c r="H284" s="20" t="str">
        <f t="shared" si="9"/>
        <v>4008</v>
      </c>
    </row>
    <row r="285" spans="1:8" x14ac:dyDescent="0.3">
      <c r="A285" s="8">
        <v>43039.864340277774</v>
      </c>
      <c r="B285" t="s">
        <v>373</v>
      </c>
      <c r="C285" t="s">
        <v>419</v>
      </c>
      <c r="D285" s="138">
        <v>3320000</v>
      </c>
      <c r="E285" t="s">
        <v>364</v>
      </c>
      <c r="F285" s="20" t="s">
        <v>365</v>
      </c>
      <c r="G285" s="8" t="str">
        <f t="shared" si="8"/>
        <v>NICHOLSON WESLEY</v>
      </c>
      <c r="H285" s="20" t="str">
        <f t="shared" si="9"/>
        <v>4011</v>
      </c>
    </row>
    <row r="286" spans="1:8" x14ac:dyDescent="0.3">
      <c r="A286" s="8">
        <v>43039.87841435185</v>
      </c>
      <c r="B286" t="s">
        <v>385</v>
      </c>
      <c r="C286" t="s">
        <v>420</v>
      </c>
      <c r="D286" s="138">
        <v>2000000</v>
      </c>
      <c r="E286" t="s">
        <v>396</v>
      </c>
      <c r="F286" s="20" t="s">
        <v>397</v>
      </c>
      <c r="G286" s="8" t="str">
        <f t="shared" si="8"/>
        <v>STAMBAUGH JAMES</v>
      </c>
      <c r="H286" s="20" t="str">
        <f t="shared" si="9"/>
        <v>4062</v>
      </c>
    </row>
    <row r="287" spans="1:8" x14ac:dyDescent="0.3">
      <c r="A287" s="8">
        <v>43039.882118055553</v>
      </c>
      <c r="B287" t="s">
        <v>385</v>
      </c>
      <c r="C287" t="s">
        <v>420</v>
      </c>
      <c r="D287" s="138">
        <v>2000000</v>
      </c>
      <c r="E287" t="s">
        <v>396</v>
      </c>
      <c r="F287" s="20" t="s">
        <v>397</v>
      </c>
      <c r="G287" s="8" t="str">
        <f t="shared" si="8"/>
        <v>STAMBAUGH JAMES</v>
      </c>
      <c r="H287" s="20" t="str">
        <f t="shared" si="9"/>
        <v>4062</v>
      </c>
    </row>
    <row r="288" spans="1:8" x14ac:dyDescent="0.3">
      <c r="A288" s="8">
        <v>43039.883923611109</v>
      </c>
      <c r="B288" t="s">
        <v>394</v>
      </c>
      <c r="C288" t="s">
        <v>421</v>
      </c>
      <c r="D288" s="138">
        <v>3670000</v>
      </c>
      <c r="E288" t="s">
        <v>384</v>
      </c>
      <c r="F288" s="20" t="s">
        <v>369</v>
      </c>
      <c r="G288" s="8" t="str">
        <f t="shared" si="8"/>
        <v>ANDREA WILLIAMS</v>
      </c>
      <c r="H288" s="20" t="str">
        <f t="shared" si="9"/>
        <v>4030</v>
      </c>
    </row>
    <row r="289" spans="1:8" x14ac:dyDescent="0.3">
      <c r="A289" s="8">
        <v>43039.891932870371</v>
      </c>
      <c r="B289" t="s">
        <v>368</v>
      </c>
      <c r="C289" t="s">
        <v>422</v>
      </c>
      <c r="D289" s="138">
        <v>2040000</v>
      </c>
      <c r="E289" t="s">
        <v>398</v>
      </c>
      <c r="F289" s="20" t="s">
        <v>399</v>
      </c>
      <c r="G289" s="8" t="str">
        <f t="shared" si="8"/>
        <v>MOSES BRADLEY</v>
      </c>
      <c r="H289" s="20" t="str">
        <f t="shared" si="9"/>
        <v>4035</v>
      </c>
    </row>
    <row r="290" spans="1:8" x14ac:dyDescent="0.3">
      <c r="A290" s="8">
        <v>43039.893888888888</v>
      </c>
      <c r="B290" t="s">
        <v>387</v>
      </c>
      <c r="C290" t="s">
        <v>423</v>
      </c>
      <c r="D290" s="138">
        <v>2000000</v>
      </c>
      <c r="E290" t="s">
        <v>396</v>
      </c>
      <c r="F290" s="20" t="s">
        <v>397</v>
      </c>
      <c r="G290" s="8" t="str">
        <f t="shared" si="8"/>
        <v>STAMBAUGH JAMES</v>
      </c>
      <c r="H290" s="20" t="str">
        <f t="shared" si="9"/>
        <v>4061</v>
      </c>
    </row>
    <row r="291" spans="1:8" x14ac:dyDescent="0.3">
      <c r="A291" s="8">
        <v>43039.904629629629</v>
      </c>
      <c r="B291" t="s">
        <v>372</v>
      </c>
      <c r="C291" t="s">
        <v>424</v>
      </c>
      <c r="D291" s="138">
        <v>3320000</v>
      </c>
      <c r="E291" t="s">
        <v>364</v>
      </c>
      <c r="F291" s="20" t="s">
        <v>365</v>
      </c>
      <c r="G291" s="8" t="str">
        <f t="shared" si="8"/>
        <v>NICHOLSON WESLEY</v>
      </c>
      <c r="H291" s="20" t="str">
        <f t="shared" si="9"/>
        <v>4012</v>
      </c>
    </row>
    <row r="292" spans="1:8" x14ac:dyDescent="0.3">
      <c r="A292" s="8">
        <v>43039.90934027778</v>
      </c>
      <c r="B292" t="s">
        <v>362</v>
      </c>
      <c r="C292" t="s">
        <v>425</v>
      </c>
      <c r="D292" s="138">
        <v>3500000</v>
      </c>
      <c r="E292" t="s">
        <v>378</v>
      </c>
      <c r="F292" s="20" t="s">
        <v>379</v>
      </c>
      <c r="G292" s="8" t="str">
        <f t="shared" si="8"/>
        <v>GUNTHIER ERIC</v>
      </c>
      <c r="H292" s="20" t="str">
        <f t="shared" si="9"/>
        <v>4007</v>
      </c>
    </row>
    <row r="293" spans="1:8" x14ac:dyDescent="0.3">
      <c r="A293" s="8">
        <v>43039.915127314816</v>
      </c>
      <c r="B293" t="s">
        <v>385</v>
      </c>
      <c r="C293" t="s">
        <v>426</v>
      </c>
      <c r="D293" s="138">
        <v>3220000</v>
      </c>
      <c r="E293" t="s">
        <v>380</v>
      </c>
      <c r="F293" s="20" t="s">
        <v>381</v>
      </c>
      <c r="G293" s="8" t="str">
        <f t="shared" si="8"/>
        <v>RESPASS AARON</v>
      </c>
      <c r="H293" s="20" t="str">
        <f t="shared" si="9"/>
        <v>4062</v>
      </c>
    </row>
    <row r="294" spans="1:8" x14ac:dyDescent="0.3">
      <c r="A294" s="8">
        <v>43039.926076388889</v>
      </c>
      <c r="B294" t="s">
        <v>388</v>
      </c>
      <c r="C294" t="s">
        <v>390</v>
      </c>
      <c r="D294" s="138">
        <v>3670000</v>
      </c>
      <c r="E294" t="s">
        <v>384</v>
      </c>
      <c r="F294" s="20" t="s">
        <v>369</v>
      </c>
      <c r="G294" s="8" t="str">
        <f t="shared" si="8"/>
        <v>ANDREA WILLIAMS</v>
      </c>
      <c r="H294" s="20" t="str">
        <f t="shared" si="9"/>
        <v>4029</v>
      </c>
    </row>
    <row r="295" spans="1:8" x14ac:dyDescent="0.3">
      <c r="A295" s="8">
        <v>43039.936041666668</v>
      </c>
      <c r="B295" t="s">
        <v>367</v>
      </c>
      <c r="C295" t="s">
        <v>427</v>
      </c>
      <c r="D295" s="138">
        <v>2040000</v>
      </c>
      <c r="E295" t="s">
        <v>398</v>
      </c>
      <c r="F295" s="20" t="s">
        <v>399</v>
      </c>
      <c r="G295" s="8" t="str">
        <f t="shared" si="8"/>
        <v>MOSES BRADLEY</v>
      </c>
      <c r="H295" s="20" t="str">
        <f t="shared" si="9"/>
        <v>4036</v>
      </c>
    </row>
    <row r="296" spans="1:8" x14ac:dyDescent="0.3">
      <c r="A296" s="8">
        <v>43039.945428240739</v>
      </c>
      <c r="B296" t="s">
        <v>387</v>
      </c>
      <c r="C296" t="s">
        <v>428</v>
      </c>
      <c r="D296" s="138">
        <v>3220000</v>
      </c>
      <c r="E296" t="s">
        <v>380</v>
      </c>
      <c r="F296" s="20" t="s">
        <v>381</v>
      </c>
      <c r="G296" s="8" t="str">
        <f t="shared" si="8"/>
        <v>RESPASS AARON</v>
      </c>
      <c r="H296" s="20" t="str">
        <f t="shared" si="9"/>
        <v>4061</v>
      </c>
    </row>
    <row r="297" spans="1:8" x14ac:dyDescent="0.3">
      <c r="A297" s="8">
        <v>43039.951365740744</v>
      </c>
      <c r="B297" t="s">
        <v>357</v>
      </c>
      <c r="C297" t="s">
        <v>429</v>
      </c>
      <c r="D297" s="138">
        <v>3500000</v>
      </c>
      <c r="E297" t="s">
        <v>378</v>
      </c>
      <c r="F297" s="20" t="s">
        <v>379</v>
      </c>
      <c r="G297" s="8" t="str">
        <f t="shared" si="8"/>
        <v>GUNTHIER ERIC</v>
      </c>
      <c r="H297" s="20" t="str">
        <f t="shared" si="9"/>
        <v>4008</v>
      </c>
    </row>
    <row r="298" spans="1:8" x14ac:dyDescent="0.3">
      <c r="A298" s="8">
        <v>43039.95175925926</v>
      </c>
      <c r="B298" t="s">
        <v>373</v>
      </c>
      <c r="C298" t="s">
        <v>430</v>
      </c>
      <c r="D298" s="138">
        <v>3320000</v>
      </c>
      <c r="E298" t="s">
        <v>364</v>
      </c>
      <c r="F298" s="20" t="s">
        <v>365</v>
      </c>
      <c r="G298" s="8" t="str">
        <f t="shared" si="8"/>
        <v>NICHOLSON WESLEY</v>
      </c>
      <c r="H298" s="20" t="str">
        <f t="shared" si="9"/>
        <v>4011</v>
      </c>
    </row>
    <row r="299" spans="1:8" x14ac:dyDescent="0.3">
      <c r="A299" s="8">
        <v>43039.962673611109</v>
      </c>
      <c r="B299" t="s">
        <v>385</v>
      </c>
      <c r="C299" t="s">
        <v>431</v>
      </c>
      <c r="D299" s="138">
        <v>2000000</v>
      </c>
      <c r="E299" t="s">
        <v>396</v>
      </c>
      <c r="F299" s="20" t="s">
        <v>397</v>
      </c>
      <c r="G299" s="8" t="str">
        <f t="shared" si="8"/>
        <v>STAMBAUGH JAMES</v>
      </c>
      <c r="H299" s="20" t="str">
        <f t="shared" si="9"/>
        <v>4062</v>
      </c>
    </row>
    <row r="300" spans="1:8" x14ac:dyDescent="0.3">
      <c r="A300" s="8">
        <v>43039.966550925928</v>
      </c>
      <c r="B300" t="s">
        <v>394</v>
      </c>
      <c r="C300" t="s">
        <v>432</v>
      </c>
      <c r="D300" s="138">
        <v>3670000</v>
      </c>
      <c r="E300" t="s">
        <v>384</v>
      </c>
      <c r="F300" s="20" t="s">
        <v>369</v>
      </c>
      <c r="G300" s="8" t="str">
        <f t="shared" si="8"/>
        <v>ANDREA WILLIAMS</v>
      </c>
      <c r="H300" s="20" t="str">
        <f t="shared" si="9"/>
        <v>4030</v>
      </c>
    </row>
    <row r="301" spans="1:8" x14ac:dyDescent="0.3">
      <c r="A301" s="8">
        <v>43039.974039351851</v>
      </c>
      <c r="B301" t="s">
        <v>368</v>
      </c>
      <c r="C301" t="s">
        <v>433</v>
      </c>
      <c r="D301" s="138">
        <v>2040000</v>
      </c>
      <c r="E301" t="s">
        <v>398</v>
      </c>
      <c r="F301" s="20" t="s">
        <v>399</v>
      </c>
      <c r="G301" s="8" t="str">
        <f t="shared" si="8"/>
        <v>MOSES BRADLEY</v>
      </c>
      <c r="H301" s="20" t="str">
        <f t="shared" si="9"/>
        <v>4035</v>
      </c>
    </row>
    <row r="302" spans="1:8" x14ac:dyDescent="0.3">
      <c r="A302" s="8">
        <v>43039.975474537037</v>
      </c>
      <c r="B302" t="s">
        <v>387</v>
      </c>
      <c r="C302" t="s">
        <v>434</v>
      </c>
      <c r="D302" s="138">
        <v>2000000</v>
      </c>
      <c r="E302" t="s">
        <v>396</v>
      </c>
      <c r="F302" s="20" t="s">
        <v>397</v>
      </c>
      <c r="G302" s="8" t="str">
        <f t="shared" si="8"/>
        <v>STAMBAUGH JAMES</v>
      </c>
      <c r="H302" s="20" t="str">
        <f t="shared" si="9"/>
        <v>4061</v>
      </c>
    </row>
    <row r="303" spans="1:8" x14ac:dyDescent="0.3">
      <c r="A303" s="8">
        <v>43039.989895833336</v>
      </c>
      <c r="B303" t="s">
        <v>362</v>
      </c>
      <c r="C303" t="s">
        <v>391</v>
      </c>
      <c r="D303" s="138">
        <v>3500000</v>
      </c>
      <c r="E303" t="s">
        <v>378</v>
      </c>
      <c r="F303" s="20" t="s">
        <v>379</v>
      </c>
      <c r="G303" s="8" t="str">
        <f t="shared" si="8"/>
        <v>GUNTHIER ERIC</v>
      </c>
      <c r="H303" s="20" t="str">
        <f t="shared" si="9"/>
        <v>4007</v>
      </c>
    </row>
    <row r="304" spans="1:8" x14ac:dyDescent="0.3">
      <c r="A304" s="8">
        <v>43039.991041666668</v>
      </c>
      <c r="B304" t="s">
        <v>372</v>
      </c>
      <c r="C304" t="s">
        <v>435</v>
      </c>
      <c r="D304" s="138">
        <v>3320000</v>
      </c>
      <c r="E304" t="s">
        <v>364</v>
      </c>
      <c r="F304" s="20" t="s">
        <v>365</v>
      </c>
      <c r="G304" s="8" t="str">
        <f t="shared" si="8"/>
        <v>NICHOLSON WESLEY</v>
      </c>
      <c r="H304" s="20" t="str">
        <f t="shared" si="9"/>
        <v>4012</v>
      </c>
    </row>
    <row r="305" spans="1:8" x14ac:dyDescent="0.3">
      <c r="A305" s="8">
        <v>43040.010729166665</v>
      </c>
      <c r="B305" t="s">
        <v>388</v>
      </c>
      <c r="C305" t="s">
        <v>436</v>
      </c>
      <c r="D305" s="138">
        <v>3670000</v>
      </c>
      <c r="E305" t="s">
        <v>384</v>
      </c>
      <c r="F305" s="20" t="s">
        <v>369</v>
      </c>
      <c r="G305" s="8" t="str">
        <f t="shared" si="8"/>
        <v>ANDREA WILLIAMS</v>
      </c>
      <c r="H305" s="20" t="str">
        <f t="shared" si="9"/>
        <v>4029</v>
      </c>
    </row>
    <row r="306" spans="1:8" x14ac:dyDescent="0.3">
      <c r="A306" s="8">
        <v>43040.017592592594</v>
      </c>
      <c r="B306" t="s">
        <v>367</v>
      </c>
      <c r="C306" t="s">
        <v>437</v>
      </c>
      <c r="D306" s="138">
        <v>2040000</v>
      </c>
      <c r="E306" t="s">
        <v>398</v>
      </c>
      <c r="F306" s="20" t="s">
        <v>399</v>
      </c>
      <c r="G306" s="8" t="str">
        <f t="shared" si="8"/>
        <v>MOSES BRADLEY</v>
      </c>
      <c r="H306" s="20" t="str">
        <f t="shared" si="9"/>
        <v>4036</v>
      </c>
    </row>
    <row r="307" spans="1:8" x14ac:dyDescent="0.3">
      <c r="A307" s="8">
        <v>43040.028287037036</v>
      </c>
      <c r="B307" t="s">
        <v>357</v>
      </c>
      <c r="C307" t="s">
        <v>438</v>
      </c>
      <c r="D307" s="138">
        <v>3500000</v>
      </c>
      <c r="E307" t="s">
        <v>378</v>
      </c>
      <c r="F307" s="20" t="s">
        <v>379</v>
      </c>
      <c r="G307" s="8" t="str">
        <f t="shared" si="8"/>
        <v>GUNTHIER ERIC</v>
      </c>
      <c r="H307" s="20" t="str">
        <f t="shared" si="9"/>
        <v>4008</v>
      </c>
    </row>
    <row r="308" spans="1:8" x14ac:dyDescent="0.3">
      <c r="A308" s="8">
        <v>43040.031851851854</v>
      </c>
      <c r="B308" t="s">
        <v>373</v>
      </c>
      <c r="C308" t="s">
        <v>439</v>
      </c>
      <c r="D308" s="138">
        <v>3320000</v>
      </c>
      <c r="E308" t="s">
        <v>364</v>
      </c>
      <c r="F308" s="20" t="s">
        <v>365</v>
      </c>
      <c r="G308" s="8" t="str">
        <f t="shared" si="8"/>
        <v>NICHOLSON WESLEY</v>
      </c>
      <c r="H308" s="20" t="str">
        <f t="shared" si="9"/>
        <v>4011</v>
      </c>
    </row>
    <row r="309" spans="1:8" x14ac:dyDescent="0.3">
      <c r="A309" s="8">
        <v>43040.047708333332</v>
      </c>
      <c r="B309" t="s">
        <v>394</v>
      </c>
      <c r="C309" t="s">
        <v>440</v>
      </c>
      <c r="D309" s="138">
        <v>3670000</v>
      </c>
      <c r="E309" t="s">
        <v>384</v>
      </c>
      <c r="F309" s="20" t="s">
        <v>369</v>
      </c>
      <c r="G309" s="8" t="str">
        <f t="shared" si="8"/>
        <v>ANDREA WILLIAMS</v>
      </c>
      <c r="H309" s="20" t="str">
        <f t="shared" si="9"/>
        <v>4030</v>
      </c>
    </row>
    <row r="310" spans="1:8" x14ac:dyDescent="0.3">
      <c r="A310" s="8">
        <v>43040.057928240742</v>
      </c>
      <c r="B310" t="s">
        <v>368</v>
      </c>
      <c r="C310" t="s">
        <v>441</v>
      </c>
      <c r="D310" s="138">
        <v>2040000</v>
      </c>
      <c r="E310" t="s">
        <v>398</v>
      </c>
      <c r="F310" s="20" t="s">
        <v>399</v>
      </c>
      <c r="G310" s="8" t="str">
        <f t="shared" si="8"/>
        <v>MOSES BRADLEY</v>
      </c>
      <c r="H310" s="20" t="str">
        <f t="shared" si="9"/>
        <v>4035</v>
      </c>
    </row>
    <row r="311" spans="1:8" x14ac:dyDescent="0.3">
      <c r="A311" s="8">
        <v>43040.072083333333</v>
      </c>
      <c r="B311" t="s">
        <v>372</v>
      </c>
      <c r="C311" t="s">
        <v>442</v>
      </c>
      <c r="D311" s="138">
        <v>3320000</v>
      </c>
      <c r="E311" t="s">
        <v>364</v>
      </c>
      <c r="F311" s="20" t="s">
        <v>365</v>
      </c>
      <c r="G311" s="8" t="str">
        <f t="shared" si="8"/>
        <v>NICHOLSON WESLEY</v>
      </c>
      <c r="H311" s="20" t="str">
        <f t="shared" si="9"/>
        <v>4012</v>
      </c>
    </row>
    <row r="312" spans="1:8" x14ac:dyDescent="0.3">
      <c r="A312" s="8">
        <v>43040.088807870372</v>
      </c>
      <c r="B312" t="s">
        <v>367</v>
      </c>
      <c r="C312" t="s">
        <v>443</v>
      </c>
      <c r="D312" s="138">
        <v>2040000</v>
      </c>
      <c r="E312" t="s">
        <v>398</v>
      </c>
      <c r="F312" s="20" t="s">
        <v>399</v>
      </c>
      <c r="G312" s="8" t="str">
        <f t="shared" si="8"/>
        <v>MOSES BRADLEY</v>
      </c>
      <c r="H312" s="20" t="str">
        <f t="shared" si="9"/>
        <v>4036</v>
      </c>
    </row>
    <row r="313" spans="1:8" x14ac:dyDescent="0.3">
      <c r="A313" s="8">
        <v>43028.111273148148</v>
      </c>
      <c r="B313" t="s">
        <v>352</v>
      </c>
      <c r="C313" t="s">
        <v>366</v>
      </c>
      <c r="D313" s="138">
        <v>1830000</v>
      </c>
      <c r="E313" t="s">
        <v>347</v>
      </c>
      <c r="F313" s="20" t="s">
        <v>348</v>
      </c>
      <c r="G313" s="8" t="str">
        <f t="shared" si="8"/>
        <v>YORK EDGAR</v>
      </c>
      <c r="H313" s="20" t="str">
        <f t="shared" si="9"/>
        <v>4055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T33"/>
  <sheetViews>
    <sheetView topLeftCell="A4" workbookViewId="0">
      <selection sqref="A1:T29"/>
    </sheetView>
  </sheetViews>
  <sheetFormatPr defaultColWidth="9.109375" defaultRowHeight="14.4" x14ac:dyDescent="0.3"/>
  <cols>
    <col min="1" max="1" width="22.5546875" style="141" customWidth="1"/>
    <col min="2" max="2" width="8.44140625" style="141" bestFit="1" customWidth="1"/>
    <col min="3" max="3" width="12.5546875" style="141" bestFit="1" customWidth="1"/>
    <col min="4" max="4" width="18.5546875" style="130" bestFit="1" customWidth="1"/>
    <col min="5" max="5" width="9.88671875" style="141" bestFit="1" customWidth="1"/>
    <col min="6" max="6" width="9" style="141" bestFit="1" customWidth="1"/>
    <col min="7" max="7" width="8.88671875" style="141" bestFit="1" customWidth="1"/>
    <col min="8" max="8" width="14" style="141" bestFit="1" customWidth="1"/>
    <col min="9" max="9" width="21.109375" style="141" bestFit="1" customWidth="1"/>
    <col min="10" max="10" width="8.6640625" style="141" bestFit="1" customWidth="1"/>
    <col min="11" max="11" width="11.33203125" style="141" bestFit="1" customWidth="1"/>
    <col min="12" max="12" width="11" style="141" bestFit="1" customWidth="1"/>
    <col min="13" max="13" width="11.33203125" style="141" bestFit="1" customWidth="1"/>
    <col min="14" max="14" width="13.6640625" style="141" bestFit="1" customWidth="1"/>
    <col min="15" max="15" width="14.88671875" style="141" bestFit="1" customWidth="1"/>
    <col min="16" max="16" width="16.6640625" style="141" bestFit="1" customWidth="1"/>
    <col min="17" max="17" width="9.44140625" style="110" bestFit="1" customWidth="1"/>
    <col min="18" max="16384" width="9.109375" style="110"/>
  </cols>
  <sheetData>
    <row r="1" spans="1:20" s="111" customFormat="1" x14ac:dyDescent="0.3">
      <c r="A1" s="218" t="s">
        <v>156</v>
      </c>
      <c r="B1" s="218" t="s">
        <v>159</v>
      </c>
      <c r="C1" s="218" t="s">
        <v>152</v>
      </c>
      <c r="D1" s="136" t="s">
        <v>164</v>
      </c>
      <c r="E1" s="218" t="s">
        <v>153</v>
      </c>
      <c r="F1" s="218" t="s">
        <v>151</v>
      </c>
      <c r="G1" s="218" t="s">
        <v>149</v>
      </c>
      <c r="H1" s="218" t="s">
        <v>895</v>
      </c>
      <c r="I1" s="218" t="s">
        <v>162</v>
      </c>
      <c r="J1" s="218" t="s">
        <v>163</v>
      </c>
      <c r="K1" s="218" t="s">
        <v>453</v>
      </c>
      <c r="L1" s="218" t="s">
        <v>157</v>
      </c>
      <c r="M1" s="218" t="s">
        <v>155</v>
      </c>
      <c r="N1" s="218" t="s">
        <v>150</v>
      </c>
      <c r="O1" s="218" t="s">
        <v>160</v>
      </c>
      <c r="P1" s="218" t="s">
        <v>334</v>
      </c>
      <c r="Q1" s="218" t="s">
        <v>154</v>
      </c>
      <c r="R1" s="218" t="s">
        <v>161</v>
      </c>
      <c r="S1" s="218" t="s">
        <v>335</v>
      </c>
      <c r="T1" s="218" t="s">
        <v>158</v>
      </c>
    </row>
    <row r="2" spans="1:20" x14ac:dyDescent="0.3">
      <c r="A2" s="196">
        <v>56.16</v>
      </c>
      <c r="B2" s="196">
        <v>0.06</v>
      </c>
      <c r="C2" s="196">
        <v>29.19</v>
      </c>
      <c r="D2" s="8">
        <v>43056</v>
      </c>
      <c r="E2" s="196">
        <v>0.35</v>
      </c>
      <c r="F2" s="196" t="s">
        <v>493</v>
      </c>
      <c r="G2" s="196">
        <v>239.54</v>
      </c>
      <c r="H2" s="196"/>
      <c r="I2" s="196">
        <v>0</v>
      </c>
      <c r="J2" s="196">
        <v>0</v>
      </c>
      <c r="K2" s="196"/>
      <c r="L2" s="196">
        <v>1001.23</v>
      </c>
      <c r="M2" s="196" t="s">
        <v>492</v>
      </c>
      <c r="N2" s="196">
        <v>56.16</v>
      </c>
      <c r="O2" s="196">
        <v>1510902000</v>
      </c>
      <c r="P2" s="196">
        <v>0</v>
      </c>
      <c r="Q2" s="196">
        <v>2.75</v>
      </c>
      <c r="R2" s="196">
        <v>208</v>
      </c>
      <c r="S2" s="196">
        <v>6.78</v>
      </c>
      <c r="T2" s="196">
        <v>3.29</v>
      </c>
    </row>
    <row r="3" spans="1:20" x14ac:dyDescent="0.3">
      <c r="A3" s="196">
        <v>55.8</v>
      </c>
      <c r="B3" s="196">
        <v>0.04</v>
      </c>
      <c r="C3" s="196">
        <v>29.05</v>
      </c>
      <c r="D3" s="8">
        <v>43056.041666666664</v>
      </c>
      <c r="E3" s="196">
        <v>0.36</v>
      </c>
      <c r="F3" s="196" t="s">
        <v>493</v>
      </c>
      <c r="G3" s="196">
        <v>237.15</v>
      </c>
      <c r="H3" s="196"/>
      <c r="I3" s="196">
        <v>0</v>
      </c>
      <c r="J3" s="196">
        <v>0</v>
      </c>
      <c r="K3" s="196"/>
      <c r="L3" s="196">
        <v>1000.56</v>
      </c>
      <c r="M3" s="196" t="s">
        <v>492</v>
      </c>
      <c r="N3" s="196">
        <v>55.8</v>
      </c>
      <c r="O3" s="196">
        <v>1510905600</v>
      </c>
      <c r="P3" s="196">
        <v>0</v>
      </c>
      <c r="Q3" s="196">
        <v>3.2</v>
      </c>
      <c r="R3" s="196">
        <v>220</v>
      </c>
      <c r="S3" s="196">
        <v>7.39</v>
      </c>
      <c r="T3" s="196">
        <v>4.22</v>
      </c>
    </row>
    <row r="4" spans="1:20" x14ac:dyDescent="0.3">
      <c r="A4" s="196">
        <v>56.32</v>
      </c>
      <c r="B4" s="196">
        <v>0.04</v>
      </c>
      <c r="C4" s="196">
        <v>28.38</v>
      </c>
      <c r="D4" s="8">
        <v>43056.083333333336</v>
      </c>
      <c r="E4" s="196">
        <v>0.34</v>
      </c>
      <c r="F4" s="196" t="s">
        <v>493</v>
      </c>
      <c r="G4" s="196">
        <v>234.59</v>
      </c>
      <c r="H4" s="196"/>
      <c r="I4" s="196">
        <v>0</v>
      </c>
      <c r="J4" s="196">
        <v>0</v>
      </c>
      <c r="K4" s="196"/>
      <c r="L4" s="196">
        <v>1000.51</v>
      </c>
      <c r="M4" s="196" t="s">
        <v>492</v>
      </c>
      <c r="N4" s="196">
        <v>56.32</v>
      </c>
      <c r="O4" s="196">
        <v>1510909200</v>
      </c>
      <c r="P4" s="196">
        <v>0</v>
      </c>
      <c r="Q4" s="196">
        <v>4.04</v>
      </c>
      <c r="R4" s="196">
        <v>214</v>
      </c>
      <c r="S4" s="196">
        <v>7.72</v>
      </c>
      <c r="T4" s="196">
        <v>5.0199999999999996</v>
      </c>
    </row>
    <row r="5" spans="1:20" x14ac:dyDescent="0.3">
      <c r="A5" s="196">
        <v>56.8</v>
      </c>
      <c r="B5" s="196">
        <v>0.05</v>
      </c>
      <c r="C5" s="196">
        <v>27.64</v>
      </c>
      <c r="D5" s="8">
        <v>43056.125</v>
      </c>
      <c r="E5" s="196">
        <v>0.32</v>
      </c>
      <c r="F5" s="196" t="s">
        <v>493</v>
      </c>
      <c r="G5" s="196">
        <v>231.88</v>
      </c>
      <c r="H5" s="196"/>
      <c r="I5" s="196">
        <v>0</v>
      </c>
      <c r="J5" s="196">
        <v>0</v>
      </c>
      <c r="K5" s="196"/>
      <c r="L5" s="196">
        <v>1001.98</v>
      </c>
      <c r="M5" s="196" t="s">
        <v>492</v>
      </c>
      <c r="N5" s="196">
        <v>56.8</v>
      </c>
      <c r="O5" s="196">
        <v>1510912800</v>
      </c>
      <c r="P5" s="196">
        <v>0</v>
      </c>
      <c r="Q5" s="196">
        <v>3.29</v>
      </c>
      <c r="R5" s="196">
        <v>208</v>
      </c>
      <c r="S5" s="196">
        <v>6.23</v>
      </c>
      <c r="T5" s="196">
        <v>3.18</v>
      </c>
    </row>
    <row r="6" spans="1:20" x14ac:dyDescent="0.3">
      <c r="A6" s="196">
        <v>56.74</v>
      </c>
      <c r="B6" s="196">
        <v>0.05</v>
      </c>
      <c r="C6" s="196">
        <v>27.84</v>
      </c>
      <c r="D6" s="8">
        <v>43056.166666666664</v>
      </c>
      <c r="E6" s="196">
        <v>0.33</v>
      </c>
      <c r="F6" s="196" t="s">
        <v>493</v>
      </c>
      <c r="G6" s="196">
        <v>229.27</v>
      </c>
      <c r="H6" s="196"/>
      <c r="I6" s="196">
        <v>0</v>
      </c>
      <c r="J6" s="196">
        <v>0</v>
      </c>
      <c r="K6" s="196"/>
      <c r="L6" s="196">
        <v>999.89</v>
      </c>
      <c r="M6" s="196" t="s">
        <v>492</v>
      </c>
      <c r="N6" s="196">
        <v>56.74</v>
      </c>
      <c r="O6" s="196">
        <v>1510916400</v>
      </c>
      <c r="P6" s="196">
        <v>0</v>
      </c>
      <c r="Q6" s="196">
        <v>4.91</v>
      </c>
      <c r="R6" s="196">
        <v>218</v>
      </c>
      <c r="S6" s="196">
        <v>6.04</v>
      </c>
      <c r="T6" s="196">
        <v>3.95</v>
      </c>
    </row>
    <row r="7" spans="1:20" x14ac:dyDescent="0.3">
      <c r="A7" s="196">
        <v>55.01</v>
      </c>
      <c r="B7" s="196">
        <v>0.05</v>
      </c>
      <c r="C7" s="196">
        <v>28.53</v>
      </c>
      <c r="D7" s="8">
        <v>43056.208333333336</v>
      </c>
      <c r="E7" s="196">
        <v>0.36</v>
      </c>
      <c r="F7" s="196" t="s">
        <v>493</v>
      </c>
      <c r="G7" s="196">
        <v>226.05</v>
      </c>
      <c r="H7" s="196"/>
      <c r="I7" s="196">
        <v>0</v>
      </c>
      <c r="J7" s="196">
        <v>0</v>
      </c>
      <c r="K7" s="196"/>
      <c r="L7" s="196">
        <v>1000.14</v>
      </c>
      <c r="M7" s="196" t="s">
        <v>492</v>
      </c>
      <c r="N7" s="196">
        <v>55.01</v>
      </c>
      <c r="O7" s="196">
        <v>1510920000</v>
      </c>
      <c r="P7" s="196">
        <v>0</v>
      </c>
      <c r="Q7" s="196">
        <v>4.7699999999999996</v>
      </c>
      <c r="R7" s="196">
        <v>213</v>
      </c>
      <c r="S7" s="196">
        <v>5.31</v>
      </c>
      <c r="T7" s="196">
        <v>3.62</v>
      </c>
    </row>
    <row r="8" spans="1:20" x14ac:dyDescent="0.3">
      <c r="A8" s="196">
        <v>53.86</v>
      </c>
      <c r="B8" s="196">
        <v>0.09</v>
      </c>
      <c r="C8" s="196">
        <v>29.3</v>
      </c>
      <c r="D8" s="8">
        <v>43056.25</v>
      </c>
      <c r="E8" s="196">
        <v>0.39</v>
      </c>
      <c r="F8" s="196" t="s">
        <v>493</v>
      </c>
      <c r="G8" s="196">
        <v>225.03</v>
      </c>
      <c r="H8" s="196"/>
      <c r="I8" s="196">
        <v>0</v>
      </c>
      <c r="J8" s="196">
        <v>0</v>
      </c>
      <c r="K8" s="196"/>
      <c r="L8" s="196">
        <v>1000.12</v>
      </c>
      <c r="M8" s="196" t="s">
        <v>492</v>
      </c>
      <c r="N8" s="196">
        <v>53.86</v>
      </c>
      <c r="O8" s="196">
        <v>1510923600</v>
      </c>
      <c r="P8" s="196">
        <v>0</v>
      </c>
      <c r="Q8" s="196">
        <v>5.71</v>
      </c>
      <c r="R8" s="196">
        <v>214</v>
      </c>
      <c r="S8" s="196">
        <v>5.45</v>
      </c>
      <c r="T8" s="196">
        <v>3.27</v>
      </c>
    </row>
    <row r="9" spans="1:20" x14ac:dyDescent="0.3">
      <c r="A9" s="196">
        <v>52.36</v>
      </c>
      <c r="B9" s="196">
        <v>0.05</v>
      </c>
      <c r="C9" s="196">
        <v>30.98</v>
      </c>
      <c r="D9" s="8">
        <v>43056.291666666664</v>
      </c>
      <c r="E9" s="196">
        <v>0.44</v>
      </c>
      <c r="F9" s="196" t="s">
        <v>491</v>
      </c>
      <c r="G9" s="196">
        <v>225.2</v>
      </c>
      <c r="H9" s="196"/>
      <c r="I9" s="196">
        <v>0</v>
      </c>
      <c r="J9" s="196">
        <v>0</v>
      </c>
      <c r="K9" s="196"/>
      <c r="L9" s="196">
        <v>1001</v>
      </c>
      <c r="M9" s="196" t="s">
        <v>492</v>
      </c>
      <c r="N9" s="196">
        <v>52.36</v>
      </c>
      <c r="O9" s="196">
        <v>1510927200</v>
      </c>
      <c r="P9" s="196">
        <v>0</v>
      </c>
      <c r="Q9" s="196">
        <v>3.31</v>
      </c>
      <c r="R9" s="196">
        <v>216</v>
      </c>
      <c r="S9" s="196">
        <v>6.24</v>
      </c>
      <c r="T9" s="196">
        <v>3.61</v>
      </c>
    </row>
    <row r="10" spans="1:20" x14ac:dyDescent="0.3">
      <c r="A10" s="196">
        <v>55.81</v>
      </c>
      <c r="B10" s="196">
        <v>0.17</v>
      </c>
      <c r="C10" s="196">
        <v>33.25</v>
      </c>
      <c r="D10" s="8">
        <v>43056.333333333336</v>
      </c>
      <c r="E10" s="196">
        <v>0.42</v>
      </c>
      <c r="F10" s="196" t="s">
        <v>491</v>
      </c>
      <c r="G10" s="196">
        <v>226.4</v>
      </c>
      <c r="H10" s="196"/>
      <c r="I10" s="196">
        <v>0</v>
      </c>
      <c r="J10" s="196">
        <v>0</v>
      </c>
      <c r="K10" s="196"/>
      <c r="L10" s="196">
        <v>1001.85</v>
      </c>
      <c r="M10" s="196" t="s">
        <v>492</v>
      </c>
      <c r="N10" s="196">
        <v>55.81</v>
      </c>
      <c r="O10" s="196">
        <v>1510930800</v>
      </c>
      <c r="P10" s="196">
        <v>1</v>
      </c>
      <c r="Q10" s="196">
        <v>4.16</v>
      </c>
      <c r="R10" s="196">
        <v>216</v>
      </c>
      <c r="S10" s="196">
        <v>7.39</v>
      </c>
      <c r="T10" s="196">
        <v>4.54</v>
      </c>
    </row>
    <row r="11" spans="1:20" x14ac:dyDescent="0.3">
      <c r="A11" s="196">
        <v>59.27</v>
      </c>
      <c r="B11" s="196">
        <v>0.08</v>
      </c>
      <c r="C11" s="196">
        <v>34.68</v>
      </c>
      <c r="D11" s="8">
        <v>43056.375</v>
      </c>
      <c r="E11" s="196">
        <v>0.4</v>
      </c>
      <c r="F11" s="196" t="s">
        <v>491</v>
      </c>
      <c r="G11" s="196">
        <v>228.92</v>
      </c>
      <c r="H11" s="196"/>
      <c r="I11" s="196">
        <v>0</v>
      </c>
      <c r="J11" s="196">
        <v>0</v>
      </c>
      <c r="K11" s="196"/>
      <c r="L11" s="196">
        <v>1000.07</v>
      </c>
      <c r="M11" s="196" t="s">
        <v>492</v>
      </c>
      <c r="N11" s="196">
        <v>59.27</v>
      </c>
      <c r="O11" s="196">
        <v>1510934400</v>
      </c>
      <c r="P11" s="196">
        <v>1</v>
      </c>
      <c r="Q11" s="196">
        <v>3.84</v>
      </c>
      <c r="R11" s="196">
        <v>207</v>
      </c>
      <c r="S11" s="196">
        <v>9.67</v>
      </c>
      <c r="T11" s="196">
        <v>5.27</v>
      </c>
    </row>
    <row r="12" spans="1:20" x14ac:dyDescent="0.3">
      <c r="A12" s="196">
        <v>62.1</v>
      </c>
      <c r="B12" s="196">
        <v>0.11</v>
      </c>
      <c r="C12" s="196">
        <v>34.74</v>
      </c>
      <c r="D12" s="8">
        <v>43056.416666666664</v>
      </c>
      <c r="E12" s="196">
        <v>0.36</v>
      </c>
      <c r="F12" s="196" t="s">
        <v>491</v>
      </c>
      <c r="G12" s="196">
        <v>232.84</v>
      </c>
      <c r="H12" s="196"/>
      <c r="I12" s="196">
        <v>0</v>
      </c>
      <c r="J12" s="196">
        <v>0</v>
      </c>
      <c r="K12" s="196"/>
      <c r="L12" s="196">
        <v>999.48</v>
      </c>
      <c r="M12" s="196" t="s">
        <v>492</v>
      </c>
      <c r="N12" s="196">
        <v>62.1</v>
      </c>
      <c r="O12" s="196">
        <v>1510938000</v>
      </c>
      <c r="P12" s="196">
        <v>2</v>
      </c>
      <c r="Q12" s="196">
        <v>3.84</v>
      </c>
      <c r="R12" s="196">
        <v>211</v>
      </c>
      <c r="S12" s="196">
        <v>11.4</v>
      </c>
      <c r="T12" s="196">
        <v>6.2</v>
      </c>
    </row>
    <row r="13" spans="1:20" x14ac:dyDescent="0.3">
      <c r="A13" s="196">
        <v>62.51</v>
      </c>
      <c r="B13" s="196">
        <v>0.15</v>
      </c>
      <c r="C13" s="196">
        <v>34.64</v>
      </c>
      <c r="D13" s="8">
        <v>43056.458333333336</v>
      </c>
      <c r="E13" s="196">
        <v>0.35</v>
      </c>
      <c r="F13" s="196" t="s">
        <v>491</v>
      </c>
      <c r="G13" s="196">
        <v>236.15</v>
      </c>
      <c r="H13" s="196"/>
      <c r="I13" s="196">
        <v>0</v>
      </c>
      <c r="J13" s="196">
        <v>0</v>
      </c>
      <c r="K13" s="196"/>
      <c r="L13" s="196">
        <v>998.55</v>
      </c>
      <c r="M13" s="196" t="s">
        <v>492</v>
      </c>
      <c r="N13" s="196">
        <v>62.51</v>
      </c>
      <c r="O13" s="196">
        <v>1510941600</v>
      </c>
      <c r="P13" s="196">
        <v>3</v>
      </c>
      <c r="Q13" s="196">
        <v>3.84</v>
      </c>
      <c r="R13" s="196">
        <v>236</v>
      </c>
      <c r="S13" s="196">
        <v>11.29</v>
      </c>
      <c r="T13" s="196">
        <v>6.83</v>
      </c>
    </row>
    <row r="14" spans="1:20" x14ac:dyDescent="0.3">
      <c r="A14" s="196">
        <v>62</v>
      </c>
      <c r="B14" s="196">
        <v>0.14000000000000001</v>
      </c>
      <c r="C14" s="196">
        <v>35.76</v>
      </c>
      <c r="D14" s="8">
        <v>43056.5</v>
      </c>
      <c r="E14" s="196">
        <v>0.37</v>
      </c>
      <c r="F14" s="196" t="s">
        <v>491</v>
      </c>
      <c r="G14" s="196">
        <v>242.58</v>
      </c>
      <c r="H14" s="196"/>
      <c r="I14" s="196">
        <v>0</v>
      </c>
      <c r="J14" s="196">
        <v>0</v>
      </c>
      <c r="K14" s="196"/>
      <c r="L14" s="196">
        <v>997.36</v>
      </c>
      <c r="M14" s="196" t="s">
        <v>492</v>
      </c>
      <c r="N14" s="196">
        <v>62</v>
      </c>
      <c r="O14" s="196">
        <v>1510945200</v>
      </c>
      <c r="P14" s="196">
        <v>3</v>
      </c>
      <c r="Q14" s="196">
        <v>3.31</v>
      </c>
      <c r="R14" s="196">
        <v>238</v>
      </c>
      <c r="S14" s="196">
        <v>10.97</v>
      </c>
      <c r="T14" s="196">
        <v>6.34</v>
      </c>
    </row>
    <row r="15" spans="1:20" x14ac:dyDescent="0.3">
      <c r="A15" s="196">
        <v>63.67</v>
      </c>
      <c r="B15" s="196">
        <v>0.06</v>
      </c>
      <c r="C15" s="196">
        <v>34.94</v>
      </c>
      <c r="D15" s="8">
        <v>43056.541666666664</v>
      </c>
      <c r="E15" s="196">
        <v>0.34</v>
      </c>
      <c r="F15" s="196" t="s">
        <v>491</v>
      </c>
      <c r="G15" s="196">
        <v>250.04</v>
      </c>
      <c r="H15" s="196"/>
      <c r="I15" s="196">
        <v>0</v>
      </c>
      <c r="J15" s="196">
        <v>0</v>
      </c>
      <c r="K15" s="196"/>
      <c r="L15" s="196">
        <v>996.42</v>
      </c>
      <c r="M15" s="196" t="s">
        <v>492</v>
      </c>
      <c r="N15" s="196">
        <v>63.67</v>
      </c>
      <c r="O15" s="196">
        <v>1510948800</v>
      </c>
      <c r="P15" s="196">
        <v>3</v>
      </c>
      <c r="Q15" s="196">
        <v>3.31</v>
      </c>
      <c r="R15" s="196">
        <v>224</v>
      </c>
      <c r="S15" s="196">
        <v>15.39</v>
      </c>
      <c r="T15" s="196">
        <v>6.61</v>
      </c>
    </row>
    <row r="16" spans="1:20" x14ac:dyDescent="0.3">
      <c r="A16" s="196">
        <v>63.41</v>
      </c>
      <c r="B16" s="196">
        <v>0.15</v>
      </c>
      <c r="C16" s="196">
        <v>33.159999999999997</v>
      </c>
      <c r="D16" s="8">
        <v>43056.583333333336</v>
      </c>
      <c r="E16" s="196">
        <v>0.32</v>
      </c>
      <c r="F16" s="196" t="s">
        <v>491</v>
      </c>
      <c r="G16" s="196">
        <v>255.97</v>
      </c>
      <c r="H16" s="196"/>
      <c r="I16" s="196">
        <v>0</v>
      </c>
      <c r="J16" s="196">
        <v>0</v>
      </c>
      <c r="K16" s="196"/>
      <c r="L16" s="196">
        <v>996.47</v>
      </c>
      <c r="M16" s="196" t="s">
        <v>492</v>
      </c>
      <c r="N16" s="196">
        <v>63.41</v>
      </c>
      <c r="O16" s="196">
        <v>1510952400</v>
      </c>
      <c r="P16" s="196">
        <v>2</v>
      </c>
      <c r="Q16" s="196">
        <v>4.47</v>
      </c>
      <c r="R16" s="196">
        <v>249</v>
      </c>
      <c r="S16" s="196">
        <v>16.29</v>
      </c>
      <c r="T16" s="196">
        <v>6.9</v>
      </c>
    </row>
    <row r="17" spans="1:20" x14ac:dyDescent="0.3">
      <c r="A17" s="196">
        <v>60.53</v>
      </c>
      <c r="B17" s="196">
        <v>0.15</v>
      </c>
      <c r="C17" s="196">
        <v>33.22</v>
      </c>
      <c r="D17" s="8">
        <v>43056.625</v>
      </c>
      <c r="E17" s="196">
        <v>0.36</v>
      </c>
      <c r="F17" s="196" t="s">
        <v>491</v>
      </c>
      <c r="G17" s="196">
        <v>259.19</v>
      </c>
      <c r="H17" s="196"/>
      <c r="I17" s="196">
        <v>0</v>
      </c>
      <c r="J17" s="196">
        <v>0</v>
      </c>
      <c r="K17" s="196"/>
      <c r="L17" s="196">
        <v>996.85</v>
      </c>
      <c r="M17" s="196" t="s">
        <v>492</v>
      </c>
      <c r="N17" s="196">
        <v>60.53</v>
      </c>
      <c r="O17" s="196">
        <v>1510956000</v>
      </c>
      <c r="P17" s="196">
        <v>1</v>
      </c>
      <c r="Q17" s="196">
        <v>4.16</v>
      </c>
      <c r="R17" s="196">
        <v>259</v>
      </c>
      <c r="S17" s="196">
        <v>14.48</v>
      </c>
      <c r="T17" s="196">
        <v>5.62</v>
      </c>
    </row>
    <row r="18" spans="1:20" x14ac:dyDescent="0.3">
      <c r="A18" s="196">
        <v>59.02</v>
      </c>
      <c r="B18" s="196">
        <v>0.18</v>
      </c>
      <c r="C18" s="196">
        <v>32.89</v>
      </c>
      <c r="D18" s="8">
        <v>43056.666666666664</v>
      </c>
      <c r="E18" s="196">
        <v>0.37</v>
      </c>
      <c r="F18" s="196" t="s">
        <v>491</v>
      </c>
      <c r="G18" s="196">
        <v>260.83</v>
      </c>
      <c r="H18" s="196"/>
      <c r="I18" s="196">
        <v>0</v>
      </c>
      <c r="J18" s="196">
        <v>0</v>
      </c>
      <c r="K18" s="196"/>
      <c r="L18" s="196">
        <v>996.87</v>
      </c>
      <c r="M18" s="196" t="s">
        <v>492</v>
      </c>
      <c r="N18" s="196">
        <v>59.02</v>
      </c>
      <c r="O18" s="196">
        <v>1510959600</v>
      </c>
      <c r="P18" s="196">
        <v>0</v>
      </c>
      <c r="Q18" s="196">
        <v>4.01</v>
      </c>
      <c r="R18" s="196">
        <v>268</v>
      </c>
      <c r="S18" s="196">
        <v>13.26</v>
      </c>
      <c r="T18" s="196">
        <v>3.01</v>
      </c>
    </row>
    <row r="19" spans="1:20" x14ac:dyDescent="0.3">
      <c r="A19" s="196">
        <v>51.49</v>
      </c>
      <c r="B19" s="196">
        <v>0.28999999999999998</v>
      </c>
      <c r="C19" s="196">
        <v>34.67</v>
      </c>
      <c r="D19" s="8">
        <v>43056.708333333336</v>
      </c>
      <c r="E19" s="196">
        <v>0.52</v>
      </c>
      <c r="F19" s="196" t="s">
        <v>370</v>
      </c>
      <c r="G19" s="196">
        <v>260.56</v>
      </c>
      <c r="H19" s="196"/>
      <c r="I19" s="196">
        <v>1E-4</v>
      </c>
      <c r="J19" s="196">
        <v>0.01</v>
      </c>
      <c r="K19" s="196" t="s">
        <v>454</v>
      </c>
      <c r="L19" s="196">
        <v>1000.5</v>
      </c>
      <c r="M19" s="196" t="s">
        <v>490</v>
      </c>
      <c r="N19" s="196">
        <v>51.49</v>
      </c>
      <c r="O19" s="196">
        <v>1510963200</v>
      </c>
      <c r="P19" s="196">
        <v>0</v>
      </c>
      <c r="Q19" s="196">
        <v>3</v>
      </c>
      <c r="R19" s="196">
        <v>17</v>
      </c>
      <c r="S19" s="196">
        <v>17.98</v>
      </c>
      <c r="T19" s="196">
        <v>6.11</v>
      </c>
    </row>
    <row r="20" spans="1:20" x14ac:dyDescent="0.3">
      <c r="A20" s="196">
        <v>38.96</v>
      </c>
      <c r="B20" s="196">
        <v>0.44</v>
      </c>
      <c r="C20" s="196">
        <v>36.96</v>
      </c>
      <c r="D20" s="8">
        <v>43056.75</v>
      </c>
      <c r="E20" s="196">
        <v>0.8</v>
      </c>
      <c r="F20" s="196" t="s">
        <v>370</v>
      </c>
      <c r="G20" s="196">
        <v>261.83999999999997</v>
      </c>
      <c r="H20" s="196"/>
      <c r="I20" s="196">
        <v>4.4000000000000003E-3</v>
      </c>
      <c r="J20" s="196">
        <v>0.45</v>
      </c>
      <c r="K20" s="196" t="s">
        <v>454</v>
      </c>
      <c r="L20" s="196">
        <v>1002.42</v>
      </c>
      <c r="M20" s="196" t="s">
        <v>490</v>
      </c>
      <c r="N20" s="196">
        <v>42.76</v>
      </c>
      <c r="O20" s="196">
        <v>1510966800</v>
      </c>
      <c r="P20" s="196">
        <v>0</v>
      </c>
      <c r="Q20" s="196">
        <v>3.48</v>
      </c>
      <c r="R20" s="196">
        <v>32</v>
      </c>
      <c r="S20" s="196">
        <v>15.23</v>
      </c>
      <c r="T20" s="196">
        <v>6.13</v>
      </c>
    </row>
    <row r="21" spans="1:20" x14ac:dyDescent="0.3">
      <c r="A21" s="196">
        <v>37.97</v>
      </c>
      <c r="B21" s="196">
        <v>0.56000000000000005</v>
      </c>
      <c r="C21" s="196">
        <v>36.090000000000003</v>
      </c>
      <c r="D21" s="8">
        <v>43056.791666666664</v>
      </c>
      <c r="E21" s="196">
        <v>0.85</v>
      </c>
      <c r="F21" s="196" t="s">
        <v>370</v>
      </c>
      <c r="G21" s="196">
        <v>263.26</v>
      </c>
      <c r="H21" s="196"/>
      <c r="I21" s="196">
        <v>2.3300000000000001E-2</v>
      </c>
      <c r="J21" s="196">
        <v>0.74</v>
      </c>
      <c r="K21" s="196" t="s">
        <v>454</v>
      </c>
      <c r="L21" s="196">
        <v>1004.16</v>
      </c>
      <c r="M21" s="196" t="s">
        <v>490</v>
      </c>
      <c r="N21" s="196">
        <v>40.22</v>
      </c>
      <c r="O21" s="196">
        <v>1510970400</v>
      </c>
      <c r="P21" s="196">
        <v>0</v>
      </c>
      <c r="Q21" s="196">
        <v>3.13</v>
      </c>
      <c r="R21" s="196">
        <v>12</v>
      </c>
      <c r="S21" s="196">
        <v>10.89</v>
      </c>
      <c r="T21" s="196">
        <v>3.59</v>
      </c>
    </row>
    <row r="22" spans="1:20" x14ac:dyDescent="0.3">
      <c r="A22" s="196">
        <v>38.56</v>
      </c>
      <c r="B22" s="196">
        <v>0.71</v>
      </c>
      <c r="C22" s="196">
        <v>35.08</v>
      </c>
      <c r="D22" s="8">
        <v>43056.833333333336</v>
      </c>
      <c r="E22" s="196">
        <v>0.87</v>
      </c>
      <c r="F22" s="196" t="s">
        <v>454</v>
      </c>
      <c r="G22" s="196">
        <v>265.54000000000002</v>
      </c>
      <c r="H22" s="196"/>
      <c r="I22" s="196">
        <v>5.2499999999999998E-2</v>
      </c>
      <c r="J22" s="196">
        <v>0.82</v>
      </c>
      <c r="K22" s="196" t="s">
        <v>454</v>
      </c>
      <c r="L22" s="196">
        <v>1006.25</v>
      </c>
      <c r="M22" s="196" t="s">
        <v>896</v>
      </c>
      <c r="N22" s="196">
        <v>38.56</v>
      </c>
      <c r="O22" s="196">
        <v>1510974000</v>
      </c>
      <c r="P22" s="196">
        <v>0</v>
      </c>
      <c r="Q22" s="196">
        <v>2.78</v>
      </c>
      <c r="R22" s="196">
        <v>13</v>
      </c>
      <c r="S22" s="196">
        <v>5.91</v>
      </c>
      <c r="T22" s="196">
        <v>1.7</v>
      </c>
    </row>
    <row r="23" spans="1:20" x14ac:dyDescent="0.3">
      <c r="A23" s="196">
        <v>37.770000000000003</v>
      </c>
      <c r="B23" s="196">
        <v>0.47</v>
      </c>
      <c r="C23" s="196">
        <v>34.47</v>
      </c>
      <c r="D23" s="8">
        <v>43056.875</v>
      </c>
      <c r="E23" s="196">
        <v>0.88</v>
      </c>
      <c r="F23" s="196" t="s">
        <v>454</v>
      </c>
      <c r="G23" s="196">
        <v>269.76</v>
      </c>
      <c r="H23" s="196"/>
      <c r="I23" s="196">
        <v>0.03</v>
      </c>
      <c r="J23" s="196">
        <v>0.71</v>
      </c>
      <c r="K23" s="196" t="s">
        <v>454</v>
      </c>
      <c r="L23" s="196">
        <v>1006.42</v>
      </c>
      <c r="M23" s="196" t="s">
        <v>896</v>
      </c>
      <c r="N23" s="196">
        <v>37.770000000000003</v>
      </c>
      <c r="O23" s="196">
        <v>1510977600</v>
      </c>
      <c r="P23" s="196">
        <v>0</v>
      </c>
      <c r="Q23" s="196">
        <v>3.35</v>
      </c>
      <c r="R23" s="196">
        <v>101</v>
      </c>
      <c r="S23" s="196">
        <v>3.71</v>
      </c>
      <c r="T23" s="196">
        <v>0.72</v>
      </c>
    </row>
    <row r="24" spans="1:20" x14ac:dyDescent="0.3">
      <c r="A24" s="196">
        <v>37.979999999999997</v>
      </c>
      <c r="B24" s="196">
        <v>0.41</v>
      </c>
      <c r="C24" s="196">
        <v>31.2</v>
      </c>
      <c r="D24" s="8">
        <v>43056.916666666664</v>
      </c>
      <c r="E24" s="196">
        <v>0.76</v>
      </c>
      <c r="F24" s="196" t="s">
        <v>370</v>
      </c>
      <c r="G24" s="196">
        <v>274.87</v>
      </c>
      <c r="H24" s="196"/>
      <c r="I24" s="196">
        <v>5.1000000000000004E-3</v>
      </c>
      <c r="J24" s="196">
        <v>0.48</v>
      </c>
      <c r="K24" s="196" t="s">
        <v>454</v>
      </c>
      <c r="L24" s="196">
        <v>1007.73</v>
      </c>
      <c r="M24" s="196" t="s">
        <v>490</v>
      </c>
      <c r="N24" s="196">
        <v>37.979999999999997</v>
      </c>
      <c r="O24" s="196">
        <v>1510981200</v>
      </c>
      <c r="P24" s="196">
        <v>0</v>
      </c>
      <c r="Q24" s="196">
        <v>3.52</v>
      </c>
      <c r="R24" s="196">
        <v>280</v>
      </c>
      <c r="S24" s="196">
        <v>10.16</v>
      </c>
      <c r="T24" s="196">
        <v>2.17</v>
      </c>
    </row>
    <row r="25" spans="1:20" x14ac:dyDescent="0.3">
      <c r="A25" s="196">
        <v>35.72</v>
      </c>
      <c r="B25" s="196">
        <v>0.16</v>
      </c>
      <c r="C25" s="196">
        <v>25.02</v>
      </c>
      <c r="D25" s="8">
        <v>43056.958333333336</v>
      </c>
      <c r="E25" s="196">
        <v>0.59</v>
      </c>
      <c r="F25" s="196" t="s">
        <v>493</v>
      </c>
      <c r="G25" s="196">
        <v>279.29000000000002</v>
      </c>
      <c r="H25" s="196"/>
      <c r="I25" s="196">
        <v>1.6000000000000001E-3</v>
      </c>
      <c r="J25" s="196">
        <v>0.15</v>
      </c>
      <c r="K25" s="196" t="s">
        <v>454</v>
      </c>
      <c r="L25" s="196">
        <v>1009.29</v>
      </c>
      <c r="M25" s="196" t="s">
        <v>492</v>
      </c>
      <c r="N25" s="196">
        <v>38.24</v>
      </c>
      <c r="O25" s="196">
        <v>1510984800</v>
      </c>
      <c r="P25" s="196">
        <v>0</v>
      </c>
      <c r="Q25" s="196">
        <v>3.52</v>
      </c>
      <c r="R25" s="196">
        <v>307</v>
      </c>
      <c r="S25" s="196">
        <v>11.7</v>
      </c>
      <c r="T25" s="196">
        <v>3.57</v>
      </c>
    </row>
    <row r="26" spans="1:20" x14ac:dyDescent="0.3">
      <c r="A26" s="196">
        <v>33.619999999999997</v>
      </c>
      <c r="B26" s="196">
        <v>0.21</v>
      </c>
      <c r="C26" s="196">
        <v>19.2</v>
      </c>
      <c r="D26" s="8">
        <v>43057</v>
      </c>
      <c r="E26" s="196">
        <v>0.46</v>
      </c>
      <c r="F26" s="196" t="s">
        <v>493</v>
      </c>
      <c r="G26" s="196">
        <v>282.45999999999998</v>
      </c>
      <c r="H26" s="196"/>
      <c r="I26" s="196">
        <v>8.0000000000000004E-4</v>
      </c>
      <c r="J26" s="196">
        <v>0.08</v>
      </c>
      <c r="K26" s="196" t="s">
        <v>454</v>
      </c>
      <c r="L26" s="196">
        <v>1011.15</v>
      </c>
      <c r="M26" s="196" t="s">
        <v>492</v>
      </c>
      <c r="N26" s="196">
        <v>38.15</v>
      </c>
      <c r="O26" s="196">
        <v>1510988400</v>
      </c>
      <c r="P26" s="196">
        <v>0</v>
      </c>
      <c r="Q26" s="196">
        <v>3.52</v>
      </c>
      <c r="R26" s="196">
        <v>298</v>
      </c>
      <c r="S26" s="196">
        <v>16.12</v>
      </c>
      <c r="T26" s="196">
        <v>5.91</v>
      </c>
    </row>
    <row r="27" spans="1:20" x14ac:dyDescent="0.3">
      <c r="A27" s="196">
        <v>30.61</v>
      </c>
      <c r="B27" s="196">
        <v>0.17</v>
      </c>
      <c r="C27" s="196">
        <v>16.11</v>
      </c>
      <c r="D27" s="8">
        <v>43057.041666666664</v>
      </c>
      <c r="E27" s="196">
        <v>0.43</v>
      </c>
      <c r="F27" s="196" t="s">
        <v>493</v>
      </c>
      <c r="G27" s="196">
        <v>284.89</v>
      </c>
      <c r="H27" s="196"/>
      <c r="I27" s="196">
        <v>5.0000000000000001E-4</v>
      </c>
      <c r="J27" s="196">
        <v>0.05</v>
      </c>
      <c r="K27" s="196" t="s">
        <v>454</v>
      </c>
      <c r="L27" s="196">
        <v>1013.42</v>
      </c>
      <c r="M27" s="196" t="s">
        <v>492</v>
      </c>
      <c r="N27" s="196">
        <v>36.29</v>
      </c>
      <c r="O27" s="196">
        <v>1510992000</v>
      </c>
      <c r="P27" s="196">
        <v>0</v>
      </c>
      <c r="Q27" s="196">
        <v>3.52</v>
      </c>
      <c r="R27" s="196">
        <v>299</v>
      </c>
      <c r="S27" s="196">
        <v>16.899999999999999</v>
      </c>
      <c r="T27" s="196">
        <v>7.1</v>
      </c>
    </row>
    <row r="28" spans="1:20" x14ac:dyDescent="0.3">
      <c r="A28" s="196">
        <v>27.99</v>
      </c>
      <c r="B28" s="196">
        <v>0.41</v>
      </c>
      <c r="C28" s="196">
        <v>20.239999999999998</v>
      </c>
      <c r="D28" s="8">
        <v>43057.083333333336</v>
      </c>
      <c r="E28" s="196">
        <v>0.57999999999999996</v>
      </c>
      <c r="F28" s="196" t="s">
        <v>370</v>
      </c>
      <c r="G28" s="196">
        <v>285.92</v>
      </c>
      <c r="H28" s="196">
        <v>0</v>
      </c>
      <c r="I28" s="196">
        <v>2.9999999999999997E-4</v>
      </c>
      <c r="J28" s="196">
        <v>0.06</v>
      </c>
      <c r="K28" s="196" t="s">
        <v>897</v>
      </c>
      <c r="L28" s="196">
        <v>1016.34</v>
      </c>
      <c r="M28" s="196" t="s">
        <v>490</v>
      </c>
      <c r="N28" s="196">
        <v>33.369999999999997</v>
      </c>
      <c r="O28" s="196">
        <v>1510995600</v>
      </c>
      <c r="P28" s="196">
        <v>0</v>
      </c>
      <c r="Q28" s="196">
        <v>3.29</v>
      </c>
      <c r="R28" s="196">
        <v>344</v>
      </c>
      <c r="S28" s="196">
        <v>16.16</v>
      </c>
      <c r="T28" s="196">
        <v>5.83</v>
      </c>
    </row>
    <row r="29" spans="1:20" x14ac:dyDescent="0.3">
      <c r="A29" s="196">
        <v>27.51</v>
      </c>
      <c r="B29" s="196">
        <v>0.39</v>
      </c>
      <c r="C29" s="196">
        <v>19.22</v>
      </c>
      <c r="D29" s="8">
        <v>43057.125</v>
      </c>
      <c r="E29" s="196">
        <v>0.59</v>
      </c>
      <c r="F29" s="196" t="s">
        <v>370</v>
      </c>
      <c r="G29" s="196">
        <v>285.11</v>
      </c>
      <c r="H29" s="196">
        <v>0</v>
      </c>
      <c r="I29" s="196">
        <v>1E-4</v>
      </c>
      <c r="J29" s="196">
        <v>0.04</v>
      </c>
      <c r="K29" s="196" t="s">
        <v>897</v>
      </c>
      <c r="L29" s="196">
        <v>1019.2</v>
      </c>
      <c r="M29" s="196" t="s">
        <v>490</v>
      </c>
      <c r="N29" s="196">
        <v>31.97</v>
      </c>
      <c r="O29" s="196">
        <v>1510999200</v>
      </c>
      <c r="P29" s="196">
        <v>0</v>
      </c>
      <c r="Q29" s="196">
        <v>5.22</v>
      </c>
      <c r="R29" s="196">
        <v>338</v>
      </c>
      <c r="S29" s="196">
        <v>13.26</v>
      </c>
      <c r="T29" s="196">
        <v>4.5</v>
      </c>
    </row>
    <row r="30" spans="1:20" x14ac:dyDescent="0.3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</row>
    <row r="31" spans="1:20" x14ac:dyDescent="0.3">
      <c r="A31" s="141" t="s">
        <v>179</v>
      </c>
    </row>
    <row r="33" spans="1:1" x14ac:dyDescent="0.3">
      <c r="A33" s="141" t="s">
        <v>173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4"/>
  <sheetViews>
    <sheetView workbookViewId="0">
      <selection activeCell="A4" sqref="A4"/>
    </sheetView>
  </sheetViews>
  <sheetFormatPr defaultRowHeight="14.4" x14ac:dyDescent="0.3"/>
  <cols>
    <col min="1" max="1" width="32.109375" customWidth="1"/>
    <col min="3" max="3" width="24" customWidth="1"/>
    <col min="4" max="4" width="19.109375" style="56" customWidth="1"/>
    <col min="10" max="10" width="24.33203125" style="140" bestFit="1" customWidth="1"/>
    <col min="11" max="11" width="15.33203125" style="140" hidden="1" customWidth="1"/>
    <col min="12" max="12" width="13.5546875" style="140" hidden="1" customWidth="1"/>
    <col min="13" max="13" width="9" style="154" bestFit="1" customWidth="1"/>
    <col min="14" max="17" width="9.109375" style="140"/>
    <col min="20" max="24" width="9.109375" style="154"/>
    <col min="29" max="29" width="12.44140625" customWidth="1"/>
    <col min="30" max="30" width="9.109375" style="168"/>
    <col min="31" max="32" width="9.109375" style="56"/>
  </cols>
  <sheetData>
    <row r="1" spans="1:32" ht="43.8" x14ac:dyDescent="0.35">
      <c r="A1" s="11" t="s">
        <v>25</v>
      </c>
      <c r="C1" s="119" t="s">
        <v>96</v>
      </c>
      <c r="D1" s="120" t="s">
        <v>97</v>
      </c>
      <c r="J1" s="146" t="s">
        <v>98</v>
      </c>
      <c r="K1" s="146" t="s">
        <v>66</v>
      </c>
      <c r="L1" s="146" t="s">
        <v>67</v>
      </c>
      <c r="O1" s="147" t="s">
        <v>99</v>
      </c>
      <c r="T1" s="156" t="s">
        <v>324</v>
      </c>
      <c r="U1" s="156"/>
      <c r="V1" s="156"/>
      <c r="W1" s="156"/>
      <c r="X1" s="156"/>
    </row>
    <row r="2" spans="1:32" ht="15" thickBot="1" x14ac:dyDescent="0.35">
      <c r="A2" s="12">
        <v>43056</v>
      </c>
      <c r="B2" s="4"/>
      <c r="C2" s="121">
        <v>50</v>
      </c>
      <c r="D2" s="122">
        <v>25</v>
      </c>
      <c r="F2" t="s">
        <v>110</v>
      </c>
      <c r="J2" s="146"/>
      <c r="K2" s="146" t="s">
        <v>66</v>
      </c>
      <c r="L2" s="146" t="s">
        <v>67</v>
      </c>
      <c r="T2" s="155" t="s">
        <v>325</v>
      </c>
      <c r="U2" s="155">
        <v>167</v>
      </c>
      <c r="V2" s="155">
        <v>168</v>
      </c>
      <c r="W2" s="155">
        <v>199</v>
      </c>
      <c r="X2" s="155">
        <v>200</v>
      </c>
      <c r="AD2" t="s">
        <v>337</v>
      </c>
      <c r="AE2" s="56" t="s">
        <v>340</v>
      </c>
      <c r="AF2" s="56" t="s">
        <v>341</v>
      </c>
    </row>
    <row r="3" spans="1:32" x14ac:dyDescent="0.3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100</v>
      </c>
      <c r="P3" s="140">
        <f>AVERAGE(1.0714,1.1016)</f>
        <v>1.0865</v>
      </c>
      <c r="T3" s="155" t="s">
        <v>326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102</v>
      </c>
      <c r="AD3" s="131">
        <v>23</v>
      </c>
      <c r="AE3" s="42">
        <v>100</v>
      </c>
      <c r="AF3" s="42">
        <v>299</v>
      </c>
    </row>
    <row r="4" spans="1:32" ht="43.2" x14ac:dyDescent="0.3">
      <c r="C4" s="119" t="s">
        <v>96</v>
      </c>
      <c r="D4" s="120" t="s">
        <v>97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327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103</v>
      </c>
      <c r="AD4" s="131">
        <v>5.65</v>
      </c>
      <c r="AE4" s="42">
        <v>800</v>
      </c>
      <c r="AF4" s="42">
        <v>899</v>
      </c>
    </row>
    <row r="5" spans="1:32" x14ac:dyDescent="0.3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328</v>
      </c>
      <c r="U5" s="155">
        <v>187</v>
      </c>
      <c r="V5" s="155">
        <v>188</v>
      </c>
      <c r="W5" s="155">
        <v>223</v>
      </c>
      <c r="X5" s="155">
        <v>224</v>
      </c>
      <c r="AC5" s="30" t="s">
        <v>338</v>
      </c>
      <c r="AD5" s="131">
        <v>11.15</v>
      </c>
      <c r="AE5" s="42">
        <v>400</v>
      </c>
      <c r="AF5" s="42">
        <v>600</v>
      </c>
    </row>
    <row r="6" spans="1:32" x14ac:dyDescent="0.3">
      <c r="C6" s="56"/>
      <c r="F6" t="s">
        <v>111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103</v>
      </c>
      <c r="AD6" s="183">
        <v>5.65</v>
      </c>
      <c r="AE6" s="42">
        <v>1800</v>
      </c>
      <c r="AF6" s="42">
        <v>1899</v>
      </c>
    </row>
    <row r="7" spans="1:32" x14ac:dyDescent="0.3">
      <c r="C7" s="56"/>
      <c r="F7" t="s">
        <v>333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339</v>
      </c>
      <c r="AD7" s="131">
        <v>99</v>
      </c>
      <c r="AE7" s="42">
        <v>0</v>
      </c>
      <c r="AF7" s="42">
        <v>99</v>
      </c>
    </row>
    <row r="8" spans="1:32" x14ac:dyDescent="0.3">
      <c r="C8" s="56"/>
      <c r="F8" t="s">
        <v>350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342</v>
      </c>
      <c r="AD8" s="174">
        <v>9999</v>
      </c>
      <c r="AE8" s="131">
        <v>9999</v>
      </c>
      <c r="AF8" s="131">
        <v>9999</v>
      </c>
    </row>
    <row r="9" spans="1:32" x14ac:dyDescent="0.3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3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3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3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3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3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3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3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3">
      <c r="C17" s="137" t="s">
        <v>180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3">
      <c r="C18" t="s">
        <v>1110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3">
      <c r="C19" t="s">
        <v>1111</v>
      </c>
      <c r="J19" s="148" t="s">
        <v>86</v>
      </c>
      <c r="K19" s="149"/>
      <c r="L19" s="149"/>
      <c r="M19" s="154" t="s">
        <v>109</v>
      </c>
      <c r="T19" s="155"/>
      <c r="U19" s="155"/>
      <c r="V19" s="155"/>
      <c r="W19" s="155"/>
      <c r="X19" s="155"/>
    </row>
    <row r="20" spans="3:24" x14ac:dyDescent="0.3">
      <c r="C20" t="s">
        <v>1112</v>
      </c>
      <c r="J20" s="140" t="s">
        <v>87</v>
      </c>
      <c r="M20" s="154" t="s">
        <v>332</v>
      </c>
      <c r="N20" s="154" t="s">
        <v>323</v>
      </c>
      <c r="T20" s="155"/>
      <c r="U20" s="155"/>
      <c r="V20" s="155"/>
      <c r="W20" s="155"/>
      <c r="X20" s="155"/>
    </row>
    <row r="21" spans="3:24" x14ac:dyDescent="0.3">
      <c r="C21" t="s">
        <v>1113</v>
      </c>
      <c r="J21" s="140" t="s">
        <v>90</v>
      </c>
      <c r="K21" s="140" t="s">
        <v>91</v>
      </c>
      <c r="M21" s="154" t="s">
        <v>172</v>
      </c>
      <c r="T21" s="155"/>
      <c r="U21" s="155"/>
      <c r="V21" s="155"/>
      <c r="W21" s="155"/>
      <c r="X21" s="155"/>
    </row>
    <row r="22" spans="3:24" x14ac:dyDescent="0.3">
      <c r="C22" t="s">
        <v>1114</v>
      </c>
      <c r="J22" s="140" t="s">
        <v>92</v>
      </c>
      <c r="K22" s="140" t="s">
        <v>108</v>
      </c>
      <c r="M22" s="154" t="s">
        <v>108</v>
      </c>
      <c r="T22" s="155"/>
      <c r="U22" s="155"/>
      <c r="V22" s="155"/>
      <c r="W22" s="155"/>
      <c r="X22" s="155"/>
    </row>
    <row r="23" spans="3:24" x14ac:dyDescent="0.3">
      <c r="C23" t="s">
        <v>1115</v>
      </c>
      <c r="J23" s="150" t="s">
        <v>94</v>
      </c>
      <c r="M23" s="154" t="str">
        <f>"-07"</f>
        <v>-07</v>
      </c>
      <c r="T23" s="155"/>
      <c r="U23" s="155"/>
      <c r="V23" s="155"/>
      <c r="W23" s="155"/>
      <c r="X23" s="155"/>
    </row>
    <row r="24" spans="3:24" x14ac:dyDescent="0.3">
      <c r="C24" t="s">
        <v>1116</v>
      </c>
      <c r="J24" s="140" t="s">
        <v>105</v>
      </c>
      <c r="M24" s="154" t="s">
        <v>107</v>
      </c>
      <c r="T24" s="155"/>
      <c r="U24" s="155"/>
      <c r="V24" s="155"/>
      <c r="W24" s="155"/>
      <c r="X24" s="155"/>
    </row>
    <row r="25" spans="3:24" x14ac:dyDescent="0.3">
      <c r="C25" t="s">
        <v>1117</v>
      </c>
      <c r="J25" s="140" t="s">
        <v>144</v>
      </c>
      <c r="M25" s="154" t="b">
        <v>1</v>
      </c>
    </row>
    <row r="26" spans="3:24" x14ac:dyDescent="0.3">
      <c r="C26" t="s">
        <v>1118</v>
      </c>
      <c r="J26" s="140" t="s">
        <v>145</v>
      </c>
      <c r="M26" s="154" t="str">
        <f>"%USERPROFILE%\Documents\GitHub\eaglep3-reporting\EC\"&amp;TEXT(A2,"yyyy-mm-dd")&amp;"-refined-times.txt"</f>
        <v>%USERPROFILE%\Documents\GitHub\eaglep3-reporting\EC\2017-11-17-refined-times.txt</v>
      </c>
    </row>
    <row r="27" spans="3:24" x14ac:dyDescent="0.3">
      <c r="C27" t="s">
        <v>1119</v>
      </c>
      <c r="J27" s="140" t="s">
        <v>174</v>
      </c>
      <c r="M27" s="154" t="str">
        <f>"%USERPROFILE%\Documents\GitHub\eaglep3-reporting\EC\"&amp;TEXT(A2,"YYYY-MM-DD")&amp;"-Enforcements.txt"</f>
        <v>%USERPROFILE%\Documents\GitHub\eaglep3-reporting\EC\2017-11-17-Enforcements.txt</v>
      </c>
    </row>
    <row r="28" spans="3:24" x14ac:dyDescent="0.3">
      <c r="C28" t="s">
        <v>1120</v>
      </c>
      <c r="J28" s="140" t="s">
        <v>175</v>
      </c>
      <c r="M28" s="154" t="str">
        <f>"%USERPROFILE%\Documents\GitHub\eaglep3-reporting\EC\"&amp;TEXT(A2,"YYYY-MM-DD")&amp;"-Runs-refined.txt"</f>
        <v>%USERPROFILE%\Documents\GitHub\eaglep3-reporting\EC\2017-11-17-Runs-refined.txt</v>
      </c>
    </row>
    <row r="29" spans="3:24" x14ac:dyDescent="0.3">
      <c r="C29" t="s">
        <v>1121</v>
      </c>
      <c r="J29" s="140" t="s">
        <v>176</v>
      </c>
      <c r="M29" s="154" t="str">
        <f>"%USERPROFILE%\Documents\GitHub\eaglep3-reporting\EC\"&amp;TEXT(A2,"YYYY-MM-DD")&amp;"-Trips.txt"</f>
        <v>%USERPROFILE%\Documents\GitHub\eaglep3-reporting\EC\2017-11-17-Trips.txt</v>
      </c>
    </row>
    <row r="30" spans="3:24" x14ac:dyDescent="0.3">
      <c r="C30" t="s">
        <v>1122</v>
      </c>
      <c r="J30" s="140" t="s">
        <v>177</v>
      </c>
      <c r="M30" s="154" t="str">
        <f>"%USERPROFILE%\Documents\GitHub\eaglep3-reporting\EC\"&amp;TEXT(A2,"YYYY-MM-DD")&amp;"-Weather.txt"</f>
        <v>%USERPROFILE%\Documents\GitHub\eaglep3-reporting\EC\2017-11-17-Weather.txt</v>
      </c>
    </row>
    <row r="31" spans="3:24" x14ac:dyDescent="0.3">
      <c r="C31" t="s">
        <v>1123</v>
      </c>
      <c r="J31" s="140" t="s">
        <v>188</v>
      </c>
      <c r="M31" s="154" t="s">
        <v>189</v>
      </c>
    </row>
    <row r="32" spans="3:24" x14ac:dyDescent="0.3">
      <c r="C32" t="s">
        <v>1124</v>
      </c>
    </row>
    <row r="33" spans="3:3" x14ac:dyDescent="0.3">
      <c r="C33" t="s">
        <v>1125</v>
      </c>
    </row>
    <row r="34" spans="3:3" x14ac:dyDescent="0.3">
      <c r="C34" t="s">
        <v>1126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297180</xdr:colOff>
                    <xdr:row>5</xdr:row>
                    <xdr:rowOff>45720</xdr:rowOff>
                  </from>
                  <to>
                    <xdr:col>0</xdr:col>
                    <xdr:colOff>1630680</xdr:colOff>
                    <xdr:row>8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83820</xdr:rowOff>
                  </from>
                  <to>
                    <xdr:col>0</xdr:col>
                    <xdr:colOff>1554480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297180</xdr:colOff>
                    <xdr:row>12</xdr:row>
                    <xdr:rowOff>144780</xdr:rowOff>
                  </from>
                  <to>
                    <xdr:col>0</xdr:col>
                    <xdr:colOff>1546860</xdr:colOff>
                    <xdr:row>15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09375" defaultRowHeight="14.4" x14ac:dyDescent="0.3"/>
  <cols>
    <col min="1" max="1" width="32.88671875" style="93" bestFit="1" customWidth="1"/>
    <col min="2" max="7" width="9.109375" style="93"/>
    <col min="8" max="8" width="17.6640625" style="188" bestFit="1" customWidth="1"/>
    <col min="9" max="10" width="9.109375" style="188"/>
    <col min="11" max="16384" width="9.109375" style="93"/>
  </cols>
  <sheetData>
    <row r="1" spans="1:11" x14ac:dyDescent="0.3">
      <c r="A1" s="92" t="s">
        <v>115</v>
      </c>
      <c r="B1" s="92" t="s">
        <v>116</v>
      </c>
      <c r="C1" s="93" t="s">
        <v>117</v>
      </c>
      <c r="H1" s="168" t="s">
        <v>112</v>
      </c>
      <c r="I1" s="186" t="s">
        <v>354</v>
      </c>
      <c r="J1" s="168" t="s">
        <v>330</v>
      </c>
    </row>
    <row r="2" spans="1:11" x14ac:dyDescent="0.3">
      <c r="A2" s="93" t="s">
        <v>118</v>
      </c>
      <c r="B2" s="93" t="s">
        <v>119</v>
      </c>
      <c r="C2" s="93" t="s">
        <v>120</v>
      </c>
      <c r="H2" s="168" t="s">
        <v>113</v>
      </c>
      <c r="I2" s="168" t="s">
        <v>114</v>
      </c>
      <c r="J2" s="168" t="s">
        <v>331</v>
      </c>
    </row>
    <row r="3" spans="1:11" x14ac:dyDescent="0.3">
      <c r="A3" s="93" t="s">
        <v>121</v>
      </c>
      <c r="B3" s="93" t="s">
        <v>122</v>
      </c>
      <c r="C3" s="93" t="s">
        <v>123</v>
      </c>
      <c r="H3" s="168" t="s">
        <v>137</v>
      </c>
      <c r="I3" s="168">
        <v>1</v>
      </c>
      <c r="J3" s="168">
        <v>1</v>
      </c>
      <c r="K3" s="55"/>
    </row>
    <row r="4" spans="1:11" x14ac:dyDescent="0.3">
      <c r="A4" s="93" t="s">
        <v>124</v>
      </c>
      <c r="C4" s="93" t="s">
        <v>125</v>
      </c>
      <c r="H4" s="168" t="s">
        <v>138</v>
      </c>
      <c r="I4" s="168">
        <v>2</v>
      </c>
      <c r="J4" s="168">
        <v>1</v>
      </c>
      <c r="K4" s="55"/>
    </row>
    <row r="5" spans="1:11" x14ac:dyDescent="0.3">
      <c r="A5" s="93" t="s">
        <v>126</v>
      </c>
      <c r="C5" s="93" t="s">
        <v>127</v>
      </c>
      <c r="H5" s="168" t="s">
        <v>139</v>
      </c>
      <c r="I5" s="168">
        <v>338</v>
      </c>
      <c r="J5" s="168">
        <v>10</v>
      </c>
      <c r="K5" s="55"/>
    </row>
    <row r="6" spans="1:11" x14ac:dyDescent="0.3">
      <c r="A6" s="93" t="s">
        <v>128</v>
      </c>
      <c r="C6" s="93" t="s">
        <v>129</v>
      </c>
      <c r="H6" s="187" t="s">
        <v>140</v>
      </c>
      <c r="I6" s="187" t="s">
        <v>119</v>
      </c>
    </row>
    <row r="7" spans="1:11" x14ac:dyDescent="0.3">
      <c r="A7" s="93" t="s">
        <v>130</v>
      </c>
      <c r="C7" s="93" t="s">
        <v>131</v>
      </c>
    </row>
    <row r="8" spans="1:11" x14ac:dyDescent="0.3">
      <c r="C8" s="93" t="s">
        <v>132</v>
      </c>
    </row>
    <row r="9" spans="1:11" x14ac:dyDescent="0.3">
      <c r="C9" s="94" t="s">
        <v>165</v>
      </c>
    </row>
    <row r="10" spans="1:11" x14ac:dyDescent="0.3">
      <c r="C10" s="93" t="s">
        <v>133</v>
      </c>
    </row>
    <row r="11" spans="1:11" x14ac:dyDescent="0.3">
      <c r="C11" s="93" t="s">
        <v>134</v>
      </c>
    </row>
    <row r="12" spans="1:11" x14ac:dyDescent="0.3">
      <c r="C12" s="93" t="s">
        <v>135</v>
      </c>
    </row>
    <row r="13" spans="1:11" x14ac:dyDescent="0.3">
      <c r="C13" s="93" t="s">
        <v>136</v>
      </c>
    </row>
    <row r="14" spans="1:11" x14ac:dyDescent="0.3">
      <c r="C14" s="94" t="s">
        <v>166</v>
      </c>
    </row>
    <row r="15" spans="1:11" x14ac:dyDescent="0.3">
      <c r="C15" s="94" t="s">
        <v>181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4.4" x14ac:dyDescent="0.3"/>
  <cols>
    <col min="2" max="2" width="22.33203125" bestFit="1" customWidth="1"/>
    <col min="3" max="3" width="9.6640625" customWidth="1"/>
  </cols>
  <sheetData>
    <row r="1" spans="1:3" x14ac:dyDescent="0.3">
      <c r="A1" t="s">
        <v>193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3">
      <c r="A2" t="s">
        <v>194</v>
      </c>
      <c r="B2" s="20" t="str">
        <f t="shared" si="0"/>
        <v>2017/03/01 11:03:17.810</v>
      </c>
      <c r="C2">
        <f>ABS(B2-B1)</f>
        <v>7.9861638369038701E-7</v>
      </c>
    </row>
    <row r="3" spans="1:3" x14ac:dyDescent="0.3">
      <c r="A3" t="s">
        <v>195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3">
      <c r="A4" t="s">
        <v>196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3">
      <c r="A5" t="s">
        <v>197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3">
      <c r="A6" t="s">
        <v>198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3">
      <c r="A7" t="s">
        <v>199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3">
      <c r="A8" t="s">
        <v>200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3">
      <c r="A9" t="s">
        <v>201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3">
      <c r="A10" t="s">
        <v>202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3">
      <c r="A11" t="s">
        <v>203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3">
      <c r="A12" t="s">
        <v>204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3">
      <c r="A13" t="s">
        <v>205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3">
      <c r="A14" t="s">
        <v>206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3">
      <c r="A15" t="s">
        <v>207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3">
      <c r="A16" t="s">
        <v>208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3">
      <c r="A17" t="s">
        <v>209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3">
      <c r="A18" t="s">
        <v>210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3">
      <c r="A19" t="s">
        <v>211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3">
      <c r="A20" t="s">
        <v>212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3">
      <c r="A21" t="s">
        <v>213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3">
      <c r="A22" t="s">
        <v>214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3">
      <c r="A23" t="s">
        <v>215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3">
      <c r="A24" t="s">
        <v>216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3">
      <c r="A25" t="s">
        <v>217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3">
      <c r="A26" t="s">
        <v>218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3">
      <c r="A27" t="s">
        <v>219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3">
      <c r="A28" t="s">
        <v>220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3">
      <c r="A29" t="s">
        <v>221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3">
      <c r="A30" t="s">
        <v>222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3">
      <c r="A31" t="s">
        <v>223</v>
      </c>
      <c r="B31" s="20" t="str">
        <f>MID(A31,6,23)</f>
        <v>2017/03/01 14:42:30.164</v>
      </c>
      <c r="C31" s="20">
        <f>ABS(B31-B30)</f>
        <v>1.3009259419050068E-5</v>
      </c>
    </row>
    <row r="32" spans="1:3" x14ac:dyDescent="0.3">
      <c r="A32" t="s">
        <v>224</v>
      </c>
      <c r="B32" s="20" t="str">
        <f>MID(A32,6,23)</f>
        <v>2017/03/01 14:42:30.410</v>
      </c>
      <c r="C32" s="20">
        <f>ABS(B32-B31)</f>
        <v>2.847220457624644E-6</v>
      </c>
    </row>
    <row r="33" spans="1:3" x14ac:dyDescent="0.3">
      <c r="A33" t="s">
        <v>225</v>
      </c>
      <c r="B33" s="20" t="str">
        <f t="shared" ref="B33:B49" si="2">MID(A33,6,23)</f>
        <v>2017/03/01 15:16:01.045</v>
      </c>
      <c r="C33" s="20">
        <f t="shared" ref="C33:C49" si="3">ABS(B33-B32)</f>
        <v>2.3271238424058538E-2</v>
      </c>
    </row>
    <row r="34" spans="1:3" x14ac:dyDescent="0.3">
      <c r="A34" t="s">
        <v>226</v>
      </c>
      <c r="B34" s="20" t="str">
        <f t="shared" si="2"/>
        <v>2017/03/01 15:16:01.400</v>
      </c>
      <c r="C34" s="20">
        <f t="shared" si="3"/>
        <v>4.1087987483479083E-6</v>
      </c>
    </row>
    <row r="35" spans="1:3" x14ac:dyDescent="0.3">
      <c r="A35" t="s">
        <v>227</v>
      </c>
      <c r="B35" s="20" t="str">
        <f t="shared" si="2"/>
        <v>2017/03/01 15:17:18.045</v>
      </c>
      <c r="C35" s="20">
        <f t="shared" si="3"/>
        <v>8.8709490955807269E-4</v>
      </c>
    </row>
    <row r="36" spans="1:3" x14ac:dyDescent="0.3">
      <c r="A36" t="s">
        <v>228</v>
      </c>
      <c r="B36" s="20" t="str">
        <f t="shared" si="2"/>
        <v>2017/03/01 15:17:18.415</v>
      </c>
      <c r="C36" s="20">
        <f t="shared" si="3"/>
        <v>4.2824030970223248E-6</v>
      </c>
    </row>
    <row r="37" spans="1:3" x14ac:dyDescent="0.3">
      <c r="A37" t="s">
        <v>229</v>
      </c>
      <c r="B37" s="20" t="str">
        <f t="shared" si="2"/>
        <v>2017/03/01 15:17:19.155</v>
      </c>
      <c r="C37" s="20">
        <f t="shared" si="3"/>
        <v>8.564820745959878E-6</v>
      </c>
    </row>
    <row r="38" spans="1:3" x14ac:dyDescent="0.3">
      <c r="A38" t="s">
        <v>230</v>
      </c>
      <c r="B38" s="20" t="str">
        <f t="shared" si="2"/>
        <v>2017/03/01 16:13:17.582</v>
      </c>
      <c r="C38" s="20">
        <f t="shared" si="3"/>
        <v>3.8870682867127471E-2</v>
      </c>
    </row>
    <row r="39" spans="1:3" x14ac:dyDescent="0.3">
      <c r="A39" t="s">
        <v>231</v>
      </c>
      <c r="B39" s="20" t="str">
        <f t="shared" si="2"/>
        <v>2017/03/01 16:13:17.910</v>
      </c>
      <c r="C39" s="20">
        <f t="shared" si="3"/>
        <v>3.7962963688187301E-6</v>
      </c>
    </row>
    <row r="40" spans="1:3" x14ac:dyDescent="0.3">
      <c r="A40" t="s">
        <v>232</v>
      </c>
      <c r="B40" s="20" t="str">
        <f t="shared" si="2"/>
        <v>2017/03/01 16:33:53.680</v>
      </c>
      <c r="C40" s="20">
        <f t="shared" si="3"/>
        <v>1.4302893519925419E-2</v>
      </c>
    </row>
    <row r="41" spans="1:3" x14ac:dyDescent="0.3">
      <c r="A41" t="s">
        <v>233</v>
      </c>
      <c r="B41" s="20" t="str">
        <f t="shared" si="2"/>
        <v>2017/03/01 16:33:53.828</v>
      </c>
      <c r="C41" s="20">
        <f t="shared" si="3"/>
        <v>1.7129641491919756E-6</v>
      </c>
    </row>
    <row r="42" spans="1:3" x14ac:dyDescent="0.3">
      <c r="A42" t="s">
        <v>234</v>
      </c>
      <c r="B42" s="20" t="str">
        <f t="shared" si="2"/>
        <v>2017/03/01 16:33:53.912</v>
      </c>
      <c r="C42" s="20">
        <f t="shared" si="3"/>
        <v>9.7222073236480355E-7</v>
      </c>
    </row>
    <row r="43" spans="1:3" x14ac:dyDescent="0.3">
      <c r="A43" t="s">
        <v>235</v>
      </c>
      <c r="B43" s="20" t="str">
        <f t="shared" si="2"/>
        <v>2017/03/01 17:25:14.718</v>
      </c>
      <c r="C43" s="20">
        <f t="shared" si="3"/>
        <v>3.5657476852065884E-2</v>
      </c>
    </row>
    <row r="44" spans="1:3" x14ac:dyDescent="0.3">
      <c r="A44" t="s">
        <v>236</v>
      </c>
      <c r="B44" s="20" t="str">
        <f t="shared" si="2"/>
        <v>2017/03/01 17:25:14.865</v>
      </c>
      <c r="C44" s="20">
        <f t="shared" si="3"/>
        <v>1.7013881006278098E-6</v>
      </c>
    </row>
    <row r="45" spans="1:3" x14ac:dyDescent="0.3">
      <c r="A45" t="s">
        <v>237</v>
      </c>
      <c r="B45" s="20" t="str">
        <f t="shared" si="2"/>
        <v>2017/03/01 17:25:14.945</v>
      </c>
      <c r="C45" s="20">
        <f t="shared" si="3"/>
        <v>9.2592381406575441E-7</v>
      </c>
    </row>
    <row r="46" spans="1:3" x14ac:dyDescent="0.3">
      <c r="A46" t="s">
        <v>238</v>
      </c>
      <c r="B46" s="20" t="str">
        <f t="shared" si="2"/>
        <v>2017/03/01 17:51:17.905</v>
      </c>
      <c r="C46" s="20">
        <f t="shared" si="3"/>
        <v>1.8089814817358274E-2</v>
      </c>
    </row>
    <row r="47" spans="1:3" x14ac:dyDescent="0.3">
      <c r="A47" t="s">
        <v>239</v>
      </c>
      <c r="B47" s="20" t="str">
        <f t="shared" si="2"/>
        <v>2017/03/01 17:51:18.582</v>
      </c>
      <c r="C47" s="20">
        <f t="shared" si="3"/>
        <v>7.8356461017392576E-6</v>
      </c>
    </row>
    <row r="48" spans="1:3" x14ac:dyDescent="0.3">
      <c r="A48" t="s">
        <v>240</v>
      </c>
      <c r="B48" s="20" t="str">
        <f t="shared" si="2"/>
        <v>2017/03/01 17:53:38.687</v>
      </c>
      <c r="C48" s="20">
        <f t="shared" si="3"/>
        <v>1.6215856521739624E-3</v>
      </c>
    </row>
    <row r="49" spans="1:3" x14ac:dyDescent="0.3">
      <c r="A49" t="s">
        <v>241</v>
      </c>
      <c r="B49" s="20" t="str">
        <f t="shared" si="2"/>
        <v>2017/03/01 17:53:38.949</v>
      </c>
      <c r="C49" s="20">
        <f t="shared" si="3"/>
        <v>3.0324081308208406E-6</v>
      </c>
    </row>
    <row r="50" spans="1:3" x14ac:dyDescent="0.3">
      <c r="A50" t="s">
        <v>242</v>
      </c>
      <c r="B50" s="20" t="str">
        <f>MID(A50,6,23)</f>
        <v>2017/03/01 17:54:21.586</v>
      </c>
      <c r="C50" s="20">
        <f>ABS(B50-B49)</f>
        <v>4.934837925247848E-4</v>
      </c>
    </row>
    <row r="51" spans="1:3" x14ac:dyDescent="0.3">
      <c r="A51" t="s">
        <v>243</v>
      </c>
      <c r="B51" s="20" t="str">
        <f>MID(A51,6,23)</f>
        <v>2017/03/01 17:54:21.919</v>
      </c>
      <c r="C51" s="20">
        <f>ABS(B51-B50)</f>
        <v>3.8541693356819451E-6</v>
      </c>
    </row>
    <row r="52" spans="1:3" x14ac:dyDescent="0.3">
      <c r="A52" t="s">
        <v>244</v>
      </c>
      <c r="B52" s="20" t="str">
        <f>MID(A52,6,23)</f>
        <v>2017/03/01 17:55:16.336</v>
      </c>
      <c r="C52" s="20">
        <f>ABS(B52-B51)</f>
        <v>6.2982638337416574E-4</v>
      </c>
    </row>
    <row r="53" spans="1:3" x14ac:dyDescent="0.3">
      <c r="A53" t="s">
        <v>245</v>
      </c>
      <c r="B53" s="20" t="str">
        <f>MID(A53,6,23)</f>
        <v>2017/03/01 17:55:16.384</v>
      </c>
      <c r="C53" s="20">
        <f>ABS(B53-B52)</f>
        <v>5.5555574363097548E-7</v>
      </c>
    </row>
    <row r="54" spans="1:3" x14ac:dyDescent="0.3">
      <c r="A54" t="s">
        <v>246</v>
      </c>
      <c r="B54" s="20" t="str">
        <f>MID(A54,6,23)</f>
        <v>2017/03/01 17:55:16.839</v>
      </c>
      <c r="C54" s="20">
        <f>ABS(B54-B53)</f>
        <v>5.2662071539089084E-6</v>
      </c>
    </row>
    <row r="55" spans="1:3" x14ac:dyDescent="0.3">
      <c r="A55" t="s">
        <v>247</v>
      </c>
      <c r="B55" s="20" t="str">
        <f t="shared" ref="B55:B62" si="4">MID(A55,6,23)</f>
        <v>2017/03/01 18:13:47.810</v>
      </c>
      <c r="C55" s="20">
        <f t="shared" ref="C55:C62" si="5">ABS(B55-B54)</f>
        <v>1.2858460650022607E-2</v>
      </c>
    </row>
    <row r="56" spans="1:3" x14ac:dyDescent="0.3">
      <c r="A56" t="s">
        <v>248</v>
      </c>
      <c r="B56" s="20" t="str">
        <f t="shared" si="4"/>
        <v>2017/03/01 18:13:48.426</v>
      </c>
      <c r="C56" s="20">
        <f t="shared" si="5"/>
        <v>7.129630830604583E-6</v>
      </c>
    </row>
    <row r="57" spans="1:3" x14ac:dyDescent="0.3">
      <c r="A57" t="s">
        <v>249</v>
      </c>
      <c r="B57" s="20" t="str">
        <f t="shared" si="4"/>
        <v>2017/03/01 18:34:18.681</v>
      </c>
      <c r="C57" s="20">
        <f t="shared" si="5"/>
        <v>1.4239062496926636E-2</v>
      </c>
    </row>
    <row r="58" spans="1:3" x14ac:dyDescent="0.3">
      <c r="A58" t="s">
        <v>250</v>
      </c>
      <c r="B58" s="20" t="str">
        <f t="shared" si="4"/>
        <v>2017/03/01 18:34:18.834</v>
      </c>
      <c r="C58" s="20">
        <f t="shared" si="5"/>
        <v>1.7708298400975764E-6</v>
      </c>
    </row>
    <row r="59" spans="1:3" x14ac:dyDescent="0.3">
      <c r="A59" t="s">
        <v>251</v>
      </c>
      <c r="B59" s="20" t="str">
        <f t="shared" si="4"/>
        <v>2017/03/01 18:34:18.908</v>
      </c>
      <c r="C59" s="20">
        <f t="shared" si="5"/>
        <v>8.564820745959878E-7</v>
      </c>
    </row>
    <row r="60" spans="1:3" x14ac:dyDescent="0.3">
      <c r="A60" t="s">
        <v>252</v>
      </c>
      <c r="B60" s="20" t="str">
        <f t="shared" si="4"/>
        <v>2017/03/01 20:06:08.810</v>
      </c>
      <c r="C60" s="20">
        <f t="shared" si="5"/>
        <v>6.3772013891139068E-2</v>
      </c>
    </row>
    <row r="61" spans="1:3" x14ac:dyDescent="0.3">
      <c r="A61" t="s">
        <v>253</v>
      </c>
      <c r="B61" s="20" t="str">
        <f t="shared" si="4"/>
        <v>2017/03/01 20:06:09.082</v>
      </c>
      <c r="C61" s="20">
        <f t="shared" si="5"/>
        <v>3.1481467885896564E-6</v>
      </c>
    </row>
    <row r="62" spans="1:3" x14ac:dyDescent="0.3">
      <c r="A62" t="s">
        <v>254</v>
      </c>
      <c r="B62" s="20" t="str">
        <f t="shared" si="4"/>
        <v>2017/03/01 20:06:09.424</v>
      </c>
      <c r="C62" s="20">
        <f t="shared" si="5"/>
        <v>3.958331944886595E-6</v>
      </c>
    </row>
    <row r="63" spans="1:3" x14ac:dyDescent="0.3">
      <c r="A63" t="s">
        <v>255</v>
      </c>
      <c r="B63" s="20" t="str">
        <f t="shared" ref="B63:B86" si="6">MID(A63,6,23)</f>
        <v>2017/03/01 20:29:46.035</v>
      </c>
      <c r="C63" s="20">
        <f t="shared" ref="C63:C86" si="7">ABS(B63-B62)</f>
        <v>1.6395960650697816E-2</v>
      </c>
    </row>
    <row r="64" spans="1:3" x14ac:dyDescent="0.3">
      <c r="A64" t="s">
        <v>256</v>
      </c>
      <c r="B64" s="20" t="str">
        <f t="shared" si="6"/>
        <v>2017/03/01 20:29:46.150</v>
      </c>
      <c r="C64" s="20">
        <f t="shared" si="7"/>
        <v>1.3310200301930308E-6</v>
      </c>
    </row>
    <row r="65" spans="1:3" x14ac:dyDescent="0.3">
      <c r="A65" t="s">
        <v>257</v>
      </c>
      <c r="B65" s="20" t="str">
        <f t="shared" si="6"/>
        <v>2017/03/01 20:29:46.410</v>
      </c>
      <c r="C65" s="20">
        <f t="shared" si="7"/>
        <v>3.0092560336925089E-6</v>
      </c>
    </row>
    <row r="66" spans="1:3" x14ac:dyDescent="0.3">
      <c r="A66" t="s">
        <v>258</v>
      </c>
      <c r="B66" s="20" t="str">
        <f t="shared" si="6"/>
        <v>2017/03/01 20:32:47.271</v>
      </c>
      <c r="C66" s="20">
        <f t="shared" si="7"/>
        <v>2.0932986153638922E-3</v>
      </c>
    </row>
    <row r="67" spans="1:3" x14ac:dyDescent="0.3">
      <c r="A67" t="s">
        <v>259</v>
      </c>
      <c r="B67" s="20" t="str">
        <f t="shared" si="6"/>
        <v>2017/03/01 20:32:47.465</v>
      </c>
      <c r="C67" s="20">
        <f t="shared" si="7"/>
        <v>2.2453677956946194E-6</v>
      </c>
    </row>
    <row r="68" spans="1:3" x14ac:dyDescent="0.3">
      <c r="A68" t="s">
        <v>260</v>
      </c>
      <c r="B68" s="20" t="str">
        <f t="shared" si="6"/>
        <v>2017/03/01 20:32:47.590</v>
      </c>
      <c r="C68" s="20">
        <f t="shared" si="7"/>
        <v>1.4467586879618466E-6</v>
      </c>
    </row>
    <row r="69" spans="1:3" x14ac:dyDescent="0.3">
      <c r="A69" t="s">
        <v>261</v>
      </c>
      <c r="B69" s="20" t="str">
        <f t="shared" si="6"/>
        <v>2017/03/01 21:35:07.687</v>
      </c>
      <c r="C69" s="20">
        <f t="shared" si="7"/>
        <v>4.3288159722578712E-2</v>
      </c>
    </row>
    <row r="70" spans="1:3" x14ac:dyDescent="0.3">
      <c r="A70" t="s">
        <v>262</v>
      </c>
      <c r="B70" s="20" t="str">
        <f t="shared" si="6"/>
        <v>2017/03/01 22:09:49.455</v>
      </c>
      <c r="C70" s="20">
        <f t="shared" si="7"/>
        <v>2.4094537038763519E-2</v>
      </c>
    </row>
    <row r="71" spans="1:3" x14ac:dyDescent="0.3">
      <c r="A71" t="s">
        <v>263</v>
      </c>
      <c r="B71" s="20" t="str">
        <f t="shared" si="6"/>
        <v>2017/03/01 22:09:49.531</v>
      </c>
      <c r="C71" s="20">
        <f t="shared" si="7"/>
        <v>8.7962689576670527E-7</v>
      </c>
    </row>
    <row r="72" spans="1:3" x14ac:dyDescent="0.3">
      <c r="A72" t="s">
        <v>264</v>
      </c>
      <c r="B72" s="20" t="str">
        <f t="shared" si="6"/>
        <v>2017/03/01 22:09:49.600</v>
      </c>
      <c r="C72" s="20">
        <f t="shared" si="7"/>
        <v>7.9860910773277283E-7</v>
      </c>
    </row>
    <row r="73" spans="1:3" x14ac:dyDescent="0.3">
      <c r="A73" t="s">
        <v>265</v>
      </c>
      <c r="B73" s="20" t="str">
        <f t="shared" si="6"/>
        <v>2017/03/01 22:19:03.040</v>
      </c>
      <c r="C73" s="20">
        <f t="shared" si="7"/>
        <v>6.4055555558297783E-3</v>
      </c>
    </row>
    <row r="74" spans="1:3" x14ac:dyDescent="0.3">
      <c r="A74" t="s">
        <v>266</v>
      </c>
      <c r="B74" s="20" t="str">
        <f t="shared" si="6"/>
        <v>2017/03/01 22:19:03.803</v>
      </c>
      <c r="C74" s="20">
        <f t="shared" si="7"/>
        <v>8.8310189312323928E-6</v>
      </c>
    </row>
    <row r="75" spans="1:3" x14ac:dyDescent="0.3">
      <c r="A75" t="s">
        <v>267</v>
      </c>
      <c r="B75" s="20" t="str">
        <f t="shared" si="6"/>
        <v>2017/03/01 22:19:04.887</v>
      </c>
      <c r="C75" s="20">
        <f t="shared" si="7"/>
        <v>1.254629751201719E-5</v>
      </c>
    </row>
    <row r="76" spans="1:3" x14ac:dyDescent="0.3">
      <c r="A76" t="s">
        <v>268</v>
      </c>
      <c r="B76" s="20" t="str">
        <f t="shared" si="6"/>
        <v>2017/03/01 22:37:58.313</v>
      </c>
      <c r="C76" s="20">
        <f t="shared" si="7"/>
        <v>1.311835648084525E-2</v>
      </c>
    </row>
    <row r="77" spans="1:3" x14ac:dyDescent="0.3">
      <c r="A77" t="s">
        <v>269</v>
      </c>
      <c r="B77" s="20" t="str">
        <f t="shared" si="6"/>
        <v>2017/03/01 22:37:58.800</v>
      </c>
      <c r="C77" s="20">
        <f t="shared" si="7"/>
        <v>5.6365752243436873E-6</v>
      </c>
    </row>
    <row r="78" spans="1:3" x14ac:dyDescent="0.3">
      <c r="A78" t="s">
        <v>270</v>
      </c>
      <c r="B78" s="20" t="str">
        <f t="shared" si="6"/>
        <v>2017/03/01 22:37:58.968</v>
      </c>
      <c r="C78" s="20">
        <f t="shared" si="7"/>
        <v>1.9444487406872213E-6</v>
      </c>
    </row>
    <row r="79" spans="1:3" x14ac:dyDescent="0.3">
      <c r="A79" t="s">
        <v>271</v>
      </c>
      <c r="B79" s="20" t="str">
        <f t="shared" si="6"/>
        <v>2017/03/01 22:51:54.858</v>
      </c>
      <c r="C79" s="20">
        <f t="shared" si="7"/>
        <v>9.6746527779032476E-3</v>
      </c>
    </row>
    <row r="80" spans="1:3" x14ac:dyDescent="0.3">
      <c r="A80" t="s">
        <v>272</v>
      </c>
      <c r="B80" s="20" t="str">
        <f t="shared" si="6"/>
        <v>2017/03/01 22:53:19.418</v>
      </c>
      <c r="C80" s="20">
        <f t="shared" si="7"/>
        <v>9.7870369791053236E-4</v>
      </c>
    </row>
    <row r="81" spans="1:3" x14ac:dyDescent="0.3">
      <c r="A81" t="s">
        <v>273</v>
      </c>
      <c r="B81" s="20" t="str">
        <f t="shared" si="6"/>
        <v>2017/03/01 22:53:19.708</v>
      </c>
      <c r="C81" s="20">
        <f t="shared" si="7"/>
        <v>3.3564865589141846E-6</v>
      </c>
    </row>
    <row r="82" spans="1:3" x14ac:dyDescent="0.3">
      <c r="A82" t="s">
        <v>274</v>
      </c>
      <c r="B82" s="20" t="str">
        <f t="shared" si="6"/>
        <v>2017/03/01 23:26:03.802</v>
      </c>
      <c r="C82" s="20">
        <f t="shared" si="7"/>
        <v>2.2732569443178363E-2</v>
      </c>
    </row>
    <row r="83" spans="1:3" x14ac:dyDescent="0.3">
      <c r="A83" t="s">
        <v>275</v>
      </c>
      <c r="B83" s="20" t="str">
        <f t="shared" si="6"/>
        <v>2017/03/01 23:26:03.967</v>
      </c>
      <c r="C83" s="20">
        <f t="shared" si="7"/>
        <v>1.9097205949947238E-6</v>
      </c>
    </row>
    <row r="84" spans="1:3" x14ac:dyDescent="0.3">
      <c r="A84" t="s">
        <v>276</v>
      </c>
      <c r="B84" s="20" t="str">
        <f t="shared" si="6"/>
        <v>2017/03/01 23:26:04.314</v>
      </c>
      <c r="C84" s="20">
        <f t="shared" si="7"/>
        <v>4.01620491174981E-6</v>
      </c>
    </row>
    <row r="85" spans="1:3" x14ac:dyDescent="0.3">
      <c r="A85" t="s">
        <v>277</v>
      </c>
      <c r="B85" s="20" t="str">
        <f t="shared" si="6"/>
        <v>2017/03/01 23:34:24.829</v>
      </c>
      <c r="C85" s="20">
        <f t="shared" si="7"/>
        <v>5.7929976828745566E-3</v>
      </c>
    </row>
    <row r="86" spans="1:3" x14ac:dyDescent="0.3">
      <c r="A86" t="s">
        <v>278</v>
      </c>
      <c r="B86" s="20" t="str">
        <f t="shared" si="6"/>
        <v>2017/03/01 23:34:24.908</v>
      </c>
      <c r="C86" s="20">
        <f t="shared" si="7"/>
        <v>9.1435504145920277E-7</v>
      </c>
    </row>
    <row r="87" spans="1:3" x14ac:dyDescent="0.3">
      <c r="A87" t="s">
        <v>279</v>
      </c>
      <c r="B87" s="20" t="str">
        <f t="shared" ref="B87:B92" si="8">MID(A87,6,23)</f>
        <v>2017/03/01 23:52:09.789</v>
      </c>
      <c r="C87" s="20">
        <f t="shared" ref="C87:C92" si="9">ABS(B87-B86)</f>
        <v>1.2325011572102085E-2</v>
      </c>
    </row>
    <row r="88" spans="1:3" x14ac:dyDescent="0.3">
      <c r="A88" t="s">
        <v>280</v>
      </c>
      <c r="B88" s="20" t="str">
        <f t="shared" si="8"/>
        <v>2017/03/01 23:52:10.049</v>
      </c>
      <c r="C88" s="20">
        <f t="shared" si="9"/>
        <v>3.0092560336925089E-6</v>
      </c>
    </row>
    <row r="89" spans="1:3" x14ac:dyDescent="0.3">
      <c r="A89" t="s">
        <v>281</v>
      </c>
      <c r="B89" s="20" t="str">
        <f t="shared" si="8"/>
        <v>2017/03/02 00:26:52.318</v>
      </c>
      <c r="C89" s="20">
        <f t="shared" si="9"/>
        <v>2.4100335649563931E-2</v>
      </c>
    </row>
    <row r="90" spans="1:3" x14ac:dyDescent="0.3">
      <c r="A90" t="s">
        <v>282</v>
      </c>
      <c r="B90" s="20" t="str">
        <f t="shared" si="8"/>
        <v>2017/03/02 00:26:52.805</v>
      </c>
      <c r="C90" s="20">
        <f t="shared" si="9"/>
        <v>5.6365752243436873E-6</v>
      </c>
    </row>
    <row r="91" spans="1:3" x14ac:dyDescent="0.3">
      <c r="A91" t="s">
        <v>283</v>
      </c>
      <c r="B91" s="20" t="str">
        <f t="shared" si="8"/>
        <v>2017/03/02 00:26:52.971</v>
      </c>
      <c r="C91" s="20">
        <f t="shared" si="9"/>
        <v>1.9212966435588896E-6</v>
      </c>
    </row>
    <row r="92" spans="1:3" x14ac:dyDescent="0.3">
      <c r="A92" t="s">
        <v>284</v>
      </c>
      <c r="B92" s="20" t="str">
        <f t="shared" si="8"/>
        <v>2017/03/02 00:52:34.904</v>
      </c>
      <c r="C92" s="20">
        <f t="shared" si="9"/>
        <v>1.7846446760813706E-2</v>
      </c>
    </row>
    <row r="93" spans="1:3" x14ac:dyDescent="0.3">
      <c r="A93" t="s">
        <v>285</v>
      </c>
      <c r="B93" s="20" t="str">
        <f t="shared" ref="B93:B130" si="10">MID(A93,6,23)</f>
        <v>2017/03/02 00:52:36.808</v>
      </c>
      <c r="C93" s="20">
        <f t="shared" ref="C93:C130" si="11">ABS(B93-B92)</f>
        <v>2.2037034796085209E-5</v>
      </c>
    </row>
    <row r="94" spans="1:3" x14ac:dyDescent="0.3">
      <c r="A94" t="s">
        <v>286</v>
      </c>
      <c r="B94" s="20" t="str">
        <f t="shared" si="10"/>
        <v>2017/03/02 00:52:36.956</v>
      </c>
      <c r="C94" s="20">
        <f t="shared" si="11"/>
        <v>1.7129641491919756E-6</v>
      </c>
    </row>
    <row r="95" spans="1:3" x14ac:dyDescent="0.3">
      <c r="A95" t="s">
        <v>287</v>
      </c>
      <c r="B95" s="20" t="str">
        <f t="shared" si="10"/>
        <v>2017/03/02 01:13:02.814</v>
      </c>
      <c r="C95" s="20">
        <f t="shared" si="11"/>
        <v>1.418817129888339E-2</v>
      </c>
    </row>
    <row r="96" spans="1:3" x14ac:dyDescent="0.3">
      <c r="A96" t="s">
        <v>288</v>
      </c>
      <c r="B96" s="20" t="str">
        <f t="shared" si="10"/>
        <v>2017/03/02 01:13:03.323</v>
      </c>
      <c r="C96" s="20">
        <f t="shared" si="11"/>
        <v>5.8912046370096505E-6</v>
      </c>
    </row>
    <row r="97" spans="1:3" x14ac:dyDescent="0.3">
      <c r="A97" t="s">
        <v>289</v>
      </c>
      <c r="B97" s="20" t="str">
        <f t="shared" si="10"/>
        <v>2017/03/02 01:13:03.347</v>
      </c>
      <c r="C97" s="20">
        <f t="shared" si="11"/>
        <v>2.7777423383668065E-7</v>
      </c>
    </row>
    <row r="98" spans="1:3" x14ac:dyDescent="0.3">
      <c r="A98" t="s">
        <v>290</v>
      </c>
      <c r="B98" s="20" t="str">
        <f t="shared" si="10"/>
        <v>2017/03/02 01:13:03.980</v>
      </c>
      <c r="C98" s="20">
        <f t="shared" si="11"/>
        <v>7.3263872764073312E-6</v>
      </c>
    </row>
    <row r="99" spans="1:3" x14ac:dyDescent="0.3">
      <c r="A99" t="s">
        <v>291</v>
      </c>
      <c r="B99" s="20" t="str">
        <f t="shared" si="10"/>
        <v>2017/03/02 01:13:37.804</v>
      </c>
      <c r="C99" s="20">
        <f t="shared" si="11"/>
        <v>3.9148148061940446E-4</v>
      </c>
    </row>
    <row r="100" spans="1:3" x14ac:dyDescent="0.3">
      <c r="A100" t="s">
        <v>292</v>
      </c>
      <c r="B100" s="20" t="str">
        <f t="shared" si="10"/>
        <v>2017/03/02 01:13:38.315</v>
      </c>
      <c r="C100" s="20">
        <f t="shared" si="11"/>
        <v>5.9143567341379821E-6</v>
      </c>
    </row>
    <row r="101" spans="1:3" x14ac:dyDescent="0.3">
      <c r="A101" t="s">
        <v>293</v>
      </c>
      <c r="B101" s="20" t="str">
        <f t="shared" si="10"/>
        <v>2017/03/02 01:13:38.969</v>
      </c>
      <c r="C101" s="20">
        <f t="shared" si="11"/>
        <v>7.5694406405091286E-6</v>
      </c>
    </row>
    <row r="102" spans="1:3" x14ac:dyDescent="0.3">
      <c r="A102" t="s">
        <v>294</v>
      </c>
      <c r="B102" s="20" t="str">
        <f t="shared" si="10"/>
        <v>2017/03/02 01:14:07.802</v>
      </c>
      <c r="C102" s="20">
        <f t="shared" si="11"/>
        <v>3.3371528115822002E-4</v>
      </c>
    </row>
    <row r="103" spans="1:3" x14ac:dyDescent="0.3">
      <c r="A103" t="s">
        <v>295</v>
      </c>
      <c r="B103" s="20" t="str">
        <f t="shared" si="10"/>
        <v>2017/03/02 01:14:08.317</v>
      </c>
      <c r="C103" s="20">
        <f t="shared" si="11"/>
        <v>5.9606463764794171E-6</v>
      </c>
    </row>
    <row r="104" spans="1:3" x14ac:dyDescent="0.3">
      <c r="A104" t="s">
        <v>296</v>
      </c>
      <c r="B104" s="20" t="str">
        <f t="shared" si="10"/>
        <v>2017/03/02 01:14:08.969</v>
      </c>
      <c r="C104" s="20">
        <f t="shared" si="11"/>
        <v>7.5462958193384111E-6</v>
      </c>
    </row>
    <row r="105" spans="1:3" x14ac:dyDescent="0.3">
      <c r="A105" t="s">
        <v>297</v>
      </c>
      <c r="B105" s="20" t="str">
        <f t="shared" si="10"/>
        <v>2017/03/02 01:31:00.809</v>
      </c>
      <c r="C105" s="20">
        <f t="shared" si="11"/>
        <v>1.1711111110344063E-2</v>
      </c>
    </row>
    <row r="106" spans="1:3" x14ac:dyDescent="0.3">
      <c r="A106" t="s">
        <v>298</v>
      </c>
      <c r="B106" s="20" t="str">
        <f t="shared" si="10"/>
        <v>2017/03/02 01:31:01.318</v>
      </c>
      <c r="C106" s="20">
        <f t="shared" si="11"/>
        <v>5.8912046370096505E-6</v>
      </c>
    </row>
    <row r="107" spans="1:3" x14ac:dyDescent="0.3">
      <c r="A107" t="s">
        <v>299</v>
      </c>
      <c r="B107" s="20" t="str">
        <f t="shared" si="10"/>
        <v>2017/03/02 01:31:01.972</v>
      </c>
      <c r="C107" s="20">
        <f t="shared" si="11"/>
        <v>7.5694479164667428E-6</v>
      </c>
    </row>
    <row r="108" spans="1:3" x14ac:dyDescent="0.3">
      <c r="A108" t="s">
        <v>300</v>
      </c>
      <c r="B108" s="20" t="str">
        <f t="shared" si="10"/>
        <v>2017/03/02 01:39:27.534</v>
      </c>
      <c r="C108" s="20">
        <f t="shared" si="11"/>
        <v>5.8514120319159701E-3</v>
      </c>
    </row>
    <row r="109" spans="1:3" x14ac:dyDescent="0.3">
      <c r="A109" t="s">
        <v>301</v>
      </c>
      <c r="B109" s="20" t="str">
        <f t="shared" si="10"/>
        <v>2017/03/02 01:39:27.595</v>
      </c>
      <c r="C109" s="20">
        <f t="shared" si="11"/>
        <v>7.0602254709228873E-7</v>
      </c>
    </row>
    <row r="110" spans="1:3" x14ac:dyDescent="0.3">
      <c r="A110" t="s">
        <v>302</v>
      </c>
      <c r="B110" s="20" t="str">
        <f t="shared" si="10"/>
        <v>2017/03/02 01:39:28.452</v>
      </c>
      <c r="C110" s="20">
        <f t="shared" si="11"/>
        <v>9.9189783213660121E-6</v>
      </c>
    </row>
    <row r="111" spans="1:3" x14ac:dyDescent="0.3">
      <c r="A111" t="s">
        <v>303</v>
      </c>
      <c r="B111" s="20" t="str">
        <f t="shared" si="10"/>
        <v>2017/03/02 02:43:47.743</v>
      </c>
      <c r="C111" s="20">
        <f t="shared" si="11"/>
        <v>4.4667719907010905E-2</v>
      </c>
    </row>
    <row r="112" spans="1:3" x14ac:dyDescent="0.3">
      <c r="A112" t="s">
        <v>304</v>
      </c>
      <c r="B112" s="20" t="str">
        <f t="shared" si="10"/>
        <v>2017/03/02 02:43:47.814</v>
      </c>
      <c r="C112" s="20">
        <f t="shared" si="11"/>
        <v>8.2176120486110449E-7</v>
      </c>
    </row>
    <row r="113" spans="1:3" x14ac:dyDescent="0.3">
      <c r="A113" t="s">
        <v>305</v>
      </c>
      <c r="B113" s="20" t="str">
        <f t="shared" si="10"/>
        <v>2017/03/02 02:43:48.041</v>
      </c>
      <c r="C113" s="20">
        <f t="shared" si="11"/>
        <v>2.6273119146935642E-6</v>
      </c>
    </row>
    <row r="114" spans="1:3" x14ac:dyDescent="0.3">
      <c r="A114" t="s">
        <v>306</v>
      </c>
      <c r="B114" s="20" t="str">
        <f t="shared" si="10"/>
        <v>2017/03/02 02:52:28.590</v>
      </c>
      <c r="C114" s="20">
        <f t="shared" si="11"/>
        <v>6.0248726877034642E-3</v>
      </c>
    </row>
    <row r="115" spans="1:3" x14ac:dyDescent="0.3">
      <c r="A115" t="s">
        <v>307</v>
      </c>
      <c r="B115" s="20" t="str">
        <f t="shared" si="10"/>
        <v>2017/03/02 02:52:28.905</v>
      </c>
      <c r="C115" s="20">
        <f t="shared" si="11"/>
        <v>3.6458295653574169E-6</v>
      </c>
    </row>
    <row r="116" spans="1:3" x14ac:dyDescent="0.3">
      <c r="A116" t="s">
        <v>308</v>
      </c>
      <c r="B116" s="20" t="str">
        <f t="shared" si="10"/>
        <v>2017/03/02 03:40:42.468</v>
      </c>
      <c r="C116" s="20">
        <f t="shared" si="11"/>
        <v>3.349031250400003E-2</v>
      </c>
    </row>
    <row r="117" spans="1:3" x14ac:dyDescent="0.3">
      <c r="A117" t="s">
        <v>309</v>
      </c>
      <c r="B117" s="20" t="str">
        <f t="shared" si="10"/>
        <v>2017/03/02 03:40:42.542</v>
      </c>
      <c r="C117" s="20">
        <f t="shared" si="11"/>
        <v>8.564820745959878E-7</v>
      </c>
    </row>
    <row r="118" spans="1:3" x14ac:dyDescent="0.3">
      <c r="A118" t="s">
        <v>310</v>
      </c>
      <c r="B118" s="20" t="str">
        <f t="shared" si="10"/>
        <v>2017/03/02 03:45:24.882</v>
      </c>
      <c r="C118" s="20">
        <f t="shared" si="11"/>
        <v>3.2678240750101395E-3</v>
      </c>
    </row>
    <row r="119" spans="1:3" x14ac:dyDescent="0.3">
      <c r="A119" t="s">
        <v>311</v>
      </c>
      <c r="B119" s="20" t="str">
        <f t="shared" si="10"/>
        <v>2017/03/02 03:45:25.384</v>
      </c>
      <c r="C119" s="20">
        <f t="shared" si="11"/>
        <v>5.8101795730181038E-6</v>
      </c>
    </row>
    <row r="120" spans="1:3" x14ac:dyDescent="0.3">
      <c r="A120" t="s">
        <v>312</v>
      </c>
      <c r="B120" s="20" t="str">
        <f t="shared" si="10"/>
        <v>2017/03/02 04:14:22.074</v>
      </c>
      <c r="C120" s="20">
        <f t="shared" si="11"/>
        <v>2.0100578709389083E-2</v>
      </c>
    </row>
    <row r="121" spans="1:3" x14ac:dyDescent="0.3">
      <c r="A121" t="s">
        <v>313</v>
      </c>
      <c r="B121" s="20" t="str">
        <f t="shared" si="10"/>
        <v>2017/03/02 04:14:22.756</v>
      </c>
      <c r="C121" s="20">
        <f t="shared" si="11"/>
        <v>7.8935190686024725E-6</v>
      </c>
    </row>
    <row r="122" spans="1:3" x14ac:dyDescent="0.3">
      <c r="A122" t="s">
        <v>314</v>
      </c>
      <c r="B122" s="20" t="str">
        <f t="shared" si="10"/>
        <v>2017/03/02 04:14:22.850</v>
      </c>
      <c r="C122" s="20">
        <f t="shared" si="11"/>
        <v>1.0879593901336193E-6</v>
      </c>
    </row>
    <row r="123" spans="1:3" x14ac:dyDescent="0.3">
      <c r="A123" t="s">
        <v>315</v>
      </c>
      <c r="B123" s="20" t="str">
        <f t="shared" si="10"/>
        <v>2017/03/02 04:30:58.031</v>
      </c>
      <c r="C123" s="20">
        <f t="shared" si="11"/>
        <v>1.1518298611917999E-2</v>
      </c>
    </row>
    <row r="124" spans="1:3" x14ac:dyDescent="0.3">
      <c r="A124" t="s">
        <v>316</v>
      </c>
      <c r="B124" s="20" t="str">
        <f t="shared" si="10"/>
        <v>2017/03/02 04:35:10.680</v>
      </c>
      <c r="C124" s="20">
        <f t="shared" si="11"/>
        <v>2.9241782394819893E-3</v>
      </c>
    </row>
    <row r="125" spans="1:3" x14ac:dyDescent="0.3">
      <c r="A125" t="s">
        <v>317</v>
      </c>
      <c r="B125" s="20" t="str">
        <f t="shared" si="10"/>
        <v>2017/03/02 05:25:05.864</v>
      </c>
      <c r="C125" s="20">
        <f t="shared" si="11"/>
        <v>3.4666481486056E-2</v>
      </c>
    </row>
    <row r="126" spans="1:3" x14ac:dyDescent="0.3">
      <c r="A126" t="s">
        <v>318</v>
      </c>
      <c r="B126" s="20" t="str">
        <f t="shared" si="10"/>
        <v>2017/03/02 05:25:06.247</v>
      </c>
      <c r="C126" s="20">
        <f t="shared" si="11"/>
        <v>4.432869900483638E-6</v>
      </c>
    </row>
    <row r="127" spans="1:3" x14ac:dyDescent="0.3">
      <c r="A127" t="s">
        <v>319</v>
      </c>
      <c r="B127" s="20" t="str">
        <f t="shared" si="10"/>
        <v>2017/03/02 05:25:08.927</v>
      </c>
      <c r="C127" s="20">
        <f t="shared" si="11"/>
        <v>3.1018513254821301E-5</v>
      </c>
    </row>
    <row r="128" spans="1:3" x14ac:dyDescent="0.3">
      <c r="A128" t="s">
        <v>320</v>
      </c>
      <c r="B128" s="20" t="str">
        <f t="shared" si="10"/>
        <v>2017/03/02 06:06:40.258</v>
      </c>
      <c r="C128" s="20">
        <f t="shared" si="11"/>
        <v>2.8834849537815899E-2</v>
      </c>
    </row>
    <row r="129" spans="1:3" x14ac:dyDescent="0.3">
      <c r="A129" t="s">
        <v>321</v>
      </c>
      <c r="B129" s="20" t="str">
        <f t="shared" si="10"/>
        <v>2017/03/02 06:06:40.298</v>
      </c>
      <c r="C129" s="20">
        <f t="shared" si="11"/>
        <v>4.6296190703287721E-7</v>
      </c>
    </row>
    <row r="130" spans="1:3" x14ac:dyDescent="0.3">
      <c r="A130" t="s">
        <v>322</v>
      </c>
      <c r="B130" s="20" t="str">
        <f t="shared" si="10"/>
        <v>2017/03/02 06:06:40.629</v>
      </c>
      <c r="C130" s="20">
        <f t="shared" si="11"/>
        <v>3.8310245145112276E-6</v>
      </c>
    </row>
    <row r="131" spans="1:3" x14ac:dyDescent="0.3">
      <c r="B131" s="20"/>
      <c r="C131" s="20"/>
    </row>
    <row r="132" spans="1:3" x14ac:dyDescent="0.3">
      <c r="B132" s="20"/>
      <c r="C132" s="20"/>
    </row>
    <row r="133" spans="1:3" x14ac:dyDescent="0.3">
      <c r="B133" s="20"/>
      <c r="C133" s="20"/>
    </row>
    <row r="134" spans="1:3" x14ac:dyDescent="0.3">
      <c r="B134" s="20"/>
      <c r="C134" s="20"/>
    </row>
    <row r="135" spans="1:3" x14ac:dyDescent="0.3">
      <c r="B135" s="20"/>
      <c r="C135" s="20"/>
    </row>
    <row r="136" spans="1:3" x14ac:dyDescent="0.3">
      <c r="B136" s="20"/>
      <c r="C136" s="20"/>
    </row>
    <row r="137" spans="1:3" x14ac:dyDescent="0.3">
      <c r="B137" s="20"/>
      <c r="C137" s="20"/>
    </row>
    <row r="138" spans="1:3" x14ac:dyDescent="0.3">
      <c r="B138" s="20"/>
      <c r="C138" s="20"/>
    </row>
    <row r="139" spans="1:3" x14ac:dyDescent="0.3">
      <c r="B139" s="20"/>
      <c r="C139" s="20"/>
    </row>
    <row r="140" spans="1:3" x14ac:dyDescent="0.3">
      <c r="B140" s="20"/>
      <c r="C140" s="20"/>
    </row>
    <row r="141" spans="1:3" x14ac:dyDescent="0.3">
      <c r="B141" s="20"/>
      <c r="C141" s="20"/>
    </row>
    <row r="142" spans="1:3" x14ac:dyDescent="0.3">
      <c r="B142" s="20"/>
      <c r="C142" s="20"/>
    </row>
    <row r="143" spans="1:3" x14ac:dyDescent="0.3">
      <c r="B143" s="20"/>
      <c r="C143" s="20"/>
    </row>
    <row r="144" spans="1:3" x14ac:dyDescent="0.3">
      <c r="B144" s="20"/>
      <c r="C144" s="20"/>
    </row>
    <row r="145" spans="2:3" x14ac:dyDescent="0.3">
      <c r="B145" s="20"/>
      <c r="C145" s="20"/>
    </row>
    <row r="146" spans="2:3" x14ac:dyDescent="0.3">
      <c r="B146" s="20"/>
      <c r="C146" s="20"/>
    </row>
    <row r="147" spans="2:3" x14ac:dyDescent="0.3">
      <c r="B147" s="20"/>
      <c r="C147" s="20"/>
    </row>
    <row r="148" spans="2:3" x14ac:dyDescent="0.3">
      <c r="B148" s="20"/>
      <c r="C148" s="20"/>
    </row>
    <row r="149" spans="2:3" x14ac:dyDescent="0.3">
      <c r="B149" s="20"/>
      <c r="C149" s="20"/>
    </row>
    <row r="150" spans="2:3" x14ac:dyDescent="0.3">
      <c r="B150" s="20"/>
      <c r="C150" s="20"/>
    </row>
    <row r="151" spans="2:3" x14ac:dyDescent="0.3">
      <c r="B151" s="20"/>
      <c r="C151" s="20"/>
    </row>
    <row r="152" spans="2:3" x14ac:dyDescent="0.3">
      <c r="B152" s="20"/>
      <c r="C152" s="20"/>
    </row>
    <row r="153" spans="2:3" x14ac:dyDescent="0.3">
      <c r="B153" s="20"/>
      <c r="C153" s="20"/>
    </row>
    <row r="154" spans="2:3" x14ac:dyDescent="0.3">
      <c r="B154" s="20"/>
      <c r="C154" s="20"/>
    </row>
    <row r="155" spans="2:3" x14ac:dyDescent="0.3">
      <c r="B155" s="20"/>
      <c r="C155" s="20"/>
    </row>
    <row r="156" spans="2:3" x14ac:dyDescent="0.3">
      <c r="B156" s="20"/>
      <c r="C156" s="20"/>
    </row>
    <row r="157" spans="2:3" x14ac:dyDescent="0.3">
      <c r="B157" s="20"/>
      <c r="C157" s="20"/>
    </row>
    <row r="158" spans="2:3" x14ac:dyDescent="0.3">
      <c r="B158" s="20"/>
      <c r="C158" s="20"/>
    </row>
    <row r="159" spans="2:3" x14ac:dyDescent="0.3">
      <c r="B159" s="20"/>
      <c r="C159" s="20"/>
    </row>
    <row r="160" spans="2:3" x14ac:dyDescent="0.3">
      <c r="B160" s="20"/>
      <c r="C160" s="20"/>
    </row>
    <row r="161" spans="2:3" x14ac:dyDescent="0.3">
      <c r="B161" s="20"/>
      <c r="C161" s="20"/>
    </row>
    <row r="162" spans="2:3" x14ac:dyDescent="0.3">
      <c r="B162" s="20"/>
      <c r="C162" s="20"/>
    </row>
    <row r="163" spans="2:3" x14ac:dyDescent="0.3">
      <c r="B163" s="20"/>
      <c r="C163" s="20"/>
    </row>
    <row r="164" spans="2:3" x14ac:dyDescent="0.3">
      <c r="B164" s="20"/>
      <c r="C164" s="20"/>
    </row>
    <row r="165" spans="2:3" x14ac:dyDescent="0.3">
      <c r="B165" s="20"/>
      <c r="C165" s="20"/>
    </row>
    <row r="166" spans="2:3" x14ac:dyDescent="0.3">
      <c r="B166" s="20"/>
      <c r="C166" s="20"/>
    </row>
    <row r="167" spans="2:3" x14ac:dyDescent="0.3">
      <c r="B167" s="20"/>
      <c r="C167" s="20"/>
    </row>
    <row r="168" spans="2:3" x14ac:dyDescent="0.3">
      <c r="B168" s="20"/>
      <c r="C168" s="20"/>
    </row>
    <row r="169" spans="2:3" x14ac:dyDescent="0.3">
      <c r="B169" s="20"/>
      <c r="C169" s="20"/>
    </row>
    <row r="170" spans="2:3" x14ac:dyDescent="0.3">
      <c r="B170" s="20"/>
      <c r="C170" s="20"/>
    </row>
    <row r="171" spans="2:3" x14ac:dyDescent="0.3">
      <c r="B171" s="20"/>
      <c r="C171" s="20"/>
    </row>
    <row r="172" spans="2:3" x14ac:dyDescent="0.3">
      <c r="B172" s="20"/>
      <c r="C172" s="20"/>
    </row>
    <row r="173" spans="2:3" x14ac:dyDescent="0.3">
      <c r="B173" s="20"/>
      <c r="C173" s="20"/>
    </row>
    <row r="174" spans="2:3" x14ac:dyDescent="0.3">
      <c r="B174" s="20"/>
      <c r="C174" s="20"/>
    </row>
    <row r="175" spans="2:3" x14ac:dyDescent="0.3">
      <c r="B175" s="20"/>
      <c r="C175" s="20"/>
    </row>
    <row r="176" spans="2:3" x14ac:dyDescent="0.3">
      <c r="B176" s="20"/>
      <c r="C176" s="20"/>
    </row>
    <row r="177" spans="2:3" x14ac:dyDescent="0.3">
      <c r="B177" s="20"/>
      <c r="C177" s="20"/>
    </row>
    <row r="178" spans="2:3" x14ac:dyDescent="0.3">
      <c r="B178" s="20"/>
      <c r="C178" s="20"/>
    </row>
    <row r="179" spans="2:3" x14ac:dyDescent="0.3">
      <c r="B179" s="20"/>
      <c r="C179" s="20"/>
    </row>
    <row r="180" spans="2:3" x14ac:dyDescent="0.3">
      <c r="B180" s="20"/>
      <c r="C180" s="20"/>
    </row>
    <row r="181" spans="2:3" x14ac:dyDescent="0.3">
      <c r="B181" s="20"/>
      <c r="C181" s="20"/>
    </row>
    <row r="182" spans="2:3" x14ac:dyDescent="0.3">
      <c r="B182" s="20"/>
      <c r="C182" s="20"/>
    </row>
    <row r="183" spans="2:3" x14ac:dyDescent="0.3">
      <c r="B183" s="20"/>
      <c r="C183" s="20"/>
    </row>
    <row r="184" spans="2:3" x14ac:dyDescent="0.3">
      <c r="B184" s="20"/>
      <c r="C184" s="20"/>
    </row>
    <row r="185" spans="2:3" x14ac:dyDescent="0.3">
      <c r="B185" s="20"/>
      <c r="C185" s="20"/>
    </row>
    <row r="186" spans="2:3" x14ac:dyDescent="0.3">
      <c r="B186" s="20"/>
      <c r="C186" s="20"/>
    </row>
    <row r="187" spans="2:3" x14ac:dyDescent="0.3">
      <c r="B187" s="20"/>
      <c r="C187" s="20"/>
    </row>
    <row r="188" spans="2:3" x14ac:dyDescent="0.3">
      <c r="B188" s="20"/>
      <c r="C188" s="20"/>
    </row>
    <row r="189" spans="2:3" x14ac:dyDescent="0.3">
      <c r="B189" s="20"/>
      <c r="C189" s="20"/>
    </row>
    <row r="190" spans="2:3" x14ac:dyDescent="0.3">
      <c r="B190" s="20"/>
      <c r="C190" s="20"/>
    </row>
    <row r="191" spans="2:3" x14ac:dyDescent="0.3">
      <c r="B191" s="20"/>
      <c r="C191" s="20"/>
    </row>
    <row r="192" spans="2:3" x14ac:dyDescent="0.3">
      <c r="B192" s="20"/>
      <c r="C192" s="20"/>
    </row>
    <row r="193" spans="2:3" x14ac:dyDescent="0.3">
      <c r="B193" s="20"/>
      <c r="C193" s="20"/>
    </row>
    <row r="194" spans="2:3" x14ac:dyDescent="0.3">
      <c r="B194" s="20"/>
      <c r="C194" s="20"/>
    </row>
    <row r="195" spans="2:3" x14ac:dyDescent="0.3">
      <c r="B195" s="20"/>
      <c r="C195" s="20"/>
    </row>
    <row r="196" spans="2:3" x14ac:dyDescent="0.3">
      <c r="B196" s="20"/>
      <c r="C196" s="20"/>
    </row>
    <row r="197" spans="2:3" x14ac:dyDescent="0.3">
      <c r="B197" s="20"/>
      <c r="C197" s="20"/>
    </row>
    <row r="198" spans="2:3" x14ac:dyDescent="0.3">
      <c r="B198" s="20"/>
      <c r="C198" s="20"/>
    </row>
    <row r="199" spans="2:3" x14ac:dyDescent="0.3">
      <c r="B199" s="20"/>
      <c r="C199" s="20"/>
    </row>
    <row r="200" spans="2:3" x14ac:dyDescent="0.3">
      <c r="B200" s="20"/>
      <c r="C200" s="20"/>
    </row>
    <row r="201" spans="2:3" x14ac:dyDescent="0.3">
      <c r="B201" s="20"/>
      <c r="C201" s="20"/>
    </row>
    <row r="202" spans="2:3" x14ac:dyDescent="0.3">
      <c r="B202" s="20"/>
      <c r="C202" s="20"/>
    </row>
    <row r="203" spans="2:3" x14ac:dyDescent="0.3">
      <c r="B203" s="20"/>
      <c r="C203" s="20"/>
    </row>
    <row r="204" spans="2:3" x14ac:dyDescent="0.3">
      <c r="B204" s="20"/>
      <c r="C204" s="20"/>
    </row>
    <row r="205" spans="2:3" x14ac:dyDescent="0.3">
      <c r="B205" s="20"/>
      <c r="C205" s="20"/>
    </row>
    <row r="206" spans="2:3" x14ac:dyDescent="0.3">
      <c r="B206" s="20"/>
      <c r="C206" s="20"/>
    </row>
    <row r="207" spans="2:3" x14ac:dyDescent="0.3">
      <c r="B207" s="20"/>
      <c r="C207" s="20"/>
    </row>
    <row r="208" spans="2:3" x14ac:dyDescent="0.3">
      <c r="B208" s="20"/>
      <c r="C208" s="20"/>
    </row>
    <row r="209" spans="2:3" x14ac:dyDescent="0.3">
      <c r="B209" s="20"/>
      <c r="C209" s="20"/>
    </row>
    <row r="210" spans="2:3" x14ac:dyDescent="0.3">
      <c r="B210" s="20"/>
      <c r="C210" s="20"/>
    </row>
    <row r="211" spans="2:3" x14ac:dyDescent="0.3">
      <c r="B211" s="20"/>
      <c r="C211" s="20"/>
    </row>
    <row r="212" spans="2:3" x14ac:dyDescent="0.3">
      <c r="B212" s="20"/>
      <c r="C212" s="20"/>
    </row>
    <row r="213" spans="2:3" x14ac:dyDescent="0.3">
      <c r="B213" s="20"/>
      <c r="C213" s="20"/>
    </row>
    <row r="214" spans="2:3" x14ac:dyDescent="0.3">
      <c r="B214" s="20"/>
      <c r="C214" s="20"/>
    </row>
    <row r="215" spans="2:3" x14ac:dyDescent="0.3">
      <c r="B215" s="20"/>
      <c r="C215" s="20"/>
    </row>
    <row r="216" spans="2:3" x14ac:dyDescent="0.3">
      <c r="B216" s="20"/>
      <c r="C216" s="20"/>
    </row>
    <row r="217" spans="2:3" x14ac:dyDescent="0.3">
      <c r="B217" s="20"/>
      <c r="C217" s="20"/>
    </row>
    <row r="218" spans="2:3" x14ac:dyDescent="0.3">
      <c r="B218" s="20"/>
      <c r="C218" s="20"/>
    </row>
    <row r="219" spans="2:3" x14ac:dyDescent="0.3">
      <c r="B219" s="20"/>
      <c r="C219" s="20"/>
    </row>
    <row r="220" spans="2:3" x14ac:dyDescent="0.3">
      <c r="B220" s="20"/>
      <c r="C220" s="20"/>
    </row>
    <row r="221" spans="2:3" x14ac:dyDescent="0.3">
      <c r="B221" s="20"/>
      <c r="C221" s="20"/>
    </row>
    <row r="222" spans="2:3" x14ac:dyDescent="0.3">
      <c r="B222" s="20"/>
      <c r="C222" s="20"/>
    </row>
    <row r="223" spans="2:3" x14ac:dyDescent="0.3">
      <c r="B223" s="20"/>
      <c r="C223" s="20"/>
    </row>
    <row r="224" spans="2:3" x14ac:dyDescent="0.3">
      <c r="B224" s="20"/>
      <c r="C224" s="20"/>
    </row>
    <row r="225" spans="2:3" x14ac:dyDescent="0.3">
      <c r="B225" s="20"/>
      <c r="C225" s="20"/>
    </row>
    <row r="226" spans="2:3" x14ac:dyDescent="0.3">
      <c r="B226" s="20"/>
      <c r="C226" s="20"/>
    </row>
    <row r="227" spans="2:3" x14ac:dyDescent="0.3">
      <c r="B227" s="20"/>
      <c r="C227" s="20"/>
    </row>
    <row r="228" spans="2:3" x14ac:dyDescent="0.3">
      <c r="B228" s="20"/>
      <c r="C228" s="20"/>
    </row>
    <row r="229" spans="2:3" x14ac:dyDescent="0.3">
      <c r="B229" s="20"/>
      <c r="C229" s="20"/>
    </row>
    <row r="230" spans="2:3" x14ac:dyDescent="0.3">
      <c r="B230" s="20"/>
      <c r="C230" s="20"/>
    </row>
    <row r="231" spans="2:3" x14ac:dyDescent="0.3">
      <c r="B231" s="20"/>
      <c r="C231" s="20"/>
    </row>
    <row r="232" spans="2:3" x14ac:dyDescent="0.3">
      <c r="B232" s="20"/>
      <c r="C232" s="20"/>
    </row>
    <row r="233" spans="2:3" x14ac:dyDescent="0.3">
      <c r="B233" s="20"/>
      <c r="C233" s="20"/>
    </row>
    <row r="234" spans="2:3" x14ac:dyDescent="0.3">
      <c r="B234" s="20"/>
      <c r="C234" s="20"/>
    </row>
    <row r="235" spans="2:3" x14ac:dyDescent="0.3">
      <c r="B235" s="20"/>
      <c r="C235" s="20"/>
    </row>
    <row r="236" spans="2:3" x14ac:dyDescent="0.3">
      <c r="B236" s="20"/>
      <c r="C236" s="20"/>
    </row>
    <row r="237" spans="2:3" x14ac:dyDescent="0.3">
      <c r="B237" s="20"/>
      <c r="C237" s="20"/>
    </row>
    <row r="238" spans="2:3" x14ac:dyDescent="0.3">
      <c r="B238" s="20"/>
      <c r="C238" s="20"/>
    </row>
    <row r="239" spans="2:3" x14ac:dyDescent="0.3">
      <c r="B239" s="20"/>
      <c r="C239" s="20"/>
    </row>
    <row r="240" spans="2:3" x14ac:dyDescent="0.3">
      <c r="B240" s="20"/>
      <c r="C240" s="20"/>
    </row>
    <row r="241" spans="2:3" x14ac:dyDescent="0.3">
      <c r="B241" s="20"/>
      <c r="C241" s="20"/>
    </row>
    <row r="242" spans="2:3" x14ac:dyDescent="0.3">
      <c r="B242" s="20"/>
      <c r="C242" s="20"/>
    </row>
    <row r="243" spans="2:3" x14ac:dyDescent="0.3">
      <c r="B243" s="20"/>
      <c r="C243" s="20"/>
    </row>
    <row r="244" spans="2:3" x14ac:dyDescent="0.3">
      <c r="B244" s="20"/>
      <c r="C244" s="20"/>
    </row>
    <row r="245" spans="2:3" x14ac:dyDescent="0.3">
      <c r="B245" s="20"/>
      <c r="C245" s="20"/>
    </row>
    <row r="246" spans="2:3" x14ac:dyDescent="0.3">
      <c r="B246" s="20"/>
      <c r="C246" s="20"/>
    </row>
    <row r="247" spans="2:3" x14ac:dyDescent="0.3">
      <c r="B247" s="20"/>
      <c r="C247" s="20"/>
    </row>
    <row r="248" spans="2:3" x14ac:dyDescent="0.3">
      <c r="B248" s="20"/>
      <c r="C248" s="20"/>
    </row>
    <row r="249" spans="2:3" x14ac:dyDescent="0.3">
      <c r="B249" s="20"/>
      <c r="C249" s="20"/>
    </row>
    <row r="250" spans="2:3" x14ac:dyDescent="0.3">
      <c r="B250" s="20"/>
      <c r="C250" s="20"/>
    </row>
    <row r="251" spans="2:3" x14ac:dyDescent="0.3">
      <c r="B251" s="20"/>
      <c r="C251" s="20"/>
    </row>
    <row r="252" spans="2:3" x14ac:dyDescent="0.3">
      <c r="B252" s="20"/>
      <c r="C252" s="20"/>
    </row>
    <row r="253" spans="2:3" x14ac:dyDescent="0.3">
      <c r="B253" s="20"/>
      <c r="C253" s="20"/>
    </row>
    <row r="254" spans="2:3" x14ac:dyDescent="0.3">
      <c r="B254" s="20"/>
      <c r="C254" s="20"/>
    </row>
    <row r="255" spans="2:3" x14ac:dyDescent="0.3">
      <c r="B255" s="20"/>
      <c r="C255" s="20"/>
    </row>
    <row r="256" spans="2:3" x14ac:dyDescent="0.3">
      <c r="B256" s="20"/>
      <c r="C256" s="20"/>
    </row>
    <row r="257" spans="2:3" x14ac:dyDescent="0.3">
      <c r="B257" s="20"/>
      <c r="C257" s="20"/>
    </row>
    <row r="258" spans="2:3" x14ac:dyDescent="0.3">
      <c r="B258" s="20"/>
      <c r="C258" s="20"/>
    </row>
    <row r="259" spans="2:3" x14ac:dyDescent="0.3">
      <c r="B259" s="20"/>
      <c r="C259" s="20"/>
    </row>
    <row r="260" spans="2:3" x14ac:dyDescent="0.3">
      <c r="B260" s="20"/>
      <c r="C260" s="20"/>
    </row>
    <row r="261" spans="2:3" x14ac:dyDescent="0.3">
      <c r="B261" s="20"/>
      <c r="C261" s="20"/>
    </row>
    <row r="262" spans="2:3" x14ac:dyDescent="0.3">
      <c r="B262" s="20"/>
      <c r="C262" s="20"/>
    </row>
    <row r="263" spans="2:3" x14ac:dyDescent="0.3">
      <c r="B263" s="20"/>
      <c r="C263" s="20"/>
    </row>
    <row r="264" spans="2:3" x14ac:dyDescent="0.3">
      <c r="B264" s="20"/>
      <c r="C264" s="20"/>
    </row>
    <row r="265" spans="2:3" x14ac:dyDescent="0.3">
      <c r="B265" s="20"/>
      <c r="C265" s="20"/>
    </row>
    <row r="266" spans="2:3" x14ac:dyDescent="0.3">
      <c r="B266" s="20"/>
      <c r="C266" s="20"/>
    </row>
    <row r="267" spans="2:3" x14ac:dyDescent="0.3">
      <c r="B267" s="20"/>
      <c r="C267" s="20"/>
    </row>
    <row r="268" spans="2:3" x14ac:dyDescent="0.3">
      <c r="B268" s="20"/>
      <c r="C268" s="20"/>
    </row>
    <row r="269" spans="2:3" x14ac:dyDescent="0.3">
      <c r="B269" s="20"/>
      <c r="C269" s="20"/>
    </row>
    <row r="270" spans="2:3" x14ac:dyDescent="0.3">
      <c r="B270" s="20"/>
      <c r="C270" s="20"/>
    </row>
    <row r="271" spans="2:3" x14ac:dyDescent="0.3">
      <c r="B271" s="20"/>
      <c r="C271" s="20"/>
    </row>
    <row r="272" spans="2:3" x14ac:dyDescent="0.3">
      <c r="B272" s="20"/>
      <c r="C272" s="20"/>
    </row>
    <row r="273" spans="2:3" x14ac:dyDescent="0.3">
      <c r="B273" s="20"/>
      <c r="C273" s="20"/>
    </row>
    <row r="274" spans="2:3" x14ac:dyDescent="0.3">
      <c r="B274" s="20"/>
      <c r="C274" s="20"/>
    </row>
    <row r="275" spans="2:3" x14ac:dyDescent="0.3">
      <c r="B275" s="20"/>
      <c r="C275" s="20"/>
    </row>
    <row r="276" spans="2:3" x14ac:dyDescent="0.3">
      <c r="B276" s="20"/>
      <c r="C276" s="20"/>
    </row>
    <row r="277" spans="2:3" x14ac:dyDescent="0.3">
      <c r="B277" s="20"/>
      <c r="C277" s="20"/>
    </row>
    <row r="278" spans="2:3" x14ac:dyDescent="0.3">
      <c r="B278" s="20"/>
      <c r="C278" s="20"/>
    </row>
    <row r="279" spans="2:3" x14ac:dyDescent="0.3">
      <c r="B279" s="20"/>
      <c r="C279" s="20"/>
    </row>
    <row r="280" spans="2:3" x14ac:dyDescent="0.3">
      <c r="B280" s="20"/>
      <c r="C280" s="20"/>
    </row>
    <row r="281" spans="2:3" x14ac:dyDescent="0.3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McDowell, Trey</cp:lastModifiedBy>
  <dcterms:created xsi:type="dcterms:W3CDTF">2016-04-12T13:52:23Z</dcterms:created>
  <dcterms:modified xsi:type="dcterms:W3CDTF">2017-11-20T16:17:54Z</dcterms:modified>
</cp:coreProperties>
</file>