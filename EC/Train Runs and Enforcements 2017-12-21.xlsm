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4" i="1" l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13" i="1"/>
  <c r="AC7" i="3"/>
  <c r="K141" i="1" l="1"/>
  <c r="L141" i="1"/>
  <c r="M141" i="1"/>
  <c r="N141" i="1" s="1"/>
  <c r="V141" i="1"/>
  <c r="AA141" i="1"/>
  <c r="AB141" i="1"/>
  <c r="AC141" i="1"/>
  <c r="AD141" i="1"/>
  <c r="T141" i="1" s="1"/>
  <c r="AE141" i="1"/>
  <c r="AH141" i="1"/>
  <c r="AM141" i="1"/>
  <c r="AN141" i="1"/>
  <c r="AO14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R12" i="3" s="1"/>
  <c r="AH142" i="1"/>
  <c r="AM142" i="1"/>
  <c r="AN142" i="1"/>
  <c r="AO142" i="1"/>
  <c r="K207" i="1"/>
  <c r="L207" i="1"/>
  <c r="M207" i="1"/>
  <c r="N207" i="1" s="1"/>
  <c r="V207" i="1"/>
  <c r="AA207" i="1"/>
  <c r="AB207" i="1"/>
  <c r="AC207" i="1"/>
  <c r="AD207" i="1"/>
  <c r="AE207" i="1"/>
  <c r="AH207" i="1"/>
  <c r="AM207" i="1"/>
  <c r="AN207" i="1"/>
  <c r="AO207" i="1"/>
  <c r="K187" i="1"/>
  <c r="L187" i="1"/>
  <c r="M187" i="1"/>
  <c r="N187" i="1" s="1"/>
  <c r="V187" i="1"/>
  <c r="AA187" i="1"/>
  <c r="AB187" i="1"/>
  <c r="AC187" i="1"/>
  <c r="AD187" i="1"/>
  <c r="T187" i="1" s="1"/>
  <c r="AE187" i="1"/>
  <c r="AH187" i="1"/>
  <c r="AM187" i="1"/>
  <c r="AN187" i="1"/>
  <c r="AO187" i="1"/>
  <c r="K153" i="1"/>
  <c r="L153" i="1"/>
  <c r="M153" i="1"/>
  <c r="V153" i="1"/>
  <c r="Z153" i="1"/>
  <c r="AA153" i="1" s="1"/>
  <c r="AB153" i="1"/>
  <c r="AC153" i="1"/>
  <c r="AD153" i="1"/>
  <c r="T153" i="1" s="1"/>
  <c r="AE153" i="1"/>
  <c r="AH153" i="1"/>
  <c r="AM153" i="1"/>
  <c r="AN153" i="1"/>
  <c r="AO153" i="1"/>
  <c r="K159" i="1"/>
  <c r="L159" i="1"/>
  <c r="M159" i="1"/>
  <c r="N159" i="1" s="1"/>
  <c r="V159" i="1"/>
  <c r="AA159" i="1"/>
  <c r="AB159" i="1"/>
  <c r="AC159" i="1"/>
  <c r="AD159" i="1"/>
  <c r="AE159" i="1"/>
  <c r="AH159" i="1"/>
  <c r="AM159" i="1"/>
  <c r="AN159" i="1"/>
  <c r="AO159" i="1"/>
  <c r="K151" i="1"/>
  <c r="L151" i="1"/>
  <c r="M151" i="1"/>
  <c r="V151" i="1"/>
  <c r="AA151" i="1"/>
  <c r="AB151" i="1"/>
  <c r="AC151" i="1"/>
  <c r="AD151" i="1"/>
  <c r="T151" i="1" s="1"/>
  <c r="AE151" i="1"/>
  <c r="AH151" i="1"/>
  <c r="AM151" i="1"/>
  <c r="AN151" i="1"/>
  <c r="AO151" i="1"/>
  <c r="K132" i="1"/>
  <c r="L132" i="1"/>
  <c r="M132" i="1"/>
  <c r="P132" i="1" s="1"/>
  <c r="V132" i="1"/>
  <c r="AA132" i="1"/>
  <c r="AB132" i="1"/>
  <c r="AC132" i="1"/>
  <c r="AD132" i="1"/>
  <c r="T132" i="1" s="1"/>
  <c r="AE132" i="1"/>
  <c r="AH132" i="1"/>
  <c r="AM132" i="1"/>
  <c r="AN132" i="1"/>
  <c r="AO132" i="1"/>
  <c r="K131" i="1"/>
  <c r="L131" i="1"/>
  <c r="M131" i="1"/>
  <c r="N131" i="1" s="1"/>
  <c r="V131" i="1"/>
  <c r="AA131" i="1"/>
  <c r="AB131" i="1"/>
  <c r="AC131" i="1"/>
  <c r="AD131" i="1"/>
  <c r="T131" i="1" s="1"/>
  <c r="AE131" i="1"/>
  <c r="AH131" i="1"/>
  <c r="AM131" i="1"/>
  <c r="AN131" i="1"/>
  <c r="AO131" i="1"/>
  <c r="K119" i="1"/>
  <c r="L119" i="1"/>
  <c r="M119" i="1"/>
  <c r="N119" i="1" s="1"/>
  <c r="V119" i="1"/>
  <c r="AA119" i="1"/>
  <c r="AB119" i="1"/>
  <c r="AC119" i="1"/>
  <c r="AD119" i="1"/>
  <c r="T119" i="1" s="1"/>
  <c r="AE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H120" i="1"/>
  <c r="AM120" i="1"/>
  <c r="AN120" i="1"/>
  <c r="AO12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H17" i="1"/>
  <c r="AM17" i="1"/>
  <c r="AN17" i="1"/>
  <c r="AO17" i="1"/>
  <c r="K18" i="1"/>
  <c r="L18" i="1"/>
  <c r="M18" i="1"/>
  <c r="N18" i="1" s="1"/>
  <c r="V18" i="1"/>
  <c r="S15" i="3" s="1"/>
  <c r="Y18" i="1"/>
  <c r="Z18" i="1"/>
  <c r="AB18" i="1"/>
  <c r="AC18" i="1"/>
  <c r="AD18" i="1"/>
  <c r="T18" i="1" s="1"/>
  <c r="AE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H26" i="1"/>
  <c r="AM26" i="1"/>
  <c r="AN26" i="1"/>
  <c r="AO26" i="1"/>
  <c r="K27" i="1"/>
  <c r="L27" i="1"/>
  <c r="M27" i="1"/>
  <c r="P27" i="1" s="1"/>
  <c r="V27" i="1"/>
  <c r="S19" i="3" s="1"/>
  <c r="Y27" i="1"/>
  <c r="Z27" i="1"/>
  <c r="AB27" i="1"/>
  <c r="AC27" i="1"/>
  <c r="AD27" i="1"/>
  <c r="AE27" i="1"/>
  <c r="R19" i="3" s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H28" i="1"/>
  <c r="AM28" i="1"/>
  <c r="AN28" i="1"/>
  <c r="AO28" i="1"/>
  <c r="K29" i="1"/>
  <c r="L29" i="1"/>
  <c r="M29" i="1"/>
  <c r="V29" i="1"/>
  <c r="Y29" i="1"/>
  <c r="Z29" i="1"/>
  <c r="AB29" i="1"/>
  <c r="AC29" i="1"/>
  <c r="AD29" i="1"/>
  <c r="AE29" i="1"/>
  <c r="AH29" i="1"/>
  <c r="AM29" i="1"/>
  <c r="AN29" i="1"/>
  <c r="AO29" i="1"/>
  <c r="K30" i="1"/>
  <c r="L30" i="1"/>
  <c r="M30" i="1"/>
  <c r="P30" i="1" s="1"/>
  <c r="V30" i="1"/>
  <c r="Y30" i="1"/>
  <c r="Z30" i="1"/>
  <c r="AB30" i="1"/>
  <c r="AC30" i="1"/>
  <c r="AD30" i="1"/>
  <c r="AE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H39" i="1"/>
  <c r="AM39" i="1"/>
  <c r="AN39" i="1"/>
  <c r="AO39" i="1"/>
  <c r="K40" i="1"/>
  <c r="L40" i="1"/>
  <c r="M40" i="1"/>
  <c r="V40" i="1"/>
  <c r="Y40" i="1"/>
  <c r="Z40" i="1"/>
  <c r="AB40" i="1"/>
  <c r="AC40" i="1"/>
  <c r="AD40" i="1"/>
  <c r="AE40" i="1"/>
  <c r="AH40" i="1"/>
  <c r="AM40" i="1"/>
  <c r="AN40" i="1"/>
  <c r="AO40" i="1"/>
  <c r="K41" i="1"/>
  <c r="L41" i="1"/>
  <c r="M41" i="1"/>
  <c r="P41" i="1" s="1"/>
  <c r="V41" i="1"/>
  <c r="Y41" i="1"/>
  <c r="Z41" i="1"/>
  <c r="AA41" i="1" s="1"/>
  <c r="AB41" i="1"/>
  <c r="AC41" i="1"/>
  <c r="AD41" i="1"/>
  <c r="AE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H44" i="1"/>
  <c r="AM44" i="1"/>
  <c r="AN44" i="1"/>
  <c r="AO44" i="1"/>
  <c r="K45" i="1"/>
  <c r="L45" i="1"/>
  <c r="M45" i="1"/>
  <c r="N45" i="1" s="1"/>
  <c r="V45" i="1"/>
  <c r="S17" i="3" s="1"/>
  <c r="Y45" i="1"/>
  <c r="Z45" i="1"/>
  <c r="AB45" i="1"/>
  <c r="AC45" i="1"/>
  <c r="AD45" i="1"/>
  <c r="AE45" i="1"/>
  <c r="R17" i="3" s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H51" i="1"/>
  <c r="AM51" i="1"/>
  <c r="AN51" i="1"/>
  <c r="AO51" i="1"/>
  <c r="K52" i="1"/>
  <c r="L52" i="1"/>
  <c r="M52" i="1"/>
  <c r="N52" i="1" s="1"/>
  <c r="V52" i="1"/>
  <c r="S11" i="3" s="1"/>
  <c r="Y52" i="1"/>
  <c r="Z52" i="1"/>
  <c r="AB52" i="1"/>
  <c r="AC52" i="1"/>
  <c r="AD52" i="1"/>
  <c r="AE52" i="1"/>
  <c r="AH52" i="1"/>
  <c r="AM52" i="1"/>
  <c r="AN52" i="1"/>
  <c r="AO52" i="1"/>
  <c r="K53" i="1"/>
  <c r="L53" i="1"/>
  <c r="M53" i="1"/>
  <c r="P53" i="1" s="1"/>
  <c r="V53" i="1"/>
  <c r="S20" i="3" s="1"/>
  <c r="Y53" i="1"/>
  <c r="AA53" i="1" s="1"/>
  <c r="AB53" i="1"/>
  <c r="AC53" i="1"/>
  <c r="AD53" i="1"/>
  <c r="AE53" i="1"/>
  <c r="R20" i="3" s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H65" i="1"/>
  <c r="AM65" i="1"/>
  <c r="AN65" i="1"/>
  <c r="AO65" i="1"/>
  <c r="K66" i="1"/>
  <c r="L66" i="1"/>
  <c r="M66" i="1"/>
  <c r="P66" i="1" s="1"/>
  <c r="V66" i="1"/>
  <c r="Y66" i="1"/>
  <c r="Z66" i="1"/>
  <c r="AB66" i="1"/>
  <c r="AC66" i="1"/>
  <c r="AD66" i="1"/>
  <c r="T66" i="1" s="1"/>
  <c r="AE66" i="1"/>
  <c r="R16" i="3" s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H83" i="1"/>
  <c r="AM83" i="1"/>
  <c r="AN83" i="1"/>
  <c r="AO83" i="1"/>
  <c r="K84" i="1"/>
  <c r="L84" i="1"/>
  <c r="M84" i="1"/>
  <c r="V84" i="1"/>
  <c r="S18" i="3" s="1"/>
  <c r="Y84" i="1"/>
  <c r="Z84" i="1"/>
  <c r="AB84" i="1"/>
  <c r="AC84" i="1"/>
  <c r="AD84" i="1"/>
  <c r="AE84" i="1"/>
  <c r="AH84" i="1"/>
  <c r="AM84" i="1"/>
  <c r="AN84" i="1"/>
  <c r="AO84" i="1"/>
  <c r="K85" i="1"/>
  <c r="L85" i="1"/>
  <c r="M85" i="1"/>
  <c r="P85" i="1" s="1"/>
  <c r="V85" i="1"/>
  <c r="Y85" i="1"/>
  <c r="Z85" i="1"/>
  <c r="AB85" i="1"/>
  <c r="AC85" i="1"/>
  <c r="AD85" i="1"/>
  <c r="AE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H87" i="1"/>
  <c r="AM87" i="1"/>
  <c r="AN87" i="1"/>
  <c r="AO87" i="1"/>
  <c r="K88" i="1"/>
  <c r="L88" i="1"/>
  <c r="M88" i="1"/>
  <c r="P88" i="1" s="1"/>
  <c r="V88" i="1"/>
  <c r="Y88" i="1"/>
  <c r="Z88" i="1"/>
  <c r="AB88" i="1"/>
  <c r="AC88" i="1"/>
  <c r="AD88" i="1"/>
  <c r="AE88" i="1"/>
  <c r="R8" i="3" s="1"/>
  <c r="AH88" i="1"/>
  <c r="AM88" i="1"/>
  <c r="AN88" i="1"/>
  <c r="AO88" i="1"/>
  <c r="K89" i="1"/>
  <c r="L89" i="1"/>
  <c r="M89" i="1"/>
  <c r="N89" i="1" s="1"/>
  <c r="V89" i="1"/>
  <c r="S9" i="3" s="1"/>
  <c r="Y89" i="1"/>
  <c r="Z89" i="1"/>
  <c r="AB89" i="1"/>
  <c r="AC89" i="1"/>
  <c r="AD89" i="1"/>
  <c r="AE89" i="1"/>
  <c r="R9" i="3" s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H96" i="1"/>
  <c r="AM96" i="1"/>
  <c r="AN96" i="1"/>
  <c r="AO96" i="1"/>
  <c r="K97" i="1"/>
  <c r="L97" i="1"/>
  <c r="M97" i="1"/>
  <c r="N97" i="1" s="1"/>
  <c r="V97" i="1"/>
  <c r="S7" i="3" s="1"/>
  <c r="Y97" i="1"/>
  <c r="Z97" i="1"/>
  <c r="AB97" i="1"/>
  <c r="AC97" i="1"/>
  <c r="AD97" i="1"/>
  <c r="AE97" i="1"/>
  <c r="R7" i="3" s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H102" i="1"/>
  <c r="AM102" i="1"/>
  <c r="AN102" i="1"/>
  <c r="AO102" i="1"/>
  <c r="K103" i="1"/>
  <c r="L103" i="1"/>
  <c r="M103" i="1"/>
  <c r="P103" i="1" s="1"/>
  <c r="V103" i="1"/>
  <c r="Y103" i="1"/>
  <c r="Z103" i="1"/>
  <c r="AA103" i="1" s="1"/>
  <c r="AB103" i="1"/>
  <c r="AC103" i="1"/>
  <c r="AD103" i="1"/>
  <c r="AE103" i="1"/>
  <c r="AH103" i="1"/>
  <c r="AM103" i="1"/>
  <c r="AN103" i="1"/>
  <c r="AO103" i="1"/>
  <c r="K104" i="1"/>
  <c r="L104" i="1"/>
  <c r="M104" i="1"/>
  <c r="V104" i="1"/>
  <c r="Y104" i="1"/>
  <c r="Z104" i="1"/>
  <c r="AB104" i="1"/>
  <c r="AC104" i="1"/>
  <c r="AD104" i="1"/>
  <c r="AE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H115" i="1"/>
  <c r="AM115" i="1"/>
  <c r="AN115" i="1"/>
  <c r="AO115" i="1"/>
  <c r="K116" i="1"/>
  <c r="L116" i="1"/>
  <c r="M116" i="1"/>
  <c r="N116" i="1" s="1"/>
  <c r="V116" i="1"/>
  <c r="S13" i="3" s="1"/>
  <c r="Y116" i="1"/>
  <c r="Z116" i="1"/>
  <c r="AB116" i="1"/>
  <c r="AC116" i="1"/>
  <c r="AD116" i="1"/>
  <c r="AE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H118" i="1"/>
  <c r="AM118" i="1"/>
  <c r="AN118" i="1"/>
  <c r="AO118" i="1"/>
  <c r="K121" i="1"/>
  <c r="L121" i="1"/>
  <c r="M121" i="1"/>
  <c r="N121" i="1" s="1"/>
  <c r="V121" i="1"/>
  <c r="Y121" i="1"/>
  <c r="Z121" i="1"/>
  <c r="AB121" i="1"/>
  <c r="AC121" i="1"/>
  <c r="AD121" i="1"/>
  <c r="AE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H130" i="1"/>
  <c r="AM130" i="1"/>
  <c r="AN130" i="1"/>
  <c r="AO130" i="1"/>
  <c r="K133" i="1"/>
  <c r="L133" i="1"/>
  <c r="M133" i="1"/>
  <c r="N133" i="1" s="1"/>
  <c r="V133" i="1"/>
  <c r="Y133" i="1"/>
  <c r="Z133" i="1"/>
  <c r="AB133" i="1"/>
  <c r="AC133" i="1"/>
  <c r="AD133" i="1"/>
  <c r="AE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H136" i="1"/>
  <c r="AM136" i="1"/>
  <c r="AN136" i="1"/>
  <c r="AO136" i="1"/>
  <c r="K137" i="1"/>
  <c r="L137" i="1"/>
  <c r="M137" i="1"/>
  <c r="N137" i="1" s="1"/>
  <c r="V137" i="1"/>
  <c r="S10" i="3" s="1"/>
  <c r="Y137" i="1"/>
  <c r="Z137" i="1"/>
  <c r="AB137" i="1"/>
  <c r="AC137" i="1"/>
  <c r="AD137" i="1"/>
  <c r="AE137" i="1"/>
  <c r="R10" i="3" s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H138" i="1"/>
  <c r="AM138" i="1"/>
  <c r="AN138" i="1"/>
  <c r="AO138" i="1"/>
  <c r="K139" i="1"/>
  <c r="L139" i="1"/>
  <c r="M139" i="1"/>
  <c r="P139" i="1" s="1"/>
  <c r="V139" i="1"/>
  <c r="S21" i="3" s="1"/>
  <c r="Y139" i="1"/>
  <c r="Z139" i="1"/>
  <c r="AB139" i="1"/>
  <c r="AC139" i="1"/>
  <c r="AD139" i="1"/>
  <c r="AE139" i="1"/>
  <c r="R21" i="3" s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H140" i="1"/>
  <c r="AM140" i="1"/>
  <c r="AN140" i="1"/>
  <c r="AO140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H146" i="1"/>
  <c r="AM146" i="1"/>
  <c r="AN146" i="1"/>
  <c r="AO146" i="1"/>
  <c r="K147" i="1"/>
  <c r="L147" i="1"/>
  <c r="M147" i="1"/>
  <c r="V147" i="1"/>
  <c r="Y147" i="1"/>
  <c r="Z147" i="1"/>
  <c r="AB147" i="1"/>
  <c r="AC147" i="1"/>
  <c r="AD147" i="1"/>
  <c r="AE147" i="1"/>
  <c r="AH147" i="1"/>
  <c r="AM147" i="1"/>
  <c r="AN147" i="1"/>
  <c r="AO147" i="1"/>
  <c r="K148" i="1"/>
  <c r="L148" i="1"/>
  <c r="M148" i="1"/>
  <c r="P148" i="1" s="1"/>
  <c r="V148" i="1"/>
  <c r="Y148" i="1"/>
  <c r="Z148" i="1"/>
  <c r="AB148" i="1"/>
  <c r="AC148" i="1"/>
  <c r="AD148" i="1"/>
  <c r="T148" i="1" s="1"/>
  <c r="AE148" i="1"/>
  <c r="AH148" i="1"/>
  <c r="AM148" i="1"/>
  <c r="AN148" i="1"/>
  <c r="AO148" i="1"/>
  <c r="K149" i="1"/>
  <c r="L149" i="1"/>
  <c r="M149" i="1"/>
  <c r="N149" i="1"/>
  <c r="V149" i="1"/>
  <c r="Y149" i="1"/>
  <c r="Z149" i="1"/>
  <c r="AB149" i="1"/>
  <c r="AC149" i="1"/>
  <c r="AD149" i="1"/>
  <c r="T149" i="1" s="1"/>
  <c r="AE149" i="1"/>
  <c r="AH149" i="1"/>
  <c r="AM149" i="1"/>
  <c r="AN149" i="1"/>
  <c r="AO149" i="1"/>
  <c r="K150" i="1"/>
  <c r="L150" i="1"/>
  <c r="M150" i="1"/>
  <c r="P150" i="1" s="1"/>
  <c r="V150" i="1"/>
  <c r="Y150" i="1"/>
  <c r="Z150" i="1"/>
  <c r="AB150" i="1"/>
  <c r="AC150" i="1"/>
  <c r="AD150" i="1"/>
  <c r="AE150" i="1"/>
  <c r="AH150" i="1"/>
  <c r="AM150" i="1"/>
  <c r="AN150" i="1"/>
  <c r="AO150" i="1"/>
  <c r="K152" i="1"/>
  <c r="L152" i="1"/>
  <c r="M152" i="1"/>
  <c r="P152" i="1" s="1"/>
  <c r="V152" i="1"/>
  <c r="Y152" i="1"/>
  <c r="AA152" i="1" s="1"/>
  <c r="AB152" i="1"/>
  <c r="AC152" i="1"/>
  <c r="AD152" i="1"/>
  <c r="T152" i="1" s="1"/>
  <c r="AE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H158" i="1"/>
  <c r="AM158" i="1"/>
  <c r="AN158" i="1"/>
  <c r="AO158" i="1"/>
  <c r="K160" i="1"/>
  <c r="L160" i="1"/>
  <c r="M160" i="1"/>
  <c r="N160" i="1" s="1"/>
  <c r="V160" i="1"/>
  <c r="Y160" i="1"/>
  <c r="Z160" i="1"/>
  <c r="AB160" i="1"/>
  <c r="AC160" i="1"/>
  <c r="AD160" i="1"/>
  <c r="AE160" i="1"/>
  <c r="AH160" i="1"/>
  <c r="AM160" i="1"/>
  <c r="AN160" i="1"/>
  <c r="AO160" i="1"/>
  <c r="K161" i="1"/>
  <c r="L161" i="1"/>
  <c r="M161" i="1"/>
  <c r="P161" i="1" s="1"/>
  <c r="V161" i="1"/>
  <c r="Y161" i="1"/>
  <c r="Z161" i="1"/>
  <c r="AB161" i="1"/>
  <c r="AC161" i="1"/>
  <c r="AD161" i="1"/>
  <c r="X161" i="1" s="1"/>
  <c r="AE161" i="1"/>
  <c r="AH161" i="1"/>
  <c r="AM161" i="1"/>
  <c r="AN161" i="1"/>
  <c r="AO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H168" i="1"/>
  <c r="AM168" i="1"/>
  <c r="AN168" i="1"/>
  <c r="AO168" i="1"/>
  <c r="K218" i="1"/>
  <c r="L218" i="1"/>
  <c r="M218" i="1"/>
  <c r="N218" i="1" s="1"/>
  <c r="V218" i="1"/>
  <c r="S33" i="3" s="1"/>
  <c r="Y218" i="1"/>
  <c r="Z218" i="1"/>
  <c r="AB218" i="1"/>
  <c r="AC218" i="1"/>
  <c r="AD218" i="1"/>
  <c r="T218" i="1" s="1"/>
  <c r="AE218" i="1"/>
  <c r="R33" i="3" s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H173" i="1"/>
  <c r="AM173" i="1"/>
  <c r="AN173" i="1"/>
  <c r="AO17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H174" i="1"/>
  <c r="AM174" i="1"/>
  <c r="AN174" i="1"/>
  <c r="AO17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AE235" i="1"/>
  <c r="AH180" i="1"/>
  <c r="AM180" i="1"/>
  <c r="AN180" i="1"/>
  <c r="AO180" i="1"/>
  <c r="K164" i="1"/>
  <c r="L164" i="1"/>
  <c r="M164" i="1"/>
  <c r="N164" i="1" s="1"/>
  <c r="V164" i="1"/>
  <c r="S29" i="3" s="1"/>
  <c r="Y164" i="1"/>
  <c r="Z164" i="1"/>
  <c r="AB164" i="1"/>
  <c r="AC164" i="1"/>
  <c r="AD164" i="1"/>
  <c r="T164" i="1" s="1"/>
  <c r="AE164" i="1"/>
  <c r="R29" i="3" s="1"/>
  <c r="AH181" i="1"/>
  <c r="AM181" i="1"/>
  <c r="AN181" i="1"/>
  <c r="AO18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H182" i="1"/>
  <c r="AM182" i="1"/>
  <c r="AN182" i="1"/>
  <c r="AO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H183" i="1"/>
  <c r="AM183" i="1"/>
  <c r="AN183" i="1"/>
  <c r="AO183" i="1"/>
  <c r="K167" i="1"/>
  <c r="L167" i="1"/>
  <c r="M167" i="1"/>
  <c r="N167" i="1" s="1"/>
  <c r="V167" i="1"/>
  <c r="Y167" i="1"/>
  <c r="Z167" i="1"/>
  <c r="AB167" i="1"/>
  <c r="AC167" i="1"/>
  <c r="AD167" i="1"/>
  <c r="AE167" i="1"/>
  <c r="AH184" i="1"/>
  <c r="AM184" i="1"/>
  <c r="AN184" i="1"/>
  <c r="AO184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H185" i="1"/>
  <c r="AM185" i="1"/>
  <c r="AN185" i="1"/>
  <c r="AO185" i="1"/>
  <c r="K169" i="1"/>
  <c r="L169" i="1"/>
  <c r="M169" i="1"/>
  <c r="N169" i="1" s="1"/>
  <c r="V169" i="1"/>
  <c r="S30" i="3" s="1"/>
  <c r="Y169" i="1"/>
  <c r="Z169" i="1"/>
  <c r="AB169" i="1"/>
  <c r="AC169" i="1"/>
  <c r="AD169" i="1"/>
  <c r="X169" i="1" s="1"/>
  <c r="AE169" i="1"/>
  <c r="R30" i="3" s="1"/>
  <c r="AH186" i="1"/>
  <c r="AM186" i="1"/>
  <c r="AN186" i="1"/>
  <c r="AO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H188" i="1"/>
  <c r="AM188" i="1"/>
  <c r="AN188" i="1"/>
  <c r="AO188" i="1"/>
  <c r="K171" i="1"/>
  <c r="L171" i="1"/>
  <c r="M171" i="1"/>
  <c r="N171" i="1" s="1"/>
  <c r="V171" i="1"/>
  <c r="S31" i="3" s="1"/>
  <c r="Y171" i="1"/>
  <c r="Z171" i="1"/>
  <c r="AB171" i="1"/>
  <c r="AC171" i="1"/>
  <c r="AD171" i="1"/>
  <c r="T171" i="1" s="1"/>
  <c r="AE171" i="1"/>
  <c r="R31" i="3" s="1"/>
  <c r="AH189" i="1"/>
  <c r="AM189" i="1"/>
  <c r="AN189" i="1"/>
  <c r="AO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H190" i="1"/>
  <c r="AM190" i="1"/>
  <c r="AN190" i="1"/>
  <c r="AO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H191" i="1"/>
  <c r="AM191" i="1"/>
  <c r="AN191" i="1"/>
  <c r="AO19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H192" i="1"/>
  <c r="AM192" i="1"/>
  <c r="AN192" i="1"/>
  <c r="AO192" i="1"/>
  <c r="K174" i="1"/>
  <c r="L174" i="1"/>
  <c r="M174" i="1"/>
  <c r="N174" i="1" s="1"/>
  <c r="V174" i="1"/>
  <c r="Y174" i="1"/>
  <c r="Z174" i="1"/>
  <c r="AB174" i="1"/>
  <c r="AC174" i="1"/>
  <c r="AD174" i="1"/>
  <c r="AE174" i="1"/>
  <c r="AH193" i="1"/>
  <c r="AM193" i="1"/>
  <c r="AN193" i="1"/>
  <c r="AO193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H194" i="1"/>
  <c r="AM194" i="1"/>
  <c r="AN194" i="1"/>
  <c r="AO194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H195" i="1"/>
  <c r="AM195" i="1"/>
  <c r="AN195" i="1"/>
  <c r="AO195" i="1"/>
  <c r="K177" i="1"/>
  <c r="L177" i="1"/>
  <c r="M177" i="1"/>
  <c r="N177" i="1" s="1"/>
  <c r="V177" i="1"/>
  <c r="Y177" i="1"/>
  <c r="Z177" i="1"/>
  <c r="AB177" i="1"/>
  <c r="AC177" i="1"/>
  <c r="AD177" i="1"/>
  <c r="AE177" i="1"/>
  <c r="AH196" i="1"/>
  <c r="AM196" i="1"/>
  <c r="AN196" i="1"/>
  <c r="AO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H197" i="1"/>
  <c r="AM197" i="1"/>
  <c r="AN197" i="1"/>
  <c r="AO197" i="1"/>
  <c r="K179" i="1"/>
  <c r="L179" i="1"/>
  <c r="M179" i="1"/>
  <c r="N179" i="1" s="1"/>
  <c r="V179" i="1"/>
  <c r="Y179" i="1"/>
  <c r="Z179" i="1"/>
  <c r="AB179" i="1"/>
  <c r="AC179" i="1"/>
  <c r="AD179" i="1"/>
  <c r="AE179" i="1"/>
  <c r="AH198" i="1"/>
  <c r="AM198" i="1"/>
  <c r="AN198" i="1"/>
  <c r="AO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H199" i="1"/>
  <c r="AM199" i="1"/>
  <c r="AN199" i="1"/>
  <c r="AO199" i="1"/>
  <c r="K181" i="1"/>
  <c r="L181" i="1"/>
  <c r="M181" i="1"/>
  <c r="N181" i="1" s="1"/>
  <c r="V181" i="1"/>
  <c r="Y181" i="1"/>
  <c r="Z181" i="1"/>
  <c r="AB181" i="1"/>
  <c r="AC181" i="1"/>
  <c r="AD181" i="1"/>
  <c r="AE181" i="1"/>
  <c r="AH200" i="1"/>
  <c r="AM200" i="1"/>
  <c r="AN200" i="1"/>
  <c r="AO200" i="1"/>
  <c r="K182" i="1"/>
  <c r="L182" i="1"/>
  <c r="M182" i="1"/>
  <c r="N182" i="1" s="1"/>
  <c r="V182" i="1"/>
  <c r="S26" i="3" s="1"/>
  <c r="Y182" i="1"/>
  <c r="Z182" i="1"/>
  <c r="AB182" i="1"/>
  <c r="AC182" i="1"/>
  <c r="AD182" i="1"/>
  <c r="AE182" i="1"/>
  <c r="R23" i="3" s="1"/>
  <c r="AH201" i="1"/>
  <c r="AM201" i="1"/>
  <c r="AN201" i="1"/>
  <c r="AO201" i="1"/>
  <c r="K183" i="1"/>
  <c r="L183" i="1"/>
  <c r="M183" i="1"/>
  <c r="N183" i="1" s="1"/>
  <c r="V183" i="1"/>
  <c r="Y183" i="1"/>
  <c r="Z183" i="1"/>
  <c r="AB183" i="1"/>
  <c r="AC183" i="1"/>
  <c r="AD183" i="1"/>
  <c r="AE183" i="1"/>
  <c r="AH202" i="1"/>
  <c r="AM202" i="1"/>
  <c r="AN202" i="1"/>
  <c r="AO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H203" i="1"/>
  <c r="AM203" i="1"/>
  <c r="AN203" i="1"/>
  <c r="AO203" i="1"/>
  <c r="K185" i="1"/>
  <c r="L185" i="1"/>
  <c r="M185" i="1"/>
  <c r="N185" i="1" s="1"/>
  <c r="V185" i="1"/>
  <c r="Y185" i="1"/>
  <c r="Z185" i="1"/>
  <c r="AB185" i="1"/>
  <c r="AC185" i="1"/>
  <c r="AD185" i="1"/>
  <c r="AE185" i="1"/>
  <c r="AH204" i="1"/>
  <c r="AM204" i="1"/>
  <c r="AN204" i="1"/>
  <c r="AO204" i="1"/>
  <c r="K186" i="1"/>
  <c r="L186" i="1"/>
  <c r="M186" i="1"/>
  <c r="N186" i="1" s="1"/>
  <c r="V186" i="1"/>
  <c r="AB186" i="1"/>
  <c r="AC186" i="1"/>
  <c r="AD186" i="1"/>
  <c r="AE186" i="1"/>
  <c r="AH205" i="1"/>
  <c r="AM205" i="1"/>
  <c r="AN205" i="1"/>
  <c r="AO205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H206" i="1"/>
  <c r="AM206" i="1"/>
  <c r="AN206" i="1"/>
  <c r="AO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H208" i="1"/>
  <c r="AM208" i="1"/>
  <c r="AN208" i="1"/>
  <c r="AO208" i="1"/>
  <c r="K190" i="1"/>
  <c r="L190" i="1"/>
  <c r="M190" i="1"/>
  <c r="N190" i="1" s="1"/>
  <c r="V190" i="1"/>
  <c r="Y190" i="1"/>
  <c r="Z190" i="1"/>
  <c r="AB190" i="1"/>
  <c r="AC190" i="1"/>
  <c r="AD190" i="1"/>
  <c r="AE190" i="1"/>
  <c r="AH209" i="1"/>
  <c r="AM209" i="1"/>
  <c r="AN209" i="1"/>
  <c r="AO209" i="1"/>
  <c r="K191" i="1"/>
  <c r="L191" i="1"/>
  <c r="M191" i="1"/>
  <c r="N191" i="1" s="1"/>
  <c r="V191" i="1"/>
  <c r="Y191" i="1"/>
  <c r="Z191" i="1"/>
  <c r="AB191" i="1"/>
  <c r="AC191" i="1"/>
  <c r="AD191" i="1"/>
  <c r="AE191" i="1"/>
  <c r="AH210" i="1"/>
  <c r="AM210" i="1"/>
  <c r="AN210" i="1"/>
  <c r="AO210" i="1"/>
  <c r="K192" i="1"/>
  <c r="L192" i="1"/>
  <c r="M192" i="1"/>
  <c r="N192" i="1" s="1"/>
  <c r="V192" i="1"/>
  <c r="Y192" i="1"/>
  <c r="Z192" i="1"/>
  <c r="AB192" i="1"/>
  <c r="AC192" i="1"/>
  <c r="AD192" i="1"/>
  <c r="AE192" i="1"/>
  <c r="AH211" i="1"/>
  <c r="AM211" i="1"/>
  <c r="AN211" i="1"/>
  <c r="AO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H212" i="1"/>
  <c r="AM212" i="1"/>
  <c r="AN212" i="1"/>
  <c r="AO212" i="1"/>
  <c r="K194" i="1"/>
  <c r="L194" i="1"/>
  <c r="M194" i="1"/>
  <c r="N194" i="1" s="1"/>
  <c r="V194" i="1"/>
  <c r="S24" i="3" s="1"/>
  <c r="Y194" i="1"/>
  <c r="Z194" i="1"/>
  <c r="AB194" i="1"/>
  <c r="AC194" i="1"/>
  <c r="AD194" i="1"/>
  <c r="AE194" i="1"/>
  <c r="R24" i="3" s="1"/>
  <c r="AH213" i="1"/>
  <c r="AM213" i="1"/>
  <c r="AN213" i="1"/>
  <c r="AO213" i="1"/>
  <c r="K195" i="1"/>
  <c r="L195" i="1"/>
  <c r="M195" i="1"/>
  <c r="N195" i="1" s="1"/>
  <c r="V195" i="1"/>
  <c r="S27" i="3" s="1"/>
  <c r="Y195" i="1"/>
  <c r="Z195" i="1"/>
  <c r="AB195" i="1"/>
  <c r="AC195" i="1"/>
  <c r="AD195" i="1"/>
  <c r="T195" i="1" s="1"/>
  <c r="AE195" i="1"/>
  <c r="R27" i="3" s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AE196" i="1"/>
  <c r="AH215" i="1"/>
  <c r="AM215" i="1"/>
  <c r="AN215" i="1"/>
  <c r="AO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H216" i="1"/>
  <c r="AM216" i="1"/>
  <c r="AN216" i="1"/>
  <c r="AO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H217" i="1"/>
  <c r="AM217" i="1"/>
  <c r="AN217" i="1"/>
  <c r="AO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H218" i="1"/>
  <c r="AM218" i="1"/>
  <c r="AN218" i="1"/>
  <c r="AO218" i="1"/>
  <c r="K200" i="1"/>
  <c r="L200" i="1"/>
  <c r="M200" i="1"/>
  <c r="N200" i="1" s="1"/>
  <c r="V200" i="1"/>
  <c r="S22" i="3" s="1"/>
  <c r="Y200" i="1"/>
  <c r="Z200" i="1"/>
  <c r="AB200" i="1"/>
  <c r="AC200" i="1"/>
  <c r="AD200" i="1"/>
  <c r="AE200" i="1"/>
  <c r="R22" i="3" s="1"/>
  <c r="AH219" i="1"/>
  <c r="AM219" i="1"/>
  <c r="AN219" i="1"/>
  <c r="AO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H220" i="1"/>
  <c r="AM220" i="1"/>
  <c r="AN220" i="1"/>
  <c r="AO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H221" i="1"/>
  <c r="AM221" i="1"/>
  <c r="AN221" i="1"/>
  <c r="AO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H222" i="1"/>
  <c r="AM222" i="1"/>
  <c r="AN222" i="1"/>
  <c r="AO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H223" i="1"/>
  <c r="AM223" i="1"/>
  <c r="AN223" i="1"/>
  <c r="AO22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H224" i="1"/>
  <c r="AM224" i="1"/>
  <c r="AN224" i="1"/>
  <c r="AO22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H225" i="1"/>
  <c r="AM225" i="1"/>
  <c r="AN225" i="1"/>
  <c r="AO225" i="1"/>
  <c r="K208" i="1"/>
  <c r="L208" i="1"/>
  <c r="M208" i="1"/>
  <c r="N208" i="1" s="1"/>
  <c r="V208" i="1"/>
  <c r="S28" i="3" s="1"/>
  <c r="Y208" i="1"/>
  <c r="Z208" i="1"/>
  <c r="AB208" i="1"/>
  <c r="AC208" i="1"/>
  <c r="AD208" i="1"/>
  <c r="T208" i="1" s="1"/>
  <c r="AE208" i="1"/>
  <c r="R28" i="3" s="1"/>
  <c r="AH226" i="1"/>
  <c r="AM226" i="1"/>
  <c r="AN226" i="1"/>
  <c r="AO226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H227" i="1"/>
  <c r="AM227" i="1"/>
  <c r="AN227" i="1"/>
  <c r="AO22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H228" i="1"/>
  <c r="AM228" i="1"/>
  <c r="AN228" i="1"/>
  <c r="AO228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H229" i="1"/>
  <c r="AM229" i="1"/>
  <c r="AN229" i="1"/>
  <c r="AO229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H230" i="1"/>
  <c r="AM230" i="1"/>
  <c r="AN230" i="1"/>
  <c r="AO23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H231" i="1"/>
  <c r="AM231" i="1"/>
  <c r="AN231" i="1"/>
  <c r="AO23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H232" i="1"/>
  <c r="AM232" i="1"/>
  <c r="AN232" i="1"/>
  <c r="AO23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H233" i="1"/>
  <c r="AM233" i="1"/>
  <c r="AN233" i="1"/>
  <c r="AO23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H234" i="1"/>
  <c r="AM234" i="1"/>
  <c r="AN234" i="1"/>
  <c r="AO23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H235" i="1"/>
  <c r="AM235" i="1"/>
  <c r="AN235" i="1"/>
  <c r="AO23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H236" i="1"/>
  <c r="AM236" i="1"/>
  <c r="AN236" i="1"/>
  <c r="AO23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H237" i="1"/>
  <c r="AM237" i="1"/>
  <c r="AN237" i="1"/>
  <c r="AO237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H238" i="1"/>
  <c r="AM238" i="1"/>
  <c r="AN238" i="1"/>
  <c r="AO23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H239" i="1"/>
  <c r="AM239" i="1"/>
  <c r="AN239" i="1"/>
  <c r="AO239" i="1"/>
  <c r="M29" i="3"/>
  <c r="U29" i="3"/>
  <c r="T29" i="3" s="1"/>
  <c r="V29" i="3"/>
  <c r="X29" i="3"/>
  <c r="M15" i="3"/>
  <c r="U15" i="3"/>
  <c r="V15" i="3"/>
  <c r="X15" i="3"/>
  <c r="M14" i="3"/>
  <c r="U14" i="3"/>
  <c r="AC14" i="3" s="1"/>
  <c r="V14" i="3"/>
  <c r="X14" i="3"/>
  <c r="M19" i="3"/>
  <c r="U19" i="3"/>
  <c r="T19" i="3" s="1"/>
  <c r="V19" i="3"/>
  <c r="X19" i="3"/>
  <c r="M30" i="3"/>
  <c r="U30" i="3"/>
  <c r="AC30" i="3" s="1"/>
  <c r="V30" i="3"/>
  <c r="X30" i="3"/>
  <c r="M31" i="3"/>
  <c r="U31" i="3"/>
  <c r="T31" i="3" s="1"/>
  <c r="V31" i="3"/>
  <c r="X31" i="3"/>
  <c r="M17" i="3"/>
  <c r="U17" i="3"/>
  <c r="T17" i="3" s="1"/>
  <c r="V17" i="3"/>
  <c r="X17" i="3"/>
  <c r="M20" i="3"/>
  <c r="U20" i="3"/>
  <c r="V20" i="3"/>
  <c r="X20" i="3"/>
  <c r="M11" i="3"/>
  <c r="U11" i="3"/>
  <c r="AC11" i="3" s="1"/>
  <c r="V11" i="3"/>
  <c r="X11" i="3"/>
  <c r="M16" i="3"/>
  <c r="U16" i="3"/>
  <c r="T16" i="3" s="1"/>
  <c r="V16" i="3"/>
  <c r="X16" i="3"/>
  <c r="M26" i="3"/>
  <c r="U26" i="3"/>
  <c r="V26" i="3"/>
  <c r="X26" i="3"/>
  <c r="M23" i="3"/>
  <c r="U23" i="3"/>
  <c r="AC23" i="3" s="1"/>
  <c r="V23" i="3"/>
  <c r="X23" i="3"/>
  <c r="M8" i="3"/>
  <c r="U8" i="3"/>
  <c r="AD8" i="3" s="1"/>
  <c r="V8" i="3"/>
  <c r="X8" i="3"/>
  <c r="M18" i="3"/>
  <c r="U18" i="3"/>
  <c r="T18" i="3" s="1"/>
  <c r="V18" i="3"/>
  <c r="X18" i="3"/>
  <c r="M9" i="3"/>
  <c r="U9" i="3"/>
  <c r="AC9" i="3" s="1"/>
  <c r="V9" i="3"/>
  <c r="X9" i="3"/>
  <c r="M7" i="3"/>
  <c r="U7" i="3"/>
  <c r="T7" i="3" s="1"/>
  <c r="V7" i="3"/>
  <c r="X7" i="3"/>
  <c r="M24" i="3"/>
  <c r="U24" i="3"/>
  <c r="V24" i="3"/>
  <c r="X24" i="3"/>
  <c r="M27" i="3"/>
  <c r="U27" i="3"/>
  <c r="AC27" i="3" s="1"/>
  <c r="V27" i="3"/>
  <c r="X27" i="3"/>
  <c r="M13" i="3"/>
  <c r="U13" i="3"/>
  <c r="AD13" i="3" s="1"/>
  <c r="V13" i="3"/>
  <c r="X13" i="3"/>
  <c r="M32" i="3"/>
  <c r="U32" i="3"/>
  <c r="T32" i="3" s="1"/>
  <c r="V32" i="3"/>
  <c r="X32" i="3"/>
  <c r="M22" i="3"/>
  <c r="U22" i="3"/>
  <c r="AD22" i="3" s="1"/>
  <c r="V22" i="3"/>
  <c r="X22" i="3"/>
  <c r="M10" i="3"/>
  <c r="U10" i="3"/>
  <c r="T10" i="3" s="1"/>
  <c r="V10" i="3"/>
  <c r="X10" i="3"/>
  <c r="M21" i="3"/>
  <c r="U21" i="3"/>
  <c r="V21" i="3"/>
  <c r="X21" i="3"/>
  <c r="M12" i="3"/>
  <c r="S12" i="3"/>
  <c r="U12" i="3"/>
  <c r="T12" i="3" s="1"/>
  <c r="V12" i="3"/>
  <c r="X12" i="3"/>
  <c r="M28" i="3"/>
  <c r="U28" i="3"/>
  <c r="T28" i="3" s="1"/>
  <c r="V28" i="3"/>
  <c r="X28" i="3"/>
  <c r="M25" i="3"/>
  <c r="U25" i="3"/>
  <c r="AD25" i="3" s="1"/>
  <c r="V25" i="3"/>
  <c r="X25" i="3"/>
  <c r="R15" i="3"/>
  <c r="R11" i="3"/>
  <c r="R18" i="3"/>
  <c r="S8" i="3"/>
  <c r="R13" i="3"/>
  <c r="M33" i="3"/>
  <c r="U33" i="3"/>
  <c r="T33" i="3" s="1"/>
  <c r="V33" i="3"/>
  <c r="X33" i="3"/>
  <c r="AG141" i="1"/>
  <c r="AG142" i="1"/>
  <c r="AG207" i="1"/>
  <c r="AG187" i="1"/>
  <c r="AG153" i="1"/>
  <c r="AG159" i="1"/>
  <c r="AG151" i="1"/>
  <c r="AG132" i="1"/>
  <c r="AG131" i="1"/>
  <c r="AG119" i="1"/>
  <c r="AG120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72" i="1"/>
  <c r="AG80" i="1"/>
  <c r="AG88" i="1"/>
  <c r="AG71" i="1"/>
  <c r="AG79" i="1"/>
  <c r="AG87" i="1"/>
  <c r="AG92" i="1"/>
  <c r="AG96" i="1"/>
  <c r="AG100" i="1"/>
  <c r="AG104" i="1"/>
  <c r="AG105" i="1"/>
  <c r="AG109" i="1"/>
  <c r="AG113" i="1"/>
  <c r="AG117" i="1"/>
  <c r="AG123" i="1"/>
  <c r="AG127" i="1"/>
  <c r="AG133" i="1"/>
  <c r="AG137" i="1"/>
  <c r="AG143" i="1"/>
  <c r="AG149" i="1"/>
  <c r="AG155" i="1"/>
  <c r="AG160" i="1"/>
  <c r="AG213" i="1"/>
  <c r="AG217" i="1"/>
  <c r="AG221" i="1"/>
  <c r="AG231" i="1"/>
  <c r="AG235" i="1"/>
  <c r="AG167" i="1"/>
  <c r="AG171" i="1"/>
  <c r="AG174" i="1"/>
  <c r="AG178" i="1"/>
  <c r="AG182" i="1"/>
  <c r="AG186" i="1"/>
  <c r="AG191" i="1"/>
  <c r="AG195" i="1"/>
  <c r="AG199" i="1"/>
  <c r="AG203" i="1"/>
  <c r="AG208" i="1"/>
  <c r="AG212" i="1"/>
  <c r="AG225" i="1"/>
  <c r="AG229" i="1"/>
  <c r="AG14" i="1"/>
  <c r="AG18" i="1"/>
  <c r="AG22" i="1"/>
  <c r="AG26" i="1"/>
  <c r="AG30" i="1"/>
  <c r="AG34" i="1"/>
  <c r="AG38" i="1"/>
  <c r="AG46" i="1"/>
  <c r="AG50" i="1"/>
  <c r="AG54" i="1"/>
  <c r="AG58" i="1"/>
  <c r="AG62" i="1"/>
  <c r="AG74" i="1"/>
  <c r="AG67" i="1"/>
  <c r="AG73" i="1"/>
  <c r="AG81" i="1"/>
  <c r="AG93" i="1"/>
  <c r="AG97" i="1"/>
  <c r="AG63" i="1"/>
  <c r="AG110" i="1"/>
  <c r="AG118" i="1"/>
  <c r="AG134" i="1"/>
  <c r="AG144" i="1"/>
  <c r="AG150" i="1"/>
  <c r="AG161" i="1"/>
  <c r="AG218" i="1"/>
  <c r="AG232" i="1"/>
  <c r="AG168" i="1"/>
  <c r="AG172" i="1"/>
  <c r="AG179" i="1"/>
  <c r="AG188" i="1"/>
  <c r="AG192" i="1"/>
  <c r="AG200" i="1"/>
  <c r="AG209" i="1"/>
  <c r="AG226" i="1"/>
  <c r="AG230" i="1"/>
  <c r="AG15" i="1"/>
  <c r="AG19" i="1"/>
  <c r="AG23" i="1"/>
  <c r="AG27" i="1"/>
  <c r="AG31" i="1"/>
  <c r="AG35" i="1"/>
  <c r="AG39" i="1"/>
  <c r="AG42" i="1"/>
  <c r="AG82" i="1"/>
  <c r="AG89" i="1"/>
  <c r="AG101" i="1"/>
  <c r="AG106" i="1"/>
  <c r="AG114" i="1"/>
  <c r="AG124" i="1"/>
  <c r="AG128" i="1"/>
  <c r="AG138" i="1"/>
  <c r="AG147" i="1"/>
  <c r="AG156" i="1"/>
  <c r="AG214" i="1"/>
  <c r="AG222" i="1"/>
  <c r="AG164" i="1"/>
  <c r="AG175" i="1"/>
  <c r="AG183" i="1"/>
  <c r="AG196" i="1"/>
  <c r="AG204" i="1"/>
  <c r="AG237" i="1"/>
  <c r="AG16" i="1"/>
  <c r="AG32" i="1"/>
  <c r="AG44" i="1"/>
  <c r="AG52" i="1"/>
  <c r="AG60" i="1"/>
  <c r="AG78" i="1"/>
  <c r="AG68" i="1"/>
  <c r="AG85" i="1"/>
  <c r="AG95" i="1"/>
  <c r="AG103" i="1"/>
  <c r="AG108" i="1"/>
  <c r="AG116" i="1"/>
  <c r="AG126" i="1"/>
  <c r="AG136" i="1"/>
  <c r="AG146" i="1"/>
  <c r="AG163" i="1"/>
  <c r="AG234" i="1"/>
  <c r="AG177" i="1"/>
  <c r="AG202" i="1"/>
  <c r="AG190" i="1"/>
  <c r="AG20" i="1"/>
  <c r="AG36" i="1"/>
  <c r="AG47" i="1"/>
  <c r="AG55" i="1"/>
  <c r="AG66" i="1"/>
  <c r="AG84" i="1"/>
  <c r="AG75" i="1"/>
  <c r="AG90" i="1"/>
  <c r="AG98" i="1"/>
  <c r="AG65" i="1"/>
  <c r="AG111" i="1"/>
  <c r="AG121" i="1"/>
  <c r="AG129" i="1"/>
  <c r="AG139" i="1"/>
  <c r="AG148" i="1"/>
  <c r="AG157" i="1"/>
  <c r="AG215" i="1"/>
  <c r="AG223" i="1"/>
  <c r="AG165" i="1"/>
  <c r="AG173" i="1"/>
  <c r="AG180" i="1"/>
  <c r="AG189" i="1"/>
  <c r="AG197" i="1"/>
  <c r="AG205" i="1"/>
  <c r="AG238" i="1"/>
  <c r="AG40" i="1"/>
  <c r="AG77" i="1"/>
  <c r="AG69" i="1"/>
  <c r="AG122" i="1"/>
  <c r="AG140" i="1"/>
  <c r="AG158" i="1"/>
  <c r="AG224" i="1"/>
  <c r="AG181" i="1"/>
  <c r="AG206" i="1"/>
  <c r="AG28" i="1"/>
  <c r="AG43" i="1"/>
  <c r="AG51" i="1"/>
  <c r="AG59" i="1"/>
  <c r="AG76" i="1"/>
  <c r="AG64" i="1"/>
  <c r="AG83" i="1"/>
  <c r="AG94" i="1"/>
  <c r="AG102" i="1"/>
  <c r="AG107" i="1"/>
  <c r="AG115" i="1"/>
  <c r="AG125" i="1"/>
  <c r="AG135" i="1"/>
  <c r="AG145" i="1"/>
  <c r="AG152" i="1"/>
  <c r="AG162" i="1"/>
  <c r="AG219" i="1"/>
  <c r="AG233" i="1"/>
  <c r="AG169" i="1"/>
  <c r="AG176" i="1"/>
  <c r="AG184" i="1"/>
  <c r="AG193" i="1"/>
  <c r="AG201" i="1"/>
  <c r="AG210" i="1"/>
  <c r="AG227" i="1"/>
  <c r="AG154" i="1"/>
  <c r="AG220" i="1"/>
  <c r="AG170" i="1"/>
  <c r="AG185" i="1"/>
  <c r="AG194" i="1"/>
  <c r="AG211" i="1"/>
  <c r="AG228" i="1"/>
  <c r="AG24" i="1"/>
  <c r="AG48" i="1"/>
  <c r="AG56" i="1"/>
  <c r="AG70" i="1"/>
  <c r="AG86" i="1"/>
  <c r="AG91" i="1"/>
  <c r="AG99" i="1"/>
  <c r="AG112" i="1"/>
  <c r="AG130" i="1"/>
  <c r="AG216" i="1"/>
  <c r="AG166" i="1"/>
  <c r="AG236" i="1"/>
  <c r="AG198" i="1"/>
  <c r="AG239" i="1"/>
  <c r="W26" i="3"/>
  <c r="W21" i="3"/>
  <c r="W10" i="3"/>
  <c r="W23" i="3"/>
  <c r="W31" i="3"/>
  <c r="W29" i="3"/>
  <c r="W18" i="3"/>
  <c r="W25" i="3"/>
  <c r="W14" i="3"/>
  <c r="W16" i="3"/>
  <c r="W7" i="3"/>
  <c r="W24" i="3"/>
  <c r="W27" i="3"/>
  <c r="W30" i="3"/>
  <c r="W13" i="3"/>
  <c r="W17" i="3"/>
  <c r="W32" i="3"/>
  <c r="W20" i="3"/>
  <c r="W22" i="3"/>
  <c r="W11" i="3"/>
  <c r="W12" i="3"/>
  <c r="W28" i="3"/>
  <c r="W15" i="3"/>
  <c r="W8" i="3"/>
  <c r="W9" i="3"/>
  <c r="W19" i="3"/>
  <c r="W33" i="3"/>
  <c r="X190" i="1" l="1"/>
  <c r="X183" i="1"/>
  <c r="X150" i="1"/>
  <c r="X209" i="1"/>
  <c r="AA163" i="1"/>
  <c r="AA70" i="1"/>
  <c r="AA54" i="1"/>
  <c r="AA142" i="1"/>
  <c r="X147" i="1"/>
  <c r="AA227" i="1"/>
  <c r="AA238" i="1"/>
  <c r="AA210" i="1"/>
  <c r="W210" i="1" s="1"/>
  <c r="AA181" i="1"/>
  <c r="AA177" i="1"/>
  <c r="T163" i="1"/>
  <c r="X151" i="1"/>
  <c r="X159" i="1"/>
  <c r="X155" i="1"/>
  <c r="X148" i="1"/>
  <c r="X189" i="1"/>
  <c r="X207" i="1"/>
  <c r="T207" i="1"/>
  <c r="X144" i="1"/>
  <c r="AA214" i="1"/>
  <c r="AA145" i="1"/>
  <c r="AA139" i="1"/>
  <c r="AA135" i="1"/>
  <c r="AA129" i="1"/>
  <c r="W129" i="1" s="1"/>
  <c r="AA125" i="1"/>
  <c r="AA121" i="1"/>
  <c r="X208" i="1"/>
  <c r="AI142" i="1"/>
  <c r="U142" i="1"/>
  <c r="S142" i="1" s="1"/>
  <c r="AI141" i="1"/>
  <c r="U141" i="1"/>
  <c r="S141" i="1" s="1"/>
  <c r="W142" i="1"/>
  <c r="W141" i="1"/>
  <c r="X142" i="1"/>
  <c r="X141" i="1"/>
  <c r="AI207" i="1"/>
  <c r="U207" i="1"/>
  <c r="S207" i="1" s="1"/>
  <c r="W207" i="1"/>
  <c r="W187" i="1"/>
  <c r="U187" i="1"/>
  <c r="S187" i="1" s="1"/>
  <c r="AI187" i="1"/>
  <c r="X187" i="1"/>
  <c r="R25" i="3"/>
  <c r="X160" i="1"/>
  <c r="X221" i="1"/>
  <c r="T159" i="1"/>
  <c r="U159" i="1" s="1"/>
  <c r="S159" i="1" s="1"/>
  <c r="X153" i="1"/>
  <c r="X162" i="1"/>
  <c r="AA216" i="1"/>
  <c r="AA162" i="1"/>
  <c r="W162" i="1" s="1"/>
  <c r="AA223" i="1"/>
  <c r="W223" i="1" s="1"/>
  <c r="AA218" i="1"/>
  <c r="W218" i="1" s="1"/>
  <c r="AA104" i="1"/>
  <c r="AA100" i="1"/>
  <c r="W100" i="1" s="1"/>
  <c r="AA92" i="1"/>
  <c r="AA88" i="1"/>
  <c r="W88" i="1" s="1"/>
  <c r="AA63" i="1"/>
  <c r="AA55" i="1"/>
  <c r="W55" i="1" s="1"/>
  <c r="AA42" i="1"/>
  <c r="AA38" i="1"/>
  <c r="W38" i="1" s="1"/>
  <c r="AA34" i="1"/>
  <c r="AA30" i="1"/>
  <c r="W30" i="1" s="1"/>
  <c r="AA26" i="1"/>
  <c r="AA22" i="1"/>
  <c r="W22" i="1" s="1"/>
  <c r="AA18" i="1"/>
  <c r="X149" i="1"/>
  <c r="X152" i="1"/>
  <c r="AA148" i="1"/>
  <c r="W148" i="1" s="1"/>
  <c r="X64" i="1"/>
  <c r="AA50" i="1"/>
  <c r="W50" i="1" s="1"/>
  <c r="X154" i="1"/>
  <c r="U153" i="1"/>
  <c r="AI153" i="1"/>
  <c r="W153" i="1"/>
  <c r="AI159" i="1"/>
  <c r="W159" i="1"/>
  <c r="AI151" i="1"/>
  <c r="U151" i="1"/>
  <c r="W151" i="1"/>
  <c r="X182" i="1"/>
  <c r="X121" i="1"/>
  <c r="X194" i="1"/>
  <c r="X174" i="1"/>
  <c r="X167" i="1"/>
  <c r="X235" i="1"/>
  <c r="AA230" i="1"/>
  <c r="AA226" i="1"/>
  <c r="W226" i="1" s="1"/>
  <c r="AA237" i="1"/>
  <c r="AA200" i="1"/>
  <c r="AA199" i="1"/>
  <c r="X185" i="1"/>
  <c r="AA180" i="1"/>
  <c r="W180" i="1" s="1"/>
  <c r="X179" i="1"/>
  <c r="AA173" i="1"/>
  <c r="AA172" i="1"/>
  <c r="AA165" i="1"/>
  <c r="W165" i="1" s="1"/>
  <c r="AA217" i="1"/>
  <c r="X215" i="1"/>
  <c r="AA52" i="1"/>
  <c r="W52" i="1" s="1"/>
  <c r="AA48" i="1"/>
  <c r="W48" i="1" s="1"/>
  <c r="AA43" i="1"/>
  <c r="AA120" i="1"/>
  <c r="W120" i="1" s="1"/>
  <c r="AA98" i="1"/>
  <c r="W98" i="1" s="1"/>
  <c r="AA90" i="1"/>
  <c r="W90" i="1" s="1"/>
  <c r="AA86" i="1"/>
  <c r="AA82" i="1"/>
  <c r="AA78" i="1"/>
  <c r="AA36" i="1"/>
  <c r="W36" i="1" s="1"/>
  <c r="AA229" i="1"/>
  <c r="AA225" i="1"/>
  <c r="AA212" i="1"/>
  <c r="W212" i="1" s="1"/>
  <c r="AA176" i="1"/>
  <c r="T169" i="1"/>
  <c r="AA235" i="1"/>
  <c r="AA231" i="1"/>
  <c r="W231" i="1" s="1"/>
  <c r="T215" i="1"/>
  <c r="U215" i="1" s="1"/>
  <c r="S215" i="1" s="1"/>
  <c r="AA154" i="1"/>
  <c r="AA150" i="1"/>
  <c r="AA114" i="1"/>
  <c r="W114" i="1" s="1"/>
  <c r="AA110" i="1"/>
  <c r="W110" i="1" s="1"/>
  <c r="AA106" i="1"/>
  <c r="AA102" i="1"/>
  <c r="AA94" i="1"/>
  <c r="AA69" i="1"/>
  <c r="X133" i="1"/>
  <c r="X192" i="1"/>
  <c r="AA169" i="1"/>
  <c r="W169" i="1" s="1"/>
  <c r="X156" i="1"/>
  <c r="X91" i="1"/>
  <c r="X196" i="1"/>
  <c r="X186" i="1"/>
  <c r="AA157" i="1"/>
  <c r="AA87" i="1"/>
  <c r="X62" i="1"/>
  <c r="S25" i="3"/>
  <c r="AA228" i="1"/>
  <c r="W228" i="1" s="1"/>
  <c r="AA239" i="1"/>
  <c r="AA211" i="1"/>
  <c r="AA198" i="1"/>
  <c r="W198" i="1" s="1"/>
  <c r="T176" i="1"/>
  <c r="X236" i="1"/>
  <c r="AA234" i="1"/>
  <c r="W234" i="1" s="1"/>
  <c r="X233" i="1"/>
  <c r="AA233" i="1"/>
  <c r="W233" i="1" s="1"/>
  <c r="AA224" i="1"/>
  <c r="AA221" i="1"/>
  <c r="W221" i="1" s="1"/>
  <c r="AA220" i="1"/>
  <c r="X219" i="1"/>
  <c r="AA161" i="1"/>
  <c r="AA147" i="1"/>
  <c r="W147" i="1" s="1"/>
  <c r="AA143" i="1"/>
  <c r="AA137" i="1"/>
  <c r="W137" i="1" s="1"/>
  <c r="AA133" i="1"/>
  <c r="AA127" i="1"/>
  <c r="W127" i="1" s="1"/>
  <c r="AA123" i="1"/>
  <c r="AA117" i="1"/>
  <c r="W117" i="1" s="1"/>
  <c r="AA113" i="1"/>
  <c r="AA109" i="1"/>
  <c r="W109" i="1" s="1"/>
  <c r="AA105" i="1"/>
  <c r="AA101" i="1"/>
  <c r="W101" i="1" s="1"/>
  <c r="AA93" i="1"/>
  <c r="AA67" i="1"/>
  <c r="W67" i="1" s="1"/>
  <c r="AA46" i="1"/>
  <c r="AA39" i="1"/>
  <c r="W39" i="1" s="1"/>
  <c r="AA31" i="1"/>
  <c r="AA27" i="1"/>
  <c r="AA23" i="1"/>
  <c r="AA19" i="1"/>
  <c r="W19" i="1" s="1"/>
  <c r="W132" i="1"/>
  <c r="U132" i="1"/>
  <c r="S132" i="1" s="1"/>
  <c r="AI132" i="1"/>
  <c r="X132" i="1"/>
  <c r="AI131" i="1"/>
  <c r="U131" i="1"/>
  <c r="S131" i="1" s="1"/>
  <c r="W131" i="1"/>
  <c r="X131" i="1"/>
  <c r="AI120" i="1"/>
  <c r="U120" i="1"/>
  <c r="S120" i="1" s="1"/>
  <c r="AI119" i="1"/>
  <c r="U119" i="1"/>
  <c r="S119" i="1" s="1"/>
  <c r="W119" i="1"/>
  <c r="X120" i="1"/>
  <c r="X119" i="1"/>
  <c r="X200" i="1"/>
  <c r="X191" i="1"/>
  <c r="X166" i="1"/>
  <c r="AA164" i="1"/>
  <c r="W164" i="1" s="1"/>
  <c r="AA219" i="1"/>
  <c r="W219" i="1" s="1"/>
  <c r="AA146" i="1"/>
  <c r="AA140" i="1"/>
  <c r="W140" i="1" s="1"/>
  <c r="AA136" i="1"/>
  <c r="W136" i="1" s="1"/>
  <c r="AA130" i="1"/>
  <c r="W130" i="1" s="1"/>
  <c r="AA126" i="1"/>
  <c r="AA122" i="1"/>
  <c r="W122" i="1" s="1"/>
  <c r="AA116" i="1"/>
  <c r="W116" i="1" s="1"/>
  <c r="AA112" i="1"/>
  <c r="W112" i="1" s="1"/>
  <c r="AA108" i="1"/>
  <c r="AA97" i="1"/>
  <c r="W97" i="1" s="1"/>
  <c r="AA91" i="1"/>
  <c r="W91" i="1" s="1"/>
  <c r="T64" i="1"/>
  <c r="U64" i="1" s="1"/>
  <c r="S64" i="1" s="1"/>
  <c r="AA62" i="1"/>
  <c r="AA58" i="1"/>
  <c r="W58" i="1" s="1"/>
  <c r="AA51" i="1"/>
  <c r="W51" i="1" s="1"/>
  <c r="AA49" i="1"/>
  <c r="W49" i="1" s="1"/>
  <c r="AA35" i="1"/>
  <c r="AA33" i="1"/>
  <c r="W33" i="1" s="1"/>
  <c r="AA29" i="1"/>
  <c r="W29" i="1" s="1"/>
  <c r="AA25" i="1"/>
  <c r="W25" i="1" s="1"/>
  <c r="AA21" i="1"/>
  <c r="AA17" i="1"/>
  <c r="W17" i="1" s="1"/>
  <c r="AA189" i="1"/>
  <c r="W189" i="1" s="1"/>
  <c r="T186" i="1"/>
  <c r="U186" i="1" s="1"/>
  <c r="S186" i="1" s="1"/>
  <c r="AA184" i="1"/>
  <c r="X181" i="1"/>
  <c r="X177" i="1"/>
  <c r="AA174" i="1"/>
  <c r="W174" i="1" s="1"/>
  <c r="AA236" i="1"/>
  <c r="T233" i="1"/>
  <c r="U233" i="1" s="1"/>
  <c r="S233" i="1" s="1"/>
  <c r="X224" i="1"/>
  <c r="AA222" i="1"/>
  <c r="W222" i="1" s="1"/>
  <c r="X218" i="1"/>
  <c r="AA215" i="1"/>
  <c r="W215" i="1" s="1"/>
  <c r="AA149" i="1"/>
  <c r="W149" i="1" s="1"/>
  <c r="AA190" i="1"/>
  <c r="W190" i="1" s="1"/>
  <c r="AA185" i="1"/>
  <c r="AA171" i="1"/>
  <c r="W171" i="1" s="1"/>
  <c r="AA170" i="1"/>
  <c r="W170" i="1" s="1"/>
  <c r="AA167" i="1"/>
  <c r="W167" i="1" s="1"/>
  <c r="AA166" i="1"/>
  <c r="T219" i="1"/>
  <c r="U219" i="1" s="1"/>
  <c r="S219" i="1" s="1"/>
  <c r="X216" i="1"/>
  <c r="AA160" i="1"/>
  <c r="W160" i="1" s="1"/>
  <c r="AA158" i="1"/>
  <c r="AA156" i="1"/>
  <c r="W156" i="1" s="1"/>
  <c r="AA155" i="1"/>
  <c r="W155" i="1" s="1"/>
  <c r="AA144" i="1"/>
  <c r="W144" i="1" s="1"/>
  <c r="AA138" i="1"/>
  <c r="AA134" i="1"/>
  <c r="AA128" i="1"/>
  <c r="AA124" i="1"/>
  <c r="W124" i="1" s="1"/>
  <c r="AA118" i="1"/>
  <c r="AA84" i="1"/>
  <c r="W84" i="1" s="1"/>
  <c r="AA80" i="1"/>
  <c r="AA76" i="1"/>
  <c r="W76" i="1" s="1"/>
  <c r="AA65" i="1"/>
  <c r="X58" i="1"/>
  <c r="AA40" i="1"/>
  <c r="AA15" i="1"/>
  <c r="W15" i="1" s="1"/>
  <c r="AA115" i="1"/>
  <c r="AA111" i="1"/>
  <c r="W111" i="1" s="1"/>
  <c r="AA107" i="1"/>
  <c r="AA96" i="1"/>
  <c r="W96" i="1" s="1"/>
  <c r="AA74" i="1"/>
  <c r="AA73" i="1"/>
  <c r="W73" i="1" s="1"/>
  <c r="AA66" i="1"/>
  <c r="AA47" i="1"/>
  <c r="W47" i="1" s="1"/>
  <c r="AA45" i="1"/>
  <c r="AA44" i="1"/>
  <c r="AA32" i="1"/>
  <c r="AA28" i="1"/>
  <c r="W28" i="1" s="1"/>
  <c r="AA24" i="1"/>
  <c r="AA20" i="1"/>
  <c r="W20" i="1" s="1"/>
  <c r="AA16" i="1"/>
  <c r="AA209" i="1"/>
  <c r="W209" i="1" s="1"/>
  <c r="AA208" i="1"/>
  <c r="AA206" i="1"/>
  <c r="W206" i="1" s="1"/>
  <c r="AA205" i="1"/>
  <c r="AA204" i="1"/>
  <c r="W204" i="1" s="1"/>
  <c r="AA203" i="1"/>
  <c r="AA202" i="1"/>
  <c r="W202" i="1" s="1"/>
  <c r="AA201" i="1"/>
  <c r="X199" i="1"/>
  <c r="AA188" i="1"/>
  <c r="W188" i="1" s="1"/>
  <c r="AA186" i="1"/>
  <c r="AA179" i="1"/>
  <c r="AA178" i="1"/>
  <c r="W178" i="1" s="1"/>
  <c r="X173" i="1"/>
  <c r="X172" i="1"/>
  <c r="X165" i="1"/>
  <c r="X164" i="1"/>
  <c r="T235" i="1"/>
  <c r="U235" i="1" s="1"/>
  <c r="S235" i="1" s="1"/>
  <c r="X223" i="1"/>
  <c r="X222" i="1"/>
  <c r="T221" i="1"/>
  <c r="X213" i="1"/>
  <c r="T213" i="1"/>
  <c r="X214" i="1"/>
  <c r="X158" i="1"/>
  <c r="T156" i="1"/>
  <c r="U156" i="1" s="1"/>
  <c r="S156" i="1" s="1"/>
  <c r="T150" i="1"/>
  <c r="T200" i="1"/>
  <c r="U200" i="1" s="1"/>
  <c r="S200" i="1" s="1"/>
  <c r="T191" i="1"/>
  <c r="T182" i="1"/>
  <c r="U182" i="1" s="1"/>
  <c r="S182" i="1" s="1"/>
  <c r="X171" i="1"/>
  <c r="X170" i="1"/>
  <c r="X234" i="1"/>
  <c r="X220" i="1"/>
  <c r="AA197" i="1"/>
  <c r="AA196" i="1"/>
  <c r="AA195" i="1"/>
  <c r="W195" i="1" s="1"/>
  <c r="AA194" i="1"/>
  <c r="W194" i="1" s="1"/>
  <c r="AA193" i="1"/>
  <c r="AA192" i="1"/>
  <c r="W192" i="1" s="1"/>
  <c r="AA191" i="1"/>
  <c r="W191" i="1" s="1"/>
  <c r="X184" i="1"/>
  <c r="AA183" i="1"/>
  <c r="AA182" i="1"/>
  <c r="W182" i="1" s="1"/>
  <c r="X175" i="1"/>
  <c r="T174" i="1"/>
  <c r="X168" i="1"/>
  <c r="T167" i="1"/>
  <c r="U167" i="1" s="1"/>
  <c r="S167" i="1" s="1"/>
  <c r="X232" i="1"/>
  <c r="X231" i="1"/>
  <c r="X217" i="1"/>
  <c r="T217" i="1"/>
  <c r="T160" i="1"/>
  <c r="U160" i="1" s="1"/>
  <c r="S160" i="1" s="1"/>
  <c r="T161" i="1"/>
  <c r="U161" i="1" s="1"/>
  <c r="S161" i="1" s="1"/>
  <c r="X90" i="1"/>
  <c r="AA89" i="1"/>
  <c r="AA72" i="1"/>
  <c r="W72" i="1" s="1"/>
  <c r="AA71" i="1"/>
  <c r="W71" i="1" s="1"/>
  <c r="AA68" i="1"/>
  <c r="AA61" i="1"/>
  <c r="AA60" i="1"/>
  <c r="W60" i="1" s="1"/>
  <c r="AA59" i="1"/>
  <c r="W59" i="1" s="1"/>
  <c r="T91" i="1"/>
  <c r="AA14" i="1"/>
  <c r="AA85" i="1"/>
  <c r="W85" i="1" s="1"/>
  <c r="AA83" i="1"/>
  <c r="W83" i="1" s="1"/>
  <c r="AA81" i="1"/>
  <c r="AA79" i="1"/>
  <c r="AA77" i="1"/>
  <c r="W77" i="1" s="1"/>
  <c r="AA75" i="1"/>
  <c r="W75" i="1" s="1"/>
  <c r="AA64" i="1"/>
  <c r="X59" i="1"/>
  <c r="AA57" i="1"/>
  <c r="W57" i="1" s="1"/>
  <c r="AA56" i="1"/>
  <c r="W56" i="1" s="1"/>
  <c r="U230" i="1"/>
  <c r="S230" i="1" s="1"/>
  <c r="AI239" i="1"/>
  <c r="U229" i="1"/>
  <c r="S229" i="1" s="1"/>
  <c r="AI238" i="1"/>
  <c r="U228" i="1"/>
  <c r="S228" i="1" s="1"/>
  <c r="AI237" i="1"/>
  <c r="U227" i="1"/>
  <c r="S227" i="1" s="1"/>
  <c r="AI236" i="1"/>
  <c r="U226" i="1"/>
  <c r="S226" i="1" s="1"/>
  <c r="AI235" i="1"/>
  <c r="U225" i="1"/>
  <c r="S225" i="1" s="1"/>
  <c r="AI234" i="1"/>
  <c r="U239" i="1"/>
  <c r="S239" i="1" s="1"/>
  <c r="AI233" i="1"/>
  <c r="U238" i="1"/>
  <c r="S238" i="1" s="1"/>
  <c r="AI232" i="1"/>
  <c r="U237" i="1"/>
  <c r="S237" i="1" s="1"/>
  <c r="AI231" i="1"/>
  <c r="U212" i="1"/>
  <c r="S212" i="1" s="1"/>
  <c r="AI230" i="1"/>
  <c r="U211" i="1"/>
  <c r="S211" i="1" s="1"/>
  <c r="AI229" i="1"/>
  <c r="U210" i="1"/>
  <c r="S210" i="1" s="1"/>
  <c r="AI228" i="1"/>
  <c r="U209" i="1"/>
  <c r="S209" i="1" s="1"/>
  <c r="AI227" i="1"/>
  <c r="U208" i="1"/>
  <c r="S208" i="1" s="1"/>
  <c r="AI226" i="1"/>
  <c r="U206" i="1"/>
  <c r="S206" i="1" s="1"/>
  <c r="AI225" i="1"/>
  <c r="U205" i="1"/>
  <c r="S205" i="1" s="1"/>
  <c r="AI224" i="1"/>
  <c r="U204" i="1"/>
  <c r="S204" i="1" s="1"/>
  <c r="AI223" i="1"/>
  <c r="U203" i="1"/>
  <c r="S203" i="1" s="1"/>
  <c r="AI222" i="1"/>
  <c r="U202" i="1"/>
  <c r="S202" i="1" s="1"/>
  <c r="AI221" i="1"/>
  <c r="U201" i="1"/>
  <c r="S201" i="1" s="1"/>
  <c r="AI220" i="1"/>
  <c r="AI219" i="1"/>
  <c r="U199" i="1"/>
  <c r="S199" i="1" s="1"/>
  <c r="AI218" i="1"/>
  <c r="U198" i="1"/>
  <c r="S198" i="1" s="1"/>
  <c r="AI217" i="1"/>
  <c r="U197" i="1"/>
  <c r="S197" i="1" s="1"/>
  <c r="AI216" i="1"/>
  <c r="AI215" i="1"/>
  <c r="U195" i="1"/>
  <c r="S195" i="1" s="1"/>
  <c r="AI214" i="1"/>
  <c r="AI213" i="1"/>
  <c r="U193" i="1"/>
  <c r="S193" i="1" s="1"/>
  <c r="AI212" i="1"/>
  <c r="AI211" i="1"/>
  <c r="U191" i="1"/>
  <c r="S191" i="1" s="1"/>
  <c r="AI210" i="1"/>
  <c r="AI209" i="1"/>
  <c r="U189" i="1"/>
  <c r="S189" i="1" s="1"/>
  <c r="AI208" i="1"/>
  <c r="AI206" i="1"/>
  <c r="AI205" i="1"/>
  <c r="AI204" i="1"/>
  <c r="U184" i="1"/>
  <c r="S184" i="1" s="1"/>
  <c r="AI203" i="1"/>
  <c r="AI202" i="1"/>
  <c r="AI201" i="1"/>
  <c r="AI200" i="1"/>
  <c r="U180" i="1"/>
  <c r="S180" i="1" s="1"/>
  <c r="AI199" i="1"/>
  <c r="AI198" i="1"/>
  <c r="U178" i="1"/>
  <c r="S178" i="1" s="1"/>
  <c r="AI197" i="1"/>
  <c r="AI196" i="1"/>
  <c r="U176" i="1"/>
  <c r="S176" i="1" s="1"/>
  <c r="AI195" i="1"/>
  <c r="U175" i="1"/>
  <c r="S175" i="1" s="1"/>
  <c r="AI194" i="1"/>
  <c r="U174" i="1"/>
  <c r="S174" i="1" s="1"/>
  <c r="AI193" i="1"/>
  <c r="U236" i="1"/>
  <c r="S236" i="1" s="1"/>
  <c r="AI192" i="1"/>
  <c r="U173" i="1"/>
  <c r="S173" i="1" s="1"/>
  <c r="AI191" i="1"/>
  <c r="W173" i="1"/>
  <c r="U172" i="1"/>
  <c r="S172" i="1" s="1"/>
  <c r="AI190" i="1"/>
  <c r="U171" i="1"/>
  <c r="S171" i="1" s="1"/>
  <c r="AI189" i="1"/>
  <c r="U170" i="1"/>
  <c r="S170" i="1" s="1"/>
  <c r="AI188" i="1"/>
  <c r="U169" i="1"/>
  <c r="S169" i="1" s="1"/>
  <c r="AI186" i="1"/>
  <c r="U168" i="1"/>
  <c r="S168" i="1" s="1"/>
  <c r="AI185" i="1"/>
  <c r="AI184" i="1"/>
  <c r="U166" i="1"/>
  <c r="S166" i="1" s="1"/>
  <c r="AI183" i="1"/>
  <c r="U165" i="1"/>
  <c r="S165" i="1" s="1"/>
  <c r="AI182" i="1"/>
  <c r="U164" i="1"/>
  <c r="S164" i="1" s="1"/>
  <c r="AI181" i="1"/>
  <c r="AI180" i="1"/>
  <c r="W235" i="1"/>
  <c r="U234" i="1"/>
  <c r="S234" i="1" s="1"/>
  <c r="AI179" i="1"/>
  <c r="AI178" i="1"/>
  <c r="U232" i="1"/>
  <c r="S232" i="1" s="1"/>
  <c r="AI177" i="1"/>
  <c r="U231" i="1"/>
  <c r="S231" i="1" s="1"/>
  <c r="AI176" i="1"/>
  <c r="U224" i="1"/>
  <c r="S224" i="1" s="1"/>
  <c r="AI175" i="1"/>
  <c r="U223" i="1"/>
  <c r="S223" i="1" s="1"/>
  <c r="AI174" i="1"/>
  <c r="U222" i="1"/>
  <c r="S222" i="1" s="1"/>
  <c r="AI173" i="1"/>
  <c r="U221" i="1"/>
  <c r="S221" i="1" s="1"/>
  <c r="AI172" i="1"/>
  <c r="U220" i="1"/>
  <c r="S220" i="1" s="1"/>
  <c r="AI171" i="1"/>
  <c r="AI170" i="1"/>
  <c r="U218" i="1"/>
  <c r="S218" i="1" s="1"/>
  <c r="AI169" i="1"/>
  <c r="U217" i="1"/>
  <c r="S217" i="1" s="1"/>
  <c r="AI168" i="1"/>
  <c r="W217" i="1"/>
  <c r="U216" i="1"/>
  <c r="S216" i="1" s="1"/>
  <c r="AI167" i="1"/>
  <c r="AI166" i="1"/>
  <c r="U214" i="1"/>
  <c r="S214" i="1" s="1"/>
  <c r="AI165" i="1"/>
  <c r="U213" i="1"/>
  <c r="S213" i="1" s="1"/>
  <c r="AI164" i="1"/>
  <c r="W213" i="1"/>
  <c r="U163" i="1"/>
  <c r="S163" i="1" s="1"/>
  <c r="AI163" i="1"/>
  <c r="U162" i="1"/>
  <c r="S162" i="1" s="1"/>
  <c r="AI162" i="1"/>
  <c r="AI161" i="1"/>
  <c r="AI160" i="1"/>
  <c r="U158" i="1"/>
  <c r="S158" i="1" s="1"/>
  <c r="AI158" i="1"/>
  <c r="U157" i="1"/>
  <c r="S157" i="1" s="1"/>
  <c r="AI157" i="1"/>
  <c r="W157" i="1"/>
  <c r="AI156" i="1"/>
  <c r="U155" i="1"/>
  <c r="S155" i="1" s="1"/>
  <c r="AI155" i="1"/>
  <c r="U154" i="1"/>
  <c r="S154" i="1" s="1"/>
  <c r="AI154" i="1"/>
  <c r="U152" i="1"/>
  <c r="AI152" i="1"/>
  <c r="W152" i="1"/>
  <c r="U150" i="1"/>
  <c r="AI150" i="1"/>
  <c r="U149" i="1"/>
  <c r="S149" i="1" s="1"/>
  <c r="AI149" i="1"/>
  <c r="U148" i="1"/>
  <c r="S148" i="1" s="1"/>
  <c r="AI148" i="1"/>
  <c r="AI147" i="1"/>
  <c r="W146" i="1"/>
  <c r="AI146" i="1"/>
  <c r="AI145" i="1"/>
  <c r="AI144" i="1"/>
  <c r="AI143" i="1"/>
  <c r="AI140" i="1"/>
  <c r="AI139" i="1"/>
  <c r="AI138" i="1"/>
  <c r="AI137" i="1"/>
  <c r="AI136" i="1"/>
  <c r="AI135" i="1"/>
  <c r="AI134" i="1"/>
  <c r="AI133" i="1"/>
  <c r="AI130" i="1"/>
  <c r="AI129" i="1"/>
  <c r="AI128" i="1"/>
  <c r="AI127" i="1"/>
  <c r="AI126" i="1"/>
  <c r="AI125" i="1"/>
  <c r="AI124" i="1"/>
  <c r="AI123" i="1"/>
  <c r="AI122" i="1"/>
  <c r="AI121" i="1"/>
  <c r="AI118" i="1"/>
  <c r="AI117" i="1"/>
  <c r="AI116" i="1"/>
  <c r="AI115" i="1"/>
  <c r="U115" i="1"/>
  <c r="S115" i="1" s="1"/>
  <c r="AI114" i="1"/>
  <c r="U114" i="1"/>
  <c r="S114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108" i="1"/>
  <c r="U108" i="1"/>
  <c r="S108" i="1" s="1"/>
  <c r="AI107" i="1"/>
  <c r="U107" i="1"/>
  <c r="S107" i="1" s="1"/>
  <c r="AI106" i="1"/>
  <c r="U106" i="1"/>
  <c r="S106" i="1" s="1"/>
  <c r="AI105" i="1"/>
  <c r="U69" i="1"/>
  <c r="S69" i="1" s="1"/>
  <c r="AI69" i="1"/>
  <c r="U65" i="1"/>
  <c r="S65" i="1" s="1"/>
  <c r="AI65" i="1"/>
  <c r="U63" i="1"/>
  <c r="S63" i="1" s="1"/>
  <c r="AI63" i="1"/>
  <c r="AI104" i="1"/>
  <c r="AI103" i="1"/>
  <c r="AI102" i="1"/>
  <c r="AI101" i="1"/>
  <c r="AI100" i="1"/>
  <c r="AI99" i="1"/>
  <c r="AI98" i="1"/>
  <c r="AI97" i="1"/>
  <c r="AI96" i="1"/>
  <c r="AI95" i="1"/>
  <c r="AI94" i="1"/>
  <c r="U94" i="1"/>
  <c r="S94" i="1" s="1"/>
  <c r="AI93" i="1"/>
  <c r="U93" i="1"/>
  <c r="S93" i="1" s="1"/>
  <c r="AI92" i="1"/>
  <c r="U92" i="1"/>
  <c r="S92" i="1" s="1"/>
  <c r="AI91" i="1"/>
  <c r="U91" i="1"/>
  <c r="S91" i="1" s="1"/>
  <c r="AI90" i="1"/>
  <c r="U90" i="1"/>
  <c r="S90" i="1" s="1"/>
  <c r="AI89" i="1"/>
  <c r="AI87" i="1"/>
  <c r="AI85" i="1"/>
  <c r="AI83" i="1"/>
  <c r="AI81" i="1"/>
  <c r="AI79" i="1"/>
  <c r="AI77" i="1"/>
  <c r="AI75" i="1"/>
  <c r="AI73" i="1"/>
  <c r="AI71" i="1"/>
  <c r="AI68" i="1"/>
  <c r="U68" i="1"/>
  <c r="S68" i="1" s="1"/>
  <c r="AI64" i="1"/>
  <c r="U67" i="1"/>
  <c r="S67" i="1" s="1"/>
  <c r="AI67" i="1"/>
  <c r="AI88" i="1"/>
  <c r="AI86" i="1"/>
  <c r="AI84" i="1"/>
  <c r="AI82" i="1"/>
  <c r="AI80" i="1"/>
  <c r="AI78" i="1"/>
  <c r="AI76" i="1"/>
  <c r="AI74" i="1"/>
  <c r="AI72" i="1"/>
  <c r="U70" i="1"/>
  <c r="S70" i="1" s="1"/>
  <c r="AI70" i="1"/>
  <c r="U66" i="1"/>
  <c r="S66" i="1" s="1"/>
  <c r="AI66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30" i="1"/>
  <c r="W229" i="1"/>
  <c r="W227" i="1"/>
  <c r="W225" i="1"/>
  <c r="W239" i="1"/>
  <c r="W238" i="1"/>
  <c r="W237" i="1"/>
  <c r="W211" i="1"/>
  <c r="W208" i="1"/>
  <c r="W205" i="1"/>
  <c r="W203" i="1"/>
  <c r="W201" i="1"/>
  <c r="W200" i="1"/>
  <c r="W236" i="1"/>
  <c r="W166" i="1"/>
  <c r="W172" i="1"/>
  <c r="W199" i="1"/>
  <c r="W175" i="1"/>
  <c r="W168" i="1"/>
  <c r="W232" i="1"/>
  <c r="X197" i="1"/>
  <c r="W196" i="1"/>
  <c r="T196" i="1"/>
  <c r="U196" i="1" s="1"/>
  <c r="S196" i="1" s="1"/>
  <c r="X195" i="1"/>
  <c r="T194" i="1"/>
  <c r="U194" i="1" s="1"/>
  <c r="S194" i="1" s="1"/>
  <c r="X193" i="1"/>
  <c r="T192" i="1"/>
  <c r="U192" i="1" s="1"/>
  <c r="S192" i="1" s="1"/>
  <c r="T190" i="1"/>
  <c r="U190" i="1" s="1"/>
  <c r="S190" i="1" s="1"/>
  <c r="T188" i="1"/>
  <c r="U188" i="1" s="1"/>
  <c r="S188" i="1" s="1"/>
  <c r="W185" i="1"/>
  <c r="T185" i="1"/>
  <c r="U185" i="1" s="1"/>
  <c r="S185" i="1" s="1"/>
  <c r="W183" i="1"/>
  <c r="T183" i="1"/>
  <c r="U183" i="1" s="1"/>
  <c r="S183" i="1" s="1"/>
  <c r="W181" i="1"/>
  <c r="T181" i="1"/>
  <c r="U181" i="1" s="1"/>
  <c r="S181" i="1" s="1"/>
  <c r="X180" i="1"/>
  <c r="W179" i="1"/>
  <c r="T179" i="1"/>
  <c r="U179" i="1" s="1"/>
  <c r="S179" i="1" s="1"/>
  <c r="X178" i="1"/>
  <c r="W177" i="1"/>
  <c r="T177" i="1"/>
  <c r="U177" i="1" s="1"/>
  <c r="S177" i="1" s="1"/>
  <c r="W214" i="1"/>
  <c r="W161" i="1"/>
  <c r="W154" i="1"/>
  <c r="X198" i="1"/>
  <c r="W197" i="1"/>
  <c r="W193" i="1"/>
  <c r="W186" i="1"/>
  <c r="W184" i="1"/>
  <c r="W176" i="1"/>
  <c r="W150" i="1"/>
  <c r="X230" i="1"/>
  <c r="X229" i="1"/>
  <c r="X228" i="1"/>
  <c r="X227" i="1"/>
  <c r="X226" i="1"/>
  <c r="X225" i="1"/>
  <c r="X239" i="1"/>
  <c r="X238" i="1"/>
  <c r="X237" i="1"/>
  <c r="X212" i="1"/>
  <c r="X211" i="1"/>
  <c r="X210" i="1"/>
  <c r="X206" i="1"/>
  <c r="X205" i="1"/>
  <c r="X204" i="1"/>
  <c r="X203" i="1"/>
  <c r="X202" i="1"/>
  <c r="X201" i="1"/>
  <c r="W224" i="1"/>
  <c r="W220" i="1"/>
  <c r="W216" i="1"/>
  <c r="W163" i="1"/>
  <c r="W158" i="1"/>
  <c r="X157" i="1"/>
  <c r="T147" i="1"/>
  <c r="U147" i="1" s="1"/>
  <c r="T146" i="1"/>
  <c r="U146" i="1" s="1"/>
  <c r="S146" i="1" s="1"/>
  <c r="T145" i="1"/>
  <c r="U145" i="1" s="1"/>
  <c r="S145" i="1" s="1"/>
  <c r="X145" i="1"/>
  <c r="T144" i="1"/>
  <c r="U144" i="1" s="1"/>
  <c r="S144" i="1" s="1"/>
  <c r="T143" i="1"/>
  <c r="U143" i="1" s="1"/>
  <c r="S143" i="1" s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W103" i="1"/>
  <c r="W99" i="1"/>
  <c r="W102" i="1"/>
  <c r="W145" i="1"/>
  <c r="W143" i="1"/>
  <c r="W139" i="1"/>
  <c r="W138" i="1"/>
  <c r="W135" i="1"/>
  <c r="W134" i="1"/>
  <c r="W133" i="1"/>
  <c r="W128" i="1"/>
  <c r="W126" i="1"/>
  <c r="W125" i="1"/>
  <c r="W123" i="1"/>
  <c r="W121" i="1"/>
  <c r="W118" i="1"/>
  <c r="W115" i="1"/>
  <c r="W113" i="1"/>
  <c r="W108" i="1"/>
  <c r="W107" i="1"/>
  <c r="W106" i="1"/>
  <c r="W105" i="1"/>
  <c r="W104" i="1"/>
  <c r="T104" i="1"/>
  <c r="U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W92" i="1"/>
  <c r="W89" i="1"/>
  <c r="W68" i="1"/>
  <c r="X115" i="1"/>
  <c r="X114" i="1"/>
  <c r="X113" i="1"/>
  <c r="X112" i="1"/>
  <c r="X111" i="1"/>
  <c r="X110" i="1"/>
  <c r="X109" i="1"/>
  <c r="X108" i="1"/>
  <c r="X107" i="1"/>
  <c r="X106" i="1"/>
  <c r="W86" i="1"/>
  <c r="W82" i="1"/>
  <c r="W80" i="1"/>
  <c r="W78" i="1"/>
  <c r="W74" i="1"/>
  <c r="W66" i="1"/>
  <c r="W65" i="1"/>
  <c r="W81" i="1"/>
  <c r="W79" i="1"/>
  <c r="W64" i="1"/>
  <c r="W63" i="1"/>
  <c r="T105" i="1"/>
  <c r="U105" i="1" s="1"/>
  <c r="S105" i="1" s="1"/>
  <c r="X105" i="1"/>
  <c r="W95" i="1"/>
  <c r="W94" i="1"/>
  <c r="W93" i="1"/>
  <c r="W87" i="1"/>
  <c r="W70" i="1"/>
  <c r="W69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2" i="1"/>
  <c r="U62" i="1" s="1"/>
  <c r="S62" i="1" s="1"/>
  <c r="X63" i="1"/>
  <c r="X61" i="1"/>
  <c r="X57" i="1"/>
  <c r="W53" i="1"/>
  <c r="W45" i="1"/>
  <c r="W41" i="1"/>
  <c r="W37" i="1"/>
  <c r="W44" i="1"/>
  <c r="W40" i="1"/>
  <c r="X94" i="1"/>
  <c r="X93" i="1"/>
  <c r="X92" i="1"/>
  <c r="T88" i="1"/>
  <c r="U88" i="1" s="1"/>
  <c r="S88" i="1" s="1"/>
  <c r="X88" i="1"/>
  <c r="T86" i="1"/>
  <c r="U86" i="1" s="1"/>
  <c r="S86" i="1" s="1"/>
  <c r="X86" i="1"/>
  <c r="T84" i="1"/>
  <c r="U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61" i="1"/>
  <c r="W43" i="1"/>
  <c r="W62" i="1"/>
  <c r="X60" i="1"/>
  <c r="X56" i="1"/>
  <c r="W54" i="1"/>
  <c r="W46" i="1"/>
  <c r="W42" i="1"/>
  <c r="X70" i="1"/>
  <c r="X69" i="1"/>
  <c r="X68" i="1"/>
  <c r="X67" i="1"/>
  <c r="X66" i="1"/>
  <c r="X65" i="1"/>
  <c r="W32" i="1"/>
  <c r="W31" i="1"/>
  <c r="W27" i="1"/>
  <c r="W26" i="1"/>
  <c r="W24" i="1"/>
  <c r="W23" i="1"/>
  <c r="W21" i="1"/>
  <c r="W18" i="1"/>
  <c r="W16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19" i="3"/>
  <c r="AE17" i="3"/>
  <c r="AD29" i="3"/>
  <c r="AC10" i="3"/>
  <c r="AC31" i="3"/>
  <c r="AC29" i="3"/>
  <c r="AC16" i="3"/>
  <c r="S32" i="3"/>
  <c r="T9" i="3"/>
  <c r="AC8" i="3"/>
  <c r="T8" i="3"/>
  <c r="S23" i="3"/>
  <c r="R26" i="3"/>
  <c r="S16" i="3"/>
  <c r="AC28" i="3"/>
  <c r="R32" i="3"/>
  <c r="AD16" i="3"/>
  <c r="AC19" i="3"/>
  <c r="S14" i="3"/>
  <c r="AD32" i="3"/>
  <c r="AC17" i="3"/>
  <c r="R14" i="3"/>
  <c r="AD9" i="3"/>
  <c r="AD30" i="3"/>
  <c r="AE29" i="3"/>
  <c r="AD27" i="3"/>
  <c r="AE24" i="3"/>
  <c r="AE21" i="3"/>
  <c r="AE11" i="3"/>
  <c r="AC25" i="3"/>
  <c r="AC13" i="3"/>
  <c r="T13" i="3"/>
  <c r="AC24" i="3"/>
  <c r="AD26" i="3"/>
  <c r="AE25" i="3"/>
  <c r="AD21" i="3"/>
  <c r="AD17" i="3"/>
  <c r="AD11" i="3"/>
  <c r="AD23" i="3"/>
  <c r="AE20" i="3"/>
  <c r="T23" i="3"/>
  <c r="AD18" i="3"/>
  <c r="T11" i="3"/>
  <c r="AD15" i="3"/>
  <c r="AE14" i="3"/>
  <c r="T30" i="3"/>
  <c r="AD12" i="3"/>
  <c r="AE10" i="3"/>
  <c r="T14" i="3"/>
  <c r="AC22" i="3"/>
  <c r="T22" i="3"/>
  <c r="AC18" i="3"/>
  <c r="AC12" i="3"/>
  <c r="AC21" i="3"/>
  <c r="AC32" i="3"/>
  <c r="Y28" i="3"/>
  <c r="Y32" i="3"/>
  <c r="Y7" i="3"/>
  <c r="Y18" i="3"/>
  <c r="Y17" i="3"/>
  <c r="Y19" i="3"/>
  <c r="Y29" i="3"/>
  <c r="Y12" i="3"/>
  <c r="Y13" i="3"/>
  <c r="Y16" i="3"/>
  <c r="Y31" i="3"/>
  <c r="Y9" i="3"/>
  <c r="Y23" i="3"/>
  <c r="Y11" i="3"/>
  <c r="Y30" i="3"/>
  <c r="Y14" i="3"/>
  <c r="Y10" i="3"/>
  <c r="Y22" i="3"/>
  <c r="Y8" i="3"/>
  <c r="Y27" i="3"/>
  <c r="Y25" i="3"/>
  <c r="Y21" i="3"/>
  <c r="Y24" i="3"/>
  <c r="Y26" i="3"/>
  <c r="Y20" i="3"/>
  <c r="Y15" i="3"/>
  <c r="AE33" i="3"/>
  <c r="AD33" i="3"/>
  <c r="AC26" i="3"/>
  <c r="AC20" i="3"/>
  <c r="AC15" i="3"/>
  <c r="AE32" i="3"/>
  <c r="T21" i="3"/>
  <c r="AD24" i="3"/>
  <c r="AE23" i="3"/>
  <c r="AD20" i="3"/>
  <c r="AE19" i="3"/>
  <c r="T26" i="3"/>
  <c r="AE16" i="3"/>
  <c r="T20" i="3"/>
  <c r="AD14" i="3"/>
  <c r="AE13" i="3"/>
  <c r="AD10" i="3"/>
  <c r="AE9" i="3"/>
  <c r="T15" i="3"/>
  <c r="AE31" i="3"/>
  <c r="AE28" i="3"/>
  <c r="T27" i="3"/>
  <c r="T25" i="3"/>
  <c r="AD31" i="3"/>
  <c r="AD28" i="3"/>
  <c r="AE27" i="3"/>
  <c r="T24" i="3"/>
  <c r="AE30" i="3"/>
  <c r="AE26" i="3"/>
  <c r="AE22" i="3"/>
  <c r="AE18" i="3"/>
  <c r="AE15" i="3"/>
  <c r="AE12" i="3"/>
  <c r="AE8" i="3"/>
  <c r="AC33" i="3"/>
  <c r="Y33" i="3"/>
  <c r="S152" i="1" l="1"/>
  <c r="S150" i="1"/>
  <c r="V13" i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2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8" i="3" l="1"/>
  <c r="N22" i="3"/>
  <c r="N13" i="3"/>
  <c r="N24" i="3"/>
  <c r="N8" i="3"/>
  <c r="N26" i="3"/>
  <c r="N23" i="3"/>
  <c r="N16" i="3"/>
  <c r="N19" i="3"/>
  <c r="N29" i="3"/>
  <c r="N21" i="3"/>
  <c r="N10" i="3"/>
  <c r="N30" i="3"/>
  <c r="N27" i="3"/>
  <c r="N33" i="3"/>
  <c r="N7" i="3"/>
  <c r="N9" i="3"/>
  <c r="N11" i="3"/>
  <c r="N20" i="3"/>
  <c r="N17" i="3"/>
  <c r="N31" i="3"/>
  <c r="N14" i="3"/>
  <c r="N15" i="3"/>
  <c r="N25" i="3"/>
  <c r="N28" i="3"/>
  <c r="N3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<sst xmlns="http://schemas.openxmlformats.org/spreadsheetml/2006/main" count="2847" uniqueCount="1116">
  <si>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</si>
  <si>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</si>
  <si>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</si>
  <si>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</si>
  <si>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</si>
  <si>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</si>
  <si>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</si>
  <si>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</si>
  <si>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</si>
  <si>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</si>
  <si>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</si>
  <si>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</si>
  <si>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</si>
  <si>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</si>
  <si>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</si>
  <si>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</si>
  <si>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</si>
  <si>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</si>
  <si>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</si>
  <si>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</si>
  <si>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</si>
  <si>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</si>
  <si>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</si>
  <si>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</si>
  <si>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</si>
  <si>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</si>
  <si>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</si>
  <si>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</si>
  <si>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</si>
  <si>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</si>
  <si>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</si>
  <si>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</si>
  <si>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</si>
  <si>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</si>
  <si>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</si>
  <si>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</si>
  <si>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</si>
  <si>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</si>
  <si>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</si>
  <si>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</si>
  <si>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</si>
  <si>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</si>
  <si>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</si>
  <si>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</si>
  <si>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</si>
  <si>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</si>
  <si>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</si>
  <si>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</si>
  <si>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</si>
  <si>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</si>
  <si>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</si>
  <si>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</si>
  <si>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</si>
  <si>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</si>
  <si>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</si>
  <si>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</si>
  <si>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</si>
  <si>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</si>
  <si>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</si>
  <si>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</si>
  <si>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</si>
  <si>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</si>
  <si>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</si>
  <si>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</si>
  <si>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</si>
  <si>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</si>
  <si>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</si>
  <si>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</si>
  <si>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</si>
  <si>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</si>
  <si>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</si>
  <si>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</si>
  <si>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</si>
  <si>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</si>
  <si>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</si>
  <si>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</si>
  <si>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</si>
  <si>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</si>
  <si>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</si>
  <si>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</si>
  <si>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</si>
  <si>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</si>
  <si>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</si>
  <si>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</si>
  <si>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</si>
  <si>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</si>
  <si>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</si>
  <si>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</si>
  <si>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</si>
  <si>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</si>
  <si>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</si>
  <si>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</si>
  <si>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</si>
  <si>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</si>
  <si>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</si>
  <si>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</si>
  <si>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</si>
  <si>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</si>
  <si>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</si>
  <si>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</si>
  <si>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</si>
  <si>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</si>
  <si>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</si>
  <si>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</si>
  <si>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</si>
  <si>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</si>
  <si>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</si>
  <si>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</si>
  <si>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</si>
  <si>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</si>
  <si>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</si>
  <si>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</si>
  <si>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</si>
  <si>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</si>
  <si>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</si>
  <si>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</si>
  <si>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</si>
  <si>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</si>
  <si>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</si>
  <si>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</si>
  <si>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</si>
  <si>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</si>
  <si>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</si>
  <si>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</si>
  <si>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</si>
  <si>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</si>
  <si>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</si>
  <si>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</si>
  <si>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</si>
  <si>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</si>
  <si>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</si>
  <si>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</si>
  <si>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</si>
  <si>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</si>
  <si>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</si>
  <si>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</si>
  <si>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</si>
  <si>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</si>
  <si>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</si>
  <si>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</si>
  <si>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</si>
  <si>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</si>
  <si>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</si>
  <si>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</si>
  <si>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</si>
  <si>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</si>
  <si>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</si>
  <si>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</si>
  <si>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</si>
  <si>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</si>
  <si>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</si>
  <si>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</si>
  <si>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</si>
  <si>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</si>
  <si>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</si>
  <si>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</si>
  <si>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</si>
  <si>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</si>
  <si>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</si>
  <si>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</si>
  <si>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</si>
  <si>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</si>
  <si>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</si>
  <si>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</si>
  <si>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</si>
  <si>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</si>
  <si>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</si>
  <si>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</si>
  <si>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</si>
  <si>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</si>
  <si>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</si>
  <si>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</si>
  <si>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</si>
  <si>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</si>
  <si>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</si>
  <si>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</si>
  <si>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</si>
  <si>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</si>
  <si>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</si>
  <si>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</si>
  <si>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</si>
  <si>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</si>
  <si>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</si>
  <si>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</si>
  <si>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</si>
  <si>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</si>
  <si>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</si>
  <si>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</si>
  <si>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</si>
  <si>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</si>
  <si>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</si>
  <si>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</si>
  <si>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</si>
  <si>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</si>
  <si>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</si>
  <si>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</si>
  <si>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</si>
  <si>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</si>
  <si>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</si>
  <si>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</si>
  <si>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</si>
  <si>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</si>
  <si>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</si>
  <si>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</si>
  <si>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</si>
  <si>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</si>
  <si>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</si>
  <si>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</si>
  <si>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</si>
  <si>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</si>
  <si>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</si>
  <si>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</si>
  <si>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</si>
  <si>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</si>
  <si>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</si>
  <si>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</si>
  <si>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</si>
  <si>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</si>
  <si>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</si>
  <si>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</si>
  <si>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</si>
  <si>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</si>
  <si>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</si>
  <si>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</si>
  <si>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</si>
  <si>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</si>
  <si>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</si>
  <si>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</si>
  <si>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</si>
  <si>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</si>
  <si>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</si>
  <si>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</si>
  <si>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</si>
  <si>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</si>
  <si>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</si>
  <si>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</si>
  <si>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</si>
  <si>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</si>
  <si>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</si>
  <si>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</si>
  <si>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</si>
  <si>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</si>
  <si>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</si>
  <si>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</si>
  <si>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</si>
  <si>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</si>
  <si>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</si>
  <si>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</si>
  <si>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</si>
  <si>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</si>
  <si>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</si>
  <si>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</si>
  <si>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</si>
  <si>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</si>
  <si>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</si>
  <si>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</si>
  <si>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</si>
  <si>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</si>
  <si>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</si>
  <si>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</si>
  <si>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</si>
  <si>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</si>
  <si>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</si>
  <si>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</si>
  <si>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</si>
  <si>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</si>
  <si>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</si>
  <si>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</si>
  <si>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</si>
  <si>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</si>
  <si>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</si>
  <si>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</si>
  <si>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</si>
  <si>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</si>
  <si>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</si>
  <si>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</si>
  <si>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</si>
  <si>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</si>
  <si>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</si>
  <si>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</si>
  <si>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</si>
  <si>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</si>
  <si>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</si>
  <si>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</si>
  <si>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</si>
  <si>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</si>
  <si>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</si>
  <si>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</si>
  <si>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</si>
  <si>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</si>
  <si>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</si>
  <si>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</si>
  <si>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</si>
  <si>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</si>
  <si>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</si>
  <si>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</si>
  <si>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</si>
  <si>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</si>
  <si>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</si>
  <si>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</si>
  <si>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</si>
  <si>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</si>
  <si>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</si>
  <si>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</si>
  <si>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</si>
  <si>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</si>
  <si>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</si>
  <si>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</si>
  <si>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</si>
  <si>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</si>
  <si>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</si>
  <si>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</si>
  <si>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</si>
  <si>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</si>
  <si>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</si>
  <si>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</si>
  <si>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</si>
  <si>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</si>
  <si>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</si>
  <si>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</si>
  <si>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</si>
  <si>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</si>
  <si>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</si>
  <si>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</si>
  <si>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</si>
  <si>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</si>
  <si>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</si>
  <si>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</si>
  <si>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</si>
  <si>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</si>
  <si>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</si>
  <si>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</si>
  <si>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</si>
  <si>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</si>
  <si>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</si>
  <si>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</si>
  <si>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</si>
  <si>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</si>
  <si>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</si>
  <si>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</si>
  <si>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</si>
  <si>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</si>
  <si>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</si>
  <si>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</si>
  <si>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</si>
  <si>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</si>
  <si>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</si>
  <si>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</si>
  <si>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</si>
  <si>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</si>
  <si>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</si>
  <si>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</si>
  <si>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</si>
  <si>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</si>
  <si>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</si>
  <si>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</si>
  <si>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</si>
  <si>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</si>
  <si>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</si>
  <si>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</si>
  <si>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</si>
  <si>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</si>
  <si>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</si>
  <si>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</si>
  <si>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</si>
  <si>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</si>
  <si>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</si>
  <si>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</si>
  <si>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</si>
  <si>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</si>
  <si>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</si>
  <si>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</si>
  <si>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</si>
  <si>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</si>
  <si>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</si>
  <si>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</si>
  <si>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</si>
  <si>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</si>
  <si>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</si>
  <si>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</si>
  <si>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</si>
  <si>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</si>
  <si>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</si>
  <si>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</si>
  <si>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</si>
  <si>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</si>
  <si>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</si>
  <si>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</si>
  <si>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</si>
  <si>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</si>
  <si>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</si>
  <si>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</si>
  <si>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</si>
  <si>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</si>
  <si>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</si>
  <si>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</si>
  <si>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</si>
  <si>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</si>
  <si>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</si>
  <si>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</si>
  <si>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</si>
  <si>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</si>
  <si>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</si>
  <si>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</si>
  <si>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</si>
  <si>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</si>
  <si>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</si>
  <si>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</si>
  <si>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</si>
  <si>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</si>
  <si>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</si>
  <si>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</si>
  <si>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</si>
  <si>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</si>
  <si>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</si>
  <si>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</si>
  <si>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</si>
  <si>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</si>
  <si>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</si>
  <si>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</si>
  <si>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</si>
  <si>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</si>
  <si>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</si>
  <si>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</si>
  <si>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</si>
  <si>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</si>
  <si>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</si>
  <si>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</si>
  <si>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</si>
  <si>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</si>
  <si>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</si>
  <si>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</si>
  <si>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</si>
  <si>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</si>
  <si>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</si>
  <si>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</si>
  <si>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</si>
  <si>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</si>
  <si>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</si>
  <si>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</si>
  <si>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</si>
  <si>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</si>
  <si>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</si>
  <si>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</si>
  <si>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</si>
  <si>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</si>
  <si>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</si>
  <si>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</si>
  <si>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</si>
  <si>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</si>
  <si>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</si>
  <si>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</si>
  <si>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</si>
  <si>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</si>
  <si>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</si>
  <si>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</si>
  <si>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</si>
  <si>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</si>
  <si>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</si>
  <si>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</si>
  <si>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</si>
  <si>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</si>
  <si>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</si>
  <si>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204:196</t>
  </si>
  <si>
    <t>Wi-MAX data drop</t>
  </si>
  <si>
    <t>HAMMOND</t>
  </si>
  <si>
    <t>JUSTYNN</t>
  </si>
  <si>
    <t>313-17</t>
  </si>
  <si>
    <t>rtdc.l.rtdc.4054:itc</t>
  </si>
  <si>
    <t>rtdc.l.rtdc.4053:itc</t>
  </si>
  <si>
    <t>rtdc.l.rtdc.4014:itc</t>
  </si>
  <si>
    <t>rtdc.l.rtdc.4013:itc</t>
  </si>
  <si>
    <t>204:442</t>
  </si>
  <si>
    <t>204:233270</t>
  </si>
  <si>
    <t>204:520</t>
  </si>
  <si>
    <t>204:189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</si>
  <si>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</si>
  <si>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</si>
  <si>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</si>
  <si>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</si>
  <si>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</si>
  <si>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</si>
  <si>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</si>
  <si>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</si>
  <si>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204:462</t>
  </si>
  <si>
    <t>204:221</t>
  </si>
  <si>
    <t>204:233314</t>
  </si>
  <si>
    <t>204:183</t>
  </si>
  <si>
    <t>204:233261</t>
  </si>
  <si>
    <t>204:158</t>
  </si>
  <si>
    <t>204:504</t>
  </si>
  <si>
    <t>204:233295</t>
  </si>
  <si>
    <t>204:232938</t>
  </si>
  <si>
    <t>204:233293</t>
  </si>
  <si>
    <t>204:232959</t>
  </si>
  <si>
    <t>TRACK WARRANT AUTHORITY</t>
  </si>
  <si>
    <t>Form based authority (4)</t>
  </si>
  <si>
    <t>STEWART</t>
  </si>
  <si>
    <t>DAVID</t>
  </si>
  <si>
    <t>204:145</t>
  </si>
  <si>
    <t>204:497</t>
  </si>
  <si>
    <t>204:449</t>
  </si>
  <si>
    <t>204:200</t>
  </si>
  <si>
    <t>204:441</t>
  </si>
  <si>
    <t>204:138</t>
  </si>
  <si>
    <t>204:232943</t>
  </si>
  <si>
    <t>204:169</t>
  </si>
  <si>
    <t>SPECTOR</t>
  </si>
  <si>
    <t>DAVIDSON</t>
  </si>
  <si>
    <t>YANAI</t>
  </si>
  <si>
    <t>IAN</t>
  </si>
  <si>
    <t>LEVERE</t>
  </si>
  <si>
    <t>CRAIG</t>
  </si>
  <si>
    <t>ROBINSON</t>
  </si>
  <si>
    <t>KADDIBA</t>
  </si>
  <si>
    <t>204:233312</t>
  </si>
  <si>
    <t>204:232998</t>
  </si>
  <si>
    <t>204:152</t>
  </si>
  <si>
    <t>204:232977</t>
  </si>
  <si>
    <t>204:437</t>
  </si>
  <si>
    <t>204:495</t>
  </si>
  <si>
    <t>204:460</t>
  </si>
  <si>
    <t>204:232934</t>
  </si>
  <si>
    <t>204:232932</t>
  </si>
  <si>
    <t>204:243</t>
  </si>
  <si>
    <t>204:232940</t>
  </si>
  <si>
    <t>204:212</t>
  </si>
  <si>
    <t>204:531</t>
  </si>
  <si>
    <t>300:23308</t>
  </si>
  <si>
    <t>204:135</t>
  </si>
  <si>
    <t>300:58929</t>
  </si>
  <si>
    <t>204:133</t>
  </si>
  <si>
    <t>300:58623</t>
  </si>
  <si>
    <t>Early Arrival</t>
  </si>
  <si>
    <t>rtdc.l.rtdc.4057:itc</t>
  </si>
  <si>
    <t>FORTUNATO</t>
  </si>
  <si>
    <t>FRANK</t>
  </si>
  <si>
    <t>NEWELL</t>
  </si>
  <si>
    <t>WEST</t>
  </si>
  <si>
    <t>BRYAN</t>
  </si>
  <si>
    <t>partly-cloudy-night</t>
  </si>
  <si>
    <t>Partly Cloudy</t>
  </si>
  <si>
    <t>204:147</t>
  </si>
  <si>
    <t>204:216</t>
  </si>
  <si>
    <t>204:444</t>
  </si>
  <si>
    <t>204:464</t>
  </si>
  <si>
    <t>204:149</t>
  </si>
  <si>
    <t>204:234</t>
  </si>
  <si>
    <t>204:453</t>
  </si>
  <si>
    <t>204:233291</t>
  </si>
  <si>
    <t>204:446</t>
  </si>
  <si>
    <t>204:498</t>
  </si>
  <si>
    <t>204:232917</t>
  </si>
  <si>
    <t>204:233276</t>
  </si>
  <si>
    <t>204:207</t>
  </si>
  <si>
    <t>204:245</t>
  </si>
  <si>
    <t>204:233259</t>
  </si>
  <si>
    <t>204:209</t>
  </si>
  <si>
    <t>204:232919</t>
  </si>
  <si>
    <t>204:553</t>
  </si>
  <si>
    <t>204:232930</t>
  </si>
  <si>
    <t>204:529</t>
  </si>
  <si>
    <t>204:555</t>
  </si>
  <si>
    <t>300:23312</t>
  </si>
  <si>
    <t>204:137</t>
  </si>
  <si>
    <t>204:148</t>
  </si>
  <si>
    <t>204:157</t>
  </si>
  <si>
    <t>rtdc.l.rtdc.4020:itc</t>
  </si>
  <si>
    <t>309-20</t>
  </si>
  <si>
    <t>BONDS</t>
  </si>
  <si>
    <t>REYNALDO</t>
  </si>
  <si>
    <t>rtdc.l.rtdc.4019:itc</t>
  </si>
  <si>
    <t>GEBRETEKLE</t>
  </si>
  <si>
    <t>DAGNEW</t>
  </si>
  <si>
    <t>DE LA ROSA</t>
  </si>
  <si>
    <t>ALEX</t>
  </si>
  <si>
    <t>HOLCOMB</t>
  </si>
  <si>
    <t>KAMDEN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</si>
  <si>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</si>
  <si>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</si>
  <si>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</si>
  <si>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</si>
  <si>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</si>
  <si>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</si>
  <si>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</si>
  <si>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</si>
  <si>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</si>
  <si>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</si>
  <si>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</si>
  <si>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</si>
  <si>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</si>
  <si>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</si>
  <si>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</si>
  <si>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</si>
  <si>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</si>
  <si>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snow</t>
  </si>
  <si>
    <t>204:232990</t>
  </si>
  <si>
    <t>204:156</t>
  </si>
  <si>
    <t>204:233264</t>
  </si>
  <si>
    <t>204:232962</t>
  </si>
  <si>
    <t>204:233286</t>
  </si>
  <si>
    <t>204:232965</t>
  </si>
  <si>
    <t>204:139</t>
  </si>
  <si>
    <t>204:526</t>
  </si>
  <si>
    <t>204:232963</t>
  </si>
  <si>
    <t>204:544</t>
  </si>
  <si>
    <t>204:232974</t>
  </si>
  <si>
    <t>204:232988</t>
  </si>
  <si>
    <t>204:233322</t>
  </si>
  <si>
    <t>204:233023</t>
  </si>
  <si>
    <t>204:486</t>
  </si>
  <si>
    <t>204:233332</t>
  </si>
  <si>
    <t>204:232981</t>
  </si>
  <si>
    <t>204:233210</t>
  </si>
  <si>
    <t>204:233204</t>
  </si>
  <si>
    <t>204:506</t>
  </si>
  <si>
    <t>204:205</t>
  </si>
  <si>
    <t>204:519</t>
  </si>
  <si>
    <t>204:233285</t>
  </si>
  <si>
    <t>204:232966</t>
  </si>
  <si>
    <t>204:233283</t>
  </si>
  <si>
    <t>204:232952</t>
  </si>
  <si>
    <t>204:466</t>
  </si>
  <si>
    <t>204:233251</t>
  </si>
  <si>
    <t>204:233013</t>
  </si>
  <si>
    <t>204:233249</t>
  </si>
  <si>
    <t>204:262</t>
  </si>
  <si>
    <t>204:480</t>
  </si>
  <si>
    <t>204:233217</t>
  </si>
  <si>
    <t>204:232926</t>
  </si>
  <si>
    <t>204:233263</t>
  </si>
  <si>
    <t>204:218</t>
  </si>
  <si>
    <t>204:571</t>
  </si>
  <si>
    <t>204:251</t>
  </si>
  <si>
    <t>204:271</t>
  </si>
  <si>
    <t>204:227</t>
  </si>
  <si>
    <t>204:256</t>
  </si>
  <si>
    <t>300:23306</t>
  </si>
  <si>
    <t>300:23346</t>
  </si>
  <si>
    <t>204:493</t>
  </si>
  <si>
    <t>204:176</t>
  </si>
  <si>
    <t>300:58655</t>
  </si>
  <si>
    <t>300:58653</t>
  </si>
  <si>
    <t>204:455</t>
  </si>
  <si>
    <t>300:58969</t>
  </si>
  <si>
    <t>204:432</t>
  </si>
  <si>
    <t>300:58965</t>
  </si>
  <si>
    <t>300:58647</t>
  </si>
  <si>
    <t>204:146</t>
  </si>
  <si>
    <t>300:58619</t>
  </si>
  <si>
    <t>300:58600</t>
  </si>
  <si>
    <t>Onboard in-route failure</t>
  </si>
  <si>
    <t>Poor GPS @ Wewatta</t>
  </si>
  <si>
    <t>306-21</t>
  </si>
  <si>
    <t>800-21</t>
  </si>
  <si>
    <t>106-21</t>
  </si>
  <si>
    <t>117-21</t>
  </si>
  <si>
    <t>rtdc.l.rtdc.4064:itc</t>
  </si>
  <si>
    <t>115-21</t>
  </si>
  <si>
    <t>rtdc.l.rtdc.4006:itc</t>
  </si>
  <si>
    <t>803-21</t>
  </si>
  <si>
    <t>805-21</t>
  </si>
  <si>
    <t>807-21</t>
  </si>
  <si>
    <t>131-21</t>
  </si>
  <si>
    <t>rtdc.l.rtdc.4034:itc</t>
  </si>
  <si>
    <t>139-21</t>
  </si>
  <si>
    <t>138-21</t>
  </si>
  <si>
    <t>152-21</t>
  </si>
  <si>
    <t>rtdc.l.rtdc.4005:itc</t>
  </si>
  <si>
    <t>818-21</t>
  </si>
  <si>
    <t>173-21</t>
  </si>
  <si>
    <t>170-21</t>
  </si>
  <si>
    <t>821-21</t>
  </si>
  <si>
    <t>rtdc.l.rtdc.4027:itc</t>
  </si>
  <si>
    <t>174-21</t>
  </si>
  <si>
    <t>823-21</t>
  </si>
  <si>
    <t>rtdc.l.rtdc.4033:itc</t>
  </si>
  <si>
    <t>182-21</t>
  </si>
  <si>
    <t>830-21</t>
  </si>
  <si>
    <t>831-21</t>
  </si>
  <si>
    <t>rtdc.l.rtdc.4063:itc</t>
  </si>
  <si>
    <t>200-21</t>
  </si>
  <si>
    <t>835-21</t>
  </si>
  <si>
    <t>836-21</t>
  </si>
  <si>
    <t>221-21</t>
  </si>
  <si>
    <t>223-21</t>
  </si>
  <si>
    <t>843-21</t>
  </si>
  <si>
    <t>226-21</t>
  </si>
  <si>
    <t>844-21</t>
  </si>
  <si>
    <t>847-21</t>
  </si>
  <si>
    <t>101-21</t>
  </si>
  <si>
    <t>rtdc.l.rtdc.4056:itc</t>
  </si>
  <si>
    <t>85-21</t>
  </si>
  <si>
    <t>302-21</t>
  </si>
  <si>
    <t>MAELZER</t>
  </si>
  <si>
    <t>KURT</t>
  </si>
  <si>
    <t>86-21</t>
  </si>
  <si>
    <t>103-21</t>
  </si>
  <si>
    <t>102-21</t>
  </si>
  <si>
    <t>304-21</t>
  </si>
  <si>
    <t>105-21</t>
  </si>
  <si>
    <t>308-21</t>
  </si>
  <si>
    <t>DONTE</t>
  </si>
  <si>
    <t>107-21</t>
  </si>
  <si>
    <t>104-21</t>
  </si>
  <si>
    <t>109-21</t>
  </si>
  <si>
    <t>901-21</t>
  </si>
  <si>
    <t>310-21</t>
  </si>
  <si>
    <t>111-21</t>
  </si>
  <si>
    <t>113-21</t>
  </si>
  <si>
    <t>108-21</t>
  </si>
  <si>
    <t>312-21</t>
  </si>
  <si>
    <t>801-21</t>
  </si>
  <si>
    <t>110-21</t>
  </si>
  <si>
    <t>112-21</t>
  </si>
  <si>
    <t>902-21</t>
  </si>
  <si>
    <t>114-21</t>
  </si>
  <si>
    <t>802-21</t>
  </si>
  <si>
    <t>119-21</t>
  </si>
  <si>
    <t>121-21</t>
  </si>
  <si>
    <t>116-21</t>
  </si>
  <si>
    <t>123-21</t>
  </si>
  <si>
    <t>804-21</t>
  </si>
  <si>
    <t>118-21</t>
  </si>
  <si>
    <t>125-21</t>
  </si>
  <si>
    <t>120-21</t>
  </si>
  <si>
    <t>122-21</t>
  </si>
  <si>
    <t>127-21</t>
  </si>
  <si>
    <t>806-21</t>
  </si>
  <si>
    <t>129-21</t>
  </si>
  <si>
    <t>124-21</t>
  </si>
  <si>
    <t>126-21</t>
  </si>
  <si>
    <t>808-21</t>
  </si>
  <si>
    <t>809-21</t>
  </si>
  <si>
    <t>128-21</t>
  </si>
  <si>
    <t>133-21</t>
  </si>
  <si>
    <t>PAGE</t>
  </si>
  <si>
    <t>MARCUS</t>
  </si>
  <si>
    <t>135-21</t>
  </si>
  <si>
    <t>130-21</t>
  </si>
  <si>
    <t>810-21</t>
  </si>
  <si>
    <t>811-21</t>
  </si>
  <si>
    <t>137-21</t>
  </si>
  <si>
    <t>132-21</t>
  </si>
  <si>
    <t>134-21</t>
  </si>
  <si>
    <t>812-21</t>
  </si>
  <si>
    <t>903-21</t>
  </si>
  <si>
    <t>136-21</t>
  </si>
  <si>
    <t>141-21</t>
  </si>
  <si>
    <t>143-21</t>
  </si>
  <si>
    <t>813-21</t>
  </si>
  <si>
    <t>145-21</t>
  </si>
  <si>
    <t>147-21</t>
  </si>
  <si>
    <t>142-21</t>
  </si>
  <si>
    <t>140-21</t>
  </si>
  <si>
    <t>814-21</t>
  </si>
  <si>
    <t>149-21</t>
  </si>
  <si>
    <t>144-21</t>
  </si>
  <si>
    <t>151-21</t>
  </si>
  <si>
    <t>146-21</t>
  </si>
  <si>
    <t>815-21</t>
  </si>
  <si>
    <t>153-21</t>
  </si>
  <si>
    <t>148-21</t>
  </si>
  <si>
    <t>150-21</t>
  </si>
  <si>
    <t>155-21</t>
  </si>
  <si>
    <t>816-21</t>
  </si>
  <si>
    <t>157-21</t>
  </si>
  <si>
    <t>BADERTSCHER</t>
  </si>
  <si>
    <t>DIANE</t>
  </si>
  <si>
    <t>55-21</t>
  </si>
  <si>
    <t>159-21</t>
  </si>
  <si>
    <t>154-21</t>
  </si>
  <si>
    <t>817-21</t>
  </si>
  <si>
    <t>156-21</t>
  </si>
  <si>
    <t>161-21</t>
  </si>
  <si>
    <t>56-21</t>
  </si>
  <si>
    <t>163-21</t>
  </si>
  <si>
    <t>158-21</t>
  </si>
  <si>
    <t>160-21</t>
  </si>
  <si>
    <t>165-21</t>
  </si>
  <si>
    <t>167-21</t>
  </si>
  <si>
    <t>162-21</t>
  </si>
  <si>
    <t>819-21</t>
  </si>
  <si>
    <t>169-21</t>
  </si>
  <si>
    <t>STRICKLAND</t>
  </si>
  <si>
    <t>EVAN</t>
  </si>
  <si>
    <t>164-21</t>
  </si>
  <si>
    <t>171-21</t>
  </si>
  <si>
    <t>820-21</t>
  </si>
  <si>
    <t>166-21</t>
  </si>
  <si>
    <t>168-21</t>
  </si>
  <si>
    <t>175-21</t>
  </si>
  <si>
    <t>177-21</t>
  </si>
  <si>
    <t>172-21</t>
  </si>
  <si>
    <t>822-21</t>
  </si>
  <si>
    <t>179-21</t>
  </si>
  <si>
    <t>181-21</t>
  </si>
  <si>
    <t>176-21</t>
  </si>
  <si>
    <t>183-21</t>
  </si>
  <si>
    <t>57-21</t>
  </si>
  <si>
    <t>178-21</t>
  </si>
  <si>
    <t>185-21</t>
  </si>
  <si>
    <t>180-21</t>
  </si>
  <si>
    <t>81-21</t>
  </si>
  <si>
    <t>824-21</t>
  </si>
  <si>
    <t>187-21</t>
  </si>
  <si>
    <t>189-21</t>
  </si>
  <si>
    <t>75-21</t>
  </si>
  <si>
    <t>184-21</t>
  </si>
  <si>
    <t>191-21</t>
  </si>
  <si>
    <t>825-21</t>
  </si>
  <si>
    <t>186-21</t>
  </si>
  <si>
    <t>193-21</t>
  </si>
  <si>
    <t>904-21</t>
  </si>
  <si>
    <t>188-21</t>
  </si>
  <si>
    <t>826-21</t>
  </si>
  <si>
    <t>195-21</t>
  </si>
  <si>
    <t>190-21</t>
  </si>
  <si>
    <t>827-21</t>
  </si>
  <si>
    <t>197-21</t>
  </si>
  <si>
    <t>192-21</t>
  </si>
  <si>
    <t>194-21</t>
  </si>
  <si>
    <t>199-21</t>
  </si>
  <si>
    <t>828-21</t>
  </si>
  <si>
    <t>829-21</t>
  </si>
  <si>
    <t>201-21</t>
  </si>
  <si>
    <t>196-21</t>
  </si>
  <si>
    <t>203-21</t>
  </si>
  <si>
    <t>198-21</t>
  </si>
  <si>
    <t>205-21</t>
  </si>
  <si>
    <t>207-21</t>
  </si>
  <si>
    <t>832-21</t>
  </si>
  <si>
    <t>833-21</t>
  </si>
  <si>
    <t>202-21</t>
  </si>
  <si>
    <t>209-21</t>
  </si>
  <si>
    <t>204-21</t>
  </si>
  <si>
    <t>211-21</t>
  </si>
  <si>
    <t>834-21</t>
  </si>
  <si>
    <t>206-21</t>
  </si>
  <si>
    <t>208-21</t>
  </si>
  <si>
    <t>213-21</t>
  </si>
  <si>
    <t>837-21</t>
  </si>
  <si>
    <t>215-21</t>
  </si>
  <si>
    <t>210-21</t>
  </si>
  <si>
    <t>217-21</t>
  </si>
  <si>
    <t>ELBAUM</t>
  </si>
  <si>
    <t>MIKE</t>
  </si>
  <si>
    <t>212-21</t>
  </si>
  <si>
    <t>838-21</t>
  </si>
  <si>
    <t>219-21</t>
  </si>
  <si>
    <t>214-21</t>
  </si>
  <si>
    <t>839-21</t>
  </si>
  <si>
    <t>301-21</t>
  </si>
  <si>
    <t>218-21</t>
  </si>
  <si>
    <t>216-21</t>
  </si>
  <si>
    <t>906-21</t>
  </si>
  <si>
    <t>ANDERS</t>
  </si>
  <si>
    <t>STEVEN</t>
  </si>
  <si>
    <t>841-21</t>
  </si>
  <si>
    <t>303-21</t>
  </si>
  <si>
    <t>220-21</t>
  </si>
  <si>
    <t>840-21</t>
  </si>
  <si>
    <t>305-21</t>
  </si>
  <si>
    <t>225-21</t>
  </si>
  <si>
    <t>222-21</t>
  </si>
  <si>
    <t>224-21</t>
  </si>
  <si>
    <t>227-21</t>
  </si>
  <si>
    <t>842-21</t>
  </si>
  <si>
    <t>229-21</t>
  </si>
  <si>
    <t>845-21</t>
  </si>
  <si>
    <t>231-21</t>
  </si>
  <si>
    <t>228-21</t>
  </si>
  <si>
    <t>230-21</t>
  </si>
  <si>
    <t>233-21</t>
  </si>
  <si>
    <t>235-21</t>
  </si>
  <si>
    <t>232-21</t>
  </si>
  <si>
    <t>846-21</t>
  </si>
  <si>
    <t>234-21</t>
  </si>
  <si>
    <t>237-21</t>
  </si>
  <si>
    <t>849-21</t>
  </si>
  <si>
    <t>239-21</t>
  </si>
  <si>
    <t>236-21</t>
  </si>
  <si>
    <t>908-21</t>
  </si>
  <si>
    <t>241-21</t>
  </si>
  <si>
    <t>238-21</t>
  </si>
  <si>
    <t>240-21</t>
  </si>
  <si>
    <t>243-21</t>
  </si>
  <si>
    <t>242-21</t>
  </si>
  <si>
    <t>313-21</t>
  </si>
  <si>
    <t>307-21</t>
  </si>
  <si>
    <t>244-21</t>
  </si>
  <si>
    <t>309-21</t>
  </si>
  <si>
    <t>311-21</t>
  </si>
  <si>
    <t>Mostly Cloudy</t>
  </si>
  <si>
    <t>cloudy</t>
  </si>
  <si>
    <t>Overcast</t>
  </si>
  <si>
    <t>fog</t>
  </si>
  <si>
    <t>Foggy</t>
  </si>
  <si>
    <t>partly-cloudy-day</t>
  </si>
  <si>
    <t>204:724</t>
  </si>
  <si>
    <t>204:233297</t>
  </si>
  <si>
    <t>204:233308</t>
  </si>
  <si>
    <t>204:232979</t>
  </si>
  <si>
    <t>204:170</t>
  </si>
  <si>
    <t>204:233318</t>
  </si>
  <si>
    <t>204:192</t>
  </si>
  <si>
    <t>204:233327</t>
  </si>
  <si>
    <t>204:233019</t>
  </si>
  <si>
    <t>204:154</t>
  </si>
  <si>
    <t>204:537</t>
  </si>
  <si>
    <t>204:233240</t>
  </si>
  <si>
    <t>204:232921</t>
  </si>
  <si>
    <t>204:475</t>
  </si>
  <si>
    <t>204:232986</t>
  </si>
  <si>
    <t>204:225</t>
  </si>
  <si>
    <t>204:125987</t>
  </si>
  <si>
    <t>204:233006</t>
  </si>
  <si>
    <t>204:180</t>
  </si>
  <si>
    <t>204:3078</t>
  </si>
  <si>
    <t>204:37188</t>
  </si>
  <si>
    <t>204:233282</t>
  </si>
  <si>
    <t>204:232948</t>
  </si>
  <si>
    <t>204:458</t>
  </si>
  <si>
    <t>204:233362</t>
  </si>
  <si>
    <t>204:233040</t>
  </si>
  <si>
    <t>204:232971</t>
  </si>
  <si>
    <t>204:20381</t>
  </si>
  <si>
    <t>204:64716</t>
  </si>
  <si>
    <t>204:233351</t>
  </si>
  <si>
    <t>204:233038</t>
  </si>
  <si>
    <t>204:233328</t>
  </si>
  <si>
    <t>204:233021</t>
  </si>
  <si>
    <t>204:233274</t>
  </si>
  <si>
    <t>204:220</t>
  </si>
  <si>
    <t>204:233309</t>
  </si>
  <si>
    <t>204:233346</t>
  </si>
  <si>
    <t>204:233045</t>
  </si>
  <si>
    <t>204:509</t>
  </si>
  <si>
    <t>204:233243</t>
  </si>
  <si>
    <t>204:233324</t>
  </si>
  <si>
    <t>204:233005</t>
  </si>
  <si>
    <t>204:233325</t>
  </si>
  <si>
    <t>204:233030</t>
  </si>
  <si>
    <t>204:489</t>
  </si>
  <si>
    <t>204:233002</t>
  </si>
  <si>
    <t>204:203</t>
  </si>
  <si>
    <t>204:233374</t>
  </si>
  <si>
    <t>204:233055</t>
  </si>
  <si>
    <t>204:36602</t>
  </si>
  <si>
    <t>204:473</t>
  </si>
  <si>
    <t>204:233303</t>
  </si>
  <si>
    <t>204:233319</t>
  </si>
  <si>
    <t>204:233341</t>
  </si>
  <si>
    <t>204:233278</t>
  </si>
  <si>
    <t>204:185</t>
  </si>
  <si>
    <t>204:467</t>
  </si>
  <si>
    <t>204:232955</t>
  </si>
  <si>
    <t>204:231807</t>
  </si>
  <si>
    <t>204:127857</t>
  </si>
  <si>
    <t>204:232951</t>
  </si>
  <si>
    <t>204:28850</t>
  </si>
  <si>
    <t>204:1602</t>
  </si>
  <si>
    <t>204:1157</t>
  </si>
  <si>
    <t>204:233257</t>
  </si>
  <si>
    <t>204:478</t>
  </si>
  <si>
    <t>204:542</t>
  </si>
  <si>
    <t>204:233268</t>
  </si>
  <si>
    <t>204:232950</t>
  </si>
  <si>
    <t>204:438</t>
  </si>
  <si>
    <t>204:127871</t>
  </si>
  <si>
    <t>204:172</t>
  </si>
  <si>
    <t>204:513</t>
  </si>
  <si>
    <t>204:232983</t>
  </si>
  <si>
    <t>204:233015</t>
  </si>
  <si>
    <t>204:528</t>
  </si>
  <si>
    <t>204:484</t>
  </si>
  <si>
    <t>204:233218</t>
  </si>
  <si>
    <t>204:232898</t>
  </si>
  <si>
    <t>204:233230</t>
  </si>
  <si>
    <t>204:471</t>
  </si>
  <si>
    <t>204:233288</t>
  </si>
  <si>
    <t>204:232967</t>
  </si>
  <si>
    <t>204:249</t>
  </si>
  <si>
    <t>204:577</t>
  </si>
  <si>
    <t>204:242</t>
  </si>
  <si>
    <t>204:232929</t>
  </si>
  <si>
    <t>204:260</t>
  </si>
  <si>
    <t>204:233202</t>
  </si>
  <si>
    <t>204:232891</t>
  </si>
  <si>
    <t>204:564</t>
  </si>
  <si>
    <t>204:154427</t>
  </si>
  <si>
    <t>204:269</t>
  </si>
  <si>
    <t>204:522</t>
  </si>
  <si>
    <t>204:232887</t>
  </si>
  <si>
    <t>204:233245</t>
  </si>
  <si>
    <t>204:247</t>
  </si>
  <si>
    <t>204:1040</t>
  </si>
  <si>
    <t>204:19123</t>
  </si>
  <si>
    <t>204:82739</t>
  </si>
  <si>
    <t>204:233198</t>
  </si>
  <si>
    <t>204:546</t>
  </si>
  <si>
    <t>204:582</t>
  </si>
  <si>
    <t>204:86352</t>
  </si>
  <si>
    <t>204:232879</t>
  </si>
  <si>
    <t>204:238</t>
  </si>
  <si>
    <t>300:19799</t>
  </si>
  <si>
    <t>204:165</t>
  </si>
  <si>
    <t>300:23481</t>
  </si>
  <si>
    <t>300:23310</t>
  </si>
  <si>
    <t>300:23391</t>
  </si>
  <si>
    <t>204:549</t>
  </si>
  <si>
    <t>300:23374</t>
  </si>
  <si>
    <t>300:23737</t>
  </si>
  <si>
    <t>300:23192</t>
  </si>
  <si>
    <t>300:23302</t>
  </si>
  <si>
    <t>300:23519</t>
  </si>
  <si>
    <t>204:673</t>
  </si>
  <si>
    <t>204:978</t>
  </si>
  <si>
    <t>300:24203</t>
  </si>
  <si>
    <t>204:1490</t>
  </si>
  <si>
    <t>204:3545</t>
  </si>
  <si>
    <t>300:20579</t>
  </si>
  <si>
    <t>204:916</t>
  </si>
  <si>
    <t>204:1456</t>
  </si>
  <si>
    <t>300:58643</t>
  </si>
  <si>
    <t>204:4520</t>
  </si>
  <si>
    <t>300:58943</t>
  </si>
  <si>
    <t>300:58628</t>
  </si>
  <si>
    <t>204:115</t>
  </si>
  <si>
    <t>300:58990</t>
  </si>
  <si>
    <t>300:58673</t>
  </si>
  <si>
    <t>204:419</t>
  </si>
  <si>
    <t>204:439</t>
  </si>
  <si>
    <t>300:58980</t>
  </si>
  <si>
    <t>204:167</t>
  </si>
  <si>
    <t>204:424</t>
  </si>
  <si>
    <t>300:58963</t>
  </si>
  <si>
    <t>204:1148</t>
  </si>
  <si>
    <t>204:3515</t>
  </si>
  <si>
    <t>204:171</t>
  </si>
  <si>
    <t>300:58978</t>
  </si>
  <si>
    <t>300:58666</t>
  </si>
  <si>
    <t>300:58986</t>
  </si>
  <si>
    <t>300:58662</t>
  </si>
  <si>
    <t>204:426</t>
  </si>
  <si>
    <t>204:151</t>
  </si>
  <si>
    <t>300:58926</t>
  </si>
  <si>
    <t>300:58049</t>
  </si>
  <si>
    <t>300:58572</t>
  </si>
  <si>
    <t>204:140</t>
  </si>
  <si>
    <t>204:423</t>
  </si>
  <si>
    <t>300:58924</t>
  </si>
  <si>
    <t>300:58604</t>
  </si>
  <si>
    <t>204:448</t>
  </si>
  <si>
    <t>300:58927</t>
  </si>
  <si>
    <t>300:58621</t>
  </si>
  <si>
    <t>204:435</t>
  </si>
  <si>
    <t>300:58920</t>
  </si>
  <si>
    <t>300:58606</t>
  </si>
  <si>
    <t>300:58935</t>
  </si>
  <si>
    <t>300:58594</t>
  </si>
  <si>
    <t>300:58988</t>
  </si>
  <si>
    <t>300:58668</t>
  </si>
  <si>
    <t>300:58918</t>
  </si>
  <si>
    <t>204:430</t>
  </si>
  <si>
    <t>300:58931</t>
  </si>
  <si>
    <t>204:155</t>
  </si>
  <si>
    <t>300:58916</t>
  </si>
  <si>
    <t>204:3564</t>
  </si>
  <si>
    <t>204:3243</t>
  </si>
  <si>
    <t>204:1179</t>
  </si>
  <si>
    <t>300:30279</t>
  </si>
  <si>
    <t>300:58960</t>
  </si>
  <si>
    <t>300:23408</t>
  </si>
  <si>
    <t>300:24210</t>
  </si>
  <si>
    <t>300:23855</t>
  </si>
  <si>
    <t>300:58592</t>
  </si>
  <si>
    <t>300:23207</t>
  </si>
  <si>
    <t>start /low /b %USERPROFILE%\Documents\GitHub\eaglep3\Utilities\DownloadLogsFromS3.py --loco 4064 --day 2017-12-21</t>
  </si>
  <si>
    <t>start /low /b %USERPROFILE%\Documents\GitHub\eaglep3\Utilities\DownloadLogsFromS3.py --loco 4028 --day 2017-12-21</t>
  </si>
  <si>
    <t>start /low /b %USERPROFILE%\Documents\GitHub\eaglep3\Utilities\DownloadLogsFromS3.py --loco 4014 --day 2017-12-21</t>
  </si>
  <si>
    <t>start /low /b %USERPROFILE%\Documents\GitHub\eaglep3\Utilities\DownloadLogsFromS3.py --loco 4059 --day 2017-12-21</t>
  </si>
  <si>
    <t>start /low /b %USERPROFILE%\Documents\GitHub\eaglep3\Utilities\DownloadLogsFromS3.py --loco 4013 --day 2017-12-21</t>
  </si>
  <si>
    <t>start /low /b %USERPROFILE%\Documents\GitHub\eaglep3\Utilities\DownloadLogsFromS3.py --loco 4055 --day 2017-12-21</t>
  </si>
  <si>
    <t>start /low /b %USERPROFILE%\Documents\GitHub\eaglep3\Utilities\DownloadLogsFromS3.py --loco 4033 --day 2017-12-21</t>
  </si>
  <si>
    <t>start /low /b %USERPROFILE%\Documents\GitHub\eaglep3\Utilities\DownloadLogsFromS3.py --loco 4063 --day 2017-12-21</t>
  </si>
  <si>
    <t>start /low /b %USERPROFILE%\Documents\GitHub\eaglep3\Utilities\DownloadLogsFromS3.py --loco 4012 --day 2017-12-21</t>
  </si>
  <si>
    <t>start /low /b %USERPROFILE%\Documents\GitHub\eaglep3\Utilities\DownloadLogsFromS3.py --loco 4011 --day 2017-12-22</t>
  </si>
  <si>
    <t>start /low /b %USERPROFILE%\Documents\GitHub\eaglep3\Utilities\DownloadLogsFromS3.py --loco 4035 --day 2017-12-21</t>
  </si>
  <si>
    <t>start /low /b %USERPROFILE%\Documents\GitHub\eaglep3\Utilities\DownloadLogsFromS3.py --loco 4005 --day 2017-12-21</t>
  </si>
  <si>
    <t>start /low /b %USERPROFILE%\Documents\GitHub\eaglep3\Utilities\DownloadLogsFromS3.py --loco 4027 --day 2017-12-21</t>
  </si>
  <si>
    <t>start /low /b %USERPROFILE%\Documents\GitHub\eaglep3\Utilities\DownloadLogsFromS3.py --loco 4034 --day 2017-12-22</t>
  </si>
  <si>
    <t>start /low /b %USERPROFILE%\Documents\GitHub\eaglep3\Utilities\DownloadLogsFromS3.py --loco 4017 --day 2017-12-21</t>
  </si>
  <si>
    <t>start /low /b %USERPROFILE%\Documents\GitHub\eaglep3\Utilities\DownloadLogsFromS3.py --loco 4034 --day 2017-12-21</t>
  </si>
  <si>
    <t>start /low /b %USERPROFILE%\Documents\GitHub\eaglep3\Utilities\DownloadLogsFromS3.py --loco 4064 --day 2017-12-22</t>
  </si>
  <si>
    <t>start /low /b %USERPROFILE%\Documents\GitHub\eaglep3\Utilities\DownloadLogsFromS3.py --loco 4035 --day 2017-12-22</t>
  </si>
  <si>
    <t>start /low /b %USERPROFILE%\Documents\GitHub\eaglep3\Utilities\DownloadLogsFromS3.py --loco 4005 --day 2017-12-22</t>
  </si>
  <si>
    <t>start /low /b %USERPROFILE%\Documents\GitHub\eaglep3\Utilities\DownloadLogsFromS3.py --loco 4036 --day 2017-12-21</t>
  </si>
  <si>
    <t>start /low /b %USERPROFILE%\Documents\GitHub\eaglep3\Utilities\DownloadLogsFromS3.py --loco 4006 --day 2017-12-21</t>
  </si>
  <si>
    <t>start /low /b %USERPROFILE%\Documents\GitHub\eaglep3\Utilities\DownloadLogsFromS3.py --loco 4036 --day 2017-12-22</t>
  </si>
  <si>
    <t>204:163</t>
  </si>
  <si>
    <t>204:174</t>
  </si>
  <si>
    <t>204:524</t>
  </si>
  <si>
    <t>204:233187</t>
  </si>
  <si>
    <t>300:58617</t>
  </si>
  <si>
    <t>204:153</t>
  </si>
  <si>
    <t>204:144</t>
  </si>
  <si>
    <t>300:28780</t>
  </si>
  <si>
    <t>Poor GPS @ DUS</t>
  </si>
  <si>
    <t>Minor Onboard in-route failure caused signal unknown banner</t>
  </si>
  <si>
    <t>Selected wrong track</t>
  </si>
  <si>
    <t>58734 - claimed banner without braking - logs show that enforcement took place as intended</t>
  </si>
  <si>
    <t>Wheel slip</t>
  </si>
  <si>
    <t>Restricting aspect</t>
  </si>
  <si>
    <t>Brief Wi-MAX data drop caused unhealthy banner</t>
  </si>
  <si>
    <t>:.+?(?&gt;(PRM\|1\|D)|(KPR)|(KDP)|(train st[a-z]+ moving)|(SYSTEM_STATE:s[a-z]+ state changed)|(Enforcement Action)|(\[TIMEOUT)|(parse_ebi_status: Penalty)|(\|GPPS))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</si>
</sst>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43090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43090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COUNTIFS($N$13:$N$9590,"&gt;0",$AG$13:$AG$9590,I1)</f>
        <v>130</v>
      </c>
      <c r="K5" s="39"/>
      <c r="L5" s="170"/>
      <c r="M5" s="40">
        <f>AVERAGEIFS($N$13:$N$9590,$AG$13:$AG$9590,I1)</f>
        <v>37.617179486981165</v>
      </c>
      <c r="N5" s="38">
        <f t="array" ref="N5">MIN(IF($AG$13:$AG$9590=I1,IF(ISNUMBER($N$13:$N$9590),IF($N$13:$N$9590&gt;0,$N$13:$N$9590))))</f>
        <v>34.200000000419095</v>
      </c>
      <c r="O5" s="3">
        <f t="array" ref="O5">MAX(IF($AG$13:$AG$9590=I1,IF(ISNUMBER($N$13:$N$9590),IF($N$13:$N$9590&gt;0,$N$13:$N$9590))))</f>
        <v>45.666666675824672</v>
      </c>
      <c r="P5" s="2"/>
      <c r="R5" s="161" t="s">
        <v>17</v>
      </c>
      <c r="S5" s="205">
        <f>COUNTIFS($N$13:$N$9590,"&gt;0",$AG$13:$AG$9590,R1)</f>
        <v>49</v>
      </c>
      <c r="T5" s="170"/>
      <c r="U5" s="193"/>
      <c r="V5" s="209">
        <f>AVERAGEIFS($N$13:$N$9590,$AG$13:$AG$9590,R1)</f>
        <v>13.917687074495099</v>
      </c>
      <c r="W5" s="210">
        <f t="array" ref="W5">MIN(IF($AG$13:$AG$9590=R1,IF(ISNUMBER($N$13:$N$9590),IF($N$13:$N$9590&gt;0,$N$13:$N$9590))))</f>
        <v>9.733333335025236</v>
      </c>
      <c r="X5" s="198">
        <f t="array" ref="X5">MAX(IF($AG$13:$AG$9590=R1,IF(ISNUMBER($N$13:$N$9590),IF($N$13:$N$9590&gt;0,$N$13:$N$9590))))</f>
        <v>17.016666673589498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COUNT($O$13:$O$348)</f>
        <v>0</v>
      </c>
      <c r="K6" s="39"/>
      <c r="L6" s="170"/>
      <c r="M6" s="40">
        <f>IFERROR(AVERAGE($O$13:$O$348),0)</f>
        <v>0</v>
      </c>
      <c r="N6" s="38">
        <f>MIN($O$13:$O$348)</f>
        <v>0</v>
      </c>
      <c r="O6" s="3">
        <f>MAX($O$13:$O$348)</f>
        <v>0</v>
      </c>
      <c r="P6" s="2"/>
      <c r="R6" s="162" t="s">
        <v>43</v>
      </c>
      <c r="S6" s="205">
        <f>COUNT($O$13:$O$348)</f>
        <v>0</v>
      </c>
      <c r="T6" s="170"/>
      <c r="U6" s="193"/>
      <c r="V6" s="209">
        <f>IFERROR(AVERAGE($O$13:$O$348),0)</f>
        <v>0</v>
      </c>
      <c r="W6" s="210">
        <f>MIN($O$13:$O$348)</f>
        <v>0</v>
      </c>
      <c r="X6" s="198">
        <f>MAX($O$13:$O$348)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COUNTIFS($P$13:$P$9590,"&gt;0",$AG$13:$AG$9590,I1)</f>
        <v>14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COUNTIFS($P$13:$P$9590,"&gt;0",$AG$13:$AG$9590,R1)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130</v>
      </c>
      <c r="K8" s="39"/>
      <c r="L8" s="170"/>
      <c r="M8" s="40">
        <f>M5</f>
        <v>37.617179486981165</v>
      </c>
      <c r="N8" s="38">
        <f>N5</f>
        <v>34.200000000419095</v>
      </c>
      <c r="O8" s="3">
        <f>O5</f>
        <v>45.666666675824672</v>
      </c>
      <c r="P8" s="2"/>
      <c r="R8" s="161" t="s">
        <v>16</v>
      </c>
      <c r="S8" s="205">
        <f>S5</f>
        <v>49</v>
      </c>
      <c r="T8" s="170"/>
      <c r="U8" s="193"/>
      <c r="V8" s="209">
        <f>V5</f>
        <v>13.917687074495099</v>
      </c>
      <c r="W8" s="210">
        <f>W5</f>
        <v>9.733333335025236</v>
      </c>
      <c r="X8" s="198">
        <f>X5</f>
        <v>17.016666673589498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0.90277777777777779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- 2017-12-21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AVERAGE(S13:S136)</f>
        <v>0.97569444444444442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690</v>
      </c>
      <c r="B13" s="7">
        <v>4034</v>
      </c>
      <c r="C13" s="21" t="s">
        <v>192</v>
      </c>
      <c r="D13" s="21" t="s">
        <v>899</v>
      </c>
      <c r="E13" s="13">
        <v>43090.121493055558</v>
      </c>
      <c r="F13" s="13">
        <v>43090.135601851849</v>
      </c>
      <c r="G13" s="7">
        <v>54</v>
      </c>
      <c r="H13" s="21" t="s">
        <v>900</v>
      </c>
      <c r="I13" s="13">
        <v>43090.159375000003</v>
      </c>
      <c r="J13" s="7">
        <v>0</v>
      </c>
      <c r="K13" s="88" t="str">
        <f t="shared" ref="K13:K44" si="0">IF(ISEVEN(B13),(B13-1)&amp;"/"&amp;B13,B13&amp;"/"&amp;(B13+1))</f>
        <v>4033/4034</v>
      </c>
      <c r="L13" s="183" t="str">
        <f>VLOOKUP(A13,'Trips&amp;Operators'!$C$1:$G$99911,5,FALSE)</f>
        <v>YORK EDGAR</v>
      </c>
      <c r="M13" s="6">
        <f t="shared" ref="M13:M44" si="1">I13-F13</f>
        <v>2.3773148153850343E-2</v>
      </c>
      <c r="N13" s="7">
        <f t="shared" ref="N13:N26" si="2">24*60*SUM($M13:$M13)</f>
        <v>34.233333341544494</v>
      </c>
      <c r="O13" s="7"/>
      <c r="P13" s="7"/>
      <c r="Q13" s="22"/>
      <c r="R13" s="165"/>
      <c r="S13" s="248">
        <f t="shared" ref="S13:S28" si="3">1/IF(AG13="EC",12,1)*SUM(U13:U13)</f>
        <v>1</v>
      </c>
      <c r="T13" s="172" t="str">
        <f t="shared" ref="T13:T44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-21T01:54:57-0700',mode:absolute,to:'2017-12-21T04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7.2400000000000006E-2</v>
      </c>
      <c r="Z13" s="202">
        <f t="shared" ref="Z13:Z52" si="8">RIGHT(H13,LEN(H13)-4)/10000</f>
        <v>23.329699999999999</v>
      </c>
      <c r="AA13" s="202">
        <f t="shared" ref="AA13:AA44" si="9">ABS(Z13-Y13)</f>
        <v>23.257300000000001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44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/stypes="app*4034*201712211*" /stext=" 10:.+?(?&gt;(PRM\|1\|D)|(KPR)|(KDP)|(train st[a-z]+ moving)|(SYSTEM_STATE:s[a-z]+ state changed)|(Enforcement Action)|(\[TIMEOUT)|(parse_ebi_status: Penalty)|(\|GPPS))"</v>
      </c>
      <c r="AG13" s="180" t="str">
        <f t="shared" ref="AG13:AG44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4034 --swversion DE.1.0.9.0 --startMP 204:724 --initTime 2017-12-21T02:54:57 --startdatetime 2017-12-21T03:15:16 --delay 54 --endMP 204:233297 --enddatetime 2017-12-21T03:49:30 --enforcementcount 0 &gt;&gt;%USERPROFILE%\Documents\GitHub\eaglep3-reporting\EC\2017-12-21-refined-times.txt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{"issue":{"subject":"","project_id":79,"tracker_id":40,"status_id":1,"priority_id":2,"assigned_to_id":338,"start_date":"2017-12-21","description":"","custom_fields":[{"id":1,"name":"Subdivision","value":"EC"},{"id":4,"name":"Milepost","value":"23.3297"},{"id":17,"name":"Train ID","value":"101-21"},{"id":16,"name":"Locomotive ID","value":"4034"},{"id":130,"name":"Impact","value":""},{"id":150,"name":"Time of Event (Mountain Time)","value":"03:49:30"},{"id":151,"name":"Denver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4034 --day 2017-12-21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10:49:30"},{"id":29,"name":"Sharepoint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-21T01:54:57-0700',mode:absolute,to:'2017-12-21T04:49:30-0700'))&amp;_a=(columns:!('Message%20ID',Summary),filters:!(),index:'emp_*',interval:auto,query:(query_string:(analyze_wildcard:!t,query:'%22rtdc.l.rtdc.4034%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698</v>
      </c>
      <c r="B14" s="224">
        <v>4033</v>
      </c>
      <c r="C14" s="226" t="s">
        <v>192</v>
      </c>
      <c r="D14" s="226" t="s">
        <v>601</v>
      </c>
      <c r="E14" s="225">
        <v>43090.160370370373</v>
      </c>
      <c r="F14" s="225">
        <v>43090.17523148148</v>
      </c>
      <c r="G14" s="224">
        <v>927</v>
      </c>
      <c r="H14" s="226" t="s">
        <v>499</v>
      </c>
      <c r="I14" s="225">
        <v>43090.200277777774</v>
      </c>
      <c r="J14" s="224">
        <v>0</v>
      </c>
      <c r="K14" s="236" t="str">
        <f t="shared" si="0"/>
        <v>4033/4034</v>
      </c>
      <c r="L14" s="244" t="str">
        <f>VLOOKUP(A14,'Trips&amp;Operators'!$C$1:$G$99911,5,FALSE)</f>
        <v>YORK EDGAR</v>
      </c>
      <c r="M14" s="223">
        <f t="shared" si="1"/>
        <v>2.5046296294021886E-2</v>
      </c>
      <c r="N14" s="224">
        <f t="shared" si="2"/>
        <v>36.066666663391516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2017-12-21T02:50:56-0700',mode:absolute,to:'2017-12-21T05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23.296500000000002</v>
      </c>
      <c r="Z14" s="246">
        <f t="shared" si="8"/>
        <v>1.4500000000000001E-2</v>
      </c>
      <c r="AA14" s="246">
        <f t="shared" si="9"/>
        <v>23.282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4" s="233" t="str">
        <f t="shared" si="12"/>
        <v>"C:\Program Files (x86)\AstroGrep\AstroGrep.exe" /e /r /s /spath="%USERPROFILE%\AppData\Local\Temp\OnboardLogs" /stypes="app*4033*201712211*"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4033 --swversion DE.1.0.9.0 --startMP 204:232965 --initTime 2017-12-21T03:50:56 --startdatetime 2017-12-21T04:12:20 --delay 927 --endMP 204:145 --enddatetime 2017-12-21T04:48:24 --enforcementcount 0 &gt;&gt;%USERPROFILE%\Documents\GitHub\eaglep3-reporting\EC\2017-12-21-refined-times.txt</v>
      </c>
      <c r="AI14" s="237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{"issue":{"subject":"","project_id":79,"tracker_id":40,"status_id":1,"priority_id":2,"assigned_to_id":338,"start_date":"2017-12-21","description":"","custom_fields":[{"id":1,"name":"Subdivision","value":"EC"},{"id":4,"name":"Milepost","value":"0.0145"},{"id":17,"name":"Train ID","value":"102-21"},{"id":16,"name":"Locomotive ID","value":"4033"},{"id":130,"name":"Impact","value":""},{"id":150,"name":"Time of Event (Mountain Time)","value":"04:48:24"},{"id":151,"name":"Denver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21">"start /low /b "&amp;dls3logs&amp;" --loco "&amp;B14&amp;" --day "&amp;TEXT(F14,"YYYY-MM-DD")</f>
        <v>start /low /b %USERPROFILE%\Documents\GitHub\eaglep3\Utilities\DownloadLogsFromS3.py --loco 4033 --day 2017-12-21</v>
      </c>
      <c r="AN14" s="24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-21T02:50:56-0700',mode:absolute,to:'2017-12-21T05:48:24-0700'))&amp;_a=(columns:!('Message%20ID',Summary),filters:!(),index:'emp_*',interval:auto,query:(query_string:(analyze_wildcard:!t,query:'%22rtdc.l.rtdc.4033%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697</v>
      </c>
      <c r="B15" s="224">
        <v>4064</v>
      </c>
      <c r="C15" s="226" t="s">
        <v>192</v>
      </c>
      <c r="D15" s="226" t="s">
        <v>643</v>
      </c>
      <c r="E15" s="225">
        <v>43090.15184027778</v>
      </c>
      <c r="F15" s="225">
        <v>43090.156446759262</v>
      </c>
      <c r="G15" s="224">
        <v>67</v>
      </c>
      <c r="H15" s="226" t="s">
        <v>901</v>
      </c>
      <c r="I15" s="225">
        <v>43090.181481481479</v>
      </c>
      <c r="J15" s="224">
        <v>0</v>
      </c>
      <c r="K15" s="236" t="str">
        <f t="shared" si="0"/>
        <v>4063/4064</v>
      </c>
      <c r="L15" s="244" t="str">
        <f>VLOOKUP(A15,'Trips&amp;Operators'!$C$1:$G$99911,5,FALSE)</f>
        <v>MAELZER KURT</v>
      </c>
      <c r="M15" s="223">
        <f t="shared" si="1"/>
        <v>2.5034722217242233E-2</v>
      </c>
      <c r="N15" s="224">
        <f t="shared" si="2"/>
        <v>36.049999992828816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2017-12-21T02:38:39-0700',mode:absolute,to:'2017-12-21T05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4.5499999999999999E-2</v>
      </c>
      <c r="Z15" s="246">
        <f t="shared" si="8"/>
        <v>23.3308</v>
      </c>
      <c r="AA15" s="246">
        <f t="shared" si="9"/>
        <v>23.285299999999999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5" s="233" t="str">
        <f t="shared" si="12"/>
        <v>"C:\Program Files (x86)\AstroGrep\AstroGrep.exe" /e /r /s /spath="%USERPROFILE%\AppData\Local\Temp\OnboardLogs" /stypes="app*4064*201712211*"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103-21 --locoid 4064 --swversion DE.1.0.9.0 --startMP 204:455 --initTime 2017-12-21T03:38:39 --startdatetime 2017-12-21T03:45:17 --delay 67 --endMP 204:233308 --enddatetime 2017-12-21T04:21:20 --enforcementcount 0 &gt;&gt;%USERPROFILE%\Documents\GitHub\eaglep3-reporting\EC\2017-12-21-refined-times.txt</v>
      </c>
      <c r="AI1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{"issue":{"subject":"","project_id":79,"tracker_id":40,"status_id":1,"priority_id":2,"assigned_to_id":338,"start_date":"2017-12-21","description":"","custom_fields":[{"id":1,"name":"Subdivision","value":"EC"},{"id":4,"name":"Milepost","value":"23.3308"},{"id":17,"name":"Train ID","value":"103-21"},{"id":16,"name":"Locomotive ID","value":"4064"},{"id":130,"name":"Impact","value":""},{"id":150,"name":"Time of Event (Mountain Time)","value":"04:21:20"},{"id":151,"name":"Denver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4064 --day 2017-12-21</v>
      </c>
      <c r="AN1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2017-12-21T02:38:39-0700',mode:absolute,to:'2017-12-21T05:21:20-0700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704</v>
      </c>
      <c r="B16" s="224">
        <v>4063</v>
      </c>
      <c r="C16" s="226" t="s">
        <v>192</v>
      </c>
      <c r="D16" s="226" t="s">
        <v>902</v>
      </c>
      <c r="E16" s="225">
        <v>43090.186909722222</v>
      </c>
      <c r="F16" s="225">
        <v>43090.196076388886</v>
      </c>
      <c r="G16" s="224">
        <v>58</v>
      </c>
      <c r="H16" s="226" t="s">
        <v>903</v>
      </c>
      <c r="I16" s="225">
        <v>43090.222037037034</v>
      </c>
      <c r="J16" s="224">
        <v>0</v>
      </c>
      <c r="K16" s="236" t="str">
        <f t="shared" si="0"/>
        <v>4063/4064</v>
      </c>
      <c r="L16" s="244" t="str">
        <f>VLOOKUP(A16,'Trips&amp;Operators'!$C$1:$G$99911,5,FALSE)</f>
        <v>MAELZER KURT</v>
      </c>
      <c r="M16" s="223">
        <f t="shared" si="1"/>
        <v>2.5960648148611654E-2</v>
      </c>
      <c r="N16" s="224">
        <f t="shared" si="2"/>
        <v>37.383333334000781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2017-12-21T03:29:09-0700',mode:absolute,to:'2017-12-21T06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23.297899999999998</v>
      </c>
      <c r="Z16" s="246">
        <f t="shared" si="8"/>
        <v>1.7000000000000001E-2</v>
      </c>
      <c r="AA16" s="246">
        <f t="shared" si="9"/>
        <v>23.280899999999999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6" s="233" t="str">
        <f t="shared" si="12"/>
        <v>"C:\Program Files (x86)\AstroGrep\AstroGrep.exe" /e /r /s /spath="%USERPROFILE%\AppData\Local\Temp\OnboardLogs" /stypes="app*4063*201712211*"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104-21 --locoid 4063 --swversion DE.1.0.9.0 --startMP 204:232979 --initTime 2017-12-21T04:29:09 --startdatetime 2017-12-21T04:42:21 --delay 58 --endMP 204:170 --enddatetime 2017-12-21T05:19:44 --enforcementcount 0 &gt;&gt;%USERPROFILE%\Documents\GitHub\eaglep3-reporting\EC\2017-12-21-refined-times.txt</v>
      </c>
      <c r="AI1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{"issue":{"subject":"","project_id":79,"tracker_id":40,"status_id":1,"priority_id":2,"assigned_to_id":338,"start_date":"2017-12-21","description":"","custom_fields":[{"id":1,"name":"Subdivision","value":"EC"},{"id":4,"name":"Milepost","value":"0.017"},{"id":17,"name":"Train ID","value":"104-21"},{"id":16,"name":"Locomotive ID","value":"4063"},{"id":130,"name":"Impact","value":""},{"id":150,"name":"Time of Event (Mountain Time)","value":"05:19:44"},{"id":151,"name":"Denver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4063 --day 2017-12-21</v>
      </c>
      <c r="AN1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2017-12-21T03:29:09-0700',mode:absolute,to:'2017-12-21T06:19:44-0700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700</v>
      </c>
      <c r="B17" s="224">
        <v>4018</v>
      </c>
      <c r="C17" s="226" t="s">
        <v>192</v>
      </c>
      <c r="D17" s="226" t="s">
        <v>627</v>
      </c>
      <c r="E17" s="225">
        <v>43090.172314814816</v>
      </c>
      <c r="F17" s="225">
        <v>43090.177314814813</v>
      </c>
      <c r="G17" s="224">
        <v>73</v>
      </c>
      <c r="H17" s="226" t="s">
        <v>904</v>
      </c>
      <c r="I17" s="225">
        <v>43090.202719907407</v>
      </c>
      <c r="J17" s="224">
        <v>0</v>
      </c>
      <c r="K17" s="236" t="str">
        <f t="shared" si="0"/>
        <v>4017/4018</v>
      </c>
      <c r="L17" s="244" t="str">
        <f>VLOOKUP(A17,'Trips&amp;Operators'!$C$1:$G$99911,5,FALSE)</f>
        <v>BONDS REYNALDO</v>
      </c>
      <c r="M17" s="223">
        <f t="shared" si="1"/>
        <v>2.5405092594155576E-2</v>
      </c>
      <c r="N17" s="224">
        <f t="shared" si="2"/>
        <v>36.58333333558403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2017-12-21T03:08:08-0700',mode:absolute,to:'2017-12-21T05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4.8000000000000001E-2</v>
      </c>
      <c r="Z17" s="246">
        <f t="shared" si="8"/>
        <v>23.331800000000001</v>
      </c>
      <c r="AA17" s="246">
        <f t="shared" si="9"/>
        <v>23.283800000000003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17" s="233" t="str">
        <f t="shared" si="12"/>
        <v>"C:\Program Files (x86)\AstroGrep\AstroGrep.exe" /e /r /s /spath="%USERPROFILE%\AppData\Local\Temp\OnboardLogs" /stypes="app*4018*201712211*"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105-21 --locoid 4018 --swversion DE.1.0.9.0 --startMP 204:480 --initTime 2017-12-21T04:08:08 --startdatetime 2017-12-21T04:15:20 --delay 73 --endMP 204:233318 --enddatetime 2017-12-21T04:51:55 --enforcementcount 0 &gt;&gt;%USERPROFILE%\Documents\GitHub\eaglep3-reporting\EC\2017-12-21-refined-times.txt</v>
      </c>
      <c r="AI1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{"issue":{"subject":"","project_id":79,"tracker_id":40,"status_id":1,"priority_id":2,"assigned_to_id":338,"start_date":"2017-12-21","description":"","custom_fields":[{"id":1,"name":"Subdivision","value":"EC"},{"id":4,"name":"Milepost","value":"23.3318"},{"id":17,"name":"Train ID","value":"105-21"},{"id":16,"name":"Locomotive ID","value":"4018"},{"id":130,"name":"Impact","value":""},{"id":150,"name":"Time of Event (Mountain Time)","value":"04:51:55"},{"id":151,"name":"Denver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4018 --day 2017-12-21</v>
      </c>
      <c r="AN1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2017-12-21T03:08:08-0700',mode:absolute,to:'2017-12-21T05:51:55-0700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655</v>
      </c>
      <c r="B18" s="224">
        <v>4017</v>
      </c>
      <c r="C18" s="226" t="s">
        <v>192</v>
      </c>
      <c r="D18" s="226" t="s">
        <v>604</v>
      </c>
      <c r="E18" s="225">
        <v>43090.214155092595</v>
      </c>
      <c r="F18" s="225">
        <v>43090.216851851852</v>
      </c>
      <c r="G18" s="224">
        <v>60</v>
      </c>
      <c r="H18" s="226" t="s">
        <v>905</v>
      </c>
      <c r="I18" s="225">
        <v>43090.245000000003</v>
      </c>
      <c r="J18" s="224">
        <v>0</v>
      </c>
      <c r="K18" s="236" t="str">
        <f t="shared" si="0"/>
        <v>4017/4018</v>
      </c>
      <c r="L18" s="244" t="str">
        <f>VLOOKUP(A18,'Trips&amp;Operators'!$C$1:$G$99911,5,FALSE)</f>
        <v>BONDS REYNALDO</v>
      </c>
      <c r="M18" s="223">
        <f t="shared" si="1"/>
        <v>2.8148148150648922E-2</v>
      </c>
      <c r="N18" s="224">
        <f t="shared" si="2"/>
        <v>40.533333336934447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2017-12-21T04:08:23-0700',mode:absolute,to:'2017-12-21T06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23.296299999999999</v>
      </c>
      <c r="Z18" s="246">
        <f t="shared" si="8"/>
        <v>1.9199999999999998E-2</v>
      </c>
      <c r="AA18" s="246">
        <f t="shared" si="9"/>
        <v>23.277099999999997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18" s="233" t="str">
        <f t="shared" si="12"/>
        <v>"C:\Program Files (x86)\AstroGrep\AstroGrep.exe" /e /r /s /spath="%USERPROFILE%\AppData\Local\Temp\OnboardLogs" /stypes="app*4017*201712211*"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106-21 --locoid 4017 --swversion DE.1.0.9.0 --startMP 204:232963 --initTime 2017-12-21T05:08:23 --startdatetime 2017-12-21T05:12:16 --delay 60 --endMP 204:192 --enddatetime 2017-12-21T05:52:48 --enforcementcount 0 &gt;&gt;%USERPROFILE%\Documents\GitHub\eaglep3-reporting\EC\2017-12-21-refined-times.txt</v>
      </c>
      <c r="AI1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{"issue":{"subject":"","project_id":79,"tracker_id":40,"status_id":1,"priority_id":2,"assigned_to_id":338,"start_date":"2017-12-21","description":"","custom_fields":[{"id":1,"name":"Subdivision","value":"EC"},{"id":4,"name":"Milepost","value":"0.0192"},{"id":17,"name":"Train ID","value":"106-21"},{"id":16,"name":"Locomotive ID","value":"4017"},{"id":130,"name":"Impact","value":""},{"id":150,"name":"Time of Event (Mountain Time)","value":"05:52:48"},{"id":151,"name":"Denver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4017 --day 2017-12-21</v>
      </c>
      <c r="AN1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2017-12-21T04:08:23-0700',mode:absolute,to:'2017-12-21T06:52:48-0700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703</v>
      </c>
      <c r="B19" s="224">
        <v>4054</v>
      </c>
      <c r="C19" s="226" t="s">
        <v>192</v>
      </c>
      <c r="D19" s="226" t="s">
        <v>622</v>
      </c>
      <c r="E19" s="225">
        <v>43090.184074074074</v>
      </c>
      <c r="F19" s="225">
        <v>43090.187673611108</v>
      </c>
      <c r="G19" s="224">
        <v>70</v>
      </c>
      <c r="H19" s="226" t="s">
        <v>906</v>
      </c>
      <c r="I19" s="225">
        <v>43090.212638888886</v>
      </c>
      <c r="J19" s="224">
        <v>0</v>
      </c>
      <c r="K19" s="236" t="str">
        <f t="shared" si="0"/>
        <v>4053/4054</v>
      </c>
      <c r="L19" s="244" t="str">
        <f>VLOOKUP(A19,'Trips&amp;Operators'!$C$1:$G$99911,5,FALSE)</f>
        <v>GEBRETEKLE DAGNEW</v>
      </c>
      <c r="M19" s="223">
        <f t="shared" si="1"/>
        <v>2.4965277778392192E-2</v>
      </c>
      <c r="N19" s="224">
        <f t="shared" si="2"/>
        <v>35.950000000884756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2017-12-21T03:25:04-0700',mode:absolute,to:'2017-12-21T06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4.6600000000000003E-2</v>
      </c>
      <c r="Z19" s="246">
        <f t="shared" si="8"/>
        <v>23.332699999999999</v>
      </c>
      <c r="AA19" s="246">
        <f t="shared" si="9"/>
        <v>23.286099999999998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9" s="233" t="str">
        <f t="shared" si="12"/>
        <v>"C:\Program Files (x86)\AstroGrep\AstroGrep.exe" /e /r /s /spath="%USERPROFILE%\AppData\Local\Temp\OnboardLogs" /stypes="app*4054*201712211*"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107-21 --locoid 4054 --swversion DE.1.0.9.0 --startMP 204:466 --initTime 2017-12-21T04:25:04 --startdatetime 2017-12-21T04:30:15 --delay 70 --endMP 204:233327 --enddatetime 2017-12-21T05:06:12 --enforcementcount 0 &gt;&gt;%USERPROFILE%\Documents\GitHub\eaglep3-reporting\EC\2017-12-21-refined-times.txt</v>
      </c>
      <c r="AI1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{"issue":{"subject":"","project_id":79,"tracker_id":40,"status_id":1,"priority_id":2,"assigned_to_id":338,"start_date":"2017-12-21","description":"","custom_fields":[{"id":1,"name":"Subdivision","value":"EC"},{"id":4,"name":"Milepost","value":"23.3327"},{"id":17,"name":"Train ID","value":"107-21"},{"id":16,"name":"Locomotive ID","value":"4054"},{"id":130,"name":"Impact","value":""},{"id":150,"name":"Time of Event (Mountain Time)","value":"05:06:12"},{"id":151,"name":"Denver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4054 --day 2017-12-21</v>
      </c>
      <c r="AN1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2017-12-21T03:25:04-0700',mode:absolute,to:'2017-12-21T06:06:12-0700'))&amp;_a=(columns:!('Message%20ID',Summary),filters:!(),index:'emp_*',interval:auto,query:(query_string:(analyze_wildcard:!t,query:'%22rtdc.l.rtdc.4054%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710</v>
      </c>
      <c r="B20" s="224">
        <v>4053</v>
      </c>
      <c r="C20" s="226" t="s">
        <v>192</v>
      </c>
      <c r="D20" s="226" t="s">
        <v>907</v>
      </c>
      <c r="E20" s="225">
        <v>43090.213854166665</v>
      </c>
      <c r="F20" s="225">
        <v>43090.227256944447</v>
      </c>
      <c r="G20" s="224">
        <v>54</v>
      </c>
      <c r="H20" s="226" t="s">
        <v>908</v>
      </c>
      <c r="I20" s="225">
        <v>43090.253344907411</v>
      </c>
      <c r="J20" s="224">
        <v>0</v>
      </c>
      <c r="K20" s="236" t="str">
        <f t="shared" si="0"/>
        <v>4053/4054</v>
      </c>
      <c r="L20" s="244" t="str">
        <f>VLOOKUP(A20,'Trips&amp;Operators'!$C$1:$G$99911,5,FALSE)</f>
        <v>GEBRETEKLE DAGNEW</v>
      </c>
      <c r="M20" s="223">
        <f t="shared" si="1"/>
        <v>2.6087962964083999E-2</v>
      </c>
      <c r="N20" s="224">
        <f t="shared" si="2"/>
        <v>37.566666668280959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2017-12-21T04:07:57-0700',mode:absolute,to:'2017-12-21T07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23.3019</v>
      </c>
      <c r="Z20" s="246">
        <f t="shared" si="8"/>
        <v>1.54E-2</v>
      </c>
      <c r="AA20" s="246">
        <f t="shared" si="9"/>
        <v>23.2865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20" s="233" t="str">
        <f t="shared" si="12"/>
        <v>"C:\Program Files (x86)\AstroGrep\AstroGrep.exe" /e /r /s /spath="%USERPROFILE%\AppData\Local\Temp\OnboardLogs" /stypes="app*4053*201712211*"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108-21 --locoid 4053 --swversion DE.1.0.9.0 --startMP 204:233019 --initTime 2017-12-21T05:07:57 --startdatetime 2017-12-21T05:27:15 --delay 54 --endMP 204:154 --enddatetime 2017-12-21T06:04:49 --enforcementcount 0 &gt;&gt;%USERPROFILE%\Documents\GitHub\eaglep3-reporting\EC\2017-12-21-refined-times.txt</v>
      </c>
      <c r="AI20" s="237" t="str">
        <f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{"issue":{"subject":"","project_id":79,"tracker_id":40,"status_id":1,"priority_id":2,"assigned_to_id":338,"start_date":"2017-12-21","description":"","custom_fields":[{"id":1,"name":"Subdivision","value":"EC"},{"id":4,"name":"Milepost","value":"0.0154"},{"id":17,"name":"Train ID","value":"108-21"},{"id":16,"name":"Locomotive ID","value":"4053"},{"id":130,"name":"Impact","value":""},{"id":150,"name":"Time of Event (Mountain Time)","value":"06:04:49"},{"id":151,"name":"Denver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4053 --day 2017-12-21</v>
      </c>
      <c r="AN20" s="240" t="str">
        <f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2017-12-21T04:07:57-0700',mode:absolute,to:'2017-12-21T07:04:49-0700'))&amp;_a=(columns:!('Message%20ID',Summary),filters:!(),index:'emp_*',interval:auto,query:(query_string:(analyze_wildcard:!t,query:'%22rtdc.l.rtdc.4053%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705</v>
      </c>
      <c r="B21" s="224">
        <v>4060</v>
      </c>
      <c r="C21" s="226" t="s">
        <v>192</v>
      </c>
      <c r="D21" s="226" t="s">
        <v>909</v>
      </c>
      <c r="E21" s="225">
        <v>43090.194930555554</v>
      </c>
      <c r="F21" s="225">
        <v>43090.198136574072</v>
      </c>
      <c r="G21" s="224">
        <v>75</v>
      </c>
      <c r="H21" s="226" t="s">
        <v>910</v>
      </c>
      <c r="I21" s="225">
        <v>43090.224039351851</v>
      </c>
      <c r="J21" s="224">
        <v>0</v>
      </c>
      <c r="K21" s="236" t="str">
        <f t="shared" si="0"/>
        <v>4059/4060</v>
      </c>
      <c r="L21" s="244" t="str">
        <f>VLOOKUP(A21,'Trips&amp;Operators'!$C$1:$G$99911,5,FALSE)</f>
        <v>WILLIAMS DONTE</v>
      </c>
      <c r="M21" s="223">
        <f t="shared" si="1"/>
        <v>2.5902777779265307E-2</v>
      </c>
      <c r="N21" s="224">
        <f t="shared" si="2"/>
        <v>37.300000002142042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2017-12-21T03:40:42-0700',mode:absolute,to:'2017-12-21T06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5.3699999999999998E-2</v>
      </c>
      <c r="Z21" s="246">
        <f t="shared" si="8"/>
        <v>23.324000000000002</v>
      </c>
      <c r="AA21" s="246">
        <f t="shared" si="9"/>
        <v>23.270300000000002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21" s="233" t="str">
        <f t="shared" si="12"/>
        <v>"C:\Program Files (x86)\AstroGrep\AstroGrep.exe" /e /r /s /spath="%USERPROFILE%\AppData\Local\Temp\OnboardLogs" /stypes="app*4060*201712211*"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109-21 --locoid 4060 --swversion DE.1.0.9.0 --startMP 204:537 --initTime 2017-12-21T04:40:42 --startdatetime 2017-12-21T04:45:19 --delay 75 --endMP 204:233240 --enddatetime 2017-12-21T05:22:37 --enforcementcount 0 &gt;&gt;%USERPROFILE%\Documents\GitHub\eaglep3-reporting\EC\2017-12-21-refined-times.txt</v>
      </c>
      <c r="AI21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{"issue":{"subject":"","project_id":79,"tracker_id":40,"status_id":1,"priority_id":2,"assigned_to_id":338,"start_date":"2017-12-21","description":"","custom_fields":[{"id":1,"name":"Subdivision","value":"EC"},{"id":4,"name":"Milepost","value":"23.324"},{"id":17,"name":"Train ID","value":"109-21"},{"id":16,"name":"Locomotive ID","value":"4060"},{"id":130,"name":"Impact","value":""},{"id":150,"name":"Time of Event (Mountain Time)","value":"05:22:37"},{"id":151,"name":"Denver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4060 --day 2017-12-21</v>
      </c>
      <c r="AN21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2017-12-21T03:40:42-0700',mode:absolute,to:'2017-12-21T06:22:37-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713</v>
      </c>
      <c r="B22" s="224">
        <v>4059</v>
      </c>
      <c r="C22" s="226" t="s">
        <v>192</v>
      </c>
      <c r="D22" s="226" t="s">
        <v>911</v>
      </c>
      <c r="E22" s="225">
        <v>43090.234224537038</v>
      </c>
      <c r="F22" s="225">
        <v>43090.237754629627</v>
      </c>
      <c r="G22" s="224">
        <v>94</v>
      </c>
      <c r="H22" s="226" t="s">
        <v>482</v>
      </c>
      <c r="I22" s="225">
        <v>43090.266921296294</v>
      </c>
      <c r="J22" s="224">
        <v>0</v>
      </c>
      <c r="K22" s="236" t="str">
        <f t="shared" si="0"/>
        <v>4059/4060</v>
      </c>
      <c r="L22" s="244" t="str">
        <f>VLOOKUP(A22,'Trips&amp;Operators'!$C$1:$G$99911,5,FALSE)</f>
        <v>WILLIAMS DONTE</v>
      </c>
      <c r="M22" s="223">
        <f t="shared" si="1"/>
        <v>2.9166666667151731E-2</v>
      </c>
      <c r="N22" s="224">
        <f t="shared" si="2"/>
        <v>42.000000000698492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2017-12-21T04:37:17-0700',mode:absolute,to:'2017-12-21T07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23.292100000000001</v>
      </c>
      <c r="Z22" s="246">
        <f t="shared" si="8"/>
        <v>1.9800000000000002E-2</v>
      </c>
      <c r="AA22" s="246">
        <f t="shared" si="9"/>
        <v>23.272300000000001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22" s="233" t="str">
        <f t="shared" si="12"/>
        <v>"C:\Program Files (x86)\AstroGrep\AstroGrep.exe" /e /r /s /spath="%USERPROFILE%\AppData\Local\Temp\OnboardLogs" /stypes="app*4059*201712211*"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110-21 --locoid 4059 --swversion DE.1.0.9.0 --startMP 204:232921 --initTime 2017-12-21T05:37:17 --startdatetime 2017-12-21T05:42:22 --delay 94 --endMP 204:198 --enddatetime 2017-12-21T06:24:22 --enforcementcount 0 &gt;&gt;%USERPROFILE%\Documents\GitHub\eaglep3-reporting\EC\2017-12-21-refined-times.txt</v>
      </c>
      <c r="AI2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{"issue":{"subject":"","project_id":79,"tracker_id":40,"status_id":1,"priority_id":2,"assigned_to_id":338,"start_date":"2017-12-21","description":"","custom_fields":[{"id":1,"name":"Subdivision","value":"EC"},{"id":4,"name":"Milepost","value":"0.0198"},{"id":17,"name":"Train ID","value":"110-21"},{"id":16,"name":"Locomotive ID","value":"4059"},{"id":130,"name":"Impact","value":""},{"id":150,"name":"Time of Event (Mountain Time)","value":"06:24:22"},{"id":151,"name":"Denver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4059 --day 2017-12-21</v>
      </c>
      <c r="AN2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2017-12-21T04:37:17-0700',mode:absolute,to:'2017-12-21T07:24:22-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708</v>
      </c>
      <c r="B23" s="224">
        <v>4034</v>
      </c>
      <c r="C23" s="226" t="s">
        <v>192</v>
      </c>
      <c r="D23" s="226" t="s">
        <v>545</v>
      </c>
      <c r="E23" s="225">
        <v>43090.201354166667</v>
      </c>
      <c r="F23" s="225">
        <v>43090.208553240744</v>
      </c>
      <c r="G23" s="224">
        <v>44</v>
      </c>
      <c r="H23" s="226" t="s">
        <v>493</v>
      </c>
      <c r="I23" s="225">
        <v>43090.233356481483</v>
      </c>
      <c r="J23" s="224">
        <v>0</v>
      </c>
      <c r="K23" s="236" t="str">
        <f t="shared" si="0"/>
        <v>4033/4034</v>
      </c>
      <c r="L23" s="244" t="str">
        <f>VLOOKUP(A23,'Trips&amp;Operators'!$C$1:$G$99911,5,FALSE)</f>
        <v>YORK EDGAR</v>
      </c>
      <c r="M23" s="223">
        <f t="shared" si="1"/>
        <v>2.4803240739856847E-2</v>
      </c>
      <c r="N23" s="224">
        <f t="shared" si="2"/>
        <v>35.716666665393859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2017-12-21T03:49:57-0700',mode:absolute,to:'2017-12-21T06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4.6399999999999997E-2</v>
      </c>
      <c r="Z23" s="246">
        <f t="shared" si="8"/>
        <v>23.3293</v>
      </c>
      <c r="AA23" s="246">
        <f t="shared" si="9"/>
        <v>23.282900000000001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23" s="233" t="str">
        <f t="shared" si="12"/>
        <v>"C:\Program Files (x86)\AstroGrep\AstroGrep.exe" /e /r /s /spath="%USERPROFILE%\AppData\Local\Temp\OnboardLogs" /stypes="app*4034*201712211*"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111-21 --locoid 4034 --swversion DE.1.0.9.0 --startMP 204:464 --initTime 2017-12-21T04:49:57 --startdatetime 2017-12-21T05:00:19 --delay 44 --endMP 204:233293 --enddatetime 2017-12-21T05:36:02 --enforcementcount 0 &gt;&gt;%USERPROFILE%\Documents\GitHub\eaglep3-reporting\EC\2017-12-21-refined-times.txt</v>
      </c>
      <c r="AI23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{"issue":{"subject":"","project_id":79,"tracker_id":40,"status_id":1,"priority_id":2,"assigned_to_id":338,"start_date":"2017-12-21","description":"","custom_fields":[{"id":1,"name":"Subdivision","value":"EC"},{"id":4,"name":"Milepost","value":"23.3293"},{"id":17,"name":"Train ID","value":"111-21"},{"id":16,"name":"Locomotive ID","value":"4034"},{"id":130,"name":"Impact","value":""},{"id":150,"name":"Time of Event (Mountain Time)","value":"05:36:02"},{"id":151,"name":"Denver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4034 --day 2017-12-21</v>
      </c>
      <c r="AN23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2017-12-21T03:49:57-0700',mode:absolute,to:'2017-12-21T06:36:02-0700'))&amp;_a=(columns:!('Message%20ID',Summary),filters:!(),index:'emp_*',interval:auto,query:(query_string:(analyze_wildcard:!t,query:'%22rtdc.l.rtdc.4034%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714</v>
      </c>
      <c r="B24" s="224">
        <v>4033</v>
      </c>
      <c r="C24" s="226" t="s">
        <v>192</v>
      </c>
      <c r="D24" s="226" t="s">
        <v>518</v>
      </c>
      <c r="E24" s="225">
        <v>43090.234837962962</v>
      </c>
      <c r="F24" s="225">
        <v>43090.248101851852</v>
      </c>
      <c r="G24" s="224">
        <v>47</v>
      </c>
      <c r="H24" s="226" t="s">
        <v>489</v>
      </c>
      <c r="I24" s="225">
        <v>43090.275092592594</v>
      </c>
      <c r="J24" s="224">
        <v>0</v>
      </c>
      <c r="K24" s="236" t="str">
        <f t="shared" si="0"/>
        <v>4033/4034</v>
      </c>
      <c r="L24" s="244" t="str">
        <f>VLOOKUP(A24,'Trips&amp;Operators'!$C$1:$G$99911,5,FALSE)</f>
        <v>YORK EDGAR</v>
      </c>
      <c r="M24" s="223">
        <f t="shared" si="1"/>
        <v>2.6990740741894115E-2</v>
      </c>
      <c r="N24" s="224">
        <f t="shared" si="2"/>
        <v>38.866666668327525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2017-12-21T04:38:10-0700',mode:absolute,to:'2017-12-21T07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23.297699999999999</v>
      </c>
      <c r="Z24" s="246">
        <f t="shared" si="8"/>
        <v>1.5800000000000002E-2</v>
      </c>
      <c r="AA24" s="246">
        <f t="shared" si="9"/>
        <v>23.2819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24" s="233" t="str">
        <f t="shared" si="12"/>
        <v>"C:\Program Files (x86)\AstroGrep\AstroGrep.exe" /e /r /s /spath="%USERPROFILE%\AppData\Local\Temp\OnboardLogs" /stypes="app*4033*201712211*"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112-21 --locoid 4033 --swversion DE.1.0.9.0 --startMP 204:232977 --initTime 2017-12-21T05:38:10 --startdatetime 2017-12-21T05:57:16 --delay 47 --endMP 204:158 --enddatetime 2017-12-21T06:36:08 --enforcementcount 0 &gt;&gt;%USERPROFILE%\Documents\GitHub\eaglep3-reporting\EC\2017-12-21-refined-times.txt</v>
      </c>
      <c r="AI24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{"issue":{"subject":"","project_id":79,"tracker_id":40,"status_id":1,"priority_id":2,"assigned_to_id":338,"start_date":"2017-12-21","description":"","custom_fields":[{"id":1,"name":"Subdivision","value":"EC"},{"id":4,"name":"Milepost","value":"0.0158"},{"id":17,"name":"Train ID","value":"112-21"},{"id":16,"name":"Locomotive ID","value":"4033"},{"id":130,"name":"Impact","value":""},{"id":150,"name":"Time of Event (Mountain Time)","value":"06:36:08"},{"id":151,"name":"Denver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4033 --day 2017-12-21</v>
      </c>
      <c r="AN24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2017-12-21T04:38:10-0700',mode:absolute,to:'2017-12-21T07:36:08-0700'))&amp;_a=(columns:!('Message%20ID',Summary),filters:!(),index:'emp_*',interval:auto,query:(query_string:(analyze_wildcard:!t,query:'%22rtdc.l.rtdc.4033%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709</v>
      </c>
      <c r="B25" s="224">
        <v>4014</v>
      </c>
      <c r="C25" s="226" t="s">
        <v>192</v>
      </c>
      <c r="D25" s="226" t="s">
        <v>912</v>
      </c>
      <c r="E25" s="225">
        <v>43090.205995370372</v>
      </c>
      <c r="F25" s="225">
        <v>43090.218923611108</v>
      </c>
      <c r="G25" s="224">
        <v>51</v>
      </c>
      <c r="H25" s="226" t="s">
        <v>600</v>
      </c>
      <c r="I25" s="225">
        <v>43090.24359953704</v>
      </c>
      <c r="J25" s="224">
        <v>0</v>
      </c>
      <c r="K25" s="236" t="str">
        <f t="shared" si="0"/>
        <v>4013/4014</v>
      </c>
      <c r="L25" s="244" t="str">
        <f>VLOOKUP(A25,'Trips&amp;Operators'!$C$1:$G$99911,5,FALSE)</f>
        <v>YANAI IAN</v>
      </c>
      <c r="M25" s="223">
        <f t="shared" si="1"/>
        <v>2.4675925931660458E-2</v>
      </c>
      <c r="N25" s="224">
        <f t="shared" si="2"/>
        <v>35.53333334159106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2017-12-21T03:56:38-0700',mode:absolute,to:'2017-12-21T06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4.7500000000000001E-2</v>
      </c>
      <c r="Z25" s="246">
        <f t="shared" si="8"/>
        <v>23.328600000000002</v>
      </c>
      <c r="AA25" s="246">
        <f t="shared" si="9"/>
        <v>23.281100000000002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25" s="233" t="str">
        <f t="shared" si="12"/>
        <v>"C:\Program Files (x86)\AstroGrep\AstroGrep.exe" /e /r /s /spath="%USERPROFILE%\AppData\Local\Temp\OnboardLogs" /stypes="app*4014*201712211*"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113-21 --locoid 4014 --swversion DE.1.0.9.0 --startMP 204:475 --initTime 2017-12-21T04:56:38 --startdatetime 2017-12-21T05:15:15 --delay 51 --endMP 204:233286 --enddatetime 2017-12-21T05:50:47 --enforcementcount 0 &gt;&gt;%USERPROFILE%\Documents\GitHub\eaglep3-reporting\EC\2017-12-21-refined-times.txt</v>
      </c>
      <c r="AI2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{"issue":{"subject":"","project_id":79,"tracker_id":40,"status_id":1,"priority_id":2,"assigned_to_id":338,"start_date":"2017-12-21","description":"","custom_fields":[{"id":1,"name":"Subdivision","value":"EC"},{"id":4,"name":"Milepost","value":"23.3286"},{"id":17,"name":"Train ID","value":"113-21"},{"id":16,"name":"Locomotive ID","value":"4014"},{"id":130,"name":"Impact","value":""},{"id":150,"name":"Time of Event (Mountain Time)","value":"05:50:47"},{"id":151,"name":"Denver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4014 --day 2017-12-21</v>
      </c>
      <c r="AN2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2017-12-21T03:56:38-0700',mode:absolute,to:'2017-12-21T06:50:47-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716</v>
      </c>
      <c r="B26" s="224">
        <v>4013</v>
      </c>
      <c r="C26" s="226" t="s">
        <v>192</v>
      </c>
      <c r="D26" s="226" t="s">
        <v>913</v>
      </c>
      <c r="E26" s="225">
        <v>43090.244884259257</v>
      </c>
      <c r="F26" s="225">
        <v>43090.25849537037</v>
      </c>
      <c r="G26" s="224">
        <v>71</v>
      </c>
      <c r="H26" s="226" t="s">
        <v>914</v>
      </c>
      <c r="I26" s="225">
        <v>43090.286863425928</v>
      </c>
      <c r="J26" s="224">
        <v>0</v>
      </c>
      <c r="K26" s="236" t="str">
        <f t="shared" si="0"/>
        <v>4013/4014</v>
      </c>
      <c r="L26" s="244" t="str">
        <f>VLOOKUP(A26,'Trips&amp;Operators'!$C$1:$G$99911,5,FALSE)</f>
        <v>YANAI IAN</v>
      </c>
      <c r="M26" s="223">
        <f t="shared" si="1"/>
        <v>2.8368055558530614E-2</v>
      </c>
      <c r="N26" s="224">
        <f t="shared" si="2"/>
        <v>40.850000004284084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2017-12-21T04:52:38-0700',mode:absolute,to:'2017-12-21T07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23.2986</v>
      </c>
      <c r="Z26" s="246">
        <f t="shared" si="8"/>
        <v>2.2499999999999999E-2</v>
      </c>
      <c r="AA26" s="246">
        <f t="shared" si="9"/>
        <v>23.2761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26" s="233" t="str">
        <f t="shared" si="12"/>
        <v>"C:\Program Files (x86)\AstroGrep\AstroGrep.exe" /e /r /s /spath="%USERPROFILE%\AppData\Local\Temp\OnboardLogs" /stypes="app*4013*201712211*"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114-21 --locoid 4013 --swversion DE.1.0.9.0 --startMP 204:232986 --initTime 2017-12-21T05:52:38 --startdatetime 2017-12-21T06:12:14 --delay 71 --endMP 204:225 --enddatetime 2017-12-21T06:53:05 --enforcementcount 0 &gt;&gt;%USERPROFILE%\Documents\GitHub\eaglep3-reporting\EC\2017-12-21-refined-times.txt</v>
      </c>
      <c r="AI2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{"issue":{"subject":"","project_id":79,"tracker_id":40,"status_id":1,"priority_id":2,"assigned_to_id":338,"start_date":"2017-12-21","description":"","custom_fields":[{"id":1,"name":"Subdivision","value":"EC"},{"id":4,"name":"Milepost","value":"0.0225"},{"id":17,"name":"Train ID","value":"114-21"},{"id":16,"name":"Locomotive ID","value":"4013"},{"id":130,"name":"Impact","value":""},{"id":150,"name":"Time of Event (Mountain Time)","value":"06:53:05"},{"id":151,"name":"Denver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4013 --day 2017-12-21</v>
      </c>
      <c r="AN2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2017-12-21T04:52:38-0700',mode:absolute,to:'2017-12-21T07:53:05-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658</v>
      </c>
      <c r="B27" s="224">
        <v>4064</v>
      </c>
      <c r="C27" s="226" t="s">
        <v>192</v>
      </c>
      <c r="D27" s="226" t="s">
        <v>622</v>
      </c>
      <c r="E27" s="225">
        <v>43090.226307870369</v>
      </c>
      <c r="F27" s="225">
        <v>43090.229699074072</v>
      </c>
      <c r="G27" s="224">
        <v>44</v>
      </c>
      <c r="H27" s="226" t="s">
        <v>915</v>
      </c>
      <c r="I27" s="225">
        <v>43090.244814814818</v>
      </c>
      <c r="J27" s="224">
        <v>0</v>
      </c>
      <c r="K27" s="236" t="str">
        <f t="shared" si="0"/>
        <v>4063/4064</v>
      </c>
      <c r="L27" s="244" t="str">
        <f>VLOOKUP(A27,'Trips&amp;Operators'!$C$1:$G$99911,5,FALSE)</f>
        <v>MAELZER KURT</v>
      </c>
      <c r="M27" s="223">
        <f t="shared" si="1"/>
        <v>1.5115740745386574E-2</v>
      </c>
      <c r="N27" s="224"/>
      <c r="O27" s="224"/>
      <c r="P27" s="224">
        <f>24*60*SUM($M27:$M27)</f>
        <v>21.766666673356667</v>
      </c>
      <c r="Q27" s="227"/>
      <c r="R27" s="241" t="s">
        <v>464</v>
      </c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2017-12-21T04:25:53-0700',mode:absolute,to:'2017-12-21T06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46" t="str">
        <f>IF(AA27&lt;VLOOKUP(AG27,Variables!$AC$3:$AD$8,2,FALSE),"Y","N")</f>
        <v>Y</v>
      </c>
      <c r="X27" s="246">
        <f t="shared" si="6"/>
        <v>1</v>
      </c>
      <c r="Y27" s="246">
        <f t="shared" si="7"/>
        <v>4.6600000000000003E-2</v>
      </c>
      <c r="Z27" s="246">
        <f t="shared" si="8"/>
        <v>12.598699999999999</v>
      </c>
      <c r="AA27" s="246">
        <f t="shared" si="9"/>
        <v>12.552099999999999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27" s="233" t="str">
        <f t="shared" si="12"/>
        <v>"C:\Program Files (x86)\AstroGrep\AstroGrep.exe" /e /r /s /spath="%USERPROFILE%\AppData\Local\Temp\OnboardLogs" /stypes="app*4064*201712211*" /stext=" 12:.+?(?&gt;(PRM\|1\|D)|(KPR)|(KDP)|(train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115-21 --locoid 4064 --swversion DE.1.0.9.0 --startMP 204:466 --initTime 2017-12-21T05:25:53 --startdatetime 2017-12-21T05:30:46 --delay 44 --endMP 204:125987 --enddatetime 2017-12-21T05:52:32 --enforcementcount 0 &gt;&gt;%USERPROFILE%\Documents\GitHub\eaglep3-reporting\EC\2017-12-21-refined-times.txt</v>
      </c>
      <c r="AI27" s="237" t="str">
        <f t="shared" si="20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drop","project_id":79,"tracker_id":40,"status_id":1,"priority_id":2,"assigned_to_id":338,"start_date":"2017-12-21","description":"","custom_fields":[{"id":1,"name":"Subdivision","value":"EC"},{"id":4,"name":"Milepost","value":"12.5987"},{"id":17,"name":"Train ID","value":"115-21"},{"id":16,"name":"Locomotive ID","value":"4064"},{"id":130,"name":"Impact","value":""},{"id":150,"name":"Time of Event (Mountain Time)","value":"05:52:32"},{"id":151,"name":"Denver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4064 --day 2017-12-21</v>
      </c>
      <c r="AN27" s="240" t="str">
        <f t="shared" si="22"/>
        <v>echo {"issue":{"subject":"Wi-MAX data drop","project_id":30,"tracker_id":4,"status_id":1,"priority_id":1,"assigned_to_id":10,"start_date":"2017-12-21","description":"","custom_fields":[{"id":30,"name":"Category","value":"Issue"},{"id":3,"name":"Functional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2017-12-21T04:25:53-0700',mode:absolute,to:'2017-12-21T06:52:32-0700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720</v>
      </c>
      <c r="B28" s="224">
        <v>4063</v>
      </c>
      <c r="C28" s="226" t="s">
        <v>192</v>
      </c>
      <c r="D28" s="226" t="s">
        <v>916</v>
      </c>
      <c r="E28" s="225">
        <v>43090.262916666667</v>
      </c>
      <c r="F28" s="225">
        <v>43090.268935185188</v>
      </c>
      <c r="G28" s="224">
        <v>50</v>
      </c>
      <c r="H28" s="226" t="s">
        <v>917</v>
      </c>
      <c r="I28" s="225">
        <v>43090.296203703707</v>
      </c>
      <c r="J28" s="224">
        <v>0</v>
      </c>
      <c r="K28" s="236" t="str">
        <f t="shared" si="0"/>
        <v>4063/4064</v>
      </c>
      <c r="L28" s="244" t="str">
        <f>VLOOKUP(A28,'Trips&amp;Operators'!$C$1:$G$99911,5,FALSE)</f>
        <v>MAELZER KURT</v>
      </c>
      <c r="M28" s="223">
        <f t="shared" si="1"/>
        <v>2.7268518519122154E-2</v>
      </c>
      <c r="N28" s="224">
        <f>24*60*SUM($M28:$M28)</f>
        <v>39.266666667535901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2017-12-21T05:18:36-0700',mode:absolute,to:'2017-12-21T08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23.300599999999999</v>
      </c>
      <c r="Z28" s="246">
        <f t="shared" si="8"/>
        <v>1.7999999999999999E-2</v>
      </c>
      <c r="AA28" s="246">
        <f t="shared" si="9"/>
        <v>23.282599999999999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28" s="233" t="str">
        <f t="shared" si="12"/>
        <v>"C:\Program Files (x86)\AstroGrep\AstroGrep.exe" /e /r /s /spath="%USERPROFILE%\AppData\Local\Temp\OnboardLogs" /stypes="app*4063*201712211*"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116-21 --locoid 4063 --swversion DE.1.0.9.0 --startMP 204:233006 --initTime 2017-12-21T06:18:36 --startdatetime 2017-12-21T06:27:16 --delay 50 --endMP 204:180 --enddatetime 2017-12-21T07:06:32 --enforcementcount 0 &gt;&gt;%USERPROFILE%\Documents\GitHub\eaglep3-reporting\EC\2017-12-21-refined-times.txt</v>
      </c>
      <c r="AI2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{"issue":{"subject":"","project_id":79,"tracker_id":40,"status_id":1,"priority_id":2,"assigned_to_id":338,"start_date":"2017-12-21","description":"","custom_fields":[{"id":1,"name":"Subdivision","value":"EC"},{"id":4,"name":"Milepost","value":"0.018"},{"id":17,"name":"Train ID","value":"116-21"},{"id":16,"name":"Locomotive ID","value":"4063"},{"id":130,"name":"Impact","value":""},{"id":150,"name":"Time of Event (Mountain Time)","value":"07:06:32"},{"id":151,"name":"Denver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4063 --day 2017-12-21</v>
      </c>
      <c r="AN2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2017-12-21T05:18:36-0700',mode:absolute,to:'2017-12-21T08:06:32-0700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656</v>
      </c>
      <c r="B29" s="224">
        <v>4028</v>
      </c>
      <c r="C29" s="226" t="s">
        <v>192</v>
      </c>
      <c r="D29" s="226" t="s">
        <v>483</v>
      </c>
      <c r="E29" s="225">
        <v>43090.23170138889</v>
      </c>
      <c r="F29" s="225">
        <v>43090.248391203706</v>
      </c>
      <c r="G29" s="224">
        <v>76</v>
      </c>
      <c r="H29" s="226" t="s">
        <v>918</v>
      </c>
      <c r="I29" s="225">
        <v>43090.26866898148</v>
      </c>
      <c r="J29" s="224">
        <v>0</v>
      </c>
      <c r="K29" s="236" t="str">
        <f t="shared" si="0"/>
        <v>4027/4028</v>
      </c>
      <c r="L29" s="244" t="str">
        <f>VLOOKUP(A29,'Trips&amp;Operators'!$C$1:$G$99911,5,FALSE)</f>
        <v>DAVIDSON DAVID</v>
      </c>
      <c r="M29" s="223">
        <f t="shared" si="1"/>
        <v>2.0277777774026617E-2</v>
      </c>
      <c r="N29" s="224"/>
      <c r="O29" s="224"/>
      <c r="P29" s="224"/>
      <c r="Q29" s="227"/>
      <c r="R29" s="241"/>
      <c r="S29" s="248"/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2017-12-21T04:33:39-0700',mode:absolute,to:'2017-12-21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246" t="str">
        <f>IF(AA29&lt;VLOOKUP(AG29,Variables!$AC$3:$AD$8,2,FALSE),"Y","N")</f>
        <v>Y</v>
      </c>
      <c r="X29" s="246">
        <f t="shared" si="6"/>
        <v>1</v>
      </c>
      <c r="Y29" s="246">
        <f t="shared" si="7"/>
        <v>5.1700000000000003E-2</v>
      </c>
      <c r="Z29" s="246">
        <f t="shared" si="8"/>
        <v>0.30780000000000002</v>
      </c>
      <c r="AA29" s="246">
        <f t="shared" si="9"/>
        <v>0.25609999999999999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29" s="233" t="str">
        <f t="shared" si="12"/>
        <v>"C:\Program Files (x86)\AstroGrep\AstroGrep.exe" /e /r /s /spath="%USERPROFILE%\AppData\Local\Temp\OnboardLogs" /stypes="app*4028*201712211*"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117-21 --locoid 4028 --swversion DE.1.0.9.0 --startMP 204:517 --initTime 2017-12-21T05:33:39 --startdatetime 2017-12-21T05:57:41 --delay 76 --endMP 204:3078 --enddatetime 2017-12-21T06:26:53 --enforcementcount 0 &gt;&gt;%USERPROFILE%\Documents\GitHub\eaglep3-reporting\EC\2017-12-21-refined-times.txt</v>
      </c>
      <c r="AI2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{"issue":{"subject":"","project_id":79,"tracker_id":40,"status_id":1,"priority_id":2,"assigned_to_id":338,"start_date":"2017-12-21","description":"","custom_fields":[{"id":1,"name":"Subdivision","value":"EC"},{"id":4,"name":"Milepost","value":"0.3078"},{"id":17,"name":"Train ID","value":"117-21"},{"id":16,"name":"Locomotive ID","value":"4028"},{"id":130,"name":"Impact","value":""},{"id":150,"name":"Time of Event (Mountain Time)","value":"06:26:53"},{"id":151,"name":"Denver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4028 --day 2017-12-21</v>
      </c>
      <c r="AN2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2017-12-21T04:33:39-0700',mode:absolute,to:'2017-12-21T07:26:53-0700'))&amp;_a=(columns:!('Message%20ID',Summary),filters:!(),index:'emp_*',interval:auto,query:(query_string:(analyze_wildcard:!t,query:'%22rtdc.l.rtdc.4028%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656</v>
      </c>
      <c r="B30" s="224">
        <v>4028</v>
      </c>
      <c r="C30" s="226" t="s">
        <v>192</v>
      </c>
      <c r="D30" s="226" t="s">
        <v>919</v>
      </c>
      <c r="E30" s="225">
        <v>43090.247569444444</v>
      </c>
      <c r="F30" s="225">
        <v>43090.248391203706</v>
      </c>
      <c r="G30" s="224">
        <v>42</v>
      </c>
      <c r="H30" s="226" t="s">
        <v>920</v>
      </c>
      <c r="I30" s="225">
        <v>43090.26866898148</v>
      </c>
      <c r="J30" s="224">
        <v>0</v>
      </c>
      <c r="K30" s="236" t="str">
        <f t="shared" si="0"/>
        <v>4027/4028</v>
      </c>
      <c r="L30" s="244" t="str">
        <f>VLOOKUP(A30,'Trips&amp;Operators'!$C$1:$G$99911,5,FALSE)</f>
        <v>DAVIDSON DAVID</v>
      </c>
      <c r="M30" s="223">
        <f t="shared" si="1"/>
        <v>2.0277777774026617E-2</v>
      </c>
      <c r="N30" s="224"/>
      <c r="O30" s="224"/>
      <c r="P30" s="224">
        <f>24*60*SUM($M30:$M30)</f>
        <v>29.199999994598329</v>
      </c>
      <c r="Q30" s="227"/>
      <c r="R30" s="241" t="s">
        <v>1108</v>
      </c>
      <c r="S30" s="248">
        <f t="shared" ref="S30:S39" si="24">1/IF(AG30="EC",12,1)*SUM(U30:U30)</f>
        <v>0.75</v>
      </c>
      <c r="T30" s="241" t="str">
        <f t="shared" si="4"/>
        <v>NorthBound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2017-12-21T04:56:30-0700',mode:absolute,to:'2017-12-21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246" t="str">
        <f>IF(AA30&lt;VLOOKUP(AG30,Variables!$AC$3:$AD$8,2,FALSE),"Y","N")</f>
        <v>Y</v>
      </c>
      <c r="X30" s="246">
        <f t="shared" si="6"/>
        <v>0</v>
      </c>
      <c r="Y30" s="246">
        <f t="shared" si="7"/>
        <v>3.7187999999999999</v>
      </c>
      <c r="Z30" s="246">
        <f t="shared" si="8"/>
        <v>23.328199999999999</v>
      </c>
      <c r="AA30" s="246">
        <f t="shared" si="9"/>
        <v>19.609400000000001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117</v>
      </c>
      <c r="AE30" s="234" t="str">
        <f t="shared" si="11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30" s="233" t="str">
        <f t="shared" si="12"/>
        <v>"C:\Program Files (x86)\AstroGrep\AstroGrep.exe" /e /r /s /spath="%USERPROFILE%\AppData\Local\Temp\OnboardLogs" /stypes="app*4028*201712211*" /stext=" 13:.+?(?&gt;(PRM\|1\|D)|(KPR)|(KDP)|(train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117-21 --locoid 4028 --swversion DE.1.0.9.0 --startMP 204:37188 --initTime 2017-12-21T05:56:30 --startdatetime 2017-12-21T05:57:41 --delay 42 --endMP 204:233282 --enddatetime 2017-12-21T06:26:53 --enforcementcount 0 &gt;&gt;%USERPROFILE%\Documents\GitHub\eaglep3-reporting\EC\2017-12-21-refined-times.txt</v>
      </c>
      <c r="AI30" s="237" t="str">
        <f t="shared" si="20"/>
        <v>echo {"issue":{"subject":"Poor GPS @ DUS","project_id":79,"tracker_id":40,"status_id":1,"priority_id":2,"assigned_to_id":338,"start_date":"2017-12-21","description":"","custom_fields":[{"id":1,"name":"Subdivision","value":"EC"},{"id":4,"name":"Milepost","value":"23.3282"},{"id":17,"name":"Train ID","value":"117-21"},{"id":16,"name":"Locomotive ID","value":"4028"},{"id":130,"name":"Impact","value":""},{"id":150,"name":"Time of Event (Mountain Time)","value":"06:26:53"},{"id":151,"name":"Denver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4028 --day 2017-12-21</v>
      </c>
      <c r="AN30" s="240" t="str">
        <f t="shared" si="22"/>
        <v>echo {"issue":{"subject":"Poor GPS @ DUS","project_id":30,"tracker_id":4,"status_id":1,"priority_id":1,"assigned_to_id":10,"start_date":"2017-12-21","description":"","custom_fields":[{"id":30,"name":"Category","value":"Issue"},{"id":3,"name":"Functional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2017-12-21T04:56:30-0700',mode:absolute,to:'2017-12-21T07:26:53-0700'))&amp;_a=(columns:!('Message%20ID',Summary),filters:!(),index:'emp_*',interval:auto,query:(query_string:(analyze_wildcard:!t,query:'%22rtdc.l.rtdc.4028%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723</v>
      </c>
      <c r="B31" s="224">
        <v>4027</v>
      </c>
      <c r="C31" s="226" t="s">
        <v>192</v>
      </c>
      <c r="D31" s="226" t="s">
        <v>921</v>
      </c>
      <c r="E31" s="225">
        <v>43090.270520833335</v>
      </c>
      <c r="F31" s="225">
        <v>43090.279479166667</v>
      </c>
      <c r="G31" s="224">
        <v>55</v>
      </c>
      <c r="H31" s="226" t="s">
        <v>633</v>
      </c>
      <c r="I31" s="225">
        <v>43090.306875000002</v>
      </c>
      <c r="J31" s="224">
        <v>0</v>
      </c>
      <c r="K31" s="236" t="str">
        <f t="shared" si="0"/>
        <v>4027/4028</v>
      </c>
      <c r="L31" s="244" t="str">
        <f>VLOOKUP(A31,'Trips&amp;Operators'!$C$1:$G$99911,5,FALSE)</f>
        <v>DAVIDSON DAVID</v>
      </c>
      <c r="M31" s="223">
        <f t="shared" si="1"/>
        <v>2.7395833334594499E-2</v>
      </c>
      <c r="N31" s="224">
        <f t="shared" ref="N31:N39" si="25">24*60*SUM($M31:$M31)</f>
        <v>39.450000001816079</v>
      </c>
      <c r="O31" s="224"/>
      <c r="P31" s="224"/>
      <c r="Q31" s="227"/>
      <c r="R31" s="241"/>
      <c r="S31" s="248">
        <f t="shared" si="24"/>
        <v>1</v>
      </c>
      <c r="T31" s="241" t="str">
        <f t="shared" si="4"/>
        <v>Southbound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2017-12-21T05:29:33-0700',mode:absolute,to:'2017-12-21T08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23.294799999999999</v>
      </c>
      <c r="Z31" s="246">
        <f t="shared" si="8"/>
        <v>2.5100000000000001E-2</v>
      </c>
      <c r="AA31" s="246">
        <f t="shared" si="9"/>
        <v>23.2697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118</v>
      </c>
      <c r="AE31" s="234" t="str">
        <f t="shared" si="11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31" s="233" t="str">
        <f t="shared" si="12"/>
        <v>"C:\Program Files (x86)\AstroGrep\AstroGrep.exe" /e /r /s /spath="%USERPROFILE%\AppData\Local\Temp\OnboardLogs" /stypes="app*4027*201712211*" /stext=" 14:.+?(?&gt;(PRM\|1\|D)|(KPR)|(KDP)|(train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118-21 --locoid 4027 --swversion DE.1.0.9.0 --startMP 204:232948 --initTime 2017-12-21T06:29:33 --startdatetime 2017-12-21T06:42:27 --delay 55 --endMP 204:251 --enddatetime 2017-12-21T07:21:54 --enforcementcount 0 &gt;&gt;%USERPROFILE%\Documents\GitHub\eaglep3-reporting\EC\2017-12-21-refined-times.txt</v>
      </c>
      <c r="AI31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{"issue":{"subject":"","project_id":79,"tracker_id":40,"status_id":1,"priority_id":2,"assigned_to_id":338,"start_date":"2017-12-21","description":"","custom_fields":[{"id":1,"name":"Subdivision","value":"EC"},{"id":4,"name":"Milepost","value":"0.0251"},{"id":17,"name":"Train ID","value":"118-21"},{"id":16,"name":"Locomotive ID","value":"4027"},{"id":130,"name":"Impact","value":""},{"id":150,"name":"Time of Event (Mountain Time)","value":"07:21:54"},{"id":151,"name":"Denver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4027 --day 2017-12-21</v>
      </c>
      <c r="AN31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2017-12-21T05:29:33-0700',mode:absolute,to:'2017-12-21T08:21:54-0700'))&amp;_a=(columns:!('Message%20ID',Summary),filters:!(),index:'emp_*',interval:auto,query:(query_string:(analyze_wildcard:!t,query:'%22rtdc.l.rtdc.4027%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718</v>
      </c>
      <c r="B32" s="224">
        <v>4018</v>
      </c>
      <c r="C32" s="226" t="s">
        <v>192</v>
      </c>
      <c r="D32" s="226" t="s">
        <v>615</v>
      </c>
      <c r="E32" s="225">
        <v>43090.247129629628</v>
      </c>
      <c r="F32" s="225">
        <v>43090.250335648147</v>
      </c>
      <c r="G32" s="224">
        <v>50</v>
      </c>
      <c r="H32" s="226" t="s">
        <v>549</v>
      </c>
      <c r="I32" s="225">
        <v>43090.276608796295</v>
      </c>
      <c r="J32" s="224">
        <v>0</v>
      </c>
      <c r="K32" s="236" t="str">
        <f t="shared" si="0"/>
        <v>4017/4018</v>
      </c>
      <c r="L32" s="244" t="str">
        <f>VLOOKUP(A32,'Trips&amp;Operators'!$C$1:$G$99911,5,FALSE)</f>
        <v>BONDS REYNALDO</v>
      </c>
      <c r="M32" s="223">
        <f t="shared" si="1"/>
        <v>2.6273148148902692E-2</v>
      </c>
      <c r="N32" s="224">
        <f t="shared" si="25"/>
        <v>37.833333334419876</v>
      </c>
      <c r="O32" s="224"/>
      <c r="P32" s="224"/>
      <c r="Q32" s="227"/>
      <c r="R32" s="241"/>
      <c r="S32" s="248">
        <f t="shared" si="24"/>
        <v>1</v>
      </c>
      <c r="T32" s="241" t="str">
        <f t="shared" si="4"/>
        <v>NorthBound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2017-12-21T04:55:52-0700',mode:absolute,to:'2017-12-21T07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5.0599999999999999E-2</v>
      </c>
      <c r="Z32" s="246">
        <f t="shared" si="8"/>
        <v>23.3291</v>
      </c>
      <c r="AA32" s="246">
        <f t="shared" si="9"/>
        <v>23.278500000000001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119</v>
      </c>
      <c r="AE32" s="234" t="str">
        <f t="shared" si="11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32" s="233" t="str">
        <f t="shared" si="12"/>
        <v>"C:\Program Files (x86)\AstroGrep\AstroGrep.exe" /e /r /s /spath="%USERPROFILE%\AppData\Local\Temp\OnboardLogs" /stypes="app*4018*201712211*" /stext=" 13:.+?(?&gt;(PRM\|1\|D)|(KPR)|(KDP)|(train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119-21 --locoid 4018 --swversion DE.1.0.9.0 --startMP 204:506 --initTime 2017-12-21T05:55:52 --startdatetime 2017-12-21T06:00:29 --delay 50 --endMP 204:233291 --enddatetime 2017-12-21T06:38:19 --enforcementcount 0 &gt;&gt;%USERPROFILE%\Documents\GitHub\eaglep3-reporting\EC\2017-12-21-refined-times.txt</v>
      </c>
      <c r="AI3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{"issue":{"subject":"","project_id":79,"tracker_id":40,"status_id":1,"priority_id":2,"assigned_to_id":338,"start_date":"2017-12-21","description":"","custom_fields":[{"id":1,"name":"Subdivision","value":"EC"},{"id":4,"name":"Milepost","value":"23.3291"},{"id":17,"name":"Train ID","value":"119-21"},{"id":16,"name":"Locomotive ID","value":"4018"},{"id":130,"name":"Impact","value":""},{"id":150,"name":"Time of Event (Mountain Time)","value":"06:38:19"},{"id":151,"name":"Denver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4018 --day 2017-12-21</v>
      </c>
      <c r="AN3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2017-12-21T04:55:52-0700',mode:absolute,to:'2017-12-21T07:38:19-0700'))&amp;_a=(columns:!('Message%20ID',Summary),filters:!(),index:'emp_*',interval:auto,query:(query_string:(analyze_wildcard:!t,query:'%22rtdc.l.rtdc.4018%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725</v>
      </c>
      <c r="B33" s="224">
        <v>4017</v>
      </c>
      <c r="C33" s="226" t="s">
        <v>192</v>
      </c>
      <c r="D33" s="226" t="s">
        <v>612</v>
      </c>
      <c r="E33" s="225">
        <v>43090.287083333336</v>
      </c>
      <c r="F33" s="225">
        <v>43090.289803240739</v>
      </c>
      <c r="G33" s="224">
        <v>49</v>
      </c>
      <c r="H33" s="226" t="s">
        <v>477</v>
      </c>
      <c r="I33" s="225">
        <v>43090.317627314813</v>
      </c>
      <c r="J33" s="224">
        <v>0</v>
      </c>
      <c r="K33" s="236" t="str">
        <f t="shared" si="0"/>
        <v>4017/4018</v>
      </c>
      <c r="L33" s="244" t="str">
        <f>VLOOKUP(A33,'Trips&amp;Operators'!$C$1:$G$99911,5,FALSE)</f>
        <v>BONDS REYNALDO</v>
      </c>
      <c r="M33" s="223">
        <f t="shared" si="1"/>
        <v>2.7824074073578231E-2</v>
      </c>
      <c r="N33" s="224">
        <f t="shared" si="25"/>
        <v>40.066666665952653</v>
      </c>
      <c r="O33" s="224"/>
      <c r="P33" s="224"/>
      <c r="Q33" s="227"/>
      <c r="R33" s="241"/>
      <c r="S33" s="248">
        <f t="shared" si="24"/>
        <v>1</v>
      </c>
      <c r="T33" s="241" t="str">
        <f t="shared" si="4"/>
        <v>Southbound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2017-12-21T05:53:24-0700',mode:absolute,to:'2017-12-21T08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23.298100000000002</v>
      </c>
      <c r="Z33" s="246">
        <f t="shared" si="8"/>
        <v>2.01E-2</v>
      </c>
      <c r="AA33" s="246">
        <f t="shared" si="9"/>
        <v>23.278000000000002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120</v>
      </c>
      <c r="AE33" s="234" t="str">
        <f t="shared" si="11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33" s="233" t="str">
        <f t="shared" si="12"/>
        <v>"C:\Program Files (x86)\AstroGrep\AstroGrep.exe" /e /r /s /spath="%USERPROFILE%\AppData\Local\Temp\OnboardLogs" /stypes="app*4017*201712211*" /stext=" 14:.+?(?&gt;(PRM\|1\|D)|(KPR)|(KDP)|(train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120-21 --locoid 4017 --swversion DE.1.0.9.0 --startMP 204:232981 --initTime 2017-12-21T06:53:24 --startdatetime 2017-12-21T06:57:19 --delay 49 --endMP 204:201 --enddatetime 2017-12-21T07:37:23 --enforcementcount 0 &gt;&gt;%USERPROFILE%\Documents\GitHub\eaglep3-reporting\EC\2017-12-21-refined-times.txt</v>
      </c>
      <c r="AI33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{"issue":{"subject":"","project_id":79,"tracker_id":40,"status_id":1,"priority_id":2,"assigned_to_id":338,"start_date":"2017-12-21","description":"","custom_fields":[{"id":1,"name":"Subdivision","value":"EC"},{"id":4,"name":"Milepost","value":"0.0201"},{"id":17,"name":"Train ID","value":"120-21"},{"id":16,"name":"Locomotive ID","value":"4017"},{"id":130,"name":"Impact","value":""},{"id":150,"name":"Time of Event (Mountain Time)","value":"07:37:23"},{"id":151,"name":"Denver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4017 --day 2017-12-21</v>
      </c>
      <c r="AN33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2017-12-21T05:53:24-0700',mode:absolute,to:'2017-12-21T08:37:23-0700'))&amp;_a=(columns:!('Message%20ID',Summary),filters:!(),index:'emp_*',interval:auto,query:(query_string:(analyze_wildcard:!t,query:'%22rtdc.l.rtdc.4017%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719</v>
      </c>
      <c r="B34" s="224">
        <v>4054</v>
      </c>
      <c r="C34" s="226" t="s">
        <v>192</v>
      </c>
      <c r="D34" s="226" t="s">
        <v>922</v>
      </c>
      <c r="E34" s="225">
        <v>43090.255393518521</v>
      </c>
      <c r="F34" s="225">
        <v>43090.260659722226</v>
      </c>
      <c r="G34" s="224">
        <v>57</v>
      </c>
      <c r="H34" s="226" t="s">
        <v>923</v>
      </c>
      <c r="I34" s="225">
        <v>43090.286111111112</v>
      </c>
      <c r="J34" s="224">
        <v>0</v>
      </c>
      <c r="K34" s="236" t="str">
        <f t="shared" si="0"/>
        <v>4053/4054</v>
      </c>
      <c r="L34" s="244" t="str">
        <f>VLOOKUP(A34,'Trips&amp;Operators'!$C$1:$G$99911,5,FALSE)</f>
        <v>GEBRETEKLE DAGNEW</v>
      </c>
      <c r="M34" s="223">
        <f t="shared" si="1"/>
        <v>2.545138888672227E-2</v>
      </c>
      <c r="N34" s="224">
        <f t="shared" si="25"/>
        <v>36.649999996880069</v>
      </c>
      <c r="O34" s="224"/>
      <c r="P34" s="224"/>
      <c r="Q34" s="227"/>
      <c r="R34" s="241"/>
      <c r="S34" s="248">
        <f t="shared" si="24"/>
        <v>1</v>
      </c>
      <c r="T34" s="241" t="str">
        <f t="shared" si="4"/>
        <v>NorthBound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2017-12-21T05:07:46-0700',mode:absolute,to:'2017-12-21T07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4.58E-2</v>
      </c>
      <c r="Z34" s="246">
        <f t="shared" si="8"/>
        <v>23.336200000000002</v>
      </c>
      <c r="AA34" s="246">
        <f t="shared" si="9"/>
        <v>23.290400000000002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121</v>
      </c>
      <c r="AE34" s="234" t="str">
        <f t="shared" si="11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34" s="233" t="str">
        <f t="shared" si="12"/>
        <v>"C:\Program Files (x86)\AstroGrep\AstroGrep.exe" /e /r /s /spath="%USERPROFILE%\AppData\Local\Temp\OnboardLogs" /stypes="app*4054*201712211*" /stext=" 13:.+?(?&gt;(PRM\|1\|D)|(KPR)|(KDP)|(train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121-21 --locoid 4054 --swversion DE.1.0.9.0 --startMP 204:458 --initTime 2017-12-21T06:07:46 --startdatetime 2017-12-21T06:15:21 --delay 57 --endMP 204:233362 --enddatetime 2017-12-21T06:52:00 --enforcementcount 0 &gt;&gt;%USERPROFILE%\Documents\GitHub\eaglep3-reporting\EC\2017-12-21-refined-times.txt</v>
      </c>
      <c r="AI34" s="237" t="str">
        <f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{"issue":{"subject":"","project_id":79,"tracker_id":40,"status_id":1,"priority_id":2,"assigned_to_id":338,"start_date":"2017-12-21","description":"","custom_fields":[{"id":1,"name":"Subdivision","value":"EC"},{"id":4,"name":"Milepost","value":"23.3362"},{"id":17,"name":"Train ID","value":"121-21"},{"id":16,"name":"Locomotive ID","value":"4054"},{"id":130,"name":"Impact","value":""},{"id":150,"name":"Time of Event (Mountain Time)","value":"06:52:00"},{"id":151,"name":"Denver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4054 --day 2017-12-21</v>
      </c>
      <c r="AN34" s="240" t="str">
        <f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2017-12-21T05:07:46-0700',mode:absolute,to:'2017-12-21T07:52:00-0700'))&amp;_a=(columns:!('Message%20ID',Summary),filters:!(),index:'emp_*',interval:auto,query:(query_string:(analyze_wildcard:!t,query:'%22rtdc.l.rtdc.4054%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726</v>
      </c>
      <c r="B35" s="224">
        <v>4053</v>
      </c>
      <c r="C35" s="226" t="s">
        <v>192</v>
      </c>
      <c r="D35" s="226" t="s">
        <v>924</v>
      </c>
      <c r="E35" s="225">
        <v>43090.287499999999</v>
      </c>
      <c r="F35" s="225">
        <v>43090.300185185188</v>
      </c>
      <c r="G35" s="224">
        <v>70</v>
      </c>
      <c r="H35" s="226" t="s">
        <v>542</v>
      </c>
      <c r="I35" s="225">
        <v>43090.325810185182</v>
      </c>
      <c r="J35" s="224">
        <v>0</v>
      </c>
      <c r="K35" s="236" t="str">
        <f t="shared" si="0"/>
        <v>4053/4054</v>
      </c>
      <c r="L35" s="244" t="str">
        <f>VLOOKUP(A35,'Trips&amp;Operators'!$C$1:$G$99911,5,FALSE)</f>
        <v>GEBRETEKLE DAGNEW</v>
      </c>
      <c r="M35" s="223">
        <f t="shared" si="1"/>
        <v>2.5624999994761311E-2</v>
      </c>
      <c r="N35" s="224">
        <f t="shared" si="25"/>
        <v>36.899999992456287</v>
      </c>
      <c r="O35" s="224"/>
      <c r="P35" s="224"/>
      <c r="Q35" s="227"/>
      <c r="R35" s="241"/>
      <c r="S35" s="248">
        <f t="shared" si="24"/>
        <v>1</v>
      </c>
      <c r="T35" s="241" t="str">
        <f t="shared" si="4"/>
        <v>Southbound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2017-12-21T05:54:00-0700',mode:absolute,to:'2017-12-21T08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23.303999999999998</v>
      </c>
      <c r="Z35" s="246">
        <f t="shared" si="8"/>
        <v>1.47E-2</v>
      </c>
      <c r="AA35" s="246">
        <f t="shared" si="9"/>
        <v>23.289299999999997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122</v>
      </c>
      <c r="AE35" s="234" t="str">
        <f t="shared" si="11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35" s="233" t="str">
        <f t="shared" si="12"/>
        <v>"C:\Program Files (x86)\AstroGrep\AstroGrep.exe" /e /r /s /spath="%USERPROFILE%\AppData\Local\Temp\OnboardLogs" /stypes="app*4053*201712211*"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122-21 --locoid 4053 --swversion DE.1.0.9.0 --startMP 204:233040 --initTime 2017-12-21T06:54:00 --startdatetime 2017-12-21T07:12:16 --delay 70 --endMP 204:147 --enddatetime 2017-12-21T07:49:10 --enforcementcount 0 &gt;&gt;%USERPROFILE%\Documents\GitHub\eaglep3-reporting\EC\2017-12-21-refined-times.txt</v>
      </c>
      <c r="AI3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{"issue":{"subject":"","project_id":79,"tracker_id":40,"status_id":1,"priority_id":2,"assigned_to_id":338,"start_date":"2017-12-21","description":"","custom_fields":[{"id":1,"name":"Subdivision","value":"EC"},{"id":4,"name":"Milepost","value":"0.0147"},{"id":17,"name":"Train ID","value":"122-21"},{"id":16,"name":"Locomotive ID","value":"4053"},{"id":130,"name":"Impact","value":""},{"id":150,"name":"Time of Event (Mountain Time)","value":"07:49:10"},{"id":151,"name":"Denver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4053 --day 2017-12-21</v>
      </c>
      <c r="AN3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2017-12-21T05:54:00-0700',mode:absolute,to:'2017-12-21T08:49:10-0700'))&amp;_a=(columns:!('Message%20ID',Summary),filters:!(),index:'emp_*',interval:auto,query:(query_string:(analyze_wildcard:!t,query:'%22rtdc.l.rtdc.4053%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721</v>
      </c>
      <c r="B36" s="224">
        <v>4060</v>
      </c>
      <c r="C36" s="226" t="s">
        <v>192</v>
      </c>
      <c r="D36" s="226" t="s">
        <v>551</v>
      </c>
      <c r="E36" s="225">
        <v>43090.268703703703</v>
      </c>
      <c r="F36" s="225">
        <v>43090.271087962959</v>
      </c>
      <c r="G36" s="224">
        <v>61</v>
      </c>
      <c r="H36" s="226" t="s">
        <v>623</v>
      </c>
      <c r="I36" s="225">
        <v>43090.298831018517</v>
      </c>
      <c r="J36" s="224">
        <v>0</v>
      </c>
      <c r="K36" s="236" t="str">
        <f t="shared" si="0"/>
        <v>4059/4060</v>
      </c>
      <c r="L36" s="244" t="str">
        <f>VLOOKUP(A36,'Trips&amp;Operators'!$C$1:$G$99911,5,FALSE)</f>
        <v>WILLIAMS DONTE</v>
      </c>
      <c r="M36" s="223">
        <f t="shared" si="1"/>
        <v>2.7743055557948537E-2</v>
      </c>
      <c r="N36" s="224">
        <f t="shared" si="25"/>
        <v>39.950000003445894</v>
      </c>
      <c r="O36" s="224"/>
      <c r="P36" s="224"/>
      <c r="Q36" s="227"/>
      <c r="R36" s="241"/>
      <c r="S36" s="248">
        <f t="shared" si="24"/>
        <v>1</v>
      </c>
      <c r="T36" s="241" t="str">
        <f t="shared" si="4"/>
        <v>NorthBound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2017-12-21T05:26:56-0700',mode:absolute,to:'2017-12-21T08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4.9799999999999997E-2</v>
      </c>
      <c r="Z36" s="246">
        <f t="shared" si="8"/>
        <v>23.325099999999999</v>
      </c>
      <c r="AA36" s="246">
        <f t="shared" si="9"/>
        <v>23.275299999999998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123</v>
      </c>
      <c r="AE36" s="234" t="str">
        <f t="shared" si="11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36" s="233" t="str">
        <f t="shared" si="12"/>
        <v>"C:\Program Files (x86)\AstroGrep\AstroGrep.exe" /e /r /s /spath="%USERPROFILE%\AppData\Local\Temp\OnboardLogs" /stypes="app*4060*201712211*" /stext=" 14:.+?(?&gt;(PRM\|1\|D)|(KPR)|(KDP)|(train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123-21 --locoid 4060 --swversion DE.1.0.9.0 --startMP 204:498 --initTime 2017-12-21T06:26:56 --startdatetime 2017-12-21T06:30:22 --delay 61 --endMP 204:233251 --enddatetime 2017-12-21T07:10:19 --enforcementcount 0 &gt;&gt;%USERPROFILE%\Documents\GitHub\eaglep3-reporting\EC\2017-12-21-refined-times.txt</v>
      </c>
      <c r="AI3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{"issue":{"subject":"","project_id":79,"tracker_id":40,"status_id":1,"priority_id":2,"assigned_to_id":338,"start_date":"2017-12-21","description":"","custom_fields":[{"id":1,"name":"Subdivision","value":"EC"},{"id":4,"name":"Milepost","value":"23.3251"},{"id":17,"name":"Train ID","value":"123-21"},{"id":16,"name":"Locomotive ID","value":"4060"},{"id":130,"name":"Impact","value":""},{"id":150,"name":"Time of Event (Mountain Time)","value":"07:10:19"},{"id":151,"name":"Denver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4060 --day 2017-12-21</v>
      </c>
      <c r="AN3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2017-12-21T05:26:56-0700',mode:absolute,to:'2017-12-21T08:10:19-0700'))&amp;_a=(columns:!('Message%20ID',Summary),filters:!(),index:'emp_*',interval:auto,query:(query_string:(analyze_wildcard:!t,query:'%22rtdc.l.rtdc.4060%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730</v>
      </c>
      <c r="B37" s="224">
        <v>4059</v>
      </c>
      <c r="C37" s="226" t="s">
        <v>192</v>
      </c>
      <c r="D37" s="226" t="s">
        <v>560</v>
      </c>
      <c r="E37" s="225">
        <v>43090.306851851848</v>
      </c>
      <c r="F37" s="225">
        <v>43090.310648148145</v>
      </c>
      <c r="G37" s="224">
        <v>67</v>
      </c>
      <c r="H37" s="226" t="s">
        <v>463</v>
      </c>
      <c r="I37" s="225">
        <v>43090.339282407411</v>
      </c>
      <c r="J37" s="224">
        <v>0</v>
      </c>
      <c r="K37" s="236" t="str">
        <f t="shared" si="0"/>
        <v>4059/4060</v>
      </c>
      <c r="L37" s="244" t="str">
        <f>VLOOKUP(A37,'Trips&amp;Operators'!$C$1:$G$99911,5,FALSE)</f>
        <v>WILLIAMS DONTE</v>
      </c>
      <c r="M37" s="223">
        <f t="shared" si="1"/>
        <v>2.8634259266254958E-2</v>
      </c>
      <c r="N37" s="224">
        <f t="shared" si="25"/>
        <v>41.233333343407139</v>
      </c>
      <c r="O37" s="224"/>
      <c r="P37" s="224"/>
      <c r="Q37" s="227"/>
      <c r="R37" s="241"/>
      <c r="S37" s="248">
        <f t="shared" si="24"/>
        <v>1</v>
      </c>
      <c r="T37" s="241" t="str">
        <f t="shared" si="4"/>
        <v>Southbound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2017-12-21T06:21:52-0700',mode:absolute,to:'2017-12-21T09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23.292999999999999</v>
      </c>
      <c r="Z37" s="246">
        <f t="shared" si="8"/>
        <v>1.9599999999999999E-2</v>
      </c>
      <c r="AA37" s="246">
        <f t="shared" si="9"/>
        <v>23.273399999999999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124</v>
      </c>
      <c r="AE37" s="234" t="str">
        <f t="shared" si="11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37" s="233" t="str">
        <f t="shared" si="12"/>
        <v>"C:\Program Files (x86)\AstroGrep\AstroGrep.exe" /e /r /s /spath="%USERPROFILE%\AppData\Local\Temp\OnboardLogs" /stypes="app*4059*201712211*" /stext=" 15:.+?(?&gt;(PRM\|1\|D)|(KPR)|(KDP)|(train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124-21 --locoid 4059 --swversion DE.1.0.9.0 --startMP 204:232930 --initTime 2017-12-21T07:21:52 --startdatetime 2017-12-21T07:27:20 --delay 67 --endMP 204:196 --enddatetime 2017-12-21T08:08:34 --enforcementcount 0 &gt;&gt;%USERPROFILE%\Documents\GitHub\eaglep3-reporting\EC\2017-12-21-refined-times.txt</v>
      </c>
      <c r="AI3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{"issue":{"subject":"","project_id":79,"tracker_id":40,"status_id":1,"priority_id":2,"assigned_to_id":338,"start_date":"2017-12-21","description":"","custom_fields":[{"id":1,"name":"Subdivision","value":"EC"},{"id":4,"name":"Milepost","value":"0.0196"},{"id":17,"name":"Train ID","value":"124-21"},{"id":16,"name":"Locomotive ID","value":"4059"},{"id":130,"name":"Impact","value":""},{"id":150,"name":"Time of Event (Mountain Time)","value":"08:08:34"},{"id":151,"name":"Denver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4059 --day 2017-12-21</v>
      </c>
      <c r="AN3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2017-12-21T06:21:52-0700',mode:absolute,to:'2017-12-21T09:08:34-0700'))&amp;_a=(columns:!('Message%20ID',Summary),filters:!(),index:'emp_*',interval:auto,query:(query_string:(analyze_wildcard:!t,query:'%22rtdc.l.rtdc.4059%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724</v>
      </c>
      <c r="B38" s="224">
        <v>4034</v>
      </c>
      <c r="C38" s="226" t="s">
        <v>192</v>
      </c>
      <c r="D38" s="226" t="s">
        <v>484</v>
      </c>
      <c r="E38" s="225">
        <v>43090.276296296295</v>
      </c>
      <c r="F38" s="225">
        <v>43090.281643518516</v>
      </c>
      <c r="G38" s="224">
        <v>51</v>
      </c>
      <c r="H38" s="226" t="s">
        <v>900</v>
      </c>
      <c r="I38" s="225">
        <v>43090.306215277778</v>
      </c>
      <c r="J38" s="224">
        <v>0</v>
      </c>
      <c r="K38" s="236" t="str">
        <f t="shared" si="0"/>
        <v>4033/4034</v>
      </c>
      <c r="L38" s="244" t="str">
        <f>VLOOKUP(A38,'Trips&amp;Operators'!$C$1:$G$99911,5,FALSE)</f>
        <v>YORK EDGAR</v>
      </c>
      <c r="M38" s="223">
        <f t="shared" si="1"/>
        <v>2.457175926247146E-2</v>
      </c>
      <c r="N38" s="224">
        <f t="shared" si="25"/>
        <v>35.383333337958902</v>
      </c>
      <c r="O38" s="224"/>
      <c r="P38" s="224"/>
      <c r="Q38" s="227"/>
      <c r="R38" s="241"/>
      <c r="S38" s="248">
        <f t="shared" si="24"/>
        <v>1</v>
      </c>
      <c r="T38" s="241" t="str">
        <f t="shared" si="4"/>
        <v>NorthBound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2017-12-21T05:37:52-0700',mode:absolute,to:'2017-12-21T08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4.6199999999999998E-2</v>
      </c>
      <c r="Z38" s="246">
        <f t="shared" si="8"/>
        <v>23.329699999999999</v>
      </c>
      <c r="AA38" s="246">
        <f t="shared" si="9"/>
        <v>23.2835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125</v>
      </c>
      <c r="AE38" s="234" t="str">
        <f t="shared" si="11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38" s="233" t="str">
        <f t="shared" si="12"/>
        <v>"C:\Program Files (x86)\AstroGrep\AstroGrep.exe" /e /r /s /spath="%USERPROFILE%\AppData\Local\Temp\OnboardLogs" /stypes="app*4034*201712211*" /stext=" 14:.+?(?&gt;(PRM\|1\|D)|(KPR)|(KDP)|(train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125-21 --locoid 4034 --swversion DE.1.0.9.0 --startMP 204:462 --initTime 2017-12-21T06:37:52 --startdatetime 2017-12-21T06:45:34 --delay 51 --endMP 204:233297 --enddatetime 2017-12-21T07:20:57 --enforcementcount 0 &gt;&gt;%USERPROFILE%\Documents\GitHub\eaglep3-reporting\EC\2017-12-21-refined-times.txt</v>
      </c>
      <c r="AI3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{"issue":{"subject":"","project_id":79,"tracker_id":40,"status_id":1,"priority_id":2,"assigned_to_id":338,"start_date":"2017-12-21","description":"","custom_fields":[{"id":1,"name":"Subdivision","value":"EC"},{"id":4,"name":"Milepost","value":"23.3297"},{"id":17,"name":"Train ID","value":"125-21"},{"id":16,"name":"Locomotive ID","value":"4034"},{"id":130,"name":"Impact","value":""},{"id":150,"name":"Time of Event (Mountain Time)","value":"07:20:57"},{"id":151,"name":"Denver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4034 --day 2017-12-21</v>
      </c>
      <c r="AN3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2017-12-21T05:37:52-0700',mode:absolute,to:'2017-12-21T08:20:57-0700'))&amp;_a=(columns:!('Message%20ID',Summary),filters:!(),index:'emp_*',interval:auto,query:(query_string:(analyze_wildcard:!t,query:'%22rtdc.l.rtdc.4034%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731</v>
      </c>
      <c r="B39" s="224">
        <v>4033</v>
      </c>
      <c r="C39" s="226" t="s">
        <v>192</v>
      </c>
      <c r="D39" s="226" t="s">
        <v>925</v>
      </c>
      <c r="E39" s="225">
        <v>43090.308749999997</v>
      </c>
      <c r="F39" s="225">
        <v>43090.321122685185</v>
      </c>
      <c r="G39" s="224">
        <v>65</v>
      </c>
      <c r="H39" s="226" t="s">
        <v>908</v>
      </c>
      <c r="I39" s="225">
        <v>43090.346574074072</v>
      </c>
      <c r="J39" s="224">
        <v>0</v>
      </c>
      <c r="K39" s="236" t="str">
        <f t="shared" si="0"/>
        <v>4033/4034</v>
      </c>
      <c r="L39" s="244" t="str">
        <f>VLOOKUP(A39,'Trips&amp;Operators'!$C$1:$G$99911,5,FALSE)</f>
        <v>YORK EDGAR</v>
      </c>
      <c r="M39" s="223">
        <f t="shared" si="1"/>
        <v>2.545138888672227E-2</v>
      </c>
      <c r="N39" s="224">
        <f t="shared" si="25"/>
        <v>36.649999996880069</v>
      </c>
      <c r="O39" s="224"/>
      <c r="P39" s="224"/>
      <c r="Q39" s="227"/>
      <c r="R39" s="241"/>
      <c r="S39" s="248">
        <f t="shared" si="24"/>
        <v>1</v>
      </c>
      <c r="T39" s="241" t="str">
        <f t="shared" si="4"/>
        <v>Southbound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2017-12-21T06:24:36-0700',mode:absolute,to:'2017-12-21T09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23.2971</v>
      </c>
      <c r="Z39" s="246">
        <f t="shared" si="8"/>
        <v>1.54E-2</v>
      </c>
      <c r="AA39" s="246">
        <f t="shared" si="9"/>
        <v>23.281700000000001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126</v>
      </c>
      <c r="AE39" s="234" t="str">
        <f t="shared" si="11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39" s="233" t="str">
        <f t="shared" si="12"/>
        <v>"C:\Program Files (x86)\AstroGrep\AstroGrep.exe" /e /r /s /spath="%USERPROFILE%\AppData\Local\Temp\OnboardLogs" /stypes="app*4033*201712211*" /stext=" 15:.+?(?&gt;(PRM\|1\|D)|(KPR)|(KDP)|(train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126-21 --locoid 4033 --swversion DE.1.0.9.0 --startMP 204:232971 --initTime 2017-12-21T07:24:36 --startdatetime 2017-12-21T07:42:25 --delay 65 --endMP 204:154 --enddatetime 2017-12-21T08:19:04 --enforcementcount 0 &gt;&gt;%USERPROFILE%\Documents\GitHub\eaglep3-reporting\EC\2017-12-21-refined-times.txt</v>
      </c>
      <c r="AI3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{"issue":{"subject":"","project_id":79,"tracker_id":40,"status_id":1,"priority_id":2,"assigned_to_id":338,"start_date":"2017-12-21","description":"","custom_fields":[{"id":1,"name":"Subdivision","value":"EC"},{"id":4,"name":"Milepost","value":"0.0154"},{"id":17,"name":"Train ID","value":"126-21"},{"id":16,"name":"Locomotive ID","value":"4033"},{"id":130,"name":"Impact","value":""},{"id":150,"name":"Time of Event (Mountain Time)","value":"08:19:04"},{"id":151,"name":"Denver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4033 --day 2017-12-21</v>
      </c>
      <c r="AN3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2017-12-21T06:24:36-0700',mode:absolute,to:'2017-12-21T09:19:04-0700'))&amp;_a=(columns:!('Message%20ID',Summary),filters:!(),index:'emp_*',interval:auto,query:(query_string:(analyze_wildcard:!t,query:'%22rtdc.l.rtdc.4033%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727</v>
      </c>
      <c r="B40" s="224">
        <v>4014</v>
      </c>
      <c r="C40" s="226" t="s">
        <v>192</v>
      </c>
      <c r="D40" s="226" t="s">
        <v>474</v>
      </c>
      <c r="E40" s="225">
        <v>43090.288414351853</v>
      </c>
      <c r="F40" s="225">
        <v>43090.301793981482</v>
      </c>
      <c r="G40" s="224">
        <v>59</v>
      </c>
      <c r="H40" s="226" t="s">
        <v>926</v>
      </c>
      <c r="I40" s="225">
        <v>43090.317615740743</v>
      </c>
      <c r="J40" s="224">
        <v>0</v>
      </c>
      <c r="K40" s="236" t="str">
        <f t="shared" si="0"/>
        <v>4013/4014</v>
      </c>
      <c r="L40" s="244" t="str">
        <f>VLOOKUP(A40,'Trips&amp;Operators'!$C$1:$G$99911,5,FALSE)</f>
        <v>YANAI IAN</v>
      </c>
      <c r="M40" s="223">
        <f t="shared" si="1"/>
        <v>1.5821759261598345E-2</v>
      </c>
      <c r="N40" s="224"/>
      <c r="O40" s="224"/>
      <c r="P40" s="224"/>
      <c r="Q40" s="227"/>
      <c r="R40" s="241"/>
      <c r="S40" s="248"/>
      <c r="T40" s="241" t="str">
        <f t="shared" si="4"/>
        <v>NorthBound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2017-12-21T05:55:19-0700',mode:absolute,to:'2017-12-21T08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246" t="str">
        <f>IF(AA40&lt;VLOOKUP(AG40,Variables!$AC$3:$AD$8,2,FALSE),"Y","N")</f>
        <v>Y</v>
      </c>
      <c r="X40" s="246">
        <f t="shared" si="6"/>
        <v>1</v>
      </c>
      <c r="Y40" s="246">
        <f t="shared" si="7"/>
        <v>5.1999999999999998E-2</v>
      </c>
      <c r="Z40" s="246">
        <f t="shared" si="8"/>
        <v>2.0381</v>
      </c>
      <c r="AA40" s="246">
        <f t="shared" si="9"/>
        <v>1.9861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127</v>
      </c>
      <c r="AE40" s="234" t="str">
        <f t="shared" si="11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40" s="233" t="str">
        <f t="shared" si="12"/>
        <v>"C:\Program Files (x86)\AstroGrep\AstroGrep.exe" /e /r /s /spath="%USERPROFILE%\AppData\Local\Temp\OnboardLogs" /stypes="app*4014*201712211*" /stext=" 14:.+?(?&gt;(PRM\|1\|D)|(KPR)|(KDP)|(train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127-21 --locoid 4014 --swversion DE.1.0.9.0 --startMP 204:520 --initTime 2017-12-21T06:55:19 --startdatetime 2017-12-21T07:14:35 --delay 59 --endMP 204:20381 --enddatetime 2017-12-21T07:37:22 --enforcementcount 0 &gt;&gt;%USERPROFILE%\Documents\GitHub\eaglep3-reporting\EC\2017-12-21-refined-times.txt</v>
      </c>
      <c r="AI40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{"issue":{"subject":"","project_id":79,"tracker_id":40,"status_id":1,"priority_id":2,"assigned_to_id":338,"start_date":"2017-12-21","description":"","custom_fields":[{"id":1,"name":"Subdivision","value":"EC"},{"id":4,"name":"Milepost","value":"2.0381"},{"id":17,"name":"Train ID","value":"127-21"},{"id":16,"name":"Locomotive ID","value":"4014"},{"id":130,"name":"Impact","value":""},{"id":150,"name":"Time of Event (Mountain Time)","value":"07:37:22"},{"id":151,"name":"Denver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4014 --day 2017-12-21</v>
      </c>
      <c r="AN40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2017-12-21T05:55:19-0700',mode:absolute,to:'2017-12-21T08:37:22-0700'))&amp;_a=(columns:!('Message%20ID',Summary),filters:!(),index:'emp_*',interval:auto,query:(query_string:(analyze_wildcard:!t,query:'%22rtdc.l.rtdc.4014%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727</v>
      </c>
      <c r="B41" s="224">
        <v>4014</v>
      </c>
      <c r="C41" s="226" t="s">
        <v>192</v>
      </c>
      <c r="D41" s="226" t="s">
        <v>927</v>
      </c>
      <c r="E41" s="225">
        <v>43090.300810185188</v>
      </c>
      <c r="F41" s="225">
        <v>43090.301793981482</v>
      </c>
      <c r="G41" s="224">
        <v>40</v>
      </c>
      <c r="H41" s="226" t="s">
        <v>928</v>
      </c>
      <c r="I41" s="225">
        <v>43090.317615740743</v>
      </c>
      <c r="J41" s="224">
        <v>0</v>
      </c>
      <c r="K41" s="236" t="str">
        <f t="shared" si="0"/>
        <v>4013/4014</v>
      </c>
      <c r="L41" s="244" t="str">
        <f>VLOOKUP(A41,'Trips&amp;Operators'!$C$1:$G$99911,5,FALSE)</f>
        <v>YANAI IAN</v>
      </c>
      <c r="M41" s="223">
        <f t="shared" si="1"/>
        <v>1.5821759261598345E-2</v>
      </c>
      <c r="N41" s="224"/>
      <c r="O41" s="224"/>
      <c r="P41" s="224">
        <f>24*60*SUM($M41:$M41)</f>
        <v>22.783333336701617</v>
      </c>
      <c r="Q41" s="227"/>
      <c r="R41" s="241" t="s">
        <v>1109</v>
      </c>
      <c r="S41" s="248">
        <f t="shared" ref="S41:S83" si="26">1/IF(AG41="EC",12,1)*SUM(U41:U41)</f>
        <v>0.25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3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2017-12-21T06:13:10-0700',mode:absolute,to:'2017-12-21T08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46" t="str">
        <f>IF(AA41&lt;VLOOKUP(AG41,Variables!$AC$3:$AD$8,2,FALSE),"Y","N")</f>
        <v>Y</v>
      </c>
      <c r="X41" s="246">
        <f t="shared" si="6"/>
        <v>0</v>
      </c>
      <c r="Y41" s="246">
        <f t="shared" si="7"/>
        <v>6.4715999999999996</v>
      </c>
      <c r="Z41" s="246">
        <f t="shared" si="8"/>
        <v>23.335100000000001</v>
      </c>
      <c r="AA41" s="246">
        <f t="shared" si="9"/>
        <v>16.863500000000002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127</v>
      </c>
      <c r="AE41" s="234" t="str">
        <f t="shared" si="11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41" s="233" t="str">
        <f t="shared" si="12"/>
        <v>"C:\Program Files (x86)\AstroGrep\AstroGrep.exe" /e /r /s /spath="%USERPROFILE%\AppData\Local\Temp\OnboardLogs" /stypes="app*4014*201712211*"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127-21 --locoid 4014 --swversion DE.1.0.9.0 --startMP 204:64716 --initTime 2017-12-21T07:13:10 --startdatetime 2017-12-21T07:14:35 --delay 40 --endMP 204:233351 --enddatetime 2017-12-21T07:37:22 --enforcementcount 0 &gt;&gt;%USERPROFILE%\Documents\GitHub\eaglep3-reporting\EC\2017-12-21-refined-times.txt</v>
      </c>
      <c r="AI41" s="237" t="str">
        <f t="shared" si="20"/>
        <v>echo {"issue":{"subject":"Minor Onboard in-route failure caused signal unknown banner","project_id":79,"tracker_id":40,"status_id":1,"priority_id":2,"assigned_to_id":338,"start_date":"2017-12-21","description":"","custom_fields":[{"id":1,"name":"Subdivision","value":"EC"},{"id":4,"name":"Milepost","value":"23.3351"},{"id":17,"name":"Train ID","value":"127-21"},{"id":16,"name":"Locomotive ID","value":"4014"},{"id":130,"name":"Impact","value":""},{"id":150,"name":"Time of Event (Mountain Time)","value":"07:37:22"},{"id":151,"name":"Denver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4014 --day 2017-12-21</v>
      </c>
      <c r="AN41" s="240" t="str">
        <f t="shared" si="22"/>
        <v>echo {"issue":{"subject":"Minor Onboard in-route failure caused signal unknown banner","project_id":30,"tracker_id":4,"status_id":1,"priority_id":1,"assigned_to_id":10,"start_date":"2017-12-21","description":"","custom_fields":[{"id":30,"name":"Category","value":"Issue"},{"id":3,"name":"Functional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2017-12-21T06:13:10-0700',mode:absolute,to:'2017-12-21T08:37:22-0700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734</v>
      </c>
      <c r="B42" s="224">
        <v>4013</v>
      </c>
      <c r="C42" s="226" t="s">
        <v>192</v>
      </c>
      <c r="D42" s="226" t="s">
        <v>929</v>
      </c>
      <c r="E42" s="225">
        <v>43090.318831018521</v>
      </c>
      <c r="F42" s="225">
        <v>43090.331412037034</v>
      </c>
      <c r="G42" s="224">
        <v>68</v>
      </c>
      <c r="H42" s="226" t="s">
        <v>463</v>
      </c>
      <c r="I42" s="225">
        <v>43090.358090277776</v>
      </c>
      <c r="J42" s="224">
        <v>0</v>
      </c>
      <c r="K42" s="236" t="str">
        <f t="shared" si="0"/>
        <v>4013/4014</v>
      </c>
      <c r="L42" s="244" t="str">
        <f>VLOOKUP(A42,'Trips&amp;Operators'!$C$1:$G$99911,5,FALSE)</f>
        <v>YANAI IAN</v>
      </c>
      <c r="M42" s="223">
        <f t="shared" si="1"/>
        <v>2.6678240741603076E-2</v>
      </c>
      <c r="N42" s="224">
        <f t="shared" ref="N42:N52" si="27">24*60*SUM($M42:$M42)</f>
        <v>38.41666666790843</v>
      </c>
      <c r="O42" s="224"/>
      <c r="P42" s="224"/>
      <c r="Q42" s="227"/>
      <c r="R42" s="241"/>
      <c r="S42" s="248">
        <f t="shared" si="26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2017-12-21T06:39:07-0700',mode:absolute,to:'2017-12-21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23.303799999999999</v>
      </c>
      <c r="Z42" s="246">
        <f t="shared" si="8"/>
        <v>1.9599999999999999E-2</v>
      </c>
      <c r="AA42" s="246">
        <f t="shared" si="9"/>
        <v>23.284199999999998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128</v>
      </c>
      <c r="AE42" s="234" t="str">
        <f t="shared" si="11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42" s="233" t="str">
        <f t="shared" si="12"/>
        <v>"C:\Program Files (x86)\AstroGrep\AstroGrep.exe" /e /r /s /spath="%USERPROFILE%\AppData\Local\Temp\OnboardLogs" /stypes="app*4013*201712211*"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128-21 --locoid 4013 --swversion DE.1.0.9.0 --startMP 204:233038 --initTime 2017-12-21T07:39:07 --startdatetime 2017-12-21T07:57:14 --delay 68 --endMP 204:196 --enddatetime 2017-12-21T08:35:39 --enforcementcount 0 &gt;&gt;%USERPROFILE%\Documents\GitHub\eaglep3-reporting\EC\2017-12-21-refined-times.txt</v>
      </c>
      <c r="AI4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{"issue":{"subject":"","project_id":79,"tracker_id":40,"status_id":1,"priority_id":2,"assigned_to_id":338,"start_date":"2017-12-21","description":"","custom_fields":[{"id":1,"name":"Subdivision","value":"EC"},{"id":4,"name":"Milepost","value":"0.0196"},{"id":17,"name":"Train ID","value":"128-21"},{"id":16,"name":"Locomotive ID","value":"4013"},{"id":130,"name":"Impact","value":""},{"id":150,"name":"Time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4013 --day 2017-12-21</v>
      </c>
      <c r="AN4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2017-12-21T06:39:07-0700',mode:absolute,to:'2017-12-21T09:35:39-0700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729</v>
      </c>
      <c r="B43" s="224">
        <v>4064</v>
      </c>
      <c r="C43" s="226" t="s">
        <v>192</v>
      </c>
      <c r="D43" s="226" t="s">
        <v>520</v>
      </c>
      <c r="E43" s="225">
        <v>43090.298043981478</v>
      </c>
      <c r="F43" s="225">
        <v>43090.302372685182</v>
      </c>
      <c r="G43" s="224">
        <v>54</v>
      </c>
      <c r="H43" s="226" t="s">
        <v>930</v>
      </c>
      <c r="I43" s="225">
        <v>43090.327777777777</v>
      </c>
      <c r="J43" s="224">
        <v>0</v>
      </c>
      <c r="K43" s="236" t="str">
        <f t="shared" si="0"/>
        <v>4063/4064</v>
      </c>
      <c r="L43" s="244" t="str">
        <f>VLOOKUP(A43,'Trips&amp;Operators'!$C$1:$G$99911,5,FALSE)</f>
        <v>MAELZER KURT</v>
      </c>
      <c r="M43" s="223">
        <f t="shared" si="1"/>
        <v>2.5405092594155576E-2</v>
      </c>
      <c r="N43" s="224">
        <f t="shared" si="27"/>
        <v>36.58333333558403</v>
      </c>
      <c r="O43" s="224"/>
      <c r="P43" s="224"/>
      <c r="Q43" s="227"/>
      <c r="R43" s="241"/>
      <c r="S43" s="248">
        <f t="shared" si="26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2017-12-21T06:09:11-0700',mode:absolute,to:'2017-12-21T08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4.9500000000000002E-2</v>
      </c>
      <c r="Z43" s="246">
        <f t="shared" si="8"/>
        <v>23.332799999999999</v>
      </c>
      <c r="AA43" s="246">
        <f t="shared" si="9"/>
        <v>23.283300000000001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129</v>
      </c>
      <c r="AE43" s="234" t="str">
        <f t="shared" si="11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43" s="233" t="str">
        <f t="shared" si="12"/>
        <v>"C:\Program Files (x86)\AstroGrep\AstroGrep.exe" /e /r /s /spath="%USERPROFILE%\AppData\Local\Temp\OnboardLogs" /stypes="app*4064*201712211*" /stext=" 14:.+?(?&gt;(PRM\|1\|D)|(KPR)|(KDP)|(train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129-21 --locoid 4064 --swversion DE.1.0.9.0 --startMP 204:495 --initTime 2017-12-21T07:09:11 --startdatetime 2017-12-21T07:15:25 --delay 54 --endMP 204:233328 --enddatetime 2017-12-21T07:52:00 --enforcementcount 0 &gt;&gt;%USERPROFILE%\Documents\GitHub\eaglep3-reporting\EC\2017-12-21-refined-times.txt</v>
      </c>
      <c r="AI43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{"issue":{"subject":"","project_id":79,"tracker_id":40,"status_id":1,"priority_id":2,"assigned_to_id":338,"start_date":"2017-12-21","description":"","custom_fields":[{"id":1,"name":"Subdivision","value":"EC"},{"id":4,"name":"Milepost","value":"23.3328"},{"id":17,"name":"Train ID","value":"129-21"},{"id":16,"name":"Locomotive ID","value":"4064"},{"id":130,"name":"Impact","value":""},{"id":150,"name":"Time of Event (Mountain Time)","value":"07:52:00"},{"id":151,"name":"Denver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4064 --day 2017-12-21</v>
      </c>
      <c r="AN43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2017-12-21T06:09:11-0700',mode:absolute,to:'2017-12-21T08:52:00-0700'))&amp;_a=(columns:!('Message%20ID',Summary),filters:!(),index:'emp_*',interval:auto,query:(query_string:(analyze_wildcard:!t,query:'%22rtdc.l.rtdc.4064%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739</v>
      </c>
      <c r="B44" s="224">
        <v>4063</v>
      </c>
      <c r="C44" s="226" t="s">
        <v>192</v>
      </c>
      <c r="D44" s="226" t="s">
        <v>931</v>
      </c>
      <c r="E44" s="225">
        <v>43090.329618055555</v>
      </c>
      <c r="F44" s="225">
        <v>43090.341863425929</v>
      </c>
      <c r="G44" s="224">
        <v>64</v>
      </c>
      <c r="H44" s="226" t="s">
        <v>482</v>
      </c>
      <c r="I44" s="225">
        <v>43090.368113425924</v>
      </c>
      <c r="J44" s="224">
        <v>0</v>
      </c>
      <c r="K44" s="236" t="str">
        <f t="shared" si="0"/>
        <v>4063/4064</v>
      </c>
      <c r="L44" s="244" t="str">
        <f>VLOOKUP(A44,'Trips&amp;Operators'!$C$1:$G$99911,5,FALSE)</f>
        <v>MAELZER KURT</v>
      </c>
      <c r="M44" s="223">
        <f t="shared" si="1"/>
        <v>2.6249999995343387E-2</v>
      </c>
      <c r="N44" s="224">
        <f t="shared" si="27"/>
        <v>37.799999993294477</v>
      </c>
      <c r="O44" s="224"/>
      <c r="P44" s="224"/>
      <c r="Q44" s="227"/>
      <c r="R44" s="241"/>
      <c r="S44" s="248">
        <f t="shared" si="26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2017-12-21T06:54:39-0700',mode:absolute,to:'2017-12-21T09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23.302099999999999</v>
      </c>
      <c r="Z44" s="246">
        <f t="shared" si="8"/>
        <v>1.9800000000000002E-2</v>
      </c>
      <c r="AA44" s="246">
        <f t="shared" si="9"/>
        <v>23.282299999999999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130</v>
      </c>
      <c r="AE44" s="234" t="str">
        <f t="shared" si="11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44" s="233" t="str">
        <f t="shared" si="12"/>
        <v>"C:\Program Files (x86)\AstroGrep\AstroGrep.exe" /e /r /s /spath="%USERPROFILE%\AppData\Local\Temp\OnboardLogs" /stypes="app*4063*201712211*" /stext=" 15:.+?(?&gt;(PRM\|1\|D)|(KPR)|(KDP)|(train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130-21 --locoid 4063 --swversion DE.1.0.9.0 --startMP 204:233021 --initTime 2017-12-21T07:54:39 --startdatetime 2017-12-21T08:12:17 --delay 64 --endMP 204:198 --enddatetime 2017-12-21T08:50:05 --enforcementcount 0 &gt;&gt;%USERPROFILE%\Documents\GitHub\eaglep3-reporting\EC\2017-12-21-refined-times.txt</v>
      </c>
      <c r="AI44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{"issue":{"subject":"","project_id":79,"tracker_id":40,"status_id":1,"priority_id":2,"assigned_to_id":338,"start_date":"2017-12-21","description":"","custom_fields":[{"id":1,"name":"Subdivision","value":"EC"},{"id":4,"name":"Milepost","value":"0.0198"},{"id":17,"name":"Train ID","value":"130-21"},{"id":16,"name":"Locomotive ID","value":"4063"},{"id":130,"name":"Impact","value":""},{"id":150,"name":"Time of Event (Mountain Time)","value":"08:50:05"},{"id":151,"name":"Denver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4063 --day 2017-12-21</v>
      </c>
      <c r="AN44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2017-12-21T06:54:39-0700',mode:absolute,to:'2017-12-21T09:50:05-0700'))&amp;_a=(columns:!('Message%20ID',Summary),filters:!(),index:'emp_*',interval:auto,query:(query_string:(analyze_wildcard:!t,query:'%22rtdc.l.rtdc.4063%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663</v>
      </c>
      <c r="B45" s="224">
        <v>4028</v>
      </c>
      <c r="C45" s="226" t="s">
        <v>192</v>
      </c>
      <c r="D45" s="226" t="s">
        <v>617</v>
      </c>
      <c r="E45" s="225">
        <v>43090.308599537035</v>
      </c>
      <c r="F45" s="225">
        <v>43090.312939814816</v>
      </c>
      <c r="G45" s="224">
        <v>57</v>
      </c>
      <c r="H45" s="226" t="s">
        <v>932</v>
      </c>
      <c r="I45" s="225">
        <v>43090.339224537034</v>
      </c>
      <c r="J45" s="224">
        <v>0</v>
      </c>
      <c r="K45" s="236" t="str">
        <f t="shared" ref="K45:K76" si="28">IF(ISEVEN(B45),(B45-1)&amp;"/"&amp;B45,B45&amp;"/"&amp;(B45+1))</f>
        <v>4027/4028</v>
      </c>
      <c r="L45" s="244" t="str">
        <f>VLOOKUP(A45,'Trips&amp;Operators'!$C$1:$G$99911,5,FALSE)</f>
        <v>DAVIDSON DAVID</v>
      </c>
      <c r="M45" s="223">
        <f t="shared" ref="M45:M76" si="29">I45-F45</f>
        <v>2.6284722218406387E-2</v>
      </c>
      <c r="N45" s="224">
        <f t="shared" si="27"/>
        <v>37.849999994505197</v>
      </c>
      <c r="O45" s="224"/>
      <c r="P45" s="224"/>
      <c r="Q45" s="227"/>
      <c r="R45" s="241"/>
      <c r="S45" s="248">
        <f t="shared" si="26"/>
        <v>1</v>
      </c>
      <c r="T45" s="241" t="str">
        <f t="shared" ref="T45:T76" si="30">IF(ISEVEN(LEFT(AD45,4)),"Southbound","NorthBound")</f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2017-12-21T06:24:23-0700',mode:absolute,to:'2017-12-21T09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246" t="str">
        <f>IF(AA45&lt;VLOOKUP(AG45,Variables!$AC$3:$AD$8,2,FALSE),"Y","N")</f>
        <v>N</v>
      </c>
      <c r="X45" s="246">
        <f t="shared" ref="X45:X76" si="31">VALUE(LEFT(AD45,4))-VALUE(LEFT(AD44,4))</f>
        <v>1</v>
      </c>
      <c r="Y45" s="246">
        <f t="shared" ref="Y45:Y76" si="32">RIGHT(D45,LEN(D45)-4)/10000</f>
        <v>5.1900000000000002E-2</v>
      </c>
      <c r="Z45" s="246">
        <f t="shared" si="8"/>
        <v>23.327400000000001</v>
      </c>
      <c r="AA45" s="246">
        <f t="shared" ref="AA45:AA76" si="33">ABS(Z45-Y45)</f>
        <v>23.275500000000001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ref="AD45:AD76" si="34">VALUE(LEFT(A45,LEN(A45)-3))</f>
        <v>131</v>
      </c>
      <c r="AE45" s="234" t="str">
        <f t="shared" si="11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45" s="233" t="str">
        <f t="shared" si="12"/>
        <v>"C:\Program Files (x86)\AstroGrep\AstroGrep.exe" /e /r /s /spath="%USERPROFILE%\AppData\Local\Temp\OnboardLogs" /stypes="app*4028*201712211*" /stext=" 15:.+?(?&gt;(PRM\|1\|D)|(KPR)|(KDP)|(train st[a-z]+ moving)|(SYSTEM_STATE:s[a-z]+ state changed)|(Enforcement Action)|(\[TIMEOUT)|(parse_ebi_status: Penalty)|(\|GPPS))"</v>
      </c>
      <c r="AG45" s="243" t="str">
        <f t="shared" ref="AG45:AG76" si="35">DetSubdiv(A45)</f>
        <v>EC</v>
      </c>
      <c r="AH45" s="235" t="str">
        <f t="shared" si="19"/>
        <v>"%USERPROFILE%\Documents\GitHub\eaglep3\Utilities\RefineRTDCRunTimes.py" --tripid 131-21 --locoid 4028 --swversion DE.1.0.9.0 --startMP 204:519 --initTime 2017-12-21T07:24:23 --startdatetime 2017-12-21T07:30:38 --delay 57 --endMP 204:233274 --enddatetime 2017-12-21T08:08:29 --enforcementcount 0 &gt;&gt;%USERPROFILE%\Documents\GitHub\eaglep3-reporting\EC\2017-12-21-refined-times.txt</v>
      </c>
      <c r="AI4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{"issue":{"subject":"","project_id":79,"tracker_id":40,"status_id":1,"priority_id":2,"assigned_to_id":338,"start_date":"2017-12-21","description":"","custom_fields":[{"id":1,"name":"Subdivision","value":"EC"},{"id":4,"name":"Milepost","value":"23.3274"},{"id":17,"name":"Train ID","value":"131-21"},{"id":16,"name":"Locomotive ID","value":"4028"},{"id":130,"name":"Impact","value":""},{"id":150,"name":"Time of Event (Mountain Time)","value":"08:08:29"},{"id":151,"name":"Denver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4028 --day 2017-12-21</v>
      </c>
      <c r="AN4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2017-12-21T06:24:23-0700',mode:absolute,to:'2017-12-21T09:08:29-0700'))&amp;_a=(columns:!('Message%20ID',Summary),filters:!(),index:'emp_*',interval:auto,query:(query_string:(analyze_wildcard:!t,query:'%22rtdc.l.rtdc.4028%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743</v>
      </c>
      <c r="B46" s="224">
        <v>4027</v>
      </c>
      <c r="C46" s="226" t="s">
        <v>192</v>
      </c>
      <c r="D46" s="226" t="s">
        <v>619</v>
      </c>
      <c r="E46" s="225">
        <v>43090.341620370367</v>
      </c>
      <c r="F46" s="225">
        <v>43090.352442129632</v>
      </c>
      <c r="G46" s="224">
        <v>51</v>
      </c>
      <c r="H46" s="226" t="s">
        <v>933</v>
      </c>
      <c r="I46" s="225">
        <v>43090.379502314812</v>
      </c>
      <c r="J46" s="224">
        <v>0</v>
      </c>
      <c r="K46" s="236" t="str">
        <f t="shared" si="28"/>
        <v>4027/4028</v>
      </c>
      <c r="L46" s="244" t="str">
        <f>VLOOKUP(A46,'Trips&amp;Operators'!$C$1:$G$99911,5,FALSE)</f>
        <v>DAVIDSON DAVID</v>
      </c>
      <c r="M46" s="223">
        <f t="shared" si="29"/>
        <v>2.7060185180744156E-2</v>
      </c>
      <c r="N46" s="224">
        <f t="shared" si="27"/>
        <v>38.966666660271585</v>
      </c>
      <c r="O46" s="224"/>
      <c r="P46" s="224"/>
      <c r="Q46" s="227"/>
      <c r="R46" s="241"/>
      <c r="S46" s="248">
        <f t="shared" si="26"/>
        <v>1</v>
      </c>
      <c r="T46" s="241" t="str">
        <f t="shared" si="30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2017-12-21T07:11:56-0700',mode:absolute,to:'2017-12-21T10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246" t="str">
        <f>IF(AA46&lt;VLOOKUP(AG46,Variables!$AC$3:$AD$8,2,FALSE),"Y","N")</f>
        <v>N</v>
      </c>
      <c r="X46" s="246">
        <f t="shared" si="31"/>
        <v>1</v>
      </c>
      <c r="Y46" s="246">
        <f t="shared" si="32"/>
        <v>23.296600000000002</v>
      </c>
      <c r="Z46" s="246">
        <f t="shared" si="8"/>
        <v>2.1999999999999999E-2</v>
      </c>
      <c r="AA46" s="246">
        <f t="shared" si="33"/>
        <v>23.274600000000003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34"/>
        <v>132</v>
      </c>
      <c r="AE46" s="234" t="str">
        <f t="shared" si="11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46" s="233" t="str">
        <f t="shared" si="12"/>
        <v>"C:\Program Files (x86)\AstroGrep\AstroGrep.exe" /e /r /s /spath="%USERPROFILE%\AppData\Local\Temp\OnboardLogs" /stypes="app*4027*201712211*" /stext=" 16:.+?(?&gt;(PRM\|1\|D)|(KPR)|(KDP)|(train st[a-z]+ moving)|(SYSTEM_STATE:s[a-z]+ state changed)|(Enforcement Action)|(\[TIMEOUT)|(parse_ebi_status: Penalty)|(\|GPPS))"</v>
      </c>
      <c r="AG46" s="243" t="str">
        <f t="shared" si="35"/>
        <v>EC</v>
      </c>
      <c r="AH46" s="235" t="str">
        <f t="shared" si="19"/>
        <v>"%USERPROFILE%\Documents\GitHub\eaglep3\Utilities\RefineRTDCRunTimes.py" --tripid 132-21 --locoid 4027 --swversion DE.1.0.9.0 --startMP 204:232966 --initTime 2017-12-21T08:11:56 --startdatetime 2017-12-21T08:27:31 --delay 51 --endMP 204:220 --enddatetime 2017-12-21T09:06:29 --enforcementcount 0 &gt;&gt;%USERPROFILE%\Documents\GitHub\eaglep3-reporting\EC\2017-12-21-refined-times.txt</v>
      </c>
      <c r="AI4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{"issue":{"subject":"","project_id":79,"tracker_id":40,"status_id":1,"priority_id":2,"assigned_to_id":338,"start_date":"2017-12-21","description":"","custom_fields":[{"id":1,"name":"Subdivision","value":"EC"},{"id":4,"name":"Milepost","value":"0.022"},{"id":17,"name":"Train ID","value":"132-21"},{"id":16,"name":"Locomotive ID","value":"4027"},{"id":130,"name":"Impact","value":""},{"id":150,"name":"Time of Event (Mountain Time)","value":"09:06:29"},{"id":151,"name":"Denver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4027 --day 2017-12-21</v>
      </c>
      <c r="AN4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2017-12-21T07:11:56-0700',mode:absolute,to:'2017-12-21T10:06:29-0700'))&amp;_a=(columns:!('Message%20ID',Summary),filters:!(),index:'emp_*',interval:auto,query:(query_string:(analyze_wildcard:!t,query:'%22rtdc.l.rtdc.4027%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735</v>
      </c>
      <c r="B47" s="224">
        <v>4018</v>
      </c>
      <c r="C47" s="226" t="s">
        <v>192</v>
      </c>
      <c r="D47" s="226" t="s">
        <v>551</v>
      </c>
      <c r="E47" s="225">
        <v>43090.319722222222</v>
      </c>
      <c r="F47" s="225">
        <v>43090.323217592595</v>
      </c>
      <c r="G47" s="224">
        <v>73</v>
      </c>
      <c r="H47" s="226" t="s">
        <v>934</v>
      </c>
      <c r="I47" s="225">
        <v>43090.348379629628</v>
      </c>
      <c r="J47" s="224">
        <v>0</v>
      </c>
      <c r="K47" s="236" t="str">
        <f t="shared" si="28"/>
        <v>4017/4018</v>
      </c>
      <c r="L47" s="244" t="str">
        <f>VLOOKUP(A47,'Trips&amp;Operators'!$C$1:$G$99911,5,FALSE)</f>
        <v>PAGE MARCUS</v>
      </c>
      <c r="M47" s="223">
        <f t="shared" si="29"/>
        <v>2.5162037032714579E-2</v>
      </c>
      <c r="N47" s="224">
        <f t="shared" si="27"/>
        <v>36.233333327108994</v>
      </c>
      <c r="O47" s="224"/>
      <c r="P47" s="224"/>
      <c r="Q47" s="227"/>
      <c r="R47" s="241"/>
      <c r="S47" s="248">
        <f t="shared" si="26"/>
        <v>1</v>
      </c>
      <c r="T47" s="241" t="str">
        <f t="shared" si="30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2017-12-21T06:40:24-0700',mode:absolute,to:'2017-12-21T09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46" t="str">
        <f>IF(AA47&lt;VLOOKUP(AG47,Variables!$AC$3:$AD$8,2,FALSE),"Y","N")</f>
        <v>N</v>
      </c>
      <c r="X47" s="246">
        <f t="shared" si="31"/>
        <v>1</v>
      </c>
      <c r="Y47" s="246">
        <f t="shared" si="32"/>
        <v>4.9799999999999997E-2</v>
      </c>
      <c r="Z47" s="246">
        <f t="shared" si="8"/>
        <v>23.3309</v>
      </c>
      <c r="AA47" s="246">
        <f t="shared" si="33"/>
        <v>23.281099999999999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34"/>
        <v>133</v>
      </c>
      <c r="AE47" s="234" t="str">
        <f t="shared" si="11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47" s="233" t="str">
        <f t="shared" si="12"/>
        <v>"C:\Program Files (x86)\AstroGrep\AstroGrep.exe" /e /r /s /spath="%USERPROFILE%\AppData\Local\Temp\OnboardLogs" /stypes="app*4018*201712211*" /stext=" 15:.+?(?&gt;(PRM\|1\|D)|(KPR)|(KDP)|(train st[a-z]+ moving)|(SYSTEM_STATE:s[a-z]+ state changed)|(Enforcement Action)|(\[TIMEOUT)|(parse_ebi_status: Penalty)|(\|GPPS))"</v>
      </c>
      <c r="AG47" s="243" t="str">
        <f t="shared" si="35"/>
        <v>EC</v>
      </c>
      <c r="AH47" s="235" t="str">
        <f t="shared" si="19"/>
        <v>"%USERPROFILE%\Documents\GitHub\eaglep3\Utilities\RefineRTDCRunTimes.py" --tripid 133-21 --locoid 4018 --swversion DE.1.0.9.0 --startMP 204:498 --initTime 2017-12-21T07:40:24 --startdatetime 2017-12-21T07:45:26 --delay 73 --endMP 204:233309 --enddatetime 2017-12-21T08:21:40 --enforcementcount 0 &gt;&gt;%USERPROFILE%\Documents\GitHub\eaglep3-reporting\EC\2017-12-21-refined-times.txt</v>
      </c>
      <c r="AI4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{"issue":{"subject":"","project_id":79,"tracker_id":40,"status_id":1,"priority_id":2,"assigned_to_id":338,"start_date":"2017-12-21","description":"","custom_fields":[{"id":1,"name":"Subdivision","value":"EC"},{"id":4,"name":"Milepost","value":"23.3309"},{"id":17,"name":"Train ID","value":"133-21"},{"id":16,"name":"Locomotive ID","value":"4018"},{"id":130,"name":"Impact","value":""},{"id":150,"name":"Time of Event (Mountain Time)","value":"08:21:40"},{"id":151,"name":"Denver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4018 --day 2017-12-21</v>
      </c>
      <c r="AN4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2017-12-21T06:40:24-0700',mode:absolute,to:'2017-12-21T09:21:40-0700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744</v>
      </c>
      <c r="B48" s="224">
        <v>4017</v>
      </c>
      <c r="C48" s="226" t="s">
        <v>192</v>
      </c>
      <c r="D48" s="226" t="s">
        <v>596</v>
      </c>
      <c r="E48" s="225">
        <v>43090.350370370368</v>
      </c>
      <c r="F48" s="225">
        <v>43090.362743055557</v>
      </c>
      <c r="G48" s="224">
        <v>67</v>
      </c>
      <c r="H48" s="226" t="s">
        <v>554</v>
      </c>
      <c r="I48" s="225">
        <v>43090.389872685184</v>
      </c>
      <c r="J48" s="224">
        <v>0</v>
      </c>
      <c r="K48" s="236" t="str">
        <f t="shared" si="28"/>
        <v>4017/4018</v>
      </c>
      <c r="L48" s="244" t="str">
        <f>VLOOKUP(A48,'Trips&amp;Operators'!$C$1:$G$99911,5,FALSE)</f>
        <v>PAGE MARCUS</v>
      </c>
      <c r="M48" s="223">
        <f t="shared" si="29"/>
        <v>2.7129629626870155E-2</v>
      </c>
      <c r="N48" s="224">
        <f t="shared" si="27"/>
        <v>39.066666662693024</v>
      </c>
      <c r="O48" s="224"/>
      <c r="P48" s="224"/>
      <c r="Q48" s="227"/>
      <c r="R48" s="241"/>
      <c r="S48" s="248">
        <f t="shared" si="26"/>
        <v>1</v>
      </c>
      <c r="T48" s="241" t="str">
        <f t="shared" si="30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2017-12-21T07:24:32-0700',mode:absolute,to:'2017-12-21T10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46" t="str">
        <f>IF(AA48&lt;VLOOKUP(AG48,Variables!$AC$3:$AD$8,2,FALSE),"Y","N")</f>
        <v>N</v>
      </c>
      <c r="X48" s="246">
        <f t="shared" si="31"/>
        <v>1</v>
      </c>
      <c r="Y48" s="246">
        <f t="shared" si="32"/>
        <v>23.298999999999999</v>
      </c>
      <c r="Z48" s="246">
        <f t="shared" si="8"/>
        <v>2.07E-2</v>
      </c>
      <c r="AA48" s="246">
        <f t="shared" si="33"/>
        <v>23.278299999999998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34"/>
        <v>134</v>
      </c>
      <c r="AE48" s="234" t="str">
        <f t="shared" si="11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48" s="233" t="str">
        <f t="shared" si="12"/>
        <v>"C:\Program Files (x86)\AstroGrep\AstroGrep.exe" /e /r /s /spath="%USERPROFILE%\AppData\Local\Temp\OnboardLogs" /stypes="app*4017*201712211*" /stext=" 16:.+?(?&gt;(PRM\|1\|D)|(KPR)|(KDP)|(train st[a-z]+ moving)|(SYSTEM_STATE:s[a-z]+ state changed)|(Enforcement Action)|(\[TIMEOUT)|(parse_ebi_status: Penalty)|(\|GPPS))"</v>
      </c>
      <c r="AG48" s="243" t="str">
        <f t="shared" si="35"/>
        <v>EC</v>
      </c>
      <c r="AH48" s="235" t="str">
        <f t="shared" si="19"/>
        <v>"%USERPROFILE%\Documents\GitHub\eaglep3\Utilities\RefineRTDCRunTimes.py" --tripid 134-21 --locoid 4017 --swversion DE.1.0.9.0 --startMP 204:232990 --initTime 2017-12-21T08:24:32 --startdatetime 2017-12-21T08:42:21 --delay 67 --endMP 204:207 --enddatetime 2017-12-21T09:21:25 --enforcementcount 0 &gt;&gt;%USERPROFILE%\Documents\GitHub\eaglep3-reporting\EC\2017-12-21-refined-times.txt</v>
      </c>
      <c r="AI4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{"issue":{"subject":"","project_id":79,"tracker_id":40,"status_id":1,"priority_id":2,"assigned_to_id":338,"start_date":"2017-12-21","description":"","custom_fields":[{"id":1,"name":"Subdivision","value":"EC"},{"id":4,"name":"Milepost","value":"0.0207"},{"id":17,"name":"Train ID","value":"134-21"},{"id":16,"name":"Locomotive ID","value":"4017"},{"id":130,"name":"Impact","value":""},{"id":150,"name":"Time of Event (Mountain Time)","value":"09:21:25"},{"id":151,"name":"Denver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4017 --day 2017-12-21</v>
      </c>
      <c r="AN4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2017-12-21T07:24:32-0700',mode:absolute,to:'2017-12-21T10:21:25-0700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738</v>
      </c>
      <c r="B49" s="224">
        <v>4054</v>
      </c>
      <c r="C49" s="226" t="s">
        <v>192</v>
      </c>
      <c r="D49" s="226" t="s">
        <v>550</v>
      </c>
      <c r="E49" s="225">
        <v>43090.328310185185</v>
      </c>
      <c r="F49" s="225">
        <v>43090.333518518521</v>
      </c>
      <c r="G49" s="224">
        <v>51</v>
      </c>
      <c r="H49" s="226" t="s">
        <v>935</v>
      </c>
      <c r="I49" s="225">
        <v>43090.357835648145</v>
      </c>
      <c r="J49" s="224">
        <v>0</v>
      </c>
      <c r="K49" s="236" t="str">
        <f t="shared" si="28"/>
        <v>4053/4054</v>
      </c>
      <c r="L49" s="244" t="str">
        <f>VLOOKUP(A49,'Trips&amp;Operators'!$C$1:$G$99911,5,FALSE)</f>
        <v>GEBRETEKLE DAGNEW</v>
      </c>
      <c r="M49" s="223">
        <f t="shared" si="29"/>
        <v>2.4317129624250811E-2</v>
      </c>
      <c r="N49" s="224">
        <f t="shared" si="27"/>
        <v>35.016666658921167</v>
      </c>
      <c r="O49" s="224"/>
      <c r="P49" s="224"/>
      <c r="Q49" s="227"/>
      <c r="R49" s="241"/>
      <c r="S49" s="248">
        <f t="shared" si="26"/>
        <v>1</v>
      </c>
      <c r="T49" s="241" t="str">
        <f t="shared" si="30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2017-12-21T06:52:46-0700',mode:absolute,to:'2017-12-21T09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246" t="str">
        <f>IF(AA49&lt;VLOOKUP(AG49,Variables!$AC$3:$AD$8,2,FALSE),"Y","N")</f>
        <v>N</v>
      </c>
      <c r="X49" s="246">
        <f t="shared" si="31"/>
        <v>1</v>
      </c>
      <c r="Y49" s="246">
        <f t="shared" si="32"/>
        <v>4.4600000000000001E-2</v>
      </c>
      <c r="Z49" s="246">
        <f t="shared" si="8"/>
        <v>23.334599999999998</v>
      </c>
      <c r="AA49" s="246">
        <f t="shared" si="33"/>
        <v>23.29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34"/>
        <v>135</v>
      </c>
      <c r="AE49" s="234" t="str">
        <f t="shared" si="11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49" s="233" t="str">
        <f t="shared" si="12"/>
        <v>"C:\Program Files (x86)\AstroGrep\AstroGrep.exe" /e /r /s /spath="%USERPROFILE%\AppData\Local\Temp\OnboardLogs" /stypes="app*4054*201712211*" /stext=" 15:.+?(?&gt;(PRM\|1\|D)|(KPR)|(KDP)|(train st[a-z]+ moving)|(SYSTEM_STATE:s[a-z]+ state changed)|(Enforcement Action)|(\[TIMEOUT)|(parse_ebi_status: Penalty)|(\|GPPS))"</v>
      </c>
      <c r="AG49" s="243" t="str">
        <f t="shared" si="35"/>
        <v>EC</v>
      </c>
      <c r="AH49" s="235" t="str">
        <f t="shared" si="19"/>
        <v>"%USERPROFILE%\Documents\GitHub\eaglep3\Utilities\RefineRTDCRunTimes.py" --tripid 135-21 --locoid 4054 --swversion DE.1.0.9.0 --startMP 204:446 --initTime 2017-12-21T07:52:46 --startdatetime 2017-12-21T08:00:16 --delay 51 --endMP 204:233346 --enddatetime 2017-12-21T08:35:17 --enforcementcount 0 &gt;&gt;%USERPROFILE%\Documents\GitHub\eaglep3-reporting\EC\2017-12-21-refined-times.txt</v>
      </c>
      <c r="AI4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{"issue":{"subject":"","project_id":79,"tracker_id":40,"status_id":1,"priority_id":2,"assigned_to_id":338,"start_date":"2017-12-21","description":"","custom_fields":[{"id":1,"name":"Subdivision","value":"EC"},{"id":4,"name":"Milepost","value":"23.3346"},{"id":17,"name":"Train ID","value":"135-21"},{"id":16,"name":"Locomotive ID","value":"4054"},{"id":130,"name":"Impact","value":""},{"id":150,"name":"Time of Event (Mountain Time)","value":"08:35:17"},{"id":151,"name":"Denver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4054 --day 2017-12-21</v>
      </c>
      <c r="AN4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2017-12-21T06:52:46-0700',mode:absolute,to:'2017-12-21T09:35:17-0700'))&amp;_a=(columns:!('Message%20ID',Summary),filters:!(),index:'emp_*',interval:auto,query:(query_string:(analyze_wildcard:!t,query:'%22rtdc.l.rtdc.4054%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747</v>
      </c>
      <c r="B50" s="224">
        <v>4053</v>
      </c>
      <c r="C50" s="226" t="s">
        <v>192</v>
      </c>
      <c r="D50" s="226" t="s">
        <v>936</v>
      </c>
      <c r="E50" s="225">
        <v>43090.358900462961</v>
      </c>
      <c r="F50" s="225">
        <v>43090.373124999998</v>
      </c>
      <c r="G50" s="224">
        <v>51</v>
      </c>
      <c r="H50" s="226" t="s">
        <v>602</v>
      </c>
      <c r="I50" s="225">
        <v>43090.398842592593</v>
      </c>
      <c r="J50" s="224">
        <v>0</v>
      </c>
      <c r="K50" s="236" t="str">
        <f t="shared" si="28"/>
        <v>4053/4054</v>
      </c>
      <c r="L50" s="244" t="str">
        <f>VLOOKUP(A50,'Trips&amp;Operators'!$C$1:$G$99911,5,FALSE)</f>
        <v>GEBRETEKLE DAGNEW</v>
      </c>
      <c r="M50" s="223">
        <f t="shared" si="29"/>
        <v>2.5717592594446614E-2</v>
      </c>
      <c r="N50" s="224">
        <f t="shared" si="27"/>
        <v>37.033333336003125</v>
      </c>
      <c r="O50" s="224"/>
      <c r="P50" s="224"/>
      <c r="Q50" s="227"/>
      <c r="R50" s="241"/>
      <c r="S50" s="248">
        <f t="shared" si="26"/>
        <v>1</v>
      </c>
      <c r="T50" s="241" t="str">
        <f t="shared" si="30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2017-12-21T07:36:49-0700',mode:absolute,to:'2017-12-21T10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246" t="str">
        <f>IF(AA50&lt;VLOOKUP(AG50,Variables!$AC$3:$AD$8,2,FALSE),"Y","N")</f>
        <v>N</v>
      </c>
      <c r="X50" s="246">
        <f t="shared" si="31"/>
        <v>1</v>
      </c>
      <c r="Y50" s="246">
        <f t="shared" si="32"/>
        <v>23.304500000000001</v>
      </c>
      <c r="Z50" s="246">
        <f t="shared" si="8"/>
        <v>1.3899999999999999E-2</v>
      </c>
      <c r="AA50" s="246">
        <f t="shared" si="33"/>
        <v>23.290600000000001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34"/>
        <v>136</v>
      </c>
      <c r="AE50" s="234" t="str">
        <f t="shared" si="11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50" s="233" t="str">
        <f t="shared" si="12"/>
        <v>"C:\Program Files (x86)\AstroGrep\AstroGrep.exe" /e /r /s /spath="%USERPROFILE%\AppData\Local\Temp\OnboardLogs" /stypes="app*4053*201712211*" /stext=" 16:.+?(?&gt;(PRM\|1\|D)|(KPR)|(KDP)|(train st[a-z]+ moving)|(SYSTEM_STATE:s[a-z]+ state changed)|(Enforcement Action)|(\[TIMEOUT)|(parse_ebi_status: Penalty)|(\|GPPS))"</v>
      </c>
      <c r="AG50" s="243" t="str">
        <f t="shared" si="35"/>
        <v>EC</v>
      </c>
      <c r="AH50" s="235" t="str">
        <f t="shared" si="19"/>
        <v>"%USERPROFILE%\Documents\GitHub\eaglep3\Utilities\RefineRTDCRunTimes.py" --tripid 136-21 --locoid 4053 --swversion DE.1.0.9.0 --startMP 204:233045 --initTime 2017-12-21T08:36:49 --startdatetime 2017-12-21T08:57:18 --delay 51 --endMP 204:139 --enddatetime 2017-12-21T09:34:20 --enforcementcount 0 &gt;&gt;%USERPROFILE%\Documents\GitHub\eaglep3-reporting\EC\2017-12-21-refined-times.txt</v>
      </c>
      <c r="AI50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{"issue":{"subject":"","project_id":79,"tracker_id":40,"status_id":1,"priority_id":2,"assigned_to_id":338,"start_date":"2017-12-21","description":"","custom_fields":[{"id":1,"name":"Subdivision","value":"EC"},{"id":4,"name":"Milepost","value":"0.0139"},{"id":17,"name":"Train ID","value":"136-21"},{"id":16,"name":"Locomotive ID","value":"4053"},{"id":130,"name":"Impact","value":""},{"id":150,"name":"Time of Event (Mountain Time)","value":"09:34:20"},{"id":151,"name":"Denver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4053 --day 2017-12-21</v>
      </c>
      <c r="AN50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2017-12-21T07:36:49-0700',mode:absolute,to:'2017-12-21T10:34:20-0700'))&amp;_a=(columns:!('Message%20ID',Summary),filters:!(),index:'emp_*',interval:auto,query:(query_string:(analyze_wildcard:!t,query:'%22rtdc.l.rtdc.4053%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742</v>
      </c>
      <c r="B51" s="224">
        <v>4060</v>
      </c>
      <c r="C51" s="226" t="s">
        <v>192</v>
      </c>
      <c r="D51" s="226" t="s">
        <v>937</v>
      </c>
      <c r="E51" s="225">
        <v>43090.341168981482</v>
      </c>
      <c r="F51" s="225">
        <v>43090.3440625</v>
      </c>
      <c r="G51" s="224">
        <v>79</v>
      </c>
      <c r="H51" s="226" t="s">
        <v>938</v>
      </c>
      <c r="I51" s="225">
        <v>43090.37091435185</v>
      </c>
      <c r="J51" s="224">
        <v>0</v>
      </c>
      <c r="K51" s="236" t="str">
        <f t="shared" si="28"/>
        <v>4059/4060</v>
      </c>
      <c r="L51" s="244" t="str">
        <f>VLOOKUP(A51,'Trips&amp;Operators'!$C$1:$G$99911,5,FALSE)</f>
        <v>WILLIAMS DONTE</v>
      </c>
      <c r="M51" s="223">
        <f t="shared" si="29"/>
        <v>2.6851851849642117E-2</v>
      </c>
      <c r="N51" s="224">
        <f t="shared" si="27"/>
        <v>38.666666663484648</v>
      </c>
      <c r="O51" s="224"/>
      <c r="P51" s="224"/>
      <c r="Q51" s="227"/>
      <c r="R51" s="241"/>
      <c r="S51" s="248">
        <f t="shared" si="26"/>
        <v>1</v>
      </c>
      <c r="T51" s="241" t="str">
        <f t="shared" si="30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2017-12-21T07:11:17-0700',mode:absolute,to:'2017-12-21T09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6" t="str">
        <f>IF(AA51&lt;VLOOKUP(AG51,Variables!$AC$3:$AD$8,2,FALSE),"Y","N")</f>
        <v>N</v>
      </c>
      <c r="X51" s="246">
        <f t="shared" si="31"/>
        <v>1</v>
      </c>
      <c r="Y51" s="246">
        <f t="shared" si="32"/>
        <v>5.0900000000000001E-2</v>
      </c>
      <c r="Z51" s="246">
        <f t="shared" si="8"/>
        <v>23.324300000000001</v>
      </c>
      <c r="AA51" s="246">
        <f t="shared" si="33"/>
        <v>23.273400000000002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34"/>
        <v>137</v>
      </c>
      <c r="AE51" s="234" t="str">
        <f t="shared" si="11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51" s="233" t="str">
        <f t="shared" si="12"/>
        <v>"C:\Program Files (x86)\AstroGrep\AstroGrep.exe" /e /r /s /spath="%USERPROFILE%\AppData\Local\Temp\OnboardLogs" /stypes="app*4060*201712211*" /stext=" 15:.+?(?&gt;(PRM\|1\|D)|(KPR)|(KDP)|(train st[a-z]+ moving)|(SYSTEM_STATE:s[a-z]+ state changed)|(Enforcement Action)|(\[TIMEOUT)|(parse_ebi_status: Penalty)|(\|GPPS))"</v>
      </c>
      <c r="AG51" s="243" t="str">
        <f t="shared" si="35"/>
        <v>EC</v>
      </c>
      <c r="AH51" s="235" t="str">
        <f t="shared" si="19"/>
        <v>"%USERPROFILE%\Documents\GitHub\eaglep3\Utilities\RefineRTDCRunTimes.py" --tripid 137-21 --locoid 4060 --swversion DE.1.0.9.0 --startMP 204:509 --initTime 2017-12-21T08:11:17 --startdatetime 2017-12-21T08:15:27 --delay 79 --endMP 204:233243 --enddatetime 2017-12-21T08:54:07 --enforcementcount 0 &gt;&gt;%USERPROFILE%\Documents\GitHub\eaglep3-reporting\EC\2017-12-21-refined-times.txt</v>
      </c>
      <c r="AI51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{"issue":{"subject":"","project_id":79,"tracker_id":40,"status_id":1,"priority_id":2,"assigned_to_id":338,"start_date":"2017-12-21","description":"","custom_fields":[{"id":1,"name":"Subdivision","value":"EC"},{"id":4,"name":"Milepost","value":"23.3243"},{"id":17,"name":"Train ID","value":"137-21"},{"id":16,"name":"Locomotive ID","value":"4060"},{"id":130,"name":"Impact","value":""},{"id":150,"name":"Time of Event (Mountain Time)","value":"08:54:07"},{"id":151,"name":"Denver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4060 --day 2017-12-21</v>
      </c>
      <c r="AN51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2017-12-21T07:11:17-0700',mode:absolute,to:'2017-12-21T09:54:07-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666</v>
      </c>
      <c r="B52" s="224">
        <v>4059</v>
      </c>
      <c r="C52" s="226" t="s">
        <v>192</v>
      </c>
      <c r="D52" s="226" t="s">
        <v>558</v>
      </c>
      <c r="E52" s="225">
        <v>43090.379803240743</v>
      </c>
      <c r="F52" s="225">
        <v>43090.383912037039</v>
      </c>
      <c r="G52" s="224">
        <v>72</v>
      </c>
      <c r="H52" s="226" t="s">
        <v>463</v>
      </c>
      <c r="I52" s="225">
        <v>43090.411874999998</v>
      </c>
      <c r="J52" s="224">
        <v>0</v>
      </c>
      <c r="K52" s="236" t="str">
        <f t="shared" si="28"/>
        <v>4059/4060</v>
      </c>
      <c r="L52" s="244" t="str">
        <f>VLOOKUP(A52,'Trips&amp;Operators'!$C$1:$G$99911,5,FALSE)</f>
        <v>WILLIAMS DONTE</v>
      </c>
      <c r="M52" s="223">
        <f t="shared" si="29"/>
        <v>2.7962962958554272E-2</v>
      </c>
      <c r="N52" s="224">
        <f t="shared" si="27"/>
        <v>40.266666660318151</v>
      </c>
      <c r="O52" s="224"/>
      <c r="P52" s="224"/>
      <c r="Q52" s="227"/>
      <c r="R52" s="241"/>
      <c r="S52" s="248">
        <f t="shared" si="26"/>
        <v>1</v>
      </c>
      <c r="T52" s="241" t="str">
        <f t="shared" si="30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2017-12-21T08:06:55-0700',mode:absolute,to:'2017-12-21T10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6" t="str">
        <f>IF(AA52&lt;VLOOKUP(AG52,Variables!$AC$3:$AD$8,2,FALSE),"Y","N")</f>
        <v>N</v>
      </c>
      <c r="X52" s="246">
        <f t="shared" si="31"/>
        <v>1</v>
      </c>
      <c r="Y52" s="246">
        <f t="shared" si="32"/>
        <v>23.291899999999998</v>
      </c>
      <c r="Z52" s="246">
        <f t="shared" si="8"/>
        <v>1.9599999999999999E-2</v>
      </c>
      <c r="AA52" s="246">
        <f t="shared" si="33"/>
        <v>23.272299999999998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34"/>
        <v>138</v>
      </c>
      <c r="AE52" s="234" t="str">
        <f t="shared" si="11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52" s="233" t="str">
        <f t="shared" si="12"/>
        <v>"C:\Program Files (x86)\AstroGrep\AstroGrep.exe" /e /r /s /spath="%USERPROFILE%\AppData\Local\Temp\OnboardLogs" /stypes="app*4059*201712211*" /stext=" 16:.+?(?&gt;(PRM\|1\|D)|(KPR)|(KDP)|(train st[a-z]+ moving)|(SYSTEM_STATE:s[a-z]+ state changed)|(Enforcement Action)|(\[TIMEOUT)|(parse_ebi_status: Penalty)|(\|GPPS))"</v>
      </c>
      <c r="AG52" s="243" t="str">
        <f t="shared" si="35"/>
        <v>EC</v>
      </c>
      <c r="AH52" s="235" t="str">
        <f t="shared" si="19"/>
        <v>"%USERPROFILE%\Documents\GitHub\eaglep3\Utilities\RefineRTDCRunTimes.py" --tripid 138-21 --locoid 4059 --swversion DE.1.0.9.0 --startMP 204:232919 --initTime 2017-12-21T09:06:55 --startdatetime 2017-12-21T09:12:50 --delay 72 --endMP 204:196 --enddatetime 2017-12-21T09:53:06 --enforcementcount 0 &gt;&gt;%USERPROFILE%\Documents\GitHub\eaglep3-reporting\EC\2017-12-21-refined-times.txt</v>
      </c>
      <c r="AI5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{"issue":{"subject":"","project_id":79,"tracker_id":40,"status_id":1,"priority_id":2,"assigned_to_id":338,"start_date":"2017-12-21","description":"","custom_fields":[{"id":1,"name":"Subdivision","value":"EC"},{"id":4,"name":"Milepost","value":"0.0196"},{"id":17,"name":"Train ID","value":"138-21"},{"id":16,"name":"Locomotive ID","value":"4059"},{"id":130,"name":"Impact","value":""},{"id":150,"name":"Time of Event (Mountain Time)","value":"09:53:06"},{"id":151,"name":"Denver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4059 --day 2017-12-21</v>
      </c>
      <c r="AN5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2017-12-21T08:06:55-0700',mode:absolute,to:'2017-12-21T10:53:06-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665</v>
      </c>
      <c r="B53" s="224">
        <v>4034</v>
      </c>
      <c r="C53" s="226" t="s">
        <v>192</v>
      </c>
      <c r="D53" s="226" t="s">
        <v>639</v>
      </c>
      <c r="E53" s="225">
        <v>43090.347650462965</v>
      </c>
      <c r="F53" s="225">
        <v>43090.354386574072</v>
      </c>
      <c r="G53" s="224">
        <v>53</v>
      </c>
      <c r="H53" s="226" t="s">
        <v>549</v>
      </c>
      <c r="I53" s="225">
        <v>43090.36922453704</v>
      </c>
      <c r="J53" s="224">
        <v>0</v>
      </c>
      <c r="K53" s="236" t="str">
        <f t="shared" si="28"/>
        <v>4033/4034</v>
      </c>
      <c r="L53" s="244" t="str">
        <f>VLOOKUP(A53,'Trips&amp;Operators'!$C$1:$G$99911,5,FALSE)</f>
        <v>YORK EDGAR</v>
      </c>
      <c r="M53" s="223">
        <f t="shared" si="29"/>
        <v>1.4837962968158536E-2</v>
      </c>
      <c r="N53" s="224"/>
      <c r="O53" s="224"/>
      <c r="P53" s="224">
        <f>24*60*SUM($M53:$M53)</f>
        <v>21.366666674148291</v>
      </c>
      <c r="Q53" s="227"/>
      <c r="R53" s="241" t="s">
        <v>464</v>
      </c>
      <c r="S53" s="248">
        <f t="shared" si="26"/>
        <v>1</v>
      </c>
      <c r="T53" s="241" t="str">
        <f t="shared" si="30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2017-12-21T07:20:37-0700',mode:absolute,to:'2017-12-21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3" s="246" t="str">
        <f>IF(AA53&lt;VLOOKUP(AG53,Variables!$AC$3:$AD$8,2,FALSE),"Y","N")</f>
        <v>Y</v>
      </c>
      <c r="X53" s="246">
        <f t="shared" si="31"/>
        <v>1</v>
      </c>
      <c r="Y53" s="246">
        <f t="shared" si="32"/>
        <v>4.9299999999999997E-2</v>
      </c>
      <c r="Z53" s="246">
        <v>12.6</v>
      </c>
      <c r="AA53" s="246">
        <f t="shared" si="33"/>
        <v>12.550699999999999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34"/>
        <v>139</v>
      </c>
      <c r="AE53" s="234" t="str">
        <f t="shared" si="11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53" s="233" t="str">
        <f t="shared" si="12"/>
        <v>"C:\Program Files (x86)\AstroGrep\AstroGrep.exe" /e /r /s /spath="%USERPROFILE%\AppData\Local\Temp\OnboardLogs" /stypes="app*4034*201712211*" /stext=" 15:.+?(?&gt;(PRM\|1\|D)|(KPR)|(KDP)|(train st[a-z]+ moving)|(SYSTEM_STATE:s[a-z]+ state changed)|(Enforcement Action)|(\[TIMEOUT)|(parse_ebi_status: Penalty)|(\|GPPS))"</v>
      </c>
      <c r="AG53" s="243" t="str">
        <f t="shared" si="35"/>
        <v>EC</v>
      </c>
      <c r="AH53" s="235" t="str">
        <f t="shared" si="19"/>
        <v>"%USERPROFILE%\Documents\GitHub\eaglep3\Utilities\RefineRTDCRunTimes.py" --tripid 139-21 --locoid 4034 --swversion DE.1.0.9.0 --startMP 204:493 --initTime 2017-12-21T08:20:37 --startdatetime 2017-12-21T08:30:19 --delay 53 --endMP 204:233291 --enddatetime 2017-12-21T08:51:41 --enforcementcount 0 &gt;&gt;%USERPROFILE%\Documents\GitHub\eaglep3-reporting\EC\2017-12-21-refined-times.txt</v>
      </c>
      <c r="AI53" s="237" t="str">
        <f t="shared" si="20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drop","project_id":79,"tracker_id":40,"status_id":1,"priority_id":2,"assigned_to_id":338,"start_date":"2017-12-21","description":"","custom_fields":[{"id":1,"name":"Subdivision","value":"EC"},{"id":4,"name":"Milepost","value":"12.6"},{"id":17,"name":"Train ID","value":"139-21"},{"id":16,"name":"Locomotive ID","value":"4034"},{"id":130,"name":"Impact","value":""},{"id":150,"name":"Time of Event (Mountain Time)","value":"08:51:41"},{"id":151,"name":"Denver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4034 --day 2017-12-21</v>
      </c>
      <c r="AN53" s="240" t="str">
        <f t="shared" si="22"/>
        <v>echo {"issue":{"subject":"Wi-MAX data drop","project_id":30,"tracker_id":4,"status_id":1,"priority_id":1,"assigned_to_id":10,"start_date":"2017-12-21","description":"","custom_fields":[{"id":30,"name":"Category","value":"Issue"},{"id":3,"name":"Functional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2017-12-21T07:20:37-0700',mode:absolute,to:'2017-12-21T09:51:41-0700'))&amp;_a=(columns:!('Message%20ID',Summary),filters:!(),index:'emp_*',interval:auto,query:(query_string:(analyze_wildcard:!t,query:'%22rtdc.l.rtdc.4034%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754</v>
      </c>
      <c r="B54" s="224">
        <v>4033</v>
      </c>
      <c r="C54" s="226" t="s">
        <v>192</v>
      </c>
      <c r="D54" s="226" t="s">
        <v>606</v>
      </c>
      <c r="E54" s="225">
        <v>43090.392905092594</v>
      </c>
      <c r="F54" s="225">
        <v>43090.394166666665</v>
      </c>
      <c r="G54" s="224">
        <v>50</v>
      </c>
      <c r="H54" s="226" t="s">
        <v>517</v>
      </c>
      <c r="I54" s="225">
        <v>43090.419027777774</v>
      </c>
      <c r="J54" s="224">
        <v>0</v>
      </c>
      <c r="K54" s="236" t="str">
        <f t="shared" si="28"/>
        <v>4033/4034</v>
      </c>
      <c r="L54" s="244" t="str">
        <f>VLOOKUP(A54,'Trips&amp;Operators'!$C$1:$G$99911,5,FALSE)</f>
        <v>YORK EDGAR</v>
      </c>
      <c r="M54" s="223">
        <f t="shared" si="29"/>
        <v>2.4861111109203193E-2</v>
      </c>
      <c r="N54" s="224">
        <f t="shared" ref="N54:N65" si="36">24*60*SUM($M54:$M54)</f>
        <v>35.799999997252598</v>
      </c>
      <c r="O54" s="224"/>
      <c r="P54" s="224"/>
      <c r="Q54" s="227"/>
      <c r="R54" s="241"/>
      <c r="S54" s="248">
        <f t="shared" si="26"/>
        <v>1</v>
      </c>
      <c r="T54" s="241" t="str">
        <f t="shared" si="30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2017-12-21T08:25:47-0700',mode:absolute,to:'2017-12-21T11:03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4" s="246" t="str">
        <f>IF(AA54&lt;VLOOKUP(AG54,Variables!$AC$3:$AD$8,2,FALSE),"Y","N")</f>
        <v>N</v>
      </c>
      <c r="X54" s="246">
        <f t="shared" si="31"/>
        <v>1</v>
      </c>
      <c r="Y54" s="246">
        <f t="shared" si="32"/>
        <v>23.2974</v>
      </c>
      <c r="Z54" s="246">
        <f t="shared" ref="Z54:Z85" si="37">RIGHT(H54,LEN(H54)-4)/10000</f>
        <v>1.52E-2</v>
      </c>
      <c r="AA54" s="246">
        <f t="shared" si="33"/>
        <v>23.2822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34"/>
        <v>140</v>
      </c>
      <c r="AE54" s="234" t="str">
        <f t="shared" si="11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54" s="233" t="str">
        <f t="shared" si="12"/>
        <v>"C:\Program Files (x86)\AstroGrep\AstroGrep.exe" /e /r /s /spath="%USERPROFILE%\AppData\Local\Temp\OnboardLogs" /stypes="app*4033*201712211*" /stext=" 17:.+?(?&gt;(PRM\|1\|D)|(KPR)|(KDP)|(train st[a-z]+ moving)|(SYSTEM_STATE:s[a-z]+ state changed)|(Enforcement Action)|(\[TIMEOUT)|(parse_ebi_status: Penalty)|(\|GPPS))"</v>
      </c>
      <c r="AG54" s="243" t="str">
        <f t="shared" si="35"/>
        <v>EC</v>
      </c>
      <c r="AH54" s="235" t="str">
        <f t="shared" si="19"/>
        <v>"%USERPROFILE%\Documents\GitHub\eaglep3\Utilities\RefineRTDCRunTimes.py" --tripid 140-21 --locoid 4033 --swversion DE.1.0.9.0 --startMP 204:232974 --initTime 2017-12-21T09:25:47 --startdatetime 2017-12-21T09:27:36 --delay 50 --endMP 204:152 --enddatetime 2017-12-21T10:03:24 --enforcementcount 0 &gt;&gt;%USERPROFILE%\Documents\GitHub\eaglep3-reporting\EC\2017-12-21-refined-times.txt</v>
      </c>
      <c r="AI54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{"issue":{"subject":"","project_id":79,"tracker_id":40,"status_id":1,"priority_id":2,"assigned_to_id":338,"start_date":"2017-12-21","description":"","custom_fields":[{"id":1,"name":"Subdivision","value":"EC"},{"id":4,"name":"Milepost","value":"0.0152"},{"id":17,"name":"Train ID","value":"140-21"},{"id":16,"name":"Locomotive ID","value":"4033"},{"id":130,"name":"Impact","value":""},{"id":150,"name":"Time of Event (Mountain Time)","value":"10:03:24"},{"id":151,"name":"Denver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4033 --day 2017-12-21</v>
      </c>
      <c r="AN54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2017-12-21T08:25:47-0700',mode:absolute,to:'2017-12-21T11:03:24-0700'))&amp;_a=(columns:!('Message%20ID',Summary),filters:!(),index:'emp_*',interval:auto,query:(query_string:(analyze_wildcard:!t,query:'%22rtdc.l.rtdc.4033%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748</v>
      </c>
      <c r="B55" s="224">
        <v>4014</v>
      </c>
      <c r="C55" s="226" t="s">
        <v>192</v>
      </c>
      <c r="D55" s="226" t="s">
        <v>562</v>
      </c>
      <c r="E55" s="225">
        <v>43090.359513888892</v>
      </c>
      <c r="F55" s="225">
        <v>43090.364756944444</v>
      </c>
      <c r="G55" s="224">
        <v>71</v>
      </c>
      <c r="H55" s="226" t="s">
        <v>939</v>
      </c>
      <c r="I55" s="225">
        <v>43090.390405092592</v>
      </c>
      <c r="J55" s="224">
        <v>0</v>
      </c>
      <c r="K55" s="236" t="str">
        <f t="shared" si="28"/>
        <v>4013/4014</v>
      </c>
      <c r="L55" s="244" t="str">
        <f>VLOOKUP(A55,'Trips&amp;Operators'!$C$1:$G$99911,5,FALSE)</f>
        <v>YANAI IAN</v>
      </c>
      <c r="M55" s="223">
        <f t="shared" si="29"/>
        <v>2.5648148148320615E-2</v>
      </c>
      <c r="N55" s="224">
        <f t="shared" si="36"/>
        <v>36.933333333581686</v>
      </c>
      <c r="O55" s="224"/>
      <c r="P55" s="224"/>
      <c r="Q55" s="227"/>
      <c r="R55" s="241"/>
      <c r="S55" s="248">
        <f t="shared" si="26"/>
        <v>1</v>
      </c>
      <c r="T55" s="241" t="str">
        <f t="shared" si="30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2017-12-21T07:37:42-0700',mode:absolute,to:'2017-12-21T10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46" t="str">
        <f>IF(AA55&lt;VLOOKUP(AG55,Variables!$AC$3:$AD$8,2,FALSE),"Y","N")</f>
        <v>N</v>
      </c>
      <c r="X55" s="246">
        <f t="shared" si="31"/>
        <v>1</v>
      </c>
      <c r="Y55" s="246">
        <f t="shared" si="32"/>
        <v>5.5500000000000001E-2</v>
      </c>
      <c r="Z55" s="246">
        <f t="shared" si="37"/>
        <v>23.3324</v>
      </c>
      <c r="AA55" s="246">
        <f t="shared" si="33"/>
        <v>23.276900000000001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34"/>
        <v>141</v>
      </c>
      <c r="AE55" s="234" t="str">
        <f t="shared" si="11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55" s="233" t="str">
        <f t="shared" si="12"/>
        <v>"C:\Program Files (x86)\AstroGrep\AstroGrep.exe" /e /r /s /spath="%USERPROFILE%\AppData\Local\Temp\OnboardLogs" /stypes="app*4014*201712211*" /stext=" 16:.+?(?&gt;(PRM\|1\|D)|(KPR)|(KDP)|(train st[a-z]+ moving)|(SYSTEM_STATE:s[a-z]+ state changed)|(Enforcement Action)|(\[TIMEOUT)|(parse_ebi_status: Penalty)|(\|GPPS))"</v>
      </c>
      <c r="AG55" s="243" t="str">
        <f t="shared" si="35"/>
        <v>EC</v>
      </c>
      <c r="AH55" s="235" t="str">
        <f t="shared" si="19"/>
        <v>"%USERPROFILE%\Documents\GitHub\eaglep3\Utilities\RefineRTDCRunTimes.py" --tripid 141-21 --locoid 4014 --swversion DE.1.0.9.0 --startMP 204:555 --initTime 2017-12-21T08:37:42 --startdatetime 2017-12-21T08:45:15 --delay 71 --endMP 204:233324 --enddatetime 2017-12-21T09:22:11 --enforcementcount 0 &gt;&gt;%USERPROFILE%\Documents\GitHub\eaglep3-reporting\EC\2017-12-21-refined-times.txt</v>
      </c>
      <c r="AI5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{"issue":{"subject":"","project_id":79,"tracker_id":40,"status_id":1,"priority_id":2,"assigned_to_id":338,"start_date":"2017-12-21","description":"","custom_fields":[{"id":1,"name":"Subdivision","value":"EC"},{"id":4,"name":"Milepost","value":"23.3324"},{"id":17,"name":"Train ID","value":"141-21"},{"id":16,"name":"Locomotive ID","value":"4014"},{"id":130,"name":"Impact","value":""},{"id":150,"name":"Time of Event (Mountain Time)","value":"09:22:11"},{"id":151,"name":"Denver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4014 --day 2017-12-21</v>
      </c>
      <c r="AN5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2017-12-21T07:37:42-0700',mode:absolute,to:'2017-12-21T10:22:11-0700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753</v>
      </c>
      <c r="B56" s="224">
        <v>4013</v>
      </c>
      <c r="C56" s="226" t="s">
        <v>192</v>
      </c>
      <c r="D56" s="226" t="s">
        <v>940</v>
      </c>
      <c r="E56" s="225">
        <v>43090.391840277778</v>
      </c>
      <c r="F56" s="225">
        <v>43090.404351851852</v>
      </c>
      <c r="G56" s="224">
        <v>71</v>
      </c>
      <c r="H56" s="226" t="s">
        <v>914</v>
      </c>
      <c r="I56" s="225">
        <v>43090.430092592593</v>
      </c>
      <c r="J56" s="224">
        <v>0</v>
      </c>
      <c r="K56" s="236" t="str">
        <f t="shared" si="28"/>
        <v>4013/4014</v>
      </c>
      <c r="L56" s="244" t="str">
        <f>VLOOKUP(A56,'Trips&amp;Operators'!$C$1:$G$99911,5,FALSE)</f>
        <v>YANAI IAN</v>
      </c>
      <c r="M56" s="223">
        <f t="shared" si="29"/>
        <v>2.5740740740729962E-2</v>
      </c>
      <c r="N56" s="224">
        <f t="shared" si="36"/>
        <v>37.066666666651145</v>
      </c>
      <c r="O56" s="224"/>
      <c r="P56" s="224"/>
      <c r="Q56" s="227"/>
      <c r="R56" s="241"/>
      <c r="S56" s="248">
        <f t="shared" si="26"/>
        <v>1</v>
      </c>
      <c r="T56" s="241" t="str">
        <f t="shared" si="30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2017-12-21T08:24:15-0700',mode:absolute,to:'2017-12-21T11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46" t="str">
        <f>IF(AA56&lt;VLOOKUP(AG56,Variables!$AC$3:$AD$8,2,FALSE),"Y","N")</f>
        <v>N</v>
      </c>
      <c r="X56" s="246">
        <f t="shared" si="31"/>
        <v>1</v>
      </c>
      <c r="Y56" s="246">
        <f t="shared" si="32"/>
        <v>23.3005</v>
      </c>
      <c r="Z56" s="246">
        <f t="shared" si="37"/>
        <v>2.2499999999999999E-2</v>
      </c>
      <c r="AA56" s="246">
        <f t="shared" si="33"/>
        <v>23.277999999999999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34"/>
        <v>142</v>
      </c>
      <c r="AE56" s="234" t="str">
        <f t="shared" si="11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56" s="233" t="str">
        <f t="shared" si="12"/>
        <v>"C:\Program Files (x86)\AstroGrep\AstroGrep.exe" /e /r /s /spath="%USERPROFILE%\AppData\Local\Temp\OnboardLogs" /stypes="app*4013*201712211*" /stext=" 17:.+?(?&gt;(PRM\|1\|D)|(KPR)|(KDP)|(train st[a-z]+ moving)|(SYSTEM_STATE:s[a-z]+ state changed)|(Enforcement Action)|(\[TIMEOUT)|(parse_ebi_status: Penalty)|(\|GPPS))"</v>
      </c>
      <c r="AG56" s="243" t="str">
        <f t="shared" si="35"/>
        <v>EC</v>
      </c>
      <c r="AH56" s="235" t="str">
        <f t="shared" si="19"/>
        <v>"%USERPROFILE%\Documents\GitHub\eaglep3\Utilities\RefineRTDCRunTimes.py" --tripid 142-21 --locoid 4013 --swversion DE.1.0.9.0 --startMP 204:233005 --initTime 2017-12-21T09:24:15 --startdatetime 2017-12-21T09:42:16 --delay 71 --endMP 204:225 --enddatetime 2017-12-21T10:19:20 --enforcementcount 0 &gt;&gt;%USERPROFILE%\Documents\GitHub\eaglep3-reporting\EC\2017-12-21-refined-times.txt</v>
      </c>
      <c r="AI5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{"issue":{"subject":"","project_id":79,"tracker_id":40,"status_id":1,"priority_id":2,"assigned_to_id":338,"start_date":"2017-12-21","description":"","custom_fields":[{"id":1,"name":"Subdivision","value":"EC"},{"id":4,"name":"Milepost","value":"0.0225"},{"id":17,"name":"Train ID","value":"142-21"},{"id":16,"name":"Locomotive ID","value":"4013"},{"id":130,"name":"Impact","value":""},{"id":150,"name":"Time of Event (Mountain Time)","value":"10:19:20"},{"id":151,"name":"Denver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4013 --day 2017-12-21</v>
      </c>
      <c r="AN5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2017-12-21T08:24:15-0700',mode:absolute,to:'2017-12-21T11:19:20-0700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749</v>
      </c>
      <c r="B57" s="224">
        <v>4064</v>
      </c>
      <c r="C57" s="226" t="s">
        <v>192</v>
      </c>
      <c r="D57" s="226" t="s">
        <v>922</v>
      </c>
      <c r="E57" s="225">
        <v>43090.371724537035</v>
      </c>
      <c r="F57" s="225">
        <v>43090.37537037037</v>
      </c>
      <c r="G57" s="224">
        <v>46</v>
      </c>
      <c r="H57" s="226" t="s">
        <v>941</v>
      </c>
      <c r="I57" s="225">
        <v>43090.400729166664</v>
      </c>
      <c r="J57" s="224">
        <v>0</v>
      </c>
      <c r="K57" s="236" t="str">
        <f t="shared" si="28"/>
        <v>4063/4064</v>
      </c>
      <c r="L57" s="244" t="str">
        <f>VLOOKUP(A57,'Trips&amp;Operators'!$C$1:$G$99911,5,FALSE)</f>
        <v>MAELZER KURT</v>
      </c>
      <c r="M57" s="223">
        <f t="shared" si="29"/>
        <v>2.5358796294312924E-2</v>
      </c>
      <c r="N57" s="224">
        <f t="shared" si="36"/>
        <v>36.516666663810611</v>
      </c>
      <c r="O57" s="224"/>
      <c r="P57" s="224"/>
      <c r="Q57" s="227"/>
      <c r="R57" s="241"/>
      <c r="S57" s="248">
        <f t="shared" si="26"/>
        <v>1</v>
      </c>
      <c r="T57" s="241" t="str">
        <f t="shared" si="30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2017-12-21T07:55:17-0700',mode:absolute,to:'2017-12-21T10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46" t="str">
        <f>IF(AA57&lt;VLOOKUP(AG57,Variables!$AC$3:$AD$8,2,FALSE),"Y","N")</f>
        <v>N</v>
      </c>
      <c r="X57" s="246">
        <f t="shared" si="31"/>
        <v>1</v>
      </c>
      <c r="Y57" s="246">
        <f t="shared" si="32"/>
        <v>4.58E-2</v>
      </c>
      <c r="Z57" s="246">
        <f t="shared" si="37"/>
        <v>23.3325</v>
      </c>
      <c r="AA57" s="246">
        <f t="shared" si="33"/>
        <v>23.2867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34"/>
        <v>143</v>
      </c>
      <c r="AE57" s="234" t="str">
        <f t="shared" si="11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57" s="233" t="str">
        <f t="shared" si="12"/>
        <v>"C:\Program Files (x86)\AstroGrep\AstroGrep.exe" /e /r /s /spath="%USERPROFILE%\AppData\Local\Temp\OnboardLogs" /stypes="app*4064*201712211*" /stext=" 16:.+?(?&gt;(PRM\|1\|D)|(KPR)|(KDP)|(train st[a-z]+ moving)|(SYSTEM_STATE:s[a-z]+ state changed)|(Enforcement Action)|(\[TIMEOUT)|(parse_ebi_status: Penalty)|(\|GPPS))"</v>
      </c>
      <c r="AG57" s="243" t="str">
        <f t="shared" si="35"/>
        <v>EC</v>
      </c>
      <c r="AH57" s="235" t="str">
        <f t="shared" si="19"/>
        <v>"%USERPROFILE%\Documents\GitHub\eaglep3\Utilities\RefineRTDCRunTimes.py" --tripid 143-21 --locoid 4064 --swversion DE.1.0.9.0 --startMP 204:458 --initTime 2017-12-21T08:55:17 --startdatetime 2017-12-21T09:00:32 --delay 46 --endMP 204:233325 --enddatetime 2017-12-21T09:37:03 --enforcementcount 0 &gt;&gt;%USERPROFILE%\Documents\GitHub\eaglep3-reporting\EC\2017-12-21-refined-times.txt</v>
      </c>
      <c r="AI5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{"issue":{"subject":"","project_id":79,"tracker_id":40,"status_id":1,"priority_id":2,"assigned_to_id":338,"start_date":"2017-12-21","description":"","custom_fields":[{"id":1,"name":"Subdivision","value":"EC"},{"id":4,"name":"Milepost","value":"23.3325"},{"id":17,"name":"Train ID","value":"143-21"},{"id":16,"name":"Locomotive ID","value":"4064"},{"id":130,"name":"Impact","value":""},{"id":150,"name":"Time of Event (Mountain Time)","value":"09:37:03"},{"id":151,"name":"Denver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4064 --day 2017-12-21</v>
      </c>
      <c r="AN5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2017-12-21T07:55:17-0700',mode:absolute,to:'2017-12-21T10:37:03-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757</v>
      </c>
      <c r="B58" s="224">
        <v>4063</v>
      </c>
      <c r="C58" s="226" t="s">
        <v>192</v>
      </c>
      <c r="D58" s="226" t="s">
        <v>942</v>
      </c>
      <c r="E58" s="225">
        <v>43090.406805555554</v>
      </c>
      <c r="F58" s="225">
        <v>43090.41479166667</v>
      </c>
      <c r="G58" s="224">
        <v>45</v>
      </c>
      <c r="H58" s="226" t="s">
        <v>640</v>
      </c>
      <c r="I58" s="225">
        <v>43090.441006944442</v>
      </c>
      <c r="J58" s="224">
        <v>0</v>
      </c>
      <c r="K58" s="236" t="str">
        <f t="shared" si="28"/>
        <v>4063/4064</v>
      </c>
      <c r="L58" s="244" t="str">
        <f>VLOOKUP(A58,'Trips&amp;Operators'!$C$1:$G$99911,5,FALSE)</f>
        <v>MAELZER KURT</v>
      </c>
      <c r="M58" s="223">
        <f t="shared" si="29"/>
        <v>2.6215277772280388E-2</v>
      </c>
      <c r="N58" s="224">
        <f t="shared" si="36"/>
        <v>37.749999992083758</v>
      </c>
      <c r="O58" s="224"/>
      <c r="P58" s="224"/>
      <c r="Q58" s="227"/>
      <c r="R58" s="241"/>
      <c r="S58" s="248">
        <f t="shared" si="26"/>
        <v>1</v>
      </c>
      <c r="T58" s="241" t="str">
        <f t="shared" si="30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2017-12-21T08:45:48-0700',mode:absolute,to:'2017-12-21T11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46" t="str">
        <f>IF(AA58&lt;VLOOKUP(AG58,Variables!$AC$3:$AD$8,2,FALSE),"Y","N")</f>
        <v>N</v>
      </c>
      <c r="X58" s="246">
        <f t="shared" si="31"/>
        <v>1</v>
      </c>
      <c r="Y58" s="246">
        <f t="shared" si="32"/>
        <v>23.303000000000001</v>
      </c>
      <c r="Z58" s="246">
        <f t="shared" si="37"/>
        <v>1.7600000000000001E-2</v>
      </c>
      <c r="AA58" s="246">
        <f t="shared" si="33"/>
        <v>23.285399999999999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34"/>
        <v>144</v>
      </c>
      <c r="AE58" s="234" t="str">
        <f t="shared" si="11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58" s="233" t="str">
        <f t="shared" si="12"/>
        <v>"C:\Program Files (x86)\AstroGrep\AstroGrep.exe" /e /r /s /spath="%USERPROFILE%\AppData\Local\Temp\OnboardLogs" /stypes="app*4063*201712211*" /stext=" 17:.+?(?&gt;(PRM\|1\|D)|(KPR)|(KDP)|(train st[a-z]+ moving)|(SYSTEM_STATE:s[a-z]+ state changed)|(Enforcement Action)|(\[TIMEOUT)|(parse_ebi_status: Penalty)|(\|GPPS))"</v>
      </c>
      <c r="AG58" s="243" t="str">
        <f t="shared" si="35"/>
        <v>EC</v>
      </c>
      <c r="AH58" s="235" t="str">
        <f t="shared" si="19"/>
        <v>"%USERPROFILE%\Documents\GitHub\eaglep3\Utilities\RefineRTDCRunTimes.py" --tripid 144-21 --locoid 4063 --swversion DE.1.0.9.0 --startMP 204:233030 --initTime 2017-12-21T09:45:48 --startdatetime 2017-12-21T09:57:18 --delay 45 --endMP 204:176 --enddatetime 2017-12-21T10:35:03 --enforcementcount 0 &gt;&gt;%USERPROFILE%\Documents\GitHub\eaglep3-reporting\EC\2017-12-21-refined-times.txt</v>
      </c>
      <c r="AI5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{"issue":{"subject":"","project_id":79,"tracker_id":40,"status_id":1,"priority_id":2,"assigned_to_id":338,"start_date":"2017-12-21","description":"","custom_fields":[{"id":1,"name":"Subdivision","value":"EC"},{"id":4,"name":"Milepost","value":"0.0176"},{"id":17,"name":"Train ID","value":"144-21"},{"id":16,"name":"Locomotive ID","value":"4063"},{"id":130,"name":"Impact","value":""},{"id":150,"name":"Time of Event (Mountain Time)","value":"10:35:03"},{"id":151,"name":"Denver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4063 --day 2017-12-21</v>
      </c>
      <c r="AN5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2017-12-21T08:45:48-0700',mode:absolute,to:'2017-12-21T11:35:03-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751</v>
      </c>
      <c r="B59" s="224">
        <v>4028</v>
      </c>
      <c r="C59" s="226" t="s">
        <v>192</v>
      </c>
      <c r="D59" s="226" t="s">
        <v>527</v>
      </c>
      <c r="E59" s="225">
        <v>43090.380798611113</v>
      </c>
      <c r="F59" s="225">
        <v>43090.385868055557</v>
      </c>
      <c r="G59" s="224">
        <v>55</v>
      </c>
      <c r="H59" s="226" t="s">
        <v>930</v>
      </c>
      <c r="I59" s="225">
        <v>43090.411886574075</v>
      </c>
      <c r="J59" s="224">
        <v>0</v>
      </c>
      <c r="K59" s="236" t="str">
        <f t="shared" si="28"/>
        <v>4027/4028</v>
      </c>
      <c r="L59" s="244" t="str">
        <f>VLOOKUP(A59,'Trips&amp;Operators'!$C$1:$G$99911,5,FALSE)</f>
        <v>DAVIDSON DAVID</v>
      </c>
      <c r="M59" s="223">
        <f t="shared" si="29"/>
        <v>2.6018518517958E-2</v>
      </c>
      <c r="N59" s="224">
        <f t="shared" si="36"/>
        <v>37.46666666585952</v>
      </c>
      <c r="O59" s="224"/>
      <c r="P59" s="224"/>
      <c r="Q59" s="227"/>
      <c r="R59" s="241"/>
      <c r="S59" s="248">
        <f t="shared" si="26"/>
        <v>1</v>
      </c>
      <c r="T59" s="241" t="str">
        <f t="shared" si="30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2017-12-21T08:08:21-0700',mode:absolute,to:'2017-12-21T10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46" t="str">
        <f>IF(AA59&lt;VLOOKUP(AG59,Variables!$AC$3:$AD$8,2,FALSE),"Y","N")</f>
        <v>N</v>
      </c>
      <c r="X59" s="246">
        <f t="shared" si="31"/>
        <v>1</v>
      </c>
      <c r="Y59" s="246">
        <f t="shared" si="32"/>
        <v>5.3100000000000001E-2</v>
      </c>
      <c r="Z59" s="246">
        <f t="shared" si="37"/>
        <v>23.332799999999999</v>
      </c>
      <c r="AA59" s="246">
        <f t="shared" si="33"/>
        <v>23.279699999999998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34"/>
        <v>145</v>
      </c>
      <c r="AE59" s="234" t="str">
        <f t="shared" si="11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59" s="233" t="str">
        <f t="shared" si="12"/>
        <v>"C:\Program Files (x86)\AstroGrep\AstroGrep.exe" /e /r /s /spath="%USERPROFILE%\AppData\Local\Temp\OnboardLogs" /stypes="app*4028*201712211*" /stext=" 16:.+?(?&gt;(PRM\|1\|D)|(KPR)|(KDP)|(train st[a-z]+ moving)|(SYSTEM_STATE:s[a-z]+ state changed)|(Enforcement Action)|(\[TIMEOUT)|(parse_ebi_status: Penalty)|(\|GPPS))"</v>
      </c>
      <c r="AG59" s="243" t="str">
        <f t="shared" si="35"/>
        <v>EC</v>
      </c>
      <c r="AH59" s="235" t="str">
        <f t="shared" si="19"/>
        <v>"%USERPROFILE%\Documents\GitHub\eaglep3\Utilities\RefineRTDCRunTimes.py" --tripid 145-21 --locoid 4028 --swversion DE.1.0.9.0 --startMP 204:531 --initTime 2017-12-21T09:08:21 --startdatetime 2017-12-21T09:15:39 --delay 55 --endMP 204:233328 --enddatetime 2017-12-21T09:53:07 --enforcementcount 0 &gt;&gt;%USERPROFILE%\Documents\GitHub\eaglep3-reporting\EC\2017-12-21-refined-times.txt</v>
      </c>
      <c r="AI5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{"issue":{"subject":"","project_id":79,"tracker_id":40,"status_id":1,"priority_id":2,"assigned_to_id":338,"start_date":"2017-12-21","description":"","custom_fields":[{"id":1,"name":"Subdivision","value":"EC"},{"id":4,"name":"Milepost","value":"23.3328"},{"id":17,"name":"Train ID","value":"145-21"},{"id":16,"name":"Locomotive ID","value":"4028"},{"id":130,"name":"Impact","value":""},{"id":150,"name":"Time of Event (Mountain Time)","value":"09:53:07"},{"id":151,"name":"Denver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4028 --day 2017-12-21</v>
      </c>
      <c r="AN5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2017-12-21T08:08:21-0700',mode:absolute,to:'2017-12-21T10:53:07-0700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759</v>
      </c>
      <c r="B60" s="224">
        <v>4027</v>
      </c>
      <c r="C60" s="226" t="s">
        <v>192</v>
      </c>
      <c r="D60" s="226" t="s">
        <v>607</v>
      </c>
      <c r="E60" s="225">
        <v>43090.414120370369</v>
      </c>
      <c r="F60" s="225">
        <v>43090.425196759257</v>
      </c>
      <c r="G60" s="224">
        <v>60</v>
      </c>
      <c r="H60" s="226" t="s">
        <v>485</v>
      </c>
      <c r="I60" s="225">
        <v>43090.452430555553</v>
      </c>
      <c r="J60" s="224">
        <v>0</v>
      </c>
      <c r="K60" s="236" t="str">
        <f t="shared" si="28"/>
        <v>4027/4028</v>
      </c>
      <c r="L60" s="244" t="str">
        <f>VLOOKUP(A60,'Trips&amp;Operators'!$C$1:$G$99911,5,FALSE)</f>
        <v>DAVIDSON DAVID</v>
      </c>
      <c r="M60" s="223">
        <f t="shared" si="29"/>
        <v>2.7233796296059154E-2</v>
      </c>
      <c r="N60" s="224">
        <f t="shared" si="36"/>
        <v>39.216666666325182</v>
      </c>
      <c r="O60" s="224"/>
      <c r="P60" s="224"/>
      <c r="Q60" s="227"/>
      <c r="R60" s="241"/>
      <c r="S60" s="248">
        <f t="shared" si="26"/>
        <v>1</v>
      </c>
      <c r="T60" s="241" t="str">
        <f t="shared" si="30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2017-12-21T08:56:20-0700',mode:absolute,to:'2017-12-21T11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246" t="str">
        <f>IF(AA60&lt;VLOOKUP(AG60,Variables!$AC$3:$AD$8,2,FALSE),"Y","N")</f>
        <v>N</v>
      </c>
      <c r="X60" s="246">
        <f t="shared" si="31"/>
        <v>1</v>
      </c>
      <c r="Y60" s="246">
        <f t="shared" si="32"/>
        <v>23.2988</v>
      </c>
      <c r="Z60" s="246">
        <f t="shared" si="37"/>
        <v>2.2100000000000002E-2</v>
      </c>
      <c r="AA60" s="246">
        <f t="shared" si="33"/>
        <v>23.276700000000002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34"/>
        <v>146</v>
      </c>
      <c r="AE60" s="234" t="str">
        <f t="shared" si="11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60" s="233" t="str">
        <f t="shared" si="12"/>
        <v>"C:\Program Files (x86)\AstroGrep\AstroGrep.exe" /e /r /s /spath="%USERPROFILE%\AppData\Local\Temp\OnboardLogs" /stypes="app*4027*201712211*" /stext=" 17:.+?(?&gt;(PRM\|1\|D)|(KPR)|(KDP)|(train st[a-z]+ moving)|(SYSTEM_STATE:s[a-z]+ state changed)|(Enforcement Action)|(\[TIMEOUT)|(parse_ebi_status: Penalty)|(\|GPPS))"</v>
      </c>
      <c r="AG60" s="243" t="str">
        <f t="shared" si="35"/>
        <v>EC</v>
      </c>
      <c r="AH60" s="235" t="str">
        <f t="shared" si="19"/>
        <v>"%USERPROFILE%\Documents\GitHub\eaglep3\Utilities\RefineRTDCRunTimes.py" --tripid 146-21 --locoid 4027 --swversion DE.1.0.9.0 --startMP 204:232988 --initTime 2017-12-21T09:56:20 --startdatetime 2017-12-21T10:12:17 --delay 60 --endMP 204:221 --enddatetime 2017-12-21T10:51:30 --enforcementcount 0 &gt;&gt;%USERPROFILE%\Documents\GitHub\eaglep3-reporting\EC\2017-12-21-refined-times.txt</v>
      </c>
      <c r="AI60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{"issue":{"subject":"","project_id":79,"tracker_id":40,"status_id":1,"priority_id":2,"assigned_to_id":338,"start_date":"2017-12-21","description":"","custom_fields":[{"id":1,"name":"Subdivision","value":"EC"},{"id":4,"name":"Milepost","value":"0.0221"},{"id":17,"name":"Train ID","value":"146-21"},{"id":16,"name":"Locomotive ID","value":"4027"},{"id":130,"name":"Impact","value":""},{"id":150,"name":"Time of Event (Mountain Time)","value":"10:51:30"},{"id":151,"name":"Denver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4027 --day 2017-12-21</v>
      </c>
      <c r="AN60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2017-12-21T08:56:20-0700',mode:absolute,to:'2017-12-21T11:51:30-0700'))&amp;_a=(columns:!('Message%20ID',Summary),filters:!(),index:'emp_*',interval:auto,query:(query_string:(analyze_wildcard:!t,query:'%22rtdc.l.rtdc.4027%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752</v>
      </c>
      <c r="B61" s="224">
        <v>4018</v>
      </c>
      <c r="C61" s="226" t="s">
        <v>192</v>
      </c>
      <c r="D61" s="226" t="s">
        <v>943</v>
      </c>
      <c r="E61" s="225">
        <v>43090.390185185184</v>
      </c>
      <c r="F61" s="225">
        <v>43090.395995370367</v>
      </c>
      <c r="G61" s="224">
        <v>78</v>
      </c>
      <c r="H61" s="226" t="s">
        <v>493</v>
      </c>
      <c r="I61" s="225">
        <v>43090.421168981484</v>
      </c>
      <c r="J61" s="224">
        <v>0</v>
      </c>
      <c r="K61" s="236" t="str">
        <f t="shared" si="28"/>
        <v>4017/4018</v>
      </c>
      <c r="L61" s="244" t="str">
        <f>VLOOKUP(A61,'Trips&amp;Operators'!$C$1:$G$99911,5,FALSE)</f>
        <v>BONDS REYNALDO</v>
      </c>
      <c r="M61" s="223">
        <f t="shared" si="29"/>
        <v>2.5173611116770189E-2</v>
      </c>
      <c r="N61" s="224">
        <f t="shared" si="36"/>
        <v>36.250000008149073</v>
      </c>
      <c r="O61" s="224"/>
      <c r="P61" s="224"/>
      <c r="Q61" s="227"/>
      <c r="R61" s="241"/>
      <c r="S61" s="248">
        <f t="shared" si="26"/>
        <v>1</v>
      </c>
      <c r="T61" s="241" t="str">
        <f t="shared" si="30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2017-12-21T08:21:52-0700',mode:absolute,to:'2017-12-21T11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46" t="str">
        <f>IF(AA61&lt;VLOOKUP(AG61,Variables!$AC$3:$AD$8,2,FALSE),"Y","N")</f>
        <v>N</v>
      </c>
      <c r="X61" s="246">
        <f t="shared" si="31"/>
        <v>1</v>
      </c>
      <c r="Y61" s="246">
        <f t="shared" si="32"/>
        <v>4.8899999999999999E-2</v>
      </c>
      <c r="Z61" s="246">
        <f t="shared" si="37"/>
        <v>23.3293</v>
      </c>
      <c r="AA61" s="246">
        <f t="shared" si="33"/>
        <v>23.2804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34"/>
        <v>147</v>
      </c>
      <c r="AE61" s="234" t="str">
        <f t="shared" si="11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61" s="233" t="str">
        <f t="shared" si="12"/>
        <v>"C:\Program Files (x86)\AstroGrep\AstroGrep.exe" /e /r /s /spath="%USERPROFILE%\AppData\Local\Temp\OnboardLogs" /stypes="app*4018*201712211*" /stext=" 17:.+?(?&gt;(PRM\|1\|D)|(KPR)|(KDP)|(train st[a-z]+ moving)|(SYSTEM_STATE:s[a-z]+ state changed)|(Enforcement Action)|(\[TIMEOUT)|(parse_ebi_status: Penalty)|(\|GPPS))"</v>
      </c>
      <c r="AG61" s="243" t="str">
        <f t="shared" si="35"/>
        <v>EC</v>
      </c>
      <c r="AH61" s="235" t="str">
        <f t="shared" si="19"/>
        <v>"%USERPROFILE%\Documents\GitHub\eaglep3\Utilities\RefineRTDCRunTimes.py" --tripid 147-21 --locoid 4018 --swversion DE.1.0.9.0 --startMP 204:489 --initTime 2017-12-21T09:21:52 --startdatetime 2017-12-21T09:30:14 --delay 78 --endMP 204:233293 --enddatetime 2017-12-21T10:06:29 --enforcementcount 0 &gt;&gt;%USERPROFILE%\Documents\GitHub\eaglep3-reporting\EC\2017-12-21-refined-times.txt</v>
      </c>
      <c r="AI61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{"issue":{"subject":"","project_id":79,"tracker_id":40,"status_id":1,"priority_id":2,"assigned_to_id":338,"start_date":"2017-12-21","description":"","custom_fields":[{"id":1,"name":"Subdivision","value":"EC"},{"id":4,"name":"Milepost","value":"23.3293"},{"id":17,"name":"Train ID","value":"147-21"},{"id":16,"name":"Locomotive ID","value":"4018"},{"id":130,"name":"Impact","value":""},{"id":150,"name":"Time of Event (Mountain Time)","value":"10:06:29"},{"id":151,"name":"Denver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4018 --day 2017-12-21</v>
      </c>
      <c r="AN61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2017-12-21T08:21:52-0700',mode:absolute,to:'2017-12-21T11:06:29-0700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762</v>
      </c>
      <c r="B62" s="224">
        <v>4017</v>
      </c>
      <c r="C62" s="226" t="s">
        <v>192</v>
      </c>
      <c r="D62" s="226" t="s">
        <v>944</v>
      </c>
      <c r="E62" s="225">
        <v>43090.427106481482</v>
      </c>
      <c r="F62" s="225">
        <v>43090.435601851852</v>
      </c>
      <c r="G62" s="224">
        <v>84</v>
      </c>
      <c r="H62" s="226" t="s">
        <v>945</v>
      </c>
      <c r="I62" s="225">
        <v>43090.462025462963</v>
      </c>
      <c r="J62" s="224">
        <v>0</v>
      </c>
      <c r="K62" s="236" t="str">
        <f t="shared" si="28"/>
        <v>4017/4018</v>
      </c>
      <c r="L62" s="244" t="str">
        <f>VLOOKUP(A62,'Trips&amp;Operators'!$C$1:$G$99911,5,FALSE)</f>
        <v>BONDS REYNALDO</v>
      </c>
      <c r="M62" s="223">
        <f t="shared" si="29"/>
        <v>2.6423611110658385E-2</v>
      </c>
      <c r="N62" s="224">
        <f t="shared" si="36"/>
        <v>38.049999999348074</v>
      </c>
      <c r="O62" s="224"/>
      <c r="P62" s="224"/>
      <c r="Q62" s="227"/>
      <c r="R62" s="241"/>
      <c r="S62" s="248">
        <f t="shared" si="26"/>
        <v>1</v>
      </c>
      <c r="T62" s="241" t="str">
        <f t="shared" si="30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2017-12-21T09:15:02-0700',mode:absolute,to:'2017-12-21T12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46" t="str">
        <f>IF(AA62&lt;VLOOKUP(AG62,Variables!$AC$3:$AD$8,2,FALSE),"Y","N")</f>
        <v>N</v>
      </c>
      <c r="X62" s="246">
        <f t="shared" si="31"/>
        <v>1</v>
      </c>
      <c r="Y62" s="246">
        <f t="shared" si="32"/>
        <v>23.3002</v>
      </c>
      <c r="Z62" s="246">
        <f t="shared" si="37"/>
        <v>2.0299999999999999E-2</v>
      </c>
      <c r="AA62" s="246">
        <f t="shared" si="33"/>
        <v>23.279900000000001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34"/>
        <v>148</v>
      </c>
      <c r="AE62" s="234" t="str">
        <f t="shared" si="11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62" s="233" t="str">
        <f t="shared" si="12"/>
        <v>"C:\Program Files (x86)\AstroGrep\AstroGrep.exe" /e /r /s /spath="%USERPROFILE%\AppData\Local\Temp\OnboardLogs" /stypes="app*4017*201712211*" /stext=" 18:.+?(?&gt;(PRM\|1\|D)|(KPR)|(KDP)|(train st[a-z]+ moving)|(SYSTEM_STATE:s[a-z]+ state changed)|(Enforcement Action)|(\[TIMEOUT)|(parse_ebi_status: Penalty)|(\|GPPS))"</v>
      </c>
      <c r="AG62" s="243" t="str">
        <f t="shared" si="35"/>
        <v>EC</v>
      </c>
      <c r="AH62" s="235" t="str">
        <f t="shared" si="19"/>
        <v>"%USERPROFILE%\Documents\GitHub\eaglep3\Utilities\RefineRTDCRunTimes.py" --tripid 148-21 --locoid 4017 --swversion DE.1.0.9.0 --startMP 204:233002 --initTime 2017-12-21T10:15:02 --startdatetime 2017-12-21T10:27:16 --delay 84 --endMP 204:203 --enddatetime 2017-12-21T11:05:19 --enforcementcount 0 &gt;&gt;%USERPROFILE%\Documents\GitHub\eaglep3-reporting\EC\2017-12-21-refined-times.txt</v>
      </c>
      <c r="AI6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{"issue":{"subject":"","project_id":79,"tracker_id":40,"status_id":1,"priority_id":2,"assigned_to_id":338,"start_date":"2017-12-21","description":"","custom_fields":[{"id":1,"name":"Subdivision","value":"EC"},{"id":4,"name":"Milepost","value":"0.0203"},{"id":17,"name":"Train ID","value":"148-21"},{"id":16,"name":"Locomotive ID","value":"4017"},{"id":130,"name":"Impact","value":""},{"id":150,"name":"Time of Event (Mountain Time)","value":"11:05:19"},{"id":151,"name":"Denver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4017 --day 2017-12-21</v>
      </c>
      <c r="AN6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2017-12-21T09:15:02-0700',mode:absolute,to:'2017-12-21T12:05:19-0700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756</v>
      </c>
      <c r="B63" s="224">
        <v>4054</v>
      </c>
      <c r="C63" s="226" t="s">
        <v>192</v>
      </c>
      <c r="D63" s="226" t="s">
        <v>501</v>
      </c>
      <c r="E63" s="225">
        <v>43090.401319444441</v>
      </c>
      <c r="F63" s="225">
        <v>43090.406423611108</v>
      </c>
      <c r="G63" s="224">
        <v>61</v>
      </c>
      <c r="H63" s="226" t="s">
        <v>946</v>
      </c>
      <c r="I63" s="225">
        <v>43090.431585648148</v>
      </c>
      <c r="J63" s="224">
        <v>0</v>
      </c>
      <c r="K63" s="236" t="str">
        <f t="shared" si="28"/>
        <v>4053/4054</v>
      </c>
      <c r="L63" s="244" t="str">
        <f>VLOOKUP(A63,'Trips&amp;Operators'!$C$1:$G$99911,5,FALSE)</f>
        <v>GEBRETEKLE DAGNEW</v>
      </c>
      <c r="M63" s="223">
        <f t="shared" si="29"/>
        <v>2.5162037039990537E-2</v>
      </c>
      <c r="N63" s="224">
        <f t="shared" si="36"/>
        <v>36.233333337586373</v>
      </c>
      <c r="O63" s="224"/>
      <c r="P63" s="224"/>
      <c r="Q63" s="227"/>
      <c r="R63" s="241"/>
      <c r="S63" s="248">
        <f t="shared" si="26"/>
        <v>1</v>
      </c>
      <c r="T63" s="241" t="str">
        <f t="shared" si="30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2017-12-21T08:37:54-0700',mode:absolute,to:'2017-12-21T11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246" t="str">
        <f>IF(AA63&lt;VLOOKUP(AG63,Variables!$AC$3:$AD$8,2,FALSE),"Y","N")</f>
        <v>N</v>
      </c>
      <c r="X63" s="246">
        <f t="shared" si="31"/>
        <v>1</v>
      </c>
      <c r="Y63" s="246">
        <f t="shared" si="32"/>
        <v>4.4900000000000002E-2</v>
      </c>
      <c r="Z63" s="246">
        <f t="shared" si="37"/>
        <v>23.337399999999999</v>
      </c>
      <c r="AA63" s="246">
        <f t="shared" si="33"/>
        <v>23.2925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34"/>
        <v>149</v>
      </c>
      <c r="AE63" s="234" t="str">
        <f t="shared" si="11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63" s="233" t="str">
        <f t="shared" si="12"/>
        <v>"C:\Program Files (x86)\AstroGrep\AstroGrep.exe" /e /r /s /spath="%USERPROFILE%\AppData\Local\Temp\OnboardLogs" /stypes="app*4054*201712211*" /stext=" 17:.+?(?&gt;(PRM\|1\|D)|(KPR)|(KDP)|(train st[a-z]+ moving)|(SYSTEM_STATE:s[a-z]+ state changed)|(Enforcement Action)|(\[TIMEOUT)|(parse_ebi_status: Penalty)|(\|GPPS))"</v>
      </c>
      <c r="AG63" s="243" t="str">
        <f t="shared" si="35"/>
        <v>EC</v>
      </c>
      <c r="AH63" s="235" t="str">
        <f t="shared" si="19"/>
        <v>"%USERPROFILE%\Documents\GitHub\eaglep3\Utilities\RefineRTDCRunTimes.py" --tripid 149-21 --locoid 4054 --swversion DE.1.0.9.0 --startMP 204:449 --initTime 2017-12-21T09:37:54 --startdatetime 2017-12-21T09:45:15 --delay 61 --endMP 204:233374 --enddatetime 2017-12-21T10:21:29 --enforcementcount 0 &gt;&gt;%USERPROFILE%\Documents\GitHub\eaglep3-reporting\EC\2017-12-21-refined-times.txt</v>
      </c>
      <c r="AI63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{"issue":{"subject":"","project_id":79,"tracker_id":40,"status_id":1,"priority_id":2,"assigned_to_id":338,"start_date":"2017-12-21","description":"","custom_fields":[{"id":1,"name":"Subdivision","value":"EC"},{"id":4,"name":"Milepost","value":"23.3374"},{"id":17,"name":"Train ID","value":"149-21"},{"id":16,"name":"Locomotive ID","value":"4054"},{"id":130,"name":"Impact","value":""},{"id":150,"name":"Time of Event (Mountain Time)","value":"10:21:29"},{"id":151,"name":"Denver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4054 --day 2017-12-21</v>
      </c>
      <c r="AN63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2017-12-21T08:37:54-0700',mode:absolute,to:'2017-12-21T11:21:29-0700'))&amp;_a=(columns:!('Message%20ID',Summary),filters:!(),index:'emp_*',interval:auto,query:(query_string:(analyze_wildcard:!t,query:'%22rtdc.l.rtdc.4054%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763</v>
      </c>
      <c r="B64" s="224">
        <v>4053</v>
      </c>
      <c r="C64" s="226" t="s">
        <v>192</v>
      </c>
      <c r="D64" s="226" t="s">
        <v>947</v>
      </c>
      <c r="E64" s="225">
        <v>43090.433356481481</v>
      </c>
      <c r="F64" s="225">
        <v>43090.446099537039</v>
      </c>
      <c r="G64" s="224">
        <v>51</v>
      </c>
      <c r="H64" s="226" t="s">
        <v>489</v>
      </c>
      <c r="I64" s="225">
        <v>43090.471238425926</v>
      </c>
      <c r="J64" s="224">
        <v>0</v>
      </c>
      <c r="K64" s="236" t="str">
        <f t="shared" si="28"/>
        <v>4053/4054</v>
      </c>
      <c r="L64" s="244" t="str">
        <f>VLOOKUP(A64,'Trips&amp;Operators'!$C$1:$G$99911,5,FALSE)</f>
        <v>GEBRETEKLE DAGNEW</v>
      </c>
      <c r="M64" s="223">
        <f t="shared" si="29"/>
        <v>2.5138888886431232E-2</v>
      </c>
      <c r="N64" s="224">
        <f t="shared" si="36"/>
        <v>36.199999996460974</v>
      </c>
      <c r="O64" s="224"/>
      <c r="P64" s="224"/>
      <c r="Q64" s="227"/>
      <c r="R64" s="241"/>
      <c r="S64" s="248">
        <f t="shared" si="26"/>
        <v>1</v>
      </c>
      <c r="T64" s="241" t="str">
        <f t="shared" si="30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2017-12-21T09:24:02-0700',mode:absolute,to:'2017-12-21T12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246" t="str">
        <f>IF(AA64&lt;VLOOKUP(AG64,Variables!$AC$3:$AD$8,2,FALSE),"Y","N")</f>
        <v>N</v>
      </c>
      <c r="X64" s="246">
        <f t="shared" si="31"/>
        <v>1</v>
      </c>
      <c r="Y64" s="246">
        <f t="shared" si="32"/>
        <v>23.305499999999999</v>
      </c>
      <c r="Z64" s="246">
        <f t="shared" si="37"/>
        <v>1.5800000000000002E-2</v>
      </c>
      <c r="AA64" s="246">
        <f t="shared" si="33"/>
        <v>23.2897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34"/>
        <v>150</v>
      </c>
      <c r="AE64" s="234" t="str">
        <f t="shared" si="11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64" s="233" t="str">
        <f t="shared" si="12"/>
        <v>"C:\Program Files (x86)\AstroGrep\AstroGrep.exe" /e /r /s /spath="%USERPROFILE%\AppData\Local\Temp\OnboardLogs" /stypes="app*4053*201712211*" /stext=" 18:.+?(?&gt;(PRM\|1\|D)|(KPR)|(KDP)|(train st[a-z]+ moving)|(SYSTEM_STATE:s[a-z]+ state changed)|(Enforcement Action)|(\[TIMEOUT)|(parse_ebi_status: Penalty)|(\|GPPS))"</v>
      </c>
      <c r="AG64" s="243" t="str">
        <f t="shared" si="35"/>
        <v>EC</v>
      </c>
      <c r="AH64" s="235" t="str">
        <f t="shared" si="19"/>
        <v>"%USERPROFILE%\Documents\GitHub\eaglep3\Utilities\RefineRTDCRunTimes.py" --tripid 150-21 --locoid 4053 --swversion DE.1.0.9.0 --startMP 204:233055 --initTime 2017-12-21T10:24:02 --startdatetime 2017-12-21T10:42:23 --delay 51 --endMP 204:158 --enddatetime 2017-12-21T11:18:35 --enforcementcount 0 &gt;&gt;%USERPROFILE%\Documents\GitHub\eaglep3-reporting\EC\2017-12-21-refined-times.txt</v>
      </c>
      <c r="AI64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{"issue":{"subject":"","project_id":79,"tracker_id":40,"status_id":1,"priority_id":2,"assigned_to_id":338,"start_date":"2017-12-21","description":"","custom_fields":[{"id":1,"name":"Subdivision","value":"EC"},{"id":4,"name":"Milepost","value":"0.0158"},{"id":17,"name":"Train ID","value":"150-21"},{"id":16,"name":"Locomotive ID","value":"4053"},{"id":130,"name":"Impact","value":""},{"id":150,"name":"Time of Event (Mountain Time)","value":"11:18:35"},{"id":151,"name":"Denver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4053 --day 2017-12-21</v>
      </c>
      <c r="AN64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2017-12-21T09:24:02-0700',mode:absolute,to:'2017-12-21T12:18:35-0700'))&amp;_a=(columns:!('Message%20ID',Summary),filters:!(),index:'emp_*',interval:auto,query:(query_string:(analyze_wildcard:!t,query:'%22rtdc.l.rtdc.4053%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758</v>
      </c>
      <c r="B65" s="224">
        <v>4060</v>
      </c>
      <c r="C65" s="226" t="s">
        <v>192</v>
      </c>
      <c r="D65" s="226" t="s">
        <v>520</v>
      </c>
      <c r="E65" s="225">
        <v>43090.412905092591</v>
      </c>
      <c r="F65" s="225">
        <v>43090.416875000003</v>
      </c>
      <c r="G65" s="224">
        <v>73</v>
      </c>
      <c r="H65" s="226" t="s">
        <v>486</v>
      </c>
      <c r="I65" s="225">
        <v>43090.443391203706</v>
      </c>
      <c r="J65" s="224">
        <v>0</v>
      </c>
      <c r="K65" s="236" t="str">
        <f t="shared" si="28"/>
        <v>4059/4060</v>
      </c>
      <c r="L65" s="244" t="str">
        <f>VLOOKUP(A65,'Trips&amp;Operators'!$C$1:$G$99911,5,FALSE)</f>
        <v>WILLIAMS DONTE</v>
      </c>
      <c r="M65" s="223">
        <f t="shared" si="29"/>
        <v>2.6516203703067731E-2</v>
      </c>
      <c r="N65" s="224">
        <f t="shared" si="36"/>
        <v>38.183333332417533</v>
      </c>
      <c r="O65" s="224"/>
      <c r="P65" s="224"/>
      <c r="Q65" s="227"/>
      <c r="R65" s="241"/>
      <c r="S65" s="248">
        <f t="shared" si="26"/>
        <v>1</v>
      </c>
      <c r="T65" s="241" t="str">
        <f t="shared" si="30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2017-12-21T08:54:35-0700',mode:absolute,to:'2017-12-21T11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46" t="str">
        <f>IF(AA65&lt;VLOOKUP(AG65,Variables!$AC$3:$AD$8,2,FALSE),"Y","N")</f>
        <v>N</v>
      </c>
      <c r="X65" s="246">
        <f t="shared" si="31"/>
        <v>1</v>
      </c>
      <c r="Y65" s="246">
        <f t="shared" si="32"/>
        <v>4.9500000000000002E-2</v>
      </c>
      <c r="Z65" s="246">
        <f t="shared" si="37"/>
        <v>23.331399999999999</v>
      </c>
      <c r="AA65" s="246">
        <f t="shared" si="33"/>
        <v>23.2819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34"/>
        <v>151</v>
      </c>
      <c r="AE65" s="234" t="str">
        <f t="shared" si="11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65" s="233" t="str">
        <f t="shared" si="12"/>
        <v>"C:\Program Files (x86)\AstroGrep\AstroGrep.exe" /e /r /s /spath="%USERPROFILE%\AppData\Local\Temp\OnboardLogs" /stypes="app*4060*201712211*" /stext=" 17:.+?(?&gt;(PRM\|1\|D)|(KPR)|(KDP)|(train st[a-z]+ moving)|(SYSTEM_STATE:s[a-z]+ state changed)|(Enforcement Action)|(\[TIMEOUT)|(parse_ebi_status: Penalty)|(\|GPPS))"</v>
      </c>
      <c r="AG65" s="243" t="str">
        <f t="shared" si="35"/>
        <v>EC</v>
      </c>
      <c r="AH65" s="235" t="str">
        <f t="shared" si="19"/>
        <v>"%USERPROFILE%\Documents\GitHub\eaglep3\Utilities\RefineRTDCRunTimes.py" --tripid 151-21 --locoid 4060 --swversion DE.1.0.9.0 --startMP 204:495 --initTime 2017-12-21T09:54:35 --startdatetime 2017-12-21T10:00:18 --delay 73 --endMP 204:233314 --enddatetime 2017-12-21T10:38:29 --enforcementcount 0 &gt;&gt;%USERPROFILE%\Documents\GitHub\eaglep3-reporting\EC\2017-12-21-refined-times.txt</v>
      </c>
      <c r="AI6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{"issue":{"subject":"","project_id":79,"tracker_id":40,"status_id":1,"priority_id":2,"assigned_to_id":338,"start_date":"2017-12-21","description":"","custom_fields":[{"id":1,"name":"Subdivision","value":"EC"},{"id":4,"name":"Milepost","value":"23.3314"},{"id":17,"name":"Train ID","value":"151-21"},{"id":16,"name":"Locomotive ID","value":"4060"},{"id":130,"name":"Impact","value":""},{"id":150,"name":"Time of Event (Mountain Time)","value":"10:38:29"},{"id":151,"name":"Denver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4060 --day 2017-12-21</v>
      </c>
      <c r="AN6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2017-12-21T08:54:35-0700',mode:absolute,to:'2017-12-21T11:38:29-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667</v>
      </c>
      <c r="B66" s="224">
        <v>4059</v>
      </c>
      <c r="C66" s="226" t="s">
        <v>192</v>
      </c>
      <c r="D66" s="226" t="s">
        <v>612</v>
      </c>
      <c r="E66" s="225">
        <v>43090.45380787037</v>
      </c>
      <c r="F66" s="225">
        <v>43090.45653935185</v>
      </c>
      <c r="G66" s="224">
        <v>66</v>
      </c>
      <c r="H66" s="226" t="s">
        <v>948</v>
      </c>
      <c r="I66" s="225">
        <v>43090.477025462962</v>
      </c>
      <c r="J66" s="224">
        <v>0</v>
      </c>
      <c r="K66" s="236" t="str">
        <f t="shared" si="28"/>
        <v>4059/4060</v>
      </c>
      <c r="L66" s="244" t="str">
        <f>VLOOKUP(A66,'Trips&amp;Operators'!$C$1:$G$99911,5,FALSE)</f>
        <v>WILLIAMS DONTE</v>
      </c>
      <c r="M66" s="223">
        <f t="shared" si="29"/>
        <v>2.0486111112404615E-2</v>
      </c>
      <c r="N66" s="224"/>
      <c r="O66" s="224"/>
      <c r="P66" s="224">
        <f>24*60*SUM($M66:$M66)</f>
        <v>29.500000001862645</v>
      </c>
      <c r="Q66" s="227"/>
      <c r="R66" s="241" t="s">
        <v>464</v>
      </c>
      <c r="S66" s="248">
        <f t="shared" si="26"/>
        <v>0.75</v>
      </c>
      <c r="T66" s="241" t="str">
        <f t="shared" si="30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2017-12-21T09:53:29-0700',mode:absolute,to:'2017-12-21T12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46" t="str">
        <f>IF(AA66&lt;VLOOKUP(AG66,Variables!$AC$3:$AD$8,2,FALSE),"Y","N")</f>
        <v>Y</v>
      </c>
      <c r="X66" s="246">
        <f t="shared" si="31"/>
        <v>1</v>
      </c>
      <c r="Y66" s="246">
        <f t="shared" si="32"/>
        <v>23.298100000000002</v>
      </c>
      <c r="Z66" s="246">
        <f t="shared" si="37"/>
        <v>3.6602000000000001</v>
      </c>
      <c r="AA66" s="246">
        <f t="shared" si="33"/>
        <v>19.637900000000002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34"/>
        <v>152</v>
      </c>
      <c r="AE66" s="234" t="str">
        <f t="shared" si="11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66" s="233" t="str">
        <f t="shared" si="12"/>
        <v>"C:\Program Files (x86)\AstroGrep\AstroGrep.exe" /e /r /s /spath="%USERPROFILE%\AppData\Local\Temp\OnboardLogs" /stypes="app*4059*201712211*" /stext=" 18:.+?(?&gt;(PRM\|1\|D)|(KPR)|(KDP)|(train st[a-z]+ moving)|(SYSTEM_STATE:s[a-z]+ state changed)|(Enforcement Action)|(\[TIMEOUT)|(parse_ebi_status: Penalty)|(\|GPPS))"</v>
      </c>
      <c r="AG66" s="243" t="str">
        <f t="shared" si="35"/>
        <v>EC</v>
      </c>
      <c r="AH66" s="235" t="str">
        <f t="shared" si="19"/>
        <v>"%USERPROFILE%\Documents\GitHub\eaglep3\Utilities\RefineRTDCRunTimes.py" --tripid 152-21 --locoid 4059 --swversion DE.1.0.9.0 --startMP 204:232981 --initTime 2017-12-21T10:53:29 --startdatetime 2017-12-21T10:57:25 --delay 66 --endMP 204:36602 --enddatetime 2017-12-21T11:26:55 --enforcementcount 0 &gt;&gt;%USERPROFILE%\Documents\GitHub\eaglep3-reporting\EC\2017-12-21-refined-times.txt</v>
      </c>
      <c r="AI66" s="237" t="str">
        <f t="shared" si="20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drop","project_id":79,"tracker_id":40,"status_id":1,"priority_id":2,"assigned_to_id":338,"start_date":"2017-12-21","description":"","custom_fields":[{"id":1,"name":"Subdivision","value":"EC"},{"id":4,"name":"Milepost","value":"3.6602"},{"id":17,"name":"Train ID","value":"152-21"},{"id":16,"name":"Locomotive ID","value":"4059"},{"id":130,"name":"Impact","value":""},{"id":150,"name":"Time of Event (Mountain Time)","value":"11:26:55"},{"id":151,"name":"Denver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4059 --day 2017-12-21</v>
      </c>
      <c r="AN66" s="240" t="str">
        <f t="shared" si="22"/>
        <v>echo {"issue":{"subject":"Wi-MAX data drop","project_id":30,"tracker_id":4,"status_id":1,"priority_id":1,"assigned_to_id":10,"start_date":"2017-12-21","description":"","custom_fields":[{"id":30,"name":"Category","value":"Issue"},{"id":3,"name":"Functional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2017-12-21T09:53:29-0700',mode:absolute,to:'2017-12-21T12:26:55-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761</v>
      </c>
      <c r="B67" s="224">
        <v>4034</v>
      </c>
      <c r="C67" s="226" t="s">
        <v>192</v>
      </c>
      <c r="D67" s="226" t="s">
        <v>949</v>
      </c>
      <c r="E67" s="225">
        <v>43090.420659722222</v>
      </c>
      <c r="F67" s="225">
        <v>43090.427361111113</v>
      </c>
      <c r="G67" s="224">
        <v>68</v>
      </c>
      <c r="H67" s="226" t="s">
        <v>950</v>
      </c>
      <c r="I67" s="225">
        <v>43090.452604166669</v>
      </c>
      <c r="J67" s="224">
        <v>0</v>
      </c>
      <c r="K67" s="236" t="str">
        <f t="shared" si="28"/>
        <v>4033/4034</v>
      </c>
      <c r="L67" s="244" t="str">
        <f>VLOOKUP(A67,'Trips&amp;Operators'!$C$1:$G$99911,5,FALSE)</f>
        <v>LOPES KIMBERLY</v>
      </c>
      <c r="M67" s="223">
        <f t="shared" si="29"/>
        <v>2.5243055555620231E-2</v>
      </c>
      <c r="N67" s="224">
        <f t="shared" ref="N67:N83" si="38">24*60*SUM($M67:$M67)</f>
        <v>36.350000000093132</v>
      </c>
      <c r="O67" s="224"/>
      <c r="P67" s="224"/>
      <c r="Q67" s="227"/>
      <c r="R67" s="241"/>
      <c r="S67" s="248">
        <f t="shared" si="26"/>
        <v>1</v>
      </c>
      <c r="T67" s="241" t="str">
        <f t="shared" si="30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2017-12-21T09:05:45-0700',mode:absolute,to:'2017-12-21T11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7" s="246" t="str">
        <f>IF(AA67&lt;VLOOKUP(AG67,Variables!$AC$3:$AD$8,2,FALSE),"Y","N")</f>
        <v>N</v>
      </c>
      <c r="X67" s="246">
        <f t="shared" si="31"/>
        <v>1</v>
      </c>
      <c r="Y67" s="246">
        <f t="shared" si="32"/>
        <v>4.7300000000000002E-2</v>
      </c>
      <c r="Z67" s="246">
        <f t="shared" si="37"/>
        <v>23.330300000000001</v>
      </c>
      <c r="AA67" s="246">
        <f t="shared" si="33"/>
        <v>23.283000000000001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34"/>
        <v>153</v>
      </c>
      <c r="AE67" s="234" t="str">
        <f t="shared" si="11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67" s="233" t="str">
        <f t="shared" si="12"/>
        <v>"C:\Program Files (x86)\AstroGrep\AstroGrep.exe" /e /r /s /spath="%USERPROFILE%\AppData\Local\Temp\OnboardLogs" /stypes="app*4034*201712211*" /stext=" 17:.+?(?&gt;(PRM\|1\|D)|(KPR)|(KDP)|(train st[a-z]+ moving)|(SYSTEM_STATE:s[a-z]+ state changed)|(Enforcement Action)|(\[TIMEOUT)|(parse_ebi_status: Penalty)|(\|GPPS))"</v>
      </c>
      <c r="AG67" s="243" t="str">
        <f t="shared" si="35"/>
        <v>EC</v>
      </c>
      <c r="AH67" s="235" t="str">
        <f t="shared" si="19"/>
        <v>"%USERPROFILE%\Documents\GitHub\eaglep3\Utilities\RefineRTDCRunTimes.py" --tripid 153-21 --locoid 4034 --swversion DE.1.0.9.0 --startMP 204:473 --initTime 2017-12-21T10:05:45 --startdatetime 2017-12-21T10:15:24 --delay 68 --endMP 204:233303 --enddatetime 2017-12-21T10:51:45 --enforcementcount 0 &gt;&gt;%USERPROFILE%\Documents\GitHub\eaglep3-reporting\EC\2017-12-21-refined-times.txt</v>
      </c>
      <c r="AI6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{"issue":{"subject":"","project_id":79,"tracker_id":40,"status_id":1,"priority_id":2,"assigned_to_id":338,"start_date":"2017-12-21","description":"","custom_fields":[{"id":1,"name":"Subdivision","value":"EC"},{"id":4,"name":"Milepost","value":"23.3303"},{"id":17,"name":"Train ID","value":"153-21"},{"id":16,"name":"Locomotive ID","value":"4034"},{"id":130,"name":"Impact","value":""},{"id":150,"name":"Time of Event (Mountain Time)","value":"10:51:45"},{"id":151,"name":"Denver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4034 --day 2017-12-21</v>
      </c>
      <c r="AN6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2017-12-21T09:05:45-0700',mode:absolute,to:'2017-12-21T11:51:45-0700'))&amp;_a=(columns:!('Message%20ID',Summary),filters:!(),index:'emp_*',interval:auto,query:(query_string:(analyze_wildcard:!t,query:'%22rtdc.l.rtdc.4034%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771</v>
      </c>
      <c r="B68" s="224">
        <v>4033</v>
      </c>
      <c r="C68" s="226" t="s">
        <v>192</v>
      </c>
      <c r="D68" s="226" t="s">
        <v>607</v>
      </c>
      <c r="E68" s="225">
        <v>43090.455787037034</v>
      </c>
      <c r="F68" s="225">
        <v>43090.467037037037</v>
      </c>
      <c r="G68" s="224">
        <v>91</v>
      </c>
      <c r="H68" s="226" t="s">
        <v>487</v>
      </c>
      <c r="I68" s="225">
        <v>43090.492511574077</v>
      </c>
      <c r="J68" s="224">
        <v>0</v>
      </c>
      <c r="K68" s="236" t="str">
        <f t="shared" si="28"/>
        <v>4033/4034</v>
      </c>
      <c r="L68" s="244" t="str">
        <f>VLOOKUP(A68,'Trips&amp;Operators'!$C$1:$G$99911,5,FALSE)</f>
        <v>LOPES KIMBERLY</v>
      </c>
      <c r="M68" s="223">
        <f t="shared" si="29"/>
        <v>2.5474537040281575E-2</v>
      </c>
      <c r="N68" s="224">
        <f t="shared" si="38"/>
        <v>36.683333338005468</v>
      </c>
      <c r="O68" s="224"/>
      <c r="P68" s="224"/>
      <c r="Q68" s="227"/>
      <c r="R68" s="241"/>
      <c r="S68" s="248">
        <f t="shared" si="26"/>
        <v>1</v>
      </c>
      <c r="T68" s="241" t="str">
        <f t="shared" si="30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2017-12-21T09:56:20-0700',mode:absolute,to:'2017-12-21T12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8" s="246" t="str">
        <f>IF(AA68&lt;VLOOKUP(AG68,Variables!$AC$3:$AD$8,2,FALSE),"Y","N")</f>
        <v>N</v>
      </c>
      <c r="X68" s="246">
        <f t="shared" si="31"/>
        <v>1</v>
      </c>
      <c r="Y68" s="246">
        <f t="shared" si="32"/>
        <v>23.2988</v>
      </c>
      <c r="Z68" s="246">
        <f t="shared" si="37"/>
        <v>1.83E-2</v>
      </c>
      <c r="AA68" s="246">
        <f t="shared" si="33"/>
        <v>23.2805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34"/>
        <v>154</v>
      </c>
      <c r="AE68" s="234" t="str">
        <f t="shared" si="11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68" s="233" t="str">
        <f t="shared" si="12"/>
        <v>"C:\Program Files (x86)\AstroGrep\AstroGrep.exe" /e /r /s /spath="%USERPROFILE%\AppData\Local\Temp\OnboardLogs" /stypes="app*4033*201712211*" /stext=" 18:.+?(?&gt;(PRM\|1\|D)|(KPR)|(KDP)|(train st[a-z]+ moving)|(SYSTEM_STATE:s[a-z]+ state changed)|(Enforcement Action)|(\[TIMEOUT)|(parse_ebi_status: Penalty)|(\|GPPS))"</v>
      </c>
      <c r="AG68" s="243" t="str">
        <f t="shared" si="35"/>
        <v>EC</v>
      </c>
      <c r="AH68" s="235" t="str">
        <f t="shared" si="19"/>
        <v>"%USERPROFILE%\Documents\GitHub\eaglep3\Utilities\RefineRTDCRunTimes.py" --tripid 154-21 --locoid 4033 --swversion DE.1.0.9.0 --startMP 204:232988 --initTime 2017-12-21T10:56:20 --startdatetime 2017-12-21T11:12:32 --delay 91 --endMP 204:183 --enddatetime 2017-12-21T11:49:13 --enforcementcount 0 &gt;&gt;%USERPROFILE%\Documents\GitHub\eaglep3-reporting\EC\2017-12-21-refined-times.txt</v>
      </c>
      <c r="AI68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{"issue":{"subject":"","project_id":79,"tracker_id":40,"status_id":1,"priority_id":2,"assigned_to_id":338,"start_date":"2017-12-21","description":"","custom_fields":[{"id":1,"name":"Subdivision","value":"EC"},{"id":4,"name":"Milepost","value":"0.0183"},{"id":17,"name":"Train ID","value":"154-21"},{"id":16,"name":"Locomotive ID","value":"4033"},{"id":130,"name":"Impact","value":""},{"id":150,"name":"Time of Event (Mountain Time)","value":"11:49:13"},{"id":151,"name":"Denver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4033 --day 2017-12-21</v>
      </c>
      <c r="AN68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2017-12-21T09:56:20-0700',mode:absolute,to:'2017-12-21T12:49:13-0700'))&amp;_a=(columns:!('Message%20ID',Summary),filters:!(),index:'emp_*',interval:auto,query:(query_string:(analyze_wildcard:!t,query:'%22rtdc.l.rtdc.4033%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764</v>
      </c>
      <c r="B69" s="224">
        <v>4014</v>
      </c>
      <c r="C69" s="226" t="s">
        <v>192</v>
      </c>
      <c r="D69" s="226" t="s">
        <v>603</v>
      </c>
      <c r="E69" s="225">
        <v>43090.434224537035</v>
      </c>
      <c r="F69" s="225">
        <v>43090.437685185185</v>
      </c>
      <c r="G69" s="224">
        <v>59</v>
      </c>
      <c r="H69" s="226" t="s">
        <v>951</v>
      </c>
      <c r="I69" s="225">
        <v>43090.462384259263</v>
      </c>
      <c r="J69" s="224">
        <v>0</v>
      </c>
      <c r="K69" s="236" t="str">
        <f t="shared" si="28"/>
        <v>4013/4014</v>
      </c>
      <c r="L69" s="244" t="str">
        <f>VLOOKUP(A69,'Trips&amp;Operators'!$C$1:$G$99911,5,FALSE)</f>
        <v>YANAI IAN</v>
      </c>
      <c r="M69" s="223">
        <f t="shared" si="29"/>
        <v>2.4699074077943806E-2</v>
      </c>
      <c r="N69" s="224">
        <f t="shared" si="38"/>
        <v>35.56666667223908</v>
      </c>
      <c r="O69" s="224"/>
      <c r="P69" s="224"/>
      <c r="Q69" s="227"/>
      <c r="R69" s="241"/>
      <c r="S69" s="248">
        <f t="shared" si="26"/>
        <v>1</v>
      </c>
      <c r="T69" s="241" t="str">
        <f t="shared" si="30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2017-12-21T09:25:17-0700',mode:absolute,to:'2017-12-21T12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46" t="str">
        <f>IF(AA69&lt;VLOOKUP(AG69,Variables!$AC$3:$AD$8,2,FALSE),"Y","N")</f>
        <v>N</v>
      </c>
      <c r="X69" s="246">
        <f t="shared" si="31"/>
        <v>1</v>
      </c>
      <c r="Y69" s="246">
        <f t="shared" si="32"/>
        <v>5.2600000000000001E-2</v>
      </c>
      <c r="Z69" s="246">
        <f t="shared" si="37"/>
        <v>23.331900000000001</v>
      </c>
      <c r="AA69" s="246">
        <f t="shared" si="33"/>
        <v>23.279299999999999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34"/>
        <v>155</v>
      </c>
      <c r="AE69" s="234" t="str">
        <f t="shared" si="11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69" s="233" t="str">
        <f t="shared" si="12"/>
        <v>"C:\Program Files (x86)\AstroGrep\AstroGrep.exe" /e /r /s /spath="%USERPROFILE%\AppData\Local\Temp\OnboardLogs" /stypes="app*4014*201712211*" /stext=" 18:.+?(?&gt;(PRM\|1\|D)|(KPR)|(KDP)|(train st[a-z]+ moving)|(SYSTEM_STATE:s[a-z]+ state changed)|(Enforcement Action)|(\[TIMEOUT)|(parse_ebi_status: Penalty)|(\|GPPS))"</v>
      </c>
      <c r="AG69" s="243" t="str">
        <f t="shared" si="35"/>
        <v>EC</v>
      </c>
      <c r="AH69" s="235" t="str">
        <f t="shared" si="19"/>
        <v>"%USERPROFILE%\Documents\GitHub\eaglep3\Utilities\RefineRTDCRunTimes.py" --tripid 155-21 --locoid 4014 --swversion DE.1.0.9.0 --startMP 204:526 --initTime 2017-12-21T10:25:17 --startdatetime 2017-12-21T10:30:16 --delay 59 --endMP 204:233319 --enddatetime 2017-12-21T11:05:50 --enforcementcount 0 &gt;&gt;%USERPROFILE%\Documents\GitHub\eaglep3-reporting\EC\2017-12-21-refined-times.txt</v>
      </c>
      <c r="AI69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{"issue":{"subject":"","project_id":79,"tracker_id":40,"status_id":1,"priority_id":2,"assigned_to_id":338,"start_date":"2017-12-21","description":"","custom_fields":[{"id":1,"name":"Subdivision","value":"EC"},{"id":4,"name":"Milepost","value":"23.3319"},{"id":17,"name":"Train ID","value":"155-21"},{"id":16,"name":"Locomotive ID","value":"4014"},{"id":130,"name":"Impact","value":""},{"id":150,"name":"Time of Event (Mountain Time)","value":"11:05:50"},{"id":151,"name":"Denver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4014 --day 2017-12-21</v>
      </c>
      <c r="AN69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2017-12-21T09:25:17-0700',mode:absolute,to:'2017-12-21T12:05:50-0700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773</v>
      </c>
      <c r="B70" s="224">
        <v>4013</v>
      </c>
      <c r="C70" s="226" t="s">
        <v>192</v>
      </c>
      <c r="D70" s="226" t="s">
        <v>944</v>
      </c>
      <c r="E70" s="225">
        <v>43090.463483796295</v>
      </c>
      <c r="F70" s="225">
        <v>43090.47724537037</v>
      </c>
      <c r="G70" s="224">
        <v>50</v>
      </c>
      <c r="H70" s="226" t="s">
        <v>903</v>
      </c>
      <c r="I70" s="225">
        <v>43090.507268518515</v>
      </c>
      <c r="J70" s="224">
        <v>0</v>
      </c>
      <c r="K70" s="236" t="str">
        <f t="shared" si="28"/>
        <v>4013/4014</v>
      </c>
      <c r="L70" s="244" t="str">
        <f>VLOOKUP(A70,'Trips&amp;Operators'!$C$1:$G$99911,5,FALSE)</f>
        <v>YANAI IAN</v>
      </c>
      <c r="M70" s="223">
        <f t="shared" si="29"/>
        <v>3.0023148145119194E-2</v>
      </c>
      <c r="N70" s="224">
        <f t="shared" si="38"/>
        <v>43.233333328971639</v>
      </c>
      <c r="O70" s="224"/>
      <c r="P70" s="224"/>
      <c r="Q70" s="227"/>
      <c r="R70" s="241"/>
      <c r="S70" s="248">
        <f t="shared" si="26"/>
        <v>1</v>
      </c>
      <c r="T70" s="241" t="str">
        <f t="shared" si="30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2017-12-21T10:07:25-0700',mode:absolute,to:'2017-12-21T13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46" t="str">
        <f>IF(AA70&lt;VLOOKUP(AG70,Variables!$AC$3:$AD$8,2,FALSE),"Y","N")</f>
        <v>N</v>
      </c>
      <c r="X70" s="246">
        <f t="shared" si="31"/>
        <v>1</v>
      </c>
      <c r="Y70" s="246">
        <f t="shared" si="32"/>
        <v>23.3002</v>
      </c>
      <c r="Z70" s="246">
        <f t="shared" si="37"/>
        <v>1.7000000000000001E-2</v>
      </c>
      <c r="AA70" s="246">
        <f t="shared" si="33"/>
        <v>23.283200000000001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34"/>
        <v>156</v>
      </c>
      <c r="AE70" s="234" t="str">
        <f t="shared" si="11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70" s="233" t="str">
        <f t="shared" si="12"/>
        <v>"C:\Program Files (x86)\AstroGrep\AstroGrep.exe" /e /r /s /spath="%USERPROFILE%\AppData\Local\Temp\OnboardLogs" /stypes="app*4013*201712211*" /stext=" 19:.+?(?&gt;(PRM\|1\|D)|(KPR)|(KDP)|(train st[a-z]+ moving)|(SYSTEM_STATE:s[a-z]+ state changed)|(Enforcement Action)|(\[TIMEOUT)|(parse_ebi_status: Penalty)|(\|GPPS))"</v>
      </c>
      <c r="AG70" s="243" t="str">
        <f t="shared" si="35"/>
        <v>EC</v>
      </c>
      <c r="AH70" s="235" t="str">
        <f t="shared" si="19"/>
        <v>"%USERPROFILE%\Documents\GitHub\eaglep3\Utilities\RefineRTDCRunTimes.py" --tripid 156-21 --locoid 4013 --swversion DE.1.0.9.0 --startMP 204:233002 --initTime 2017-12-21T11:07:25 --startdatetime 2017-12-21T11:27:14 --delay 50 --endMP 204:170 --enddatetime 2017-12-21T12:10:28 --enforcementcount 0 &gt;&gt;%USERPROFILE%\Documents\GitHub\eaglep3-reporting\EC\2017-12-21-refined-times.txt</v>
      </c>
      <c r="AI70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{"issue":{"subject":"","project_id":79,"tracker_id":40,"status_id":1,"priority_id":2,"assigned_to_id":338,"start_date":"2017-12-21","description":"","custom_fields":[{"id":1,"name":"Subdivision","value":"EC"},{"id":4,"name":"Milepost","value":"0.017"},{"id":17,"name":"Train ID","value":"156-21"},{"id":16,"name":"Locomotive ID","value":"4013"},{"id":130,"name":"Impact","value":""},{"id":150,"name":"Time of Event (Mountain Time)","value":"12:10:28"},{"id":151,"name":"Denver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4013 --day 2017-12-21</v>
      </c>
      <c r="AN70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2017-12-21T10:07:25-0700',mode:absolute,to:'2017-12-21T13:10:28-0700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766</v>
      </c>
      <c r="B71" s="224">
        <v>4064</v>
      </c>
      <c r="C71" s="226" t="s">
        <v>192</v>
      </c>
      <c r="D71" s="226" t="s">
        <v>627</v>
      </c>
      <c r="E71" s="225">
        <v>43090.443761574075</v>
      </c>
      <c r="F71" s="225">
        <v>43090.448078703703</v>
      </c>
      <c r="G71" s="224">
        <v>98</v>
      </c>
      <c r="H71" s="226" t="s">
        <v>952</v>
      </c>
      <c r="I71" s="225">
        <v>43090.474236111113</v>
      </c>
      <c r="J71" s="224">
        <v>0</v>
      </c>
      <c r="K71" s="236" t="str">
        <f t="shared" si="28"/>
        <v>4063/4064</v>
      </c>
      <c r="L71" s="244" t="str">
        <f>VLOOKUP(A71,'Trips&amp;Operators'!$C$1:$G$99911,5,FALSE)</f>
        <v>BADERTSCHER DIANE</v>
      </c>
      <c r="M71" s="223">
        <f t="shared" si="29"/>
        <v>2.6157407410209998E-2</v>
      </c>
      <c r="N71" s="224">
        <f t="shared" si="38"/>
        <v>37.666666670702398</v>
      </c>
      <c r="O71" s="224"/>
      <c r="P71" s="224"/>
      <c r="Q71" s="227"/>
      <c r="R71" s="241"/>
      <c r="S71" s="248">
        <f t="shared" si="26"/>
        <v>1</v>
      </c>
      <c r="T71" s="241" t="str">
        <f t="shared" si="30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2017-12-21T09:39:01-0700',mode:absolute,to:'2017-12-21T12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46" t="str">
        <f>IF(AA71&lt;VLOOKUP(AG71,Variables!$AC$3:$AD$8,2,FALSE),"Y","N")</f>
        <v>N</v>
      </c>
      <c r="X71" s="246">
        <f t="shared" si="31"/>
        <v>1</v>
      </c>
      <c r="Y71" s="246">
        <f t="shared" si="32"/>
        <v>4.8000000000000001E-2</v>
      </c>
      <c r="Z71" s="246">
        <f t="shared" si="37"/>
        <v>23.334099999999999</v>
      </c>
      <c r="AA71" s="246">
        <f t="shared" si="33"/>
        <v>23.286100000000001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34"/>
        <v>157</v>
      </c>
      <c r="AE71" s="234" t="str">
        <f t="shared" si="11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71" s="233" t="str">
        <f t="shared" si="12"/>
        <v>"C:\Program Files (x86)\AstroGrep\AstroGrep.exe" /e /r /s /spath="%USERPROFILE%\AppData\Local\Temp\OnboardLogs" /stypes="app*4064*201712211*" /stext=" 18:.+?(?&gt;(PRM\|1\|D)|(KPR)|(KDP)|(train st[a-z]+ moving)|(SYSTEM_STATE:s[a-z]+ state changed)|(Enforcement Action)|(\[TIMEOUT)|(parse_ebi_status: Penalty)|(\|GPPS))"</v>
      </c>
      <c r="AG71" s="243" t="str">
        <f t="shared" si="35"/>
        <v>EC</v>
      </c>
      <c r="AH71" s="235" t="str">
        <f t="shared" si="19"/>
        <v>"%USERPROFILE%\Documents\GitHub\eaglep3\Utilities\RefineRTDCRunTimes.py" --tripid 157-21 --locoid 4064 --swversion DE.1.0.9.0 --startMP 204:480 --initTime 2017-12-21T10:39:01 --startdatetime 2017-12-21T10:45:14 --delay 98 --endMP 204:233341 --enddatetime 2017-12-21T11:22:54 --enforcementcount 0 &gt;&gt;%USERPROFILE%\Documents\GitHub\eaglep3-reporting\EC\2017-12-21-refined-times.txt</v>
      </c>
      <c r="AI71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{"issue":{"subject":"","project_id":79,"tracker_id":40,"status_id":1,"priority_id":2,"assigned_to_id":338,"start_date":"2017-12-21","description":"","custom_fields":[{"id":1,"name":"Subdivision","value":"EC"},{"id":4,"name":"Milepost","value":"23.3341"},{"id":17,"name":"Train ID","value":"157-21"},{"id":16,"name":"Locomotive ID","value":"4064"},{"id":130,"name":"Impact","value":""},{"id":150,"name":"Time of Event (Mountain Time)","value":"11:22:54"},{"id":151,"name":"Denver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4064 --day 2017-12-21</v>
      </c>
      <c r="AN71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2017-12-21T09:39:01-0700',mode:absolute,to:'2017-12-21T12:22:54-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777</v>
      </c>
      <c r="B72" s="224">
        <v>4063</v>
      </c>
      <c r="C72" s="226" t="s">
        <v>192</v>
      </c>
      <c r="D72" s="226" t="s">
        <v>516</v>
      </c>
      <c r="E72" s="225">
        <v>43090.484733796293</v>
      </c>
      <c r="F72" s="225">
        <v>43090.487673611111</v>
      </c>
      <c r="G72" s="224">
        <v>87</v>
      </c>
      <c r="H72" s="226" t="s">
        <v>635</v>
      </c>
      <c r="I72" s="225">
        <v>43090.514467592591</v>
      </c>
      <c r="J72" s="224">
        <v>0</v>
      </c>
      <c r="K72" s="236" t="str">
        <f t="shared" si="28"/>
        <v>4063/4064</v>
      </c>
      <c r="L72" s="244" t="str">
        <f>VLOOKUP(A72,'Trips&amp;Operators'!$C$1:$G$99911,5,FALSE)</f>
        <v>BADERTSCHER DIANE</v>
      </c>
      <c r="M72" s="223">
        <f t="shared" si="29"/>
        <v>2.679398148029577E-2</v>
      </c>
      <c r="N72" s="224">
        <f t="shared" si="38"/>
        <v>38.583333331625909</v>
      </c>
      <c r="O72" s="224"/>
      <c r="P72" s="224"/>
      <c r="Q72" s="227"/>
      <c r="R72" s="241"/>
      <c r="S72" s="248">
        <f t="shared" si="26"/>
        <v>1</v>
      </c>
      <c r="T72" s="241" t="str">
        <f t="shared" si="30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2017-12-21T10:38:01-0700',mode:absolute,to:'2017-12-21T13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46" t="str">
        <f>IF(AA72&lt;VLOOKUP(AG72,Variables!$AC$3:$AD$8,2,FALSE),"Y","N")</f>
        <v>N</v>
      </c>
      <c r="X72" s="246">
        <f t="shared" si="31"/>
        <v>1</v>
      </c>
      <c r="Y72" s="246">
        <f t="shared" si="32"/>
        <v>23.299800000000001</v>
      </c>
      <c r="Z72" s="246">
        <f t="shared" si="37"/>
        <v>2.2700000000000001E-2</v>
      </c>
      <c r="AA72" s="246">
        <f t="shared" si="33"/>
        <v>23.277100000000001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34"/>
        <v>158</v>
      </c>
      <c r="AE72" s="234" t="str">
        <f t="shared" si="11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72" s="233" t="str">
        <f t="shared" si="12"/>
        <v>"C:\Program Files (x86)\AstroGrep\AstroGrep.exe" /e /r /s /spath="%USERPROFILE%\AppData\Local\Temp\OnboardLogs" /stypes="app*4063*201712211*" /stext=" 19:.+?(?&gt;(PRM\|1\|D)|(KPR)|(KDP)|(train st[a-z]+ moving)|(SYSTEM_STATE:s[a-z]+ state changed)|(Enforcement Action)|(\[TIMEOUT)|(parse_ebi_status: Penalty)|(\|GPPS))"</v>
      </c>
      <c r="AG72" s="243" t="str">
        <f t="shared" si="35"/>
        <v>EC</v>
      </c>
      <c r="AH72" s="235" t="str">
        <f t="shared" si="19"/>
        <v>"%USERPROFILE%\Documents\GitHub\eaglep3\Utilities\RefineRTDCRunTimes.py" --tripid 158-21 --locoid 4063 --swversion DE.1.0.9.0 --startMP 204:232998 --initTime 2017-12-21T11:38:01 --startdatetime 2017-12-21T11:42:15 --delay 87 --endMP 204:227 --enddatetime 2017-12-21T12:20:50 --enforcementcount 0 &gt;&gt;%USERPROFILE%\Documents\GitHub\eaglep3-reporting\EC\2017-12-21-refined-times.txt</v>
      </c>
      <c r="AI72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{"issue":{"subject":"","project_id":79,"tracker_id":40,"status_id":1,"priority_id":2,"assigned_to_id":338,"start_date":"2017-12-21","description":"","custom_fields":[{"id":1,"name":"Subdivision","value":"EC"},{"id":4,"name":"Milepost","value":"0.0227"},{"id":17,"name":"Train ID","value":"158-21"},{"id":16,"name":"Locomotive ID","value":"4063"},{"id":130,"name":"Impact","value":""},{"id":150,"name":"Time of Event (Mountain Time)","value":"12:20:50"},{"id":151,"name":"Denver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4063 --day 2017-12-21</v>
      </c>
      <c r="AN72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2017-12-21T10:38:01-0700',mode:absolute,to:'2017-12-21T13:20:50-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770</v>
      </c>
      <c r="B73" s="224">
        <v>4028</v>
      </c>
      <c r="C73" s="226" t="s">
        <v>192</v>
      </c>
      <c r="D73" s="226" t="s">
        <v>909</v>
      </c>
      <c r="E73" s="225">
        <v>43090.454247685186</v>
      </c>
      <c r="F73" s="225">
        <v>43090.458541666667</v>
      </c>
      <c r="G73" s="224">
        <v>51</v>
      </c>
      <c r="H73" s="226" t="s">
        <v>618</v>
      </c>
      <c r="I73" s="225">
        <v>43090.484131944446</v>
      </c>
      <c r="J73" s="224">
        <v>0</v>
      </c>
      <c r="K73" s="236" t="str">
        <f t="shared" si="28"/>
        <v>4027/4028</v>
      </c>
      <c r="L73" s="244" t="str">
        <f>VLOOKUP(A73,'Trips&amp;Operators'!$C$1:$G$99911,5,FALSE)</f>
        <v>DAVIDSON DAVID</v>
      </c>
      <c r="M73" s="223">
        <f t="shared" si="29"/>
        <v>2.5590277778974269E-2</v>
      </c>
      <c r="N73" s="224">
        <f t="shared" si="38"/>
        <v>36.850000001722947</v>
      </c>
      <c r="O73" s="224"/>
      <c r="P73" s="224"/>
      <c r="Q73" s="227"/>
      <c r="R73" s="241"/>
      <c r="S73" s="248">
        <f t="shared" si="26"/>
        <v>1</v>
      </c>
      <c r="T73" s="241" t="str">
        <f t="shared" si="30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2017-12-21T09:54:07-0700',mode:absolute,to:'2017-12-21T12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246" t="str">
        <f>IF(AA73&lt;VLOOKUP(AG73,Variables!$AC$3:$AD$8,2,FALSE),"Y","N")</f>
        <v>N</v>
      </c>
      <c r="X73" s="246">
        <f t="shared" si="31"/>
        <v>1</v>
      </c>
      <c r="Y73" s="246">
        <f t="shared" si="32"/>
        <v>5.3699999999999998E-2</v>
      </c>
      <c r="Z73" s="246">
        <f t="shared" si="37"/>
        <v>23.328499999999998</v>
      </c>
      <c r="AA73" s="246">
        <f t="shared" si="33"/>
        <v>23.274799999999999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34"/>
        <v>159</v>
      </c>
      <c r="AE73" s="234" t="str">
        <f t="shared" si="11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73" s="233" t="str">
        <f t="shared" si="12"/>
        <v>"C:\Program Files (x86)\AstroGrep\AstroGrep.exe" /e /r /s /spath="%USERPROFILE%\AppData\Local\Temp\OnboardLogs" /stypes="app*4028*201712211*" /stext=" 18:.+?(?&gt;(PRM\|1\|D)|(KPR)|(KDP)|(train st[a-z]+ moving)|(SYSTEM_STATE:s[a-z]+ state changed)|(Enforcement Action)|(\[TIMEOUT)|(parse_ebi_status: Penalty)|(\|GPPS))"</v>
      </c>
      <c r="AG73" s="243" t="str">
        <f t="shared" si="35"/>
        <v>EC</v>
      </c>
      <c r="AH73" s="235" t="str">
        <f t="shared" si="19"/>
        <v>"%USERPROFILE%\Documents\GitHub\eaglep3\Utilities\RefineRTDCRunTimes.py" --tripid 159-21 --locoid 4028 --swversion DE.1.0.9.0 --startMP 204:537 --initTime 2017-12-21T10:54:07 --startdatetime 2017-12-21T11:00:18 --delay 51 --endMP 204:233285 --enddatetime 2017-12-21T11:37:09 --enforcementcount 0 &gt;&gt;%USERPROFILE%\Documents\GitHub\eaglep3-reporting\EC\2017-12-21-refined-times.txt</v>
      </c>
      <c r="AI73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{"issue":{"subject":"","project_id":79,"tracker_id":40,"status_id":1,"priority_id":2,"assigned_to_id":338,"start_date":"2017-12-21","description":"","custom_fields":[{"id":1,"name":"Subdivision","value":"EC"},{"id":4,"name":"Milepost","value":"23.3285"},{"id":17,"name":"Train ID","value":"159-21"},{"id":16,"name":"Locomotive ID","value":"4028"},{"id":130,"name":"Impact","value":""},{"id":150,"name":"Time of Event (Mountain Time)","value":"11:37:09"},{"id":151,"name":"Denver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4028 --day 2017-12-21</v>
      </c>
      <c r="AN73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2017-12-21T09:54:07-0700',mode:absolute,to:'2017-12-21T12:37:09-0700'))&amp;_a=(columns:!('Message%20ID',Summary),filters:!(),index:'emp_*',interval:auto,query:(query_string:(analyze_wildcard:!t,query:'%22rtdc.l.rtdc.4028%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778</v>
      </c>
      <c r="B74" s="224">
        <v>4027</v>
      </c>
      <c r="C74" s="226" t="s">
        <v>192</v>
      </c>
      <c r="D74" s="226" t="s">
        <v>619</v>
      </c>
      <c r="E74" s="225">
        <v>43090.48609953704</v>
      </c>
      <c r="F74" s="225">
        <v>43090.498124999998</v>
      </c>
      <c r="G74" s="224">
        <v>62</v>
      </c>
      <c r="H74" s="226" t="s">
        <v>917</v>
      </c>
      <c r="I74" s="225">
        <v>43090.525567129633</v>
      </c>
      <c r="J74" s="224">
        <v>0</v>
      </c>
      <c r="K74" s="236" t="str">
        <f t="shared" si="28"/>
        <v>4027/4028</v>
      </c>
      <c r="L74" s="244" t="str">
        <f>VLOOKUP(A74,'Trips&amp;Operators'!$C$1:$G$99911,5,FALSE)</f>
        <v>DAVIDSON DAVID</v>
      </c>
      <c r="M74" s="223">
        <f t="shared" si="29"/>
        <v>2.7442129634437151E-2</v>
      </c>
      <c r="N74" s="224">
        <f t="shared" si="38"/>
        <v>39.516666673589498</v>
      </c>
      <c r="O74" s="224"/>
      <c r="P74" s="224"/>
      <c r="Q74" s="227"/>
      <c r="R74" s="241"/>
      <c r="S74" s="248">
        <f t="shared" si="26"/>
        <v>1</v>
      </c>
      <c r="T74" s="241" t="str">
        <f t="shared" si="30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2017-12-21T10:39:59-0700',mode:absolute,to:'2017-12-21T13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246" t="str">
        <f>IF(AA74&lt;VLOOKUP(AG74,Variables!$AC$3:$AD$8,2,FALSE),"Y","N")</f>
        <v>N</v>
      </c>
      <c r="X74" s="246">
        <f t="shared" si="31"/>
        <v>1</v>
      </c>
      <c r="Y74" s="246">
        <f t="shared" si="32"/>
        <v>23.296600000000002</v>
      </c>
      <c r="Z74" s="246">
        <f t="shared" si="37"/>
        <v>1.7999999999999999E-2</v>
      </c>
      <c r="AA74" s="246">
        <f t="shared" si="33"/>
        <v>23.278600000000001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34"/>
        <v>160</v>
      </c>
      <c r="AE74" s="234" t="str">
        <f t="shared" si="11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74" s="233" t="str">
        <f t="shared" si="12"/>
        <v>"C:\Program Files (x86)\AstroGrep\AstroGrep.exe" /e /r /s /spath="%USERPROFILE%\AppData\Local\Temp\OnboardLogs" /stypes="app*4027*201712211*" /stext=" 19:.+?(?&gt;(PRM\|1\|D)|(KPR)|(KDP)|(train st[a-z]+ moving)|(SYSTEM_STATE:s[a-z]+ state changed)|(Enforcement Action)|(\[TIMEOUT)|(parse_ebi_status: Penalty)|(\|GPPS))"</v>
      </c>
      <c r="AG74" s="243" t="str">
        <f t="shared" si="35"/>
        <v>EC</v>
      </c>
      <c r="AH74" s="235" t="str">
        <f t="shared" si="19"/>
        <v>"%USERPROFILE%\Documents\GitHub\eaglep3\Utilities\RefineRTDCRunTimes.py" --tripid 160-21 --locoid 4027 --swversion DE.1.0.9.0 --startMP 204:232966 --initTime 2017-12-21T11:39:59 --startdatetime 2017-12-21T11:57:18 --delay 62 --endMP 204:180 --enddatetime 2017-12-21T12:36:49 --enforcementcount 0 &gt;&gt;%USERPROFILE%\Documents\GitHub\eaglep3-reporting\EC\2017-12-21-refined-times.txt</v>
      </c>
      <c r="AI74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{"issue":{"subject":"","project_id":79,"tracker_id":40,"status_id":1,"priority_id":2,"assigned_to_id":338,"start_date":"2017-12-21","description":"","custom_fields":[{"id":1,"name":"Subdivision","value":"EC"},{"id":4,"name":"Milepost","value":"0.018"},{"id":17,"name":"Train ID","value":"160-21"},{"id":16,"name":"Locomotive ID","value":"4027"},{"id":130,"name":"Impact","value":""},{"id":150,"name":"Time of Event (Mountain Time)","value":"12:36:49"},{"id":151,"name":"Denver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4027 --day 2017-12-21</v>
      </c>
      <c r="AN74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2017-12-21T10:39:59-0700',mode:absolute,to:'2017-12-21T13:36:49-0700'))&amp;_a=(columns:!('Message%20ID',Summary),filters:!(),index:'emp_*',interval:auto,query:(query_string:(analyze_wildcard:!t,query:'%22rtdc.l.rtdc.4027%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774</v>
      </c>
      <c r="B75" s="224">
        <v>4018</v>
      </c>
      <c r="C75" s="226" t="s">
        <v>192</v>
      </c>
      <c r="D75" s="226" t="s">
        <v>500</v>
      </c>
      <c r="E75" s="225">
        <v>43090.465092592596</v>
      </c>
      <c r="F75" s="225">
        <v>43090.468900462962</v>
      </c>
      <c r="G75" s="224">
        <v>72</v>
      </c>
      <c r="H75" s="226" t="s">
        <v>623</v>
      </c>
      <c r="I75" s="225">
        <v>43090.494259259256</v>
      </c>
      <c r="J75" s="224">
        <v>0</v>
      </c>
      <c r="K75" s="236" t="str">
        <f t="shared" si="28"/>
        <v>4017/4018</v>
      </c>
      <c r="L75" s="244" t="str">
        <f>VLOOKUP(A75,'Trips&amp;Operators'!$C$1:$G$99911,5,FALSE)</f>
        <v>NEWELL JAMES</v>
      </c>
      <c r="M75" s="223">
        <f t="shared" si="29"/>
        <v>2.5358796294312924E-2</v>
      </c>
      <c r="N75" s="224">
        <f t="shared" si="38"/>
        <v>36.516666663810611</v>
      </c>
      <c r="O75" s="224"/>
      <c r="P75" s="224"/>
      <c r="Q75" s="227"/>
      <c r="R75" s="241"/>
      <c r="S75" s="248">
        <f t="shared" si="26"/>
        <v>1</v>
      </c>
      <c r="T75" s="241" t="str">
        <f t="shared" si="30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2017-12-21T10:09:44-0700',mode:absolute,to:'2017-12-21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46" t="str">
        <f>IF(AA75&lt;VLOOKUP(AG75,Variables!$AC$3:$AD$8,2,FALSE),"Y","N")</f>
        <v>N</v>
      </c>
      <c r="X75" s="246">
        <f t="shared" si="31"/>
        <v>1</v>
      </c>
      <c r="Y75" s="246">
        <f t="shared" si="32"/>
        <v>4.9700000000000001E-2</v>
      </c>
      <c r="Z75" s="246">
        <f t="shared" si="37"/>
        <v>23.325099999999999</v>
      </c>
      <c r="AA75" s="246">
        <f t="shared" si="33"/>
        <v>23.275399999999998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34"/>
        <v>161</v>
      </c>
      <c r="AE75" s="234" t="str">
        <f t="shared" si="11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75" s="233" t="str">
        <f t="shared" si="12"/>
        <v>"C:\Program Files (x86)\AstroGrep\AstroGrep.exe" /e /r /s /spath="%USERPROFILE%\AppData\Local\Temp\OnboardLogs" /stypes="app*4018*201712211*" /stext=" 18:.+?(?&gt;(PRM\|1\|D)|(KPR)|(KDP)|(train st[a-z]+ moving)|(SYSTEM_STATE:s[a-z]+ state changed)|(Enforcement Action)|(\[TIMEOUT)|(parse_ebi_status: Penalty)|(\|GPPS))"</v>
      </c>
      <c r="AG75" s="243" t="str">
        <f t="shared" si="35"/>
        <v>EC</v>
      </c>
      <c r="AH75" s="235" t="str">
        <f t="shared" si="19"/>
        <v>"%USERPROFILE%\Documents\GitHub\eaglep3\Utilities\RefineRTDCRunTimes.py" --tripid 161-21 --locoid 4018 --swversion DE.1.0.9.0 --startMP 204:497 --initTime 2017-12-21T11:09:44 --startdatetime 2017-12-21T11:15:13 --delay 72 --endMP 204:233251 --enddatetime 2017-12-21T11:51:44 --enforcementcount 0 &gt;&gt;%USERPROFILE%\Documents\GitHub\eaglep3-reporting\EC\2017-12-21-refined-times.txt</v>
      </c>
      <c r="AI75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{"issue":{"subject":"","project_id":79,"tracker_id":40,"status_id":1,"priority_id":2,"assigned_to_id":338,"start_date":"2017-12-21","description":"","custom_fields":[{"id":1,"name":"Subdivision","value":"EC"},{"id":4,"name":"Milepost","value":"23.3251"},{"id":17,"name":"Train ID","value":"161-21"},{"id":16,"name":"Locomotive ID","value":"4018"},{"id":130,"name":"Impact","value":""},{"id":150,"name":"Time of Event (Mountain Time)","value":"11:51:44"},{"id":151,"name":"Denver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4018 --day 2017-12-21</v>
      </c>
      <c r="AN75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2017-12-21T10:09:44-0700',mode:absolute,to:'2017-12-21T12:51:44-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781</v>
      </c>
      <c r="B76" s="224">
        <v>4017</v>
      </c>
      <c r="C76" s="226" t="s">
        <v>192</v>
      </c>
      <c r="D76" s="226" t="s">
        <v>560</v>
      </c>
      <c r="E76" s="225">
        <v>43090.496030092596</v>
      </c>
      <c r="F76" s="225">
        <v>43090.50849537037</v>
      </c>
      <c r="G76" s="224">
        <v>72</v>
      </c>
      <c r="H76" s="226" t="s">
        <v>557</v>
      </c>
      <c r="I76" s="225">
        <v>43090.535763888889</v>
      </c>
      <c r="J76" s="224">
        <v>0</v>
      </c>
      <c r="K76" s="236" t="str">
        <f t="shared" si="28"/>
        <v>4017/4018</v>
      </c>
      <c r="L76" s="244" t="str">
        <f>VLOOKUP(A76,'Trips&amp;Operators'!$C$1:$G$99911,5,FALSE)</f>
        <v>NEWELL JAMES</v>
      </c>
      <c r="M76" s="223">
        <f t="shared" si="29"/>
        <v>2.7268518519122154E-2</v>
      </c>
      <c r="N76" s="224">
        <f t="shared" si="38"/>
        <v>39.266666667535901</v>
      </c>
      <c r="O76" s="224"/>
      <c r="P76" s="224"/>
      <c r="Q76" s="227"/>
      <c r="R76" s="241"/>
      <c r="S76" s="248">
        <f t="shared" si="26"/>
        <v>1</v>
      </c>
      <c r="T76" s="241" t="str">
        <f t="shared" si="30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2017-12-21T10:54:17-0700',mode:absolute,to:'2017-12-21T13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46" t="str">
        <f>IF(AA76&lt;VLOOKUP(AG76,Variables!$AC$3:$AD$8,2,FALSE),"Y","N")</f>
        <v>N</v>
      </c>
      <c r="X76" s="246">
        <f t="shared" si="31"/>
        <v>1</v>
      </c>
      <c r="Y76" s="246">
        <f t="shared" si="32"/>
        <v>23.292999999999999</v>
      </c>
      <c r="Z76" s="246">
        <f t="shared" si="37"/>
        <v>2.0899999999999998E-2</v>
      </c>
      <c r="AA76" s="246">
        <f t="shared" si="33"/>
        <v>23.272099999999998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34"/>
        <v>162</v>
      </c>
      <c r="AE76" s="234" t="str">
        <f t="shared" si="11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76" s="233" t="str">
        <f t="shared" si="12"/>
        <v>"C:\Program Files (x86)\AstroGrep\AstroGrep.exe" /e /r /s /spath="%USERPROFILE%\AppData\Local\Temp\OnboardLogs" /stypes="app*4017*201712211*" /stext=" 19:.+?(?&gt;(PRM\|1\|D)|(KPR)|(KDP)|(train st[a-z]+ moving)|(SYSTEM_STATE:s[a-z]+ state changed)|(Enforcement Action)|(\[TIMEOUT)|(parse_ebi_status: Penalty)|(\|GPPS))"</v>
      </c>
      <c r="AG76" s="243" t="str">
        <f t="shared" si="35"/>
        <v>EC</v>
      </c>
      <c r="AH76" s="235" t="str">
        <f t="shared" si="19"/>
        <v>"%USERPROFILE%\Documents\GitHub\eaglep3\Utilities\RefineRTDCRunTimes.py" --tripid 162-21 --locoid 4017 --swversion DE.1.0.9.0 --startMP 204:232930 --initTime 2017-12-21T11:54:17 --startdatetime 2017-12-21T12:12:14 --delay 72 --endMP 204:209 --enddatetime 2017-12-21T12:51:30 --enforcementcount 0 &gt;&gt;%USERPROFILE%\Documents\GitHub\eaglep3-reporting\EC\2017-12-21-refined-times.txt</v>
      </c>
      <c r="AI76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{"issue":{"subject":"","project_id":79,"tracker_id":40,"status_id":1,"priority_id":2,"assigned_to_id":338,"start_date":"2017-12-21","description":"","custom_fields":[{"id":1,"name":"Subdivision","value":"EC"},{"id":4,"name":"Milepost","value":"0.0209"},{"id":17,"name":"Train ID","value":"162-21"},{"id":16,"name":"Locomotive ID","value":"4017"},{"id":130,"name":"Impact","value":""},{"id":150,"name":"Time of Event (Mountain Time)","value":"12:51:30"},{"id":151,"name":"Denver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4017 --day 2017-12-21</v>
      </c>
      <c r="AN76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2017-12-21T10:54:17-0700',mode:absolute,to:'2017-12-21T13:51:30-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776</v>
      </c>
      <c r="B77" s="224">
        <v>4054</v>
      </c>
      <c r="C77" s="226" t="s">
        <v>192</v>
      </c>
      <c r="D77" s="226" t="s">
        <v>484</v>
      </c>
      <c r="E77" s="225">
        <v>43090.473935185182</v>
      </c>
      <c r="F77" s="225">
        <v>43090.479363425926</v>
      </c>
      <c r="G77" s="224">
        <v>87</v>
      </c>
      <c r="H77" s="226" t="s">
        <v>556</v>
      </c>
      <c r="I77" s="225">
        <v>43090.504189814812</v>
      </c>
      <c r="J77" s="224">
        <v>0</v>
      </c>
      <c r="K77" s="236" t="str">
        <f t="shared" ref="K77:K108" si="39">IF(ISEVEN(B77),(B77-1)&amp;"/"&amp;B77,B77&amp;"/"&amp;(B77+1))</f>
        <v>4053/4054</v>
      </c>
      <c r="L77" s="244" t="str">
        <f>VLOOKUP(A77,'Trips&amp;Operators'!$C$1:$G$99911,5,FALSE)</f>
        <v>STEWART MICHAEL</v>
      </c>
      <c r="M77" s="223">
        <f t="shared" ref="M77:M108" si="40">I77-F77</f>
        <v>2.4826388886140194E-2</v>
      </c>
      <c r="N77" s="224">
        <f t="shared" si="38"/>
        <v>35.749999996041879</v>
      </c>
      <c r="O77" s="224"/>
      <c r="P77" s="224"/>
      <c r="Q77" s="227"/>
      <c r="R77" s="241"/>
      <c r="S77" s="248">
        <f t="shared" si="26"/>
        <v>1</v>
      </c>
      <c r="T77" s="241" t="str">
        <f t="shared" ref="T77:T108" si="41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-21T10:22:28-0700',mode:absolute,to:'2017-12-21T13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246" t="str">
        <f>IF(AA77&lt;VLOOKUP(AG77,Variables!$AC$3:$AD$8,2,FALSE),"Y","N")</f>
        <v>N</v>
      </c>
      <c r="X77" s="246">
        <f t="shared" ref="X77:X108" si="43">VALUE(LEFT(AD77,4))-VALUE(LEFT(AD76,4))</f>
        <v>1</v>
      </c>
      <c r="Y77" s="246">
        <f t="shared" ref="Y77:Y108" si="44">RIGHT(D77,LEN(D77)-4)/10000</f>
        <v>4.6199999999999998E-2</v>
      </c>
      <c r="Z77" s="246">
        <f t="shared" si="37"/>
        <v>23.325900000000001</v>
      </c>
      <c r="AA77" s="246">
        <f t="shared" ref="AA77:AA108" si="45">ABS(Z77-Y77)</f>
        <v>23.279700000000002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08" si="46">VALUE(LEFT(A77,LEN(A77)-3))</f>
        <v>163</v>
      </c>
      <c r="AE77" s="234" t="str">
        <f t="shared" ref="AE77:AE140" si="4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77" s="233" t="str">
        <f t="shared" ref="AF77:AF140" si="48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/stypes="app*4054*201712211*" /stext=" 19:.+?(?&gt;(PRM\|1\|D)|(KPR)|(KDP)|(train st[a-z]+ moving)|(SYSTEM_STATE:s[a-z]+ state changed)|(Enforcement Action)|(\[TIMEOUT)|(parse_ebi_status: Penalty)|(\|GPPS))"</v>
      </c>
      <c r="AG77" s="243" t="str">
        <f t="shared" ref="AG77:AG108" si="49">DetSubdiv(A77)</f>
        <v>EC</v>
      </c>
      <c r="AH77" s="235" t="str">
        <f t="shared" si="19"/>
        <v>"%USERPROFILE%\Documents\GitHub\eaglep3\Utilities\RefineRTDCRunTimes.py" --tripid 163-21 --locoid 4054 --swversion DE.1.0.9.0 --startMP 204:462 --initTime 2017-12-21T11:22:28 --startdatetime 2017-12-21T11:30:17 --delay 87 --endMP 204:233259 --enddatetime 2017-12-21T12:06:02 --enforcementcount 0 &gt;&gt;%USERPROFILE%\Documents\GitHub\eaglep3-reporting\EC\2017-12-21-refined-times.txt</v>
      </c>
      <c r="AI77" s="237" t="str">
        <f t="shared" si="20"/>
        <v>echo {"issue":{"subject":"","project_id":79,"tracker_id":40,"status_id":1,"priority_id":2,"assigned_to_id":338,"start_date":"2017-12-21","description":"","custom_fields":[{"id":1,"name":"Subdivision","value":"EC"},{"id":4,"name":"Milepost","value":"23.3259"},{"id":17,"name":"Train ID","value":"163-21"},{"id":16,"name":"Locomotive ID","value":"4054"},{"id":130,"name":"Impact","value":""},{"id":150,"name":"Time of Event (Mountain Time)","value":"12:06:02"},{"id":151,"name":"Denver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4054 --day 2017-12-21</v>
      </c>
      <c r="AN77" s="240" t="str">
        <f t="shared" si="22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2017-12-21T10:22:28-0700',mode:absolute,to:'2017-12-21T13:06:02-0700'))&amp;_a=(columns:!('Message%20ID',Summary),filters:!(),index:'emp_*',interval:auto,query:(query_string:(analyze_wildcard:!t,query:'%22rtdc.l.rtdc.4054%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786</v>
      </c>
      <c r="B78" s="224">
        <v>4053</v>
      </c>
      <c r="C78" s="226" t="s">
        <v>192</v>
      </c>
      <c r="D78" s="226" t="s">
        <v>629</v>
      </c>
      <c r="E78" s="225">
        <v>43090.515324074076</v>
      </c>
      <c r="F78" s="225">
        <v>43090.51902777778</v>
      </c>
      <c r="G78" s="224">
        <v>69</v>
      </c>
      <c r="H78" s="226" t="s">
        <v>616</v>
      </c>
      <c r="I78" s="225">
        <v>43090.545231481483</v>
      </c>
      <c r="J78" s="224">
        <v>0</v>
      </c>
      <c r="K78" s="236" t="str">
        <f t="shared" si="39"/>
        <v>4053/4054</v>
      </c>
      <c r="L78" s="244" t="str">
        <f>VLOOKUP(A78,'Trips&amp;Operators'!$C$1:$G$99911,5,FALSE)</f>
        <v>STEWART MICHAEL</v>
      </c>
      <c r="M78" s="223">
        <f t="shared" si="40"/>
        <v>2.6203703702776693E-2</v>
      </c>
      <c r="N78" s="224">
        <f t="shared" si="38"/>
        <v>37.733333331998438</v>
      </c>
      <c r="O78" s="224"/>
      <c r="P78" s="224"/>
      <c r="Q78" s="227"/>
      <c r="R78" s="241"/>
      <c r="S78" s="248">
        <f t="shared" si="26"/>
        <v>1</v>
      </c>
      <c r="T78" s="241" t="str">
        <f t="shared" si="41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42"/>
        <v>https://d0f6bd738d7f1b3e5a7ca70fe4ff75f0.us-east-1.aws.found.io/app/kibana#/discover/Steve-Slow-Train-Analysis-(2080s-and-2083s)?_g=(refreshInterval:(display:Off,pause:!f,section:0,value:0),time:(from:'2017-12-21T11:22:04-0700',mode:absolute,to:'2017-12-21T14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246" t="str">
        <f>IF(AA78&lt;VLOOKUP(AG78,Variables!$AC$3:$AD$8,2,FALSE),"Y","N")</f>
        <v>N</v>
      </c>
      <c r="X78" s="246">
        <f t="shared" si="43"/>
        <v>1</v>
      </c>
      <c r="Y78" s="246">
        <f t="shared" si="44"/>
        <v>23.2926</v>
      </c>
      <c r="Z78" s="246">
        <f t="shared" si="37"/>
        <v>2.0500000000000001E-2</v>
      </c>
      <c r="AA78" s="246">
        <f t="shared" si="45"/>
        <v>23.272100000000002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46"/>
        <v>164</v>
      </c>
      <c r="AE78" s="234" t="str">
        <f t="shared" si="4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78" s="233" t="str">
        <f t="shared" si="48"/>
        <v>"C:\Program Files (x86)\AstroGrep\AstroGrep.exe" /e /r /s /spath="%USERPROFILE%\AppData\Local\Temp\OnboardLogs" /stypes="app*4053*201712212*" /stext=" 20:.+?(?&gt;(PRM\|1\|D)|(KPR)|(KDP)|(train st[a-z]+ moving)|(SYSTEM_STATE:s[a-z]+ state changed)|(Enforcement Action)|(\[TIMEOUT)|(parse_ebi_status: Penalty)|(\|GPPS))"</v>
      </c>
      <c r="AG78" s="243" t="str">
        <f t="shared" si="49"/>
        <v>EC</v>
      </c>
      <c r="AH78" s="235" t="str">
        <f t="shared" ref="AH78:AH146" si="5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164-21 --locoid 4053 --swversion DE.1.0.9.0 --startMP 204:232926 --initTime 2017-12-21T12:22:04 --startdatetime 2017-12-21T12:27:24 --delay 69 --endMP 204:205 --enddatetime 2017-12-21T13:05:08 --enforcementcount 0 &gt;&gt;%USERPROFILE%\Documents\GitHub\eaglep3-reporting\EC\2017-12-21-refined-times.txt</v>
      </c>
      <c r="AI78" s="237" t="str">
        <f t="shared" ref="AI78:AI146" si="5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{"issue":{"subject":"","project_id":79,"tracker_id":40,"status_id":1,"priority_id":2,"assigned_to_id":338,"start_date":"2017-12-21","description":"","custom_fields":[{"id":1,"name":"Subdivision","value":"EC"},{"id":4,"name":"Milepost","value":"0.0205"},{"id":17,"name":"Train ID","value":"164-21"},{"id":16,"name":"Locomotive ID","value":"4053"},{"id":130,"name":"Impact","value":""},{"id":150,"name":"Time of Event (Mountain Time)","value":"13:05:08"},{"id":151,"name":"Denver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6" si="52">"start /low /b "&amp;dls3logs&amp;" --loco "&amp;B78&amp;" --day "&amp;TEXT(F78,"YYYY-MM-DD")</f>
        <v>start /low /b %USERPROFILE%\Documents\GitHub\eaglep3\Utilities\DownloadLogsFromS3.py --loco 4053 --day 2017-12-21</v>
      </c>
      <c r="AN78" s="240" t="str">
        <f t="shared" ref="AN78:AN146" si="5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6" si="5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-21T11:22:04-0700',mode:absolute,to:'2017-12-21T14:05:08-0700'))&amp;_a=(columns:!('Message%20ID',Summary),filters:!(),index:'emp_*',interval:auto,query:(query_string:(analyze_wildcard:!t,query:'%22rtdc.l.rtdc.4053%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779</v>
      </c>
      <c r="B79" s="224">
        <v>4060</v>
      </c>
      <c r="C79" s="226" t="s">
        <v>192</v>
      </c>
      <c r="D79" s="226" t="s">
        <v>605</v>
      </c>
      <c r="E79" s="225">
        <v>43090.490833333337</v>
      </c>
      <c r="F79" s="225">
        <v>43090.492546296293</v>
      </c>
      <c r="G79" s="224">
        <v>70</v>
      </c>
      <c r="H79" s="226" t="s">
        <v>515</v>
      </c>
      <c r="I79" s="225">
        <v>43090.51703703704</v>
      </c>
      <c r="J79" s="224">
        <v>0</v>
      </c>
      <c r="K79" s="236" t="str">
        <f t="shared" si="39"/>
        <v>4059/4060</v>
      </c>
      <c r="L79" s="244" t="str">
        <f>VLOOKUP(A79,'Trips&amp;Operators'!$C$1:$G$99911,5,FALSE)</f>
        <v>LEVIN SCOTT</v>
      </c>
      <c r="M79" s="223">
        <f t="shared" si="40"/>
        <v>2.4490740746841766E-2</v>
      </c>
      <c r="N79" s="224">
        <f t="shared" si="38"/>
        <v>35.266666675452143</v>
      </c>
      <c r="O79" s="224"/>
      <c r="P79" s="224"/>
      <c r="Q79" s="227"/>
      <c r="R79" s="241"/>
      <c r="S79" s="248">
        <f t="shared" si="26"/>
        <v>1</v>
      </c>
      <c r="T79" s="241" t="str">
        <f t="shared" si="41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42"/>
        <v>https://d0f6bd738d7f1b3e5a7ca70fe4ff75f0.us-east-1.aws.found.io/app/kibana#/discover/Steve-Slow-Train-Analysis-(2080s-and-2083s)?_g=(refreshInterval:(display:Off,pause:!f,section:0,value:0),time:(from:'2017-12-21T10:46:48-0700',mode:absolute,to:'2017-12-21T13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46" t="str">
        <f>IF(AA79&lt;VLOOKUP(AG79,Variables!$AC$3:$AD$8,2,FALSE),"Y","N")</f>
        <v>N</v>
      </c>
      <c r="X79" s="246">
        <f t="shared" si="43"/>
        <v>1</v>
      </c>
      <c r="Y79" s="246">
        <f t="shared" si="44"/>
        <v>5.4399999999999997E-2</v>
      </c>
      <c r="Z79" s="246">
        <f t="shared" si="37"/>
        <v>23.331199999999999</v>
      </c>
      <c r="AA79" s="246">
        <f t="shared" si="45"/>
        <v>23.276799999999998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46"/>
        <v>165</v>
      </c>
      <c r="AE79" s="234" t="str">
        <f t="shared" si="47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79" s="233" t="str">
        <f t="shared" si="48"/>
        <v>"C:\Program Files (x86)\AstroGrep\AstroGrep.exe" /e /r /s /spath="%USERPROFILE%\AppData\Local\Temp\OnboardLogs" /stypes="app*4060*201712211*" /stext=" 19:.+?(?&gt;(PRM\|1\|D)|(KPR)|(KDP)|(train st[a-z]+ moving)|(SYSTEM_STATE:s[a-z]+ state changed)|(Enforcement Action)|(\[TIMEOUT)|(parse_ebi_status: Penalty)|(\|GPPS))"</v>
      </c>
      <c r="AG79" s="243" t="str">
        <f t="shared" si="49"/>
        <v>EC</v>
      </c>
      <c r="AH79" s="235" t="str">
        <f t="shared" si="50"/>
        <v>"%USERPROFILE%\Documents\GitHub\eaglep3\Utilities\RefineRTDCRunTimes.py" --tripid 165-21 --locoid 4060 --swversion DE.1.0.9.0 --startMP 204:544 --initTime 2017-12-21T11:46:48 --startdatetime 2017-12-21T11:49:16 --delay 70 --endMP 204:233312 --enddatetime 2017-12-21T12:24:32 --enforcementcount 0 &gt;&gt;%USERPROFILE%\Documents\GitHub\eaglep3-reporting\EC\2017-12-21-refined-times.txt</v>
      </c>
      <c r="AI79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{"issue":{"subject":"","project_id":79,"tracker_id":40,"status_id":1,"priority_id":2,"assigned_to_id":338,"start_date":"2017-12-21","description":"","custom_fields":[{"id":1,"name":"Subdivision","value":"EC"},{"id":4,"name":"Milepost","value":"23.3312"},{"id":17,"name":"Train ID","value":"165-21"},{"id":16,"name":"Locomotive ID","value":"4060"},{"id":130,"name":"Impact","value":""},{"id":150,"name":"Time of Event (Mountain Time)","value":"12:24:32"},{"id":151,"name":"Denver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52"/>
        <v>start /low /b %USERPROFILE%\Documents\GitHub\eaglep3\Utilities\DownloadLogsFromS3.py --loco 4060 --day 2017-12-21</v>
      </c>
      <c r="AN79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54"/>
        <v>https://d0f6bd738d7f1b3e5a7ca70fe4ff75f0.us-east-1.aws.found.io/app/kibana#/discover/Steve-Slow-Train-Analysis-(2080s-and-2083s)?_g=(refreshInterval:(display:Off,pause:!f,section:0,value:0),time:(from:'2017-12-21T10:46:48-0700',mode:absolute,to:'2017-12-21T13:24:32-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789</v>
      </c>
      <c r="B80" s="224">
        <v>4059</v>
      </c>
      <c r="C80" s="226" t="s">
        <v>192</v>
      </c>
      <c r="D80" s="226" t="s">
        <v>940</v>
      </c>
      <c r="E80" s="225">
        <v>43090.521874999999</v>
      </c>
      <c r="F80" s="225">
        <v>43090.529340277775</v>
      </c>
      <c r="G80" s="224">
        <v>57</v>
      </c>
      <c r="H80" s="226" t="s">
        <v>597</v>
      </c>
      <c r="I80" s="225">
        <v>43090.555115740739</v>
      </c>
      <c r="J80" s="224">
        <v>0</v>
      </c>
      <c r="K80" s="236" t="str">
        <f t="shared" si="39"/>
        <v>4059/4060</v>
      </c>
      <c r="L80" s="244" t="str">
        <f>VLOOKUP(A80,'Trips&amp;Operators'!$C$1:$G$99911,5,FALSE)</f>
        <v>LEVIN SCOTT</v>
      </c>
      <c r="M80" s="223">
        <f t="shared" si="40"/>
        <v>2.5775462963792961E-2</v>
      </c>
      <c r="N80" s="224">
        <f t="shared" si="38"/>
        <v>37.116666667861864</v>
      </c>
      <c r="O80" s="224"/>
      <c r="P80" s="224"/>
      <c r="Q80" s="227"/>
      <c r="R80" s="241"/>
      <c r="S80" s="248">
        <f t="shared" si="26"/>
        <v>1</v>
      </c>
      <c r="T80" s="241" t="str">
        <f t="shared" si="41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42"/>
        <v>https://d0f6bd738d7f1b3e5a7ca70fe4ff75f0.us-east-1.aws.found.io/app/kibana#/discover/Steve-Slow-Train-Analysis-(2080s-and-2083s)?_g=(refreshInterval:(display:Off,pause:!f,section:0,value:0),time:(from:'2017-12-21T11:31:30-0700',mode:absolute,to:'2017-12-21T14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46" t="str">
        <f>IF(AA80&lt;VLOOKUP(AG80,Variables!$AC$3:$AD$8,2,FALSE),"Y","N")</f>
        <v>N</v>
      </c>
      <c r="X80" s="246">
        <f t="shared" si="43"/>
        <v>1</v>
      </c>
      <c r="Y80" s="246">
        <f t="shared" si="44"/>
        <v>23.3005</v>
      </c>
      <c r="Z80" s="246">
        <f t="shared" si="37"/>
        <v>1.5599999999999999E-2</v>
      </c>
      <c r="AA80" s="246">
        <f t="shared" si="45"/>
        <v>23.2849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46"/>
        <v>166</v>
      </c>
      <c r="AE80" s="234" t="str">
        <f t="shared" si="47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80" s="233" t="str">
        <f t="shared" si="48"/>
        <v>"C:\Program Files (x86)\AstroGrep\AstroGrep.exe" /e /r /s /spath="%USERPROFILE%\AppData\Local\Temp\OnboardLogs" /stypes="app*4059*201712212*" /stext=" 20:.+?(?&gt;(PRM\|1\|D)|(KPR)|(KDP)|(train st[a-z]+ moving)|(SYSTEM_STATE:s[a-z]+ state changed)|(Enforcement Action)|(\[TIMEOUT)|(parse_ebi_status: Penalty)|(\|GPPS))"</v>
      </c>
      <c r="AG80" s="243" t="str">
        <f t="shared" si="49"/>
        <v>EC</v>
      </c>
      <c r="AH80" s="235" t="str">
        <f t="shared" si="50"/>
        <v>"%USERPROFILE%\Documents\GitHub\eaglep3\Utilities\RefineRTDCRunTimes.py" --tripid 166-21 --locoid 4059 --swversion DE.1.0.9.0 --startMP 204:233005 --initTime 2017-12-21T12:31:30 --startdatetime 2017-12-21T12:42:15 --delay 57 --endMP 204:156 --enddatetime 2017-12-21T13:19:22 --enforcementcount 0 &gt;&gt;%USERPROFILE%\Documents\GitHub\eaglep3-reporting\EC\2017-12-21-refined-times.txt</v>
      </c>
      <c r="AI8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{"issue":{"subject":"","project_id":79,"tracker_id":40,"status_id":1,"priority_id":2,"assigned_to_id":338,"start_date":"2017-12-21","description":"","custom_fields":[{"id":1,"name":"Subdivision","value":"EC"},{"id":4,"name":"Milepost","value":"0.0156"},{"id":17,"name":"Train ID","value":"166-21"},{"id":16,"name":"Locomotive ID","value":"4059"},{"id":130,"name":"Impact","value":""},{"id":150,"name":"Time of Event (Mountain Time)","value":"13:19:22"},{"id":151,"name":"Denver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52"/>
        <v>start /low /b %USERPROFILE%\Documents\GitHub\eaglep3\Utilities\DownloadLogsFromS3.py --loco 4059 --day 2017-12-21</v>
      </c>
      <c r="AN80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54"/>
        <v>https://d0f6bd738d7f1b3e5a7ca70fe4ff75f0.us-east-1.aws.found.io/app/kibana#/discover/Steve-Slow-Train-Analysis-(2080s-and-2083s)?_g=(refreshInterval:(display:Off,pause:!f,section:0,value:0),time:(from:'2017-12-21T11:31:30-0700',mode:absolute,to:'2017-12-21T14:19:22-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780</v>
      </c>
      <c r="B81" s="224">
        <v>4034</v>
      </c>
      <c r="C81" s="226" t="s">
        <v>192</v>
      </c>
      <c r="D81" s="226" t="s">
        <v>912</v>
      </c>
      <c r="E81" s="225">
        <v>43090.494456018518</v>
      </c>
      <c r="F81" s="225">
        <v>43090.500162037039</v>
      </c>
      <c r="G81" s="224">
        <v>63</v>
      </c>
      <c r="H81" s="226" t="s">
        <v>953</v>
      </c>
      <c r="I81" s="225">
        <v>43090.524606481478</v>
      </c>
      <c r="J81" s="224">
        <v>0</v>
      </c>
      <c r="K81" s="236" t="str">
        <f t="shared" si="39"/>
        <v>4033/4034</v>
      </c>
      <c r="L81" s="244" t="str">
        <f>VLOOKUP(A81,'Trips&amp;Operators'!$C$1:$G$99911,5,FALSE)</f>
        <v>ROBINSON KADDIBA</v>
      </c>
      <c r="M81" s="223">
        <f t="shared" si="40"/>
        <v>2.4444444439723156E-2</v>
      </c>
      <c r="N81" s="224">
        <f t="shared" si="38"/>
        <v>35.199999993201345</v>
      </c>
      <c r="O81" s="224"/>
      <c r="P81" s="224"/>
      <c r="Q81" s="227"/>
      <c r="R81" s="241"/>
      <c r="S81" s="248">
        <f t="shared" si="26"/>
        <v>1</v>
      </c>
      <c r="T81" s="241" t="str">
        <f t="shared" si="41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42"/>
        <v>https://d0f6bd738d7f1b3e5a7ca70fe4ff75f0.us-east-1.aws.found.io/app/kibana#/discover/Steve-Slow-Train-Analysis-(2080s-and-2083s)?_g=(refreshInterval:(display:Off,pause:!f,section:0,value:0),time:(from:'2017-12-21T10:52:01-0700',mode:absolute,to:'2017-12-21T13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1" s="246" t="str">
        <f>IF(AA81&lt;VLOOKUP(AG81,Variables!$AC$3:$AD$8,2,FALSE),"Y","N")</f>
        <v>N</v>
      </c>
      <c r="X81" s="246">
        <f t="shared" si="43"/>
        <v>1</v>
      </c>
      <c r="Y81" s="246">
        <f t="shared" si="44"/>
        <v>4.7500000000000001E-2</v>
      </c>
      <c r="Z81" s="246">
        <f t="shared" si="37"/>
        <v>23.3278</v>
      </c>
      <c r="AA81" s="246">
        <f t="shared" si="45"/>
        <v>23.2803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46"/>
        <v>167</v>
      </c>
      <c r="AE81" s="234" t="str">
        <f t="shared" si="4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81" s="233" t="str">
        <f t="shared" si="48"/>
        <v>"C:\Program Files (x86)\AstroGrep\AstroGrep.exe" /e /r /s /spath="%USERPROFILE%\AppData\Local\Temp\OnboardLogs" /stypes="app*4034*201712211*" /stext=" 19:.+?(?&gt;(PRM\|1\|D)|(KPR)|(KDP)|(train st[a-z]+ moving)|(SYSTEM_STATE:s[a-z]+ state changed)|(Enforcement Action)|(\[TIMEOUT)|(parse_ebi_status: Penalty)|(\|GPPS))"</v>
      </c>
      <c r="AG81" s="243" t="str">
        <f t="shared" si="49"/>
        <v>EC</v>
      </c>
      <c r="AH81" s="235" t="str">
        <f t="shared" si="50"/>
        <v>"%USERPROFILE%\Documents\GitHub\eaglep3\Utilities\RefineRTDCRunTimes.py" --tripid 167-21 --locoid 4034 --swversion DE.1.0.9.0 --startMP 204:475 --initTime 2017-12-21T11:52:01 --startdatetime 2017-12-21T12:00:14 --delay 63 --endMP 204:233278 --enddatetime 2017-12-21T12:35:26 --enforcementcount 0 &gt;&gt;%USERPROFILE%\Documents\GitHub\eaglep3-reporting\EC\2017-12-21-refined-times.txt</v>
      </c>
      <c r="AI81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{"issue":{"subject":"","project_id":79,"tracker_id":40,"status_id":1,"priority_id":2,"assigned_to_id":338,"start_date":"2017-12-21","description":"","custom_fields":[{"id":1,"name":"Subdivision","value":"EC"},{"id":4,"name":"Milepost","value":"23.3278"},{"id":17,"name":"Train ID","value":"167-21"},{"id":16,"name":"Locomotive ID","value":"4034"},{"id":130,"name":"Impact","value":""},{"id":150,"name":"Time of Event (Mountain Time)","value":"12:35:26"},{"id":151,"name":"Denver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52"/>
        <v>start /low /b %USERPROFILE%\Documents\GitHub\eaglep3\Utilities\DownloadLogsFromS3.py --loco 4034 --day 2017-12-21</v>
      </c>
      <c r="AN81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54"/>
        <v>https://d0f6bd738d7f1b3e5a7ca70fe4ff75f0.us-east-1.aws.found.io/app/kibana#/discover/Steve-Slow-Train-Analysis-(2080s-and-2083s)?_g=(refreshInterval:(display:Off,pause:!f,section:0,value:0),time:(from:'2017-12-21T10:52:01-0700',mode:absolute,to:'2017-12-21T13:35:26-0700'))&amp;_a=(columns:!('Message%20ID',Summary),filters:!(),index:'emp_*',interval:auto,query:(query_string:(analyze_wildcard:!t,query:'%22rtdc.l.rtdc.4034%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790</v>
      </c>
      <c r="B82" s="224">
        <v>4033</v>
      </c>
      <c r="C82" s="226" t="s">
        <v>192</v>
      </c>
      <c r="D82" s="226" t="s">
        <v>492</v>
      </c>
      <c r="E82" s="225">
        <v>43090.536608796298</v>
      </c>
      <c r="F82" s="225">
        <v>43090.539733796293</v>
      </c>
      <c r="G82" s="224">
        <v>71</v>
      </c>
      <c r="H82" s="226" t="s">
        <v>954</v>
      </c>
      <c r="I82" s="225">
        <v>43090.566782407404</v>
      </c>
      <c r="J82" s="224">
        <v>0</v>
      </c>
      <c r="K82" s="236" t="str">
        <f t="shared" si="39"/>
        <v>4033/4034</v>
      </c>
      <c r="L82" s="244" t="str">
        <f>VLOOKUP(A82,'Trips&amp;Operators'!$C$1:$G$99911,5,FALSE)</f>
        <v>ROBINSON KADDIBA</v>
      </c>
      <c r="M82" s="223">
        <f t="shared" si="40"/>
        <v>2.7048611111240461E-2</v>
      </c>
      <c r="N82" s="224">
        <f t="shared" si="38"/>
        <v>38.950000000186265</v>
      </c>
      <c r="O82" s="224"/>
      <c r="P82" s="224"/>
      <c r="Q82" s="227"/>
      <c r="R82" s="241"/>
      <c r="S82" s="248">
        <f t="shared" si="26"/>
        <v>1</v>
      </c>
      <c r="T82" s="241" t="str">
        <f t="shared" si="41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42"/>
        <v>https://d0f6bd738d7f1b3e5a7ca70fe4ff75f0.us-east-1.aws.found.io/app/kibana#/discover/Steve-Slow-Train-Analysis-(2080s-and-2083s)?_g=(refreshInterval:(display:Off,pause:!f,section:0,value:0),time:(from:'2017-12-21T11:52:43-0700',mode:absolute,to:'2017-12-21T14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2" s="246" t="str">
        <f>IF(AA82&lt;VLOOKUP(AG82,Variables!$AC$3:$AD$8,2,FALSE),"Y","N")</f>
        <v>N</v>
      </c>
      <c r="X82" s="246">
        <f t="shared" si="43"/>
        <v>1</v>
      </c>
      <c r="Y82" s="246">
        <f t="shared" si="44"/>
        <v>23.293800000000001</v>
      </c>
      <c r="Z82" s="246">
        <f t="shared" si="37"/>
        <v>1.8499999999999999E-2</v>
      </c>
      <c r="AA82" s="246">
        <f t="shared" si="45"/>
        <v>23.275300000000001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46"/>
        <v>168</v>
      </c>
      <c r="AE82" s="234" t="str">
        <f t="shared" si="4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82" s="233" t="str">
        <f t="shared" si="48"/>
        <v>"C:\Program Files (x86)\AstroGrep\AstroGrep.exe" /e /r /s /spath="%USERPROFILE%\AppData\Local\Temp\OnboardLogs" /stypes="app*4033*201712212*" /stext=" 20:.+?(?&gt;(PRM\|1\|D)|(KPR)|(KDP)|(train st[a-z]+ moving)|(SYSTEM_STATE:s[a-z]+ state changed)|(Enforcement Action)|(\[TIMEOUT)|(parse_ebi_status: Penalty)|(\|GPPS))"</v>
      </c>
      <c r="AG82" s="243" t="str">
        <f t="shared" si="49"/>
        <v>EC</v>
      </c>
      <c r="AH82" s="235" t="str">
        <f t="shared" si="50"/>
        <v>"%USERPROFILE%\Documents\GitHub\eaglep3\Utilities\RefineRTDCRunTimes.py" --tripid 168-21 --locoid 4033 --swversion DE.1.0.9.0 --startMP 204:232938 --initTime 2017-12-21T12:52:43 --startdatetime 2017-12-21T12:57:13 --delay 71 --endMP 204:185 --enddatetime 2017-12-21T13:36:10 --enforcementcount 0 &gt;&gt;%USERPROFILE%\Documents\GitHub\eaglep3-reporting\EC\2017-12-21-refined-times.txt</v>
      </c>
      <c r="AI82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{"issue":{"subject":"","project_id":79,"tracker_id":40,"status_id":1,"priority_id":2,"assigned_to_id":338,"start_date":"2017-12-21","description":"","custom_fields":[{"id":1,"name":"Subdivision","value":"EC"},{"id":4,"name":"Milepost","value":"0.0185"},{"id":17,"name":"Train ID","value":"168-21"},{"id":16,"name":"Locomotive ID","value":"4033"},{"id":130,"name":"Impact","value":""},{"id":150,"name":"Time of Event (Mountain Time)","value":"13:36:10"},{"id":151,"name":"Denver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52"/>
        <v>start /low /b %USERPROFILE%\Documents\GitHub\eaglep3\Utilities\DownloadLogsFromS3.py --loco 4033 --day 2017-12-21</v>
      </c>
      <c r="AN82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54"/>
        <v>https://d0f6bd738d7f1b3e5a7ca70fe4ff75f0.us-east-1.aws.found.io/app/kibana#/discover/Steve-Slow-Train-Analysis-(2080s-and-2083s)?_g=(refreshInterval:(display:Off,pause:!f,section:0,value:0),time:(from:'2017-12-21T11:52:43-0700',mode:absolute,to:'2017-12-21T14:36:10-0700'))&amp;_a=(columns:!('Message%20ID',Summary),filters:!(),index:'emp_*',interval:auto,query:(query_string:(analyze_wildcard:!t,query:'%22rtdc.l.rtdc.4033%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783</v>
      </c>
      <c r="B83" s="224">
        <v>4014</v>
      </c>
      <c r="C83" s="226" t="s">
        <v>192</v>
      </c>
      <c r="D83" s="226" t="s">
        <v>955</v>
      </c>
      <c r="E83" s="225">
        <v>43090.508287037039</v>
      </c>
      <c r="F83" s="225">
        <v>43090.510682870372</v>
      </c>
      <c r="G83" s="224">
        <v>86</v>
      </c>
      <c r="H83" s="226" t="s">
        <v>553</v>
      </c>
      <c r="I83" s="225">
        <v>43090.536828703705</v>
      </c>
      <c r="J83" s="224">
        <v>0</v>
      </c>
      <c r="K83" s="236" t="str">
        <f t="shared" si="39"/>
        <v>4013/4014</v>
      </c>
      <c r="L83" s="244" t="str">
        <f>VLOOKUP(A83,'Trips&amp;Operators'!$C$1:$G$99911,5,FALSE)</f>
        <v>STRICKLAND EVAN</v>
      </c>
      <c r="M83" s="223">
        <f t="shared" si="40"/>
        <v>2.6145833333430346E-2</v>
      </c>
      <c r="N83" s="224">
        <f t="shared" si="38"/>
        <v>37.650000000139698</v>
      </c>
      <c r="O83" s="224"/>
      <c r="P83" s="224"/>
      <c r="Q83" s="227"/>
      <c r="R83" s="241"/>
      <c r="S83" s="248">
        <f t="shared" si="26"/>
        <v>1</v>
      </c>
      <c r="T83" s="241" t="str">
        <f t="shared" si="41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42"/>
        <v>https://d0f6bd738d7f1b3e5a7ca70fe4ff75f0.us-east-1.aws.found.io/app/kibana#/discover/Steve-Slow-Train-Analysis-(2080s-and-2083s)?_g=(refreshInterval:(display:Off,pause:!f,section:0,value:0),time:(from:'2017-12-21T11:11:56-0700',mode:absolute,to:'2017-12-21T13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246" t="str">
        <f>IF(AA83&lt;VLOOKUP(AG83,Variables!$AC$3:$AD$8,2,FALSE),"Y","N")</f>
        <v>N</v>
      </c>
      <c r="X83" s="246">
        <f t="shared" si="43"/>
        <v>1</v>
      </c>
      <c r="Y83" s="246">
        <f t="shared" si="44"/>
        <v>4.6699999999999998E-2</v>
      </c>
      <c r="Z83" s="246">
        <f t="shared" si="37"/>
        <v>23.3276</v>
      </c>
      <c r="AA83" s="246">
        <f t="shared" si="45"/>
        <v>23.280899999999999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46"/>
        <v>169</v>
      </c>
      <c r="AE83" s="234" t="str">
        <f t="shared" si="47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83" s="233" t="str">
        <f t="shared" si="48"/>
        <v>"C:\Program Files (x86)\AstroGrep\AstroGrep.exe" /e /r /s /spath="%USERPROFILE%\AppData\Local\Temp\OnboardLogs" /stypes="app*4014*201712211*" /stext=" 19:.+?(?&gt;(PRM\|1\|D)|(KPR)|(KDP)|(train st[a-z]+ moving)|(SYSTEM_STATE:s[a-z]+ state changed)|(Enforcement Action)|(\[TIMEOUT)|(parse_ebi_status: Penalty)|(\|GPPS))"</v>
      </c>
      <c r="AG83" s="243" t="str">
        <f t="shared" si="49"/>
        <v>EC</v>
      </c>
      <c r="AH83" s="235" t="str">
        <f t="shared" si="50"/>
        <v>"%USERPROFILE%\Documents\GitHub\eaglep3\Utilities\RefineRTDCRunTimes.py" --tripid 169-21 --locoid 4014 --swversion DE.1.0.9.0 --startMP 204:467 --initTime 2017-12-21T12:11:56 --startdatetime 2017-12-21T12:15:23 --delay 86 --endMP 204:233276 --enddatetime 2017-12-21T12:53:02 --enforcementcount 0 &gt;&gt;%USERPROFILE%\Documents\GitHub\eaglep3-reporting\EC\2017-12-21-refined-times.txt</v>
      </c>
      <c r="AI8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{"issue":{"subject":"","project_id":79,"tracker_id":40,"status_id":1,"priority_id":2,"assigned_to_id":338,"start_date":"2017-12-21","description":"","custom_fields":[{"id":1,"name":"Subdivision","value":"EC"},{"id":4,"name":"Milepost","value":"23.3276"},{"id":17,"name":"Train ID","value":"169-21"},{"id":16,"name":"Locomotive ID","value":"4014"},{"id":130,"name":"Impact","value":""},{"id":150,"name":"Time of Event (Mountain Time)","value":"12:53:02"},{"id":151,"name":"Denver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52"/>
        <v>start /low /b %USERPROFILE%\Documents\GitHub\eaglep3\Utilities\DownloadLogsFromS3.py --loco 4014 --day 2017-12-21</v>
      </c>
      <c r="AN83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54"/>
        <v>https://d0f6bd738d7f1b3e5a7ca70fe4ff75f0.us-east-1.aws.found.io/app/kibana#/discover/Steve-Slow-Train-Analysis-(2080s-and-2083s)?_g=(refreshInterval:(display:Off,pause:!f,section:0,value:0),time:(from:'2017-12-21T11:11:56-0700',mode:absolute,to:'2017-12-21T13:53:02-0700'))&amp;_a=(columns:!('Message%20ID',Summary),filters:!(),index:'emp_*',interval:auto,query:(query_string:(analyze_wildcard:!t,query:'%22rtdc.l.rtdc.4014%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671</v>
      </c>
      <c r="B84" s="224">
        <v>4013</v>
      </c>
      <c r="C84" s="226" t="s">
        <v>192</v>
      </c>
      <c r="D84" s="226" t="s">
        <v>956</v>
      </c>
      <c r="E84" s="225">
        <v>43090.538634259261</v>
      </c>
      <c r="F84" s="225">
        <v>43090.563206018516</v>
      </c>
      <c r="G84" s="224">
        <v>74</v>
      </c>
      <c r="H84" s="226" t="s">
        <v>957</v>
      </c>
      <c r="I84" s="225">
        <v>43090.579918981479</v>
      </c>
      <c r="J84" s="224">
        <v>0</v>
      </c>
      <c r="K84" s="236" t="str">
        <f t="shared" si="39"/>
        <v>4013/4014</v>
      </c>
      <c r="L84" s="244" t="str">
        <f>VLOOKUP(A84,'Trips&amp;Operators'!$C$1:$G$99911,5,FALSE)</f>
        <v>STRICKLAND EVAN</v>
      </c>
      <c r="M84" s="223">
        <f t="shared" si="40"/>
        <v>1.6712962962628808E-2</v>
      </c>
      <c r="N84" s="224"/>
      <c r="O84" s="224"/>
      <c r="P84" s="224"/>
      <c r="Q84" s="227"/>
      <c r="R84" s="241"/>
      <c r="S84" s="248"/>
      <c r="T84" s="241" t="str">
        <f t="shared" si="41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247" t="str">
        <f t="shared" si="42"/>
        <v>https://d0f6bd738d7f1b3e5a7ca70fe4ff75f0.us-east-1.aws.found.io/app/kibana#/discover/Steve-Slow-Train-Analysis-(2080s-and-2083s)?_g=(refreshInterval:(display:Off,pause:!f,section:0,value:0),time:(from:'2017-12-21T11:55:38-0700',mode:absolute,to:'2017-12-21T14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46" t="str">
        <f>IF(AA84&lt;VLOOKUP(AG84,Variables!$AC$3:$AD$8,2,FALSE),"Y","N")</f>
        <v>Y</v>
      </c>
      <c r="X84" s="246">
        <f t="shared" si="43"/>
        <v>1</v>
      </c>
      <c r="Y84" s="246">
        <f t="shared" si="44"/>
        <v>23.295500000000001</v>
      </c>
      <c r="Z84" s="246">
        <f t="shared" si="37"/>
        <v>23.180700000000002</v>
      </c>
      <c r="AA84" s="246">
        <f t="shared" si="45"/>
        <v>0.1147999999999989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46"/>
        <v>170</v>
      </c>
      <c r="AE84" s="234" t="str">
        <f t="shared" si="47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84" s="233" t="str">
        <f t="shared" si="48"/>
        <v>"C:\Program Files (x86)\AstroGrep\AstroGrep.exe" /e /r /s /spath="%USERPROFILE%\AppData\Local\Temp\OnboardLogs" /stypes="app*4013*201712212*" /stext=" 20:.+?(?&gt;(PRM\|1\|D)|(KPR)|(KDP)|(train st[a-z]+ moving)|(SYSTEM_STATE:s[a-z]+ state changed)|(Enforcement Action)|(\[TIMEOUT)|(parse_ebi_status: Penalty)|(\|GPPS))"</v>
      </c>
      <c r="AG84" s="243" t="str">
        <f t="shared" si="49"/>
        <v>EC</v>
      </c>
      <c r="AH84" s="235" t="str">
        <f t="shared" si="50"/>
        <v>"%USERPROFILE%\Documents\GitHub\eaglep3\Utilities\RefineRTDCRunTimes.py" --tripid 170-21 --locoid 4013 --swversion DE.1.0.9.0 --startMP 204:232955 --initTime 2017-12-21T12:55:38 --startdatetime 2017-12-21T13:31:01 --delay 74 --endMP 204:231807 --enddatetime 2017-12-21T13:55:05 --enforcementcount 0 &gt;&gt;%USERPROFILE%\Documents\GitHub\eaglep3-reporting\EC\2017-12-21-refined-times.txt</v>
      </c>
      <c r="AI8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{"issue":{"subject":"","project_id":79,"tracker_id":40,"status_id":1,"priority_id":2,"assigned_to_id":338,"start_date":"2017-12-21","description":"","custom_fields":[{"id":1,"name":"Subdivision","value":"EC"},{"id":4,"name":"Milepost","value":"23.1807"},{"id":17,"name":"Train ID","value":"170-21"},{"id":16,"name":"Locomotive ID","value":"4013"},{"id":130,"name":"Impact","value":""},{"id":150,"name":"Time of Event (Mountain Time)","value":"13:55:05"},{"id":151,"name":"Denver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52"/>
        <v>start /low /b %USERPROFILE%\Documents\GitHub\eaglep3\Utilities\DownloadLogsFromS3.py --loco 4013 --day 2017-12-21</v>
      </c>
      <c r="AN84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54"/>
        <v>https://d0f6bd738d7f1b3e5a7ca70fe4ff75f0.us-east-1.aws.found.io/app/kibana#/discover/Steve-Slow-Train-Analysis-(2080s-and-2083s)?_g=(refreshInterval:(display:Off,pause:!f,section:0,value:0),time:(from:'2017-12-21T11:55:38-0700',mode:absolute,to:'2017-12-21T14:55:05-0700'))&amp;_a=(columns:!('Message%20ID',Summary),filters:!(),index:'emp_*',interval:auto,query:(query_string:(analyze_wildcard:!t,query:'%22rtdc.l.rtdc.4013%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671</v>
      </c>
      <c r="B85" s="224">
        <v>4013</v>
      </c>
      <c r="C85" s="226" t="s">
        <v>192</v>
      </c>
      <c r="D85" s="226" t="s">
        <v>958</v>
      </c>
      <c r="E85" s="225">
        <v>43090.562013888892</v>
      </c>
      <c r="F85" s="225">
        <v>43090.563206018516</v>
      </c>
      <c r="G85" s="224">
        <v>47</v>
      </c>
      <c r="H85" s="226" t="s">
        <v>502</v>
      </c>
      <c r="I85" s="225">
        <v>43090.579918981479</v>
      </c>
      <c r="J85" s="224">
        <v>0</v>
      </c>
      <c r="K85" s="236" t="str">
        <f t="shared" si="39"/>
        <v>4013/4014</v>
      </c>
      <c r="L85" s="244" t="str">
        <f>VLOOKUP(A85,'Trips&amp;Operators'!$C$1:$G$99911,5,FALSE)</f>
        <v>STRICKLAND EVAN</v>
      </c>
      <c r="M85" s="223">
        <f t="shared" si="40"/>
        <v>1.6712962962628808E-2</v>
      </c>
      <c r="N85" s="224"/>
      <c r="O85" s="224"/>
      <c r="P85" s="224">
        <f>24*60*SUM($M85:$M85)</f>
        <v>24.066666666185483</v>
      </c>
      <c r="Q85" s="227"/>
      <c r="R85" s="241" t="s">
        <v>1110</v>
      </c>
      <c r="S85" s="248">
        <f t="shared" ref="S85:S103" si="55">1/IF(AG85="EC",12,1)*SUM(U85:U85)</f>
        <v>1</v>
      </c>
      <c r="T85" s="241" t="str">
        <f t="shared" si="41"/>
        <v>Southbound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42"/>
        <v>https://d0f6bd738d7f1b3e5a7ca70fe4ff75f0.us-east-1.aws.found.io/app/kibana#/discover/Steve-Slow-Train-Analysis-(2080s-and-2083s)?_g=(refreshInterval:(display:Off,pause:!f,section:0,value:0),time:(from:'2017-12-21T12:29:18-0700',mode:absolute,to:'2017-12-21T14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5" s="246" t="str">
        <f>IF(AA85&lt;VLOOKUP(AG85,Variables!$AC$3:$AD$8,2,FALSE),"Y","N")</f>
        <v>Y</v>
      </c>
      <c r="X85" s="246">
        <f t="shared" si="43"/>
        <v>0</v>
      </c>
      <c r="Y85" s="246">
        <f t="shared" si="44"/>
        <v>12.7857</v>
      </c>
      <c r="Z85" s="246">
        <f t="shared" si="37"/>
        <v>0.02</v>
      </c>
      <c r="AA85" s="246">
        <f t="shared" si="45"/>
        <v>12.765700000000001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46"/>
        <v>170</v>
      </c>
      <c r="AE85" s="234" t="str">
        <f t="shared" si="47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85" s="233" t="str">
        <f t="shared" si="48"/>
        <v>"C:\Program Files (x86)\AstroGrep\AstroGrep.exe" /e /r /s /spath="%USERPROFILE%\AppData\Local\Temp\OnboardLogs" /stypes="app*4013*201712212*" /stext=" 20:.+?(?&gt;(PRM\|1\|D)|(KPR)|(KDP)|(train st[a-z]+ moving)|(SYSTEM_STATE:s[a-z]+ state changed)|(Enforcement Action)|(\[TIMEOUT)|(parse_ebi_status: Penalty)|(\|GPPS))"</v>
      </c>
      <c r="AG85" s="243" t="str">
        <f t="shared" si="49"/>
        <v>EC</v>
      </c>
      <c r="AH85" s="235" t="str">
        <f t="shared" si="50"/>
        <v>"%USERPROFILE%\Documents\GitHub\eaglep3\Utilities\RefineRTDCRunTimes.py" --tripid 170-21 --locoid 4013 --swversion DE.1.0.9.0 --startMP 204:127857 --initTime 2017-12-21T13:29:18 --startdatetime 2017-12-21T13:31:01 --delay 47 --endMP 204:200 --enddatetime 2017-12-21T13:55:05 --enforcementcount 0 &gt;&gt;%USERPROFILE%\Documents\GitHub\eaglep3-reporting\EC\2017-12-21-refined-times.txt</v>
      </c>
      <c r="AI85" s="237" t="str">
        <f t="shared" si="51"/>
        <v>echo {"issue":{"subject":"Selected wrong track","project_id":79,"tracker_id":40,"status_id":1,"priority_id":2,"assigned_to_id":338,"start_date":"2017-12-21","description":"","custom_fields":[{"id":1,"name":"Subdivision","value":"EC"},{"id":4,"name":"Milepost","value":"0.02"},{"id":17,"name":"Train ID","value":"170-21"},{"id":16,"name":"Locomotive ID","value":"4013"},{"id":130,"name":"Impact","value":""},{"id":150,"name":"Time of Event (Mountain Time)","value":"13:55:05"},{"id":151,"name":"Denver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52"/>
        <v>start /low /b %USERPROFILE%\Documents\GitHub\eaglep3\Utilities\DownloadLogsFromS3.py --loco 4013 --day 2017-12-21</v>
      </c>
      <c r="AN85" s="240" t="str">
        <f t="shared" si="53"/>
        <v>echo {"issue":{"subject":"Selected wrong track","project_id":30,"tracker_id":4,"status_id":1,"priority_id":1,"assigned_to_id":10,"start_date":"2017-12-21","description":"","custom_fields":[{"id":30,"name":"Category","value":"Issue"},{"id":3,"name":"Functional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54"/>
        <v>https://d0f6bd738d7f1b3e5a7ca70fe4ff75f0.us-east-1.aws.found.io/app/kibana#/discover/Steve-Slow-Train-Analysis-(2080s-and-2083s)?_g=(refreshInterval:(display:Off,pause:!f,section:0,value:0),time:(from:'2017-12-21T12:29:18-0700',mode:absolute,to:'2017-12-21T14:55:05-0700'))&amp;_a=(columns:!('Message%20ID',Summary),filters:!(),index:'emp_*',interval:auto,query:(query_string:(analyze_wildcard:!t,query:'%22rtdc.l.rtdc.4013%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787</v>
      </c>
      <c r="B86" s="224">
        <v>4064</v>
      </c>
      <c r="C86" s="226" t="s">
        <v>192</v>
      </c>
      <c r="D86" s="226" t="s">
        <v>551</v>
      </c>
      <c r="E86" s="225">
        <v>43090.516168981485</v>
      </c>
      <c r="F86" s="225">
        <v>43090.521006944444</v>
      </c>
      <c r="G86" s="224">
        <v>58</v>
      </c>
      <c r="H86" s="226" t="s">
        <v>488</v>
      </c>
      <c r="I86" s="225">
        <v>43090.546435185184</v>
      </c>
      <c r="J86" s="224">
        <v>0</v>
      </c>
      <c r="K86" s="236" t="str">
        <f t="shared" si="39"/>
        <v>4063/4064</v>
      </c>
      <c r="L86" s="244" t="str">
        <f>VLOOKUP(A86,'Trips&amp;Operators'!$C$1:$G$99911,5,FALSE)</f>
        <v>BADERTSCHER DIANE</v>
      </c>
      <c r="M86" s="223">
        <f t="shared" si="40"/>
        <v>2.5428240740438923E-2</v>
      </c>
      <c r="N86" s="224">
        <f>24*60*SUM($M86:$M86)</f>
        <v>36.616666666232049</v>
      </c>
      <c r="O86" s="224"/>
      <c r="P86" s="224"/>
      <c r="Q86" s="227"/>
      <c r="R86" s="241"/>
      <c r="S86" s="248">
        <f t="shared" si="55"/>
        <v>1</v>
      </c>
      <c r="T86" s="241" t="str">
        <f t="shared" si="41"/>
        <v>NorthBound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42"/>
        <v>https://d0f6bd738d7f1b3e5a7ca70fe4ff75f0.us-east-1.aws.found.io/app/kibana#/discover/Steve-Slow-Train-Analysis-(2080s-and-2083s)?_g=(refreshInterval:(display:Off,pause:!f,section:0,value:0),time:(from:'2017-12-21T11:23:17-0700',mode:absolute,to:'2017-12-21T14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6" s="246" t="str">
        <f>IF(AA86&lt;VLOOKUP(AG86,Variables!$AC$3:$AD$8,2,FALSE),"Y","N")</f>
        <v>N</v>
      </c>
      <c r="X86" s="246">
        <f t="shared" si="43"/>
        <v>1</v>
      </c>
      <c r="Y86" s="246">
        <f t="shared" si="44"/>
        <v>4.9799999999999997E-2</v>
      </c>
      <c r="Z86" s="246">
        <f t="shared" ref="Z86:Z118" si="56">RIGHT(H86,LEN(H86)-4)/10000</f>
        <v>23.3261</v>
      </c>
      <c r="AA86" s="246">
        <f t="shared" si="45"/>
        <v>23.276299999999999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46"/>
        <v>171</v>
      </c>
      <c r="AE86" s="234" t="str">
        <f t="shared" si="4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86" s="233" t="str">
        <f t="shared" si="48"/>
        <v>"C:\Program Files (x86)\AstroGrep\AstroGrep.exe" /e /r /s /spath="%USERPROFILE%\AppData\Local\Temp\OnboardLogs" /stypes="app*4064*201712212*" /stext=" 20:.+?(?&gt;(PRM\|1\|D)|(KPR)|(KDP)|(train st[a-z]+ moving)|(SYSTEM_STATE:s[a-z]+ state changed)|(Enforcement Action)|(\[TIMEOUT)|(parse_ebi_status: Penalty)|(\|GPPS))"</v>
      </c>
      <c r="AG86" s="243" t="str">
        <f t="shared" si="49"/>
        <v>EC</v>
      </c>
      <c r="AH86" s="235" t="str">
        <f t="shared" si="50"/>
        <v>"%USERPROFILE%\Documents\GitHub\eaglep3\Utilities\RefineRTDCRunTimes.py" --tripid 171-21 --locoid 4064 --swversion DE.1.0.9.0 --startMP 204:498 --initTime 2017-12-21T12:23:17 --startdatetime 2017-12-21T12:30:15 --delay 58 --endMP 204:233261 --enddatetime 2017-12-21T13:06:52 --enforcementcount 0 &gt;&gt;%USERPROFILE%\Documents\GitHub\eaglep3-reporting\EC\2017-12-21-refined-times.txt</v>
      </c>
      <c r="AI8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{"issue":{"subject":"","project_id":79,"tracker_id":40,"status_id":1,"priority_id":2,"assigned_to_id":338,"start_date":"2017-12-21","description":"","custom_fields":[{"id":1,"name":"Subdivision","value":"EC"},{"id":4,"name":"Milepost","value":"23.3261"},{"id":17,"name":"Train ID","value":"171-21"},{"id":16,"name":"Locomotive ID","value":"4064"},{"id":130,"name":"Impact","value":""},{"id":150,"name":"Time of Event (Mountain Time)","value":"13:06:52"},{"id":151,"name":"Denver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52"/>
        <v>start /low /b %USERPROFILE%\Documents\GitHub\eaglep3\Utilities\DownloadLogsFromS3.py --loco 4064 --day 2017-12-21</v>
      </c>
      <c r="AN86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54"/>
        <v>https://d0f6bd738d7f1b3e5a7ca70fe4ff75f0.us-east-1.aws.found.io/app/kibana#/discover/Steve-Slow-Train-Analysis-(2080s-and-2083s)?_g=(refreshInterval:(display:Off,pause:!f,section:0,value:0),time:(from:'2017-12-21T11:23:17-0700',mode:absolute,to:'2017-12-21T14:06:52-0700'))&amp;_a=(columns:!('Message%20ID',Summary),filters:!(),index:'emp_*',interval:auto,query:(query_string:(analyze_wildcard:!t,query:'%22rtdc.l.rtdc.4064%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793</v>
      </c>
      <c r="B87" s="224">
        <v>4063</v>
      </c>
      <c r="C87" s="226" t="s">
        <v>192</v>
      </c>
      <c r="D87" s="226" t="s">
        <v>959</v>
      </c>
      <c r="E87" s="225">
        <v>43090.55541666667</v>
      </c>
      <c r="F87" s="225">
        <v>43090.560613425929</v>
      </c>
      <c r="G87" s="224">
        <v>75</v>
      </c>
      <c r="H87" s="226" t="s">
        <v>905</v>
      </c>
      <c r="I87" s="225">
        <v>43090.589594907404</v>
      </c>
      <c r="J87" s="224">
        <v>0</v>
      </c>
      <c r="K87" s="236" t="str">
        <f t="shared" si="39"/>
        <v>4063/4064</v>
      </c>
      <c r="L87" s="244" t="str">
        <f>VLOOKUP(A87,'Trips&amp;Operators'!$C$1:$G$99911,5,FALSE)</f>
        <v>BADERTSCHER DIANE</v>
      </c>
      <c r="M87" s="223">
        <f t="shared" si="40"/>
        <v>2.898148147505708E-2</v>
      </c>
      <c r="N87" s="224">
        <f>24*60*SUM($M87:$M87)</f>
        <v>41.733333324082196</v>
      </c>
      <c r="O87" s="224"/>
      <c r="P87" s="224"/>
      <c r="Q87" s="227"/>
      <c r="R87" s="241"/>
      <c r="S87" s="248">
        <f t="shared" si="55"/>
        <v>1</v>
      </c>
      <c r="T87" s="241" t="str">
        <f t="shared" si="41"/>
        <v>Southbound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42"/>
        <v>https://d0f6bd738d7f1b3e5a7ca70fe4ff75f0.us-east-1.aws.found.io/app/kibana#/discover/Steve-Slow-Train-Analysis-(2080s-and-2083s)?_g=(refreshInterval:(display:Off,pause:!f,section:0,value:0),time:(from:'2017-12-21T12:19:48-0700',mode:absolute,to:'2017-12-21T15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7" s="246" t="str">
        <f>IF(AA87&lt;VLOOKUP(AG87,Variables!$AC$3:$AD$8,2,FALSE),"Y","N")</f>
        <v>N</v>
      </c>
      <c r="X87" s="246">
        <f t="shared" si="43"/>
        <v>1</v>
      </c>
      <c r="Y87" s="246">
        <f t="shared" si="44"/>
        <v>23.295100000000001</v>
      </c>
      <c r="Z87" s="246">
        <f t="shared" si="56"/>
        <v>1.9199999999999998E-2</v>
      </c>
      <c r="AA87" s="246">
        <f t="shared" si="45"/>
        <v>23.2759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46"/>
        <v>172</v>
      </c>
      <c r="AE87" s="234" t="str">
        <f t="shared" si="4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87" s="233" t="str">
        <f t="shared" si="48"/>
        <v>"C:\Program Files (x86)\AstroGrep\AstroGrep.exe" /e /r /s /spath="%USERPROFILE%\AppData\Local\Temp\OnboardLogs" /stypes="app*4063*201712212*" /stext=" 21:.+?(?&gt;(PRM\|1\|D)|(KPR)|(KDP)|(train st[a-z]+ moving)|(SYSTEM_STATE:s[a-z]+ state changed)|(Enforcement Action)|(\[TIMEOUT)|(parse_ebi_status: Penalty)|(\|GPPS))"</v>
      </c>
      <c r="AG87" s="243" t="str">
        <f t="shared" si="49"/>
        <v>EC</v>
      </c>
      <c r="AH87" s="235" t="str">
        <f t="shared" si="50"/>
        <v>"%USERPROFILE%\Documents\GitHub\eaglep3\Utilities\RefineRTDCRunTimes.py" --tripid 172-21 --locoid 4063 --swversion DE.1.0.9.0 --startMP 204:232951 --initTime 2017-12-21T13:19:48 --startdatetime 2017-12-21T13:27:17 --delay 75 --endMP 204:192 --enddatetime 2017-12-21T14:09:01 --enforcementcount 0 &gt;&gt;%USERPROFILE%\Documents\GitHub\eaglep3-reporting\EC\2017-12-21-refined-times.txt</v>
      </c>
      <c r="AI8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{"issue":{"subject":"","project_id":79,"tracker_id":40,"status_id":1,"priority_id":2,"assigned_to_id":338,"start_date":"2017-12-21","description":"","custom_fields":[{"id":1,"name":"Subdivision","value":"EC"},{"id":4,"name":"Milepost","value":"0.0192"},{"id":17,"name":"Train ID","value":"172-21"},{"id":16,"name":"Locomotive ID","value":"4063"},{"id":130,"name":"Impact","value":""},{"id":150,"name":"Time of Event (Mountain Time)","value":"14:09:01"},{"id":151,"name":"Denver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52"/>
        <v>start /low /b %USERPROFILE%\Documents\GitHub\eaglep3\Utilities\DownloadLogsFromS3.py --loco 4063 --day 2017-12-21</v>
      </c>
      <c r="AN87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54"/>
        <v>https://d0f6bd738d7f1b3e5a7ca70fe4ff75f0.us-east-1.aws.found.io/app/kibana#/discover/Steve-Slow-Train-Analysis-(2080s-and-2083s)?_g=(refreshInterval:(display:Off,pause:!f,section:0,value:0),time:(from:'2017-12-21T12:19:48-0700',mode:absolute,to:'2017-12-21T15:09:01-0700'))&amp;_a=(columns:!('Message%20ID',Summary),filters:!(),index:'emp_*',interval:auto,query:(query_string:(analyze_wildcard:!t,query:'%22rtdc.l.rtdc.4063%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670</v>
      </c>
      <c r="B88" s="224">
        <v>4028</v>
      </c>
      <c r="C88" s="226" t="s">
        <v>192</v>
      </c>
      <c r="D88" s="226" t="s">
        <v>500</v>
      </c>
      <c r="E88" s="225">
        <v>43090.527951388889</v>
      </c>
      <c r="F88" s="225">
        <v>43090.531493055554</v>
      </c>
      <c r="G88" s="224">
        <v>69</v>
      </c>
      <c r="H88" s="226" t="s">
        <v>960</v>
      </c>
      <c r="I88" s="225">
        <v>43090.537187499998</v>
      </c>
      <c r="J88" s="224">
        <v>0</v>
      </c>
      <c r="K88" s="236" t="str">
        <f t="shared" si="39"/>
        <v>4027/4028</v>
      </c>
      <c r="L88" s="244" t="str">
        <f>VLOOKUP(A88,'Trips&amp;Operators'!$C$1:$G$99911,5,FALSE)</f>
        <v>HOLCOMB KAMDEN</v>
      </c>
      <c r="M88" s="223">
        <f t="shared" si="40"/>
        <v>5.694444444088731E-3</v>
      </c>
      <c r="N88" s="224"/>
      <c r="O88" s="224"/>
      <c r="P88" s="224">
        <f>24*60*SUM($M88:$M88)</f>
        <v>8.1999999994877726</v>
      </c>
      <c r="Q88" s="227"/>
      <c r="R88" s="241" t="s">
        <v>1111</v>
      </c>
      <c r="S88" s="248">
        <f t="shared" si="55"/>
        <v>8.3333333333333329E-2</v>
      </c>
      <c r="T88" s="241" t="str">
        <f t="shared" si="41"/>
        <v>NorthBound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</v>
      </c>
      <c r="V88" s="247" t="str">
        <f t="shared" si="42"/>
        <v>https://d0f6bd738d7f1b3e5a7ca70fe4ff75f0.us-east-1.aws.found.io/app/kibana#/discover/Steve-Slow-Train-Analysis-(2080s-and-2083s)?_g=(refreshInterval:(display:Off,pause:!f,section:0,value:0),time:(from:'2017-12-21T11:40:15-0700',mode:absolute,to:'2017-12-21T13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246" t="str">
        <f>IF(AA88&lt;VLOOKUP(AG88,Variables!$AC$3:$AD$8,2,FALSE),"Y","N")</f>
        <v>Y</v>
      </c>
      <c r="X88" s="246">
        <f t="shared" si="43"/>
        <v>1</v>
      </c>
      <c r="Y88" s="246">
        <f t="shared" si="44"/>
        <v>4.9700000000000001E-2</v>
      </c>
      <c r="Z88" s="246">
        <f t="shared" si="56"/>
        <v>2.8849999999999998</v>
      </c>
      <c r="AA88" s="246">
        <f t="shared" si="45"/>
        <v>2.8352999999999997</v>
      </c>
      <c r="AB88" s="232" t="str">
        <f>VLOOKUP(A88,Enforcements!$C$7:$K$9,8,0)</f>
        <v>Speed (6)</v>
      </c>
      <c r="AC88" s="231" t="str">
        <f>VLOOKUP(A88,Enforcements!$C$7:$E$9,3,0)</f>
        <v>PERMANENT SPEED RESTRICTION</v>
      </c>
      <c r="AD88" s="242">
        <f t="shared" si="46"/>
        <v>173</v>
      </c>
      <c r="AE88" s="234" t="str">
        <f t="shared" si="47"/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AF88" s="233" t="str">
        <f t="shared" si="48"/>
        <v>"C:\Program Files (x86)\AstroGrep\AstroGrep.exe" /e /r /s /spath="%USERPROFILE%\AppData\Local\Temp\OnboardLogs" /stypes="app*4028*201712211*" /stext=" 19:.+?(?&gt;(PRM\|1\|D)|(KPR)|(KDP)|(train st[a-z]+ moving)|(SYSTEM_STATE:s[a-z]+ state changed)|(Enforcement Action)|(\[TIMEOUT)|(parse_ebi_status: Penalty)|(\|GPPS))"</v>
      </c>
      <c r="AG88" s="243" t="str">
        <f t="shared" si="49"/>
        <v>EC</v>
      </c>
      <c r="AH88" s="235" t="str">
        <f t="shared" si="50"/>
        <v>"%USERPROFILE%\Documents\GitHub\eaglep3\Utilities\RefineRTDCRunTimes.py" --tripid 173-21 --locoid 4028 --swversion DE.1.0.9.0 --startMP 204:497 --initTime 2017-12-21T12:40:15 --startdatetime 2017-12-21T12:45:21 --delay 69 --endMP 204:28850 --enddatetime 2017-12-21T12:53:33 --enforcementcount 0 &gt;&gt;%USERPROFILE%\Documents\GitHub\eaglep3-reporting\EC\2017-12-21-refined-times.txt</v>
      </c>
      <c r="AI88" s="237" t="str">
        <f t="shared" si="51"/>
        <v>echo {"issue":{"subject":"58734 - claimed banner without braking - logs show that enforcement took place as intended","project_id":79,"tracker_id":40,"status_id":1,"priority_id":2,"assigned_to_id":338,"start_date":"2017-12-21","description":"","custom_fields":[{"id":1,"name":"Subdivision","value":"EC"},{"id":4,"name":"Milepost","value":"2.885"},{"id":17,"name":"Train ID","value":"173-21"},{"id":16,"name":"Locomotive ID","value":"4028"},{"id":130,"name":"Impact","value":""},{"id":150,"name":"Time of Event (Mountain Time)","value":"12:53:33"},{"id":151,"name":"Denver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52"/>
        <v>start /low /b %USERPROFILE%\Documents\GitHub\eaglep3\Utilities\DownloadLogsFromS3.py --loco 4028 --day 2017-12-21</v>
      </c>
      <c r="AN88" s="240" t="str">
        <f t="shared" si="53"/>
        <v>echo {"issue":{"subject":"58734 - claimed banner without braking - logs show that enforcement took place as intended","project_id":30,"tracker_id":4,"status_id":1,"priority_id":1,"assigned_to_id":10,"start_date":"2017-12-21","description":"","custom_fields":[{"id":30,"name":"Category","value":"Issue"},{"id":3,"name":"Functional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54"/>
        <v>https://d0f6bd738d7f1b3e5a7ca70fe4ff75f0.us-east-1.aws.found.io/app/kibana#/discover/Steve-Slow-Train-Analysis-(2080s-and-2083s)?_g=(refreshInterval:(display:Off,pause:!f,section:0,value:0),time:(from:'2017-12-21T11:40:15-0700',mode:absolute,to:'2017-12-21T13:53:33-0700'))&amp;_a=(columns:!('Message%20ID',Summary),filters:!(),index:'emp_*',interval:auto,query:(query_string:(analyze_wildcard:!t,query:'%22rtdc.l.rtdc.4028%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674</v>
      </c>
      <c r="B89" s="224">
        <v>4027</v>
      </c>
      <c r="C89" s="226" t="s">
        <v>192</v>
      </c>
      <c r="D89" s="226" t="s">
        <v>560</v>
      </c>
      <c r="E89" s="225">
        <v>43090.56287037037</v>
      </c>
      <c r="F89" s="225">
        <v>43090.571157407408</v>
      </c>
      <c r="G89" s="224">
        <v>109</v>
      </c>
      <c r="H89" s="226" t="s">
        <v>961</v>
      </c>
      <c r="I89" s="225">
        <v>43090.59679398148</v>
      </c>
      <c r="J89" s="224">
        <v>0</v>
      </c>
      <c r="K89" s="236" t="str">
        <f t="shared" si="39"/>
        <v>4027/4028</v>
      </c>
      <c r="L89" s="244" t="str">
        <f>VLOOKUP(A89,'Trips&amp;Operators'!$C$1:$G$99911,5,FALSE)</f>
        <v>HOLCOMB KAMDEN</v>
      </c>
      <c r="M89" s="223">
        <f t="shared" si="40"/>
        <v>2.5636574071540963E-2</v>
      </c>
      <c r="N89" s="224">
        <f t="shared" ref="N89:N102" si="57">24*60*SUM($M89:$M89)</f>
        <v>36.916666663018987</v>
      </c>
      <c r="O89" s="224"/>
      <c r="P89" s="224"/>
      <c r="Q89" s="227"/>
      <c r="R89" s="241"/>
      <c r="S89" s="248">
        <f t="shared" si="55"/>
        <v>1</v>
      </c>
      <c r="T89" s="241" t="str">
        <f t="shared" si="41"/>
        <v>Southbound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42"/>
        <v>https://d0f6bd738d7f1b3e5a7ca70fe4ff75f0.us-east-1.aws.found.io/app/kibana#/discover/Steve-Slow-Train-Analysis-(2080s-and-2083s)?_g=(refreshInterval:(display:Off,pause:!f,section:0,value:0),time:(from:'2017-12-21T12:30:32-0700',mode:absolute,to:'2017-12-21T15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246" t="str">
        <f>IF(AA89&lt;VLOOKUP(AG89,Variables!$AC$3:$AD$8,2,FALSE),"Y","N")</f>
        <v>N</v>
      </c>
      <c r="X89" s="246">
        <f t="shared" si="43"/>
        <v>1</v>
      </c>
      <c r="Y89" s="246">
        <f t="shared" si="44"/>
        <v>23.292999999999999</v>
      </c>
      <c r="Z89" s="246">
        <f t="shared" si="56"/>
        <v>0.16020000000000001</v>
      </c>
      <c r="AA89" s="246">
        <f t="shared" si="45"/>
        <v>23.1328</v>
      </c>
      <c r="AB89" s="232" t="str">
        <f>VLOOKUP(A89,Enforcements!$C$7:$K$9,8,0)</f>
        <v>Speed (6)</v>
      </c>
      <c r="AC89" s="231" t="str">
        <f>VLOOKUP(A89,Enforcements!$C$7:$E$9,3,0)</f>
        <v>PERMANENT SPEED RESTRICTION</v>
      </c>
      <c r="AD89" s="242">
        <f t="shared" si="46"/>
        <v>174</v>
      </c>
      <c r="AE89" s="234" t="str">
        <f t="shared" si="47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89" s="233" t="str">
        <f t="shared" si="48"/>
        <v>"C:\Program Files (x86)\AstroGrep\AstroGrep.exe" /e /r /s /spath="%USERPROFILE%\AppData\Local\Temp\OnboardLogs" /stypes="app*4027*201712212*" /stext=" 21:.+?(?&gt;(PRM\|1\|D)|(KPR)|(KDP)|(train st[a-z]+ moving)|(SYSTEM_STATE:s[a-z]+ state changed)|(Enforcement Action)|(\[TIMEOUT)|(parse_ebi_status: Penalty)|(\|GPPS))"</v>
      </c>
      <c r="AG89" s="243" t="str">
        <f t="shared" si="49"/>
        <v>EC</v>
      </c>
      <c r="AH89" s="235" t="str">
        <f t="shared" si="50"/>
        <v>"%USERPROFILE%\Documents\GitHub\eaglep3\Utilities\RefineRTDCRunTimes.py" --tripid 174-21 --locoid 4027 --swversion DE.1.0.9.0 --startMP 204:232930 --initTime 2017-12-21T13:30:32 --startdatetime 2017-12-21T13:42:28 --delay 109 --endMP 204:1602 --enddatetime 2017-12-21T14:19:23 --enforcementcount 0 &gt;&gt;%USERPROFILE%\Documents\GitHub\eaglep3-reporting\EC\2017-12-21-refined-times.txt</v>
      </c>
      <c r="AI89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{"issue":{"subject":"","project_id":79,"tracker_id":40,"status_id":1,"priority_id":2,"assigned_to_id":338,"start_date":"2017-12-21","description":"","custom_fields":[{"id":1,"name":"Subdivision","value":"EC"},{"id":4,"name":"Milepost","value":"0.1602"},{"id":17,"name":"Train ID","value":"174-21"},{"id":16,"name":"Locomotive ID","value":"4027"},{"id":130,"name":"Impact","value":""},{"id":150,"name":"Time of Event (Mountain Time)","value":"14:19:23"},{"id":151,"name":"Denver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52"/>
        <v>start /low /b %USERPROFILE%\Documents\GitHub\eaglep3\Utilities\DownloadLogsFromS3.py --loco 4027 --day 2017-12-21</v>
      </c>
      <c r="AN89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54"/>
        <v>https://d0f6bd738d7f1b3e5a7ca70fe4ff75f0.us-east-1.aws.found.io/app/kibana#/discover/Steve-Slow-Train-Analysis-(2080s-and-2083s)?_g=(refreshInterval:(display:Off,pause:!f,section:0,value:0),time:(from:'2017-12-21T12:30:32-0700',mode:absolute,to:'2017-12-21T15:19:23-0700'))&amp;_a=(columns:!('Message%20ID',Summary),filters:!(),index:'emp_*',interval:auto,query:(query_string:(analyze_wildcard:!t,query:'%22rtdc.l.rtdc.4027%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791</v>
      </c>
      <c r="B90" s="224">
        <v>4018</v>
      </c>
      <c r="C90" s="226" t="s">
        <v>192</v>
      </c>
      <c r="D90" s="226" t="s">
        <v>478</v>
      </c>
      <c r="E90" s="225">
        <v>43090.537418981483</v>
      </c>
      <c r="F90" s="225">
        <v>43090.542442129627</v>
      </c>
      <c r="G90" s="224">
        <v>54</v>
      </c>
      <c r="H90" s="226" t="s">
        <v>932</v>
      </c>
      <c r="I90" s="225">
        <v>43090.574155092596</v>
      </c>
      <c r="J90" s="224">
        <v>0</v>
      </c>
      <c r="K90" s="236" t="str">
        <f t="shared" si="39"/>
        <v>4017/4018</v>
      </c>
      <c r="L90" s="244" t="str">
        <f>VLOOKUP(A90,'Trips&amp;Operators'!$C$1:$G$99911,5,FALSE)</f>
        <v>NEWELL JAMES</v>
      </c>
      <c r="M90" s="223">
        <f t="shared" si="40"/>
        <v>3.1712962969322689E-2</v>
      </c>
      <c r="N90" s="224">
        <f t="shared" si="57"/>
        <v>45.666666675824672</v>
      </c>
      <c r="O90" s="224"/>
      <c r="P90" s="224"/>
      <c r="Q90" s="227"/>
      <c r="R90" s="241"/>
      <c r="S90" s="248">
        <f t="shared" si="55"/>
        <v>1</v>
      </c>
      <c r="T90" s="241" t="str">
        <f t="shared" si="41"/>
        <v>NorthBound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42"/>
        <v>https://d0f6bd738d7f1b3e5a7ca70fe4ff75f0.us-east-1.aws.found.io/app/kibana#/discover/Steve-Slow-Train-Analysis-(2080s-and-2083s)?_g=(refreshInterval:(display:Off,pause:!f,section:0,value:0),time:(from:'2017-12-21T11:53:53-0700',mode:absolute,to:'2017-12-21T14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246" t="str">
        <f>IF(AA90&lt;VLOOKUP(AG90,Variables!$AC$3:$AD$8,2,FALSE),"Y","N")</f>
        <v>N</v>
      </c>
      <c r="X90" s="246">
        <f t="shared" si="43"/>
        <v>1</v>
      </c>
      <c r="Y90" s="246">
        <f t="shared" si="44"/>
        <v>5.0799999999999998E-2</v>
      </c>
      <c r="Z90" s="246">
        <f t="shared" si="56"/>
        <v>23.327400000000001</v>
      </c>
      <c r="AA90" s="246">
        <f t="shared" si="45"/>
        <v>23.276600000000002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46"/>
        <v>175</v>
      </c>
      <c r="AE90" s="234" t="str">
        <f t="shared" si="47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90" s="233" t="str">
        <f t="shared" si="48"/>
        <v>"C:\Program Files (x86)\AstroGrep\AstroGrep.exe" /e /r /s /spath="%USERPROFILE%\AppData\Local\Temp\OnboardLogs" /stypes="app*4018*201712212*" /stext=" 20:.+?(?&gt;(PRM\|1\|D)|(KPR)|(KDP)|(train st[a-z]+ moving)|(SYSTEM_STATE:s[a-z]+ state changed)|(Enforcement Action)|(\[TIMEOUT)|(parse_ebi_status: Penalty)|(\|GPPS))"</v>
      </c>
      <c r="AG90" s="243" t="str">
        <f t="shared" si="49"/>
        <v>EC</v>
      </c>
      <c r="AH90" s="235" t="str">
        <f t="shared" si="50"/>
        <v>"%USERPROFILE%\Documents\GitHub\eaglep3\Utilities\RefineRTDCRunTimes.py" --tripid 175-21 --locoid 4018 --swversion DE.1.0.9.0 --startMP 204:508 --initTime 2017-12-21T12:53:53 --startdatetime 2017-12-21T13:01:07 --delay 54 --endMP 204:233274 --enddatetime 2017-12-21T13:46:47 --enforcementcount 0 &gt;&gt;%USERPROFILE%\Documents\GitHub\eaglep3-reporting\EC\2017-12-21-refined-times.txt</v>
      </c>
      <c r="AI9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{"issue":{"subject":"","project_id":79,"tracker_id":40,"status_id":1,"priority_id":2,"assigned_to_id":338,"start_date":"2017-12-21","description":"","custom_fields":[{"id":1,"name":"Subdivision","value":"EC"},{"id":4,"name":"Milepost","value":"23.3274"},{"id":17,"name":"Train ID","value":"175-21"},{"id":16,"name":"Locomotive ID","value":"4018"},{"id":130,"name":"Impact","value":""},{"id":150,"name":"Time of Event (Mountain Time)","value":"13:46:47"},{"id":151,"name":"Denver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52"/>
        <v>start /low /b %USERPROFILE%\Documents\GitHub\eaglep3\Utilities\DownloadLogsFromS3.py --loco 4018 --day 2017-12-21</v>
      </c>
      <c r="AN90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20:46:47"},{"id":29,"name":"Sharepoint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54"/>
        <v>https://d0f6bd738d7f1b3e5a7ca70fe4ff75f0.us-east-1.aws.found.io/app/kibana#/discover/Steve-Slow-Train-Analysis-(2080s-and-2083s)?_g=(refreshInterval:(display:Off,pause:!f,section:0,value:0),time:(from:'2017-12-21T11:53:53-0700',mode:absolute,to:'2017-12-21T14:46:47-0700'))&amp;_a=(columns:!('Message%20ID',Summary),filters:!(),index:'emp_*',interval:auto,query:(query_string:(analyze_wildcard:!t,query:'%22rtdc.l.rtdc.4018%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797</v>
      </c>
      <c r="B91" s="224">
        <v>4017</v>
      </c>
      <c r="C91" s="226" t="s">
        <v>192</v>
      </c>
      <c r="D91" s="226" t="s">
        <v>599</v>
      </c>
      <c r="E91" s="225">
        <v>43090.576053240744</v>
      </c>
      <c r="F91" s="225">
        <v>43090.581458333334</v>
      </c>
      <c r="G91" s="224">
        <v>54</v>
      </c>
      <c r="H91" s="226" t="s">
        <v>962</v>
      </c>
      <c r="I91" s="225">
        <v>43090.606921296298</v>
      </c>
      <c r="J91" s="224">
        <v>0</v>
      </c>
      <c r="K91" s="236" t="str">
        <f t="shared" si="39"/>
        <v>4017/4018</v>
      </c>
      <c r="L91" s="244" t="str">
        <f>VLOOKUP(A91,'Trips&amp;Operators'!$C$1:$G$99911,5,FALSE)</f>
        <v>NEWELL JAMES</v>
      </c>
      <c r="M91" s="223">
        <f t="shared" si="40"/>
        <v>2.5462962963501923E-2</v>
      </c>
      <c r="N91" s="224">
        <f t="shared" si="57"/>
        <v>36.666666667442769</v>
      </c>
      <c r="O91" s="224"/>
      <c r="P91" s="224"/>
      <c r="Q91" s="227"/>
      <c r="R91" s="241"/>
      <c r="S91" s="248">
        <f t="shared" si="55"/>
        <v>1</v>
      </c>
      <c r="T91" s="241" t="str">
        <f t="shared" si="41"/>
        <v>Southbound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42"/>
        <v>https://d0f6bd738d7f1b3e5a7ca70fe4ff75f0.us-east-1.aws.found.io/app/kibana#/discover/Steve-Slow-Train-Analysis-(2080s-and-2083s)?_g=(refreshInterval:(display:Off,pause:!f,section:0,value:0),time:(from:'2017-12-21T12:49:31-0700',mode:absolute,to:'2017-12-21T15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246" t="str">
        <f>IF(AA91&lt;VLOOKUP(AG91,Variables!$AC$3:$AD$8,2,FALSE),"Y","N")</f>
        <v>N</v>
      </c>
      <c r="X91" s="246">
        <f t="shared" si="43"/>
        <v>1</v>
      </c>
      <c r="Y91" s="246">
        <f t="shared" si="44"/>
        <v>23.296199999999999</v>
      </c>
      <c r="Z91" s="246">
        <f t="shared" si="56"/>
        <v>0.1157</v>
      </c>
      <c r="AA91" s="246">
        <f t="shared" si="45"/>
        <v>23.180499999999999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46"/>
        <v>176</v>
      </c>
      <c r="AE91" s="234" t="str">
        <f t="shared" si="47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91" s="233" t="str">
        <f t="shared" si="48"/>
        <v>"C:\Program Files (x86)\AstroGrep\AstroGrep.exe" /e /r /s /spath="%USERPROFILE%\AppData\Local\Temp\OnboardLogs" /stypes="app*4017*201712212*" /stext=" 21:.+?(?&gt;(PRM\|1\|D)|(KPR)|(KDP)|(train st[a-z]+ moving)|(SYSTEM_STATE:s[a-z]+ state changed)|(Enforcement Action)|(\[TIMEOUT)|(parse_ebi_status: Penalty)|(\|GPPS))"</v>
      </c>
      <c r="AG91" s="243" t="str">
        <f t="shared" si="49"/>
        <v>EC</v>
      </c>
      <c r="AH91" s="235" t="str">
        <f t="shared" si="50"/>
        <v>"%USERPROFILE%\Documents\GitHub\eaglep3\Utilities\RefineRTDCRunTimes.py" --tripid 176-21 --locoid 4017 --swversion DE.1.0.9.0 --startMP 204:232962 --initTime 2017-12-21T13:49:31 --startdatetime 2017-12-21T13:57:18 --delay 54 --endMP 204:1157 --enddatetime 2017-12-21T14:33:58 --enforcementcount 0 &gt;&gt;%USERPROFILE%\Documents\GitHub\eaglep3-reporting\EC\2017-12-21-refined-times.txt</v>
      </c>
      <c r="AI91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{"issue":{"subject":"","project_id":79,"tracker_id":40,"status_id":1,"priority_id":2,"assigned_to_id":338,"start_date":"2017-12-21","description":"","custom_fields":[{"id":1,"name":"Subdivision","value":"EC"},{"id":4,"name":"Milepost","value":"0.1157"},{"id":17,"name":"Train ID","value":"176-21"},{"id":16,"name":"Locomotive ID","value":"4017"},{"id":130,"name":"Impact","value":""},{"id":150,"name":"Time of Event (Mountain Time)","value":"14:33:58"},{"id":151,"name":"Denver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52"/>
        <v>start /low /b %USERPROFILE%\Documents\GitHub\eaglep3\Utilities\DownloadLogsFromS3.py --loco 4017 --day 2017-12-21</v>
      </c>
      <c r="AN91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54"/>
        <v>https://d0f6bd738d7f1b3e5a7ca70fe4ff75f0.us-east-1.aws.found.io/app/kibana#/discover/Steve-Slow-Train-Analysis-(2080s-and-2083s)?_g=(refreshInterval:(display:Off,pause:!f,section:0,value:0),time:(from:'2017-12-21T12:49:31-0700',mode:absolute,to:'2017-12-21T15:33:58-0700'))&amp;_a=(columns:!('Message%20ID',Summary),filters:!(),index:'emp_*',interval:auto,query:(query_string:(analyze_wildcard:!t,query:'%22rtdc.l.rtdc.4017%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792</v>
      </c>
      <c r="B92" s="224">
        <v>4054</v>
      </c>
      <c r="C92" s="226" t="s">
        <v>192</v>
      </c>
      <c r="D92" s="226" t="s">
        <v>478</v>
      </c>
      <c r="E92" s="225">
        <v>43090.548009259262</v>
      </c>
      <c r="F92" s="225">
        <v>43090.55228009259</v>
      </c>
      <c r="G92" s="224">
        <v>57</v>
      </c>
      <c r="H92" s="226" t="s">
        <v>963</v>
      </c>
      <c r="I92" s="225">
        <v>43090.578703703701</v>
      </c>
      <c r="J92" s="224">
        <v>0</v>
      </c>
      <c r="K92" s="236" t="str">
        <f t="shared" si="39"/>
        <v>4053/4054</v>
      </c>
      <c r="L92" s="244" t="str">
        <f>VLOOKUP(A92,'Trips&amp;Operators'!$C$1:$G$99911,5,FALSE)</f>
        <v>STEWART MICHAEL</v>
      </c>
      <c r="M92" s="223">
        <f t="shared" si="40"/>
        <v>2.6423611110658385E-2</v>
      </c>
      <c r="N92" s="224">
        <f t="shared" si="57"/>
        <v>38.049999999348074</v>
      </c>
      <c r="O92" s="224"/>
      <c r="P92" s="224"/>
      <c r="Q92" s="227"/>
      <c r="R92" s="241"/>
      <c r="S92" s="248">
        <f t="shared" si="55"/>
        <v>1</v>
      </c>
      <c r="T92" s="241" t="str">
        <f t="shared" si="41"/>
        <v>NorthBound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42"/>
        <v>https://d0f6bd738d7f1b3e5a7ca70fe4ff75f0.us-east-1.aws.found.io/app/kibana#/discover/Steve-Slow-Train-Analysis-(2080s-and-2083s)?_g=(refreshInterval:(display:Off,pause:!f,section:0,value:0),time:(from:'2017-12-21T12:09:08-0700',mode:absolute,to:'2017-12-21T14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246" t="str">
        <f>IF(AA92&lt;VLOOKUP(AG92,Variables!$AC$3:$AD$8,2,FALSE),"Y","N")</f>
        <v>N</v>
      </c>
      <c r="X92" s="246">
        <f t="shared" si="43"/>
        <v>1</v>
      </c>
      <c r="Y92" s="246">
        <f t="shared" si="44"/>
        <v>5.0799999999999998E-2</v>
      </c>
      <c r="Z92" s="246">
        <f t="shared" si="56"/>
        <v>23.325700000000001</v>
      </c>
      <c r="AA92" s="246">
        <f t="shared" si="45"/>
        <v>23.274900000000002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46"/>
        <v>177</v>
      </c>
      <c r="AE92" s="234" t="str">
        <f t="shared" si="4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92" s="233" t="str">
        <f t="shared" si="48"/>
        <v>"C:\Program Files (x86)\AstroGrep\AstroGrep.exe" /e /r /s /spath="%USERPROFILE%\AppData\Local\Temp\OnboardLogs" /stypes="app*4054*201712212*" /stext=" 20:.+?(?&gt;(PRM\|1\|D)|(KPR)|(KDP)|(train st[a-z]+ moving)|(SYSTEM_STATE:s[a-z]+ state changed)|(Enforcement Action)|(\[TIMEOUT)|(parse_ebi_status: Penalty)|(\|GPPS))"</v>
      </c>
      <c r="AG92" s="243" t="str">
        <f t="shared" si="49"/>
        <v>EC</v>
      </c>
      <c r="AH92" s="235" t="str">
        <f t="shared" si="50"/>
        <v>"%USERPROFILE%\Documents\GitHub\eaglep3\Utilities\RefineRTDCRunTimes.py" --tripid 177-21 --locoid 4054 --swversion DE.1.0.9.0 --startMP 204:508 --initTime 2017-12-21T13:09:08 --startdatetime 2017-12-21T13:15:17 --delay 57 --endMP 204:233257 --enddatetime 2017-12-21T13:53:20 --enforcementcount 0 &gt;&gt;%USERPROFILE%\Documents\GitHub\eaglep3-reporting\EC\2017-12-21-refined-times.txt</v>
      </c>
      <c r="AI92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{"issue":{"subject":"","project_id":79,"tracker_id":40,"status_id":1,"priority_id":2,"assigned_to_id":338,"start_date":"2017-12-21","description":"","custom_fields":[{"id":1,"name":"Subdivision","value":"EC"},{"id":4,"name":"Milepost","value":"23.3257"},{"id":17,"name":"Train ID","value":"177-21"},{"id":16,"name":"Locomotive ID","value":"4054"},{"id":130,"name":"Impact","value":""},{"id":150,"name":"Time of Event (Mountain Time)","value":"13:53:20"},{"id":151,"name":"Denver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52"/>
        <v>start /low /b %USERPROFILE%\Documents\GitHub\eaglep3\Utilities\DownloadLogsFromS3.py --loco 4054 --day 2017-12-21</v>
      </c>
      <c r="AN92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54"/>
        <v>https://d0f6bd738d7f1b3e5a7ca70fe4ff75f0.us-east-1.aws.found.io/app/kibana#/discover/Steve-Slow-Train-Analysis-(2080s-and-2083s)?_g=(refreshInterval:(display:Off,pause:!f,section:0,value:0),time:(from:'2017-12-21T12:09:08-0700',mode:absolute,to:'2017-12-21T14:53:20-0700'))&amp;_a=(columns:!('Message%20ID',Summary),filters:!(),index:'emp_*',interval:auto,query:(query_string:(analyze_wildcard:!t,query:'%22rtdc.l.rtdc.4054%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800</v>
      </c>
      <c r="B93" s="224">
        <v>4053</v>
      </c>
      <c r="C93" s="226" t="s">
        <v>192</v>
      </c>
      <c r="D93" s="226" t="s">
        <v>525</v>
      </c>
      <c r="E93" s="225">
        <v>43090.586770833332</v>
      </c>
      <c r="F93" s="225">
        <v>43090.591863425929</v>
      </c>
      <c r="G93" s="224">
        <v>77</v>
      </c>
      <c r="H93" s="226" t="s">
        <v>477</v>
      </c>
      <c r="I93" s="225">
        <v>43090.617951388886</v>
      </c>
      <c r="J93" s="224">
        <v>0</v>
      </c>
      <c r="K93" s="236" t="str">
        <f t="shared" si="39"/>
        <v>4053/4054</v>
      </c>
      <c r="L93" s="244" t="str">
        <f>VLOOKUP(A93,'Trips&amp;Operators'!$C$1:$G$99911,5,FALSE)</f>
        <v>STEWART MICHAEL</v>
      </c>
      <c r="M93" s="223">
        <f t="shared" si="40"/>
        <v>2.6087962956808042E-2</v>
      </c>
      <c r="N93" s="224">
        <f t="shared" si="57"/>
        <v>37.56666665780358</v>
      </c>
      <c r="O93" s="224"/>
      <c r="P93" s="224"/>
      <c r="Q93" s="227"/>
      <c r="R93" s="241"/>
      <c r="S93" s="248">
        <f t="shared" si="55"/>
        <v>1</v>
      </c>
      <c r="T93" s="241" t="str">
        <f t="shared" si="41"/>
        <v>Southbound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42"/>
        <v>https://d0f6bd738d7f1b3e5a7ca70fe4ff75f0.us-east-1.aws.found.io/app/kibana#/discover/Steve-Slow-Train-Analysis-(2080s-and-2083s)?_g=(refreshInterval:(display:Off,pause:!f,section:0,value:0),time:(from:'2017-12-21T13:04:57-0700',mode:absolute,to:'2017-12-21T15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246" t="str">
        <f>IF(AA93&lt;VLOOKUP(AG93,Variables!$AC$3:$AD$8,2,FALSE),"Y","N")</f>
        <v>N</v>
      </c>
      <c r="X93" s="246">
        <f t="shared" si="43"/>
        <v>1</v>
      </c>
      <c r="Y93" s="246">
        <f t="shared" si="44"/>
        <v>23.294</v>
      </c>
      <c r="Z93" s="246">
        <f t="shared" si="56"/>
        <v>2.01E-2</v>
      </c>
      <c r="AA93" s="246">
        <f t="shared" si="45"/>
        <v>23.273900000000001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46"/>
        <v>178</v>
      </c>
      <c r="AE93" s="234" t="str">
        <f t="shared" si="4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93" s="233" t="str">
        <f t="shared" si="48"/>
        <v>"C:\Program Files (x86)\AstroGrep\AstroGrep.exe" /e /r /s /spath="%USERPROFILE%\AppData\Local\Temp\OnboardLogs" /stypes="app*4053*201712212*" /stext=" 21:.+?(?&gt;(PRM\|1\|D)|(KPR)|(KDP)|(train st[a-z]+ moving)|(SYSTEM_STATE:s[a-z]+ state changed)|(Enforcement Action)|(\[TIMEOUT)|(parse_ebi_status: Penalty)|(\|GPPS))"</v>
      </c>
      <c r="AG93" s="243" t="str">
        <f t="shared" si="49"/>
        <v>EC</v>
      </c>
      <c r="AH93" s="235" t="str">
        <f t="shared" si="50"/>
        <v>"%USERPROFILE%\Documents\GitHub\eaglep3\Utilities\RefineRTDCRunTimes.py" --tripid 178-21 --locoid 4053 --swversion DE.1.0.9.0 --startMP 204:232940 --initTime 2017-12-21T14:04:57 --startdatetime 2017-12-21T14:12:17 --delay 77 --endMP 204:201 --enddatetime 2017-12-21T14:49:51 --enforcementcount 0 &gt;&gt;%USERPROFILE%\Documents\GitHub\eaglep3-reporting\EC\2017-12-21-refined-times.txt</v>
      </c>
      <c r="AI9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{"issue":{"subject":"","project_id":79,"tracker_id":40,"status_id":1,"priority_id":2,"assigned_to_id":338,"start_date":"2017-12-21","description":"","custom_fields":[{"id":1,"name":"Subdivision","value":"EC"},{"id":4,"name":"Milepost","value":"0.0201"},{"id":17,"name":"Train ID","value":"178-21"},{"id":16,"name":"Locomotive ID","value":"4053"},{"id":130,"name":"Impact","value":""},{"id":150,"name":"Time of Event (Mountain Time)","value":"14:49:51"},{"id":151,"name":"Denver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52"/>
        <v>start /low /b %USERPROFILE%\Documents\GitHub\eaglep3\Utilities\DownloadLogsFromS3.py --loco 4053 --day 2017-12-21</v>
      </c>
      <c r="AN93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54"/>
        <v>https://d0f6bd738d7f1b3e5a7ca70fe4ff75f0.us-east-1.aws.found.io/app/kibana#/discover/Steve-Slow-Train-Analysis-(2080s-and-2083s)?_g=(refreshInterval:(display:Off,pause:!f,section:0,value:0),time:(from:'2017-12-21T13:04:57-0700',mode:absolute,to:'2017-12-21T15:49:51-0700'))&amp;_a=(columns:!('Message%20ID',Summary),filters:!(),index:'emp_*',interval:auto,query:(query_string:(analyze_wildcard:!t,query:'%22rtdc.l.rtdc.4053%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795</v>
      </c>
      <c r="B94" s="224">
        <v>4060</v>
      </c>
      <c r="C94" s="226" t="s">
        <v>192</v>
      </c>
      <c r="D94" s="226" t="s">
        <v>964</v>
      </c>
      <c r="E94" s="225">
        <v>43090.56050925926</v>
      </c>
      <c r="F94" s="225">
        <v>43090.562685185185</v>
      </c>
      <c r="G94" s="224">
        <v>55</v>
      </c>
      <c r="H94" s="226" t="s">
        <v>611</v>
      </c>
      <c r="I94" s="225">
        <v>43090.587268518517</v>
      </c>
      <c r="J94" s="224">
        <v>0</v>
      </c>
      <c r="K94" s="236" t="str">
        <f t="shared" si="39"/>
        <v>4059/4060</v>
      </c>
      <c r="L94" s="244" t="str">
        <f>VLOOKUP(A94,'Trips&amp;Operators'!$C$1:$G$99911,5,FALSE)</f>
        <v>LEVIN SCOTT</v>
      </c>
      <c r="M94" s="223">
        <f t="shared" si="40"/>
        <v>2.4583333331975155E-2</v>
      </c>
      <c r="N94" s="224">
        <f t="shared" si="57"/>
        <v>35.399999998044223</v>
      </c>
      <c r="O94" s="224"/>
      <c r="P94" s="224"/>
      <c r="Q94" s="227"/>
      <c r="R94" s="241"/>
      <c r="S94" s="248">
        <f t="shared" si="55"/>
        <v>1</v>
      </c>
      <c r="T94" s="241" t="str">
        <f t="shared" si="41"/>
        <v>NorthBound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42"/>
        <v>https://d0f6bd738d7f1b3e5a7ca70fe4ff75f0.us-east-1.aws.found.io/app/kibana#/discover/Steve-Slow-Train-Analysis-(2080s-and-2083s)?_g=(refreshInterval:(display:Off,pause:!f,section:0,value:0),time:(from:'2017-12-21T12:27:08-0700',mode:absolute,to:'2017-12-21T15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4" s="246" t="str">
        <f>IF(AA94&lt;VLOOKUP(AG94,Variables!$AC$3:$AD$8,2,FALSE),"Y","N")</f>
        <v>N</v>
      </c>
      <c r="X94" s="246">
        <f t="shared" si="43"/>
        <v>1</v>
      </c>
      <c r="Y94" s="246">
        <f t="shared" si="44"/>
        <v>4.7800000000000002E-2</v>
      </c>
      <c r="Z94" s="246">
        <f t="shared" si="56"/>
        <v>23.333200000000001</v>
      </c>
      <c r="AA94" s="246">
        <f t="shared" si="45"/>
        <v>23.285400000000003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46"/>
        <v>179</v>
      </c>
      <c r="AE94" s="234" t="str">
        <f t="shared" si="47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94" s="233" t="str">
        <f t="shared" si="48"/>
        <v>"C:\Program Files (x86)\AstroGrep\AstroGrep.exe" /e /r /s /spath="%USERPROFILE%\AppData\Local\Temp\OnboardLogs" /stypes="app*4060*201712212*" /stext=" 21:.+?(?&gt;(PRM\|1\|D)|(KPR)|(KDP)|(train st[a-z]+ moving)|(SYSTEM_STATE:s[a-z]+ state changed)|(Enforcement Action)|(\[TIMEOUT)|(parse_ebi_status: Penalty)|(\|GPPS))"</v>
      </c>
      <c r="AG94" s="243" t="str">
        <f t="shared" si="49"/>
        <v>EC</v>
      </c>
      <c r="AH94" s="235" t="str">
        <f t="shared" si="50"/>
        <v>"%USERPROFILE%\Documents\GitHub\eaglep3\Utilities\RefineRTDCRunTimes.py" --tripid 179-21 --locoid 4060 --swversion DE.1.0.9.0 --startMP 204:478 --initTime 2017-12-21T13:27:08 --startdatetime 2017-12-21T13:30:16 --delay 55 --endMP 204:233332 --enddatetime 2017-12-21T14:05:40 --enforcementcount 0 &gt;&gt;%USERPROFILE%\Documents\GitHub\eaglep3-reporting\EC\2017-12-21-refined-times.txt</v>
      </c>
      <c r="AI9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{"issue":{"subject":"","project_id":79,"tracker_id":40,"status_id":1,"priority_id":2,"assigned_to_id":338,"start_date":"2017-12-21","description":"","custom_fields":[{"id":1,"name":"Subdivision","value":"EC"},{"id":4,"name":"Milepost","value":"23.3332"},{"id":17,"name":"Train ID","value":"179-21"},{"id":16,"name":"Locomotive ID","value":"4060"},{"id":130,"name":"Impact","value":""},{"id":150,"name":"Time of Event (Mountain Time)","value":"14:05:40"},{"id":151,"name":"Denver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52"/>
        <v>start /low /b %USERPROFILE%\Documents\GitHub\eaglep3\Utilities\DownloadLogsFromS3.py --loco 4060 --day 2017-12-21</v>
      </c>
      <c r="AN94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54"/>
        <v>https://d0f6bd738d7f1b3e5a7ca70fe4ff75f0.us-east-1.aws.found.io/app/kibana#/discover/Steve-Slow-Train-Analysis-(2080s-and-2083s)?_g=(refreshInterval:(display:Off,pause:!f,section:0,value:0),time:(from:'2017-12-21T12:27:08-0700',mode:absolute,to:'2017-12-21T15:05:40-0700'))&amp;_a=(columns:!('Message%20ID',Summary),filters:!(),index:'emp_*',interval:auto,query:(query_string:(analyze_wildcard:!t,query:'%22rtdc.l.rtdc.4060%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802</v>
      </c>
      <c r="B95" s="224">
        <v>4059</v>
      </c>
      <c r="C95" s="226" t="s">
        <v>192</v>
      </c>
      <c r="D95" s="226" t="s">
        <v>609</v>
      </c>
      <c r="E95" s="225">
        <v>43090.59175925926</v>
      </c>
      <c r="F95" s="225">
        <v>43090.602349537039</v>
      </c>
      <c r="G95" s="224">
        <v>53</v>
      </c>
      <c r="H95" s="226" t="s">
        <v>1100</v>
      </c>
      <c r="I95" s="225">
        <v>43090.629386574074</v>
      </c>
      <c r="J95" s="224">
        <v>0</v>
      </c>
      <c r="K95" s="236" t="str">
        <f t="shared" si="39"/>
        <v>4059/4060</v>
      </c>
      <c r="L95" s="244" t="str">
        <f>VLOOKUP(A95,'Trips&amp;Operators'!$C$1:$G$99911,5,FALSE)</f>
        <v>LEVIN SCOTT</v>
      </c>
      <c r="M95" s="223">
        <f t="shared" si="40"/>
        <v>2.7037037034460809E-2</v>
      </c>
      <c r="N95" s="224">
        <f t="shared" si="57"/>
        <v>38.933333329623565</v>
      </c>
      <c r="O95" s="224"/>
      <c r="P95" s="224"/>
      <c r="Q95" s="227"/>
      <c r="R95" s="241"/>
      <c r="S95" s="248">
        <f t="shared" si="55"/>
        <v>1</v>
      </c>
      <c r="T95" s="241" t="str">
        <f t="shared" si="41"/>
        <v>Southbound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42"/>
        <v>https://d0f6bd738d7f1b3e5a7ca70fe4ff75f0.us-east-1.aws.found.io/app/kibana#/discover/Steve-Slow-Train-Analysis-(2080s-and-2083s)?_g=(refreshInterval:(display:Off,pause:!f,section:0,value:0),time:(from:'2017-12-21T13:12:08-0700',mode:absolute,to:'2017-12-21T16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5" s="246" t="str">
        <f>IF(AA95&lt;VLOOKUP(AG95,Variables!$AC$3:$AD$8,2,FALSE),"Y","N")</f>
        <v>N</v>
      </c>
      <c r="X95" s="246">
        <f t="shared" si="43"/>
        <v>1</v>
      </c>
      <c r="Y95" s="246">
        <f t="shared" si="44"/>
        <v>23.302299999999999</v>
      </c>
      <c r="Z95" s="246">
        <f t="shared" si="56"/>
        <v>1.6299999999999999E-2</v>
      </c>
      <c r="AA95" s="246">
        <f t="shared" si="45"/>
        <v>23.285999999999998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46"/>
        <v>180</v>
      </c>
      <c r="AE95" s="234" t="str">
        <f t="shared" si="47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95" s="233" t="str">
        <f t="shared" si="48"/>
        <v>"C:\Program Files (x86)\AstroGrep\AstroGrep.exe" /e /r /s /spath="%USERPROFILE%\AppData\Local\Temp\OnboardLogs" /stypes="app*4059*201712212*" /stext=" 22:.+?(?&gt;(PRM\|1\|D)|(KPR)|(KDP)|(train st[a-z]+ moving)|(SYSTEM_STATE:s[a-z]+ state changed)|(Enforcement Action)|(\[TIMEOUT)|(parse_ebi_status: Penalty)|(\|GPPS))"</v>
      </c>
      <c r="AG95" s="243" t="str">
        <f t="shared" si="49"/>
        <v>EC</v>
      </c>
      <c r="AH95" s="235" t="str">
        <f t="shared" si="50"/>
        <v>"%USERPROFILE%\Documents\GitHub\eaglep3\Utilities\RefineRTDCRunTimes.py" --tripid 180-21 --locoid 4059 --swversion DE.1.0.9.0 --startMP 204:233023 --initTime 2017-12-21T14:12:08 --startdatetime 2017-12-21T14:27:23 --delay 53 --endMP 204:163 --enddatetime 2017-12-21T15:06:19 --enforcementcount 0 &gt;&gt;%USERPROFILE%\Documents\GitHub\eaglep3-reporting\EC\2017-12-21-refined-times.txt</v>
      </c>
      <c r="AI9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{"issue":{"subject":"","project_id":79,"tracker_id":40,"status_id":1,"priority_id":2,"assigned_to_id":338,"start_date":"2017-12-21","description":"","custom_fields":[{"id":1,"name":"Subdivision","value":"EC"},{"id":4,"name":"Milepost","value":"0.0163"},{"id":17,"name":"Train ID","value":"180-21"},{"id":16,"name":"Locomotive ID","value":"4059"},{"id":130,"name":"Impact","value":""},{"id":150,"name":"Time of Event (Mountain Time)","value":"15:06:19"},{"id":151,"name":"Denver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52"/>
        <v>start /low /b %USERPROFILE%\Documents\GitHub\eaglep3\Utilities\DownloadLogsFromS3.py --loco 4059 --day 2017-12-21</v>
      </c>
      <c r="AN95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54"/>
        <v>https://d0f6bd738d7f1b3e5a7ca70fe4ff75f0.us-east-1.aws.found.io/app/kibana#/discover/Steve-Slow-Train-Analysis-(2080s-and-2083s)?_g=(refreshInterval:(display:Off,pause:!f,section:0,value:0),time:(from:'2017-12-21T13:12:08-0700',mode:absolute,to:'2017-12-21T16:06:19-0700'))&amp;_a=(columns:!('Message%20ID',Summary),filters:!(),index:'emp_*',interval:auto,query:(query_string:(analyze_wildcard:!t,query:'%22rtdc.l.rtdc.4059%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796</v>
      </c>
      <c r="B96" s="224">
        <v>4034</v>
      </c>
      <c r="C96" s="226" t="s">
        <v>192</v>
      </c>
      <c r="D96" s="226" t="s">
        <v>615</v>
      </c>
      <c r="E96" s="225">
        <v>43090.568668981483</v>
      </c>
      <c r="F96" s="225">
        <v>43090.573078703703</v>
      </c>
      <c r="G96" s="224">
        <v>53</v>
      </c>
      <c r="H96" s="226" t="s">
        <v>491</v>
      </c>
      <c r="I96" s="225">
        <v>43090.598194444443</v>
      </c>
      <c r="J96" s="224">
        <v>0</v>
      </c>
      <c r="K96" s="236" t="str">
        <f t="shared" si="39"/>
        <v>4033/4034</v>
      </c>
      <c r="L96" s="244" t="str">
        <f>VLOOKUP(A96,'Trips&amp;Operators'!$C$1:$G$99911,5,FALSE)</f>
        <v>ROBINSON KADDIBA</v>
      </c>
      <c r="M96" s="223">
        <f t="shared" si="40"/>
        <v>2.5115740740147885E-2</v>
      </c>
      <c r="N96" s="224">
        <f t="shared" si="57"/>
        <v>36.166666665812954</v>
      </c>
      <c r="O96" s="224"/>
      <c r="P96" s="224"/>
      <c r="Q96" s="227"/>
      <c r="R96" s="241"/>
      <c r="S96" s="248">
        <f t="shared" si="55"/>
        <v>1</v>
      </c>
      <c r="T96" s="241" t="str">
        <f t="shared" si="41"/>
        <v>NorthBound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42"/>
        <v>https://d0f6bd738d7f1b3e5a7ca70fe4ff75f0.us-east-1.aws.found.io/app/kibana#/discover/Steve-Slow-Train-Analysis-(2080s-and-2083s)?_g=(refreshInterval:(display:Off,pause:!f,section:0,value:0),time:(from:'2017-12-21T12:38:53-0700',mode:absolute,to:'2017-12-21T15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46" t="str">
        <f>IF(AA96&lt;VLOOKUP(AG96,Variables!$AC$3:$AD$8,2,FALSE),"Y","N")</f>
        <v>N</v>
      </c>
      <c r="X96" s="246">
        <f t="shared" si="43"/>
        <v>1</v>
      </c>
      <c r="Y96" s="246">
        <f t="shared" si="44"/>
        <v>5.0599999999999999E-2</v>
      </c>
      <c r="Z96" s="246">
        <f t="shared" si="56"/>
        <v>23.329499999999999</v>
      </c>
      <c r="AA96" s="246">
        <f t="shared" si="45"/>
        <v>23.2789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46"/>
        <v>181</v>
      </c>
      <c r="AE96" s="234" t="str">
        <f t="shared" si="4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96" s="233" t="str">
        <f t="shared" si="48"/>
        <v>"C:\Program Files (x86)\AstroGrep\AstroGrep.exe" /e /r /s /spath="%USERPROFILE%\AppData\Local\Temp\OnboardLogs" /stypes="app*4034*201712212*" /stext=" 21:.+?(?&gt;(PRM\|1\|D)|(KPR)|(KDP)|(train st[a-z]+ moving)|(SYSTEM_STATE:s[a-z]+ state changed)|(Enforcement Action)|(\[TIMEOUT)|(parse_ebi_status: Penalty)|(\|GPPS))"</v>
      </c>
      <c r="AG96" s="243" t="str">
        <f t="shared" si="49"/>
        <v>EC</v>
      </c>
      <c r="AH96" s="235" t="str">
        <f t="shared" si="50"/>
        <v>"%USERPROFILE%\Documents\GitHub\eaglep3\Utilities\RefineRTDCRunTimes.py" --tripid 181-21 --locoid 4034 --swversion DE.1.0.9.0 --startMP 204:506 --initTime 2017-12-21T13:38:53 --startdatetime 2017-12-21T13:45:14 --delay 53 --endMP 204:233295 --enddatetime 2017-12-21T14:21:24 --enforcementcount 0 &gt;&gt;%USERPROFILE%\Documents\GitHub\eaglep3-reporting\EC\2017-12-21-refined-times.txt</v>
      </c>
      <c r="AI9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{"issue":{"subject":"","project_id":79,"tracker_id":40,"status_id":1,"priority_id":2,"assigned_to_id":338,"start_date":"2017-12-21","description":"","custom_fields":[{"id":1,"name":"Subdivision","value":"EC"},{"id":4,"name":"Milepost","value":"23.3295"},{"id":17,"name":"Train ID","value":"181-21"},{"id":16,"name":"Locomotive ID","value":"4034"},{"id":130,"name":"Impact","value":""},{"id":150,"name":"Time of Event (Mountain Time)","value":"14:21:24"},{"id":151,"name":"Denver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52"/>
        <v>start /low /b %USERPROFILE%\Documents\GitHub\eaglep3\Utilities\DownloadLogsFromS3.py --loco 4034 --day 2017-12-21</v>
      </c>
      <c r="AN96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54"/>
        <v>https://d0f6bd738d7f1b3e5a7ca70fe4ff75f0.us-east-1.aws.found.io/app/kibana#/discover/Steve-Slow-Train-Analysis-(2080s-and-2083s)?_g=(refreshInterval:(display:Off,pause:!f,section:0,value:0),time:(from:'2017-12-21T12:38:53-0700',mode:absolute,to:'2017-12-21T15:21:24-0700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677</v>
      </c>
      <c r="B97" s="224">
        <v>4033</v>
      </c>
      <c r="C97" s="226" t="s">
        <v>192</v>
      </c>
      <c r="D97" s="226" t="s">
        <v>925</v>
      </c>
      <c r="E97" s="225">
        <v>43090.603009259263</v>
      </c>
      <c r="F97" s="225">
        <v>43090.612673611111</v>
      </c>
      <c r="G97" s="224">
        <v>57</v>
      </c>
      <c r="H97" s="226" t="s">
        <v>475</v>
      </c>
      <c r="I97" s="225">
        <v>43090.639826388891</v>
      </c>
      <c r="J97" s="224">
        <v>0</v>
      </c>
      <c r="K97" s="236" t="str">
        <f t="shared" si="39"/>
        <v>4033/4034</v>
      </c>
      <c r="L97" s="244" t="str">
        <f>VLOOKUP(A97,'Trips&amp;Operators'!$C$1:$G$99911,5,FALSE)</f>
        <v>ROBINSON KADDIBA</v>
      </c>
      <c r="M97" s="223">
        <f t="shared" si="40"/>
        <v>2.715277778042946E-2</v>
      </c>
      <c r="N97" s="224">
        <f t="shared" si="57"/>
        <v>39.100000003818423</v>
      </c>
      <c r="O97" s="224"/>
      <c r="P97" s="224"/>
      <c r="Q97" s="227"/>
      <c r="R97" s="241"/>
      <c r="S97" s="248">
        <f t="shared" si="55"/>
        <v>1</v>
      </c>
      <c r="T97" s="241" t="str">
        <f t="shared" si="41"/>
        <v>Southbound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42"/>
        <v>https://d0f6bd738d7f1b3e5a7ca70fe4ff75f0.us-east-1.aws.found.io/app/kibana#/discover/Steve-Slow-Train-Analysis-(2080s-and-2083s)?_g=(refreshInterval:(display:Off,pause:!f,section:0,value:0),time:(from:'2017-12-21T13:28:20-0700',mode:absolute,to:'2017-12-21T16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6" t="str">
        <f>IF(AA97&lt;VLOOKUP(AG97,Variables!$AC$3:$AD$8,2,FALSE),"Y","N")</f>
        <v>N</v>
      </c>
      <c r="X97" s="246">
        <f t="shared" si="43"/>
        <v>1</v>
      </c>
      <c r="Y97" s="246">
        <f t="shared" si="44"/>
        <v>23.2971</v>
      </c>
      <c r="Z97" s="246">
        <f t="shared" si="56"/>
        <v>1.89E-2</v>
      </c>
      <c r="AA97" s="246">
        <f t="shared" si="45"/>
        <v>23.278200000000002</v>
      </c>
      <c r="AB97" s="232" t="str">
        <f>VLOOKUP(A97,Enforcements!$C$7:$K$9,8,0)</f>
        <v>Bulletin (2)</v>
      </c>
      <c r="AC97" s="231" t="str">
        <f>VLOOKUP(A97,Enforcements!$C$7:$E$9,3,0)</f>
        <v>GRADE CROSSING</v>
      </c>
      <c r="AD97" s="242">
        <f t="shared" si="46"/>
        <v>182</v>
      </c>
      <c r="AE97" s="234" t="str">
        <f t="shared" si="4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97" s="233" t="str">
        <f t="shared" si="48"/>
        <v>"C:\Program Files (x86)\AstroGrep\AstroGrep.exe" /e /r /s /spath="%USERPROFILE%\AppData\Local\Temp\OnboardLogs" /stypes="app*4033*201712212*" /stext=" 22:.+?(?&gt;(PRM\|1\|D)|(KPR)|(KDP)|(train st[a-z]+ moving)|(SYSTEM_STATE:s[a-z]+ state changed)|(Enforcement Action)|(\[TIMEOUT)|(parse_ebi_status: Penalty)|(\|GPPS))"</v>
      </c>
      <c r="AG97" s="243" t="str">
        <f t="shared" si="49"/>
        <v>EC</v>
      </c>
      <c r="AH97" s="235" t="str">
        <f t="shared" si="50"/>
        <v>"%USERPROFILE%\Documents\GitHub\eaglep3\Utilities\RefineRTDCRunTimes.py" --tripid 182-21 --locoid 4033 --swversion DE.1.0.9.0 --startMP 204:232971 --initTime 2017-12-21T14:28:20 --startdatetime 2017-12-21T14:42:15 --delay 57 --endMP 204:189 --enddatetime 2017-12-21T15:21:21 --enforcementcount 0 &gt;&gt;%USERPROFILE%\Documents\GitHub\eaglep3-reporting\EC\2017-12-21-refined-times.txt</v>
      </c>
      <c r="AI9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{"issue":{"subject":"","project_id":79,"tracker_id":40,"status_id":1,"priority_id":2,"assigned_to_id":338,"start_date":"2017-12-21","description":"","custom_fields":[{"id":1,"name":"Subdivision","value":"EC"},{"id":4,"name":"Milepost","value":"0.0189"},{"id":17,"name":"Train ID","value":"182-21"},{"id":16,"name":"Locomotive ID","value":"4033"},{"id":130,"name":"Impact","value":""},{"id":150,"name":"Time of Event (Mountain Time)","value":"15:21:21"},{"id":151,"name":"Denver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52"/>
        <v>start /low /b %USERPROFILE%\Documents\GitHub\eaglep3\Utilities\DownloadLogsFromS3.py --loco 4033 --day 2017-12-21</v>
      </c>
      <c r="AN97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54"/>
        <v>https://d0f6bd738d7f1b3e5a7ca70fe4ff75f0.us-east-1.aws.found.io/app/kibana#/discover/Steve-Slow-Train-Analysis-(2080s-and-2083s)?_g=(refreshInterval:(display:Off,pause:!f,section:0,value:0),time:(from:'2017-12-21T13:28:20-0700',mode:absolute,to:'2017-12-21T16:21:21-0700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798</v>
      </c>
      <c r="B98" s="224">
        <v>4014</v>
      </c>
      <c r="C98" s="226" t="s">
        <v>192</v>
      </c>
      <c r="D98" s="226" t="s">
        <v>965</v>
      </c>
      <c r="E98" s="225">
        <v>43090.58090277778</v>
      </c>
      <c r="F98" s="225">
        <v>43090.584374999999</v>
      </c>
      <c r="G98" s="224">
        <v>71</v>
      </c>
      <c r="H98" s="226" t="s">
        <v>966</v>
      </c>
      <c r="I98" s="225">
        <v>43090.609861111108</v>
      </c>
      <c r="J98" s="224">
        <v>0</v>
      </c>
      <c r="K98" s="236" t="str">
        <f t="shared" si="39"/>
        <v>4013/4014</v>
      </c>
      <c r="L98" s="244" t="str">
        <f>VLOOKUP(A98,'Trips&amp;Operators'!$C$1:$G$99911,5,FALSE)</f>
        <v>LEVERE CRAIG</v>
      </c>
      <c r="M98" s="223">
        <f t="shared" si="40"/>
        <v>2.548611110978527E-2</v>
      </c>
      <c r="N98" s="224">
        <f t="shared" si="57"/>
        <v>36.699999998090789</v>
      </c>
      <c r="O98" s="224"/>
      <c r="P98" s="224"/>
      <c r="Q98" s="227"/>
      <c r="R98" s="241"/>
      <c r="S98" s="248">
        <f t="shared" si="55"/>
        <v>1</v>
      </c>
      <c r="T98" s="241" t="str">
        <f t="shared" si="41"/>
        <v>NorthBound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42"/>
        <v>https://d0f6bd738d7f1b3e5a7ca70fe4ff75f0.us-east-1.aws.found.io/app/kibana#/discover/Steve-Slow-Train-Analysis-(2080s-and-2083s)?_g=(refreshInterval:(display:Off,pause:!f,section:0,value:0),time:(from:'2017-12-21T12:56:30-0700',mode:absolute,to:'2017-12-21T15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8" s="246" t="str">
        <f>IF(AA98&lt;VLOOKUP(AG98,Variables!$AC$3:$AD$8,2,FALSE),"Y","N")</f>
        <v>N</v>
      </c>
      <c r="X98" s="246">
        <f t="shared" si="43"/>
        <v>1</v>
      </c>
      <c r="Y98" s="246">
        <f t="shared" si="44"/>
        <v>5.4199999999999998E-2</v>
      </c>
      <c r="Z98" s="246">
        <f t="shared" si="56"/>
        <v>23.326799999999999</v>
      </c>
      <c r="AA98" s="246">
        <f t="shared" si="45"/>
        <v>23.272599999999997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46"/>
        <v>183</v>
      </c>
      <c r="AE98" s="234" t="str">
        <f t="shared" si="47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98" s="233" t="str">
        <f t="shared" si="48"/>
        <v>"C:\Program Files (x86)\AstroGrep\AstroGrep.exe" /e /r /s /spath="%USERPROFILE%\AppData\Local\Temp\OnboardLogs" /stypes="app*4014*201712212*" /stext=" 21:.+?(?&gt;(PRM\|1\|D)|(KPR)|(KDP)|(train st[a-z]+ moving)|(SYSTEM_STATE:s[a-z]+ state changed)|(Enforcement Action)|(\[TIMEOUT)|(parse_ebi_status: Penalty)|(\|GPPS))"</v>
      </c>
      <c r="AG98" s="243" t="str">
        <f t="shared" si="49"/>
        <v>EC</v>
      </c>
      <c r="AH98" s="235" t="str">
        <f t="shared" si="50"/>
        <v>"%USERPROFILE%\Documents\GitHub\eaglep3\Utilities\RefineRTDCRunTimes.py" --tripid 183-21 --locoid 4014 --swversion DE.1.0.9.0 --startMP 204:542 --initTime 2017-12-21T13:56:30 --startdatetime 2017-12-21T14:01:30 --delay 71 --endMP 204:233268 --enddatetime 2017-12-21T14:38:12 --enforcementcount 0 &gt;&gt;%USERPROFILE%\Documents\GitHub\eaglep3-reporting\EC\2017-12-21-refined-times.txt</v>
      </c>
      <c r="AI98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{"issue":{"subject":"","project_id":79,"tracker_id":40,"status_id":1,"priority_id":2,"assigned_to_id":338,"start_date":"2017-12-21","description":"","custom_fields":[{"id":1,"name":"Subdivision","value":"EC"},{"id":4,"name":"Milepost","value":"23.3268"},{"id":17,"name":"Train ID","value":"183-21"},{"id":16,"name":"Locomotive ID","value":"4014"},{"id":130,"name":"Impact","value":""},{"id":150,"name":"Time of Event (Mountain Time)","value":"14:38:12"},{"id":151,"name":"Denver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52"/>
        <v>start /low /b %USERPROFILE%\Documents\GitHub\eaglep3\Utilities\DownloadLogsFromS3.py --loco 4014 --day 2017-12-21</v>
      </c>
      <c r="AN98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54"/>
        <v>https://d0f6bd738d7f1b3e5a7ca70fe4ff75f0.us-east-1.aws.found.io/app/kibana#/discover/Steve-Slow-Train-Analysis-(2080s-and-2083s)?_g=(refreshInterval:(display:Off,pause:!f,section:0,value:0),time:(from:'2017-12-21T12:56:30-0700',mode:absolute,to:'2017-12-21T15:38:12-0700'))&amp;_a=(columns:!('Message%20ID',Summary),filters:!(),index:'emp_*',interval:auto,query:(query_string:(analyze_wildcard:!t,query:'%22rtdc.l.rtdc.4014%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808</v>
      </c>
      <c r="B99" s="224">
        <v>4013</v>
      </c>
      <c r="C99" s="226" t="s">
        <v>192</v>
      </c>
      <c r="D99" s="226" t="s">
        <v>494</v>
      </c>
      <c r="E99" s="225">
        <v>43090.615046296298</v>
      </c>
      <c r="F99" s="225">
        <v>43090.623124999998</v>
      </c>
      <c r="G99" s="224">
        <v>86</v>
      </c>
      <c r="H99" s="226" t="s">
        <v>914</v>
      </c>
      <c r="I99" s="225">
        <v>43090.64949074074</v>
      </c>
      <c r="J99" s="224">
        <v>0</v>
      </c>
      <c r="K99" s="236" t="str">
        <f t="shared" si="39"/>
        <v>4013/4014</v>
      </c>
      <c r="L99" s="244" t="str">
        <f>VLOOKUP(A99,'Trips&amp;Operators'!$C$1:$G$99911,5,FALSE)</f>
        <v>LEVERE CRAIG</v>
      </c>
      <c r="M99" s="223">
        <f t="shared" si="40"/>
        <v>2.6365740741312038E-2</v>
      </c>
      <c r="N99" s="224">
        <f t="shared" si="57"/>
        <v>37.966666667489335</v>
      </c>
      <c r="O99" s="224"/>
      <c r="P99" s="224"/>
      <c r="Q99" s="227"/>
      <c r="R99" s="241"/>
      <c r="S99" s="248">
        <f t="shared" si="55"/>
        <v>1</v>
      </c>
      <c r="T99" s="241" t="str">
        <f t="shared" si="41"/>
        <v>Southbound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42"/>
        <v>https://d0f6bd738d7f1b3e5a7ca70fe4ff75f0.us-east-1.aws.found.io/app/kibana#/discover/Steve-Slow-Train-Analysis-(2080s-and-2083s)?_g=(refreshInterval:(display:Off,pause:!f,section:0,value:0),time:(from:'2017-12-21T13:45:40-0700',mode:absolute,to:'2017-12-21T16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9" s="246" t="str">
        <f>IF(AA99&lt;VLOOKUP(AG99,Variables!$AC$3:$AD$8,2,FALSE),"Y","N")</f>
        <v>N</v>
      </c>
      <c r="X99" s="246">
        <f t="shared" si="43"/>
        <v>1</v>
      </c>
      <c r="Y99" s="246">
        <f t="shared" si="44"/>
        <v>23.2959</v>
      </c>
      <c r="Z99" s="246">
        <f t="shared" si="56"/>
        <v>2.2499999999999999E-2</v>
      </c>
      <c r="AA99" s="246">
        <f t="shared" si="45"/>
        <v>23.273399999999999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46"/>
        <v>184</v>
      </c>
      <c r="AE99" s="234" t="str">
        <f t="shared" si="47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99" s="233" t="str">
        <f t="shared" si="48"/>
        <v>"C:\Program Files (x86)\AstroGrep\AstroGrep.exe" /e /r /s /spath="%USERPROFILE%\AppData\Local\Temp\OnboardLogs" /stypes="app*4013*201712212*" /stext=" 22:.+?(?&gt;(PRM\|1\|D)|(KPR)|(KDP)|(train st[a-z]+ moving)|(SYSTEM_STATE:s[a-z]+ state changed)|(Enforcement Action)|(\[TIMEOUT)|(parse_ebi_status: Penalty)|(\|GPPS))"</v>
      </c>
      <c r="AG99" s="243" t="str">
        <f t="shared" si="49"/>
        <v>EC</v>
      </c>
      <c r="AH99" s="235" t="str">
        <f t="shared" si="50"/>
        <v>"%USERPROFILE%\Documents\GitHub\eaglep3\Utilities\RefineRTDCRunTimes.py" --tripid 184-21 --locoid 4013 --swversion DE.1.0.9.0 --startMP 204:232959 --initTime 2017-12-21T14:45:40 --startdatetime 2017-12-21T14:57:18 --delay 86 --endMP 204:225 --enddatetime 2017-12-21T15:35:16 --enforcementcount 0 &gt;&gt;%USERPROFILE%\Documents\GitHub\eaglep3-reporting\EC\2017-12-21-refined-times.txt</v>
      </c>
      <c r="AI99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{"issue":{"subject":"","project_id":79,"tracker_id":40,"status_id":1,"priority_id":2,"assigned_to_id":338,"start_date":"2017-12-21","description":"","custom_fields":[{"id":1,"name":"Subdivision","value":"EC"},{"id":4,"name":"Milepost","value":"0.0225"},{"id":17,"name":"Train ID","value":"184-21"},{"id":16,"name":"Locomotive ID","value":"4013"},{"id":130,"name":"Impact","value":""},{"id":150,"name":"Time of Event (Mountain Time)","value":"15:35:16"},{"id":151,"name":"Denver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52"/>
        <v>start /low /b %USERPROFILE%\Documents\GitHub\eaglep3\Utilities\DownloadLogsFromS3.py --loco 4013 --day 2017-12-21</v>
      </c>
      <c r="AN99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54"/>
        <v>https://d0f6bd738d7f1b3e5a7ca70fe4ff75f0.us-east-1.aws.found.io/app/kibana#/discover/Steve-Slow-Train-Analysis-(2080s-and-2083s)?_g=(refreshInterval:(display:Off,pause:!f,section:0,value:0),time:(from:'2017-12-21T13:45:40-0700',mode:absolute,to:'2017-12-21T16:35:16-0700'))&amp;_a=(columns:!('Message%20ID',Summary),filters:!(),index:'emp_*',interval:auto,query:(query_string:(analyze_wildcard:!t,query:'%22rtdc.l.rtdc.4013%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801</v>
      </c>
      <c r="B100" s="224">
        <v>4064</v>
      </c>
      <c r="C100" s="226" t="s">
        <v>192</v>
      </c>
      <c r="D100" s="226" t="s">
        <v>490</v>
      </c>
      <c r="E100" s="225">
        <v>43090.591180555559</v>
      </c>
      <c r="F100" s="225">
        <v>43090.593923611108</v>
      </c>
      <c r="G100" s="224">
        <v>58</v>
      </c>
      <c r="H100" s="226" t="s">
        <v>473</v>
      </c>
      <c r="I100" s="225">
        <v>43090.619537037041</v>
      </c>
      <c r="J100" s="224">
        <v>0</v>
      </c>
      <c r="K100" s="236" t="str">
        <f t="shared" si="39"/>
        <v>4063/4064</v>
      </c>
      <c r="L100" s="244" t="str">
        <f>VLOOKUP(A100,'Trips&amp;Operators'!$C$1:$G$99911,5,FALSE)</f>
        <v>BADERTSCHER DIANE</v>
      </c>
      <c r="M100" s="223">
        <f t="shared" si="40"/>
        <v>2.5613425932533573E-2</v>
      </c>
      <c r="N100" s="224">
        <f t="shared" si="57"/>
        <v>36.883333342848346</v>
      </c>
      <c r="O100" s="224"/>
      <c r="P100" s="224"/>
      <c r="Q100" s="227"/>
      <c r="R100" s="241"/>
      <c r="S100" s="248">
        <f t="shared" si="55"/>
        <v>1</v>
      </c>
      <c r="T100" s="241" t="str">
        <f t="shared" si="41"/>
        <v>NorthBound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42"/>
        <v>https://d0f6bd738d7f1b3e5a7ca70fe4ff75f0.us-east-1.aws.found.io/app/kibana#/discover/Steve-Slow-Train-Analysis-(2080s-and-2083s)?_g=(refreshInterval:(display:Off,pause:!f,section:0,value:0),time:(from:'2017-12-21T13:11:18-0700',mode:absolute,to:'2017-12-21T15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246" t="str">
        <f>IF(AA100&lt;VLOOKUP(AG100,Variables!$AC$3:$AD$8,2,FALSE),"Y","N")</f>
        <v>N</v>
      </c>
      <c r="X100" s="246">
        <f t="shared" si="43"/>
        <v>1</v>
      </c>
      <c r="Y100" s="246">
        <f t="shared" si="44"/>
        <v>5.04E-2</v>
      </c>
      <c r="Z100" s="246">
        <f t="shared" si="56"/>
        <v>23.327000000000002</v>
      </c>
      <c r="AA100" s="246">
        <f t="shared" si="45"/>
        <v>23.276600000000002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46"/>
        <v>185</v>
      </c>
      <c r="AE100" s="234" t="str">
        <f t="shared" si="4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00" s="233" t="str">
        <f t="shared" si="48"/>
        <v>"C:\Program Files (x86)\AstroGrep\AstroGrep.exe" /e /r /s /spath="%USERPROFILE%\AppData\Local\Temp\OnboardLogs" /stypes="app*4064*201712212*" /stext=" 21:.+?(?&gt;(PRM\|1\|D)|(KPR)|(KDP)|(train st[a-z]+ moving)|(SYSTEM_STATE:s[a-z]+ state changed)|(Enforcement Action)|(\[TIMEOUT)|(parse_ebi_status: Penalty)|(\|GPPS))"</v>
      </c>
      <c r="AG100" s="243" t="str">
        <f t="shared" si="49"/>
        <v>EC</v>
      </c>
      <c r="AH100" s="235" t="str">
        <f t="shared" si="50"/>
        <v>"%USERPROFILE%\Documents\GitHub\eaglep3\Utilities\RefineRTDCRunTimes.py" --tripid 185-21 --locoid 4064 --swversion DE.1.0.9.0 --startMP 204:504 --initTime 2017-12-21T14:11:18 --startdatetime 2017-12-21T14:15:15 --delay 58 --endMP 204:233270 --enddatetime 2017-12-21T14:52:08 --enforcementcount 0 &gt;&gt;%USERPROFILE%\Documents\GitHub\eaglep3-reporting\EC\2017-12-21-refined-times.txt</v>
      </c>
      <c r="AI10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{"issue":{"subject":"","project_id":79,"tracker_id":40,"status_id":1,"priority_id":2,"assigned_to_id":338,"start_date":"2017-12-21","description":"","custom_fields":[{"id":1,"name":"Subdivision","value":"EC"},{"id":4,"name":"Milepost","value":"23.327"},{"id":17,"name":"Train ID","value":"185-21"},{"id":16,"name":"Locomotive ID","value":"4064"},{"id":130,"name":"Impact","value":""},{"id":150,"name":"Time of Event (Mountain Time)","value":"14:52:08"},{"id":151,"name":"Denver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52"/>
        <v>start /low /b %USERPROFILE%\Documents\GitHub\eaglep3\Utilities\DownloadLogsFromS3.py --loco 4064 --day 2017-12-21</v>
      </c>
      <c r="AN100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54"/>
        <v>https://d0f6bd738d7f1b3e5a7ca70fe4ff75f0.us-east-1.aws.found.io/app/kibana#/discover/Steve-Slow-Train-Analysis-(2080s-and-2083s)?_g=(refreshInterval:(display:Off,pause:!f,section:0,value:0),time:(from:'2017-12-21T13:11:18-0700',mode:absolute,to:'2017-12-21T15:52:08-0700'))&amp;_a=(columns:!('Message%20ID',Summary),filters:!(),index:'emp_*',interval:auto,query:(query_string:(analyze_wildcard:!t,query:'%22rtdc.l.rtdc.4064%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811</v>
      </c>
      <c r="B101" s="224">
        <v>4063</v>
      </c>
      <c r="C101" s="226" t="s">
        <v>192</v>
      </c>
      <c r="D101" s="226" t="s">
        <v>967</v>
      </c>
      <c r="E101" s="225">
        <v>43090.62945601852</v>
      </c>
      <c r="F101" s="225">
        <v>43090.633622685185</v>
      </c>
      <c r="G101" s="224">
        <v>88</v>
      </c>
      <c r="H101" s="226" t="s">
        <v>526</v>
      </c>
      <c r="I101" s="225">
        <v>43090.661863425928</v>
      </c>
      <c r="J101" s="224">
        <v>0</v>
      </c>
      <c r="K101" s="236" t="str">
        <f t="shared" si="39"/>
        <v>4063/4064</v>
      </c>
      <c r="L101" s="244" t="str">
        <f>VLOOKUP(A101,'Trips&amp;Operators'!$C$1:$G$99911,5,FALSE)</f>
        <v>BADERTSCHER DIANE</v>
      </c>
      <c r="M101" s="223">
        <f t="shared" si="40"/>
        <v>2.8240740743058268E-2</v>
      </c>
      <c r="N101" s="224">
        <f t="shared" si="57"/>
        <v>40.666666670003906</v>
      </c>
      <c r="O101" s="224"/>
      <c r="P101" s="224"/>
      <c r="Q101" s="227"/>
      <c r="R101" s="241"/>
      <c r="S101" s="248">
        <f t="shared" si="55"/>
        <v>1</v>
      </c>
      <c r="T101" s="241" t="str">
        <f t="shared" si="41"/>
        <v>Southbound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42"/>
        <v>https://d0f6bd738d7f1b3e5a7ca70fe4ff75f0.us-east-1.aws.found.io/app/kibana#/discover/Steve-Slow-Train-Analysis-(2080s-and-2083s)?_g=(refreshInterval:(display:Off,pause:!f,section:0,value:0),time:(from:'2017-12-21T14:06:25-0700',mode:absolute,to:'2017-12-21T16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246" t="str">
        <f>IF(AA101&lt;VLOOKUP(AG101,Variables!$AC$3:$AD$8,2,FALSE),"Y","N")</f>
        <v>N</v>
      </c>
      <c r="X101" s="246">
        <f t="shared" si="43"/>
        <v>1</v>
      </c>
      <c r="Y101" s="246">
        <f t="shared" si="44"/>
        <v>23.295000000000002</v>
      </c>
      <c r="Z101" s="246">
        <f t="shared" si="56"/>
        <v>2.12E-2</v>
      </c>
      <c r="AA101" s="246">
        <f t="shared" si="45"/>
        <v>23.273800000000001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46"/>
        <v>186</v>
      </c>
      <c r="AE101" s="234" t="str">
        <f t="shared" si="4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01" s="233" t="str">
        <f t="shared" si="48"/>
        <v>"C:\Program Files (x86)\AstroGrep\AstroGrep.exe" /e /r /s /spath="%USERPROFILE%\AppData\Local\Temp\OnboardLogs" /stypes="app*4063*201712212*" /stext=" 22:.+?(?&gt;(PRM\|1\|D)|(KPR)|(KDP)|(train st[a-z]+ moving)|(SYSTEM_STATE:s[a-z]+ state changed)|(Enforcement Action)|(\[TIMEOUT)|(parse_ebi_status: Penalty)|(\|GPPS))"</v>
      </c>
      <c r="AG101" s="243" t="str">
        <f t="shared" si="49"/>
        <v>EC</v>
      </c>
      <c r="AH101" s="235" t="str">
        <f t="shared" si="50"/>
        <v>"%USERPROFILE%\Documents\GitHub\eaglep3\Utilities\RefineRTDCRunTimes.py" --tripid 186-21 --locoid 4063 --swversion DE.1.0.9.0 --startMP 204:232950 --initTime 2017-12-21T15:06:25 --startdatetime 2017-12-21T15:12:25 --delay 88 --endMP 204:212 --enddatetime 2017-12-21T15:53:05 --enforcementcount 0 &gt;&gt;%USERPROFILE%\Documents\GitHub\eaglep3-reporting\EC\2017-12-21-refined-times.txt</v>
      </c>
      <c r="AI101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{"issue":{"subject":"","project_id":79,"tracker_id":40,"status_id":1,"priority_id":2,"assigned_to_id":338,"start_date":"2017-12-21","description":"","custom_fields":[{"id":1,"name":"Subdivision","value":"EC"},{"id":4,"name":"Milepost","value":"0.0212"},{"id":17,"name":"Train ID","value":"186-21"},{"id":16,"name":"Locomotive ID","value":"4063"},{"id":130,"name":"Impact","value":""},{"id":150,"name":"Time of Event (Mountain Time)","value":"15:53:05"},{"id":151,"name":"Denver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52"/>
        <v>start /low /b %USERPROFILE%\Documents\GitHub\eaglep3\Utilities\DownloadLogsFromS3.py --loco 4063 --day 2017-12-21</v>
      </c>
      <c r="AN101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54"/>
        <v>https://d0f6bd738d7f1b3e5a7ca70fe4ff75f0.us-east-1.aws.found.io/app/kibana#/discover/Steve-Slow-Train-Analysis-(2080s-and-2083s)?_g=(refreshInterval:(display:Off,pause:!f,section:0,value:0),time:(from:'2017-12-21T14:06:25-0700',mode:absolute,to:'2017-12-21T16:53:05-0700'))&amp;_a=(columns:!('Message%20ID',Summary),filters:!(),index:'emp_*',interval:auto,query:(query_string:(analyze_wildcard:!t,query:'%22rtdc.l.rtdc.4063%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805</v>
      </c>
      <c r="B102" s="224">
        <v>4056</v>
      </c>
      <c r="C102" s="226" t="s">
        <v>192</v>
      </c>
      <c r="D102" s="226" t="s">
        <v>968</v>
      </c>
      <c r="E102" s="225">
        <v>43090.601238425923</v>
      </c>
      <c r="F102" s="225">
        <v>43090.604456018518</v>
      </c>
      <c r="G102" s="224">
        <v>66</v>
      </c>
      <c r="H102" s="226" t="s">
        <v>953</v>
      </c>
      <c r="I102" s="225">
        <v>43090.628680555557</v>
      </c>
      <c r="J102" s="224">
        <v>0</v>
      </c>
      <c r="K102" s="236" t="str">
        <f t="shared" si="39"/>
        <v>4055/4056</v>
      </c>
      <c r="L102" s="244" t="str">
        <f>VLOOKUP(A102,'Trips&amp;Operators'!$C$1:$G$99911,5,FALSE)</f>
        <v>HOLCOMB KAMDEN</v>
      </c>
      <c r="M102" s="223">
        <f t="shared" si="40"/>
        <v>2.4224537039117422E-2</v>
      </c>
      <c r="N102" s="224">
        <f t="shared" si="57"/>
        <v>34.883333336329088</v>
      </c>
      <c r="O102" s="224"/>
      <c r="P102" s="224"/>
      <c r="Q102" s="227"/>
      <c r="R102" s="241"/>
      <c r="S102" s="248">
        <f t="shared" si="55"/>
        <v>1</v>
      </c>
      <c r="T102" s="241" t="str">
        <f t="shared" si="41"/>
        <v>NorthBound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42"/>
        <v>https://d0f6bd738d7f1b3e5a7ca70fe4ff75f0.us-east-1.aws.found.io/app/kibana#/discover/Steve-Slow-Train-Analysis-(2080s-and-2083s)?_g=(refreshInterval:(display:Off,pause:!f,section:0,value:0),time:(from:'2017-12-21T13:25:47-0700',mode:absolute,to:'2017-12-21T16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2" s="246" t="str">
        <f>IF(AA102&lt;VLOOKUP(AG102,Variables!$AC$3:$AD$8,2,FALSE),"Y","N")</f>
        <v>N</v>
      </c>
      <c r="X102" s="246">
        <f t="shared" si="43"/>
        <v>1</v>
      </c>
      <c r="Y102" s="246">
        <f t="shared" si="44"/>
        <v>4.3799999999999999E-2</v>
      </c>
      <c r="Z102" s="246">
        <f t="shared" si="56"/>
        <v>23.3278</v>
      </c>
      <c r="AA102" s="246">
        <f t="shared" si="45"/>
        <v>23.283999999999999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46"/>
        <v>187</v>
      </c>
      <c r="AE102" s="234" t="str">
        <f t="shared" si="47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102" s="233" t="str">
        <f t="shared" si="48"/>
        <v>"C:\Program Files (x86)\AstroGrep\AstroGrep.exe" /e /r /s /spath="%USERPROFILE%\AppData\Local\Temp\OnboardLogs" /stypes="app*4056*201712212*" /stext=" 22:.+?(?&gt;(PRM\|1\|D)|(KPR)|(KDP)|(train st[a-z]+ moving)|(SYSTEM_STATE:s[a-z]+ state changed)|(Enforcement Action)|(\[TIMEOUT)|(parse_ebi_status: Penalty)|(\|GPPS))"</v>
      </c>
      <c r="AG102" s="243" t="str">
        <f t="shared" si="49"/>
        <v>EC</v>
      </c>
      <c r="AH102" s="235" t="str">
        <f t="shared" si="50"/>
        <v>"%USERPROFILE%\Documents\GitHub\eaglep3\Utilities\RefineRTDCRunTimes.py" --tripid 187-21 --locoid 4056 --swversion DE.1.0.9.0 --startMP 204:438 --initTime 2017-12-21T14:25:47 --startdatetime 2017-12-21T14:30:25 --delay 66 --endMP 204:233278 --enddatetime 2017-12-21T15:05:18 --enforcementcount 0 &gt;&gt;%USERPROFILE%\Documents\GitHub\eaglep3-reporting\EC\2017-12-21-refined-times.txt</v>
      </c>
      <c r="AI102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{"issue":{"subject":"","project_id":79,"tracker_id":40,"status_id":1,"priority_id":2,"assigned_to_id":338,"start_date":"2017-12-21","description":"","custom_fields":[{"id":1,"name":"Subdivision","value":"EC"},{"id":4,"name":"Milepost","value":"23.3278"},{"id":17,"name":"Train ID","value":"187-21"},{"id":16,"name":"Locomotive ID","value":"4056"},{"id":130,"name":"Impact","value":""},{"id":150,"name":"Time of Event (Mountain Time)","value":"15:05:18"},{"id":151,"name":"Denver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52"/>
        <v>start /low /b %USERPROFILE%\Documents\GitHub\eaglep3\Utilities\DownloadLogsFromS3.py --loco 4056 --day 2017-12-21</v>
      </c>
      <c r="AN102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54"/>
        <v>https://d0f6bd738d7f1b3e5a7ca70fe4ff75f0.us-east-1.aws.found.io/app/kibana#/discover/Steve-Slow-Train-Analysis-(2080s-and-2083s)?_g=(refreshInterval:(display:Off,pause:!f,section:0,value:0),time:(from:'2017-12-21T13:25:47-0700',mode:absolute,to:'2017-12-21T16:05:18-0700'))&amp;_a=(columns:!('Message%20ID',Summary),filters:!(),index:'emp_*',interval:auto,query:(query_string:(analyze_wildcard:!t,query:'%22rtdc.l.rtdc.4056%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8" t="s">
        <v>814</v>
      </c>
      <c r="B103" s="224">
        <v>4055</v>
      </c>
      <c r="C103" s="226" t="s">
        <v>192</v>
      </c>
      <c r="D103" s="226" t="s">
        <v>969</v>
      </c>
      <c r="E103" s="225">
        <v>43090.653738425928</v>
      </c>
      <c r="F103" s="225">
        <v>43090.654745370368</v>
      </c>
      <c r="G103" s="224">
        <v>54</v>
      </c>
      <c r="H103" s="226" t="s">
        <v>970</v>
      </c>
      <c r="I103" s="225">
        <v>43090.671527777777</v>
      </c>
      <c r="J103" s="224">
        <v>0</v>
      </c>
      <c r="K103" s="236" t="str">
        <f t="shared" si="39"/>
        <v>4055/4056</v>
      </c>
      <c r="L103" s="244" t="str">
        <f>VLOOKUP(A103,'Trips&amp;Operators'!$C$1:$G$99911,5,FALSE)</f>
        <v>HOLCOMB KAMDEN</v>
      </c>
      <c r="M103" s="223">
        <f t="shared" si="40"/>
        <v>1.6782407408754807E-2</v>
      </c>
      <c r="N103" s="224"/>
      <c r="O103" s="224"/>
      <c r="P103" s="224">
        <f>24*60*SUM($M103:$M103)</f>
        <v>24.166666668606922</v>
      </c>
      <c r="Q103" s="227"/>
      <c r="R103" s="241" t="s">
        <v>651</v>
      </c>
      <c r="S103" s="248">
        <f t="shared" si="55"/>
        <v>1</v>
      </c>
      <c r="T103" s="241" t="str">
        <f t="shared" si="41"/>
        <v>Southbound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42"/>
        <v>https://d0f6bd738d7f1b3e5a7ca70fe4ff75f0.us-east-1.aws.found.io/app/kibana#/discover/Steve-Slow-Train-Analysis-(2080s-and-2083s)?_g=(refreshInterval:(display:Off,pause:!f,section:0,value:0),time:(from:'2017-12-21T14:41:23-0700',mode:absolute,to:'2017-12-21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3" s="246" t="str">
        <f>IF(AA103&lt;VLOOKUP(AG103,Variables!$AC$3:$AD$8,2,FALSE),"Y","N")</f>
        <v>Y</v>
      </c>
      <c r="X103" s="246">
        <f t="shared" si="43"/>
        <v>1</v>
      </c>
      <c r="Y103" s="246">
        <f t="shared" si="44"/>
        <v>12.787100000000001</v>
      </c>
      <c r="Z103" s="246">
        <f t="shared" si="56"/>
        <v>1.72E-2</v>
      </c>
      <c r="AA103" s="246">
        <f t="shared" si="45"/>
        <v>12.7699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46"/>
        <v>188</v>
      </c>
      <c r="AE103" s="234" t="str">
        <f t="shared" si="47"/>
        <v>aws s3 cp s3://rtdc.mdm.uploadarchive.raw/RTDC4055/ "%USERPROFILE%\AppData\Local\Temp\OnboardLogs"\RTDC4055\2017-12-21 --exclude "*" --recursive --include "*20171221*" &amp; "%USERPROFILE%\Documents\GitHub\mrs-test-scripts\Headless Mode &amp; Sideloading\WalkAndUnGZ.bat" "%USERPROFILE%\AppData\Local\Temp\OnboardLogs"\RTDC4055\2017-12-21 &amp; aws s3 cp s3://rtdc.mdm.uploadarchive.raw/RTDC4055/ "%USERPROFILE%\AppData\Local\Temp\OnboardLogs"\RTDC4055\2017-12-22 --exclude "*" --recursive --include "*20171222*" &amp; "%USERPROFILE%\Documents\GitHub\mrs-test-scripts\Headless Mode &amp; Sideloading\WalkAndUnGZ.bat" "%USERPROFILE%\AppData\Local\Temp\OnboardLogs"\RTDC4055\2017-12-22</v>
      </c>
      <c r="AF103" s="233" t="str">
        <f t="shared" si="48"/>
        <v>"C:\Program Files (x86)\AstroGrep\AstroGrep.exe" /e /r /s /spath="%USERPROFILE%\AppData\Local\Temp\OnboardLogs" /stypes="app*4055*201712212*" /stext=" 23:.+?(?&gt;(PRM\|1\|D)|(KPR)|(KDP)|(train st[a-z]+ moving)|(SYSTEM_STATE:s[a-z]+ state changed)|(Enforcement Action)|(\[TIMEOUT)|(parse_ebi_status: Penalty)|(\|GPPS))"</v>
      </c>
      <c r="AG103" s="243" t="str">
        <f t="shared" si="49"/>
        <v>EC</v>
      </c>
      <c r="AH103" s="235" t="str">
        <f t="shared" si="50"/>
        <v>"%USERPROFILE%\Documents\GitHub\eaglep3\Utilities\RefineRTDCRunTimes.py" --tripid 188-21 --locoid 4055 --swversion DE.1.0.9.0 --startMP 204:127871 --initTime 2017-12-21T15:41:23 --startdatetime 2017-12-21T15:42:50 --delay 54 --endMP 204:172 --enddatetime 2017-12-21T16:07:00 --enforcementcount 0 &gt;&gt;%USERPROFILE%\Documents\GitHub\eaglep3-reporting\EC\2017-12-21-refined-times.txt</v>
      </c>
      <c r="AI103" s="237" t="str">
        <f t="shared" si="51"/>
        <v>echo {"issue":{"subject":"Onboard in-route failure","project_id":79,"tracker_id":40,"status_id":1,"priority_id":2,"assigned_to_id":338,"start_date":"2017-12-21","description":"","custom_fields":[{"id":1,"name":"Subdivision","value":"EC"},{"id":4,"name":"Milepost","value":"0.0172"},{"id":17,"name":"Train ID","value":"188-21"},{"id":16,"name":"Locomotive ID","value":"4055"},{"id":130,"name":"Impact","value":""},{"id":150,"name":"Time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52"/>
        <v>start /low /b %USERPROFILE%\Documents\GitHub\eaglep3\Utilities\DownloadLogsFromS3.py --loco 4055 --day 2017-12-21</v>
      </c>
      <c r="AN103" s="240" t="str">
        <f t="shared" si="53"/>
        <v>echo {"issue":{"subject":"Onboard in-route failure","project_id":30,"tracker_id":4,"status_id":1,"priority_id":1,"assigned_to_id":10,"start_date":"2017-12-21","description":"","custom_fields":[{"id":30,"name":"Category","value":"Issue"},{"id":3,"name":"Functional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54"/>
        <v>https://d0f6bd738d7f1b3e5a7ca70fe4ff75f0.us-east-1.aws.found.io/app/kibana#/discover/Steve-Slow-Train-Analysis-(2080s-and-2083s)?_g=(refreshInterval:(display:Off,pause:!f,section:0,value:0),time:(from:'2017-12-21T14:41:23-0700',mode:absolute,to:'2017-12-21T17:07:00-0700'))&amp;_a=(columns:!('Message%20ID',Summary),filters:!(),index:'emp_*',interval:auto,query:(query_string:(analyze_wildcard:!t,query:'%22rtdc.l.rtdc.4055%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8" t="s">
        <v>814</v>
      </c>
      <c r="B104" s="224">
        <v>4055</v>
      </c>
      <c r="C104" s="226" t="s">
        <v>192</v>
      </c>
      <c r="D104" s="226" t="s">
        <v>959</v>
      </c>
      <c r="E104" s="225">
        <v>43090.640520833331</v>
      </c>
      <c r="F104" s="225">
        <v>43090.654745370368</v>
      </c>
      <c r="G104" s="224">
        <v>68</v>
      </c>
      <c r="H104" s="226" t="s">
        <v>959</v>
      </c>
      <c r="I104" s="225">
        <v>43090.671527777777</v>
      </c>
      <c r="J104" s="224">
        <v>0</v>
      </c>
      <c r="K104" s="236" t="str">
        <f t="shared" si="39"/>
        <v>4055/4056</v>
      </c>
      <c r="L104" s="244" t="str">
        <f>VLOOKUP(A104,'Trips&amp;Operators'!$C$1:$G$99911,5,FALSE)</f>
        <v>HOLCOMB KAMDEN</v>
      </c>
      <c r="M104" s="223">
        <f t="shared" si="40"/>
        <v>1.6782407408754807E-2</v>
      </c>
      <c r="N104" s="224"/>
      <c r="O104" s="224"/>
      <c r="P104" s="224"/>
      <c r="Q104" s="227"/>
      <c r="R104" s="241"/>
      <c r="S104" s="248"/>
      <c r="T104" s="241" t="str">
        <f t="shared" si="41"/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247" t="str">
        <f t="shared" si="42"/>
        <v>https://d0f6bd738d7f1b3e5a7ca70fe4ff75f0.us-east-1.aws.found.io/app/kibana#/discover/Steve-Slow-Train-Analysis-(2080s-and-2083s)?_g=(refreshInterval:(display:Off,pause:!f,section:0,value:0),time:(from:'2017-12-21T14:22:21-0700',mode:absolute,to:'2017-12-21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246" t="str">
        <f>IF(AA104&lt;VLOOKUP(AG104,Variables!$AC$3:$AD$8,2,FALSE),"Y","N")</f>
        <v>Y</v>
      </c>
      <c r="X104" s="246">
        <f t="shared" si="43"/>
        <v>0</v>
      </c>
      <c r="Y104" s="246">
        <f t="shared" si="44"/>
        <v>23.295100000000001</v>
      </c>
      <c r="Z104" s="246">
        <f t="shared" si="56"/>
        <v>23.295100000000001</v>
      </c>
      <c r="AA104" s="246">
        <f t="shared" si="45"/>
        <v>0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46"/>
        <v>188</v>
      </c>
      <c r="AE104" s="234" t="str">
        <f t="shared" si="47"/>
        <v>aws s3 cp s3://rtdc.mdm.uploadarchive.raw/RTDC4055/ "%USERPROFILE%\AppData\Local\Temp\OnboardLogs"\RTDC4055\2017-12-21 --exclude "*" --recursive --include "*20171221*" &amp; "%USERPROFILE%\Documents\GitHub\mrs-test-scripts\Headless Mode &amp; Sideloading\WalkAndUnGZ.bat" "%USERPROFILE%\AppData\Local\Temp\OnboardLogs"\RTDC4055\2017-12-21 &amp; aws s3 cp s3://rtdc.mdm.uploadarchive.raw/RTDC4055/ "%USERPROFILE%\AppData\Local\Temp\OnboardLogs"\RTDC4055\2017-12-22 --exclude "*" --recursive --include "*20171222*" &amp; "%USERPROFILE%\Documents\GitHub\mrs-test-scripts\Headless Mode &amp; Sideloading\WalkAndUnGZ.bat" "%USERPROFILE%\AppData\Local\Temp\OnboardLogs"\RTDC4055\2017-12-22</v>
      </c>
      <c r="AF104" s="233" t="str">
        <f t="shared" si="48"/>
        <v>"C:\Program Files (x86)\AstroGrep\AstroGrep.exe" /e /r /s /spath="%USERPROFILE%\AppData\Local\Temp\OnboardLogs" /stypes="app*4055*201712212*" /stext=" 23:.+?(?&gt;(PRM\|1\|D)|(KPR)|(KDP)|(train st[a-z]+ moving)|(SYSTEM_STATE:s[a-z]+ state changed)|(Enforcement Action)|(\[TIMEOUT)|(parse_ebi_status: Penalty)|(\|GPPS))"</v>
      </c>
      <c r="AG104" s="243" t="str">
        <f t="shared" si="49"/>
        <v>EC</v>
      </c>
      <c r="AH104" s="235" t="str">
        <f t="shared" si="50"/>
        <v>"%USERPROFILE%\Documents\GitHub\eaglep3\Utilities\RefineRTDCRunTimes.py" --tripid 188-21 --locoid 4055 --swversion DE.1.0.9.0 --startMP 204:232951 --initTime 2017-12-21T15:22:21 --startdatetime 2017-12-21T15:42:50 --delay 68 --endMP 204:232951 --enddatetime 2017-12-21T16:07:00 --enforcementcount 0 &gt;&gt;%USERPROFILE%\Documents\GitHub\eaglep3-reporting\EC\2017-12-21-refined-times.txt</v>
      </c>
      <c r="AI10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{"issue":{"subject":"","project_id":79,"tracker_id":40,"status_id":1,"priority_id":2,"assigned_to_id":338,"start_date":"2017-12-21","description":"","custom_fields":[{"id":1,"name":"Subdivision","value":"EC"},{"id":4,"name":"Milepost","value":"23.2951"},{"id":17,"name":"Train ID","value":"188-21"},{"id":16,"name":"Locomotive ID","value":"4055"},{"id":130,"name":"Impact","value":""},{"id":150,"name":"Time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52"/>
        <v>start /low /b %USERPROFILE%\Documents\GitHub\eaglep3\Utilities\DownloadLogsFromS3.py --loco 4055 --day 2017-12-21</v>
      </c>
      <c r="AN104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54"/>
        <v>https://d0f6bd738d7f1b3e5a7ca70fe4ff75f0.us-east-1.aws.found.io/app/kibana#/discover/Steve-Slow-Train-Analysis-(2080s-and-2083s)?_g=(refreshInterval:(display:Off,pause:!f,section:0,value:0),time:(from:'2017-12-21T14:22:21-0700',mode:absolute,to:'2017-12-21T17:07:00-0700'))&amp;_a=(columns:!('Message%20ID',Summary),filters:!(),index:'emp_*',interval:auto,query:(query_string:(analyze_wildcard:!t,query:'%22rtdc.l.rtdc.4055%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8" t="s">
        <v>806</v>
      </c>
      <c r="B105" s="224">
        <v>4012</v>
      </c>
      <c r="C105" s="226" t="s">
        <v>192</v>
      </c>
      <c r="D105" s="226" t="s">
        <v>521</v>
      </c>
      <c r="E105" s="225">
        <v>43090.606030092589</v>
      </c>
      <c r="F105" s="225">
        <v>43090.614791666667</v>
      </c>
      <c r="G105" s="224">
        <v>55</v>
      </c>
      <c r="H105" s="226" t="s">
        <v>963</v>
      </c>
      <c r="I105" s="225">
        <v>43090.639421296299</v>
      </c>
      <c r="J105" s="224">
        <v>0</v>
      </c>
      <c r="K105" s="236" t="str">
        <f t="shared" si="39"/>
        <v>4011/4012</v>
      </c>
      <c r="L105" s="244" t="str">
        <f>VLOOKUP(A105,'Trips&amp;Operators'!$C$1:$G$99911,5,FALSE)</f>
        <v>DE LA ROSA ALEX</v>
      </c>
      <c r="M105" s="223">
        <f t="shared" si="40"/>
        <v>2.4629629631817807E-2</v>
      </c>
      <c r="N105" s="224">
        <f t="shared" ref="N105:N118" si="58">24*60*SUM($M105:$M105)</f>
        <v>35.466666669817641</v>
      </c>
      <c r="O105" s="224"/>
      <c r="P105" s="224"/>
      <c r="Q105" s="227"/>
      <c r="R105" s="241"/>
      <c r="S105" s="248">
        <f t="shared" ref="S105:S118" si="59">1/IF(AG105="EC",12,1)*SUM(U105:U105)</f>
        <v>1</v>
      </c>
      <c r="T105" s="241" t="str">
        <f t="shared" si="41"/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42"/>
        <v>https://d0f6bd738d7f1b3e5a7ca70fe4ff75f0.us-east-1.aws.found.io/app/kibana#/discover/Steve-Slow-Train-Analysis-(2080s-and-2083s)?_g=(refreshInterval:(display:Off,pause:!f,section:0,value:0),time:(from:'2017-12-21T13:32:41-0700',mode:absolute,to:'2017-12-21T16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246" t="str">
        <f>IF(AA105&lt;VLOOKUP(AG105,Variables!$AC$3:$AD$8,2,FALSE),"Y","N")</f>
        <v>N</v>
      </c>
      <c r="X105" s="246">
        <f t="shared" si="43"/>
        <v>1</v>
      </c>
      <c r="Y105" s="246">
        <f t="shared" si="44"/>
        <v>4.5999999999999999E-2</v>
      </c>
      <c r="Z105" s="246">
        <f t="shared" si="56"/>
        <v>23.325700000000001</v>
      </c>
      <c r="AA105" s="246">
        <f t="shared" si="45"/>
        <v>23.279700000000002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46"/>
        <v>189</v>
      </c>
      <c r="AE105" s="234" t="str">
        <f t="shared" si="47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05" s="233" t="str">
        <f t="shared" si="48"/>
        <v>"C:\Program Files (x86)\AstroGrep\AstroGrep.exe" /e /r /s /spath="%USERPROFILE%\AppData\Local\Temp\OnboardLogs" /stypes="app*4012*201712212*" /stext=" 22:.+?(?&gt;(PRM\|1\|D)|(KPR)|(KDP)|(train st[a-z]+ moving)|(SYSTEM_STATE:s[a-z]+ state changed)|(Enforcement Action)|(\[TIMEOUT)|(parse_ebi_status: Penalty)|(\|GPPS))"</v>
      </c>
      <c r="AG105" s="243" t="str">
        <f t="shared" si="49"/>
        <v>EC</v>
      </c>
      <c r="AH105" s="235" t="str">
        <f t="shared" si="50"/>
        <v>"%USERPROFILE%\Documents\GitHub\eaglep3\Utilities\RefineRTDCRunTimes.py" --tripid 189-21 --locoid 4012 --swversion DE.1.0.9.0 --startMP 204:460 --initTime 2017-12-21T14:32:41 --startdatetime 2017-12-21T14:45:18 --delay 55 --endMP 204:233257 --enddatetime 2017-12-21T15:20:46 --enforcementcount 0 &gt;&gt;%USERPROFILE%\Documents\GitHub\eaglep3-reporting\EC\2017-12-21-refined-times.txt</v>
      </c>
      <c r="AI10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{"issue":{"subject":"","project_id":79,"tracker_id":40,"status_id":1,"priority_id":2,"assigned_to_id":338,"start_date":"2017-12-21","description":"","custom_fields":[{"id":1,"name":"Subdivision","value":"EC"},{"id":4,"name":"Milepost","value":"23.3257"},{"id":17,"name":"Train ID","value":"189-21"},{"id":16,"name":"Locomotive ID","value":"4012"},{"id":130,"name":"Impact","value":""},{"id":150,"name":"Time of Event (Mountain Time)","value":"15:20:46"},{"id":151,"name":"Denver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52"/>
        <v>start /low /b %USERPROFILE%\Documents\GitHub\eaglep3\Utilities\DownloadLogsFromS3.py --loco 4012 --day 2017-12-21</v>
      </c>
      <c r="AN105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54"/>
        <v>https://d0f6bd738d7f1b3e5a7ca70fe4ff75f0.us-east-1.aws.found.io/app/kibana#/discover/Steve-Slow-Train-Analysis-(2080s-and-2083s)?_g=(refreshInterval:(display:Off,pause:!f,section:0,value:0),time:(from:'2017-12-21T13:32:41-0700',mode:absolute,to:'2017-12-21T16:20:46-0700'))&amp;_a=(columns:!('Message%20ID',Summary),filters:!(),index:'emp_*',interval:auto,query:(query_string:(analyze_wildcard:!t,query:'%22rtdc.l.rtdc.4012%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817</v>
      </c>
      <c r="B106" s="224">
        <v>4011</v>
      </c>
      <c r="C106" s="226" t="s">
        <v>192</v>
      </c>
      <c r="D106" s="226" t="s">
        <v>967</v>
      </c>
      <c r="E106" s="225">
        <v>43090.649409722224</v>
      </c>
      <c r="F106" s="225">
        <v>43090.654548611114</v>
      </c>
      <c r="G106" s="224">
        <v>80</v>
      </c>
      <c r="H106" s="226" t="s">
        <v>631</v>
      </c>
      <c r="I106" s="225">
        <v>43090.680347222224</v>
      </c>
      <c r="J106" s="224">
        <v>0</v>
      </c>
      <c r="K106" s="236" t="str">
        <f t="shared" si="39"/>
        <v>4011/4012</v>
      </c>
      <c r="L106" s="244" t="str">
        <f>VLOOKUP(A106,'Trips&amp;Operators'!$C$1:$G$99911,5,FALSE)</f>
        <v>DE LA ROSA ALEX</v>
      </c>
      <c r="M106" s="223">
        <f t="shared" si="40"/>
        <v>2.5798611110076308E-2</v>
      </c>
      <c r="N106" s="224">
        <f t="shared" si="58"/>
        <v>37.149999998509884</v>
      </c>
      <c r="O106" s="224"/>
      <c r="P106" s="224"/>
      <c r="Q106" s="227"/>
      <c r="R106" s="241"/>
      <c r="S106" s="248">
        <f t="shared" si="59"/>
        <v>1</v>
      </c>
      <c r="T106" s="241" t="str">
        <f t="shared" si="41"/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42"/>
        <v>https://d0f6bd738d7f1b3e5a7ca70fe4ff75f0.us-east-1.aws.found.io/app/kibana#/discover/Steve-Slow-Train-Analysis-(2080s-and-2083s)?_g=(refreshInterval:(display:Off,pause:!f,section:0,value:0),time:(from:'2017-12-21T14:35:09-0700',mode:absolute,to:'2017-12-21T17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246" t="str">
        <f>IF(AA106&lt;VLOOKUP(AG106,Variables!$AC$3:$AD$8,2,FALSE),"Y","N")</f>
        <v>N</v>
      </c>
      <c r="X106" s="246">
        <f t="shared" si="43"/>
        <v>1</v>
      </c>
      <c r="Y106" s="246">
        <f t="shared" si="44"/>
        <v>23.295000000000002</v>
      </c>
      <c r="Z106" s="246">
        <f t="shared" si="56"/>
        <v>2.18E-2</v>
      </c>
      <c r="AA106" s="246">
        <f t="shared" si="45"/>
        <v>23.273200000000003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46"/>
        <v>190</v>
      </c>
      <c r="AE106" s="234" t="str">
        <f t="shared" si="4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06" s="233" t="str">
        <f t="shared" si="48"/>
        <v>"C:\Program Files (x86)\AstroGrep\AstroGrep.exe" /e /r /s /spath="%USERPROFILE%\AppData\Local\Temp\OnboardLogs" /stypes="app*4011*201712212*" /stext=" 23:.+?(?&gt;(PRM\|1\|D)|(KPR)|(KDP)|(train st[a-z]+ moving)|(SYSTEM_STATE:s[a-z]+ state changed)|(Enforcement Action)|(\[TIMEOUT)|(parse_ebi_status: Penalty)|(\|GPPS))"</v>
      </c>
      <c r="AG106" s="243" t="str">
        <f t="shared" si="49"/>
        <v>EC</v>
      </c>
      <c r="AH106" s="235" t="str">
        <f t="shared" si="50"/>
        <v>"%USERPROFILE%\Documents\GitHub\eaglep3\Utilities\RefineRTDCRunTimes.py" --tripid 190-21 --locoid 4011 --swversion DE.1.0.9.0 --startMP 204:232950 --initTime 2017-12-21T15:35:09 --startdatetime 2017-12-21T15:42:33 --delay 80 --endMP 204:218 --enddatetime 2017-12-21T16:19:42 --enforcementcount 0 &gt;&gt;%USERPROFILE%\Documents\GitHub\eaglep3-reporting\EC\2017-12-21-refined-times.txt</v>
      </c>
      <c r="AI10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{"issue":{"subject":"","project_id":79,"tracker_id":40,"status_id":1,"priority_id":2,"assigned_to_id":338,"start_date":"2017-12-21","description":"","custom_fields":[{"id":1,"name":"Subdivision","value":"EC"},{"id":4,"name":"Milepost","value":"0.0218"},{"id":17,"name":"Train ID","value":"190-21"},{"id":16,"name":"Locomotive ID","value":"4011"},{"id":130,"name":"Impact","value":""},{"id":150,"name":"Time of Event (Mountain Time)","value":"16:19:42"},{"id":151,"name":"Denver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52"/>
        <v>start /low /b %USERPROFILE%\Documents\GitHub\eaglep3\Utilities\DownloadLogsFromS3.py --loco 4011 --day 2017-12-21</v>
      </c>
      <c r="AN106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54"/>
        <v>https://d0f6bd738d7f1b3e5a7ca70fe4ff75f0.us-east-1.aws.found.io/app/kibana#/discover/Steve-Slow-Train-Analysis-(2080s-and-2083s)?_g=(refreshInterval:(display:Off,pause:!f,section:0,value:0),time:(from:'2017-12-21T14:35:09-0700',mode:absolute,to:'2017-12-21T17:19:42-0700'))&amp;_a=(columns:!('Message%20ID',Summary),filters:!(),index:'emp_*',interval:auto,query:(query_string:(analyze_wildcard:!t,query:'%22rtdc.l.rtdc.4011%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809</v>
      </c>
      <c r="B107" s="224">
        <v>4054</v>
      </c>
      <c r="C107" s="226" t="s">
        <v>192</v>
      </c>
      <c r="D107" s="226" t="s">
        <v>971</v>
      </c>
      <c r="E107" s="225">
        <v>43090.621076388888</v>
      </c>
      <c r="F107" s="225">
        <v>43090.625219907408</v>
      </c>
      <c r="G107" s="224">
        <v>62</v>
      </c>
      <c r="H107" s="226" t="s">
        <v>491</v>
      </c>
      <c r="I107" s="225">
        <v>43090.650381944448</v>
      </c>
      <c r="J107" s="224">
        <v>0</v>
      </c>
      <c r="K107" s="236" t="str">
        <f t="shared" si="39"/>
        <v>4053/4054</v>
      </c>
      <c r="L107" s="244" t="str">
        <f>VLOOKUP(A107,'Trips&amp;Operators'!$C$1:$G$99911,5,FALSE)</f>
        <v>STEWART MICHAEL</v>
      </c>
      <c r="M107" s="223">
        <f t="shared" si="40"/>
        <v>2.5162037039990537E-2</v>
      </c>
      <c r="N107" s="224">
        <f t="shared" si="58"/>
        <v>36.233333337586373</v>
      </c>
      <c r="O107" s="224"/>
      <c r="P107" s="224"/>
      <c r="Q107" s="227"/>
      <c r="R107" s="241"/>
      <c r="S107" s="248">
        <f t="shared" si="59"/>
        <v>1</v>
      </c>
      <c r="T107" s="241" t="str">
        <f t="shared" si="41"/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42"/>
        <v>https://d0f6bd738d7f1b3e5a7ca70fe4ff75f0.us-east-1.aws.found.io/app/kibana#/discover/Steve-Slow-Train-Analysis-(2080s-and-2083s)?_g=(refreshInterval:(display:Off,pause:!f,section:0,value:0),time:(from:'2017-12-21T13:54:21-0700',mode:absolute,to:'2017-12-21T16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246" t="str">
        <f>IF(AA107&lt;VLOOKUP(AG107,Variables!$AC$3:$AD$8,2,FALSE),"Y","N")</f>
        <v>N</v>
      </c>
      <c r="X107" s="246">
        <f t="shared" si="43"/>
        <v>1</v>
      </c>
      <c r="Y107" s="246">
        <f t="shared" si="44"/>
        <v>5.1299999999999998E-2</v>
      </c>
      <c r="Z107" s="246">
        <f t="shared" si="56"/>
        <v>23.329499999999999</v>
      </c>
      <c r="AA107" s="246">
        <f t="shared" si="45"/>
        <v>23.278199999999998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46"/>
        <v>191</v>
      </c>
      <c r="AE107" s="234" t="str">
        <f t="shared" si="4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07" s="233" t="str">
        <f t="shared" si="48"/>
        <v>"C:\Program Files (x86)\AstroGrep\AstroGrep.exe" /e /r /s /spath="%USERPROFILE%\AppData\Local\Temp\OnboardLogs" /stypes="app*4054*201712212*" /stext=" 22:.+?(?&gt;(PRM\|1\|D)|(KPR)|(KDP)|(train st[a-z]+ moving)|(SYSTEM_STATE:s[a-z]+ state changed)|(Enforcement Action)|(\[TIMEOUT)|(parse_ebi_status: Penalty)|(\|GPPS))"</v>
      </c>
      <c r="AG107" s="243" t="str">
        <f t="shared" si="49"/>
        <v>EC</v>
      </c>
      <c r="AH107" s="235" t="str">
        <f t="shared" si="50"/>
        <v>"%USERPROFILE%\Documents\GitHub\eaglep3\Utilities\RefineRTDCRunTimes.py" --tripid 191-21 --locoid 4054 --swversion DE.1.0.9.0 --startMP 204:513 --initTime 2017-12-21T14:54:21 --startdatetime 2017-12-21T15:00:19 --delay 62 --endMP 204:233295 --enddatetime 2017-12-21T15:36:33 --enforcementcount 0 &gt;&gt;%USERPROFILE%\Documents\GitHub\eaglep3-reporting\EC\2017-12-21-refined-times.txt</v>
      </c>
      <c r="AI10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{"issue":{"subject":"","project_id":79,"tracker_id":40,"status_id":1,"priority_id":2,"assigned_to_id":338,"start_date":"2017-12-21","description":"","custom_fields":[{"id":1,"name":"Subdivision","value":"EC"},{"id":4,"name":"Milepost","value":"23.3295"},{"id":17,"name":"Train ID","value":"191-21"},{"id":16,"name":"Locomotive ID","value":"4054"},{"id":130,"name":"Impact","value":""},{"id":150,"name":"Time of Event (Mountain Time)","value":"15:36:33"},{"id":151,"name":"Denver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52"/>
        <v>start /low /b %USERPROFILE%\Documents\GitHub\eaglep3\Utilities\DownloadLogsFromS3.py --loco 4054 --day 2017-12-21</v>
      </c>
      <c r="AN107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54"/>
        <v>https://d0f6bd738d7f1b3e5a7ca70fe4ff75f0.us-east-1.aws.found.io/app/kibana#/discover/Steve-Slow-Train-Analysis-(2080s-and-2083s)?_g=(refreshInterval:(display:Off,pause:!f,section:0,value:0),time:(from:'2017-12-21T13:54:21-0700',mode:absolute,to:'2017-12-21T16:36:33-0700'))&amp;_a=(columns:!('Message%20ID',Summary),filters:!(),index:'emp_*',interval:auto,query:(query_string:(analyze_wildcard:!t,query:'%22rtdc.l.rtdc.4054%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820</v>
      </c>
      <c r="B108" s="224">
        <v>4053</v>
      </c>
      <c r="C108" s="226" t="s">
        <v>192</v>
      </c>
      <c r="D108" s="226" t="s">
        <v>972</v>
      </c>
      <c r="E108" s="225">
        <v>43090.660671296297</v>
      </c>
      <c r="F108" s="225">
        <v>43090.664849537039</v>
      </c>
      <c r="G108" s="224">
        <v>55</v>
      </c>
      <c r="H108" s="226" t="s">
        <v>481</v>
      </c>
      <c r="I108" s="225">
        <v>43090.691423611112</v>
      </c>
      <c r="J108" s="224">
        <v>0</v>
      </c>
      <c r="K108" s="236" t="str">
        <f t="shared" si="39"/>
        <v>4053/4054</v>
      </c>
      <c r="L108" s="244" t="str">
        <f>VLOOKUP(A108,'Trips&amp;Operators'!$C$1:$G$99911,5,FALSE)</f>
        <v>STEWART MICHAEL</v>
      </c>
      <c r="M108" s="223">
        <f t="shared" si="40"/>
        <v>2.6574074072414078E-2</v>
      </c>
      <c r="N108" s="224">
        <f t="shared" si="58"/>
        <v>38.266666664276272</v>
      </c>
      <c r="O108" s="224"/>
      <c r="P108" s="224"/>
      <c r="Q108" s="227"/>
      <c r="R108" s="241"/>
      <c r="S108" s="248">
        <f t="shared" si="59"/>
        <v>1</v>
      </c>
      <c r="T108" s="241" t="str">
        <f t="shared" si="41"/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42"/>
        <v>https://d0f6bd738d7f1b3e5a7ca70fe4ff75f0.us-east-1.aws.found.io/app/kibana#/discover/Steve-Slow-Train-Analysis-(2080s-and-2083s)?_g=(refreshInterval:(display:Off,pause:!f,section:0,value:0),time:(from:'2017-12-21T14:51:22-0700',mode:absolute,to:'2017-12-21T17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246" t="str">
        <f>IF(AA108&lt;VLOOKUP(AG108,Variables!$AC$3:$AD$8,2,FALSE),"Y","N")</f>
        <v>N</v>
      </c>
      <c r="X108" s="246">
        <f t="shared" si="43"/>
        <v>1</v>
      </c>
      <c r="Y108" s="246">
        <f t="shared" si="44"/>
        <v>23.298300000000001</v>
      </c>
      <c r="Z108" s="246">
        <f t="shared" si="56"/>
        <v>1.9400000000000001E-2</v>
      </c>
      <c r="AA108" s="246">
        <f t="shared" si="45"/>
        <v>23.2789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46"/>
        <v>192</v>
      </c>
      <c r="AE108" s="234" t="str">
        <f t="shared" si="4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108" s="233" t="str">
        <f t="shared" si="48"/>
        <v>"C:\Program Files (x86)\AstroGrep\AstroGrep.exe" /e /r /s /spath="%USERPROFILE%\AppData\Local\Temp\OnboardLogs" /stypes="app*4053*201712212*" /stext=" 23:.+?(?&gt;(PRM\|1\|D)|(KPR)|(KDP)|(train st[a-z]+ moving)|(SYSTEM_STATE:s[a-z]+ state changed)|(Enforcement Action)|(\[TIMEOUT)|(parse_ebi_status: Penalty)|(\|GPPS))"</v>
      </c>
      <c r="AG108" s="243" t="str">
        <f t="shared" si="49"/>
        <v>EC</v>
      </c>
      <c r="AH108" s="235" t="str">
        <f t="shared" si="50"/>
        <v>"%USERPROFILE%\Documents\GitHub\eaglep3\Utilities\RefineRTDCRunTimes.py" --tripid 192-21 --locoid 4053 --swversion DE.1.0.9.0 --startMP 204:232983 --initTime 2017-12-21T15:51:22 --startdatetime 2017-12-21T15:57:23 --delay 55 --endMP 204:194 --enddatetime 2017-12-21T16:35:39 --enforcementcount 0 &gt;&gt;%USERPROFILE%\Documents\GitHub\eaglep3-reporting\EC\2017-12-21-refined-times.txt</v>
      </c>
      <c r="AI108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{"issue":{"subject":"","project_id":79,"tracker_id":40,"status_id":1,"priority_id":2,"assigned_to_id":338,"start_date":"2017-12-21","description":"","custom_fields":[{"id":1,"name":"Subdivision","value":"EC"},{"id":4,"name":"Milepost","value":"0.0194"},{"id":17,"name":"Train ID","value":"192-21"},{"id":16,"name":"Locomotive ID","value":"4053"},{"id":130,"name":"Impact","value":""},{"id":150,"name":"Time of Event (Mountain Time)","value":"16:35:39"},{"id":151,"name":"Denver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52"/>
        <v>start /low /b %USERPROFILE%\Documents\GitHub\eaglep3\Utilities\DownloadLogsFromS3.py --loco 4053 --day 2017-12-21</v>
      </c>
      <c r="AN108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54"/>
        <v>https://d0f6bd738d7f1b3e5a7ca70fe4ff75f0.us-east-1.aws.found.io/app/kibana#/discover/Steve-Slow-Train-Analysis-(2080s-and-2083s)?_g=(refreshInterval:(display:Off,pause:!f,section:0,value:0),time:(from:'2017-12-21T14:51:22-0700',mode:absolute,to:'2017-12-21T17:35:39-0700'))&amp;_a=(columns:!('Message%20ID',Summary),filters:!(),index:'emp_*',interval:auto,query:(query_string:(analyze_wildcard:!t,query:'%22rtdc.l.rtdc.4053%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812</v>
      </c>
      <c r="B109" s="224">
        <v>4060</v>
      </c>
      <c r="C109" s="226" t="s">
        <v>192</v>
      </c>
      <c r="D109" s="226" t="s">
        <v>912</v>
      </c>
      <c r="E109" s="225">
        <v>43090.632650462961</v>
      </c>
      <c r="F109" s="225">
        <v>43090.635983796295</v>
      </c>
      <c r="G109" s="224">
        <v>232</v>
      </c>
      <c r="H109" s="226" t="s">
        <v>608</v>
      </c>
      <c r="I109" s="225">
        <v>43090.65997685185</v>
      </c>
      <c r="J109" s="224">
        <v>0</v>
      </c>
      <c r="K109" s="236" t="str">
        <f t="shared" ref="K109:K118" si="60">IF(ISEVEN(B109),(B109-1)&amp;"/"&amp;B109,B109&amp;"/"&amp;(B109+1))</f>
        <v>4059/4060</v>
      </c>
      <c r="L109" s="244" t="str">
        <f>VLOOKUP(A109,'Trips&amp;Operators'!$C$1:$G$99911,5,FALSE)</f>
        <v>LEVIN SCOTT</v>
      </c>
      <c r="M109" s="223">
        <f t="shared" ref="M109:M118" si="61">I109-F109</f>
        <v>2.3993055554456078E-2</v>
      </c>
      <c r="N109" s="224">
        <f t="shared" si="58"/>
        <v>34.549999998416752</v>
      </c>
      <c r="O109" s="224"/>
      <c r="P109" s="224"/>
      <c r="Q109" s="227"/>
      <c r="R109" s="241"/>
      <c r="S109" s="248">
        <f t="shared" si="59"/>
        <v>1</v>
      </c>
      <c r="T109" s="241" t="str">
        <f t="shared" ref="T109:T118" si="62">IF(ISEVEN(LEFT(AD109,4)),"Southbound","NorthBound")</f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42"/>
        <v>https://d0f6bd738d7f1b3e5a7ca70fe4ff75f0.us-east-1.aws.found.io/app/kibana#/discover/Steve-Slow-Train-Analysis-(2080s-and-2083s)?_g=(refreshInterval:(display:Off,pause:!f,section:0,value:0),time:(from:'2017-12-21T14:11:01-0700',mode:absolute,to:'2017-12-21T16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9" s="246" t="str">
        <f>IF(AA109&lt;VLOOKUP(AG109,Variables!$AC$3:$AD$8,2,FALSE),"Y","N")</f>
        <v>N</v>
      </c>
      <c r="X109" s="246">
        <f t="shared" ref="X109:X118" si="63">VALUE(LEFT(AD109,4))-VALUE(LEFT(AD108,4))</f>
        <v>1</v>
      </c>
      <c r="Y109" s="246">
        <f t="shared" ref="Y109:Y118" si="64">RIGHT(D109,LEN(D109)-4)/10000</f>
        <v>4.7500000000000001E-2</v>
      </c>
      <c r="Z109" s="246">
        <f t="shared" si="56"/>
        <v>23.3322</v>
      </c>
      <c r="AA109" s="246">
        <f t="shared" ref="AA109:AA140" si="65">ABS(Z109-Y109)</f>
        <v>23.284700000000001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ref="AD109:AD118" si="66">VALUE(LEFT(A109,LEN(A109)-3))</f>
        <v>193</v>
      </c>
      <c r="AE109" s="234" t="str">
        <f t="shared" si="47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109" s="233" t="str">
        <f t="shared" si="48"/>
        <v>"C:\Program Files (x86)\AstroGrep\AstroGrep.exe" /e /r /s /spath="%USERPROFILE%\AppData\Local\Temp\OnboardLogs" /stypes="app*4060*201712212*" /stext=" 22:.+?(?&gt;(PRM\|1\|D)|(KPR)|(KDP)|(train st[a-z]+ moving)|(SYSTEM_STATE:s[a-z]+ state changed)|(Enforcement Action)|(\[TIMEOUT)|(parse_ebi_status: Penalty)|(\|GPPS))"</v>
      </c>
      <c r="AG109" s="243" t="str">
        <f t="shared" ref="AG109:AG118" si="67">DetSubdiv(A109)</f>
        <v>EC</v>
      </c>
      <c r="AH109" s="235" t="str">
        <f t="shared" si="50"/>
        <v>"%USERPROFILE%\Documents\GitHub\eaglep3\Utilities\RefineRTDCRunTimes.py" --tripid 193-21 --locoid 4060 --swversion DE.1.0.9.0 --startMP 204:475 --initTime 2017-12-21T15:11:01 --startdatetime 2017-12-21T15:15:49 --delay 232 --endMP 204:233322 --enddatetime 2017-12-21T15:50:22 --enforcementcount 0 &gt;&gt;%USERPROFILE%\Documents\GitHub\eaglep3-reporting\EC\2017-12-21-refined-times.txt</v>
      </c>
      <c r="AI109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{"issue":{"subject":"","project_id":79,"tracker_id":40,"status_id":1,"priority_id":2,"assigned_to_id":338,"start_date":"2017-12-21","description":"","custom_fields":[{"id":1,"name":"Subdivision","value":"EC"},{"id":4,"name":"Milepost","value":"23.3322"},{"id":17,"name":"Train ID","value":"193-21"},{"id":16,"name":"Locomotive ID","value":"4060"},{"id":130,"name":"Impact","value":""},{"id":150,"name":"Time of Event (Mountain Time)","value":"15:50:22"},{"id":151,"name":"Denver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52"/>
        <v>start /low /b %USERPROFILE%\Documents\GitHub\eaglep3\Utilities\DownloadLogsFromS3.py --loco 4060 --day 2017-12-21</v>
      </c>
      <c r="AN109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54"/>
        <v>https://d0f6bd738d7f1b3e5a7ca70fe4ff75f0.us-east-1.aws.found.io/app/kibana#/discover/Steve-Slow-Train-Analysis-(2080s-and-2083s)?_g=(refreshInterval:(display:Off,pause:!f,section:0,value:0),time:(from:'2017-12-21T14:11:01-0700',mode:absolute,to:'2017-12-21T16:50:22-0700'))&amp;_a=(columns:!('Message%20ID',Summary),filters:!(),index:'emp_*',interval:auto,query:(query_string:(analyze_wildcard:!t,query:'%22rtdc.l.rtdc.4060%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821</v>
      </c>
      <c r="B110" s="224">
        <v>4059</v>
      </c>
      <c r="C110" s="226" t="s">
        <v>192</v>
      </c>
      <c r="D110" s="226" t="s">
        <v>973</v>
      </c>
      <c r="E110" s="225">
        <v>43090.664131944446</v>
      </c>
      <c r="F110" s="225">
        <v>43090.675185185188</v>
      </c>
      <c r="G110" s="224">
        <v>56</v>
      </c>
      <c r="H110" s="226" t="s">
        <v>602</v>
      </c>
      <c r="I110" s="225">
        <v>43090.701493055552</v>
      </c>
      <c r="J110" s="224">
        <v>0</v>
      </c>
      <c r="K110" s="236" t="str">
        <f t="shared" si="60"/>
        <v>4059/4060</v>
      </c>
      <c r="L110" s="244" t="str">
        <f>VLOOKUP(A110,'Trips&amp;Operators'!$C$1:$G$99911,5,FALSE)</f>
        <v>LEVIN SCOTT</v>
      </c>
      <c r="M110" s="223">
        <f t="shared" si="61"/>
        <v>2.6307870364689734E-2</v>
      </c>
      <c r="N110" s="224">
        <f t="shared" si="58"/>
        <v>37.883333325153217</v>
      </c>
      <c r="O110" s="224"/>
      <c r="P110" s="224"/>
      <c r="Q110" s="227"/>
      <c r="R110" s="241"/>
      <c r="S110" s="248">
        <f t="shared" si="59"/>
        <v>1</v>
      </c>
      <c r="T110" s="241" t="str">
        <f t="shared" si="62"/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42"/>
        <v>https://d0f6bd738d7f1b3e5a7ca70fe4ff75f0.us-east-1.aws.found.io/app/kibana#/discover/Steve-Slow-Train-Analysis-(2080s-and-2083s)?_g=(refreshInterval:(display:Off,pause:!f,section:0,value:0),time:(from:'2017-12-21T14:56:21-0700',mode:absolute,to:'2017-12-21T17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0" s="246" t="str">
        <f>IF(AA110&lt;VLOOKUP(AG110,Variables!$AC$3:$AD$8,2,FALSE),"Y","N")</f>
        <v>N</v>
      </c>
      <c r="X110" s="246">
        <f t="shared" si="63"/>
        <v>1</v>
      </c>
      <c r="Y110" s="246">
        <f t="shared" si="64"/>
        <v>23.301500000000001</v>
      </c>
      <c r="Z110" s="246">
        <f t="shared" si="56"/>
        <v>1.3899999999999999E-2</v>
      </c>
      <c r="AA110" s="246">
        <f t="shared" si="65"/>
        <v>23.287600000000001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66"/>
        <v>194</v>
      </c>
      <c r="AE110" s="234" t="str">
        <f t="shared" si="47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110" s="233" t="str">
        <f t="shared" si="48"/>
        <v>"C:\Program Files (x86)\AstroGrep\AstroGrep.exe" /e /r /s /spath="%USERPROFILE%\AppData\Local\Temp\OnboardLogs" /stypes="app*4059*201712212*" /stext=" 23:.+?(?&gt;(PRM\|1\|D)|(KPR)|(KDP)|(train st[a-z]+ moving)|(SYSTEM_STATE:s[a-z]+ state changed)|(Enforcement Action)|(\[TIMEOUT)|(parse_ebi_status: Penalty)|(\|GPPS))"</v>
      </c>
      <c r="AG110" s="243" t="str">
        <f t="shared" si="67"/>
        <v>EC</v>
      </c>
      <c r="AH110" s="235" t="str">
        <f t="shared" si="50"/>
        <v>"%USERPROFILE%\Documents\GitHub\eaglep3\Utilities\RefineRTDCRunTimes.py" --tripid 194-21 --locoid 4059 --swversion DE.1.0.9.0 --startMP 204:233015 --initTime 2017-12-21T15:56:21 --startdatetime 2017-12-21T16:12:16 --delay 56 --endMP 204:139 --enddatetime 2017-12-21T16:50:09 --enforcementcount 0 &gt;&gt;%USERPROFILE%\Documents\GitHub\eaglep3-reporting\EC\2017-12-21-refined-times.txt</v>
      </c>
      <c r="AI11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{"issue":{"subject":"","project_id":79,"tracker_id":40,"status_id":1,"priority_id":2,"assigned_to_id":338,"start_date":"2017-12-21","description":"","custom_fields":[{"id":1,"name":"Subdivision","value":"EC"},{"id":4,"name":"Milepost","value":"0.0139"},{"id":17,"name":"Train ID","value":"194-21"},{"id":16,"name":"Locomotive ID","value":"4059"},{"id":130,"name":"Impact","value":""},{"id":150,"name":"Time of Event (Mountain Time)","value":"16:50:09"},{"id":151,"name":"Denver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52"/>
        <v>start /low /b %USERPROFILE%\Documents\GitHub\eaglep3\Utilities\DownloadLogsFromS3.py --loco 4059 --day 2017-12-21</v>
      </c>
      <c r="AN110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54"/>
        <v>https://d0f6bd738d7f1b3e5a7ca70fe4ff75f0.us-east-1.aws.found.io/app/kibana#/discover/Steve-Slow-Train-Analysis-(2080s-and-2083s)?_g=(refreshInterval:(display:Off,pause:!f,section:0,value:0),time:(from:'2017-12-21T14:56:21-0700',mode:absolute,to:'2017-12-21T17:50:09-0700'))&amp;_a=(columns:!('Message%20ID',Summary),filters:!(),index:'emp_*',interval:auto,query:(query_string:(analyze_wildcard:!t,query:'%22rtdc.l.rtdc.4059%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816</v>
      </c>
      <c r="B111" s="224">
        <v>4034</v>
      </c>
      <c r="C111" s="226" t="s">
        <v>192</v>
      </c>
      <c r="D111" s="226" t="s">
        <v>639</v>
      </c>
      <c r="E111" s="225">
        <v>43090.641875000001</v>
      </c>
      <c r="F111" s="225">
        <v>43090.646006944444</v>
      </c>
      <c r="G111" s="224">
        <v>192</v>
      </c>
      <c r="H111" s="226" t="s">
        <v>620</v>
      </c>
      <c r="I111" s="225">
        <v>43090.671076388891</v>
      </c>
      <c r="J111" s="224">
        <v>0</v>
      </c>
      <c r="K111" s="236" t="str">
        <f t="shared" si="60"/>
        <v>4033/4034</v>
      </c>
      <c r="L111" s="244" t="str">
        <f>VLOOKUP(A111,'Trips&amp;Operators'!$C$1:$G$99911,5,FALSE)</f>
        <v>ROBINSON KADDIBA</v>
      </c>
      <c r="M111" s="223">
        <f t="shared" si="61"/>
        <v>2.5069444447581191E-2</v>
      </c>
      <c r="N111" s="224">
        <f t="shared" si="58"/>
        <v>36.100000004516914</v>
      </c>
      <c r="O111" s="224"/>
      <c r="P111" s="224"/>
      <c r="Q111" s="227"/>
      <c r="R111" s="241"/>
      <c r="S111" s="248">
        <f t="shared" si="59"/>
        <v>1</v>
      </c>
      <c r="T111" s="241" t="str">
        <f t="shared" si="62"/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42"/>
        <v>https://d0f6bd738d7f1b3e5a7ca70fe4ff75f0.us-east-1.aws.found.io/app/kibana#/discover/Steve-Slow-Train-Analysis-(2080s-and-2083s)?_g=(refreshInterval:(display:Off,pause:!f,section:0,value:0),time:(from:'2017-12-21T14:24:18-0700',mode:absolute,to:'2017-12-21T17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1" s="246" t="str">
        <f>IF(AA111&lt;VLOOKUP(AG111,Variables!$AC$3:$AD$8,2,FALSE),"Y","N")</f>
        <v>N</v>
      </c>
      <c r="X111" s="246">
        <f t="shared" si="63"/>
        <v>1</v>
      </c>
      <c r="Y111" s="246">
        <f t="shared" si="64"/>
        <v>4.9299999999999997E-2</v>
      </c>
      <c r="Z111" s="246">
        <f t="shared" si="56"/>
        <v>23.328299999999999</v>
      </c>
      <c r="AA111" s="246">
        <f t="shared" si="65"/>
        <v>23.279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66"/>
        <v>195</v>
      </c>
      <c r="AE111" s="234" t="str">
        <f t="shared" si="4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11" s="233" t="str">
        <f t="shared" si="48"/>
        <v>"C:\Program Files (x86)\AstroGrep\AstroGrep.exe" /e /r /s /spath="%USERPROFILE%\AppData\Local\Temp\OnboardLogs" /stypes="app*4034*201712212*" /stext=" 23:.+?(?&gt;(PRM\|1\|D)|(KPR)|(KDP)|(train st[a-z]+ moving)|(SYSTEM_STATE:s[a-z]+ state changed)|(Enforcement Action)|(\[TIMEOUT)|(parse_ebi_status: Penalty)|(\|GPPS))"</v>
      </c>
      <c r="AG111" s="243" t="str">
        <f t="shared" si="67"/>
        <v>EC</v>
      </c>
      <c r="AH111" s="235" t="str">
        <f t="shared" si="50"/>
        <v>"%USERPROFILE%\Documents\GitHub\eaglep3\Utilities\RefineRTDCRunTimes.py" --tripid 195-21 --locoid 4034 --swversion DE.1.0.9.0 --startMP 204:493 --initTime 2017-12-21T15:24:18 --startdatetime 2017-12-21T15:30:15 --delay 192 --endMP 204:233283 --enddatetime 2017-12-21T16:06:21 --enforcementcount 0 &gt;&gt;%USERPROFILE%\Documents\GitHub\eaglep3-reporting\EC\2017-12-21-refined-times.txt</v>
      </c>
      <c r="AI111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{"issue":{"subject":"","project_id":79,"tracker_id":40,"status_id":1,"priority_id":2,"assigned_to_id":338,"start_date":"2017-12-21","description":"","custom_fields":[{"id":1,"name":"Subdivision","value":"EC"},{"id":4,"name":"Milepost","value":"23.3283"},{"id":17,"name":"Train ID","value":"195-21"},{"id":16,"name":"Locomotive ID","value":"4034"},{"id":130,"name":"Impact","value":""},{"id":150,"name":"Time of Event (Mountain Time)","value":"16:06:21"},{"id":151,"name":"Denver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52"/>
        <v>start /low /b %USERPROFILE%\Documents\GitHub\eaglep3\Utilities\DownloadLogsFromS3.py --loco 4034 --day 2017-12-21</v>
      </c>
      <c r="AN111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54"/>
        <v>https://d0f6bd738d7f1b3e5a7ca70fe4ff75f0.us-east-1.aws.found.io/app/kibana#/discover/Steve-Slow-Train-Analysis-(2080s-and-2083s)?_g=(refreshInterval:(display:Off,pause:!f,section:0,value:0),time:(from:'2017-12-21T14:24:18-0700',mode:absolute,to:'2017-12-21T17:06:21-0700'))&amp;_a=(columns:!('Message%20ID',Summary),filters:!(),index:'emp_*',interval:auto,query:(query_string:(analyze_wildcard:!t,query:'%22rtdc.l.rtdc.4034%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826</v>
      </c>
      <c r="B112" s="224">
        <v>4033</v>
      </c>
      <c r="C112" s="226" t="s">
        <v>192</v>
      </c>
      <c r="D112" s="226" t="s">
        <v>619</v>
      </c>
      <c r="E112" s="225">
        <v>43090.676655092589</v>
      </c>
      <c r="F112" s="225">
        <v>43090.685567129629</v>
      </c>
      <c r="G112" s="224">
        <v>54</v>
      </c>
      <c r="H112" s="226" t="s">
        <v>481</v>
      </c>
      <c r="I112" s="225">
        <v>43090.712638888886</v>
      </c>
      <c r="J112" s="224">
        <v>0</v>
      </c>
      <c r="K112" s="236" t="str">
        <f t="shared" si="60"/>
        <v>4033/4034</v>
      </c>
      <c r="L112" s="244" t="str">
        <f>VLOOKUP(A112,'Trips&amp;Operators'!$C$1:$G$99911,5,FALSE)</f>
        <v>ROBINSON KADDIBA</v>
      </c>
      <c r="M112" s="223">
        <f t="shared" si="61"/>
        <v>2.7071759257523809E-2</v>
      </c>
      <c r="N112" s="224">
        <f t="shared" si="58"/>
        <v>38.983333330834284</v>
      </c>
      <c r="O112" s="224"/>
      <c r="P112" s="224"/>
      <c r="Q112" s="227"/>
      <c r="R112" s="241"/>
      <c r="S112" s="248">
        <f t="shared" si="59"/>
        <v>1</v>
      </c>
      <c r="T112" s="241" t="str">
        <f t="shared" si="62"/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42"/>
        <v>https://d0f6bd738d7f1b3e5a7ca70fe4ff75f0.us-east-1.aws.found.io/app/kibana#/discover/Steve-Slow-Train-Analysis-(2080s-and-2083s)?_g=(refreshInterval:(display:Off,pause:!f,section:0,value:0),time:(from:'2017-12-21T15:14:23-0700',mode:absolute,to:'2017-12-21T18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2" s="246" t="str">
        <f>IF(AA112&lt;VLOOKUP(AG112,Variables!$AC$3:$AD$8,2,FALSE),"Y","N")</f>
        <v>N</v>
      </c>
      <c r="X112" s="246">
        <f t="shared" si="63"/>
        <v>1</v>
      </c>
      <c r="Y112" s="246">
        <f t="shared" si="64"/>
        <v>23.296600000000002</v>
      </c>
      <c r="Z112" s="246">
        <f t="shared" si="56"/>
        <v>1.9400000000000001E-2</v>
      </c>
      <c r="AA112" s="246">
        <f t="shared" si="65"/>
        <v>23.277200000000001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66"/>
        <v>196</v>
      </c>
      <c r="AE112" s="234" t="str">
        <f t="shared" si="4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12" s="233" t="str">
        <f t="shared" si="48"/>
        <v>"C:\Program Files (x86)\AstroGrep\AstroGrep.exe" /e /r /s /spath="%USERPROFILE%\AppData\Local\Temp\OnboardLogs" /stypes="app*4033*201712220*" /stext=" 00:.+?(?&gt;(PRM\|1\|D)|(KPR)|(KDP)|(train st[a-z]+ moving)|(SYSTEM_STATE:s[a-z]+ state changed)|(Enforcement Action)|(\[TIMEOUT)|(parse_ebi_status: Penalty)|(\|GPPS))"</v>
      </c>
      <c r="AG112" s="243" t="str">
        <f t="shared" si="67"/>
        <v>EC</v>
      </c>
      <c r="AH112" s="235" t="str">
        <f t="shared" si="50"/>
        <v>"%USERPROFILE%\Documents\GitHub\eaglep3\Utilities\RefineRTDCRunTimes.py" --tripid 196-21 --locoid 4033 --swversion DE.1.0.9.0 --startMP 204:232966 --initTime 2017-12-21T16:14:23 --startdatetime 2017-12-21T16:27:13 --delay 54 --endMP 204:194 --enddatetime 2017-12-21T17:06:12 --enforcementcount 0 &gt;&gt;%USERPROFILE%\Documents\GitHub\eaglep3-reporting\EC\2017-12-21-refined-times.txt</v>
      </c>
      <c r="AI112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{"issue":{"subject":"","project_id":79,"tracker_id":40,"status_id":1,"priority_id":2,"assigned_to_id":338,"start_date":"2017-12-21","description":"","custom_fields":[{"id":1,"name":"Subdivision","value":"EC"},{"id":4,"name":"Milepost","value":"0.0194"},{"id":17,"name":"Train ID","value":"196-21"},{"id":16,"name":"Locomotive ID","value":"4033"},{"id":130,"name":"Impact","value":""},{"id":150,"name":"Time of Event (Mountain Time)","value":"17:06:12"},{"id":151,"name":"Denver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52"/>
        <v>start /low /b %USERPROFILE%\Documents\GitHub\eaglep3\Utilities\DownloadLogsFromS3.py --loco 4033 --day 2017-12-21</v>
      </c>
      <c r="AN112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54"/>
        <v>https://d0f6bd738d7f1b3e5a7ca70fe4ff75f0.us-east-1.aws.found.io/app/kibana#/discover/Steve-Slow-Train-Analysis-(2080s-and-2083s)?_g=(refreshInterval:(display:Off,pause:!f,section:0,value:0),time:(from:'2017-12-21T15:14:23-0700',mode:absolute,to:'2017-12-21T18:06:12-0700'))&amp;_a=(columns:!('Message%20ID',Summary),filters:!(),index:'emp_*',interval:auto,query:(query_string:(analyze_wildcard:!t,query:'%22rtdc.l.rtdc.4033%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819</v>
      </c>
      <c r="B113" s="224">
        <v>4014</v>
      </c>
      <c r="C113" s="226" t="s">
        <v>192</v>
      </c>
      <c r="D113" s="226" t="s">
        <v>971</v>
      </c>
      <c r="E113" s="225">
        <v>43090.650763888887</v>
      </c>
      <c r="F113" s="225">
        <v>43090.656643518516</v>
      </c>
      <c r="G113" s="224">
        <v>83</v>
      </c>
      <c r="H113" s="226" t="s">
        <v>953</v>
      </c>
      <c r="I113" s="225">
        <v>43090.682083333333</v>
      </c>
      <c r="J113" s="224">
        <v>0</v>
      </c>
      <c r="K113" s="236" t="str">
        <f t="shared" si="60"/>
        <v>4013/4014</v>
      </c>
      <c r="L113" s="244" t="str">
        <f>VLOOKUP(A113,'Trips&amp;Operators'!$C$1:$G$99911,5,FALSE)</f>
        <v>LEVERE CRAIG</v>
      </c>
      <c r="M113" s="223">
        <f t="shared" si="61"/>
        <v>2.5439814817218576E-2</v>
      </c>
      <c r="N113" s="224">
        <f t="shared" si="58"/>
        <v>36.633333336794749</v>
      </c>
      <c r="O113" s="224"/>
      <c r="P113" s="224"/>
      <c r="Q113" s="227"/>
      <c r="R113" s="241"/>
      <c r="S113" s="248">
        <f t="shared" si="59"/>
        <v>1</v>
      </c>
      <c r="T113" s="241" t="str">
        <f t="shared" si="62"/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42"/>
        <v>https://d0f6bd738d7f1b3e5a7ca70fe4ff75f0.us-east-1.aws.found.io/app/kibana#/discover/Steve-Slow-Train-Analysis-(2080s-and-2083s)?_g=(refreshInterval:(display:Off,pause:!f,section:0,value:0),time:(from:'2017-12-21T14:37:06-0700',mode:absolute,to:'2017-12-21T17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246" t="str">
        <f>IF(AA113&lt;VLOOKUP(AG113,Variables!$AC$3:$AD$8,2,FALSE),"Y","N")</f>
        <v>N</v>
      </c>
      <c r="X113" s="246">
        <f t="shared" si="63"/>
        <v>1</v>
      </c>
      <c r="Y113" s="246">
        <f t="shared" si="64"/>
        <v>5.1299999999999998E-2</v>
      </c>
      <c r="Z113" s="246">
        <f t="shared" si="56"/>
        <v>23.3278</v>
      </c>
      <c r="AA113" s="246">
        <f t="shared" si="65"/>
        <v>23.276499999999999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66"/>
        <v>197</v>
      </c>
      <c r="AE113" s="234" t="str">
        <f t="shared" si="47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113" s="233" t="str">
        <f t="shared" si="48"/>
        <v>"C:\Program Files (x86)\AstroGrep\AstroGrep.exe" /e /r /s /spath="%USERPROFILE%\AppData\Local\Temp\OnboardLogs" /stypes="app*4014*201712212*" /stext=" 23:.+?(?&gt;(PRM\|1\|D)|(KPR)|(KDP)|(train st[a-z]+ moving)|(SYSTEM_STATE:s[a-z]+ state changed)|(Enforcement Action)|(\[TIMEOUT)|(parse_ebi_status: Penalty)|(\|GPPS))"</v>
      </c>
      <c r="AG113" s="243" t="str">
        <f t="shared" si="67"/>
        <v>EC</v>
      </c>
      <c r="AH113" s="235" t="str">
        <f t="shared" si="50"/>
        <v>"%USERPROFILE%\Documents\GitHub\eaglep3\Utilities\RefineRTDCRunTimes.py" --tripid 197-21 --locoid 4014 --swversion DE.1.0.9.0 --startMP 204:513 --initTime 2017-12-21T15:37:06 --startdatetime 2017-12-21T15:45:34 --delay 83 --endMP 204:233278 --enddatetime 2017-12-21T16:22:12 --enforcementcount 0 &gt;&gt;%USERPROFILE%\Documents\GitHub\eaglep3-reporting\EC\2017-12-21-refined-times.txt</v>
      </c>
      <c r="AI11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{"issue":{"subject":"","project_id":79,"tracker_id":40,"status_id":1,"priority_id":2,"assigned_to_id":338,"start_date":"2017-12-21","description":"","custom_fields":[{"id":1,"name":"Subdivision","value":"EC"},{"id":4,"name":"Milepost","value":"23.3278"},{"id":17,"name":"Train ID","value":"197-21"},{"id":16,"name":"Locomotive ID","value":"4014"},{"id":130,"name":"Impact","value":""},{"id":150,"name":"Time of Event (Mountain Time)","value":"16:22:12"},{"id":151,"name":"Denver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52"/>
        <v>start /low /b %USERPROFILE%\Documents\GitHub\eaglep3\Utilities\DownloadLogsFromS3.py --loco 4014 --day 2017-12-21</v>
      </c>
      <c r="AN113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54"/>
        <v>https://d0f6bd738d7f1b3e5a7ca70fe4ff75f0.us-east-1.aws.found.io/app/kibana#/discover/Steve-Slow-Train-Analysis-(2080s-and-2083s)?_g=(refreshInterval:(display:Off,pause:!f,section:0,value:0),time:(from:'2017-12-21T14:37:06-0700',mode:absolute,to:'2017-12-21T17:22:12-0700'))&amp;_a=(columns:!('Message%20ID',Summary),filters:!(),index:'emp_*',interval:auto,query:(query_string:(analyze_wildcard:!t,query:'%22rtdc.l.rtdc.4014%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828</v>
      </c>
      <c r="B114" s="224">
        <v>4013</v>
      </c>
      <c r="C114" s="226" t="s">
        <v>192</v>
      </c>
      <c r="D114" s="226" t="s">
        <v>921</v>
      </c>
      <c r="E114" s="225">
        <v>43090.689513888887</v>
      </c>
      <c r="F114" s="225">
        <v>43090.696018518516</v>
      </c>
      <c r="G114" s="224">
        <v>63</v>
      </c>
      <c r="H114" s="226" t="s">
        <v>626</v>
      </c>
      <c r="I114" s="225">
        <v>43090.723668981482</v>
      </c>
      <c r="J114" s="224">
        <v>0</v>
      </c>
      <c r="K114" s="236" t="str">
        <f t="shared" si="60"/>
        <v>4013/4014</v>
      </c>
      <c r="L114" s="244" t="str">
        <f>VLOOKUP(A114,'Trips&amp;Operators'!$C$1:$G$99911,5,FALSE)</f>
        <v>LEVERE CRAIG</v>
      </c>
      <c r="M114" s="223">
        <f t="shared" si="61"/>
        <v>2.7650462965539191E-2</v>
      </c>
      <c r="N114" s="224">
        <f t="shared" si="58"/>
        <v>39.816666670376435</v>
      </c>
      <c r="O114" s="224"/>
      <c r="P114" s="224"/>
      <c r="Q114" s="227"/>
      <c r="R114" s="241"/>
      <c r="S114" s="248">
        <f t="shared" si="59"/>
        <v>1</v>
      </c>
      <c r="T114" s="241" t="str">
        <f t="shared" si="62"/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42"/>
        <v>https://d0f6bd738d7f1b3e5a7ca70fe4ff75f0.us-east-1.aws.found.io/app/kibana#/discover/Steve-Slow-Train-Analysis-(2080s-and-2083s)?_g=(refreshInterval:(display:Off,pause:!f,section:0,value:0),time:(from:'2017-12-21T15:32:54-0700',mode:absolute,to:'2017-12-21T18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246" t="str">
        <f>IF(AA114&lt;VLOOKUP(AG114,Variables!$AC$3:$AD$8,2,FALSE),"Y","N")</f>
        <v>N</v>
      </c>
      <c r="X114" s="246">
        <f t="shared" si="63"/>
        <v>1</v>
      </c>
      <c r="Y114" s="246">
        <f t="shared" si="64"/>
        <v>23.294799999999999</v>
      </c>
      <c r="Z114" s="246">
        <f t="shared" si="56"/>
        <v>2.6200000000000001E-2</v>
      </c>
      <c r="AA114" s="246">
        <f t="shared" si="65"/>
        <v>23.268599999999999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66"/>
        <v>198</v>
      </c>
      <c r="AE114" s="234" t="str">
        <f t="shared" si="47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114" s="233" t="str">
        <f t="shared" si="48"/>
        <v>"C:\Program Files (x86)\AstroGrep\AstroGrep.exe" /e /r /s /spath="%USERPROFILE%\AppData\Local\Temp\OnboardLogs" /stypes="app*4013*201712220*" /stext=" 00:.+?(?&gt;(PRM\|1\|D)|(KPR)|(KDP)|(train st[a-z]+ moving)|(SYSTEM_STATE:s[a-z]+ state changed)|(Enforcement Action)|(\[TIMEOUT)|(parse_ebi_status: Penalty)|(\|GPPS))"</v>
      </c>
      <c r="AG114" s="243" t="str">
        <f t="shared" si="67"/>
        <v>EC</v>
      </c>
      <c r="AH114" s="235" t="str">
        <f t="shared" si="50"/>
        <v>"%USERPROFILE%\Documents\GitHub\eaglep3\Utilities\RefineRTDCRunTimes.py" --tripid 198-21 --locoid 4013 --swversion DE.1.0.9.0 --startMP 204:232948 --initTime 2017-12-21T16:32:54 --startdatetime 2017-12-21T16:42:16 --delay 63 --endMP 204:262 --enddatetime 2017-12-21T17:22:05 --enforcementcount 0 &gt;&gt;%USERPROFILE%\Documents\GitHub\eaglep3-reporting\EC\2017-12-21-refined-times.txt</v>
      </c>
      <c r="AI11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{"issue":{"subject":"","project_id":79,"tracker_id":40,"status_id":1,"priority_id":2,"assigned_to_id":338,"start_date":"2017-12-21","description":"","custom_fields":[{"id":1,"name":"Subdivision","value":"EC"},{"id":4,"name":"Milepost","value":"0.0262"},{"id":17,"name":"Train ID","value":"198-21"},{"id":16,"name":"Locomotive ID","value":"4013"},{"id":130,"name":"Impact","value":""},{"id":150,"name":"Time of Event (Mountain Time)","value":"17:22:05"},{"id":151,"name":"Denver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52"/>
        <v>start /low /b %USERPROFILE%\Documents\GitHub\eaglep3\Utilities\DownloadLogsFromS3.py --loco 4013 --day 2017-12-21</v>
      </c>
      <c r="AN114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54"/>
        <v>https://d0f6bd738d7f1b3e5a7ca70fe4ff75f0.us-east-1.aws.found.io/app/kibana#/discover/Steve-Slow-Train-Analysis-(2080s-and-2083s)?_g=(refreshInterval:(display:Off,pause:!f,section:0,value:0),time:(from:'2017-12-21T15:32:54-0700',mode:absolute,to:'2017-12-21T18:22:05-0700'))&amp;_a=(columns:!('Message%20ID',Summary),filters:!(),index:'emp_*',interval:auto,query:(query_string:(analyze_wildcard:!t,query:'%22rtdc.l.rtdc.4013%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2" customFormat="1" x14ac:dyDescent="0.25">
      <c r="A115" s="228" t="s">
        <v>822</v>
      </c>
      <c r="B115" s="224">
        <v>4064</v>
      </c>
      <c r="C115" s="226" t="s">
        <v>192</v>
      </c>
      <c r="D115" s="226" t="s">
        <v>974</v>
      </c>
      <c r="E115" s="225">
        <v>43090.663923611108</v>
      </c>
      <c r="F115" s="225">
        <v>43090.667500000003</v>
      </c>
      <c r="G115" s="224">
        <v>85</v>
      </c>
      <c r="H115" s="226" t="s">
        <v>488</v>
      </c>
      <c r="I115" s="225">
        <v>43090.69332175926</v>
      </c>
      <c r="J115" s="224">
        <v>0</v>
      </c>
      <c r="K115" s="236" t="str">
        <f t="shared" si="60"/>
        <v>4063/4064</v>
      </c>
      <c r="L115" s="244" t="str">
        <f>VLOOKUP(A115,'Trips&amp;Operators'!$C$1:$G$99911,5,FALSE)</f>
        <v>BADERTSCHER DIANE</v>
      </c>
      <c r="M115" s="223">
        <f t="shared" si="61"/>
        <v>2.5821759256359655E-2</v>
      </c>
      <c r="N115" s="224">
        <f t="shared" si="58"/>
        <v>37.183333329157904</v>
      </c>
      <c r="O115" s="224"/>
      <c r="P115" s="224"/>
      <c r="Q115" s="227"/>
      <c r="R115" s="241"/>
      <c r="S115" s="248">
        <f t="shared" si="59"/>
        <v>1</v>
      </c>
      <c r="T115" s="241" t="str">
        <f t="shared" si="62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42"/>
        <v>https://d0f6bd738d7f1b3e5a7ca70fe4ff75f0.us-east-1.aws.found.io/app/kibana#/discover/Steve-Slow-Train-Analysis-(2080s-and-2083s)?_g=(refreshInterval:(display:Off,pause:!f,section:0,value:0),time:(from:'2017-12-21T14:56:03-0700',mode:absolute,to:'2017-12-21T17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5" s="246" t="str">
        <f>IF(AA115&lt;VLOOKUP(AG115,Variables!$AC$3:$AD$8,2,FALSE),"Y","N")</f>
        <v>N</v>
      </c>
      <c r="X115" s="246">
        <f t="shared" si="63"/>
        <v>1</v>
      </c>
      <c r="Y115" s="246">
        <f t="shared" si="64"/>
        <v>5.28E-2</v>
      </c>
      <c r="Z115" s="246">
        <f t="shared" si="56"/>
        <v>23.3261</v>
      </c>
      <c r="AA115" s="246">
        <f t="shared" si="65"/>
        <v>23.273299999999999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66"/>
        <v>199</v>
      </c>
      <c r="AE115" s="234" t="str">
        <f t="shared" si="4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15" s="233" t="str">
        <f t="shared" si="48"/>
        <v>"C:\Program Files (x86)\AstroGrep\AstroGrep.exe" /e /r /s /spath="%USERPROFILE%\AppData\Local\Temp\OnboardLogs" /stypes="app*4064*201712212*" /stext=" 23:.+?(?&gt;(PRM\|1\|D)|(KPR)|(KDP)|(train st[a-z]+ moving)|(SYSTEM_STATE:s[a-z]+ state changed)|(Enforcement Action)|(\[TIMEOUT)|(parse_ebi_status: Penalty)|(\|GPPS))"</v>
      </c>
      <c r="AG115" s="243" t="str">
        <f t="shared" si="67"/>
        <v>EC</v>
      </c>
      <c r="AH115" s="235" t="str">
        <f t="shared" si="50"/>
        <v>"%USERPROFILE%\Documents\GitHub\eaglep3\Utilities\RefineRTDCRunTimes.py" --tripid 199-21 --locoid 4064 --swversion DE.1.0.9.0 --startMP 204:528 --initTime 2017-12-21T15:56:03 --startdatetime 2017-12-21T16:01:12 --delay 85 --endMP 204:233261 --enddatetime 2017-12-21T16:38:23 --enforcementcount 0 &gt;&gt;%USERPROFILE%\Documents\GitHub\eaglep3-reporting\EC\2017-12-21-refined-times.txt</v>
      </c>
      <c r="AI11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{"issue":{"subject":"","project_id":79,"tracker_id":40,"status_id":1,"priority_id":2,"assigned_to_id":338,"start_date":"2017-12-21","description":"","custom_fields":[{"id":1,"name":"Subdivision","value":"EC"},{"id":4,"name":"Milepost","value":"23.3261"},{"id":17,"name":"Train ID","value":"199-21"},{"id":16,"name":"Locomotive ID","value":"4064"},{"id":130,"name":"Impact","value":""},{"id":150,"name":"Time of Event (Mountain Time)","value":"16:38:23"},{"id":151,"name":"Denver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0"/>
      <c r="AL115" s="230"/>
      <c r="AM115" s="239" t="str">
        <f t="shared" si="52"/>
        <v>start /low /b %USERPROFILE%\Documents\GitHub\eaglep3\Utilities\DownloadLogsFromS3.py --loco 4064 --day 2017-12-21</v>
      </c>
      <c r="AN115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54"/>
        <v>https://d0f6bd738d7f1b3e5a7ca70fe4ff75f0.us-east-1.aws.found.io/app/kibana#/discover/Steve-Slow-Train-Analysis-(2080s-and-2083s)?_g=(refreshInterval:(display:Off,pause:!f,section:0,value:0),time:(from:'2017-12-21T14:56:03-0700',mode:absolute,to:'2017-12-21T17:38:23-0700'))&amp;_a=(columns:!('Message%20ID',Summary),filters:!(),index:'emp_*',interval:auto,query:(query_string:(analyze_wildcard:!t,query:'%22rtdc.l.rtdc.4064%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2" customFormat="1" x14ac:dyDescent="0.25">
      <c r="A116" s="228" t="s">
        <v>681</v>
      </c>
      <c r="B116" s="224">
        <v>4063</v>
      </c>
      <c r="C116" s="226" t="s">
        <v>192</v>
      </c>
      <c r="D116" s="226" t="s">
        <v>505</v>
      </c>
      <c r="E116" s="225">
        <v>43090.701377314814</v>
      </c>
      <c r="F116" s="225">
        <v>43090.706423611111</v>
      </c>
      <c r="G116" s="224">
        <v>75</v>
      </c>
      <c r="H116" s="226" t="s">
        <v>524</v>
      </c>
      <c r="I116" s="225">
        <v>43090.734618055554</v>
      </c>
      <c r="J116" s="224">
        <v>0</v>
      </c>
      <c r="K116" s="236" t="str">
        <f t="shared" si="60"/>
        <v>4063/4064</v>
      </c>
      <c r="L116" s="244" t="str">
        <f>VLOOKUP(A116,'Trips&amp;Operators'!$C$1:$G$99911,5,FALSE)</f>
        <v>BADERTSCHER DIANE</v>
      </c>
      <c r="M116" s="223">
        <f t="shared" si="61"/>
        <v>2.8194444443215616E-2</v>
      </c>
      <c r="N116" s="224">
        <f t="shared" si="58"/>
        <v>40.599999998230487</v>
      </c>
      <c r="O116" s="224"/>
      <c r="P116" s="224"/>
      <c r="Q116" s="227"/>
      <c r="R116" s="241"/>
      <c r="S116" s="248">
        <f t="shared" si="59"/>
        <v>1</v>
      </c>
      <c r="T116" s="241" t="str">
        <f t="shared" si="62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42"/>
        <v>https://d0f6bd738d7f1b3e5a7ca70fe4ff75f0.us-east-1.aws.found.io/app/kibana#/discover/Steve-Slow-Train-Analysis-(2080s-and-2083s)?_g=(refreshInterval:(display:Off,pause:!f,section:0,value:0),time:(from:'2017-12-21T15:49:59-0700',mode:absolute,to:'2017-12-21T18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6" s="246" t="str">
        <f>IF(AA116&lt;VLOOKUP(AG116,Variables!$AC$3:$AD$8,2,FALSE),"Y","N")</f>
        <v>N</v>
      </c>
      <c r="X116" s="246">
        <f t="shared" si="63"/>
        <v>1</v>
      </c>
      <c r="Y116" s="246">
        <f t="shared" si="64"/>
        <v>23.2943</v>
      </c>
      <c r="Z116" s="246">
        <f t="shared" si="56"/>
        <v>2.4299999999999999E-2</v>
      </c>
      <c r="AA116" s="246">
        <f t="shared" si="65"/>
        <v>23.27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66"/>
        <v>200</v>
      </c>
      <c r="AE116" s="234" t="str">
        <f t="shared" si="4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16" s="233" t="str">
        <f t="shared" si="48"/>
        <v>"C:\Program Files (x86)\AstroGrep\AstroGrep.exe" /e /r /s /spath="%USERPROFILE%\AppData\Local\Temp\OnboardLogs" /stypes="app*4063*201712220*" /stext=" 00:.+?(?&gt;(PRM\|1\|D)|(KPR)|(KDP)|(train st[a-z]+ moving)|(SYSTEM_STATE:s[a-z]+ state changed)|(Enforcement Action)|(\[TIMEOUT)|(parse_ebi_status: Penalty)|(\|GPPS))"</v>
      </c>
      <c r="AG116" s="243" t="str">
        <f t="shared" si="67"/>
        <v>EC</v>
      </c>
      <c r="AH116" s="235" t="str">
        <f t="shared" si="50"/>
        <v>"%USERPROFILE%\Documents\GitHub\eaglep3\Utilities\RefineRTDCRunTimes.py" --tripid 200-21 --locoid 4063 --swversion DE.1.0.9.0 --startMP 204:232943 --initTime 2017-12-21T16:49:59 --startdatetime 2017-12-21T16:57:15 --delay 75 --endMP 204:243 --enddatetime 2017-12-21T17:37:51 --enforcementcount 0 &gt;&gt;%USERPROFILE%\Documents\GitHub\eaglep3-reporting\EC\2017-12-21-refined-times.txt</v>
      </c>
      <c r="AI11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{"issue":{"subject":"","project_id":79,"tracker_id":40,"status_id":1,"priority_id":2,"assigned_to_id":338,"start_date":"2017-12-21","description":"","custom_fields":[{"id":1,"name":"Subdivision","value":"EC"},{"id":4,"name":"Milepost","value":"0.0243"},{"id":17,"name":"Train ID","value":"200-21"},{"id":16,"name":"Locomotive ID","value":"4063"},{"id":130,"name":"Impact","value":""},{"id":150,"name":"Time of Event (Mountain Time)","value":"17:37:51"},{"id":151,"name":"Denver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0"/>
      <c r="AL116" s="230"/>
      <c r="AM116" s="239" t="str">
        <f t="shared" si="52"/>
        <v>start /low /b %USERPROFILE%\Documents\GitHub\eaglep3\Utilities\DownloadLogsFromS3.py --loco 4063 --day 2017-12-21</v>
      </c>
      <c r="AN116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54"/>
        <v>https://d0f6bd738d7f1b3e5a7ca70fe4ff75f0.us-east-1.aws.found.io/app/kibana#/discover/Steve-Slow-Train-Analysis-(2080s-and-2083s)?_g=(refreshInterval:(display:Off,pause:!f,section:0,value:0),time:(from:'2017-12-21T15:49:59-0700',mode:absolute,to:'2017-12-21T18:37:51-0700'))&amp;_a=(columns:!('Message%20ID',Summary),filters:!(),index:'emp_*',interval:auto,query:(query_string:(analyze_wildcard:!t,query:'%22rtdc.l.rtdc.4063%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825</v>
      </c>
      <c r="B117" s="224">
        <v>4056</v>
      </c>
      <c r="C117" s="226" t="s">
        <v>192</v>
      </c>
      <c r="D117" s="226" t="s">
        <v>975</v>
      </c>
      <c r="E117" s="225">
        <v>43090.675312500003</v>
      </c>
      <c r="F117" s="225">
        <v>43090.677499999998</v>
      </c>
      <c r="G117" s="224">
        <v>75</v>
      </c>
      <c r="H117" s="226" t="s">
        <v>976</v>
      </c>
      <c r="I117" s="225">
        <v>43090.701747685183</v>
      </c>
      <c r="J117" s="224">
        <v>0</v>
      </c>
      <c r="K117" s="236" t="str">
        <f t="shared" si="60"/>
        <v>4055/4056</v>
      </c>
      <c r="L117" s="244" t="str">
        <f>VLOOKUP(A117,'Trips&amp;Operators'!$C$1:$G$99911,5,FALSE)</f>
        <v>HOLCOMB KAMDEN</v>
      </c>
      <c r="M117" s="223">
        <f t="shared" si="61"/>
        <v>2.4247685185400769E-2</v>
      </c>
      <c r="N117" s="224">
        <f t="shared" si="58"/>
        <v>34.916666666977108</v>
      </c>
      <c r="O117" s="224"/>
      <c r="P117" s="224"/>
      <c r="Q117" s="227"/>
      <c r="R117" s="241"/>
      <c r="S117" s="248">
        <f t="shared" si="59"/>
        <v>1</v>
      </c>
      <c r="T117" s="241" t="str">
        <f t="shared" si="62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42"/>
        <v>https://d0f6bd738d7f1b3e5a7ca70fe4ff75f0.us-east-1.aws.found.io/app/kibana#/discover/Steve-Slow-Train-Analysis-(2080s-and-2083s)?_g=(refreshInterval:(display:Off,pause:!f,section:0,value:0),time:(from:'2017-12-21T15:12:27-0700',mode:absolute,to:'2017-12-21T17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246" t="str">
        <f>IF(AA117&lt;VLOOKUP(AG117,Variables!$AC$3:$AD$8,2,FALSE),"Y","N")</f>
        <v>N</v>
      </c>
      <c r="X117" s="246">
        <f t="shared" si="63"/>
        <v>1</v>
      </c>
      <c r="Y117" s="246">
        <f t="shared" si="64"/>
        <v>4.8399999999999999E-2</v>
      </c>
      <c r="Z117" s="246">
        <f t="shared" si="56"/>
        <v>23.3218</v>
      </c>
      <c r="AA117" s="246">
        <f t="shared" si="65"/>
        <v>23.273399999999999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66"/>
        <v>201</v>
      </c>
      <c r="AE117" s="234" t="str">
        <f t="shared" si="47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117" s="233" t="str">
        <f t="shared" si="48"/>
        <v>"C:\Program Files (x86)\AstroGrep\AstroGrep.exe" /e /r /s /spath="%USERPROFILE%\AppData\Local\Temp\OnboardLogs" /stypes="app*4056*201712212*" /stext=" 23:.+?(?&gt;(PRM\|1\|D)|(KPR)|(KDP)|(train st[a-z]+ moving)|(SYSTEM_STATE:s[a-z]+ state changed)|(Enforcement Action)|(\[TIMEOUT)|(parse_ebi_status: Penalty)|(\|GPPS))"</v>
      </c>
      <c r="AG117" s="243" t="str">
        <f t="shared" si="67"/>
        <v>EC</v>
      </c>
      <c r="AH117" s="235" t="str">
        <f t="shared" si="50"/>
        <v>"%USERPROFILE%\Documents\GitHub\eaglep3\Utilities\RefineRTDCRunTimes.py" --tripid 201-21 --locoid 4056 --swversion DE.1.0.9.0 --startMP 204:484 --initTime 2017-12-21T16:12:27 --startdatetime 2017-12-21T16:15:36 --delay 75 --endMP 204:233218 --enddatetime 2017-12-21T16:50:31 --enforcementcount 0 &gt;&gt;%USERPROFILE%\Documents\GitHub\eaglep3-reporting\EC\2017-12-21-refined-times.txt</v>
      </c>
      <c r="AI11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{"issue":{"subject":"","project_id":79,"tracker_id":40,"status_id":1,"priority_id":2,"assigned_to_id":338,"start_date":"2017-12-21","description":"","custom_fields":[{"id":1,"name":"Subdivision","value":"EC"},{"id":4,"name":"Milepost","value":"23.3218"},{"id":17,"name":"Train ID","value":"201-21"},{"id":16,"name":"Locomotive ID","value":"4056"},{"id":130,"name":"Impact","value":""},{"id":150,"name":"Time of Event (Mountain Time)","value":"16:50:31"},{"id":151,"name":"Denver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52"/>
        <v>start /low /b %USERPROFILE%\Documents\GitHub\eaglep3\Utilities\DownloadLogsFromS3.py --loco 4056 --day 2017-12-21</v>
      </c>
      <c r="AN117" s="240" t="str">
        <f t="shared" si="53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54"/>
        <v>https://d0f6bd738d7f1b3e5a7ca70fe4ff75f0.us-east-1.aws.found.io/app/kibana#/discover/Steve-Slow-Train-Analysis-(2080s-and-2083s)?_g=(refreshInterval:(display:Off,pause:!f,section:0,value:0),time:(from:'2017-12-21T15:12:27-0700',mode:absolute,to:'2017-12-21T17:50:31-0700'))&amp;_a=(columns:!('Message%20ID',Summary),filters:!(),index:'emp_*',interval:auto,query:(query_string:(analyze_wildcard:!t,query:'%22rtdc.l.rtdc.4056%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833</v>
      </c>
      <c r="B118" s="224">
        <v>4055</v>
      </c>
      <c r="C118" s="226" t="s">
        <v>192</v>
      </c>
      <c r="D118" s="226" t="s">
        <v>977</v>
      </c>
      <c r="E118" s="225">
        <v>43090.71465277778</v>
      </c>
      <c r="F118" s="225">
        <v>43090.717129629629</v>
      </c>
      <c r="G118" s="224">
        <v>67</v>
      </c>
      <c r="H118" s="226" t="s">
        <v>597</v>
      </c>
      <c r="I118" s="225">
        <v>43090.743437500001</v>
      </c>
      <c r="J118" s="224">
        <v>0</v>
      </c>
      <c r="K118" s="236" t="str">
        <f t="shared" si="60"/>
        <v>4055/4056</v>
      </c>
      <c r="L118" s="244" t="str">
        <f>VLOOKUP(A118,'Trips&amp;Operators'!$C$1:$G$99911,5,FALSE)</f>
        <v>HOLCOMB KAMDEN</v>
      </c>
      <c r="M118" s="223">
        <f t="shared" si="61"/>
        <v>2.6307870371965691E-2</v>
      </c>
      <c r="N118" s="224">
        <f t="shared" si="58"/>
        <v>37.883333335630596</v>
      </c>
      <c r="O118" s="224"/>
      <c r="P118" s="224"/>
      <c r="Q118" s="227"/>
      <c r="R118" s="241"/>
      <c r="S118" s="248">
        <f t="shared" si="59"/>
        <v>1</v>
      </c>
      <c r="T118" s="241" t="str">
        <f t="shared" si="62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42"/>
        <v>https://d0f6bd738d7f1b3e5a7ca70fe4ff75f0.us-east-1.aws.found.io/app/kibana#/discover/Steve-Slow-Train-Analysis-(2080s-and-2083s)?_g=(refreshInterval:(display:Off,pause:!f,section:0,value:0),time:(from:'2017-12-21T16:09:06-0700',mode:absolute,to:'2017-12-21T18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8" s="246" t="str">
        <f>IF(AA118&lt;VLOOKUP(AG118,Variables!$AC$3:$AD$8,2,FALSE),"Y","N")</f>
        <v>N</v>
      </c>
      <c r="X118" s="246">
        <f t="shared" si="63"/>
        <v>1</v>
      </c>
      <c r="Y118" s="246">
        <f t="shared" si="64"/>
        <v>23.2898</v>
      </c>
      <c r="Z118" s="246">
        <f t="shared" si="56"/>
        <v>1.5599999999999999E-2</v>
      </c>
      <c r="AA118" s="246">
        <f t="shared" si="65"/>
        <v>23.2742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66"/>
        <v>202</v>
      </c>
      <c r="AE118" s="234" t="str">
        <f t="shared" si="47"/>
        <v>aws s3 cp s3://rtdc.mdm.uploadarchive.raw/RTDC4055/ "%USERPROFILE%\AppData\Local\Temp\OnboardLogs"\RTDC4055\2017-12-21 --exclude "*" --recursive --include "*20171221*" &amp; "%USERPROFILE%\Documents\GitHub\mrs-test-scripts\Headless Mode &amp; Sideloading\WalkAndUnGZ.bat" "%USERPROFILE%\AppData\Local\Temp\OnboardLogs"\RTDC4055\2017-12-21 &amp; aws s3 cp s3://rtdc.mdm.uploadarchive.raw/RTDC4055/ "%USERPROFILE%\AppData\Local\Temp\OnboardLogs"\RTDC4055\2017-12-22 --exclude "*" --recursive --include "*20171222*" &amp; "%USERPROFILE%\Documents\GitHub\mrs-test-scripts\Headless Mode &amp; Sideloading\WalkAndUnGZ.bat" "%USERPROFILE%\AppData\Local\Temp\OnboardLogs"\RTDC4055\2017-12-22</v>
      </c>
      <c r="AF118" s="233" t="str">
        <f t="shared" si="48"/>
        <v>"C:\Program Files (x86)\AstroGrep\AstroGrep.exe" /e /r /s /spath="%USERPROFILE%\AppData\Local\Temp\OnboardLogs" /stypes="app*4055*201712220*" /stext=" 00:.+?(?&gt;(PRM\|1\|D)|(KPR)|(KDP)|(train st[a-z]+ moving)|(SYSTEM_STATE:s[a-z]+ state changed)|(Enforcement Action)|(\[TIMEOUT)|(parse_ebi_status: Penalty)|(\|GPPS))"</v>
      </c>
      <c r="AG118" s="243" t="str">
        <f t="shared" si="67"/>
        <v>EC</v>
      </c>
      <c r="AH118" s="235" t="str">
        <f t="shared" si="50"/>
        <v>"%USERPROFILE%\Documents\GitHub\eaglep3\Utilities\RefineRTDCRunTimes.py" --tripid 202-21 --locoid 4055 --swversion DE.1.0.9.0 --startMP 204:232898 --initTime 2017-12-21T17:09:06 --startdatetime 2017-12-21T17:12:40 --delay 67 --endMP 204:156 --enddatetime 2017-12-21T17:50:33 --enforcementcount 0 &gt;&gt;%USERPROFILE%\Documents\GitHub\eaglep3-reporting\EC\2017-12-21-refined-times.txt</v>
      </c>
      <c r="AI118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{"issue":{"subject":"","project_id":79,"tracker_id":40,"status_id":1,"priority_id":2,"assigned_to_id":338,"start_date":"2017-12-21","description":"","custom_fields":[{"id":1,"name":"Subdivision","value":"EC"},{"id":4,"name":"Milepost","value":"0.0156"},{"id":17,"name":"Train ID","value":"202-21"},{"id":16,"name":"Locomotive ID","value":"4055"},{"id":130,"name":"Impact","value":""},{"id":150,"name":"Time of Event (Mountain Time)","value":"17:50:33"},{"id":151,"name":"Denver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52"/>
        <v>start /low /b %USERPROFILE%\Documents\GitHub\eaglep3\Utilities\DownloadLogsFromS3.py --loco 4055 --day 2017-12-21</v>
      </c>
      <c r="AN118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54"/>
        <v>https://d0f6bd738d7f1b3e5a7ca70fe4ff75f0.us-east-1.aws.found.io/app/kibana#/discover/Steve-Slow-Train-Analysis-(2080s-and-2083s)?_g=(refreshInterval:(display:Off,pause:!f,section:0,value:0),time:(from:'2017-12-21T16:09:06-0700',mode:absolute,to:'2017-12-21T18:50:33-0700'))&amp;_a=(columns:!('Message%20ID',Summary),filters:!(),index:'emp_*',interval:auto,query:(query_string:(analyze_wildcard:!t,query:'%22rtdc.l.rtdc.4055%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827</v>
      </c>
      <c r="B119" s="224">
        <v>4012</v>
      </c>
      <c r="C119" s="226" t="s">
        <v>192</v>
      </c>
      <c r="D119" s="226" t="s">
        <v>977</v>
      </c>
      <c r="E119" s="225">
        <v>43090.71465277778</v>
      </c>
      <c r="F119" s="225">
        <v>43090.687673611108</v>
      </c>
      <c r="G119" s="224">
        <v>67</v>
      </c>
      <c r="H119" s="226" t="s">
        <v>597</v>
      </c>
      <c r="I119" s="225">
        <v>43090.713090277779</v>
      </c>
      <c r="J119" s="224">
        <v>0</v>
      </c>
      <c r="K119" s="236" t="str">
        <f t="shared" ref="K119:K120" si="68">IF(ISEVEN(B119),(B119-1)&amp;"/"&amp;B119,B119&amp;"/"&amp;(B119+1))</f>
        <v>4011/4012</v>
      </c>
      <c r="L119" s="244" t="str">
        <f>VLOOKUP(A119,'Trips&amp;Operators'!$C$1:$G$99911,5,FALSE)</f>
        <v>NEWELL JAMES</v>
      </c>
      <c r="M119" s="223">
        <f t="shared" ref="M119:M120" si="69">I119-F119</f>
        <v>2.5416666670935228E-2</v>
      </c>
      <c r="N119" s="224">
        <f t="shared" ref="N119:N120" si="70">24*60*SUM($M119:$M119)</f>
        <v>36.600000006146729</v>
      </c>
      <c r="O119" s="224"/>
      <c r="P119" s="224"/>
      <c r="Q119" s="227"/>
      <c r="R119" s="241"/>
      <c r="S119" s="248">
        <f t="shared" ref="S119:S120" si="71">1/IF(AG119="EC",12,1)*SUM(U119:U119)</f>
        <v>1</v>
      </c>
      <c r="T119" s="241" t="str">
        <f t="shared" ref="T119:T120" si="72">IF(ISEVEN(LEFT(AD119,4)),"Southbound","NorthBound")</f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42"/>
        <v>https://d0f6bd738d7f1b3e5a7ca70fe4ff75f0.us-east-1.aws.found.io/app/kibana#/discover/Steve-Slow-Train-Analysis-(2080s-and-2083s)?_g=(refreshInterval:(display:Off,pause:!f,section:0,value:0),time:(from:'2017-12-21T16:09:06-0700',mode:absolute,to:'2017-12-21T18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246" t="str">
        <f>IF(AA119&lt;VLOOKUP(AG119,Variables!$AC$3:$AD$8,2,FALSE),"Y","N")</f>
        <v>N</v>
      </c>
      <c r="X119" s="246">
        <f t="shared" ref="X119:X121" si="73">VALUE(LEFT(AD119,4))-VALUE(LEFT(AD118,4))</f>
        <v>1</v>
      </c>
      <c r="Y119" s="246">
        <v>4.8399999999999999E-2</v>
      </c>
      <c r="Z119" s="246">
        <v>23.3218</v>
      </c>
      <c r="AA119" s="246">
        <f t="shared" ref="AA119:AA120" si="74">ABS(Z119-Y119)</f>
        <v>23.273399999999999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ref="AD119:AD120" si="75">VALUE(LEFT(A119,LEN(A119)-3))</f>
        <v>203</v>
      </c>
      <c r="AE119" s="234" t="str">
        <f t="shared" si="47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19" s="233" t="str">
        <f t="shared" si="48"/>
        <v>"C:\Program Files (x86)\AstroGrep\AstroGrep.exe" /e /r /s /spath="%USERPROFILE%\AppData\Local\Temp\OnboardLogs" /stypes="app*4012*201712220*" /stext=" 00:.+?(?&gt;(PRM\|1\|D)|(KPR)|(KDP)|(train st[a-z]+ moving)|(SYSTEM_STATE:s[a-z]+ state changed)|(Enforcement Action)|(\[TIMEOUT)|(parse_ebi_status: Penalty)|(\|GPPS))"</v>
      </c>
      <c r="AG119" s="243" t="str">
        <f t="shared" ref="AG119:AG120" si="76">DetSubdiv(A119)</f>
        <v>EC</v>
      </c>
      <c r="AH119" s="235" t="str">
        <f t="shared" ref="AH119:AH120" si="77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203-21 --locoid 4012 --swversion DE.1.0.9.0 --startMP 204:232898 --initTime 2017-12-21T17:09:06 --startdatetime 2017-12-21T16:30:15 --delay 67 --endMP 204:156 --enddatetime 2017-12-21T17:06:51 --enforcementcount 0 &gt;&gt;%USERPROFILE%\Documents\GitHub\eaglep3-reporting\EC\2017-12-21-refined-times.txt</v>
      </c>
      <c r="AI119" s="237" t="str">
        <f t="shared" ref="AI119:AI120" si="78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{"issue":{"subject":"","project_id":79,"tracker_id":40,"status_id":1,"priority_id":2,"assigned_to_id":338,"start_date":"2017-12-21","description":"","custom_fields":[{"id":1,"name":"Subdivision","value":"EC"},{"id":4,"name":"Milepost","value":"23.3218"},{"id":17,"name":"Train ID","value":"203-21"},{"id":16,"name":"Locomotive ID","value":"4012"},{"id":130,"name":"Impact","value":""},{"id":150,"name":"Time of Event (Mountain Time)","value":"17:06:51"},{"id":151,"name":"Denver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ref="AM119:AM120" si="79">"start /low /b "&amp;dls3logs&amp;" --loco "&amp;B119&amp;" --day "&amp;TEXT(F119,"YYYY-MM-DD")</f>
        <v>start /low /b %USERPROFILE%\Documents\GitHub\eaglep3\Utilities\DownloadLogsFromS3.py --loco 4012 --day 2017-12-21</v>
      </c>
      <c r="AN119" s="240" t="str">
        <f t="shared" ref="AN119:AN120" si="80"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ref="AO119:AO120" si="81"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Message%20ID',Summary),filters:!(),index:'emp_*',interval:auto,query:"&amp;"(query_string:(analyze_wildcard:!t,query:'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-21T16:09:06-0700',mode:absolute,to:'2017-12-21T18:06:51-0700'))&amp;_a=(columns:!('Message%20ID',Summary),filters:!(),index:'emp_*',interval:auto,query:(query_string:(analyze_wildcard:!t,query:'%22rtdc.l.rtdc.4012%22')),sort:!(Time.ISO8601,asc))</v>
      </c>
    </row>
    <row r="120" spans="1:91" s="222" customFormat="1" x14ac:dyDescent="0.25">
      <c r="A120" s="228" t="s">
        <v>835</v>
      </c>
      <c r="B120" s="224">
        <v>4011</v>
      </c>
      <c r="C120" s="226" t="s">
        <v>192</v>
      </c>
      <c r="D120" s="226" t="s">
        <v>977</v>
      </c>
      <c r="E120" s="225">
        <v>43090.71465277778</v>
      </c>
      <c r="F120" s="225">
        <v>43090.727233796293</v>
      </c>
      <c r="G120" s="224">
        <v>67</v>
      </c>
      <c r="H120" s="226" t="s">
        <v>597</v>
      </c>
      <c r="I120" s="225">
        <v>43090.753287037034</v>
      </c>
      <c r="J120" s="224">
        <v>0</v>
      </c>
      <c r="K120" s="236" t="str">
        <f t="shared" si="68"/>
        <v>4011/4012</v>
      </c>
      <c r="L120" s="244" t="str">
        <f>VLOOKUP(A120,'Trips&amp;Operators'!$C$1:$G$99911,5,FALSE)</f>
        <v>NEWELL JAMES</v>
      </c>
      <c r="M120" s="223">
        <f t="shared" si="69"/>
        <v>2.6053240741021E-2</v>
      </c>
      <c r="N120" s="224">
        <f t="shared" si="70"/>
        <v>37.51666666707024</v>
      </c>
      <c r="O120" s="224"/>
      <c r="P120" s="224"/>
      <c r="Q120" s="227"/>
      <c r="R120" s="241"/>
      <c r="S120" s="248">
        <f t="shared" si="71"/>
        <v>1</v>
      </c>
      <c r="T120" s="241" t="str">
        <f t="shared" si="72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42"/>
        <v>https://d0f6bd738d7f1b3e5a7ca70fe4ff75f0.us-east-1.aws.found.io/app/kibana#/discover/Steve-Slow-Train-Analysis-(2080s-and-2083s)?_g=(refreshInterval:(display:Off,pause:!f,section:0,value:0),time:(from:'2017-12-21T16:09:06-0700',mode:absolute,to:'2017-12-21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246" t="str">
        <f>IF(AA120&lt;VLOOKUP(AG120,Variables!$AC$3:$AD$8,2,FALSE),"Y","N")</f>
        <v>N</v>
      </c>
      <c r="X120" s="246">
        <f t="shared" si="73"/>
        <v>1</v>
      </c>
      <c r="Y120" s="246">
        <f t="shared" ref="Y120" si="82">RIGHT(D120,LEN(D120)-4)/10000</f>
        <v>23.2898</v>
      </c>
      <c r="Z120" s="246">
        <f t="shared" ref="Z120" si="83">RIGHT(H120,LEN(H120)-4)/10000</f>
        <v>1.5599999999999999E-2</v>
      </c>
      <c r="AA120" s="246">
        <f t="shared" si="74"/>
        <v>23.2742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75"/>
        <v>204</v>
      </c>
      <c r="AE120" s="234" t="str">
        <f t="shared" si="4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20" s="233" t="str">
        <f t="shared" si="48"/>
        <v>"C:\Program Files (x86)\AstroGrep\AstroGrep.exe" /e /r /s /spath="%USERPROFILE%\AppData\Local\Temp\OnboardLogs" /stypes="app*4011*201712220*" /stext=" 01:.+?(?&gt;(PRM\|1\|D)|(KPR)|(KDP)|(train st[a-z]+ moving)|(SYSTEM_STATE:s[a-z]+ state changed)|(Enforcement Action)|(\[TIMEOUT)|(parse_ebi_status: Penalty)|(\|GPPS))"</v>
      </c>
      <c r="AG120" s="243" t="str">
        <f t="shared" si="76"/>
        <v>EC</v>
      </c>
      <c r="AH120" s="235" t="str">
        <f t="shared" si="77"/>
        <v>"%USERPROFILE%\Documents\GitHub\eaglep3\Utilities\RefineRTDCRunTimes.py" --tripid 204-21 --locoid 4011 --swversion DE.1.0.9.0 --startMP 204:232898 --initTime 2017-12-21T17:09:06 --startdatetime 2017-12-21T17:27:13 --delay 67 --endMP 204:156 --enddatetime 2017-12-21T18:04:44 --enforcementcount 0 &gt;&gt;%USERPROFILE%\Documents\GitHub\eaglep3-reporting\EC\2017-12-21-refined-times.txt</v>
      </c>
      <c r="AI120" s="237" t="str">
        <f t="shared" si="78"/>
        <v>echo {"issue":{"subject":"","project_id":79,"tracker_id":40,"status_id":1,"priority_id":2,"assigned_to_id":338,"start_date":"2017-12-21","description":"","custom_fields":[{"id":1,"name":"Subdivision","value":"EC"},{"id":4,"name":"Milepost","value":"0.0156"},{"id":17,"name":"Train ID","value":"204-21"},{"id":16,"name":"Locomotive ID","value":"4011"},{"id":130,"name":"Impact","value":""},{"id":150,"name":"Time of Event (Mountain Time)","value":"18:04:44"},{"id":151,"name":"Denver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79"/>
        <v>start /low /b %USERPROFILE%\Documents\GitHub\eaglep3\Utilities\DownloadLogsFromS3.py --loco 4011 --day 2017-12-21</v>
      </c>
      <c r="AN120" s="240" t="str">
        <f t="shared" si="80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81"/>
        <v>https://d0f6bd738d7f1b3e5a7ca70fe4ff75f0.us-east-1.aws.found.io/app/kibana#/discover/Steve-Slow-Train-Analysis-(2080s-and-2083s)?_g=(refreshInterval:(display:Off,pause:!f,section:0,value:0),time:(from:'2017-12-21T16:09:06-0700',mode:absolute,to:'2017-12-21T19:04:44-0700'))&amp;_a=(columns:!('Message%20ID',Summary),filters:!(),index:'emp_*',interval:auto,query:(query_string:(analyze_wildcard:!t,query:'%22rtdc.l.rtdc.4011%22')),sort:!(Time.ISO8601,asc))</v>
      </c>
    </row>
    <row r="121" spans="1:91" s="222" customFormat="1" x14ac:dyDescent="0.25">
      <c r="A121" s="228" t="s">
        <v>829</v>
      </c>
      <c r="B121" s="224">
        <v>4054</v>
      </c>
      <c r="C121" s="226" t="s">
        <v>192</v>
      </c>
      <c r="D121" s="226" t="s">
        <v>937</v>
      </c>
      <c r="E121" s="225">
        <v>43090.694166666668</v>
      </c>
      <c r="F121" s="225">
        <v>43090.698263888888</v>
      </c>
      <c r="G121" s="224">
        <v>84</v>
      </c>
      <c r="H121" s="226" t="s">
        <v>978</v>
      </c>
      <c r="I121" s="225">
        <v>43090.723587962966</v>
      </c>
      <c r="J121" s="224">
        <v>0</v>
      </c>
      <c r="K121" s="236" t="str">
        <f t="shared" ref="K121:K140" si="84">IF(ISEVEN(B121),(B121-1)&amp;"/"&amp;B121,B121&amp;"/"&amp;(B121+1))</f>
        <v>4053/4054</v>
      </c>
      <c r="L121" s="244" t="str">
        <f>VLOOKUP(A121,'Trips&amp;Operators'!$C$1:$G$99911,5,FALSE)</f>
        <v>STEWART MICHAEL</v>
      </c>
      <c r="M121" s="223">
        <f t="shared" ref="M121:M140" si="85">I121-F121</f>
        <v>2.5324074078525882E-2</v>
      </c>
      <c r="N121" s="224">
        <f t="shared" ref="N121:N131" si="86">24*60*SUM($M121:$M121)</f>
        <v>36.46666667307727</v>
      </c>
      <c r="O121" s="224"/>
      <c r="P121" s="224"/>
      <c r="Q121" s="227"/>
      <c r="R121" s="241"/>
      <c r="S121" s="248">
        <f t="shared" ref="S121:S140" si="87">1/IF(AG121="EC",12,1)*SUM(U121:U121)</f>
        <v>1</v>
      </c>
      <c r="T121" s="241" t="str">
        <f t="shared" ref="T121:T140" si="88">IF(ISEVEN(LEFT(AD121,4)),"Southbound","NorthBound")</f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42"/>
        <v>https://d0f6bd738d7f1b3e5a7ca70fe4ff75f0.us-east-1.aws.found.io/app/kibana#/discover/Steve-Slow-Train-Analysis-(2080s-and-2083s)?_g=(refreshInterval:(display:Off,pause:!f,section:0,value:0),time:(from:'2017-12-21T15:39:36-0700',mode:absolute,to:'2017-12-21T18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246" t="str">
        <f>IF(AA121&lt;VLOOKUP(AG121,Variables!$AC$3:$AD$8,2,FALSE),"Y","N")</f>
        <v>N</v>
      </c>
      <c r="X121" s="246">
        <f t="shared" si="73"/>
        <v>1</v>
      </c>
      <c r="Y121" s="246">
        <f t="shared" ref="Y121:Y130" si="89">RIGHT(D121,LEN(D121)-4)/10000</f>
        <v>5.0900000000000001E-2</v>
      </c>
      <c r="Z121" s="246">
        <f t="shared" ref="Z121:Z130" si="90">RIGHT(H121,LEN(H121)-4)/10000</f>
        <v>23.323</v>
      </c>
      <c r="AA121" s="246">
        <f t="shared" ref="AA121:AA140" si="91">ABS(Z121-Y121)</f>
        <v>23.272100000000002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ref="AD121:AD140" si="92">VALUE(LEFT(A121,LEN(A121)-3))</f>
        <v>205</v>
      </c>
      <c r="AE121" s="234" t="str">
        <f t="shared" si="4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21" s="233" t="str">
        <f t="shared" si="48"/>
        <v>"C:\Program Files (x86)\AstroGrep\AstroGrep.exe" /e /r /s /spath="%USERPROFILE%\AppData\Local\Temp\OnboardLogs" /stypes="app*4054*201712220*" /stext=" 00:.+?(?&gt;(PRM\|1\|D)|(KPR)|(KDP)|(train st[a-z]+ moving)|(SYSTEM_STATE:s[a-z]+ state changed)|(Enforcement Action)|(\[TIMEOUT)|(parse_ebi_status: Penalty)|(\|GPPS))"</v>
      </c>
      <c r="AG121" s="243" t="str">
        <f t="shared" ref="AG121:AG140" si="93">DetSubdiv(A121)</f>
        <v>EC</v>
      </c>
      <c r="AH121" s="235" t="str">
        <f t="shared" si="50"/>
        <v>"%USERPROFILE%\Documents\GitHub\eaglep3\Utilities\RefineRTDCRunTimes.py" --tripid 205-21 --locoid 4054 --swversion DE.1.0.9.0 --startMP 204:509 --initTime 2017-12-21T16:39:36 --startdatetime 2017-12-21T16:45:30 --delay 84 --endMP 204:233230 --enddatetime 2017-12-21T17:21:58 --enforcementcount 0 &gt;&gt;%USERPROFILE%\Documents\GitHub\eaglep3-reporting\EC\2017-12-21-refined-times.txt</v>
      </c>
      <c r="AI121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{"issue":{"subject":"","project_id":79,"tracker_id":40,"status_id":1,"priority_id":2,"assigned_to_id":338,"start_date":"2017-12-21","description":"","custom_fields":[{"id":1,"name":"Subdivision","value":"EC"},{"id":4,"name":"Milepost","value":"23.323"},{"id":17,"name":"Train ID","value":"205-21"},{"id":16,"name":"Locomotive ID","value":"4054"},{"id":130,"name":"Impact","value":""},{"id":150,"name":"Time of Event (Mountain Time)","value":"17:21:58"},{"id":151,"name":"Denver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52"/>
        <v>start /low /b %USERPROFILE%\Documents\GitHub\eaglep3\Utilities\DownloadLogsFromS3.py --loco 4054 --day 2017-12-21</v>
      </c>
      <c r="AN121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54"/>
        <v>https://d0f6bd738d7f1b3e5a7ca70fe4ff75f0.us-east-1.aws.found.io/app/kibana#/discover/Steve-Slow-Train-Analysis-(2080s-and-2083s)?_g=(refreshInterval:(display:Off,pause:!f,section:0,value:0),time:(from:'2017-12-21T15:39:36-0700',mode:absolute,to:'2017-12-21T18:21:58-0700'))&amp;_a=(columns:!('Message%20ID',Summary),filters:!(),index:'emp_*',interval:auto,query:(query_string:(analyze_wildcard:!t,query:'%22rtdc.l.rtdc.4054%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838</v>
      </c>
      <c r="B122" s="224">
        <v>4053</v>
      </c>
      <c r="C122" s="226" t="s">
        <v>192</v>
      </c>
      <c r="D122" s="226" t="s">
        <v>552</v>
      </c>
      <c r="E122" s="225">
        <v>43090.732685185183</v>
      </c>
      <c r="F122" s="225">
        <v>43090.737708333334</v>
      </c>
      <c r="G122" s="224">
        <v>74</v>
      </c>
      <c r="H122" s="226" t="s">
        <v>554</v>
      </c>
      <c r="I122" s="225">
        <v>43090.764907407407</v>
      </c>
      <c r="J122" s="224">
        <v>0</v>
      </c>
      <c r="K122" s="236" t="str">
        <f t="shared" si="84"/>
        <v>4053/4054</v>
      </c>
      <c r="L122" s="244" t="str">
        <f>VLOOKUP(A122,'Trips&amp;Operators'!$C$1:$G$99911,5,FALSE)</f>
        <v>STEWART MICHAEL</v>
      </c>
      <c r="M122" s="223">
        <f t="shared" si="85"/>
        <v>2.7199074072996154E-2</v>
      </c>
      <c r="N122" s="224">
        <f t="shared" si="86"/>
        <v>39.166666665114462</v>
      </c>
      <c r="O122" s="224"/>
      <c r="P122" s="224"/>
      <c r="Q122" s="227"/>
      <c r="R122" s="241"/>
      <c r="S122" s="248">
        <f t="shared" si="87"/>
        <v>1</v>
      </c>
      <c r="T122" s="241" t="str">
        <f t="shared" si="88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42"/>
        <v>https://d0f6bd738d7f1b3e5a7ca70fe4ff75f0.us-east-1.aws.found.io/app/kibana#/discover/Steve-Slow-Train-Analysis-(2080s-and-2083s)?_g=(refreshInterval:(display:Off,pause:!f,section:0,value:0),time:(from:'2017-12-21T16:35:04-0700',mode:absolute,to:'2017-12-21T19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246" t="str">
        <f>IF(AA122&lt;VLOOKUP(AG122,Variables!$AC$3:$AD$8,2,FALSE),"Y","N")</f>
        <v>N</v>
      </c>
      <c r="X122" s="246">
        <f t="shared" ref="X122:X140" si="94">VALUE(LEFT(AD122,4))-VALUE(LEFT(AD121,4))</f>
        <v>1</v>
      </c>
      <c r="Y122" s="246">
        <f t="shared" si="89"/>
        <v>23.291699999999999</v>
      </c>
      <c r="Z122" s="246">
        <f t="shared" si="90"/>
        <v>2.07E-2</v>
      </c>
      <c r="AA122" s="246">
        <f t="shared" si="91"/>
        <v>23.270999999999997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92"/>
        <v>206</v>
      </c>
      <c r="AE122" s="234" t="str">
        <f t="shared" si="4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122" s="233" t="str">
        <f t="shared" si="48"/>
        <v>"C:\Program Files (x86)\AstroGrep\AstroGrep.exe" /e /r /s /spath="%USERPROFILE%\AppData\Local\Temp\OnboardLogs" /stypes="app*4053*201712220*" /stext=" 01:.+?(?&gt;(PRM\|1\|D)|(KPR)|(KDP)|(train st[a-z]+ moving)|(SYSTEM_STATE:s[a-z]+ state changed)|(Enforcement Action)|(\[TIMEOUT)|(parse_ebi_status: Penalty)|(\|GPPS))"</v>
      </c>
      <c r="AG122" s="243" t="str">
        <f t="shared" si="93"/>
        <v>EC</v>
      </c>
      <c r="AH122" s="235" t="str">
        <f t="shared" si="50"/>
        <v>"%USERPROFILE%\Documents\GitHub\eaglep3\Utilities\RefineRTDCRunTimes.py" --tripid 206-21 --locoid 4053 --swversion DE.1.0.9.0 --startMP 204:232917 --initTime 2017-12-21T17:35:04 --startdatetime 2017-12-21T17:42:18 --delay 74 --endMP 204:207 --enddatetime 2017-12-21T18:21:28 --enforcementcount 0 &gt;&gt;%USERPROFILE%\Documents\GitHub\eaglep3-reporting\EC\2017-12-21-refined-times.txt</v>
      </c>
      <c r="AI122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{"issue":{"subject":"","project_id":79,"tracker_id":40,"status_id":1,"priority_id":2,"assigned_to_id":338,"start_date":"2017-12-21","description":"","custom_fields":[{"id":1,"name":"Subdivision","value":"EC"},{"id":4,"name":"Milepost","value":"0.0207"},{"id":17,"name":"Train ID","value":"206-21"},{"id":16,"name":"Locomotive ID","value":"4053"},{"id":130,"name":"Impact","value":""},{"id":150,"name":"Time of Event (Mountain Time)","value":"18:21:28"},{"id":151,"name":"Denver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52"/>
        <v>start /low /b %USERPROFILE%\Documents\GitHub\eaglep3\Utilities\DownloadLogsFromS3.py --loco 4053 --day 2017-12-21</v>
      </c>
      <c r="AN122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54"/>
        <v>https://d0f6bd738d7f1b3e5a7ca70fe4ff75f0.us-east-1.aws.found.io/app/kibana#/discover/Steve-Slow-Train-Analysis-(2080s-and-2083s)?_g=(refreshInterval:(display:Off,pause:!f,section:0,value:0),time:(from:'2017-12-21T16:35:04-0700',mode:absolute,to:'2017-12-21T19:21:28-0700'))&amp;_a=(columns:!('Message%20ID',Summary),filters:!(),index:'emp_*',interval:auto,query:(query_string:(analyze_wildcard:!t,query:'%22rtdc.l.rtdc.4053%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830</v>
      </c>
      <c r="B123" s="224">
        <v>4060</v>
      </c>
      <c r="C123" s="226" t="s">
        <v>192</v>
      </c>
      <c r="D123" s="226" t="s">
        <v>979</v>
      </c>
      <c r="E123" s="225">
        <v>43090.705613425926</v>
      </c>
      <c r="F123" s="225">
        <v>43090.70857638889</v>
      </c>
      <c r="G123" s="224">
        <v>61</v>
      </c>
      <c r="H123" s="226" t="s">
        <v>906</v>
      </c>
      <c r="I123" s="225">
        <v>43090.733761574076</v>
      </c>
      <c r="J123" s="224">
        <v>0</v>
      </c>
      <c r="K123" s="236" t="str">
        <f t="shared" si="84"/>
        <v>4059/4060</v>
      </c>
      <c r="L123" s="244" t="str">
        <f>VLOOKUP(A123,'Trips&amp;Operators'!$C$1:$G$99911,5,FALSE)</f>
        <v>LEVIN SCOTT</v>
      </c>
      <c r="M123" s="223">
        <f t="shared" si="85"/>
        <v>2.5185185186273884E-2</v>
      </c>
      <c r="N123" s="224">
        <f t="shared" si="86"/>
        <v>36.266666668234393</v>
      </c>
      <c r="O123" s="224"/>
      <c r="P123" s="224"/>
      <c r="Q123" s="227"/>
      <c r="R123" s="241"/>
      <c r="S123" s="248">
        <f t="shared" si="87"/>
        <v>1</v>
      </c>
      <c r="T123" s="241" t="str">
        <f t="shared" si="88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42"/>
        <v>https://d0f6bd738d7f1b3e5a7ca70fe4ff75f0.us-east-1.aws.found.io/app/kibana#/discover/Steve-Slow-Train-Analysis-(2080s-and-2083s)?_g=(refreshInterval:(display:Off,pause:!f,section:0,value:0),time:(from:'2017-12-21T15:56:05-0700',mode:absolute,to:'2017-12-21T18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246" t="str">
        <f>IF(AA123&lt;VLOOKUP(AG123,Variables!$AC$3:$AD$8,2,FALSE),"Y","N")</f>
        <v>N</v>
      </c>
      <c r="X123" s="246">
        <f t="shared" si="94"/>
        <v>1</v>
      </c>
      <c r="Y123" s="246">
        <f t="shared" si="89"/>
        <v>4.7100000000000003E-2</v>
      </c>
      <c r="Z123" s="246">
        <f t="shared" si="90"/>
        <v>23.332699999999999</v>
      </c>
      <c r="AA123" s="246">
        <f t="shared" si="91"/>
        <v>23.285599999999999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92"/>
        <v>207</v>
      </c>
      <c r="AE123" s="234" t="str">
        <f t="shared" si="47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123" s="233" t="str">
        <f t="shared" si="48"/>
        <v>"C:\Program Files (x86)\AstroGrep\AstroGrep.exe" /e /r /s /spath="%USERPROFILE%\AppData\Local\Temp\OnboardLogs" /stypes="app*4060*201712220*" /stext=" 00:.+?(?&gt;(PRM\|1\|D)|(KPR)|(KDP)|(train st[a-z]+ moving)|(SYSTEM_STATE:s[a-z]+ state changed)|(Enforcement Action)|(\[TIMEOUT)|(parse_ebi_status: Penalty)|(\|GPPS))"</v>
      </c>
      <c r="AG123" s="243" t="str">
        <f t="shared" si="93"/>
        <v>EC</v>
      </c>
      <c r="AH123" s="235" t="str">
        <f t="shared" si="50"/>
        <v>"%USERPROFILE%\Documents\GitHub\eaglep3\Utilities\RefineRTDCRunTimes.py" --tripid 207-21 --locoid 4060 --swversion DE.1.0.9.0 --startMP 204:471 --initTime 2017-12-21T16:56:05 --startdatetime 2017-12-21T17:00:21 --delay 61 --endMP 204:233327 --enddatetime 2017-12-21T17:36:37 --enforcementcount 0 &gt;&gt;%USERPROFILE%\Documents\GitHub\eaglep3-reporting\EC\2017-12-21-refined-times.txt</v>
      </c>
      <c r="AI12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{"issue":{"subject":"","project_id":79,"tracker_id":40,"status_id":1,"priority_id":2,"assigned_to_id":338,"start_date":"2017-12-21","description":"","custom_fields":[{"id":1,"name":"Subdivision","value":"EC"},{"id":4,"name":"Milepost","value":"23.3327"},{"id":17,"name":"Train ID","value":"207-21"},{"id":16,"name":"Locomotive ID","value":"4060"},{"id":130,"name":"Impact","value":""},{"id":150,"name":"Time of Event (Mountain Time)","value":"17:36:37"},{"id":151,"name":"Denver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52"/>
        <v>start /low /b %USERPROFILE%\Documents\GitHub\eaglep3\Utilities\DownloadLogsFromS3.py --loco 4060 --day 2017-12-21</v>
      </c>
      <c r="AN123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54"/>
        <v>https://d0f6bd738d7f1b3e5a7ca70fe4ff75f0.us-east-1.aws.found.io/app/kibana#/discover/Steve-Slow-Train-Analysis-(2080s-and-2083s)?_g=(refreshInterval:(display:Off,pause:!f,section:0,value:0),time:(from:'2017-12-21T15:56:05-0700',mode:absolute,to:'2017-12-21T18:36:37-0700'))&amp;_a=(columns:!('Message%20ID',Summary),filters:!(),index:'emp_*',interval:auto,query:(query_string:(analyze_wildcard:!t,query:'%22rtdc.l.rtdc.4060%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839</v>
      </c>
      <c r="B124" s="224">
        <v>4059</v>
      </c>
      <c r="C124" s="226" t="s">
        <v>192</v>
      </c>
      <c r="D124" s="226" t="s">
        <v>624</v>
      </c>
      <c r="E124" s="225">
        <v>43090.735925925925</v>
      </c>
      <c r="F124" s="225">
        <v>43090.748159722221</v>
      </c>
      <c r="G124" s="224">
        <v>50</v>
      </c>
      <c r="H124" s="226" t="s">
        <v>1101</v>
      </c>
      <c r="I124" s="225">
        <v>43090.775173611109</v>
      </c>
      <c r="J124" s="224">
        <v>0</v>
      </c>
      <c r="K124" s="236" t="str">
        <f t="shared" si="84"/>
        <v>4059/4060</v>
      </c>
      <c r="L124" s="244" t="str">
        <f>VLOOKUP(A124,'Trips&amp;Operators'!$C$1:$G$99911,5,FALSE)</f>
        <v>LEVIN SCOTT</v>
      </c>
      <c r="M124" s="223">
        <f t="shared" si="85"/>
        <v>2.7013888888177462E-2</v>
      </c>
      <c r="N124" s="224">
        <f t="shared" si="86"/>
        <v>38.899999998975545</v>
      </c>
      <c r="O124" s="224"/>
      <c r="P124" s="224"/>
      <c r="Q124" s="227"/>
      <c r="R124" s="241"/>
      <c r="S124" s="248">
        <f t="shared" si="87"/>
        <v>1</v>
      </c>
      <c r="T124" s="241" t="str">
        <f t="shared" si="88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42"/>
        <v>https://d0f6bd738d7f1b3e5a7ca70fe4ff75f0.us-east-1.aws.found.io/app/kibana#/discover/Steve-Slow-Train-Analysis-(2080s-and-2083s)?_g=(refreshInterval:(display:Off,pause:!f,section:0,value:0),time:(from:'2017-12-21T16:39:44-0700',mode:absolute,to:'2017-12-21T19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246" t="str">
        <f>IF(AA124&lt;VLOOKUP(AG124,Variables!$AC$3:$AD$8,2,FALSE),"Y","N")</f>
        <v>N</v>
      </c>
      <c r="X124" s="246">
        <f t="shared" si="94"/>
        <v>1</v>
      </c>
      <c r="Y124" s="246">
        <f t="shared" si="89"/>
        <v>23.301300000000001</v>
      </c>
      <c r="Z124" s="246">
        <f t="shared" si="90"/>
        <v>1.7399999999999999E-2</v>
      </c>
      <c r="AA124" s="246">
        <f t="shared" si="91"/>
        <v>23.283900000000003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92"/>
        <v>208</v>
      </c>
      <c r="AE124" s="234" t="str">
        <f t="shared" si="47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124" s="233" t="str">
        <f t="shared" si="48"/>
        <v>"C:\Program Files (x86)\AstroGrep\AstroGrep.exe" /e /r /s /spath="%USERPROFILE%\AppData\Local\Temp\OnboardLogs" /stypes="app*4059*201712220*" /stext=" 01:.+?(?&gt;(PRM\|1\|D)|(KPR)|(KDP)|(train st[a-z]+ moving)|(SYSTEM_STATE:s[a-z]+ state changed)|(Enforcement Action)|(\[TIMEOUT)|(parse_ebi_status: Penalty)|(\|GPPS))"</v>
      </c>
      <c r="AG124" s="243" t="str">
        <f t="shared" si="93"/>
        <v>EC</v>
      </c>
      <c r="AH124" s="235" t="str">
        <f t="shared" si="50"/>
        <v>"%USERPROFILE%\Documents\GitHub\eaglep3\Utilities\RefineRTDCRunTimes.py" --tripid 208-21 --locoid 4059 --swversion DE.1.0.9.0 --startMP 204:233013 --initTime 2017-12-21T17:39:44 --startdatetime 2017-12-21T17:57:21 --delay 50 --endMP 204:174 --enddatetime 2017-12-21T18:36:15 --enforcementcount 0 &gt;&gt;%USERPROFILE%\Documents\GitHub\eaglep3-reporting\EC\2017-12-21-refined-times.txt</v>
      </c>
      <c r="AI12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{"issue":{"subject":"","project_id":79,"tracker_id":40,"status_id":1,"priority_id":2,"assigned_to_id":338,"start_date":"2017-12-21","description":"","custom_fields":[{"id":1,"name":"Subdivision","value":"EC"},{"id":4,"name":"Milepost","value":"0.0174"},{"id":17,"name":"Train ID","value":"208-21"},{"id":16,"name":"Locomotive ID","value":"4059"},{"id":130,"name":"Impact","value":""},{"id":150,"name":"Time of Event (Mountain Time)","value":"18:36:15"},{"id":151,"name":"Denver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52"/>
        <v>start /low /b %USERPROFILE%\Documents\GitHub\eaglep3\Utilities\DownloadLogsFromS3.py --loco 4059 --day 2017-12-21</v>
      </c>
      <c r="AN124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54"/>
        <v>https://d0f6bd738d7f1b3e5a7ca70fe4ff75f0.us-east-1.aws.found.io/app/kibana#/discover/Steve-Slow-Train-Analysis-(2080s-and-2083s)?_g=(refreshInterval:(display:Off,pause:!f,section:0,value:0),time:(from:'2017-12-21T16:39:44-0700',mode:absolute,to:'2017-12-21T19:36:15-0700'))&amp;_a=(columns:!('Message%20ID',Summary),filters:!(),index:'emp_*',interval:auto,query:(query_string:(analyze_wildcard:!t,query:'%22rtdc.l.rtdc.4059%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834</v>
      </c>
      <c r="B125" s="224">
        <v>4034</v>
      </c>
      <c r="C125" s="226" t="s">
        <v>192</v>
      </c>
      <c r="D125" s="226" t="s">
        <v>610</v>
      </c>
      <c r="E125" s="225">
        <v>43090.714918981481</v>
      </c>
      <c r="F125" s="225">
        <v>43090.718912037039</v>
      </c>
      <c r="G125" s="224">
        <v>53</v>
      </c>
      <c r="H125" s="226" t="s">
        <v>980</v>
      </c>
      <c r="I125" s="225">
        <v>43090.744212962964</v>
      </c>
      <c r="J125" s="224">
        <v>0</v>
      </c>
      <c r="K125" s="236" t="str">
        <f t="shared" si="84"/>
        <v>4033/4034</v>
      </c>
      <c r="L125" s="244" t="str">
        <f>VLOOKUP(A125,'Trips&amp;Operators'!$C$1:$G$99911,5,FALSE)</f>
        <v>ROBINSON KADDIBA</v>
      </c>
      <c r="M125" s="223">
        <f t="shared" si="85"/>
        <v>2.5300925924966577E-2</v>
      </c>
      <c r="N125" s="224">
        <f t="shared" si="86"/>
        <v>36.433333331951872</v>
      </c>
      <c r="O125" s="224"/>
      <c r="P125" s="224"/>
      <c r="Q125" s="227"/>
      <c r="R125" s="241"/>
      <c r="S125" s="248">
        <f t="shared" si="87"/>
        <v>1</v>
      </c>
      <c r="T125" s="241" t="str">
        <f t="shared" si="88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42"/>
        <v>https://d0f6bd738d7f1b3e5a7ca70fe4ff75f0.us-east-1.aws.found.io/app/kibana#/discover/Steve-Slow-Train-Analysis-(2080s-and-2083s)?_g=(refreshInterval:(display:Off,pause:!f,section:0,value:0),time:(from:'2017-12-21T16:09:29-0700',mode:absolute,to:'2017-12-21T18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5" s="246" t="str">
        <f>IF(AA125&lt;VLOOKUP(AG125,Variables!$AC$3:$AD$8,2,FALSE),"Y","N")</f>
        <v>N</v>
      </c>
      <c r="X125" s="246">
        <f t="shared" si="94"/>
        <v>1</v>
      </c>
      <c r="Y125" s="246">
        <f t="shared" si="89"/>
        <v>4.8599999999999997E-2</v>
      </c>
      <c r="Z125" s="246">
        <f t="shared" si="90"/>
        <v>23.328800000000001</v>
      </c>
      <c r="AA125" s="246">
        <f t="shared" si="91"/>
        <v>23.280200000000001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92"/>
        <v>209</v>
      </c>
      <c r="AE125" s="234" t="str">
        <f t="shared" si="4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25" s="233" t="str">
        <f t="shared" si="48"/>
        <v>"C:\Program Files (x86)\AstroGrep\AstroGrep.exe" /e /r /s /spath="%USERPROFILE%\AppData\Local\Temp\OnboardLogs" /stypes="app*4034*201712220*" /stext=" 00:.+?(?&gt;(PRM\|1\|D)|(KPR)|(KDP)|(train st[a-z]+ moving)|(SYSTEM_STATE:s[a-z]+ state changed)|(Enforcement Action)|(\[TIMEOUT)|(parse_ebi_status: Penalty)|(\|GPPS))"</v>
      </c>
      <c r="AG125" s="243" t="str">
        <f t="shared" si="93"/>
        <v>EC</v>
      </c>
      <c r="AH125" s="235" t="str">
        <f t="shared" si="50"/>
        <v>"%USERPROFILE%\Documents\GitHub\eaglep3\Utilities\RefineRTDCRunTimes.py" --tripid 209-21 --locoid 4034 --swversion DE.1.0.9.0 --startMP 204:486 --initTime 2017-12-21T17:09:29 --startdatetime 2017-12-21T17:15:14 --delay 53 --endMP 204:233288 --enddatetime 2017-12-21T17:51:40 --enforcementcount 0 &gt;&gt;%USERPROFILE%\Documents\GitHub\eaglep3-reporting\EC\2017-12-21-refined-times.txt</v>
      </c>
      <c r="AI12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{"issue":{"subject":"","project_id":79,"tracker_id":40,"status_id":1,"priority_id":2,"assigned_to_id":338,"start_date":"2017-12-21","description":"","custom_fields":[{"id":1,"name":"Subdivision","value":"EC"},{"id":4,"name":"Milepost","value":"23.3288"},{"id":17,"name":"Train ID","value":"209-21"},{"id":16,"name":"Locomotive ID","value":"4034"},{"id":130,"name":"Impact","value":""},{"id":150,"name":"Time of Event (Mountain Time)","value":"17:51:40"},{"id":151,"name":"Denver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52"/>
        <v>start /low /b %USERPROFILE%\Documents\GitHub\eaglep3\Utilities\DownloadLogsFromS3.py --loco 4034 --day 2017-12-21</v>
      </c>
      <c r="AN125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54"/>
        <v>https://d0f6bd738d7f1b3e5a7ca70fe4ff75f0.us-east-1.aws.found.io/app/kibana#/discover/Steve-Slow-Train-Analysis-(2080s-and-2083s)?_g=(refreshInterval:(display:Off,pause:!f,section:0,value:0),time:(from:'2017-12-21T16:09:29-0700',mode:absolute,to:'2017-12-21T18:51:40-0700'))&amp;_a=(columns:!('Message%20ID',Summary),filters:!(),index:'emp_*',interval:auto,query:(query_string:(analyze_wildcard:!t,query:'%22rtdc.l.rtdc.4034%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843</v>
      </c>
      <c r="B126" s="224">
        <v>4033</v>
      </c>
      <c r="C126" s="226" t="s">
        <v>192</v>
      </c>
      <c r="D126" s="226" t="s">
        <v>981</v>
      </c>
      <c r="E126" s="225">
        <v>43090.749756944446</v>
      </c>
      <c r="F126" s="225">
        <v>43090.75849537037</v>
      </c>
      <c r="G126" s="224">
        <v>49</v>
      </c>
      <c r="H126" s="226" t="s">
        <v>526</v>
      </c>
      <c r="I126" s="225">
        <v>43090.785543981481</v>
      </c>
      <c r="J126" s="224">
        <v>0</v>
      </c>
      <c r="K126" s="236" t="str">
        <f t="shared" si="84"/>
        <v>4033/4034</v>
      </c>
      <c r="L126" s="244" t="str">
        <f>VLOOKUP(A126,'Trips&amp;Operators'!$C$1:$G$99911,5,FALSE)</f>
        <v>ROBINSON KADDIBA</v>
      </c>
      <c r="M126" s="223">
        <f t="shared" si="85"/>
        <v>2.7048611111240461E-2</v>
      </c>
      <c r="N126" s="224">
        <f t="shared" si="86"/>
        <v>38.950000000186265</v>
      </c>
      <c r="O126" s="224"/>
      <c r="P126" s="224"/>
      <c r="Q126" s="227"/>
      <c r="R126" s="241"/>
      <c r="S126" s="248">
        <f t="shared" si="87"/>
        <v>1</v>
      </c>
      <c r="T126" s="241" t="str">
        <f t="shared" si="88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42"/>
        <v>https://d0f6bd738d7f1b3e5a7ca70fe4ff75f0.us-east-1.aws.found.io/app/kibana#/discover/Steve-Slow-Train-Analysis-(2080s-and-2083s)?_g=(refreshInterval:(display:Off,pause:!f,section:0,value:0),time:(from:'2017-12-21T16:59:39-0700',mode:absolute,to:'2017-12-21T19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6" s="246" t="str">
        <f>IF(AA126&lt;VLOOKUP(AG126,Variables!$AC$3:$AD$8,2,FALSE),"Y","N")</f>
        <v>N</v>
      </c>
      <c r="X126" s="246">
        <f t="shared" si="94"/>
        <v>1</v>
      </c>
      <c r="Y126" s="246">
        <f t="shared" si="89"/>
        <v>23.296700000000001</v>
      </c>
      <c r="Z126" s="246">
        <f t="shared" si="90"/>
        <v>2.12E-2</v>
      </c>
      <c r="AA126" s="246">
        <f t="shared" si="91"/>
        <v>23.275500000000001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92"/>
        <v>210</v>
      </c>
      <c r="AE126" s="234" t="str">
        <f t="shared" si="4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26" s="233" t="str">
        <f t="shared" si="48"/>
        <v>"C:\Program Files (x86)\AstroGrep\AstroGrep.exe" /e /r /s /spath="%USERPROFILE%\AppData\Local\Temp\OnboardLogs" /stypes="app*4033*201712220*" /stext=" 01:.+?(?&gt;(PRM\|1\|D)|(KPR)|(KDP)|(train st[a-z]+ moving)|(SYSTEM_STATE:s[a-z]+ state changed)|(Enforcement Action)|(\[TIMEOUT)|(parse_ebi_status: Penalty)|(\|GPPS))"</v>
      </c>
      <c r="AG126" s="243" t="str">
        <f t="shared" si="93"/>
        <v>EC</v>
      </c>
      <c r="AH126" s="235" t="str">
        <f t="shared" si="50"/>
        <v>"%USERPROFILE%\Documents\GitHub\eaglep3\Utilities\RefineRTDCRunTimes.py" --tripid 210-21 --locoid 4033 --swversion DE.1.0.9.0 --startMP 204:232967 --initTime 2017-12-21T17:59:39 --startdatetime 2017-12-21T18:12:14 --delay 49 --endMP 204:212 --enddatetime 2017-12-21T18:51:11 --enforcementcount 0 &gt;&gt;%USERPROFILE%\Documents\GitHub\eaglep3-reporting\EC\2017-12-21-refined-times.txt</v>
      </c>
      <c r="AI12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{"issue":{"subject":"","project_id":79,"tracker_id":40,"status_id":1,"priority_id":2,"assigned_to_id":338,"start_date":"2017-12-21","description":"","custom_fields":[{"id":1,"name":"Subdivision","value":"EC"},{"id":4,"name":"Milepost","value":"0.0212"},{"id":17,"name":"Train ID","value":"210-21"},{"id":16,"name":"Locomotive ID","value":"4033"},{"id":130,"name":"Impact","value":""},{"id":150,"name":"Time of Event (Mountain Time)","value":"18:51:11"},{"id":151,"name":"Denver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52"/>
        <v>start /low /b %USERPROFILE%\Documents\GitHub\eaglep3\Utilities\DownloadLogsFromS3.py --loco 4033 --day 2017-12-21</v>
      </c>
      <c r="AN126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54"/>
        <v>https://d0f6bd738d7f1b3e5a7ca70fe4ff75f0.us-east-1.aws.found.io/app/kibana#/discover/Steve-Slow-Train-Analysis-(2080s-and-2083s)?_g=(refreshInterval:(display:Off,pause:!f,section:0,value:0),time:(from:'2017-12-21T16:59:39-0700',mode:absolute,to:'2017-12-21T19:51:11-0700'))&amp;_a=(columns:!('Message%20ID',Summary),filters:!(),index:'emp_*',interval:auto,query:(query_string:(analyze_wildcard:!t,query:'%22rtdc.l.rtdc.4033%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836</v>
      </c>
      <c r="B127" s="224">
        <v>4014</v>
      </c>
      <c r="C127" s="226" t="s">
        <v>192</v>
      </c>
      <c r="D127" s="226" t="s">
        <v>965</v>
      </c>
      <c r="E127" s="225">
        <v>43090.725138888891</v>
      </c>
      <c r="F127" s="225">
        <v>43090.729629629626</v>
      </c>
      <c r="G127" s="224">
        <v>86</v>
      </c>
      <c r="H127" s="226" t="s">
        <v>628</v>
      </c>
      <c r="I127" s="225">
        <v>43090.75640046296</v>
      </c>
      <c r="J127" s="224">
        <v>0</v>
      </c>
      <c r="K127" s="236" t="str">
        <f t="shared" si="84"/>
        <v>4013/4014</v>
      </c>
      <c r="L127" s="244" t="str">
        <f>VLOOKUP(A127,'Trips&amp;Operators'!$C$1:$G$99911,5,FALSE)</f>
        <v>LEVERE CRAIG</v>
      </c>
      <c r="M127" s="223">
        <f t="shared" si="85"/>
        <v>2.6770833334012423E-2</v>
      </c>
      <c r="N127" s="224">
        <f t="shared" si="86"/>
        <v>38.550000000977889</v>
      </c>
      <c r="O127" s="224"/>
      <c r="P127" s="224"/>
      <c r="Q127" s="227"/>
      <c r="R127" s="241"/>
      <c r="S127" s="248">
        <f t="shared" si="87"/>
        <v>1</v>
      </c>
      <c r="T127" s="241" t="str">
        <f t="shared" si="88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42"/>
        <v>https://d0f6bd738d7f1b3e5a7ca70fe4ff75f0.us-east-1.aws.found.io/app/kibana#/discover/Steve-Slow-Train-Analysis-(2080s-and-2083s)?_g=(refreshInterval:(display:Off,pause:!f,section:0,value:0),time:(from:'2017-12-21T16:24:12-0700',mode:absolute,to:'2017-12-21T19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246" t="str">
        <f>IF(AA127&lt;VLOOKUP(AG127,Variables!$AC$3:$AD$8,2,FALSE),"Y","N")</f>
        <v>N</v>
      </c>
      <c r="X127" s="246">
        <f t="shared" si="94"/>
        <v>1</v>
      </c>
      <c r="Y127" s="246">
        <f t="shared" si="89"/>
        <v>5.4199999999999998E-2</v>
      </c>
      <c r="Z127" s="246">
        <f t="shared" si="90"/>
        <v>23.3217</v>
      </c>
      <c r="AA127" s="246">
        <f t="shared" si="91"/>
        <v>23.267499999999998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92"/>
        <v>211</v>
      </c>
      <c r="AE127" s="234" t="str">
        <f t="shared" si="47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127" s="233" t="str">
        <f t="shared" si="48"/>
        <v>"C:\Program Files (x86)\AstroGrep\AstroGrep.exe" /e /r /s /spath="%USERPROFILE%\AppData\Local\Temp\OnboardLogs" /stypes="app*4014*201712220*" /stext=" 01:.+?(?&gt;(PRM\|1\|D)|(KPR)|(KDP)|(train st[a-z]+ moving)|(SYSTEM_STATE:s[a-z]+ state changed)|(Enforcement Action)|(\[TIMEOUT)|(parse_ebi_status: Penalty)|(\|GPPS))"</v>
      </c>
      <c r="AG127" s="243" t="str">
        <f t="shared" si="93"/>
        <v>EC</v>
      </c>
      <c r="AH127" s="235" t="str">
        <f t="shared" si="50"/>
        <v>"%USERPROFILE%\Documents\GitHub\eaglep3\Utilities\RefineRTDCRunTimes.py" --tripid 211-21 --locoid 4014 --swversion DE.1.0.9.0 --startMP 204:542 --initTime 2017-12-21T17:24:12 --startdatetime 2017-12-21T17:30:40 --delay 86 --endMP 204:233217 --enddatetime 2017-12-21T18:09:13 --enforcementcount 0 &gt;&gt;%USERPROFILE%\Documents\GitHub\eaglep3-reporting\EC\2017-12-21-refined-times.txt</v>
      </c>
      <c r="AI12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{"issue":{"subject":"","project_id":79,"tracker_id":40,"status_id":1,"priority_id":2,"assigned_to_id":338,"start_date":"2017-12-21","description":"","custom_fields":[{"id":1,"name":"Subdivision","value":"EC"},{"id":4,"name":"Milepost","value":"23.3217"},{"id":17,"name":"Train ID","value":"211-21"},{"id":16,"name":"Locomotive ID","value":"4014"},{"id":130,"name":"Impact","value":""},{"id":150,"name":"Time of Event (Mountain Time)","value":"18:09:13"},{"id":151,"name":"Denver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52"/>
        <v>start /low /b %USERPROFILE%\Documents\GitHub\eaglep3\Utilities\DownloadLogsFromS3.py --loco 4014 --day 2017-12-21</v>
      </c>
      <c r="AN127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54"/>
        <v>https://d0f6bd738d7f1b3e5a7ca70fe4ff75f0.us-east-1.aws.found.io/app/kibana#/discover/Steve-Slow-Train-Analysis-(2080s-and-2083s)?_g=(refreshInterval:(display:Off,pause:!f,section:0,value:0),time:(from:'2017-12-21T16:24:12-0700',mode:absolute,to:'2017-12-21T19:09:13-0700'))&amp;_a=(columns:!('Message%20ID',Summary),filters:!(),index:'emp_*',interval:auto,query:(query_string:(analyze_wildcard:!t,query:'%22rtdc.l.rtdc.4014%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847</v>
      </c>
      <c r="B128" s="224">
        <v>4013</v>
      </c>
      <c r="C128" s="226" t="s">
        <v>192</v>
      </c>
      <c r="D128" s="226" t="s">
        <v>558</v>
      </c>
      <c r="E128" s="225">
        <v>43090.762002314812</v>
      </c>
      <c r="F128" s="225">
        <v>43090.768935185188</v>
      </c>
      <c r="G128" s="224">
        <v>81</v>
      </c>
      <c r="H128" s="226" t="s">
        <v>982</v>
      </c>
      <c r="I128" s="225">
        <v>43090.796747685185</v>
      </c>
      <c r="J128" s="224">
        <v>0</v>
      </c>
      <c r="K128" s="236" t="str">
        <f t="shared" si="84"/>
        <v>4013/4014</v>
      </c>
      <c r="L128" s="244" t="str">
        <f>VLOOKUP(A128,'Trips&amp;Operators'!$C$1:$G$99911,5,FALSE)</f>
        <v>LEVERE CRAIG</v>
      </c>
      <c r="M128" s="223">
        <f t="shared" si="85"/>
        <v>2.7812499996798579E-2</v>
      </c>
      <c r="N128" s="224">
        <f t="shared" si="86"/>
        <v>40.049999995389953</v>
      </c>
      <c r="O128" s="224"/>
      <c r="P128" s="224"/>
      <c r="Q128" s="227"/>
      <c r="R128" s="241" t="s">
        <v>1114</v>
      </c>
      <c r="S128" s="248">
        <f t="shared" si="87"/>
        <v>1</v>
      </c>
      <c r="T128" s="241" t="str">
        <f t="shared" si="88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42"/>
        <v>https://d0f6bd738d7f1b3e5a7ca70fe4ff75f0.us-east-1.aws.found.io/app/kibana#/discover/Steve-Slow-Train-Analysis-(2080s-and-2083s)?_g=(refreshInterval:(display:Off,pause:!f,section:0,value:0),time:(from:'2017-12-21T17:17:17-0700',mode:absolute,to:'2017-12-21T20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246" t="str">
        <f>IF(AA128&lt;VLOOKUP(AG128,Variables!$AC$3:$AD$8,2,FALSE),"Y","N")</f>
        <v>N</v>
      </c>
      <c r="X128" s="246">
        <f t="shared" si="94"/>
        <v>1</v>
      </c>
      <c r="Y128" s="246">
        <f t="shared" si="89"/>
        <v>23.291899999999998</v>
      </c>
      <c r="Z128" s="246">
        <f t="shared" si="90"/>
        <v>2.4899999999999999E-2</v>
      </c>
      <c r="AA128" s="246">
        <f t="shared" si="91"/>
        <v>23.266999999999999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92"/>
        <v>212</v>
      </c>
      <c r="AE128" s="234" t="str">
        <f t="shared" si="47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128" s="233" t="str">
        <f t="shared" si="48"/>
        <v>"C:\Program Files (x86)\AstroGrep\AstroGrep.exe" /e /r /s /spath="%USERPROFILE%\AppData\Local\Temp\OnboardLogs" /stypes="app*4013*201712220*" /stext=" 02:.+?(?&gt;(PRM\|1\|D)|(KPR)|(KDP)|(train st[a-z]+ moving)|(SYSTEM_STATE:s[a-z]+ state changed)|(Enforcement Action)|(\[TIMEOUT)|(parse_ebi_status: Penalty)|(\|GPPS))"</v>
      </c>
      <c r="AG128" s="243" t="str">
        <f t="shared" si="93"/>
        <v>EC</v>
      </c>
      <c r="AH128" s="235" t="str">
        <f t="shared" si="50"/>
        <v>"%USERPROFILE%\Documents\GitHub\eaglep3\Utilities\RefineRTDCRunTimes.py" --tripid 212-21 --locoid 4013 --swversion DE.1.0.9.0 --startMP 204:232919 --initTime 2017-12-21T18:17:17 --startdatetime 2017-12-21T18:27:16 --delay 81 --endMP 204:249 --enddatetime 2017-12-21T19:07:19 --enforcementcount 0 &gt;&gt;%USERPROFILE%\Documents\GitHub\eaglep3-reporting\EC\2017-12-21-refined-times.txt</v>
      </c>
      <c r="AI128" s="237" t="str">
        <f t="shared" si="51"/>
        <v>echo {"issue":{"subject":"Brief Wi-MAX data drop caused unhealthy banner","project_id":79,"tracker_id":40,"status_id":1,"priority_id":2,"assigned_to_id":338,"start_date":"2017-12-21","description":"","custom_fields":[{"id":1,"name":"Subdivision","value":"EC"},{"id":4,"name":"Milepost","value":"0.0249"},{"id":17,"name":"Train ID","value":"212-21"},{"id":16,"name":"Locomotive ID","value":"4013"},{"id":130,"name":"Impact","value":""},{"id":150,"name":"Time of Event (Mountain Time)","value":"19:07:19"},{"id":151,"name":"Denver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52"/>
        <v>start /low /b %USERPROFILE%\Documents\GitHub\eaglep3\Utilities\DownloadLogsFromS3.py --loco 4013 --day 2017-12-21</v>
      </c>
      <c r="AN128" s="240" t="str">
        <f t="shared" si="53"/>
        <v>echo {"issue":{"subject":"Brief Wi-MAX data drop caused unhealthy banner","project_id":30,"tracker_id":4,"status_id":1,"priority_id":1,"assigned_to_id":10,"start_date":"2017-12-22","description":"","custom_fields":[{"id":30,"name":"Category","value":"Issue"},{"id":3,"name":"Functional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54"/>
        <v>https://d0f6bd738d7f1b3e5a7ca70fe4ff75f0.us-east-1.aws.found.io/app/kibana#/discover/Steve-Slow-Train-Analysis-(2080s-and-2083s)?_g=(refreshInterval:(display:Off,pause:!f,section:0,value:0),time:(from:'2017-12-21T17:17:17-0700',mode:absolute,to:'2017-12-21T20:07:19-0700'))&amp;_a=(columns:!('Message%20ID',Summary),filters:!(),index:'emp_*',interval:auto,query:(query_string:(analyze_wildcard:!t,query:'%22rtdc.l.rtdc.4013%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840</v>
      </c>
      <c r="B129" s="224">
        <v>4064</v>
      </c>
      <c r="C129" s="226" t="s">
        <v>192</v>
      </c>
      <c r="D129" s="226" t="s">
        <v>983</v>
      </c>
      <c r="E129" s="225">
        <v>43090.736840277779</v>
      </c>
      <c r="F129" s="225">
        <v>43090.739872685182</v>
      </c>
      <c r="G129" s="224">
        <v>89</v>
      </c>
      <c r="H129" s="226" t="s">
        <v>625</v>
      </c>
      <c r="I129" s="225">
        <v>43090.764108796298</v>
      </c>
      <c r="J129" s="224">
        <v>0</v>
      </c>
      <c r="K129" s="236" t="str">
        <f t="shared" si="84"/>
        <v>4063/4064</v>
      </c>
      <c r="L129" s="244" t="str">
        <f>VLOOKUP(A129,'Trips&amp;Operators'!$C$1:$G$99911,5,FALSE)</f>
        <v>WEST BRYAN</v>
      </c>
      <c r="M129" s="223">
        <f t="shared" si="85"/>
        <v>2.4236111115897074E-2</v>
      </c>
      <c r="N129" s="224">
        <f t="shared" si="86"/>
        <v>34.900000006891787</v>
      </c>
      <c r="O129" s="224"/>
      <c r="P129" s="224"/>
      <c r="Q129" s="227"/>
      <c r="R129" s="241"/>
      <c r="S129" s="248">
        <f t="shared" si="87"/>
        <v>1</v>
      </c>
      <c r="T129" s="241" t="str">
        <f t="shared" si="88"/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42"/>
        <v>https://d0f6bd738d7f1b3e5a7ca70fe4ff75f0.us-east-1.aws.found.io/app/kibana#/discover/Steve-Slow-Train-Analysis-(2080s-and-2083s)?_g=(refreshInterval:(display:Off,pause:!f,section:0,value:0),time:(from:'2017-12-21T16:41:03-0700',mode:absolute,to:'2017-12-21T19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9" s="246" t="str">
        <f>IF(AA129&lt;VLOOKUP(AG129,Variables!$AC$3:$AD$8,2,FALSE),"Y","N")</f>
        <v>N</v>
      </c>
      <c r="X129" s="246">
        <f t="shared" si="94"/>
        <v>1</v>
      </c>
      <c r="Y129" s="246">
        <f t="shared" si="89"/>
        <v>5.7700000000000001E-2</v>
      </c>
      <c r="Z129" s="246">
        <f t="shared" si="90"/>
        <v>23.3249</v>
      </c>
      <c r="AA129" s="246">
        <f t="shared" si="91"/>
        <v>23.267199999999999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92"/>
        <v>213</v>
      </c>
      <c r="AE129" s="234" t="str">
        <f t="shared" si="4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29" s="233" t="str">
        <f t="shared" si="48"/>
        <v>"C:\Program Files (x86)\AstroGrep\AstroGrep.exe" /e /r /s /spath="%USERPROFILE%\AppData\Local\Temp\OnboardLogs" /stypes="app*4064*201712220*" /stext=" 01:.+?(?&gt;(PRM\|1\|D)|(KPR)|(KDP)|(train st[a-z]+ moving)|(SYSTEM_STATE:s[a-z]+ state changed)|(Enforcement Action)|(\[TIMEOUT)|(parse_ebi_status: Penalty)|(\|GPPS))"</v>
      </c>
      <c r="AG129" s="243" t="str">
        <f t="shared" si="93"/>
        <v>EC</v>
      </c>
      <c r="AH129" s="235" t="str">
        <f t="shared" si="50"/>
        <v>"%USERPROFILE%\Documents\GitHub\eaglep3\Utilities\RefineRTDCRunTimes.py" --tripid 213-21 --locoid 4064 --swversion DE.1.0.9.0 --startMP 204:577 --initTime 2017-12-21T17:41:03 --startdatetime 2017-12-21T17:45:25 --delay 89 --endMP 204:233249 --enddatetime 2017-12-21T18:20:19 --enforcementcount 0 &gt;&gt;%USERPROFILE%\Documents\GitHub\eaglep3-reporting\EC\2017-12-21-refined-times.txt</v>
      </c>
      <c r="AI129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{"issue":{"subject":"","project_id":79,"tracker_id":40,"status_id":1,"priority_id":2,"assigned_to_id":338,"start_date":"2017-12-21","description":"","custom_fields":[{"id":1,"name":"Subdivision","value":"EC"},{"id":4,"name":"Milepost","value":"23.3249"},{"id":17,"name":"Train ID","value":"213-21"},{"id":16,"name":"Locomotive ID","value":"4064"},{"id":130,"name":"Impact","value":""},{"id":150,"name":"Time of Event (Mountain Time)","value":"18:20:19"},{"id":151,"name":"Denver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52"/>
        <v>start /low /b %USERPROFILE%\Documents\GitHub\eaglep3\Utilities\DownloadLogsFromS3.py --loco 4064 --day 2017-12-21</v>
      </c>
      <c r="AN129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54"/>
        <v>https://d0f6bd738d7f1b3e5a7ca70fe4ff75f0.us-east-1.aws.found.io/app/kibana#/discover/Steve-Slow-Train-Analysis-(2080s-and-2083s)?_g=(refreshInterval:(display:Off,pause:!f,section:0,value:0),time:(from:'2017-12-21T16:41:03-0700',mode:absolute,to:'2017-12-21T19:20:19-0700'))&amp;_a=(columns:!('Message%20ID',Summary),filters:!(),index:'emp_*',interval:auto,query:(query_string:(analyze_wildcard:!t,query:'%22rtdc.l.rtdc.4064%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850</v>
      </c>
      <c r="B130" s="224">
        <v>4063</v>
      </c>
      <c r="C130" s="226" t="s">
        <v>192</v>
      </c>
      <c r="D130" s="226" t="s">
        <v>552</v>
      </c>
      <c r="E130" s="225">
        <v>43090.770624999997</v>
      </c>
      <c r="F130" s="225">
        <v>43090.779421296298</v>
      </c>
      <c r="G130" s="224">
        <v>69</v>
      </c>
      <c r="H130" s="226" t="s">
        <v>984</v>
      </c>
      <c r="I130" s="225">
        <v>43090.805486111109</v>
      </c>
      <c r="J130" s="224">
        <v>0</v>
      </c>
      <c r="K130" s="236" t="str">
        <f t="shared" si="84"/>
        <v>4063/4064</v>
      </c>
      <c r="L130" s="244" t="str">
        <f>VLOOKUP(A130,'Trips&amp;Operators'!$C$1:$G$99911,5,FALSE)</f>
        <v>WEST BRYAN</v>
      </c>
      <c r="M130" s="223">
        <f t="shared" si="85"/>
        <v>2.6064814810524695E-2</v>
      </c>
      <c r="N130" s="224">
        <f t="shared" si="86"/>
        <v>37.53333332715556</v>
      </c>
      <c r="O130" s="224"/>
      <c r="P130" s="224"/>
      <c r="Q130" s="227"/>
      <c r="R130" s="241"/>
      <c r="S130" s="248">
        <f t="shared" si="87"/>
        <v>1</v>
      </c>
      <c r="T130" s="241" t="str">
        <f t="shared" si="88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42"/>
        <v>https://d0f6bd738d7f1b3e5a7ca70fe4ff75f0.us-east-1.aws.found.io/app/kibana#/discover/Steve-Slow-Train-Analysis-(2080s-and-2083s)?_g=(refreshInterval:(display:Off,pause:!f,section:0,value:0),time:(from:'2017-12-21T17:29:42-0700',mode:absolute,to:'2017-12-21T20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0" s="246" t="str">
        <f>IF(AA130&lt;VLOOKUP(AG130,Variables!$AC$3:$AD$8,2,FALSE),"Y","N")</f>
        <v>N</v>
      </c>
      <c r="X130" s="246">
        <f t="shared" si="94"/>
        <v>1</v>
      </c>
      <c r="Y130" s="246">
        <f t="shared" si="89"/>
        <v>23.291699999999999</v>
      </c>
      <c r="Z130" s="246">
        <f t="shared" si="90"/>
        <v>2.4199999999999999E-2</v>
      </c>
      <c r="AA130" s="246">
        <f t="shared" si="91"/>
        <v>23.267499999999998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92"/>
        <v>214</v>
      </c>
      <c r="AE130" s="234" t="str">
        <f t="shared" si="4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30" s="233" t="str">
        <f t="shared" si="48"/>
        <v>"C:\Program Files (x86)\AstroGrep\AstroGrep.exe" /e /r /s /spath="%USERPROFILE%\AppData\Local\Temp\OnboardLogs" /stypes="app*4063*201712220*" /stext=" 02:.+?(?&gt;(PRM\|1\|D)|(KPR)|(KDP)|(train st[a-z]+ moving)|(SYSTEM_STATE:s[a-z]+ state changed)|(Enforcement Action)|(\[TIMEOUT)|(parse_ebi_status: Penalty)|(\|GPPS))"</v>
      </c>
      <c r="AG130" s="243" t="str">
        <f t="shared" si="93"/>
        <v>EC</v>
      </c>
      <c r="AH130" s="235" t="str">
        <f t="shared" si="50"/>
        <v>"%USERPROFILE%\Documents\GitHub\eaglep3\Utilities\RefineRTDCRunTimes.py" --tripid 214-21 --locoid 4063 --swversion DE.1.0.9.0 --startMP 204:232917 --initTime 2017-12-21T18:29:42 --startdatetime 2017-12-21T18:42:22 --delay 69 --endMP 204:242 --enddatetime 2017-12-21T19:19:54 --enforcementcount 0 &gt;&gt;%USERPROFILE%\Documents\GitHub\eaglep3-reporting\EC\2017-12-21-refined-times.txt</v>
      </c>
      <c r="AI13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{"issue":{"subject":"","project_id":79,"tracker_id":40,"status_id":1,"priority_id":2,"assigned_to_id":338,"start_date":"2017-12-21","description":"","custom_fields":[{"id":1,"name":"Subdivision","value":"EC"},{"id":4,"name":"Milepost","value":"0.0242"},{"id":17,"name":"Train ID","value":"214-21"},{"id":16,"name":"Locomotive ID","value":"4063"},{"id":130,"name":"Impact","value":""},{"id":150,"name":"Time of Event (Mountain Time)","value":"19:19:54"},{"id":151,"name":"Denver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52"/>
        <v>start /low /b %USERPROFILE%\Documents\GitHub\eaglep3\Utilities\DownloadLogsFromS3.py --loco 4063 --day 2017-12-21</v>
      </c>
      <c r="AN130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54"/>
        <v>https://d0f6bd738d7f1b3e5a7ca70fe4ff75f0.us-east-1.aws.found.io/app/kibana#/discover/Steve-Slow-Train-Analysis-(2080s-and-2083s)?_g=(refreshInterval:(display:Off,pause:!f,section:0,value:0),time:(from:'2017-12-21T17:29:42-0700',mode:absolute,to:'2017-12-21T20:19:54-0700'))&amp;_a=(columns:!('Message%20ID',Summary),filters:!(),index:'emp_*',interval:auto,query:(query_string:(analyze_wildcard:!t,query:'%22rtdc.l.rtdc.4063%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842</v>
      </c>
      <c r="B131" s="224">
        <v>4056</v>
      </c>
      <c r="C131" s="226" t="s">
        <v>192</v>
      </c>
      <c r="D131" s="226" t="s">
        <v>552</v>
      </c>
      <c r="E131" s="225">
        <v>43090.770624999997</v>
      </c>
      <c r="F131" s="225">
        <v>43090.750393518516</v>
      </c>
      <c r="G131" s="224">
        <v>69</v>
      </c>
      <c r="H131" s="226" t="s">
        <v>984</v>
      </c>
      <c r="I131" s="225">
        <v>43090.77511574074</v>
      </c>
      <c r="J131" s="224">
        <v>0</v>
      </c>
      <c r="K131" s="236" t="str">
        <f t="shared" si="84"/>
        <v>4055/4056</v>
      </c>
      <c r="L131" s="244" t="str">
        <f>VLOOKUP(A131,'Trips&amp;Operators'!$C$1:$G$99911,5,FALSE)</f>
        <v>HOLCOMB KAMDEN</v>
      </c>
      <c r="M131" s="223">
        <f t="shared" si="85"/>
        <v>2.4722222224227153E-2</v>
      </c>
      <c r="N131" s="224">
        <f t="shared" si="86"/>
        <v>35.6000000028871</v>
      </c>
      <c r="O131" s="224"/>
      <c r="P131" s="224"/>
      <c r="Q131" s="227"/>
      <c r="R131" s="241"/>
      <c r="S131" s="248">
        <f t="shared" si="87"/>
        <v>1</v>
      </c>
      <c r="T131" s="241" t="str">
        <f t="shared" si="88"/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42"/>
        <v>https://d0f6bd738d7f1b3e5a7ca70fe4ff75f0.us-east-1.aws.found.io/app/kibana#/discover/Steve-Slow-Train-Analysis-(2080s-and-2083s)?_g=(refreshInterval:(display:Off,pause:!f,section:0,value:0),time:(from:'2017-12-21T17:29:42-0700',mode:absolute,to:'2017-12-21T19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246" t="str">
        <f>IF(AA131&lt;VLOOKUP(AG131,Variables!$AC$3:$AD$8,2,FALSE),"Y","N")</f>
        <v>N</v>
      </c>
      <c r="X131" s="246">
        <f t="shared" si="94"/>
        <v>1</v>
      </c>
      <c r="Y131" s="246">
        <v>5.7700000000000001E-2</v>
      </c>
      <c r="Z131" s="246">
        <v>23.3249</v>
      </c>
      <c r="AA131" s="246">
        <f t="shared" si="91"/>
        <v>23.267199999999999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92"/>
        <v>215</v>
      </c>
      <c r="AE131" s="234" t="str">
        <f t="shared" si="47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131" s="233" t="str">
        <f t="shared" si="48"/>
        <v>"C:\Program Files (x86)\AstroGrep\AstroGrep.exe" /e /r /s /spath="%USERPROFILE%\AppData\Local\Temp\OnboardLogs" /stypes="app*4056*201712220*" /stext=" 01:.+?(?&gt;(PRM\|1\|D)|(KPR)|(KDP)|(train st[a-z]+ moving)|(SYSTEM_STATE:s[a-z]+ state changed)|(Enforcement Action)|(\[TIMEOUT)|(parse_ebi_status: Penalty)|(\|GPPS))"</v>
      </c>
      <c r="AG131" s="243" t="str">
        <f t="shared" si="93"/>
        <v>EC</v>
      </c>
      <c r="AH131" s="235" t="str">
        <f t="shared" ref="AH131" si="95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215-21 --locoid 4056 --swversion DE.1.0.9.0 --startMP 204:232917 --initTime 2017-12-21T18:29:42 --startdatetime 2017-12-21T18:00:34 --delay 69 --endMP 204:242 --enddatetime 2017-12-21T18:36:10 --enforcementcount 0 &gt;&gt;%USERPROFILE%\Documents\GitHub\eaglep3-reporting\EC\2017-12-21-refined-times.txt</v>
      </c>
      <c r="AI131" s="237" t="str">
        <f t="shared" ref="AI131" si="96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{"issue":{"subject":"","project_id":79,"tracker_id":40,"status_id":1,"priority_id":2,"assigned_to_id":338,"start_date":"2017-12-21","description":"","custom_fields":[{"id":1,"name":"Subdivision","value":"EC"},{"id":4,"name":"Milepost","value":"23.3249"},{"id":17,"name":"Train ID","value":"215-21"},{"id":16,"name":"Locomotive ID","value":"4056"},{"id":130,"name":"Impact","value":""},{"id":150,"name":"Time of Event (Mountain Time)","value":"18:36:10"},{"id":151,"name":"Denver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ref="AM131" si="97">"start /low /b "&amp;dls3logs&amp;" --loco "&amp;B131&amp;" --day "&amp;TEXT(F131,"YYYY-MM-DD")</f>
        <v>start /low /b %USERPROFILE%\Documents\GitHub\eaglep3\Utilities\DownloadLogsFromS3.py --loco 4056 --day 2017-12-21</v>
      </c>
      <c r="AN131" s="240" t="str">
        <f t="shared" ref="AN131" si="98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ref="AO131" si="99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-21T17:29:42-0700',mode:absolute,to:'2017-12-21T19:36:10-0700'))&amp;_a=(columns:!('Message%20ID',Summary),filters:!(),index:'emp_*',interval:auto,query:(query_string:(analyze_wildcard:!t,query:'%22rtdc.l.rtdc.4056%22')),sort:!(Time.ISO8601,asc))</v>
      </c>
    </row>
    <row r="132" spans="1:91" s="222" customFormat="1" x14ac:dyDescent="0.25">
      <c r="A132" s="228" t="s">
        <v>854</v>
      </c>
      <c r="B132" s="224">
        <v>4055</v>
      </c>
      <c r="C132" s="226" t="s">
        <v>192</v>
      </c>
      <c r="D132" s="226" t="s">
        <v>552</v>
      </c>
      <c r="E132" s="225">
        <v>43090.770624999997</v>
      </c>
      <c r="F132" s="225">
        <v>43090.789780092593</v>
      </c>
      <c r="G132" s="224">
        <v>69</v>
      </c>
      <c r="H132" s="226" t="s">
        <v>984</v>
      </c>
      <c r="I132" s="225">
        <v>43090.805486111109</v>
      </c>
      <c r="J132" s="224">
        <v>0</v>
      </c>
      <c r="K132" s="236" t="str">
        <f t="shared" si="84"/>
        <v>4055/4056</v>
      </c>
      <c r="L132" s="244" t="str">
        <f>VLOOKUP(A132,'Trips&amp;Operators'!$C$1:$G$99911,5,FALSE)</f>
        <v>HOLCOMB KAMDEN</v>
      </c>
      <c r="M132" s="223">
        <f t="shared" si="85"/>
        <v>1.5706018515629694E-2</v>
      </c>
      <c r="N132" s="224"/>
      <c r="O132" s="224"/>
      <c r="P132" s="224">
        <f>24*60*SUM($M132:$M132)</f>
        <v>22.616666662506759</v>
      </c>
      <c r="Q132" s="227"/>
      <c r="R132" s="241" t="s">
        <v>651</v>
      </c>
      <c r="S132" s="248">
        <f t="shared" si="87"/>
        <v>0.25</v>
      </c>
      <c r="T132" s="241" t="str">
        <f t="shared" si="88"/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3</v>
      </c>
      <c r="V132" s="247" t="str">
        <f t="shared" si="42"/>
        <v>https://d0f6bd738d7f1b3e5a7ca70fe4ff75f0.us-east-1.aws.found.io/app/kibana#/discover/Steve-Slow-Train-Analysis-(2080s-and-2083s)?_g=(refreshInterval:(display:Off,pause:!f,section:0,value:0),time:(from:'2017-12-21T17:29:42-0700',mode:absolute,to:'2017-12-21T20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246" t="str">
        <f>IF(AA132&lt;VLOOKUP(AG132,Variables!$AC$3:$AD$8,2,FALSE),"Y","N")</f>
        <v>Y</v>
      </c>
      <c r="X132" s="246">
        <f t="shared" si="94"/>
        <v>1</v>
      </c>
      <c r="Y132" s="246">
        <v>23.291699999999999</v>
      </c>
      <c r="Z132" s="246">
        <v>6.36</v>
      </c>
      <c r="AA132" s="246">
        <f t="shared" si="91"/>
        <v>16.931699999999999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92"/>
        <v>216</v>
      </c>
      <c r="AE132" s="234" t="str">
        <f t="shared" si="47"/>
        <v>aws s3 cp s3://rtdc.mdm.uploadarchive.raw/RTDC4055/ "%USERPROFILE%\AppData\Local\Temp\OnboardLogs"\RTDC4055\2017-12-21 --exclude "*" --recursive --include "*20171221*" &amp; "%USERPROFILE%\Documents\GitHub\mrs-test-scripts\Headless Mode &amp; Sideloading\WalkAndUnGZ.bat" "%USERPROFILE%\AppData\Local\Temp\OnboardLogs"\RTDC4055\2017-12-21 &amp; aws s3 cp s3://rtdc.mdm.uploadarchive.raw/RTDC4055/ "%USERPROFILE%\AppData\Local\Temp\OnboardLogs"\RTDC4055\2017-12-22 --exclude "*" --recursive --include "*20171222*" &amp; "%USERPROFILE%\Documents\GitHub\mrs-test-scripts\Headless Mode &amp; Sideloading\WalkAndUnGZ.bat" "%USERPROFILE%\AppData\Local\Temp\OnboardLogs"\RTDC4055\2017-12-22</v>
      </c>
      <c r="AF132" s="233" t="str">
        <f t="shared" si="48"/>
        <v>"C:\Program Files (x86)\AstroGrep\AstroGrep.exe" /e /r /s /spath="%USERPROFILE%\AppData\Local\Temp\OnboardLogs" /stypes="app*4055*201712220*" /stext=" 02:.+?(?&gt;(PRM\|1\|D)|(KPR)|(KDP)|(train st[a-z]+ moving)|(SYSTEM_STATE:s[a-z]+ state changed)|(Enforcement Action)|(\[TIMEOUT)|(parse_ebi_status: Penalty)|(\|GPPS))"</v>
      </c>
      <c r="AG132" s="243" t="str">
        <f t="shared" si="93"/>
        <v>EC</v>
      </c>
      <c r="AH132" s="235" t="str">
        <f t="shared" ref="AH132" si="100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216-21 --locoid 4055 --swversion DE.1.0.9.0 --startMP 204:232917 --initTime 2017-12-21T18:29:42 --startdatetime 2017-12-21T18:57:17 --delay 69 --endMP 204:242 --enddatetime 2017-12-21T19:19:54 --enforcementcount 0 &gt;&gt;%USERPROFILE%\Documents\GitHub\eaglep3-reporting\EC\2017-12-21-refined-times.txt</v>
      </c>
      <c r="AI132" s="237" t="str">
        <f t="shared" ref="AI132" si="101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failure","project_id":79,"tracker_id":40,"status_id":1,"priority_id":2,"assigned_to_id":338,"start_date":"2017-12-21","description":"","custom_fields":[{"id":1,"name":"Subdivision","value":"EC"},{"id":4,"name":"Milepost","value":"6.36"},{"id":17,"name":"Train ID","value":"216-21"},{"id":16,"name":"Locomotive ID","value":"4055"},{"id":130,"name":"Impact","value":""},{"id":150,"name":"Time of Event (Mountain Time)","value":"19:19:54"},{"id":151,"name":"Denver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ref="AM132" si="102">"start /low /b "&amp;dls3logs&amp;" --loco "&amp;B132&amp;" --day "&amp;TEXT(F132,"YYYY-MM-DD")</f>
        <v>start /low /b %USERPROFILE%\Documents\GitHub\eaglep3\Utilities\DownloadLogsFromS3.py --loco 4055 --day 2017-12-21</v>
      </c>
      <c r="AN132" s="240" t="str">
        <f t="shared" ref="AN132" si="103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ref="AO132" si="104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-21T17:29:42-0700',mode:absolute,to:'2017-12-21T20:19:54-0700'))&amp;_a=(columns:!('Message%20ID',Summary),filters:!(),index:'emp_*',interval:auto,query:(query_string:(analyze_wildcard:!t,query:'%22rtdc.l.rtdc.4055%22')),sort:!(Time.ISO8601,asc))</v>
      </c>
    </row>
    <row r="133" spans="1:91" s="222" customFormat="1" x14ac:dyDescent="0.25">
      <c r="A133" s="228" t="s">
        <v>844</v>
      </c>
      <c r="B133" s="224">
        <v>4012</v>
      </c>
      <c r="C133" s="226" t="s">
        <v>192</v>
      </c>
      <c r="D133" s="226" t="s">
        <v>955</v>
      </c>
      <c r="E133" s="225">
        <v>43090.754490740743</v>
      </c>
      <c r="F133" s="225">
        <v>43090.760578703703</v>
      </c>
      <c r="G133" s="224">
        <v>70</v>
      </c>
      <c r="H133" s="226" t="s">
        <v>630</v>
      </c>
      <c r="I133" s="225">
        <v>43090.784479166665</v>
      </c>
      <c r="J133" s="224">
        <v>0</v>
      </c>
      <c r="K133" s="236" t="str">
        <f t="shared" si="84"/>
        <v>4011/4012</v>
      </c>
      <c r="L133" s="244" t="str">
        <f>VLOOKUP(A133,'Trips&amp;Operators'!$C$1:$G$99911,5,FALSE)</f>
        <v>ELBAUM MIKE</v>
      </c>
      <c r="M133" s="223">
        <f t="shared" si="85"/>
        <v>2.3900462962046731E-2</v>
      </c>
      <c r="N133" s="224">
        <f t="shared" ref="N133:N138" si="105">24*60*SUM($M133:$M133)</f>
        <v>34.416666665347293</v>
      </c>
      <c r="O133" s="224"/>
      <c r="P133" s="224"/>
      <c r="Q133" s="227"/>
      <c r="R133" s="241"/>
      <c r="S133" s="248">
        <f t="shared" si="87"/>
        <v>1</v>
      </c>
      <c r="T133" s="241" t="str">
        <f t="shared" si="88"/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42"/>
        <v>https://d0f6bd738d7f1b3e5a7ca70fe4ff75f0.us-east-1.aws.found.io/app/kibana#/discover/Steve-Slow-Train-Analysis-(2080s-and-2083s)?_g=(refreshInterval:(display:Off,pause:!f,section:0,value:0),time:(from:'2017-12-21T17:06:28-0700',mode:absolute,to:'2017-12-21T19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246" t="str">
        <f>IF(AA133&lt;VLOOKUP(AG133,Variables!$AC$3:$AD$8,2,FALSE),"Y","N")</f>
        <v>N</v>
      </c>
      <c r="X133" s="246">
        <f t="shared" si="94"/>
        <v>1</v>
      </c>
      <c r="Y133" s="246">
        <f t="shared" ref="Y133:Y140" si="106">RIGHT(D133,LEN(D133)-4)/10000</f>
        <v>4.6699999999999998E-2</v>
      </c>
      <c r="Z133" s="246">
        <f t="shared" ref="Z133:Z140" si="107">RIGHT(H133,LEN(H133)-4)/10000</f>
        <v>23.3263</v>
      </c>
      <c r="AA133" s="246">
        <f t="shared" si="91"/>
        <v>23.279599999999999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92"/>
        <v>217</v>
      </c>
      <c r="AE133" s="234" t="str">
        <f t="shared" si="47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33" s="233" t="str">
        <f t="shared" si="48"/>
        <v>"C:\Program Files (x86)\AstroGrep\AstroGrep.exe" /e /r /s /spath="%USERPROFILE%\AppData\Local\Temp\OnboardLogs" /stypes="app*4012*201712220*" /stext=" 01:.+?(?&gt;(PRM\|1\|D)|(KPR)|(KDP)|(train st[a-z]+ moving)|(SYSTEM_STATE:s[a-z]+ state changed)|(Enforcement Action)|(\[TIMEOUT)|(parse_ebi_status: Penalty)|(\|GPPS))"</v>
      </c>
      <c r="AG133" s="243" t="str">
        <f t="shared" si="93"/>
        <v>EC</v>
      </c>
      <c r="AH133" s="235" t="str">
        <f t="shared" si="50"/>
        <v>"%USERPROFILE%\Documents\GitHub\eaglep3\Utilities\RefineRTDCRunTimes.py" --tripid 217-21 --locoid 4012 --swversion DE.1.0.9.0 --startMP 204:467 --initTime 2017-12-21T18:06:28 --startdatetime 2017-12-21T18:15:14 --delay 70 --endMP 204:233263 --enddatetime 2017-12-21T18:49:39 --enforcementcount 0 &gt;&gt;%USERPROFILE%\Documents\GitHub\eaglep3-reporting\EC\2017-12-21-refined-times.txt</v>
      </c>
      <c r="AI13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{"issue":{"subject":"","project_id":79,"tracker_id":40,"status_id":1,"priority_id":2,"assigned_to_id":338,"start_date":"2017-12-21","description":"","custom_fields":[{"id":1,"name":"Subdivision","value":"EC"},{"id":4,"name":"Milepost","value":"23.3263"},{"id":17,"name":"Train ID","value":"217-21"},{"id":16,"name":"Locomotive ID","value":"4012"},{"id":130,"name":"Impact","value":""},{"id":150,"name":"Time of Event (Mountain Time)","value":"18:49:39"},{"id":151,"name":"Denver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52"/>
        <v>start /low /b %USERPROFILE%\Documents\GitHub\eaglep3\Utilities\DownloadLogsFromS3.py --loco 4012 --day 2017-12-21</v>
      </c>
      <c r="AN133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54"/>
        <v>https://d0f6bd738d7f1b3e5a7ca70fe4ff75f0.us-east-1.aws.found.io/app/kibana#/discover/Steve-Slow-Train-Analysis-(2080s-and-2083s)?_g=(refreshInterval:(display:Off,pause:!f,section:0,value:0),time:(from:'2017-12-21T17:06:28-0700',mode:absolute,to:'2017-12-21T19:49:39-0700'))&amp;_a=(columns:!('Message%20ID',Summary),filters:!(),index:'emp_*',interval:auto,query:(query_string:(analyze_wildcard:!t,query:'%22rtdc.l.rtdc.4012%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8" t="s">
        <v>853</v>
      </c>
      <c r="B134" s="224">
        <v>4011</v>
      </c>
      <c r="C134" s="226" t="s">
        <v>192</v>
      </c>
      <c r="D134" s="226" t="s">
        <v>985</v>
      </c>
      <c r="E134" s="225">
        <v>43090.786261574074</v>
      </c>
      <c r="F134" s="225">
        <v>43090.800150462965</v>
      </c>
      <c r="G134" s="224">
        <v>67</v>
      </c>
      <c r="H134" s="226" t="s">
        <v>986</v>
      </c>
      <c r="I134" s="225">
        <v>43090.825694444444</v>
      </c>
      <c r="J134" s="224">
        <v>0</v>
      </c>
      <c r="K134" s="236" t="str">
        <f t="shared" si="84"/>
        <v>4011/4012</v>
      </c>
      <c r="L134" s="244" t="str">
        <f>VLOOKUP(A134,'Trips&amp;Operators'!$C$1:$G$99911,5,FALSE)</f>
        <v>ELBAUM MIKE</v>
      </c>
      <c r="M134" s="223">
        <f t="shared" si="85"/>
        <v>2.5543981479131617E-2</v>
      </c>
      <c r="N134" s="224">
        <f t="shared" si="105"/>
        <v>36.783333329949528</v>
      </c>
      <c r="O134" s="224"/>
      <c r="P134" s="224"/>
      <c r="Q134" s="227"/>
      <c r="R134" s="241"/>
      <c r="S134" s="248">
        <f t="shared" si="87"/>
        <v>1</v>
      </c>
      <c r="T134" s="241" t="str">
        <f t="shared" si="88"/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42"/>
        <v>https://d0f6bd738d7f1b3e5a7ca70fe4ff75f0.us-east-1.aws.found.io/app/kibana#/discover/Steve-Slow-Train-Analysis-(2080s-and-2083s)?_g=(refreshInterval:(display:Off,pause:!f,section:0,value:0),time:(from:'2017-12-21T17:52:13-0700',mode:absolute,to:'2017-12-21T20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246" t="str">
        <f>IF(AA134&lt;VLOOKUP(AG134,Variables!$AC$3:$AD$8,2,FALSE),"Y","N")</f>
        <v>N</v>
      </c>
      <c r="X134" s="246">
        <f t="shared" si="94"/>
        <v>1</v>
      </c>
      <c r="Y134" s="246">
        <f t="shared" si="106"/>
        <v>23.292899999999999</v>
      </c>
      <c r="Z134" s="246">
        <f t="shared" si="107"/>
        <v>2.5999999999999999E-2</v>
      </c>
      <c r="AA134" s="246">
        <f t="shared" si="91"/>
        <v>23.2669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92"/>
        <v>218</v>
      </c>
      <c r="AE134" s="234" t="str">
        <f t="shared" si="4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34" s="233" t="str">
        <f t="shared" si="48"/>
        <v>"C:\Program Files (x86)\AstroGrep\AstroGrep.exe" /e /r /s /spath="%USERPROFILE%\AppData\Local\Temp\OnboardLogs" /stypes="app*4011*201712220*" /stext=" 02:.+?(?&gt;(PRM\|1\|D)|(KPR)|(KDP)|(train st[a-z]+ moving)|(SYSTEM_STATE:s[a-z]+ state changed)|(Enforcement Action)|(\[TIMEOUT)|(parse_ebi_status: Penalty)|(\|GPPS))"</v>
      </c>
      <c r="AG134" s="243" t="str">
        <f t="shared" si="93"/>
        <v>EC</v>
      </c>
      <c r="AH134" s="235" t="str">
        <f t="shared" si="50"/>
        <v>"%USERPROFILE%\Documents\GitHub\eaglep3\Utilities\RefineRTDCRunTimes.py" --tripid 218-21 --locoid 4011 --swversion DE.1.0.9.0 --startMP 204:232929 --initTime 2017-12-21T18:52:13 --startdatetime 2017-12-21T19:12:13 --delay 67 --endMP 204:260 --enddatetime 2017-12-21T19:49:00 --enforcementcount 0 &gt;&gt;%USERPROFILE%\Documents\GitHub\eaglep3-reporting\EC\2017-12-21-refined-times.txt</v>
      </c>
      <c r="AI13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{"issue":{"subject":"","project_id":79,"tracker_id":40,"status_id":1,"priority_id":2,"assigned_to_id":338,"start_date":"2017-12-21","description":"","custom_fields":[{"id":1,"name":"Subdivision","value":"EC"},{"id":4,"name":"Milepost","value":"0.026"},{"id":17,"name":"Train ID","value":"218-21"},{"id":16,"name":"Locomotive ID","value":"4011"},{"id":130,"name":"Impact","value":""},{"id":150,"name":"Time of Event (Mountain Time)","value":"19:49:00"},{"id":151,"name":"Denver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2"/>
      <c r="AK134" s="230"/>
      <c r="AL134" s="230"/>
      <c r="AM134" s="239" t="str">
        <f t="shared" si="52"/>
        <v>start /low /b %USERPROFILE%\Documents\GitHub\eaglep3\Utilities\DownloadLogsFromS3.py --loco 4011 --day 2017-12-21</v>
      </c>
      <c r="AN134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54"/>
        <v>https://d0f6bd738d7f1b3e5a7ca70fe4ff75f0.us-east-1.aws.found.io/app/kibana#/discover/Steve-Slow-Train-Analysis-(2080s-and-2083s)?_g=(refreshInterval:(display:Off,pause:!f,section:0,value:0),time:(from:'2017-12-21T17:52:13-0700',mode:absolute,to:'2017-12-21T20:49:00-0700'))&amp;_a=(columns:!('Message%20ID',Summary),filters:!(),index:'emp_*',interval:auto,query:(query_string:(analyze_wildcard:!t,query:'%22rtdc.l.rtdc.4011%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8" t="s">
        <v>849</v>
      </c>
      <c r="B135" s="224">
        <v>4054</v>
      </c>
      <c r="C135" s="226" t="s">
        <v>192</v>
      </c>
      <c r="D135" s="226" t="s">
        <v>483</v>
      </c>
      <c r="E135" s="225">
        <v>43090.76766203704</v>
      </c>
      <c r="F135" s="225">
        <v>43090.771203703705</v>
      </c>
      <c r="G135" s="224">
        <v>84</v>
      </c>
      <c r="H135" s="226" t="s">
        <v>987</v>
      </c>
      <c r="I135" s="225">
        <v>43090.796134259261</v>
      </c>
      <c r="J135" s="224">
        <v>0</v>
      </c>
      <c r="K135" s="236" t="str">
        <f t="shared" si="84"/>
        <v>4053/4054</v>
      </c>
      <c r="L135" s="244" t="str">
        <f>VLOOKUP(A135,'Trips&amp;Operators'!$C$1:$G$99911,5,FALSE)</f>
        <v>NICHOLSON WESLEY</v>
      </c>
      <c r="M135" s="223">
        <f t="shared" si="85"/>
        <v>2.4930555555329192E-2</v>
      </c>
      <c r="N135" s="224">
        <f t="shared" si="105"/>
        <v>35.899999999674037</v>
      </c>
      <c r="O135" s="224"/>
      <c r="P135" s="224"/>
      <c r="Q135" s="227"/>
      <c r="R135" s="241"/>
      <c r="S135" s="248">
        <f t="shared" si="87"/>
        <v>1</v>
      </c>
      <c r="T135" s="241" t="str">
        <f t="shared" si="88"/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42"/>
        <v>https://d0f6bd738d7f1b3e5a7ca70fe4ff75f0.us-east-1.aws.found.io/app/kibana#/discover/Steve-Slow-Train-Analysis-(2080s-and-2083s)?_g=(refreshInterval:(display:Off,pause:!f,section:0,value:0),time:(from:'2017-12-21T17:25:26-0700',mode:absolute,to:'2017-12-21T20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246" t="str">
        <f>IF(AA135&lt;VLOOKUP(AG135,Variables!$AC$3:$AD$8,2,FALSE),"Y","N")</f>
        <v>N</v>
      </c>
      <c r="X135" s="246">
        <f t="shared" si="94"/>
        <v>1</v>
      </c>
      <c r="Y135" s="246">
        <f t="shared" si="106"/>
        <v>5.1700000000000003E-2</v>
      </c>
      <c r="Z135" s="246">
        <f t="shared" si="107"/>
        <v>23.3202</v>
      </c>
      <c r="AA135" s="246">
        <f t="shared" si="91"/>
        <v>23.2685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92"/>
        <v>219</v>
      </c>
      <c r="AE135" s="234" t="str">
        <f t="shared" si="4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35" s="233" t="str">
        <f t="shared" si="48"/>
        <v>"C:\Program Files (x86)\AstroGrep\AstroGrep.exe" /e /r /s /spath="%USERPROFILE%\AppData\Local\Temp\OnboardLogs" /stypes="app*4054*201712220*" /stext=" 02:.+?(?&gt;(PRM\|1\|D)|(KPR)|(KDP)|(train st[a-z]+ moving)|(SYSTEM_STATE:s[a-z]+ state changed)|(Enforcement Action)|(\[TIMEOUT)|(parse_ebi_status: Penalty)|(\|GPPS))"</v>
      </c>
      <c r="AG135" s="243" t="str">
        <f t="shared" si="93"/>
        <v>EC</v>
      </c>
      <c r="AH135" s="235" t="str">
        <f t="shared" si="50"/>
        <v>"%USERPROFILE%\Documents\GitHub\eaglep3\Utilities\RefineRTDCRunTimes.py" --tripid 219-21 --locoid 4054 --swversion DE.1.0.9.0 --startMP 204:517 --initTime 2017-12-21T18:25:26 --startdatetime 2017-12-21T18:30:32 --delay 84 --endMP 204:233202 --enddatetime 2017-12-21T19:06:26 --enforcementcount 0 &gt;&gt;%USERPROFILE%\Documents\GitHub\eaglep3-reporting\EC\2017-12-21-refined-times.txt</v>
      </c>
      <c r="AI13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{"issue":{"subject":"","project_id":79,"tracker_id":40,"status_id":1,"priority_id":2,"assigned_to_id":338,"start_date":"2017-12-21","description":"","custom_fields":[{"id":1,"name":"Subdivision","value":"EC"},{"id":4,"name":"Milepost","value":"23.3202"},{"id":17,"name":"Train ID","value":"219-21"},{"id":16,"name":"Locomotive ID","value":"4054"},{"id":130,"name":"Impact","value":""},{"id":150,"name":"Time of Event (Mountain Time)","value":"19:06:26"},{"id":151,"name":"Denver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2"/>
      <c r="AK135" s="230"/>
      <c r="AL135" s="230"/>
      <c r="AM135" s="239" t="str">
        <f t="shared" si="52"/>
        <v>start /low /b %USERPROFILE%\Documents\GitHub\eaglep3\Utilities\DownloadLogsFromS3.py --loco 4054 --day 2017-12-21</v>
      </c>
      <c r="AN135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54"/>
        <v>https://d0f6bd738d7f1b3e5a7ca70fe4ff75f0.us-east-1.aws.found.io/app/kibana#/discover/Steve-Slow-Train-Analysis-(2080s-and-2083s)?_g=(refreshInterval:(display:Off,pause:!f,section:0,value:0),time:(from:'2017-12-21T17:25:26-0700',mode:absolute,to:'2017-12-21T20:06:26-0700'))&amp;_a=(columns:!('Message%20ID',Summary),filters:!(),index:'emp_*',interval:auto,query:(query_string:(analyze_wildcard:!t,query:'%22rtdc.l.rtdc.4054%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8" t="s">
        <v>860</v>
      </c>
      <c r="B136" s="224">
        <v>4053</v>
      </c>
      <c r="C136" s="226" t="s">
        <v>192</v>
      </c>
      <c r="D136" s="226" t="s">
        <v>988</v>
      </c>
      <c r="E136" s="225">
        <v>43090.806666666664</v>
      </c>
      <c r="F136" s="225">
        <v>43090.810833333337</v>
      </c>
      <c r="G136" s="224">
        <v>78</v>
      </c>
      <c r="H136" s="226" t="s">
        <v>555</v>
      </c>
      <c r="I136" s="225">
        <v>43090.838483796295</v>
      </c>
      <c r="J136" s="224">
        <v>0</v>
      </c>
      <c r="K136" s="236" t="str">
        <f t="shared" si="84"/>
        <v>4053/4054</v>
      </c>
      <c r="L136" s="244" t="str">
        <f>VLOOKUP(A136,'Trips&amp;Operators'!$C$1:$G$99911,5,FALSE)</f>
        <v>NICHOLSON WESLEY</v>
      </c>
      <c r="M136" s="223">
        <f t="shared" si="85"/>
        <v>2.7650462958263233E-2</v>
      </c>
      <c r="N136" s="224">
        <f t="shared" si="105"/>
        <v>39.816666659899056</v>
      </c>
      <c r="O136" s="224"/>
      <c r="P136" s="224"/>
      <c r="Q136" s="227"/>
      <c r="R136" s="241"/>
      <c r="S136" s="248">
        <f t="shared" si="87"/>
        <v>1</v>
      </c>
      <c r="T136" s="241" t="str">
        <f t="shared" si="88"/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42"/>
        <v>https://d0f6bd738d7f1b3e5a7ca70fe4ff75f0.us-east-1.aws.found.io/app/kibana#/discover/Steve-Slow-Train-Analysis-(2080s-and-2083s)?_g=(refreshInterval:(display:Off,pause:!f,section:0,value:0),time:(from:'2017-12-21T18:21:36-0700',mode:absolute,to:'2017-12-21T21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246" t="str">
        <f>IF(AA136&lt;VLOOKUP(AG136,Variables!$AC$3:$AD$8,2,FALSE),"Y","N")</f>
        <v>N</v>
      </c>
      <c r="X136" s="246">
        <f t="shared" si="94"/>
        <v>1</v>
      </c>
      <c r="Y136" s="246">
        <f t="shared" si="106"/>
        <v>23.289100000000001</v>
      </c>
      <c r="Z136" s="246">
        <f t="shared" si="107"/>
        <v>2.4500000000000001E-2</v>
      </c>
      <c r="AA136" s="246">
        <f t="shared" si="91"/>
        <v>23.264600000000002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92"/>
        <v>220</v>
      </c>
      <c r="AE136" s="234" t="str">
        <f t="shared" si="4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136" s="233" t="str">
        <f t="shared" si="48"/>
        <v>"C:\Program Files (x86)\AstroGrep\AstroGrep.exe" /e /r /s /spath="%USERPROFILE%\AppData\Local\Temp\OnboardLogs" /stypes="app*4053*201712220*" /stext=" 03:.+?(?&gt;(PRM\|1\|D)|(KPR)|(KDP)|(train st[a-z]+ moving)|(SYSTEM_STATE:s[a-z]+ state changed)|(Enforcement Action)|(\[TIMEOUT)|(parse_ebi_status: Penalty)|(\|GPPS))"</v>
      </c>
      <c r="AG136" s="243" t="str">
        <f t="shared" si="93"/>
        <v>EC</v>
      </c>
      <c r="AH136" s="235" t="str">
        <f t="shared" si="50"/>
        <v>"%USERPROFILE%\Documents\GitHub\eaglep3\Utilities\RefineRTDCRunTimes.py" --tripid 220-21 --locoid 4053 --swversion DE.1.0.9.0 --startMP 204:232891 --initTime 2017-12-21T19:21:36 --startdatetime 2017-12-21T19:27:36 --delay 78 --endMP 204:245 --enddatetime 2017-12-21T20:07:25 --enforcementcount 0 &gt;&gt;%USERPROFILE%\Documents\GitHub\eaglep3-reporting\EC\2017-12-21-refined-times.txt</v>
      </c>
      <c r="AI136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{"issue":{"subject":"","project_id":79,"tracker_id":40,"status_id":1,"priority_id":2,"assigned_to_id":338,"start_date":"2017-12-21","description":"","custom_fields":[{"id":1,"name":"Subdivision","value":"EC"},{"id":4,"name":"Milepost","value":"0.0245"},{"id":17,"name":"Train ID","value":"220-21"},{"id":16,"name":"Locomotive ID","value":"4053"},{"id":130,"name":"Impact","value":""},{"id":150,"name":"Time of Event (Mountain Time)","value":"20:07:25"},{"id":151,"name":"Denver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2"/>
      <c r="AK136" s="230"/>
      <c r="AL136" s="230"/>
      <c r="AM136" s="239" t="str">
        <f t="shared" si="52"/>
        <v>start /low /b %USERPROFILE%\Documents\GitHub\eaglep3\Utilities\DownloadLogsFromS3.py --loco 4053 --day 2017-12-21</v>
      </c>
      <c r="AN136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54"/>
        <v>https://d0f6bd738d7f1b3e5a7ca70fe4ff75f0.us-east-1.aws.found.io/app/kibana#/discover/Steve-Slow-Train-Analysis-(2080s-and-2083s)?_g=(refreshInterval:(display:Off,pause:!f,section:0,value:0),time:(from:'2017-12-21T18:21:36-0700',mode:absolute,to:'2017-12-21T21:07:25-0700'))&amp;_a=(columns:!('Message%20ID',Summary),filters:!(),index:'emp_*',interval:auto,query:(query_string:(analyze_wildcard:!t,query:'%22rtdc.l.rtdc.4053%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8" t="s">
        <v>684</v>
      </c>
      <c r="B137" s="224">
        <v>4034</v>
      </c>
      <c r="C137" s="226" t="s">
        <v>192</v>
      </c>
      <c r="D137" s="226" t="s">
        <v>483</v>
      </c>
      <c r="E137" s="225">
        <v>43090.788101851853</v>
      </c>
      <c r="F137" s="225">
        <v>43090.792453703703</v>
      </c>
      <c r="G137" s="224">
        <v>225</v>
      </c>
      <c r="H137" s="226" t="s">
        <v>556</v>
      </c>
      <c r="I137" s="225">
        <v>43090.81858796296</v>
      </c>
      <c r="J137" s="224">
        <v>0</v>
      </c>
      <c r="K137" s="236" t="str">
        <f t="shared" si="84"/>
        <v>4033/4034</v>
      </c>
      <c r="L137" s="244" t="str">
        <f>VLOOKUP(A137,'Trips&amp;Operators'!$C$1:$G$99911,5,FALSE)</f>
        <v>ANDERS STEVEN</v>
      </c>
      <c r="M137" s="223">
        <f t="shared" si="85"/>
        <v>2.6134259256650694E-2</v>
      </c>
      <c r="N137" s="224">
        <f t="shared" si="105"/>
        <v>37.633333329576999</v>
      </c>
      <c r="O137" s="224"/>
      <c r="P137" s="224"/>
      <c r="Q137" s="227"/>
      <c r="R137" s="241"/>
      <c r="S137" s="248">
        <f t="shared" si="87"/>
        <v>1</v>
      </c>
      <c r="T137" s="241" t="str">
        <f t="shared" si="88"/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42"/>
        <v>https://d0f6bd738d7f1b3e5a7ca70fe4ff75f0.us-east-1.aws.found.io/app/kibana#/discover/Steve-Slow-Train-Analysis-(2080s-and-2083s)?_g=(refreshInterval:(display:Off,pause:!f,section:0,value:0),time:(from:'2017-12-21T17:54:52-0700',mode:absolute,to:'2017-12-21T20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7" s="246" t="str">
        <f>IF(AA137&lt;VLOOKUP(AG137,Variables!$AC$3:$AD$8,2,FALSE),"Y","N")</f>
        <v>N</v>
      </c>
      <c r="X137" s="246">
        <f t="shared" si="94"/>
        <v>1</v>
      </c>
      <c r="Y137" s="246">
        <f t="shared" si="106"/>
        <v>5.1700000000000003E-2</v>
      </c>
      <c r="Z137" s="246">
        <f t="shared" si="107"/>
        <v>23.325900000000001</v>
      </c>
      <c r="AA137" s="246">
        <f t="shared" si="91"/>
        <v>23.2742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92"/>
        <v>221</v>
      </c>
      <c r="AE137" s="234" t="str">
        <f t="shared" si="4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37" s="233" t="str">
        <f t="shared" si="48"/>
        <v>"C:\Program Files (x86)\AstroGrep\AstroGrep.exe" /e /r /s /spath="%USERPROFILE%\AppData\Local\Temp\OnboardLogs" /stypes="app*4034*201712220*" /stext=" 02:.+?(?&gt;(PRM\|1\|D)|(KPR)|(KDP)|(train st[a-z]+ moving)|(SYSTEM_STATE:s[a-z]+ state changed)|(Enforcement Action)|(\[TIMEOUT)|(parse_ebi_status: Penalty)|(\|GPPS))"</v>
      </c>
      <c r="AG137" s="243" t="str">
        <f t="shared" si="93"/>
        <v>EC</v>
      </c>
      <c r="AH137" s="235" t="str">
        <f t="shared" si="50"/>
        <v>"%USERPROFILE%\Documents\GitHub\eaglep3\Utilities\RefineRTDCRunTimes.py" --tripid 221-21 --locoid 4034 --swversion DE.1.0.9.0 --startMP 204:517 --initTime 2017-12-21T18:54:52 --startdatetime 2017-12-21T19:01:08 --delay 225 --endMP 204:233259 --enddatetime 2017-12-21T19:38:46 --enforcementcount 0 &gt;&gt;%USERPROFILE%\Documents\GitHub\eaglep3-reporting\EC\2017-12-21-refined-times.txt</v>
      </c>
      <c r="AI137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{"issue":{"subject":"","project_id":79,"tracker_id":40,"status_id":1,"priority_id":2,"assigned_to_id":338,"start_date":"2017-12-21","description":"","custom_fields":[{"id":1,"name":"Subdivision","value":"EC"},{"id":4,"name":"Milepost","value":"23.3259"},{"id":17,"name":"Train ID","value":"221-21"},{"id":16,"name":"Locomotive ID","value":"4034"},{"id":130,"name":"Impact","value":""},{"id":150,"name":"Time of Event (Mountain Time)","value":"19:38:46"},{"id":151,"name":"Denver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2"/>
      <c r="AK137" s="230"/>
      <c r="AL137" s="230"/>
      <c r="AM137" s="239" t="str">
        <f t="shared" si="52"/>
        <v>start /low /b %USERPROFILE%\Documents\GitHub\eaglep3\Utilities\DownloadLogsFromS3.py --loco 4034 --day 2017-12-21</v>
      </c>
      <c r="AN137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54"/>
        <v>https://d0f6bd738d7f1b3e5a7ca70fe4ff75f0.us-east-1.aws.found.io/app/kibana#/discover/Steve-Slow-Train-Analysis-(2080s-and-2083s)?_g=(refreshInterval:(display:Off,pause:!f,section:0,value:0),time:(from:'2017-12-21T17:54:52-0700',mode:absolute,to:'2017-12-21T20:38:46-0700'))&amp;_a=(columns:!('Message%20ID',Summary),filters:!(),index:'emp_*',interval:auto,query:(query_string:(analyze_wildcard:!t,query:'%22rtdc.l.rtdc.4034%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864</v>
      </c>
      <c r="B138" s="224">
        <v>4033</v>
      </c>
      <c r="C138" s="226" t="s">
        <v>192</v>
      </c>
      <c r="D138" s="226" t="s">
        <v>921</v>
      </c>
      <c r="E138" s="225">
        <v>43090.828784722224</v>
      </c>
      <c r="F138" s="225">
        <v>43090.831597222219</v>
      </c>
      <c r="G138" s="224">
        <v>59</v>
      </c>
      <c r="H138" s="226" t="s">
        <v>547</v>
      </c>
      <c r="I138" s="225">
        <v>43090.859074074076</v>
      </c>
      <c r="J138" s="224">
        <v>0</v>
      </c>
      <c r="K138" s="236" t="str">
        <f t="shared" si="84"/>
        <v>4033/4034</v>
      </c>
      <c r="L138" s="244" t="str">
        <f>VLOOKUP(A138,'Trips&amp;Operators'!$C$1:$G$99911,5,FALSE)</f>
        <v>ANDERS STEVEN</v>
      </c>
      <c r="M138" s="223">
        <f t="shared" si="85"/>
        <v>2.7476851857500151E-2</v>
      </c>
      <c r="N138" s="224">
        <f t="shared" si="105"/>
        <v>39.566666674800217</v>
      </c>
      <c r="O138" s="224"/>
      <c r="P138" s="224"/>
      <c r="Q138" s="227"/>
      <c r="R138" s="241"/>
      <c r="S138" s="248">
        <f t="shared" si="87"/>
        <v>1</v>
      </c>
      <c r="T138" s="241" t="str">
        <f t="shared" si="88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42"/>
        <v>https://d0f6bd738d7f1b3e5a7ca70fe4ff75f0.us-east-1.aws.found.io/app/kibana#/discover/Steve-Slow-Train-Analysis-(2080s-and-2083s)?_g=(refreshInterval:(display:Off,pause:!f,section:0,value:0),time:(from:'2017-12-21T18:53:27-0700',mode:absolute,to:'2017-12-21T21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8" s="246" t="str">
        <f>IF(AA138&lt;VLOOKUP(AG138,Variables!$AC$3:$AD$8,2,FALSE),"Y","N")</f>
        <v>N</v>
      </c>
      <c r="X138" s="246">
        <f t="shared" si="94"/>
        <v>1</v>
      </c>
      <c r="Y138" s="246">
        <f t="shared" si="106"/>
        <v>23.294799999999999</v>
      </c>
      <c r="Z138" s="246">
        <f t="shared" si="107"/>
        <v>2.3400000000000001E-2</v>
      </c>
      <c r="AA138" s="246">
        <f t="shared" si="91"/>
        <v>23.2714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92"/>
        <v>222</v>
      </c>
      <c r="AE138" s="234" t="str">
        <f t="shared" si="4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38" s="233" t="str">
        <f t="shared" si="48"/>
        <v>"C:\Program Files (x86)\AstroGrep\AstroGrep.exe" /e /r /s /spath="%USERPROFILE%\AppData\Local\Temp\OnboardLogs" /stypes="app*4033*201712220*" /stext=" 03:.+?(?&gt;(PRM\|1\|D)|(KPR)|(KDP)|(train st[a-z]+ moving)|(SYSTEM_STATE:s[a-z]+ state changed)|(Enforcement Action)|(\[TIMEOUT)|(parse_ebi_status: Penalty)|(\|GPPS))"</v>
      </c>
      <c r="AG138" s="243" t="str">
        <f t="shared" si="93"/>
        <v>EC</v>
      </c>
      <c r="AH138" s="235" t="str">
        <f t="shared" si="50"/>
        <v>"%USERPROFILE%\Documents\GitHub\eaglep3\Utilities\RefineRTDCRunTimes.py" --tripid 222-21 --locoid 4033 --swversion DE.1.0.9.0 --startMP 204:232948 --initTime 2017-12-21T19:53:27 --startdatetime 2017-12-21T19:57:30 --delay 59 --endMP 204:234 --enddatetime 2017-12-21T20:37:04 --enforcementcount 0 &gt;&gt;%USERPROFILE%\Documents\GitHub\eaglep3-reporting\EC\2017-12-21-refined-times.txt</v>
      </c>
      <c r="AI138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{"issue":{"subject":"","project_id":79,"tracker_id":40,"status_id":1,"priority_id":2,"assigned_to_id":338,"start_date":"2017-12-21","description":"","custom_fields":[{"id":1,"name":"Subdivision","value":"EC"},{"id":4,"name":"Milepost","value":"0.0234"},{"id":17,"name":"Train ID","value":"222-21"},{"id":16,"name":"Locomotive ID","value":"4033"},{"id":130,"name":"Impact","value":""},{"id":150,"name":"Time of Event (Mountain Time)","value":"20:37:04"},{"id":151,"name":"Denver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52"/>
        <v>start /low /b %USERPROFILE%\Documents\GitHub\eaglep3\Utilities\DownloadLogsFromS3.py --loco 4033 --day 2017-12-21</v>
      </c>
      <c r="AN138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54"/>
        <v>https://d0f6bd738d7f1b3e5a7ca70fe4ff75f0.us-east-1.aws.found.io/app/kibana#/discover/Steve-Slow-Train-Analysis-(2080s-and-2083s)?_g=(refreshInterval:(display:Off,pause:!f,section:0,value:0),time:(from:'2017-12-21T18:53:27-0700',mode:absolute,to:'2017-12-21T21:37:04-0700'))&amp;_a=(columns:!('Message%20ID',Summary),filters:!(),index:'emp_*',interval:auto,query:(query_string:(analyze_wildcard:!t,query:'%22rtdc.l.rtdc.4033%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685</v>
      </c>
      <c r="B139" s="224">
        <v>4064</v>
      </c>
      <c r="C139" s="226" t="s">
        <v>192</v>
      </c>
      <c r="D139" s="226" t="s">
        <v>989</v>
      </c>
      <c r="E139" s="225">
        <v>43090.807210648149</v>
      </c>
      <c r="F139" s="225">
        <v>43090.812731481485</v>
      </c>
      <c r="G139" s="224">
        <v>82</v>
      </c>
      <c r="H139" s="226" t="s">
        <v>990</v>
      </c>
      <c r="I139" s="225">
        <v>43090.83085648148</v>
      </c>
      <c r="J139" s="224">
        <v>0</v>
      </c>
      <c r="K139" s="236" t="str">
        <f t="shared" si="84"/>
        <v>4063/4064</v>
      </c>
      <c r="L139" s="244" t="str">
        <f>VLOOKUP(A139,'Trips&amp;Operators'!$C$1:$G$99911,5,FALSE)</f>
        <v>WEST BRYAN</v>
      </c>
      <c r="M139" s="223">
        <f t="shared" si="85"/>
        <v>1.8124999995052349E-2</v>
      </c>
      <c r="N139" s="224"/>
      <c r="O139" s="224"/>
      <c r="P139" s="224">
        <f>24*60*SUM($M139:$M139)</f>
        <v>26.099999992875382</v>
      </c>
      <c r="Q139" s="227"/>
      <c r="R139" s="241" t="s">
        <v>464</v>
      </c>
      <c r="S139" s="248">
        <f t="shared" si="87"/>
        <v>1</v>
      </c>
      <c r="T139" s="241" t="str">
        <f t="shared" si="88"/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42"/>
        <v>https://d0f6bd738d7f1b3e5a7ca70fe4ff75f0.us-east-1.aws.found.io/app/kibana#/discover/Steve-Slow-Train-Analysis-(2080s-and-2083s)?_g=(refreshInterval:(display:Off,pause:!f,section:0,value:0),time:(from:'2017-12-21T18:22:23-0700',mode:absolute,to:'2017-12-21T20:56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9" s="246" t="str">
        <f>IF(AA139&lt;VLOOKUP(AG139,Variables!$AC$3:$AD$8,2,FALSE),"Y","N")</f>
        <v>Y</v>
      </c>
      <c r="X139" s="246">
        <f t="shared" si="94"/>
        <v>1</v>
      </c>
      <c r="Y139" s="246">
        <f t="shared" si="106"/>
        <v>5.6399999999999999E-2</v>
      </c>
      <c r="Z139" s="246">
        <f t="shared" si="107"/>
        <v>15.4427</v>
      </c>
      <c r="AA139" s="246">
        <f t="shared" si="91"/>
        <v>15.3863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92"/>
        <v>223</v>
      </c>
      <c r="AE139" s="234" t="str">
        <f t="shared" si="4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39" s="233" t="str">
        <f t="shared" si="48"/>
        <v>"C:\Program Files (x86)\AstroGrep\AstroGrep.exe" /e /r /s /spath="%USERPROFILE%\AppData\Local\Temp\OnboardLogs" /stypes="app*4064*201712220*" /stext=" 02:.+?(?&gt;(PRM\|1\|D)|(KPR)|(KDP)|(train st[a-z]+ moving)|(SYSTEM_STATE:s[a-z]+ state changed)|(Enforcement Action)|(\[TIMEOUT)|(parse_ebi_status: Penalty)|(\|GPPS))"</v>
      </c>
      <c r="AG139" s="243" t="str">
        <f t="shared" si="93"/>
        <v>EC</v>
      </c>
      <c r="AH139" s="235" t="str">
        <f t="shared" si="50"/>
        <v>"%USERPROFILE%\Documents\GitHub\eaglep3\Utilities\RefineRTDCRunTimes.py" --tripid 223-21 --locoid 4064 --swversion DE.1.0.9.0 --startMP 204:564 --initTime 2017-12-21T19:22:23 --startdatetime 2017-12-21T19:30:20 --delay 82 --endMP 204:154427 --enddatetime 2017-12-21T19:56:26 --enforcementcount 0 &gt;&gt;%USERPROFILE%\Documents\GitHub\eaglep3-reporting\EC\2017-12-21-refined-times.txt</v>
      </c>
      <c r="AI139" s="237" t="str">
        <f t="shared" si="51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drop","project_id":79,"tracker_id":40,"status_id":1,"priority_id":2,"assigned_to_id":338,"start_date":"2017-12-21","description":"","custom_fields":[{"id":1,"name":"Subdivision","value":"EC"},{"id":4,"name":"Milepost","value":"15.4427"},{"id":17,"name":"Train ID","value":"223-21"},{"id":16,"name":"Locomotive ID","value":"4064"},{"id":130,"name":"Impact","value":""},{"id":150,"name":"Time of Event (Mountain Time)","value":"19:56:26"},{"id":151,"name":"Denver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52"/>
        <v>start /low /b %USERPROFILE%\Documents\GitHub\eaglep3\Utilities\DownloadLogsFromS3.py --loco 4064 --day 2017-12-21</v>
      </c>
      <c r="AN139" s="240" t="str">
        <f t="shared" si="53"/>
        <v>echo {"issue":{"subject":"Wi-MAX data drop","project_id":30,"tracker_id":4,"status_id":1,"priority_id":1,"assigned_to_id":10,"start_date":"2017-12-22","description":"","custom_fields":[{"id":30,"name":"Category","value":"Issue"},{"id":3,"name":"Functional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54"/>
        <v>https://d0f6bd738d7f1b3e5a7ca70fe4ff75f0.us-east-1.aws.found.io/app/kibana#/discover/Steve-Slow-Train-Analysis-(2080s-and-2083s)?_g=(refreshInterval:(display:Off,pause:!f,section:0,value:0),time:(from:'2017-12-21T18:22:23-0700',mode:absolute,to:'2017-12-21T20:56:26-0700'))&amp;_a=(columns:!('Message%20ID',Summary),filters:!(),index:'emp_*',interval:auto,query:(query_string:(analyze_wildcard:!t,query:'%22rtdc.l.rtdc.4064%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2" customFormat="1" x14ac:dyDescent="0.25">
      <c r="A140" s="228" t="s">
        <v>865</v>
      </c>
      <c r="B140" s="224">
        <v>4063</v>
      </c>
      <c r="C140" s="226" t="s">
        <v>192</v>
      </c>
      <c r="D140" s="226" t="s">
        <v>558</v>
      </c>
      <c r="E140" s="225">
        <v>43090.840752314813</v>
      </c>
      <c r="F140" s="225">
        <v>43090.852430555555</v>
      </c>
      <c r="G140" s="224">
        <v>68</v>
      </c>
      <c r="H140" s="226" t="s">
        <v>991</v>
      </c>
      <c r="I140" s="225">
        <v>43090.878067129626</v>
      </c>
      <c r="J140" s="224">
        <v>0</v>
      </c>
      <c r="K140" s="236" t="str">
        <f t="shared" si="84"/>
        <v>4063/4064</v>
      </c>
      <c r="L140" s="244" t="str">
        <f>VLOOKUP(A140,'Trips&amp;Operators'!$C$1:$G$99911,5,FALSE)</f>
        <v>WEST BRYAN</v>
      </c>
      <c r="M140" s="223">
        <f t="shared" si="85"/>
        <v>2.5636574071540963E-2</v>
      </c>
      <c r="N140" s="224">
        <f>24*60*SUM($M140:$M140)</f>
        <v>36.916666663018987</v>
      </c>
      <c r="O140" s="224"/>
      <c r="P140" s="224"/>
      <c r="Q140" s="227"/>
      <c r="R140" s="241"/>
      <c r="S140" s="248">
        <f t="shared" si="87"/>
        <v>1</v>
      </c>
      <c r="T140" s="241" t="str">
        <f t="shared" si="88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42"/>
        <v>https://d0f6bd738d7f1b3e5a7ca70fe4ff75f0.us-east-1.aws.found.io/app/kibana#/discover/Steve-Slow-Train-Analysis-(2080s-and-2083s)?_g=(refreshInterval:(display:Off,pause:!f,section:0,value:0),time:(from:'2017-12-21T19:10:41-0700',mode:absolute,to:'2017-12-21T22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0" s="246" t="str">
        <f>IF(AA140&lt;VLOOKUP(AG140,Variables!$AC$3:$AD$8,2,FALSE),"Y","N")</f>
        <v>N</v>
      </c>
      <c r="X140" s="246">
        <f t="shared" si="94"/>
        <v>1</v>
      </c>
      <c r="Y140" s="246">
        <f t="shared" si="106"/>
        <v>23.291899999999998</v>
      </c>
      <c r="Z140" s="246">
        <f t="shared" si="107"/>
        <v>2.69E-2</v>
      </c>
      <c r="AA140" s="246">
        <f t="shared" si="91"/>
        <v>23.264999999999997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92"/>
        <v>224</v>
      </c>
      <c r="AE140" s="234" t="str">
        <f t="shared" si="4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40" s="233" t="str">
        <f t="shared" si="48"/>
        <v>"C:\Program Files (x86)\AstroGrep\AstroGrep.exe" /e /r /s /spath="%USERPROFILE%\AppData\Local\Temp\OnboardLogs" /stypes="app*4063*201712220*" /stext=" 04:.+?(?&gt;(PRM\|1\|D)|(KPR)|(KDP)|(train st[a-z]+ moving)|(SYSTEM_STATE:s[a-z]+ state changed)|(Enforcement Action)|(\[TIMEOUT)|(parse_ebi_status: Penalty)|(\|GPPS))"</v>
      </c>
      <c r="AG140" s="243" t="str">
        <f t="shared" si="93"/>
        <v>EC</v>
      </c>
      <c r="AH140" s="235" t="str">
        <f t="shared" si="50"/>
        <v>"%USERPROFILE%\Documents\GitHub\eaglep3\Utilities\RefineRTDCRunTimes.py" --tripid 224-21 --locoid 4063 --swversion DE.1.0.9.0 --startMP 204:232919 --initTime 2017-12-21T20:10:41 --startdatetime 2017-12-21T20:27:30 --delay 68 --endMP 204:269 --enddatetime 2017-12-21T21:04:25 --enforcementcount 0 &gt;&gt;%USERPROFILE%\Documents\GitHub\eaglep3-reporting\EC\2017-12-21-refined-times.txt</v>
      </c>
      <c r="AI140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{"issue":{"subject":"","project_id":79,"tracker_id":40,"status_id":1,"priority_id":2,"assigned_to_id":338,"start_date":"2017-12-21","description":"","custom_fields":[{"id":1,"name":"Subdivision","value":"EC"},{"id":4,"name":"Milepost","value":"0.0269"},{"id":17,"name":"Train ID","value":"224-21"},{"id":16,"name":"Locomotive ID","value":"4063"},{"id":130,"name":"Impact","value":""},{"id":150,"name":"Time of Event (Mountain Time)","value":"21:04:25"},{"id":151,"name":"Denver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0"/>
      <c r="AL140" s="230"/>
      <c r="AM140" s="239" t="str">
        <f t="shared" si="52"/>
        <v>start /low /b %USERPROFILE%\Documents\GitHub\eaglep3\Utilities\DownloadLogsFromS3.py --loco 4063 --day 2017-12-21</v>
      </c>
      <c r="AN140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54"/>
        <v>https://d0f6bd738d7f1b3e5a7ca70fe4ff75f0.us-east-1.aws.found.io/app/kibana#/discover/Steve-Slow-Train-Analysis-(2080s-and-2083s)?_g=(refreshInterval:(display:Off,pause:!f,section:0,value:0),time:(from:'2017-12-21T19:10:41-0700',mode:absolute,to:'2017-12-21T22:04:25-0700'))&amp;_a=(columns:!('Message%20ID',Summary),filters:!(),index:'emp_*',interval:auto,query:(query_string:(analyze_wildcard:!t,query:'%22rtdc.l.rtdc.4063%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2" customFormat="1" x14ac:dyDescent="0.25">
      <c r="A141" s="228" t="s">
        <v>863</v>
      </c>
      <c r="B141" s="224">
        <v>4012</v>
      </c>
      <c r="C141" s="226" t="s">
        <v>192</v>
      </c>
      <c r="D141" s="226" t="s">
        <v>558</v>
      </c>
      <c r="E141" s="225">
        <v>43090.840752314813</v>
      </c>
      <c r="F141" s="225">
        <v>43090.833506944444</v>
      </c>
      <c r="G141" s="224">
        <v>68</v>
      </c>
      <c r="H141" s="226" t="s">
        <v>991</v>
      </c>
      <c r="I141" s="225">
        <v>43090.857372685183</v>
      </c>
      <c r="J141" s="224">
        <v>0</v>
      </c>
      <c r="K141" s="236" t="str">
        <f t="shared" ref="K141:K142" si="108">IF(ISEVEN(B141),(B141-1)&amp;"/"&amp;B141,B141&amp;"/"&amp;(B141+1))</f>
        <v>4011/4012</v>
      </c>
      <c r="L141" s="244" t="str">
        <f>VLOOKUP(A141,'Trips&amp;Operators'!$C$1:$G$99911,5,FALSE)</f>
        <v>ELBAUM MIKE</v>
      </c>
      <c r="M141" s="223">
        <f t="shared" ref="M141:M142" si="109">I141-F141</f>
        <v>2.3865740738983732E-2</v>
      </c>
      <c r="N141" s="224">
        <f t="shared" ref="N141:N142" si="110">24*60*SUM($M141:$M141)</f>
        <v>34.366666664136574</v>
      </c>
      <c r="O141" s="224"/>
      <c r="P141" s="224"/>
      <c r="Q141" s="227"/>
      <c r="R141" s="241"/>
      <c r="S141" s="248">
        <f t="shared" ref="S141:S142" si="111">1/IF(AG141="EC",12,1)*SUM(U141:U141)</f>
        <v>1</v>
      </c>
      <c r="T141" s="241" t="str">
        <f t="shared" ref="T141:T142" si="112"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11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-21T19:10:41-0700',mode:absolute,to:'2017-12-21T21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246" t="str">
        <f>IF(AA141&lt;VLOOKUP(AG141,Variables!$AC$3:$AD$8,2,FALSE),"Y","N")</f>
        <v>N</v>
      </c>
      <c r="X141" s="246">
        <f t="shared" ref="X141:X144" si="114">VALUE(LEFT(AD141,4))-VALUE(LEFT(AD140,4))</f>
        <v>1</v>
      </c>
      <c r="Y141" s="246">
        <v>5.1700000000000003E-2</v>
      </c>
      <c r="Z141" s="246">
        <v>23.325900000000001</v>
      </c>
      <c r="AA141" s="246">
        <f t="shared" ref="AA141:AA142" si="115">ABS(Z141-Y141)</f>
        <v>23.2742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142" si="116">VALUE(LEFT(A141,LEN(A141)-3))</f>
        <v>225</v>
      </c>
      <c r="AE141" s="234" t="str">
        <f t="shared" ref="AE141:AE204" si="11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41" s="233" t="str">
        <f t="shared" ref="AF141:AF204" si="118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/stypes="app*4012*201712220*" /stext=" 03:.+?(?&gt;(PRM\|1\|D)|(KPR)|(KDP)|(train st[a-z]+ moving)|(SYSTEM_STATE:s[a-z]+ state changed)|(Enforcement Action)|(\[TIMEOUT)|(parse_ebi_status: Penalty)|(\|GPPS))"</v>
      </c>
      <c r="AG141" s="243" t="str">
        <f t="shared" ref="AG141:AG142" si="119">DetSubdiv(A141)</f>
        <v>EC</v>
      </c>
      <c r="AH141" s="235" t="str">
        <f t="shared" ref="AH141:AH142" si="12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225-21 --locoid 4012 --swversion DE.1.0.9.0 --startMP 204:232919 --initTime 2017-12-21T20:10:41 --startdatetime 2017-12-21T20:00:15 --delay 68 --endMP 204:269 --enddatetime 2017-12-21T20:34:37 --enforcementcount 0 &gt;&gt;%USERPROFILE%\Documents\GitHub\eaglep3-reporting\EC\2017-12-21-refined-times.txt</v>
      </c>
      <c r="AI141" s="237" t="str">
        <f t="shared" ref="AI141:AI142" si="12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{"issue":{"subject":"","project_id":79,"tracker_id":40,"status_id":1,"priority_id":2,"assigned_to_id":338,"start_date":"2017-12-21","description":"","custom_fields":[{"id":1,"name":"Subdivision","value":"EC"},{"id":4,"name":"Milepost","value":"23.3259"},{"id":17,"name":"Train ID","value":"225-21"},{"id":16,"name":"Locomotive ID","value":"4012"},{"id":130,"name":"Impact","value":""},{"id":150,"name":"Time of Event (Mountain Time)","value":"20:34:37"},{"id":151,"name":"Denver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0"/>
      <c r="AL141" s="230"/>
      <c r="AM141" s="239" t="str">
        <f t="shared" ref="AM141:AM142" si="122">"start /low /b "&amp;dls3logs&amp;" --loco "&amp;B141&amp;" --day "&amp;TEXT(F141,"YYYY-MM-DD")</f>
        <v>start /low /b %USERPROFILE%\Documents\GitHub\eaglep3\Utilities\DownloadLogsFromS3.py --loco 4012 --day 2017-12-21</v>
      </c>
      <c r="AN141" s="240" t="str">
        <f t="shared" ref="AN141:AN142" si="12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ref="AO141:AO142" si="12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-21T19:10:41-0700',mode:absolute,to:'2017-12-21T21:34:37-0700'))&amp;_a=(columns:!('Message%20ID',Summary),filters:!(),index:'emp_*',interval:auto,query:(query_string:(analyze_wildcard:!t,query:'%22rtdc.l.rtdc.4012%22')),sort:!(Time.ISO8601,asc))</v>
      </c>
    </row>
    <row r="142" spans="1:91" s="222" customFormat="1" x14ac:dyDescent="0.25">
      <c r="A142" s="228" t="s">
        <v>687</v>
      </c>
      <c r="B142" s="224">
        <v>4011</v>
      </c>
      <c r="C142" s="226" t="s">
        <v>192</v>
      </c>
      <c r="D142" s="226" t="s">
        <v>558</v>
      </c>
      <c r="E142" s="225">
        <v>43090.840752314813</v>
      </c>
      <c r="F142" s="225">
        <v>43090.873055555552</v>
      </c>
      <c r="G142" s="224">
        <v>68</v>
      </c>
      <c r="H142" s="226" t="s">
        <v>991</v>
      </c>
      <c r="I142" s="225">
        <v>43090.898460648146</v>
      </c>
      <c r="J142" s="224">
        <v>0</v>
      </c>
      <c r="K142" s="236" t="str">
        <f t="shared" si="108"/>
        <v>4011/4012</v>
      </c>
      <c r="L142" s="244" t="str">
        <f>VLOOKUP(A142,'Trips&amp;Operators'!$C$1:$G$99911,5,FALSE)</f>
        <v>ELBAUM MIKE</v>
      </c>
      <c r="M142" s="223">
        <f t="shared" si="109"/>
        <v>2.5405092594155576E-2</v>
      </c>
      <c r="N142" s="224">
        <f t="shared" si="110"/>
        <v>36.58333333558403</v>
      </c>
      <c r="O142" s="224"/>
      <c r="P142" s="224"/>
      <c r="Q142" s="227"/>
      <c r="R142" s="241"/>
      <c r="S142" s="248">
        <f t="shared" si="111"/>
        <v>1</v>
      </c>
      <c r="T142" s="241" t="str">
        <f t="shared" si="112"/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113"/>
        <v>https://d0f6bd738d7f1b3e5a7ca70fe4ff75f0.us-east-1.aws.found.io/app/kibana#/discover/Steve-Slow-Train-Analysis-(2080s-and-2083s)?_g=(refreshInterval:(display:Off,pause:!f,section:0,value:0),time:(from:'2017-12-21T19:10:41-0700',mode:absolute,to:'2017-12-21T22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246" t="str">
        <f>IF(AA142&lt;VLOOKUP(AG142,Variables!$AC$3:$AD$8,2,FALSE),"Y","N")</f>
        <v>N</v>
      </c>
      <c r="X142" s="246">
        <f t="shared" si="114"/>
        <v>1</v>
      </c>
      <c r="Y142" s="246">
        <f t="shared" ref="Y142" si="125">RIGHT(D142,LEN(D142)-4)/10000</f>
        <v>23.291899999999998</v>
      </c>
      <c r="Z142" s="246">
        <f t="shared" ref="Z142" si="126">RIGHT(H142,LEN(H142)-4)/10000</f>
        <v>2.69E-2</v>
      </c>
      <c r="AA142" s="246">
        <f t="shared" si="115"/>
        <v>23.264999999999997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116"/>
        <v>226</v>
      </c>
      <c r="AE142" s="234" t="str">
        <f t="shared" si="11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42" s="233" t="str">
        <f t="shared" si="118"/>
        <v>"C:\Program Files (x86)\AstroGrep\AstroGrep.exe" /e /r /s /spath="%USERPROFILE%\AppData\Local\Temp\OnboardLogs" /stypes="app*4011*201712220*" /stext=" 04:.+?(?&gt;(PRM\|1\|D)|(KPR)|(KDP)|(train st[a-z]+ moving)|(SYSTEM_STATE:s[a-z]+ state changed)|(Enforcement Action)|(\[TIMEOUT)|(parse_ebi_status: Penalty)|(\|GPPS))"</v>
      </c>
      <c r="AG142" s="243" t="str">
        <f t="shared" si="119"/>
        <v>EC</v>
      </c>
      <c r="AH142" s="235" t="str">
        <f t="shared" si="120"/>
        <v>"%USERPROFILE%\Documents\GitHub\eaglep3\Utilities\RefineRTDCRunTimes.py" --tripid 226-21 --locoid 4011 --swversion DE.1.0.9.0 --startMP 204:232919 --initTime 2017-12-21T20:10:41 --startdatetime 2017-12-21T20:57:12 --delay 68 --endMP 204:269 --enddatetime 2017-12-21T21:33:47 --enforcementcount 0 &gt;&gt;%USERPROFILE%\Documents\GitHub\eaglep3-reporting\EC\2017-12-21-refined-times.txt</v>
      </c>
      <c r="AI142" s="237" t="str">
        <f t="shared" si="121"/>
        <v>echo {"issue":{"subject":"","project_id":79,"tracker_id":40,"status_id":1,"priority_id":2,"assigned_to_id":338,"start_date":"2017-12-21","description":"","custom_fields":[{"id":1,"name":"Subdivision","value":"EC"},{"id":4,"name":"Milepost","value":"0.0269"},{"id":17,"name":"Train ID","value":"226-21"},{"id":16,"name":"Locomotive ID","value":"4011"},{"id":130,"name":"Impact","value":""},{"id":150,"name":"Time of Event (Mountain Time)","value":"21:33:47"},{"id":151,"name":"Denver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si="122"/>
        <v>start /low /b %USERPROFILE%\Documents\GitHub\eaglep3\Utilities\DownloadLogsFromS3.py --loco 4011 --day 2017-12-21</v>
      </c>
      <c r="AN142" s="240" t="str">
        <f t="shared" si="12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si="124"/>
        <v>https://d0f6bd738d7f1b3e5a7ca70fe4ff75f0.us-east-1.aws.found.io/app/kibana#/discover/Steve-Slow-Train-Analysis-(2080s-and-2083s)?_g=(refreshInterval:(display:Off,pause:!f,section:0,value:0),time:(from:'2017-12-21T19:10:41-0700',mode:absolute,to:'2017-12-21T22:33:47-0700'))&amp;_a=(columns:!('Message%20ID',Summary),filters:!(),index:'emp_*',interval:auto,query:(query_string:(analyze_wildcard:!t,query:'%22rtdc.l.rtdc.4011%22')),sort:!(Time.ISO8601,asc))</v>
      </c>
    </row>
    <row r="143" spans="1:91" s="20" customFormat="1" x14ac:dyDescent="0.25">
      <c r="A143" s="228" t="s">
        <v>866</v>
      </c>
      <c r="B143" s="224">
        <v>4054</v>
      </c>
      <c r="C143" s="226" t="s">
        <v>192</v>
      </c>
      <c r="D143" s="226" t="s">
        <v>992</v>
      </c>
      <c r="E143" s="225">
        <v>43090.846539351849</v>
      </c>
      <c r="F143" s="225">
        <v>43090.854363425926</v>
      </c>
      <c r="G143" s="224">
        <v>65</v>
      </c>
      <c r="H143" s="226" t="s">
        <v>614</v>
      </c>
      <c r="I143" s="225">
        <v>43090.879189814812</v>
      </c>
      <c r="J143" s="224">
        <v>0</v>
      </c>
      <c r="K143" s="236" t="str">
        <f t="shared" ref="K143:K174" si="127">IF(ISEVEN(B143),(B143-1)&amp;"/"&amp;B143,B143&amp;"/"&amp;(B143+1))</f>
        <v>4053/4054</v>
      </c>
      <c r="L143" s="244" t="str">
        <f>VLOOKUP(A143,'Trips&amp;Operators'!$C$1:$G$99911,5,FALSE)</f>
        <v>NICHOLSON WESLEY</v>
      </c>
      <c r="M143" s="223">
        <f t="shared" ref="M143:M174" si="128">I143-F143</f>
        <v>2.4826388886140194E-2</v>
      </c>
      <c r="N143" s="224">
        <f>24*60*SUM($M143:$M143)</f>
        <v>35.749999996041879</v>
      </c>
      <c r="O143" s="224"/>
      <c r="P143" s="224"/>
      <c r="Q143" s="227"/>
      <c r="R143" s="241"/>
      <c r="S143" s="248">
        <f>1/IF(AG143="EC",12,1)*SUM(U143:U143)</f>
        <v>1</v>
      </c>
      <c r="T143" s="241" t="str">
        <f t="shared" ref="T143:T174" si="129">IF(ISEVEN(LEFT(AD143,4)),"Southbound","NorthBound")</f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113"/>
        <v>https://d0f6bd738d7f1b3e5a7ca70fe4ff75f0.us-east-1.aws.found.io/app/kibana#/discover/Steve-Slow-Train-Analysis-(2080s-and-2083s)?_g=(refreshInterval:(display:Off,pause:!f,section:0,value:0),time:(from:'2017-12-21T19:19:01-0700',mode:absolute,to:'2017-12-21T22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246" t="str">
        <f>IF(AA143&lt;VLOOKUP(AG143,Variables!$AC$3:$AD$8,2,FALSE),"Y","N")</f>
        <v>N</v>
      </c>
      <c r="X143" s="246">
        <f t="shared" si="114"/>
        <v>1</v>
      </c>
      <c r="Y143" s="246">
        <f t="shared" ref="Y143:Y150" si="130">RIGHT(D143,LEN(D143)-4)/10000</f>
        <v>5.2200000000000003E-2</v>
      </c>
      <c r="Z143" s="246">
        <f t="shared" ref="Z143:Z150" si="131">RIGHT(H143,LEN(H143)-4)/10000</f>
        <v>23.320399999999999</v>
      </c>
      <c r="AA143" s="246">
        <f t="shared" ref="AA143:AA174" si="132">ABS(Z143-Y143)</f>
        <v>23.2682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ref="AD143:AD174" si="133">VALUE(LEFT(A143,LEN(A143)-3))</f>
        <v>227</v>
      </c>
      <c r="AE143" s="234" t="str">
        <f t="shared" si="11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43" s="233" t="str">
        <f t="shared" si="118"/>
        <v>"C:\Program Files (x86)\AstroGrep\AstroGrep.exe" /e /r /s /spath="%USERPROFILE%\AppData\Local\Temp\OnboardLogs" /stypes="app*4054*201712220*" /stext=" 04:.+?(?&gt;(PRM\|1\|D)|(KPR)|(KDP)|(train st[a-z]+ moving)|(SYSTEM_STATE:s[a-z]+ state changed)|(Enforcement Action)|(\[TIMEOUT)|(parse_ebi_status: Penalty)|(\|GPPS))"</v>
      </c>
      <c r="AG143" s="243" t="str">
        <f t="shared" ref="AG143:AG174" si="134">DetSubdiv(A143)</f>
        <v>EC</v>
      </c>
      <c r="AH143" s="235" t="str">
        <f t="shared" si="50"/>
        <v>"%USERPROFILE%\Documents\GitHub\eaglep3\Utilities\RefineRTDCRunTimes.py" --tripid 227-21 --locoid 4054 --swversion DE.1.0.9.0 --startMP 204:522 --initTime 2017-12-21T20:19:01 --startdatetime 2017-12-21T20:30:17 --delay 65 --endMP 204:233204 --enddatetime 2017-12-21T21:06:02 --enforcementcount 0 &gt;&gt;%USERPROFILE%\Documents\GitHub\eaglep3-reporting\EC\2017-12-21-refined-times.txt</v>
      </c>
      <c r="AI143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{"issue":{"subject":"","project_id":79,"tracker_id":40,"status_id":1,"priority_id":2,"assigned_to_id":338,"start_date":"2017-12-21","description":"","custom_fields":[{"id":1,"name":"Subdivision","value":"EC"},{"id":4,"name":"Milepost","value":"23.3204"},{"id":17,"name":"Train ID","value":"227-21"},{"id":16,"name":"Locomotive ID","value":"4054"},{"id":130,"name":"Impact","value":""},{"id":150,"name":"Time of Event (Mountain Time)","value":"21:06:02"},{"id":151,"name":"Denver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52"/>
        <v>start /low /b %USERPROFILE%\Documents\GitHub\eaglep3\Utilities\DownloadLogsFromS3.py --loco 4054 --day 2017-12-21</v>
      </c>
      <c r="AN143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54"/>
        <v>https://d0f6bd738d7f1b3e5a7ca70fe4ff75f0.us-east-1.aws.found.io/app/kibana#/discover/Steve-Slow-Train-Analysis-(2080s-and-2083s)?_g=(refreshInterval:(display:Off,pause:!f,section:0,value:0),time:(from:'2017-12-21T19:19:01-0700',mode:absolute,to:'2017-12-21T22:06:02-0700'))&amp;_a=(columns:!('Message%20ID',Summary),filters:!(),index:'emp_*',interval:auto,query:(query_string:(analyze_wildcard:!t,query:'%22rtdc.l.rtdc.4054%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871</v>
      </c>
      <c r="B144" s="224">
        <v>4053</v>
      </c>
      <c r="C144" s="226" t="s">
        <v>192</v>
      </c>
      <c r="D144" s="226" t="s">
        <v>993</v>
      </c>
      <c r="E144" s="225">
        <v>43090.883229166669</v>
      </c>
      <c r="F144" s="225">
        <v>43090.894282407404</v>
      </c>
      <c r="G144" s="224">
        <v>63</v>
      </c>
      <c r="H144" s="226" t="s">
        <v>633</v>
      </c>
      <c r="I144" s="225">
        <v>43090.921967592592</v>
      </c>
      <c r="J144" s="224">
        <v>0</v>
      </c>
      <c r="K144" s="236" t="str">
        <f t="shared" si="127"/>
        <v>4053/4054</v>
      </c>
      <c r="L144" s="244" t="str">
        <f>VLOOKUP(A144,'Trips&amp;Operators'!$C$1:$G$99911,5,FALSE)</f>
        <v>NICHOLSON WESLEY</v>
      </c>
      <c r="M144" s="223">
        <f t="shared" si="128"/>
        <v>2.768518518860219E-2</v>
      </c>
      <c r="N144" s="224">
        <f>24*60*SUM($M144:$M144)</f>
        <v>39.866666671587154</v>
      </c>
      <c r="O144" s="224"/>
      <c r="P144" s="224"/>
      <c r="Q144" s="227"/>
      <c r="R144" s="241"/>
      <c r="S144" s="248">
        <f>1/IF(AG144="EC",12,1)*SUM(U144:U144)</f>
        <v>1</v>
      </c>
      <c r="T144" s="241" t="str">
        <f t="shared" si="129"/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113"/>
        <v>https://d0f6bd738d7f1b3e5a7ca70fe4ff75f0.us-east-1.aws.found.io/app/kibana#/discover/Steve-Slow-Train-Analysis-(2080s-and-2083s)?_g=(refreshInterval:(display:Off,pause:!f,section:0,value:0),time:(from:'2017-12-21T20:11:51-0700',mode:absolute,to:'2017-12-21T23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6" t="str">
        <f>IF(AA144&lt;VLOOKUP(AG144,Variables!$AC$3:$AD$8,2,FALSE),"Y","N")</f>
        <v>N</v>
      </c>
      <c r="X144" s="246">
        <f t="shared" si="114"/>
        <v>1</v>
      </c>
      <c r="Y144" s="246">
        <f t="shared" si="130"/>
        <v>23.288699999999999</v>
      </c>
      <c r="Z144" s="246">
        <f t="shared" si="131"/>
        <v>2.5100000000000001E-2</v>
      </c>
      <c r="AA144" s="246">
        <f t="shared" si="132"/>
        <v>23.2636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133"/>
        <v>228</v>
      </c>
      <c r="AE144" s="234" t="str">
        <f t="shared" si="11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144" s="233" t="str">
        <f t="shared" si="118"/>
        <v>"C:\Program Files (x86)\AstroGrep\AstroGrep.exe" /e /r /s /spath="%USERPROFILE%\AppData\Local\Temp\OnboardLogs" /stypes="app*4053*201712220*" /stext=" 05:.+?(?&gt;(PRM\|1\|D)|(KPR)|(KDP)|(train st[a-z]+ moving)|(SYSTEM_STATE:s[a-z]+ state changed)|(Enforcement Action)|(\[TIMEOUT)|(parse_ebi_status: Penalty)|(\|GPPS))"</v>
      </c>
      <c r="AG144" s="243" t="str">
        <f t="shared" si="134"/>
        <v>EC</v>
      </c>
      <c r="AH144" s="235" t="str">
        <f t="shared" si="50"/>
        <v>"%USERPROFILE%\Documents\GitHub\eaglep3\Utilities\RefineRTDCRunTimes.py" --tripid 228-21 --locoid 4053 --swversion DE.1.0.9.0 --startMP 204:232887 --initTime 2017-12-21T21:11:51 --startdatetime 2017-12-21T21:27:46 --delay 63 --endMP 204:251 --enddatetime 2017-12-21T22:07:38 --enforcementcount 0 &gt;&gt;%USERPROFILE%\Documents\GitHub\eaglep3-reporting\EC\2017-12-21-refined-times.txt</v>
      </c>
      <c r="AI144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{"issue":{"subject":"","project_id":79,"tracker_id":40,"status_id":1,"priority_id":2,"assigned_to_id":338,"start_date":"2017-12-21","description":"","custom_fields":[{"id":1,"name":"Subdivision","value":"EC"},{"id":4,"name":"Milepost","value":"0.0251"},{"id":17,"name":"Train ID","value":"228-21"},{"id":16,"name":"Locomotive ID","value":"4053"},{"id":130,"name":"Impact","value":""},{"id":150,"name":"Time of Event (Mountain Time)","value":"22:07:38"},{"id":151,"name":"Denver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52"/>
        <v>start /low /b %USERPROFILE%\Documents\GitHub\eaglep3\Utilities\DownloadLogsFromS3.py --loco 4053 --day 2017-12-21</v>
      </c>
      <c r="AN144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54"/>
        <v>https://d0f6bd738d7f1b3e5a7ca70fe4ff75f0.us-east-1.aws.found.io/app/kibana#/discover/Steve-Slow-Train-Analysis-(2080s-and-2083s)?_g=(refreshInterval:(display:Off,pause:!f,section:0,value:0),time:(from:'2017-12-21T20:11:51-0700',mode:absolute,to:'2017-12-21T23:07:38-0700'))&amp;_a=(columns:!('Message%20ID',Summary),filters:!(),index:'emp_*',interval:auto,query:(query_string:(analyze_wildcard:!t,query:'%22rtdc.l.rtdc.4053%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8" t="s">
        <v>868</v>
      </c>
      <c r="B145" s="224">
        <v>4034</v>
      </c>
      <c r="C145" s="226" t="s">
        <v>192</v>
      </c>
      <c r="D145" s="226" t="s">
        <v>605</v>
      </c>
      <c r="E145" s="225">
        <v>43090.871655092589</v>
      </c>
      <c r="F145" s="225">
        <v>43090.875231481485</v>
      </c>
      <c r="G145" s="224">
        <v>65</v>
      </c>
      <c r="H145" s="226" t="s">
        <v>994</v>
      </c>
      <c r="I145" s="225">
        <v>43090.900312500002</v>
      </c>
      <c r="J145" s="224">
        <v>0</v>
      </c>
      <c r="K145" s="236" t="str">
        <f t="shared" si="127"/>
        <v>4033/4034</v>
      </c>
      <c r="L145" s="244" t="str">
        <f>VLOOKUP(A145,'Trips&amp;Operators'!$C$1:$G$99911,5,FALSE)</f>
        <v>ANDERS STEVEN</v>
      </c>
      <c r="M145" s="223">
        <f t="shared" si="128"/>
        <v>2.5081018517084885E-2</v>
      </c>
      <c r="N145" s="224">
        <f>24*60*SUM($M145:$M145)</f>
        <v>36.116666664602235</v>
      </c>
      <c r="O145" s="224"/>
      <c r="P145" s="224"/>
      <c r="Q145" s="227"/>
      <c r="R145" s="241"/>
      <c r="S145" s="248">
        <f>1/IF(AG145="EC",12,1)*SUM(U145:U145)</f>
        <v>1</v>
      </c>
      <c r="T145" s="241" t="str">
        <f t="shared" si="129"/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113"/>
        <v>https://d0f6bd738d7f1b3e5a7ca70fe4ff75f0.us-east-1.aws.found.io/app/kibana#/discover/Steve-Slow-Train-Analysis-(2080s-and-2083s)?_g=(refreshInterval:(display:Off,pause:!f,section:0,value:0),time:(from:'2017-12-21T19:55:11-0700',mode:absolute,to:'2017-12-21T22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5" s="246" t="str">
        <f>IF(AA145&lt;VLOOKUP(AG145,Variables!$AC$3:$AD$8,2,FALSE),"Y","N")</f>
        <v>N</v>
      </c>
      <c r="X145" s="246">
        <f>VALUE(LEFT(AD145,4))-VALUE(LEFT(AD144,4))</f>
        <v>1</v>
      </c>
      <c r="Y145" s="246">
        <f t="shared" si="130"/>
        <v>5.4399999999999997E-2</v>
      </c>
      <c r="Z145" s="246">
        <f t="shared" si="131"/>
        <v>23.3245</v>
      </c>
      <c r="AA145" s="246">
        <f t="shared" si="132"/>
        <v>23.270099999999999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133"/>
        <v>229</v>
      </c>
      <c r="AE145" s="234" t="str">
        <f t="shared" si="11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45" s="233" t="str">
        <f t="shared" si="118"/>
        <v>"C:\Program Files (x86)\AstroGrep\AstroGrep.exe" /e /r /s /spath="%USERPROFILE%\AppData\Local\Temp\OnboardLogs" /stypes="app*4034*201712220*" /stext=" 04:.+?(?&gt;(PRM\|1\|D)|(KPR)|(KDP)|(train st[a-z]+ moving)|(SYSTEM_STATE:s[a-z]+ state changed)|(Enforcement Action)|(\[TIMEOUT)|(parse_ebi_status: Penalty)|(\|GPPS))"</v>
      </c>
      <c r="AG145" s="243" t="str">
        <f t="shared" si="134"/>
        <v>EC</v>
      </c>
      <c r="AH145" s="235" t="str">
        <f t="shared" si="50"/>
        <v>"%USERPROFILE%\Documents\GitHub\eaglep3\Utilities\RefineRTDCRunTimes.py" --tripid 229-21 --locoid 4034 --swversion DE.1.0.9.0 --startMP 204:544 --initTime 2017-12-21T20:55:11 --startdatetime 2017-12-21T21:00:20 --delay 65 --endMP 204:233245 --enddatetime 2017-12-21T21:36:27 --enforcementcount 0 &gt;&gt;%USERPROFILE%\Documents\GitHub\eaglep3-reporting\EC\2017-12-21-refined-times.txt</v>
      </c>
      <c r="AI145" s="237" t="str">
        <f t="shared" si="51"/>
        <v>echo {"issue":{"subject":"","project_id":79,"tracker_id":40,"status_id":1,"priority_id":2,"assigned_to_id":338,"start_date":"2017-12-21","description":"","custom_fields":[{"id":1,"name":"Subdivision","value":"EC"},{"id":4,"name":"Milepost","value":"23.3245"},{"id":17,"name":"Train ID","value":"229-21"},{"id":16,"name":"Locomotive ID","value":"4034"},{"id":130,"name":"Impact","value":""},{"id":150,"name":"Time of Event (Mountain Time)","value":"21:36:27"},{"id":151,"name":"Denver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si="52"/>
        <v>start /low /b %USERPROFILE%\Documents\GitHub\eaglep3\Utilities\DownloadLogsFromS3.py --loco 4034 --day 2017-12-21</v>
      </c>
      <c r="AN145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54"/>
        <v>https://d0f6bd738d7f1b3e5a7ca70fe4ff75f0.us-east-1.aws.found.io/app/kibana#/discover/Steve-Slow-Train-Analysis-(2080s-and-2083s)?_g=(refreshInterval:(display:Off,pause:!f,section:0,value:0),time:(from:'2017-12-21T19:55:11-0700',mode:absolute,to:'2017-12-21T22:36:27-0700'))&amp;_a=(columns:!('Message%20ID',Summary),filters:!(),index:'emp_*',interval:auto,query:(query_string:(analyze_wildcard:!t,query:'%22rtdc.l.rtdc.4034%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8" t="s">
        <v>872</v>
      </c>
      <c r="B146" s="224">
        <v>4033</v>
      </c>
      <c r="C146" s="226" t="s">
        <v>192</v>
      </c>
      <c r="D146" s="226" t="s">
        <v>522</v>
      </c>
      <c r="E146" s="225">
        <v>43090.903124999997</v>
      </c>
      <c r="F146" s="225">
        <v>43090.998831018522</v>
      </c>
      <c r="G146" s="224">
        <v>52</v>
      </c>
      <c r="H146" s="226" t="s">
        <v>995</v>
      </c>
      <c r="I146" s="225">
        <v>43091.025879629633</v>
      </c>
      <c r="J146" s="224">
        <v>0</v>
      </c>
      <c r="K146" s="236" t="str">
        <f t="shared" si="127"/>
        <v>4033/4034</v>
      </c>
      <c r="L146" s="244" t="str">
        <f>VLOOKUP(A146,'Trips&amp;Operators'!$C$1:$G$99911,5,FALSE)</f>
        <v>ANDERS STEVEN</v>
      </c>
      <c r="M146" s="223">
        <f t="shared" si="128"/>
        <v>2.7048611111240461E-2</v>
      </c>
      <c r="N146" s="224">
        <f>24*60*SUM($M146:$M146)</f>
        <v>38.950000000186265</v>
      </c>
      <c r="O146" s="224"/>
      <c r="P146" s="224"/>
      <c r="Q146" s="227"/>
      <c r="R146" s="241"/>
      <c r="S146" s="248">
        <f>1/IF(AG146="EC",12,1)*SUM(U146:U146)</f>
        <v>1</v>
      </c>
      <c r="T146" s="241" t="str">
        <f t="shared" si="129"/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113"/>
        <v>https://d0f6bd738d7f1b3e5a7ca70fe4ff75f0.us-east-1.aws.found.io/app/kibana#/discover/Steve-Slow-Train-Analysis-(2080s-and-2083s)?_g=(refreshInterval:(display:Off,pause:!f,section:0,value:0),time:(from:'2017-12-21T20:40:30-0700',mode:absolute,to:'2017-12-22T01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6" s="246" t="str">
        <f>IF(AA146&lt;VLOOKUP(AG146,Variables!$AC$3:$AD$8,2,FALSE),"Y","N")</f>
        <v>N</v>
      </c>
      <c r="X146" s="246">
        <f t="shared" ref="X146:X150" si="135">VALUE(LEFT(AD146,4))-VALUE(LEFT(AD145,4))</f>
        <v>1</v>
      </c>
      <c r="Y146" s="246">
        <f t="shared" si="130"/>
        <v>23.293399999999998</v>
      </c>
      <c r="Z146" s="246">
        <f t="shared" si="131"/>
        <v>2.47E-2</v>
      </c>
      <c r="AA146" s="246">
        <f t="shared" si="132"/>
        <v>23.268699999999999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133"/>
        <v>230</v>
      </c>
      <c r="AE146" s="234" t="str">
        <f t="shared" si="11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46" s="233" t="str">
        <f t="shared" si="118"/>
        <v>"C:\Program Files (x86)\AstroGrep\AstroGrep.exe" /e /r /s /spath="%USERPROFILE%\AppData\Local\Temp\OnboardLogs" /stypes="app*4033*201712220*" /stext=" 07:.+?(?&gt;(PRM\|1\|D)|(KPR)|(KDP)|(train st[a-z]+ moving)|(SYSTEM_STATE:s[a-z]+ state changed)|(Enforcement Action)|(\[TIMEOUT)|(parse_ebi_status: Penalty)|(\|GPPS))"</v>
      </c>
      <c r="AG146" s="243" t="str">
        <f t="shared" si="134"/>
        <v>EC</v>
      </c>
      <c r="AH146" s="235" t="str">
        <f t="shared" si="50"/>
        <v>"%USERPROFILE%\Documents\GitHub\eaglep3\Utilities\RefineRTDCRunTimes.py" --tripid 230-21 --locoid 4033 --swversion DE.1.0.9.0 --startMP 204:232934 --initTime 2017-12-21T21:40:30 --startdatetime 2017-12-21T23:58:19 --delay 52 --endMP 204:247 --enddatetime 2017-12-22T00:37:16 --enforcementcount 0 &gt;&gt;%USERPROFILE%\Documents\GitHub\eaglep3-reporting\EC\2017-12-21-refined-times.txt</v>
      </c>
      <c r="AI146" s="237" t="str">
        <f t="shared" si="51"/>
        <v>echo {"issue":{"subject":"","project_id":79,"tracker_id":40,"status_id":1,"priority_id":2,"assigned_to_id":338,"start_date":"2017-12-22","description":"","custom_fields":[{"id":1,"name":"Subdivision","value":"EC"},{"id":4,"name":"Milepost","value":"0.0247"},{"id":17,"name":"Train ID","value":"230-21"},{"id":16,"name":"Locomotive ID","value":"4033"},{"id":130,"name":"Impact","value":""},{"id":150,"name":"Time of Event (Mountain Time)","value":"00:37:16"},{"id":151,"name":"Denver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2"/>
      <c r="AK146" s="230"/>
      <c r="AL146" s="230"/>
      <c r="AM146" s="239" t="str">
        <f t="shared" si="52"/>
        <v>start /low /b %USERPROFILE%\Documents\GitHub\eaglep3\Utilities\DownloadLogsFromS3.py --loco 4033 --day 2017-12-21</v>
      </c>
      <c r="AN146" s="240" t="str">
        <f t="shared" si="53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54"/>
        <v>https://d0f6bd738d7f1b3e5a7ca70fe4ff75f0.us-east-1.aws.found.io/app/kibana#/discover/Steve-Slow-Train-Analysis-(2080s-and-2083s)?_g=(refreshInterval:(display:Off,pause:!f,section:0,value:0),time:(from:'2017-12-21T20:40:30-0700',mode:absolute,to:'2017-12-22T01:37:16-0700'))&amp;_a=(columns:!('Message%20ID',Summary),filters:!(),index:'emp_*',interval:auto,query:(query_string:(analyze_wildcard:!t,query:'%22rtdc.l.rtdc.4033%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870</v>
      </c>
      <c r="B147" s="224">
        <v>4064</v>
      </c>
      <c r="C147" s="226" t="s">
        <v>192</v>
      </c>
      <c r="D147" s="226" t="s">
        <v>983</v>
      </c>
      <c r="E147" s="225">
        <v>43090.881840277776</v>
      </c>
      <c r="F147" s="225">
        <v>43090.901770833334</v>
      </c>
      <c r="G147" s="224">
        <v>50</v>
      </c>
      <c r="H147" s="226" t="s">
        <v>996</v>
      </c>
      <c r="I147" s="225">
        <v>43090.923032407409</v>
      </c>
      <c r="J147" s="224">
        <v>0</v>
      </c>
      <c r="K147" s="236" t="str">
        <f t="shared" si="127"/>
        <v>4063/4064</v>
      </c>
      <c r="L147" s="244" t="str">
        <f>VLOOKUP(A147,'Trips&amp;Operators'!$C$1:$G$99911,5,FALSE)</f>
        <v>WEST BRYAN</v>
      </c>
      <c r="M147" s="223">
        <f t="shared" si="128"/>
        <v>2.1261574074742384E-2</v>
      </c>
      <c r="N147" s="224"/>
      <c r="O147" s="224"/>
      <c r="P147" s="224"/>
      <c r="Q147" s="227"/>
      <c r="R147" s="241"/>
      <c r="S147" s="248"/>
      <c r="T147" s="241" t="str">
        <f t="shared" si="129"/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247" t="str">
        <f t="shared" si="113"/>
        <v>https://d0f6bd738d7f1b3e5a7ca70fe4ff75f0.us-east-1.aws.found.io/app/kibana#/discover/Steve-Slow-Train-Analysis-(2080s-and-2083s)?_g=(refreshInterval:(display:Off,pause:!f,section:0,value:0),time:(from:'2017-12-21T20:09:51-0700',mode:absolute,to:'2017-12-21T23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246" t="str">
        <f>IF(AA147&lt;VLOOKUP(AG147,Variables!$AC$3:$AD$8,2,FALSE),"Y","N")</f>
        <v>Y</v>
      </c>
      <c r="X147" s="246">
        <f t="shared" si="135"/>
        <v>1</v>
      </c>
      <c r="Y147" s="246">
        <f t="shared" si="130"/>
        <v>5.7700000000000001E-2</v>
      </c>
      <c r="Z147" s="246">
        <f t="shared" si="131"/>
        <v>0.104</v>
      </c>
      <c r="AA147" s="246">
        <f t="shared" si="132"/>
        <v>4.6299999999999994E-2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133"/>
        <v>231</v>
      </c>
      <c r="AE147" s="234" t="str">
        <f t="shared" si="11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47" s="233" t="str">
        <f t="shared" si="118"/>
        <v>"C:\Program Files (x86)\AstroGrep\AstroGrep.exe" /e /r /s /spath="%USERPROFILE%\AppData\Local\Temp\OnboardLogs" /stypes="app*4064*201712220*" /stext=" 05:.+?(?&gt;(PRM\|1\|D)|(KPR)|(KDP)|(train st[a-z]+ moving)|(SYSTEM_STATE:s[a-z]+ state changed)|(Enforcement Action)|(\[TIMEOUT)|(parse_ebi_status: Penalty)|(\|GPPS))"</v>
      </c>
      <c r="AG147" s="243" t="str">
        <f t="shared" si="134"/>
        <v>EC</v>
      </c>
      <c r="AH147" s="235" t="str">
        <f t="shared" ref="AH147:AH214" si="136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231-21 --locoid 4064 --swversion DE.1.0.9.0 --startMP 204:577 --initTime 2017-12-21T21:09:51 --startdatetime 2017-12-21T21:38:33 --delay 50 --endMP 204:1040 --enddatetime 2017-12-21T22:09:10 --enforcementcount 0 &gt;&gt;%USERPROFILE%\Documents\GitHub\eaglep3-reporting\EC\2017-12-21-refined-times.txt</v>
      </c>
      <c r="AI147" s="237" t="str">
        <f t="shared" ref="AI147:AI214" si="137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{"issue":{"subject":"","project_id":79,"tracker_id":40,"status_id":1,"priority_id":2,"assigned_to_id":338,"start_date":"2017-12-21","description":"","custom_fields":[{"id":1,"name":"Subdivision","value":"EC"},{"id":4,"name":"Milepost","value":"0.104"},{"id":17,"name":"Train ID","value":"231-21"},{"id":16,"name":"Locomotive ID","value":"4064"},{"id":130,"name":"Impact","value":""},{"id":150,"name":"Time of Event (Mountain Time)","value":"22:09:10"},{"id":151,"name":"Denver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ref="AM147:AM214" si="138">"start /low /b "&amp;dls3logs&amp;" --loco "&amp;B147&amp;" --day "&amp;TEXT(F147,"YYYY-MM-DD")</f>
        <v>start /low /b %USERPROFILE%\Documents\GitHub\eaglep3\Utilities\DownloadLogsFromS3.py --loco 4064 --day 2017-12-21</v>
      </c>
      <c r="AN147" s="240" t="str">
        <f t="shared" ref="AN147:AN214" si="139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ref="AO147:AO214" si="140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-21T20:09:51-0700',mode:absolute,to:'2017-12-21T23:09:10-0700'))&amp;_a=(columns:!('Message%20ID',Summary),filters:!(),index:'emp_*',interval:auto,query:(query_string:(analyze_wildcard:!t,query:'%22rtdc.l.rtdc.4064%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870</v>
      </c>
      <c r="B148" s="224">
        <v>4064</v>
      </c>
      <c r="C148" s="226" t="s">
        <v>192</v>
      </c>
      <c r="D148" s="226" t="s">
        <v>997</v>
      </c>
      <c r="E148" s="225">
        <v>43090.900671296295</v>
      </c>
      <c r="F148" s="225">
        <v>43090.901770833334</v>
      </c>
      <c r="G148" s="224">
        <v>54</v>
      </c>
      <c r="H148" s="226" t="s">
        <v>628</v>
      </c>
      <c r="I148" s="225">
        <v>43090.923032407409</v>
      </c>
      <c r="J148" s="224">
        <v>0</v>
      </c>
      <c r="K148" s="236" t="str">
        <f t="shared" si="127"/>
        <v>4063/4064</v>
      </c>
      <c r="L148" s="244" t="str">
        <f>VLOOKUP(A148,'Trips&amp;Operators'!$C$1:$G$99911,5,FALSE)</f>
        <v>WEST BRYAN</v>
      </c>
      <c r="M148" s="223">
        <f t="shared" si="128"/>
        <v>2.1261574074742384E-2</v>
      </c>
      <c r="N148" s="224"/>
      <c r="O148" s="224"/>
      <c r="P148" s="224">
        <f>24*60*SUM($M148:$M148)</f>
        <v>30.616666667629033</v>
      </c>
      <c r="Q148" s="227"/>
      <c r="R148" s="241" t="s">
        <v>1110</v>
      </c>
      <c r="S148" s="248">
        <f>1/IF(AG148="EC",12,1)*SUM(U148:U148)</f>
        <v>1</v>
      </c>
      <c r="T148" s="241" t="str">
        <f t="shared" si="129"/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113"/>
        <v>https://d0f6bd738d7f1b3e5a7ca70fe4ff75f0.us-east-1.aws.found.io/app/kibana#/discover/Steve-Slow-Train-Analysis-(2080s-and-2083s)?_g=(refreshInterval:(display:Off,pause:!f,section:0,value:0),time:(from:'2017-12-21T20:36:58-0700',mode:absolute,to:'2017-12-21T23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8" s="246" t="str">
        <f>IF(AA148&lt;VLOOKUP(AG148,Variables!$AC$3:$AD$8,2,FALSE),"Y","N")</f>
        <v>Y</v>
      </c>
      <c r="X148" s="246">
        <f t="shared" si="135"/>
        <v>0</v>
      </c>
      <c r="Y148" s="246">
        <f t="shared" si="130"/>
        <v>1.9123000000000001</v>
      </c>
      <c r="Z148" s="246">
        <f t="shared" si="131"/>
        <v>23.3217</v>
      </c>
      <c r="AA148" s="246">
        <f t="shared" si="132"/>
        <v>21.409399999999998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133"/>
        <v>231</v>
      </c>
      <c r="AE148" s="234" t="str">
        <f t="shared" si="11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48" s="233" t="str">
        <f t="shared" si="118"/>
        <v>"C:\Program Files (x86)\AstroGrep\AstroGrep.exe" /e /r /s /spath="%USERPROFILE%\AppData\Local\Temp\OnboardLogs" /stypes="app*4064*201712220*" /stext=" 05:.+?(?&gt;(PRM\|1\|D)|(KPR)|(KDP)|(train st[a-z]+ moving)|(SYSTEM_STATE:s[a-z]+ state changed)|(Enforcement Action)|(\[TIMEOUT)|(parse_ebi_status: Penalty)|(\|GPPS))"</v>
      </c>
      <c r="AG148" s="243" t="str">
        <f t="shared" si="134"/>
        <v>EC</v>
      </c>
      <c r="AH148" s="235" t="str">
        <f t="shared" si="136"/>
        <v>"%USERPROFILE%\Documents\GitHub\eaglep3\Utilities\RefineRTDCRunTimes.py" --tripid 231-21 --locoid 4064 --swversion DE.1.0.9.0 --startMP 204:19123 --initTime 2017-12-21T21:36:58 --startdatetime 2017-12-21T21:38:33 --delay 54 --endMP 204:233217 --enddatetime 2017-12-21T22:09:10 --enforcementcount 0 &gt;&gt;%USERPROFILE%\Documents\GitHub\eaglep3-reporting\EC\2017-12-21-refined-times.txt</v>
      </c>
      <c r="AI148" s="237" t="str">
        <f t="shared" si="137"/>
        <v>echo {"issue":{"subject":"Selected wrong track","project_id":79,"tracker_id":40,"status_id":1,"priority_id":2,"assigned_to_id":338,"start_date":"2017-12-21","description":"","custom_fields":[{"id":1,"name":"Subdivision","value":"EC"},{"id":4,"name":"Milepost","value":"23.3217"},{"id":17,"name":"Train ID","value":"231-21"},{"id":16,"name":"Locomotive ID","value":"4064"},{"id":130,"name":"Impact","value":""},{"id":150,"name":"Time of Event (Mountain Time)","value":"22:09:10"},{"id":151,"name":"Denver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138"/>
        <v>start /low /b %USERPROFILE%\Documents\GitHub\eaglep3\Utilities\DownloadLogsFromS3.py --loco 4064 --day 2017-12-21</v>
      </c>
      <c r="AN148" s="240" t="str">
        <f t="shared" si="139"/>
        <v>echo {"issue":{"subject":"Selected wrong track","project_id":30,"tracker_id":4,"status_id":1,"priority_id":1,"assigned_to_id":10,"start_date":"2017-12-22","description":"","custom_fields":[{"id":30,"name":"Category","value":"Issue"},{"id":3,"name":"Functional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140"/>
        <v>https://d0f6bd738d7f1b3e5a7ca70fe4ff75f0.us-east-1.aws.found.io/app/kibana#/discover/Steve-Slow-Train-Analysis-(2080s-and-2083s)?_g=(refreshInterval:(display:Off,pause:!f,section:0,value:0),time:(from:'2017-12-21T20:36:58-0700',mode:absolute,to:'2017-12-21T23:09:10-0700'))&amp;_a=(columns:!('Message%20ID',Summary),filters:!(),index:'emp_*',interval:auto,query:(query_string:(analyze_wildcard:!t,query:'%22rtdc.l.rtdc.4064%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875</v>
      </c>
      <c r="B149" s="224">
        <v>4063</v>
      </c>
      <c r="C149" s="226" t="s">
        <v>192</v>
      </c>
      <c r="D149" s="226" t="s">
        <v>977</v>
      </c>
      <c r="E149" s="225">
        <v>43090.934074074074</v>
      </c>
      <c r="F149" s="225">
        <v>43090.935694444444</v>
      </c>
      <c r="G149" s="224">
        <v>63</v>
      </c>
      <c r="H149" s="226" t="s">
        <v>543</v>
      </c>
      <c r="I149" s="225">
        <v>43090.962245370371</v>
      </c>
      <c r="J149" s="224">
        <v>0</v>
      </c>
      <c r="K149" s="236" t="str">
        <f t="shared" si="127"/>
        <v>4063/4064</v>
      </c>
      <c r="L149" s="244" t="str">
        <f>VLOOKUP(A149,'Trips&amp;Operators'!$C$1:$G$99911,5,FALSE)</f>
        <v>WEST BRYAN</v>
      </c>
      <c r="M149" s="223">
        <f t="shared" si="128"/>
        <v>2.6550925926130731E-2</v>
      </c>
      <c r="N149" s="224">
        <f>24*60*SUM($M149:$M149)</f>
        <v>38.233333333628252</v>
      </c>
      <c r="O149" s="224"/>
      <c r="P149" s="224"/>
      <c r="Q149" s="227"/>
      <c r="R149" s="241"/>
      <c r="S149" s="248">
        <f>1/IF(AG149="EC",12,1)*SUM(U149:U149)</f>
        <v>1</v>
      </c>
      <c r="T149" s="241" t="str">
        <f t="shared" si="129"/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113"/>
        <v>https://d0f6bd738d7f1b3e5a7ca70fe4ff75f0.us-east-1.aws.found.io/app/kibana#/discover/Steve-Slow-Train-Analysis-(2080s-and-2083s)?_g=(refreshInterval:(display:Off,pause:!f,section:0,value:0),time:(from:'2017-12-21T21:25:04-0700',mode:absolute,to:'2017-12-22T00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9" s="246" t="str">
        <f>IF(AA149&lt;VLOOKUP(AG149,Variables!$AC$3:$AD$8,2,FALSE),"Y","N")</f>
        <v>N</v>
      </c>
      <c r="X149" s="246">
        <f t="shared" si="135"/>
        <v>1</v>
      </c>
      <c r="Y149" s="246">
        <f t="shared" si="130"/>
        <v>23.2898</v>
      </c>
      <c r="Z149" s="246">
        <f t="shared" si="131"/>
        <v>2.1600000000000001E-2</v>
      </c>
      <c r="AA149" s="246">
        <f t="shared" si="132"/>
        <v>23.2682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133"/>
        <v>232</v>
      </c>
      <c r="AE149" s="234" t="str">
        <f t="shared" si="117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149" s="233" t="str">
        <f t="shared" si="118"/>
        <v>"C:\Program Files (x86)\AstroGrep\AstroGrep.exe" /e /r /s /spath="%USERPROFILE%\AppData\Local\Temp\OnboardLogs" /stypes="app*4063*201712220*" /stext=" 06:.+?(?&gt;(PRM\|1\|D)|(KPR)|(KDP)|(train st[a-z]+ moving)|(SYSTEM_STATE:s[a-z]+ state changed)|(Enforcement Action)|(\[TIMEOUT)|(parse_ebi_status: Penalty)|(\|GPPS))"</v>
      </c>
      <c r="AG149" s="243" t="str">
        <f t="shared" si="134"/>
        <v>EC</v>
      </c>
      <c r="AH149" s="235" t="str">
        <f t="shared" si="136"/>
        <v>"%USERPROFILE%\Documents\GitHub\eaglep3\Utilities\RefineRTDCRunTimes.py" --tripid 232-21 --locoid 4063 --swversion DE.1.0.9.0 --startMP 204:232898 --initTime 2017-12-21T22:25:04 --startdatetime 2017-12-21T22:27:24 --delay 63 --endMP 204:216 --enddatetime 2017-12-21T23:05:38 --enforcementcount 0 &gt;&gt;%USERPROFILE%\Documents\GitHub\eaglep3-reporting\EC\2017-12-21-refined-times.txt</v>
      </c>
      <c r="AI149" s="237" t="str">
        <f t="shared" si="137"/>
        <v>echo {"issue":{"subject":"","project_id":79,"tracker_id":40,"status_id":1,"priority_id":2,"assigned_to_id":338,"start_date":"2017-12-21","description":"","custom_fields":[{"id":1,"name":"Subdivision","value":"EC"},{"id":4,"name":"Milepost","value":"0.0216"},{"id":17,"name":"Train ID","value":"232-21"},{"id":16,"name":"Locomotive ID","value":"4063"},{"id":130,"name":"Impact","value":""},{"id":150,"name":"Time of Event (Mountain Time)","value":"23:05:38"},{"id":151,"name":"Denver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138"/>
        <v>start /low /b %USERPROFILE%\Documents\GitHub\eaglep3\Utilities\DownloadLogsFromS3.py --loco 4063 --day 2017-12-21</v>
      </c>
      <c r="AN149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140"/>
        <v>https://d0f6bd738d7f1b3e5a7ca70fe4ff75f0.us-east-1.aws.found.io/app/kibana#/discover/Steve-Slow-Train-Analysis-(2080s-and-2083s)?_g=(refreshInterval:(display:Off,pause:!f,section:0,value:0),time:(from:'2017-12-21T21:25:04-0700',mode:absolute,to:'2017-12-22T00:05:38-0700'))&amp;_a=(columns:!('Message%20ID',Summary),filters:!(),index:'emp_*',interval:auto,query:(query_string:(analyze_wildcard:!t,query:'%22rtdc.l.rtdc.4063%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873</v>
      </c>
      <c r="B150" s="224">
        <v>4012</v>
      </c>
      <c r="C150" s="226" t="s">
        <v>192</v>
      </c>
      <c r="D150" s="226" t="s">
        <v>632</v>
      </c>
      <c r="E150" s="225">
        <v>43090.903078703705</v>
      </c>
      <c r="F150" s="225">
        <v>43090.916817129626</v>
      </c>
      <c r="G150" s="224">
        <v>62</v>
      </c>
      <c r="H150" s="226" t="s">
        <v>998</v>
      </c>
      <c r="I150" s="225">
        <v>43090.942974537036</v>
      </c>
      <c r="J150" s="224">
        <v>0</v>
      </c>
      <c r="K150" s="236" t="str">
        <f t="shared" si="127"/>
        <v>4011/4012</v>
      </c>
      <c r="L150" s="244" t="str">
        <f>VLOOKUP(A150,'Trips&amp;Operators'!$C$1:$G$99911,5,FALSE)</f>
        <v>ELBAUM MIKE</v>
      </c>
      <c r="M150" s="223">
        <f t="shared" si="128"/>
        <v>2.6157407410209998E-2</v>
      </c>
      <c r="N150" s="224"/>
      <c r="O150" s="224"/>
      <c r="P150" s="224">
        <f>24*60*SUM($M150:$M150)</f>
        <v>37.666666670702398</v>
      </c>
      <c r="Q150" s="227"/>
      <c r="R150" s="241" t="s">
        <v>1112</v>
      </c>
      <c r="S150" s="248">
        <f>1/IF(AG150="EC",12,1)*SUM(U150:U151)</f>
        <v>1</v>
      </c>
      <c r="T150" s="241" t="str">
        <f t="shared" si="129"/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10</v>
      </c>
      <c r="V150" s="247" t="str">
        <f t="shared" si="113"/>
        <v>https://d0f6bd738d7f1b3e5a7ca70fe4ff75f0.us-east-1.aws.found.io/app/kibana#/discover/Steve-Slow-Train-Analysis-(2080s-and-2083s)?_g=(refreshInterval:(display:Off,pause:!f,section:0,value:0),time:(from:'2017-12-21T20:40:26-0700',mode:absolute,to:'2017-12-21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246" t="str">
        <f>IF(AA150&lt;VLOOKUP(AG150,Variables!$AC$3:$AD$8,2,FALSE),"Y","N")</f>
        <v>Y</v>
      </c>
      <c r="X150" s="246">
        <f t="shared" si="135"/>
        <v>1</v>
      </c>
      <c r="Y150" s="246">
        <f t="shared" si="130"/>
        <v>5.7099999999999998E-2</v>
      </c>
      <c r="Z150" s="246">
        <f t="shared" si="131"/>
        <v>8.2738999999999994</v>
      </c>
      <c r="AA150" s="246">
        <f t="shared" si="132"/>
        <v>8.2167999999999992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133"/>
        <v>233</v>
      </c>
      <c r="AE150" s="234" t="str">
        <f t="shared" si="117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50" s="233" t="str">
        <f t="shared" si="118"/>
        <v>"C:\Program Files (x86)\AstroGrep\AstroGrep.exe" /e /r /s /spath="%USERPROFILE%\AppData\Local\Temp\OnboardLogs" /stypes="app*4012*201712220*" /stext=" 05:.+?(?&gt;(PRM\|1\|D)|(KPR)|(KDP)|(train st[a-z]+ moving)|(SYSTEM_STATE:s[a-z]+ state changed)|(Enforcement Action)|(\[TIMEOUT)|(parse_ebi_status: Penalty)|(\|GPPS))"</v>
      </c>
      <c r="AG150" s="243" t="str">
        <f t="shared" si="134"/>
        <v>EC</v>
      </c>
      <c r="AH150" s="235" t="str">
        <f t="shared" si="136"/>
        <v>"%USERPROFILE%\Documents\GitHub\eaglep3\Utilities\RefineRTDCRunTimes.py" --tripid 233-21 --locoid 4012 --swversion DE.1.0.9.0 --startMP 204:571 --initTime 2017-12-21T21:40:26 --startdatetime 2017-12-21T22:00:13 --delay 62 --endMP 204:82739 --enddatetime 2017-12-21T22:37:53 --enforcementcount 0 &gt;&gt;%USERPROFILE%\Documents\GitHub\eaglep3-reporting\EC\2017-12-21-refined-times.txt</v>
      </c>
      <c r="AI150" s="237" t="str">
        <f t="shared" si="137"/>
        <v>echo {"issue":{"subject":"Wheel slip","project_id":79,"tracker_id":40,"status_id":1,"priority_id":2,"assigned_to_id":338,"start_date":"2017-12-21","description":"","custom_fields":[{"id":1,"name":"Subdivision","value":"EC"},{"id":4,"name":"Milepost","value":"8.2739"},{"id":17,"name":"Train ID","value":"233-21"},{"id":16,"name":"Locomotive ID","value":"4012"},{"id":130,"name":"Impact","value":""},{"id":150,"name":"Time of Event (Mountain Time)","value":"22:37:53"},{"id":151,"name":"Denver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138"/>
        <v>start /low /b %USERPROFILE%\Documents\GitHub\eaglep3\Utilities\DownloadLogsFromS3.py --loco 4012 --day 2017-12-21</v>
      </c>
      <c r="AN150" s="240" t="str">
        <f t="shared" si="139"/>
        <v>echo {"issue":{"subject":"Wheel slip","project_id":30,"tracker_id":4,"status_id":1,"priority_id":1,"assigned_to_id":10,"start_date":"2017-12-22","description":"","custom_fields":[{"id":30,"name":"Category","value":"Issue"},{"id":3,"name":"Functional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140"/>
        <v>https://d0f6bd738d7f1b3e5a7ca70fe4ff75f0.us-east-1.aws.found.io/app/kibana#/discover/Steve-Slow-Train-Analysis-(2080s-and-2083s)?_g=(refreshInterval:(display:Off,pause:!f,section:0,value:0),time:(from:'2017-12-21T20:40:26-0700',mode:absolute,to:'2017-12-21T23:37:53-0700'))&amp;_a=(columns:!('Message%20ID',Summary),filters:!(),index:'emp_*',interval:auto,query:(query_string:(analyze_wildcard:!t,query:'%22rtdc.l.rtdc.4012%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873</v>
      </c>
      <c r="B151" s="224">
        <v>4012</v>
      </c>
      <c r="C151" s="226" t="s">
        <v>192</v>
      </c>
      <c r="D151" s="226" t="s">
        <v>632</v>
      </c>
      <c r="E151" s="225">
        <v>43090.903078703705</v>
      </c>
      <c r="F151" s="225">
        <v>43090.93072916667</v>
      </c>
      <c r="G151" s="224">
        <v>62</v>
      </c>
      <c r="H151" s="226" t="s">
        <v>998</v>
      </c>
      <c r="I151" s="225">
        <v>43090.942974537036</v>
      </c>
      <c r="J151" s="224">
        <v>0</v>
      </c>
      <c r="K151" s="236" t="str">
        <f t="shared" si="127"/>
        <v>4011/4012</v>
      </c>
      <c r="L151" s="244" t="str">
        <f>VLOOKUP(A151,'Trips&amp;Operators'!$C$1:$G$99911,5,FALSE)</f>
        <v>ELBAUM MIKE</v>
      </c>
      <c r="M151" s="223">
        <f t="shared" si="128"/>
        <v>1.2245370366144925E-2</v>
      </c>
      <c r="N151" s="224"/>
      <c r="O151" s="224"/>
      <c r="P151" s="224"/>
      <c r="Q151" s="227"/>
      <c r="R151" s="241"/>
      <c r="S151" s="248"/>
      <c r="T151" s="241" t="str">
        <f t="shared" si="129"/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2</v>
      </c>
      <c r="V151" s="247" t="str">
        <f t="shared" si="113"/>
        <v>https://d0f6bd738d7f1b3e5a7ca70fe4ff75f0.us-east-1.aws.found.io/app/kibana#/discover/Steve-Slow-Train-Analysis-(2080s-and-2083s)?_g=(refreshInterval:(display:Off,pause:!f,section:0,value:0),time:(from:'2017-12-21T20:40:26-0700',mode:absolute,to:'2017-12-21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246" t="str">
        <f>IF(AA151&lt;VLOOKUP(AG151,Variables!$AC$3:$AD$8,2,FALSE),"Y","N")</f>
        <v>Y</v>
      </c>
      <c r="X151" s="246">
        <f t="shared" ref="X151:X152" si="141">VALUE(LEFT(AD151,4))-VALUE(LEFT(AD150,4))</f>
        <v>0</v>
      </c>
      <c r="Y151" s="246">
        <v>8.6</v>
      </c>
      <c r="Z151" s="246">
        <v>23.32</v>
      </c>
      <c r="AA151" s="246">
        <f t="shared" si="132"/>
        <v>14.72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133"/>
        <v>233</v>
      </c>
      <c r="AE151" s="234" t="str">
        <f t="shared" si="117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151" s="233" t="str">
        <f t="shared" si="118"/>
        <v>"C:\Program Files (x86)\AstroGrep\AstroGrep.exe" /e /r /s /spath="%USERPROFILE%\AppData\Local\Temp\OnboardLogs" /stypes="app*4012*201712220*" /stext=" 05:.+?(?&gt;(PRM\|1\|D)|(KPR)|(KDP)|(train st[a-z]+ moving)|(SYSTEM_STATE:s[a-z]+ state changed)|(Enforcement Action)|(\[TIMEOUT)|(parse_ebi_status: Penalty)|(\|GPPS))"</v>
      </c>
      <c r="AG151" s="243" t="str">
        <f t="shared" si="134"/>
        <v>EC</v>
      </c>
      <c r="AH151" s="235" t="str">
        <f t="shared" ref="AH151" si="142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233-21 --locoid 4012 --swversion DE.1.0.9.0 --startMP 204:571 --initTime 2017-12-21T21:40:26 --startdatetime 2017-12-21T22:20:15 --delay 62 --endMP 204:82739 --enddatetime 2017-12-21T22:37:53 --enforcementcount 0 &gt;&gt;%USERPROFILE%\Documents\GitHub\eaglep3-reporting\EC\2017-12-21-refined-times.txt</v>
      </c>
      <c r="AI151" s="237" t="str">
        <f t="shared" ref="AI151" si="143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{"issue":{"subject":"","project_id":79,"tracker_id":40,"status_id":1,"priority_id":2,"assigned_to_id":338,"start_date":"2017-12-21","description":"","custom_fields":[{"id":1,"name":"Subdivision","value":"EC"},{"id":4,"name":"Milepost","value":"23.32"},{"id":17,"name":"Train ID","value":"233-21"},{"id":16,"name":"Locomotive ID","value":"4012"},{"id":130,"name":"Impact","value":""},{"id":150,"name":"Time of Event (Mountain Time)","value":"22:37:53"},{"id":151,"name":"Denver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ref="AM151" si="144">"start /low /b "&amp;dls3logs&amp;" --loco "&amp;B151&amp;" --day "&amp;TEXT(F151,"YYYY-MM-DD")</f>
        <v>start /low /b %USERPROFILE%\Documents\GitHub\eaglep3\Utilities\DownloadLogsFromS3.py --loco 4012 --day 2017-12-21</v>
      </c>
      <c r="AN151" s="240" t="str">
        <f t="shared" ref="AN151" si="145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ref="AO151" si="146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-21T20:40:26-0700',mode:absolute,to:'2017-12-21T23:37:53-0700'))&amp;_a=(columns:!('Message%20ID',Summary),filters:!(),index:'emp_*',interval:auto,query:(query_string:(analyze_wildcard:!t,query:'%22rtdc.l.rtdc.4012%22')),sort:!(Time.ISO8601,asc))</v>
      </c>
    </row>
    <row r="152" spans="1:91" s="222" customFormat="1" x14ac:dyDescent="0.25">
      <c r="A152" s="228" t="s">
        <v>877</v>
      </c>
      <c r="B152" s="224">
        <v>4011</v>
      </c>
      <c r="C152" s="226" t="s">
        <v>192</v>
      </c>
      <c r="D152" s="226" t="s">
        <v>523</v>
      </c>
      <c r="E152" s="225">
        <v>43090.947071759256</v>
      </c>
      <c r="F152" s="225">
        <v>43090.956388888888</v>
      </c>
      <c r="G152" s="224">
        <v>49</v>
      </c>
      <c r="H152" s="226" t="s">
        <v>634</v>
      </c>
      <c r="I152" s="225">
        <v>43090.968865740739</v>
      </c>
      <c r="J152" s="224">
        <v>0</v>
      </c>
      <c r="K152" s="236" t="str">
        <f t="shared" si="127"/>
        <v>4011/4012</v>
      </c>
      <c r="L152" s="244" t="str">
        <f>VLOOKUP(A152,'Trips&amp;Operators'!$C$1:$G$99911,5,FALSE)</f>
        <v>ELBAUM MIKE</v>
      </c>
      <c r="M152" s="223">
        <f t="shared" si="128"/>
        <v>1.247685185080627E-2</v>
      </c>
      <c r="N152" s="224"/>
      <c r="O152" s="224"/>
      <c r="P152" s="224">
        <f>24*60*SUM($M152:$M152)</f>
        <v>17.966666665161029</v>
      </c>
      <c r="Q152" s="227"/>
      <c r="R152" s="241" t="s">
        <v>1112</v>
      </c>
      <c r="S152" s="248">
        <f>1/IF(AG152="EC",12,1)*SUM(U152:U153)</f>
        <v>1</v>
      </c>
      <c r="T152" s="241" t="str">
        <f t="shared" si="129"/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2</v>
      </c>
      <c r="V152" s="247" t="str">
        <f t="shared" si="113"/>
        <v>https://d0f6bd738d7f1b3e5a7ca70fe4ff75f0.us-east-1.aws.found.io/app/kibana#/discover/Steve-Slow-Train-Analysis-(2080s-and-2083s)?_g=(refreshInterval:(display:Off,pause:!f,section:0,value:0),time:(from:'2017-12-21T21:43:47-0700',mode:absolute,to:'2017-12-22T00:15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246" t="str">
        <f>IF(AA152&lt;VLOOKUP(AG152,Variables!$AC$3:$AD$8,2,FALSE),"Y","N")</f>
        <v>Y</v>
      </c>
      <c r="X152" s="246">
        <f t="shared" si="141"/>
        <v>1</v>
      </c>
      <c r="Y152" s="246">
        <f>RIGHT(D152,LEN(D152)-4)/10000</f>
        <v>23.293199999999999</v>
      </c>
      <c r="Z152" s="246">
        <v>9.4700000000000006</v>
      </c>
      <c r="AA152" s="246">
        <f t="shared" si="132"/>
        <v>13.823199999999998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133"/>
        <v>234</v>
      </c>
      <c r="AE152" s="234" t="str">
        <f t="shared" si="11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52" s="233" t="str">
        <f t="shared" si="118"/>
        <v>"C:\Program Files (x86)\AstroGrep\AstroGrep.exe" /e /r /s /spath="%USERPROFILE%\AppData\Local\Temp\OnboardLogs" /stypes="app*4011*201712220*" /stext=" 06:.+?(?&gt;(PRM\|1\|D)|(KPR)|(KDP)|(train st[a-z]+ moving)|(SYSTEM_STATE:s[a-z]+ state changed)|(Enforcement Action)|(\[TIMEOUT)|(parse_ebi_status: Penalty)|(\|GPPS))"</v>
      </c>
      <c r="AG152" s="243" t="str">
        <f t="shared" si="134"/>
        <v>EC</v>
      </c>
      <c r="AH152" s="235" t="str">
        <f t="shared" si="136"/>
        <v>"%USERPROFILE%\Documents\GitHub\eaglep3\Utilities\RefineRTDCRunTimes.py" --tripid 234-21 --locoid 4011 --swversion DE.1.0.9.0 --startMP 204:232932 --initTime 2017-12-21T22:43:47 --startdatetime 2017-12-21T22:57:12 --delay 49 --endMP 204:271 --enddatetime 2017-12-21T23:15:10 --enforcementcount 0 &gt;&gt;%USERPROFILE%\Documents\GitHub\eaglep3-reporting\EC\2017-12-21-refined-times.txt</v>
      </c>
      <c r="AI152" s="237" t="str">
        <f t="shared" si="137"/>
        <v>echo {"issue":{"subject":"Wheel slip","project_id":79,"tracker_id":40,"status_id":1,"priority_id":2,"assigned_to_id":338,"start_date":"2017-12-21","description":"","custom_fields":[{"id":1,"name":"Subdivision","value":"EC"},{"id":4,"name":"Milepost","value":"9.47"},{"id":17,"name":"Train ID","value":"234-21"},{"id":16,"name":"Locomotive ID","value":"4011"},{"id":130,"name":"Impact","value":""},{"id":150,"name":"Time of Event (Mountain Time)","value":"23:15:10"},{"id":151,"name":"Denver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138"/>
        <v>start /low /b %USERPROFILE%\Documents\GitHub\eaglep3\Utilities\DownloadLogsFromS3.py --loco 4011 --day 2017-12-21</v>
      </c>
      <c r="AN152" s="240" t="str">
        <f t="shared" si="139"/>
        <v>echo {"issue":{"subject":"Wheel slip","project_id":30,"tracker_id":4,"status_id":1,"priority_id":1,"assigned_to_id":10,"start_date":"2017-12-22","description":"","custom_fields":[{"id":30,"name":"Category","value":"Issue"},{"id":3,"name":"Functional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06:15:10"},{"id":29,"name":"Sharepoint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140"/>
        <v>https://d0f6bd738d7f1b3e5a7ca70fe4ff75f0.us-east-1.aws.found.io/app/kibana#/discover/Steve-Slow-Train-Analysis-(2080s-and-2083s)?_g=(refreshInterval:(display:Off,pause:!f,section:0,value:0),time:(from:'2017-12-21T21:43:47-0700',mode:absolute,to:'2017-12-22T00:15:10-0700'))&amp;_a=(columns:!('Message%20ID',Summary),filters:!(),index:'emp_*',interval:auto,query:(query_string:(analyze_wildcard:!t,query:'%22rtdc.l.rtdc.4011%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877</v>
      </c>
      <c r="B153" s="224">
        <v>4011</v>
      </c>
      <c r="C153" s="226" t="s">
        <v>192</v>
      </c>
      <c r="D153" s="226" t="s">
        <v>523</v>
      </c>
      <c r="E153" s="225">
        <v>43090.947071759256</v>
      </c>
      <c r="F153" s="225">
        <v>43090.956388888888</v>
      </c>
      <c r="G153" s="224">
        <v>49</v>
      </c>
      <c r="H153" s="226" t="s">
        <v>634</v>
      </c>
      <c r="I153" s="225">
        <v>43090.968865740739</v>
      </c>
      <c r="J153" s="224">
        <v>0</v>
      </c>
      <c r="K153" s="236" t="str">
        <f t="shared" si="127"/>
        <v>4011/4012</v>
      </c>
      <c r="L153" s="244" t="str">
        <f>VLOOKUP(A153,'Trips&amp;Operators'!$C$1:$G$99911,5,FALSE)</f>
        <v>ELBAUM MIKE</v>
      </c>
      <c r="M153" s="223">
        <f t="shared" si="128"/>
        <v>1.247685185080627E-2</v>
      </c>
      <c r="N153" s="224"/>
      <c r="O153" s="224"/>
      <c r="P153" s="224"/>
      <c r="Q153" s="227"/>
      <c r="R153" s="241"/>
      <c r="S153" s="248"/>
      <c r="T153" s="241" t="str">
        <f t="shared" si="129"/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10</v>
      </c>
      <c r="V153" s="247" t="str">
        <f t="shared" si="113"/>
        <v>https://d0f6bd738d7f1b3e5a7ca70fe4ff75f0.us-east-1.aws.found.io/app/kibana#/discover/Steve-Slow-Train-Analysis-(2080s-and-2083s)?_g=(refreshInterval:(display:Off,pause:!f,section:0,value:0),time:(from:'2017-12-21T21:43:47-0700',mode:absolute,to:'2017-12-22T00:15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3" s="246" t="str">
        <f>IF(AA153&lt;VLOOKUP(AG153,Variables!$AC$3:$AD$8,2,FALSE),"Y","N")</f>
        <v>Y</v>
      </c>
      <c r="X153" s="246">
        <f t="shared" ref="X153:X155" si="147">VALUE(LEFT(AD153,4))-VALUE(LEFT(AD152,4))</f>
        <v>0</v>
      </c>
      <c r="Y153" s="246">
        <v>8.69</v>
      </c>
      <c r="Z153" s="246">
        <f t="shared" ref="Z153:Z158" si="148">RIGHT(H153,LEN(H153)-4)/10000</f>
        <v>2.7099999999999999E-2</v>
      </c>
      <c r="AA153" s="246">
        <f t="shared" si="132"/>
        <v>8.6628999999999987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133"/>
        <v>234</v>
      </c>
      <c r="AE153" s="234" t="str">
        <f t="shared" si="117"/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AF153" s="233" t="str">
        <f t="shared" si="118"/>
        <v>"C:\Program Files (x86)\AstroGrep\AstroGrep.exe" /e /r /s /spath="%USERPROFILE%\AppData\Local\Temp\OnboardLogs" /stypes="app*4011*201712220*" /stext=" 06:.+?(?&gt;(PRM\|1\|D)|(KPR)|(KDP)|(train st[a-z]+ moving)|(SYSTEM_STATE:s[a-z]+ state changed)|(Enforcement Action)|(\[TIMEOUT)|(parse_ebi_status: Penalty)|(\|GPPS))"</v>
      </c>
      <c r="AG153" s="243" t="str">
        <f t="shared" si="134"/>
        <v>EC</v>
      </c>
      <c r="AH153" s="235" t="str">
        <f t="shared" ref="AH153" si="149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234-21 --locoid 4011 --swversion DE.1.0.9.0 --startMP 204:232932 --initTime 2017-12-21T22:43:47 --startdatetime 2017-12-21T22:57:12 --delay 49 --endMP 204:271 --enddatetime 2017-12-21T23:15:10 --enforcementcount 0 &gt;&gt;%USERPROFILE%\Documents\GitHub\eaglep3-reporting\EC\2017-12-21-refined-times.txt</v>
      </c>
      <c r="AI153" s="237" t="str">
        <f t="shared" ref="AI153" si="150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{"issue":{"subject":"","project_id":79,"tracker_id":40,"status_id":1,"priority_id":2,"assigned_to_id":338,"start_date":"2017-12-21","description":"","custom_fields":[{"id":1,"name":"Subdivision","value":"EC"},{"id":4,"name":"Milepost","value":"0.0271"},{"id":17,"name":"Train ID","value":"234-21"},{"id":16,"name":"Locomotive ID","value":"4011"},{"id":130,"name":"Impact","value":""},{"id":150,"name":"Time of Event (Mountain Time)","value":"23:15:10"},{"id":151,"name":"Denver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ref="AM153" si="151">"start /low /b "&amp;dls3logs&amp;" --loco "&amp;B153&amp;" --day "&amp;TEXT(F153,"YYYY-MM-DD")</f>
        <v>start /low /b %USERPROFILE%\Documents\GitHub\eaglep3\Utilities\DownloadLogsFromS3.py --loco 4011 --day 2017-12-21</v>
      </c>
      <c r="AN153" s="240" t="str">
        <f t="shared" ref="AN153" si="152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06:15:10"},{"id":29,"name":"Sharepoint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ref="AO153" si="153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-21T21:43:47-0700',mode:absolute,to:'2017-12-22T00:15:10-0700'))&amp;_a=(columns:!('Message%20ID',Summary),filters:!(),index:'emp_*',interval:auto,query:(query_string:(analyze_wildcard:!t,query:'%22rtdc.l.rtdc.4011%22')),sort:!(Time.ISO8601,asc))</v>
      </c>
    </row>
    <row r="154" spans="1:91" s="20" customFormat="1" x14ac:dyDescent="0.25">
      <c r="A154" s="228" t="s">
        <v>874</v>
      </c>
      <c r="B154" s="224">
        <v>4054</v>
      </c>
      <c r="C154" s="226" t="s">
        <v>192</v>
      </c>
      <c r="D154" s="226" t="s">
        <v>559</v>
      </c>
      <c r="E154" s="225">
        <v>43090.929236111115</v>
      </c>
      <c r="F154" s="225">
        <v>43090.937696759262</v>
      </c>
      <c r="G154" s="224">
        <v>75</v>
      </c>
      <c r="H154" s="226" t="s">
        <v>999</v>
      </c>
      <c r="I154" s="225">
        <v>43090.967222222222</v>
      </c>
      <c r="J154" s="224">
        <v>0</v>
      </c>
      <c r="K154" s="236" t="str">
        <f t="shared" si="127"/>
        <v>4053/4054</v>
      </c>
      <c r="L154" s="244" t="str">
        <f>VLOOKUP(A154,'Trips&amp;Operators'!$C$1:$G$99911,5,FALSE)</f>
        <v>NICHOLSON WESLEY</v>
      </c>
      <c r="M154" s="223">
        <f t="shared" si="128"/>
        <v>2.9525462960009463E-2</v>
      </c>
      <c r="N154" s="224">
        <f t="shared" ref="N154:N160" si="154">24*60*SUM($M154:$M154)</f>
        <v>42.516666662413627</v>
      </c>
      <c r="O154" s="224"/>
      <c r="P154" s="224"/>
      <c r="Q154" s="227"/>
      <c r="R154" s="241"/>
      <c r="S154" s="248">
        <f t="shared" ref="S154:S185" si="155">1/IF(AG154="EC",12,1)*SUM(U154:U154)</f>
        <v>1</v>
      </c>
      <c r="T154" s="241" t="str">
        <f t="shared" si="129"/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113"/>
        <v>https://d0f6bd738d7f1b3e5a7ca70fe4ff75f0.us-east-1.aws.found.io/app/kibana#/discover/Steve-Slow-Train-Analysis-(2080s-and-2083s)?_g=(refreshInterval:(display:Off,pause:!f,section:0,value:0),time:(from:'2017-12-21T21:18:06-0700',mode:absolute,to:'2017-12-22T00:12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4" s="246" t="str">
        <f>IF(AA154&lt;VLOOKUP(AG154,Variables!$AC$3:$AD$8,2,FALSE),"Y","N")</f>
        <v>N</v>
      </c>
      <c r="X154" s="246">
        <f t="shared" si="147"/>
        <v>1</v>
      </c>
      <c r="Y154" s="246">
        <f>RIGHT(D154,LEN(D154)-4)/10000</f>
        <v>5.5300000000000002E-2</v>
      </c>
      <c r="Z154" s="246">
        <f t="shared" si="148"/>
        <v>23.319800000000001</v>
      </c>
      <c r="AA154" s="246">
        <f t="shared" si="132"/>
        <v>23.264500000000002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133"/>
        <v>235</v>
      </c>
      <c r="AE154" s="234" t="str">
        <f t="shared" si="117"/>
        <v>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 &amp; 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</v>
      </c>
      <c r="AF154" s="233" t="str">
        <f t="shared" si="118"/>
        <v>"C:\Program Files (x86)\AstroGrep\AstroGrep.exe" /e /r /s /spath="%USERPROFILE%\AppData\Local\Temp\OnboardLogs" /stypes="app*4054*201712220*" /stext=" 06:.+?(?&gt;(PRM\|1\|D)|(KPR)|(KDP)|(train st[a-z]+ moving)|(SYSTEM_STATE:s[a-z]+ state changed)|(Enforcement Action)|(\[TIMEOUT)|(parse_ebi_status: Penalty)|(\|GPPS))"</v>
      </c>
      <c r="AG154" s="243" t="str">
        <f t="shared" si="134"/>
        <v>EC</v>
      </c>
      <c r="AH154" s="235" t="str">
        <f t="shared" si="136"/>
        <v>"%USERPROFILE%\Documents\GitHub\eaglep3\Utilities\RefineRTDCRunTimes.py" --tripid 235-21 --locoid 4054 --swversion DE.1.0.9.0 --startMP 204:553 --initTime 2017-12-21T22:18:06 --startdatetime 2017-12-21T22:30:17 --delay 75 --endMP 204:233198 --enddatetime 2017-12-21T23:12:48 --enforcementcount 0 &gt;&gt;%USERPROFILE%\Documents\GitHub\eaglep3-reporting\EC\2017-12-21-refined-times.txt</v>
      </c>
      <c r="AI154" s="237" t="str">
        <f t="shared" si="137"/>
        <v>echo {"issue":{"subject":"","project_id":79,"tracker_id":40,"status_id":1,"priority_id":2,"assigned_to_id":338,"start_date":"2017-12-21","description":"","custom_fields":[{"id":1,"name":"Subdivision","value":"EC"},{"id":4,"name":"Milepost","value":"23.3198"},{"id":17,"name":"Train ID","value":"235-21"},{"id":16,"name":"Locomotive ID","value":"4054"},{"id":130,"name":"Impact","value":""},{"id":150,"name":"Time of Event (Mountain Time)","value":"23:12:48"},{"id":151,"name":"Denver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2"/>
      <c r="AK154" s="230"/>
      <c r="AL154" s="230"/>
      <c r="AM154" s="239" t="str">
        <f t="shared" si="138"/>
        <v>start /low /b %USERPROFILE%\Documents\GitHub\eaglep3\Utilities\DownloadLogsFromS3.py --loco 4054 --day 2017-12-21</v>
      </c>
      <c r="AN154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06:12:48"},{"id":29,"name":"Sharepoint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140"/>
        <v>https://d0f6bd738d7f1b3e5a7ca70fe4ff75f0.us-east-1.aws.found.io/app/kibana#/discover/Steve-Slow-Train-Analysis-(2080s-and-2083s)?_g=(refreshInterval:(display:Off,pause:!f,section:0,value:0),time:(from:'2017-12-21T21:18:06-0700',mode:absolute,to:'2017-12-22T00:12:48-0700'))&amp;_a=(columns:!('Message%20ID',Summary),filters:!(),index:'emp_*',interval:auto,query:(query_string:(analyze_wildcard:!t,query:'%22rtdc.l.rtdc.4054%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8" t="s">
        <v>881</v>
      </c>
      <c r="B155" s="224">
        <v>4053</v>
      </c>
      <c r="C155" s="226" t="s">
        <v>192</v>
      </c>
      <c r="D155" s="226" t="s">
        <v>993</v>
      </c>
      <c r="E155" s="225">
        <v>43090.974374999998</v>
      </c>
      <c r="F155" s="225">
        <v>43090.977997685186</v>
      </c>
      <c r="G155" s="224">
        <v>76</v>
      </c>
      <c r="H155" s="226" t="s">
        <v>547</v>
      </c>
      <c r="I155" s="225">
        <v>43091.008206018516</v>
      </c>
      <c r="J155" s="224">
        <v>0</v>
      </c>
      <c r="K155" s="236" t="str">
        <f t="shared" si="127"/>
        <v>4053/4054</v>
      </c>
      <c r="L155" s="244" t="str">
        <f>VLOOKUP(A155,'Trips&amp;Operators'!$C$1:$G$99911,5,FALSE)</f>
        <v>NICHOLSON WESLEY</v>
      </c>
      <c r="M155" s="223">
        <f t="shared" si="128"/>
        <v>3.0208333329937886E-2</v>
      </c>
      <c r="N155" s="224">
        <f t="shared" si="154"/>
        <v>43.499999995110556</v>
      </c>
      <c r="O155" s="224"/>
      <c r="P155" s="224"/>
      <c r="Q155" s="227"/>
      <c r="R155" s="241"/>
      <c r="S155" s="248">
        <f t="shared" si="155"/>
        <v>1</v>
      </c>
      <c r="T155" s="241" t="str">
        <f t="shared" si="129"/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113"/>
        <v>https://d0f6bd738d7f1b3e5a7ca70fe4ff75f0.us-east-1.aws.found.io/app/kibana#/discover/Steve-Slow-Train-Analysis-(2080s-and-2083s)?_g=(refreshInterval:(display:Off,pause:!f,section:0,value:0),time:(from:'2017-12-21T22:23:06-0700',mode:absolute,to:'2017-12-22T01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5" s="246" t="str">
        <f>IF(AA155&lt;VLOOKUP(AG155,Variables!$AC$3:$AD$8,2,FALSE),"Y","N")</f>
        <v>N</v>
      </c>
      <c r="X155" s="246">
        <f t="shared" si="147"/>
        <v>1</v>
      </c>
      <c r="Y155" s="246">
        <f>RIGHT(D155,LEN(D155)-4)/10000</f>
        <v>23.288699999999999</v>
      </c>
      <c r="Z155" s="246">
        <f t="shared" si="148"/>
        <v>2.3400000000000001E-2</v>
      </c>
      <c r="AA155" s="246">
        <f t="shared" si="132"/>
        <v>23.2653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133"/>
        <v>236</v>
      </c>
      <c r="AE155" s="234" t="str">
        <f t="shared" si="117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155" s="233" t="str">
        <f t="shared" si="118"/>
        <v>"C:\Program Files (x86)\AstroGrep\AstroGrep.exe" /e /r /s /spath="%USERPROFILE%\AppData\Local\Temp\OnboardLogs" /stypes="app*4053*201712220*" /stext=" 07:.+?(?&gt;(PRM\|1\|D)|(KPR)|(KDP)|(train st[a-z]+ moving)|(SYSTEM_STATE:s[a-z]+ state changed)|(Enforcement Action)|(\[TIMEOUT)|(parse_ebi_status: Penalty)|(\|GPPS))"</v>
      </c>
      <c r="AG155" s="243" t="str">
        <f t="shared" si="134"/>
        <v>EC</v>
      </c>
      <c r="AH155" s="235" t="str">
        <f t="shared" si="136"/>
        <v>"%USERPROFILE%\Documents\GitHub\eaglep3\Utilities\RefineRTDCRunTimes.py" --tripid 236-21 --locoid 4053 --swversion DE.1.0.9.0 --startMP 204:232887 --initTime 2017-12-21T23:23:06 --startdatetime 2017-12-21T23:28:19 --delay 76 --endMP 204:234 --enddatetime 2017-12-22T00:11:49 --enforcementcount 0 &gt;&gt;%USERPROFILE%\Documents\GitHub\eaglep3-reporting\EC\2017-12-21-refined-times.txt</v>
      </c>
      <c r="AI155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{"issue":{"subject":"","project_id":79,"tracker_id":40,"status_id":1,"priority_id":2,"assigned_to_id":338,"start_date":"2017-12-22","description":"","custom_fields":[{"id":1,"name":"Subdivision","value":"EC"},{"id":4,"name":"Milepost","value":"0.0234"},{"id":17,"name":"Train ID","value":"236-21"},{"id":16,"name":"Locomotive ID","value":"4053"},{"id":130,"name":"Impact","value":""},{"id":150,"name":"Time of Event (Mountain Time)","value":"00:11:49"},{"id":151,"name":"Denver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2"/>
      <c r="AK155" s="230"/>
      <c r="AL155" s="230"/>
      <c r="AM155" s="239" t="str">
        <f t="shared" si="138"/>
        <v>start /low /b %USERPROFILE%\Documents\GitHub\eaglep3\Utilities\DownloadLogsFromS3.py --loco 4053 --day 2017-12-21</v>
      </c>
      <c r="AN155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140"/>
        <v>https://d0f6bd738d7f1b3e5a7ca70fe4ff75f0.us-east-1.aws.found.io/app/kibana#/discover/Steve-Slow-Train-Analysis-(2080s-and-2083s)?_g=(refreshInterval:(display:Off,pause:!f,section:0,value:0),time:(from:'2017-12-21T22:23:06-0700',mode:absolute,to:'2017-12-22T01:11:49-0700'))&amp;_a=(columns:!('Message%20ID',Summary),filters:!(),index:'emp_*',interval:auto,query:(query_string:(analyze_wildcard:!t,query:'%22rtdc.l.rtdc.4053%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878</v>
      </c>
      <c r="B156" s="224">
        <v>4034</v>
      </c>
      <c r="C156" s="226" t="s">
        <v>192</v>
      </c>
      <c r="D156" s="226" t="s">
        <v>1000</v>
      </c>
      <c r="E156" s="225">
        <v>43090.956238425926</v>
      </c>
      <c r="F156" s="225">
        <v>43090.95888888889</v>
      </c>
      <c r="G156" s="224">
        <v>69</v>
      </c>
      <c r="H156" s="226" t="s">
        <v>598</v>
      </c>
      <c r="I156" s="225">
        <v>43090.983599537038</v>
      </c>
      <c r="J156" s="224">
        <v>0</v>
      </c>
      <c r="K156" s="236" t="str">
        <f t="shared" si="127"/>
        <v>4033/4034</v>
      </c>
      <c r="L156" s="244" t="str">
        <f>VLOOKUP(A156,'Trips&amp;Operators'!$C$1:$G$99911,5,FALSE)</f>
        <v>ANDERS STEVEN</v>
      </c>
      <c r="M156" s="223">
        <f t="shared" si="128"/>
        <v>2.47106481474475E-2</v>
      </c>
      <c r="N156" s="224">
        <f t="shared" si="154"/>
        <v>35.583333332324401</v>
      </c>
      <c r="O156" s="224"/>
      <c r="P156" s="224"/>
      <c r="Q156" s="227"/>
      <c r="R156" s="241"/>
      <c r="S156" s="248">
        <f t="shared" si="155"/>
        <v>1</v>
      </c>
      <c r="T156" s="241" t="str">
        <f t="shared" si="129"/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113"/>
        <v>https://d0f6bd738d7f1b3e5a7ca70fe4ff75f0.us-east-1.aws.found.io/app/kibana#/discover/Steve-Slow-Train-Analysis-(2080s-and-2083s)?_g=(refreshInterval:(display:Off,pause:!f,section:0,value:0),time:(from:'2017-12-21T21:56:59-0700',mode:absolute,to:'2017-12-22T00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6" s="246" t="str">
        <f>IF(AA156&lt;VLOOKUP(AG156,Variables!$AC$3:$AD$8,2,FALSE),"Y","N")</f>
        <v>N</v>
      </c>
      <c r="X156" s="246">
        <f>VALUE(LEFT(AD156,4))-VALUE(LEFT(AD155,4))</f>
        <v>1</v>
      </c>
      <c r="Y156" s="246">
        <f>RIGHT(D156,LEN(D156)-4)/10000</f>
        <v>5.4600000000000003E-2</v>
      </c>
      <c r="Z156" s="246">
        <f t="shared" si="148"/>
        <v>23.3264</v>
      </c>
      <c r="AA156" s="246">
        <f t="shared" si="132"/>
        <v>23.271799999999999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133"/>
        <v>237</v>
      </c>
      <c r="AE156" s="234" t="str">
        <f t="shared" si="117"/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AF156" s="233" t="str">
        <f t="shared" si="118"/>
        <v>"C:\Program Files (x86)\AstroGrep\AstroGrep.exe" /e /r /s /spath="%USERPROFILE%\AppData\Local\Temp\OnboardLogs" /stypes="app*4034*201712220*" /stext=" 06:.+?(?&gt;(PRM\|1\|D)|(KPR)|(KDP)|(train st[a-z]+ moving)|(SYSTEM_STATE:s[a-z]+ state changed)|(Enforcement Action)|(\[TIMEOUT)|(parse_ebi_status: Penalty)|(\|GPPS))"</v>
      </c>
      <c r="AG156" s="243" t="str">
        <f t="shared" si="134"/>
        <v>EC</v>
      </c>
      <c r="AH156" s="235" t="str">
        <f t="shared" si="136"/>
        <v>"%USERPROFILE%\Documents\GitHub\eaglep3\Utilities\RefineRTDCRunTimes.py" --tripid 237-21 --locoid 4034 --swversion DE.1.0.9.0 --startMP 204:546 --initTime 2017-12-21T22:56:59 --startdatetime 2017-12-21T23:00:48 --delay 69 --endMP 204:233264 --enddatetime 2017-12-21T23:36:23 --enforcementcount 0 &gt;&gt;%USERPROFILE%\Documents\GitHub\eaglep3-reporting\EC\2017-12-21-refined-times.txt</v>
      </c>
      <c r="AI156" s="237" t="str">
        <f t="shared" si="137"/>
        <v>echo {"issue":{"subject":"","project_id":79,"tracker_id":40,"status_id":1,"priority_id":2,"assigned_to_id":338,"start_date":"2017-12-21","description":"","custom_fields":[{"id":1,"name":"Subdivision","value":"EC"},{"id":4,"name":"Milepost","value":"23.3264"},{"id":17,"name":"Train ID","value":"237-21"},{"id":16,"name":"Locomotive ID","value":"4034"},{"id":130,"name":"Impact","value":""},{"id":150,"name":"Time of Event (Mountain Time)","value":"23:36:23"},{"id":151,"name":"Denver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138"/>
        <v>start /low /b %USERPROFILE%\Documents\GitHub\eaglep3\Utilities\DownloadLogsFromS3.py --loco 4034 --day 2017-12-21</v>
      </c>
      <c r="AN156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140"/>
        <v>https://d0f6bd738d7f1b3e5a7ca70fe4ff75f0.us-east-1.aws.found.io/app/kibana#/discover/Steve-Slow-Train-Analysis-(2080s-and-2083s)?_g=(refreshInterval:(display:Off,pause:!f,section:0,value:0),time:(from:'2017-12-21T21:56:59-0700',mode:absolute,to:'2017-12-22T00:36:23-0700'))&amp;_a=(columns:!('Message%20ID',Summary),filters:!(),index:'emp_*',interval:auto,query:(query_string:(analyze_wildcard:!t,query:'%22rtdc.l.rtdc.4034%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25">
      <c r="A157" s="228" t="s">
        <v>884</v>
      </c>
      <c r="B157" s="224">
        <v>4033</v>
      </c>
      <c r="C157" s="226" t="s">
        <v>192</v>
      </c>
      <c r="D157" s="226" t="s">
        <v>621</v>
      </c>
      <c r="E157" s="225">
        <v>43090.995497685188</v>
      </c>
      <c r="F157" s="225">
        <v>43090.998831018522</v>
      </c>
      <c r="G157" s="224">
        <v>54</v>
      </c>
      <c r="H157" s="226" t="s">
        <v>636</v>
      </c>
      <c r="I157" s="225">
        <v>43091.025879629633</v>
      </c>
      <c r="J157" s="224">
        <v>0</v>
      </c>
      <c r="K157" s="236" t="str">
        <f t="shared" si="127"/>
        <v>4033/4034</v>
      </c>
      <c r="L157" s="244" t="str">
        <f>VLOOKUP(A157,'Trips&amp;Operators'!$C$1:$G$99911,5,FALSE)</f>
        <v>ANDERS STEVEN</v>
      </c>
      <c r="M157" s="223">
        <f t="shared" si="128"/>
        <v>2.7048611111240461E-2</v>
      </c>
      <c r="N157" s="224">
        <f t="shared" si="154"/>
        <v>38.950000000186265</v>
      </c>
      <c r="O157" s="224"/>
      <c r="P157" s="224"/>
      <c r="Q157" s="227"/>
      <c r="R157" s="241"/>
      <c r="S157" s="248">
        <f t="shared" si="155"/>
        <v>1</v>
      </c>
      <c r="T157" s="241" t="str">
        <f t="shared" si="129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113"/>
        <v>https://d0f6bd738d7f1b3e5a7ca70fe4ff75f0.us-east-1.aws.found.io/app/kibana#/discover/Steve-Slow-Train-Analysis-(2080s-and-2083s)?_g=(refreshInterval:(display:Off,pause:!f,section:0,value:0),time:(from:'2017-12-21T22:53:31-0700',mode:absolute,to:'2017-12-22T01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7" s="246" t="str">
        <f>IF(AA157&lt;VLOOKUP(AG157,Variables!$AC$3:$AD$8,2,FALSE),"Y","N")</f>
        <v>N</v>
      </c>
      <c r="X157" s="246">
        <f>VALUE(LEFT(AD157,4))-VALUE(LEFT(AD156,4))</f>
        <v>1</v>
      </c>
      <c r="Y157" s="246">
        <f>RIGHT(D157,LEN(D157)-4)/10000</f>
        <v>23.295200000000001</v>
      </c>
      <c r="Z157" s="246">
        <f t="shared" si="148"/>
        <v>2.5600000000000001E-2</v>
      </c>
      <c r="AA157" s="246">
        <f t="shared" si="132"/>
        <v>23.269600000000001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133"/>
        <v>238</v>
      </c>
      <c r="AE157" s="234" t="str">
        <f t="shared" si="117"/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AF157" s="233" t="str">
        <f t="shared" si="118"/>
        <v>"C:\Program Files (x86)\AstroGrep\AstroGrep.exe" /e /r /s /spath="%USERPROFILE%\AppData\Local\Temp\OnboardLogs" /stypes="app*4033*201712220*" /stext=" 07:.+?(?&gt;(PRM\|1\|D)|(KPR)|(KDP)|(train st[a-z]+ moving)|(SYSTEM_STATE:s[a-z]+ state changed)|(Enforcement Action)|(\[TIMEOUT)|(parse_ebi_status: Penalty)|(\|GPPS))"</v>
      </c>
      <c r="AG157" s="243" t="str">
        <f t="shared" si="134"/>
        <v>EC</v>
      </c>
      <c r="AH157" s="235" t="str">
        <f t="shared" si="136"/>
        <v>"%USERPROFILE%\Documents\GitHub\eaglep3\Utilities\RefineRTDCRunTimes.py" --tripid 238-21 --locoid 4033 --swversion DE.1.0.9.0 --startMP 204:232952 --initTime 2017-12-21T23:53:31 --startdatetime 2017-12-21T23:58:19 --delay 54 --endMP 204:256 --enddatetime 2017-12-22T00:37:16 --enforcementcount 0 &gt;&gt;%USERPROFILE%\Documents\GitHub\eaglep3-reporting\EC\2017-12-21-refined-times.txt</v>
      </c>
      <c r="AI157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{"issue":{"subject":"","project_id":79,"tracker_id":40,"status_id":1,"priority_id":2,"assigned_to_id":338,"start_date":"2017-12-22","description":"","custom_fields":[{"id":1,"name":"Subdivision","value":"EC"},{"id":4,"name":"Milepost","value":"0.0256"},{"id":17,"name":"Train ID","value":"238-21"},{"id":16,"name":"Locomotive ID","value":"4033"},{"id":130,"name":"Impact","value":""},{"id":150,"name":"Time of Event (Mountain Time)","value":"00:37:16"},{"id":151,"name":"Denver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si="138"/>
        <v>start /low /b %USERPROFILE%\Documents\GitHub\eaglep3\Utilities\DownloadLogsFromS3.py --loco 4033 --day 2017-12-21</v>
      </c>
      <c r="AN157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140"/>
        <v>https://d0f6bd738d7f1b3e5a7ca70fe4ff75f0.us-east-1.aws.found.io/app/kibana#/discover/Steve-Slow-Train-Analysis-(2080s-and-2083s)?_g=(refreshInterval:(display:Off,pause:!f,section:0,value:0),time:(from:'2017-12-21T22:53:31-0700',mode:absolute,to:'2017-12-22T01:37:16-0700'))&amp;_a=(columns:!('Message%20ID',Summary),filters:!(),index:'emp_*',interval:auto,query:(query_string:(analyze_wildcard:!t,query:'%22rtdc.l.rtdc.4033%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880</v>
      </c>
      <c r="B158" s="224">
        <v>4064</v>
      </c>
      <c r="C158" s="226" t="s">
        <v>192</v>
      </c>
      <c r="D158" s="226" t="s">
        <v>965</v>
      </c>
      <c r="E158" s="225">
        <v>43090.966724537036</v>
      </c>
      <c r="F158" s="225">
        <v>43090.979432870372</v>
      </c>
      <c r="G158" s="224">
        <v>55</v>
      </c>
      <c r="H158" s="226" t="s">
        <v>613</v>
      </c>
      <c r="I158" s="225">
        <v>43091.004328703704</v>
      </c>
      <c r="J158" s="224">
        <v>0</v>
      </c>
      <c r="K158" s="236" t="str">
        <f t="shared" si="127"/>
        <v>4063/4064</v>
      </c>
      <c r="L158" s="244" t="str">
        <f>VLOOKUP(A158,'Trips&amp;Operators'!$C$1:$G$99911,5,FALSE)</f>
        <v>WEST BRYAN</v>
      </c>
      <c r="M158" s="223">
        <f t="shared" si="128"/>
        <v>2.4895833332266193E-2</v>
      </c>
      <c r="N158" s="224">
        <f t="shared" si="154"/>
        <v>35.849999998463318</v>
      </c>
      <c r="O158" s="224"/>
      <c r="P158" s="224"/>
      <c r="Q158" s="227"/>
      <c r="R158" s="241"/>
      <c r="S158" s="248">
        <f t="shared" si="155"/>
        <v>1</v>
      </c>
      <c r="T158" s="241" t="str">
        <f t="shared" si="129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113"/>
        <v>https://d0f6bd738d7f1b3e5a7ca70fe4ff75f0.us-east-1.aws.found.io/app/kibana#/discover/Steve-Slow-Train-Analysis-(2080s-and-2083s)?_g=(refreshInterval:(display:Off,pause:!f,section:0,value:0),time:(from:'2017-12-21T22:12:05-0700',mode:absolute,to:'2017-12-22T01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246" t="str">
        <f>IF(AA158&lt;VLOOKUP(AG158,Variables!$AC$3:$AD$8,2,FALSE),"Y","N")</f>
        <v>N</v>
      </c>
      <c r="X158" s="246">
        <f>VALUE(LEFT(AD158,4))-VALUE(LEFT(AD157,4))</f>
        <v>1</v>
      </c>
      <c r="Y158" s="246">
        <f>RIGHT(D158,LEN(D158)-4)/10000</f>
        <v>5.4199999999999998E-2</v>
      </c>
      <c r="Z158" s="246">
        <f t="shared" si="148"/>
        <v>23.321000000000002</v>
      </c>
      <c r="AA158" s="246">
        <f t="shared" si="132"/>
        <v>23.2668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133"/>
        <v>239</v>
      </c>
      <c r="AE158" s="234" t="str">
        <f t="shared" si="117"/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AF158" s="233" t="str">
        <f t="shared" si="118"/>
        <v>"C:\Program Files (x86)\AstroGrep\AstroGrep.exe" /e /r /s /spath="%USERPROFILE%\AppData\Local\Temp\OnboardLogs" /stypes="app*4064*201712220*" /stext=" 07:.+?(?&gt;(PRM\|1\|D)|(KPR)|(KDP)|(train st[a-z]+ moving)|(SYSTEM_STATE:s[a-z]+ state changed)|(Enforcement Action)|(\[TIMEOUT)|(parse_ebi_status: Penalty)|(\|GPPS))"</v>
      </c>
      <c r="AG158" s="243" t="str">
        <f t="shared" si="134"/>
        <v>EC</v>
      </c>
      <c r="AH158" s="235" t="str">
        <f t="shared" si="136"/>
        <v>"%USERPROFILE%\Documents\GitHub\eaglep3\Utilities\RefineRTDCRunTimes.py" --tripid 239-21 --locoid 4064 --swversion DE.1.0.9.0 --startMP 204:542 --initTime 2017-12-21T23:12:05 --startdatetime 2017-12-21T23:30:23 --delay 55 --endMP 204:233210 --enddatetime 2017-12-22T00:06:14 --enforcementcount 0 &gt;&gt;%USERPROFILE%\Documents\GitHub\eaglep3-reporting\EC\2017-12-21-refined-times.txt</v>
      </c>
      <c r="AI158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{"issue":{"subject":"","project_id":79,"tracker_id":40,"status_id":1,"priority_id":2,"assigned_to_id":338,"start_date":"2017-12-22","description":"","custom_fields":[{"id":1,"name":"Subdivision","value":"EC"},{"id":4,"name":"Milepost","value":"23.321"},{"id":17,"name":"Train ID","value":"239-21"},{"id":16,"name":"Locomotive ID","value":"4064"},{"id":130,"name":"Impact","value":""},{"id":150,"name":"Time of Event (Mountain Time)","value":"00:06:14"},{"id":151,"name":"Denver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138"/>
        <v>start /low /b %USERPROFILE%\Documents\GitHub\eaglep3\Utilities\DownloadLogsFromS3.py --loco 4064 --day 2017-12-21</v>
      </c>
      <c r="AN158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140"/>
        <v>https://d0f6bd738d7f1b3e5a7ca70fe4ff75f0.us-east-1.aws.found.io/app/kibana#/discover/Steve-Slow-Train-Analysis-(2080s-and-2083s)?_g=(refreshInterval:(display:Off,pause:!f,section:0,value:0),time:(from:'2017-12-21T22:12:05-0700',mode:absolute,to:'2017-12-22T01:06:14-0700'))&amp;_a=(columns:!('Message%20ID',Summary),filters:!(),index:'emp_*',interval:auto,query:(query_string:(analyze_wildcard:!t,query:'%22rtdc.l.rtdc.4064%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885</v>
      </c>
      <c r="B159" s="224">
        <v>4063</v>
      </c>
      <c r="C159" s="226" t="s">
        <v>192</v>
      </c>
      <c r="D159" s="226" t="s">
        <v>965</v>
      </c>
      <c r="E159" s="225">
        <v>43090.966724537036</v>
      </c>
      <c r="F159" s="225">
        <v>43091.01903935185</v>
      </c>
      <c r="G159" s="224">
        <v>55</v>
      </c>
      <c r="H159" s="226" t="s">
        <v>613</v>
      </c>
      <c r="I159" s="225">
        <v>43091.044872685183</v>
      </c>
      <c r="J159" s="224">
        <v>0</v>
      </c>
      <c r="K159" s="236" t="str">
        <f t="shared" si="127"/>
        <v>4063/4064</v>
      </c>
      <c r="L159" s="244" t="str">
        <f>VLOOKUP(A159,'Trips&amp;Operators'!$C$1:$G$99911,5,FALSE)</f>
        <v>WEST BRYAN</v>
      </c>
      <c r="M159" s="223">
        <f t="shared" si="128"/>
        <v>2.5833333333139308E-2</v>
      </c>
      <c r="N159" s="224">
        <f t="shared" si="154"/>
        <v>37.199999999720603</v>
      </c>
      <c r="O159" s="224"/>
      <c r="P159" s="224"/>
      <c r="Q159" s="227"/>
      <c r="R159" s="241"/>
      <c r="S159" s="248">
        <f t="shared" si="155"/>
        <v>1</v>
      </c>
      <c r="T159" s="241" t="str">
        <f t="shared" si="129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 t="shared" si="113"/>
        <v>https://d0f6bd738d7f1b3e5a7ca70fe4ff75f0.us-east-1.aws.found.io/app/kibana#/discover/Steve-Slow-Train-Analysis-(2080s-and-2083s)?_g=(refreshInterval:(display:Off,pause:!f,section:0,value:0),time:(from:'2017-12-21T22:12:05-0700',mode:absolute,to:'2017-12-22T02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46" t="str">
        <f>IF(AA159&lt;VLOOKUP(AG159,Variables!$AC$3:$AD$8,2,FALSE),"Y","N")</f>
        <v>N</v>
      </c>
      <c r="X159" s="246">
        <f t="shared" ref="X159:X162" si="156">VALUE(LEFT(AD159,4))-VALUE(LEFT(AD158,4))</f>
        <v>1</v>
      </c>
      <c r="Y159" s="246">
        <v>23.295200000000001</v>
      </c>
      <c r="Z159" s="246">
        <v>2.5600000000000001E-2</v>
      </c>
      <c r="AA159" s="246">
        <f t="shared" si="132"/>
        <v>23.269600000000001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133"/>
        <v>240</v>
      </c>
      <c r="AE159" s="234" t="str">
        <f t="shared" si="117"/>
        <v>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 &amp; aws s3 cp s3://rtdc.mdm.uploadarchive.raw/RTDC4063/ "%USERPROFILE%\AppData\Local\Temp\OnboardLogs"\RTDC4063\2017-12-23 --exclude "*" --recursive --include "*20171223*" &amp; "%USERPROFILE%\Documents\GitHub\mrs-test-scripts\Headless Mode &amp; Sideloading\WalkAndUnGZ.bat" "%USERPROFILE%\AppData\Local\Temp\OnboardLogs"\RTDC4063\2017-12-23</v>
      </c>
      <c r="AF159" s="233" t="str">
        <f t="shared" si="118"/>
        <v>"C:\Program Files (x86)\AstroGrep\AstroGrep.exe" /e /r /s /spath="%USERPROFILE%\AppData\Local\Temp\OnboardLogs" /stypes="app*4063*201712220*" /stext=" 08:.+?(?&gt;(PRM\|1\|D)|(KPR)|(KDP)|(train st[a-z]+ moving)|(SYSTEM_STATE:s[a-z]+ state changed)|(Enforcement Action)|(\[TIMEOUT)|(parse_ebi_status: Penalty)|(\|GPPS))"</v>
      </c>
      <c r="AG159" s="243" t="str">
        <f t="shared" si="134"/>
        <v>EC</v>
      </c>
      <c r="AH159" s="235" t="str">
        <f t="shared" ref="AH159" si="157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240-21 --locoid 4063 --swversion DE.1.0.9.0 --startMP 204:542 --initTime 2017-12-21T23:12:05 --startdatetime 2017-12-22T00:27:25 --delay 55 --endMP 204:233210 --enddatetime 2017-12-22T01:04:37 --enforcementcount 0 &gt;&gt;%USERPROFILE%\Documents\GitHub\eaglep3-reporting\EC\2017-12-21-refined-times.txt</v>
      </c>
      <c r="AI159" s="237" t="str">
        <f t="shared" ref="AI159" si="158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{"issue":{"subject":"","project_id":79,"tracker_id":40,"status_id":1,"priority_id":2,"assigned_to_id":338,"start_date":"2017-12-22","description":"","custom_fields":[{"id":1,"name":"Subdivision","value":"EC"},{"id":4,"name":"Milepost","value":"0.0256"},{"id":17,"name":"Train ID","value":"240-21"},{"id":16,"name":"Locomotive ID","value":"4063"},{"id":130,"name":"Impact","value":""},{"id":150,"name":"Time of Event (Mountain Time)","value":"01:04:37"},{"id":151,"name":"Denver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ref="AM159" si="159">"start /low /b "&amp;dls3logs&amp;" --loco "&amp;B159&amp;" --day "&amp;TEXT(F159,"YYYY-MM-DD")</f>
        <v>start /low /b %USERPROFILE%\Documents\GitHub\eaglep3\Utilities\DownloadLogsFromS3.py --loco 4063 --day 2017-12-22</v>
      </c>
      <c r="AN159" s="240" t="str">
        <f t="shared" ref="AN159" si="160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08:04:37"},{"id":29,"name":"Sharepoint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ref="AO159" si="161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-21T22:12:05-0700',mode:absolute,to:'2017-12-22T02:04:37-0700'))&amp;_a=(columns:!('Message%20ID',Summary),filters:!(),index:'emp_*',interval:auto,query:(query_string:(analyze_wildcard:!t,query:'%22rtdc.l.rtdc.4063%22')),sort:!(Time.ISO8601,asc))</v>
      </c>
    </row>
    <row r="160" spans="1:91" s="222" customFormat="1" x14ac:dyDescent="0.25">
      <c r="A160" s="228" t="s">
        <v>883</v>
      </c>
      <c r="B160" s="224">
        <v>4012</v>
      </c>
      <c r="C160" s="226" t="s">
        <v>192</v>
      </c>
      <c r="D160" s="226" t="s">
        <v>1001</v>
      </c>
      <c r="E160" s="225">
        <v>43090.986898148149</v>
      </c>
      <c r="F160" s="225">
        <v>43091.000150462962</v>
      </c>
      <c r="G160" s="224">
        <v>56</v>
      </c>
      <c r="H160" s="226" t="s">
        <v>556</v>
      </c>
      <c r="I160" s="225">
        <v>43091.023900462962</v>
      </c>
      <c r="J160" s="224">
        <v>0</v>
      </c>
      <c r="K160" s="236" t="str">
        <f t="shared" si="127"/>
        <v>4011/4012</v>
      </c>
      <c r="L160" s="244" t="str">
        <f>VLOOKUP(A160,'Trips&amp;Operators'!$C$1:$G$99911,5,FALSE)</f>
        <v>ELBAUM MIKE</v>
      </c>
      <c r="M160" s="223">
        <f t="shared" si="128"/>
        <v>2.3750000000291038E-2</v>
      </c>
      <c r="N160" s="224">
        <f t="shared" si="154"/>
        <v>34.200000000419095</v>
      </c>
      <c r="O160" s="224"/>
      <c r="P160" s="224"/>
      <c r="Q160" s="227"/>
      <c r="R160" s="241"/>
      <c r="S160" s="248">
        <f t="shared" si="155"/>
        <v>1</v>
      </c>
      <c r="T160" s="241" t="str">
        <f t="shared" si="129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7" t="str">
        <f t="shared" si="113"/>
        <v>https://d0f6bd738d7f1b3e5a7ca70fe4ff75f0.us-east-1.aws.found.io/app/kibana#/discover/Steve-Slow-Train-Analysis-(2080s-and-2083s)?_g=(refreshInterval:(display:Off,pause:!f,section:0,value:0),time:(from:'2017-12-21T22:41:08-0700',mode:absolute,to:'2017-12-22T01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246" t="str">
        <f>IF(AA160&lt;VLOOKUP(AG160,Variables!$AC$3:$AD$8,2,FALSE),"Y","N")</f>
        <v>N</v>
      </c>
      <c r="X160" s="246">
        <f>VALUE(LEFT(AD160,4))-VALUE(LEFT(AD159,4))</f>
        <v>1</v>
      </c>
      <c r="Y160" s="246">
        <f t="shared" ref="Y160:Y185" si="162">RIGHT(D160,LEN(D160)-4)/10000</f>
        <v>5.8200000000000002E-2</v>
      </c>
      <c r="Z160" s="246">
        <f t="shared" ref="Z160:Z185" si="163">RIGHT(H160,LEN(H160)-4)/10000</f>
        <v>23.325900000000001</v>
      </c>
      <c r="AA160" s="246">
        <f t="shared" si="132"/>
        <v>23.267700000000001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133"/>
        <v>241</v>
      </c>
      <c r="AE160" s="234" t="str">
        <f t="shared" si="117"/>
        <v>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 &amp; 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</v>
      </c>
      <c r="AF160" s="233" t="str">
        <f t="shared" si="118"/>
        <v>"C:\Program Files (x86)\AstroGrep\AstroGrep.exe" /e /r /s /spath="%USERPROFILE%\AppData\Local\Temp\OnboardLogs" /stypes="app*4012*201712220*" /stext=" 07:.+?(?&gt;(PRM\|1\|D)|(KPR)|(KDP)|(train st[a-z]+ moving)|(SYSTEM_STATE:s[a-z]+ state changed)|(Enforcement Action)|(\[TIMEOUT)|(parse_ebi_status: Penalty)|(\|GPPS))"</v>
      </c>
      <c r="AG160" s="243" t="str">
        <f t="shared" si="134"/>
        <v>EC</v>
      </c>
      <c r="AH160" s="235" t="str">
        <f t="shared" si="136"/>
        <v>"%USERPROFILE%\Documents\GitHub\eaglep3\Utilities\RefineRTDCRunTimes.py" --tripid 241-21 --locoid 4012 --swversion DE.1.0.9.0 --startMP 204:582 --initTime 2017-12-21T23:41:08 --startdatetime 2017-12-22T00:00:13 --delay 56 --endMP 204:233259 --enddatetime 2017-12-22T00:34:25 --enforcementcount 0 &gt;&gt;%USERPROFILE%\Documents\GitHub\eaglep3-reporting\EC\2017-12-21-refined-times.txt</v>
      </c>
      <c r="AI160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{"issue":{"subject":"","project_id":79,"tracker_id":40,"status_id":1,"priority_id":2,"assigned_to_id":338,"start_date":"2017-12-22","description":"","custom_fields":[{"id":1,"name":"Subdivision","value":"EC"},{"id":4,"name":"Milepost","value":"23.3259"},{"id":17,"name":"Train ID","value":"241-21"},{"id":16,"name":"Locomotive ID","value":"4012"},{"id":130,"name":"Impact","value":""},{"id":150,"name":"Time of Event (Mountain Time)","value":"00:34:25"},{"id":151,"name":"Denver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138"/>
        <v>start /low /b %USERPROFILE%\Documents\GitHub\eaglep3\Utilities\DownloadLogsFromS3.py --loco 4012 --day 2017-12-22</v>
      </c>
      <c r="AN160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140"/>
        <v>https://d0f6bd738d7f1b3e5a7ca70fe4ff75f0.us-east-1.aws.found.io/app/kibana#/discover/Steve-Slow-Train-Analysis-(2080s-and-2083s)?_g=(refreshInterval:(display:Off,pause:!f,section:0,value:0),time:(from:'2017-12-21T22:41:08-0700',mode:absolute,to:'2017-12-22T01:34:25-0700'))&amp;_a=(columns:!('Message%20ID',Summary),filters:!(),index:'emp_*',interval:auto,query:(query_string:(analyze_wildcard:!t,query:'%22rtdc.l.rtdc.4012%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8" t="s">
        <v>887</v>
      </c>
      <c r="B161" s="224">
        <v>4011</v>
      </c>
      <c r="C161" s="226" t="s">
        <v>192</v>
      </c>
      <c r="D161" s="226" t="s">
        <v>1002</v>
      </c>
      <c r="E161" s="225">
        <v>43091.054467592592</v>
      </c>
      <c r="F161" s="225">
        <v>43091.056111111109</v>
      </c>
      <c r="G161" s="224">
        <v>69</v>
      </c>
      <c r="H161" s="226" t="s">
        <v>991</v>
      </c>
      <c r="I161" s="225">
        <v>43091.068842592591</v>
      </c>
      <c r="J161" s="224">
        <v>0</v>
      </c>
      <c r="K161" s="236" t="str">
        <f t="shared" si="127"/>
        <v>4011/4012</v>
      </c>
      <c r="L161" s="244" t="str">
        <f>VLOOKUP(A161,'Trips&amp;Operators'!$C$1:$G$99911,5,FALSE)</f>
        <v>ELBAUM MIKE</v>
      </c>
      <c r="M161" s="223">
        <f t="shared" si="128"/>
        <v>1.2731481481750961E-2</v>
      </c>
      <c r="N161" s="224"/>
      <c r="O161" s="224"/>
      <c r="P161" s="224">
        <f>24*60*SUM($M161:$M161)</f>
        <v>18.333333333721384</v>
      </c>
      <c r="Q161" s="227"/>
      <c r="R161" s="241" t="s">
        <v>1112</v>
      </c>
      <c r="S161" s="248">
        <f t="shared" si="155"/>
        <v>0.83333333333333326</v>
      </c>
      <c r="T161" s="241" t="str">
        <f t="shared" si="129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10</v>
      </c>
      <c r="V161" s="247" t="str">
        <f t="shared" si="113"/>
        <v>https://d0f6bd738d7f1b3e5a7ca70fe4ff75f0.us-east-1.aws.found.io/app/kibana#/discover/Steve-Slow-Train-Analysis-(2080s-and-2083s)?_g=(refreshInterval:(display:Off,pause:!f,section:0,value:0),time:(from:'2017-12-22T00:18:26-0700',mode:absolute,to:'2017-12-22T02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246" t="str">
        <f>IF(AA161&lt;VLOOKUP(AG161,Variables!$AC$3:$AD$8,2,FALSE),"Y","N")</f>
        <v>Y</v>
      </c>
      <c r="X161" s="246">
        <f t="shared" si="156"/>
        <v>1</v>
      </c>
      <c r="Y161" s="246">
        <f t="shared" si="162"/>
        <v>8.6351999999999993</v>
      </c>
      <c r="Z161" s="246">
        <f t="shared" si="163"/>
        <v>2.69E-2</v>
      </c>
      <c r="AA161" s="246">
        <f t="shared" si="132"/>
        <v>8.6082999999999998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133"/>
        <v>242</v>
      </c>
      <c r="AE161" s="234" t="str">
        <f t="shared" si="117"/>
        <v>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 &amp; 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</v>
      </c>
      <c r="AF161" s="233" t="str">
        <f t="shared" si="118"/>
        <v>"C:\Program Files (x86)\AstroGrep\AstroGrep.exe" /e /r /s /spath="%USERPROFILE%\AppData\Local\Temp\OnboardLogs" /stypes="app*4011*201712220*" /stext=" 08:.+?(?&gt;(PRM\|1\|D)|(KPR)|(KDP)|(train st[a-z]+ moving)|(SYSTEM_STATE:s[a-z]+ state changed)|(Enforcement Action)|(\[TIMEOUT)|(parse_ebi_status: Penalty)|(\|GPPS))"</v>
      </c>
      <c r="AG161" s="243" t="str">
        <f t="shared" si="134"/>
        <v>EC</v>
      </c>
      <c r="AH161" s="235" t="str">
        <f t="shared" si="136"/>
        <v>"%USERPROFILE%\Documents\GitHub\eaglep3\Utilities\RefineRTDCRunTimes.py" --tripid 242-21 --locoid 4011 --swversion DE.1.0.9.0 --startMP 204:86352 --initTime 2017-12-22T01:18:26 --startdatetime 2017-12-22T01:20:48 --delay 69 --endMP 204:269 --enddatetime 2017-12-22T01:39:08 --enforcementcount 0 &gt;&gt;%USERPROFILE%\Documents\GitHub\eaglep3-reporting\EC\2017-12-21-refined-times.txt</v>
      </c>
      <c r="AI161" s="237" t="str">
        <f t="shared" si="137"/>
        <v>echo {"issue":{"subject":"Wheel slip","project_id":79,"tracker_id":40,"status_id":1,"priority_id":2,"assigned_to_id":338,"start_date":"2017-12-22","description":"","custom_fields":[{"id":1,"name":"Subdivision","value":"EC"},{"id":4,"name":"Milepost","value":"0.0269"},{"id":17,"name":"Train ID","value":"242-21"},{"id":16,"name":"Locomotive ID","value":"4011"},{"id":130,"name":"Impact","value":""},{"id":150,"name":"Time of Event (Mountain Time)","value":"01:39:08"},{"id":151,"name":"Denver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2"/>
      <c r="AK161" s="230"/>
      <c r="AL161" s="230"/>
      <c r="AM161" s="239" t="str">
        <f t="shared" si="138"/>
        <v>start /low /b %USERPROFILE%\Documents\GitHub\eaglep3\Utilities\DownloadLogsFromS3.py --loco 4011 --day 2017-12-22</v>
      </c>
      <c r="AN161" s="240" t="str">
        <f t="shared" si="139"/>
        <v>echo {"issue":{"subject":"Wheel slip","project_id":30,"tracker_id":4,"status_id":1,"priority_id":1,"assigned_to_id":10,"start_date":"2017-12-22","description":"","custom_fields":[{"id":30,"name":"Category","value":"Issue"},{"id":3,"name":"Functional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08:39:08"},{"id":29,"name":"Sharepoint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140"/>
        <v>https://d0f6bd738d7f1b3e5a7ca70fe4ff75f0.us-east-1.aws.found.io/app/kibana#/discover/Steve-Slow-Train-Analysis-(2080s-and-2083s)?_g=(refreshInterval:(display:Off,pause:!f,section:0,value:0),time:(from:'2017-12-22T00:18:26-0700',mode:absolute,to:'2017-12-22T02:39:08-0700'))&amp;_a=(columns:!('Message%20ID',Summary),filters:!(),index:'emp_*',interval:auto,query:(query_string:(analyze_wildcard:!t,query:'%22rtdc.l.rtdc.4011%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886</v>
      </c>
      <c r="B162" s="224">
        <v>4054</v>
      </c>
      <c r="C162" s="226" t="s">
        <v>192</v>
      </c>
      <c r="D162" s="226" t="s">
        <v>1102</v>
      </c>
      <c r="E162" s="225">
        <v>43091.016759259262</v>
      </c>
      <c r="F162" s="225">
        <v>43091.021111111113</v>
      </c>
      <c r="G162" s="224">
        <v>111</v>
      </c>
      <c r="H162" s="226" t="s">
        <v>1103</v>
      </c>
      <c r="I162" s="225">
        <v>43091.046539351853</v>
      </c>
      <c r="J162" s="224">
        <v>0</v>
      </c>
      <c r="K162" s="236" t="str">
        <f t="shared" si="127"/>
        <v>4053/4054</v>
      </c>
      <c r="L162" s="244" t="str">
        <f>VLOOKUP(A162,'Trips&amp;Operators'!$C$1:$G$99911,5,FALSE)</f>
        <v>NICHOLSON WESLEY</v>
      </c>
      <c r="M162" s="223">
        <f t="shared" si="128"/>
        <v>2.5428240740438923E-2</v>
      </c>
      <c r="N162" s="224">
        <f t="shared" ref="N162:N193" si="164">24*60*SUM($M162:$M162)</f>
        <v>36.616666666232049</v>
      </c>
      <c r="O162" s="224"/>
      <c r="P162" s="224"/>
      <c r="Q162" s="227"/>
      <c r="R162" s="241"/>
      <c r="S162" s="248">
        <f t="shared" si="155"/>
        <v>1</v>
      </c>
      <c r="T162" s="241" t="str">
        <f t="shared" si="129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7" t="str">
        <f t="shared" si="113"/>
        <v>https://d0f6bd738d7f1b3e5a7ca70fe4ff75f0.us-east-1.aws.found.io/app/kibana#/discover/Steve-Slow-Train-Analysis-(2080s-and-2083s)?_g=(refreshInterval:(display:Off,pause:!f,section:0,value:0),time:(from:'2017-12-21T23:24:08-0700',mode:absolute,to:'2017-12-22T02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246" t="str">
        <f>IF(AA162&lt;VLOOKUP(AG162,Variables!$AC$3:$AD$8,2,FALSE),"Y","N")</f>
        <v>N</v>
      </c>
      <c r="X162" s="246">
        <f t="shared" si="156"/>
        <v>1</v>
      </c>
      <c r="Y162" s="246">
        <f t="shared" si="162"/>
        <v>5.2400000000000002E-2</v>
      </c>
      <c r="Z162" s="246">
        <f t="shared" si="163"/>
        <v>23.3187</v>
      </c>
      <c r="AA162" s="246">
        <f t="shared" si="132"/>
        <v>23.266300000000001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133"/>
        <v>243</v>
      </c>
      <c r="AE162" s="234" t="str">
        <f t="shared" si="117"/>
        <v>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 &amp; aws s3 cp s3://rtdc.mdm.uploadarchive.raw/RTDC4054/ "%USERPROFILE%\AppData\Local\Temp\OnboardLogs"\RTDC4054\2017-12-23 --exclude "*" --recursive --include "*20171223*" &amp; "%USERPROFILE%\Documents\GitHub\mrs-test-scripts\Headless Mode &amp; Sideloading\WalkAndUnGZ.bat" "%USERPROFILE%\AppData\Local\Temp\OnboardLogs"\RTDC4054\2017-12-23</v>
      </c>
      <c r="AF162" s="233" t="str">
        <f t="shared" si="118"/>
        <v>"C:\Program Files (x86)\AstroGrep\AstroGrep.exe" /e /r /s /spath="%USERPROFILE%\AppData\Local\Temp\OnboardLogs" /stypes="app*4054*201712220*" /stext=" 08:.+?(?&gt;(PRM\|1\|D)|(KPR)|(KDP)|(train st[a-z]+ moving)|(SYSTEM_STATE:s[a-z]+ state changed)|(Enforcement Action)|(\[TIMEOUT)|(parse_ebi_status: Penalty)|(\|GPPS))"</v>
      </c>
      <c r="AG162" s="243" t="str">
        <f t="shared" si="134"/>
        <v>EC</v>
      </c>
      <c r="AH162" s="235" t="str">
        <f t="shared" si="136"/>
        <v>"%USERPROFILE%\Documents\GitHub\eaglep3\Utilities\RefineRTDCRunTimes.py" --tripid 243-21 --locoid 4054 --swversion DE.1.0.9.0 --startMP 204:524 --initTime 2017-12-22T00:24:08 --startdatetime 2017-12-22T00:30:24 --delay 111 --endMP 204:233187 --enddatetime 2017-12-22T01:07:01 --enforcementcount 0 &gt;&gt;%USERPROFILE%\Documents\GitHub\eaglep3-reporting\EC\2017-12-21-refined-times.txt</v>
      </c>
      <c r="AI162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{"issue":{"subject":"","project_id":79,"tracker_id":40,"status_id":1,"priority_id":2,"assigned_to_id":338,"start_date":"2017-12-22","description":"","custom_fields":[{"id":1,"name":"Subdivision","value":"EC"},{"id":4,"name":"Milepost","value":"23.3187"},{"id":17,"name":"Train ID","value":"243-21"},{"id":16,"name":"Locomotive ID","value":"4054"},{"id":130,"name":"Impact","value":""},{"id":150,"name":"Time of Event (Mountain Time)","value":"01:07:01"},{"id":151,"name":"Denver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138"/>
        <v>start /low /b %USERPROFILE%\Documents\GitHub\eaglep3\Utilities\DownloadLogsFromS3.py --loco 4054 --day 2017-12-22</v>
      </c>
      <c r="AN162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08:07:01"},{"id":29,"name":"Sharepoint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140"/>
        <v>https://d0f6bd738d7f1b3e5a7ca70fe4ff75f0.us-east-1.aws.found.io/app/kibana#/discover/Steve-Slow-Train-Analysis-(2080s-and-2083s)?_g=(refreshInterval:(display:Off,pause:!f,section:0,value:0),time:(from:'2017-12-21T23:24:08-0700',mode:absolute,to:'2017-12-22T02:07:01-0700'))&amp;_a=(columns:!('Message%20ID',Summary),filters:!(),index:'emp_*',interval:auto,query:(query_string:(analyze_wildcard:!t,query:'%22rtdc.l.rtdc.4054%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890</v>
      </c>
      <c r="B163" s="224">
        <v>4053</v>
      </c>
      <c r="C163" s="226" t="s">
        <v>192</v>
      </c>
      <c r="D163" s="226" t="s">
        <v>1003</v>
      </c>
      <c r="E163" s="225">
        <v>43091.058067129627</v>
      </c>
      <c r="F163" s="225">
        <v>43091.060891203706</v>
      </c>
      <c r="G163" s="224">
        <v>82</v>
      </c>
      <c r="H163" s="226" t="s">
        <v>1004</v>
      </c>
      <c r="I163" s="225">
        <v>43091.087916666664</v>
      </c>
      <c r="J163" s="224">
        <v>0</v>
      </c>
      <c r="K163" s="236" t="str">
        <f t="shared" si="127"/>
        <v>4053/4054</v>
      </c>
      <c r="L163" s="244" t="str">
        <f>VLOOKUP(A163,'Trips&amp;Operators'!$C$1:$G$99911,5,FALSE)</f>
        <v>NICHOLSON WESLEY</v>
      </c>
      <c r="M163" s="223">
        <f t="shared" si="128"/>
        <v>2.7025462957681157E-2</v>
      </c>
      <c r="N163" s="224">
        <f t="shared" si="164"/>
        <v>38.916666659060866</v>
      </c>
      <c r="O163" s="224"/>
      <c r="P163" s="224"/>
      <c r="Q163" s="227"/>
      <c r="R163" s="241"/>
      <c r="S163" s="248">
        <f t="shared" si="155"/>
        <v>1</v>
      </c>
      <c r="T163" s="241" t="str">
        <f t="shared" si="129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47" t="str">
        <f t="shared" si="113"/>
        <v>https://d0f6bd738d7f1b3e5a7ca70fe4ff75f0.us-east-1.aws.found.io/app/kibana#/discover/Steve-Slow-Train-Analysis-(2080s-and-2083s)?_g=(refreshInterval:(display:Off,pause:!f,section:0,value:0),time:(from:'2017-12-22T00:23:37-0700',mode:absolute,to:'2017-12-22T03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246" t="str">
        <f>IF(AA163&lt;VLOOKUP(AG163,Variables!$AC$3:$AD$8,2,FALSE),"Y","N")</f>
        <v>N</v>
      </c>
      <c r="X163" s="246">
        <f t="shared" ref="X163:X187" si="165">VALUE(LEFT(AD163,4))-VALUE(LEFT(AD162,4))</f>
        <v>1</v>
      </c>
      <c r="Y163" s="246">
        <f t="shared" si="162"/>
        <v>23.2879</v>
      </c>
      <c r="Z163" s="246">
        <f t="shared" si="163"/>
        <v>2.3800000000000002E-2</v>
      </c>
      <c r="AA163" s="246">
        <f t="shared" si="132"/>
        <v>23.264099999999999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133"/>
        <v>244</v>
      </c>
      <c r="AE163" s="234" t="str">
        <f t="shared" si="117"/>
        <v>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 &amp; aws s3 cp s3://rtdc.mdm.uploadarchive.raw/RTDC4053/ "%USERPROFILE%\AppData\Local\Temp\OnboardLogs"\RTDC4053\2017-12-23 --exclude "*" --recursive --include "*20171223*" &amp; "%USERPROFILE%\Documents\GitHub\mrs-test-scripts\Headless Mode &amp; Sideloading\WalkAndUnGZ.bat" "%USERPROFILE%\AppData\Local\Temp\OnboardLogs"\RTDC4053\2017-12-23</v>
      </c>
      <c r="AF163" s="233" t="str">
        <f t="shared" si="118"/>
        <v>"C:\Program Files (x86)\AstroGrep\AstroGrep.exe" /e /r /s /spath="%USERPROFILE%\AppData\Local\Temp\OnboardLogs" /stypes="app*4053*201712220*" /stext=" 09:.+?(?&gt;(PRM\|1\|D)|(KPR)|(KDP)|(train st[a-z]+ moving)|(SYSTEM_STATE:s[a-z]+ state changed)|(Enforcement Action)|(\[TIMEOUT)|(parse_ebi_status: Penalty)|(\|GPPS))"</v>
      </c>
      <c r="AG163" s="243" t="str">
        <f t="shared" si="134"/>
        <v>EC</v>
      </c>
      <c r="AH163" s="235" t="str">
        <f t="shared" si="136"/>
        <v>"%USERPROFILE%\Documents\GitHub\eaglep3\Utilities\RefineRTDCRunTimes.py" --tripid 244-21 --locoid 4053 --swversion DE.1.0.9.0 --startMP 204:232879 --initTime 2017-12-22T01:23:37 --startdatetime 2017-12-22T01:27:41 --delay 82 --endMP 204:238 --enddatetime 2017-12-22T02:06:36 --enforcementcount 0 &gt;&gt;%USERPROFILE%\Documents\GitHub\eaglep3-reporting\EC\2017-12-21-refined-times.txt</v>
      </c>
      <c r="AI163" s="237" t="str">
        <f t="shared" si="137"/>
        <v>echo {"issue":{"subject":"","project_id":79,"tracker_id":40,"status_id":1,"priority_id":2,"assigned_to_id":338,"start_date":"2017-12-22","description":"","custom_fields":[{"id":1,"name":"Subdivision","value":"EC"},{"id":4,"name":"Milepost","value":"0.0238"},{"id":17,"name":"Train ID","value":"244-21"},{"id":16,"name":"Locomotive ID","value":"4053"},{"id":130,"name":"Impact","value":""},{"id":150,"name":"Time of Event (Mountain Time)","value":"02:06:36"},{"id":151,"name":"Denver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138"/>
        <v>start /low /b %USERPROFILE%\Documents\GitHub\eaglep3\Utilities\DownloadLogsFromS3.py --loco 4053 --day 2017-12-22</v>
      </c>
      <c r="AN163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09:06:36"},{"id":29,"name":"Sharepoint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140"/>
        <v>https://d0f6bd738d7f1b3e5a7ca70fe4ff75f0.us-east-1.aws.found.io/app/kibana#/discover/Steve-Slow-Train-Analysis-(2080s-and-2083s)?_g=(refreshInterval:(display:Off,pause:!f,section:0,value:0),time:(from:'2017-12-22T00:23:37-0700',mode:absolute,to:'2017-12-22T03:06:36-0700'))&amp;_a=(columns:!('Message%20ID',Summary),filters:!(),index:'emp_*',interval:auto,query:(query_string:(analyze_wildcard:!t,query:'%22rtdc.l.rtdc.4053%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2" customFormat="1" x14ac:dyDescent="0.25">
      <c r="A164" s="228" t="s">
        <v>654</v>
      </c>
      <c r="B164" s="224">
        <v>4035</v>
      </c>
      <c r="C164" s="226" t="s">
        <v>192</v>
      </c>
      <c r="D164" s="226" t="s">
        <v>1024</v>
      </c>
      <c r="E164" s="225">
        <v>43090.207743055558</v>
      </c>
      <c r="F164" s="225">
        <v>43090.217685185184</v>
      </c>
      <c r="G164" s="224">
        <v>69</v>
      </c>
      <c r="H164" s="226" t="s">
        <v>1025</v>
      </c>
      <c r="I164" s="225">
        <v>43090.224444444444</v>
      </c>
      <c r="J164" s="224">
        <v>0</v>
      </c>
      <c r="K164" s="236" t="str">
        <f t="shared" si="127"/>
        <v>4035/4036</v>
      </c>
      <c r="L164" s="244" t="str">
        <f>VLOOKUP(A164,'Trips&amp;Operators'!$C$1:$G$99911,5,FALSE)</f>
        <v>LOPES KIMBERLY</v>
      </c>
      <c r="M164" s="223">
        <f t="shared" si="128"/>
        <v>6.7592592604341917E-3</v>
      </c>
      <c r="N164" s="224">
        <f t="shared" si="164"/>
        <v>9.733333335025236</v>
      </c>
      <c r="O164" s="224"/>
      <c r="P164" s="224"/>
      <c r="Q164" s="227"/>
      <c r="R164" s="241"/>
      <c r="S164" s="248">
        <f t="shared" si="155"/>
        <v>1</v>
      </c>
      <c r="T164" s="241" t="str">
        <f t="shared" si="129"/>
        <v>Southbound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113"/>
        <v>https://d0f6bd738d7f1b3e5a7ca70fe4ff75f0.us-east-1.aws.found.io/app/kibana#/discover/Steve-Slow-Train-Analysis-(2080s-and-2083s)?_g=(refreshInterval:(display:Off,pause:!f,section:0,value:0),time:(from:'2017-12-21T03:59:09-0700',mode:absolute,to:'2017-12-21T06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4" s="246" t="str">
        <f>IF(AA164&lt;VLOOKUP(AG164,Variables!$AC$3:$AD$8,2,FALSE),"Y","N")</f>
        <v>Y</v>
      </c>
      <c r="X164" s="246">
        <f t="shared" si="165"/>
        <v>556</v>
      </c>
      <c r="Y164" s="246">
        <f t="shared" si="162"/>
        <v>5.8643000000000001</v>
      </c>
      <c r="Z164" s="246">
        <f t="shared" si="163"/>
        <v>0.45200000000000001</v>
      </c>
      <c r="AA164" s="246">
        <f t="shared" si="132"/>
        <v>5.4123000000000001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133"/>
        <v>800</v>
      </c>
      <c r="AE164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64" s="233" t="str">
        <f t="shared" si="118"/>
        <v>"C:\Program Files (x86)\AstroGrep\AstroGrep.exe" /e /r /s /spath="%USERPROFILE%\AppData\Local\Temp\OnboardLogs" /stypes="app*4035*201712211*" /stext=" 12:.+?(?&gt;(PRM\|1\|D)|(KPR)|(KDP)|(train st[a-z]+ moving)|(SYSTEM_STATE:s[a-z]+ state changed)|(Enforcement Action)|(\[TIMEOUT)|(parse_ebi_status: Penalty)|(\|GPPS))"</v>
      </c>
      <c r="AG164" s="243" t="str">
        <f t="shared" si="134"/>
        <v>NW</v>
      </c>
      <c r="AH164" s="235" t="str">
        <f t="shared" si="136"/>
        <v>"%USERPROFILE%\Documents\GitHub\eaglep3\Utilities\RefineRTDCRunTimes.py" --tripid 800-21 --locoid 4035 --swversion DE.1.0.9.0 --startMP 300:58643 --initTime 2017-12-21T04:59:09 --startdatetime 2017-12-21T05:13:28 --delay 69 --endMP 204:4520 --enddatetime 2017-12-21T05:23:12 --enforcementcount 0 &gt;&gt;%USERPROFILE%\Documents\GitHub\eaglep3-reporting\EC\2017-12-21-refined-times.txt</v>
      </c>
      <c r="AI164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{"issue":{"subject":"","project_id":79,"tracker_id":40,"status_id":1,"priority_id":2,"assigned_to_id":338,"start_date":"2017-12-21","description":"","custom_fields":[{"id":1,"name":"Subdivision","value":"NW"},{"id":4,"name":"Milepost","value":"0.452"},{"id":17,"name":"Train ID","value":"800-21"},{"id":16,"name":"Locomotive ID","value":"4035"},{"id":130,"name":"Impact","value":""},{"id":150,"name":"Time of Event (Mountain Time)","value":"05:23:12"},{"id":151,"name":"Denver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0"/>
      <c r="AL164" s="230"/>
      <c r="AM164" s="239" t="str">
        <f t="shared" si="138"/>
        <v>start /low /b %USERPROFILE%\Documents\GitHub\eaglep3\Utilities\DownloadLogsFromS3.py --loco 4035 --day 2017-12-21</v>
      </c>
      <c r="AN164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140"/>
        <v>https://d0f6bd738d7f1b3e5a7ca70fe4ff75f0.us-east-1.aws.found.io/app/kibana#/discover/Steve-Slow-Train-Analysis-(2080s-and-2083s)?_g=(refreshInterval:(display:Off,pause:!f,section:0,value:0),time:(from:'2017-12-21T03:59:09-0700',mode:absolute,to:'2017-12-21T06:23:12-0700'))&amp;_a=(columns:!('Message%20ID',Summary),filters:!(),index:'emp_*',interval:auto,query:(query_string:(analyze_wildcard:!t,query:'%22rtdc.l.rtdc.4035%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712</v>
      </c>
      <c r="B165" s="224">
        <v>4036</v>
      </c>
      <c r="C165" s="226" t="s">
        <v>192</v>
      </c>
      <c r="D165" s="226" t="s">
        <v>503</v>
      </c>
      <c r="E165" s="225">
        <v>43090.228483796294</v>
      </c>
      <c r="F165" s="225">
        <v>43090.235590277778</v>
      </c>
      <c r="G165" s="224">
        <v>69</v>
      </c>
      <c r="H165" s="226" t="s">
        <v>1026</v>
      </c>
      <c r="I165" s="225">
        <v>43090.244976851849</v>
      </c>
      <c r="J165" s="224">
        <v>0</v>
      </c>
      <c r="K165" s="236" t="str">
        <f t="shared" si="127"/>
        <v>4035/4036</v>
      </c>
      <c r="L165" s="244" t="str">
        <f>VLOOKUP(A165,'Trips&amp;Operators'!$C$1:$G$99911,5,FALSE)</f>
        <v>LOPES KIMBERLY</v>
      </c>
      <c r="M165" s="223">
        <f t="shared" si="128"/>
        <v>9.3865740709588863E-3</v>
      </c>
      <c r="N165" s="224">
        <f t="shared" si="164"/>
        <v>13.516666662180796</v>
      </c>
      <c r="O165" s="224"/>
      <c r="P165" s="224"/>
      <c r="Q165" s="227"/>
      <c r="R165" s="241"/>
      <c r="S165" s="248">
        <f t="shared" si="155"/>
        <v>1</v>
      </c>
      <c r="T165" s="241" t="str">
        <f t="shared" si="129"/>
        <v>NorthBound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113"/>
        <v>https://d0f6bd738d7f1b3e5a7ca70fe4ff75f0.us-east-1.aws.found.io/app/kibana#/discover/Steve-Slow-Train-Analysis-(2080s-and-2083s)?_g=(refreshInterval:(display:Off,pause:!f,section:0,value:0),time:(from:'2017-12-21T04:29:01-0700',mode:absolute,to:'2017-12-21T06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5" s="246" t="str">
        <f>IF(AA165&lt;VLOOKUP(AG165,Variables!$AC$3:$AD$8,2,FALSE),"Y","N")</f>
        <v>N</v>
      </c>
      <c r="X165" s="246">
        <f t="shared" si="165"/>
        <v>1</v>
      </c>
      <c r="Y165" s="246">
        <f t="shared" si="162"/>
        <v>4.41E-2</v>
      </c>
      <c r="Z165" s="246">
        <f t="shared" si="163"/>
        <v>5.8943000000000003</v>
      </c>
      <c r="AA165" s="246">
        <f t="shared" si="132"/>
        <v>5.8502000000000001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133"/>
        <v>801</v>
      </c>
      <c r="AE165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65" s="233" t="str">
        <f t="shared" si="118"/>
        <v>"C:\Program Files (x86)\AstroGrep\AstroGrep.exe" /e /r /s /spath="%USERPROFILE%\AppData\Local\Temp\OnboardLogs" /stypes="app*4036*201712211*" /stext=" 12:.+?(?&gt;(PRM\|1\|D)|(KPR)|(KDP)|(train st[a-z]+ moving)|(SYSTEM_STATE:s[a-z]+ state changed)|(Enforcement Action)|(\[TIMEOUT)|(parse_ebi_status: Penalty)|(\|GPPS))"</v>
      </c>
      <c r="AG165" s="243" t="str">
        <f t="shared" si="134"/>
        <v>NW</v>
      </c>
      <c r="AH165" s="235" t="str">
        <f t="shared" si="136"/>
        <v>"%USERPROFILE%\Documents\GitHub\eaglep3\Utilities\RefineRTDCRunTimes.py" --tripid 801-21 --locoid 4036 --swversion DE.1.0.9.0 --startMP 204:441 --initTime 2017-12-21T05:29:01 --startdatetime 2017-12-21T05:39:15 --delay 69 --endMP 300:58943 --enddatetime 2017-12-21T05:52:46 --enforcementcount 0 &gt;&gt;%USERPROFILE%\Documents\GitHub\eaglep3-reporting\EC\2017-12-21-refined-times.txt</v>
      </c>
      <c r="AI165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{"issue":{"subject":"","project_id":79,"tracker_id":40,"status_id":1,"priority_id":2,"assigned_to_id":338,"start_date":"2017-12-21","description":"","custom_fields":[{"id":1,"name":"Subdivision","value":"NW"},{"id":4,"name":"Milepost","value":"5.8943"},{"id":17,"name":"Train ID","value":"801-21"},{"id":16,"name":"Locomotive ID","value":"4036"},{"id":130,"name":"Impact","value":""},{"id":150,"name":"Time of Event (Mountain Time)","value":"05:52:46"},{"id":151,"name":"Denver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138"/>
        <v>start /low /b %USERPROFILE%\Documents\GitHub\eaglep3\Utilities\DownloadLogsFromS3.py --loco 4036 --day 2017-12-21</v>
      </c>
      <c r="AN165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140"/>
        <v>https://d0f6bd738d7f1b3e5a7ca70fe4ff75f0.us-east-1.aws.found.io/app/kibana#/discover/Steve-Slow-Train-Analysis-(2080s-and-2083s)?_g=(refreshInterval:(display:Off,pause:!f,section:0,value:0),time:(from:'2017-12-21T04:29:01-0700',mode:absolute,to:'2017-12-21T06:52:46-0700'))&amp;_a=(columns:!('Message%20ID',Summary),filters:!(),index:'emp_*',interval:auto,query:(query_string:(analyze_wildcard:!t,query:'%22rtdc.l.rtdc.4036%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717</v>
      </c>
      <c r="B166" s="224">
        <v>4035</v>
      </c>
      <c r="C166" s="226" t="s">
        <v>192</v>
      </c>
      <c r="D166" s="226" t="s">
        <v>1027</v>
      </c>
      <c r="E166" s="225">
        <v>43090.246423611112</v>
      </c>
      <c r="F166" s="225">
        <v>43090.258333333331</v>
      </c>
      <c r="G166" s="224">
        <v>52</v>
      </c>
      <c r="H166" s="226" t="s">
        <v>1028</v>
      </c>
      <c r="I166" s="225">
        <v>43090.267847222225</v>
      </c>
      <c r="J166" s="224">
        <v>0</v>
      </c>
      <c r="K166" s="236" t="str">
        <f t="shared" si="127"/>
        <v>4035/4036</v>
      </c>
      <c r="L166" s="244" t="str">
        <f>VLOOKUP(A166,'Trips&amp;Operators'!$C$1:$G$99911,5,FALSE)</f>
        <v>LOPES KIMBERLY</v>
      </c>
      <c r="M166" s="223">
        <f t="shared" si="128"/>
        <v>9.5138888937071897E-3</v>
      </c>
      <c r="N166" s="224">
        <f t="shared" si="164"/>
        <v>13.700000006938353</v>
      </c>
      <c r="O166" s="224"/>
      <c r="P166" s="224"/>
      <c r="Q166" s="227"/>
      <c r="R166" s="241"/>
      <c r="S166" s="248">
        <f t="shared" si="155"/>
        <v>1</v>
      </c>
      <c r="T166" s="241" t="str">
        <f t="shared" si="129"/>
        <v>Southbound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113"/>
        <v>https://d0f6bd738d7f1b3e5a7ca70fe4ff75f0.us-east-1.aws.found.io/app/kibana#/discover/Steve-Slow-Train-Analysis-(2080s-and-2083s)?_g=(refreshInterval:(display:Off,pause:!f,section:0,value:0),time:(from:'2017-12-21T04:54:51-0700',mode:absolute,to:'2017-12-21T07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6" s="246" t="str">
        <f>IF(AA166&lt;VLOOKUP(AG166,Variables!$AC$3:$AD$8,2,FALSE),"Y","N")</f>
        <v>N</v>
      </c>
      <c r="X166" s="246">
        <f t="shared" si="165"/>
        <v>1</v>
      </c>
      <c r="Y166" s="246">
        <f t="shared" si="162"/>
        <v>5.8628</v>
      </c>
      <c r="Z166" s="246">
        <f t="shared" si="163"/>
        <v>1.15E-2</v>
      </c>
      <c r="AA166" s="246">
        <f t="shared" si="132"/>
        <v>5.8513000000000002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133"/>
        <v>802</v>
      </c>
      <c r="AE166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66" s="233" t="str">
        <f t="shared" si="118"/>
        <v>"C:\Program Files (x86)\AstroGrep\AstroGrep.exe" /e /r /s /spath="%USERPROFILE%\AppData\Local\Temp\OnboardLogs" /stypes="app*4035*201712211*" /stext=" 13:.+?(?&gt;(PRM\|1\|D)|(KPR)|(KDP)|(train st[a-z]+ moving)|(SYSTEM_STATE:s[a-z]+ state changed)|(Enforcement Action)|(\[TIMEOUT)|(parse_ebi_status: Penalty)|(\|GPPS))"</v>
      </c>
      <c r="AG166" s="243" t="str">
        <f t="shared" si="134"/>
        <v>NW</v>
      </c>
      <c r="AH166" s="235" t="str">
        <f t="shared" si="136"/>
        <v>"%USERPROFILE%\Documents\GitHub\eaglep3\Utilities\RefineRTDCRunTimes.py" --tripid 802-21 --locoid 4035 --swversion DE.1.0.9.0 --startMP 300:58628 --initTime 2017-12-21T05:54:51 --startdatetime 2017-12-21T06:12:00 --delay 52 --endMP 204:115 --enddatetime 2017-12-21T06:25:42 --enforcementcount 0 &gt;&gt;%USERPROFILE%\Documents\GitHub\eaglep3-reporting\EC\2017-12-21-refined-times.txt</v>
      </c>
      <c r="AI166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{"issue":{"subject":"","project_id":79,"tracker_id":40,"status_id":1,"priority_id":2,"assigned_to_id":338,"start_date":"2017-12-21","description":"","custom_fields":[{"id":1,"name":"Subdivision","value":"NW"},{"id":4,"name":"Milepost","value":"0.0115"},{"id":17,"name":"Train ID","value":"802-21"},{"id":16,"name":"Locomotive ID","value":"4035"},{"id":130,"name":"Impact","value":""},{"id":150,"name":"Time of Event (Mountain Time)","value":"06:25:42"},{"id":151,"name":"Denver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138"/>
        <v>start /low /b %USERPROFILE%\Documents\GitHub\eaglep3\Utilities\DownloadLogsFromS3.py --loco 4035 --day 2017-12-21</v>
      </c>
      <c r="AN166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140"/>
        <v>https://d0f6bd738d7f1b3e5a7ca70fe4ff75f0.us-east-1.aws.found.io/app/kibana#/discover/Steve-Slow-Train-Analysis-(2080s-and-2083s)?_g=(refreshInterval:(display:Off,pause:!f,section:0,value:0),time:(from:'2017-12-21T04:54:51-0700',mode:absolute,to:'2017-12-21T07:25:42-0700'))&amp;_a=(columns:!('Message%20ID',Summary),filters:!(),index:'emp_*',interval:auto,query:(query_string:(analyze_wildcard:!t,query:'%22rtdc.l.rtdc.4035%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660</v>
      </c>
      <c r="B167" s="224">
        <v>4006</v>
      </c>
      <c r="C167" s="226" t="s">
        <v>192</v>
      </c>
      <c r="D167" s="226" t="s">
        <v>503</v>
      </c>
      <c r="E167" s="225">
        <v>43090.252615740741</v>
      </c>
      <c r="F167" s="225">
        <v>43090.256412037037</v>
      </c>
      <c r="G167" s="224">
        <v>71</v>
      </c>
      <c r="H167" s="226" t="s">
        <v>1029</v>
      </c>
      <c r="I167" s="225">
        <v>43090.267465277779</v>
      </c>
      <c r="J167" s="224">
        <v>0</v>
      </c>
      <c r="K167" s="236" t="str">
        <f t="shared" si="127"/>
        <v>4005/4006</v>
      </c>
      <c r="L167" s="244" t="str">
        <f>VLOOKUP(A167,'Trips&amp;Operators'!$C$1:$G$99911,5,FALSE)</f>
        <v>FORTUNATO FRANK</v>
      </c>
      <c r="M167" s="223">
        <f t="shared" si="128"/>
        <v>1.1053240741603076E-2</v>
      </c>
      <c r="N167" s="224">
        <f t="shared" si="164"/>
        <v>15.91666666790843</v>
      </c>
      <c r="O167" s="224"/>
      <c r="P167" s="224"/>
      <c r="Q167" s="227"/>
      <c r="R167" s="241"/>
      <c r="S167" s="248">
        <f t="shared" si="155"/>
        <v>1</v>
      </c>
      <c r="T167" s="241" t="str">
        <f t="shared" si="129"/>
        <v>NorthBound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113"/>
        <v>https://d0f6bd738d7f1b3e5a7ca70fe4ff75f0.us-east-1.aws.found.io/app/kibana#/discover/Steve-Slow-Train-Analysis-(2080s-and-2083s)?_g=(refreshInterval:(display:Off,pause:!f,section:0,value:0),time:(from:'2017-12-21T05:03:46-0700',mode:absolute,to:'2017-12-21T07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246" t="str">
        <f>IF(AA167&lt;VLOOKUP(AG167,Variables!$AC$3:$AD$8,2,FALSE),"Y","N")</f>
        <v>N</v>
      </c>
      <c r="X167" s="246">
        <f t="shared" si="165"/>
        <v>1</v>
      </c>
      <c r="Y167" s="246">
        <f t="shared" si="162"/>
        <v>4.41E-2</v>
      </c>
      <c r="Z167" s="246">
        <f t="shared" si="163"/>
        <v>5.899</v>
      </c>
      <c r="AA167" s="246">
        <f t="shared" si="132"/>
        <v>5.8548999999999998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133"/>
        <v>803</v>
      </c>
      <c r="AE167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67" s="233" t="str">
        <f t="shared" si="118"/>
        <v>"C:\Program Files (x86)\AstroGrep\AstroGrep.exe" /e /r /s /spath="%USERPROFILE%\AppData\Local\Temp\OnboardLogs" /stypes="app*4006*201712211*" /stext=" 13:.+?(?&gt;(PRM\|1\|D)|(KPR)|(KDP)|(train st[a-z]+ moving)|(SYSTEM_STATE:s[a-z]+ state changed)|(Enforcement Action)|(\[TIMEOUT)|(parse_ebi_status: Penalty)|(\|GPPS))"</v>
      </c>
      <c r="AG167" s="243" t="str">
        <f t="shared" si="134"/>
        <v>NW</v>
      </c>
      <c r="AH167" s="235" t="str">
        <f t="shared" si="136"/>
        <v>"%USERPROFILE%\Documents\GitHub\eaglep3\Utilities\RefineRTDCRunTimes.py" --tripid 803-21 --locoid 4006 --swversion DE.1.0.9.0 --startMP 204:441 --initTime 2017-12-21T06:03:46 --startdatetime 2017-12-21T06:09:14 --delay 71 --endMP 300:58990 --enddatetime 2017-12-21T06:25:09 --enforcementcount 0 &gt;&gt;%USERPROFILE%\Documents\GitHub\eaglep3-reporting\EC\2017-12-21-refined-times.txt</v>
      </c>
      <c r="AI167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{"issue":{"subject":"","project_id":79,"tracker_id":40,"status_id":1,"priority_id":2,"assigned_to_id":338,"start_date":"2017-12-21","description":"","custom_fields":[{"id":1,"name":"Subdivision","value":"NW"},{"id":4,"name":"Milepost","value":"5.899"},{"id":17,"name":"Train ID","value":"803-21"},{"id":16,"name":"Locomotive ID","value":"4006"},{"id":130,"name":"Impact","value":""},{"id":150,"name":"Time of Event (Mountain Time)","value":"06:25:09"},{"id":151,"name":"Denver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138"/>
        <v>start /low /b %USERPROFILE%\Documents\GitHub\eaglep3\Utilities\DownloadLogsFromS3.py --loco 4006 --day 2017-12-21</v>
      </c>
      <c r="AN167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140"/>
        <v>https://d0f6bd738d7f1b3e5a7ca70fe4ff75f0.us-east-1.aws.found.io/app/kibana#/discover/Steve-Slow-Train-Analysis-(2080s-and-2083s)?_g=(refreshInterval:(display:Off,pause:!f,section:0,value:0),time:(from:'2017-12-21T05:03:46-0700',mode:absolute,to:'2017-12-21T07:25:09-0700'))&amp;_a=(columns:!('Message%20ID',Summary),filters:!(),index:'emp_*',interval:auto,query:(query_string:(analyze_wildcard:!t,query:'%22rtdc.l.rtdc.4006%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722</v>
      </c>
      <c r="B168" s="224">
        <v>4005</v>
      </c>
      <c r="C168" s="226" t="s">
        <v>192</v>
      </c>
      <c r="D168" s="226" t="s">
        <v>1030</v>
      </c>
      <c r="E168" s="225">
        <v>43090.268692129626</v>
      </c>
      <c r="F168" s="225">
        <v>43090.279166666667</v>
      </c>
      <c r="G168" s="224">
        <v>71</v>
      </c>
      <c r="H168" s="226" t="s">
        <v>506</v>
      </c>
      <c r="I168" s="225">
        <v>43090.288680555554</v>
      </c>
      <c r="J168" s="224">
        <v>0</v>
      </c>
      <c r="K168" s="236" t="str">
        <f t="shared" si="127"/>
        <v>4005/4006</v>
      </c>
      <c r="L168" s="244" t="str">
        <f>VLOOKUP(A168,'Trips&amp;Operators'!$C$1:$G$99911,5,FALSE)</f>
        <v>FORTUNATO FRANK</v>
      </c>
      <c r="M168" s="223">
        <f t="shared" si="128"/>
        <v>9.5138888864312321E-3</v>
      </c>
      <c r="N168" s="224">
        <f t="shared" si="164"/>
        <v>13.699999996460974</v>
      </c>
      <c r="O168" s="224"/>
      <c r="P168" s="224"/>
      <c r="Q168" s="227"/>
      <c r="R168" s="241"/>
      <c r="S168" s="248">
        <f t="shared" si="155"/>
        <v>1</v>
      </c>
      <c r="T168" s="241" t="str">
        <f t="shared" si="129"/>
        <v>Southbound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113"/>
        <v>https://d0f6bd738d7f1b3e5a7ca70fe4ff75f0.us-east-1.aws.found.io/app/kibana#/discover/Steve-Slow-Train-Analysis-(2080s-and-2083s)?_g=(refreshInterval:(display:Off,pause:!f,section:0,value:0),time:(from:'2017-12-21T05:26:55-0700',mode:absolute,to:'2017-12-21T07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246" t="str">
        <f>IF(AA168&lt;VLOOKUP(AG168,Variables!$AC$3:$AD$8,2,FALSE),"Y","N")</f>
        <v>N</v>
      </c>
      <c r="X168" s="246">
        <f t="shared" si="165"/>
        <v>1</v>
      </c>
      <c r="Y168" s="246">
        <f t="shared" si="162"/>
        <v>5.8673000000000002</v>
      </c>
      <c r="Z168" s="246">
        <f t="shared" si="163"/>
        <v>1.6899999999999998E-2</v>
      </c>
      <c r="AA168" s="246">
        <f t="shared" si="132"/>
        <v>5.8504000000000005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133"/>
        <v>804</v>
      </c>
      <c r="AE168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68" s="233" t="str">
        <f t="shared" si="118"/>
        <v>"C:\Program Files (x86)\AstroGrep\AstroGrep.exe" /e /r /s /spath="%USERPROFILE%\AppData\Local\Temp\OnboardLogs" /stypes="app*4005*201712211*" /stext=" 13:.+?(?&gt;(PRM\|1\|D)|(KPR)|(KDP)|(train st[a-z]+ moving)|(SYSTEM_STATE:s[a-z]+ state changed)|(Enforcement Action)|(\[TIMEOUT)|(parse_ebi_status: Penalty)|(\|GPPS))"</v>
      </c>
      <c r="AG168" s="243" t="str">
        <f t="shared" si="134"/>
        <v>NW</v>
      </c>
      <c r="AH168" s="235" t="str">
        <f t="shared" si="136"/>
        <v>"%USERPROFILE%\Documents\GitHub\eaglep3\Utilities\RefineRTDCRunTimes.py" --tripid 804-21 --locoid 4005 --swversion DE.1.0.9.0 --startMP 300:58673 --initTime 2017-12-21T06:26:55 --startdatetime 2017-12-21T06:42:00 --delay 71 --endMP 204:169 --enddatetime 2017-12-21T06:55:42 --enforcementcount 0 &gt;&gt;%USERPROFILE%\Documents\GitHub\eaglep3-reporting\EC\2017-12-21-refined-times.txt</v>
      </c>
      <c r="AI168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{"issue":{"subject":"","project_id":79,"tracker_id":40,"status_id":1,"priority_id":2,"assigned_to_id":338,"start_date":"2017-12-21","description":"","custom_fields":[{"id":1,"name":"Subdivision","value":"NW"},{"id":4,"name":"Milepost","value":"0.0169"},{"id":17,"name":"Train ID","value":"804-21"},{"id":16,"name":"Locomotive ID","value":"4005"},{"id":130,"name":"Impact","value":""},{"id":150,"name":"Time of Event (Mountain Time)","value":"06:55:42"},{"id":151,"name":"Denver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138"/>
        <v>start /low /b %USERPROFILE%\Documents\GitHub\eaglep3\Utilities\DownloadLogsFromS3.py --loco 4005 --day 2017-12-21</v>
      </c>
      <c r="AN168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140"/>
        <v>https://d0f6bd738d7f1b3e5a7ca70fe4ff75f0.us-east-1.aws.found.io/app/kibana#/discover/Steve-Slow-Train-Analysis-(2080s-and-2083s)?_g=(refreshInterval:(display:Off,pause:!f,section:0,value:0),time:(from:'2017-12-21T05:26:55-0700',mode:absolute,to:'2017-12-21T07:55:42-0700'))&amp;_a=(columns:!('Message%20ID',Summary),filters:!(),index:'emp_*',interval:auto,query:(query_string:(analyze_wildcard:!t,query:'%22rtdc.l.rtdc.4005%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661</v>
      </c>
      <c r="B169" s="224">
        <v>4036</v>
      </c>
      <c r="C169" s="226" t="s">
        <v>192</v>
      </c>
      <c r="D169" s="226" t="s">
        <v>1031</v>
      </c>
      <c r="E169" s="225">
        <v>43090.269143518519</v>
      </c>
      <c r="F169" s="225">
        <v>43090.277789351851</v>
      </c>
      <c r="G169" s="224">
        <v>54</v>
      </c>
      <c r="H169" s="226" t="s">
        <v>530</v>
      </c>
      <c r="I169" s="225">
        <v>43090.288032407407</v>
      </c>
      <c r="J169" s="224">
        <v>0</v>
      </c>
      <c r="K169" s="236" t="str">
        <f t="shared" si="127"/>
        <v>4035/4036</v>
      </c>
      <c r="L169" s="244" t="str">
        <f>VLOOKUP(A169,'Trips&amp;Operators'!$C$1:$G$99911,5,FALSE)</f>
        <v>LOPES KIMBERLY</v>
      </c>
      <c r="M169" s="223">
        <f t="shared" si="128"/>
        <v>1.0243055556202307E-2</v>
      </c>
      <c r="N169" s="224">
        <f t="shared" si="164"/>
        <v>14.750000000931323</v>
      </c>
      <c r="O169" s="224"/>
      <c r="P169" s="224"/>
      <c r="Q169" s="227"/>
      <c r="R169" s="241"/>
      <c r="S169" s="248">
        <f t="shared" si="155"/>
        <v>1</v>
      </c>
      <c r="T169" s="241" t="str">
        <f t="shared" si="129"/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113"/>
        <v>https://d0f6bd738d7f1b3e5a7ca70fe4ff75f0.us-east-1.aws.found.io/app/kibana#/discover/Steve-Slow-Train-Analysis-(2080s-and-2083s)?_g=(refreshInterval:(display:Off,pause:!f,section:0,value:0),time:(from:'2017-12-21T05:27:34-0700',mode:absolute,to:'2017-12-21T07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9" s="246" t="str">
        <f>IF(AA169&lt;VLOOKUP(AG169,Variables!$AC$3:$AD$8,2,FALSE),"Y","N")</f>
        <v>N</v>
      </c>
      <c r="X169" s="246">
        <f t="shared" si="165"/>
        <v>1</v>
      </c>
      <c r="Y169" s="246">
        <f t="shared" si="162"/>
        <v>4.19E-2</v>
      </c>
      <c r="Z169" s="246">
        <f t="shared" si="163"/>
        <v>5.8929</v>
      </c>
      <c r="AA169" s="246">
        <f t="shared" si="132"/>
        <v>5.851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133"/>
        <v>805</v>
      </c>
      <c r="AE169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69" s="233" t="str">
        <f t="shared" si="118"/>
        <v>"C:\Program Files (x86)\AstroGrep\AstroGrep.exe" /e /r /s /spath="%USERPROFILE%\AppData\Local\Temp\OnboardLogs" /stypes="app*4036*201712211*" /stext=" 13:.+?(?&gt;(PRM\|1\|D)|(KPR)|(KDP)|(train st[a-z]+ moving)|(SYSTEM_STATE:s[a-z]+ state changed)|(Enforcement Action)|(\[TIMEOUT)|(parse_ebi_status: Penalty)|(\|GPPS))"</v>
      </c>
      <c r="AG169" s="243" t="str">
        <f t="shared" si="134"/>
        <v>NW</v>
      </c>
      <c r="AH169" s="235" t="str">
        <f t="shared" si="136"/>
        <v>"%USERPROFILE%\Documents\GitHub\eaglep3\Utilities\RefineRTDCRunTimes.py" --tripid 805-21 --locoid 4036 --swversion DE.1.0.9.0 --startMP 204:419 --initTime 2017-12-21T06:27:34 --startdatetime 2017-12-21T06:40:01 --delay 54 --endMP 300:58929 --enddatetime 2017-12-21T06:54:46 --enforcementcount 0 &gt;&gt;%USERPROFILE%\Documents\GitHub\eaglep3-reporting\EC\2017-12-21-refined-times.txt</v>
      </c>
      <c r="AI169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{"issue":{"subject":"","project_id":79,"tracker_id":40,"status_id":1,"priority_id":2,"assigned_to_id":338,"start_date":"2017-12-21","description":"","custom_fields":[{"id":1,"name":"Subdivision","value":"NW"},{"id":4,"name":"Milepost","value":"5.8929"},{"id":17,"name":"Train ID","value":"805-21"},{"id":16,"name":"Locomotive ID","value":"4036"},{"id":130,"name":"Impact","value":""},{"id":150,"name":"Time of Event (Mountain Time)","value":"06:54:46"},{"id":151,"name":"Denver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138"/>
        <v>start /low /b %USERPROFILE%\Documents\GitHub\eaglep3\Utilities\DownloadLogsFromS3.py --loco 4036 --day 2017-12-21</v>
      </c>
      <c r="AN169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140"/>
        <v>https://d0f6bd738d7f1b3e5a7ca70fe4ff75f0.us-east-1.aws.found.io/app/kibana#/discover/Steve-Slow-Train-Analysis-(2080s-and-2083s)?_g=(refreshInterval:(display:Off,pause:!f,section:0,value:0),time:(from:'2017-12-21T05:27:34-0700',mode:absolute,to:'2017-12-21T07:54:46-0700'))&amp;_a=(columns:!('Message%20ID',Summary),filters:!(),index:'emp_*',interval:auto,query:(query_string:(analyze_wildcard:!t,query:'%22rtdc.l.rtdc.4036%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728</v>
      </c>
      <c r="B170" s="224">
        <v>4035</v>
      </c>
      <c r="C170" s="226" t="s">
        <v>192</v>
      </c>
      <c r="D170" s="226" t="s">
        <v>532</v>
      </c>
      <c r="E170" s="225">
        <v>43090.29011574074</v>
      </c>
      <c r="F170" s="225">
        <v>43090.3</v>
      </c>
      <c r="G170" s="224">
        <v>58</v>
      </c>
      <c r="H170" s="226" t="s">
        <v>531</v>
      </c>
      <c r="I170" s="225">
        <v>43090.308842592596</v>
      </c>
      <c r="J170" s="224">
        <v>0</v>
      </c>
      <c r="K170" s="236" t="str">
        <f t="shared" si="127"/>
        <v>4035/4036</v>
      </c>
      <c r="L170" s="244" t="str">
        <f>VLOOKUP(A170,'Trips&amp;Operators'!$C$1:$G$99911,5,FALSE)</f>
        <v>LOPES KIMBERLY</v>
      </c>
      <c r="M170" s="223">
        <f t="shared" si="128"/>
        <v>8.8425925932824612E-3</v>
      </c>
      <c r="N170" s="224">
        <f t="shared" si="164"/>
        <v>12.733333334326744</v>
      </c>
      <c r="O170" s="224"/>
      <c r="P170" s="224"/>
      <c r="Q170" s="227"/>
      <c r="R170" s="241"/>
      <c r="S170" s="248">
        <f t="shared" si="155"/>
        <v>1</v>
      </c>
      <c r="T170" s="241" t="str">
        <f t="shared" si="129"/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113"/>
        <v>https://d0f6bd738d7f1b3e5a7ca70fe4ff75f0.us-east-1.aws.found.io/app/kibana#/discover/Steve-Slow-Train-Analysis-(2080s-and-2083s)?_g=(refreshInterval:(display:Off,pause:!f,section:0,value:0),time:(from:'2017-12-21T05:57:46-0700',mode:absolute,to:'2017-12-21T08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0" s="246" t="str">
        <f>IF(AA170&lt;VLOOKUP(AG170,Variables!$AC$3:$AD$8,2,FALSE),"Y","N")</f>
        <v>N</v>
      </c>
      <c r="X170" s="246">
        <f t="shared" si="165"/>
        <v>1</v>
      </c>
      <c r="Y170" s="246">
        <f t="shared" si="162"/>
        <v>5.8623000000000003</v>
      </c>
      <c r="Z170" s="246">
        <f t="shared" si="163"/>
        <v>1.3299999999999999E-2</v>
      </c>
      <c r="AA170" s="246">
        <f t="shared" si="132"/>
        <v>5.8490000000000002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133"/>
        <v>806</v>
      </c>
      <c r="AE170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70" s="233" t="str">
        <f t="shared" si="118"/>
        <v>"C:\Program Files (x86)\AstroGrep\AstroGrep.exe" /e /r /s /spath="%USERPROFILE%\AppData\Local\Temp\OnboardLogs" /stypes="app*4035*201712211*" /stext=" 14:.+?(?&gt;(PRM\|1\|D)|(KPR)|(KDP)|(train st[a-z]+ moving)|(SYSTEM_STATE:s[a-z]+ state changed)|(Enforcement Action)|(\[TIMEOUT)|(parse_ebi_status: Penalty)|(\|GPPS))"</v>
      </c>
      <c r="AG170" s="243" t="str">
        <f t="shared" si="134"/>
        <v>NW</v>
      </c>
      <c r="AH170" s="235" t="str">
        <f t="shared" si="136"/>
        <v>"%USERPROFILE%\Documents\GitHub\eaglep3\Utilities\RefineRTDCRunTimes.py" --tripid 806-21 --locoid 4035 --swversion DE.1.0.9.0 --startMP 300:58623 --initTime 2017-12-21T06:57:46 --startdatetime 2017-12-21T07:12:00 --delay 58 --endMP 204:133 --enddatetime 2017-12-21T07:24:44 --enforcementcount 0 &gt;&gt;%USERPROFILE%\Documents\GitHub\eaglep3-reporting\EC\2017-12-21-refined-times.txt</v>
      </c>
      <c r="AI170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{"issue":{"subject":"","project_id":79,"tracker_id":40,"status_id":1,"priority_id":2,"assigned_to_id":338,"start_date":"2017-12-21","description":"","custom_fields":[{"id":1,"name":"Subdivision","value":"NW"},{"id":4,"name":"Milepost","value":"0.0133"},{"id":17,"name":"Train ID","value":"806-21"},{"id":16,"name":"Locomotive ID","value":"4035"},{"id":130,"name":"Impact","value":""},{"id":150,"name":"Time of Event (Mountain Time)","value":"07:24:44"},{"id":151,"name":"Denver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138"/>
        <v>start /low /b %USERPROFILE%\Documents\GitHub\eaglep3\Utilities\DownloadLogsFromS3.py --loco 4035 --day 2017-12-21</v>
      </c>
      <c r="AN170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140"/>
        <v>https://d0f6bd738d7f1b3e5a7ca70fe4ff75f0.us-east-1.aws.found.io/app/kibana#/discover/Steve-Slow-Train-Analysis-(2080s-and-2083s)?_g=(refreshInterval:(display:Off,pause:!f,section:0,value:0),time:(from:'2017-12-21T05:57:46-0700',mode:absolute,to:'2017-12-21T08:24:44-0700'))&amp;_a=(columns:!('Message%20ID',Summary),filters:!(),index:'emp_*',interval:auto,query:(query_string:(analyze_wildcard:!t,query:'%22rtdc.l.rtdc.4035%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8" t="s">
        <v>662</v>
      </c>
      <c r="B171" s="224">
        <v>4006</v>
      </c>
      <c r="C171" s="226" t="s">
        <v>192</v>
      </c>
      <c r="D171" s="226" t="s">
        <v>1032</v>
      </c>
      <c r="E171" s="225">
        <v>43090.290208333332</v>
      </c>
      <c r="F171" s="225">
        <v>43090.298067129632</v>
      </c>
      <c r="G171" s="224">
        <v>55</v>
      </c>
      <c r="H171" s="226" t="s">
        <v>1033</v>
      </c>
      <c r="I171" s="225">
        <v>43090.309212962966</v>
      </c>
      <c r="J171" s="224">
        <v>0</v>
      </c>
      <c r="K171" s="236" t="str">
        <f t="shared" si="127"/>
        <v>4005/4006</v>
      </c>
      <c r="L171" s="244" t="str">
        <f>VLOOKUP(A171,'Trips&amp;Operators'!$C$1:$G$99911,5,FALSE)</f>
        <v>FORTUNATO FRANK</v>
      </c>
      <c r="M171" s="223">
        <f t="shared" si="128"/>
        <v>1.1145833334012423E-2</v>
      </c>
      <c r="N171" s="224">
        <f t="shared" si="164"/>
        <v>16.050000000977889</v>
      </c>
      <c r="O171" s="224"/>
      <c r="P171" s="224"/>
      <c r="Q171" s="227"/>
      <c r="R171" s="241"/>
      <c r="S171" s="248">
        <f t="shared" si="155"/>
        <v>1</v>
      </c>
      <c r="T171" s="241" t="str">
        <f t="shared" si="129"/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113"/>
        <v>https://d0f6bd738d7f1b3e5a7ca70fe4ff75f0.us-east-1.aws.found.io/app/kibana#/discover/Steve-Slow-Train-Analysis-(2080s-and-2083s)?_g=(refreshInterval:(display:Off,pause:!f,section:0,value:0),time:(from:'2017-12-21T05:57:54-0700',mode:absolute,to:'2017-12-21T08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246" t="str">
        <f>IF(AA171&lt;VLOOKUP(AG171,Variables!$AC$3:$AD$8,2,FALSE),"Y","N")</f>
        <v>N</v>
      </c>
      <c r="X171" s="246">
        <f t="shared" si="165"/>
        <v>1</v>
      </c>
      <c r="Y171" s="246">
        <f t="shared" si="162"/>
        <v>4.3900000000000002E-2</v>
      </c>
      <c r="Z171" s="246">
        <f t="shared" si="163"/>
        <v>5.8979999999999997</v>
      </c>
      <c r="AA171" s="246">
        <f t="shared" si="132"/>
        <v>5.8540999999999999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133"/>
        <v>807</v>
      </c>
      <c r="AE171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71" s="233" t="str">
        <f t="shared" si="118"/>
        <v>"C:\Program Files (x86)\AstroGrep\AstroGrep.exe" /e /r /s /spath="%USERPROFILE%\AppData\Local\Temp\OnboardLogs" /stypes="app*4006*201712211*" /stext=" 14:.+?(?&gt;(PRM\|1\|D)|(KPR)|(KDP)|(train st[a-z]+ moving)|(SYSTEM_STATE:s[a-z]+ state changed)|(Enforcement Action)|(\[TIMEOUT)|(parse_ebi_status: Penalty)|(\|GPPS))"</v>
      </c>
      <c r="AG171" s="243" t="str">
        <f t="shared" si="134"/>
        <v>NW</v>
      </c>
      <c r="AH171" s="235" t="str">
        <f t="shared" si="136"/>
        <v>"%USERPROFILE%\Documents\GitHub\eaglep3\Utilities\RefineRTDCRunTimes.py" --tripid 807-21 --locoid 4006 --swversion DE.1.0.9.0 --startMP 204:439 --initTime 2017-12-21T06:57:54 --startdatetime 2017-12-21T07:09:13 --delay 55 --endMP 300:58980 --enddatetime 2017-12-21T07:25:16 --enforcementcount 0 &gt;&gt;%USERPROFILE%\Documents\GitHub\eaglep3-reporting\EC\2017-12-21-refined-times.txt</v>
      </c>
      <c r="AI171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{"issue":{"subject":"","project_id":79,"tracker_id":40,"status_id":1,"priority_id":2,"assigned_to_id":338,"start_date":"2017-12-21","description":"","custom_fields":[{"id":1,"name":"Subdivision","value":"NW"},{"id":4,"name":"Milepost","value":"5.898"},{"id":17,"name":"Train ID","value":"807-21"},{"id":16,"name":"Locomotive ID","value":"4006"},{"id":130,"name":"Impact","value":""},{"id":150,"name":"Time of Event (Mountain Time)","value":"07:25:16"},{"id":151,"name":"Denver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138"/>
        <v>start /low /b %USERPROFILE%\Documents\GitHub\eaglep3\Utilities\DownloadLogsFromS3.py --loco 4006 --day 2017-12-21</v>
      </c>
      <c r="AN171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140"/>
        <v>https://d0f6bd738d7f1b3e5a7ca70fe4ff75f0.us-east-1.aws.found.io/app/kibana#/discover/Steve-Slow-Train-Analysis-(2080s-and-2083s)?_g=(refreshInterval:(display:Off,pause:!f,section:0,value:0),time:(from:'2017-12-21T05:57:54-0700',mode:absolute,to:'2017-12-21T08:25:16-0700'))&amp;_a=(columns:!('Message%20ID',Summary),filters:!(),index:'emp_*',interval:auto,query:(query_string:(analyze_wildcard:!t,query:'%22rtdc.l.rtdc.4006%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732</v>
      </c>
      <c r="B172" s="224">
        <v>4005</v>
      </c>
      <c r="C172" s="226" t="s">
        <v>192</v>
      </c>
      <c r="D172" s="226" t="s">
        <v>641</v>
      </c>
      <c r="E172" s="225">
        <v>43090.310347222221</v>
      </c>
      <c r="F172" s="225">
        <v>43090.320833333331</v>
      </c>
      <c r="G172" s="224">
        <v>64</v>
      </c>
      <c r="H172" s="226" t="s">
        <v>1034</v>
      </c>
      <c r="I172" s="225">
        <v>43090.329930555556</v>
      </c>
      <c r="J172" s="224">
        <v>0</v>
      </c>
      <c r="K172" s="236" t="str">
        <f t="shared" si="127"/>
        <v>4005/4006</v>
      </c>
      <c r="L172" s="244" t="str">
        <f>VLOOKUP(A172,'Trips&amp;Operators'!$C$1:$G$99911,5,FALSE)</f>
        <v>FORTUNATO FRANK</v>
      </c>
      <c r="M172" s="223">
        <f t="shared" si="128"/>
        <v>9.0972222242271528E-3</v>
      </c>
      <c r="N172" s="224">
        <f t="shared" si="164"/>
        <v>13.1000000028871</v>
      </c>
      <c r="O172" s="224"/>
      <c r="P172" s="224"/>
      <c r="Q172" s="227"/>
      <c r="R172" s="241"/>
      <c r="S172" s="248">
        <f t="shared" si="155"/>
        <v>1</v>
      </c>
      <c r="T172" s="241" t="str">
        <f t="shared" si="129"/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113"/>
        <v>https://d0f6bd738d7f1b3e5a7ca70fe4ff75f0.us-east-1.aws.found.io/app/kibana#/discover/Steve-Slow-Train-Analysis-(2080s-and-2083s)?_g=(refreshInterval:(display:Off,pause:!f,section:0,value:0),time:(from:'2017-12-21T06:26:54-0700',mode:absolute,to:'2017-12-21T08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246" t="str">
        <f>IF(AA172&lt;VLOOKUP(AG172,Variables!$AC$3:$AD$8,2,FALSE),"Y","N")</f>
        <v>N</v>
      </c>
      <c r="X172" s="246">
        <f t="shared" si="165"/>
        <v>1</v>
      </c>
      <c r="Y172" s="246">
        <f t="shared" si="162"/>
        <v>5.8654999999999999</v>
      </c>
      <c r="Z172" s="246">
        <f t="shared" si="163"/>
        <v>1.67E-2</v>
      </c>
      <c r="AA172" s="246">
        <f t="shared" si="132"/>
        <v>5.8487999999999998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133"/>
        <v>808</v>
      </c>
      <c r="AE172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72" s="233" t="str">
        <f t="shared" si="118"/>
        <v>"C:\Program Files (x86)\AstroGrep\AstroGrep.exe" /e /r /s /spath="%USERPROFILE%\AppData\Local\Temp\OnboardLogs" /stypes="app*4005*201712211*" /stext=" 14:.+?(?&gt;(PRM\|1\|D)|(KPR)|(KDP)|(train st[a-z]+ moving)|(SYSTEM_STATE:s[a-z]+ state changed)|(Enforcement Action)|(\[TIMEOUT)|(parse_ebi_status: Penalty)|(\|GPPS))"</v>
      </c>
      <c r="AG172" s="243" t="str">
        <f t="shared" si="134"/>
        <v>NW</v>
      </c>
      <c r="AH172" s="235" t="str">
        <f t="shared" si="136"/>
        <v>"%USERPROFILE%\Documents\GitHub\eaglep3\Utilities\RefineRTDCRunTimes.py" --tripid 808-21 --locoid 4005 --swversion DE.1.0.9.0 --startMP 300:58655 --initTime 2017-12-21T07:26:54 --startdatetime 2017-12-21T07:42:00 --delay 64 --endMP 204:167 --enddatetime 2017-12-21T07:55:06 --enforcementcount 0 &gt;&gt;%USERPROFILE%\Documents\GitHub\eaglep3-reporting\EC\2017-12-21-refined-times.txt</v>
      </c>
      <c r="AI172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{"issue":{"subject":"","project_id":79,"tracker_id":40,"status_id":1,"priority_id":2,"assigned_to_id":338,"start_date":"2017-12-21","description":"","custom_fields":[{"id":1,"name":"Subdivision","value":"NW"},{"id":4,"name":"Milepost","value":"0.0167"},{"id":17,"name":"Train ID","value":"808-21"},{"id":16,"name":"Locomotive ID","value":"4005"},{"id":130,"name":"Impact","value":""},{"id":150,"name":"Time of Event (Mountain Time)","value":"07:55:06"},{"id":151,"name":"Denver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138"/>
        <v>start /low /b %USERPROFILE%\Documents\GitHub\eaglep3\Utilities\DownloadLogsFromS3.py --loco 4005 --day 2017-12-21</v>
      </c>
      <c r="AN172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140"/>
        <v>https://d0f6bd738d7f1b3e5a7ca70fe4ff75f0.us-east-1.aws.found.io/app/kibana#/discover/Steve-Slow-Train-Analysis-(2080s-and-2083s)?_g=(refreshInterval:(display:Off,pause:!f,section:0,value:0),time:(from:'2017-12-21T06:26:54-0700',mode:absolute,to:'2017-12-21T08:55:06-0700'))&amp;_a=(columns:!('Message%20ID',Summary),filters:!(),index:'emp_*',interval:auto,query:(query_string:(analyze_wildcard:!t,query:'%22rtdc.l.rtdc.4005%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733</v>
      </c>
      <c r="B173" s="224">
        <v>4036</v>
      </c>
      <c r="C173" s="226" t="s">
        <v>192</v>
      </c>
      <c r="D173" s="226" t="s">
        <v>1035</v>
      </c>
      <c r="E173" s="225">
        <v>43090.310729166667</v>
      </c>
      <c r="F173" s="225">
        <v>43090.318969907406</v>
      </c>
      <c r="G173" s="224">
        <v>64</v>
      </c>
      <c r="H173" s="226" t="s">
        <v>1036</v>
      </c>
      <c r="I173" s="225">
        <v>43090.329479166663</v>
      </c>
      <c r="J173" s="224">
        <v>0</v>
      </c>
      <c r="K173" s="236" t="str">
        <f t="shared" si="127"/>
        <v>4035/4036</v>
      </c>
      <c r="L173" s="244" t="str">
        <f>VLOOKUP(A173,'Trips&amp;Operators'!$C$1:$G$99911,5,FALSE)</f>
        <v>LOPES KIMBERLY</v>
      </c>
      <c r="M173" s="223">
        <f t="shared" si="128"/>
        <v>1.0509259256650694E-2</v>
      </c>
      <c r="N173" s="224">
        <f t="shared" si="164"/>
        <v>15.133333329576999</v>
      </c>
      <c r="O173" s="224"/>
      <c r="P173" s="224"/>
      <c r="Q173" s="227"/>
      <c r="R173" s="241"/>
      <c r="S173" s="248">
        <f t="shared" si="155"/>
        <v>1</v>
      </c>
      <c r="T173" s="241" t="str">
        <f t="shared" si="129"/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113"/>
        <v>https://d0f6bd738d7f1b3e5a7ca70fe4ff75f0.us-east-1.aws.found.io/app/kibana#/discover/Steve-Slow-Train-Analysis-(2080s-and-2083s)?_g=(refreshInterval:(display:Off,pause:!f,section:0,value:0),time:(from:'2017-12-21T06:27:27-0700',mode:absolute,to:'2017-12-21T08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3" s="246" t="str">
        <f>IF(AA173&lt;VLOOKUP(AG173,Variables!$AC$3:$AD$8,2,FALSE),"Y","N")</f>
        <v>N</v>
      </c>
      <c r="X173" s="246">
        <f t="shared" si="165"/>
        <v>1</v>
      </c>
      <c r="Y173" s="246">
        <f t="shared" si="162"/>
        <v>4.24E-2</v>
      </c>
      <c r="Z173" s="246">
        <f t="shared" si="163"/>
        <v>5.8963000000000001</v>
      </c>
      <c r="AA173" s="246">
        <f t="shared" si="132"/>
        <v>5.8539000000000003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133"/>
        <v>809</v>
      </c>
      <c r="AE173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73" s="233" t="str">
        <f t="shared" si="118"/>
        <v>"C:\Program Files (x86)\AstroGrep\AstroGrep.exe" /e /r /s /spath="%USERPROFILE%\AppData\Local\Temp\OnboardLogs" /stypes="app*4036*201712211*" /stext=" 14:.+?(?&gt;(PRM\|1\|D)|(KPR)|(KDP)|(train st[a-z]+ moving)|(SYSTEM_STATE:s[a-z]+ state changed)|(Enforcement Action)|(\[TIMEOUT)|(parse_ebi_status: Penalty)|(\|GPPS))"</v>
      </c>
      <c r="AG173" s="243" t="str">
        <f t="shared" si="134"/>
        <v>NW</v>
      </c>
      <c r="AH173" s="235" t="str">
        <f t="shared" si="136"/>
        <v>"%USERPROFILE%\Documents\GitHub\eaglep3\Utilities\RefineRTDCRunTimes.py" --tripid 809-21 --locoid 4036 --swversion DE.1.0.9.0 --startMP 204:424 --initTime 2017-12-21T07:27:27 --startdatetime 2017-12-21T07:39:19 --delay 64 --endMP 300:58963 --enddatetime 2017-12-21T07:54:27 --enforcementcount 0 &gt;&gt;%USERPROFILE%\Documents\GitHub\eaglep3-reporting\EC\2017-12-21-refined-times.txt</v>
      </c>
      <c r="AI173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{"issue":{"subject":"","project_id":79,"tracker_id":40,"status_id":1,"priority_id":2,"assigned_to_id":338,"start_date":"2017-12-21","description":"","custom_fields":[{"id":1,"name":"Subdivision","value":"NW"},{"id":4,"name":"Milepost","value":"5.8963"},{"id":17,"name":"Train ID","value":"809-21"},{"id":16,"name":"Locomotive ID","value":"4036"},{"id":130,"name":"Impact","value":""},{"id":150,"name":"Time of Event (Mountain Time)","value":"07:54:27"},{"id":151,"name":"Denver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138"/>
        <v>start /low /b %USERPROFILE%\Documents\GitHub\eaglep3\Utilities\DownloadLogsFromS3.py --loco 4036 --day 2017-12-21</v>
      </c>
      <c r="AN173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140"/>
        <v>https://d0f6bd738d7f1b3e5a7ca70fe4ff75f0.us-east-1.aws.found.io/app/kibana#/discover/Steve-Slow-Train-Analysis-(2080s-and-2083s)?_g=(refreshInterval:(display:Off,pause:!f,section:0,value:0),time:(from:'2017-12-21T06:27:27-0700',mode:absolute,to:'2017-12-21T08:54:27-0700'))&amp;_a=(columns:!('Message%20ID',Summary),filters:!(),index:'emp_*',interval:auto,query:(query_string:(analyze_wildcard:!t,query:'%22rtdc.l.rtdc.4036%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740</v>
      </c>
      <c r="B174" s="224">
        <v>4035</v>
      </c>
      <c r="C174" s="226" t="s">
        <v>192</v>
      </c>
      <c r="D174" s="226" t="s">
        <v>642</v>
      </c>
      <c r="E174" s="225">
        <v>43090.330381944441</v>
      </c>
      <c r="F174" s="225">
        <v>43090.341666666667</v>
      </c>
      <c r="G174" s="224">
        <v>56</v>
      </c>
      <c r="H174" s="226" t="s">
        <v>529</v>
      </c>
      <c r="I174" s="225">
        <v>43090.350578703707</v>
      </c>
      <c r="J174" s="224">
        <v>0</v>
      </c>
      <c r="K174" s="236" t="str">
        <f t="shared" si="127"/>
        <v>4035/4036</v>
      </c>
      <c r="L174" s="244" t="str">
        <f>VLOOKUP(A174,'Trips&amp;Operators'!$C$1:$G$99911,5,FALSE)</f>
        <v>LOPES KIMBERLY</v>
      </c>
      <c r="M174" s="223">
        <f t="shared" si="128"/>
        <v>8.9120370394084603E-3</v>
      </c>
      <c r="N174" s="224">
        <f t="shared" si="164"/>
        <v>12.833333336748183</v>
      </c>
      <c r="O174" s="224"/>
      <c r="P174" s="224"/>
      <c r="Q174" s="227"/>
      <c r="R174" s="241"/>
      <c r="S174" s="248">
        <f t="shared" si="155"/>
        <v>1</v>
      </c>
      <c r="T174" s="241" t="str">
        <f t="shared" si="129"/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113"/>
        <v>https://d0f6bd738d7f1b3e5a7ca70fe4ff75f0.us-east-1.aws.found.io/app/kibana#/discover/Steve-Slow-Train-Analysis-(2080s-and-2083s)?_g=(refreshInterval:(display:Off,pause:!f,section:0,value:0),time:(from:'2017-12-21T06:55:45-0700',mode:absolute,to:'2017-12-21T09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4" s="246" t="str">
        <f>IF(AA174&lt;VLOOKUP(AG174,Variables!$AC$3:$AD$8,2,FALSE),"Y","N")</f>
        <v>N</v>
      </c>
      <c r="X174" s="246">
        <f t="shared" si="165"/>
        <v>1</v>
      </c>
      <c r="Y174" s="246">
        <f t="shared" si="162"/>
        <v>5.8653000000000004</v>
      </c>
      <c r="Z174" s="246">
        <f t="shared" si="163"/>
        <v>1.35E-2</v>
      </c>
      <c r="AA174" s="246">
        <f t="shared" si="132"/>
        <v>5.8518000000000008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133"/>
        <v>810</v>
      </c>
      <c r="AE174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74" s="233" t="str">
        <f t="shared" si="118"/>
        <v>"C:\Program Files (x86)\AstroGrep\AstroGrep.exe" /e /r /s /spath="%USERPROFILE%\AppData\Local\Temp\OnboardLogs" /stypes="app*4035*201712211*" /stext=" 15:.+?(?&gt;(PRM\|1\|D)|(KPR)|(KDP)|(train st[a-z]+ moving)|(SYSTEM_STATE:s[a-z]+ state changed)|(Enforcement Action)|(\[TIMEOUT)|(parse_ebi_status: Penalty)|(\|GPPS))"</v>
      </c>
      <c r="AG174" s="243" t="str">
        <f t="shared" si="134"/>
        <v>NW</v>
      </c>
      <c r="AH174" s="235" t="str">
        <f t="shared" si="136"/>
        <v>"%USERPROFILE%\Documents\GitHub\eaglep3\Utilities\RefineRTDCRunTimes.py" --tripid 810-21 --locoid 4035 --swversion DE.1.0.9.0 --startMP 300:58653 --initTime 2017-12-21T07:55:45 --startdatetime 2017-12-21T08:12:00 --delay 56 --endMP 204:135 --enddatetime 2017-12-21T08:24:50 --enforcementcount 0 &gt;&gt;%USERPROFILE%\Documents\GitHub\eaglep3-reporting\EC\2017-12-21-refined-times.txt</v>
      </c>
      <c r="AI174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{"issue":{"subject":"","project_id":79,"tracker_id":40,"status_id":1,"priority_id":2,"assigned_to_id":338,"start_date":"2017-12-21","description":"","custom_fields":[{"id":1,"name":"Subdivision","value":"NW"},{"id":4,"name":"Milepost","value":"0.0135"},{"id":17,"name":"Train ID","value":"810-21"},{"id":16,"name":"Locomotive ID","value":"4035"},{"id":130,"name":"Impact","value":""},{"id":150,"name":"Time of Event (Mountain Time)","value":"08:24:50"},{"id":151,"name":"Denver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138"/>
        <v>start /low /b %USERPROFILE%\Documents\GitHub\eaglep3\Utilities\DownloadLogsFromS3.py --loco 4035 --day 2017-12-21</v>
      </c>
      <c r="AN174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140"/>
        <v>https://d0f6bd738d7f1b3e5a7ca70fe4ff75f0.us-east-1.aws.found.io/app/kibana#/discover/Steve-Slow-Train-Analysis-(2080s-and-2083s)?_g=(refreshInterval:(display:Off,pause:!f,section:0,value:0),time:(from:'2017-12-21T06:55:45-0700',mode:absolute,to:'2017-12-21T09:24:50-0700'))&amp;_a=(columns:!('Message%20ID',Summary),filters:!(),index:'emp_*',interval:auto,query:(query_string:(analyze_wildcard:!t,query:'%22rtdc.l.rtdc.4035%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741</v>
      </c>
      <c r="B175" s="224">
        <v>4006</v>
      </c>
      <c r="C175" s="226" t="s">
        <v>192</v>
      </c>
      <c r="D175" s="226" t="s">
        <v>548</v>
      </c>
      <c r="E175" s="225">
        <v>43090.331365740742</v>
      </c>
      <c r="F175" s="225">
        <v>43090.339745370373</v>
      </c>
      <c r="G175" s="224">
        <v>54</v>
      </c>
      <c r="H175" s="226" t="s">
        <v>646</v>
      </c>
      <c r="I175" s="225">
        <v>43090.35019675926</v>
      </c>
      <c r="J175" s="224">
        <v>0</v>
      </c>
      <c r="K175" s="236" t="str">
        <f t="shared" ref="K175:K206" si="166">IF(ISEVEN(B175),(B175-1)&amp;"/"&amp;B175,B175&amp;"/"&amp;(B175+1))</f>
        <v>4005/4006</v>
      </c>
      <c r="L175" s="244" t="str">
        <f>VLOOKUP(A175,'Trips&amp;Operators'!$C$1:$G$99911,5,FALSE)</f>
        <v>FORTUNATO FRANK</v>
      </c>
      <c r="M175" s="223">
        <f t="shared" ref="M175:M206" si="167">I175-F175</f>
        <v>1.0451388887304347E-2</v>
      </c>
      <c r="N175" s="224">
        <f t="shared" si="164"/>
        <v>15.04999999771826</v>
      </c>
      <c r="O175" s="224"/>
      <c r="P175" s="224"/>
      <c r="Q175" s="227"/>
      <c r="R175" s="241"/>
      <c r="S175" s="248">
        <f t="shared" si="155"/>
        <v>1</v>
      </c>
      <c r="T175" s="241" t="str">
        <f t="shared" ref="T175:T206" si="168">IF(ISEVEN(LEFT(AD175,4)),"Southbound","NorthBound")</f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113"/>
        <v>https://d0f6bd738d7f1b3e5a7ca70fe4ff75f0.us-east-1.aws.found.io/app/kibana#/discover/Steve-Slow-Train-Analysis-(2080s-and-2083s)?_g=(refreshInterval:(display:Off,pause:!f,section:0,value:0),time:(from:'2017-12-21T06:57:10-0700',mode:absolute,to:'2017-12-21T09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246" t="str">
        <f>IF(AA175&lt;VLOOKUP(AG175,Variables!$AC$3:$AD$8,2,FALSE),"Y","N")</f>
        <v>N</v>
      </c>
      <c r="X175" s="246">
        <f t="shared" si="165"/>
        <v>1</v>
      </c>
      <c r="Y175" s="246">
        <f t="shared" si="162"/>
        <v>4.53E-2</v>
      </c>
      <c r="Z175" s="246">
        <f t="shared" si="163"/>
        <v>5.8964999999999996</v>
      </c>
      <c r="AA175" s="246">
        <f t="shared" ref="AA175:AA206" si="169">ABS(Z175-Y175)</f>
        <v>5.8511999999999995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ref="AD175:AD206" si="170">VALUE(LEFT(A175,LEN(A175)-3))</f>
        <v>811</v>
      </c>
      <c r="AE175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75" s="233" t="str">
        <f t="shared" si="118"/>
        <v>"C:\Program Files (x86)\AstroGrep\AstroGrep.exe" /e /r /s /spath="%USERPROFILE%\AppData\Local\Temp\OnboardLogs" /stypes="app*4006*201712211*" /stext=" 15:.+?(?&gt;(PRM\|1\|D)|(KPR)|(KDP)|(train st[a-z]+ moving)|(SYSTEM_STATE:s[a-z]+ state changed)|(Enforcement Action)|(\[TIMEOUT)|(parse_ebi_status: Penalty)|(\|GPPS))"</v>
      </c>
      <c r="AG175" s="243" t="str">
        <f t="shared" ref="AG175:AG206" si="171">DetSubdiv(A175)</f>
        <v>NW</v>
      </c>
      <c r="AH175" s="235" t="str">
        <f t="shared" si="136"/>
        <v>"%USERPROFILE%\Documents\GitHub\eaglep3\Utilities\RefineRTDCRunTimes.py" --tripid 811-21 --locoid 4006 --swversion DE.1.0.9.0 --startMP 204:453 --initTime 2017-12-21T07:57:10 --startdatetime 2017-12-21T08:09:14 --delay 54 --endMP 300:58965 --enddatetime 2017-12-21T08:24:17 --enforcementcount 0 &gt;&gt;%USERPROFILE%\Documents\GitHub\eaglep3-reporting\EC\2017-12-21-refined-times.txt</v>
      </c>
      <c r="AI175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{"issue":{"subject":"","project_id":79,"tracker_id":40,"status_id":1,"priority_id":2,"assigned_to_id":338,"start_date":"2017-12-21","description":"","custom_fields":[{"id":1,"name":"Subdivision","value":"NW"},{"id":4,"name":"Milepost","value":"5.8965"},{"id":17,"name":"Train ID","value":"811-21"},{"id":16,"name":"Locomotive ID","value":"4006"},{"id":130,"name":"Impact","value":""},{"id":150,"name":"Time of Event (Mountain Time)","value":"08:24:17"},{"id":151,"name":"Denver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138"/>
        <v>start /low /b %USERPROFILE%\Documents\GitHub\eaglep3\Utilities\DownloadLogsFromS3.py --loco 4006 --day 2017-12-21</v>
      </c>
      <c r="AN175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140"/>
        <v>https://d0f6bd738d7f1b3e5a7ca70fe4ff75f0.us-east-1.aws.found.io/app/kibana#/discover/Steve-Slow-Train-Analysis-(2080s-and-2083s)?_g=(refreshInterval:(display:Off,pause:!f,section:0,value:0),time:(from:'2017-12-21T06:57:10-0700',mode:absolute,to:'2017-12-21T09:24:17-0700'))&amp;_a=(columns:!('Message%20ID',Summary),filters:!(),index:'emp_*',interval:auto,query:(query_string:(analyze_wildcard:!t,query:'%22rtdc.l.rtdc.4006%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745</v>
      </c>
      <c r="B176" s="224">
        <v>4005</v>
      </c>
      <c r="C176" s="226" t="s">
        <v>192</v>
      </c>
      <c r="D176" s="226" t="s">
        <v>641</v>
      </c>
      <c r="E176" s="225">
        <v>43090.352500000001</v>
      </c>
      <c r="F176" s="225">
        <v>43090.362500000003</v>
      </c>
      <c r="G176" s="224">
        <v>60</v>
      </c>
      <c r="H176" s="226" t="s">
        <v>1039</v>
      </c>
      <c r="I176" s="225">
        <v>43090.371377314812</v>
      </c>
      <c r="J176" s="224">
        <v>0</v>
      </c>
      <c r="K176" s="236" t="str">
        <f t="shared" si="166"/>
        <v>4005/4006</v>
      </c>
      <c r="L176" s="244" t="str">
        <f>VLOOKUP(A176,'Trips&amp;Operators'!$C$1:$G$99911,5,FALSE)</f>
        <v>FORTUNATO FRANK</v>
      </c>
      <c r="M176" s="223">
        <f t="shared" si="167"/>
        <v>8.8773148090695031E-3</v>
      </c>
      <c r="N176" s="224">
        <f t="shared" si="164"/>
        <v>12.783333325060084</v>
      </c>
      <c r="O176" s="224"/>
      <c r="P176" s="224"/>
      <c r="Q176" s="227"/>
      <c r="R176" s="241"/>
      <c r="S176" s="248">
        <f t="shared" si="155"/>
        <v>1</v>
      </c>
      <c r="T176" s="241" t="str">
        <f t="shared" si="168"/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113"/>
        <v>https://d0f6bd738d7f1b3e5a7ca70fe4ff75f0.us-east-1.aws.found.io/app/kibana#/discover/Steve-Slow-Train-Analysis-(2080s-and-2083s)?_g=(refreshInterval:(display:Off,pause:!f,section:0,value:0),time:(from:'2017-12-21T07:27:36-0700',mode:absolute,to:'2017-12-21T09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246" t="str">
        <f>IF(AA176&lt;VLOOKUP(AG176,Variables!$AC$3:$AD$8,2,FALSE),"Y","N")</f>
        <v>N</v>
      </c>
      <c r="X176" s="246">
        <f t="shared" si="165"/>
        <v>1</v>
      </c>
      <c r="Y176" s="246">
        <f t="shared" si="162"/>
        <v>5.8654999999999999</v>
      </c>
      <c r="Z176" s="246">
        <f t="shared" si="163"/>
        <v>1.7100000000000001E-2</v>
      </c>
      <c r="AA176" s="246">
        <f t="shared" si="169"/>
        <v>5.8483999999999998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170"/>
        <v>812</v>
      </c>
      <c r="AE176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76" s="233" t="str">
        <f t="shared" si="118"/>
        <v>"C:\Program Files (x86)\AstroGrep\AstroGrep.exe" /e /r /s /spath="%USERPROFILE%\AppData\Local\Temp\OnboardLogs" /stypes="app*4005*201712211*" /stext=" 15:.+?(?&gt;(PRM\|1\|D)|(KPR)|(KDP)|(train st[a-z]+ moving)|(SYSTEM_STATE:s[a-z]+ state changed)|(Enforcement Action)|(\[TIMEOUT)|(parse_ebi_status: Penalty)|(\|GPPS))"</v>
      </c>
      <c r="AG176" s="243" t="str">
        <f t="shared" si="171"/>
        <v>NW</v>
      </c>
      <c r="AH176" s="235" t="str">
        <f t="shared" si="136"/>
        <v>"%USERPROFILE%\Documents\GitHub\eaglep3\Utilities\RefineRTDCRunTimes.py" --tripid 812-21 --locoid 4005 --swversion DE.1.0.9.0 --startMP 300:58655 --initTime 2017-12-21T08:27:36 --startdatetime 2017-12-21T08:42:00 --delay 60 --endMP 204:171 --enddatetime 2017-12-21T08:54:47 --enforcementcount 0 &gt;&gt;%USERPROFILE%\Documents\GitHub\eaglep3-reporting\EC\2017-12-21-refined-times.txt</v>
      </c>
      <c r="AI176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{"issue":{"subject":"","project_id":79,"tracker_id":40,"status_id":1,"priority_id":2,"assigned_to_id":338,"start_date":"2017-12-21","description":"","custom_fields":[{"id":1,"name":"Subdivision","value":"NW"},{"id":4,"name":"Milepost","value":"0.0171"},{"id":17,"name":"Train ID","value":"812-21"},{"id":16,"name":"Locomotive ID","value":"4005"},{"id":130,"name":"Impact","value":""},{"id":150,"name":"Time of Event (Mountain Time)","value":"08:54:47"},{"id":151,"name":"Denver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138"/>
        <v>start /low /b %USERPROFILE%\Documents\GitHub\eaglep3\Utilities\DownloadLogsFromS3.py --loco 4005 --day 2017-12-21</v>
      </c>
      <c r="AN176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140"/>
        <v>https://d0f6bd738d7f1b3e5a7ca70fe4ff75f0.us-east-1.aws.found.io/app/kibana#/discover/Steve-Slow-Train-Analysis-(2080s-and-2083s)?_g=(refreshInterval:(display:Off,pause:!f,section:0,value:0),time:(from:'2017-12-21T07:27:36-0700',mode:absolute,to:'2017-12-21T09:54:47-0700'))&amp;_a=(columns:!('Message%20ID',Summary),filters:!(),index:'emp_*',interval:auto,query:(query_string:(analyze_wildcard:!t,query:'%22rtdc.l.rtdc.4005%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750</v>
      </c>
      <c r="B177" s="224">
        <v>4006</v>
      </c>
      <c r="C177" s="226" t="s">
        <v>192</v>
      </c>
      <c r="D177" s="226" t="s">
        <v>484</v>
      </c>
      <c r="E177" s="225">
        <v>43090.375289351854</v>
      </c>
      <c r="F177" s="225">
        <v>43090.381388888891</v>
      </c>
      <c r="G177" s="224">
        <v>52</v>
      </c>
      <c r="H177" s="226" t="s">
        <v>1040</v>
      </c>
      <c r="I177" s="225">
        <v>43090.392268518517</v>
      </c>
      <c r="J177" s="224">
        <v>0</v>
      </c>
      <c r="K177" s="236" t="str">
        <f t="shared" si="166"/>
        <v>4005/4006</v>
      </c>
      <c r="L177" s="244" t="str">
        <f>VLOOKUP(A177,'Trips&amp;Operators'!$C$1:$G$99911,5,FALSE)</f>
        <v>FORTUNATO FRANK</v>
      </c>
      <c r="M177" s="223">
        <f t="shared" si="167"/>
        <v>1.0879629626288079E-2</v>
      </c>
      <c r="N177" s="224">
        <f t="shared" si="164"/>
        <v>15.666666661854833</v>
      </c>
      <c r="O177" s="224"/>
      <c r="P177" s="224"/>
      <c r="Q177" s="227"/>
      <c r="R177" s="241"/>
      <c r="S177" s="248">
        <f t="shared" si="155"/>
        <v>1</v>
      </c>
      <c r="T177" s="241" t="str">
        <f t="shared" si="168"/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113"/>
        <v>https://d0f6bd738d7f1b3e5a7ca70fe4ff75f0.us-east-1.aws.found.io/app/kibana#/discover/Steve-Slow-Train-Analysis-(2080s-and-2083s)?_g=(refreshInterval:(display:Off,pause:!f,section:0,value:0),time:(from:'2017-12-21T08:00:25-0700',mode:absolute,to:'2017-12-21T10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246" t="str">
        <f>IF(AA177&lt;VLOOKUP(AG177,Variables!$AC$3:$AD$8,2,FALSE),"Y","N")</f>
        <v>N</v>
      </c>
      <c r="X177" s="246">
        <f t="shared" si="165"/>
        <v>1</v>
      </c>
      <c r="Y177" s="246">
        <f t="shared" si="162"/>
        <v>4.6199999999999998E-2</v>
      </c>
      <c r="Z177" s="246">
        <f t="shared" si="163"/>
        <v>5.8978000000000002</v>
      </c>
      <c r="AA177" s="246">
        <f t="shared" si="169"/>
        <v>5.8516000000000004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170"/>
        <v>813</v>
      </c>
      <c r="AE177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77" s="233" t="str">
        <f t="shared" si="118"/>
        <v>"C:\Program Files (x86)\AstroGrep\AstroGrep.exe" /e /r /s /spath="%USERPROFILE%\AppData\Local\Temp\OnboardLogs" /stypes="app*4006*201712211*" /stext=" 16:.+?(?&gt;(PRM\|1\|D)|(KPR)|(KDP)|(train st[a-z]+ moving)|(SYSTEM_STATE:s[a-z]+ state changed)|(Enforcement Action)|(\[TIMEOUT)|(parse_ebi_status: Penalty)|(\|GPPS))"</v>
      </c>
      <c r="AG177" s="243" t="str">
        <f t="shared" si="171"/>
        <v>NW</v>
      </c>
      <c r="AH177" s="235" t="str">
        <f t="shared" si="136"/>
        <v>"%USERPROFILE%\Documents\GitHub\eaglep3\Utilities\RefineRTDCRunTimes.py" --tripid 813-21 --locoid 4006 --swversion DE.1.0.9.0 --startMP 204:462 --initTime 2017-12-21T09:00:25 --startdatetime 2017-12-21T09:09:12 --delay 52 --endMP 300:58978 --enddatetime 2017-12-21T09:24:52 --enforcementcount 0 &gt;&gt;%USERPROFILE%\Documents\GitHub\eaglep3-reporting\EC\2017-12-21-refined-times.txt</v>
      </c>
      <c r="AI177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{"issue":{"subject":"","project_id":79,"tracker_id":40,"status_id":1,"priority_id":2,"assigned_to_id":338,"start_date":"2017-12-21","description":"","custom_fields":[{"id":1,"name":"Subdivision","value":"NW"},{"id":4,"name":"Milepost","value":"5.8978"},{"id":17,"name":"Train ID","value":"813-21"},{"id":16,"name":"Locomotive ID","value":"4006"},{"id":130,"name":"Impact","value":""},{"id":150,"name":"Time of Event (Mountain Time)","value":"09:24:52"},{"id":151,"name":"Denver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138"/>
        <v>start /low /b %USERPROFILE%\Documents\GitHub\eaglep3\Utilities\DownloadLogsFromS3.py --loco 4006 --day 2017-12-21</v>
      </c>
      <c r="AN177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140"/>
        <v>https://d0f6bd738d7f1b3e5a7ca70fe4ff75f0.us-east-1.aws.found.io/app/kibana#/discover/Steve-Slow-Train-Analysis-(2080s-and-2083s)?_g=(refreshInterval:(display:Off,pause:!f,section:0,value:0),time:(from:'2017-12-21T08:00:25-0700',mode:absolute,to:'2017-12-21T10:24:52-0700'))&amp;_a=(columns:!('Message%20ID',Summary),filters:!(),index:'emp_*',interval:auto,query:(query_string:(analyze_wildcard:!t,query:'%22rtdc.l.rtdc.4006%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8" t="s">
        <v>755</v>
      </c>
      <c r="B178" s="224">
        <v>4005</v>
      </c>
      <c r="C178" s="226" t="s">
        <v>192</v>
      </c>
      <c r="D178" s="226" t="s">
        <v>1041</v>
      </c>
      <c r="E178" s="225">
        <v>43090.393865740742</v>
      </c>
      <c r="F178" s="225">
        <v>43090.404166666667</v>
      </c>
      <c r="G178" s="224">
        <v>55</v>
      </c>
      <c r="H178" s="226" t="s">
        <v>564</v>
      </c>
      <c r="I178" s="225">
        <v>43090.413124999999</v>
      </c>
      <c r="J178" s="224">
        <v>0</v>
      </c>
      <c r="K178" s="236" t="str">
        <f t="shared" si="166"/>
        <v>4005/4006</v>
      </c>
      <c r="L178" s="244" t="str">
        <f>VLOOKUP(A178,'Trips&amp;Operators'!$C$1:$G$99911,5,FALSE)</f>
        <v>FORTUNATO FRANK</v>
      </c>
      <c r="M178" s="223">
        <f t="shared" si="167"/>
        <v>8.9583333319751546E-3</v>
      </c>
      <c r="N178" s="224">
        <f t="shared" si="164"/>
        <v>12.899999998044223</v>
      </c>
      <c r="O178" s="224"/>
      <c r="P178" s="224"/>
      <c r="Q178" s="227"/>
      <c r="R178" s="241"/>
      <c r="S178" s="248">
        <f t="shared" si="155"/>
        <v>1</v>
      </c>
      <c r="T178" s="241" t="str">
        <f t="shared" si="168"/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113"/>
        <v>https://d0f6bd738d7f1b3e5a7ca70fe4ff75f0.us-east-1.aws.found.io/app/kibana#/discover/Steve-Slow-Train-Analysis-(2080s-and-2083s)?_g=(refreshInterval:(display:Off,pause:!f,section:0,value:0),time:(from:'2017-12-21T08:27:10-0700',mode:absolute,to:'2017-12-21T10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246" t="str">
        <f>IF(AA178&lt;VLOOKUP(AG178,Variables!$AC$3:$AD$8,2,FALSE),"Y","N")</f>
        <v>N</v>
      </c>
      <c r="X178" s="246">
        <f t="shared" si="165"/>
        <v>1</v>
      </c>
      <c r="Y178" s="246">
        <f t="shared" si="162"/>
        <v>5.8666</v>
      </c>
      <c r="Z178" s="246">
        <f t="shared" si="163"/>
        <v>1.37E-2</v>
      </c>
      <c r="AA178" s="246">
        <f t="shared" si="169"/>
        <v>5.8529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170"/>
        <v>814</v>
      </c>
      <c r="AE178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78" s="233" t="str">
        <f t="shared" si="118"/>
        <v>"C:\Program Files (x86)\AstroGrep\AstroGrep.exe" /e /r /s /spath="%USERPROFILE%\AppData\Local\Temp\OnboardLogs" /stypes="app*4005*201712211*" /stext=" 16:.+?(?&gt;(PRM\|1\|D)|(KPR)|(KDP)|(train st[a-z]+ moving)|(SYSTEM_STATE:s[a-z]+ state changed)|(Enforcement Action)|(\[TIMEOUT)|(parse_ebi_status: Penalty)|(\|GPPS))"</v>
      </c>
      <c r="AG178" s="243" t="str">
        <f t="shared" si="171"/>
        <v>NW</v>
      </c>
      <c r="AH178" s="235" t="str">
        <f t="shared" si="136"/>
        <v>"%USERPROFILE%\Documents\GitHub\eaglep3\Utilities\RefineRTDCRunTimes.py" --tripid 814-21 --locoid 4005 --swversion DE.1.0.9.0 --startMP 300:58666 --initTime 2017-12-21T09:27:10 --startdatetime 2017-12-21T09:42:00 --delay 55 --endMP 204:137 --enddatetime 2017-12-21T09:54:54 --enforcementcount 0 &gt;&gt;%USERPROFILE%\Documents\GitHub\eaglep3-reporting\EC\2017-12-21-refined-times.txt</v>
      </c>
      <c r="AI178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{"issue":{"subject":"","project_id":79,"tracker_id":40,"status_id":1,"priority_id":2,"assigned_to_id":338,"start_date":"2017-12-21","description":"","custom_fields":[{"id":1,"name":"Subdivision","value":"NW"},{"id":4,"name":"Milepost","value":"0.0137"},{"id":17,"name":"Train ID","value":"814-21"},{"id":16,"name":"Locomotive ID","value":"4005"},{"id":130,"name":"Impact","value":""},{"id":150,"name":"Time of Event (Mountain Time)","value":"09:54:54"},{"id":151,"name":"Denver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2"/>
      <c r="AK178" s="230"/>
      <c r="AL178" s="230"/>
      <c r="AM178" s="239" t="str">
        <f t="shared" si="138"/>
        <v>start /low /b %USERPROFILE%\Documents\GitHub\eaglep3\Utilities\DownloadLogsFromS3.py --loco 4005 --day 2017-12-21</v>
      </c>
      <c r="AN178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16:54:54"},{"id":29,"name":"Sharepoint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140"/>
        <v>https://d0f6bd738d7f1b3e5a7ca70fe4ff75f0.us-east-1.aws.found.io/app/kibana#/discover/Steve-Slow-Train-Analysis-(2080s-and-2083s)?_g=(refreshInterval:(display:Off,pause:!f,section:0,value:0),time:(from:'2017-12-21T08:27:10-0700',mode:absolute,to:'2017-12-21T10:54:54-0700'))&amp;_a=(columns:!('Message%20ID',Summary),filters:!(),index:'emp_*',interval:auto,query:(query_string:(analyze_wildcard:!t,query:'%22rtdc.l.rtdc.4005%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760</v>
      </c>
      <c r="B179" s="224">
        <v>4006</v>
      </c>
      <c r="C179" s="226" t="s">
        <v>192</v>
      </c>
      <c r="D179" s="226" t="s">
        <v>645</v>
      </c>
      <c r="E179" s="225">
        <v>43090.414710648147</v>
      </c>
      <c r="F179" s="225">
        <v>43090.423263888886</v>
      </c>
      <c r="G179" s="224">
        <v>51</v>
      </c>
      <c r="H179" s="226" t="s">
        <v>1036</v>
      </c>
      <c r="I179" s="225">
        <v>43090.433738425927</v>
      </c>
      <c r="J179" s="224">
        <v>0</v>
      </c>
      <c r="K179" s="236" t="str">
        <f t="shared" si="166"/>
        <v>4005/4006</v>
      </c>
      <c r="L179" s="244" t="str">
        <f>VLOOKUP(A179,'Trips&amp;Operators'!$C$1:$G$99911,5,FALSE)</f>
        <v>FORTUNATO FRANK</v>
      </c>
      <c r="M179" s="223">
        <f t="shared" si="167"/>
        <v>1.0474537040863652E-2</v>
      </c>
      <c r="N179" s="224">
        <f t="shared" si="164"/>
        <v>15.083333338843659</v>
      </c>
      <c r="O179" s="224"/>
      <c r="P179" s="224"/>
      <c r="Q179" s="227"/>
      <c r="R179" s="241"/>
      <c r="S179" s="248">
        <f t="shared" si="155"/>
        <v>1</v>
      </c>
      <c r="T179" s="241" t="str">
        <f t="shared" si="168"/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113"/>
        <v>https://d0f6bd738d7f1b3e5a7ca70fe4ff75f0.us-east-1.aws.found.io/app/kibana#/discover/Steve-Slow-Train-Analysis-(2080s-and-2083s)?_g=(refreshInterval:(display:Off,pause:!f,section:0,value:0),time:(from:'2017-12-21T08:57:11-0700',mode:absolute,to:'2017-12-21T11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246" t="str">
        <f>IF(AA179&lt;VLOOKUP(AG179,Variables!$AC$3:$AD$8,2,FALSE),"Y","N")</f>
        <v>N</v>
      </c>
      <c r="X179" s="246">
        <f t="shared" si="165"/>
        <v>1</v>
      </c>
      <c r="Y179" s="246">
        <f t="shared" si="162"/>
        <v>4.3200000000000002E-2</v>
      </c>
      <c r="Z179" s="246">
        <f t="shared" si="163"/>
        <v>5.8963000000000001</v>
      </c>
      <c r="AA179" s="246">
        <f t="shared" si="169"/>
        <v>5.8531000000000004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170"/>
        <v>815</v>
      </c>
      <c r="AE179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79" s="233" t="str">
        <f t="shared" si="118"/>
        <v>"C:\Program Files (x86)\AstroGrep\AstroGrep.exe" /e /r /s /spath="%USERPROFILE%\AppData\Local\Temp\OnboardLogs" /stypes="app*4006*201712211*" /stext=" 17:.+?(?&gt;(PRM\|1\|D)|(KPR)|(KDP)|(train st[a-z]+ moving)|(SYSTEM_STATE:s[a-z]+ state changed)|(Enforcement Action)|(\[TIMEOUT)|(parse_ebi_status: Penalty)|(\|GPPS))"</v>
      </c>
      <c r="AG179" s="243" t="str">
        <f t="shared" si="171"/>
        <v>NW</v>
      </c>
      <c r="AH179" s="235" t="str">
        <f t="shared" si="136"/>
        <v>"%USERPROFILE%\Documents\GitHub\eaglep3\Utilities\RefineRTDCRunTimes.py" --tripid 815-21 --locoid 4006 --swversion DE.1.0.9.0 --startMP 204:432 --initTime 2017-12-21T09:57:11 --startdatetime 2017-12-21T10:09:30 --delay 51 --endMP 300:58963 --enddatetime 2017-12-21T10:24:35 --enforcementcount 0 &gt;&gt;%USERPROFILE%\Documents\GitHub\eaglep3-reporting\EC\2017-12-21-refined-times.txt</v>
      </c>
      <c r="AI179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{"issue":{"subject":"","project_id":79,"tracker_id":40,"status_id":1,"priority_id":2,"assigned_to_id":338,"start_date":"2017-12-21","description":"","custom_fields":[{"id":1,"name":"Subdivision","value":"NW"},{"id":4,"name":"Milepost","value":"5.8963"},{"id":17,"name":"Train ID","value":"815-21"},{"id":16,"name":"Locomotive ID","value":"4006"},{"id":130,"name":"Impact","value":""},{"id":150,"name":"Time of Event (Mountain Time)","value":"10:24:35"},{"id":151,"name":"Denver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138"/>
        <v>start /low /b %USERPROFILE%\Documents\GitHub\eaglep3\Utilities\DownloadLogsFromS3.py --loco 4006 --day 2017-12-21</v>
      </c>
      <c r="AN179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140"/>
        <v>https://d0f6bd738d7f1b3e5a7ca70fe4ff75f0.us-east-1.aws.found.io/app/kibana#/discover/Steve-Slow-Train-Analysis-(2080s-and-2083s)?_g=(refreshInterval:(display:Off,pause:!f,section:0,value:0),time:(from:'2017-12-21T08:57:11-0700',mode:absolute,to:'2017-12-21T11:24:35-0700'))&amp;_a=(columns:!('Message%20ID',Summary),filters:!(),index:'emp_*',interval:auto,query:(query_string:(analyze_wildcard:!t,query:'%22rtdc.l.rtdc.4006%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765</v>
      </c>
      <c r="B180" s="224">
        <v>4005</v>
      </c>
      <c r="C180" s="226" t="s">
        <v>192</v>
      </c>
      <c r="D180" s="226" t="s">
        <v>641</v>
      </c>
      <c r="E180" s="225">
        <v>43090.435231481482</v>
      </c>
      <c r="F180" s="225">
        <v>43090.445833333331</v>
      </c>
      <c r="G180" s="224">
        <v>83</v>
      </c>
      <c r="H180" s="226" t="s">
        <v>504</v>
      </c>
      <c r="I180" s="225">
        <v>43090.457650462966</v>
      </c>
      <c r="J180" s="224">
        <v>0</v>
      </c>
      <c r="K180" s="236" t="str">
        <f t="shared" si="166"/>
        <v>4005/4006</v>
      </c>
      <c r="L180" s="244" t="str">
        <f>VLOOKUP(A180,'Trips&amp;Operators'!$C$1:$G$99911,5,FALSE)</f>
        <v>FORTUNATO FRANK</v>
      </c>
      <c r="M180" s="223">
        <f t="shared" si="167"/>
        <v>1.1817129634437151E-2</v>
      </c>
      <c r="N180" s="224">
        <f t="shared" si="164"/>
        <v>17.016666673589498</v>
      </c>
      <c r="O180" s="224"/>
      <c r="P180" s="224"/>
      <c r="Q180" s="227"/>
      <c r="R180" s="241"/>
      <c r="S180" s="248">
        <f t="shared" si="155"/>
        <v>1</v>
      </c>
      <c r="T180" s="241" t="str">
        <f t="shared" si="168"/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113"/>
        <v>https://d0f6bd738d7f1b3e5a7ca70fe4ff75f0.us-east-1.aws.found.io/app/kibana#/discover/Steve-Slow-Train-Analysis-(2080s-and-2083s)?_g=(refreshInterval:(display:Off,pause:!f,section:0,value:0),time:(from:'2017-12-21T09:26:44-0700',mode:absolute,to:'2017-12-21T11:59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246" t="str">
        <f>IF(AA180&lt;VLOOKUP(AG180,Variables!$AC$3:$AD$8,2,FALSE),"Y","N")</f>
        <v>N</v>
      </c>
      <c r="X180" s="246">
        <f t="shared" si="165"/>
        <v>1</v>
      </c>
      <c r="Y180" s="246">
        <f t="shared" si="162"/>
        <v>5.8654999999999999</v>
      </c>
      <c r="Z180" s="246">
        <f t="shared" si="163"/>
        <v>1.38E-2</v>
      </c>
      <c r="AA180" s="246">
        <f t="shared" si="169"/>
        <v>5.8517000000000001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170"/>
        <v>816</v>
      </c>
      <c r="AE180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80" s="233" t="str">
        <f t="shared" si="118"/>
        <v>"C:\Program Files (x86)\AstroGrep\AstroGrep.exe" /e /r /s /spath="%USERPROFILE%\AppData\Local\Temp\OnboardLogs" /stypes="app*4005*201712211*" /stext=" 17:.+?(?&gt;(PRM\|1\|D)|(KPR)|(KDP)|(train st[a-z]+ moving)|(SYSTEM_STATE:s[a-z]+ state changed)|(Enforcement Action)|(\[TIMEOUT)|(parse_ebi_status: Penalty)|(\|GPPS))"</v>
      </c>
      <c r="AG180" s="243" t="str">
        <f t="shared" si="171"/>
        <v>NW</v>
      </c>
      <c r="AH180" s="235" t="str">
        <f t="shared" si="136"/>
        <v>"%USERPROFILE%\Documents\GitHub\eaglep3\Utilities\RefineRTDCRunTimes.py" --tripid 816-21 --locoid 4005 --swversion DE.1.0.9.0 --startMP 300:58655 --initTime 2017-12-21T10:26:44 --startdatetime 2017-12-21T10:42:00 --delay 83 --endMP 204:138 --enddatetime 2017-12-21T10:59:01 --enforcementcount 0 &gt;&gt;%USERPROFILE%\Documents\GitHub\eaglep3-reporting\EC\2017-12-21-refined-times.txt</v>
      </c>
      <c r="AI180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{"issue":{"subject":"","project_id":79,"tracker_id":40,"status_id":1,"priority_id":2,"assigned_to_id":338,"start_date":"2017-12-21","description":"","custom_fields":[{"id":1,"name":"Subdivision","value":"NW"},{"id":4,"name":"Milepost","value":"0.0138"},{"id":17,"name":"Train ID","value":"816-21"},{"id":16,"name":"Locomotive ID","value":"4005"},{"id":130,"name":"Impact","value":""},{"id":150,"name":"Time of Event (Mountain Time)","value":"10:59:01"},{"id":151,"name":"Denver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138"/>
        <v>start /low /b %USERPROFILE%\Documents\GitHub\eaglep3\Utilities\DownloadLogsFromS3.py --loco 4005 --day 2017-12-21</v>
      </c>
      <c r="AN180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17:59:01"},{"id":29,"name":"Sharepoint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140"/>
        <v>https://d0f6bd738d7f1b3e5a7ca70fe4ff75f0.us-east-1.aws.found.io/app/kibana#/discover/Steve-Slow-Train-Analysis-(2080s-and-2083s)?_g=(refreshInterval:(display:Off,pause:!f,section:0,value:0),time:(from:'2017-12-21T09:26:44-0700',mode:absolute,to:'2017-12-21T11:59:01-0700'))&amp;_a=(columns:!('Message%20ID',Summary),filters:!(),index:'emp_*',interval:auto,query:(query_string:(analyze_wildcard:!t,query:'%22rtdc.l.rtdc.4005%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772</v>
      </c>
      <c r="B181" s="224">
        <v>4006</v>
      </c>
      <c r="C181" s="226" t="s">
        <v>192</v>
      </c>
      <c r="D181" s="226" t="s">
        <v>521</v>
      </c>
      <c r="E181" s="225">
        <v>43090.460127314815</v>
      </c>
      <c r="F181" s="225">
        <v>43090.464837962965</v>
      </c>
      <c r="G181" s="224">
        <v>71</v>
      </c>
      <c r="H181" s="226" t="s">
        <v>1042</v>
      </c>
      <c r="I181" s="225">
        <v>43090.475324074076</v>
      </c>
      <c r="J181" s="224">
        <v>0</v>
      </c>
      <c r="K181" s="236" t="str">
        <f t="shared" si="166"/>
        <v>4005/4006</v>
      </c>
      <c r="L181" s="244" t="str">
        <f>VLOOKUP(A181,'Trips&amp;Operators'!$C$1:$G$99911,5,FALSE)</f>
        <v>FORTUNATO FRANK</v>
      </c>
      <c r="M181" s="223">
        <f t="shared" si="167"/>
        <v>1.0486111110367347E-2</v>
      </c>
      <c r="N181" s="224">
        <f t="shared" si="164"/>
        <v>15.099999998928979</v>
      </c>
      <c r="O181" s="224"/>
      <c r="P181" s="224"/>
      <c r="Q181" s="227"/>
      <c r="R181" s="241"/>
      <c r="S181" s="248">
        <f t="shared" si="155"/>
        <v>1</v>
      </c>
      <c r="T181" s="241" t="str">
        <f t="shared" si="168"/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113"/>
        <v>https://d0f6bd738d7f1b3e5a7ca70fe4ff75f0.us-east-1.aws.found.io/app/kibana#/discover/Steve-Slow-Train-Analysis-(2080s-and-2083s)?_g=(refreshInterval:(display:Off,pause:!f,section:0,value:0),time:(from:'2017-12-21T10:02:35-0700',mode:absolute,to:'2017-12-21T12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246" t="str">
        <f>IF(AA181&lt;VLOOKUP(AG181,Variables!$AC$3:$AD$8,2,FALSE),"Y","N")</f>
        <v>N</v>
      </c>
      <c r="X181" s="246">
        <f t="shared" si="165"/>
        <v>1</v>
      </c>
      <c r="Y181" s="246">
        <f t="shared" si="162"/>
        <v>4.5999999999999999E-2</v>
      </c>
      <c r="Z181" s="246">
        <f t="shared" si="163"/>
        <v>5.8986000000000001</v>
      </c>
      <c r="AA181" s="246">
        <f t="shared" si="169"/>
        <v>5.8525999999999998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170"/>
        <v>817</v>
      </c>
      <c r="AE181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81" s="233" t="str">
        <f t="shared" si="118"/>
        <v>"C:\Program Files (x86)\AstroGrep\AstroGrep.exe" /e /r /s /spath="%USERPROFILE%\AppData\Local\Temp\OnboardLogs" /stypes="app*4006*201712211*" /stext=" 18:.+?(?&gt;(PRM\|1\|D)|(KPR)|(KDP)|(train st[a-z]+ moving)|(SYSTEM_STATE:s[a-z]+ state changed)|(Enforcement Action)|(\[TIMEOUT)|(parse_ebi_status: Penalty)|(\|GPPS))"</v>
      </c>
      <c r="AG181" s="243" t="str">
        <f t="shared" si="171"/>
        <v>NW</v>
      </c>
      <c r="AH181" s="235" t="str">
        <f t="shared" si="136"/>
        <v>"%USERPROFILE%\Documents\GitHub\eaglep3\Utilities\RefineRTDCRunTimes.py" --tripid 817-21 --locoid 4006 --swversion DE.1.0.9.0 --startMP 204:460 --initTime 2017-12-21T11:02:35 --startdatetime 2017-12-21T11:09:22 --delay 71 --endMP 300:58986 --enddatetime 2017-12-21T11:24:28 --enforcementcount 0 &gt;&gt;%USERPROFILE%\Documents\GitHub\eaglep3-reporting\EC\2017-12-21-refined-times.txt</v>
      </c>
      <c r="AI181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{"issue":{"subject":"","project_id":79,"tracker_id":40,"status_id":1,"priority_id":2,"assigned_to_id":338,"start_date":"2017-12-21","description":"","custom_fields":[{"id":1,"name":"Subdivision","value":"NW"},{"id":4,"name":"Milepost","value":"5.8986"},{"id":17,"name":"Train ID","value":"817-21"},{"id":16,"name":"Locomotive ID","value":"4006"},{"id":130,"name":"Impact","value":""},{"id":150,"name":"Time of Event (Mountain Time)","value":"11:24:28"},{"id":151,"name":"Denver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138"/>
        <v>start /low /b %USERPROFILE%\Documents\GitHub\eaglep3\Utilities\DownloadLogsFromS3.py --loco 4006 --day 2017-12-21</v>
      </c>
      <c r="AN181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140"/>
        <v>https://d0f6bd738d7f1b3e5a7ca70fe4ff75f0.us-east-1.aws.found.io/app/kibana#/discover/Steve-Slow-Train-Analysis-(2080s-and-2083s)?_g=(refreshInterval:(display:Off,pause:!f,section:0,value:0),time:(from:'2017-12-21T10:02:35-0700',mode:absolute,to:'2017-12-21T12:24:28-0700'))&amp;_a=(columns:!('Message%20ID',Summary),filters:!(),index:'emp_*',interval:auto,query:(query_string:(analyze_wildcard:!t,query:'%22rtdc.l.rtdc.4006%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669</v>
      </c>
      <c r="B182" s="224">
        <v>4005</v>
      </c>
      <c r="C182" s="226" t="s">
        <v>192</v>
      </c>
      <c r="D182" s="226" t="s">
        <v>1043</v>
      </c>
      <c r="E182" s="225">
        <v>43090.476574074077</v>
      </c>
      <c r="F182" s="225">
        <v>43090.487500000003</v>
      </c>
      <c r="G182" s="224">
        <v>69</v>
      </c>
      <c r="H182" s="226" t="s">
        <v>566</v>
      </c>
      <c r="I182" s="225">
        <v>43090.497800925928</v>
      </c>
      <c r="J182" s="224">
        <v>0</v>
      </c>
      <c r="K182" s="236" t="str">
        <f t="shared" si="166"/>
        <v>4005/4006</v>
      </c>
      <c r="L182" s="244" t="str">
        <f>VLOOKUP(A182,'Trips&amp;Operators'!$C$1:$G$99911,5,FALSE)</f>
        <v>FORTUNATO FRANK</v>
      </c>
      <c r="M182" s="223">
        <f t="shared" si="167"/>
        <v>1.0300925925548654E-2</v>
      </c>
      <c r="N182" s="224">
        <f t="shared" si="164"/>
        <v>14.833333332790062</v>
      </c>
      <c r="O182" s="224"/>
      <c r="P182" s="224"/>
      <c r="Q182" s="227"/>
      <c r="R182" s="241"/>
      <c r="S182" s="248">
        <f t="shared" si="155"/>
        <v>1</v>
      </c>
      <c r="T182" s="241" t="str">
        <f t="shared" si="168"/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113"/>
        <v>https://d0f6bd738d7f1b3e5a7ca70fe4ff75f0.us-east-1.aws.found.io/app/kibana#/discover/Steve-Slow-Train-Analysis-(2080s-and-2083s)?_g=(refreshInterval:(display:Off,pause:!f,section:0,value:0),time:(from:'2017-12-21T10:26:16-0700',mode:absolute,to:'2017-12-21T12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246" t="str">
        <f>IF(AA182&lt;VLOOKUP(AG182,Variables!$AC$3:$AD$8,2,FALSE),"Y","N")</f>
        <v>N</v>
      </c>
      <c r="X182" s="246">
        <f t="shared" si="165"/>
        <v>1</v>
      </c>
      <c r="Y182" s="246">
        <f t="shared" si="162"/>
        <v>5.8662000000000001</v>
      </c>
      <c r="Z182" s="246">
        <f t="shared" si="163"/>
        <v>1.5699999999999999E-2</v>
      </c>
      <c r="AA182" s="246">
        <f t="shared" si="169"/>
        <v>5.8505000000000003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170"/>
        <v>818</v>
      </c>
      <c r="AE182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82" s="233" t="str">
        <f t="shared" si="118"/>
        <v>"C:\Program Files (x86)\AstroGrep\AstroGrep.exe" /e /r /s /spath="%USERPROFILE%\AppData\Local\Temp\OnboardLogs" /stypes="app*4005*201712211*" /stext=" 18:.+?(?&gt;(PRM\|1\|D)|(KPR)|(KDP)|(train st[a-z]+ moving)|(SYSTEM_STATE:s[a-z]+ state changed)|(Enforcement Action)|(\[TIMEOUT)|(parse_ebi_status: Penalty)|(\|GPPS))"</v>
      </c>
      <c r="AG182" s="243" t="str">
        <f t="shared" si="171"/>
        <v>NW</v>
      </c>
      <c r="AH182" s="235" t="str">
        <f t="shared" si="136"/>
        <v>"%USERPROFILE%\Documents\GitHub\eaglep3\Utilities\RefineRTDCRunTimes.py" --tripid 818-21 --locoid 4005 --swversion DE.1.0.9.0 --startMP 300:58662 --initTime 2017-12-21T11:26:16 --startdatetime 2017-12-21T11:42:00 --delay 69 --endMP 204:157 --enddatetime 2017-12-21T11:56:50 --enforcementcount 0 &gt;&gt;%USERPROFILE%\Documents\GitHub\eaglep3-reporting\EC\2017-12-21-refined-times.txt</v>
      </c>
      <c r="AI182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{"issue":{"subject":"","project_id":79,"tracker_id":40,"status_id":1,"priority_id":2,"assigned_to_id":338,"start_date":"2017-12-21","description":"","custom_fields":[{"id":1,"name":"Subdivision","value":"NW"},{"id":4,"name":"Milepost","value":"0.0157"},{"id":17,"name":"Train ID","value":"818-21"},{"id":16,"name":"Locomotive ID","value":"4005"},{"id":130,"name":"Impact","value":""},{"id":150,"name":"Time of Event (Mountain Time)","value":"11:56:50"},{"id":151,"name":"Denver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138"/>
        <v>start /low /b %USERPROFILE%\Documents\GitHub\eaglep3\Utilities\DownloadLogsFromS3.py --loco 4005 --day 2017-12-21</v>
      </c>
      <c r="AN182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140"/>
        <v>https://d0f6bd738d7f1b3e5a7ca70fe4ff75f0.us-east-1.aws.found.io/app/kibana#/discover/Steve-Slow-Train-Analysis-(2080s-and-2083s)?_g=(refreshInterval:(display:Off,pause:!f,section:0,value:0),time:(from:'2017-12-21T10:26:16-0700',mode:absolute,to:'2017-12-21T12:56:50-0700'))&amp;_a=(columns:!('Message%20ID',Summary),filters:!(),index:'emp_*',interval:auto,query:(query_string:(analyze_wildcard:!t,query:'%22rtdc.l.rtdc.4005%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25">
      <c r="A183" s="228" t="s">
        <v>782</v>
      </c>
      <c r="B183" s="224">
        <v>4006</v>
      </c>
      <c r="C183" s="226" t="s">
        <v>192</v>
      </c>
      <c r="D183" s="226" t="s">
        <v>1044</v>
      </c>
      <c r="E183" s="225">
        <v>43090.499537037038</v>
      </c>
      <c r="F183" s="225">
        <v>43090.50640046296</v>
      </c>
      <c r="G183" s="224">
        <v>56</v>
      </c>
      <c r="H183" s="226" t="s">
        <v>644</v>
      </c>
      <c r="I183" s="225">
        <v>43090.516828703701</v>
      </c>
      <c r="J183" s="224">
        <v>0</v>
      </c>
      <c r="K183" s="236" t="str">
        <f t="shared" si="166"/>
        <v>4005/4006</v>
      </c>
      <c r="L183" s="244" t="str">
        <f>VLOOKUP(A183,'Trips&amp;Operators'!$C$1:$G$99911,5,FALSE)</f>
        <v>FORTUNATO FRANK</v>
      </c>
      <c r="M183" s="223">
        <f t="shared" si="167"/>
        <v>1.0428240741021E-2</v>
      </c>
      <c r="N183" s="224">
        <f t="shared" si="164"/>
        <v>15.01666666707024</v>
      </c>
      <c r="O183" s="224"/>
      <c r="P183" s="224"/>
      <c r="Q183" s="227"/>
      <c r="R183" s="241"/>
      <c r="S183" s="248">
        <f t="shared" si="155"/>
        <v>1</v>
      </c>
      <c r="T183" s="241" t="str">
        <f t="shared" si="168"/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113"/>
        <v>https://d0f6bd738d7f1b3e5a7ca70fe4ff75f0.us-east-1.aws.found.io/app/kibana#/discover/Steve-Slow-Train-Analysis-(2080s-and-2083s)?_g=(refreshInterval:(display:Off,pause:!f,section:0,value:0),time:(from:'2017-12-21T10:59:20-0700',mode:absolute,to:'2017-12-21T13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246" t="str">
        <f>IF(AA183&lt;VLOOKUP(AG183,Variables!$AC$3:$AD$8,2,FALSE),"Y","N")</f>
        <v>N</v>
      </c>
      <c r="X183" s="246">
        <f t="shared" si="165"/>
        <v>1</v>
      </c>
      <c r="Y183" s="246">
        <f t="shared" si="162"/>
        <v>4.2599999999999999E-2</v>
      </c>
      <c r="Z183" s="246">
        <f t="shared" si="163"/>
        <v>5.8968999999999996</v>
      </c>
      <c r="AA183" s="246">
        <f t="shared" si="169"/>
        <v>5.8542999999999994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170"/>
        <v>819</v>
      </c>
      <c r="AE183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83" s="233" t="str">
        <f t="shared" si="118"/>
        <v>"C:\Program Files (x86)\AstroGrep\AstroGrep.exe" /e /r /s /spath="%USERPROFILE%\AppData\Local\Temp\OnboardLogs" /stypes="app*4006*201712211*" /stext=" 19:.+?(?&gt;(PRM\|1\|D)|(KPR)|(KDP)|(train st[a-z]+ moving)|(SYSTEM_STATE:s[a-z]+ state changed)|(Enforcement Action)|(\[TIMEOUT)|(parse_ebi_status: Penalty)|(\|GPPS))"</v>
      </c>
      <c r="AG183" s="243" t="str">
        <f t="shared" si="171"/>
        <v>NW</v>
      </c>
      <c r="AH183" s="235" t="str">
        <f t="shared" si="136"/>
        <v>"%USERPROFILE%\Documents\GitHub\eaglep3\Utilities\RefineRTDCRunTimes.py" --tripid 819-21 --locoid 4006 --swversion DE.1.0.9.0 --startMP 204:426 --initTime 2017-12-21T11:59:20 --startdatetime 2017-12-21T12:09:13 --delay 56 --endMP 300:58969 --enddatetime 2017-12-21T12:24:14 --enforcementcount 0 &gt;&gt;%USERPROFILE%\Documents\GitHub\eaglep3-reporting\EC\2017-12-21-refined-times.txt</v>
      </c>
      <c r="AI183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{"issue":{"subject":"","project_id":79,"tracker_id":40,"status_id":1,"priority_id":2,"assigned_to_id":338,"start_date":"2017-12-21","description":"","custom_fields":[{"id":1,"name":"Subdivision","value":"NW"},{"id":4,"name":"Milepost","value":"5.8969"},{"id":17,"name":"Train ID","value":"819-21"},{"id":16,"name":"Locomotive ID","value":"4006"},{"id":130,"name":"Impact","value":""},{"id":150,"name":"Time of Event (Mountain Time)","value":"12:24:14"},{"id":151,"name":"Denver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138"/>
        <v>start /low /b %USERPROFILE%\Documents\GitHub\eaglep3\Utilities\DownloadLogsFromS3.py --loco 4006 --day 2017-12-21</v>
      </c>
      <c r="AN183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140"/>
        <v>https://d0f6bd738d7f1b3e5a7ca70fe4ff75f0.us-east-1.aws.found.io/app/kibana#/discover/Steve-Slow-Train-Analysis-(2080s-and-2083s)?_g=(refreshInterval:(display:Off,pause:!f,section:0,value:0),time:(from:'2017-12-21T10:59:20-0700',mode:absolute,to:'2017-12-21T13:24:14-0700'))&amp;_a=(columns:!('Message%20ID',Summary),filters:!(),index:'emp_*',interval:auto,query:(query_string:(analyze_wildcard:!t,query:'%22rtdc.l.rtdc.4006%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8" t="s">
        <v>788</v>
      </c>
      <c r="B184" s="224">
        <v>4005</v>
      </c>
      <c r="C184" s="226" t="s">
        <v>192</v>
      </c>
      <c r="D184" s="226" t="s">
        <v>647</v>
      </c>
      <c r="E184" s="225">
        <v>43090.518321759257</v>
      </c>
      <c r="F184" s="225">
        <v>43090.529166666667</v>
      </c>
      <c r="G184" s="224">
        <v>58</v>
      </c>
      <c r="H184" s="226" t="s">
        <v>1045</v>
      </c>
      <c r="I184" s="225">
        <v>43090.539259259262</v>
      </c>
      <c r="J184" s="224">
        <v>0</v>
      </c>
      <c r="K184" s="236" t="str">
        <f t="shared" si="166"/>
        <v>4005/4006</v>
      </c>
      <c r="L184" s="244" t="str">
        <f>VLOOKUP(A184,'Trips&amp;Operators'!$C$1:$G$99911,5,FALSE)</f>
        <v>FORTUNATO FRANK</v>
      </c>
      <c r="M184" s="223">
        <f t="shared" si="167"/>
        <v>1.0092592594446614E-2</v>
      </c>
      <c r="N184" s="224">
        <f t="shared" si="164"/>
        <v>14.533333336003125</v>
      </c>
      <c r="O184" s="224"/>
      <c r="P184" s="224"/>
      <c r="Q184" s="227"/>
      <c r="R184" s="241"/>
      <c r="S184" s="248">
        <f t="shared" si="155"/>
        <v>1</v>
      </c>
      <c r="T184" s="241" t="str">
        <f t="shared" si="168"/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113"/>
        <v>https://d0f6bd738d7f1b3e5a7ca70fe4ff75f0.us-east-1.aws.found.io/app/kibana#/discover/Steve-Slow-Train-Analysis-(2080s-and-2083s)?_g=(refreshInterval:(display:Off,pause:!f,section:0,value:0),time:(from:'2017-12-21T11:26:23-0700',mode:absolute,to:'2017-12-21T13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246" t="str">
        <f>IF(AA184&lt;VLOOKUP(AG184,Variables!$AC$3:$AD$8,2,FALSE),"Y","N")</f>
        <v>N</v>
      </c>
      <c r="X184" s="246">
        <f t="shared" si="165"/>
        <v>1</v>
      </c>
      <c r="Y184" s="246">
        <f t="shared" si="162"/>
        <v>5.8647</v>
      </c>
      <c r="Z184" s="246">
        <f t="shared" si="163"/>
        <v>1.5100000000000001E-2</v>
      </c>
      <c r="AA184" s="246">
        <f t="shared" si="169"/>
        <v>5.8495999999999997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170"/>
        <v>820</v>
      </c>
      <c r="AE184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84" s="233" t="str">
        <f t="shared" si="118"/>
        <v>"C:\Program Files (x86)\AstroGrep\AstroGrep.exe" /e /r /s /spath="%USERPROFILE%\AppData\Local\Temp\OnboardLogs" /stypes="app*4005*201712211*" /stext=" 19:.+?(?&gt;(PRM\|1\|D)|(KPR)|(KDP)|(train st[a-z]+ moving)|(SYSTEM_STATE:s[a-z]+ state changed)|(Enforcement Action)|(\[TIMEOUT)|(parse_ebi_status: Penalty)|(\|GPPS))"</v>
      </c>
      <c r="AG184" s="243" t="str">
        <f t="shared" si="171"/>
        <v>NW</v>
      </c>
      <c r="AH184" s="235" t="str">
        <f t="shared" si="136"/>
        <v>"%USERPROFILE%\Documents\GitHub\eaglep3\Utilities\RefineRTDCRunTimes.py" --tripid 820-21 --locoid 4005 --swversion DE.1.0.9.0 --startMP 300:58647 --initTime 2017-12-21T12:26:23 --startdatetime 2017-12-21T12:42:00 --delay 58 --endMP 204:151 --enddatetime 2017-12-21T12:56:32 --enforcementcount 0 &gt;&gt;%USERPROFILE%\Documents\GitHub\eaglep3-reporting\EC\2017-12-21-refined-times.txt</v>
      </c>
      <c r="AI184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{"issue":{"subject":"","project_id":79,"tracker_id":40,"status_id":1,"priority_id":2,"assigned_to_id":338,"start_date":"2017-12-21","description":"","custom_fields":[{"id":1,"name":"Subdivision","value":"NW"},{"id":4,"name":"Milepost","value":"0.0151"},{"id":17,"name":"Train ID","value":"820-21"},{"id":16,"name":"Locomotive ID","value":"4005"},{"id":130,"name":"Impact","value":""},{"id":150,"name":"Time of Event (Mountain Time)","value":"12:56:32"},{"id":151,"name":"Denver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2"/>
      <c r="AK184" s="230"/>
      <c r="AL184" s="230"/>
      <c r="AM184" s="239" t="str">
        <f t="shared" si="138"/>
        <v>start /low /b %USERPROFILE%\Documents\GitHub\eaglep3\Utilities\DownloadLogsFromS3.py --loco 4005 --day 2017-12-21</v>
      </c>
      <c r="AN184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19:56:32"},{"id":29,"name":"Sharepoint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140"/>
        <v>https://d0f6bd738d7f1b3e5a7ca70fe4ff75f0.us-east-1.aws.found.io/app/kibana#/discover/Steve-Slow-Train-Analysis-(2080s-and-2083s)?_g=(refreshInterval:(display:Off,pause:!f,section:0,value:0),time:(from:'2017-12-21T11:26:23-0700',mode:absolute,to:'2017-12-21T13:56:32-0700'))&amp;_a=(columns:!('Message%20ID',Summary),filters:!(),index:'emp_*',interval:auto,query:(query_string:(analyze_wildcard:!t,query:'%22rtdc.l.rtdc.4005%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672</v>
      </c>
      <c r="B185" s="224">
        <v>4006</v>
      </c>
      <c r="C185" s="226" t="s">
        <v>192</v>
      </c>
      <c r="D185" s="226" t="s">
        <v>472</v>
      </c>
      <c r="E185" s="225">
        <v>43090.54378472222</v>
      </c>
      <c r="F185" s="225">
        <v>43090.54828703704</v>
      </c>
      <c r="G185" s="224">
        <v>73</v>
      </c>
      <c r="H185" s="226" t="s">
        <v>1046</v>
      </c>
      <c r="I185" s="225">
        <v>43090.557430555556</v>
      </c>
      <c r="J185" s="224">
        <v>0</v>
      </c>
      <c r="K185" s="236" t="str">
        <f t="shared" si="166"/>
        <v>4005/4006</v>
      </c>
      <c r="L185" s="244" t="str">
        <f>VLOOKUP(A185,'Trips&amp;Operators'!$C$1:$G$99911,5,FALSE)</f>
        <v>STAMBAUGH JAMES</v>
      </c>
      <c r="M185" s="223">
        <f t="shared" si="167"/>
        <v>9.1435185167938471E-3</v>
      </c>
      <c r="N185" s="224">
        <f t="shared" si="164"/>
        <v>13.16666666418314</v>
      </c>
      <c r="O185" s="224"/>
      <c r="P185" s="224"/>
      <c r="Q185" s="227"/>
      <c r="R185" s="241"/>
      <c r="S185" s="248">
        <f t="shared" si="155"/>
        <v>1</v>
      </c>
      <c r="T185" s="241" t="str">
        <f t="shared" si="168"/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113"/>
        <v>https://d0f6bd738d7f1b3e5a7ca70fe4ff75f0.us-east-1.aws.found.io/app/kibana#/discover/Steve-Slow-Train-Analysis-(2080s-and-2083s)?_g=(refreshInterval:(display:Off,pause:!f,section:0,value:0),time:(from:'2017-12-21T12:03:03-0700',mode:absolute,to:'2017-12-21T14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246" t="str">
        <f>IF(AA185&lt;VLOOKUP(AG185,Variables!$AC$3:$AD$8,2,FALSE),"Y","N")</f>
        <v>N</v>
      </c>
      <c r="X185" s="246">
        <f t="shared" si="165"/>
        <v>1</v>
      </c>
      <c r="Y185" s="246">
        <f t="shared" si="162"/>
        <v>4.4200000000000003E-2</v>
      </c>
      <c r="Z185" s="246">
        <f t="shared" si="163"/>
        <v>5.8925999999999998</v>
      </c>
      <c r="AA185" s="246">
        <f t="shared" si="169"/>
        <v>5.8483999999999998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170"/>
        <v>821</v>
      </c>
      <c r="AE185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85" s="233" t="str">
        <f t="shared" si="118"/>
        <v>"C:\Program Files (x86)\AstroGrep\AstroGrep.exe" /e /r /s /spath="%USERPROFILE%\AppData\Local\Temp\OnboardLogs" /stypes="app*4006*201712212*" /stext=" 20:.+?(?&gt;(PRM\|1\|D)|(KPR)|(KDP)|(train st[a-z]+ moving)|(SYSTEM_STATE:s[a-z]+ state changed)|(Enforcement Action)|(\[TIMEOUT)|(parse_ebi_status: Penalty)|(\|GPPS))"</v>
      </c>
      <c r="AG185" s="243" t="str">
        <f t="shared" si="171"/>
        <v>NW</v>
      </c>
      <c r="AH185" s="235" t="str">
        <f t="shared" si="136"/>
        <v>"%USERPROFILE%\Documents\GitHub\eaglep3\Utilities\RefineRTDCRunTimes.py" --tripid 821-21 --locoid 4006 --swversion DE.1.0.9.0 --startMP 204:442 --initTime 2017-12-21T13:03:03 --startdatetime 2017-12-21T13:09:32 --delay 73 --endMP 300:58926 --enddatetime 2017-12-21T13:22:42 --enforcementcount 0 &gt;&gt;%USERPROFILE%\Documents\GitHub\eaglep3-reporting\EC\2017-12-21-refined-times.txt</v>
      </c>
      <c r="AI185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{"issue":{"subject":"","project_id":79,"tracker_id":40,"status_id":1,"priority_id":2,"assigned_to_id":338,"start_date":"2017-12-21","description":"","custom_fields":[{"id":1,"name":"Subdivision","value":"NW"},{"id":4,"name":"Milepost","value":"5.8926"},{"id":17,"name":"Train ID","value":"821-21"},{"id":16,"name":"Locomotive ID","value":"4006"},{"id":130,"name":"Impact","value":""},{"id":150,"name":"Time of Event (Mountain Time)","value":"13:22:42"},{"id":151,"name":"Denver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138"/>
        <v>start /low /b %USERPROFILE%\Documents\GitHub\eaglep3\Utilities\DownloadLogsFromS3.py --loco 4006 --day 2017-12-21</v>
      </c>
      <c r="AN185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140"/>
        <v>https://d0f6bd738d7f1b3e5a7ca70fe4ff75f0.us-east-1.aws.found.io/app/kibana#/discover/Steve-Slow-Train-Analysis-(2080s-and-2083s)?_g=(refreshInterval:(display:Off,pause:!f,section:0,value:0),time:(from:'2017-12-21T12:03:03-0700',mode:absolute,to:'2017-12-21T14:22:42-0700'))&amp;_a=(columns:!('Message%20ID',Summary),filters:!(),index:'emp_*',interval:auto,query:(query_string:(analyze_wildcard:!t,query:'%22rtdc.l.rtdc.4006%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794</v>
      </c>
      <c r="B186" s="224">
        <v>4005</v>
      </c>
      <c r="C186" s="226" t="s">
        <v>192</v>
      </c>
      <c r="D186" s="226" t="s">
        <v>649</v>
      </c>
      <c r="E186" s="225">
        <v>43090.558958333335</v>
      </c>
      <c r="F186" s="225">
        <v>43090.570833333331</v>
      </c>
      <c r="G186" s="224">
        <v>64</v>
      </c>
      <c r="H186" s="226" t="s">
        <v>1047</v>
      </c>
      <c r="I186" s="225">
        <v>43090.579224537039</v>
      </c>
      <c r="J186" s="224">
        <v>0</v>
      </c>
      <c r="K186" s="236" t="str">
        <f t="shared" si="166"/>
        <v>4005/4006</v>
      </c>
      <c r="L186" s="244" t="str">
        <f>VLOOKUP(A186,'Trips&amp;Operators'!$C$1:$G$99911,5,FALSE)</f>
        <v>STAMBAUGH JAMES</v>
      </c>
      <c r="M186" s="223">
        <f t="shared" si="167"/>
        <v>8.3912037080153823E-3</v>
      </c>
      <c r="N186" s="224">
        <f t="shared" si="164"/>
        <v>12.08333333954215</v>
      </c>
      <c r="O186" s="224"/>
      <c r="P186" s="224"/>
      <c r="Q186" s="227"/>
      <c r="R186" s="241"/>
      <c r="S186" s="248">
        <f t="shared" ref="S186:S217" si="172">1/IF(AG186="EC",12,1)*SUM(U186:U186)</f>
        <v>1</v>
      </c>
      <c r="T186" s="241" t="str">
        <f t="shared" si="168"/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113"/>
        <v>https://d0f6bd738d7f1b3e5a7ca70fe4ff75f0.us-east-1.aws.found.io/app/kibana#/discover/Steve-Slow-Train-Analysis-(2080s-and-2083s)?_g=(refreshInterval:(display:Off,pause:!f,section:0,value:0),time:(from:'2017-12-21T12:24:54-0700',mode:absolute,to:'2017-12-21T14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246" t="str">
        <f>IF(AA186&lt;VLOOKUP(AG186,Variables!$AC$3:$AD$8,2,FALSE),"Y","N")</f>
        <v>N</v>
      </c>
      <c r="X186" s="246">
        <f t="shared" si="165"/>
        <v>1</v>
      </c>
      <c r="Y186" s="246">
        <v>5.8647</v>
      </c>
      <c r="Z186" s="246">
        <v>1.5100000000000001E-2</v>
      </c>
      <c r="AA186" s="246">
        <f t="shared" si="169"/>
        <v>5.8495999999999997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170"/>
        <v>822</v>
      </c>
      <c r="AE186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86" s="233" t="str">
        <f t="shared" si="118"/>
        <v>"C:\Program Files (x86)\AstroGrep\AstroGrep.exe" /e /r /s /spath="%USERPROFILE%\AppData\Local\Temp\OnboardLogs" /stypes="app*4005*201712212*" /stext=" 20:.+?(?&gt;(PRM\|1\|D)|(KPR)|(KDP)|(train st[a-z]+ moving)|(SYSTEM_STATE:s[a-z]+ state changed)|(Enforcement Action)|(\[TIMEOUT)|(parse_ebi_status: Penalty)|(\|GPPS))"</v>
      </c>
      <c r="AG186" s="243" t="str">
        <f t="shared" si="171"/>
        <v>NW</v>
      </c>
      <c r="AH186" s="235" t="str">
        <f t="shared" si="136"/>
        <v>"%USERPROFILE%\Documents\GitHub\eaglep3\Utilities\RefineRTDCRunTimes.py" --tripid 822-21 --locoid 4005 --swversion DE.1.0.9.0 --startMP 300:58619 --initTime 2017-12-21T13:24:54 --startdatetime 2017-12-21T13:42:00 --delay 64 --endMP 300:58049 --enddatetime 2017-12-21T13:54:05 --enforcementcount 0 &gt;&gt;%USERPROFILE%\Documents\GitHub\eaglep3-reporting\EC\2017-12-21-refined-times.txt</v>
      </c>
      <c r="AI186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{"issue":{"subject":"","project_id":79,"tracker_id":40,"status_id":1,"priority_id":2,"assigned_to_id":338,"start_date":"2017-12-21","description":"","custom_fields":[{"id":1,"name":"Subdivision","value":"NW"},{"id":4,"name":"Milepost","value":"0.0151"},{"id":17,"name":"Train ID","value":"822-21"},{"id":16,"name":"Locomotive ID","value":"4005"},{"id":130,"name":"Impact","value":""},{"id":150,"name":"Time of Event (Mountain Time)","value":"13:54:05"},{"id":151,"name":"Denver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138"/>
        <v>start /low /b %USERPROFILE%\Documents\GitHub\eaglep3\Utilities\DownloadLogsFromS3.py --loco 4005 --day 2017-12-21</v>
      </c>
      <c r="AN186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140"/>
        <v>https://d0f6bd738d7f1b3e5a7ca70fe4ff75f0.us-east-1.aws.found.io/app/kibana#/discover/Steve-Slow-Train-Analysis-(2080s-and-2083s)?_g=(refreshInterval:(display:Off,pause:!f,section:0,value:0),time:(from:'2017-12-21T12:24:54-0700',mode:absolute,to:'2017-12-21T14:54:05-0700'))&amp;_a=(columns:!('Message%20ID',Summary),filters:!(),index:'emp_*',interval:auto,query:(query_string:(analyze_wildcard:!t,query:'%22rtdc.l.rtdc.4005%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675</v>
      </c>
      <c r="B187" s="224">
        <v>4006</v>
      </c>
      <c r="C187" s="226" t="s">
        <v>192</v>
      </c>
      <c r="D187" s="226" t="s">
        <v>649</v>
      </c>
      <c r="E187" s="225">
        <v>43090.558958333335</v>
      </c>
      <c r="F187" s="225">
        <v>43090.589930555558</v>
      </c>
      <c r="G187" s="224">
        <v>64</v>
      </c>
      <c r="H187" s="226" t="s">
        <v>1047</v>
      </c>
      <c r="I187" s="225">
        <v>43090.599189814813</v>
      </c>
      <c r="J187" s="224">
        <v>0</v>
      </c>
      <c r="K187" s="236" t="str">
        <f t="shared" si="166"/>
        <v>4005/4006</v>
      </c>
      <c r="L187" s="244" t="str">
        <f>VLOOKUP(A187,'Trips&amp;Operators'!$C$1:$G$99911,5,FALSE)</f>
        <v>STAMBAUGH JAMES</v>
      </c>
      <c r="M187" s="223">
        <f t="shared" si="167"/>
        <v>9.2592592554865405E-3</v>
      </c>
      <c r="N187" s="224">
        <f t="shared" si="164"/>
        <v>13.333333327900618</v>
      </c>
      <c r="O187" s="224"/>
      <c r="P187" s="224"/>
      <c r="Q187" s="227"/>
      <c r="R187" s="241"/>
      <c r="S187" s="248">
        <f t="shared" si="172"/>
        <v>1</v>
      </c>
      <c r="T187" s="241" t="str">
        <f t="shared" si="168"/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113"/>
        <v>https://d0f6bd738d7f1b3e5a7ca70fe4ff75f0.us-east-1.aws.found.io/app/kibana#/discover/Steve-Slow-Train-Analysis-(2080s-and-2083s)?_g=(refreshInterval:(display:Off,pause:!f,section:0,value:0),time:(from:'2017-12-21T12:24:54-0700',mode:absolute,to:'2017-12-21T15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246" t="str">
        <f>IF(AA187&lt;VLOOKUP(AG187,Variables!$AC$3:$AD$8,2,FALSE),"Y","N")</f>
        <v>N</v>
      </c>
      <c r="X187" s="246">
        <f t="shared" si="165"/>
        <v>1</v>
      </c>
      <c r="Y187" s="246">
        <v>4.4200000000000003E-2</v>
      </c>
      <c r="Z187" s="246">
        <v>5.8925999999999998</v>
      </c>
      <c r="AA187" s="246">
        <f t="shared" si="169"/>
        <v>5.8483999999999998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170"/>
        <v>823</v>
      </c>
      <c r="AE187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87" s="233" t="str">
        <f t="shared" si="118"/>
        <v>"C:\Program Files (x86)\AstroGrep\AstroGrep.exe" /e /r /s /spath="%USERPROFILE%\AppData\Local\Temp\OnboardLogs" /stypes="app*4006*201712212*" /stext=" 21:.+?(?&gt;(PRM\|1\|D)|(KPR)|(KDP)|(train st[a-z]+ moving)|(SYSTEM_STATE:s[a-z]+ state changed)|(Enforcement Action)|(\[TIMEOUT)|(parse_ebi_status: Penalty)|(\|GPPS))"</v>
      </c>
      <c r="AG187" s="243" t="str">
        <f t="shared" si="171"/>
        <v>NW</v>
      </c>
      <c r="AH187" s="235" t="str">
        <f t="shared" ref="AH187" si="173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823-21 --locoid 4006 --swversion DE.1.0.9.0 --startMP 300:58619 --initTime 2017-12-21T13:24:54 --startdatetime 2017-12-21T14:09:30 --delay 64 --endMP 300:58049 --enddatetime 2017-12-21T14:22:50 --enforcementcount 0 &gt;&gt;%USERPROFILE%\Documents\GitHub\eaglep3-reporting\EC\2017-12-21-refined-times.txt</v>
      </c>
      <c r="AI187" s="237" t="str">
        <f t="shared" ref="AI187" si="174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{"issue":{"subject":"","project_id":79,"tracker_id":40,"status_id":1,"priority_id":2,"assigned_to_id":338,"start_date":"2017-12-21","description":"","custom_fields":[{"id":1,"name":"Subdivision","value":"NW"},{"id":4,"name":"Milepost","value":"5.8926"},{"id":17,"name":"Train ID","value":"823-21"},{"id":16,"name":"Locomotive ID","value":"4006"},{"id":130,"name":"Impact","value":""},{"id":150,"name":"Time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ref="AM187" si="175">"start /low /b "&amp;dls3logs&amp;" --loco "&amp;B187&amp;" --day "&amp;TEXT(F187,"YYYY-MM-DD")</f>
        <v>start /low /b %USERPROFILE%\Documents\GitHub\eaglep3\Utilities\DownloadLogsFromS3.py --loco 4006 --day 2017-12-21</v>
      </c>
      <c r="AN187" s="240" t="str">
        <f t="shared" ref="AN187" si="176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ref="AO187" si="177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-21T12:24:54-0700',mode:absolute,to:'2017-12-21T15:22:50-0700'))&amp;_a=(columns:!('Message%20ID',Summary),filters:!(),index:'emp_*',interval:auto,query:(query_string:(analyze_wildcard:!t,query:'%22rtdc.l.rtdc.4006%22')),sort:!(Time.ISO8601,asc))</v>
      </c>
    </row>
    <row r="188" spans="1:91" s="222" customFormat="1" x14ac:dyDescent="0.25">
      <c r="A188" s="228" t="s">
        <v>804</v>
      </c>
      <c r="B188" s="224">
        <v>4005</v>
      </c>
      <c r="C188" s="226" t="s">
        <v>192</v>
      </c>
      <c r="D188" s="226" t="s">
        <v>1048</v>
      </c>
      <c r="E188" s="225">
        <v>43090.600266203706</v>
      </c>
      <c r="F188" s="225">
        <v>43090.612500000003</v>
      </c>
      <c r="G188" s="224">
        <v>53</v>
      </c>
      <c r="H188" s="226" t="s">
        <v>1049</v>
      </c>
      <c r="I188" s="225">
        <v>43090.620949074073</v>
      </c>
      <c r="J188" s="224">
        <v>0</v>
      </c>
      <c r="K188" s="236" t="str">
        <f t="shared" si="166"/>
        <v>4005/4006</v>
      </c>
      <c r="L188" s="244" t="str">
        <f>VLOOKUP(A188,'Trips&amp;Operators'!$C$1:$G$99911,5,FALSE)</f>
        <v>STAMBAUGH JAMES</v>
      </c>
      <c r="M188" s="223">
        <f t="shared" si="167"/>
        <v>8.4490740700857714E-3</v>
      </c>
      <c r="N188" s="224">
        <f t="shared" si="164"/>
        <v>12.166666660923511</v>
      </c>
      <c r="O188" s="224"/>
      <c r="P188" s="224"/>
      <c r="Q188" s="227"/>
      <c r="R188" s="241"/>
      <c r="S188" s="248">
        <f t="shared" si="172"/>
        <v>1</v>
      </c>
      <c r="T188" s="241" t="str">
        <f t="shared" si="168"/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113"/>
        <v>https://d0f6bd738d7f1b3e5a7ca70fe4ff75f0.us-east-1.aws.found.io/app/kibana#/discover/Steve-Slow-Train-Analysis-(2080s-and-2083s)?_g=(refreshInterval:(display:Off,pause:!f,section:0,value:0),time:(from:'2017-12-21T13:24:23-0700',mode:absolute,to:'2017-12-21T15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246" t="str">
        <f>IF(AA188&lt;VLOOKUP(AG188,Variables!$AC$3:$AD$8,2,FALSE),"Y","N")</f>
        <v>N</v>
      </c>
      <c r="X188" s="246">
        <f t="shared" ref="X188:X190" si="178">VALUE(LEFT(AD188,4))-VALUE(LEFT(AD187,4))</f>
        <v>1</v>
      </c>
      <c r="Y188" s="246">
        <f t="shared" ref="Y188:Y206" si="179">RIGHT(D188,LEN(D188)-4)/10000</f>
        <v>5.8571999999999997</v>
      </c>
      <c r="Z188" s="246">
        <f t="shared" ref="Z188:Z206" si="180">RIGHT(H188,LEN(H188)-4)/10000</f>
        <v>1.4E-2</v>
      </c>
      <c r="AA188" s="246">
        <f t="shared" si="169"/>
        <v>5.8431999999999995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170"/>
        <v>824</v>
      </c>
      <c r="AE188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88" s="233" t="str">
        <f t="shared" si="118"/>
        <v>"C:\Program Files (x86)\AstroGrep\AstroGrep.exe" /e /r /s /spath="%USERPROFILE%\AppData\Local\Temp\OnboardLogs" /stypes="app*4005*201712212*" /stext=" 21:.+?(?&gt;(PRM\|1\|D)|(KPR)|(KDP)|(train st[a-z]+ moving)|(SYSTEM_STATE:s[a-z]+ state changed)|(Enforcement Action)|(\[TIMEOUT)|(parse_ebi_status: Penalty)|(\|GPPS))"</v>
      </c>
      <c r="AG188" s="243" t="str">
        <f t="shared" si="171"/>
        <v>NW</v>
      </c>
      <c r="AH188" s="235" t="str">
        <f t="shared" si="136"/>
        <v>"%USERPROFILE%\Documents\GitHub\eaglep3\Utilities\RefineRTDCRunTimes.py" --tripid 824-21 --locoid 4005 --swversion DE.1.0.9.0 --startMP 300:58572 --initTime 2017-12-21T14:24:23 --startdatetime 2017-12-21T14:42:00 --delay 53 --endMP 204:140 --enddatetime 2017-12-21T14:54:10 --enforcementcount 0 &gt;&gt;%USERPROFILE%\Documents\GitHub\eaglep3-reporting\EC\2017-12-21-refined-times.txt</v>
      </c>
      <c r="AI188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{"issue":{"subject":"","project_id":79,"tracker_id":40,"status_id":1,"priority_id":2,"assigned_to_id":338,"start_date":"2017-12-21","description":"","custom_fields":[{"id":1,"name":"Subdivision","value":"NW"},{"id":4,"name":"Milepost","value":"0.014"},{"id":17,"name":"Train ID","value":"824-21"},{"id":16,"name":"Locomotive ID","value":"4005"},{"id":130,"name":"Impact","value":""},{"id":150,"name":"Time of Event (Mountain Time)","value":"14:54:10"},{"id":151,"name":"Denver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138"/>
        <v>start /low /b %USERPROFILE%\Documents\GitHub\eaglep3\Utilities\DownloadLogsFromS3.py --loco 4005 --day 2017-12-21</v>
      </c>
      <c r="AN188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140"/>
        <v>https://d0f6bd738d7f1b3e5a7ca70fe4ff75f0.us-east-1.aws.found.io/app/kibana#/discover/Steve-Slow-Train-Analysis-(2080s-and-2083s)?_g=(refreshInterval:(display:Off,pause:!f,section:0,value:0),time:(from:'2017-12-21T13:24:23-0700',mode:absolute,to:'2017-12-21T15:54:10-0700'))&amp;_a=(columns:!('Message%20ID',Summary),filters:!(),index:'emp_*',interval:auto,query:(query_string:(analyze_wildcard:!t,query:'%22rtdc.l.rtdc.4005%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810</v>
      </c>
      <c r="B189" s="224">
        <v>4006</v>
      </c>
      <c r="C189" s="226" t="s">
        <v>192</v>
      </c>
      <c r="D189" s="226" t="s">
        <v>544</v>
      </c>
      <c r="E189" s="225">
        <v>43090.627662037034</v>
      </c>
      <c r="F189" s="225">
        <v>43090.631481481483</v>
      </c>
      <c r="G189" s="224">
        <v>63</v>
      </c>
      <c r="H189" s="226" t="s">
        <v>1046</v>
      </c>
      <c r="I189" s="225">
        <v>43090.641053240739</v>
      </c>
      <c r="J189" s="224">
        <v>0</v>
      </c>
      <c r="K189" s="236" t="str">
        <f t="shared" si="166"/>
        <v>4005/4006</v>
      </c>
      <c r="L189" s="244" t="str">
        <f>VLOOKUP(A189,'Trips&amp;Operators'!$C$1:$G$99911,5,FALSE)</f>
        <v>STAMBAUGH JAMES</v>
      </c>
      <c r="M189" s="223">
        <f t="shared" si="167"/>
        <v>9.5717592557775788E-3</v>
      </c>
      <c r="N189" s="224">
        <f t="shared" si="164"/>
        <v>13.783333328319713</v>
      </c>
      <c r="O189" s="224"/>
      <c r="P189" s="224"/>
      <c r="Q189" s="227"/>
      <c r="R189" s="241"/>
      <c r="S189" s="248">
        <f t="shared" si="172"/>
        <v>1</v>
      </c>
      <c r="T189" s="241" t="str">
        <f t="shared" si="168"/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113"/>
        <v>https://d0f6bd738d7f1b3e5a7ca70fe4ff75f0.us-east-1.aws.found.io/app/kibana#/discover/Steve-Slow-Train-Analysis-(2080s-and-2083s)?_g=(refreshInterval:(display:Off,pause:!f,section:0,value:0),time:(from:'2017-12-21T14:03:50-0700',mode:absolute,to:'2017-12-21T16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246" t="str">
        <f>IF(AA189&lt;VLOOKUP(AG189,Variables!$AC$3:$AD$8,2,FALSE),"Y","N")</f>
        <v>N</v>
      </c>
      <c r="X189" s="246">
        <f t="shared" si="178"/>
        <v>1</v>
      </c>
      <c r="Y189" s="246">
        <f t="shared" si="179"/>
        <v>4.4400000000000002E-2</v>
      </c>
      <c r="Z189" s="246">
        <f t="shared" si="180"/>
        <v>5.8925999999999998</v>
      </c>
      <c r="AA189" s="246">
        <f t="shared" si="169"/>
        <v>5.8481999999999994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170"/>
        <v>825</v>
      </c>
      <c r="AE189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89" s="233" t="str">
        <f t="shared" si="118"/>
        <v>"C:\Program Files (x86)\AstroGrep\AstroGrep.exe" /e /r /s /spath="%USERPROFILE%\AppData\Local\Temp\OnboardLogs" /stypes="app*4006*201712212*" /stext=" 22:.+?(?&gt;(PRM\|1\|D)|(KPR)|(KDP)|(train st[a-z]+ moving)|(SYSTEM_STATE:s[a-z]+ state changed)|(Enforcement Action)|(\[TIMEOUT)|(parse_ebi_status: Penalty)|(\|GPPS))"</v>
      </c>
      <c r="AG189" s="243" t="str">
        <f t="shared" si="171"/>
        <v>NW</v>
      </c>
      <c r="AH189" s="235" t="str">
        <f t="shared" si="136"/>
        <v>"%USERPROFILE%\Documents\GitHub\eaglep3\Utilities\RefineRTDCRunTimes.py" --tripid 825-21 --locoid 4006 --swversion DE.1.0.9.0 --startMP 204:444 --initTime 2017-12-21T15:03:50 --startdatetime 2017-12-21T15:09:20 --delay 63 --endMP 300:58926 --enddatetime 2017-12-21T15:23:07 --enforcementcount 0 &gt;&gt;%USERPROFILE%\Documents\GitHub\eaglep3-reporting\EC\2017-12-21-refined-times.txt</v>
      </c>
      <c r="AI189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{"issue":{"subject":"","project_id":79,"tracker_id":40,"status_id":1,"priority_id":2,"assigned_to_id":338,"start_date":"2017-12-21","description":"","custom_fields":[{"id":1,"name":"Subdivision","value":"NW"},{"id":4,"name":"Milepost","value":"5.8926"},{"id":17,"name":"Train ID","value":"825-21"},{"id":16,"name":"Locomotive ID","value":"4006"},{"id":130,"name":"Impact","value":""},{"id":150,"name":"Time of Event (Mountain Time)","value":"15:23:07"},{"id":151,"name":"Denver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138"/>
        <v>start /low /b %USERPROFILE%\Documents\GitHub\eaglep3\Utilities\DownloadLogsFromS3.py --loco 4006 --day 2017-12-21</v>
      </c>
      <c r="AN189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140"/>
        <v>https://d0f6bd738d7f1b3e5a7ca70fe4ff75f0.us-east-1.aws.found.io/app/kibana#/discover/Steve-Slow-Train-Analysis-(2080s-and-2083s)?_g=(refreshInterval:(display:Off,pause:!f,section:0,value:0),time:(from:'2017-12-21T14:03:50-0700',mode:absolute,to:'2017-12-21T16:23:07-0700'))&amp;_a=(columns:!('Message%20ID',Summary),filters:!(),index:'emp_*',interval:auto,query:(query_string:(analyze_wildcard:!t,query:'%22rtdc.l.rtdc.4006%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8" t="s">
        <v>815</v>
      </c>
      <c r="B190" s="224">
        <v>4005</v>
      </c>
      <c r="C190" s="226" t="s">
        <v>192</v>
      </c>
      <c r="D190" s="226" t="s">
        <v>1104</v>
      </c>
      <c r="E190" s="225">
        <v>43090.642881944441</v>
      </c>
      <c r="F190" s="225">
        <v>43090.654166666667</v>
      </c>
      <c r="G190" s="224">
        <v>51</v>
      </c>
      <c r="H190" s="226" t="s">
        <v>648</v>
      </c>
      <c r="I190" s="225">
        <v>43090.662488425929</v>
      </c>
      <c r="J190" s="224">
        <v>0</v>
      </c>
      <c r="K190" s="236" t="str">
        <f t="shared" si="166"/>
        <v>4005/4006</v>
      </c>
      <c r="L190" s="244" t="str">
        <f>VLOOKUP(A190,'Trips&amp;Operators'!$C$1:$G$99911,5,FALSE)</f>
        <v>STAMBAUGH JAMES</v>
      </c>
      <c r="M190" s="223">
        <f t="shared" si="167"/>
        <v>8.3217592618893832E-3</v>
      </c>
      <c r="N190" s="224">
        <f t="shared" si="164"/>
        <v>11.983333337120712</v>
      </c>
      <c r="O190" s="224"/>
      <c r="P190" s="224"/>
      <c r="Q190" s="227"/>
      <c r="R190" s="241"/>
      <c r="S190" s="248">
        <f t="shared" si="172"/>
        <v>1</v>
      </c>
      <c r="T190" s="241" t="str">
        <f t="shared" si="168"/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113"/>
        <v>https://d0f6bd738d7f1b3e5a7ca70fe4ff75f0.us-east-1.aws.found.io/app/kibana#/discover/Steve-Slow-Train-Analysis-(2080s-and-2083s)?_g=(refreshInterval:(display:Off,pause:!f,section:0,value:0),time:(from:'2017-12-21T14:25:45-0700',mode:absolute,to:'2017-12-21T16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246" t="str">
        <f>IF(AA190&lt;VLOOKUP(AG190,Variables!$AC$3:$AD$8,2,FALSE),"Y","N")</f>
        <v>N</v>
      </c>
      <c r="X190" s="246">
        <f t="shared" si="178"/>
        <v>1</v>
      </c>
      <c r="Y190" s="246">
        <f t="shared" si="179"/>
        <v>5.8616999999999999</v>
      </c>
      <c r="Z190" s="246">
        <f t="shared" si="180"/>
        <v>1.46E-2</v>
      </c>
      <c r="AA190" s="246">
        <f t="shared" si="169"/>
        <v>5.8471000000000002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170"/>
        <v>826</v>
      </c>
      <c r="AE190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90" s="233" t="str">
        <f t="shared" si="118"/>
        <v>"C:\Program Files (x86)\AstroGrep\AstroGrep.exe" /e /r /s /spath="%USERPROFILE%\AppData\Local\Temp\OnboardLogs" /stypes="app*4005*201712212*" /stext=" 22:.+?(?&gt;(PRM\|1\|D)|(KPR)|(KDP)|(train st[a-z]+ moving)|(SYSTEM_STATE:s[a-z]+ state changed)|(Enforcement Action)|(\[TIMEOUT)|(parse_ebi_status: Penalty)|(\|GPPS))"</v>
      </c>
      <c r="AG190" s="243" t="str">
        <f t="shared" si="171"/>
        <v>NW</v>
      </c>
      <c r="AH190" s="235" t="str">
        <f t="shared" si="136"/>
        <v>"%USERPROFILE%\Documents\GitHub\eaglep3\Utilities\RefineRTDCRunTimes.py" --tripid 826-21 --locoid 4005 --swversion DE.1.0.9.0 --startMP 300:58617 --initTime 2017-12-21T15:25:45 --startdatetime 2017-12-21T15:42:00 --delay 51 --endMP 204:146 --enddatetime 2017-12-21T15:53:59 --enforcementcount 0 &gt;&gt;%USERPROFILE%\Documents\GitHub\eaglep3-reporting\EC\2017-12-21-refined-times.txt</v>
      </c>
      <c r="AI190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{"issue":{"subject":"","project_id":79,"tracker_id":40,"status_id":1,"priority_id":2,"assigned_to_id":338,"start_date":"2017-12-21","description":"","custom_fields":[{"id":1,"name":"Subdivision","value":"NW"},{"id":4,"name":"Milepost","value":"0.0146"},{"id":17,"name":"Train ID","value":"826-21"},{"id":16,"name":"Locomotive ID","value":"4005"},{"id":130,"name":"Impact","value":""},{"id":150,"name":"Time of Event (Mountain Time)","value":"15:53:59"},{"id":151,"name":"Denver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2"/>
      <c r="AK190" s="230"/>
      <c r="AL190" s="230"/>
      <c r="AM190" s="239" t="str">
        <f t="shared" si="138"/>
        <v>start /low /b %USERPROFILE%\Documents\GitHub\eaglep3\Utilities\DownloadLogsFromS3.py --loco 4005 --day 2017-12-21</v>
      </c>
      <c r="AN190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140"/>
        <v>https://d0f6bd738d7f1b3e5a7ca70fe4ff75f0.us-east-1.aws.found.io/app/kibana#/discover/Steve-Slow-Train-Analysis-(2080s-and-2083s)?_g=(refreshInterval:(display:Off,pause:!f,section:0,value:0),time:(from:'2017-12-21T14:25:45-0700',mode:absolute,to:'2017-12-21T16:53:59-0700'))&amp;_a=(columns:!('Message%20ID',Summary),filters:!(),index:'emp_*',interval:auto,query:(query_string:(analyze_wildcard:!t,query:'%22rtdc.l.rtdc.4005%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2" customFormat="1" x14ac:dyDescent="0.25">
      <c r="A191" s="228" t="s">
        <v>818</v>
      </c>
      <c r="B191" s="224">
        <v>4036</v>
      </c>
      <c r="C191" s="226" t="s">
        <v>192</v>
      </c>
      <c r="D191" s="226" t="s">
        <v>1050</v>
      </c>
      <c r="E191" s="225">
        <v>43090.64916666667</v>
      </c>
      <c r="F191" s="225">
        <v>43090.652245370373</v>
      </c>
      <c r="G191" s="224">
        <v>107</v>
      </c>
      <c r="H191" s="226" t="s">
        <v>1051</v>
      </c>
      <c r="I191" s="225">
        <v>43090.662881944445</v>
      </c>
      <c r="J191" s="224">
        <v>0</v>
      </c>
      <c r="K191" s="236" t="str">
        <f t="shared" si="166"/>
        <v>4035/4036</v>
      </c>
      <c r="L191" s="244" t="str">
        <f>VLOOKUP(A191,'Trips&amp;Operators'!$C$1:$G$99911,5,FALSE)</f>
        <v>RESPASS AARON</v>
      </c>
      <c r="M191" s="223">
        <f t="shared" si="167"/>
        <v>1.063657407212304E-2</v>
      </c>
      <c r="N191" s="224">
        <f t="shared" si="164"/>
        <v>15.316666663857177</v>
      </c>
      <c r="O191" s="224"/>
      <c r="P191" s="224"/>
      <c r="Q191" s="227"/>
      <c r="R191" s="241"/>
      <c r="S191" s="248">
        <f t="shared" si="172"/>
        <v>1</v>
      </c>
      <c r="T191" s="241" t="str">
        <f t="shared" si="168"/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113"/>
        <v>https://d0f6bd738d7f1b3e5a7ca70fe4ff75f0.us-east-1.aws.found.io/app/kibana#/discover/Steve-Slow-Train-Analysis-(2080s-and-2083s)?_g=(refreshInterval:(display:Off,pause:!f,section:0,value:0),time:(from:'2017-12-21T14:34:48-0700',mode:absolute,to:'2017-12-21T16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1" s="246" t="str">
        <f>IF(AA191&lt;VLOOKUP(AG191,Variables!$AC$3:$AD$8,2,FALSE),"Y","N")</f>
        <v>N</v>
      </c>
      <c r="X191" s="246">
        <f t="shared" ref="X191:X207" si="181">VALUE(LEFT(AD191,4))-VALUE(LEFT(AD190,4))</f>
        <v>1</v>
      </c>
      <c r="Y191" s="246">
        <f t="shared" si="179"/>
        <v>4.2299999999999997E-2</v>
      </c>
      <c r="Z191" s="246">
        <f t="shared" si="180"/>
        <v>5.8924000000000003</v>
      </c>
      <c r="AA191" s="246">
        <f t="shared" si="169"/>
        <v>5.8501000000000003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170"/>
        <v>827</v>
      </c>
      <c r="AE191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91" s="233" t="str">
        <f t="shared" si="118"/>
        <v>"C:\Program Files (x86)\AstroGrep\AstroGrep.exe" /e /r /s /spath="%USERPROFILE%\AppData\Local\Temp\OnboardLogs" /stypes="app*4036*201712212*" /stext=" 22:.+?(?&gt;(PRM\|1\|D)|(KPR)|(KDP)|(train st[a-z]+ moving)|(SYSTEM_STATE:s[a-z]+ state changed)|(Enforcement Action)|(\[TIMEOUT)|(parse_ebi_status: Penalty)|(\|GPPS))"</v>
      </c>
      <c r="AG191" s="243" t="str">
        <f t="shared" si="171"/>
        <v>NW</v>
      </c>
      <c r="AH191" s="235" t="str">
        <f t="shared" si="136"/>
        <v>"%USERPROFILE%\Documents\GitHub\eaglep3\Utilities\RefineRTDCRunTimes.py" --tripid 827-21 --locoid 4036 --swversion DE.1.0.9.0 --startMP 204:423 --initTime 2017-12-21T15:34:48 --startdatetime 2017-12-21T15:39:14 --delay 107 --endMP 300:58924 --enddatetime 2017-12-21T15:54:33 --enforcementcount 0 &gt;&gt;%USERPROFILE%\Documents\GitHub\eaglep3-reporting\EC\2017-12-21-refined-times.txt</v>
      </c>
      <c r="AI191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{"issue":{"subject":"","project_id":79,"tracker_id":40,"status_id":1,"priority_id":2,"assigned_to_id":338,"start_date":"2017-12-21","description":"","custom_fields":[{"id":1,"name":"Subdivision","value":"NW"},{"id":4,"name":"Milepost","value":"5.8924"},{"id":17,"name":"Train ID","value":"827-21"},{"id":16,"name":"Locomotive ID","value":"4036"},{"id":130,"name":"Impact","value":""},{"id":150,"name":"Time of Event (Mountain Time)","value":"15:54:33"},{"id":151,"name":"Denver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0"/>
      <c r="AL191" s="230"/>
      <c r="AM191" s="239" t="str">
        <f t="shared" si="138"/>
        <v>start /low /b %USERPROFILE%\Documents\GitHub\eaglep3\Utilities\DownloadLogsFromS3.py --loco 4036 --day 2017-12-21</v>
      </c>
      <c r="AN191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140"/>
        <v>https://d0f6bd738d7f1b3e5a7ca70fe4ff75f0.us-east-1.aws.found.io/app/kibana#/discover/Steve-Slow-Train-Analysis-(2080s-and-2083s)?_g=(refreshInterval:(display:Off,pause:!f,section:0,value:0),time:(from:'2017-12-21T14:34:48-0700',mode:absolute,to:'2017-12-21T16:54:33-0700'))&amp;_a=(columns:!('Message%20ID',Summary),filters:!(),index:'emp_*',interval:auto,query:(query_string:(analyze_wildcard:!t,query:'%22rtdc.l.rtdc.4036%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823</v>
      </c>
      <c r="B192" s="224">
        <v>4035</v>
      </c>
      <c r="C192" s="226" t="s">
        <v>192</v>
      </c>
      <c r="D192" s="226" t="s">
        <v>1052</v>
      </c>
      <c r="E192" s="225">
        <v>43090.665497685186</v>
      </c>
      <c r="F192" s="225">
        <v>43090.675000000003</v>
      </c>
      <c r="G192" s="224">
        <v>59</v>
      </c>
      <c r="H192" s="226" t="s">
        <v>565</v>
      </c>
      <c r="I192" s="225">
        <v>43090.683576388888</v>
      </c>
      <c r="J192" s="224">
        <v>0</v>
      </c>
      <c r="K192" s="236" t="str">
        <f t="shared" si="166"/>
        <v>4035/4036</v>
      </c>
      <c r="L192" s="244" t="str">
        <f>VLOOKUP(A192,'Trips&amp;Operators'!$C$1:$G$99911,5,FALSE)</f>
        <v>RESPASS AARON</v>
      </c>
      <c r="M192" s="223">
        <f t="shared" si="167"/>
        <v>8.5763888855581172E-3</v>
      </c>
      <c r="N192" s="224">
        <f t="shared" si="164"/>
        <v>12.349999995203689</v>
      </c>
      <c r="O192" s="224"/>
      <c r="P192" s="224"/>
      <c r="Q192" s="227"/>
      <c r="R192" s="241"/>
      <c r="S192" s="248">
        <f t="shared" si="172"/>
        <v>1</v>
      </c>
      <c r="T192" s="241" t="str">
        <f t="shared" si="168"/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113"/>
        <v>https://d0f6bd738d7f1b3e5a7ca70fe4ff75f0.us-east-1.aws.found.io/app/kibana#/discover/Steve-Slow-Train-Analysis-(2080s-and-2083s)?_g=(refreshInterval:(display:Off,pause:!f,section:0,value:0),time:(from:'2017-12-21T14:58:19-0700',mode:absolute,to:'2017-12-21T17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2" s="246" t="str">
        <f>IF(AA192&lt;VLOOKUP(AG192,Variables!$AC$3:$AD$8,2,FALSE),"Y","N")</f>
        <v>N</v>
      </c>
      <c r="X192" s="246">
        <f t="shared" si="181"/>
        <v>1</v>
      </c>
      <c r="Y192" s="246">
        <f t="shared" si="179"/>
        <v>5.8604000000000003</v>
      </c>
      <c r="Z192" s="246">
        <f t="shared" si="180"/>
        <v>1.4800000000000001E-2</v>
      </c>
      <c r="AA192" s="246">
        <f t="shared" si="169"/>
        <v>5.8456000000000001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170"/>
        <v>828</v>
      </c>
      <c r="AE192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92" s="233" t="str">
        <f t="shared" si="118"/>
        <v>"C:\Program Files (x86)\AstroGrep\AstroGrep.exe" /e /r /s /spath="%USERPROFILE%\AppData\Local\Temp\OnboardLogs" /stypes="app*4035*201712212*" /stext=" 23:.+?(?&gt;(PRM\|1\|D)|(KPR)|(KDP)|(train st[a-z]+ moving)|(SYSTEM_STATE:s[a-z]+ state changed)|(Enforcement Action)|(\[TIMEOUT)|(parse_ebi_status: Penalty)|(\|GPPS))"</v>
      </c>
      <c r="AG192" s="243" t="str">
        <f t="shared" si="171"/>
        <v>NW</v>
      </c>
      <c r="AH192" s="235" t="str">
        <f t="shared" si="136"/>
        <v>"%USERPROFILE%\Documents\GitHub\eaglep3\Utilities\RefineRTDCRunTimes.py" --tripid 828-21 --locoid 4035 --swversion DE.1.0.9.0 --startMP 300:58604 --initTime 2017-12-21T15:58:19 --startdatetime 2017-12-21T16:12:00 --delay 59 --endMP 204:148 --enddatetime 2017-12-21T16:24:21 --enforcementcount 0 &gt;&gt;%USERPROFILE%\Documents\GitHub\eaglep3-reporting\EC\2017-12-21-refined-times.txt</v>
      </c>
      <c r="AI192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{"issue":{"subject":"","project_id":79,"tracker_id":40,"status_id":1,"priority_id":2,"assigned_to_id":338,"start_date":"2017-12-21","description":"","custom_fields":[{"id":1,"name":"Subdivision","value":"NW"},{"id":4,"name":"Milepost","value":"0.0148"},{"id":17,"name":"Train ID","value":"828-21"},{"id":16,"name":"Locomotive ID","value":"4035"},{"id":130,"name":"Impact","value":""},{"id":150,"name":"Time of Event (Mountain Time)","value":"16:24:21"},{"id":151,"name":"Denver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138"/>
        <v>start /low /b %USERPROFILE%\Documents\GitHub\eaglep3\Utilities\DownloadLogsFromS3.py --loco 4035 --day 2017-12-21</v>
      </c>
      <c r="AN192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140"/>
        <v>https://d0f6bd738d7f1b3e5a7ca70fe4ff75f0.us-east-1.aws.found.io/app/kibana#/discover/Steve-Slow-Train-Analysis-(2080s-and-2083s)?_g=(refreshInterval:(display:Off,pause:!f,section:0,value:0),time:(from:'2017-12-21T14:58:19-0700',mode:absolute,to:'2017-12-21T17:24:21-0700'))&amp;_a=(columns:!('Message%20ID',Summary),filters:!(),index:'emp_*',interval:auto,query:(query_string:(analyze_wildcard:!t,query:'%22rtdc.l.rtdc.4035%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824</v>
      </c>
      <c r="B193" s="224">
        <v>4006</v>
      </c>
      <c r="C193" s="226" t="s">
        <v>192</v>
      </c>
      <c r="D193" s="226" t="s">
        <v>1053</v>
      </c>
      <c r="E193" s="225">
        <v>43090.668877314813</v>
      </c>
      <c r="F193" s="225">
        <v>43090.673252314817</v>
      </c>
      <c r="G193" s="224">
        <v>49</v>
      </c>
      <c r="H193" s="226" t="s">
        <v>1054</v>
      </c>
      <c r="I193" s="225">
        <v>43090.68341435185</v>
      </c>
      <c r="J193" s="224">
        <v>0</v>
      </c>
      <c r="K193" s="236" t="str">
        <f t="shared" si="166"/>
        <v>4005/4006</v>
      </c>
      <c r="L193" s="244" t="str">
        <f>VLOOKUP(A193,'Trips&amp;Operators'!$C$1:$G$99911,5,FALSE)</f>
        <v>STAMBAUGH JAMES</v>
      </c>
      <c r="M193" s="223">
        <f t="shared" si="167"/>
        <v>1.0162037033296656E-2</v>
      </c>
      <c r="N193" s="224">
        <f t="shared" si="164"/>
        <v>14.633333327947184</v>
      </c>
      <c r="O193" s="224"/>
      <c r="P193" s="224"/>
      <c r="Q193" s="227"/>
      <c r="R193" s="241"/>
      <c r="S193" s="248">
        <f t="shared" si="172"/>
        <v>1</v>
      </c>
      <c r="T193" s="241" t="str">
        <f t="shared" si="168"/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113"/>
        <v>https://d0f6bd738d7f1b3e5a7ca70fe4ff75f0.us-east-1.aws.found.io/app/kibana#/discover/Steve-Slow-Train-Analysis-(2080s-and-2083s)?_g=(refreshInterval:(display:Off,pause:!f,section:0,value:0),time:(from:'2017-12-21T15:03:11-0700',mode:absolute,to:'2017-12-21T17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246" t="str">
        <f>IF(AA193&lt;VLOOKUP(AG193,Variables!$AC$3:$AD$8,2,FALSE),"Y","N")</f>
        <v>N</v>
      </c>
      <c r="X193" s="246">
        <f t="shared" si="181"/>
        <v>1</v>
      </c>
      <c r="Y193" s="246">
        <f t="shared" si="179"/>
        <v>4.48E-2</v>
      </c>
      <c r="Z193" s="246">
        <f t="shared" si="180"/>
        <v>5.8926999999999996</v>
      </c>
      <c r="AA193" s="246">
        <f t="shared" si="169"/>
        <v>5.8478999999999992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170"/>
        <v>829</v>
      </c>
      <c r="AE193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93" s="233" t="str">
        <f t="shared" si="118"/>
        <v>"C:\Program Files (x86)\AstroGrep\AstroGrep.exe" /e /r /s /spath="%USERPROFILE%\AppData\Local\Temp\OnboardLogs" /stypes="app*4006*201712212*" /stext=" 23:.+?(?&gt;(PRM\|1\|D)|(KPR)|(KDP)|(train st[a-z]+ moving)|(SYSTEM_STATE:s[a-z]+ state changed)|(Enforcement Action)|(\[TIMEOUT)|(parse_ebi_status: Penalty)|(\|GPPS))"</v>
      </c>
      <c r="AG193" s="243" t="str">
        <f t="shared" si="171"/>
        <v>NW</v>
      </c>
      <c r="AH193" s="235" t="str">
        <f t="shared" si="136"/>
        <v>"%USERPROFILE%\Documents\GitHub\eaglep3\Utilities\RefineRTDCRunTimes.py" --tripid 829-21 --locoid 4006 --swversion DE.1.0.9.0 --startMP 204:448 --initTime 2017-12-21T16:03:11 --startdatetime 2017-12-21T16:09:29 --delay 49 --endMP 300:58927 --enddatetime 2017-12-21T16:24:07 --enforcementcount 0 &gt;&gt;%USERPROFILE%\Documents\GitHub\eaglep3-reporting\EC\2017-12-21-refined-times.txt</v>
      </c>
      <c r="AI193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{"issue":{"subject":"","project_id":79,"tracker_id":40,"status_id":1,"priority_id":2,"assigned_to_id":338,"start_date":"2017-12-21","description":"","custom_fields":[{"id":1,"name":"Subdivision","value":"NW"},{"id":4,"name":"Milepost","value":"5.8927"},{"id":17,"name":"Train ID","value":"829-21"},{"id":16,"name":"Locomotive ID","value":"4006"},{"id":130,"name":"Impact","value":""},{"id":150,"name":"Time of Event (Mountain Time)","value":"16:24:07"},{"id":151,"name":"Denver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138"/>
        <v>start /low /b %USERPROFILE%\Documents\GitHub\eaglep3\Utilities\DownloadLogsFromS3.py --loco 4006 --day 2017-12-21</v>
      </c>
      <c r="AN193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140"/>
        <v>https://d0f6bd738d7f1b3e5a7ca70fe4ff75f0.us-east-1.aws.found.io/app/kibana#/discover/Steve-Slow-Train-Analysis-(2080s-and-2083s)?_g=(refreshInterval:(display:Off,pause:!f,section:0,value:0),time:(from:'2017-12-21T15:03:11-0700',mode:absolute,to:'2017-12-21T17:24:07-0700'))&amp;_a=(columns:!('Message%20ID',Summary),filters:!(),index:'emp_*',interval:auto,query:(query_string:(analyze_wildcard:!t,query:'%22rtdc.l.rtdc.4006%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8" t="s">
        <v>678</v>
      </c>
      <c r="B194" s="224">
        <v>4005</v>
      </c>
      <c r="C194" s="226" t="s">
        <v>192</v>
      </c>
      <c r="D194" s="226" t="s">
        <v>1055</v>
      </c>
      <c r="E194" s="225">
        <v>43090.684398148151</v>
      </c>
      <c r="F194" s="225">
        <v>43090.695833333331</v>
      </c>
      <c r="G194" s="224">
        <v>56</v>
      </c>
      <c r="H194" s="226" t="s">
        <v>1049</v>
      </c>
      <c r="I194" s="225">
        <v>43090.704826388886</v>
      </c>
      <c r="J194" s="224">
        <v>0</v>
      </c>
      <c r="K194" s="236" t="str">
        <f t="shared" si="166"/>
        <v>4005/4006</v>
      </c>
      <c r="L194" s="244" t="str">
        <f>VLOOKUP(A194,'Trips&amp;Operators'!$C$1:$G$99911,5,FALSE)</f>
        <v>STAMBAUGH JAMES</v>
      </c>
      <c r="M194" s="223">
        <f t="shared" si="167"/>
        <v>8.9930555550381541E-3</v>
      </c>
      <c r="N194" s="224">
        <f t="shared" ref="N194:N225" si="182">24*60*SUM($M194:$M194)</f>
        <v>12.949999999254942</v>
      </c>
      <c r="O194" s="224"/>
      <c r="P194" s="224"/>
      <c r="Q194" s="227"/>
      <c r="R194" s="241"/>
      <c r="S194" s="248">
        <f t="shared" si="172"/>
        <v>1</v>
      </c>
      <c r="T194" s="241" t="str">
        <f t="shared" si="168"/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113"/>
        <v>https://d0f6bd738d7f1b3e5a7ca70fe4ff75f0.us-east-1.aws.found.io/app/kibana#/discover/Steve-Slow-Train-Analysis-(2080s-and-2083s)?_g=(refreshInterval:(display:Off,pause:!f,section:0,value:0),time:(from:'2017-12-21T15:25:32-0700',mode:absolute,to:'2017-12-21T17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246" t="str">
        <f>IF(AA194&lt;VLOOKUP(AG194,Variables!$AC$3:$AD$8,2,FALSE),"Y","N")</f>
        <v>N</v>
      </c>
      <c r="X194" s="246">
        <f t="shared" si="181"/>
        <v>1</v>
      </c>
      <c r="Y194" s="246">
        <f t="shared" si="179"/>
        <v>5.8620999999999999</v>
      </c>
      <c r="Z194" s="246">
        <f t="shared" si="180"/>
        <v>1.4E-2</v>
      </c>
      <c r="AA194" s="246">
        <f t="shared" si="169"/>
        <v>5.8480999999999996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170"/>
        <v>830</v>
      </c>
      <c r="AE194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94" s="233" t="str">
        <f t="shared" si="118"/>
        <v>"C:\Program Files (x86)\AstroGrep\AstroGrep.exe" /e /r /s /spath="%USERPROFILE%\AppData\Local\Temp\OnboardLogs" /stypes="app*4005*201712212*" /stext=" 23:.+?(?&gt;(PRM\|1\|D)|(KPR)|(KDP)|(train st[a-z]+ moving)|(SYSTEM_STATE:s[a-z]+ state changed)|(Enforcement Action)|(\[TIMEOUT)|(parse_ebi_status: Penalty)|(\|GPPS))"</v>
      </c>
      <c r="AG194" s="243" t="str">
        <f t="shared" si="171"/>
        <v>NW</v>
      </c>
      <c r="AH194" s="235" t="str">
        <f t="shared" si="136"/>
        <v>"%USERPROFILE%\Documents\GitHub\eaglep3\Utilities\RefineRTDCRunTimes.py" --tripid 830-21 --locoid 4005 --swversion DE.1.0.9.0 --startMP 300:58621 --initTime 2017-12-21T16:25:32 --startdatetime 2017-12-21T16:42:00 --delay 56 --endMP 204:140 --enddatetime 2017-12-21T16:54:57 --enforcementcount 0 &gt;&gt;%USERPROFILE%\Documents\GitHub\eaglep3-reporting\EC\2017-12-21-refined-times.txt</v>
      </c>
      <c r="AI194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{"issue":{"subject":"","project_id":79,"tracker_id":40,"status_id":1,"priority_id":2,"assigned_to_id":338,"start_date":"2017-12-21","description":"","custom_fields":[{"id":1,"name":"Subdivision","value":"NW"},{"id":4,"name":"Milepost","value":"0.014"},{"id":17,"name":"Train ID","value":"830-21"},{"id":16,"name":"Locomotive ID","value":"4005"},{"id":130,"name":"Impact","value":""},{"id":150,"name":"Time of Event (Mountain Time)","value":"16:54:57"},{"id":151,"name":"Denver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138"/>
        <v>start /low /b %USERPROFILE%\Documents\GitHub\eaglep3\Utilities\DownloadLogsFromS3.py --loco 4005 --day 2017-12-21</v>
      </c>
      <c r="AN194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140"/>
        <v>https://d0f6bd738d7f1b3e5a7ca70fe4ff75f0.us-east-1.aws.found.io/app/kibana#/discover/Steve-Slow-Train-Analysis-(2080s-and-2083s)?_g=(refreshInterval:(display:Off,pause:!f,section:0,value:0),time:(from:'2017-12-21T15:25:32-0700',mode:absolute,to:'2017-12-21T17:54:57-0700'))&amp;_a=(columns:!('Message%20ID',Summary),filters:!(),index:'emp_*',interval:auto,query:(query_string:(analyze_wildcard:!t,query:'%22rtdc.l.rtdc.4005%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8" t="s">
        <v>679</v>
      </c>
      <c r="B195" s="224">
        <v>4036</v>
      </c>
      <c r="C195" s="226" t="s">
        <v>192</v>
      </c>
      <c r="D195" s="226" t="s">
        <v>1056</v>
      </c>
      <c r="E195" s="225">
        <v>43090.69159722222</v>
      </c>
      <c r="F195" s="225">
        <v>43090.694537037038</v>
      </c>
      <c r="G195" s="224">
        <v>72</v>
      </c>
      <c r="H195" s="226" t="s">
        <v>1057</v>
      </c>
      <c r="I195" s="225">
        <v>43090.705069444448</v>
      </c>
      <c r="J195" s="224">
        <v>0</v>
      </c>
      <c r="K195" s="236" t="str">
        <f t="shared" si="166"/>
        <v>4035/4036</v>
      </c>
      <c r="L195" s="244" t="str">
        <f>VLOOKUP(A195,'Trips&amp;Operators'!$C$1:$G$99911,5,FALSE)</f>
        <v>RESPASS AARON</v>
      </c>
      <c r="M195" s="223">
        <f t="shared" si="167"/>
        <v>1.0532407410209998E-2</v>
      </c>
      <c r="N195" s="224">
        <f t="shared" si="182"/>
        <v>15.166666670702398</v>
      </c>
      <c r="O195" s="224"/>
      <c r="P195" s="224"/>
      <c r="Q195" s="227"/>
      <c r="R195" s="241"/>
      <c r="S195" s="248">
        <f t="shared" si="172"/>
        <v>1</v>
      </c>
      <c r="T195" s="241" t="str">
        <f t="shared" si="168"/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113"/>
        <v>https://d0f6bd738d7f1b3e5a7ca70fe4ff75f0.us-east-1.aws.found.io/app/kibana#/discover/Steve-Slow-Train-Analysis-(2080s-and-2083s)?_g=(refreshInterval:(display:Off,pause:!f,section:0,value:0),time:(from:'2017-12-21T15:35:54-0700',mode:absolute,to:'2017-12-21T17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5" s="246" t="str">
        <f>IF(AA195&lt;VLOOKUP(AG195,Variables!$AC$3:$AD$8,2,FALSE),"Y","N")</f>
        <v>N</v>
      </c>
      <c r="X195" s="246">
        <f t="shared" si="181"/>
        <v>1</v>
      </c>
      <c r="Y195" s="246">
        <f t="shared" si="179"/>
        <v>4.3499999999999997E-2</v>
      </c>
      <c r="Z195" s="246">
        <f t="shared" si="180"/>
        <v>5.8920000000000003</v>
      </c>
      <c r="AA195" s="246">
        <f t="shared" si="169"/>
        <v>5.8485000000000005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170"/>
        <v>831</v>
      </c>
      <c r="AE195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95" s="233" t="str">
        <f t="shared" si="118"/>
        <v>"C:\Program Files (x86)\AstroGrep\AstroGrep.exe" /e /r /s /spath="%USERPROFILE%\AppData\Local\Temp\OnboardLogs" /stypes="app*4036*201712212*" /stext=" 23:.+?(?&gt;(PRM\|1\|D)|(KPR)|(KDP)|(train st[a-z]+ moving)|(SYSTEM_STATE:s[a-z]+ state changed)|(Enforcement Action)|(\[TIMEOUT)|(parse_ebi_status: Penalty)|(\|GPPS))"</v>
      </c>
      <c r="AG195" s="243" t="str">
        <f t="shared" si="171"/>
        <v>NW</v>
      </c>
      <c r="AH195" s="235" t="str">
        <f t="shared" si="136"/>
        <v>"%USERPROFILE%\Documents\GitHub\eaglep3\Utilities\RefineRTDCRunTimes.py" --tripid 831-21 --locoid 4036 --swversion DE.1.0.9.0 --startMP 204:435 --initTime 2017-12-21T16:35:54 --startdatetime 2017-12-21T16:40:08 --delay 72 --endMP 300:58920 --enddatetime 2017-12-21T16:55:18 --enforcementcount 0 &gt;&gt;%USERPROFILE%\Documents\GitHub\eaglep3-reporting\EC\2017-12-21-refined-times.txt</v>
      </c>
      <c r="AI195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{"issue":{"subject":"","project_id":79,"tracker_id":40,"status_id":1,"priority_id":2,"assigned_to_id":338,"start_date":"2017-12-21","description":"","custom_fields":[{"id":1,"name":"Subdivision","value":"NW"},{"id":4,"name":"Milepost","value":"5.892"},{"id":17,"name":"Train ID","value":"831-21"},{"id":16,"name":"Locomotive ID","value":"4036"},{"id":130,"name":"Impact","value":""},{"id":150,"name":"Time of Event (Mountain Time)","value":"16:55:18"},{"id":151,"name":"Denver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2"/>
      <c r="AK195" s="230"/>
      <c r="AL195" s="230"/>
      <c r="AM195" s="239" t="str">
        <f t="shared" si="138"/>
        <v>start /low /b %USERPROFILE%\Documents\GitHub\eaglep3\Utilities\DownloadLogsFromS3.py --loco 4036 --day 2017-12-21</v>
      </c>
      <c r="AN195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23:55:18"},{"id":29,"name":"Sharepoint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140"/>
        <v>https://d0f6bd738d7f1b3e5a7ca70fe4ff75f0.us-east-1.aws.found.io/app/kibana#/discover/Steve-Slow-Train-Analysis-(2080s-and-2083s)?_g=(refreshInterval:(display:Off,pause:!f,section:0,value:0),time:(from:'2017-12-21T15:35:54-0700',mode:absolute,to:'2017-12-21T17:55:18-0700'))&amp;_a=(columns:!('Message%20ID',Summary),filters:!(),index:'emp_*',interval:auto,query:(query_string:(analyze_wildcard:!t,query:'%22rtdc.l.rtdc.4036%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8" t="s">
        <v>831</v>
      </c>
      <c r="B196" s="224">
        <v>4035</v>
      </c>
      <c r="C196" s="226" t="s">
        <v>192</v>
      </c>
      <c r="D196" s="226" t="s">
        <v>1058</v>
      </c>
      <c r="E196" s="225">
        <v>43090.706192129626</v>
      </c>
      <c r="F196" s="225">
        <v>43090.716666666667</v>
      </c>
      <c r="G196" s="224">
        <v>82</v>
      </c>
      <c r="H196" s="226" t="s">
        <v>648</v>
      </c>
      <c r="I196" s="225">
        <v>43090.725590277776</v>
      </c>
      <c r="J196" s="224">
        <v>0</v>
      </c>
      <c r="K196" s="236" t="str">
        <f t="shared" si="166"/>
        <v>4035/4036</v>
      </c>
      <c r="L196" s="244" t="str">
        <f>VLOOKUP(A196,'Trips&amp;Operators'!$C$1:$G$99911,5,FALSE)</f>
        <v>RESPASS AARON</v>
      </c>
      <c r="M196" s="223">
        <f t="shared" si="167"/>
        <v>8.923611108912155E-3</v>
      </c>
      <c r="N196" s="224">
        <f t="shared" si="182"/>
        <v>12.849999996833503</v>
      </c>
      <c r="O196" s="224"/>
      <c r="P196" s="224"/>
      <c r="Q196" s="227"/>
      <c r="R196" s="241"/>
      <c r="S196" s="248">
        <f t="shared" si="172"/>
        <v>1</v>
      </c>
      <c r="T196" s="241" t="str">
        <f t="shared" si="168"/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113"/>
        <v>https://d0f6bd738d7f1b3e5a7ca70fe4ff75f0.us-east-1.aws.found.io/app/kibana#/discover/Steve-Slow-Train-Analysis-(2080s-and-2083s)?_g=(refreshInterval:(display:Off,pause:!f,section:0,value:0),time:(from:'2017-12-21T15:56:55-0700',mode:absolute,to:'2017-12-21T18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6" s="246" t="str">
        <f>IF(AA196&lt;VLOOKUP(AG196,Variables!$AC$3:$AD$8,2,FALSE),"Y","N")</f>
        <v>N</v>
      </c>
      <c r="X196" s="246">
        <f t="shared" si="181"/>
        <v>1</v>
      </c>
      <c r="Y196" s="246">
        <f t="shared" si="179"/>
        <v>5.8605999999999998</v>
      </c>
      <c r="Z196" s="246">
        <f t="shared" si="180"/>
        <v>1.46E-2</v>
      </c>
      <c r="AA196" s="246">
        <f t="shared" si="169"/>
        <v>5.8460000000000001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170"/>
        <v>832</v>
      </c>
      <c r="AE196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196" s="233" t="str">
        <f t="shared" si="118"/>
        <v>"C:\Program Files (x86)\AstroGrep\AstroGrep.exe" /e /r /s /spath="%USERPROFILE%\AppData\Local\Temp\OnboardLogs" /stypes="app*4035*201712220*" /stext=" 00:.+?(?&gt;(PRM\|1\|D)|(KPR)|(KDP)|(train st[a-z]+ moving)|(SYSTEM_STATE:s[a-z]+ state changed)|(Enforcement Action)|(\[TIMEOUT)|(parse_ebi_status: Penalty)|(\|GPPS))"</v>
      </c>
      <c r="AG196" s="243" t="str">
        <f t="shared" si="171"/>
        <v>NW</v>
      </c>
      <c r="AH196" s="235" t="str">
        <f t="shared" si="136"/>
        <v>"%USERPROFILE%\Documents\GitHub\eaglep3\Utilities\RefineRTDCRunTimes.py" --tripid 832-21 --locoid 4035 --swversion DE.1.0.9.0 --startMP 300:58606 --initTime 2017-12-21T16:56:55 --startdatetime 2017-12-21T17:12:00 --delay 82 --endMP 204:146 --enddatetime 2017-12-21T17:24:51 --enforcementcount 0 &gt;&gt;%USERPROFILE%\Documents\GitHub\eaglep3-reporting\EC\2017-12-21-refined-times.txt</v>
      </c>
      <c r="AI196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{"issue":{"subject":"","project_id":79,"tracker_id":40,"status_id":1,"priority_id":2,"assigned_to_id":338,"start_date":"2017-12-21","description":"","custom_fields":[{"id":1,"name":"Subdivision","value":"NW"},{"id":4,"name":"Milepost","value":"0.0146"},{"id":17,"name":"Train ID","value":"832-21"},{"id":16,"name":"Locomotive ID","value":"4035"},{"id":130,"name":"Impact","value":""},{"id":150,"name":"Time of Event (Mountain Time)","value":"17:24:51"},{"id":151,"name":"Denver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2"/>
      <c r="AK196" s="230"/>
      <c r="AL196" s="230"/>
      <c r="AM196" s="239" t="str">
        <f t="shared" si="138"/>
        <v>start /low /b %USERPROFILE%\Documents\GitHub\eaglep3\Utilities\DownloadLogsFromS3.py --loco 4035 --day 2017-12-21</v>
      </c>
      <c r="AN196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140"/>
        <v>https://d0f6bd738d7f1b3e5a7ca70fe4ff75f0.us-east-1.aws.found.io/app/kibana#/discover/Steve-Slow-Train-Analysis-(2080s-and-2083s)?_g=(refreshInterval:(display:Off,pause:!f,section:0,value:0),time:(from:'2017-12-21T15:56:55-0700',mode:absolute,to:'2017-12-21T18:24:51-0700'))&amp;_a=(columns:!('Message%20ID',Summary),filters:!(),index:'emp_*',interval:auto,query:(query_string:(analyze_wildcard:!t,query:'%22rtdc.l.rtdc.4035%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8" t="s">
        <v>832</v>
      </c>
      <c r="B197" s="224">
        <v>4006</v>
      </c>
      <c r="C197" s="226" t="s">
        <v>192</v>
      </c>
      <c r="D197" s="226" t="s">
        <v>503</v>
      </c>
      <c r="E197" s="225">
        <v>43090.711180555554</v>
      </c>
      <c r="F197" s="225">
        <v>43090.715532407405</v>
      </c>
      <c r="G197" s="224">
        <v>59</v>
      </c>
      <c r="H197" s="226" t="s">
        <v>1059</v>
      </c>
      <c r="I197" s="225">
        <v>43090.725115740737</v>
      </c>
      <c r="J197" s="224">
        <v>0</v>
      </c>
      <c r="K197" s="236" t="str">
        <f t="shared" si="166"/>
        <v>4005/4006</v>
      </c>
      <c r="L197" s="244" t="str">
        <f>VLOOKUP(A197,'Trips&amp;Operators'!$C$1:$G$99911,5,FALSE)</f>
        <v>STAMBAUGH JAMES</v>
      </c>
      <c r="M197" s="223">
        <f t="shared" si="167"/>
        <v>9.5833333325572312E-3</v>
      </c>
      <c r="N197" s="224">
        <f t="shared" si="182"/>
        <v>13.799999998882413</v>
      </c>
      <c r="O197" s="224"/>
      <c r="P197" s="224"/>
      <c r="Q197" s="227"/>
      <c r="R197" s="241"/>
      <c r="S197" s="248">
        <f t="shared" si="172"/>
        <v>1</v>
      </c>
      <c r="T197" s="241" t="str">
        <f t="shared" si="168"/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113"/>
        <v>https://d0f6bd738d7f1b3e5a7ca70fe4ff75f0.us-east-1.aws.found.io/app/kibana#/discover/Steve-Slow-Train-Analysis-(2080s-and-2083s)?_g=(refreshInterval:(display:Off,pause:!f,section:0,value:0),time:(from:'2017-12-21T16:04:06-0700',mode:absolute,to:'2017-12-21T18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246" t="str">
        <f>IF(AA197&lt;VLOOKUP(AG197,Variables!$AC$3:$AD$8,2,FALSE),"Y","N")</f>
        <v>N</v>
      </c>
      <c r="X197" s="246">
        <f t="shared" si="181"/>
        <v>1</v>
      </c>
      <c r="Y197" s="246">
        <f t="shared" si="179"/>
        <v>4.41E-2</v>
      </c>
      <c r="Z197" s="246">
        <f t="shared" si="180"/>
        <v>5.8935000000000004</v>
      </c>
      <c r="AA197" s="246">
        <f t="shared" si="169"/>
        <v>5.8494000000000002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170"/>
        <v>833</v>
      </c>
      <c r="AE197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197" s="233" t="str">
        <f t="shared" si="118"/>
        <v>"C:\Program Files (x86)\AstroGrep\AstroGrep.exe" /e /r /s /spath="%USERPROFILE%\AppData\Local\Temp\OnboardLogs" /stypes="app*4006*201712220*" /stext=" 00:.+?(?&gt;(PRM\|1\|D)|(KPR)|(KDP)|(train st[a-z]+ moving)|(SYSTEM_STATE:s[a-z]+ state changed)|(Enforcement Action)|(\[TIMEOUT)|(parse_ebi_status: Penalty)|(\|GPPS))"</v>
      </c>
      <c r="AG197" s="243" t="str">
        <f t="shared" si="171"/>
        <v>NW</v>
      </c>
      <c r="AH197" s="235" t="str">
        <f t="shared" si="136"/>
        <v>"%USERPROFILE%\Documents\GitHub\eaglep3\Utilities\RefineRTDCRunTimes.py" --tripid 833-21 --locoid 4006 --swversion DE.1.0.9.0 --startMP 204:441 --initTime 2017-12-21T17:04:06 --startdatetime 2017-12-21T17:10:22 --delay 59 --endMP 300:58935 --enddatetime 2017-12-21T17:24:10 --enforcementcount 0 &gt;&gt;%USERPROFILE%\Documents\GitHub\eaglep3-reporting\EC\2017-12-21-refined-times.txt</v>
      </c>
      <c r="AI197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{"issue":{"subject":"","project_id":79,"tracker_id":40,"status_id":1,"priority_id":2,"assigned_to_id":338,"start_date":"2017-12-21","description":"","custom_fields":[{"id":1,"name":"Subdivision","value":"NW"},{"id":4,"name":"Milepost","value":"5.8935"},{"id":17,"name":"Train ID","value":"833-21"},{"id":16,"name":"Locomotive ID","value":"4006"},{"id":130,"name":"Impact","value":""},{"id":150,"name":"Time of Event (Mountain Time)","value":"17:24:10"},{"id":151,"name":"Denver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138"/>
        <v>start /low /b %USERPROFILE%\Documents\GitHub\eaglep3\Utilities\DownloadLogsFromS3.py --loco 4006 --day 2017-12-21</v>
      </c>
      <c r="AN197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140"/>
        <v>https://d0f6bd738d7f1b3e5a7ca70fe4ff75f0.us-east-1.aws.found.io/app/kibana#/discover/Steve-Slow-Train-Analysis-(2080s-and-2083s)?_g=(refreshInterval:(display:Off,pause:!f,section:0,value:0),time:(from:'2017-12-21T16:04:06-0700',mode:absolute,to:'2017-12-21T18:24:10-0700'))&amp;_a=(columns:!('Message%20ID',Summary),filters:!(),index:'emp_*',interval:auto,query:(query_string:(analyze_wildcard:!t,query:'%22rtdc.l.rtdc.4006%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837</v>
      </c>
      <c r="B198" s="224">
        <v>4005</v>
      </c>
      <c r="C198" s="226" t="s">
        <v>192</v>
      </c>
      <c r="D198" s="226" t="s">
        <v>1055</v>
      </c>
      <c r="E198" s="225">
        <v>43090.72619212963</v>
      </c>
      <c r="F198" s="225">
        <v>43090.737500000003</v>
      </c>
      <c r="G198" s="224">
        <v>62</v>
      </c>
      <c r="H198" s="226" t="s">
        <v>1105</v>
      </c>
      <c r="I198" s="225">
        <v>43090.74590277778</v>
      </c>
      <c r="J198" s="224">
        <v>0</v>
      </c>
      <c r="K198" s="236" t="str">
        <f t="shared" si="166"/>
        <v>4005/4006</v>
      </c>
      <c r="L198" s="244" t="str">
        <f>VLOOKUP(A198,'Trips&amp;Operators'!$C$1:$G$99911,5,FALSE)</f>
        <v>STAMBAUGH JAMES</v>
      </c>
      <c r="M198" s="223">
        <f t="shared" si="167"/>
        <v>8.4027777775190771E-3</v>
      </c>
      <c r="N198" s="224">
        <f t="shared" si="182"/>
        <v>12.099999999627471</v>
      </c>
      <c r="O198" s="224"/>
      <c r="P198" s="224"/>
      <c r="Q198" s="227"/>
      <c r="R198" s="241"/>
      <c r="S198" s="248">
        <f t="shared" si="172"/>
        <v>1</v>
      </c>
      <c r="T198" s="241" t="str">
        <f t="shared" si="168"/>
        <v>Southbound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113"/>
        <v>https://d0f6bd738d7f1b3e5a7ca70fe4ff75f0.us-east-1.aws.found.io/app/kibana#/discover/Steve-Slow-Train-Analysis-(2080s-and-2083s)?_g=(refreshInterval:(display:Off,pause:!f,section:0,value:0),time:(from:'2017-12-21T16:25:43-0700',mode:absolute,to:'2017-12-21T18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246" t="str">
        <f>IF(AA198&lt;VLOOKUP(AG198,Variables!$AC$3:$AD$8,2,FALSE),"Y","N")</f>
        <v>N</v>
      </c>
      <c r="X198" s="246">
        <f t="shared" si="181"/>
        <v>1</v>
      </c>
      <c r="Y198" s="246">
        <f t="shared" si="179"/>
        <v>5.8620999999999999</v>
      </c>
      <c r="Z198" s="246">
        <f t="shared" si="180"/>
        <v>1.5299999999999999E-2</v>
      </c>
      <c r="AA198" s="246">
        <f t="shared" si="169"/>
        <v>5.8468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170"/>
        <v>834</v>
      </c>
      <c r="AE198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198" s="233" t="str">
        <f t="shared" si="118"/>
        <v>"C:\Program Files (x86)\AstroGrep\AstroGrep.exe" /e /r /s /spath="%USERPROFILE%\AppData\Local\Temp\OnboardLogs" /stypes="app*4005*201712220*" /stext=" 00:.+?(?&gt;(PRM\|1\|D)|(KPR)|(KDP)|(train st[a-z]+ moving)|(SYSTEM_STATE:s[a-z]+ state changed)|(Enforcement Action)|(\[TIMEOUT)|(parse_ebi_status: Penalty)|(\|GPPS))"</v>
      </c>
      <c r="AG198" s="243" t="str">
        <f t="shared" si="171"/>
        <v>NW</v>
      </c>
      <c r="AH198" s="235" t="str">
        <f t="shared" si="136"/>
        <v>"%USERPROFILE%\Documents\GitHub\eaglep3\Utilities\RefineRTDCRunTimes.py" --tripid 834-21 --locoid 4005 --swversion DE.1.0.9.0 --startMP 300:58621 --initTime 2017-12-21T17:25:43 --startdatetime 2017-12-21T17:42:00 --delay 62 --endMP 204:153 --enddatetime 2017-12-21T17:54:06 --enforcementcount 0 &gt;&gt;%USERPROFILE%\Documents\GitHub\eaglep3-reporting\EC\2017-12-21-refined-times.txt</v>
      </c>
      <c r="AI198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{"issue":{"subject":"","project_id":79,"tracker_id":40,"status_id":1,"priority_id":2,"assigned_to_id":338,"start_date":"2017-12-21","description":"","custom_fields":[{"id":1,"name":"Subdivision","value":"NW"},{"id":4,"name":"Milepost","value":"0.0153"},{"id":17,"name":"Train ID","value":"834-21"},{"id":16,"name":"Locomotive ID","value":"4005"},{"id":130,"name":"Impact","value":""},{"id":150,"name":"Time of Event (Mountain Time)","value":"17:54:06"},{"id":151,"name":"Denver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138"/>
        <v>start /low /b %USERPROFILE%\Documents\GitHub\eaglep3\Utilities\DownloadLogsFromS3.py --loco 4005 --day 2017-12-21</v>
      </c>
      <c r="AN198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140"/>
        <v>https://d0f6bd738d7f1b3e5a7ca70fe4ff75f0.us-east-1.aws.found.io/app/kibana#/discover/Steve-Slow-Train-Analysis-(2080s-and-2083s)?_g=(refreshInterval:(display:Off,pause:!f,section:0,value:0),time:(from:'2017-12-21T16:25:43-0700',mode:absolute,to:'2017-12-21T18:54:06-0700'))&amp;_a=(columns:!('Message%20ID',Summary),filters:!(),index:'emp_*',interval:auto,query:(query_string:(analyze_wildcard:!t,query:'%22rtdc.l.rtdc.4005%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682</v>
      </c>
      <c r="B199" s="224">
        <v>4036</v>
      </c>
      <c r="C199" s="226" t="s">
        <v>192</v>
      </c>
      <c r="D199" s="226" t="s">
        <v>521</v>
      </c>
      <c r="E199" s="225">
        <v>43090.727256944447</v>
      </c>
      <c r="F199" s="225">
        <v>43090.736087962963</v>
      </c>
      <c r="G199" s="224">
        <v>68</v>
      </c>
      <c r="H199" s="226" t="s">
        <v>1051</v>
      </c>
      <c r="I199" s="225">
        <v>43090.746701388889</v>
      </c>
      <c r="J199" s="224">
        <v>0</v>
      </c>
      <c r="K199" s="236" t="str">
        <f t="shared" si="166"/>
        <v>4035/4036</v>
      </c>
      <c r="L199" s="244" t="str">
        <f>VLOOKUP(A199,'Trips&amp;Operators'!$C$1:$G$99911,5,FALSE)</f>
        <v>RESPASS AARON</v>
      </c>
      <c r="M199" s="223">
        <f t="shared" si="167"/>
        <v>1.0613425925839692E-2</v>
      </c>
      <c r="N199" s="224">
        <f t="shared" si="182"/>
        <v>15.283333333209157</v>
      </c>
      <c r="O199" s="224"/>
      <c r="P199" s="224"/>
      <c r="Q199" s="227"/>
      <c r="R199" s="241"/>
      <c r="S199" s="248">
        <f t="shared" si="172"/>
        <v>1</v>
      </c>
      <c r="T199" s="241" t="str">
        <f t="shared" si="168"/>
        <v>NorthBound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113"/>
        <v>https://d0f6bd738d7f1b3e5a7ca70fe4ff75f0.us-east-1.aws.found.io/app/kibana#/discover/Steve-Slow-Train-Analysis-(2080s-and-2083s)?_g=(refreshInterval:(display:Off,pause:!f,section:0,value:0),time:(from:'2017-12-21T16:27:15-0700',mode:absolute,to:'2017-12-21T18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9" s="246" t="str">
        <f>IF(AA199&lt;VLOOKUP(AG199,Variables!$AC$3:$AD$8,2,FALSE),"Y","N")</f>
        <v>N</v>
      </c>
      <c r="X199" s="246">
        <f t="shared" si="181"/>
        <v>1</v>
      </c>
      <c r="Y199" s="246">
        <f t="shared" si="179"/>
        <v>4.5999999999999999E-2</v>
      </c>
      <c r="Z199" s="246">
        <f t="shared" si="180"/>
        <v>5.8924000000000003</v>
      </c>
      <c r="AA199" s="246">
        <f t="shared" si="169"/>
        <v>5.8464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170"/>
        <v>835</v>
      </c>
      <c r="AE199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199" s="233" t="str">
        <f t="shared" si="118"/>
        <v>"C:\Program Files (x86)\AstroGrep\AstroGrep.exe" /e /r /s /spath="%USERPROFILE%\AppData\Local\Temp\OnboardLogs" /stypes="app*4036*201712220*" /stext=" 00:.+?(?&gt;(PRM\|1\|D)|(KPR)|(KDP)|(train st[a-z]+ moving)|(SYSTEM_STATE:s[a-z]+ state changed)|(Enforcement Action)|(\[TIMEOUT)|(parse_ebi_status: Penalty)|(\|GPPS))"</v>
      </c>
      <c r="AG199" s="243" t="str">
        <f t="shared" si="171"/>
        <v>NW</v>
      </c>
      <c r="AH199" s="235" t="str">
        <f t="shared" si="136"/>
        <v>"%USERPROFILE%\Documents\GitHub\eaglep3\Utilities\RefineRTDCRunTimes.py" --tripid 835-21 --locoid 4036 --swversion DE.1.0.9.0 --startMP 204:460 --initTime 2017-12-21T17:27:15 --startdatetime 2017-12-21T17:39:58 --delay 68 --endMP 300:58924 --enddatetime 2017-12-21T17:55:15 --enforcementcount 0 &gt;&gt;%USERPROFILE%\Documents\GitHub\eaglep3-reporting\EC\2017-12-21-refined-times.txt</v>
      </c>
      <c r="AI199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{"issue":{"subject":"","project_id":79,"tracker_id":40,"status_id":1,"priority_id":2,"assigned_to_id":338,"start_date":"2017-12-21","description":"","custom_fields":[{"id":1,"name":"Subdivision","value":"NW"},{"id":4,"name":"Milepost","value":"5.8924"},{"id":17,"name":"Train ID","value":"835-21"},{"id":16,"name":"Locomotive ID","value":"4036"},{"id":130,"name":"Impact","value":""},{"id":150,"name":"Time of Event (Mountain Time)","value":"17:55:15"},{"id":151,"name":"Denver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138"/>
        <v>start /low /b %USERPROFILE%\Documents\GitHub\eaglep3\Utilities\DownloadLogsFromS3.py --loco 4036 --day 2017-12-21</v>
      </c>
      <c r="AN199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140"/>
        <v>https://d0f6bd738d7f1b3e5a7ca70fe4ff75f0.us-east-1.aws.found.io/app/kibana#/discover/Steve-Slow-Train-Analysis-(2080s-and-2083s)?_g=(refreshInterval:(display:Off,pause:!f,section:0,value:0),time:(from:'2017-12-21T16:27:15-0700',mode:absolute,to:'2017-12-21T18:55:15-0700'))&amp;_a=(columns:!('Message%20ID',Summary),filters:!(),index:'emp_*',interval:auto,query:(query_string:(analyze_wildcard:!t,query:'%22rtdc.l.rtdc.4036%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683</v>
      </c>
      <c r="B200" s="224">
        <v>4035</v>
      </c>
      <c r="C200" s="226" t="s">
        <v>192</v>
      </c>
      <c r="D200" s="226" t="s">
        <v>1060</v>
      </c>
      <c r="E200" s="225">
        <v>43090.749803240738</v>
      </c>
      <c r="F200" s="225">
        <v>43090.758333333331</v>
      </c>
      <c r="G200" s="224">
        <v>63</v>
      </c>
      <c r="H200" s="226" t="s">
        <v>546</v>
      </c>
      <c r="I200" s="225">
        <v>43090.768692129626</v>
      </c>
      <c r="J200" s="224">
        <v>0</v>
      </c>
      <c r="K200" s="236" t="str">
        <f t="shared" si="166"/>
        <v>4035/4036</v>
      </c>
      <c r="L200" s="244" t="str">
        <f>VLOOKUP(A200,'Trips&amp;Operators'!$C$1:$G$99911,5,FALSE)</f>
        <v>RESPASS AARON</v>
      </c>
      <c r="M200" s="223">
        <f t="shared" si="167"/>
        <v>1.0358796294895001E-2</v>
      </c>
      <c r="N200" s="224">
        <f t="shared" si="182"/>
        <v>14.916666664648801</v>
      </c>
      <c r="O200" s="224"/>
      <c r="P200" s="224"/>
      <c r="Q200" s="227"/>
      <c r="R200" s="241"/>
      <c r="S200" s="248">
        <f t="shared" si="172"/>
        <v>1</v>
      </c>
      <c r="T200" s="241" t="str">
        <f t="shared" si="168"/>
        <v>Southbound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113"/>
        <v>https://d0f6bd738d7f1b3e5a7ca70fe4ff75f0.us-east-1.aws.found.io/app/kibana#/discover/Steve-Slow-Train-Analysis-(2080s-and-2083s)?_g=(refreshInterval:(display:Off,pause:!f,section:0,value:0),time:(from:'2017-12-21T16:59:43-0700',mode:absolute,to:'2017-12-21T19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46" t="str">
        <f>IF(AA200&lt;VLOOKUP(AG200,Variables!$AC$3:$AD$8,2,FALSE),"Y","N")</f>
        <v>N</v>
      </c>
      <c r="X200" s="246">
        <f t="shared" si="181"/>
        <v>1</v>
      </c>
      <c r="Y200" s="246">
        <f t="shared" si="179"/>
        <v>5.8593999999999999</v>
      </c>
      <c r="Z200" s="246">
        <f t="shared" si="180"/>
        <v>1.49E-2</v>
      </c>
      <c r="AA200" s="246">
        <f t="shared" si="169"/>
        <v>5.8445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170"/>
        <v>836</v>
      </c>
      <c r="AE200" s="234" t="str">
        <f t="shared" si="117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200" s="233" t="str">
        <f t="shared" si="118"/>
        <v>"C:\Program Files (x86)\AstroGrep\AstroGrep.exe" /e /r /s /spath="%USERPROFILE%\AppData\Local\Temp\OnboardLogs" /stypes="app*4035*201712220*" /stext=" 01:.+?(?&gt;(PRM\|1\|D)|(KPR)|(KDP)|(train st[a-z]+ moving)|(SYSTEM_STATE:s[a-z]+ state changed)|(Enforcement Action)|(\[TIMEOUT)|(parse_ebi_status: Penalty)|(\|GPPS))"</v>
      </c>
      <c r="AG200" s="243" t="str">
        <f t="shared" si="171"/>
        <v>NW</v>
      </c>
      <c r="AH200" s="235" t="str">
        <f t="shared" si="136"/>
        <v>"%USERPROFILE%\Documents\GitHub\eaglep3\Utilities\RefineRTDCRunTimes.py" --tripid 836-21 --locoid 4035 --swversion DE.1.0.9.0 --startMP 300:58594 --initTime 2017-12-21T17:59:43 --startdatetime 2017-12-21T18:12:00 --delay 63 --endMP 204:149 --enddatetime 2017-12-21T18:26:55 --enforcementcount 0 &gt;&gt;%USERPROFILE%\Documents\GitHub\eaglep3-reporting\EC\2017-12-21-refined-times.txt</v>
      </c>
      <c r="AI200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{"issue":{"subject":"","project_id":79,"tracker_id":40,"status_id":1,"priority_id":2,"assigned_to_id":338,"start_date":"2017-12-21","description":"","custom_fields":[{"id":1,"name":"Subdivision","value":"NW"},{"id":4,"name":"Milepost","value":"0.0149"},{"id":17,"name":"Train ID","value":"836-21"},{"id":16,"name":"Locomotive ID","value":"4035"},{"id":130,"name":"Impact","value":""},{"id":150,"name":"Time of Event (Mountain Time)","value":"18:26:55"},{"id":151,"name":"Denver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138"/>
        <v>start /low /b %USERPROFILE%\Documents\GitHub\eaglep3\Utilities\DownloadLogsFromS3.py --loco 4035 --day 2017-12-21</v>
      </c>
      <c r="AN200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140"/>
        <v>https://d0f6bd738d7f1b3e5a7ca70fe4ff75f0.us-east-1.aws.found.io/app/kibana#/discover/Steve-Slow-Train-Analysis-(2080s-and-2083s)?_g=(refreshInterval:(display:Off,pause:!f,section:0,value:0),time:(from:'2017-12-21T16:59:43-0700',mode:absolute,to:'2017-12-21T19:26:55-0700'))&amp;_a=(columns:!('Message%20ID',Summary),filters:!(),index:'emp_*',interval:auto,query:(query_string:(analyze_wildcard:!t,query:'%22rtdc.l.rtdc.4035%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8" t="s">
        <v>841</v>
      </c>
      <c r="B201" s="224">
        <v>4006</v>
      </c>
      <c r="C201" s="226" t="s">
        <v>192</v>
      </c>
      <c r="D201" s="226" t="s">
        <v>1053</v>
      </c>
      <c r="E201" s="225">
        <v>43090.747013888889</v>
      </c>
      <c r="F201" s="225">
        <v>43090.756620370368</v>
      </c>
      <c r="G201" s="224">
        <v>56</v>
      </c>
      <c r="H201" s="226" t="s">
        <v>1061</v>
      </c>
      <c r="I201" s="225">
        <v>43090.766817129632</v>
      </c>
      <c r="J201" s="224">
        <v>0</v>
      </c>
      <c r="K201" s="236" t="str">
        <f t="shared" si="166"/>
        <v>4005/4006</v>
      </c>
      <c r="L201" s="244" t="str">
        <f>VLOOKUP(A201,'Trips&amp;Operators'!$C$1:$G$99911,5,FALSE)</f>
        <v>STAMBAUGH JAMES</v>
      </c>
      <c r="M201" s="223">
        <f t="shared" si="167"/>
        <v>1.0196759263635613E-2</v>
      </c>
      <c r="N201" s="224">
        <f t="shared" si="182"/>
        <v>14.683333339635283</v>
      </c>
      <c r="O201" s="224"/>
      <c r="P201" s="224"/>
      <c r="Q201" s="227"/>
      <c r="R201" s="241"/>
      <c r="S201" s="248">
        <f t="shared" si="172"/>
        <v>1</v>
      </c>
      <c r="T201" s="241" t="str">
        <f t="shared" si="168"/>
        <v>NorthBound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113"/>
        <v>https://d0f6bd738d7f1b3e5a7ca70fe4ff75f0.us-east-1.aws.found.io/app/kibana#/discover/Steve-Slow-Train-Analysis-(2080s-and-2083s)?_g=(refreshInterval:(display:Off,pause:!f,section:0,value:0),time:(from:'2017-12-21T16:55:42-0700',mode:absolute,to:'2017-12-21T19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246" t="str">
        <f>IF(AA201&lt;VLOOKUP(AG201,Variables!$AC$3:$AD$8,2,FALSE),"Y","N")</f>
        <v>N</v>
      </c>
      <c r="X201" s="246">
        <f t="shared" si="181"/>
        <v>1</v>
      </c>
      <c r="Y201" s="246">
        <f t="shared" si="179"/>
        <v>4.48E-2</v>
      </c>
      <c r="Z201" s="246">
        <f t="shared" si="180"/>
        <v>5.8987999999999996</v>
      </c>
      <c r="AA201" s="246">
        <f t="shared" si="169"/>
        <v>5.8539999999999992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170"/>
        <v>837</v>
      </c>
      <c r="AE201" s="234" t="str">
        <f t="shared" si="117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01" s="233" t="str">
        <f t="shared" si="118"/>
        <v>"C:\Program Files (x86)\AstroGrep\AstroGrep.exe" /e /r /s /spath="%USERPROFILE%\AppData\Local\Temp\OnboardLogs" /stypes="app*4006*201712220*" /stext=" 01:.+?(?&gt;(PRM\|1\|D)|(KPR)|(KDP)|(train st[a-z]+ moving)|(SYSTEM_STATE:s[a-z]+ state changed)|(Enforcement Action)|(\[TIMEOUT)|(parse_ebi_status: Penalty)|(\|GPPS))"</v>
      </c>
      <c r="AG201" s="243" t="str">
        <f t="shared" si="171"/>
        <v>NW</v>
      </c>
      <c r="AH201" s="235" t="str">
        <f t="shared" si="136"/>
        <v>"%USERPROFILE%\Documents\GitHub\eaglep3\Utilities\RefineRTDCRunTimes.py" --tripid 837-21 --locoid 4006 --swversion DE.1.0.9.0 --startMP 204:448 --initTime 2017-12-21T17:55:42 --startdatetime 2017-12-21T18:09:32 --delay 56 --endMP 300:58988 --enddatetime 2017-12-21T18:24:13 --enforcementcount 0 &gt;&gt;%USERPROFILE%\Documents\GitHub\eaglep3-reporting\EC\2017-12-21-refined-times.txt</v>
      </c>
      <c r="AI201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{"issue":{"subject":"","project_id":79,"tracker_id":40,"status_id":1,"priority_id":2,"assigned_to_id":338,"start_date":"2017-12-21","description":"","custom_fields":[{"id":1,"name":"Subdivision","value":"NW"},{"id":4,"name":"Milepost","value":"5.8988"},{"id":17,"name":"Train ID","value":"837-21"},{"id":16,"name":"Locomotive ID","value":"4006"},{"id":130,"name":"Impact","value":""},{"id":150,"name":"Time of Event (Mountain Time)","value":"18:24:13"},{"id":151,"name":"Denver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2"/>
      <c r="AK201" s="230"/>
      <c r="AL201" s="230"/>
      <c r="AM201" s="239" t="str">
        <f t="shared" si="138"/>
        <v>start /low /b %USERPROFILE%\Documents\GitHub\eaglep3\Utilities\DownloadLogsFromS3.py --loco 4006 --day 2017-12-21</v>
      </c>
      <c r="AN201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140"/>
        <v>https://d0f6bd738d7f1b3e5a7ca70fe4ff75f0.us-east-1.aws.found.io/app/kibana#/discover/Steve-Slow-Train-Analysis-(2080s-and-2083s)?_g=(refreshInterval:(display:Off,pause:!f,section:0,value:0),time:(from:'2017-12-21T16:55:42-0700',mode:absolute,to:'2017-12-21T19:24:13-0700'))&amp;_a=(columns:!('Message%20ID',Summary),filters:!(),index:'emp_*',interval:auto,query:(query_string:(analyze_wildcard:!t,query:'%22rtdc.l.rtdc.4006%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8" t="s">
        <v>848</v>
      </c>
      <c r="B202" s="224">
        <v>4005</v>
      </c>
      <c r="C202" s="226" t="s">
        <v>192</v>
      </c>
      <c r="D202" s="226" t="s">
        <v>1062</v>
      </c>
      <c r="E202" s="225">
        <v>43090.76766203704</v>
      </c>
      <c r="F202" s="225">
        <v>43090.779166666667</v>
      </c>
      <c r="G202" s="224">
        <v>76</v>
      </c>
      <c r="H202" s="226" t="s">
        <v>1049</v>
      </c>
      <c r="I202" s="225">
        <v>43090.788136574076</v>
      </c>
      <c r="J202" s="224">
        <v>0</v>
      </c>
      <c r="K202" s="236" t="str">
        <f t="shared" si="166"/>
        <v>4005/4006</v>
      </c>
      <c r="L202" s="244" t="str">
        <f>VLOOKUP(A202,'Trips&amp;Operators'!$C$1:$G$99911,5,FALSE)</f>
        <v>STAMBAUGH JAMES</v>
      </c>
      <c r="M202" s="223">
        <f t="shared" si="167"/>
        <v>8.969907408754807E-3</v>
      </c>
      <c r="N202" s="224">
        <f t="shared" si="182"/>
        <v>12.916666668606922</v>
      </c>
      <c r="O202" s="224"/>
      <c r="P202" s="224"/>
      <c r="Q202" s="227"/>
      <c r="R202" s="241"/>
      <c r="S202" s="248">
        <f t="shared" si="172"/>
        <v>1</v>
      </c>
      <c r="T202" s="241" t="str">
        <f t="shared" si="168"/>
        <v>Southbound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113"/>
        <v>https://d0f6bd738d7f1b3e5a7ca70fe4ff75f0.us-east-1.aws.found.io/app/kibana#/discover/Steve-Slow-Train-Analysis-(2080s-and-2083s)?_g=(refreshInterval:(display:Off,pause:!f,section:0,value:0),time:(from:'2017-12-21T17:25:26-0700',mode:absolute,to:'2017-12-21T19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246" t="str">
        <f>IF(AA202&lt;VLOOKUP(AG202,Variables!$AC$3:$AD$8,2,FALSE),"Y","N")</f>
        <v>N</v>
      </c>
      <c r="X202" s="246">
        <f t="shared" si="181"/>
        <v>1</v>
      </c>
      <c r="Y202" s="246">
        <f t="shared" si="179"/>
        <v>5.8667999999999996</v>
      </c>
      <c r="Z202" s="246">
        <f t="shared" si="180"/>
        <v>1.4E-2</v>
      </c>
      <c r="AA202" s="246">
        <f t="shared" si="169"/>
        <v>5.8527999999999993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170"/>
        <v>838</v>
      </c>
      <c r="AE202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02" s="233" t="str">
        <f t="shared" si="118"/>
        <v>"C:\Program Files (x86)\AstroGrep\AstroGrep.exe" /e /r /s /spath="%USERPROFILE%\AppData\Local\Temp\OnboardLogs" /stypes="app*4005*201712220*" /stext=" 01:.+?(?&gt;(PRM\|1\|D)|(KPR)|(KDP)|(train st[a-z]+ moving)|(SYSTEM_STATE:s[a-z]+ state changed)|(Enforcement Action)|(\[TIMEOUT)|(parse_ebi_status: Penalty)|(\|GPPS))"</v>
      </c>
      <c r="AG202" s="243" t="str">
        <f t="shared" si="171"/>
        <v>NW</v>
      </c>
      <c r="AH202" s="235" t="str">
        <f t="shared" si="136"/>
        <v>"%USERPROFILE%\Documents\GitHub\eaglep3\Utilities\RefineRTDCRunTimes.py" --tripid 838-21 --locoid 4005 --swversion DE.1.0.9.0 --startMP 300:58668 --initTime 2017-12-21T18:25:26 --startdatetime 2017-12-21T18:42:00 --delay 76 --endMP 204:140 --enddatetime 2017-12-21T18:54:55 --enforcementcount 0 &gt;&gt;%USERPROFILE%\Documents\GitHub\eaglep3-reporting\EC\2017-12-21-refined-times.txt</v>
      </c>
      <c r="AI202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{"issue":{"subject":"","project_id":79,"tracker_id":40,"status_id":1,"priority_id":2,"assigned_to_id":338,"start_date":"2017-12-21","description":"","custom_fields":[{"id":1,"name":"Subdivision","value":"NW"},{"id":4,"name":"Milepost","value":"0.014"},{"id":17,"name":"Train ID","value":"838-21"},{"id":16,"name":"Locomotive ID","value":"4005"},{"id":130,"name":"Impact","value":""},{"id":150,"name":"Time of Event (Mountain Time)","value":"18:54:55"},{"id":151,"name":"Denver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2"/>
      <c r="AK202" s="230"/>
      <c r="AL202" s="230"/>
      <c r="AM202" s="239" t="str">
        <f t="shared" si="138"/>
        <v>start /low /b %USERPROFILE%\Documents\GitHub\eaglep3\Utilities\DownloadLogsFromS3.py --loco 4005 --day 2017-12-21</v>
      </c>
      <c r="AN202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140"/>
        <v>https://d0f6bd738d7f1b3e5a7ca70fe4ff75f0.us-east-1.aws.found.io/app/kibana#/discover/Steve-Slow-Train-Analysis-(2080s-and-2083s)?_g=(refreshInterval:(display:Off,pause:!f,section:0,value:0),time:(from:'2017-12-21T17:25:26-0700',mode:absolute,to:'2017-12-21T19:54:55-0700'))&amp;_a=(columns:!('Message%20ID',Summary),filters:!(),index:'emp_*',interval:auto,query:(query_string:(analyze_wildcard:!t,query:'%22rtdc.l.rtdc.4005%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8" t="s">
        <v>851</v>
      </c>
      <c r="B203" s="224">
        <v>4036</v>
      </c>
      <c r="C203" s="226" t="s">
        <v>192</v>
      </c>
      <c r="D203" s="226" t="s">
        <v>544</v>
      </c>
      <c r="E203" s="225">
        <v>43090.775983796295</v>
      </c>
      <c r="F203" s="225">
        <v>43090.777650462966</v>
      </c>
      <c r="G203" s="224">
        <v>77</v>
      </c>
      <c r="H203" s="226" t="s">
        <v>1063</v>
      </c>
      <c r="I203" s="225">
        <v>43090.788449074076</v>
      </c>
      <c r="J203" s="224">
        <v>0</v>
      </c>
      <c r="K203" s="236" t="str">
        <f t="shared" si="166"/>
        <v>4035/4036</v>
      </c>
      <c r="L203" s="244" t="str">
        <f>VLOOKUP(A203,'Trips&amp;Operators'!$C$1:$G$99911,5,FALSE)</f>
        <v>RESPASS AARON</v>
      </c>
      <c r="M203" s="223">
        <f t="shared" si="167"/>
        <v>1.0798611110658385E-2</v>
      </c>
      <c r="N203" s="224">
        <f t="shared" si="182"/>
        <v>15.549999999348074</v>
      </c>
      <c r="O203" s="224"/>
      <c r="P203" s="224"/>
      <c r="Q203" s="227"/>
      <c r="R203" s="241"/>
      <c r="S203" s="248">
        <f t="shared" si="172"/>
        <v>1</v>
      </c>
      <c r="T203" s="241" t="str">
        <f t="shared" si="168"/>
        <v>NorthBound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113"/>
        <v>https://d0f6bd738d7f1b3e5a7ca70fe4ff75f0.us-east-1.aws.found.io/app/kibana#/discover/Steve-Slow-Train-Analysis-(2080s-and-2083s)?_g=(refreshInterval:(display:Off,pause:!f,section:0,value:0),time:(from:'2017-12-21T17:37:25-0700',mode:absolute,to:'2017-12-21T19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46" t="str">
        <f>IF(AA203&lt;VLOOKUP(AG203,Variables!$AC$3:$AD$8,2,FALSE),"Y","N")</f>
        <v>N</v>
      </c>
      <c r="X203" s="246">
        <f t="shared" si="181"/>
        <v>1</v>
      </c>
      <c r="Y203" s="246">
        <f t="shared" si="179"/>
        <v>4.4400000000000002E-2</v>
      </c>
      <c r="Z203" s="246">
        <f t="shared" si="180"/>
        <v>5.8917999999999999</v>
      </c>
      <c r="AA203" s="246">
        <f t="shared" si="169"/>
        <v>5.8473999999999995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170"/>
        <v>839</v>
      </c>
      <c r="AE203" s="234" t="str">
        <f t="shared" si="117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203" s="233" t="str">
        <f t="shared" si="118"/>
        <v>"C:\Program Files (x86)\AstroGrep\AstroGrep.exe" /e /r /s /spath="%USERPROFILE%\AppData\Local\Temp\OnboardLogs" /stypes="app*4036*201712220*" /stext=" 01:.+?(?&gt;(PRM\|1\|D)|(KPR)|(KDP)|(train st[a-z]+ moving)|(SYSTEM_STATE:s[a-z]+ state changed)|(Enforcement Action)|(\[TIMEOUT)|(parse_ebi_status: Penalty)|(\|GPPS))"</v>
      </c>
      <c r="AG203" s="243" t="str">
        <f t="shared" si="171"/>
        <v>NW</v>
      </c>
      <c r="AH203" s="235" t="str">
        <f t="shared" si="136"/>
        <v>"%USERPROFILE%\Documents\GitHub\eaglep3\Utilities\RefineRTDCRunTimes.py" --tripid 839-21 --locoid 4036 --swversion DE.1.0.9.0 --startMP 204:444 --initTime 2017-12-21T18:37:25 --startdatetime 2017-12-21T18:39:49 --delay 77 --endMP 300:58918 --enddatetime 2017-12-21T18:55:22 --enforcementcount 0 &gt;&gt;%USERPROFILE%\Documents\GitHub\eaglep3-reporting\EC\2017-12-21-refined-times.txt</v>
      </c>
      <c r="AI203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{"issue":{"subject":"","project_id":79,"tracker_id":40,"status_id":1,"priority_id":2,"assigned_to_id":338,"start_date":"2017-12-21","description":"","custom_fields":[{"id":1,"name":"Subdivision","value":"NW"},{"id":4,"name":"Milepost","value":"5.8918"},{"id":17,"name":"Train ID","value":"839-21"},{"id":16,"name":"Locomotive ID","value":"4036"},{"id":130,"name":"Impact","value":""},{"id":150,"name":"Time of Event (Mountain Time)","value":"18:55:22"},{"id":151,"name":"Denver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2"/>
      <c r="AK203" s="230"/>
      <c r="AL203" s="230"/>
      <c r="AM203" s="239" t="str">
        <f t="shared" si="138"/>
        <v>start /low /b %USERPROFILE%\Documents\GitHub\eaglep3\Utilities\DownloadLogsFromS3.py --loco 4036 --day 2017-12-21</v>
      </c>
      <c r="AN203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140"/>
        <v>https://d0f6bd738d7f1b3e5a7ca70fe4ff75f0.us-east-1.aws.found.io/app/kibana#/discover/Steve-Slow-Train-Analysis-(2080s-and-2083s)?_g=(refreshInterval:(display:Off,pause:!f,section:0,value:0),time:(from:'2017-12-21T17:37:25-0700',mode:absolute,to:'2017-12-21T19:55:22-0700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8" t="s">
        <v>861</v>
      </c>
      <c r="B204" s="224">
        <v>4005</v>
      </c>
      <c r="C204" s="226" t="s">
        <v>192</v>
      </c>
      <c r="D204" s="226" t="s">
        <v>1104</v>
      </c>
      <c r="E204" s="225">
        <v>43090.808321759258</v>
      </c>
      <c r="F204" s="225">
        <v>43090.820833333331</v>
      </c>
      <c r="G204" s="224">
        <v>55</v>
      </c>
      <c r="H204" s="226" t="s">
        <v>566</v>
      </c>
      <c r="I204" s="225">
        <v>43090.829583333332</v>
      </c>
      <c r="J204" s="224">
        <v>0</v>
      </c>
      <c r="K204" s="236" t="str">
        <f t="shared" si="166"/>
        <v>4005/4006</v>
      </c>
      <c r="L204" s="244" t="str">
        <f>VLOOKUP(A204,'Trips&amp;Operators'!$C$1:$G$99911,5,FALSE)</f>
        <v>STAMBAUGH JAMES</v>
      </c>
      <c r="M204" s="223">
        <f t="shared" si="167"/>
        <v>8.7500000008731149E-3</v>
      </c>
      <c r="N204" s="224">
        <f t="shared" si="182"/>
        <v>12.600000001257285</v>
      </c>
      <c r="O204" s="224"/>
      <c r="P204" s="224"/>
      <c r="Q204" s="227"/>
      <c r="R204" s="241"/>
      <c r="S204" s="248">
        <f t="shared" si="172"/>
        <v>1</v>
      </c>
      <c r="T204" s="241" t="str">
        <f t="shared" si="168"/>
        <v>Southbound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113"/>
        <v>https://d0f6bd738d7f1b3e5a7ca70fe4ff75f0.us-east-1.aws.found.io/app/kibana#/discover/Steve-Slow-Train-Analysis-(2080s-and-2083s)?_g=(refreshInterval:(display:Off,pause:!f,section:0,value:0),time:(from:'2017-12-21T18:23:59-0700',mode:absolute,to:'2017-12-21T20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246" t="str">
        <f>IF(AA204&lt;VLOOKUP(AG204,Variables!$AC$3:$AD$8,2,FALSE),"Y","N")</f>
        <v>N</v>
      </c>
      <c r="X204" s="246">
        <f t="shared" si="181"/>
        <v>1</v>
      </c>
      <c r="Y204" s="246">
        <f t="shared" si="179"/>
        <v>5.8616999999999999</v>
      </c>
      <c r="Z204" s="246">
        <f t="shared" si="180"/>
        <v>1.5699999999999999E-2</v>
      </c>
      <c r="AA204" s="246">
        <f t="shared" si="169"/>
        <v>5.8460000000000001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170"/>
        <v>840</v>
      </c>
      <c r="AE204" s="234" t="str">
        <f t="shared" si="117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04" s="233" t="str">
        <f t="shared" si="118"/>
        <v>"C:\Program Files (x86)\AstroGrep\AstroGrep.exe" /e /r /s /spath="%USERPROFILE%\AppData\Local\Temp\OnboardLogs" /stypes="app*4005*201712220*" /stext=" 02:.+?(?&gt;(PRM\|1\|D)|(KPR)|(KDP)|(train st[a-z]+ moving)|(SYSTEM_STATE:s[a-z]+ state changed)|(Enforcement Action)|(\[TIMEOUT)|(parse_ebi_status: Penalty)|(\|GPPS))"</v>
      </c>
      <c r="AG204" s="243" t="str">
        <f t="shared" si="171"/>
        <v>NW</v>
      </c>
      <c r="AH204" s="235" t="str">
        <f t="shared" si="136"/>
        <v>"%USERPROFILE%\Documents\GitHub\eaglep3\Utilities\RefineRTDCRunTimes.py" --tripid 840-21 --locoid 4005 --swversion DE.1.0.9.0 --startMP 300:58617 --initTime 2017-12-21T19:23:59 --startdatetime 2017-12-21T19:42:00 --delay 55 --endMP 204:157 --enddatetime 2017-12-21T19:54:36 --enforcementcount 0 &gt;&gt;%USERPROFILE%\Documents\GitHub\eaglep3-reporting\EC\2017-12-21-refined-times.txt</v>
      </c>
      <c r="AI204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{"issue":{"subject":"","project_id":79,"tracker_id":40,"status_id":1,"priority_id":2,"assigned_to_id":338,"start_date":"2017-12-21","description":"","custom_fields":[{"id":1,"name":"Subdivision","value":"NW"},{"id":4,"name":"Milepost","value":"0.0157"},{"id":17,"name":"Train ID","value":"840-21"},{"id":16,"name":"Locomotive ID","value":"4005"},{"id":130,"name":"Impact","value":""},{"id":150,"name":"Time of Event (Mountain Time)","value":"19:54:36"},{"id":151,"name":"Denver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2"/>
      <c r="AK204" s="230"/>
      <c r="AL204" s="230"/>
      <c r="AM204" s="239" t="str">
        <f t="shared" si="138"/>
        <v>start /low /b %USERPROFILE%\Documents\GitHub\eaglep3\Utilities\DownloadLogsFromS3.py --loco 4005 --day 2017-12-21</v>
      </c>
      <c r="AN204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140"/>
        <v>https://d0f6bd738d7f1b3e5a7ca70fe4ff75f0.us-east-1.aws.found.io/app/kibana#/discover/Steve-Slow-Train-Analysis-(2080s-and-2083s)?_g=(refreshInterval:(display:Off,pause:!f,section:0,value:0),time:(from:'2017-12-21T18:23:59-0700',mode:absolute,to:'2017-12-21T20:54:36-0700'))&amp;_a=(columns:!('Message%20ID',Summary),filters:!(),index:'emp_*',interval:auto,query:(query_string:(analyze_wildcard:!t,query:'%22rtdc.l.rtdc.4005%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858</v>
      </c>
      <c r="B205" s="224">
        <v>4006</v>
      </c>
      <c r="C205" s="226" t="s">
        <v>192</v>
      </c>
      <c r="D205" s="226" t="s">
        <v>1064</v>
      </c>
      <c r="E205" s="225">
        <v>43090.79278935185</v>
      </c>
      <c r="F205" s="225">
        <v>43090.798321759263</v>
      </c>
      <c r="G205" s="224">
        <v>54</v>
      </c>
      <c r="H205" s="226" t="s">
        <v>1065</v>
      </c>
      <c r="I205" s="225">
        <v>43090.807488425926</v>
      </c>
      <c r="J205" s="224">
        <v>0</v>
      </c>
      <c r="K205" s="236" t="str">
        <f t="shared" si="166"/>
        <v>4005/4006</v>
      </c>
      <c r="L205" s="244" t="str">
        <f>VLOOKUP(A205,'Trips&amp;Operators'!$C$1:$G$99911,5,FALSE)</f>
        <v>STAMBAUGH JAMES</v>
      </c>
      <c r="M205" s="223">
        <f t="shared" si="167"/>
        <v>9.1666666630771942E-3</v>
      </c>
      <c r="N205" s="224">
        <f t="shared" si="182"/>
        <v>13.19999999483116</v>
      </c>
      <c r="O205" s="224"/>
      <c r="P205" s="224"/>
      <c r="Q205" s="227"/>
      <c r="R205" s="241"/>
      <c r="S205" s="248">
        <f t="shared" si="172"/>
        <v>1</v>
      </c>
      <c r="T205" s="241" t="str">
        <f t="shared" si="168"/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39" si="18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-21T18:01:37-0700',mode:absolute,to:'2017-12-21T20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246" t="str">
        <f>IF(AA205&lt;VLOOKUP(AG205,Variables!$AC$3:$AD$8,2,FALSE),"Y","N")</f>
        <v>N</v>
      </c>
      <c r="X205" s="246">
        <f t="shared" si="181"/>
        <v>1</v>
      </c>
      <c r="Y205" s="246">
        <f t="shared" si="179"/>
        <v>4.2999999999999997E-2</v>
      </c>
      <c r="Z205" s="246">
        <f t="shared" si="180"/>
        <v>5.8930999999999996</v>
      </c>
      <c r="AA205" s="246">
        <f t="shared" si="169"/>
        <v>5.8500999999999994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si="170"/>
        <v>841</v>
      </c>
      <c r="AE205" s="234" t="str">
        <f t="shared" ref="AE205:AE239" si="1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05" s="233" t="str">
        <f t="shared" ref="AF205:AF239" si="185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/stypes="app*4006*201712220*" /stext=" 02:.+?(?&gt;(PRM\|1\|D)|(KPR)|(KDP)|(train st[a-z]+ moving)|(SYSTEM_STATE:s[a-z]+ state changed)|(Enforcement Action)|(\[TIMEOUT)|(parse_ebi_status: Penalty)|(\|GPPS))"</v>
      </c>
      <c r="AG205" s="243" t="str">
        <f t="shared" si="171"/>
        <v>NW</v>
      </c>
      <c r="AH205" s="235" t="str">
        <f t="shared" si="136"/>
        <v>"%USERPROFILE%\Documents\GitHub\eaglep3\Utilities\RefineRTDCRunTimes.py" --tripid 841-21 --locoid 4006 --swversion DE.1.0.9.0 --startMP 204:430 --initTime 2017-12-21T19:01:37 --startdatetime 2017-12-21T19:09:35 --delay 54 --endMP 300:58931 --enddatetime 2017-12-21T19:22:47 --enforcementcount 0 &gt;&gt;%USERPROFILE%\Documents\GitHub\eaglep3-reporting\EC\2017-12-21-refined-times.txt</v>
      </c>
      <c r="AI205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{"issue":{"subject":"","project_id":79,"tracker_id":40,"status_id":1,"priority_id":2,"assigned_to_id":338,"start_date":"2017-12-21","description":"","custom_fields":[{"id":1,"name":"Subdivision","value":"NW"},{"id":4,"name":"Milepost","value":"5.8931"},{"id":17,"name":"Train ID","value":"841-21"},{"id":16,"name":"Locomotive ID","value":"4006"},{"id":130,"name":"Impact","value":""},{"id":150,"name":"Time of Event (Mountain Time)","value":"19:22:47"},{"id":151,"name":"Denver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138"/>
        <v>start /low /b %USERPROFILE%\Documents\GitHub\eaglep3\Utilities\DownloadLogsFromS3.py --loco 4006 --day 2017-12-21</v>
      </c>
      <c r="AN205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140"/>
        <v>https://d0f6bd738d7f1b3e5a7ca70fe4ff75f0.us-east-1.aws.found.io/app/kibana#/discover/Steve-Slow-Train-Analysis-(2080s-and-2083s)?_g=(refreshInterval:(display:Off,pause:!f,section:0,value:0),time:(from:'2017-12-21T18:01:37-0700',mode:absolute,to:'2017-12-21T20:22:47-0700'))&amp;_a=(columns:!('Message%20ID',Summary),filters:!(),index:'emp_*',interval:auto,query:(query_string:(analyze_wildcard:!t,query:'%22rtdc.l.rtdc.4006%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867</v>
      </c>
      <c r="B206" s="224">
        <v>4005</v>
      </c>
      <c r="C206" s="226" t="s">
        <v>192</v>
      </c>
      <c r="D206" s="226" t="s">
        <v>1027</v>
      </c>
      <c r="E206" s="225">
        <v>43090.850277777776</v>
      </c>
      <c r="F206" s="225">
        <v>43090.862500000003</v>
      </c>
      <c r="G206" s="224">
        <v>61</v>
      </c>
      <c r="H206" s="226" t="s">
        <v>1066</v>
      </c>
      <c r="I206" s="225">
        <v>43090.871296296296</v>
      </c>
      <c r="J206" s="224">
        <v>0</v>
      </c>
      <c r="K206" s="236" t="str">
        <f t="shared" si="166"/>
        <v>4005/4006</v>
      </c>
      <c r="L206" s="244" t="str">
        <f>VLOOKUP(A206,'Trips&amp;Operators'!$C$1:$G$99911,5,FALSE)</f>
        <v>STAMBAUGH JAMES</v>
      </c>
      <c r="M206" s="223">
        <f t="shared" si="167"/>
        <v>8.7962962934398092E-3</v>
      </c>
      <c r="N206" s="224">
        <f t="shared" si="182"/>
        <v>12.666666662553325</v>
      </c>
      <c r="O206" s="224"/>
      <c r="P206" s="224"/>
      <c r="Q206" s="227"/>
      <c r="R206" s="241"/>
      <c r="S206" s="248">
        <f t="shared" si="172"/>
        <v>1</v>
      </c>
      <c r="T206" s="241" t="str">
        <f t="shared" si="168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183"/>
        <v>https://d0f6bd738d7f1b3e5a7ca70fe4ff75f0.us-east-1.aws.found.io/app/kibana#/discover/Steve-Slow-Train-Analysis-(2080s-and-2083s)?_g=(refreshInterval:(display:Off,pause:!f,section:0,value:0),time:(from:'2017-12-21T19:24:24-0700',mode:absolute,to:'2017-12-21T21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6" s="246" t="str">
        <f>IF(AA206&lt;VLOOKUP(AG206,Variables!$AC$3:$AD$8,2,FALSE),"Y","N")</f>
        <v>N</v>
      </c>
      <c r="X206" s="246">
        <f t="shared" si="181"/>
        <v>1</v>
      </c>
      <c r="Y206" s="246">
        <f t="shared" si="179"/>
        <v>5.8628</v>
      </c>
      <c r="Z206" s="246">
        <f t="shared" si="180"/>
        <v>1.55E-2</v>
      </c>
      <c r="AA206" s="246">
        <f t="shared" si="169"/>
        <v>5.8472999999999997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170"/>
        <v>842</v>
      </c>
      <c r="AE206" s="234" t="str">
        <f t="shared" si="184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06" s="233" t="str">
        <f t="shared" si="185"/>
        <v>"C:\Program Files (x86)\AstroGrep\AstroGrep.exe" /e /r /s /spath="%USERPROFILE%\AppData\Local\Temp\OnboardLogs" /stypes="app*4005*201712220*" /stext=" 03:.+?(?&gt;(PRM\|1\|D)|(KPR)|(KDP)|(train st[a-z]+ moving)|(SYSTEM_STATE:s[a-z]+ state changed)|(Enforcement Action)|(\[TIMEOUT)|(parse_ebi_status: Penalty)|(\|GPPS))"</v>
      </c>
      <c r="AG206" s="243" t="str">
        <f t="shared" si="171"/>
        <v>NW</v>
      </c>
      <c r="AH206" s="235" t="str">
        <f t="shared" si="136"/>
        <v>"%USERPROFILE%\Documents\GitHub\eaglep3\Utilities\RefineRTDCRunTimes.py" --tripid 842-21 --locoid 4005 --swversion DE.1.0.9.0 --startMP 300:58628 --initTime 2017-12-21T20:24:24 --startdatetime 2017-12-21T20:42:00 --delay 61 --endMP 204:155 --enddatetime 2017-12-21T20:54:40 --enforcementcount 0 &gt;&gt;%USERPROFILE%\Documents\GitHub\eaglep3-reporting\EC\2017-12-21-refined-times.txt</v>
      </c>
      <c r="AI206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{"issue":{"subject":"","project_id":79,"tracker_id":40,"status_id":1,"priority_id":2,"assigned_to_id":338,"start_date":"2017-12-21","description":"","custom_fields":[{"id":1,"name":"Subdivision","value":"NW"},{"id":4,"name":"Milepost","value":"0.0155"},{"id":17,"name":"Train ID","value":"842-21"},{"id":16,"name":"Locomotive ID","value":"4005"},{"id":130,"name":"Impact","value":""},{"id":150,"name":"Time of Event (Mountain Time)","value":"20:54:40"},{"id":151,"name":"Denver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138"/>
        <v>start /low /b %USERPROFILE%\Documents\GitHub\eaglep3\Utilities\DownloadLogsFromS3.py --loco 4005 --day 2017-12-21</v>
      </c>
      <c r="AN206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140"/>
        <v>https://d0f6bd738d7f1b3e5a7ca70fe4ff75f0.us-east-1.aws.found.io/app/kibana#/discover/Steve-Slow-Train-Analysis-(2080s-and-2083s)?_g=(refreshInterval:(display:Off,pause:!f,section:0,value:0),time:(from:'2017-12-21T19:24:24-0700',mode:absolute,to:'2017-12-21T21:54:40-0700'))&amp;_a=(columns:!('Message%20ID',Summary),filters:!(),index:'emp_*',interval:auto,query:(query_string:(analyze_wildcard:!t,query:'%22rtdc.l.rtdc.4005%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2" customFormat="1" x14ac:dyDescent="0.25">
      <c r="A207" s="228" t="s">
        <v>686</v>
      </c>
      <c r="B207" s="224">
        <v>4006</v>
      </c>
      <c r="C207" s="226" t="s">
        <v>192</v>
      </c>
      <c r="D207" s="226" t="s">
        <v>1027</v>
      </c>
      <c r="E207" s="225">
        <v>43090.850277777776</v>
      </c>
      <c r="F207" s="225">
        <v>43090.839872685188</v>
      </c>
      <c r="G207" s="224">
        <v>61</v>
      </c>
      <c r="H207" s="226" t="s">
        <v>1066</v>
      </c>
      <c r="I207" s="225">
        <v>43090.849479166667</v>
      </c>
      <c r="J207" s="224">
        <v>0</v>
      </c>
      <c r="K207" s="236" t="str">
        <f t="shared" ref="K207:K239" si="186">IF(ISEVEN(B207),(B207-1)&amp;"/"&amp;B207,B207&amp;"/"&amp;(B207+1))</f>
        <v>4005/4006</v>
      </c>
      <c r="L207" s="244" t="str">
        <f>VLOOKUP(A207,'Trips&amp;Operators'!$C$1:$G$99911,5,FALSE)</f>
        <v>STAMBAUGH JAMES</v>
      </c>
      <c r="M207" s="223">
        <f t="shared" ref="M207:M239" si="187">I207-F207</f>
        <v>9.6064814788405783E-3</v>
      </c>
      <c r="N207" s="224">
        <f t="shared" si="182"/>
        <v>13.833333329530433</v>
      </c>
      <c r="O207" s="224"/>
      <c r="P207" s="224"/>
      <c r="Q207" s="227"/>
      <c r="R207" s="241"/>
      <c r="S207" s="248">
        <f t="shared" si="172"/>
        <v>1</v>
      </c>
      <c r="T207" s="241" t="str">
        <f t="shared" ref="T207:T239" si="188">IF(ISEVEN(LEFT(AD207,4)),"Southbound","NorthBound")</f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183"/>
        <v>https://d0f6bd738d7f1b3e5a7ca70fe4ff75f0.us-east-1.aws.found.io/app/kibana#/discover/Steve-Slow-Train-Analysis-(2080s-and-2083s)?_g=(refreshInterval:(display:Off,pause:!f,section:0,value:0),time:(from:'2017-12-21T19:24:24-0700',mode:absolute,to:'2017-12-21T21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246" t="str">
        <f>IF(AA207&lt;VLOOKUP(AG207,Variables!$AC$3:$AD$8,2,FALSE),"Y","N")</f>
        <v>N</v>
      </c>
      <c r="X207" s="246">
        <f t="shared" si="181"/>
        <v>1</v>
      </c>
      <c r="Y207" s="246">
        <v>4.2999999999999997E-2</v>
      </c>
      <c r="Z207" s="246">
        <v>5.8930999999999996</v>
      </c>
      <c r="AA207" s="246">
        <f t="shared" ref="AA207:AA238" si="189">ABS(Z207-Y207)</f>
        <v>5.8500999999999994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ref="AD207:AD239" si="190">VALUE(LEFT(A207,LEN(A207)-3))</f>
        <v>843</v>
      </c>
      <c r="AE207" s="234" t="str">
        <f t="shared" si="184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07" s="233" t="str">
        <f t="shared" si="185"/>
        <v>"C:\Program Files (x86)\AstroGrep\AstroGrep.exe" /e /r /s /spath="%USERPROFILE%\AppData\Local\Temp\OnboardLogs" /stypes="app*4006*201712220*" /stext=" 03:.+?(?&gt;(PRM\|1\|D)|(KPR)|(KDP)|(train st[a-z]+ moving)|(SYSTEM_STATE:s[a-z]+ state changed)|(Enforcement Action)|(\[TIMEOUT)|(parse_ebi_status: Penalty)|(\|GPPS))"</v>
      </c>
      <c r="AG207" s="243" t="str">
        <f t="shared" ref="AG207:AG239" si="191">DetSubdiv(A207)</f>
        <v>NW</v>
      </c>
      <c r="AH207" s="235" t="str">
        <f t="shared" ref="AH207" si="19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843-21 --locoid 4006 --swversion DE.1.0.9.0 --startMP 300:58628 --initTime 2017-12-21T20:24:24 --startdatetime 2017-12-21T20:09:25 --delay 61 --endMP 204:155 --enddatetime 2017-12-21T20:23:15 --enforcementcount 0 &gt;&gt;%USERPROFILE%\Documents\GitHub\eaglep3-reporting\EC\2017-12-21-refined-times.txt</v>
      </c>
      <c r="AI207" s="237" t="str">
        <f t="shared" ref="AI207" si="19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{"issue":{"subject":"","project_id":79,"tracker_id":40,"status_id":1,"priority_id":2,"assigned_to_id":338,"start_date":"2017-12-21","description":"","custom_fields":[{"id":1,"name":"Subdivision","value":"NW"},{"id":4,"name":"Milepost","value":"5.8931"},{"id":17,"name":"Train ID","value":"843-21"},{"id":16,"name":"Locomotive ID","value":"4006"},{"id":130,"name":"Impact","value":""},{"id":150,"name":"Time of Event (Mountain Time)","value":"20:23:15"},{"id":151,"name":"Denver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0"/>
      <c r="AL207" s="230"/>
      <c r="AM207" s="239" t="str">
        <f t="shared" ref="AM207" si="194">"start /low /b "&amp;dls3logs&amp;" --loco "&amp;B207&amp;" --day "&amp;TEXT(F207,"YYYY-MM-DD")</f>
        <v>start /low /b %USERPROFILE%\Documents\GitHub\eaglep3\Utilities\DownloadLogsFromS3.py --loco 4006 --day 2017-12-21</v>
      </c>
      <c r="AN207" s="240" t="str">
        <f t="shared" ref="AN207" si="19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03:23:15"},{"id":29,"name":"Sharepoint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ref="AO207" si="196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-21T19:24:24-0700',mode:absolute,to:'2017-12-21T21:23:15-0700'))&amp;_a=(columns:!('Message%20ID',Summary),filters:!(),index:'emp_*',interval:auto,query:(query_string:(analyze_wildcard:!t,query:'%22rtdc.l.rtdc.4006%22')),sort:!(Time.ISO8601,asc))</v>
      </c>
    </row>
    <row r="208" spans="1:91" s="20" customFormat="1" x14ac:dyDescent="0.25">
      <c r="A208" s="228" t="s">
        <v>688</v>
      </c>
      <c r="B208" s="224">
        <v>4005</v>
      </c>
      <c r="C208" s="226" t="s">
        <v>192</v>
      </c>
      <c r="D208" s="226" t="s">
        <v>650</v>
      </c>
      <c r="E208" s="225">
        <v>43090.89267361111</v>
      </c>
      <c r="F208" s="225">
        <v>43090.904166666667</v>
      </c>
      <c r="G208" s="224">
        <v>60</v>
      </c>
      <c r="H208" s="226" t="s">
        <v>1106</v>
      </c>
      <c r="I208" s="225">
        <v>43090.914340277777</v>
      </c>
      <c r="J208" s="224">
        <v>0</v>
      </c>
      <c r="K208" s="236" t="str">
        <f t="shared" si="186"/>
        <v>4005/4006</v>
      </c>
      <c r="L208" s="244" t="str">
        <f>VLOOKUP(A208,'Trips&amp;Operators'!$C$1:$G$99911,5,FALSE)</f>
        <v>RESPASS AARON</v>
      </c>
      <c r="M208" s="223">
        <f t="shared" si="187"/>
        <v>1.0173611110076308E-2</v>
      </c>
      <c r="N208" s="224">
        <f t="shared" si="182"/>
        <v>14.649999998509884</v>
      </c>
      <c r="O208" s="224"/>
      <c r="P208" s="224"/>
      <c r="Q208" s="227"/>
      <c r="R208" s="241"/>
      <c r="S208" s="248">
        <f t="shared" si="172"/>
        <v>1</v>
      </c>
      <c r="T208" s="241" t="str">
        <f t="shared" si="188"/>
        <v>Southbound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183"/>
        <v>https://d0f6bd738d7f1b3e5a7ca70fe4ff75f0.us-east-1.aws.found.io/app/kibana#/discover/Steve-Slow-Train-Analysis-(2080s-and-2083s)?_g=(refreshInterval:(display:Off,pause:!f,section:0,value:0),time:(from:'2017-12-21T20:25:27-0700',mode:absolute,to:'2017-12-21T22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8" s="246" t="str">
        <f>IF(AA208&lt;VLOOKUP(AG208,Variables!$AC$3:$AD$8,2,FALSE),"Y","N")</f>
        <v>N</v>
      </c>
      <c r="X208" s="246">
        <f t="shared" ref="X208:X209" si="197">VALUE(LEFT(AD208,4))-VALUE(LEFT(AD207,4))</f>
        <v>1</v>
      </c>
      <c r="Y208" s="246">
        <f t="shared" ref="Y208:Y239" si="198">RIGHT(D208,LEN(D208)-4)/10000</f>
        <v>5.86</v>
      </c>
      <c r="Z208" s="246">
        <f t="shared" ref="Z208:Z239" si="199">RIGHT(H208,LEN(H208)-4)/10000</f>
        <v>1.44E-2</v>
      </c>
      <c r="AA208" s="246">
        <f t="shared" si="189"/>
        <v>5.8456000000000001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190"/>
        <v>844</v>
      </c>
      <c r="AE208" s="234" t="str">
        <f t="shared" si="184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08" s="233" t="str">
        <f t="shared" si="185"/>
        <v>"C:\Program Files (x86)\AstroGrep\AstroGrep.exe" /e /r /s /spath="%USERPROFILE%\AppData\Local\Temp\OnboardLogs" /stypes="app*4005*201712220*" /stext=" 04:.+?(?&gt;(PRM\|1\|D)|(KPR)|(KDP)|(train st[a-z]+ moving)|(SYSTEM_STATE:s[a-z]+ state changed)|(Enforcement Action)|(\[TIMEOUT)|(parse_ebi_status: Penalty)|(\|GPPS))"</v>
      </c>
      <c r="AG208" s="243" t="str">
        <f t="shared" si="191"/>
        <v>NW</v>
      </c>
      <c r="AH208" s="235" t="str">
        <f t="shared" si="136"/>
        <v>"%USERPROFILE%\Documents\GitHub\eaglep3\Utilities\RefineRTDCRunTimes.py" --tripid 844-21 --locoid 4005 --swversion DE.1.0.9.0 --startMP 300:58600 --initTime 2017-12-21T21:25:27 --startdatetime 2017-12-21T21:42:00 --delay 60 --endMP 204:144 --enddatetime 2017-12-21T21:56:39 --enforcementcount 0 &gt;&gt;%USERPROFILE%\Documents\GitHub\eaglep3-reporting\EC\2017-12-21-refined-times.txt</v>
      </c>
      <c r="AI208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{"issue":{"subject":"","project_id":79,"tracker_id":40,"status_id":1,"priority_id":2,"assigned_to_id":338,"start_date":"2017-12-21","description":"","custom_fields":[{"id":1,"name":"Subdivision","value":"NW"},{"id":4,"name":"Milepost","value":"0.0144"},{"id":17,"name":"Train ID","value":"844-21"},{"id":16,"name":"Locomotive ID","value":"4005"},{"id":130,"name":"Impact","value":""},{"id":150,"name":"Time of Event (Mountain Time)","value":"21:56:39"},{"id":151,"name":"Denver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138"/>
        <v>start /low /b %USERPROFILE%\Documents\GitHub\eaglep3\Utilities\DownloadLogsFromS3.py --loco 4005 --day 2017-12-21</v>
      </c>
      <c r="AN208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140"/>
        <v>https://d0f6bd738d7f1b3e5a7ca70fe4ff75f0.us-east-1.aws.found.io/app/kibana#/discover/Steve-Slow-Train-Analysis-(2080s-and-2083s)?_g=(refreshInterval:(display:Off,pause:!f,section:0,value:0),time:(from:'2017-12-21T20:25:27-0700',mode:absolute,to:'2017-12-21T22:56:39-0700'))&amp;_a=(columns:!('Message%20ID',Summary),filters:!(),index:'emp_*',interval:auto,query:(query_string:(analyze_wildcard:!t,query:'%22rtdc.l.rtdc.4005%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869</v>
      </c>
      <c r="B209" s="224">
        <v>4006</v>
      </c>
      <c r="C209" s="226" t="s">
        <v>192</v>
      </c>
      <c r="D209" s="226" t="s">
        <v>643</v>
      </c>
      <c r="E209" s="225">
        <v>43090.872557870367</v>
      </c>
      <c r="F209" s="225">
        <v>43090.881655092591</v>
      </c>
      <c r="G209" s="224">
        <v>104</v>
      </c>
      <c r="H209" s="226" t="s">
        <v>1063</v>
      </c>
      <c r="I209" s="225">
        <v>43090.891898148147</v>
      </c>
      <c r="J209" s="224">
        <v>0</v>
      </c>
      <c r="K209" s="236" t="str">
        <f t="shared" si="186"/>
        <v>4005/4006</v>
      </c>
      <c r="L209" s="244" t="str">
        <f>VLOOKUP(A209,'Trips&amp;Operators'!$C$1:$G$99911,5,FALSE)</f>
        <v>RESPASS AARON</v>
      </c>
      <c r="M209" s="223">
        <f t="shared" si="187"/>
        <v>1.0243055556202307E-2</v>
      </c>
      <c r="N209" s="224">
        <f t="shared" si="182"/>
        <v>14.750000000931323</v>
      </c>
      <c r="O209" s="224"/>
      <c r="P209" s="224"/>
      <c r="Q209" s="227"/>
      <c r="R209" s="241"/>
      <c r="S209" s="248">
        <f t="shared" si="172"/>
        <v>1</v>
      </c>
      <c r="T209" s="241" t="str">
        <f t="shared" si="188"/>
        <v>NorthBound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183"/>
        <v>https://d0f6bd738d7f1b3e5a7ca70fe4ff75f0.us-east-1.aws.found.io/app/kibana#/discover/Steve-Slow-Train-Analysis-(2080s-and-2083s)?_g=(refreshInterval:(display:Off,pause:!f,section:0,value:0),time:(from:'2017-12-21T19:56:29-0700',mode:absolute,to:'2017-12-21T22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246" t="str">
        <f>IF(AA209&lt;VLOOKUP(AG209,Variables!$AC$3:$AD$8,2,FALSE),"Y","N")</f>
        <v>N</v>
      </c>
      <c r="X209" s="246">
        <f t="shared" si="197"/>
        <v>1</v>
      </c>
      <c r="Y209" s="246">
        <f t="shared" si="198"/>
        <v>4.5499999999999999E-2</v>
      </c>
      <c r="Z209" s="246">
        <f t="shared" si="199"/>
        <v>5.8917999999999999</v>
      </c>
      <c r="AA209" s="246">
        <f t="shared" si="189"/>
        <v>5.8463000000000003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190"/>
        <v>845</v>
      </c>
      <c r="AE209" s="234" t="str">
        <f t="shared" si="184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09" s="233" t="str">
        <f t="shared" si="185"/>
        <v>"C:\Program Files (x86)\AstroGrep\AstroGrep.exe" /e /r /s /spath="%USERPROFILE%\AppData\Local\Temp\OnboardLogs" /stypes="app*4006*201712220*" /stext=" 04:.+?(?&gt;(PRM\|1\|D)|(KPR)|(KDP)|(train st[a-z]+ moving)|(SYSTEM_STATE:s[a-z]+ state changed)|(Enforcement Action)|(\[TIMEOUT)|(parse_ebi_status: Penalty)|(\|GPPS))"</v>
      </c>
      <c r="AG209" s="243" t="str">
        <f t="shared" si="191"/>
        <v>NW</v>
      </c>
      <c r="AH209" s="235" t="str">
        <f t="shared" si="136"/>
        <v>"%USERPROFILE%\Documents\GitHub\eaglep3\Utilities\RefineRTDCRunTimes.py" --tripid 845-21 --locoid 4006 --swversion DE.1.0.9.0 --startMP 204:455 --initTime 2017-12-21T20:56:29 --startdatetime 2017-12-21T21:09:35 --delay 104 --endMP 300:58918 --enddatetime 2017-12-21T21:24:20 --enforcementcount 0 &gt;&gt;%USERPROFILE%\Documents\GitHub\eaglep3-reporting\EC\2017-12-21-refined-times.txt</v>
      </c>
      <c r="AI209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{"issue":{"subject":"","project_id":79,"tracker_id":40,"status_id":1,"priority_id":2,"assigned_to_id":338,"start_date":"2017-12-21","description":"","custom_fields":[{"id":1,"name":"Subdivision","value":"NW"},{"id":4,"name":"Milepost","value":"5.8918"},{"id":17,"name":"Train ID","value":"845-21"},{"id":16,"name":"Locomotive ID","value":"4006"},{"id":130,"name":"Impact","value":""},{"id":150,"name":"Time of Event (Mountain Time)","value":"21:24:20"},{"id":151,"name":"Denver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si="138"/>
        <v>start /low /b %USERPROFILE%\Documents\GitHub\eaglep3\Utilities\DownloadLogsFromS3.py --loco 4006 --day 2017-12-21</v>
      </c>
      <c r="AN209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04:24:20"},{"id":29,"name":"Sharepoint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140"/>
        <v>https://d0f6bd738d7f1b3e5a7ca70fe4ff75f0.us-east-1.aws.found.io/app/kibana#/discover/Steve-Slow-Train-Analysis-(2080s-and-2083s)?_g=(refreshInterval:(display:Off,pause:!f,section:0,value:0),time:(from:'2017-12-21T19:56:29-0700',mode:absolute,to:'2017-12-21T22:24:20-0700'))&amp;_a=(columns:!('Message%20ID',Summary),filters:!(),index:'emp_*',interval:auto,query:(query_string:(analyze_wildcard:!t,query:'%22rtdc.l.rtdc.4006%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876</v>
      </c>
      <c r="B210" s="224">
        <v>4005</v>
      </c>
      <c r="C210" s="226" t="s">
        <v>192</v>
      </c>
      <c r="D210" s="226" t="s">
        <v>650</v>
      </c>
      <c r="E210" s="225">
        <v>43090.935173611113</v>
      </c>
      <c r="F210" s="225">
        <v>43090.945833333331</v>
      </c>
      <c r="G210" s="224">
        <v>74</v>
      </c>
      <c r="H210" s="226" t="s">
        <v>565</v>
      </c>
      <c r="I210" s="225">
        <v>43090.955000000002</v>
      </c>
      <c r="J210" s="224">
        <v>0</v>
      </c>
      <c r="K210" s="236" t="str">
        <f t="shared" si="186"/>
        <v>4005/4006</v>
      </c>
      <c r="L210" s="244" t="str">
        <f>VLOOKUP(A210,'Trips&amp;Operators'!$C$1:$G$99911,5,FALSE)</f>
        <v>RESPASS AARON</v>
      </c>
      <c r="M210" s="223">
        <f t="shared" si="187"/>
        <v>9.1666666703531519E-3</v>
      </c>
      <c r="N210" s="224">
        <f t="shared" si="182"/>
        <v>13.200000005308539</v>
      </c>
      <c r="O210" s="224"/>
      <c r="P210" s="224"/>
      <c r="Q210" s="227"/>
      <c r="R210" s="241"/>
      <c r="S210" s="248">
        <f t="shared" si="172"/>
        <v>1</v>
      </c>
      <c r="T210" s="241" t="str">
        <f t="shared" si="188"/>
        <v>Southbound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183"/>
        <v>https://d0f6bd738d7f1b3e5a7ca70fe4ff75f0.us-east-1.aws.found.io/app/kibana#/discover/Steve-Slow-Train-Analysis-(2080s-and-2083s)?_g=(refreshInterval:(display:Off,pause:!f,section:0,value:0),time:(from:'2017-12-21T21:26:39-0700',mode:absolute,to:'2017-12-21T23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46" t="str">
        <f>IF(AA210&lt;VLOOKUP(AG210,Variables!$AC$3:$AD$8,2,FALSE),"Y","N")</f>
        <v>N</v>
      </c>
      <c r="X210" s="246">
        <f t="shared" ref="X210:X239" si="200">VALUE(LEFT(AD210,4))-VALUE(LEFT(AD209,4))</f>
        <v>1</v>
      </c>
      <c r="Y210" s="246">
        <f t="shared" si="198"/>
        <v>5.86</v>
      </c>
      <c r="Z210" s="246">
        <f t="shared" si="199"/>
        <v>1.4800000000000001E-2</v>
      </c>
      <c r="AA210" s="246">
        <f t="shared" si="189"/>
        <v>5.8452000000000002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190"/>
        <v>846</v>
      </c>
      <c r="AE210" s="234" t="str">
        <f t="shared" si="184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10" s="233" t="str">
        <f t="shared" si="185"/>
        <v>"C:\Program Files (x86)\AstroGrep\AstroGrep.exe" /e /r /s /spath="%USERPROFILE%\AppData\Local\Temp\OnboardLogs" /stypes="app*4005*201712220*" /stext=" 05:.+?(?&gt;(PRM\|1\|D)|(KPR)|(KDP)|(train st[a-z]+ moving)|(SYSTEM_STATE:s[a-z]+ state changed)|(Enforcement Action)|(\[TIMEOUT)|(parse_ebi_status: Penalty)|(\|GPPS))"</v>
      </c>
      <c r="AG210" s="243" t="str">
        <f t="shared" si="191"/>
        <v>NW</v>
      </c>
      <c r="AH210" s="235" t="str">
        <f t="shared" si="136"/>
        <v>"%USERPROFILE%\Documents\GitHub\eaglep3\Utilities\RefineRTDCRunTimes.py" --tripid 846-21 --locoid 4005 --swversion DE.1.0.9.0 --startMP 300:58600 --initTime 2017-12-21T22:26:39 --startdatetime 2017-12-21T22:42:00 --delay 74 --endMP 204:148 --enddatetime 2017-12-21T22:55:12 --enforcementcount 0 &gt;&gt;%USERPROFILE%\Documents\GitHub\eaglep3-reporting\EC\2017-12-21-refined-times.txt</v>
      </c>
      <c r="AI210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{"issue":{"subject":"","project_id":79,"tracker_id":40,"status_id":1,"priority_id":2,"assigned_to_id":338,"start_date":"2017-12-21","description":"","custom_fields":[{"id":1,"name":"Subdivision","value":"NW"},{"id":4,"name":"Milepost","value":"0.0148"},{"id":17,"name":"Train ID","value":"846-21"},{"id":16,"name":"Locomotive ID","value":"4005"},{"id":130,"name":"Impact","value":""},{"id":150,"name":"Time of Event (Mountain Time)","value":"22:55:12"},{"id":151,"name":"Denver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138"/>
        <v>start /low /b %USERPROFILE%\Documents\GitHub\eaglep3\Utilities\DownloadLogsFromS3.py --loco 4005 --day 2017-12-21</v>
      </c>
      <c r="AN210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40"/>
        <v>https://d0f6bd738d7f1b3e5a7ca70fe4ff75f0.us-east-1.aws.found.io/app/kibana#/discover/Steve-Slow-Train-Analysis-(2080s-and-2083s)?_g=(refreshInterval:(display:Off,pause:!f,section:0,value:0),time:(from:'2017-12-21T21:26:39-0700',mode:absolute,to:'2017-12-21T23:55:12-0700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689</v>
      </c>
      <c r="B211" s="224">
        <v>4006</v>
      </c>
      <c r="C211" s="226" t="s">
        <v>192</v>
      </c>
      <c r="D211" s="226" t="s">
        <v>1032</v>
      </c>
      <c r="E211" s="225">
        <v>43090.9215625</v>
      </c>
      <c r="F211" s="225">
        <v>43090.923171296294</v>
      </c>
      <c r="G211" s="224">
        <v>59</v>
      </c>
      <c r="H211" s="226" t="s">
        <v>1067</v>
      </c>
      <c r="I211" s="225">
        <v>43090.933206018519</v>
      </c>
      <c r="J211" s="224">
        <v>0</v>
      </c>
      <c r="K211" s="236" t="str">
        <f t="shared" si="186"/>
        <v>4005/4006</v>
      </c>
      <c r="L211" s="244" t="str">
        <f>VLOOKUP(A211,'Trips&amp;Operators'!$C$1:$G$99911,5,FALSE)</f>
        <v>RESPASS AARON</v>
      </c>
      <c r="M211" s="223">
        <f t="shared" si="187"/>
        <v>1.0034722225100268E-2</v>
      </c>
      <c r="N211" s="224">
        <f t="shared" si="182"/>
        <v>14.450000004144385</v>
      </c>
      <c r="O211" s="224"/>
      <c r="P211" s="224"/>
      <c r="Q211" s="227"/>
      <c r="R211" s="241"/>
      <c r="S211" s="248">
        <f t="shared" si="172"/>
        <v>1</v>
      </c>
      <c r="T211" s="241" t="str">
        <f t="shared" si="188"/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183"/>
        <v>https://d0f6bd738d7f1b3e5a7ca70fe4ff75f0.us-east-1.aws.found.io/app/kibana#/discover/Steve-Slow-Train-Analysis-(2080s-and-2083s)?_g=(refreshInterval:(display:Off,pause:!f,section:0,value:0),time:(from:'2017-12-21T21:07:03-0700',mode:absolute,to:'2017-12-21T23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246" t="str">
        <f>IF(AA211&lt;VLOOKUP(AG211,Variables!$AC$3:$AD$8,2,FALSE),"Y","N")</f>
        <v>N</v>
      </c>
      <c r="X211" s="246">
        <f t="shared" si="200"/>
        <v>1</v>
      </c>
      <c r="Y211" s="246">
        <f t="shared" si="198"/>
        <v>4.3900000000000002E-2</v>
      </c>
      <c r="Z211" s="246">
        <f t="shared" si="199"/>
        <v>5.8916000000000004</v>
      </c>
      <c r="AA211" s="246">
        <f t="shared" si="189"/>
        <v>5.8477000000000006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190"/>
        <v>847</v>
      </c>
      <c r="AE211" s="234" t="str">
        <f t="shared" si="184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11" s="233" t="str">
        <f t="shared" si="185"/>
        <v>"C:\Program Files (x86)\AstroGrep\AstroGrep.exe" /e /r /s /spath="%USERPROFILE%\AppData\Local\Temp\OnboardLogs" /stypes="app*4006*201712220*" /stext=" 05:.+?(?&gt;(PRM\|1\|D)|(KPR)|(KDP)|(train st[a-z]+ moving)|(SYSTEM_STATE:s[a-z]+ state changed)|(Enforcement Action)|(\[TIMEOUT)|(parse_ebi_status: Penalty)|(\|GPPS))"</v>
      </c>
      <c r="AG211" s="243" t="str">
        <f t="shared" si="191"/>
        <v>NW</v>
      </c>
      <c r="AH211" s="235" t="str">
        <f t="shared" si="136"/>
        <v>"%USERPROFILE%\Documents\GitHub\eaglep3\Utilities\RefineRTDCRunTimes.py" --tripid 847-21 --locoid 4006 --swversion DE.1.0.9.0 --startMP 204:439 --initTime 2017-12-21T22:07:03 --startdatetime 2017-12-21T22:09:22 --delay 59 --endMP 300:58916 --enddatetime 2017-12-21T22:23:49 --enforcementcount 0 &gt;&gt;%USERPROFILE%\Documents\GitHub\eaglep3-reporting\EC\2017-12-21-refined-times.txt</v>
      </c>
      <c r="AI211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{"issue":{"subject":"","project_id":79,"tracker_id":40,"status_id":1,"priority_id":2,"assigned_to_id":338,"start_date":"2017-12-21","description":"","custom_fields":[{"id":1,"name":"Subdivision","value":"NW"},{"id":4,"name":"Milepost","value":"5.8916"},{"id":17,"name":"Train ID","value":"847-21"},{"id":16,"name":"Locomotive ID","value":"4006"},{"id":130,"name":"Impact","value":""},{"id":150,"name":"Time of Event (Mountain Time)","value":"22:23:49"},{"id":151,"name":"Denver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138"/>
        <v>start /low /b %USERPROFILE%\Documents\GitHub\eaglep3\Utilities\DownloadLogsFromS3.py --loco 4006 --day 2017-12-21</v>
      </c>
      <c r="AN211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05:23:49"},{"id":29,"name":"Sharepoint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40"/>
        <v>https://d0f6bd738d7f1b3e5a7ca70fe4ff75f0.us-east-1.aws.found.io/app/kibana#/discover/Steve-Slow-Train-Analysis-(2080s-and-2083s)?_g=(refreshInterval:(display:Off,pause:!f,section:0,value:0),time:(from:'2017-12-21T21:07:03-0700',mode:absolute,to:'2017-12-21T23:23:49-0700'))&amp;_a=(columns:!('Message%20ID',Summary),filters:!(),index:'emp_*',interval:auto,query:(query_string:(analyze_wildcard:!t,query:'%22rtdc.l.rtdc.4006%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879</v>
      </c>
      <c r="B212" s="224">
        <v>4006</v>
      </c>
      <c r="C212" s="226" t="s">
        <v>192</v>
      </c>
      <c r="D212" s="226" t="s">
        <v>643</v>
      </c>
      <c r="E212" s="225">
        <v>43090.962766203702</v>
      </c>
      <c r="F212" s="225">
        <v>43090.964849537035</v>
      </c>
      <c r="G212" s="224">
        <v>47</v>
      </c>
      <c r="H212" s="226" t="s">
        <v>1065</v>
      </c>
      <c r="I212" s="225">
        <v>43090.974872685183</v>
      </c>
      <c r="J212" s="224">
        <v>0</v>
      </c>
      <c r="K212" s="236" t="str">
        <f t="shared" si="186"/>
        <v>4005/4006</v>
      </c>
      <c r="L212" s="244" t="str">
        <f>VLOOKUP(A212,'Trips&amp;Operators'!$C$1:$G$99911,5,FALSE)</f>
        <v>RESPASS AARON</v>
      </c>
      <c r="M212" s="223">
        <f t="shared" si="187"/>
        <v>1.0023148148320615E-2</v>
      </c>
      <c r="N212" s="224">
        <f t="shared" si="182"/>
        <v>14.433333333581686</v>
      </c>
      <c r="O212" s="224"/>
      <c r="P212" s="224"/>
      <c r="Q212" s="227"/>
      <c r="R212" s="241"/>
      <c r="S212" s="248">
        <f t="shared" si="172"/>
        <v>1</v>
      </c>
      <c r="T212" s="241" t="str">
        <f t="shared" si="188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183"/>
        <v>https://d0f6bd738d7f1b3e5a7ca70fe4ff75f0.us-east-1.aws.found.io/app/kibana#/discover/Steve-Slow-Train-Analysis-(2080s-and-2083s)?_g=(refreshInterval:(display:Off,pause:!f,section:0,value:0),time:(from:'2017-12-21T22:06:23-0700',mode:absolute,to:'2017-12-22T00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246" t="str">
        <f>IF(AA212&lt;VLOOKUP(AG212,Variables!$AC$3:$AD$8,2,FALSE),"Y","N")</f>
        <v>N</v>
      </c>
      <c r="X212" s="246">
        <f t="shared" si="200"/>
        <v>2</v>
      </c>
      <c r="Y212" s="246">
        <f t="shared" si="198"/>
        <v>4.5499999999999999E-2</v>
      </c>
      <c r="Z212" s="246">
        <f t="shared" si="199"/>
        <v>5.8930999999999996</v>
      </c>
      <c r="AA212" s="246">
        <f t="shared" si="189"/>
        <v>5.8475999999999999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190"/>
        <v>849</v>
      </c>
      <c r="AE212" s="234" t="str">
        <f t="shared" si="184"/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AF212" s="233" t="str">
        <f t="shared" si="185"/>
        <v>"C:\Program Files (x86)\AstroGrep\AstroGrep.exe" /e /r /s /spath="%USERPROFILE%\AppData\Local\Temp\OnboardLogs" /stypes="app*4006*201712220*" /stext=" 06:.+?(?&gt;(PRM\|1\|D)|(KPR)|(KDP)|(train st[a-z]+ moving)|(SYSTEM_STATE:s[a-z]+ state changed)|(Enforcement Action)|(\[TIMEOUT)|(parse_ebi_status: Penalty)|(\|GPPS))"</v>
      </c>
      <c r="AG212" s="243" t="str">
        <f t="shared" si="191"/>
        <v>NW</v>
      </c>
      <c r="AH212" s="235" t="str">
        <f t="shared" si="136"/>
        <v>"%USERPROFILE%\Documents\GitHub\eaglep3\Utilities\RefineRTDCRunTimes.py" --tripid 849-21 --locoid 4006 --swversion DE.1.0.9.0 --startMP 204:455 --initTime 2017-12-21T23:06:23 --startdatetime 2017-12-21T23:09:23 --delay 47 --endMP 300:58931 --enddatetime 2017-12-21T23:23:49 --enforcementcount 0 &gt;&gt;%USERPROFILE%\Documents\GitHub\eaglep3-reporting\EC\2017-12-21-refined-times.txt</v>
      </c>
      <c r="AI212" s="237" t="str">
        <f t="shared" si="137"/>
        <v>echo {"issue":{"subject":"","project_id":79,"tracker_id":40,"status_id":1,"priority_id":2,"assigned_to_id":338,"start_date":"2017-12-21","description":"","custom_fields":[{"id":1,"name":"Subdivision","value":"NW"},{"id":4,"name":"Milepost","value":"5.8931"},{"id":17,"name":"Train ID","value":"849-21"},{"id":16,"name":"Locomotive ID","value":"4006"},{"id":130,"name":"Impact","value":""},{"id":150,"name":"Time of Event (Mountain Time)","value":"23:23:49"},{"id":151,"name":"Denver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138"/>
        <v>start /low /b %USERPROFILE%\Documents\GitHub\eaglep3\Utilities\DownloadLogsFromS3.py --loco 4006 --day 2017-12-21</v>
      </c>
      <c r="AN212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40"/>
        <v>https://d0f6bd738d7f1b3e5a7ca70fe4ff75f0.us-east-1.aws.found.io/app/kibana#/discover/Steve-Slow-Train-Analysis-(2080s-and-2083s)?_g=(refreshInterval:(display:Off,pause:!f,section:0,value:0),time:(from:'2017-12-21T22:06:23-0700',mode:absolute,to:'2017-12-22T00:23:49-0700'))&amp;_a=(columns:!('Message%20ID',Summary),filters:!(),index:'emp_*',interval:auto,query:(query_string:(analyze_wildcard:!t,query:'%22rtdc.l.rtdc.4006%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852</v>
      </c>
      <c r="B213" s="224">
        <v>4060</v>
      </c>
      <c r="C213" s="226" t="s">
        <v>192</v>
      </c>
      <c r="D213" s="226" t="s">
        <v>622</v>
      </c>
      <c r="E213" s="225">
        <v>43090.776863425926</v>
      </c>
      <c r="F213" s="225">
        <v>43090.778333333335</v>
      </c>
      <c r="G213" s="224">
        <v>66</v>
      </c>
      <c r="H213" s="226" t="s">
        <v>638</v>
      </c>
      <c r="I213" s="225">
        <v>43090.78429398148</v>
      </c>
      <c r="J213" s="224">
        <v>0</v>
      </c>
      <c r="K213" s="236" t="str">
        <f t="shared" si="186"/>
        <v>4059/4060</v>
      </c>
      <c r="L213" s="244" t="str">
        <f>VLOOKUP(A213,'Trips&amp;Operators'!$C$1:$G$99911,5,FALSE)</f>
        <v>LEVIN SCOTT</v>
      </c>
      <c r="M213" s="223">
        <f t="shared" si="187"/>
        <v>5.9606481445371173E-3</v>
      </c>
      <c r="N213" s="224">
        <f t="shared" si="182"/>
        <v>8.583333328133449</v>
      </c>
      <c r="O213" s="224"/>
      <c r="P213" s="224"/>
      <c r="Q213" s="227"/>
      <c r="R213" s="241"/>
      <c r="S213" s="248">
        <f t="shared" si="172"/>
        <v>1</v>
      </c>
      <c r="T213" s="241" t="str">
        <f t="shared" si="188"/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183"/>
        <v>https://d0f6bd738d7f1b3e5a7ca70fe4ff75f0.us-east-1.aws.found.io/app/kibana#/discover/Steve-Slow-Train-Analysis-(2080s-and-2083s)?_g=(refreshInterval:(display:Off,pause:!f,section:0,value:0),time:(from:'2017-12-21T17:38:41-0700',mode:absolute,to:'2017-12-21T19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3" s="246" t="str">
        <f>IF(AA213&lt;VLOOKUP(AG213,Variables!$AC$3:$AD$8,2,FALSE),"Y","N")</f>
        <v>Y</v>
      </c>
      <c r="X213" s="246">
        <f t="shared" si="200"/>
        <v>-548</v>
      </c>
      <c r="Y213" s="246">
        <f t="shared" si="198"/>
        <v>4.6600000000000003E-2</v>
      </c>
      <c r="Z213" s="246">
        <f t="shared" si="199"/>
        <v>2.3346</v>
      </c>
      <c r="AA213" s="246">
        <f t="shared" si="189"/>
        <v>2.2879999999999998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190"/>
        <v>301</v>
      </c>
      <c r="AE213" s="234" t="str">
        <f t="shared" si="184"/>
        <v>aws s3 cp s3://rtdc.mdm.uploadarchive.raw/RTDC4060/ "%USERPROFILE%\AppData\Local\Temp\OnboardLogs"\RTDC4060\2017-12-21 --exclude "*" --recursive --include "*20171221*" &amp; "%USERPROFILE%\Documents\GitHub\mrs-test-scripts\Headless Mode &amp; Sideloading\WalkAndUnGZ.bat" "%USERPROFILE%\AppData\Local\Temp\OnboardLogs"\RTDC4060\2017-12-21 &amp; aws s3 cp s3://rtdc.mdm.uploadarchive.raw/RTDC4060/ "%USERPROFILE%\AppData\Local\Temp\OnboardLogs"\RTDC4060\2017-12-22 --exclude "*" --recursive --include "*20171222*" &amp; "%USERPROFILE%\Documents\GitHub\mrs-test-scripts\Headless Mode &amp; Sideloading\WalkAndUnGZ.bat" "%USERPROFILE%\AppData\Local\Temp\OnboardLogs"\RTDC4060\2017-12-22</v>
      </c>
      <c r="AF213" s="233" t="str">
        <f t="shared" si="185"/>
        <v>"C:\Program Files (x86)\AstroGrep\AstroGrep.exe" /e /r /s /spath="%USERPROFILE%\AppData\Local\Temp\OnboardLogs" /stypes="app*4060*201712220*" /stext=" 01:.+?(?&gt;(PRM\|1\|D)|(KPR)|(KDP)|(train st[a-z]+ moving)|(SYSTEM_STATE:s[a-z]+ state changed)|(Enforcement Action)|(\[TIMEOUT)|(parse_ebi_status: Penalty)|(\|GPPS))"</v>
      </c>
      <c r="AG213" s="243" t="str">
        <f t="shared" si="191"/>
        <v>Other</v>
      </c>
      <c r="AH213" s="235" t="str">
        <f t="shared" si="136"/>
        <v>"%USERPROFILE%\Documents\GitHub\eaglep3\Utilities\RefineRTDCRunTimes.py" --tripid 301-21 --locoid 4060 --swversion DE.1.0.9.0 --startMP 204:466 --initTime 2017-12-21T18:38:41 --startdatetime 2017-12-21T18:40:48 --delay 66 --endMP 300:23346 --enddatetime 2017-12-21T18:49:23 --enforcementcount 0 &gt;&gt;%USERPROFILE%\Documents\GitHub\eaglep3-reporting\EC\2017-12-21-refined-times.txt</v>
      </c>
      <c r="AI213" s="237" t="str">
        <f t="shared" si="137"/>
        <v>echo {"issue":{"subject":"","project_id":79,"tracker_id":40,"status_id":1,"priority_id":2,"assigned_to_id":338,"start_date":"2017-12-21","description":"","custom_fields":[{"id":1,"name":"Subdivision","value":"Other"},{"id":4,"name":"Milepost","value":"2.3346"},{"id":17,"name":"Train ID","value":"301-21"},{"id":16,"name":"Locomotive ID","value":"4060"},{"id":130,"name":"Impact","value":""},{"id":150,"name":"Time of Event (Mountain Time)","value":"18:49:23"},{"id":151,"name":"Denver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138"/>
        <v>start /low /b %USERPROFILE%\Documents\GitHub\eaglep3\Utilities\DownloadLogsFromS3.py --loco 4060 --day 2017-12-21</v>
      </c>
      <c r="AN213" s="240" t="str">
        <f t="shared" si="139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01:49:23"},{"id":29,"name":"Sharepoint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40"/>
        <v>https://d0f6bd738d7f1b3e5a7ca70fe4ff75f0.us-east-1.aws.found.io/app/kibana#/discover/Steve-Slow-Train-Analysis-(2080s-and-2083s)?_g=(refreshInterval:(display:Off,pause:!f,section:0,value:0),time:(from:'2017-12-21T17:38:41-0700',mode:absolute,to:'2017-12-21T19:49:23-0700'))&amp;_a=(columns:!('Message%20ID',Summary),filters:!(),index:'emp_*',interval:auto,query:(query_string:(analyze_wildcard:!t,query:'%22rtdc.l.rtdc.4060%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693</v>
      </c>
      <c r="B214" s="224">
        <v>4063</v>
      </c>
      <c r="C214" s="226" t="s">
        <v>192</v>
      </c>
      <c r="D214" s="226" t="s">
        <v>1005</v>
      </c>
      <c r="E214" s="225">
        <v>43090.140138888892</v>
      </c>
      <c r="F214" s="225">
        <v>43090.14502314815</v>
      </c>
      <c r="G214" s="224">
        <v>60</v>
      </c>
      <c r="H214" s="226" t="s">
        <v>1006</v>
      </c>
      <c r="I214" s="225">
        <v>43090.149780092594</v>
      </c>
      <c r="J214" s="224">
        <v>0</v>
      </c>
      <c r="K214" s="236" t="str">
        <f t="shared" si="186"/>
        <v>4063/4064</v>
      </c>
      <c r="L214" s="244" t="str">
        <f>VLOOKUP(A214,'Trips&amp;Operators'!$C$1:$G$99911,5,FALSE)</f>
        <v>MAELZER KURT</v>
      </c>
      <c r="M214" s="223">
        <f t="shared" si="187"/>
        <v>4.756944443215616E-3</v>
      </c>
      <c r="N214" s="224">
        <f t="shared" si="182"/>
        <v>6.8499999982304871</v>
      </c>
      <c r="O214" s="224"/>
      <c r="P214" s="224"/>
      <c r="Q214" s="227"/>
      <c r="R214" s="241"/>
      <c r="S214" s="248">
        <f t="shared" si="172"/>
        <v>1</v>
      </c>
      <c r="T214" s="241" t="str">
        <f t="shared" si="188"/>
        <v>Southbound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183"/>
        <v>https://d0f6bd738d7f1b3e5a7ca70fe4ff75f0.us-east-1.aws.found.io/app/kibana#/discover/Steve-Slow-Train-Analysis-(2080s-and-2083s)?_g=(refreshInterval:(display:Off,pause:!f,section:0,value:0),time:(from:'2017-12-21T02:21:48-0700',mode:absolute,to:'2017-12-21T04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4" s="246" t="str">
        <f>IF(AA214&lt;VLOOKUP(AG214,Variables!$AC$3:$AD$8,2,FALSE),"Y","N")</f>
        <v>Y</v>
      </c>
      <c r="X214" s="246">
        <f t="shared" si="200"/>
        <v>1</v>
      </c>
      <c r="Y214" s="246">
        <f t="shared" si="198"/>
        <v>1.9799</v>
      </c>
      <c r="Z214" s="246">
        <f t="shared" si="199"/>
        <v>1.6500000000000001E-2</v>
      </c>
      <c r="AA214" s="246">
        <f t="shared" si="189"/>
        <v>1.9634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190"/>
        <v>302</v>
      </c>
      <c r="AE214" s="234" t="str">
        <f t="shared" si="184"/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AF214" s="233" t="str">
        <f t="shared" si="185"/>
        <v>"C:\Program Files (x86)\AstroGrep\AstroGrep.exe" /e /r /s /spath="%USERPROFILE%\AppData\Local\Temp\OnboardLogs" /stypes="app*4063*201712211*" /stext=" 10:.+?(?&gt;(PRM\|1\|D)|(KPR)|(KDP)|(train st[a-z]+ moving)|(SYSTEM_STATE:s[a-z]+ state changed)|(Enforcement Action)|(\[TIMEOUT)|(parse_ebi_status: Penalty)|(\|GPPS))"</v>
      </c>
      <c r="AG214" s="243" t="str">
        <f t="shared" si="191"/>
        <v>Other</v>
      </c>
      <c r="AH214" s="235" t="str">
        <f t="shared" si="136"/>
        <v>"%USERPROFILE%\Documents\GitHub\eaglep3\Utilities\RefineRTDCRunTimes.py" --tripid 302-21 --locoid 4063 --swversion DE.1.0.9.0 --startMP 300:19799 --initTime 2017-12-21T03:21:48 --startdatetime 2017-12-21T03:28:50 --delay 60 --endMP 204:165 --enddatetime 2017-12-21T03:35:41 --enforcementcount 0 &gt;&gt;%USERPROFILE%\Documents\GitHub\eaglep3-reporting\EC\2017-12-21-refined-times.txt</v>
      </c>
      <c r="AI214" s="237" t="str">
        <f t="shared" si="137"/>
        <v>echo {"issue":{"subject":"","project_id":79,"tracker_id":40,"status_id":1,"priority_id":2,"assigned_to_id":338,"start_date":"2017-12-21","description":"","custom_fields":[{"id":1,"name":"Subdivision","value":"Other"},{"id":4,"name":"Milepost","value":"0.0165"},{"id":17,"name":"Train ID","value":"302-21"},{"id":16,"name":"Locomotive ID","value":"4063"},{"id":130,"name":"Impact","value":""},{"id":150,"name":"Time of Event (Mountain Time)","value":"03:35:41"},{"id":151,"name":"Denver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138"/>
        <v>start /low /b %USERPROFILE%\Documents\GitHub\eaglep3\Utilities\DownloadLogsFromS3.py --loco 4063 --day 2017-12-21</v>
      </c>
      <c r="AN214" s="240" t="str">
        <f t="shared" si="139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40"/>
        <v>https://d0f6bd738d7f1b3e5a7ca70fe4ff75f0.us-east-1.aws.found.io/app/kibana#/discover/Steve-Slow-Train-Analysis-(2080s-and-2083s)?_g=(refreshInterval:(display:Off,pause:!f,section:0,value:0),time:(from:'2017-12-21T02:21:48-0700',mode:absolute,to:'2017-12-21T04:35:41-0700'))&amp;_a=(columns:!('Message%20ID',Summary),filters:!(),index:'emp_*',interval:auto,query:(query_string:(analyze_wildcard:!t,query:'%22rtdc.l.rtdc.4063%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2" customFormat="1" x14ac:dyDescent="0.25">
      <c r="A215" s="228" t="s">
        <v>859</v>
      </c>
      <c r="B215" s="224">
        <v>4014</v>
      </c>
      <c r="C215" s="226" t="s">
        <v>192</v>
      </c>
      <c r="D215" s="226" t="s">
        <v>605</v>
      </c>
      <c r="E215" s="225">
        <v>43090.79892361111</v>
      </c>
      <c r="F215" s="225">
        <v>43090.800763888888</v>
      </c>
      <c r="G215" s="224">
        <v>62</v>
      </c>
      <c r="H215" s="226" t="s">
        <v>563</v>
      </c>
      <c r="I215" s="225">
        <v>43090.808877314812</v>
      </c>
      <c r="J215" s="224">
        <v>0</v>
      </c>
      <c r="K215" s="236" t="str">
        <f t="shared" si="186"/>
        <v>4013/4014</v>
      </c>
      <c r="L215" s="244" t="str">
        <f>VLOOKUP(A215,'Trips&amp;Operators'!$C$1:$G$99911,5,FALSE)</f>
        <v>LEVERE CRAIG</v>
      </c>
      <c r="M215" s="223">
        <f t="shared" si="187"/>
        <v>8.1134259235113859E-3</v>
      </c>
      <c r="N215" s="224">
        <f t="shared" si="182"/>
        <v>11.683333329856396</v>
      </c>
      <c r="O215" s="224"/>
      <c r="P215" s="224"/>
      <c r="Q215" s="227"/>
      <c r="R215" s="241"/>
      <c r="S215" s="248">
        <f t="shared" si="172"/>
        <v>1</v>
      </c>
      <c r="T215" s="241" t="str">
        <f t="shared" si="188"/>
        <v>NorthBound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183"/>
        <v>https://d0f6bd738d7f1b3e5a7ca70fe4ff75f0.us-east-1.aws.found.io/app/kibana#/discover/Steve-Slow-Train-Analysis-(2080s-and-2083s)?_g=(refreshInterval:(display:Off,pause:!f,section:0,value:0),time:(from:'2017-12-21T18:10:27-0700',mode:absolute,to:'2017-12-21T20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246" t="str">
        <f>IF(AA215&lt;VLOOKUP(AG215,Variables!$AC$3:$AD$8,2,FALSE),"Y","N")</f>
        <v>Y</v>
      </c>
      <c r="X215" s="246">
        <f t="shared" si="200"/>
        <v>1</v>
      </c>
      <c r="Y215" s="246">
        <f t="shared" si="198"/>
        <v>5.4399999999999997E-2</v>
      </c>
      <c r="Z215" s="246">
        <f t="shared" si="199"/>
        <v>2.3311999999999999</v>
      </c>
      <c r="AA215" s="246">
        <f t="shared" si="189"/>
        <v>2.2768000000000002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190"/>
        <v>303</v>
      </c>
      <c r="AE215" s="234" t="str">
        <f t="shared" si="184"/>
        <v>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 &amp; aws s3 cp s3://rtdc.mdm.uploadarchive.raw/RTDC4014/ "%USERPROFILE%\AppData\Local\Temp\OnboardLogs"\RTDC4014\2017-12-22 --exclude "*" --recursive --include "*20171222*" &amp; "%USERPROFILE%\Documents\GitHub\mrs-test-scripts\Headless Mode &amp; Sideloading\WalkAndUnGZ.bat" "%USERPROFILE%\AppData\Local\Temp\OnboardLogs"\RTDC4014\2017-12-22</v>
      </c>
      <c r="AF215" s="233" t="str">
        <f t="shared" si="185"/>
        <v>"C:\Program Files (x86)\AstroGrep\AstroGrep.exe" /e /r /s /spath="%USERPROFILE%\AppData\Local\Temp\OnboardLogs" /stypes="app*4014*201712220*" /stext=" 02:.+?(?&gt;(PRM\|1\|D)|(KPR)|(KDP)|(train st[a-z]+ moving)|(SYSTEM_STATE:s[a-z]+ state changed)|(Enforcement Action)|(\[TIMEOUT)|(parse_ebi_status: Penalty)|(\|GPPS))"</v>
      </c>
      <c r="AG215" s="243" t="str">
        <f t="shared" si="191"/>
        <v>Other</v>
      </c>
      <c r="AH215" s="235" t="str">
        <f t="shared" ref="AH215:AH239" si="201"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303-21 --locoid 4014 --swversion DE.1.0.9.0 --startMP 204:544 --initTime 2017-12-21T19:10:27 --startdatetime 2017-12-21T19:13:06 --delay 62 --endMP 300:23312 --enddatetime 2017-12-21T19:24:47 --enforcementcount 0 &gt;&gt;%USERPROFILE%\Documents\GitHub\eaglep3-reporting\EC\2017-12-21-refined-times.txt</v>
      </c>
      <c r="AI215" s="237" t="str">
        <f t="shared" ref="AI215:AI239" si="202"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{"issue":{"subject":"","project_id":79,"tracker_id":40,"status_id":1,"priority_id":2,"assigned_to_id":338,"start_date":"2017-12-21","description":"","custom_fields":[{"id":1,"name":"Subdivision","value":"Other"},{"id":4,"name":"Milepost","value":"2.3312"},{"id":17,"name":"Train ID","value":"303-21"},{"id":16,"name":"Locomotive ID","value":"4014"},{"id":130,"name":"Impact","value":""},{"id":150,"name":"Time of Event (Mountain Time)","value":"19:24:47"},{"id":151,"name":"Denver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0"/>
      <c r="AL215" s="230"/>
      <c r="AM215" s="239" t="str">
        <f t="shared" ref="AM215:AM239" si="203">"start /low /b "&amp;dls3logs&amp;" --loco "&amp;B215&amp;" --day "&amp;TEXT(F215,"YYYY-MM-DD")</f>
        <v>start /low /b %USERPROFILE%\Documents\GitHub\eaglep3\Utilities\DownloadLogsFromS3.py --loco 4014 --day 2017-12-21</v>
      </c>
      <c r="AN215" s="240" t="str">
        <f t="shared" ref="AN215:AN239" si="204"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ref="AO215:AO239" si="205"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-21T18:10:27-0700',mode:absolute,to:'2017-12-21T20:24:47-0700'))&amp;_a=(columns:!('Message%20ID',Summary),filters:!(),index:'emp_*',interval:auto,query:(query_string:(analyze_wildcard:!t,query:'%22rtdc.l.rtdc.4014%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2" customFormat="1" x14ac:dyDescent="0.25">
      <c r="A216" s="228" t="s">
        <v>699</v>
      </c>
      <c r="B216" s="224">
        <v>4017</v>
      </c>
      <c r="C216" s="226" t="s">
        <v>192</v>
      </c>
      <c r="D216" s="226" t="s">
        <v>1007</v>
      </c>
      <c r="E216" s="225">
        <v>43090.161666666667</v>
      </c>
      <c r="F216" s="225">
        <v>43090.165347222224</v>
      </c>
      <c r="G216" s="224">
        <v>72</v>
      </c>
      <c r="H216" s="226" t="s">
        <v>463</v>
      </c>
      <c r="I216" s="225">
        <v>43090.170567129629</v>
      </c>
      <c r="J216" s="224">
        <v>0</v>
      </c>
      <c r="K216" s="236" t="str">
        <f t="shared" si="186"/>
        <v>4017/4018</v>
      </c>
      <c r="L216" s="244" t="str">
        <f>VLOOKUP(A216,'Trips&amp;Operators'!$C$1:$G$99911,5,FALSE)</f>
        <v>BONDS REYNALDO</v>
      </c>
      <c r="M216" s="223">
        <f t="shared" si="187"/>
        <v>5.2199074052623473E-3</v>
      </c>
      <c r="N216" s="224">
        <f t="shared" si="182"/>
        <v>7.5166666635777801</v>
      </c>
      <c r="O216" s="224"/>
      <c r="P216" s="224"/>
      <c r="Q216" s="227"/>
      <c r="R216" s="241"/>
      <c r="S216" s="248">
        <f t="shared" si="172"/>
        <v>1</v>
      </c>
      <c r="T216" s="241" t="str">
        <f t="shared" si="188"/>
        <v>Southbound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183"/>
        <v>https://d0f6bd738d7f1b3e5a7ca70fe4ff75f0.us-east-1.aws.found.io/app/kibana#/discover/Steve-Slow-Train-Analysis-(2080s-and-2083s)?_g=(refreshInterval:(display:Off,pause:!f,section:0,value:0),time:(from:'2017-12-21T02:52:48-0700',mode:absolute,to:'2017-12-21T05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6" s="246" t="str">
        <f>IF(AA216&lt;VLOOKUP(AG216,Variables!$AC$3:$AD$8,2,FALSE),"Y","N")</f>
        <v>Y</v>
      </c>
      <c r="X216" s="246">
        <f t="shared" si="200"/>
        <v>1</v>
      </c>
      <c r="Y216" s="246">
        <f t="shared" si="198"/>
        <v>2.3481000000000001</v>
      </c>
      <c r="Z216" s="246">
        <f t="shared" si="199"/>
        <v>1.9599999999999999E-2</v>
      </c>
      <c r="AA216" s="246">
        <f t="shared" si="189"/>
        <v>2.3285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190"/>
        <v>304</v>
      </c>
      <c r="AE216" s="234" t="str">
        <f t="shared" si="184"/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AF216" s="233" t="str">
        <f t="shared" si="185"/>
        <v>"C:\Program Files (x86)\AstroGrep\AstroGrep.exe" /e /r /s /spath="%USERPROFILE%\AppData\Local\Temp\OnboardLogs" /stypes="app*4017*201712211*" /stext=" 11:.+?(?&gt;(PRM\|1\|D)|(KPR)|(KDP)|(train st[a-z]+ moving)|(SYSTEM_STATE:s[a-z]+ state changed)|(Enforcement Action)|(\[TIMEOUT)|(parse_ebi_status: Penalty)|(\|GPPS))"</v>
      </c>
      <c r="AG216" s="243" t="str">
        <f t="shared" si="191"/>
        <v>Other</v>
      </c>
      <c r="AH216" s="235" t="str">
        <f t="shared" si="201"/>
        <v>"%USERPROFILE%\Documents\GitHub\eaglep3\Utilities\RefineRTDCRunTimes.py" --tripid 304-21 --locoid 4017 --swversion DE.1.0.9.0 --startMP 300:23481 --initTime 2017-12-21T03:52:48 --startdatetime 2017-12-21T03:58:06 --delay 72 --endMP 204:196 --enddatetime 2017-12-21T04:05:37 --enforcementcount 0 &gt;&gt;%USERPROFILE%\Documents\GitHub\eaglep3-reporting\EC\2017-12-21-refined-times.txt</v>
      </c>
      <c r="AI216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{"issue":{"subject":"","project_id":79,"tracker_id":40,"status_id":1,"priority_id":2,"assigned_to_id":338,"start_date":"2017-12-21","description":"","custom_fields":[{"id":1,"name":"Subdivision","value":"Other"},{"id":4,"name":"Milepost","value":"0.0196"},{"id":17,"name":"Train ID","value":"304-21"},{"id":16,"name":"Locomotive ID","value":"4017"},{"id":130,"name":"Impact","value":""},{"id":150,"name":"Time of Event (Mountain Time)","value":"04:05:37"},{"id":151,"name":"Denver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0"/>
      <c r="AL216" s="230"/>
      <c r="AM216" s="239" t="str">
        <f t="shared" si="203"/>
        <v>start /low /b %USERPROFILE%\Documents\GitHub\eaglep3\Utilities\DownloadLogsFromS3.py --loco 4017 --day 2017-12-21</v>
      </c>
      <c r="AN216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205"/>
        <v>https://d0f6bd738d7f1b3e5a7ca70fe4ff75f0.us-east-1.aws.found.io/app/kibana#/discover/Steve-Slow-Train-Analysis-(2080s-and-2083s)?_g=(refreshInterval:(display:Off,pause:!f,section:0,value:0),time:(from:'2017-12-21T02:52:48-0700',mode:absolute,to:'2017-12-21T05:05:37-0700'))&amp;_a=(columns:!('Message%20ID',Summary),filters:!(),index:'emp_*',interval:auto,query:(query_string:(analyze_wildcard:!t,query:'%22rtdc.l.rtdc.4017%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25">
      <c r="A217" s="228" t="s">
        <v>862</v>
      </c>
      <c r="B217" s="224">
        <v>4056</v>
      </c>
      <c r="C217" s="226" t="s">
        <v>192</v>
      </c>
      <c r="D217" s="226" t="s">
        <v>519</v>
      </c>
      <c r="E217" s="225">
        <v>43090.819351851853</v>
      </c>
      <c r="F217" s="225">
        <v>43090.820462962962</v>
      </c>
      <c r="G217" s="224">
        <v>50</v>
      </c>
      <c r="H217" s="226" t="s">
        <v>1008</v>
      </c>
      <c r="I217" s="225">
        <v>43090.826747685183</v>
      </c>
      <c r="J217" s="224">
        <v>0</v>
      </c>
      <c r="K217" s="236" t="str">
        <f t="shared" si="186"/>
        <v>4055/4056</v>
      </c>
      <c r="L217" s="244" t="str">
        <f>VLOOKUP(A217,'Trips&amp;Operators'!$C$1:$G$99911,5,FALSE)</f>
        <v>HOLCOMB KAMDEN</v>
      </c>
      <c r="M217" s="223">
        <f t="shared" si="187"/>
        <v>6.284722221607808E-3</v>
      </c>
      <c r="N217" s="224">
        <f t="shared" si="182"/>
        <v>9.0499999991152436</v>
      </c>
      <c r="O217" s="224"/>
      <c r="P217" s="224"/>
      <c r="Q217" s="227"/>
      <c r="R217" s="241"/>
      <c r="S217" s="248">
        <f t="shared" si="172"/>
        <v>1</v>
      </c>
      <c r="T217" s="241" t="str">
        <f t="shared" si="188"/>
        <v>NorthBound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183"/>
        <v>https://d0f6bd738d7f1b3e5a7ca70fe4ff75f0.us-east-1.aws.found.io/app/kibana#/discover/Steve-Slow-Train-Analysis-(2080s-and-2083s)?_g=(refreshInterval:(display:Off,pause:!f,section:0,value:0),time:(from:'2017-12-21T18:39:52-0700',mode:absolute,to:'2017-12-21T20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7" s="246" t="str">
        <f>IF(AA217&lt;VLOOKUP(AG217,Variables!$AC$3:$AD$8,2,FALSE),"Y","N")</f>
        <v>Y</v>
      </c>
      <c r="X217" s="246">
        <f t="shared" si="200"/>
        <v>1</v>
      </c>
      <c r="Y217" s="246">
        <f t="shared" si="198"/>
        <v>4.3700000000000003E-2</v>
      </c>
      <c r="Z217" s="246">
        <f t="shared" si="199"/>
        <v>2.331</v>
      </c>
      <c r="AA217" s="246">
        <f t="shared" si="189"/>
        <v>2.2873000000000001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190"/>
        <v>305</v>
      </c>
      <c r="AE217" s="234" t="str">
        <f t="shared" si="184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217" s="233" t="str">
        <f t="shared" si="185"/>
        <v>"C:\Program Files (x86)\AstroGrep\AstroGrep.exe" /e /r /s /spath="%USERPROFILE%\AppData\Local\Temp\OnboardLogs" /stypes="app*4056*201712220*" /stext=" 02:.+?(?&gt;(PRM\|1\|D)|(KPR)|(KDP)|(train st[a-z]+ moving)|(SYSTEM_STATE:s[a-z]+ state changed)|(Enforcement Action)|(\[TIMEOUT)|(parse_ebi_status: Penalty)|(\|GPPS))"</v>
      </c>
      <c r="AG217" s="243" t="str">
        <f t="shared" si="191"/>
        <v>Other</v>
      </c>
      <c r="AH217" s="235" t="str">
        <f t="shared" si="201"/>
        <v>"%USERPROFILE%\Documents\GitHub\eaglep3\Utilities\RefineRTDCRunTimes.py" --tripid 305-21 --locoid 4056 --swversion DE.1.0.9.0 --startMP 204:437 --initTime 2017-12-21T19:39:52 --startdatetime 2017-12-21T19:41:28 --delay 50 --endMP 300:23310 --enddatetime 2017-12-21T19:50:31 --enforcementcount 0 &gt;&gt;%USERPROFILE%\Documents\GitHub\eaglep3-reporting\EC\2017-12-21-refined-times.txt</v>
      </c>
      <c r="AI217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{"issue":{"subject":"","project_id":79,"tracker_id":40,"status_id":1,"priority_id":2,"assigned_to_id":338,"start_date":"2017-12-21","description":"","custom_fields":[{"id":1,"name":"Subdivision","value":"Other"},{"id":4,"name":"Milepost","value":"2.331"},{"id":17,"name":"Train ID","value":"305-21"},{"id":16,"name":"Locomotive ID","value":"4056"},{"id":130,"name":"Impact","value":""},{"id":150,"name":"Time of Event (Mountain Time)","value":"19:50:31"},{"id":151,"name":"Denver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203"/>
        <v>start /low /b %USERPROFILE%\Documents\GitHub\eaglep3\Utilities\DownloadLogsFromS3.py --loco 4056 --day 2017-12-21</v>
      </c>
      <c r="AN217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205"/>
        <v>https://d0f6bd738d7f1b3e5a7ca70fe4ff75f0.us-east-1.aws.found.io/app/kibana#/discover/Steve-Slow-Train-Analysis-(2080s-and-2083s)?_g=(refreshInterval:(display:Off,pause:!f,section:0,value:0),time:(from:'2017-12-21T18:39:52-0700',mode:absolute,to:'2017-12-21T20:50:31-0700'))&amp;_a=(columns:!('Message%20ID',Summary),filters:!(),index:'emp_*',interval:auto,query:(query_string:(analyze_wildcard:!t,query:'%22rtdc.l.rtdc.4056%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25">
      <c r="A218" s="228" t="s">
        <v>653</v>
      </c>
      <c r="B218" s="224">
        <v>4053</v>
      </c>
      <c r="C218" s="226" t="s">
        <v>192</v>
      </c>
      <c r="D218" s="226" t="s">
        <v>1009</v>
      </c>
      <c r="E218" s="225">
        <v>43090.169629629629</v>
      </c>
      <c r="F218" s="225">
        <v>43090.175092592595</v>
      </c>
      <c r="G218" s="224">
        <v>64</v>
      </c>
      <c r="H218" s="226" t="s">
        <v>489</v>
      </c>
      <c r="I218" s="225">
        <v>43090.175266203703</v>
      </c>
      <c r="J218" s="224">
        <v>0</v>
      </c>
      <c r="K218" s="236" t="str">
        <f t="shared" si="186"/>
        <v>4053/4054</v>
      </c>
      <c r="L218" s="244" t="str">
        <f>VLOOKUP(A218,'Trips&amp;Operators'!$C$1:$G$99911,5,FALSE)</f>
        <v>GEBRETEKLE DAGNEW</v>
      </c>
      <c r="M218" s="223">
        <f t="shared" si="187"/>
        <v>1.7361110803904012E-4</v>
      </c>
      <c r="N218" s="224">
        <f t="shared" si="182"/>
        <v>0.24999999557621777</v>
      </c>
      <c r="O218" s="224"/>
      <c r="P218" s="224"/>
      <c r="Q218" s="227"/>
      <c r="R218" s="241"/>
      <c r="S218" s="248">
        <f t="shared" ref="S218:S239" si="206">1/IF(AG218="EC",12,1)*SUM(U218:U218)</f>
        <v>1</v>
      </c>
      <c r="T218" s="241" t="str">
        <f t="shared" si="188"/>
        <v>Southbound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183"/>
        <v>https://d0f6bd738d7f1b3e5a7ca70fe4ff75f0.us-east-1.aws.found.io/app/kibana#/discover/Steve-Slow-Train-Analysis-(2080s-and-2083s)?_g=(refreshInterval:(display:Off,pause:!f,section:0,value:0),time:(from:'2017-12-21T03:04:16-0700',mode:absolute,to:'2017-12-21T05:12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246" t="str">
        <f>IF(AA218&lt;VLOOKUP(AG218,Variables!$AC$3:$AD$8,2,FALSE),"Y","N")</f>
        <v>Y</v>
      </c>
      <c r="X218" s="246">
        <f t="shared" si="200"/>
        <v>1</v>
      </c>
      <c r="Y218" s="246">
        <f t="shared" si="198"/>
        <v>2.3391000000000002</v>
      </c>
      <c r="Z218" s="246">
        <f t="shared" si="199"/>
        <v>1.5800000000000002E-2</v>
      </c>
      <c r="AA218" s="246">
        <f t="shared" si="189"/>
        <v>2.3233000000000001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190"/>
        <v>306</v>
      </c>
      <c r="AE218" s="234" t="str">
        <f t="shared" si="184"/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AF218" s="233" t="str">
        <f t="shared" si="185"/>
        <v>"C:\Program Files (x86)\AstroGrep\AstroGrep.exe" /e /r /s /spath="%USERPROFILE%\AppData\Local\Temp\OnboardLogs" /stypes="app*4053*201712211*" /stext=" 11:.+?(?&gt;(PRM\|1\|D)|(KPR)|(KDP)|(train st[a-z]+ moving)|(SYSTEM_STATE:s[a-z]+ state changed)|(Enforcement Action)|(\[TIMEOUT)|(parse_ebi_status: Penalty)|(\|GPPS))"</v>
      </c>
      <c r="AG218" s="243" t="str">
        <f t="shared" si="191"/>
        <v>Other</v>
      </c>
      <c r="AH218" s="235" t="str">
        <f t="shared" si="201"/>
        <v>"%USERPROFILE%\Documents\GitHub\eaglep3\Utilities\RefineRTDCRunTimes.py" --tripid 306-21 --locoid 4053 --swversion DE.1.0.9.0 --startMP 300:23391 --initTime 2017-12-21T04:04:16 --startdatetime 2017-12-21T04:12:08 --delay 64 --endMP 204:158 --enddatetime 2017-12-21T04:12:23 --enforcementcount 0 &gt;&gt;%USERPROFILE%\Documents\GitHub\eaglep3-reporting\EC\2017-12-21-refined-times.txt</v>
      </c>
      <c r="AI218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{"issue":{"subject":"","project_id":79,"tracker_id":40,"status_id":1,"priority_id":2,"assigned_to_id":338,"start_date":"2017-12-21","description":"","custom_fields":[{"id":1,"name":"Subdivision","value":"Other"},{"id":4,"name":"Milepost","value":"0.0158"},{"id":17,"name":"Train ID","value":"306-21"},{"id":16,"name":"Locomotive ID","value":"4053"},{"id":130,"name":"Impact","value":""},{"id":150,"name":"Time of Event (Mountain Time)","value":"04:12:23"},{"id":151,"name":"Denver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203"/>
        <v>start /low /b %USERPROFILE%\Documents\GitHub\eaglep3\Utilities\DownloadLogsFromS3.py --loco 4053 --day 2017-12-21</v>
      </c>
      <c r="AN218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11:12:23"},{"id":29,"name":"Sharepoint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205"/>
        <v>https://d0f6bd738d7f1b3e5a7ca70fe4ff75f0.us-east-1.aws.found.io/app/kibana#/discover/Steve-Slow-Train-Analysis-(2080s-and-2083s)?_g=(refreshInterval:(display:Off,pause:!f,section:0,value:0),time:(from:'2017-12-21T03:04:16-0700',mode:absolute,to:'2017-12-21T05:12:23-0700'))&amp;_a=(columns:!('Message%20ID',Summary),filters:!(),index:'emp_*',interval:auto,query:(query_string:(analyze_wildcard:!t,query:'%22rtdc.l.rtdc.4053%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889</v>
      </c>
      <c r="B219" s="224">
        <v>4064</v>
      </c>
      <c r="C219" s="226" t="s">
        <v>192</v>
      </c>
      <c r="D219" s="226" t="s">
        <v>1010</v>
      </c>
      <c r="E219" s="225">
        <v>43091.047094907408</v>
      </c>
      <c r="F219" s="225">
        <v>43091.048888888887</v>
      </c>
      <c r="G219" s="224">
        <v>47</v>
      </c>
      <c r="H219" s="226" t="s">
        <v>637</v>
      </c>
      <c r="I219" s="225">
        <v>43091.084733796299</v>
      </c>
      <c r="J219" s="224">
        <v>0</v>
      </c>
      <c r="K219" s="236" t="str">
        <f t="shared" si="186"/>
        <v>4063/4064</v>
      </c>
      <c r="L219" s="244" t="str">
        <f>VLOOKUP(A219,'Trips&amp;Operators'!$C$1:$G$99911,5,FALSE)</f>
        <v>WEST BRYAN</v>
      </c>
      <c r="M219" s="223">
        <f t="shared" si="187"/>
        <v>3.5844907411956228E-2</v>
      </c>
      <c r="N219" s="224">
        <f t="shared" si="182"/>
        <v>51.616666673216969</v>
      </c>
      <c r="O219" s="224"/>
      <c r="P219" s="224"/>
      <c r="Q219" s="227"/>
      <c r="R219" s="241"/>
      <c r="S219" s="248">
        <f t="shared" si="206"/>
        <v>1</v>
      </c>
      <c r="T219" s="241" t="str">
        <f t="shared" si="188"/>
        <v>NorthBound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183"/>
        <v>https://d0f6bd738d7f1b3e5a7ca70fe4ff75f0.us-east-1.aws.found.io/app/kibana#/discover/Steve-Slow-Train-Analysis-(2080s-and-2083s)?_g=(refreshInterval:(display:Off,pause:!f,section:0,value:0),time:(from:'2017-12-22T00:07:49-0700',mode:absolute,to:'2017-12-22T03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46" t="str">
        <f>IF(AA219&lt;VLOOKUP(AG219,Variables!$AC$3:$AD$8,2,FALSE),"Y","N")</f>
        <v>Y</v>
      </c>
      <c r="X219" s="246">
        <f t="shared" si="200"/>
        <v>1</v>
      </c>
      <c r="Y219" s="246">
        <f t="shared" si="198"/>
        <v>5.4899999999999997E-2</v>
      </c>
      <c r="Z219" s="246">
        <f t="shared" si="199"/>
        <v>2.3306</v>
      </c>
      <c r="AA219" s="246">
        <f t="shared" si="189"/>
        <v>2.2757000000000001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190"/>
        <v>307</v>
      </c>
      <c r="AE219" s="234" t="str">
        <f t="shared" si="184"/>
        <v>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 &amp; aws s3 cp s3://rtdc.mdm.uploadarchive.raw/RTDC4064/ "%USERPROFILE%\AppData\Local\Temp\OnboardLogs"\RTDC4064\2017-12-23 --exclude "*" --recursive --include "*20171223*" &amp; "%USERPROFILE%\Documents\GitHub\mrs-test-scripts\Headless Mode &amp; Sideloading\WalkAndUnGZ.bat" "%USERPROFILE%\AppData\Local\Temp\OnboardLogs"\RTDC4064\2017-12-23</v>
      </c>
      <c r="AF219" s="233" t="str">
        <f t="shared" si="185"/>
        <v>"C:\Program Files (x86)\AstroGrep\AstroGrep.exe" /e /r /s /spath="%USERPROFILE%\AppData\Local\Temp\OnboardLogs" /stypes="app*4064*201712220*" /stext=" 09:.+?(?&gt;(PRM\|1\|D)|(KPR)|(KDP)|(train st[a-z]+ moving)|(SYSTEM_STATE:s[a-z]+ state changed)|(Enforcement Action)|(\[TIMEOUT)|(parse_ebi_status: Penalty)|(\|GPPS))"</v>
      </c>
      <c r="AG219" s="243" t="str">
        <f t="shared" si="191"/>
        <v>Other</v>
      </c>
      <c r="AH219" s="235" t="str">
        <f t="shared" si="201"/>
        <v>"%USERPROFILE%\Documents\GitHub\eaglep3\Utilities\RefineRTDCRunTimes.py" --tripid 307-21 --locoid 4064 --swversion DE.1.0.9.0 --startMP 204:549 --initTime 2017-12-22T01:07:49 --startdatetime 2017-12-22T01:10:24 --delay 47 --endMP 300:23306 --enddatetime 2017-12-22T02:02:01 --enforcementcount 0 &gt;&gt;%USERPROFILE%\Documents\GitHub\eaglep3-reporting\EC\2017-12-21-refined-times.txt</v>
      </c>
      <c r="AI219" s="237" t="str">
        <f t="shared" si="202"/>
        <v>echo {"issue":{"subject":"","project_id":79,"tracker_id":40,"status_id":1,"priority_id":2,"assigned_to_id":338,"start_date":"2017-12-22","description":"","custom_fields":[{"id":1,"name":"Subdivision","value":"Other"},{"id":4,"name":"Milepost","value":"2.3306"},{"id":17,"name":"Train ID","value":"307-21"},{"id":16,"name":"Locomotive ID","value":"4064"},{"id":130,"name":"Impact","value":""},{"id":150,"name":"Time of Event (Mountain Time)","value":"02:02:01"},{"id":151,"name":"Denver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203"/>
        <v>start /low /b %USERPROFILE%\Documents\GitHub\eaglep3\Utilities\DownloadLogsFromS3.py --loco 4064 --day 2017-12-22</v>
      </c>
      <c r="AN219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09:02:01"},{"id":29,"name":"Sharepoint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205"/>
        <v>https://d0f6bd738d7f1b3e5a7ca70fe4ff75f0.us-east-1.aws.found.io/app/kibana#/discover/Steve-Slow-Train-Analysis-(2080s-and-2083s)?_g=(refreshInterval:(display:Off,pause:!f,section:0,value:0),time:(from:'2017-12-22T00:07:49-0700',mode:absolute,to:'2017-12-22T03:02:01-0700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 s="228" t="s">
        <v>701</v>
      </c>
      <c r="B220" s="224">
        <v>4059</v>
      </c>
      <c r="C220" s="226" t="s">
        <v>192</v>
      </c>
      <c r="D220" s="226" t="s">
        <v>1011</v>
      </c>
      <c r="E220" s="225">
        <v>43090.17664351852</v>
      </c>
      <c r="F220" s="225">
        <v>43090.185046296298</v>
      </c>
      <c r="G220" s="224">
        <v>145</v>
      </c>
      <c r="H220" s="226" t="s">
        <v>616</v>
      </c>
      <c r="I220" s="225">
        <v>43090.19090277778</v>
      </c>
      <c r="J220" s="224">
        <v>0</v>
      </c>
      <c r="K220" s="236" t="str">
        <f t="shared" si="186"/>
        <v>4059/4060</v>
      </c>
      <c r="L220" s="244" t="str">
        <f>VLOOKUP(A220,'Trips&amp;Operators'!$C$1:$G$99911,5,FALSE)</f>
        <v>WILLIAMS DONTE</v>
      </c>
      <c r="M220" s="223">
        <f t="shared" si="187"/>
        <v>5.8564814826240763E-3</v>
      </c>
      <c r="N220" s="224">
        <f t="shared" si="182"/>
        <v>8.4333333349786699</v>
      </c>
      <c r="O220" s="224"/>
      <c r="P220" s="224"/>
      <c r="Q220" s="227"/>
      <c r="R220" s="241"/>
      <c r="S220" s="248">
        <f t="shared" si="206"/>
        <v>1</v>
      </c>
      <c r="T220" s="241" t="str">
        <f t="shared" si="188"/>
        <v>Southbound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183"/>
        <v>https://d0f6bd738d7f1b3e5a7ca70fe4ff75f0.us-east-1.aws.found.io/app/kibana#/discover/Steve-Slow-Train-Analysis-(2080s-and-2083s)?_g=(refreshInterval:(display:Off,pause:!f,section:0,value:0),time:(from:'2017-12-21T03:14:22-0700',mode:absolute,to:'2017-12-21T05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246" t="str">
        <f>IF(AA220&lt;VLOOKUP(AG220,Variables!$AC$3:$AD$8,2,FALSE),"Y","N")</f>
        <v>Y</v>
      </c>
      <c r="X220" s="246">
        <f t="shared" si="200"/>
        <v>1</v>
      </c>
      <c r="Y220" s="246">
        <f t="shared" si="198"/>
        <v>2.3374000000000001</v>
      </c>
      <c r="Z220" s="246">
        <f t="shared" si="199"/>
        <v>2.0500000000000001E-2</v>
      </c>
      <c r="AA220" s="246">
        <f t="shared" si="189"/>
        <v>2.3169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190"/>
        <v>308</v>
      </c>
      <c r="AE220" s="234" t="str">
        <f t="shared" si="184"/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AF220" s="233" t="str">
        <f t="shared" si="185"/>
        <v>"C:\Program Files (x86)\AstroGrep\AstroGrep.exe" /e /r /s /spath="%USERPROFILE%\AppData\Local\Temp\OnboardLogs" /stypes="app*4059*201712211*" /stext=" 11:.+?(?&gt;(PRM\|1\|D)|(KPR)|(KDP)|(train st[a-z]+ moving)|(SYSTEM_STATE:s[a-z]+ state changed)|(Enforcement Action)|(\[TIMEOUT)|(parse_ebi_status: Penalty)|(\|GPPS))"</v>
      </c>
      <c r="AG220" s="243" t="str">
        <f t="shared" si="191"/>
        <v>Other</v>
      </c>
      <c r="AH220" s="235" t="str">
        <f t="shared" si="201"/>
        <v>"%USERPROFILE%\Documents\GitHub\eaglep3\Utilities\RefineRTDCRunTimes.py" --tripid 308-21 --locoid 4059 --swversion DE.1.0.9.0 --startMP 300:23374 --initTime 2017-12-21T04:14:22 --startdatetime 2017-12-21T04:26:28 --delay 145 --endMP 204:205 --enddatetime 2017-12-21T04:34:54 --enforcementcount 0 &gt;&gt;%USERPROFILE%\Documents\GitHub\eaglep3-reporting\EC\2017-12-21-refined-times.txt</v>
      </c>
      <c r="AI220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{"issue":{"subject":"","project_id":79,"tracker_id":40,"status_id":1,"priority_id":2,"assigned_to_id":338,"start_date":"2017-12-21","description":"","custom_fields":[{"id":1,"name":"Subdivision","value":"Other"},{"id":4,"name":"Milepost","value":"0.0205"},{"id":17,"name":"Train ID","value":"308-21"},{"id":16,"name":"Locomotive ID","value":"4059"},{"id":130,"name":"Impact","value":""},{"id":150,"name":"Time of Event (Mountain Time)","value":"04:34:54"},{"id":151,"name":"Denver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0"/>
      <c r="AL220" s="230"/>
      <c r="AM220" s="239" t="str">
        <f t="shared" si="203"/>
        <v>start /low /b %USERPROFILE%\Documents\GitHub\eaglep3\Utilities\DownloadLogsFromS3.py --loco 4059 --day 2017-12-21</v>
      </c>
      <c r="AN220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205"/>
        <v>https://d0f6bd738d7f1b3e5a7ca70fe4ff75f0.us-east-1.aws.found.io/app/kibana#/discover/Steve-Slow-Train-Analysis-(2080s-and-2083s)?_g=(refreshInterval:(display:Off,pause:!f,section:0,value:0),time:(from:'2017-12-21T03:14:22-0700',mode:absolute,to:'2017-12-21T05:34:54-0700'))&amp;_a=(columns:!('Message%20ID',Summary),filters:!(),index:'emp_*',interval:auto,query:(query_string:(analyze_wildcard:!t,query:'%22rtdc.l.rtdc.4059%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2" customFormat="1" x14ac:dyDescent="0.25">
      <c r="A221" s="228" t="s">
        <v>707</v>
      </c>
      <c r="B221" s="224">
        <v>4013</v>
      </c>
      <c r="C221" s="226" t="s">
        <v>192</v>
      </c>
      <c r="D221" s="226" t="s">
        <v>1012</v>
      </c>
      <c r="E221" s="225">
        <v>43090.197511574072</v>
      </c>
      <c r="F221" s="225">
        <v>43090.200104166666</v>
      </c>
      <c r="G221" s="224">
        <v>56</v>
      </c>
      <c r="H221" s="226" t="s">
        <v>517</v>
      </c>
      <c r="I221" s="225">
        <v>43090.205069444448</v>
      </c>
      <c r="J221" s="224">
        <v>0</v>
      </c>
      <c r="K221" s="236" t="str">
        <f t="shared" si="186"/>
        <v>4013/4014</v>
      </c>
      <c r="L221" s="244" t="str">
        <f>VLOOKUP(A221,'Trips&amp;Operators'!$C$1:$G$99911,5,FALSE)</f>
        <v>YANAI IAN</v>
      </c>
      <c r="M221" s="223">
        <f t="shared" si="187"/>
        <v>4.9652777815936133E-3</v>
      </c>
      <c r="N221" s="224">
        <f t="shared" si="182"/>
        <v>7.1500000054948032</v>
      </c>
      <c r="O221" s="224"/>
      <c r="P221" s="224"/>
      <c r="Q221" s="227"/>
      <c r="R221" s="241"/>
      <c r="S221" s="248">
        <f t="shared" si="206"/>
        <v>1</v>
      </c>
      <c r="T221" s="241" t="str">
        <f t="shared" si="188"/>
        <v>Southbound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7" t="str">
        <f t="shared" si="183"/>
        <v>https://d0f6bd738d7f1b3e5a7ca70fe4ff75f0.us-east-1.aws.found.io/app/kibana#/discover/Steve-Slow-Train-Analysis-(2080s-and-2083s)?_g=(refreshInterval:(display:Off,pause:!f,section:0,value:0),time:(from:'2017-12-21T03:44:25-0700',mode:absolute,to:'2017-12-21T05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246" t="str">
        <f>IF(AA221&lt;VLOOKUP(AG221,Variables!$AC$3:$AD$8,2,FALSE),"Y","N")</f>
        <v>Y</v>
      </c>
      <c r="X221" s="246">
        <f t="shared" si="200"/>
        <v>2</v>
      </c>
      <c r="Y221" s="246">
        <f t="shared" si="198"/>
        <v>2.3736999999999999</v>
      </c>
      <c r="Z221" s="246">
        <f t="shared" si="199"/>
        <v>1.52E-2</v>
      </c>
      <c r="AA221" s="246">
        <f t="shared" si="189"/>
        <v>2.3584999999999998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190"/>
        <v>310</v>
      </c>
      <c r="AE221" s="234" t="str">
        <f t="shared" si="184"/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AF221" s="233" t="str">
        <f t="shared" si="185"/>
        <v>"C:\Program Files (x86)\AstroGrep\AstroGrep.exe" /e /r /s /spath="%USERPROFILE%\AppData\Local\Temp\OnboardLogs" /stypes="app*4013*201712211*" /stext=" 11:.+?(?&gt;(PRM\|1\|D)|(KPR)|(KDP)|(train st[a-z]+ moving)|(SYSTEM_STATE:s[a-z]+ state changed)|(Enforcement Action)|(\[TIMEOUT)|(parse_ebi_status: Penalty)|(\|GPPS))"</v>
      </c>
      <c r="AG221" s="243" t="str">
        <f t="shared" si="191"/>
        <v>Other</v>
      </c>
      <c r="AH221" s="235" t="str">
        <f t="shared" si="201"/>
        <v>"%USERPROFILE%\Documents\GitHub\eaglep3\Utilities\RefineRTDCRunTimes.py" --tripid 310-21 --locoid 4013 --swversion DE.1.0.9.0 --startMP 300:23737 --initTime 2017-12-21T04:44:25 --startdatetime 2017-12-21T04:48:09 --delay 56 --endMP 204:152 --enddatetime 2017-12-21T04:55:18 --enforcementcount 0 &gt;&gt;%USERPROFILE%\Documents\GitHub\eaglep3-reporting\EC\2017-12-21-refined-times.txt</v>
      </c>
      <c r="AI221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{"issue":{"subject":"","project_id":79,"tracker_id":40,"status_id":1,"priority_id":2,"assigned_to_id":338,"start_date":"2017-12-21","description":"","custom_fields":[{"id":1,"name":"Subdivision","value":"Other"},{"id":4,"name":"Milepost","value":"0.0152"},{"id":17,"name":"Train ID","value":"310-21"},{"id":16,"name":"Locomotive ID","value":"4013"},{"id":130,"name":"Impact","value":""},{"id":150,"name":"Time of Event (Mountain Time)","value":"04:55:18"},{"id":151,"name":"Denver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0"/>
      <c r="AL221" s="230"/>
      <c r="AM221" s="239" t="str">
        <f t="shared" si="203"/>
        <v>start /low /b %USERPROFILE%\Documents\GitHub\eaglep3\Utilities\DownloadLogsFromS3.py --loco 4013 --day 2017-12-21</v>
      </c>
      <c r="AN221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205"/>
        <v>https://d0f6bd738d7f1b3e5a7ca70fe4ff75f0.us-east-1.aws.found.io/app/kibana#/discover/Steve-Slow-Train-Analysis-(2080s-and-2083s)?_g=(refreshInterval:(display:Off,pause:!f,section:0,value:0),time:(from:'2017-12-21T03:44:25-0700',mode:absolute,to:'2017-12-21T05:55:18-0700'))&amp;_a=(columns:!('Message%20ID',Summary),filters:!(),index:'emp_*',interval:auto,query:(query_string:(analyze_wildcard:!t,query:'%22rtdc.l.rtdc.4013%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8" t="s">
        <v>892</v>
      </c>
      <c r="B222" s="224">
        <v>4054</v>
      </c>
      <c r="C222" s="226" t="s">
        <v>192</v>
      </c>
      <c r="D222" s="226" t="s">
        <v>1000</v>
      </c>
      <c r="E222" s="225">
        <v>43091.090937499997</v>
      </c>
      <c r="F222" s="225">
        <v>43091.093090277776</v>
      </c>
      <c r="G222" s="224">
        <v>65</v>
      </c>
      <c r="H222" s="226" t="s">
        <v>1008</v>
      </c>
      <c r="I222" s="225">
        <v>43091.103877314818</v>
      </c>
      <c r="J222" s="224">
        <v>0</v>
      </c>
      <c r="K222" s="236" t="str">
        <f t="shared" si="186"/>
        <v>4053/4054</v>
      </c>
      <c r="L222" s="244" t="str">
        <f>VLOOKUP(A222,'Trips&amp;Operators'!$C$1:$G$99911,5,FALSE)</f>
        <v>NICHOLSON WESLEY</v>
      </c>
      <c r="M222" s="223">
        <f t="shared" si="187"/>
        <v>1.078703704115469E-2</v>
      </c>
      <c r="N222" s="224">
        <f t="shared" si="182"/>
        <v>15.533333339262754</v>
      </c>
      <c r="O222" s="224"/>
      <c r="P222" s="224"/>
      <c r="Q222" s="227"/>
      <c r="R222" s="241"/>
      <c r="S222" s="248">
        <f t="shared" si="206"/>
        <v>1</v>
      </c>
      <c r="T222" s="241" t="str">
        <f t="shared" si="188"/>
        <v>NorthBound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183"/>
        <v>https://d0f6bd738d7f1b3e5a7ca70fe4ff75f0.us-east-1.aws.found.io/app/kibana#/discover/Steve-Slow-Train-Analysis-(2080s-and-2083s)?_g=(refreshInterval:(display:Off,pause:!f,section:0,value:0),time:(from:'2017-12-22T01:10:57-0700',mode:absolute,to:'2017-12-22T03:29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246" t="str">
        <f>IF(AA222&lt;VLOOKUP(AG222,Variables!$AC$3:$AD$8,2,FALSE),"Y","N")</f>
        <v>Y</v>
      </c>
      <c r="X222" s="246">
        <f t="shared" si="200"/>
        <v>1</v>
      </c>
      <c r="Y222" s="246">
        <f t="shared" si="198"/>
        <v>5.4600000000000003E-2</v>
      </c>
      <c r="Z222" s="246">
        <f t="shared" si="199"/>
        <v>2.331</v>
      </c>
      <c r="AA222" s="246">
        <f t="shared" si="189"/>
        <v>2.2763999999999998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190"/>
        <v>311</v>
      </c>
      <c r="AE222" s="234" t="str">
        <f t="shared" si="184"/>
        <v>aws s3 cp s3://rtdc.mdm.uploadarchive.raw/RTDC4054/ "%USERPROFILE%\AppData\Local\Temp\OnboardLogs"\RTDC4054\2017-12-22 --exclude "*" --recursive --include "*20171222*" &amp; "%USERPROFILE%\Documents\GitHub\mrs-test-scripts\Headless Mode &amp; Sideloading\WalkAndUnGZ.bat" "%USERPROFILE%\AppData\Local\Temp\OnboardLogs"\RTDC4054\2017-12-22 &amp; aws s3 cp s3://rtdc.mdm.uploadarchive.raw/RTDC4054/ "%USERPROFILE%\AppData\Local\Temp\OnboardLogs"\RTDC4054\2017-12-23 --exclude "*" --recursive --include "*20171223*" &amp; "%USERPROFILE%\Documents\GitHub\mrs-test-scripts\Headless Mode &amp; Sideloading\WalkAndUnGZ.bat" "%USERPROFILE%\AppData\Local\Temp\OnboardLogs"\RTDC4054\2017-12-23</v>
      </c>
      <c r="AF222" s="233" t="str">
        <f t="shared" si="185"/>
        <v>"C:\Program Files (x86)\AstroGrep\AstroGrep.exe" /e /r /s /spath="%USERPROFILE%\AppData\Local\Temp\OnboardLogs" /stypes="app*4054*201712220*" /stext=" 09:.+?(?&gt;(PRM\|1\|D)|(KPR)|(KDP)|(train st[a-z]+ moving)|(SYSTEM_STATE:s[a-z]+ state changed)|(Enforcement Action)|(\[TIMEOUT)|(parse_ebi_status: Penalty)|(\|GPPS))"</v>
      </c>
      <c r="AG222" s="243" t="str">
        <f t="shared" si="191"/>
        <v>Other</v>
      </c>
      <c r="AH222" s="235" t="str">
        <f t="shared" si="201"/>
        <v>"%USERPROFILE%\Documents\GitHub\eaglep3\Utilities\RefineRTDCRunTimes.py" --tripid 311-21 --locoid 4054 --swversion DE.1.0.9.0 --startMP 204:546 --initTime 2017-12-22T02:10:57 --startdatetime 2017-12-22T02:14:03 --delay 65 --endMP 300:23310 --enddatetime 2017-12-22T02:29:35 --enforcementcount 0 &gt;&gt;%USERPROFILE%\Documents\GitHub\eaglep3-reporting\EC\2017-12-21-refined-times.txt</v>
      </c>
      <c r="AI222" s="237" t="str">
        <f t="shared" si="202"/>
        <v>echo {"issue":{"subject":"","project_id":79,"tracker_id":40,"status_id":1,"priority_id":2,"assigned_to_id":338,"start_date":"2017-12-22","description":"","custom_fields":[{"id":1,"name":"Subdivision","value":"Other"},{"id":4,"name":"Milepost","value":"2.331"},{"id":17,"name":"Train ID","value":"311-21"},{"id":16,"name":"Locomotive ID","value":"4054"},{"id":130,"name":"Impact","value":""},{"id":150,"name":"Time of Event (Mountain Time)","value":"02:29:35"},{"id":151,"name":"Denver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2"/>
      <c r="AK222" s="230"/>
      <c r="AL222" s="230"/>
      <c r="AM222" s="239" t="str">
        <f t="shared" si="203"/>
        <v>start /low /b %USERPROFILE%\Documents\GitHub\eaglep3\Utilities\DownloadLogsFromS3.py --loco 4054 --day 2017-12-22</v>
      </c>
      <c r="AN222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09:29:35"},{"id":29,"name":"Sharepoint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205"/>
        <v>https://d0f6bd738d7f1b3e5a7ca70fe4ff75f0.us-east-1.aws.found.io/app/kibana#/discover/Steve-Slow-Train-Analysis-(2080s-and-2083s)?_g=(refreshInterval:(display:Off,pause:!f,section:0,value:0),time:(from:'2017-12-22T01:10:57-0700',mode:absolute,to:'2017-12-22T03:29:35-0700'))&amp;_a=(columns:!('Message%20ID',Summary),filters:!(),index:'emp_*',interval:auto,query:(query_string:(analyze_wildcard:!t,query:'%22rtdc.l.rtdc.4054%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8" t="s">
        <v>711</v>
      </c>
      <c r="B223" s="224">
        <v>4027</v>
      </c>
      <c r="C223" s="226" t="s">
        <v>192</v>
      </c>
      <c r="D223" s="226" t="s">
        <v>1013</v>
      </c>
      <c r="E223" s="225">
        <v>43090.22011574074</v>
      </c>
      <c r="F223" s="225">
        <v>43090.223634259259</v>
      </c>
      <c r="G223" s="224">
        <v>125</v>
      </c>
      <c r="H223" s="226" t="s">
        <v>502</v>
      </c>
      <c r="I223" s="225">
        <v>43090.22928240741</v>
      </c>
      <c r="J223" s="224">
        <v>0</v>
      </c>
      <c r="K223" s="236" t="str">
        <f t="shared" si="186"/>
        <v>4027/4028</v>
      </c>
      <c r="L223" s="244" t="str">
        <f>VLOOKUP(A223,'Trips&amp;Operators'!$C$1:$G$99911,5,FALSE)</f>
        <v>DAVIDSON DAVID</v>
      </c>
      <c r="M223" s="223">
        <f t="shared" si="187"/>
        <v>5.6481481515220366E-3</v>
      </c>
      <c r="N223" s="224">
        <f t="shared" si="182"/>
        <v>8.1333333381917328</v>
      </c>
      <c r="O223" s="224"/>
      <c r="P223" s="224"/>
      <c r="Q223" s="227"/>
      <c r="R223" s="241"/>
      <c r="S223" s="248">
        <f t="shared" si="206"/>
        <v>1</v>
      </c>
      <c r="T223" s="241" t="str">
        <f t="shared" si="188"/>
        <v>Southbound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183"/>
        <v>https://d0f6bd738d7f1b3e5a7ca70fe4ff75f0.us-east-1.aws.found.io/app/kibana#/discover/Steve-Slow-Train-Analysis-(2080s-and-2083s)?_g=(refreshInterval:(display:Off,pause:!f,section:0,value:0),time:(from:'2017-12-21T04:16:58-0700',mode:absolute,to:'2017-12-21T06:30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246" t="str">
        <f>IF(AA223&lt;VLOOKUP(AG223,Variables!$AC$3:$AD$8,2,FALSE),"Y","N")</f>
        <v>Y</v>
      </c>
      <c r="X223" s="246">
        <f t="shared" si="200"/>
        <v>1</v>
      </c>
      <c r="Y223" s="246">
        <f t="shared" si="198"/>
        <v>2.3191999999999999</v>
      </c>
      <c r="Z223" s="246">
        <f t="shared" si="199"/>
        <v>0.02</v>
      </c>
      <c r="AA223" s="246">
        <f t="shared" si="189"/>
        <v>2.2991999999999999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190"/>
        <v>312</v>
      </c>
      <c r="AE223" s="234" t="str">
        <f t="shared" si="184"/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AF223" s="233" t="str">
        <f t="shared" si="185"/>
        <v>"C:\Program Files (x86)\AstroGrep\AstroGrep.exe" /e /r /s /spath="%USERPROFILE%\AppData\Local\Temp\OnboardLogs" /stypes="app*4027*201712211*" /stext=" 12:.+?(?&gt;(PRM\|1\|D)|(KPR)|(KDP)|(train st[a-z]+ moving)|(SYSTEM_STATE:s[a-z]+ state changed)|(Enforcement Action)|(\[TIMEOUT)|(parse_ebi_status: Penalty)|(\|GPPS))"</v>
      </c>
      <c r="AG223" s="243" t="str">
        <f t="shared" si="191"/>
        <v>Other</v>
      </c>
      <c r="AH223" s="235" t="str">
        <f t="shared" si="201"/>
        <v>"%USERPROFILE%\Documents\GitHub\eaglep3\Utilities\RefineRTDCRunTimes.py" --tripid 312-21 --locoid 4027 --swversion DE.1.0.9.0 --startMP 300:23192 --initTime 2017-12-21T05:16:58 --startdatetime 2017-12-21T05:22:02 --delay 125 --endMP 204:200 --enddatetime 2017-12-21T05:30:10 --enforcementcount 0 &gt;&gt;%USERPROFILE%\Documents\GitHub\eaglep3-reporting\EC\2017-12-21-refined-times.txt</v>
      </c>
      <c r="AI223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{"issue":{"subject":"","project_id":79,"tracker_id":40,"status_id":1,"priority_id":2,"assigned_to_id":338,"start_date":"2017-12-21","description":"","custom_fields":[{"id":1,"name":"Subdivision","value":"Other"},{"id":4,"name":"Milepost","value":"0.02"},{"id":17,"name":"Train ID","value":"312-21"},{"id":16,"name":"Locomotive ID","value":"4027"},{"id":130,"name":"Impact","value":""},{"id":150,"name":"Time of Event (Mountain Time)","value":"05:30:10"},{"id":151,"name":"Denver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203"/>
        <v>start /low /b %USERPROFILE%\Documents\GitHub\eaglep3\Utilities\DownloadLogsFromS3.py --loco 4027 --day 2017-12-21</v>
      </c>
      <c r="AN223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12:30:10"},{"id":29,"name":"Sharepoint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205"/>
        <v>https://d0f6bd738d7f1b3e5a7ca70fe4ff75f0.us-east-1.aws.found.io/app/kibana#/discover/Steve-Slow-Train-Analysis-(2080s-and-2083s)?_g=(refreshInterval:(display:Off,pause:!f,section:0,value:0),time:(from:'2017-12-21T04:16:58-0700',mode:absolute,to:'2017-12-21T06:30:10-0700'))&amp;_a=(columns:!('Message%20ID',Summary),filters:!(),index:'emp_*',interval:auto,query:(query_string:(analyze_wildcard:!t,query:'%22rtdc.l.rtdc.4027%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2" customFormat="1" x14ac:dyDescent="0.25">
      <c r="A224" s="228" t="s">
        <v>888</v>
      </c>
      <c r="B224" s="224">
        <v>4034</v>
      </c>
      <c r="C224" s="226" t="s">
        <v>192</v>
      </c>
      <c r="D224" s="226" t="s">
        <v>561</v>
      </c>
      <c r="E224" s="225">
        <v>43091.027650462966</v>
      </c>
      <c r="F224" s="225">
        <v>43091.029988425929</v>
      </c>
      <c r="G224" s="224">
        <v>89</v>
      </c>
      <c r="H224" s="226" t="s">
        <v>1014</v>
      </c>
      <c r="I224" s="225">
        <v>43091.038807870369</v>
      </c>
      <c r="J224" s="224">
        <v>0</v>
      </c>
      <c r="K224" s="236" t="str">
        <f t="shared" si="186"/>
        <v>4033/4034</v>
      </c>
      <c r="L224" s="244" t="str">
        <f>VLOOKUP(A224,'Trips&amp;Operators'!$C$1:$G$99911,5,FALSE)</f>
        <v>ANDERS STEVEN</v>
      </c>
      <c r="M224" s="223">
        <f t="shared" si="187"/>
        <v>8.8194444397231564E-3</v>
      </c>
      <c r="N224" s="224">
        <f t="shared" si="182"/>
        <v>12.699999993201345</v>
      </c>
      <c r="O224" s="224"/>
      <c r="P224" s="224"/>
      <c r="Q224" s="227"/>
      <c r="R224" s="241"/>
      <c r="S224" s="248">
        <f t="shared" si="206"/>
        <v>1</v>
      </c>
      <c r="T224" s="241" t="str">
        <f t="shared" si="188"/>
        <v>NorthBound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183"/>
        <v>https://d0f6bd738d7f1b3e5a7ca70fe4ff75f0.us-east-1.aws.found.io/app/kibana#/discover/Steve-Slow-Train-Analysis-(2080s-and-2083s)?_g=(refreshInterval:(display:Off,pause:!f,section:0,value:0),time:(from:'2017-12-21T23:39:49-0700',mode:absolute,to:'2017-12-22T01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4" s="246" t="str">
        <f>IF(AA224&lt;VLOOKUP(AG224,Variables!$AC$3:$AD$8,2,FALSE),"Y","N")</f>
        <v>Y</v>
      </c>
      <c r="X224" s="246">
        <f t="shared" si="200"/>
        <v>1</v>
      </c>
      <c r="Y224" s="246">
        <f t="shared" si="198"/>
        <v>5.2900000000000003E-2</v>
      </c>
      <c r="Z224" s="246">
        <f t="shared" si="199"/>
        <v>2.3302</v>
      </c>
      <c r="AA224" s="246">
        <f t="shared" si="189"/>
        <v>2.2772999999999999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190"/>
        <v>313</v>
      </c>
      <c r="AE224" s="234" t="str">
        <f t="shared" si="184"/>
        <v>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 &amp; 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</v>
      </c>
      <c r="AF224" s="233" t="str">
        <f t="shared" si="185"/>
        <v>"C:\Program Files (x86)\AstroGrep\AstroGrep.exe" /e /r /s /spath="%USERPROFILE%\AppData\Local\Temp\OnboardLogs" /stypes="app*4034*201712220*" /stext=" 07:.+?(?&gt;(PRM\|1\|D)|(KPR)|(KDP)|(train st[a-z]+ moving)|(SYSTEM_STATE:s[a-z]+ state changed)|(Enforcement Action)|(\[TIMEOUT)|(parse_ebi_status: Penalty)|(\|GPPS))"</v>
      </c>
      <c r="AG224" s="243" t="str">
        <f t="shared" si="191"/>
        <v>Other</v>
      </c>
      <c r="AH224" s="235" t="str">
        <f t="shared" si="201"/>
        <v>"%USERPROFILE%\Documents\GitHub\eaglep3\Utilities\RefineRTDCRunTimes.py" --tripid 313-21 --locoid 4034 --swversion DE.1.0.9.0 --startMP 204:529 --initTime 2017-12-22T00:39:49 --startdatetime 2017-12-22T00:43:11 --delay 89 --endMP 300:23302 --enddatetime 2017-12-22T00:55:53 --enforcementcount 0 &gt;&gt;%USERPROFILE%\Documents\GitHub\eaglep3-reporting\EC\2017-12-21-refined-times.txt</v>
      </c>
      <c r="AI224" s="237" t="str">
        <f t="shared" si="202"/>
        <v>echo {"issue":{"subject":"","project_id":79,"tracker_id":40,"status_id":1,"priority_id":2,"assigned_to_id":338,"start_date":"2017-12-22","description":"","custom_fields":[{"id":1,"name":"Subdivision","value":"Other"},{"id":4,"name":"Milepost","value":"2.3302"},{"id":17,"name":"Train ID","value":"313-21"},{"id":16,"name":"Locomotive ID","value":"4034"},{"id":130,"name":"Impact","value":""},{"id":150,"name":"Time of Event (Mountain Time)","value":"00:55:53"},{"id":151,"name":"Denver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0"/>
      <c r="AL224" s="230"/>
      <c r="AM224" s="239" t="str">
        <f t="shared" si="203"/>
        <v>start /low /b %USERPROFILE%\Documents\GitHub\eaglep3\Utilities\DownloadLogsFromS3.py --loco 4034 --day 2017-12-22</v>
      </c>
      <c r="AN224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07:55:53"},{"id":29,"name":"Sharepoint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205"/>
        <v>https://d0f6bd738d7f1b3e5a7ca70fe4ff75f0.us-east-1.aws.found.io/app/kibana#/discover/Steve-Slow-Train-Analysis-(2080s-and-2083s)?_g=(refreshInterval:(display:Off,pause:!f,section:0,value:0),time:(from:'2017-12-21T23:39:49-0700',mode:absolute,to:'2017-12-22T01:55:53-0700'))&amp;_a=(columns:!('Message%20ID',Summary),filters:!(),index:'emp_*',interval:auto,query:(query_string:(analyze_wildcard:!t,query:'%22rtdc.l.rtdc.4034%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706</v>
      </c>
      <c r="B225" s="224">
        <v>4036</v>
      </c>
      <c r="C225" s="226" t="s">
        <v>192</v>
      </c>
      <c r="D225" s="226" t="s">
        <v>1071</v>
      </c>
      <c r="E225" s="225">
        <v>43090.196145833332</v>
      </c>
      <c r="F225" s="225">
        <v>43090.201111111113</v>
      </c>
      <c r="G225" s="224">
        <v>76</v>
      </c>
      <c r="H225" s="226" t="s">
        <v>1072</v>
      </c>
      <c r="I225" s="225">
        <v>43090.206956018519</v>
      </c>
      <c r="J225" s="224">
        <v>0</v>
      </c>
      <c r="K225" s="236" t="str">
        <f t="shared" si="186"/>
        <v>4035/4036</v>
      </c>
      <c r="L225" s="244" t="str">
        <f>VLOOKUP(A225,'Trips&amp;Operators'!$C$1:$G$99911,5,FALSE)</f>
        <v>LOPES KIMBERLY</v>
      </c>
      <c r="M225" s="223">
        <f t="shared" si="187"/>
        <v>5.8449074058444239E-3</v>
      </c>
      <c r="N225" s="224">
        <f t="shared" si="182"/>
        <v>8.4166666644159704</v>
      </c>
      <c r="O225" s="224"/>
      <c r="P225" s="224"/>
      <c r="Q225" s="227"/>
      <c r="R225" s="241"/>
      <c r="S225" s="248">
        <f t="shared" si="206"/>
        <v>0</v>
      </c>
      <c r="T225" s="241" t="str">
        <f t="shared" si="188"/>
        <v>NorthBound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183"/>
        <v>https://d0f6bd738d7f1b3e5a7ca70fe4ff75f0.us-east-1.aws.found.io/app/kibana#/discover/Steve-Slow-Train-Analysis-(2080s-and-2083s)?_g=(refreshInterval:(display:Off,pause:!f,section:0,value:0),time:(from:'2017-12-21T03:42:27-0700',mode:absolute,to:'2017-12-21T05:58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5" s="246" t="str">
        <f>IF(AA225&lt;VLOOKUP(AG225,Variables!$AC$3:$AD$8,2,FALSE),"Y","N")</f>
        <v>Y</v>
      </c>
      <c r="X225" s="246">
        <f t="shared" si="200"/>
        <v>588</v>
      </c>
      <c r="Y225" s="246">
        <f t="shared" si="198"/>
        <v>3.0278999999999998</v>
      </c>
      <c r="Z225" s="246">
        <f t="shared" si="199"/>
        <v>5.8959999999999999</v>
      </c>
      <c r="AA225" s="246">
        <f t="shared" si="189"/>
        <v>2.8681000000000001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190"/>
        <v>901</v>
      </c>
      <c r="AE225" s="234" t="str">
        <f t="shared" si="184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225" s="233" t="str">
        <f t="shared" si="185"/>
        <v>"C:\Program Files (x86)\AstroGrep\AstroGrep.exe" /e /r /s /spath="%USERPROFILE%\AppData\Local\Temp\OnboardLogs" /stypes="app*4036*201712211*" /stext=" 11:.+?(?&gt;(PRM\|1\|D)|(KPR)|(KDP)|(train st[a-z]+ moving)|(SYSTEM_STATE:s[a-z]+ state changed)|(Enforcement Action)|(\[TIMEOUT)|(parse_ebi_status: Penalty)|(\|GPPS))"</v>
      </c>
      <c r="AG225" s="243" t="str">
        <f t="shared" si="191"/>
        <v>Other</v>
      </c>
      <c r="AH225" s="235" t="str">
        <f t="shared" si="201"/>
        <v>"%USERPROFILE%\Documents\GitHub\eaglep3\Utilities\RefineRTDCRunTimes.py" --tripid 901-21 --locoid 4036 --swversion DE.1.0.9.0 --startMP 300:30279 --initTime 2017-12-21T04:42:27 --startdatetime 2017-12-21T04:49:36 --delay 76 --endMP 300:58960 --enddatetime 2017-12-21T04:58:01 --enforcementcount 0 &gt;&gt;%USERPROFILE%\Documents\GitHub\eaglep3-reporting\EC\2017-12-21-refined-times.txt</v>
      </c>
      <c r="AI225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{"issue":{"subject":"","project_id":79,"tracker_id":40,"status_id":1,"priority_id":2,"assigned_to_id":338,"start_date":"2017-12-21","description":"","custom_fields":[{"id":1,"name":"Subdivision","value":"Other"},{"id":4,"name":"Milepost","value":"5.896"},{"id":17,"name":"Train ID","value":"901-21"},{"id":16,"name":"Locomotive ID","value":"4036"},{"id":130,"name":"Impact","value":""},{"id":150,"name":"Time of Event (Mountain Time)","value":"04:58:01"},{"id":151,"name":"Denver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203"/>
        <v>start /low /b %USERPROFILE%\Documents\GitHub\eaglep3\Utilities\DownloadLogsFromS3.py --loco 4036 --day 2017-12-21</v>
      </c>
      <c r="AN225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11:58:01"},{"id":29,"name":"Sharepoint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205"/>
        <v>https://d0f6bd738d7f1b3e5a7ca70fe4ff75f0.us-east-1.aws.found.io/app/kibana#/discover/Steve-Slow-Train-Analysis-(2080s-and-2083s)?_g=(refreshInterval:(display:Off,pause:!f,section:0,value:0),time:(from:'2017-12-21T03:42:27-0700',mode:absolute,to:'2017-12-21T05:58:01-0700'))&amp;_a=(columns:!('Message%20ID',Summary),filters:!(),index:'emp_*',interval:auto,query:(query_string:(analyze_wildcard:!t,query:'%22rtdc.l.rtdc.4036%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8" t="s">
        <v>715</v>
      </c>
      <c r="B226" s="224">
        <v>4005</v>
      </c>
      <c r="C226" s="226" t="s">
        <v>192</v>
      </c>
      <c r="D226" s="226" t="s">
        <v>1073</v>
      </c>
      <c r="E226" s="225">
        <v>43090.241168981483</v>
      </c>
      <c r="F226" s="225">
        <v>43090.244259259256</v>
      </c>
      <c r="G226" s="224">
        <v>82</v>
      </c>
      <c r="H226" s="226" t="s">
        <v>648</v>
      </c>
      <c r="I226" s="225">
        <v>43090.251087962963</v>
      </c>
      <c r="J226" s="224">
        <v>0</v>
      </c>
      <c r="K226" s="236" t="str">
        <f t="shared" si="186"/>
        <v>4005/4006</v>
      </c>
      <c r="L226" s="244" t="str">
        <f>VLOOKUP(A226,'Trips&amp;Operators'!$C$1:$G$99911,5,FALSE)</f>
        <v>FORTUNATO FRANK</v>
      </c>
      <c r="M226" s="223">
        <f t="shared" si="187"/>
        <v>6.8287037065601908E-3</v>
      </c>
      <c r="N226" s="224">
        <f t="shared" ref="N226:N239" si="207">24*60*SUM($M226:$M226)</f>
        <v>9.8333333374466747</v>
      </c>
      <c r="O226" s="224"/>
      <c r="P226" s="224"/>
      <c r="Q226" s="227"/>
      <c r="R226" s="241"/>
      <c r="S226" s="248">
        <f t="shared" si="206"/>
        <v>1</v>
      </c>
      <c r="T226" s="241" t="str">
        <f t="shared" si="188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7" t="str">
        <f t="shared" si="183"/>
        <v>https://d0f6bd738d7f1b3e5a7ca70fe4ff75f0.us-east-1.aws.found.io/app/kibana#/discover/Steve-Slow-Train-Analysis-(2080s-and-2083s)?_g=(refreshInterval:(display:Off,pause:!f,section:0,value:0),time:(from:'2017-12-21T04:47:17-0700',mode:absolute,to:'2017-12-21T07:01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46" t="str">
        <f>IF(AA226&lt;VLOOKUP(AG226,Variables!$AC$3:$AD$8,2,FALSE),"Y","N")</f>
        <v>Y</v>
      </c>
      <c r="X226" s="246">
        <f t="shared" si="200"/>
        <v>1</v>
      </c>
      <c r="Y226" s="246">
        <f t="shared" si="198"/>
        <v>2.3408000000000002</v>
      </c>
      <c r="Z226" s="246">
        <f t="shared" si="199"/>
        <v>1.46E-2</v>
      </c>
      <c r="AA226" s="246">
        <f t="shared" si="189"/>
        <v>2.3262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190"/>
        <v>902</v>
      </c>
      <c r="AE226" s="234" t="str">
        <f t="shared" si="184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26" s="233" t="str">
        <f t="shared" si="185"/>
        <v>"C:\Program Files (x86)\AstroGrep\AstroGrep.exe" /e /r /s /spath="%USERPROFILE%\AppData\Local\Temp\OnboardLogs" /stypes="app*4005*201712211*" /stext=" 13:.+?(?&gt;(PRM\|1\|D)|(KPR)|(KDP)|(train st[a-z]+ moving)|(SYSTEM_STATE:s[a-z]+ state changed)|(Enforcement Action)|(\[TIMEOUT)|(parse_ebi_status: Penalty)|(\|GPPS))"</v>
      </c>
      <c r="AG226" s="243" t="str">
        <f t="shared" si="191"/>
        <v>Other</v>
      </c>
      <c r="AH226" s="235" t="str">
        <f t="shared" si="201"/>
        <v>"%USERPROFILE%\Documents\GitHub\eaglep3\Utilities\RefineRTDCRunTimes.py" --tripid 902-21 --locoid 4005 --swversion DE.1.0.9.0 --startMP 300:23408 --initTime 2017-12-21T05:47:17 --startdatetime 2017-12-21T05:51:44 --delay 82 --endMP 204:146 --enddatetime 2017-12-21T06:01:34 --enforcementcount 0 &gt;&gt;%USERPROFILE%\Documents\GitHub\eaglep3-reporting\EC\2017-12-21-refined-times.txt</v>
      </c>
      <c r="AI226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{"issue":{"subject":"","project_id":79,"tracker_id":40,"status_id":1,"priority_id":2,"assigned_to_id":338,"start_date":"2017-12-21","description":"","custom_fields":[{"id":1,"name":"Subdivision","value":"Other"},{"id":4,"name":"Milepost","value":"0.0146"},{"id":17,"name":"Train ID","value":"902-21"},{"id":16,"name":"Locomotive ID","value":"4005"},{"id":130,"name":"Impact","value":""},{"id":150,"name":"Time of Event (Mountain Time)","value":"06:01:34"},{"id":151,"name":"Denver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203"/>
        <v>start /low /b %USERPROFILE%\Documents\GitHub\eaglep3\Utilities\DownloadLogsFromS3.py --loco 4005 --day 2017-12-21</v>
      </c>
      <c r="AN226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13:01:34"},{"id":29,"name":"Sharepoint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205"/>
        <v>https://d0f6bd738d7f1b3e5a7ca70fe4ff75f0.us-east-1.aws.found.io/app/kibana#/discover/Steve-Slow-Train-Analysis-(2080s-and-2083s)?_g=(refreshInterval:(display:Off,pause:!f,section:0,value:0),time:(from:'2017-12-21T04:47:17-0700',mode:absolute,to:'2017-12-21T07:01:34-0700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8" t="s">
        <v>746</v>
      </c>
      <c r="B227" s="224">
        <v>4036</v>
      </c>
      <c r="C227" s="226" t="s">
        <v>192</v>
      </c>
      <c r="D227" s="226" t="s">
        <v>1056</v>
      </c>
      <c r="E227" s="225">
        <v>43090.352361111109</v>
      </c>
      <c r="F227" s="225">
        <v>43090.355069444442</v>
      </c>
      <c r="G227" s="224">
        <v>181</v>
      </c>
      <c r="H227" s="226" t="s">
        <v>1074</v>
      </c>
      <c r="I227" s="225">
        <v>43090.365520833337</v>
      </c>
      <c r="J227" s="224">
        <v>0</v>
      </c>
      <c r="K227" s="236" t="str">
        <f t="shared" si="186"/>
        <v>4035/4036</v>
      </c>
      <c r="L227" s="244" t="str">
        <f>VLOOKUP(A227,'Trips&amp;Operators'!$C$1:$G$99911,5,FALSE)</f>
        <v>LOPES KIMBERLY</v>
      </c>
      <c r="M227" s="223">
        <f t="shared" si="187"/>
        <v>1.0451388894580305E-2</v>
      </c>
      <c r="N227" s="224">
        <f t="shared" si="207"/>
        <v>15.050000008195639</v>
      </c>
      <c r="O227" s="224"/>
      <c r="P227" s="224"/>
      <c r="Q227" s="227"/>
      <c r="R227" s="241"/>
      <c r="S227" s="248">
        <f t="shared" si="206"/>
        <v>1</v>
      </c>
      <c r="T227" s="241" t="str">
        <f t="shared" si="188"/>
        <v>NorthBound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7" t="str">
        <f t="shared" si="183"/>
        <v>https://d0f6bd738d7f1b3e5a7ca70fe4ff75f0.us-east-1.aws.found.io/app/kibana#/discover/Steve-Slow-Train-Analysis-(2080s-and-2083s)?_g=(refreshInterval:(display:Off,pause:!f,section:0,value:0),time:(from:'2017-12-21T07:27:24-0700',mode:absolute,to:'2017-12-21T09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7" s="246" t="str">
        <f>IF(AA227&lt;VLOOKUP(AG227,Variables!$AC$3:$AD$8,2,FALSE),"Y","N")</f>
        <v>Y</v>
      </c>
      <c r="X227" s="246">
        <f t="shared" si="200"/>
        <v>1</v>
      </c>
      <c r="Y227" s="246">
        <f t="shared" si="198"/>
        <v>4.3499999999999997E-2</v>
      </c>
      <c r="Z227" s="246">
        <f t="shared" si="199"/>
        <v>2.4209999999999998</v>
      </c>
      <c r="AA227" s="246">
        <f t="shared" si="189"/>
        <v>2.3774999999999999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190"/>
        <v>903</v>
      </c>
      <c r="AE227" s="234" t="str">
        <f t="shared" si="184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227" s="233" t="str">
        <f t="shared" si="185"/>
        <v>"C:\Program Files (x86)\AstroGrep\AstroGrep.exe" /e /r /s /spath="%USERPROFILE%\AppData\Local\Temp\OnboardLogs" /stypes="app*4036*201712211*" /stext=" 15:.+?(?&gt;(PRM\|1\|D)|(KPR)|(KDP)|(train st[a-z]+ moving)|(SYSTEM_STATE:s[a-z]+ state changed)|(Enforcement Action)|(\[TIMEOUT)|(parse_ebi_status: Penalty)|(\|GPPS))"</v>
      </c>
      <c r="AG227" s="243" t="str">
        <f t="shared" si="191"/>
        <v>Other</v>
      </c>
      <c r="AH227" s="235" t="str">
        <f t="shared" si="201"/>
        <v>"%USERPROFILE%\Documents\GitHub\eaglep3\Utilities\RefineRTDCRunTimes.py" --tripid 903-21 --locoid 4036 --swversion DE.1.0.9.0 --startMP 204:435 --initTime 2017-12-21T08:27:24 --startdatetime 2017-12-21T08:31:18 --delay 181 --endMP 300:24210 --enddatetime 2017-12-21T08:46:21 --enforcementcount 0 &gt;&gt;%USERPROFILE%\Documents\GitHub\eaglep3-reporting\EC\2017-12-21-refined-times.txt</v>
      </c>
      <c r="AI227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{"issue":{"subject":"","project_id":79,"tracker_id":40,"status_id":1,"priority_id":2,"assigned_to_id":338,"start_date":"2017-12-21","description":"","custom_fields":[{"id":1,"name":"Subdivision","value":"Other"},{"id":4,"name":"Milepost","value":"2.421"},{"id":17,"name":"Train ID","value":"903-21"},{"id":16,"name":"Locomotive ID","value":"4036"},{"id":130,"name":"Impact","value":""},{"id":150,"name":"Time of Event (Mountain Time)","value":"08:46:21"},{"id":151,"name":"Denver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2"/>
      <c r="AK227" s="230"/>
      <c r="AL227" s="230"/>
      <c r="AM227" s="239" t="str">
        <f t="shared" si="203"/>
        <v>start /low /b %USERPROFILE%\Documents\GitHub\eaglep3\Utilities\DownloadLogsFromS3.py --loco 4036 --day 2017-12-21</v>
      </c>
      <c r="AN227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15:46:21"},{"id":29,"name":"Sharepoint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205"/>
        <v>https://d0f6bd738d7f1b3e5a7ca70fe4ff75f0.us-east-1.aws.found.io/app/kibana#/discover/Steve-Slow-Train-Analysis-(2080s-and-2083s)?_g=(refreshInterval:(display:Off,pause:!f,section:0,value:0),time:(from:'2017-12-21T07:27:24-0700',mode:absolute,to:'2017-12-21T09:46:21-0700'))&amp;_a=(columns:!('Message%20ID',Summary),filters:!(),index:'emp_*',interval:auto,query:(query_string:(analyze_wildcard:!t,query:'%22rtdc.l.rtdc.4036%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 s="228" t="s">
        <v>813</v>
      </c>
      <c r="B228" s="224">
        <v>4035</v>
      </c>
      <c r="C228" s="226" t="s">
        <v>192</v>
      </c>
      <c r="D228" s="226" t="s">
        <v>1075</v>
      </c>
      <c r="E228" s="225">
        <v>43090.636122685188</v>
      </c>
      <c r="F228" s="225">
        <v>43090.639791666668</v>
      </c>
      <c r="G228" s="224">
        <v>95</v>
      </c>
      <c r="H228" s="226" t="s">
        <v>1045</v>
      </c>
      <c r="I228" s="225">
        <v>43090.644918981481</v>
      </c>
      <c r="J228" s="224">
        <v>0</v>
      </c>
      <c r="K228" s="236" t="str">
        <f t="shared" si="186"/>
        <v>4035/4036</v>
      </c>
      <c r="L228" s="244" t="str">
        <f>VLOOKUP(A228,'Trips&amp;Operators'!$C$1:$G$99911,5,FALSE)</f>
        <v>RESPASS AARON</v>
      </c>
      <c r="M228" s="223">
        <f t="shared" si="187"/>
        <v>5.1273148128530011E-3</v>
      </c>
      <c r="N228" s="224">
        <f t="shared" si="207"/>
        <v>7.3833333305083215</v>
      </c>
      <c r="O228" s="224"/>
      <c r="P228" s="224"/>
      <c r="Q228" s="227"/>
      <c r="R228" s="241"/>
      <c r="S228" s="248">
        <f t="shared" si="206"/>
        <v>1</v>
      </c>
      <c r="T228" s="241" t="str">
        <f t="shared" si="188"/>
        <v>Southbound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 t="shared" si="183"/>
        <v>https://d0f6bd738d7f1b3e5a7ca70fe4ff75f0.us-east-1.aws.found.io/app/kibana#/discover/Steve-Slow-Train-Analysis-(2080s-and-2083s)?_g=(refreshInterval:(display:Off,pause:!f,section:0,value:0),time:(from:'2017-12-21T14:16:01-0700',mode:absolute,to:'2017-12-21T16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246" t="str">
        <f>IF(AA228&lt;VLOOKUP(AG228,Variables!$AC$3:$AD$8,2,FALSE),"Y","N")</f>
        <v>Y</v>
      </c>
      <c r="X228" s="246">
        <f t="shared" si="200"/>
        <v>1</v>
      </c>
      <c r="Y228" s="246">
        <f t="shared" si="198"/>
        <v>2.3855</v>
      </c>
      <c r="Z228" s="246">
        <f t="shared" si="199"/>
        <v>1.5100000000000001E-2</v>
      </c>
      <c r="AA228" s="246">
        <f t="shared" si="189"/>
        <v>2.3704000000000001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190"/>
        <v>904</v>
      </c>
      <c r="AE228" s="234" t="str">
        <f t="shared" si="184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228" s="233" t="str">
        <f t="shared" si="185"/>
        <v>"C:\Program Files (x86)\AstroGrep\AstroGrep.exe" /e /r /s /spath="%USERPROFILE%\AppData\Local\Temp\OnboardLogs" /stypes="app*4035*201712212*" /stext=" 22:.+?(?&gt;(PRM\|1\|D)|(KPR)|(KDP)|(train st[a-z]+ moving)|(SYSTEM_STATE:s[a-z]+ state changed)|(Enforcement Action)|(\[TIMEOUT)|(parse_ebi_status: Penalty)|(\|GPPS))"</v>
      </c>
      <c r="AG228" s="243" t="str">
        <f t="shared" si="191"/>
        <v>Other</v>
      </c>
      <c r="AH228" s="235" t="str">
        <f t="shared" si="201"/>
        <v>"%USERPROFILE%\Documents\GitHub\eaglep3\Utilities\RefineRTDCRunTimes.py" --tripid 904-21 --locoid 4035 --swversion DE.1.0.9.0 --startMP 300:23855 --initTime 2017-12-21T15:16:01 --startdatetime 2017-12-21T15:21:18 --delay 95 --endMP 204:151 --enddatetime 2017-12-21T15:28:41 --enforcementcount 0 &gt;&gt;%USERPROFILE%\Documents\GitHub\eaglep3-reporting\EC\2017-12-21-refined-times.txt</v>
      </c>
      <c r="AI228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{"issue":{"subject":"","project_id":79,"tracker_id":40,"status_id":1,"priority_id":2,"assigned_to_id":338,"start_date":"2017-12-21","description":"","custom_fields":[{"id":1,"name":"Subdivision","value":"Other"},{"id":4,"name":"Milepost","value":"0.0151"},{"id":17,"name":"Train ID","value":"904-21"},{"id":16,"name":"Locomotive ID","value":"4035"},{"id":130,"name":"Impact","value":""},{"id":150,"name":"Time of Event (Mountain Time)","value":"15:28:41"},{"id":151,"name":"Denver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0"/>
      <c r="AL228" s="230"/>
      <c r="AM228" s="239" t="str">
        <f t="shared" si="203"/>
        <v>start /low /b %USERPROFILE%\Documents\GitHub\eaglep3\Utilities\DownloadLogsFromS3.py --loco 4035 --day 2017-12-21</v>
      </c>
      <c r="AN228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22:28:41"},{"id":29,"name":"Sharepoint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205"/>
        <v>https://d0f6bd738d7f1b3e5a7ca70fe4ff75f0.us-east-1.aws.found.io/app/kibana#/discover/Steve-Slow-Train-Analysis-(2080s-and-2083s)?_g=(refreshInterval:(display:Off,pause:!f,section:0,value:0),time:(from:'2017-12-21T14:16:01-0700',mode:absolute,to:'2017-12-21T16:28:41-0700'))&amp;_a=(columns:!('Message%20ID',Summary),filters:!(),index:'emp_*',interval:auto,query:(query_string:(analyze_wildcard:!t,query:'%22rtdc.l.rtdc.4035%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8" t="s">
        <v>855</v>
      </c>
      <c r="B229" s="224">
        <v>4035</v>
      </c>
      <c r="C229" s="226" t="s">
        <v>192</v>
      </c>
      <c r="D229" s="226" t="s">
        <v>1076</v>
      </c>
      <c r="E229" s="225">
        <v>43090.789097222223</v>
      </c>
      <c r="F229" s="225">
        <v>43090.790659722225</v>
      </c>
      <c r="G229" s="224">
        <v>61</v>
      </c>
      <c r="H229" s="226" t="s">
        <v>1077</v>
      </c>
      <c r="I229" s="225">
        <v>43090.795601851853</v>
      </c>
      <c r="J229" s="224">
        <v>0</v>
      </c>
      <c r="K229" s="236" t="str">
        <f t="shared" si="186"/>
        <v>4035/4036</v>
      </c>
      <c r="L229" s="244" t="str">
        <f>VLOOKUP(A229,'Trips&amp;Operators'!$C$1:$G$99911,5,FALSE)</f>
        <v>RESPASS AARON</v>
      </c>
      <c r="M229" s="223">
        <f t="shared" si="187"/>
        <v>4.9421296280343086E-3</v>
      </c>
      <c r="N229" s="224">
        <f t="shared" si="207"/>
        <v>7.1166666643694043</v>
      </c>
      <c r="O229" s="224"/>
      <c r="P229" s="224"/>
      <c r="Q229" s="227"/>
      <c r="R229" s="241"/>
      <c r="S229" s="248">
        <f t="shared" si="206"/>
        <v>0</v>
      </c>
      <c r="T229" s="241" t="str">
        <f t="shared" si="188"/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7" t="str">
        <f t="shared" si="183"/>
        <v>https://d0f6bd738d7f1b3e5a7ca70fe4ff75f0.us-east-1.aws.found.io/app/kibana#/discover/Steve-Slow-Train-Analysis-(2080s-and-2083s)?_g=(refreshInterval:(display:Off,pause:!f,section:0,value:0),time:(from:'2017-12-21T17:56:18-0700',mode:absolute,to:'2017-12-21T20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9" s="246" t="str">
        <f>IF(AA229&lt;VLOOKUP(AG229,Variables!$AC$3:$AD$8,2,FALSE),"Y","N")</f>
        <v>Y</v>
      </c>
      <c r="X229" s="246">
        <f t="shared" si="200"/>
        <v>2</v>
      </c>
      <c r="Y229" s="246">
        <f t="shared" si="198"/>
        <v>5.8592000000000004</v>
      </c>
      <c r="Z229" s="246">
        <f t="shared" si="199"/>
        <v>2.3207</v>
      </c>
      <c r="AA229" s="246">
        <f t="shared" si="189"/>
        <v>3.5385000000000004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190"/>
        <v>906</v>
      </c>
      <c r="AE229" s="234" t="str">
        <f t="shared" si="184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229" s="233" t="str">
        <f t="shared" si="185"/>
        <v>"C:\Program Files (x86)\AstroGrep\AstroGrep.exe" /e /r /s /spath="%USERPROFILE%\AppData\Local\Temp\OnboardLogs" /stypes="app*4035*201712220*" /stext=" 02:.+?(?&gt;(PRM\|1\|D)|(KPR)|(KDP)|(train st[a-z]+ moving)|(SYSTEM_STATE:s[a-z]+ state changed)|(Enforcement Action)|(\[TIMEOUT)|(parse_ebi_status: Penalty)|(\|GPPS))"</v>
      </c>
      <c r="AG229" s="243" t="str">
        <f t="shared" si="191"/>
        <v>Other</v>
      </c>
      <c r="AH229" s="235" t="str">
        <f t="shared" si="201"/>
        <v>"%USERPROFILE%\Documents\GitHub\eaglep3\Utilities\RefineRTDCRunTimes.py" --tripid 906-21 --locoid 4035 --swversion DE.1.0.9.0 --startMP 300:58592 --initTime 2017-12-21T18:56:18 --startdatetime 2017-12-21T18:58:33 --delay 61 --endMP 300:23207 --enddatetime 2017-12-21T19:05:40 --enforcementcount 0 &gt;&gt;%USERPROFILE%\Documents\GitHub\eaglep3-reporting\EC\2017-12-21-refined-times.txt</v>
      </c>
      <c r="AI229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{"issue":{"subject":"","project_id":79,"tracker_id":40,"status_id":1,"priority_id":2,"assigned_to_id":338,"start_date":"2017-12-21","description":"","custom_fields":[{"id":1,"name":"Subdivision","value":"Other"},{"id":4,"name":"Milepost","value":"2.3207"},{"id":17,"name":"Train ID","value":"906-21"},{"id":16,"name":"Locomotive ID","value":"4035"},{"id":130,"name":"Impact","value":""},{"id":150,"name":"Time of Event (Mountain Time)","value":"19:05:40"},{"id":151,"name":"Denver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2"/>
      <c r="AK229" s="230"/>
      <c r="AL229" s="230"/>
      <c r="AM229" s="239" t="str">
        <f t="shared" si="203"/>
        <v>start /low /b %USERPROFILE%\Documents\GitHub\eaglep3\Utilities\DownloadLogsFromS3.py --loco 4035 --day 2017-12-21</v>
      </c>
      <c r="AN229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205"/>
        <v>https://d0f6bd738d7f1b3e5a7ca70fe4ff75f0.us-east-1.aws.found.io/app/kibana#/discover/Steve-Slow-Train-Analysis-(2080s-and-2083s)?_g=(refreshInterval:(display:Off,pause:!f,section:0,value:0),time:(from:'2017-12-21T17:56:18-0700',mode:absolute,to:'2017-12-21T20:05:40-0700'))&amp;_a=(columns:!('Message%20ID',Summary),filters:!(),index:'emp_*',interval:auto,query:(query_string:(analyze_wildcard:!t,query:'%22rtdc.l.rtdc.4035%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 s="228" t="s">
        <v>882</v>
      </c>
      <c r="B230" s="224">
        <v>4005</v>
      </c>
      <c r="C230" s="226" t="s">
        <v>192</v>
      </c>
      <c r="D230" s="226" t="s">
        <v>532</v>
      </c>
      <c r="E230" s="225">
        <v>43090.975474537037</v>
      </c>
      <c r="F230" s="225">
        <v>43090.976782407408</v>
      </c>
      <c r="G230" s="224">
        <v>51</v>
      </c>
      <c r="H230" s="226" t="s">
        <v>1107</v>
      </c>
      <c r="I230" s="225">
        <v>43090.984236111108</v>
      </c>
      <c r="J230" s="224">
        <v>0</v>
      </c>
      <c r="K230" s="236" t="str">
        <f t="shared" si="186"/>
        <v>4005/4006</v>
      </c>
      <c r="L230" s="244" t="str">
        <f>VLOOKUP(A230,'Trips&amp;Operators'!$C$1:$G$99911,5,FALSE)</f>
        <v>RESPASS AARON</v>
      </c>
      <c r="M230" s="223">
        <f t="shared" si="187"/>
        <v>7.4537036998663098E-3</v>
      </c>
      <c r="N230" s="224">
        <f t="shared" si="207"/>
        <v>10.733333327807486</v>
      </c>
      <c r="O230" s="224"/>
      <c r="P230" s="224"/>
      <c r="Q230" s="227"/>
      <c r="R230" s="241"/>
      <c r="S230" s="248">
        <f t="shared" si="206"/>
        <v>0</v>
      </c>
      <c r="T230" s="241" t="str">
        <f t="shared" si="188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183"/>
        <v>https://d0f6bd738d7f1b3e5a7ca70fe4ff75f0.us-east-1.aws.found.io/app/kibana#/discover/Steve-Slow-Train-Analysis-(2080s-and-2083s)?_g=(refreshInterval:(display:Off,pause:!f,section:0,value:0),time:(from:'2017-12-21T22:24:41-0700',mode:absolute,to:'2017-12-22T00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246" t="str">
        <f>IF(AA230&lt;VLOOKUP(AG230,Variables!$AC$3:$AD$8,2,FALSE),"Y","N")</f>
        <v>Y</v>
      </c>
      <c r="X230" s="246">
        <f t="shared" si="200"/>
        <v>2</v>
      </c>
      <c r="Y230" s="246">
        <f t="shared" si="198"/>
        <v>5.8623000000000003</v>
      </c>
      <c r="Z230" s="246">
        <f t="shared" si="199"/>
        <v>2.8780000000000001</v>
      </c>
      <c r="AA230" s="246">
        <f t="shared" si="189"/>
        <v>2.9843000000000002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190"/>
        <v>908</v>
      </c>
      <c r="AE230" s="234" t="str">
        <f t="shared" si="184"/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AF230" s="233" t="str">
        <f t="shared" si="185"/>
        <v>"C:\Program Files (x86)\AstroGrep\AstroGrep.exe" /e /r /s /spath="%USERPROFILE%\AppData\Local\Temp\OnboardLogs" /stypes="app*4005*201712220*" /stext=" 06:.+?(?&gt;(PRM\|1\|D)|(KPR)|(KDP)|(train st[a-z]+ moving)|(SYSTEM_STATE:s[a-z]+ state changed)|(Enforcement Action)|(\[TIMEOUT)|(parse_ebi_status: Penalty)|(\|GPPS))"</v>
      </c>
      <c r="AG230" s="243" t="str">
        <f t="shared" si="191"/>
        <v>Other</v>
      </c>
      <c r="AH230" s="235" t="str">
        <f t="shared" si="201"/>
        <v>"%USERPROFILE%\Documents\GitHub\eaglep3\Utilities\RefineRTDCRunTimes.py" --tripid 908-21 --locoid 4005 --swversion DE.1.0.9.0 --startMP 300:58623 --initTime 2017-12-21T23:24:41 --startdatetime 2017-12-21T23:26:34 --delay 51 --endMP 300:28780 --enddatetime 2017-12-21T23:37:18 --enforcementcount 0 &gt;&gt;%USERPROFILE%\Documents\GitHub\eaglep3-reporting\EC\2017-12-21-refined-times.txt</v>
      </c>
      <c r="AI230" s="237" t="str">
        <f t="shared" si="202"/>
        <v>echo {"issue":{"subject":"","project_id":79,"tracker_id":40,"status_id":1,"priority_id":2,"assigned_to_id":338,"start_date":"2017-12-21","description":"","custom_fields":[{"id":1,"name":"Subdivision","value":"Other"},{"id":4,"name":"Milepost","value":"2.878"},{"id":17,"name":"Train ID","value":"908-21"},{"id":16,"name":"Locomotive ID","value":"4005"},{"id":130,"name":"Impact","value":""},{"id":150,"name":"Time of Event (Mountain Time)","value":"23:37:18"},{"id":151,"name":"Denver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203"/>
        <v>start /low /b %USERPROFILE%\Documents\GitHub\eaglep3\Utilities\DownloadLogsFromS3.py --loco 4005 --day 2017-12-21</v>
      </c>
      <c r="AN230" s="240" t="str">
        <f t="shared" si="204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205"/>
        <v>https://d0f6bd738d7f1b3e5a7ca70fe4ff75f0.us-east-1.aws.found.io/app/kibana#/discover/Steve-Slow-Train-Analysis-(2080s-and-2083s)?_g=(refreshInterval:(display:Off,pause:!f,section:0,value:0),time:(from:'2017-12-21T22:24:41-0700',mode:absolute,to:'2017-12-22T00:37:18-0700'))&amp;_a=(columns:!('Message%20ID',Summary),filters:!(),index:'emp_*',interval:auto,query:(query_string:(analyze_wildcard:!t,query:'%22rtdc.l.rtdc.4005%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8" t="s">
        <v>769</v>
      </c>
      <c r="B231" s="224">
        <v>4035</v>
      </c>
      <c r="C231" s="226" t="s">
        <v>192</v>
      </c>
      <c r="D231" s="226" t="s">
        <v>1015</v>
      </c>
      <c r="E231" s="225">
        <v>43090.44425925926</v>
      </c>
      <c r="F231" s="225">
        <v>43090.454826388886</v>
      </c>
      <c r="G231" s="224">
        <v>76</v>
      </c>
      <c r="H231" s="226" t="s">
        <v>1016</v>
      </c>
      <c r="I231" s="225">
        <v>43090.460613425923</v>
      </c>
      <c r="J231" s="224">
        <v>0</v>
      </c>
      <c r="K231" s="236" t="str">
        <f t="shared" si="186"/>
        <v>4035/4036</v>
      </c>
      <c r="L231" s="244" t="str">
        <f>VLOOKUP(A231,'Trips&amp;Operators'!$C$1:$G$99911,5,FALSE)</f>
        <v>NEWELL JAMES</v>
      </c>
      <c r="M231" s="223">
        <f t="shared" si="187"/>
        <v>5.7870370364980772E-3</v>
      </c>
      <c r="N231" s="224">
        <f t="shared" si="207"/>
        <v>8.3333333325572312</v>
      </c>
      <c r="O231" s="224"/>
      <c r="P231" s="224"/>
      <c r="Q231" s="227"/>
      <c r="R231" s="241"/>
      <c r="S231" s="248">
        <f t="shared" si="206"/>
        <v>0</v>
      </c>
      <c r="T231" s="241" t="str">
        <f t="shared" si="188"/>
        <v>NorthBound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183"/>
        <v>https://d0f6bd738d7f1b3e5a7ca70fe4ff75f0.us-east-1.aws.found.io/app/kibana#/discover/Steve-Slow-Train-Analysis-(2080s-and-2083s)?_g=(refreshInterval:(display:Off,pause:!f,section:0,value:0),time:(from:'2017-12-21T09:39:44-0700',mode:absolute,to:'2017-12-21T12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1" s="246" t="str">
        <f>IF(AA231&lt;VLOOKUP(AG231,Variables!$AC$3:$AD$8,2,FALSE),"Y","N")</f>
        <v>Y</v>
      </c>
      <c r="X231" s="246">
        <f t="shared" si="200"/>
        <v>-853</v>
      </c>
      <c r="Y231" s="246">
        <f t="shared" si="198"/>
        <v>2.3519000000000001</v>
      </c>
      <c r="Z231" s="246">
        <f t="shared" si="199"/>
        <v>6.7299999999999999E-2</v>
      </c>
      <c r="AA231" s="246">
        <f t="shared" si="189"/>
        <v>2.2846000000000002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190"/>
        <v>55</v>
      </c>
      <c r="AE231" s="234" t="str">
        <f t="shared" si="184"/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AF231" s="233" t="str">
        <f t="shared" si="185"/>
        <v>"C:\Program Files (x86)\AstroGrep\AstroGrep.exe" /e /r /s /spath="%USERPROFILE%\AppData\Local\Temp\OnboardLogs" /stypes="app*4035*201712211*" /stext=" 18:.+?(?&gt;(PRM\|1\|D)|(KPR)|(KDP)|(train st[a-z]+ moving)|(SYSTEM_STATE:s[a-z]+ state changed)|(Enforcement Action)|(\[TIMEOUT)|(parse_ebi_status: Penalty)|(\|GPPS))"</v>
      </c>
      <c r="AG231" s="243" t="str">
        <f t="shared" si="191"/>
        <v>Shuttle/Test</v>
      </c>
      <c r="AH231" s="235" t="str">
        <f t="shared" si="201"/>
        <v>"%USERPROFILE%\Documents\GitHub\eaglep3\Utilities\RefineRTDCRunTimes.py" --tripid 55-21 --locoid 4035 --swversion DE.1.0.9.0 --startMP 300:23519 --initTime 2017-12-21T10:39:44 --startdatetime 2017-12-21T10:54:57 --delay 76 --endMP 204:673 --enddatetime 2017-12-21T11:03:17 --enforcementcount 0 &gt;&gt;%USERPROFILE%\Documents\GitHub\eaglep3-reporting\EC\2017-12-21-refined-times.txt</v>
      </c>
      <c r="AI231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0.0673"},{"id":17,"name":"Train ID","value":"55-21"},{"id":16,"name":"Locomotive ID","value":"4035"},{"id":130,"name":"Impact","value":""},{"id":150,"name":"Time of Event (Mountain Time)","value":"11:03:17"},{"id":151,"name":"Denver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2"/>
      <c r="AK231" s="230"/>
      <c r="AL231" s="230"/>
      <c r="AM231" s="239" t="str">
        <f t="shared" si="203"/>
        <v>start /low /b %USERPROFILE%\Documents\GitHub\eaglep3\Utilities\DownloadLogsFromS3.py --loco 4035 --day 2017-12-21</v>
      </c>
      <c r="AN231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205"/>
        <v>https://d0f6bd738d7f1b3e5a7ca70fe4ff75f0.us-east-1.aws.found.io/app/kibana#/discover/Steve-Slow-Train-Analysis-(2080s-and-2083s)?_g=(refreshInterval:(display:Off,pause:!f,section:0,value:0),time:(from:'2017-12-21T09:39:44-0700',mode:absolute,to:'2017-12-21T12:03:17-0700'))&amp;_a=(columns:!('Message%20ID',Summary),filters:!(),index:'emp_*',interval:auto,query:(query_string:(analyze_wildcard:!t,query:'%22rtdc.l.rtdc.4035%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 s="228" t="s">
        <v>775</v>
      </c>
      <c r="B232" s="224">
        <v>4036</v>
      </c>
      <c r="C232" s="226" t="s">
        <v>192</v>
      </c>
      <c r="D232" s="226" t="s">
        <v>1017</v>
      </c>
      <c r="E232" s="225">
        <v>43090.472349537034</v>
      </c>
      <c r="F232" s="225">
        <v>43090.475138888891</v>
      </c>
      <c r="G232" s="224">
        <v>60</v>
      </c>
      <c r="H232" s="226" t="s">
        <v>1018</v>
      </c>
      <c r="I232" s="225">
        <v>43090.481678240743</v>
      </c>
      <c r="J232" s="224">
        <v>0</v>
      </c>
      <c r="K232" s="236" t="str">
        <f t="shared" si="186"/>
        <v>4035/4036</v>
      </c>
      <c r="L232" s="244" t="str">
        <f>VLOOKUP(A232,'Trips&amp;Operators'!$C$1:$G$99911,5,FALSE)</f>
        <v>BONDS REYNALDO</v>
      </c>
      <c r="M232" s="223">
        <f t="shared" si="187"/>
        <v>6.5393518525524996E-3</v>
      </c>
      <c r="N232" s="224">
        <f t="shared" si="207"/>
        <v>9.4166666676755995</v>
      </c>
      <c r="O232" s="224"/>
      <c r="P232" s="224"/>
      <c r="Q232" s="227"/>
      <c r="R232" s="241"/>
      <c r="S232" s="248">
        <f t="shared" si="206"/>
        <v>0</v>
      </c>
      <c r="T232" s="241" t="str">
        <f t="shared" si="188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7" t="str">
        <f t="shared" si="183"/>
        <v>https://d0f6bd738d7f1b3e5a7ca70fe4ff75f0.us-east-1.aws.found.io/app/kibana#/discover/Steve-Slow-Train-Analysis-(2080s-and-2083s)?_g=(refreshInterval:(display:Off,pause:!f,section:0,value:0),time:(from:'2017-12-21T10:20:11-0700',mode:absolute,to:'2017-12-21T12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2" s="246" t="str">
        <f>IF(AA232&lt;VLOOKUP(AG232,Variables!$AC$3:$AD$8,2,FALSE),"Y","N")</f>
        <v>Y</v>
      </c>
      <c r="X232" s="246">
        <f t="shared" si="200"/>
        <v>1</v>
      </c>
      <c r="Y232" s="246">
        <f t="shared" si="198"/>
        <v>9.7799999999999998E-2</v>
      </c>
      <c r="Z232" s="246">
        <f t="shared" si="199"/>
        <v>2.4203000000000001</v>
      </c>
      <c r="AA232" s="246">
        <f t="shared" si="189"/>
        <v>2.3225000000000002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190"/>
        <v>56</v>
      </c>
      <c r="AE232" s="234" t="str">
        <f t="shared" si="184"/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AF232" s="233" t="str">
        <f t="shared" si="185"/>
        <v>"C:\Program Files (x86)\AstroGrep\AstroGrep.exe" /e /r /s /spath="%USERPROFILE%\AppData\Local\Temp\OnboardLogs" /stypes="app*4036*201712211*" /stext=" 18:.+?(?&gt;(PRM\|1\|D)|(KPR)|(KDP)|(train st[a-z]+ moving)|(SYSTEM_STATE:s[a-z]+ state changed)|(Enforcement Action)|(\[TIMEOUT)|(parse_ebi_status: Penalty)|(\|GPPS))"</v>
      </c>
      <c r="AG232" s="243" t="str">
        <f t="shared" si="191"/>
        <v>Shuttle/Test</v>
      </c>
      <c r="AH232" s="235" t="str">
        <f t="shared" si="201"/>
        <v>"%USERPROFILE%\Documents\GitHub\eaglep3\Utilities\RefineRTDCRunTimes.py" --tripid 56-21 --locoid 4036 --swversion DE.1.0.9.0 --startMP 204:978 --initTime 2017-12-21T11:20:11 --startdatetime 2017-12-21T11:24:12 --delay 60 --endMP 300:24203 --enddatetime 2017-12-21T11:33:37 --enforcementcount 0 &gt;&gt;%USERPROFILE%\Documents\GitHub\eaglep3-reporting\EC\2017-12-21-refined-times.txt</v>
      </c>
      <c r="AI232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2.4203"},{"id":17,"name":"Train ID","value":"56-21"},{"id":16,"name":"Locomotive ID","value":"4036"},{"id":130,"name":"Impact","value":""},{"id":150,"name":"Time of Event (Mountain Time)","value":"11:33:37"},{"id":151,"name":"Denver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0"/>
      <c r="AL232" s="230"/>
      <c r="AM232" s="239" t="str">
        <f t="shared" si="203"/>
        <v>start /low /b %USERPROFILE%\Documents\GitHub\eaglep3\Utilities\DownloadLogsFromS3.py --loco 4036 --day 2017-12-21</v>
      </c>
      <c r="AN232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18:33:37"},{"id":29,"name":"Sharepoint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205"/>
        <v>https://d0f6bd738d7f1b3e5a7ca70fe4ff75f0.us-east-1.aws.found.io/app/kibana#/discover/Steve-Slow-Train-Analysis-(2080s-and-2083s)?_g=(refreshInterval:(display:Off,pause:!f,section:0,value:0),time:(from:'2017-12-21T10:20:11-0700',mode:absolute,to:'2017-12-21T12:33:37-0700'))&amp;_a=(columns:!('Message%20ID',Summary),filters:!(),index:'emp_*',interval:auto,query:(query_string:(analyze_wildcard:!t,query:'%22rtdc.l.rtdc.4036%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8" t="s">
        <v>799</v>
      </c>
      <c r="B233" s="224">
        <v>4056</v>
      </c>
      <c r="C233" s="226" t="s">
        <v>192</v>
      </c>
      <c r="D233" s="226" t="s">
        <v>1019</v>
      </c>
      <c r="E233" s="225">
        <v>43090.583657407406</v>
      </c>
      <c r="F233" s="225">
        <v>43090.58966435185</v>
      </c>
      <c r="G233" s="224">
        <v>59</v>
      </c>
      <c r="H233" s="226" t="s">
        <v>1020</v>
      </c>
      <c r="I233" s="225">
        <v>43090.590428240743</v>
      </c>
      <c r="J233" s="224">
        <v>0</v>
      </c>
      <c r="K233" s="236" t="str">
        <f t="shared" si="186"/>
        <v>4055/4056</v>
      </c>
      <c r="L233" s="244" t="str">
        <f>VLOOKUP(A233,'Trips&amp;Operators'!$C$1:$G$99911,5,FALSE)</f>
        <v>DE LA ROSA ALEX</v>
      </c>
      <c r="M233" s="223">
        <f t="shared" si="187"/>
        <v>7.638888928340748E-4</v>
      </c>
      <c r="N233" s="224">
        <f t="shared" si="207"/>
        <v>1.1000000056810677</v>
      </c>
      <c r="O233" s="224"/>
      <c r="P233" s="224"/>
      <c r="Q233" s="227"/>
      <c r="R233" s="241"/>
      <c r="S233" s="248">
        <f t="shared" si="206"/>
        <v>0</v>
      </c>
      <c r="T233" s="241" t="str">
        <f t="shared" si="188"/>
        <v>NorthBound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7" t="str">
        <f t="shared" si="183"/>
        <v>https://d0f6bd738d7f1b3e5a7ca70fe4ff75f0.us-east-1.aws.found.io/app/kibana#/discover/Steve-Slow-Train-Analysis-(2080s-and-2083s)?_g=(refreshInterval:(display:Off,pause:!f,section:0,value:0),time:(from:'2017-12-21T13:00:28-0700',mode:absolute,to:'2017-12-21T15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3" s="246" t="str">
        <f>IF(AA233&lt;VLOOKUP(AG233,Variables!$AC$3:$AD$8,2,FALSE),"Y","N")</f>
        <v>Y</v>
      </c>
      <c r="X233" s="246">
        <f t="shared" si="200"/>
        <v>1</v>
      </c>
      <c r="Y233" s="246">
        <f t="shared" si="198"/>
        <v>0.14899999999999999</v>
      </c>
      <c r="Z233" s="246">
        <f t="shared" si="199"/>
        <v>0.35449999999999998</v>
      </c>
      <c r="AA233" s="246">
        <f t="shared" si="189"/>
        <v>0.20549999999999999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 t="shared" si="190"/>
        <v>57</v>
      </c>
      <c r="AE233" s="234" t="str">
        <f t="shared" si="184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233" s="233" t="str">
        <f t="shared" si="185"/>
        <v>"C:\Program Files (x86)\AstroGrep\AstroGrep.exe" /e /r /s /spath="%USERPROFILE%\AppData\Local\Temp\OnboardLogs" /stypes="app*4056*201712212*" /stext=" 21:.+?(?&gt;(PRM\|1\|D)|(KPR)|(KDP)|(train st[a-z]+ moving)|(SYSTEM_STATE:s[a-z]+ state changed)|(Enforcement Action)|(\[TIMEOUT)|(parse_ebi_status: Penalty)|(\|GPPS))"</v>
      </c>
      <c r="AG233" s="243" t="str">
        <f t="shared" si="191"/>
        <v>Shuttle/Test</v>
      </c>
      <c r="AH233" s="235" t="str">
        <f t="shared" si="201"/>
        <v>"%USERPROFILE%\Documents\GitHub\eaglep3\Utilities\RefineRTDCRunTimes.py" --tripid 57-21 --locoid 4056 --swversion DE.1.0.9.0 --startMP 204:1490 --initTime 2017-12-21T14:00:28 --startdatetime 2017-12-21T14:09:07 --delay 59 --endMP 204:3545 --enddatetime 2017-12-21T14:10:13 --enforcementcount 0 &gt;&gt;%USERPROFILE%\Documents\GitHub\eaglep3-reporting\EC\2017-12-21-refined-times.txt</v>
      </c>
      <c r="AI233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0.3545"},{"id":17,"name":"Train ID","value":"57-21"},{"id":16,"name":"Locomotive ID","value":"4056"},{"id":130,"name":"Impact","value":""},{"id":150,"name":"Time of Event (Mountain Time)","value":"14:10:13"},{"id":151,"name":"Denver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2"/>
      <c r="AK233" s="230"/>
      <c r="AL233" s="230"/>
      <c r="AM233" s="239" t="str">
        <f t="shared" si="203"/>
        <v>start /low /b %USERPROFILE%\Documents\GitHub\eaglep3\Utilities\DownloadLogsFromS3.py --loco 4056 --day 2017-12-21</v>
      </c>
      <c r="AN233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205"/>
        <v>https://d0f6bd738d7f1b3e5a7ca70fe4ff75f0.us-east-1.aws.found.io/app/kibana#/discover/Steve-Slow-Train-Analysis-(2080s-and-2083s)?_g=(refreshInterval:(display:Off,pause:!f,section:0,value:0),time:(from:'2017-12-21T13:00:28-0700',mode:absolute,to:'2017-12-21T15:10:13-0700'))&amp;_a=(columns:!('Message%20ID',Summary),filters:!(),index:'emp_*',interval:auto,query:(query_string:(analyze_wildcard:!t,query:'%22rtdc.l.rtdc.4056%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8" t="s">
        <v>807</v>
      </c>
      <c r="B234" s="224">
        <v>4057</v>
      </c>
      <c r="C234" s="226" t="s">
        <v>192</v>
      </c>
      <c r="D234" s="226" t="s">
        <v>1021</v>
      </c>
      <c r="E234" s="225">
        <v>43090.63685185185</v>
      </c>
      <c r="F234" s="225">
        <v>43090.642916666664</v>
      </c>
      <c r="G234" s="224">
        <v>64</v>
      </c>
      <c r="H234" s="226" t="s">
        <v>1022</v>
      </c>
      <c r="I234" s="225">
        <v>43090.650150462963</v>
      </c>
      <c r="J234" s="224">
        <v>0</v>
      </c>
      <c r="K234" s="236" t="str">
        <f t="shared" si="186"/>
        <v>4057/4058</v>
      </c>
      <c r="L234" s="244" t="str">
        <f>VLOOKUP(A234,'Trips&amp;Operators'!$C$1:$G$99911,5,FALSE)</f>
        <v>MOSES BRADLEY</v>
      </c>
      <c r="M234" s="223">
        <f t="shared" si="187"/>
        <v>7.2337962992605753E-3</v>
      </c>
      <c r="N234" s="224">
        <f t="shared" si="207"/>
        <v>10.416666670935228</v>
      </c>
      <c r="O234" s="224"/>
      <c r="P234" s="224"/>
      <c r="Q234" s="227"/>
      <c r="R234" s="241"/>
      <c r="S234" s="248">
        <f t="shared" si="206"/>
        <v>0</v>
      </c>
      <c r="T234" s="241" t="str">
        <f t="shared" si="188"/>
        <v>NorthBound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7" t="str">
        <f t="shared" si="183"/>
        <v>https://d0f6bd738d7f1b3e5a7ca70fe4ff75f0.us-east-1.aws.found.io/app/kibana#/discover/Steve-Slow-Train-Analysis-(2080s-and-2083s)?_g=(refreshInterval:(display:Off,pause:!f,section:0,value:0),time:(from:'2017-12-21T14:17:04-0700',mode:absolute,to:'2017-12-21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4" s="246" t="str">
        <f>IF(AA234&lt;VLOOKUP(AG234,Variables!$AC$3:$AD$8,2,FALSE),"Y","N")</f>
        <v>Y</v>
      </c>
      <c r="X234" s="246">
        <f t="shared" si="200"/>
        <v>18</v>
      </c>
      <c r="Y234" s="246">
        <f t="shared" si="198"/>
        <v>2.0579000000000001</v>
      </c>
      <c r="Z234" s="246">
        <f t="shared" si="199"/>
        <v>9.1600000000000001E-2</v>
      </c>
      <c r="AA234" s="246">
        <f t="shared" si="189"/>
        <v>1.9663000000000002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 t="shared" si="190"/>
        <v>75</v>
      </c>
      <c r="AE234" s="234" t="str">
        <f t="shared" si="184"/>
        <v>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 &amp; aws s3 cp s3://rtdc.mdm.uploadarchive.raw/RTDC4057/ "%USERPROFILE%\AppData\Local\Temp\OnboardLogs"\RTDC4057\2017-12-22 --exclude "*" --recursive --include "*20171222*" &amp; "%USERPROFILE%\Documents\GitHub\mrs-test-scripts\Headless Mode &amp; Sideloading\WalkAndUnGZ.bat" "%USERPROFILE%\AppData\Local\Temp\OnboardLogs"\RTDC4057\2017-12-22</v>
      </c>
      <c r="AF234" s="233" t="str">
        <f t="shared" si="185"/>
        <v>"C:\Program Files (x86)\AstroGrep\AstroGrep.exe" /e /r /s /spath="%USERPROFILE%\AppData\Local\Temp\OnboardLogs" /stypes="app*4057*201712212*" /stext=" 22:.+?(?&gt;(PRM\|1\|D)|(KPR)|(KDP)|(train st[a-z]+ moving)|(SYSTEM_STATE:s[a-z]+ state changed)|(Enforcement Action)|(\[TIMEOUT)|(parse_ebi_status: Penalty)|(\|GPPS))"</v>
      </c>
      <c r="AG234" s="243" t="str">
        <f t="shared" si="191"/>
        <v>Shuttle/Test</v>
      </c>
      <c r="AH234" s="235" t="str">
        <f t="shared" si="201"/>
        <v>"%USERPROFILE%\Documents\GitHub\eaglep3\Utilities\RefineRTDCRunTimes.py" --tripid 75-21 --locoid 4057 --swversion DE.1.0.9.0 --startMP 300:20579 --initTime 2017-12-21T15:17:04 --startdatetime 2017-12-21T15:25:48 --delay 64 --endMP 204:916 --enddatetime 2017-12-21T15:36:13 --enforcementcount 0 &gt;&gt;%USERPROFILE%\Documents\GitHub\eaglep3-reporting\EC\2017-12-21-refined-times.txt</v>
      </c>
      <c r="AI234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0.0916"},{"id":17,"name":"Train ID","value":"75-21"},{"id":16,"name":"Locomotive ID","value":"4057"},{"id":130,"name":"Impact","value":""},{"id":150,"name":"Time of Event (Mountain Time)","value":"15:36:13"},{"id":151,"name":"Denver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2"/>
      <c r="AK234" s="230"/>
      <c r="AL234" s="230"/>
      <c r="AM234" s="239" t="str">
        <f t="shared" si="203"/>
        <v>start /low /b %USERPROFILE%\Documents\GitHub\eaglep3\Utilities\DownloadLogsFromS3.py --loco 4057 --day 2017-12-21</v>
      </c>
      <c r="AN234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205"/>
        <v>https://d0f6bd738d7f1b3e5a7ca70fe4ff75f0.us-east-1.aws.found.io/app/kibana#/discover/Steve-Slow-Train-Analysis-(2080s-and-2083s)?_g=(refreshInterval:(display:Off,pause:!f,section:0,value:0),time:(from:'2017-12-21T14:17:04-0700',mode:absolute,to:'2017-12-21T16:36:13-0700'))&amp;_a=(columns:!('Message%20ID',Summary),filters:!(),index:'emp_*',interval:auto,query:(query_string:(analyze_wildcard:!t,query:'%22rtdc.l.rtdc.4057%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25">
      <c r="A235" s="228" t="s">
        <v>807</v>
      </c>
      <c r="B235" s="224">
        <v>4018</v>
      </c>
      <c r="C235" s="226" t="s">
        <v>192</v>
      </c>
      <c r="D235" s="226" t="s">
        <v>1023</v>
      </c>
      <c r="E235" s="225">
        <v>43090.612592592595</v>
      </c>
      <c r="F235" s="225">
        <v>43090.642916666664</v>
      </c>
      <c r="G235" s="224">
        <v>91</v>
      </c>
      <c r="H235" s="226" t="s">
        <v>528</v>
      </c>
      <c r="I235" s="225">
        <v>43090.650150462963</v>
      </c>
      <c r="J235" s="224">
        <v>0</v>
      </c>
      <c r="K235" s="236" t="str">
        <f t="shared" si="186"/>
        <v>4017/4018</v>
      </c>
      <c r="L235" s="244" t="str">
        <f>VLOOKUP(A235,'Trips&amp;Operators'!$C$1:$G$99911,5,FALSE)</f>
        <v>MOSES BRADLEY</v>
      </c>
      <c r="M235" s="223">
        <f t="shared" si="187"/>
        <v>7.2337962992605753E-3</v>
      </c>
      <c r="N235" s="224">
        <f t="shared" si="207"/>
        <v>10.416666670935228</v>
      </c>
      <c r="O235" s="224"/>
      <c r="P235" s="224"/>
      <c r="Q235" s="227"/>
      <c r="R235" s="241"/>
      <c r="S235" s="248">
        <f t="shared" si="206"/>
        <v>1</v>
      </c>
      <c r="T235" s="241" t="str">
        <f t="shared" si="188"/>
        <v>NorthBound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7" t="str">
        <f t="shared" si="183"/>
        <v>https://d0f6bd738d7f1b3e5a7ca70fe4ff75f0.us-east-1.aws.found.io/app/kibana#/discover/Steve-Slow-Train-Analysis-(2080s-and-2083s)?_g=(refreshInterval:(display:Off,pause:!f,section:0,value:0),time:(from:'2017-12-21T13:42:08-0700',mode:absolute,to:'2017-12-21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5" s="246" t="str">
        <f>IF(AA235&lt;VLOOKUP(AG235,Variables!$AC$3:$AD$8,2,FALSE),"Y","N")</f>
        <v>Y</v>
      </c>
      <c r="X235" s="246">
        <f t="shared" si="200"/>
        <v>0</v>
      </c>
      <c r="Y235" s="246">
        <f t="shared" si="198"/>
        <v>0.14560000000000001</v>
      </c>
      <c r="Z235" s="246">
        <f t="shared" si="199"/>
        <v>2.3308</v>
      </c>
      <c r="AA235" s="246">
        <f t="shared" si="189"/>
        <v>2.1852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 t="shared" si="190"/>
        <v>75</v>
      </c>
      <c r="AE235" s="234" t="str">
        <f t="shared" si="184"/>
        <v>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 &amp; aws s3 cp s3://rtdc.mdm.uploadarchive.raw/RTDC4018/ "%USERPROFILE%\AppData\Local\Temp\OnboardLogs"\RTDC4018\2017-12-22 --exclude "*" --recursive --include "*20171222*" &amp; "%USERPROFILE%\Documents\GitHub\mrs-test-scripts\Headless Mode &amp; Sideloading\WalkAndUnGZ.bat" "%USERPROFILE%\AppData\Local\Temp\OnboardLogs"\RTDC4018\2017-12-22</v>
      </c>
      <c r="AF235" s="233" t="str">
        <f t="shared" si="185"/>
        <v>"C:\Program Files (x86)\AstroGrep\AstroGrep.exe" /e /r /s /spath="%USERPROFILE%\AppData\Local\Temp\OnboardLogs" /stypes="app*4018*201712212*" /stext=" 22:.+?(?&gt;(PRM\|1\|D)|(KPR)|(KDP)|(train st[a-z]+ moving)|(SYSTEM_STATE:s[a-z]+ state changed)|(Enforcement Action)|(\[TIMEOUT)|(parse_ebi_status: Penalty)|(\|GPPS))"</v>
      </c>
      <c r="AG235" s="243" t="str">
        <f t="shared" si="191"/>
        <v>Shuttle/Test</v>
      </c>
      <c r="AH235" s="235" t="str">
        <f t="shared" si="201"/>
        <v>"%USERPROFILE%\Documents\GitHub\eaglep3\Utilities\RefineRTDCRunTimes.py" --tripid 75-21 --locoid 4018 --swversion DE.1.0.9.0 --startMP 204:1456 --initTime 2017-12-21T14:42:08 --startdatetime 2017-12-21T15:25:48 --delay 91 --endMP 300:23308 --enddatetime 2017-12-21T15:36:13 --enforcementcount 0 &gt;&gt;%USERPROFILE%\Documents\GitHub\eaglep3-reporting\EC\2017-12-21-refined-times.txt</v>
      </c>
      <c r="AI235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2.3308"},{"id":17,"name":"Train ID","value":"75-21"},{"id":16,"name":"Locomotive ID","value":"4018"},{"id":130,"name":"Impact","value":""},{"id":150,"name":"Time of Event (Mountain Time)","value":"15:36:13"},{"id":151,"name":"Denver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0"/>
      <c r="AL235" s="230"/>
      <c r="AM235" s="239" t="str">
        <f t="shared" si="203"/>
        <v>start /low /b %USERPROFILE%\Documents\GitHub\eaglep3\Utilities\DownloadLogsFromS3.py --loco 4018 --day 2017-12-21</v>
      </c>
      <c r="AN235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205"/>
        <v>https://d0f6bd738d7f1b3e5a7ca70fe4ff75f0.us-east-1.aws.found.io/app/kibana#/discover/Steve-Slow-Train-Analysis-(2080s-and-2083s)?_g=(refreshInterval:(display:Off,pause:!f,section:0,value:0),time:(from:'2017-12-21T13:42:08-0700',mode:absolute,to:'2017-12-21T16:36:13-0700'))&amp;_a=(columns:!('Message%20ID',Summary),filters:!(),index:'emp_*',interval:auto,query:(query_string:(analyze_wildcard:!t,query:'%22rtdc.l.rtdc.4018%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28" t="s">
        <v>803</v>
      </c>
      <c r="B236" s="224">
        <v>4012</v>
      </c>
      <c r="C236" s="226" t="s">
        <v>192</v>
      </c>
      <c r="D236" s="226" t="s">
        <v>1037</v>
      </c>
      <c r="E236" s="225">
        <v>43090.595972222225</v>
      </c>
      <c r="F236" s="225">
        <v>43090.597569444442</v>
      </c>
      <c r="G236" s="224">
        <v>63</v>
      </c>
      <c r="H236" s="226" t="s">
        <v>1038</v>
      </c>
      <c r="I236" s="225">
        <v>43090.598356481481</v>
      </c>
      <c r="J236" s="224">
        <v>0</v>
      </c>
      <c r="K236" s="236" t="str">
        <f t="shared" si="186"/>
        <v>4011/4012</v>
      </c>
      <c r="L236" s="244" t="str">
        <f>VLOOKUP(A236,'Trips&amp;Operators'!$C$1:$G$99911,5,FALSE)</f>
        <v>DE LA ROSA ALEX</v>
      </c>
      <c r="M236" s="223">
        <f t="shared" si="187"/>
        <v>7.8703703911742195E-4</v>
      </c>
      <c r="N236" s="224">
        <f t="shared" si="207"/>
        <v>1.1333333363290876</v>
      </c>
      <c r="O236" s="224"/>
      <c r="P236" s="224"/>
      <c r="Q236" s="227"/>
      <c r="R236" s="241"/>
      <c r="S236" s="248">
        <f t="shared" si="206"/>
        <v>0</v>
      </c>
      <c r="T236" s="241" t="str">
        <f t="shared" si="188"/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7" t="str">
        <f t="shared" si="183"/>
        <v>https://d0f6bd738d7f1b3e5a7ca70fe4ff75f0.us-east-1.aws.found.io/app/kibana#/discover/Steve-Slow-Train-Analysis-(2080s-and-2083s)?_g=(refreshInterval:(display:Off,pause:!f,section:0,value:0),time:(from:'2017-12-21T13:18:12-0700',mode:absolute,to:'2017-12-21T15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6" s="246" t="str">
        <f>IF(AA236&lt;VLOOKUP(AG236,Variables!$AC$3:$AD$8,2,FALSE),"Y","N")</f>
        <v>Y</v>
      </c>
      <c r="X236" s="246">
        <f t="shared" si="200"/>
        <v>6</v>
      </c>
      <c r="Y236" s="246">
        <f t="shared" si="198"/>
        <v>0.1148</v>
      </c>
      <c r="Z236" s="246">
        <f t="shared" si="199"/>
        <v>0.35149999999999998</v>
      </c>
      <c r="AA236" s="246">
        <f t="shared" si="189"/>
        <v>0.23669999999999997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 t="shared" si="190"/>
        <v>81</v>
      </c>
      <c r="AE236" s="234" t="str">
        <f t="shared" si="184"/>
        <v>aws s3 cp s3://rtdc.mdm.uploadarchive.raw/RTDC4012/ "%USERPROFILE%\AppData\Local\Temp\OnboardLogs"\RTDC4012\2017-12-21 --exclude "*" --recursive --include "*20171221*" &amp; "%USERPROFILE%\Documents\GitHub\mrs-test-scripts\Headless Mode &amp; Sideloading\WalkAndUnGZ.bat" "%USERPROFILE%\AppData\Local\Temp\OnboardLogs"\RTDC4012\2017-12-21 &amp; aws s3 cp s3://rtdc.mdm.uploadarchive.raw/RTDC4012/ "%USERPROFILE%\AppData\Local\Temp\OnboardLogs"\RTDC4012\2017-12-22 --exclude "*" --recursive --include "*20171222*" &amp; "%USERPROFILE%\Documents\GitHub\mrs-test-scripts\Headless Mode &amp; Sideloading\WalkAndUnGZ.bat" "%USERPROFILE%\AppData\Local\Temp\OnboardLogs"\RTDC4012\2017-12-22</v>
      </c>
      <c r="AF236" s="233" t="str">
        <f t="shared" si="185"/>
        <v>"C:\Program Files (x86)\AstroGrep\AstroGrep.exe" /e /r /s /spath="%USERPROFILE%\AppData\Local\Temp\OnboardLogs" /stypes="app*4012*201712212*" /stext=" 21:.+?(?&gt;(PRM\|1\|D)|(KPR)|(KDP)|(train st[a-z]+ moving)|(SYSTEM_STATE:s[a-z]+ state changed)|(Enforcement Action)|(\[TIMEOUT)|(parse_ebi_status: Penalty)|(\|GPPS))"</v>
      </c>
      <c r="AG236" s="243" t="str">
        <f t="shared" si="191"/>
        <v>Shuttle/Test</v>
      </c>
      <c r="AH236" s="235" t="str">
        <f t="shared" si="201"/>
        <v>"%USERPROFILE%\Documents\GitHub\eaglep3\Utilities\RefineRTDCRunTimes.py" --tripid 81-21 --locoid 4012 --swversion DE.1.0.9.0 --startMP 204:1148 --initTime 2017-12-21T14:18:12 --startdatetime 2017-12-21T14:20:30 --delay 63 --endMP 204:3515 --enddatetime 2017-12-21T14:21:38 --enforcementcount 0 &gt;&gt;%USERPROFILE%\Documents\GitHub\eaglep3-reporting\EC\2017-12-21-refined-times.txt</v>
      </c>
      <c r="AI236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0.3515"},{"id":17,"name":"Train ID","value":"81-21"},{"id":16,"name":"Locomotive ID","value":"4012"},{"id":130,"name":"Impact","value":""},{"id":150,"name":"Time of Event (Mountain Time)","value":"14:21:38"},{"id":151,"name":"Denver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2"/>
      <c r="AK236" s="230"/>
      <c r="AL236" s="230"/>
      <c r="AM236" s="239" t="str">
        <f t="shared" si="203"/>
        <v>start /low /b %USERPROFILE%\Documents\GitHub\eaglep3\Utilities\DownloadLogsFromS3.py --loco 4012 --day 2017-12-21</v>
      </c>
      <c r="AN236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21:21:38"},{"id":29,"name":"Sharepoint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205"/>
        <v>https://d0f6bd738d7f1b3e5a7ca70fe4ff75f0.us-east-1.aws.found.io/app/kibana#/discover/Steve-Slow-Train-Analysis-(2080s-and-2083s)?_g=(refreshInterval:(display:Off,pause:!f,section:0,value:0),time:(from:'2017-12-21T13:18:12-0700',mode:absolute,to:'2017-12-21T15:21:38-0700'))&amp;_a=(columns:!('Message%20ID',Summary),filters:!(),index:'emp_*',interval:auto,query:(query_string:(analyze_wildcard:!t,query:'%22rtdc.l.rtdc.4012%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8" t="s">
        <v>692</v>
      </c>
      <c r="B237" s="224">
        <v>4056</v>
      </c>
      <c r="C237" s="226" t="s">
        <v>192</v>
      </c>
      <c r="D237" s="226" t="s">
        <v>1044</v>
      </c>
      <c r="E237" s="225">
        <v>43090.12740740741</v>
      </c>
      <c r="F237" s="225">
        <v>43090.137858796297</v>
      </c>
      <c r="G237" s="224">
        <v>83</v>
      </c>
      <c r="H237" s="226" t="s">
        <v>1068</v>
      </c>
      <c r="I237" s="225">
        <v>43090.139004629629</v>
      </c>
      <c r="J237" s="224">
        <v>0</v>
      </c>
      <c r="K237" s="236" t="str">
        <f t="shared" si="186"/>
        <v>4055/4056</v>
      </c>
      <c r="L237" s="244" t="str">
        <f>VLOOKUP(A237,'Trips&amp;Operators'!$C$1:$G$99911,5,FALSE)</f>
        <v>SPECTOR MICHAEL</v>
      </c>
      <c r="M237" s="223">
        <f t="shared" si="187"/>
        <v>1.1458333319751546E-3</v>
      </c>
      <c r="N237" s="224">
        <f t="shared" si="207"/>
        <v>1.6499999980442226</v>
      </c>
      <c r="O237" s="224"/>
      <c r="P237" s="224"/>
      <c r="Q237" s="227"/>
      <c r="R237" s="241"/>
      <c r="S237" s="248">
        <f t="shared" si="206"/>
        <v>0</v>
      </c>
      <c r="T237" s="241" t="str">
        <f t="shared" si="188"/>
        <v>NorthBound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7" t="str">
        <f t="shared" si="183"/>
        <v>https://d0f6bd738d7f1b3e5a7ca70fe4ff75f0.us-east-1.aws.found.io/app/kibana#/discover/Steve-Slow-Train-Analysis-(2080s-and-2083s)?_g=(refreshInterval:(display:Off,pause:!f,section:0,value:0),time:(from:'2017-12-21T02:03:28-0700',mode:absolute,to:'2017-12-21T04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7" s="246" t="str">
        <f>IF(AA237&lt;VLOOKUP(AG237,Variables!$AC$3:$AD$8,2,FALSE),"Y","N")</f>
        <v>Y</v>
      </c>
      <c r="X237" s="246">
        <f t="shared" si="200"/>
        <v>4</v>
      </c>
      <c r="Y237" s="246">
        <f t="shared" si="198"/>
        <v>4.2599999999999999E-2</v>
      </c>
      <c r="Z237" s="246">
        <f t="shared" si="199"/>
        <v>0.35639999999999999</v>
      </c>
      <c r="AA237" s="246">
        <f t="shared" si="189"/>
        <v>0.31379999999999997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 t="shared" si="190"/>
        <v>85</v>
      </c>
      <c r="AE237" s="234" t="str">
        <f t="shared" si="184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237" s="233" t="str">
        <f t="shared" si="185"/>
        <v>"C:\Program Files (x86)\AstroGrep\AstroGrep.exe" /e /r /s /spath="%USERPROFILE%\AppData\Local\Temp\OnboardLogs" /stypes="app*4056*201712211*" /stext=" 10:.+?(?&gt;(PRM\|1\|D)|(KPR)|(KDP)|(train st[a-z]+ moving)|(SYSTEM_STATE:s[a-z]+ state changed)|(Enforcement Action)|(\[TIMEOUT)|(parse_ebi_status: Penalty)|(\|GPPS))"</v>
      </c>
      <c r="AG237" s="243" t="str">
        <f t="shared" si="191"/>
        <v>Shuttle/Test</v>
      </c>
      <c r="AH237" s="235" t="str">
        <f t="shared" si="201"/>
        <v>"%USERPROFILE%\Documents\GitHub\eaglep3\Utilities\RefineRTDCRunTimes.py" --tripid 85-21 --locoid 4056 --swversion DE.1.0.9.0 --startMP 204:426 --initTime 2017-12-21T03:03:28 --startdatetime 2017-12-21T03:18:31 --delay 83 --endMP 204:3564 --enddatetime 2017-12-21T03:20:10 --enforcementcount 0 &gt;&gt;%USERPROFILE%\Documents\GitHub\eaglep3-reporting\EC\2017-12-21-refined-times.txt</v>
      </c>
      <c r="AI237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0.3564"},{"id":17,"name":"Train ID","value":"85-21"},{"id":16,"name":"Locomotive ID","value":"4056"},{"id":130,"name":"Impact","value":""},{"id":150,"name":"Time of Event (Mountain Time)","value":"03:20:10"},{"id":151,"name":"Denver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2"/>
      <c r="AK237" s="230"/>
      <c r="AL237" s="230"/>
      <c r="AM237" s="239" t="str">
        <f t="shared" si="203"/>
        <v>start /low /b %USERPROFILE%\Documents\GitHub\eaglep3\Utilities\DownloadLogsFromS3.py --loco 4056 --day 2017-12-21</v>
      </c>
      <c r="AN237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205"/>
        <v>https://d0f6bd738d7f1b3e5a7ca70fe4ff75f0.us-east-1.aws.found.io/app/kibana#/discover/Steve-Slow-Train-Analysis-(2080s-and-2083s)?_g=(refreshInterval:(display:Off,pause:!f,section:0,value:0),time:(from:'2017-12-21T02:03:28-0700',mode:absolute,to:'2017-12-21T04:20:10-0700'))&amp;_a=(columns:!('Message%20ID',Summary),filters:!(),index:'emp_*',interval:auto,query:(query_string:(analyze_wildcard:!t,query:'%22rtdc.l.rtdc.4056%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8" t="s">
        <v>692</v>
      </c>
      <c r="B238" s="224">
        <v>4056</v>
      </c>
      <c r="C238" s="226" t="s">
        <v>192</v>
      </c>
      <c r="D238" s="226" t="s">
        <v>1044</v>
      </c>
      <c r="E238" s="225">
        <v>43090.128680555557</v>
      </c>
      <c r="F238" s="225">
        <v>43090.137858796297</v>
      </c>
      <c r="G238" s="224">
        <v>81</v>
      </c>
      <c r="H238" s="226" t="s">
        <v>1068</v>
      </c>
      <c r="I238" s="225">
        <v>43090.139004629629</v>
      </c>
      <c r="J238" s="224">
        <v>0</v>
      </c>
      <c r="K238" s="236" t="str">
        <f t="shared" si="186"/>
        <v>4055/4056</v>
      </c>
      <c r="L238" s="244" t="str">
        <f>VLOOKUP(A238,'Trips&amp;Operators'!$C$1:$G$99911,5,FALSE)</f>
        <v>SPECTOR MICHAEL</v>
      </c>
      <c r="M238" s="223">
        <f t="shared" si="187"/>
        <v>1.1458333319751546E-3</v>
      </c>
      <c r="N238" s="224">
        <f t="shared" si="207"/>
        <v>1.6499999980442226</v>
      </c>
      <c r="O238" s="224"/>
      <c r="P238" s="224"/>
      <c r="Q238" s="227"/>
      <c r="R238" s="241"/>
      <c r="S238" s="248">
        <f t="shared" si="206"/>
        <v>0</v>
      </c>
      <c r="T238" s="241" t="str">
        <f t="shared" si="188"/>
        <v>NorthBound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 t="shared" si="183"/>
        <v>https://d0f6bd738d7f1b3e5a7ca70fe4ff75f0.us-east-1.aws.found.io/app/kibana#/discover/Steve-Slow-Train-Analysis-(2080s-and-2083s)?_g=(refreshInterval:(display:Off,pause:!f,section:0,value:0),time:(from:'2017-12-21T02:05:18-0700',mode:absolute,to:'2017-12-21T04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8" s="246" t="str">
        <f>IF(AA238&lt;VLOOKUP(AG238,Variables!$AC$3:$AD$8,2,FALSE),"Y","N")</f>
        <v>Y</v>
      </c>
      <c r="X238" s="246">
        <f t="shared" si="200"/>
        <v>0</v>
      </c>
      <c r="Y238" s="246">
        <f t="shared" si="198"/>
        <v>4.2599999999999999E-2</v>
      </c>
      <c r="Z238" s="246">
        <f t="shared" si="199"/>
        <v>0.35639999999999999</v>
      </c>
      <c r="AA238" s="246">
        <f t="shared" si="189"/>
        <v>0.31379999999999997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 t="shared" si="190"/>
        <v>85</v>
      </c>
      <c r="AE238" s="234" t="str">
        <f t="shared" si="184"/>
        <v>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 &amp; aws s3 cp s3://rtdc.mdm.uploadarchive.raw/RTDC4056/ "%USERPROFILE%\AppData\Local\Temp\OnboardLogs"\RTDC4056\2017-12-22 --exclude "*" --recursive --include "*20171222*" &amp; "%USERPROFILE%\Documents\GitHub\mrs-test-scripts\Headless Mode &amp; Sideloading\WalkAndUnGZ.bat" "%USERPROFILE%\AppData\Local\Temp\OnboardLogs"\RTDC4056\2017-12-22</v>
      </c>
      <c r="AF238" s="233" t="str">
        <f t="shared" si="185"/>
        <v>"C:\Program Files (x86)\AstroGrep\AstroGrep.exe" /e /r /s /spath="%USERPROFILE%\AppData\Local\Temp\OnboardLogs" /stypes="app*4056*201712211*" /stext=" 10:.+?(?&gt;(PRM\|1\|D)|(KPR)|(KDP)|(train st[a-z]+ moving)|(SYSTEM_STATE:s[a-z]+ state changed)|(Enforcement Action)|(\[TIMEOUT)|(parse_ebi_status: Penalty)|(\|GPPS))"</v>
      </c>
      <c r="AG238" s="243" t="str">
        <f t="shared" si="191"/>
        <v>Shuttle/Test</v>
      </c>
      <c r="AH238" s="235" t="str">
        <f t="shared" si="201"/>
        <v>"%USERPROFILE%\Documents\GitHub\eaglep3\Utilities\RefineRTDCRunTimes.py" --tripid 85-21 --locoid 4056 --swversion DE.1.0.9.0 --startMP 204:426 --initTime 2017-12-21T03:05:18 --startdatetime 2017-12-21T03:18:31 --delay 81 --endMP 204:3564 --enddatetime 2017-12-21T03:20:10 --enforcementcount 0 &gt;&gt;%USERPROFILE%\Documents\GitHub\eaglep3-reporting\EC\2017-12-21-refined-times.txt</v>
      </c>
      <c r="AI238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0.3564"},{"id":17,"name":"Train ID","value":"85-21"},{"id":16,"name":"Locomotive ID","value":"4056"},{"id":130,"name":"Impact","value":""},{"id":150,"name":"Time of Event (Mountain Time)","value":"03:20:10"},{"id":151,"name":"Denver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2"/>
      <c r="AK238" s="230"/>
      <c r="AL238" s="230"/>
      <c r="AM238" s="239" t="str">
        <f t="shared" si="203"/>
        <v>start /low /b %USERPROFILE%\Documents\GitHub\eaglep3\Utilities\DownloadLogsFromS3.py --loco 4056 --day 2017-12-21</v>
      </c>
      <c r="AN238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205"/>
        <v>https://d0f6bd738d7f1b3e5a7ca70fe4ff75f0.us-east-1.aws.found.io/app/kibana#/discover/Steve-Slow-Train-Analysis-(2080s-and-2083s)?_g=(refreshInterval:(display:Off,pause:!f,section:0,value:0),time:(from:'2017-12-21T02:05:18-0700',mode:absolute,to:'2017-12-21T04:20:10-0700'))&amp;_a=(columns:!('Message%20ID',Summary),filters:!(),index:'emp_*',interval:auto,query:(query_string:(analyze_wildcard:!t,query:'%22rtdc.l.rtdc.4056%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28" t="s">
        <v>696</v>
      </c>
      <c r="B239" s="224">
        <v>4055</v>
      </c>
      <c r="C239" s="226" t="s">
        <v>192</v>
      </c>
      <c r="D239" s="226" t="s">
        <v>1069</v>
      </c>
      <c r="E239" s="225">
        <v>43090.140324074076</v>
      </c>
      <c r="F239" s="225">
        <v>43090.142013888886</v>
      </c>
      <c r="G239" s="224">
        <v>75</v>
      </c>
      <c r="H239" s="226" t="s">
        <v>1070</v>
      </c>
      <c r="I239" s="225">
        <v>43090.14303240741</v>
      </c>
      <c r="J239" s="224">
        <v>0</v>
      </c>
      <c r="K239" s="236" t="str">
        <f t="shared" si="186"/>
        <v>4055/4056</v>
      </c>
      <c r="L239" s="244" t="str">
        <f>VLOOKUP(A239,'Trips&amp;Operators'!$C$1:$G$99911,5,FALSE)</f>
        <v>SPECTOR MICHAEL</v>
      </c>
      <c r="M239" s="223">
        <f t="shared" si="187"/>
        <v>1.0185185237787664E-3</v>
      </c>
      <c r="N239" s="224">
        <f t="shared" si="207"/>
        <v>1.4666666742414236</v>
      </c>
      <c r="O239" s="224"/>
      <c r="P239" s="224"/>
      <c r="Q239" s="227"/>
      <c r="R239" s="241"/>
      <c r="S239" s="248">
        <f t="shared" si="206"/>
        <v>0</v>
      </c>
      <c r="T239" s="241" t="str">
        <f t="shared" si="188"/>
        <v>Southbound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7" t="str">
        <f t="shared" si="183"/>
        <v>https://d0f6bd738d7f1b3e5a7ca70fe4ff75f0.us-east-1.aws.found.io/app/kibana#/discover/Steve-Slow-Train-Analysis-(2080s-and-2083s)?_g=(refreshInterval:(display:Off,pause:!f,section:0,value:0),time:(from:'2017-12-21T02:22:04-0700',mode:absolute,to:'2017-12-21T04:25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9" s="246" t="str">
        <f>IF(AA239&lt;VLOOKUP(AG239,Variables!$AC$3:$AD$8,2,FALSE),"Y","N")</f>
        <v>Y</v>
      </c>
      <c r="X239" s="246">
        <f t="shared" si="200"/>
        <v>1</v>
      </c>
      <c r="Y239" s="246">
        <f t="shared" si="198"/>
        <v>0.32429999999999998</v>
      </c>
      <c r="Z239" s="246">
        <f t="shared" si="199"/>
        <v>0.1179</v>
      </c>
      <c r="AA239" s="246">
        <f t="shared" ref="AA239:AA270" si="208">ABS(Z239-Y239)</f>
        <v>0.20639999999999997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 t="shared" si="190"/>
        <v>86</v>
      </c>
      <c r="AE239" s="234" t="str">
        <f t="shared" si="184"/>
        <v>aws s3 cp s3://rtdc.mdm.uploadarchive.raw/RTDC4055/ "%USERPROFILE%\AppData\Local\Temp\OnboardLogs"\RTDC4055\2017-12-21 --exclude "*" --recursive --include "*20171221*" &amp; "%USERPROFILE%\Documents\GitHub\mrs-test-scripts\Headless Mode &amp; Sideloading\WalkAndUnGZ.bat" "%USERPROFILE%\AppData\Local\Temp\OnboardLogs"\RTDC4055\2017-12-21 &amp; aws s3 cp s3://rtdc.mdm.uploadarchive.raw/RTDC4055/ "%USERPROFILE%\AppData\Local\Temp\OnboardLogs"\RTDC4055\2017-12-22 --exclude "*" --recursive --include "*20171222*" &amp; "%USERPROFILE%\Documents\GitHub\mrs-test-scripts\Headless Mode &amp; Sideloading\WalkAndUnGZ.bat" "%USERPROFILE%\AppData\Local\Temp\OnboardLogs"\RTDC4055\2017-12-22</v>
      </c>
      <c r="AF239" s="233" t="str">
        <f t="shared" si="185"/>
        <v>"C:\Program Files (x86)\AstroGrep\AstroGrep.exe" /e /r /s /spath="%USERPROFILE%\AppData\Local\Temp\OnboardLogs" /stypes="app*4055*201712211*" /stext=" 10:.+?(?&gt;(PRM\|1\|D)|(KPR)|(KDP)|(train st[a-z]+ moving)|(SYSTEM_STATE:s[a-z]+ state changed)|(Enforcement Action)|(\[TIMEOUT)|(parse_ebi_status: Penalty)|(\|GPPS))"</v>
      </c>
      <c r="AG239" s="243" t="str">
        <f t="shared" si="191"/>
        <v>Shuttle/Test</v>
      </c>
      <c r="AH239" s="235" t="str">
        <f t="shared" si="201"/>
        <v>"%USERPROFILE%\Documents\GitHub\eaglep3\Utilities\RefineRTDCRunTimes.py" --tripid 86-21 --locoid 4055 --swversion DE.1.0.9.0 --startMP 204:3243 --initTime 2017-12-21T03:22:04 --startdatetime 2017-12-21T03:24:30 --delay 75 --endMP 204:1179 --enddatetime 2017-12-21T03:25:58 --enforcementcount 0 &gt;&gt;%USERPROFILE%\Documents\GitHub\eaglep3-reporting\EC\2017-12-21-refined-times.txt</v>
      </c>
      <c r="AI239" s="237" t="str">
        <f t="shared" si="202"/>
        <v>echo {"issue":{"subject":"","project_id":79,"tracker_id":40,"status_id":1,"priority_id":2,"assigned_to_id":338,"start_date":"2017-12-21","description":"","custom_fields":[{"id":1,"name":"Subdivision","value":"Shuttle/Test"},{"id":4,"name":"Milepost","value":"0.1179"},{"id":17,"name":"Train ID","value":"86-21"},{"id":16,"name":"Locomotive ID","value":"4055"},{"id":130,"name":"Impact","value":""},{"id":150,"name":"Time of Event (Mountain Time)","value":"03:25:58"},{"id":151,"name":"Denver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2"/>
      <c r="AK239" s="230"/>
      <c r="AL239" s="230"/>
      <c r="AM239" s="239" t="str">
        <f t="shared" si="203"/>
        <v>start /low /b %USERPROFILE%\Documents\GitHub\eaglep3\Utilities\DownloadLogsFromS3.py --loco 4055 --day 2017-12-21</v>
      </c>
      <c r="AN239" s="240" t="str">
        <f t="shared" si="204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10:25:58"},{"id":29,"name":"Sharepoint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si="205"/>
        <v>https://d0f6bd738d7f1b3e5a7ca70fe4ff75f0.us-east-1.aws.found.io/app/kibana#/discover/Steve-Slow-Train-Analysis-(2080s-and-2083s)?_g=(refreshInterval:(display:Off,pause:!f,section:0,value:0),time:(from:'2017-12-21T02:22:04-0700',mode:absolute,to:'2017-12-21T04:25:58-0700'))&amp;_a=(columns:!('Message%20ID',Summary),filters:!(),index:'emp_*',interval:auto,query:(query_string:(analyze_wildcard:!t,query:'%22rtdc.l.rtdc.4055%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2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22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s="2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s="2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s="2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</sheetData>
  <autoFilter ref="A12:AG542">
    <sortState ref="A13:AG542">
      <sortCondition ref="AG13:AG239"/>
      <sortCondition ref="AD13:AD239"/>
    </sortState>
  </autoFilter>
  <sortState ref="A13:AN447">
    <sortCondition ref="AG13:AG447"/>
    <sortCondition ref="AD13:AD447"/>
  </sortState>
  <mergeCells count="1">
    <mergeCell ref="A11:P11"/>
  </mergeCells>
  <conditionalFormatting sqref="W11:W12 W548:X1048576 W13:X239">
    <cfRule type="cellIs" dxfId="9" priority="472" operator="equal">
      <formula>"Y"</formula>
    </cfRule>
  </conditionalFormatting>
  <conditionalFormatting sqref="X548:X1048576 X13:X239">
    <cfRule type="cellIs" dxfId="8" priority="455" operator="greaterThan">
      <formula>1</formula>
    </cfRule>
  </conditionalFormatting>
  <conditionalFormatting sqref="X548:X1048576 X12:X239">
    <cfRule type="cellIs" dxfId="7" priority="452" operator="equal">
      <formula>0</formula>
    </cfRule>
  </conditionalFormatting>
  <conditionalFormatting sqref="A13:S239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5" zoomScaleNormal="100" workbookViewId="0">
      <selection activeCell="T7" sqref="T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COUNTIF($O$7:$O$108,"=Y")</f>
        <v>8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COUNTA($O$7:$O$108)-O2</f>
        <v>19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- 2017-12-21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43090.63040509259</v>
      </c>
      <c r="B7" s="30" t="s">
        <v>676</v>
      </c>
      <c r="C7" s="30" t="s">
        <v>677</v>
      </c>
      <c r="D7" s="30" t="s">
        <v>49</v>
      </c>
      <c r="E7" s="30" t="s">
        <v>183</v>
      </c>
      <c r="F7" s="42">
        <v>440</v>
      </c>
      <c r="G7" s="42">
        <v>536</v>
      </c>
      <c r="H7" s="42">
        <v>54098</v>
      </c>
      <c r="I7" s="42">
        <v>52327</v>
      </c>
      <c r="J7" s="30" t="s">
        <v>184</v>
      </c>
      <c r="K7" s="42">
        <v>53277</v>
      </c>
      <c r="L7" s="130" t="s">
        <v>51</v>
      </c>
      <c r="M7" s="131">
        <f t="shared" ref="M7:M33" si="0">CONVERT((I7-K7)/10000,"mi","ft")*IF(L7="Increasing Mileposts (1)",-1,1)</f>
        <v>-501.6</v>
      </c>
      <c r="N7" s="132" t="str">
        <f>VLOOKUP(C7,'Trips&amp;Operators'!$C$1:$G$99911,5,FALSE)</f>
        <v>ROBINSON KADDIBA</v>
      </c>
      <c r="O7" s="174" t="s">
        <v>178</v>
      </c>
      <c r="P7" s="238" t="s">
        <v>533</v>
      </c>
      <c r="Q7" s="30"/>
      <c r="R7" s="80" t="str">
        <f>VLOOKUP(C7,'Train Runs'!$A$13:$AE$10201,31,0)</f>
        <v>aws s3 cp s3://rtdc.mdm.uploadarchive.raw/RTDC4033/ "%USERPROFILE%\AppData\Local\Temp\OnboardLogs"\RTDC4033\2017-12-21 --exclude "*" --recursive --include "*20171221*" &amp; "%USERPROFILE%\Documents\GitHub\mrs-test-scripts\Headless Mode &amp; Sideloading\WalkAndUnGZ.bat" "%USERPROFILE%\AppData\Local\Temp\OnboardLogs"\RTDC4033\2017-12-21 &amp; aws s3 cp s3://rtdc.mdm.uploadarchive.raw/RTDC4033/ "%USERPROFILE%\AppData\Local\Temp\OnboardLogs"\RTDC4033\2017-12-22 --exclude "*" --recursive --include "*20171222*" &amp; "%USERPROFILE%\Documents\GitHub\mrs-test-scripts\Headless Mode &amp; Sideloading\WalkAndUnGZ.bat" "%USERPROFILE%\AppData\Local\Temp\OnboardLogs"\RTDC4033\2017-12-22</v>
      </c>
      <c r="S7" s="83" t="str">
        <f>VLOOKUP(C7,'Train Runs'!$A$13:$AE$10201,22,0)</f>
        <v>https://d0f6bd738d7f1b3e5a7ca70fe4ff75f0.us-east-1.aws.found.io/app/kibana#/discover/Steve-Slow-Train-Analysis-(2080s-and-2083s)?_g=(refreshInterval:(display:Off,pause:!f,section:0,value:0),time:(from:'2017-12-21T13:28:20-0700',mode:absolute,to:'2017-12-21T16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5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/stypes="*4033*201712212*" /stext=" 22:.+?(?&gt;(PRM\|1\|D)|(KPR)|(KDP)|(train st[a-z]+ moving)|(SYSTEM_STATE:s[a-z]+ state changed)|(Enforcement Action)|(\[TIMEOUT)|(parse_ebi_status: Penalty)|(\|GPPS))"</v>
      </c>
      <c r="U7" s="9" t="str">
        <f t="shared" ref="U7:U33" si="2">MID(B7,13,4)</f>
        <v>4033</v>
      </c>
      <c r="V7" s="31">
        <f t="shared" ref="V7:V33" si="3">A7-utc_offset/24</f>
        <v>43090.922071759254</v>
      </c>
      <c r="W7" s="45" t="str">
        <f t="shared" ref="W7:W33" si="4">DetSubdiv(C7)</f>
        <v>EC</v>
      </c>
      <c r="X7" s="22">
        <f t="shared" ref="X7:X33" si="5">VALUE(LEFT(C7,LEN(C7)-3))</f>
        <v>182</v>
      </c>
      <c r="Y7" s="95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Arrival","project_id":79,"tracker_id":40,"status_id":1,"priority_id":2,"assigned_to_id":338,"start_date":"2017-12-21","description":"","custom_fields":[{"id":1,"name":"Subdivision","value":"EC"},{"id":4,"name":"Milepost","value":"5.3277"},{"id":17,"name":"Train ID","value":"182-21"},{"id":16,"name":"Locomotive ID","value":"4033"},{"id":130,"name":"Impact","value":""},{"id":150,"name":"Time of Event (Mountain Time)","value":"15:07:47"},{"id":151,"name":"Denver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/c/Users/stu/AppData/Local/Temp/OnboardLogs/RTDC4033 --include="*4033*201712212*"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"%USERPROFILE%\AppData\Local\Temp\OnboardLogs"\RTDC4033\*4033*201712212* &gt;&gt; 2017-12-21-SliceDisagreementCheck.txt</v>
      </c>
      <c r="AE7" s="143" t="str">
        <f t="shared" ref="AE7" si="7">"start /low /b "&amp;dls3logs&amp;" --loco "&amp;U7&amp;" --day "&amp;TEXT(V7,"YYYY-MM-DD")</f>
        <v>start /low /b %USERPROFILE%\Documents\GitHub\eaglep3\Utilities\DownloadLogsFromS3.py --loco 4033 --day 2017-12-21</v>
      </c>
    </row>
    <row r="8" spans="1:32" s="1" customFormat="1" x14ac:dyDescent="0.25">
      <c r="A8" s="31">
        <v>43090.534907407404</v>
      </c>
      <c r="B8" s="30" t="s">
        <v>390</v>
      </c>
      <c r="C8" s="30" t="s">
        <v>670</v>
      </c>
      <c r="D8" s="30" t="s">
        <v>95</v>
      </c>
      <c r="E8" s="30" t="s">
        <v>190</v>
      </c>
      <c r="F8" s="42">
        <v>300</v>
      </c>
      <c r="G8" s="42">
        <v>357</v>
      </c>
      <c r="H8" s="42">
        <v>20388</v>
      </c>
      <c r="I8" s="42">
        <v>21271</v>
      </c>
      <c r="J8" s="30" t="s">
        <v>191</v>
      </c>
      <c r="K8" s="42">
        <v>20338</v>
      </c>
      <c r="L8" s="130" t="s">
        <v>50</v>
      </c>
      <c r="M8" s="131">
        <f t="shared" si="0"/>
        <v>-492.62400000000002</v>
      </c>
      <c r="N8" s="132" t="str">
        <f>VLOOKUP(C8,'Trips&amp;Operators'!$C$1:$G$99911,5,FALSE)</f>
        <v>HOLCOMB KAMDEN</v>
      </c>
      <c r="O8" s="174" t="s">
        <v>178</v>
      </c>
      <c r="P8" s="238"/>
      <c r="Q8" s="30"/>
      <c r="R8" s="80" t="str">
        <f>VLOOKUP(C8,'Train Runs'!$A$13:$AE$10201,31,0)</f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S8" s="83" t="str">
        <f>VLOOKUP(C8,'Train Runs'!$A$13:$AE$10201,22,0)</f>
        <v>https://d0f6bd738d7f1b3e5a7ca70fe4ff75f0.us-east-1.aws.found.io/app/kibana#/discover/Steve-Slow-Train-Analysis-(2080s-and-2083s)?_g=(refreshInterval:(display:Off,pause:!f,section:0,value:0),time:(from:'2017-12-21T11:40:15-0700',mode:absolute,to:'2017-12-21T13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8" s="85" t="str">
        <f t="shared" si="1"/>
        <v>"C:\Program Files (x86)\AstroGrep\AstroGrep.exe" /e /r /s /spath="%USERPROFILE%\AppData\Local\Temp\OnboardLogs" /stypes="*4028*201712211*" /stext=" 19:.+?(?&gt;(PRM\|1\|D)|(KPR)|(KDP)|(train st[a-z]+ moving)|(SYSTEM_STATE:s[a-z]+ state changed)|(Enforcement Action)|(\[TIMEOUT)|(parse_ebi_status: Penalty)|(\|GPPS))"</v>
      </c>
      <c r="U8" s="9" t="str">
        <f t="shared" si="2"/>
        <v>4028</v>
      </c>
      <c r="V8" s="31">
        <f t="shared" si="3"/>
        <v>43090.826574074068</v>
      </c>
      <c r="W8" s="45" t="str">
        <f t="shared" si="4"/>
        <v>EC</v>
      </c>
      <c r="X8" s="227">
        <f t="shared" si="5"/>
        <v>173</v>
      </c>
      <c r="Y8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{"issue":{"subject":"","project_id":79,"tracker_id":40,"status_id":1,"priority_id":2,"assigned_to_id":338,"start_date":"2017-12-21","description":"","custom_fields":[{"id":1,"name":"Subdivision","value":"EC"},{"id":4,"name":"Milepost","value":"2.0338"},{"id":17,"name":"Train ID","value":"173-21"},{"id":16,"name":"Locomotive ID","value":"4028"},{"id":130,"name":"Impact","value":""},{"id":150,"name":"Time of Event (Mountain Time)","value":"12:50:16"},{"id":151,"name":"Denver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ref="AC8:AC33" si="8"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/c/Users/stu/AppData/Local/Temp/OnboardLogs/RTDC4028 --include="*4028*201712211*"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"%USERPROFILE%\AppData\Local\Temp\OnboardLogs"\RTDC4028\*4028*201712211* &gt;&gt; 2017-12-21-SliceDisagreementCheck.txt</v>
      </c>
      <c r="AE8" s="143" t="str">
        <f t="shared" ref="AE8:AE33" si="9">"start /low /b "&amp;dls3logs&amp;" --loco "&amp;U8&amp;" --day "&amp;TEXT(V8,"YYYY-MM-DD")</f>
        <v>start /low /b %USERPROFILE%\Documents\GitHub\eaglep3\Utilities\DownloadLogsFromS3.py --loco 4028 --day 2017-12-21</v>
      </c>
    </row>
    <row r="9" spans="1:32" s="1" customFormat="1" x14ac:dyDescent="0.25">
      <c r="A9" s="31">
        <v>43090.591284722221</v>
      </c>
      <c r="B9" s="30" t="s">
        <v>673</v>
      </c>
      <c r="C9" s="30" t="s">
        <v>674</v>
      </c>
      <c r="D9" s="30" t="s">
        <v>49</v>
      </c>
      <c r="E9" s="30" t="s">
        <v>190</v>
      </c>
      <c r="F9" s="42">
        <v>200</v>
      </c>
      <c r="G9" s="42">
        <v>250</v>
      </c>
      <c r="H9" s="42">
        <v>30881</v>
      </c>
      <c r="I9" s="42">
        <v>30385</v>
      </c>
      <c r="J9" s="30" t="s">
        <v>191</v>
      </c>
      <c r="K9" s="42">
        <v>30562</v>
      </c>
      <c r="L9" s="130" t="s">
        <v>51</v>
      </c>
      <c r="M9" s="131">
        <f t="shared" si="0"/>
        <v>-93.456000000000003</v>
      </c>
      <c r="N9" s="132" t="str">
        <f>VLOOKUP(C9,'Trips&amp;Operators'!$C$1:$G$99911,5,FALSE)</f>
        <v>HOLCOMB KAMDEN</v>
      </c>
      <c r="O9" s="174" t="s">
        <v>178</v>
      </c>
      <c r="P9" s="238"/>
      <c r="Q9" s="30"/>
      <c r="R9" s="80" t="str">
        <f>VLOOKUP(C9,'Train Runs'!$A$13:$AE$10201,31,0)</f>
        <v>aws s3 cp s3://rtdc.mdm.uploadarchive.raw/RTDC4027/ "%USERPROFILE%\AppData\Local\Temp\OnboardLogs"\RTDC4027\2017-12-21 --exclude "*" --recursive --include "*20171221*" &amp; "%USERPROFILE%\Documents\GitHub\mrs-test-scripts\Headless Mode &amp; Sideloading\WalkAndUnGZ.bat" "%USERPROFILE%\AppData\Local\Temp\OnboardLogs"\RTDC4027\2017-12-21 &amp; aws s3 cp s3://rtdc.mdm.uploadarchive.raw/RTDC4027/ "%USERPROFILE%\AppData\Local\Temp\OnboardLogs"\RTDC4027\2017-12-22 --exclude "*" --recursive --include "*20171222*" &amp; "%USERPROFILE%\Documents\GitHub\mrs-test-scripts\Headless Mode &amp; Sideloading\WalkAndUnGZ.bat" "%USERPROFILE%\AppData\Local\Temp\OnboardLogs"\RTDC4027\2017-12-22</v>
      </c>
      <c r="S9" s="83" t="str">
        <f>VLOOKUP(C9,'Train Runs'!$A$13:$AE$10201,22,0)</f>
        <v>https://d0f6bd738d7f1b3e5a7ca70fe4ff75f0.us-east-1.aws.found.io/app/kibana#/discover/Steve-Slow-Train-Analysis-(2080s-and-2083s)?_g=(refreshInterval:(display:Off,pause:!f,section:0,value:0),time:(from:'2017-12-21T12:30:32-0700',mode:absolute,to:'2017-12-21T15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5" t="str">
        <f t="shared" si="1"/>
        <v>"C:\Program Files (x86)\AstroGrep\AstroGrep.exe" /e /r /s /spath="%USERPROFILE%\AppData\Local\Temp\OnboardLogs" /stypes="*4027*201712212*" /stext=" 21:.+?(?&gt;(PRM\|1\|D)|(KPR)|(KDP)|(train st[a-z]+ moving)|(SYSTEM_STATE:s[a-z]+ state changed)|(Enforcement Action)|(\[TIMEOUT)|(parse_ebi_status: Penalty)|(\|GPPS))"</v>
      </c>
      <c r="U9" s="9" t="str">
        <f t="shared" si="2"/>
        <v>4027</v>
      </c>
      <c r="V9" s="31">
        <f t="shared" si="3"/>
        <v>43090.882951388885</v>
      </c>
      <c r="W9" s="45" t="str">
        <f t="shared" si="4"/>
        <v>EC</v>
      </c>
      <c r="X9" s="227">
        <f t="shared" si="5"/>
        <v>174</v>
      </c>
      <c r="Y9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{"issue":{"subject":"","project_id":79,"tracker_id":40,"status_id":1,"priority_id":2,"assigned_to_id":338,"start_date":"2017-12-21","description":"","custom_fields":[{"id":1,"name":"Subdivision","value":"EC"},{"id":4,"name":"Milepost","value":"3.0562"},{"id":17,"name":"Train ID","value":"174-21"},{"id":16,"name":"Locomotive ID","value":"4027"},{"id":130,"name":"Impact","value":""},{"id":150,"name":"Time of Event (Mountain Time)","value":"14:11:27"},{"id":151,"name":"Denver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8"/>
        <v>grep -hrE -A400 "Enforcement Action" /c/Users/stu/AppData/Local/Temp/OnboardLogs/RTDC4027 --include="*4027*201712212*"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"%USERPROFILE%\AppData\Local\Temp\OnboardLogs"\RTDC4027\*4027*201712212* &gt;&gt; 2017-12-21-SliceDisagreementCheck.txt</v>
      </c>
      <c r="AE9" s="143" t="str">
        <f t="shared" si="9"/>
        <v>start /low /b %USERPROFILE%\Documents\GitHub\eaglep3\Utilities\DownloadLogsFromS3.py --loco 4027 --day 2017-12-21</v>
      </c>
    </row>
    <row r="10" spans="1:32" x14ac:dyDescent="0.25">
      <c r="A10" s="31">
        <v>43090.815868055557</v>
      </c>
      <c r="B10" s="30" t="s">
        <v>664</v>
      </c>
      <c r="C10" s="30" t="s">
        <v>684</v>
      </c>
      <c r="D10" s="30" t="s">
        <v>49</v>
      </c>
      <c r="E10" s="30" t="s">
        <v>190</v>
      </c>
      <c r="F10" s="42">
        <v>550</v>
      </c>
      <c r="G10" s="42">
        <v>786</v>
      </c>
      <c r="H10" s="42">
        <v>217905</v>
      </c>
      <c r="I10" s="42">
        <v>222052</v>
      </c>
      <c r="J10" s="30" t="s">
        <v>191</v>
      </c>
      <c r="K10" s="42">
        <v>222090</v>
      </c>
      <c r="L10" s="130" t="s">
        <v>50</v>
      </c>
      <c r="M10" s="131">
        <f t="shared" si="0"/>
        <v>20.064</v>
      </c>
      <c r="N10" s="132" t="str">
        <f>VLOOKUP(C10,'Trips&amp;Operators'!$C$1:$G$99911,5,FALSE)</f>
        <v>ANDERS STEVEN</v>
      </c>
      <c r="O10" s="174" t="s">
        <v>178</v>
      </c>
      <c r="P10" s="238"/>
      <c r="Q10" s="30"/>
      <c r="R10" s="80" t="str">
        <f>VLOOKUP(C10,'Train Runs'!$A$13:$AE$10201,31,0)</f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S10" s="83" t="str">
        <f>VLOOKUP(C10,'Train Runs'!$A$13:$AE$10201,22,0)</f>
        <v>https://d0f6bd738d7f1b3e5a7ca70fe4ff75f0.us-east-1.aws.found.io/app/kibana#/discover/Steve-Slow-Train-Analysis-(2080s-and-2083s)?_g=(refreshInterval:(display:Off,pause:!f,section:0,value:0),time:(from:'2017-12-21T17:54:52-0700',mode:absolute,to:'2017-12-21T20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0" s="85" t="str">
        <f t="shared" si="1"/>
        <v>"C:\Program Files (x86)\AstroGrep\AstroGrep.exe" /e /r /s /spath="%USERPROFILE%\AppData\Local\Temp\OnboardLogs" /stypes="*4034*201712220*" /stext=" 02:.+?(?&gt;(PRM\|1\|D)|(KPR)|(KDP)|(train st[a-z]+ moving)|(SYSTEM_STATE:s[a-z]+ state changed)|(Enforcement Action)|(\[TIMEOUT)|(parse_ebi_status: Penalty)|(\|GPPS))"</v>
      </c>
      <c r="U10" s="9" t="str">
        <f t="shared" si="2"/>
        <v>4034</v>
      </c>
      <c r="V10" s="31">
        <f t="shared" si="3"/>
        <v>43091.107534722221</v>
      </c>
      <c r="W10" s="45" t="str">
        <f t="shared" si="4"/>
        <v>EC</v>
      </c>
      <c r="X10" s="227">
        <f t="shared" si="5"/>
        <v>221</v>
      </c>
      <c r="Y10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{"issue":{"subject":"","project_id":79,"tracker_id":40,"status_id":1,"priority_id":2,"assigned_to_id":338,"start_date":"2017-12-21","description":"","custom_fields":[{"id":1,"name":"Subdivision","value":"EC"},{"id":4,"name":"Milepost","value":"22.209"},{"id":17,"name":"Train ID","value":"221-21"},{"id":16,"name":"Locomotive ID","value":"4034"},{"id":130,"name":"Impact","value":""},{"id":150,"name":"Time of Event (Mountain Time)","value":"19:34:51"},{"id":151,"name":"Denver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8"/>
        <v>grep -hrE -A400 "Enforcement Action" /c/Users/stu/AppData/Local/Temp/OnboardLogs/RTDC4034 --include="*4034*201712220*"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"%USERPROFILE%\AppData\Local\Temp\OnboardLogs"\RTDC4034\*4034*201712220* &gt;&gt; 2017-12-21-SliceDisagreementCheck.txt</v>
      </c>
      <c r="AE10" s="143" t="str">
        <f t="shared" si="9"/>
        <v>start /low /b %USERPROFILE%\Documents\GitHub\eaglep3\Utilities\DownloadLogsFromS3.py --loco 4034 --day 2017-12-22</v>
      </c>
      <c r="AF10" s="1"/>
    </row>
    <row r="11" spans="1:32" x14ac:dyDescent="0.25">
      <c r="A11" s="31">
        <v>43090.385034722225</v>
      </c>
      <c r="B11" s="30" t="s">
        <v>389</v>
      </c>
      <c r="C11" s="30" t="s">
        <v>666</v>
      </c>
      <c r="D11" s="30" t="s">
        <v>95</v>
      </c>
      <c r="E11" s="30" t="s">
        <v>190</v>
      </c>
      <c r="F11" s="42">
        <v>350</v>
      </c>
      <c r="G11" s="42">
        <v>402</v>
      </c>
      <c r="H11" s="42">
        <v>229028</v>
      </c>
      <c r="I11" s="42">
        <v>227936</v>
      </c>
      <c r="J11" s="30" t="s">
        <v>191</v>
      </c>
      <c r="K11" s="42">
        <v>232080</v>
      </c>
      <c r="L11" s="130" t="s">
        <v>51</v>
      </c>
      <c r="M11" s="131">
        <f t="shared" si="0"/>
        <v>-2188.0320000000002</v>
      </c>
      <c r="N11" s="132" t="str">
        <f>VLOOKUP(C11,'Trips&amp;Operators'!$C$1:$G$99911,5,FALSE)</f>
        <v>WILLIAMS DONTE</v>
      </c>
      <c r="O11" s="174" t="s">
        <v>178</v>
      </c>
      <c r="P11" s="238"/>
      <c r="Q11" s="30"/>
      <c r="R11" s="80" t="str">
        <f>VLOOKUP(C11,'Train Runs'!$A$13:$AE$10201,31,0)</f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S11" s="83" t="str">
        <f>VLOOKUP(C11,'Train Runs'!$A$13:$AE$10201,22,0)</f>
        <v>https://d0f6bd738d7f1b3e5a7ca70fe4ff75f0.us-east-1.aws.found.io/app/kibana#/discover/Steve-Slow-Train-Analysis-(2080s-and-2083s)?_g=(refreshInterval:(display:Off,pause:!f,section:0,value:0),time:(from:'2017-12-21T08:06:55-0700',mode:absolute,to:'2017-12-21T10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1" s="85" t="str">
        <f t="shared" si="1"/>
        <v>"C:\Program Files (x86)\AstroGrep\AstroGrep.exe" /e /r /s /spath="%USERPROFILE%\AppData\Local\Temp\OnboardLogs" /stypes="*4059*201712211*" /stext=" 16:.+?(?&gt;(PRM\|1\|D)|(KPR)|(KDP)|(train st[a-z]+ moving)|(SYSTEM_STATE:s[a-z]+ state changed)|(Enforcement Action)|(\[TIMEOUT)|(parse_ebi_status: Penalty)|(\|GPPS))"</v>
      </c>
      <c r="U11" s="9" t="str">
        <f t="shared" si="2"/>
        <v>4059</v>
      </c>
      <c r="V11" s="31">
        <f t="shared" si="3"/>
        <v>43090.676701388889</v>
      </c>
      <c r="W11" s="45" t="str">
        <f t="shared" si="4"/>
        <v>EC</v>
      </c>
      <c r="X11" s="227">
        <f t="shared" si="5"/>
        <v>138</v>
      </c>
      <c r="Y11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{"issue":{"subject":"","project_id":79,"tracker_id":40,"status_id":1,"priority_id":2,"assigned_to_id":338,"start_date":"2017-12-21","description":"","custom_fields":[{"id":1,"name":"Subdivision","value":"EC"},{"id":4,"name":"Milepost","value":"23.208"},{"id":17,"name":"Train ID","value":"138-21"},{"id":16,"name":"Locomotive ID","value":"4059"},{"id":130,"name":"Impact","value":""},{"id":150,"name":"Time of Event (Mountain Time)","value":"09:14:27"},{"id":151,"name":"Denver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8"/>
        <v>grep -hrE -A400 "Enforcement Action" /c/Users/stu/AppData/Local/Temp/OnboardLogs/RTDC4059 --include="*4059*201712211*"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"%USERPROFILE%\AppData\Local\Temp\OnboardLogs"\RTDC4059\*4059*201712211* &gt;&gt; 2017-12-21-SliceDisagreementCheck.txt</v>
      </c>
      <c r="AE11" s="143" t="str">
        <f t="shared" si="9"/>
        <v>start /low /b %USERPROFILE%\Documents\GitHub\eaglep3\Utilities\DownloadLogsFromS3.py --loco 4059 --day 2017-12-21</v>
      </c>
      <c r="AF11" s="1"/>
    </row>
    <row r="12" spans="1:32" x14ac:dyDescent="0.25">
      <c r="A12" s="31">
        <v>43090.873912037037</v>
      </c>
      <c r="B12" s="30" t="s">
        <v>370</v>
      </c>
      <c r="C12" s="30" t="s">
        <v>687</v>
      </c>
      <c r="D12" s="30" t="s">
        <v>95</v>
      </c>
      <c r="E12" s="30" t="s">
        <v>190</v>
      </c>
      <c r="F12" s="42">
        <v>350</v>
      </c>
      <c r="G12" s="42">
        <v>411</v>
      </c>
      <c r="H12" s="42">
        <v>229408</v>
      </c>
      <c r="I12" s="42">
        <v>228256</v>
      </c>
      <c r="J12" s="30" t="s">
        <v>191</v>
      </c>
      <c r="K12" s="42">
        <v>232080</v>
      </c>
      <c r="L12" s="130" t="s">
        <v>51</v>
      </c>
      <c r="M12" s="131">
        <f t="shared" si="0"/>
        <v>-2019.0719999999999</v>
      </c>
      <c r="N12" s="132" t="str">
        <f>VLOOKUP(C12,'Trips&amp;Operators'!$C$1:$G$99911,5,FALSE)</f>
        <v>ELBAUM MIKE</v>
      </c>
      <c r="O12" s="174" t="s">
        <v>178</v>
      </c>
      <c r="P12" s="238"/>
      <c r="Q12" s="30"/>
      <c r="R12" s="80" t="str">
        <f>VLOOKUP(C12,'Train Runs'!$A$13:$AE$10201,31,0)</f>
        <v>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 &amp; aws s3 cp s3://rtdc.mdm.uploadarchive.raw/RTDC4011/ "%USERPROFILE%\AppData\Local\Temp\OnboardLogs"\RTDC4011\2017-12-22 --exclude "*" --recursive --include "*20171222*" &amp; "%USERPROFILE%\Documents\GitHub\mrs-test-scripts\Headless Mode &amp; Sideloading\WalkAndUnGZ.bat" "%USERPROFILE%\AppData\Local\Temp\OnboardLogs"\RTDC4011\2017-12-22</v>
      </c>
      <c r="S12" s="83" t="str">
        <f>VLOOKUP(C12,'Train Runs'!$A$13:$AE$10201,22,0)</f>
        <v>https://d0f6bd738d7f1b3e5a7ca70fe4ff75f0.us-east-1.aws.found.io/app/kibana#/discover/Steve-Slow-Train-Analysis-(2080s-and-2083s)?_g=(refreshInterval:(display:Off,pause:!f,section:0,value:0),time:(from:'2017-12-21T19:10:41-0700',mode:absolute,to:'2017-12-21T22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5" t="str">
        <f t="shared" si="1"/>
        <v>"C:\Program Files (x86)\AstroGrep\AstroGrep.exe" /e /r /s /spath="%USERPROFILE%\AppData\Local\Temp\OnboardLogs" /stypes="*4011*201712220*" /stext=" 03:.+?(?&gt;(PRM\|1\|D)|(KPR)|(KDP)|(train st[a-z]+ moving)|(SYSTEM_STATE:s[a-z]+ state changed)|(Enforcement Action)|(\[TIMEOUT)|(parse_ebi_status: Penalty)|(\|GPPS))"</v>
      </c>
      <c r="U12" s="9" t="str">
        <f t="shared" si="2"/>
        <v>4011</v>
      </c>
      <c r="V12" s="31">
        <f t="shared" si="3"/>
        <v>43091.165578703702</v>
      </c>
      <c r="W12" s="45" t="str">
        <f t="shared" si="4"/>
        <v>EC</v>
      </c>
      <c r="X12" s="227">
        <f t="shared" si="5"/>
        <v>226</v>
      </c>
      <c r="Y12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{"issue":{"subject":"","project_id":79,"tracker_id":40,"status_id":1,"priority_id":2,"assigned_to_id":338,"start_date":"2017-12-21","description":"","custom_fields":[{"id":1,"name":"Subdivision","value":"EC"},{"id":4,"name":"Milepost","value":"23.208"},{"id":17,"name":"Train ID","value":"226-21"},{"id":16,"name":"Locomotive ID","value":"4011"},{"id":130,"name":"Impact","value":""},{"id":150,"name":"Time of Event (Mountain Time)","value":"20:58:26"},{"id":151,"name":"Denver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8"/>
        <v>grep -hrE -A400 "Enforcement Action" /c/Users/stu/AppData/Local/Temp/OnboardLogs/RTDC4011 --include="*4011*201712220*"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"%USERPROFILE%\AppData\Local\Temp\OnboardLogs"\RTDC4011\*4011*201712220* &gt;&gt; 2017-12-21-SliceDisagreementCheck.txt</v>
      </c>
      <c r="AE12" s="143" t="str">
        <f t="shared" si="9"/>
        <v>start /low /b %USERPROFILE%\Documents\GitHub\eaglep3\Utilities\DownloadLogsFromS3.py --loco 4011 --day 2017-12-22</v>
      </c>
      <c r="AF12" s="1"/>
    </row>
    <row r="13" spans="1:32" x14ac:dyDescent="0.25">
      <c r="A13" s="31">
        <v>43090.70820601852</v>
      </c>
      <c r="B13" s="30" t="s">
        <v>680</v>
      </c>
      <c r="C13" s="30" t="s">
        <v>681</v>
      </c>
      <c r="D13" s="30" t="s">
        <v>95</v>
      </c>
      <c r="E13" s="30" t="s">
        <v>190</v>
      </c>
      <c r="F13" s="42">
        <v>350</v>
      </c>
      <c r="G13" s="42">
        <v>401</v>
      </c>
      <c r="H13" s="42">
        <v>224643</v>
      </c>
      <c r="I13" s="42">
        <v>223164</v>
      </c>
      <c r="J13" s="30" t="s">
        <v>191</v>
      </c>
      <c r="K13" s="42">
        <v>232107</v>
      </c>
      <c r="L13" s="130" t="s">
        <v>51</v>
      </c>
      <c r="M13" s="131">
        <f t="shared" si="0"/>
        <v>-4721.9040000000005</v>
      </c>
      <c r="N13" s="132" t="str">
        <f>VLOOKUP(C13,'Trips&amp;Operators'!$C$1:$G$99911,5,FALSE)</f>
        <v>BADERTSCHER DIANE</v>
      </c>
      <c r="O13" s="174" t="s">
        <v>178</v>
      </c>
      <c r="P13" s="238"/>
      <c r="Q13" s="30"/>
      <c r="R13" s="80" t="str">
        <f>VLOOKUP(C13,'Train Runs'!$A$13:$AE$10201,31,0)</f>
        <v>aws s3 cp s3://rtdc.mdm.uploadarchive.raw/RTDC4063/ "%USERPROFILE%\AppData\Local\Temp\OnboardLogs"\RTDC4063\2017-12-21 --exclude "*" --recursive --include "*20171221*" &amp; "%USERPROFILE%\Documents\GitHub\mrs-test-scripts\Headless Mode &amp; Sideloading\WalkAndUnGZ.bat" "%USERPROFILE%\AppData\Local\Temp\OnboardLogs"\RTDC4063\2017-12-21 &amp; aws s3 cp s3://rtdc.mdm.uploadarchive.raw/RTDC4063/ "%USERPROFILE%\AppData\Local\Temp\OnboardLogs"\RTDC4063\2017-12-22 --exclude "*" --recursive --include "*20171222*" &amp; "%USERPROFILE%\Documents\GitHub\mrs-test-scripts\Headless Mode &amp; Sideloading\WalkAndUnGZ.bat" "%USERPROFILE%\AppData\Local\Temp\OnboardLogs"\RTDC4063\2017-12-22</v>
      </c>
      <c r="S13" s="83" t="str">
        <f>VLOOKUP(C13,'Train Runs'!$A$13:$AE$10201,22,0)</f>
        <v>https://d0f6bd738d7f1b3e5a7ca70fe4ff75f0.us-east-1.aws.found.io/app/kibana#/discover/Steve-Slow-Train-Analysis-(2080s-and-2083s)?_g=(refreshInterval:(display:Off,pause:!f,section:0,value:0),time:(from:'2017-12-21T15:49:59-0700',mode:absolute,to:'2017-12-21T18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5" t="str">
        <f t="shared" si="1"/>
        <v>"C:\Program Files (x86)\AstroGrep\AstroGrep.exe" /e /r /s /spath="%USERPROFILE%\AppData\Local\Temp\OnboardLogs" /stypes="*4063*201712212*" /stext=" 23:.+?(?&gt;(PRM\|1\|D)|(KPR)|(KDP)|(train st[a-z]+ moving)|(SYSTEM_STATE:s[a-z]+ state changed)|(Enforcement Action)|(\[TIMEOUT)|(parse_ebi_status: Penalty)|(\|GPPS))"</v>
      </c>
      <c r="U13" s="9" t="str">
        <f t="shared" si="2"/>
        <v>4063</v>
      </c>
      <c r="V13" s="31">
        <f t="shared" si="3"/>
        <v>43090.999872685185</v>
      </c>
      <c r="W13" s="45" t="str">
        <f t="shared" si="4"/>
        <v>EC</v>
      </c>
      <c r="X13" s="227">
        <f t="shared" si="5"/>
        <v>200</v>
      </c>
      <c r="Y13" s="237" t="str">
        <f t="shared" si="6"/>
        <v>echo {"issue":{"subject":"","project_id":79,"tracker_id":40,"status_id":1,"priority_id":2,"assigned_to_id":338,"start_date":"2017-12-21","description":"","custom_fields":[{"id":1,"name":"Subdivision","value":"EC"},{"id":4,"name":"Milepost","value":"23.2107"},{"id":17,"name":"Train ID","value":"200-21"},{"id":16,"name":"Locomotive ID","value":"4063"},{"id":130,"name":"Impact","value":""},{"id":150,"name":"Time of Event (Mountain Time)","value":"16:59:49"},{"id":151,"name":"Denver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8"/>
        <v>grep -hrE -A400 "Enforcement Action" /c/Users/stu/AppData/Local/Temp/OnboardLogs/RTDC4063 --include="*4063*201712212*"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"%USERPROFILE%\AppData\Local\Temp\OnboardLogs"\RTDC4063\*4063*201712212* &gt;&gt; 2017-12-21-SliceDisagreementCheck.txt</v>
      </c>
      <c r="AE13" s="143" t="str">
        <f t="shared" si="9"/>
        <v>start /low /b %USERPROFILE%\Documents\GitHub\eaglep3\Utilities\DownloadLogsFromS3.py --loco 4063 --day 2017-12-21</v>
      </c>
      <c r="AF13" s="1"/>
    </row>
    <row r="14" spans="1:32" x14ac:dyDescent="0.25">
      <c r="A14" s="31">
        <v>43090.240925925929</v>
      </c>
      <c r="B14" s="30" t="s">
        <v>390</v>
      </c>
      <c r="C14" s="30" t="s">
        <v>656</v>
      </c>
      <c r="D14" s="30" t="s">
        <v>95</v>
      </c>
      <c r="E14" s="30" t="s">
        <v>353</v>
      </c>
      <c r="F14" s="42">
        <v>0</v>
      </c>
      <c r="G14" s="42">
        <v>98</v>
      </c>
      <c r="H14" s="42">
        <v>2816</v>
      </c>
      <c r="I14" s="42">
        <v>3075</v>
      </c>
      <c r="J14" s="30" t="s">
        <v>354</v>
      </c>
      <c r="K14" s="42">
        <v>2789</v>
      </c>
      <c r="L14" s="130" t="s">
        <v>50</v>
      </c>
      <c r="M14" s="131">
        <f t="shared" si="0"/>
        <v>-151.00800000000001</v>
      </c>
      <c r="N14" s="132" t="str">
        <f>VLOOKUP(C14,'Trips&amp;Operators'!$C$1:$G$99911,5,FALSE)</f>
        <v>DAVIDSON DAVID</v>
      </c>
      <c r="O14" s="174" t="s">
        <v>347</v>
      </c>
      <c r="P14" s="238" t="s">
        <v>1108</v>
      </c>
      <c r="Q14" s="30"/>
      <c r="R14" s="80" t="str">
        <f>VLOOKUP(C14,'Train Runs'!$A$13:$AE$10201,31,0)</f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S14" s="83" t="str">
        <f>VLOOKUP(C14,'Train Runs'!$A$13:$AE$10201,22,0)</f>
        <v>https://d0f6bd738d7f1b3e5a7ca70fe4ff75f0.us-east-1.aws.found.io/app/kibana#/discover/Steve-Slow-Train-Analysis-(2080s-and-2083s)?_g=(refreshInterval:(display:Off,pause:!f,section:0,value:0),time:(from:'2017-12-21T04:33:39-0700',mode:absolute,to:'2017-12-21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5" t="str">
        <f t="shared" si="1"/>
        <v>"C:\Program Files (x86)\AstroGrep\AstroGrep.exe" /e /r /s /spath="%USERPROFILE%\AppData\Local\Temp\OnboardLogs" /stypes="*4028*201712211*" /stext=" 12:.+?(?&gt;(PRM\|1\|D)|(KPR)|(KDP)|(train st[a-z]+ moving)|(SYSTEM_STATE:s[a-z]+ state changed)|(Enforcement Action)|(\[TIMEOUT)|(parse_ebi_status: Penalty)|(\|GPPS))"</v>
      </c>
      <c r="U14" s="9" t="str">
        <f t="shared" si="2"/>
        <v>4028</v>
      </c>
      <c r="V14" s="31">
        <f t="shared" si="3"/>
        <v>43090.532592592594</v>
      </c>
      <c r="W14" s="45" t="str">
        <f t="shared" si="4"/>
        <v>EC</v>
      </c>
      <c r="X14" s="227">
        <f t="shared" si="5"/>
        <v>117</v>
      </c>
      <c r="Y14" s="237" t="str">
        <f t="shared" si="6"/>
        <v>echo {"issue":{"subject":"Poor GPS @ DUS","project_id":79,"tracker_id":40,"status_id":1,"priority_id":2,"assigned_to_id":338,"start_date":"2017-12-21","description":"","custom_fields":[{"id":1,"name":"Subdivision","value":"EC"},{"id":4,"name":"Milepost","value":"0.2789"},{"id":17,"name":"Train ID","value":"117-21"},{"id":16,"name":"Locomotive ID","value":"4028"},{"id":130,"name":"Impact","value":""},{"id":150,"name":"Time of Event (Mountain Time)","value":"05:46:56"},{"id":151,"name":"Denver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8"/>
        <v>grep -hrE -A400 "Enforcement Action" /c/Users/stu/AppData/Local/Temp/OnboardLogs/RTDC4028 --include="*4028*201712211*"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"%USERPROFILE%\AppData\Local\Temp\OnboardLogs"\RTDC4028\*4028*201712211* &gt;&gt; 2017-12-21-SliceDisagreementCheck.txt</v>
      </c>
      <c r="AE14" s="143" t="str">
        <f t="shared" si="9"/>
        <v>start /low /b %USERPROFILE%\Documents\GitHub\eaglep3\Utilities\DownloadLogsFromS3.py --loco 4028 --day 2017-12-21</v>
      </c>
      <c r="AF14" s="1"/>
    </row>
    <row r="15" spans="1:32" x14ac:dyDescent="0.25">
      <c r="A15" s="31">
        <v>43090.238402777781</v>
      </c>
      <c r="B15" s="30" t="s">
        <v>361</v>
      </c>
      <c r="C15" s="30" t="s">
        <v>655</v>
      </c>
      <c r="D15" s="30" t="s">
        <v>49</v>
      </c>
      <c r="E15" s="30" t="s">
        <v>353</v>
      </c>
      <c r="F15" s="42">
        <v>0</v>
      </c>
      <c r="G15" s="42">
        <v>147</v>
      </c>
      <c r="H15" s="42">
        <v>28754</v>
      </c>
      <c r="I15" s="42">
        <v>28419</v>
      </c>
      <c r="J15" s="30" t="s">
        <v>354</v>
      </c>
      <c r="K15" s="42">
        <v>28061</v>
      </c>
      <c r="L15" s="130" t="s">
        <v>51</v>
      </c>
      <c r="M15" s="131">
        <f t="shared" si="0"/>
        <v>189.024</v>
      </c>
      <c r="N15" s="132" t="str">
        <f>VLOOKUP(C15,'Trips&amp;Operators'!$C$1:$G$99911,5,FALSE)</f>
        <v>BONDS REYNALDO</v>
      </c>
      <c r="O15" s="174" t="s">
        <v>347</v>
      </c>
      <c r="P15" s="238" t="s">
        <v>464</v>
      </c>
      <c r="Q15" s="30"/>
      <c r="R15" s="80" t="str">
        <f>VLOOKUP(C15,'Train Runs'!$A$13:$AE$10201,31,0)</f>
        <v>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 &amp; aws s3 cp s3://rtdc.mdm.uploadarchive.raw/RTDC4017/ "%USERPROFILE%\AppData\Local\Temp\OnboardLogs"\RTDC4017\2017-12-22 --exclude "*" --recursive --include "*20171222*" &amp; "%USERPROFILE%\Documents\GitHub\mrs-test-scripts\Headless Mode &amp; Sideloading\WalkAndUnGZ.bat" "%USERPROFILE%\AppData\Local\Temp\OnboardLogs"\RTDC4017\2017-12-22</v>
      </c>
      <c r="S15" s="83" t="str">
        <f>VLOOKUP(C15,'Train Runs'!$A$13:$AE$10201,22,0)</f>
        <v>https://d0f6bd738d7f1b3e5a7ca70fe4ff75f0.us-east-1.aws.found.io/app/kibana#/discover/Steve-Slow-Train-Analysis-(2080s-and-2083s)?_g=(refreshInterval:(display:Off,pause:!f,section:0,value:0),time:(from:'2017-12-21T04:08:23-0700',mode:absolute,to:'2017-12-21T06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5" t="str">
        <f t="shared" si="1"/>
        <v>"C:\Program Files (x86)\AstroGrep\AstroGrep.exe" /e /r /s /spath="%USERPROFILE%\AppData\Local\Temp\OnboardLogs" /stypes="*4017*201712211*" /stext=" 12:.+?(?&gt;(PRM\|1\|D)|(KPR)|(KDP)|(train st[a-z]+ moving)|(SYSTEM_STATE:s[a-z]+ state changed)|(Enforcement Action)|(\[TIMEOUT)|(parse_ebi_status: Penalty)|(\|GPPS))"</v>
      </c>
      <c r="U15" s="9" t="str">
        <f t="shared" si="2"/>
        <v>4017</v>
      </c>
      <c r="V15" s="31">
        <f t="shared" si="3"/>
        <v>43090.530069444445</v>
      </c>
      <c r="W15" s="45" t="str">
        <f t="shared" si="4"/>
        <v>EC</v>
      </c>
      <c r="X15" s="227">
        <f t="shared" si="5"/>
        <v>106</v>
      </c>
      <c r="Y15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drop","project_id":79,"tracker_id":40,"status_id":1,"priority_id":2,"assigned_to_id":338,"start_date":"2017-12-21","description":"","custom_fields":[{"id":1,"name":"Subdivision","value":"EC"},{"id":4,"name":"Milepost","value":"2.8061"},{"id":17,"name":"Train ID","value":"106-21"},{"id":16,"name":"Locomotive ID","value":"4017"},{"id":130,"name":"Impact","value":""},{"id":150,"name":"Time of Event (Mountain Time)","value":"05:43:18"},{"id":151,"name":"Denver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8"/>
        <v>grep -hrE -A400 "Enforcement Action" /c/Users/stu/AppData/Local/Temp/OnboardLogs/RTDC4017 --include="*4017*201712211*"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"%USERPROFILE%\AppData\Local\Temp\OnboardLogs"\RTDC4017\*4017*201712211* &gt;&gt; 2017-12-21-SliceDisagreementCheck.txt</v>
      </c>
      <c r="AE15" s="143" t="str">
        <f t="shared" si="9"/>
        <v>start /low /b %USERPROFILE%\Documents\GitHub\eaglep3\Utilities\DownloadLogsFromS3.py --loco 4017 --day 2017-12-21</v>
      </c>
      <c r="AF15" s="1"/>
    </row>
    <row r="16" spans="1:32" x14ac:dyDescent="0.25">
      <c r="A16" s="31">
        <v>43090.47761574074</v>
      </c>
      <c r="B16" s="30" t="s">
        <v>389</v>
      </c>
      <c r="C16" s="30" t="s">
        <v>667</v>
      </c>
      <c r="D16" s="30" t="s">
        <v>49</v>
      </c>
      <c r="E16" s="30" t="s">
        <v>353</v>
      </c>
      <c r="F16" s="42">
        <v>0</v>
      </c>
      <c r="G16" s="42">
        <v>74</v>
      </c>
      <c r="H16" s="42">
        <v>36732</v>
      </c>
      <c r="I16" s="42">
        <v>36572</v>
      </c>
      <c r="J16" s="30" t="s">
        <v>354</v>
      </c>
      <c r="K16" s="42">
        <v>36657</v>
      </c>
      <c r="L16" s="130" t="s">
        <v>51</v>
      </c>
      <c r="M16" s="131">
        <f t="shared" si="0"/>
        <v>-44.88</v>
      </c>
      <c r="N16" s="132" t="str">
        <f>VLOOKUP(C16,'Trips&amp;Operators'!$C$1:$G$99911,5,FALSE)</f>
        <v>WILLIAMS DONTE</v>
      </c>
      <c r="O16" s="174" t="s">
        <v>347</v>
      </c>
      <c r="P16" s="238" t="s">
        <v>464</v>
      </c>
      <c r="Q16" s="30"/>
      <c r="R16" s="80" t="str">
        <f>VLOOKUP(C16,'Train Runs'!$A$13:$AE$10201,31,0)</f>
        <v>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 &amp; aws s3 cp s3://rtdc.mdm.uploadarchive.raw/RTDC4059/ "%USERPROFILE%\AppData\Local\Temp\OnboardLogs"\RTDC4059\2017-12-22 --exclude "*" --recursive --include "*20171222*" &amp; "%USERPROFILE%\Documents\GitHub\mrs-test-scripts\Headless Mode &amp; Sideloading\WalkAndUnGZ.bat" "%USERPROFILE%\AppData\Local\Temp\OnboardLogs"\RTDC4059\2017-12-22</v>
      </c>
      <c r="S16" s="83" t="str">
        <f>VLOOKUP(C16,'Train Runs'!$A$13:$AE$10201,22,0)</f>
        <v>https://d0f6bd738d7f1b3e5a7ca70fe4ff75f0.us-east-1.aws.found.io/app/kibana#/discover/Steve-Slow-Train-Analysis-(2080s-and-2083s)?_g=(refreshInterval:(display:Off,pause:!f,section:0,value:0),time:(from:'2017-12-21T09:53:29-0700',mode:absolute,to:'2017-12-21T12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5" t="str">
        <f t="shared" si="1"/>
        <v>"C:\Program Files (x86)\AstroGrep\AstroGrep.exe" /e /r /s /spath="%USERPROFILE%\AppData\Local\Temp\OnboardLogs" /stypes="*4059*201712211*" /stext=" 18:.+?(?&gt;(PRM\|1\|D)|(KPR)|(KDP)|(train st[a-z]+ moving)|(SYSTEM_STATE:s[a-z]+ state changed)|(Enforcement Action)|(\[TIMEOUT)|(parse_ebi_status: Penalty)|(\|GPPS))"</v>
      </c>
      <c r="U16" s="9" t="str">
        <f t="shared" si="2"/>
        <v>4059</v>
      </c>
      <c r="V16" s="31">
        <f t="shared" si="3"/>
        <v>43090.769282407404</v>
      </c>
      <c r="W16" s="45" t="str">
        <f t="shared" si="4"/>
        <v>EC</v>
      </c>
      <c r="X16" s="227">
        <f t="shared" si="5"/>
        <v>152</v>
      </c>
      <c r="Y16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drop","project_id":79,"tracker_id":40,"status_id":1,"priority_id":2,"assigned_to_id":338,"start_date":"2017-12-21","description":"","custom_fields":[{"id":1,"name":"Subdivision","value":"EC"},{"id":4,"name":"Milepost","value":"3.6657"},{"id":17,"name":"Train ID","value":"152-21"},{"id":16,"name":"Locomotive ID","value":"4059"},{"id":130,"name":"Impact","value":""},{"id":150,"name":"Time of Event (Mountain Time)","value":"11:27:46"},{"id":151,"name":"Denver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8"/>
        <v>grep -hrE -A400 "Enforcement Action" /c/Users/stu/AppData/Local/Temp/OnboardLogs/RTDC4059 --include="*4059*201712211*"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"%USERPROFILE%\AppData\Local\Temp\OnboardLogs"\RTDC4059\*4059*201712211* &gt;&gt; 2017-12-21-SliceDisagreementCheck.txt</v>
      </c>
      <c r="AE16" s="143" t="str">
        <f t="shared" si="9"/>
        <v>start /low /b %USERPROFILE%\Documents\GitHub\eaglep3\Utilities\DownloadLogsFromS3.py --loco 4059 --day 2017-12-21</v>
      </c>
      <c r="AF16" s="1"/>
    </row>
    <row r="17" spans="1:32" x14ac:dyDescent="0.25">
      <c r="A17" s="31">
        <v>43090.326273148145</v>
      </c>
      <c r="B17" s="30" t="s">
        <v>390</v>
      </c>
      <c r="C17" s="30" t="s">
        <v>663</v>
      </c>
      <c r="D17" s="30" t="s">
        <v>49</v>
      </c>
      <c r="E17" s="30" t="s">
        <v>353</v>
      </c>
      <c r="F17" s="42">
        <v>0</v>
      </c>
      <c r="G17" s="42">
        <v>557</v>
      </c>
      <c r="H17" s="42">
        <v>92361</v>
      </c>
      <c r="I17" s="42">
        <v>94761</v>
      </c>
      <c r="J17" s="30" t="s">
        <v>354</v>
      </c>
      <c r="K17" s="42">
        <v>95978</v>
      </c>
      <c r="L17" s="130" t="s">
        <v>50</v>
      </c>
      <c r="M17" s="131">
        <f t="shared" si="0"/>
        <v>642.57600000000002</v>
      </c>
      <c r="N17" s="132" t="str">
        <f>VLOOKUP(C17,'Trips&amp;Operators'!$C$1:$G$99911,5,FALSE)</f>
        <v>DAVIDSON DAVID</v>
      </c>
      <c r="O17" s="174" t="s">
        <v>347</v>
      </c>
      <c r="P17" s="238" t="s">
        <v>464</v>
      </c>
      <c r="Q17" s="30"/>
      <c r="R17" s="80" t="str">
        <f>VLOOKUP(C17,'Train Runs'!$A$13:$AE$10201,31,0)</f>
        <v>aws s3 cp s3://rtdc.mdm.uploadarchive.raw/RTDC4028/ "%USERPROFILE%\AppData\Local\Temp\OnboardLogs"\RTDC4028\2017-12-21 --exclude "*" --recursive --include "*20171221*" &amp; "%USERPROFILE%\Documents\GitHub\mrs-test-scripts\Headless Mode &amp; Sideloading\WalkAndUnGZ.bat" "%USERPROFILE%\AppData\Local\Temp\OnboardLogs"\RTDC4028\2017-12-21 &amp; aws s3 cp s3://rtdc.mdm.uploadarchive.raw/RTDC4028/ "%USERPROFILE%\AppData\Local\Temp\OnboardLogs"\RTDC4028\2017-12-22 --exclude "*" --recursive --include "*20171222*" &amp; "%USERPROFILE%\Documents\GitHub\mrs-test-scripts\Headless Mode &amp; Sideloading\WalkAndUnGZ.bat" "%USERPROFILE%\AppData\Local\Temp\OnboardLogs"\RTDC4028\2017-12-22</v>
      </c>
      <c r="S17" s="83" t="str">
        <f>VLOOKUP(C17,'Train Runs'!$A$13:$AE$10201,22,0)</f>
        <v>https://d0f6bd738d7f1b3e5a7ca70fe4ff75f0.us-east-1.aws.found.io/app/kibana#/discover/Steve-Slow-Train-Analysis-(2080s-and-2083s)?_g=(refreshInterval:(display:Off,pause:!f,section:0,value:0),time:(from:'2017-12-21T06:24:23-0700',mode:absolute,to:'2017-12-21T09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85" t="str">
        <f t="shared" si="1"/>
        <v>"C:\Program Files (x86)\AstroGrep\AstroGrep.exe" /e /r /s /spath="%USERPROFILE%\AppData\Local\Temp\OnboardLogs" /stypes="*4028*201712211*" /stext=" 14:.+?(?&gt;(PRM\|1\|D)|(KPR)|(KDP)|(train st[a-z]+ moving)|(SYSTEM_STATE:s[a-z]+ state changed)|(Enforcement Action)|(\[TIMEOUT)|(parse_ebi_status: Penalty)|(\|GPPS))"</v>
      </c>
      <c r="U17" s="9" t="str">
        <f t="shared" si="2"/>
        <v>4028</v>
      </c>
      <c r="V17" s="31">
        <f t="shared" si="3"/>
        <v>43090.617939814809</v>
      </c>
      <c r="W17" s="45" t="str">
        <f t="shared" si="4"/>
        <v>EC</v>
      </c>
      <c r="X17" s="227">
        <f t="shared" si="5"/>
        <v>131</v>
      </c>
      <c r="Y17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drop","project_id":79,"tracker_id":40,"status_id":1,"priority_id":2,"assigned_to_id":338,"start_date":"2017-12-21","description":"","custom_fields":[{"id":1,"name":"Subdivision","value":"EC"},{"id":4,"name":"Milepost","value":"9.5978"},{"id":17,"name":"Train ID","value":"131-21"},{"id":16,"name":"Locomotive ID","value":"4028"},{"id":130,"name":"Impact","value":""},{"id":150,"name":"Time of Event (Mountain Time)","value":"07:49:50"},{"id":151,"name":"Denver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8"/>
        <v>grep -hrE -A400 "Enforcement Action" /c/Users/stu/AppData/Local/Temp/OnboardLogs/RTDC4028 --include="*4028*201712211*"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"%USERPROFILE%\AppData\Local\Temp\OnboardLogs"\RTDC4028\*4028*201712211* &gt;&gt; 2017-12-21-SliceDisagreementCheck.txt</v>
      </c>
      <c r="AE17" s="143" t="str">
        <f t="shared" si="9"/>
        <v>start /low /b %USERPROFILE%\Documents\GitHub\eaglep3\Utilities\DownloadLogsFromS3.py --loco 4028 --day 2017-12-21</v>
      </c>
      <c r="AF17" s="1"/>
    </row>
    <row r="18" spans="1:32" x14ac:dyDescent="0.25">
      <c r="A18" s="31">
        <v>43090.551458333335</v>
      </c>
      <c r="B18" s="30" t="s">
        <v>471</v>
      </c>
      <c r="C18" s="30" t="s">
        <v>671</v>
      </c>
      <c r="D18" s="30" t="s">
        <v>49</v>
      </c>
      <c r="E18" s="30" t="s">
        <v>353</v>
      </c>
      <c r="F18" s="42">
        <v>0</v>
      </c>
      <c r="G18" s="42">
        <v>73</v>
      </c>
      <c r="H18" s="42">
        <v>231899</v>
      </c>
      <c r="I18" s="42">
        <v>231777</v>
      </c>
      <c r="J18" s="30" t="s">
        <v>354</v>
      </c>
      <c r="K18" s="42">
        <v>231650</v>
      </c>
      <c r="L18" s="130" t="s">
        <v>51</v>
      </c>
      <c r="M18" s="131">
        <f t="shared" si="0"/>
        <v>67.055999999999997</v>
      </c>
      <c r="N18" s="132" t="str">
        <f>VLOOKUP(C18,'Trips&amp;Operators'!$C$1:$G$99911,5,FALSE)</f>
        <v>STRICKLAND EVAN</v>
      </c>
      <c r="O18" s="174" t="s">
        <v>178</v>
      </c>
      <c r="P18" s="238" t="s">
        <v>1110</v>
      </c>
      <c r="Q18" s="30"/>
      <c r="R18" s="80" t="str">
        <f>VLOOKUP(C18,'Train Runs'!$A$13:$AE$10201,31,0)</f>
        <v>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 &amp; aws s3 cp s3://rtdc.mdm.uploadarchive.raw/RTDC4013/ "%USERPROFILE%\AppData\Local\Temp\OnboardLogs"\RTDC4013\2017-12-22 --exclude "*" --recursive --include "*20171222*" &amp; "%USERPROFILE%\Documents\GitHub\mrs-test-scripts\Headless Mode &amp; Sideloading\WalkAndUnGZ.bat" "%USERPROFILE%\AppData\Local\Temp\OnboardLogs"\RTDC4013\2017-12-22</v>
      </c>
      <c r="S18" s="83" t="str">
        <f>VLOOKUP(C18,'Train Runs'!$A$13:$AE$10201,22,0)</f>
        <v>https://d0f6bd738d7f1b3e5a7ca70fe4ff75f0.us-east-1.aws.found.io/app/kibana#/discover/Steve-Slow-Train-Analysis-(2080s-and-2083s)?_g=(refreshInterval:(display:Off,pause:!f,section:0,value:0),time:(from:'2017-12-21T11:55:38-0700',mode:absolute,to:'2017-12-21T14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5" t="str">
        <f t="shared" si="1"/>
        <v>"C:\Program Files (x86)\AstroGrep\AstroGrep.exe" /e /r /s /spath="%USERPROFILE%\AppData\Local\Temp\OnboardLogs" /stypes="*4013*201712212*" /stext=" 20:.+?(?&gt;(PRM\|1\|D)|(KPR)|(KDP)|(train st[a-z]+ moving)|(SYSTEM_STATE:s[a-z]+ state changed)|(Enforcement Action)|(\[TIMEOUT)|(parse_ebi_status: Penalty)|(\|GPPS))"</v>
      </c>
      <c r="U18" s="9" t="str">
        <f t="shared" si="2"/>
        <v>4013</v>
      </c>
      <c r="V18" s="31">
        <f t="shared" si="3"/>
        <v>43090.843124999999</v>
      </c>
      <c r="W18" s="45" t="str">
        <f t="shared" si="4"/>
        <v>EC</v>
      </c>
      <c r="X18" s="227">
        <f t="shared" si="5"/>
        <v>170</v>
      </c>
      <c r="Y18" s="237" t="str">
        <f t="shared" si="6"/>
        <v>echo {"issue":{"subject":"Selected wrong track","project_id":79,"tracker_id":40,"status_id":1,"priority_id":2,"assigned_to_id":338,"start_date":"2017-12-21","description":"","custom_fields":[{"id":1,"name":"Subdivision","value":"EC"},{"id":4,"name":"Milepost","value":"23.165"},{"id":17,"name":"Train ID","value":"170-21"},{"id":16,"name":"Locomotive ID","value":"4013"},{"id":130,"name":"Impact","value":""},{"id":150,"name":"Time of Event (Mountain Time)","value":"13:14:06"},{"id":151,"name":"Denver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8"/>
        <v>grep -hrE -A400 "Enforcement Action" /c/Users/stu/AppData/Local/Temp/OnboardLogs/RTDC4013 --include="*4013*201712212*"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"%USERPROFILE%\AppData\Local\Temp\OnboardLogs"\RTDC4013\*4013*201712212* &gt;&gt; 2017-12-21-SliceDisagreementCheck.txt</v>
      </c>
      <c r="AE18" s="143" t="str">
        <f t="shared" si="9"/>
        <v>start /low /b %USERPROFILE%\Documents\GitHub\eaglep3\Utilities\DownloadLogsFromS3.py --loco 4013 --day 2017-12-21</v>
      </c>
      <c r="AF18" s="1"/>
    </row>
    <row r="19" spans="1:32" x14ac:dyDescent="0.25">
      <c r="A19" s="31">
        <v>43090.244849537034</v>
      </c>
      <c r="B19" s="30" t="s">
        <v>657</v>
      </c>
      <c r="C19" s="30" t="s">
        <v>658</v>
      </c>
      <c r="D19" s="30" t="s">
        <v>49</v>
      </c>
      <c r="E19" s="30" t="s">
        <v>445</v>
      </c>
      <c r="F19" s="42">
        <v>0</v>
      </c>
      <c r="G19" s="42">
        <v>578</v>
      </c>
      <c r="H19" s="42">
        <v>123180</v>
      </c>
      <c r="I19" s="42">
        <v>126019</v>
      </c>
      <c r="J19" s="30" t="s">
        <v>446</v>
      </c>
      <c r="K19" s="42">
        <v>126678</v>
      </c>
      <c r="L19" s="130" t="s">
        <v>50</v>
      </c>
      <c r="M19" s="131">
        <f t="shared" si="0"/>
        <v>347.952</v>
      </c>
      <c r="N19" s="132" t="str">
        <f>VLOOKUP(C19,'Trips&amp;Operators'!$C$1:$G$99911,5,FALSE)</f>
        <v>MAELZER KURT</v>
      </c>
      <c r="O19" s="174" t="s">
        <v>347</v>
      </c>
      <c r="P19" s="238" t="s">
        <v>464</v>
      </c>
      <c r="Q19" s="30"/>
      <c r="R19" s="80" t="str">
        <f>VLOOKUP(C19,'Train Runs'!$A$13:$AE$10201,31,0)</f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S19" s="83" t="str">
        <f>VLOOKUP(C19,'Train Runs'!$A$13:$AE$10201,22,0)</f>
        <v>https://d0f6bd738d7f1b3e5a7ca70fe4ff75f0.us-east-1.aws.found.io/app/kibana#/discover/Steve-Slow-Train-Analysis-(2080s-and-2083s)?_g=(refreshInterval:(display:Off,pause:!f,section:0,value:0),time:(from:'2017-12-21T04:25:53-0700',mode:absolute,to:'2017-12-21T06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9" s="85" t="str">
        <f t="shared" si="1"/>
        <v>"C:\Program Files (x86)\AstroGrep\AstroGrep.exe" /e /r /s /spath="%USERPROFILE%\AppData\Local\Temp\OnboardLogs" /stypes="*4064*201712211*" /stext=" 12:.+?(?&gt;(PRM\|1\|D)|(KPR)|(KDP)|(train st[a-z]+ moving)|(SYSTEM_STATE:s[a-z]+ state changed)|(Enforcement Action)|(\[TIMEOUT)|(parse_ebi_status: Penalty)|(\|GPPS))"</v>
      </c>
      <c r="U19" s="9" t="str">
        <f t="shared" si="2"/>
        <v>4064</v>
      </c>
      <c r="V19" s="31">
        <f t="shared" si="3"/>
        <v>43090.536516203698</v>
      </c>
      <c r="W19" s="45" t="str">
        <f t="shared" si="4"/>
        <v>EC</v>
      </c>
      <c r="X19" s="227">
        <f t="shared" si="5"/>
        <v>115</v>
      </c>
      <c r="Y19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drop","project_id":79,"tracker_id":40,"status_id":1,"priority_id":2,"assigned_to_id":338,"start_date":"2017-12-21","description":"","custom_fields":[{"id":1,"name":"Subdivision","value":"EC"},{"id":4,"name":"Milepost","value":"12.6678"},{"id":17,"name":"Train ID","value":"115-21"},{"id":16,"name":"Locomotive ID","value":"4064"},{"id":130,"name":"Impact","value":""},{"id":150,"name":"Time of Event (Mountain Time)","value":"05:52:35"},{"id":151,"name":"Denver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8"/>
        <v>grep -hrE -A400 "Enforcement Action" /c/Users/stu/AppData/Local/Temp/OnboardLogs/RTDC4064 --include="*4064*201712211*"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"%USERPROFILE%\AppData\Local\Temp\OnboardLogs"\RTDC4064\*4064*201712211* &gt;&gt; 2017-12-21-SliceDisagreementCheck.txt</v>
      </c>
      <c r="AE19" s="143" t="str">
        <f t="shared" si="9"/>
        <v>start /low /b %USERPROFILE%\Documents\GitHub\eaglep3\Utilities\DownloadLogsFromS3.py --loco 4064 --day 2017-12-21</v>
      </c>
      <c r="AF19" s="1"/>
    </row>
    <row r="20" spans="1:32" x14ac:dyDescent="0.25">
      <c r="A20" s="31">
        <v>43090.369212962964</v>
      </c>
      <c r="B20" s="30" t="s">
        <v>664</v>
      </c>
      <c r="C20" s="30" t="s">
        <v>665</v>
      </c>
      <c r="D20" s="30" t="s">
        <v>49</v>
      </c>
      <c r="E20" s="30" t="s">
        <v>445</v>
      </c>
      <c r="F20" s="42">
        <v>0</v>
      </c>
      <c r="G20" s="42">
        <v>551</v>
      </c>
      <c r="H20" s="42">
        <v>125224</v>
      </c>
      <c r="I20" s="42">
        <v>0</v>
      </c>
      <c r="J20" s="30" t="s">
        <v>446</v>
      </c>
      <c r="K20" s="42">
        <v>126678</v>
      </c>
      <c r="L20" s="130" t="s">
        <v>50</v>
      </c>
      <c r="M20" s="131">
        <f t="shared" si="0"/>
        <v>66885.983999999997</v>
      </c>
      <c r="N20" s="132" t="str">
        <f>VLOOKUP(C20,'Trips&amp;Operators'!$C$1:$G$99911,5,FALSE)</f>
        <v>YORK EDGAR</v>
      </c>
      <c r="O20" s="174" t="s">
        <v>347</v>
      </c>
      <c r="P20" s="238" t="s">
        <v>464</v>
      </c>
      <c r="Q20" s="30"/>
      <c r="R20" s="80" t="str">
        <f>VLOOKUP(C20,'Train Runs'!$A$13:$AE$10201,31,0)</f>
        <v>aws s3 cp s3://rtdc.mdm.uploadarchive.raw/RTDC4034/ "%USERPROFILE%\AppData\Local\Temp\OnboardLogs"\RTDC4034\2017-12-21 --exclude "*" --recursive --include "*20171221*" &amp; "%USERPROFILE%\Documents\GitHub\mrs-test-scripts\Headless Mode &amp; Sideloading\WalkAndUnGZ.bat" "%USERPROFILE%\AppData\Local\Temp\OnboardLogs"\RTDC4034\2017-12-21 &amp; aws s3 cp s3://rtdc.mdm.uploadarchive.raw/RTDC4034/ "%USERPROFILE%\AppData\Local\Temp\OnboardLogs"\RTDC4034\2017-12-22 --exclude "*" --recursive --include "*20171222*" &amp; "%USERPROFILE%\Documents\GitHub\mrs-test-scripts\Headless Mode &amp; Sideloading\WalkAndUnGZ.bat" "%USERPROFILE%\AppData\Local\Temp\OnboardLogs"\RTDC4034\2017-12-22</v>
      </c>
      <c r="S20" s="83" t="str">
        <f>VLOOKUP(C20,'Train Runs'!$A$13:$AE$10201,22,0)</f>
        <v>https://d0f6bd738d7f1b3e5a7ca70fe4ff75f0.us-east-1.aws.found.io/app/kibana#/discover/Steve-Slow-Train-Analysis-(2080s-and-2083s)?_g=(refreshInterval:(display:Off,pause:!f,section:0,value:0),time:(from:'2017-12-21T07:20:37-0700',mode:absolute,to:'2017-12-21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0" s="85" t="str">
        <f t="shared" si="1"/>
        <v>"C:\Program Files (x86)\AstroGrep\AstroGrep.exe" /e /r /s /spath="%USERPROFILE%\AppData\Local\Temp\OnboardLogs" /stypes="*4034*201712211*" /stext=" 15:.+?(?&gt;(PRM\|1\|D)|(KPR)|(KDP)|(train st[a-z]+ moving)|(SYSTEM_STATE:s[a-z]+ state changed)|(Enforcement Action)|(\[TIMEOUT)|(parse_ebi_status: Penalty)|(\|GPPS))"</v>
      </c>
      <c r="U20" s="9" t="str">
        <f t="shared" si="2"/>
        <v>4034</v>
      </c>
      <c r="V20" s="31">
        <f t="shared" si="3"/>
        <v>43090.660879629628</v>
      </c>
      <c r="W20" s="45" t="str">
        <f t="shared" si="4"/>
        <v>EC</v>
      </c>
      <c r="X20" s="227">
        <f t="shared" si="5"/>
        <v>139</v>
      </c>
      <c r="Y20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drop","project_id":79,"tracker_id":40,"status_id":1,"priority_id":2,"assigned_to_id":338,"start_date":"2017-12-21","description":"","custom_fields":[{"id":1,"name":"Subdivision","value":"EC"},{"id":4,"name":"Milepost","value":"12.6678"},{"id":17,"name":"Train ID","value":"139-21"},{"id":16,"name":"Locomotive ID","value":"4034"},{"id":130,"name":"Impact","value":""},{"id":150,"name":"Time of Event (Mountain Time)","value":"08:51:40"},{"id":151,"name":"Denver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8"/>
        <v>grep -hrE -A400 "Enforcement Action" /c/Users/stu/AppData/Local/Temp/OnboardLogs/RTDC4034 --include="*4034*201712211*"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"%USERPROFILE%\AppData\Local\Temp\OnboardLogs"\RTDC4034\*4034*201712211* &gt;&gt; 2017-12-21-SliceDisagreementCheck.txt</v>
      </c>
      <c r="AE20" s="143" t="str">
        <f t="shared" si="9"/>
        <v>start /low /b %USERPROFILE%\Documents\GitHub\eaglep3\Utilities\DownloadLogsFromS3.py --loco 4034 --day 2017-12-21</v>
      </c>
      <c r="AF20" s="1"/>
    </row>
    <row r="21" spans="1:32" x14ac:dyDescent="0.25">
      <c r="A21" s="31">
        <v>43090.827662037038</v>
      </c>
      <c r="B21" s="30" t="s">
        <v>657</v>
      </c>
      <c r="C21" s="30" t="s">
        <v>685</v>
      </c>
      <c r="D21" s="30" t="s">
        <v>49</v>
      </c>
      <c r="E21" s="30" t="s">
        <v>445</v>
      </c>
      <c r="F21" s="42">
        <v>0</v>
      </c>
      <c r="G21" s="42">
        <v>609</v>
      </c>
      <c r="H21" s="42">
        <v>123165</v>
      </c>
      <c r="I21" s="42">
        <v>126242</v>
      </c>
      <c r="J21" s="30" t="s">
        <v>446</v>
      </c>
      <c r="K21" s="42">
        <v>126678</v>
      </c>
      <c r="L21" s="130" t="s">
        <v>50</v>
      </c>
      <c r="M21" s="131">
        <f t="shared" si="0"/>
        <v>230.208</v>
      </c>
      <c r="N21" s="132" t="str">
        <f>VLOOKUP(C21,'Trips&amp;Operators'!$C$1:$G$99911,5,FALSE)</f>
        <v>WEST BRYAN</v>
      </c>
      <c r="O21" s="174" t="s">
        <v>347</v>
      </c>
      <c r="P21" s="238" t="s">
        <v>464</v>
      </c>
      <c r="Q21" s="30"/>
      <c r="R21" s="80" t="str">
        <f>VLOOKUP(C21,'Train Runs'!$A$13:$AE$10201,31,0)</f>
        <v>aws s3 cp s3://rtdc.mdm.uploadarchive.raw/RTDC4064/ "%USERPROFILE%\AppData\Local\Temp\OnboardLogs"\RTDC4064\2017-12-21 --exclude "*" --recursive --include "*20171221*" &amp; "%USERPROFILE%\Documents\GitHub\mrs-test-scripts\Headless Mode &amp; Sideloading\WalkAndUnGZ.bat" "%USERPROFILE%\AppData\Local\Temp\OnboardLogs"\RTDC4064\2017-12-21 &amp; aws s3 cp s3://rtdc.mdm.uploadarchive.raw/RTDC4064/ "%USERPROFILE%\AppData\Local\Temp\OnboardLogs"\RTDC4064\2017-12-22 --exclude "*" --recursive --include "*20171222*" &amp; "%USERPROFILE%\Documents\GitHub\mrs-test-scripts\Headless Mode &amp; Sideloading\WalkAndUnGZ.bat" "%USERPROFILE%\AppData\Local\Temp\OnboardLogs"\RTDC4064\2017-12-22</v>
      </c>
      <c r="S21" s="83" t="str">
        <f>VLOOKUP(C21,'Train Runs'!$A$13:$AE$10201,22,0)</f>
        <v>https://d0f6bd738d7f1b3e5a7ca70fe4ff75f0.us-east-1.aws.found.io/app/kibana#/discover/Steve-Slow-Train-Analysis-(2080s-and-2083s)?_g=(refreshInterval:(display:Off,pause:!f,section:0,value:0),time:(from:'2017-12-21T18:22:23-0700',mode:absolute,to:'2017-12-21T20:56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5" t="str">
        <f t="shared" si="1"/>
        <v>"C:\Program Files (x86)\AstroGrep\AstroGrep.exe" /e /r /s /spath="%USERPROFILE%\AppData\Local\Temp\OnboardLogs" /stypes="*4064*201712220*" /stext=" 02:.+?(?&gt;(PRM\|1\|D)|(KPR)|(KDP)|(train st[a-z]+ moving)|(SYSTEM_STATE:s[a-z]+ state changed)|(Enforcement Action)|(\[TIMEOUT)|(parse_ebi_status: Penalty)|(\|GPPS))"</v>
      </c>
      <c r="U21" s="9" t="str">
        <f t="shared" si="2"/>
        <v>4064</v>
      </c>
      <c r="V21" s="31">
        <f t="shared" si="3"/>
        <v>43091.119328703702</v>
      </c>
      <c r="W21" s="45" t="str">
        <f t="shared" si="4"/>
        <v>EC</v>
      </c>
      <c r="X21" s="227">
        <f t="shared" si="5"/>
        <v>223</v>
      </c>
      <c r="Y21" s="237" t="str">
        <f t="shared" si="6"/>
        <v>echo {"issue":{"subject":"Wi-MAX data drop","project_id":79,"tracker_id":40,"status_id":1,"priority_id":2,"assigned_to_id":338,"start_date":"2017-12-21","description":"","custom_fields":[{"id":1,"name":"Subdivision","value":"EC"},{"id":4,"name":"Milepost","value":"12.6678"},{"id":17,"name":"Train ID","value":"223-21"},{"id":16,"name":"Locomotive ID","value":"4064"},{"id":130,"name":"Impact","value":""},{"id":150,"name":"Time of Event (Mountain Time)","value":"19:51:50"},{"id":151,"name":"Denver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8"/>
        <v>grep -hrE -A400 "Enforcement Action" /c/Users/stu/AppData/Local/Temp/OnboardLogs/RTDC4064 --include="*4064*201712220*"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"%USERPROFILE%\AppData\Local\Temp\OnboardLogs"\RTDC4064\*4064*201712220* &gt;&gt; 2017-12-21-SliceDisagreementCheck.txt</v>
      </c>
      <c r="AE21" s="143" t="str">
        <f t="shared" si="9"/>
        <v>start /low /b %USERPROFILE%\Documents\GitHub\eaglep3\Utilities\DownloadLogsFromS3.py --loco 4064 --day 2017-12-22</v>
      </c>
      <c r="AF21" s="1"/>
    </row>
    <row r="22" spans="1:32" x14ac:dyDescent="0.25">
      <c r="A22" s="31">
        <v>43090.765370370369</v>
      </c>
      <c r="B22" s="30" t="s">
        <v>366</v>
      </c>
      <c r="C22" s="30" t="s">
        <v>683</v>
      </c>
      <c r="D22" s="30" t="s">
        <v>49</v>
      </c>
      <c r="E22" s="30" t="s">
        <v>183</v>
      </c>
      <c r="F22" s="42">
        <v>150</v>
      </c>
      <c r="G22" s="42">
        <v>237</v>
      </c>
      <c r="H22" s="42">
        <v>11396</v>
      </c>
      <c r="I22" s="42">
        <v>10680</v>
      </c>
      <c r="J22" s="30" t="s">
        <v>184</v>
      </c>
      <c r="K22" s="42">
        <v>10988</v>
      </c>
      <c r="L22" s="130" t="s">
        <v>51</v>
      </c>
      <c r="M22" s="131">
        <f t="shared" si="0"/>
        <v>-162.624</v>
      </c>
      <c r="N22" s="132" t="str">
        <f>VLOOKUP(C22,'Trips&amp;Operators'!$C$1:$G$99911,5,FALSE)</f>
        <v>RESPASS AARON</v>
      </c>
      <c r="O22" s="174" t="s">
        <v>178</v>
      </c>
      <c r="P22" s="238" t="s">
        <v>533</v>
      </c>
      <c r="Q22" s="30"/>
      <c r="R22" s="80" t="str">
        <f>VLOOKUP(C22,'Train Runs'!$A$13:$AE$10201,31,0)</f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S22" s="83" t="str">
        <f>VLOOKUP(C22,'Train Runs'!$A$13:$AE$10201,22,0)</f>
        <v>https://d0f6bd738d7f1b3e5a7ca70fe4ff75f0.us-east-1.aws.found.io/app/kibana#/discover/Steve-Slow-Train-Analysis-(2080s-and-2083s)?_g=(refreshInterval:(display:Off,pause:!f,section:0,value:0),time:(from:'2017-12-21T16:59:43-0700',mode:absolute,to:'2017-12-21T19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2" s="85" t="str">
        <f t="shared" si="1"/>
        <v>"C:\Program Files (x86)\AstroGrep\AstroGrep.exe" /e /r /s /spath="%USERPROFILE%\AppData\Local\Temp\OnboardLogs" /stypes="*4035*201712220*" /stext=" 01:.+?(?&gt;(PRM\|1\|D)|(KPR)|(KDP)|(train st[a-z]+ moving)|(SYSTEM_STATE:s[a-z]+ state changed)|(Enforcement Action)|(\[TIMEOUT)|(parse_ebi_status: Penalty)|(\|GPPS))"</v>
      </c>
      <c r="U22" s="9" t="str">
        <f t="shared" si="2"/>
        <v>4035</v>
      </c>
      <c r="V22" s="31">
        <f t="shared" si="3"/>
        <v>43091.057037037033</v>
      </c>
      <c r="W22" s="45" t="str">
        <f t="shared" si="4"/>
        <v>NW</v>
      </c>
      <c r="X22" s="227">
        <f t="shared" si="5"/>
        <v>836</v>
      </c>
      <c r="Y22" s="237" t="str">
        <f t="shared" si="6"/>
        <v>echo {"issue":{"subject":"Early Arrival","project_id":79,"tracker_id":40,"status_id":1,"priority_id":2,"assigned_to_id":338,"start_date":"2017-12-21","description":"","custom_fields":[{"id":1,"name":"Subdivision","value":"NW"},{"id":4,"name":"Milepost","value":"1.0988"},{"id":17,"name":"Train ID","value":"836-21"},{"id":16,"name":"Locomotive ID","value":"4035"},{"id":130,"name":"Impact","value":""},{"id":150,"name":"Time of Event (Mountain Time)","value":"18:22:08"},{"id":151,"name":"Denver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 t="shared" si="8"/>
        <v>grep -hrE -A400 "Enforcement Action" /c/Users/stu/AppData/Local/Temp/OnboardLogs/RTDC4035 --include="*4035*201712220*"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"%USERPROFILE%\AppData\Local\Temp\OnboardLogs"\RTDC4035\*4035*201712220* &gt;&gt; 2017-12-21-SliceDisagreementCheck.txt</v>
      </c>
      <c r="AE22" s="143" t="str">
        <f t="shared" si="9"/>
        <v>start /low /b %USERPROFILE%\Documents\GitHub\eaglep3\Utilities\DownloadLogsFromS3.py --loco 4035 --day 2017-12-22</v>
      </c>
      <c r="AF22" s="1"/>
    </row>
    <row r="23" spans="1:32" x14ac:dyDescent="0.25">
      <c r="A23" s="31">
        <v>43090.492638888885</v>
      </c>
      <c r="B23" s="30" t="s">
        <v>668</v>
      </c>
      <c r="C23" s="30" t="s">
        <v>669</v>
      </c>
      <c r="D23" s="30" t="s">
        <v>49</v>
      </c>
      <c r="E23" s="30" t="s">
        <v>190</v>
      </c>
      <c r="F23" s="42">
        <v>300</v>
      </c>
      <c r="G23" s="42">
        <v>600</v>
      </c>
      <c r="H23" s="42">
        <v>26840</v>
      </c>
      <c r="I23" s="42">
        <v>24036</v>
      </c>
      <c r="J23" s="30" t="s">
        <v>191</v>
      </c>
      <c r="K23" s="42">
        <v>23561</v>
      </c>
      <c r="L23" s="130" t="s">
        <v>51</v>
      </c>
      <c r="M23" s="131">
        <f t="shared" si="0"/>
        <v>250.8</v>
      </c>
      <c r="N23" s="132" t="str">
        <f>VLOOKUP(C23,'Trips&amp;Operators'!$C$1:$G$99911,5,FALSE)</f>
        <v>FORTUNATO FRANK</v>
      </c>
      <c r="O23" s="174" t="s">
        <v>178</v>
      </c>
      <c r="P23" s="238"/>
      <c r="Q23" s="30"/>
      <c r="R23" s="80" t="str">
        <f>VLOOKUP(C23,'Train Runs'!$A$13:$AE$10201,31,0)</f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S23" s="83" t="str">
        <f>VLOOKUP(C23,'Train Runs'!$A$13:$AE$10201,22,0)</f>
        <v>https://d0f6bd738d7f1b3e5a7ca70fe4ff75f0.us-east-1.aws.found.io/app/kibana#/discover/Steve-Slow-Train-Analysis-(2080s-and-2083s)?_g=(refreshInterval:(display:Off,pause:!f,section:0,value:0),time:(from:'2017-12-21T10:26:16-0700',mode:absolute,to:'2017-12-21T12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3" s="85" t="str">
        <f t="shared" si="1"/>
        <v>"C:\Program Files (x86)\AstroGrep\AstroGrep.exe" /e /r /s /spath="%USERPROFILE%\AppData\Local\Temp\OnboardLogs" /stypes="*4005*201712211*" /stext=" 18:.+?(?&gt;(PRM\|1\|D)|(KPR)|(KDP)|(train st[a-z]+ moving)|(SYSTEM_STATE:s[a-z]+ state changed)|(Enforcement Action)|(\[TIMEOUT)|(parse_ebi_status: Penalty)|(\|GPPS))"</v>
      </c>
      <c r="U23" s="9" t="str">
        <f t="shared" si="2"/>
        <v>4005</v>
      </c>
      <c r="V23" s="31">
        <f t="shared" si="3"/>
        <v>43090.78430555555</v>
      </c>
      <c r="W23" s="45" t="str">
        <f t="shared" si="4"/>
        <v>NW</v>
      </c>
      <c r="X23" s="227">
        <f t="shared" si="5"/>
        <v>818</v>
      </c>
      <c r="Y23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{"issue":{"subject":"","project_id":79,"tracker_id":40,"status_id":1,"priority_id":2,"assigned_to_id":338,"start_date":"2017-12-21","description":"","custom_fields":[{"id":1,"name":"Subdivision","value":"NW"},{"id":4,"name":"Milepost","value":"2.3561"},{"id":17,"name":"Train ID","value":"818-21"},{"id":16,"name":"Locomotive ID","value":"4005"},{"id":130,"name":"Impact","value":""},{"id":150,"name":"Time of Event (Mountain Time)","value":"11:49:24"},{"id":151,"name":"Denver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 t="shared" si="8"/>
        <v>grep -hrE -A400 "Enforcement Action" /c/Users/stu/AppData/Local/Temp/OnboardLogs/RTDC4005 --include="*4005*201712211*"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"%USERPROFILE%\AppData\Local\Temp\OnboardLogs"\RTDC4005\*4005*201712211* &gt;&gt; 2017-12-21-SliceDisagreementCheck.txt</v>
      </c>
      <c r="AE23" s="143" t="str">
        <f t="shared" si="9"/>
        <v>start /low /b %USERPROFILE%\Documents\GitHub\eaglep3\Utilities\DownloadLogsFromS3.py --loco 4005 --day 2017-12-21</v>
      </c>
      <c r="AF23" s="1"/>
    </row>
    <row r="24" spans="1:32" x14ac:dyDescent="0.25">
      <c r="A24" s="31">
        <v>43090.700624999998</v>
      </c>
      <c r="B24" s="30" t="s">
        <v>668</v>
      </c>
      <c r="C24" s="30" t="s">
        <v>678</v>
      </c>
      <c r="D24" s="30" t="s">
        <v>95</v>
      </c>
      <c r="E24" s="30" t="s">
        <v>190</v>
      </c>
      <c r="F24" s="42">
        <v>300</v>
      </c>
      <c r="G24" s="42">
        <v>356</v>
      </c>
      <c r="H24" s="42">
        <v>21028</v>
      </c>
      <c r="I24" s="42">
        <v>20140</v>
      </c>
      <c r="J24" s="30" t="s">
        <v>191</v>
      </c>
      <c r="K24" s="42">
        <v>23561</v>
      </c>
      <c r="L24" s="130" t="s">
        <v>51</v>
      </c>
      <c r="M24" s="131">
        <f t="shared" si="0"/>
        <v>-1806.288</v>
      </c>
      <c r="N24" s="132" t="str">
        <f>VLOOKUP(C24,'Trips&amp;Operators'!$C$1:$G$99911,5,FALSE)</f>
        <v>STAMBAUGH JAMES</v>
      </c>
      <c r="O24" s="174" t="s">
        <v>178</v>
      </c>
      <c r="P24" s="238"/>
      <c r="Q24" s="30"/>
      <c r="R24" s="80" t="str">
        <f>VLOOKUP(C24,'Train Runs'!$A$13:$AE$10201,31,0)</f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S24" s="83" t="str">
        <f>VLOOKUP(C24,'Train Runs'!$A$13:$AE$10201,22,0)</f>
        <v>https://d0f6bd738d7f1b3e5a7ca70fe4ff75f0.us-east-1.aws.found.io/app/kibana#/discover/Steve-Slow-Train-Analysis-(2080s-and-2083s)?_g=(refreshInterval:(display:Off,pause:!f,section:0,value:0),time:(from:'2017-12-21T15:25:32-0700',mode:absolute,to:'2017-12-21T17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4" s="85" t="str">
        <f t="shared" si="1"/>
        <v>"C:\Program Files (x86)\AstroGrep\AstroGrep.exe" /e /r /s /spath="%USERPROFILE%\AppData\Local\Temp\OnboardLogs" /stypes="*4005*201712212*" /stext=" 23:.+?(?&gt;(PRM\|1\|D)|(KPR)|(KDP)|(train st[a-z]+ moving)|(SYSTEM_STATE:s[a-z]+ state changed)|(Enforcement Action)|(\[TIMEOUT)|(parse_ebi_status: Penalty)|(\|GPPS))"</v>
      </c>
      <c r="U24" s="9" t="str">
        <f t="shared" si="2"/>
        <v>4005</v>
      </c>
      <c r="V24" s="31">
        <f t="shared" si="3"/>
        <v>43090.992291666662</v>
      </c>
      <c r="W24" s="45" t="str">
        <f t="shared" si="4"/>
        <v>NW</v>
      </c>
      <c r="X24" s="227">
        <f t="shared" si="5"/>
        <v>830</v>
      </c>
      <c r="Y24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{"issue":{"subject":"","project_id":79,"tracker_id":40,"status_id":1,"priority_id":2,"assigned_to_id":338,"start_date":"2017-12-21","description":"","custom_fields":[{"id":1,"name":"Subdivision","value":"NW"},{"id":4,"name":"Milepost","value":"2.3561"},{"id":17,"name":"Train ID","value":"830-21"},{"id":16,"name":"Locomotive ID","value":"4005"},{"id":130,"name":"Impact","value":""},{"id":150,"name":"Time of Event (Mountain Time)","value":"16:48:54"},{"id":151,"name":"Denver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 t="shared" si="8"/>
        <v>grep -hrE -A400 "Enforcement Action" /c/Users/stu/AppData/Local/Temp/OnboardLogs/RTDC4005 --include="*4005*201712212*"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"%USERPROFILE%\AppData\Local\Temp\OnboardLogs"\RTDC4005\*4005*201712212* &gt;&gt; 2017-12-21-SliceDisagreementCheck.txt</v>
      </c>
      <c r="AE24" s="143" t="str">
        <f t="shared" si="9"/>
        <v>start /low /b %USERPROFILE%\Documents\GitHub\eaglep3\Utilities\DownloadLogsFromS3.py --loco 4005 --day 2017-12-21</v>
      </c>
      <c r="AF24" s="1"/>
    </row>
    <row r="25" spans="1:32" x14ac:dyDescent="0.25">
      <c r="A25" s="31">
        <v>43090.909641203703</v>
      </c>
      <c r="B25" s="30" t="s">
        <v>668</v>
      </c>
      <c r="C25" s="30" t="s">
        <v>688</v>
      </c>
      <c r="D25" s="30" t="s">
        <v>95</v>
      </c>
      <c r="E25" s="30" t="s">
        <v>190</v>
      </c>
      <c r="F25" s="42">
        <v>300</v>
      </c>
      <c r="G25" s="42">
        <v>351</v>
      </c>
      <c r="H25" s="42">
        <v>21121</v>
      </c>
      <c r="I25" s="42">
        <v>20333</v>
      </c>
      <c r="J25" s="30" t="s">
        <v>191</v>
      </c>
      <c r="K25" s="42">
        <v>23561</v>
      </c>
      <c r="L25" s="130" t="s">
        <v>51</v>
      </c>
      <c r="M25" s="131">
        <f t="shared" si="0"/>
        <v>-1704.384</v>
      </c>
      <c r="N25" s="132" t="str">
        <f>VLOOKUP(C25,'Trips&amp;Operators'!$C$1:$G$99911,5,FALSE)</f>
        <v>RESPASS AARON</v>
      </c>
      <c r="O25" s="174" t="s">
        <v>178</v>
      </c>
      <c r="P25" s="238"/>
      <c r="Q25" s="30"/>
      <c r="R25" s="80" t="str">
        <f>VLOOKUP(C25,'Train Runs'!$A$13:$AE$10201,31,0)</f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S25" s="83" t="str">
        <f>VLOOKUP(C25,'Train Runs'!$A$13:$AE$10201,22,0)</f>
        <v>https://d0f6bd738d7f1b3e5a7ca70fe4ff75f0.us-east-1.aws.found.io/app/kibana#/discover/Steve-Slow-Train-Analysis-(2080s-and-2083s)?_g=(refreshInterval:(display:Off,pause:!f,section:0,value:0),time:(from:'2017-12-21T20:25:27-0700',mode:absolute,to:'2017-12-21T22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5" t="str">
        <f t="shared" si="1"/>
        <v>"C:\Program Files (x86)\AstroGrep\AstroGrep.exe" /e /r /s /spath="%USERPROFILE%\AppData\Local\Temp\OnboardLogs" /stypes="*4005*201712220*" /stext=" 04:.+?(?&gt;(PRM\|1\|D)|(KPR)|(KDP)|(train st[a-z]+ moving)|(SYSTEM_STATE:s[a-z]+ state changed)|(Enforcement Action)|(\[TIMEOUT)|(parse_ebi_status: Penalty)|(\|GPPS))"</v>
      </c>
      <c r="U25" s="9" t="str">
        <f t="shared" si="2"/>
        <v>4005</v>
      </c>
      <c r="V25" s="31">
        <f t="shared" si="3"/>
        <v>43091.201307870368</v>
      </c>
      <c r="W25" s="45" t="str">
        <f t="shared" si="4"/>
        <v>NW</v>
      </c>
      <c r="X25" s="227">
        <f t="shared" si="5"/>
        <v>844</v>
      </c>
      <c r="Y25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{"issue":{"subject":"","project_id":79,"tracker_id":40,"status_id":1,"priority_id":2,"assigned_to_id":338,"start_date":"2017-12-21","description":"","custom_fields":[{"id":1,"name":"Subdivision","value":"NW"},{"id":4,"name":"Milepost","value":"2.3561"},{"id":17,"name":"Train ID","value":"844-21"},{"id":16,"name":"Locomotive ID","value":"4005"},{"id":130,"name":"Impact","value":""},{"id":150,"name":"Time of Event (Mountain Time)","value":"21:49:53"},{"id":151,"name":"Denver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 t="shared" si="8"/>
        <v>grep -hrE -A400 "Enforcement Action" /c/Users/stu/AppData/Local/Temp/OnboardLogs/RTDC4005 --include="*4005*201712220*"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"%USERPROFILE%\AppData\Local\Temp\OnboardLogs"\RTDC4005\*4005*201712220* &gt;&gt; 2017-12-21-SliceDisagreementCheck.txt</v>
      </c>
      <c r="AE25" s="143" t="str">
        <f t="shared" si="9"/>
        <v>start /low /b %USERPROFILE%\Documents\GitHub\eaglep3\Utilities\DownloadLogsFromS3.py --loco 4005 --day 2017-12-22</v>
      </c>
      <c r="AF25" s="1"/>
    </row>
    <row r="26" spans="1:32" x14ac:dyDescent="0.25">
      <c r="A26" s="31">
        <v>43090.490925925929</v>
      </c>
      <c r="B26" s="30" t="s">
        <v>668</v>
      </c>
      <c r="C26" s="30" t="s">
        <v>669</v>
      </c>
      <c r="D26" s="30" t="s">
        <v>95</v>
      </c>
      <c r="E26" s="30" t="s">
        <v>190</v>
      </c>
      <c r="F26" s="42">
        <v>400</v>
      </c>
      <c r="G26" s="42">
        <v>454</v>
      </c>
      <c r="H26" s="42">
        <v>38219</v>
      </c>
      <c r="I26" s="42">
        <v>37135</v>
      </c>
      <c r="J26" s="30" t="s">
        <v>191</v>
      </c>
      <c r="K26" s="42">
        <v>40977</v>
      </c>
      <c r="L26" s="130" t="s">
        <v>51</v>
      </c>
      <c r="M26" s="131">
        <f t="shared" si="0"/>
        <v>-2028.576</v>
      </c>
      <c r="N26" s="132" t="str">
        <f>VLOOKUP(C26,'Trips&amp;Operators'!$C$1:$G$99911,5,FALSE)</f>
        <v>FORTUNATO FRANK</v>
      </c>
      <c r="O26" s="174" t="s">
        <v>178</v>
      </c>
      <c r="P26" s="238"/>
      <c r="Q26" s="30"/>
      <c r="R26" s="80" t="str">
        <f>VLOOKUP(C26,'Train Runs'!$A$13:$AE$10201,31,0)</f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S26" s="83" t="str">
        <f>VLOOKUP(C26,'Train Runs'!$A$13:$AE$10201,22,0)</f>
        <v>https://d0f6bd738d7f1b3e5a7ca70fe4ff75f0.us-east-1.aws.found.io/app/kibana#/discover/Steve-Slow-Train-Analysis-(2080s-and-2083s)?_g=(refreshInterval:(display:Off,pause:!f,section:0,value:0),time:(from:'2017-12-21T10:26:16-0700',mode:absolute,to:'2017-12-21T12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5" t="str">
        <f t="shared" si="1"/>
        <v>"C:\Program Files (x86)\AstroGrep\AstroGrep.exe" /e /r /s /spath="%USERPROFILE%\AppData\Local\Temp\OnboardLogs" /stypes="*4005*201712211*" /stext=" 18:.+?(?&gt;(PRM\|1\|D)|(KPR)|(KDP)|(train st[a-z]+ moving)|(SYSTEM_STATE:s[a-z]+ state changed)|(Enforcement Action)|(\[TIMEOUT)|(parse_ebi_status: Penalty)|(\|GPPS))"</v>
      </c>
      <c r="U26" s="9" t="str">
        <f t="shared" si="2"/>
        <v>4005</v>
      </c>
      <c r="V26" s="31">
        <f t="shared" si="3"/>
        <v>43090.782592592594</v>
      </c>
      <c r="W26" s="45" t="str">
        <f t="shared" si="4"/>
        <v>NW</v>
      </c>
      <c r="X26" s="227">
        <f t="shared" si="5"/>
        <v>818</v>
      </c>
      <c r="Y26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{"issue":{"subject":"","project_id":79,"tracker_id":40,"status_id":1,"priority_id":2,"assigned_to_id":338,"start_date":"2017-12-21","description":"","custom_fields":[{"id":1,"name":"Subdivision","value":"NW"},{"id":4,"name":"Milepost","value":"4.0977"},{"id":17,"name":"Train ID","value":"818-21"},{"id":16,"name":"Locomotive ID","value":"4005"},{"id":130,"name":"Impact","value":""},{"id":150,"name":"Time of Event (Mountain Time)","value":"11:46:56"},{"id":151,"name":"Denver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 t="shared" si="8"/>
        <v>grep -hrE -A400 "Enforcement Action" /c/Users/stu/AppData/Local/Temp/OnboardLogs/RTDC4005 --include="*4005*201712211*"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"%USERPROFILE%\AppData\Local\Temp\OnboardLogs"\RTDC4005\*4005*201712211* &gt;&gt; 2017-12-21-SliceDisagreementCheck.txt</v>
      </c>
      <c r="AE26" s="143" t="str">
        <f t="shared" si="9"/>
        <v>start /low /b %USERPROFILE%\Documents\GitHub\eaglep3\Utilities\DownloadLogsFromS3.py --loco 4005 --day 2017-12-21</v>
      </c>
      <c r="AF26" s="1"/>
    </row>
    <row r="27" spans="1:32" x14ac:dyDescent="0.25">
      <c r="A27" s="31">
        <v>43090.702523148146</v>
      </c>
      <c r="B27" s="30" t="s">
        <v>365</v>
      </c>
      <c r="C27" s="30" t="s">
        <v>679</v>
      </c>
      <c r="D27" s="30" t="s">
        <v>49</v>
      </c>
      <c r="E27" s="30" t="s">
        <v>190</v>
      </c>
      <c r="F27" s="42">
        <v>150</v>
      </c>
      <c r="G27" s="42">
        <v>319</v>
      </c>
      <c r="H27" s="42">
        <v>55596</v>
      </c>
      <c r="I27" s="42">
        <v>56183</v>
      </c>
      <c r="J27" s="30" t="s">
        <v>191</v>
      </c>
      <c r="K27" s="42">
        <v>57008</v>
      </c>
      <c r="L27" s="130" t="s">
        <v>50</v>
      </c>
      <c r="M27" s="131">
        <f t="shared" si="0"/>
        <v>435.6</v>
      </c>
      <c r="N27" s="132" t="str">
        <f>VLOOKUP(C27,'Trips&amp;Operators'!$C$1:$G$99911,5,FALSE)</f>
        <v>RESPASS AARON</v>
      </c>
      <c r="O27" s="174" t="s">
        <v>178</v>
      </c>
      <c r="P27" s="238"/>
      <c r="Q27" s="30"/>
      <c r="R27" s="80" t="str">
        <f>VLOOKUP(C27,'Train Runs'!$A$13:$AE$10201,31,0)</f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S27" s="83" t="str">
        <f>VLOOKUP(C27,'Train Runs'!$A$13:$AE$10201,22,0)</f>
        <v>https://d0f6bd738d7f1b3e5a7ca70fe4ff75f0.us-east-1.aws.found.io/app/kibana#/discover/Steve-Slow-Train-Analysis-(2080s-and-2083s)?_g=(refreshInterval:(display:Off,pause:!f,section:0,value:0),time:(from:'2017-12-21T15:35:54-0700',mode:absolute,to:'2017-12-21T17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7" s="85" t="str">
        <f t="shared" si="1"/>
        <v>"C:\Program Files (x86)\AstroGrep\AstroGrep.exe" /e /r /s /spath="%USERPROFILE%\AppData\Local\Temp\OnboardLogs" /stypes="*4036*201712212*" /stext=" 23:.+?(?&gt;(PRM\|1\|D)|(KPR)|(KDP)|(train st[a-z]+ moving)|(SYSTEM_STATE:s[a-z]+ state changed)|(Enforcement Action)|(\[TIMEOUT)|(parse_ebi_status: Penalty)|(\|GPPS))"</v>
      </c>
      <c r="U27" s="9" t="str">
        <f t="shared" si="2"/>
        <v>4036</v>
      </c>
      <c r="V27" s="31">
        <f t="shared" si="3"/>
        <v>43090.99418981481</v>
      </c>
      <c r="W27" s="45" t="str">
        <f t="shared" si="4"/>
        <v>NW</v>
      </c>
      <c r="X27" s="227">
        <f t="shared" si="5"/>
        <v>831</v>
      </c>
      <c r="Y27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{"issue":{"subject":"","project_id":79,"tracker_id":40,"status_id":1,"priority_id":2,"assigned_to_id":338,"start_date":"2017-12-21","description":"","custom_fields":[{"id":1,"name":"Subdivision","value":"NW"},{"id":4,"name":"Milepost","value":"5.7008"},{"id":17,"name":"Train ID","value":"831-21"},{"id":16,"name":"Locomotive ID","value":"4036"},{"id":130,"name":"Impact","value":""},{"id":150,"name":"Time of Event (Mountain Time)","value":"16:51:38"},{"id":151,"name":"Denver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 t="shared" si="8"/>
        <v>grep -hrE -A400 "Enforcement Action" /c/Users/stu/AppData/Local/Temp/OnboardLogs/RTDC4036 --include="*4036*201712212*"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"%USERPROFILE%\AppData\Local\Temp\OnboardLogs"\RTDC4036\*4036*201712212* &gt;&gt; 2017-12-21-SliceDisagreementCheck.txt</v>
      </c>
      <c r="AE27" s="143" t="str">
        <f t="shared" si="9"/>
        <v>start /low /b %USERPROFILE%\Documents\GitHub\eaglep3\Utilities\DownloadLogsFromS3.py --loco 4036 --day 2017-12-21</v>
      </c>
      <c r="AF27" s="1"/>
    </row>
    <row r="28" spans="1:32" x14ac:dyDescent="0.25">
      <c r="A28" s="31">
        <v>43090.90519675926</v>
      </c>
      <c r="B28" s="30" t="s">
        <v>668</v>
      </c>
      <c r="C28" s="30" t="s">
        <v>688</v>
      </c>
      <c r="D28" s="30" t="s">
        <v>95</v>
      </c>
      <c r="E28" s="30" t="s">
        <v>190</v>
      </c>
      <c r="F28" s="42">
        <v>150</v>
      </c>
      <c r="G28" s="42">
        <v>201</v>
      </c>
      <c r="H28" s="42">
        <v>56843</v>
      </c>
      <c r="I28" s="42">
        <v>56581</v>
      </c>
      <c r="J28" s="30" t="s">
        <v>191</v>
      </c>
      <c r="K28" s="42">
        <v>59060</v>
      </c>
      <c r="L28" s="130" t="s">
        <v>51</v>
      </c>
      <c r="M28" s="131">
        <f t="shared" si="0"/>
        <v>-1308.912</v>
      </c>
      <c r="N28" s="132" t="str">
        <f>VLOOKUP(C28,'Trips&amp;Operators'!$C$1:$G$99911,5,FALSE)</f>
        <v>RESPASS AARON</v>
      </c>
      <c r="O28" s="174" t="s">
        <v>178</v>
      </c>
      <c r="P28" s="238"/>
      <c r="Q28" s="30"/>
      <c r="R28" s="80" t="str">
        <f>VLOOKUP(C28,'Train Runs'!$A$13:$AE$10201,31,0)</f>
        <v>aws s3 cp s3://rtdc.mdm.uploadarchive.raw/RTDC4005/ "%USERPROFILE%\AppData\Local\Temp\OnboardLogs"\RTDC4005\2017-12-21 --exclude "*" --recursive --include "*20171221*" &amp; "%USERPROFILE%\Documents\GitHub\mrs-test-scripts\Headless Mode &amp; Sideloading\WalkAndUnGZ.bat" "%USERPROFILE%\AppData\Local\Temp\OnboardLogs"\RTDC4005\2017-12-21 &amp; 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</v>
      </c>
      <c r="S28" s="83" t="str">
        <f>VLOOKUP(C28,'Train Runs'!$A$13:$AE$10201,22,0)</f>
        <v>https://d0f6bd738d7f1b3e5a7ca70fe4ff75f0.us-east-1.aws.found.io/app/kibana#/discover/Steve-Slow-Train-Analysis-(2080s-and-2083s)?_g=(refreshInterval:(display:Off,pause:!f,section:0,value:0),time:(from:'2017-12-21T20:25:27-0700',mode:absolute,to:'2017-12-21T22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5" t="str">
        <f t="shared" si="1"/>
        <v>"C:\Program Files (x86)\AstroGrep\AstroGrep.exe" /e /r /s /spath="%USERPROFILE%\AppData\Local\Temp\OnboardLogs" /stypes="*4005*201712220*" /stext=" 04:.+?(?&gt;(PRM\|1\|D)|(KPR)|(KDP)|(train st[a-z]+ moving)|(SYSTEM_STATE:s[a-z]+ state changed)|(Enforcement Action)|(\[TIMEOUT)|(parse_ebi_status: Penalty)|(\|GPPS))"</v>
      </c>
      <c r="U28" s="9" t="str">
        <f t="shared" si="2"/>
        <v>4005</v>
      </c>
      <c r="V28" s="31">
        <f t="shared" si="3"/>
        <v>43091.196863425925</v>
      </c>
      <c r="W28" s="45" t="str">
        <f t="shared" si="4"/>
        <v>NW</v>
      </c>
      <c r="X28" s="227">
        <f t="shared" si="5"/>
        <v>844</v>
      </c>
      <c r="Y28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{"issue":{"subject":"","project_id":79,"tracker_id":40,"status_id":1,"priority_id":2,"assigned_to_id":338,"start_date":"2017-12-21","description":"","custom_fields":[{"id":1,"name":"Subdivision","value":"NW"},{"id":4,"name":"Milepost","value":"5.906"},{"id":17,"name":"Train ID","value":"844-21"},{"id":16,"name":"Locomotive ID","value":"4005"},{"id":130,"name":"Impact","value":""},{"id":150,"name":"Time of Event (Mountain Time)","value":"21:43:29"},{"id":151,"name":"Denver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 t="shared" si="8"/>
        <v>grep -hrE -A400 "Enforcement Action" /c/Users/stu/AppData/Local/Temp/OnboardLogs/RTDC4005 --include="*4005*201712220*"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"%USERPROFILE%\AppData\Local\Temp\OnboardLogs"\RTDC4005\*4005*201712220* &gt;&gt; 2017-12-21-SliceDisagreementCheck.txt</v>
      </c>
      <c r="AE28" s="143" t="str">
        <f t="shared" si="9"/>
        <v>start /low /b %USERPROFILE%\Documents\GitHub\eaglep3\Utilities\DownloadLogsFromS3.py --loco 4005 --day 2017-12-22</v>
      </c>
      <c r="AF28" s="1"/>
    </row>
    <row r="29" spans="1:32" x14ac:dyDescent="0.25">
      <c r="A29" s="31">
        <v>43090.224444444444</v>
      </c>
      <c r="B29" s="30" t="s">
        <v>366</v>
      </c>
      <c r="C29" s="30" t="s">
        <v>654</v>
      </c>
      <c r="D29" s="30" t="s">
        <v>49</v>
      </c>
      <c r="E29" s="30" t="s">
        <v>353</v>
      </c>
      <c r="F29" s="42">
        <v>0</v>
      </c>
      <c r="G29" s="42">
        <v>89</v>
      </c>
      <c r="H29" s="42">
        <v>4813</v>
      </c>
      <c r="I29" s="42">
        <v>4623</v>
      </c>
      <c r="J29" s="30" t="s">
        <v>354</v>
      </c>
      <c r="K29" s="42">
        <v>4798</v>
      </c>
      <c r="L29" s="130" t="s">
        <v>51</v>
      </c>
      <c r="M29" s="131">
        <f t="shared" si="0"/>
        <v>-92.4</v>
      </c>
      <c r="N29" s="132" t="str">
        <f>VLOOKUP(C29,'Trips&amp;Operators'!$C$1:$G$99911,5,FALSE)</f>
        <v>LOPES KIMBERLY</v>
      </c>
      <c r="O29" s="174" t="s">
        <v>347</v>
      </c>
      <c r="P29" s="238" t="s">
        <v>652</v>
      </c>
      <c r="Q29" s="30"/>
      <c r="R29" s="80" t="str">
        <f>VLOOKUP(C29,'Train Runs'!$A$13:$AE$10201,31,0)</f>
        <v>aws s3 cp s3://rtdc.mdm.uploadarchive.raw/RTDC4035/ "%USERPROFILE%\AppData\Local\Temp\OnboardLogs"\RTDC4035\2017-12-21 --exclude "*" --recursive --include "*20171221*" &amp; "%USERPROFILE%\Documents\GitHub\mrs-test-scripts\Headless Mode &amp; Sideloading\WalkAndUnGZ.bat" "%USERPROFILE%\AppData\Local\Temp\OnboardLogs"\RTDC4035\2017-12-21 &amp; aws s3 cp s3://rtdc.mdm.uploadarchive.raw/RTDC4035/ "%USERPROFILE%\AppData\Local\Temp\OnboardLogs"\RTDC4035\2017-12-22 --exclude "*" --recursive --include "*20171222*" &amp; "%USERPROFILE%\Documents\GitHub\mrs-test-scripts\Headless Mode &amp; Sideloading\WalkAndUnGZ.bat" "%USERPROFILE%\AppData\Local\Temp\OnboardLogs"\RTDC4035\2017-12-22</v>
      </c>
      <c r="S29" s="83" t="str">
        <f>VLOOKUP(C29,'Train Runs'!$A$13:$AE$10201,22,0)</f>
        <v>https://d0f6bd738d7f1b3e5a7ca70fe4ff75f0.us-east-1.aws.found.io/app/kibana#/discover/Steve-Slow-Train-Analysis-(2080s-and-2083s)?_g=(refreshInterval:(display:Off,pause:!f,section:0,value:0),time:(from:'2017-12-21T03:59:09-0700',mode:absolute,to:'2017-12-21T06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9" s="85" t="str">
        <f t="shared" si="1"/>
        <v>"C:\Program Files (x86)\AstroGrep\AstroGrep.exe" /e /r /s /spath="%USERPROFILE%\AppData\Local\Temp\OnboardLogs" /stypes="*4035*201712211*" /stext=" 12:.+?(?&gt;(PRM\|1\|D)|(KPR)|(KDP)|(train st[a-z]+ moving)|(SYSTEM_STATE:s[a-z]+ state changed)|(Enforcement Action)|(\[TIMEOUT)|(parse_ebi_status: Penalty)|(\|GPPS))"</v>
      </c>
      <c r="U29" s="9" t="str">
        <f t="shared" si="2"/>
        <v>4035</v>
      </c>
      <c r="V29" s="31">
        <f t="shared" si="3"/>
        <v>43090.516111111108</v>
      </c>
      <c r="W29" s="45" t="str">
        <f t="shared" si="4"/>
        <v>NW</v>
      </c>
      <c r="X29" s="227">
        <f t="shared" si="5"/>
        <v>800</v>
      </c>
      <c r="Y29" s="237" t="str">
        <f t="shared" si="6"/>
        <v>echo {"issue":{"subject":"Poor GPS @ Wewatta","project_id":79,"tracker_id":40,"status_id":1,"priority_id":2,"assigned_to_id":338,"start_date":"2017-12-21","description":"","custom_fields":[{"id":1,"name":"Subdivision","value":"NW"},{"id":4,"name":"Milepost","value":"0.4798"},{"id":17,"name":"Train ID","value":"800-21"},{"id":16,"name":"Locomotive ID","value":"4035"},{"id":130,"name":"Impact","value":""},{"id":150,"name":"Time of Event (Mountain Time)","value":"05:23:12"},{"id":151,"name":"Denver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7"/>
      <c r="AA29" s="230"/>
      <c r="AB29" s="230"/>
      <c r="AC29" s="114" t="str">
        <f t="shared" si="8"/>
        <v>grep -hrE -A400 "Enforcement Action" /c/Users/stu/AppData/Local/Temp/OnboardLogs/RTDC4035 --include="*4035*201712211*"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"%USERPROFILE%\AppData\Local\Temp\OnboardLogs"\RTDC4035\*4035*201712211* &gt;&gt; 2017-12-21-SliceDisagreementCheck.txt</v>
      </c>
      <c r="AE29" s="143" t="str">
        <f t="shared" si="9"/>
        <v>start /low /b %USERPROFILE%\Documents\GitHub\eaglep3\Utilities\DownloadLogsFromS3.py --loco 4035 --day 2017-12-21</v>
      </c>
      <c r="AF29" s="1"/>
    </row>
    <row r="30" spans="1:32" x14ac:dyDescent="0.25">
      <c r="A30" s="31">
        <v>43090.282743055555</v>
      </c>
      <c r="B30" s="30" t="s">
        <v>365</v>
      </c>
      <c r="C30" s="30" t="s">
        <v>661</v>
      </c>
      <c r="D30" s="30" t="s">
        <v>49</v>
      </c>
      <c r="E30" s="30" t="s">
        <v>353</v>
      </c>
      <c r="F30" s="42">
        <v>0</v>
      </c>
      <c r="G30" s="42">
        <v>285</v>
      </c>
      <c r="H30" s="42">
        <v>32431</v>
      </c>
      <c r="I30" s="42">
        <v>33227</v>
      </c>
      <c r="J30" s="30" t="s">
        <v>354</v>
      </c>
      <c r="K30" s="42">
        <v>34583</v>
      </c>
      <c r="L30" s="130" t="s">
        <v>50</v>
      </c>
      <c r="M30" s="131">
        <f t="shared" si="0"/>
        <v>715.96799999999996</v>
      </c>
      <c r="N30" s="132" t="str">
        <f>VLOOKUP(C30,'Trips&amp;Operators'!$C$1:$G$99911,5,FALSE)</f>
        <v>LOPES KIMBERLY</v>
      </c>
      <c r="O30" s="174" t="s">
        <v>178</v>
      </c>
      <c r="P30" s="238" t="s">
        <v>1113</v>
      </c>
      <c r="Q30" s="30"/>
      <c r="R30" s="80" t="str">
        <f>VLOOKUP(C30,'Train Runs'!$A$13:$AE$10201,31,0)</f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S30" s="83" t="str">
        <f>VLOOKUP(C30,'Train Runs'!$A$13:$AE$10201,22,0)</f>
        <v>https://d0f6bd738d7f1b3e5a7ca70fe4ff75f0.us-east-1.aws.found.io/app/kibana#/discover/Steve-Slow-Train-Analysis-(2080s-and-2083s)?_g=(refreshInterval:(display:Off,pause:!f,section:0,value:0),time:(from:'2017-12-21T05:27:34-0700',mode:absolute,to:'2017-12-21T07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0" s="85" t="str">
        <f t="shared" si="1"/>
        <v>"C:\Program Files (x86)\AstroGrep\AstroGrep.exe" /e /r /s /spath="%USERPROFILE%\AppData\Local\Temp\OnboardLogs" /stypes="*4036*201712211*" /stext=" 13:.+?(?&gt;(PRM\|1\|D)|(KPR)|(KDP)|(train st[a-z]+ moving)|(SYSTEM_STATE:s[a-z]+ state changed)|(Enforcement Action)|(\[TIMEOUT)|(parse_ebi_status: Penalty)|(\|GPPS))"</v>
      </c>
      <c r="U30" s="9" t="str">
        <f t="shared" si="2"/>
        <v>4036</v>
      </c>
      <c r="V30" s="31">
        <f t="shared" si="3"/>
        <v>43090.57440972222</v>
      </c>
      <c r="W30" s="45" t="str">
        <f t="shared" si="4"/>
        <v>NW</v>
      </c>
      <c r="X30" s="227">
        <f t="shared" si="5"/>
        <v>805</v>
      </c>
      <c r="Y30" s="237" t="str">
        <f t="shared" si="6"/>
        <v>echo {"issue":{"subject":"Restricting aspect","project_id":79,"tracker_id":40,"status_id":1,"priority_id":2,"assigned_to_id":338,"start_date":"2017-12-21","description":"","custom_fields":[{"id":1,"name":"Subdivision","value":"NW"},{"id":4,"name":"Milepost","value":"3.4583"},{"id":17,"name":"Train ID","value":"805-21"},{"id":16,"name":"Locomotive ID","value":"4036"},{"id":130,"name":"Impact","value":""},{"id":150,"name":"Time of Event (Mountain Time)","value":"06:47:09"},{"id":151,"name":"Denver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7"/>
      <c r="AA30" s="230"/>
      <c r="AB30" s="230"/>
      <c r="AC30" s="114" t="str">
        <f t="shared" si="8"/>
        <v>grep -hrE -A400 "Enforcement Action" /c/Users/stu/AppData/Local/Temp/OnboardLogs/RTDC4036 --include="*4036*201712211*"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"%USERPROFILE%\AppData\Local\Temp\OnboardLogs"\RTDC4036\*4036*201712211* &gt;&gt; 2017-12-21-SliceDisagreementCheck.txt</v>
      </c>
      <c r="AE30" s="143" t="str">
        <f t="shared" si="9"/>
        <v>start /low /b %USERPROFILE%\Documents\GitHub\eaglep3\Utilities\DownloadLogsFromS3.py --loco 4036 --day 2017-12-21</v>
      </c>
      <c r="AF30" s="1"/>
    </row>
    <row r="31" spans="1:32" x14ac:dyDescent="0.25">
      <c r="A31" s="31">
        <v>43090.30810185185</v>
      </c>
      <c r="B31" s="30" t="s">
        <v>659</v>
      </c>
      <c r="C31" s="30" t="s">
        <v>662</v>
      </c>
      <c r="D31" s="30" t="s">
        <v>49</v>
      </c>
      <c r="E31" s="30" t="s">
        <v>495</v>
      </c>
      <c r="F31" s="42">
        <v>0</v>
      </c>
      <c r="G31" s="42">
        <v>150</v>
      </c>
      <c r="H31" s="42">
        <v>57977</v>
      </c>
      <c r="I31" s="42">
        <v>58214</v>
      </c>
      <c r="J31" s="30" t="s">
        <v>496</v>
      </c>
      <c r="K31" s="42">
        <v>59048</v>
      </c>
      <c r="L31" s="130" t="s">
        <v>50</v>
      </c>
      <c r="M31" s="131">
        <f t="shared" si="0"/>
        <v>440.35199999999998</v>
      </c>
      <c r="N31" s="132" t="str">
        <f>VLOOKUP(C31,'Trips&amp;Operators'!$C$1:$G$99911,5,FALSE)</f>
        <v>FORTUNATO FRANK</v>
      </c>
      <c r="O31" s="174" t="s">
        <v>178</v>
      </c>
      <c r="P31" s="238"/>
      <c r="Q31" s="30"/>
      <c r="R31" s="80" t="str">
        <f>VLOOKUP(C31,'Train Runs'!$A$13:$AE$10201,31,0)</f>
        <v>aws s3 cp s3://rtdc.mdm.uploadarchive.raw/RTDC4006/ "%USERPROFILE%\AppData\Local\Temp\OnboardLogs"\RTDC4006\2017-12-21 --exclude "*" --recursive --include "*20171221*" &amp; "%USERPROFILE%\Documents\GitHub\mrs-test-scripts\Headless Mode &amp; Sideloading\WalkAndUnGZ.bat" "%USERPROFILE%\AppData\Local\Temp\OnboardLogs"\RTDC4006\2017-12-21 &amp; 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</v>
      </c>
      <c r="S31" s="83" t="str">
        <f>VLOOKUP(C31,'Train Runs'!$A$13:$AE$10201,22,0)</f>
        <v>https://d0f6bd738d7f1b3e5a7ca70fe4ff75f0.us-east-1.aws.found.io/app/kibana#/discover/Steve-Slow-Train-Analysis-(2080s-and-2083s)?_g=(refreshInterval:(display:Off,pause:!f,section:0,value:0),time:(from:'2017-12-21T05:57:54-0700',mode:absolute,to:'2017-12-21T08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5" t="str">
        <f t="shared" si="1"/>
        <v>"C:\Program Files (x86)\AstroGrep\AstroGrep.exe" /e /r /s /spath="%USERPROFILE%\AppData\Local\Temp\OnboardLogs" /stypes="*4006*201712211*" /stext=" 14:.+?(?&gt;(PRM\|1\|D)|(KPR)|(KDP)|(train st[a-z]+ moving)|(SYSTEM_STATE:s[a-z]+ state changed)|(Enforcement Action)|(\[TIMEOUT)|(parse_ebi_status: Penalty)|(\|GPPS))"</v>
      </c>
      <c r="U31" s="9" t="str">
        <f t="shared" si="2"/>
        <v>4006</v>
      </c>
      <c r="V31" s="31">
        <f t="shared" si="3"/>
        <v>43090.599768518514</v>
      </c>
      <c r="W31" s="45" t="str">
        <f t="shared" si="4"/>
        <v>NW</v>
      </c>
      <c r="X31" s="227">
        <f t="shared" si="5"/>
        <v>807</v>
      </c>
      <c r="Y31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{"issue":{"subject":"","project_id":79,"tracker_id":40,"status_id":1,"priority_id":2,"assigned_to_id":338,"start_date":"2017-12-21","description":"","custom_fields":[{"id":1,"name":"Subdivision","value":"NW"},{"id":4,"name":"Milepost","value":"5.9048"},{"id":17,"name":"Train ID","value":"807-21"},{"id":16,"name":"Locomotive ID","value":"4006"},{"id":130,"name":"Impact","value":""},{"id":150,"name":"Time of Event (Mountain Time)","value":"07:23:40"},{"id":151,"name":"Denver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7"/>
      <c r="AA31" s="230"/>
      <c r="AB31" s="230"/>
      <c r="AC31" s="114" t="str">
        <f t="shared" si="8"/>
        <v>grep -hrE -A400 "Enforcement Action" /c/Users/stu/AppData/Local/Temp/OnboardLogs/RTDC4006 --include="*4006*201712211*"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"%USERPROFILE%\AppData\Local\Temp\OnboardLogs"\RTDC4006\*4006*201712211* &gt;&gt; 2017-12-21-SliceDisagreementCheck.txt</v>
      </c>
      <c r="AE31" s="143" t="str">
        <f t="shared" si="9"/>
        <v>start /low /b %USERPROFILE%\Documents\GitHub\eaglep3\Utilities\DownloadLogsFromS3.py --loco 4006 --day 2017-12-21</v>
      </c>
      <c r="AF31" s="1"/>
    </row>
    <row r="32" spans="1:32" x14ac:dyDescent="0.25">
      <c r="A32" s="31">
        <v>43090.745937500003</v>
      </c>
      <c r="B32" s="30" t="s">
        <v>365</v>
      </c>
      <c r="C32" s="30" t="s">
        <v>682</v>
      </c>
      <c r="D32" s="30" t="s">
        <v>49</v>
      </c>
      <c r="E32" s="30" t="s">
        <v>495</v>
      </c>
      <c r="F32" s="42">
        <v>0</v>
      </c>
      <c r="G32" s="42">
        <v>123</v>
      </c>
      <c r="H32" s="42">
        <v>58519</v>
      </c>
      <c r="I32" s="42">
        <v>58691</v>
      </c>
      <c r="J32" s="30" t="s">
        <v>496</v>
      </c>
      <c r="K32" s="42">
        <v>59058</v>
      </c>
      <c r="L32" s="130" t="s">
        <v>50</v>
      </c>
      <c r="M32" s="131">
        <f t="shared" si="0"/>
        <v>193.77600000000001</v>
      </c>
      <c r="N32" s="132" t="str">
        <f>VLOOKUP(C32,'Trips&amp;Operators'!$C$1:$G$99911,5,FALSE)</f>
        <v>RESPASS AARON</v>
      </c>
      <c r="O32" s="174" t="s">
        <v>178</v>
      </c>
      <c r="P32" s="238"/>
      <c r="Q32" s="30"/>
      <c r="R32" s="80" t="str">
        <f>VLOOKUP(C32,'Train Runs'!$A$13:$AE$10201,31,0)</f>
        <v>aws s3 cp s3://rtdc.mdm.uploadarchive.raw/RTDC4036/ "%USERPROFILE%\AppData\Local\Temp\OnboardLogs"\RTDC4036\2017-12-21 --exclude "*" --recursive --include "*20171221*" &amp; "%USERPROFILE%\Documents\GitHub\mrs-test-scripts\Headless Mode &amp; Sideloading\WalkAndUnGZ.bat" "%USERPROFILE%\AppData\Local\Temp\OnboardLogs"\RTDC4036\2017-12-21 &amp; aws s3 cp s3://rtdc.mdm.uploadarchive.raw/RTDC4036/ "%USERPROFILE%\AppData\Local\Temp\OnboardLogs"\RTDC4036\2017-12-22 --exclude "*" --recursive --include "*20171222*" &amp; "%USERPROFILE%\Documents\GitHub\mrs-test-scripts\Headless Mode &amp; Sideloading\WalkAndUnGZ.bat" "%USERPROFILE%\AppData\Local\Temp\OnboardLogs"\RTDC4036\2017-12-22</v>
      </c>
      <c r="S32" s="83" t="str">
        <f>VLOOKUP(C32,'Train Runs'!$A$13:$AE$10201,22,0)</f>
        <v>https://d0f6bd738d7f1b3e5a7ca70fe4ff75f0.us-east-1.aws.found.io/app/kibana#/discover/Steve-Slow-Train-Analysis-(2080s-and-2083s)?_g=(refreshInterval:(display:Off,pause:!f,section:0,value:0),time:(from:'2017-12-21T16:27:15-0700',mode:absolute,to:'2017-12-21T18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2" s="85" t="str">
        <f t="shared" si="1"/>
        <v>"C:\Program Files (x86)\AstroGrep\AstroGrep.exe" /e /r /s /spath="%USERPROFILE%\AppData\Local\Temp\OnboardLogs" /stypes="*4036*201712220*" /stext=" 00:.+?(?&gt;(PRM\|1\|D)|(KPR)|(KDP)|(train st[a-z]+ moving)|(SYSTEM_STATE:s[a-z]+ state changed)|(Enforcement Action)|(\[TIMEOUT)|(parse_ebi_status: Penalty)|(\|GPPS))"</v>
      </c>
      <c r="U32" s="9" t="str">
        <f t="shared" si="2"/>
        <v>4036</v>
      </c>
      <c r="V32" s="31">
        <f t="shared" si="3"/>
        <v>43091.037604166668</v>
      </c>
      <c r="W32" s="45" t="str">
        <f t="shared" si="4"/>
        <v>NW</v>
      </c>
      <c r="X32" s="227">
        <f t="shared" si="5"/>
        <v>835</v>
      </c>
      <c r="Y32" s="237" t="str">
        <f t="shared" si="6"/>
        <v>echo {"issue":{"subject":"","project_id":79,"tracker_id":40,"status_id":1,"priority_id":2,"assigned_to_id":338,"start_date":"2017-12-21","description":"","custom_fields":[{"id":1,"name":"Subdivision","value":"NW"},{"id":4,"name":"Milepost","value":"5.9058"},{"id":17,"name":"Train ID","value":"835-21"},{"id":16,"name":"Locomotive ID","value":"4036"},{"id":130,"name":"Impact","value":""},{"id":150,"name":"Time of Event (Mountain Time)","value":"17:54:09"},{"id":151,"name":"Denver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7"/>
      <c r="AA32" s="230"/>
      <c r="AB32" s="230"/>
      <c r="AC32" s="114" t="str">
        <f t="shared" si="8"/>
        <v>grep -hrE -A400 "Enforcement Action" /c/Users/stu/AppData/Local/Temp/OnboardLogs/RTDC4036 --include="*4036*201712220*"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"%USERPROFILE%\AppData\Local\Temp\OnboardLogs"\RTDC4036\*4036*201712220* &gt;&gt; 2017-12-21-SliceDisagreementCheck.txt</v>
      </c>
      <c r="AE32" s="143" t="str">
        <f t="shared" si="9"/>
        <v>start /low /b %USERPROFILE%\Documents\GitHub\eaglep3\Utilities\DownloadLogsFromS3.py --loco 4036 --day 2017-12-22</v>
      </c>
      <c r="AF32" s="1"/>
    </row>
    <row r="33" spans="1:32" x14ac:dyDescent="0.25">
      <c r="A33" s="31">
        <v>43090.175266203703</v>
      </c>
      <c r="B33" s="30" t="s">
        <v>469</v>
      </c>
      <c r="C33" s="30" t="s">
        <v>653</v>
      </c>
      <c r="D33" s="30" t="s">
        <v>95</v>
      </c>
      <c r="E33" s="30" t="s">
        <v>445</v>
      </c>
      <c r="F33" s="42">
        <v>0</v>
      </c>
      <c r="G33" s="42">
        <v>131</v>
      </c>
      <c r="H33" s="42">
        <v>22927</v>
      </c>
      <c r="I33" s="42">
        <v>0</v>
      </c>
      <c r="J33" s="30" t="s">
        <v>446</v>
      </c>
      <c r="K33" s="42">
        <v>24235</v>
      </c>
      <c r="L33" s="130" t="s">
        <v>51</v>
      </c>
      <c r="M33" s="131">
        <f t="shared" si="0"/>
        <v>-12796.08</v>
      </c>
      <c r="N33" s="132" t="str">
        <f>VLOOKUP(C33,'Trips&amp;Operators'!$C$1:$G$99911,5,FALSE)</f>
        <v>GEBRETEKLE DAGNEW</v>
      </c>
      <c r="O33" s="174" t="s">
        <v>178</v>
      </c>
      <c r="P33" s="238"/>
      <c r="Q33" s="30"/>
      <c r="R33" s="80" t="str">
        <f>VLOOKUP(C33,'Train Runs'!$A$13:$AE$10201,31,0)</f>
        <v>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 &amp; aws s3 cp s3://rtdc.mdm.uploadarchive.raw/RTDC4053/ "%USERPROFILE%\AppData\Local\Temp\OnboardLogs"\RTDC4053\2017-12-22 --exclude "*" --recursive --include "*20171222*" &amp; "%USERPROFILE%\Documents\GitHub\mrs-test-scripts\Headless Mode &amp; Sideloading\WalkAndUnGZ.bat" "%USERPROFILE%\AppData\Local\Temp\OnboardLogs"\RTDC4053\2017-12-22</v>
      </c>
      <c r="S33" s="83" t="str">
        <f>VLOOKUP(C33,'Train Runs'!$A$13:$AE$10201,22,0)</f>
        <v>https://d0f6bd738d7f1b3e5a7ca70fe4ff75f0.us-east-1.aws.found.io/app/kibana#/discover/Steve-Slow-Train-Analysis-(2080s-and-2083s)?_g=(refreshInterval:(display:Off,pause:!f,section:0,value:0),time:(from:'2017-12-21T03:04:16-0700',mode:absolute,to:'2017-12-21T05:12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85" t="str">
        <f t="shared" si="1"/>
        <v>"C:\Program Files (x86)\AstroGrep\AstroGrep.exe" /e /r /s /spath="%USERPROFILE%\AppData\Local\Temp\OnboardLogs" /stypes="*4053*201712211*" /stext=" 11:.+?(?&gt;(PRM\|1\|D)|(KPR)|(KDP)|(train st[a-z]+ moving)|(SYSTEM_STATE:s[a-z]+ state changed)|(Enforcement Action)|(\[TIMEOUT)|(parse_ebi_status: Penalty)|(\|GPPS))"</v>
      </c>
      <c r="U33" s="9" t="str">
        <f t="shared" si="2"/>
        <v>4053</v>
      </c>
      <c r="V33" s="31">
        <f t="shared" si="3"/>
        <v>43090.466932870368</v>
      </c>
      <c r="W33" s="45" t="str">
        <f t="shared" si="4"/>
        <v>Other</v>
      </c>
      <c r="X33" s="227">
        <f t="shared" si="5"/>
        <v>306</v>
      </c>
      <c r="Y33" s="237" t="str">
        <f t="shared" si="6"/>
        <v>echo {"issue":{"subject":"","project_id":79,"tracker_id":40,"status_id":1,"priority_id":2,"assigned_to_id":338,"start_date":"2017-12-21","description":"","custom_fields":[{"id":1,"name":"Subdivision","value":"Other"},{"id":4,"name":"Milepost","value":"2.4235"},{"id":17,"name":"Train ID","value":"306-21"},{"id":16,"name":"Locomotive ID","value":"4053"},{"id":130,"name":"Impact","value":""},{"id":150,"name":"Time of Event (Mountain Time)","value":"04:12:23"},{"id":151,"name":"Denver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7"/>
      <c r="AA33" s="230"/>
      <c r="AB33" s="230"/>
      <c r="AC33" s="114" t="str">
        <f t="shared" si="8"/>
        <v>grep -hrE -A400 "Enforcement Action" /c/Users/stu/AppData/Local/Temp/OnboardLogs/RTDC4053 --include="*4053*201712211*"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"%USERPROFILE%\AppData\Local\Temp\OnboardLogs"\RTDC4053\*4053*201712211* &gt;&gt; 2017-12-21-SliceDisagreementCheck.txt</v>
      </c>
      <c r="AE33" s="143" t="str">
        <f t="shared" si="9"/>
        <v>start /low /b %USERPROFILE%\Documents\GitHub\eaglep3\Utilities\DownloadLogsFromS3.py --loco 4053 --day 2017-12-21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14">
    <sortState ref="A7:AC33">
      <sortCondition ref="W7:W33"/>
      <sortCondition ref="E7:E33"/>
      <sortCondition ref="K7:K33"/>
      <sortCondition ref="F7:F33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10 A27:P33 A14:P25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2017-12-21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-21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Runs'!$A$13:$A$100198,1,FALSE)</f>
        <v>#N/A</v>
      </c>
    </row>
    <row r="4" spans="1:10" x14ac:dyDescent="0.25">
      <c r="A4" s="196"/>
      <c r="B4" s="42" t="str">
        <f>A4&amp;"-"&amp;IF(DAY(Variables!$A$2)&lt;10,0,"")&amp;DAY(Variables!$A$2)</f>
        <v>-21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Runs'!$A$13:$A$100198,1,FALSE)</f>
        <v>#N/A</v>
      </c>
    </row>
    <row r="5" spans="1:10" x14ac:dyDescent="0.25">
      <c r="A5" s="196"/>
      <c r="B5" s="42" t="str">
        <f>A5&amp;"-"&amp;IF(DAY(Variables!$A$2)&lt;10,0,"")&amp;DAY(Variables!$A$2)</f>
        <v>-21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Runs'!$A$13:$A$100198,1,FALSE)</f>
        <v>#N/A</v>
      </c>
    </row>
    <row r="6" spans="1:10" x14ac:dyDescent="0.25">
      <c r="A6" s="196"/>
      <c r="B6" s="42" t="str">
        <f>A6&amp;"-"&amp;IF(DAY(Variables!$A$2)&lt;10,0,"")&amp;DAY(Variables!$A$2)</f>
        <v>-21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Runs'!$A$13:$A$100198,1,FALSE)</f>
        <v>#N/A</v>
      </c>
    </row>
    <row r="7" spans="1:10" x14ac:dyDescent="0.25">
      <c r="A7" s="196"/>
      <c r="B7" s="42" t="str">
        <f>A7&amp;"-"&amp;IF(DAY(Variables!$A$2)&lt;10,0,"")&amp;DAY(Variables!$A$2)</f>
        <v>-21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Runs'!$A$13:$A$100198,1,FALSE)</f>
        <v>#N/A</v>
      </c>
    </row>
    <row r="8" spans="1:10" x14ac:dyDescent="0.25">
      <c r="A8" s="196"/>
      <c r="B8" s="42" t="str">
        <f>A8&amp;"-"&amp;IF(DAY(Variables!$A$2)&lt;10,0,"")&amp;DAY(Variables!$A$2)</f>
        <v>-21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Runs'!$A$13:$A$100198,1,FALSE)</f>
        <v>#N/A</v>
      </c>
    </row>
    <row r="9" spans="1:10" x14ac:dyDescent="0.25">
      <c r="A9" s="196"/>
      <c r="B9" s="42" t="str">
        <f>A9&amp;"-"&amp;IF(DAY(Variables!$A$2)&lt;10,0,"")&amp;DAY(Variables!$A$2)</f>
        <v>-21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Runs'!$A$13:$A$100198,1,FALSE)</f>
        <v>#N/A</v>
      </c>
    </row>
    <row r="10" spans="1:10" x14ac:dyDescent="0.25">
      <c r="A10" s="196"/>
      <c r="B10" s="42" t="str">
        <f>A10&amp;"-"&amp;IF(DAY(Variables!$A$2)&lt;10,0,"")&amp;DAY(Variables!$A$2)</f>
        <v>-21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Runs'!$A$13:$A$100198,1,FALSE)</f>
        <v>#N/A</v>
      </c>
    </row>
    <row r="11" spans="1:10" x14ac:dyDescent="0.25">
      <c r="A11" s="196"/>
      <c r="B11" s="42" t="str">
        <f>A11&amp;"-"&amp;IF(DAY(Variables!$A$2)&lt;10,0,"")&amp;DAY(Variables!$A$2)</f>
        <v>-21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Runs'!$A$13:$A$100198,1,FALSE)</f>
        <v>#N/A</v>
      </c>
    </row>
    <row r="12" spans="1:10" x14ac:dyDescent="0.25">
      <c r="A12" s="196"/>
      <c r="B12" s="42" t="str">
        <f>A12&amp;"-"&amp;IF(DAY(Variables!$A$2)&lt;10,0,"")&amp;DAY(Variables!$A$2)</f>
        <v>-21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Runs'!$A$13:$A$100198,1,FALSE)</f>
        <v>#N/A</v>
      </c>
    </row>
    <row r="13" spans="1:10" x14ac:dyDescent="0.25">
      <c r="A13" s="196"/>
      <c r="B13" s="42" t="str">
        <f>A13&amp;"-"&amp;IF(DAY(Variables!$A$2)&lt;10,0,"")&amp;DAY(Variables!$A$2)</f>
        <v>-21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Runs'!$A$13:$A$100198,1,FALSE)</f>
        <v>#N/A</v>
      </c>
    </row>
    <row r="14" spans="1:10" x14ac:dyDescent="0.25">
      <c r="A14" s="196"/>
      <c r="B14" s="42" t="str">
        <f>A14&amp;"-"&amp;IF(DAY(Variables!$A$2)&lt;10,0,"")&amp;DAY(Variables!$A$2)</f>
        <v>-21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Runs'!$A$13:$A$100198,1,FALSE)</f>
        <v>#N/A</v>
      </c>
    </row>
    <row r="15" spans="1:10" x14ac:dyDescent="0.25">
      <c r="A15" s="196"/>
      <c r="B15" s="42" t="str">
        <f>A15&amp;"-"&amp;IF(DAY(Variables!$A$2)&lt;10,0,"")&amp;DAY(Variables!$A$2)</f>
        <v>-21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Runs'!$A$13:$A$100198,1,FALSE)</f>
        <v>#N/A</v>
      </c>
    </row>
    <row r="16" spans="1:10" x14ac:dyDescent="0.25">
      <c r="A16" s="196"/>
      <c r="B16" s="42" t="str">
        <f>A16&amp;"-"&amp;IF(DAY(Variables!$A$2)&lt;10,0,"")&amp;DAY(Variables!$A$2)</f>
        <v>-21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Runs'!$A$13:$A$100198,1,FALSE)</f>
        <v>#N/A</v>
      </c>
    </row>
    <row r="17" spans="1:10" x14ac:dyDescent="0.25">
      <c r="A17" s="196"/>
      <c r="B17" s="42" t="str">
        <f>A17&amp;"-"&amp;IF(DAY(Variables!$A$2)&lt;10,0,"")&amp;DAY(Variables!$A$2)</f>
        <v>-21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Runs'!$A$13:$A$100198,1,FALSE)</f>
        <v>#N/A</v>
      </c>
    </row>
    <row r="18" spans="1:10" x14ac:dyDescent="0.25">
      <c r="A18" s="196"/>
      <c r="B18" s="42" t="str">
        <f>A18&amp;"-"&amp;IF(DAY(Variables!$A$2)&lt;10,0,"")&amp;DAY(Variables!$A$2)</f>
        <v>-21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Runs'!$A$13:$A$100198,1,FALSE)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43090.036608796298</v>
      </c>
      <c r="B2" s="20" t="s">
        <v>480</v>
      </c>
      <c r="C2" s="20" t="s">
        <v>588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4043</v>
      </c>
    </row>
    <row r="3" spans="1:8" x14ac:dyDescent="0.25">
      <c r="A3" s="8">
        <v>43090.047465277778</v>
      </c>
      <c r="B3" s="20" t="s">
        <v>382</v>
      </c>
      <c r="C3" s="20" t="s">
        <v>589</v>
      </c>
      <c r="D3" s="136">
        <v>3220000</v>
      </c>
      <c r="E3" s="20" t="s">
        <v>377</v>
      </c>
      <c r="F3" s="20" t="s">
        <v>378</v>
      </c>
      <c r="G3" s="8" t="str">
        <f t="shared" ref="G3:G66" si="0">E3&amp;" "&amp;F3</f>
        <v>RESPASS AARON</v>
      </c>
      <c r="H3" s="20" t="str">
        <f t="shared" ref="H3:H66" si="1">MID(B3,13,4)</f>
        <v>4062</v>
      </c>
    </row>
    <row r="4" spans="1:8" x14ac:dyDescent="0.25">
      <c r="A4" s="8">
        <v>43090.052488425928</v>
      </c>
      <c r="B4" s="20" t="s">
        <v>571</v>
      </c>
      <c r="C4" s="20" t="s">
        <v>590</v>
      </c>
      <c r="D4" s="136">
        <v>2540000</v>
      </c>
      <c r="E4" s="20" t="s">
        <v>452</v>
      </c>
      <c r="F4" s="20" t="s">
        <v>453</v>
      </c>
      <c r="G4" s="8" t="str">
        <f t="shared" si="0"/>
        <v>MCREYNOLDS KYLE</v>
      </c>
      <c r="H4" s="20" t="str">
        <f t="shared" si="1"/>
        <v>4019</v>
      </c>
    </row>
    <row r="5" spans="1:8" x14ac:dyDescent="0.25">
      <c r="A5" s="8">
        <v>43090.068472222221</v>
      </c>
      <c r="B5" s="20" t="s">
        <v>479</v>
      </c>
      <c r="C5" s="20" t="s">
        <v>568</v>
      </c>
      <c r="D5" s="136">
        <v>890000</v>
      </c>
      <c r="E5" s="20" t="s">
        <v>343</v>
      </c>
      <c r="F5" s="20" t="s">
        <v>344</v>
      </c>
      <c r="G5" s="8" t="str">
        <f t="shared" si="0"/>
        <v>LOZA FIDEL</v>
      </c>
      <c r="H5" s="20" t="str">
        <f t="shared" si="1"/>
        <v>4044</v>
      </c>
    </row>
    <row r="6" spans="1:8" x14ac:dyDescent="0.25">
      <c r="A6" s="8">
        <v>43090.090127314812</v>
      </c>
      <c r="B6" s="20" t="s">
        <v>567</v>
      </c>
      <c r="C6" s="20" t="s">
        <v>591</v>
      </c>
      <c r="D6" s="136">
        <v>2540000</v>
      </c>
      <c r="E6" s="20" t="s">
        <v>452</v>
      </c>
      <c r="F6" s="20" t="s">
        <v>453</v>
      </c>
      <c r="G6" s="8" t="str">
        <f t="shared" si="0"/>
        <v>MCREYNOLDS KYLE</v>
      </c>
      <c r="H6" s="20" t="str">
        <f t="shared" si="1"/>
        <v>4020</v>
      </c>
    </row>
    <row r="7" spans="1:8" x14ac:dyDescent="0.25">
      <c r="A7" s="8">
        <v>43090.112013888887</v>
      </c>
      <c r="B7" s="20" t="s">
        <v>350</v>
      </c>
      <c r="C7" s="20" t="s">
        <v>592</v>
      </c>
      <c r="D7" s="136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4055</v>
      </c>
    </row>
    <row r="8" spans="1:8" x14ac:dyDescent="0.25">
      <c r="A8" s="8">
        <v>43090.12190972222</v>
      </c>
      <c r="B8" s="20" t="s">
        <v>664</v>
      </c>
      <c r="C8" s="20" t="s">
        <v>690</v>
      </c>
      <c r="D8" s="136">
        <v>1830000</v>
      </c>
      <c r="E8" s="20" t="s">
        <v>345</v>
      </c>
      <c r="F8" s="20" t="s">
        <v>346</v>
      </c>
      <c r="G8" s="8" t="str">
        <f t="shared" si="0"/>
        <v>YORK EDGAR</v>
      </c>
      <c r="H8" s="20" t="str">
        <f t="shared" si="1"/>
        <v>4034</v>
      </c>
    </row>
    <row r="9" spans="1:8" ht="15.75" thickBot="1" x14ac:dyDescent="0.3">
      <c r="A9" s="24">
        <v>43090.128136574072</v>
      </c>
      <c r="B9" s="20" t="s">
        <v>691</v>
      </c>
      <c r="C9" s="20" t="s">
        <v>692</v>
      </c>
      <c r="D9" s="136">
        <v>1090000</v>
      </c>
      <c r="E9" s="20" t="s">
        <v>507</v>
      </c>
      <c r="F9" s="20" t="s">
        <v>351</v>
      </c>
      <c r="G9" s="8" t="str">
        <f t="shared" si="0"/>
        <v>SPECTOR MICHAEL</v>
      </c>
      <c r="H9" s="20" t="str">
        <f t="shared" si="1"/>
        <v>4056</v>
      </c>
    </row>
    <row r="10" spans="1:8" x14ac:dyDescent="0.25">
      <c r="A10" s="8">
        <v>43090.129282407404</v>
      </c>
      <c r="B10" s="20" t="s">
        <v>691</v>
      </c>
      <c r="C10" s="20" t="s">
        <v>692</v>
      </c>
      <c r="D10" s="136">
        <v>1090000</v>
      </c>
      <c r="E10" s="20" t="s">
        <v>507</v>
      </c>
      <c r="F10" s="20" t="s">
        <v>351</v>
      </c>
      <c r="G10" s="8" t="str">
        <f t="shared" si="0"/>
        <v>SPECTOR MICHAEL</v>
      </c>
      <c r="H10" s="20" t="str">
        <f t="shared" si="1"/>
        <v>4056</v>
      </c>
    </row>
    <row r="11" spans="1:8" x14ac:dyDescent="0.25">
      <c r="A11" s="8">
        <v>43090.140590277777</v>
      </c>
      <c r="B11" s="20" t="s">
        <v>680</v>
      </c>
      <c r="C11" s="20" t="s">
        <v>693</v>
      </c>
      <c r="D11" s="136">
        <v>2010000</v>
      </c>
      <c r="E11" s="20" t="s">
        <v>694</v>
      </c>
      <c r="F11" s="20" t="s">
        <v>695</v>
      </c>
      <c r="G11" s="8" t="str">
        <f t="shared" si="0"/>
        <v>MAELZER KURT</v>
      </c>
      <c r="H11" s="20" t="str">
        <f t="shared" si="1"/>
        <v>4063</v>
      </c>
    </row>
    <row r="12" spans="1:8" x14ac:dyDescent="0.25">
      <c r="A12" s="8">
        <v>43090.140856481485</v>
      </c>
      <c r="B12" s="20" t="s">
        <v>350</v>
      </c>
      <c r="C12" s="20" t="s">
        <v>696</v>
      </c>
      <c r="D12" s="136">
        <v>1090000</v>
      </c>
      <c r="E12" s="20" t="s">
        <v>507</v>
      </c>
      <c r="F12" s="20" t="s">
        <v>351</v>
      </c>
      <c r="G12" s="8" t="str">
        <f t="shared" si="0"/>
        <v>SPECTOR MICHAEL</v>
      </c>
      <c r="H12" s="20" t="str">
        <f t="shared" si="1"/>
        <v>4055</v>
      </c>
    </row>
    <row r="13" spans="1:8" x14ac:dyDescent="0.25">
      <c r="A13" s="8">
        <v>43090.152395833335</v>
      </c>
      <c r="B13" s="20" t="s">
        <v>657</v>
      </c>
      <c r="C13" s="20" t="s">
        <v>697</v>
      </c>
      <c r="D13" s="136">
        <v>2010000</v>
      </c>
      <c r="E13" s="20" t="s">
        <v>694</v>
      </c>
      <c r="F13" s="20" t="s">
        <v>695</v>
      </c>
      <c r="G13" s="8" t="str">
        <f t="shared" si="0"/>
        <v>MAELZER KURT</v>
      </c>
      <c r="H13" s="20" t="str">
        <f t="shared" si="1"/>
        <v>4064</v>
      </c>
    </row>
    <row r="14" spans="1:8" x14ac:dyDescent="0.25">
      <c r="A14" s="8">
        <v>43090.160798611112</v>
      </c>
      <c r="B14" s="20" t="s">
        <v>676</v>
      </c>
      <c r="C14" s="20" t="s">
        <v>698</v>
      </c>
      <c r="D14" s="136">
        <v>1830000</v>
      </c>
      <c r="E14" s="20" t="s">
        <v>345</v>
      </c>
      <c r="F14" s="20" t="s">
        <v>346</v>
      </c>
      <c r="G14" s="8" t="str">
        <f t="shared" si="0"/>
        <v>YORK EDGAR</v>
      </c>
      <c r="H14" s="20" t="str">
        <f t="shared" si="1"/>
        <v>4033</v>
      </c>
    </row>
    <row r="15" spans="1:8" x14ac:dyDescent="0.25">
      <c r="A15" s="8">
        <v>43090.162256944444</v>
      </c>
      <c r="B15" s="20" t="s">
        <v>361</v>
      </c>
      <c r="C15" s="20" t="s">
        <v>699</v>
      </c>
      <c r="D15" s="136">
        <v>940000</v>
      </c>
      <c r="E15" s="20" t="s">
        <v>569</v>
      </c>
      <c r="F15" s="20" t="s">
        <v>570</v>
      </c>
      <c r="G15" s="8" t="str">
        <f t="shared" si="0"/>
        <v>BONDS REYNALDO</v>
      </c>
      <c r="H15" s="20" t="str">
        <f t="shared" si="1"/>
        <v>4017</v>
      </c>
    </row>
    <row r="16" spans="1:8" x14ac:dyDescent="0.25">
      <c r="A16" s="8">
        <v>43090.170138888891</v>
      </c>
      <c r="B16" s="20" t="s">
        <v>469</v>
      </c>
      <c r="C16" s="20" t="s">
        <v>653</v>
      </c>
      <c r="D16" s="136">
        <v>1100000</v>
      </c>
      <c r="E16" s="20" t="s">
        <v>572</v>
      </c>
      <c r="F16" s="20" t="s">
        <v>573</v>
      </c>
      <c r="G16" s="8" t="str">
        <f t="shared" si="0"/>
        <v>GEBRETEKLE DAGNEW</v>
      </c>
      <c r="H16" s="20" t="str">
        <f t="shared" si="1"/>
        <v>4053</v>
      </c>
    </row>
    <row r="17" spans="1:8" x14ac:dyDescent="0.25">
      <c r="A17" s="8">
        <v>43090.172858796293</v>
      </c>
      <c r="B17" s="20" t="s">
        <v>359</v>
      </c>
      <c r="C17" s="20" t="s">
        <v>700</v>
      </c>
      <c r="D17" s="136">
        <v>940000</v>
      </c>
      <c r="E17" s="20" t="s">
        <v>569</v>
      </c>
      <c r="F17" s="20" t="s">
        <v>570</v>
      </c>
      <c r="G17" s="8" t="str">
        <f t="shared" si="0"/>
        <v>BONDS REYNALDO</v>
      </c>
      <c r="H17" s="20" t="str">
        <f t="shared" si="1"/>
        <v>4018</v>
      </c>
    </row>
    <row r="18" spans="1:8" x14ac:dyDescent="0.25">
      <c r="A18" s="8">
        <v>43090.178055555552</v>
      </c>
      <c r="B18" s="20" t="s">
        <v>389</v>
      </c>
      <c r="C18" s="20" t="s">
        <v>701</v>
      </c>
      <c r="D18" s="136">
        <v>3040000</v>
      </c>
      <c r="E18" s="20" t="s">
        <v>367</v>
      </c>
      <c r="F18" s="20" t="s">
        <v>702</v>
      </c>
      <c r="G18" s="8" t="str">
        <f t="shared" si="0"/>
        <v>WILLIAMS DONTE</v>
      </c>
      <c r="H18" s="20" t="str">
        <f t="shared" si="1"/>
        <v>4059</v>
      </c>
    </row>
    <row r="19" spans="1:8" x14ac:dyDescent="0.25">
      <c r="A19" s="8">
        <v>43090.184652777774</v>
      </c>
      <c r="B19" s="20" t="s">
        <v>468</v>
      </c>
      <c r="C19" s="20" t="s">
        <v>703</v>
      </c>
      <c r="D19" s="136">
        <v>1100000</v>
      </c>
      <c r="E19" s="20" t="s">
        <v>572</v>
      </c>
      <c r="F19" s="20" t="s">
        <v>573</v>
      </c>
      <c r="G19" s="8" t="str">
        <f t="shared" si="0"/>
        <v>GEBRETEKLE DAGNEW</v>
      </c>
      <c r="H19" s="20" t="str">
        <f t="shared" si="1"/>
        <v>4054</v>
      </c>
    </row>
    <row r="20" spans="1:8" x14ac:dyDescent="0.25">
      <c r="A20" s="8">
        <v>43090.187280092592</v>
      </c>
      <c r="B20" s="20" t="s">
        <v>680</v>
      </c>
      <c r="C20" s="20" t="s">
        <v>704</v>
      </c>
      <c r="D20" s="136">
        <v>2010000</v>
      </c>
      <c r="E20" s="20" t="s">
        <v>694</v>
      </c>
      <c r="F20" s="20" t="s">
        <v>695</v>
      </c>
      <c r="G20" s="8" t="str">
        <f t="shared" si="0"/>
        <v>MAELZER KURT</v>
      </c>
      <c r="H20" s="20" t="str">
        <f t="shared" si="1"/>
        <v>4063</v>
      </c>
    </row>
    <row r="21" spans="1:8" x14ac:dyDescent="0.25">
      <c r="A21" s="8">
        <v>43090.195555555554</v>
      </c>
      <c r="B21" s="20" t="s">
        <v>356</v>
      </c>
      <c r="C21" s="20" t="s">
        <v>705</v>
      </c>
      <c r="D21" s="136">
        <v>3040000</v>
      </c>
      <c r="E21" s="20" t="s">
        <v>367</v>
      </c>
      <c r="F21" s="20" t="s">
        <v>702</v>
      </c>
      <c r="G21" s="8" t="str">
        <f t="shared" si="0"/>
        <v>WILLIAMS DONTE</v>
      </c>
      <c r="H21" s="20" t="str">
        <f t="shared" si="1"/>
        <v>4060</v>
      </c>
    </row>
    <row r="22" spans="1:8" x14ac:dyDescent="0.25">
      <c r="A22" s="26">
        <v>43090.196770833332</v>
      </c>
      <c r="B22" s="20" t="s">
        <v>365</v>
      </c>
      <c r="C22" s="20" t="s">
        <v>706</v>
      </c>
      <c r="D22" s="136">
        <v>2440000</v>
      </c>
      <c r="E22" s="20" t="s">
        <v>450</v>
      </c>
      <c r="F22" s="20" t="s">
        <v>451</v>
      </c>
      <c r="G22" s="8" t="str">
        <f t="shared" si="0"/>
        <v>LOPES KIMBERLY</v>
      </c>
      <c r="H22" s="20" t="str">
        <f t="shared" si="1"/>
        <v>4036</v>
      </c>
    </row>
    <row r="23" spans="1:8" x14ac:dyDescent="0.25">
      <c r="A23" s="8">
        <v>43090.197951388887</v>
      </c>
      <c r="B23" s="20" t="s">
        <v>471</v>
      </c>
      <c r="C23" s="20" t="s">
        <v>707</v>
      </c>
      <c r="D23" s="136">
        <v>1230000</v>
      </c>
      <c r="E23" s="20" t="s">
        <v>509</v>
      </c>
      <c r="F23" s="20" t="s">
        <v>510</v>
      </c>
      <c r="G23" s="8" t="str">
        <f t="shared" si="0"/>
        <v>YANAI IAN</v>
      </c>
      <c r="H23" s="20" t="str">
        <f t="shared" si="1"/>
        <v>4013</v>
      </c>
    </row>
    <row r="24" spans="1:8" x14ac:dyDescent="0.25">
      <c r="A24" s="8">
        <v>43090.201655092591</v>
      </c>
      <c r="B24" s="20" t="s">
        <v>664</v>
      </c>
      <c r="C24" s="20" t="s">
        <v>708</v>
      </c>
      <c r="D24" s="136">
        <v>1830000</v>
      </c>
      <c r="E24" s="20" t="s">
        <v>345</v>
      </c>
      <c r="F24" s="20" t="s">
        <v>346</v>
      </c>
      <c r="G24" s="8" t="str">
        <f t="shared" si="0"/>
        <v>YORK EDGAR</v>
      </c>
      <c r="H24" s="20" t="str">
        <f t="shared" si="1"/>
        <v>4034</v>
      </c>
    </row>
    <row r="25" spans="1:8" x14ac:dyDescent="0.25">
      <c r="A25" s="8">
        <v>43090.206388888888</v>
      </c>
      <c r="B25" s="20" t="s">
        <v>470</v>
      </c>
      <c r="C25" s="20" t="s">
        <v>709</v>
      </c>
      <c r="D25" s="136">
        <v>1230000</v>
      </c>
      <c r="E25" s="20" t="s">
        <v>509</v>
      </c>
      <c r="F25" s="20" t="s">
        <v>510</v>
      </c>
      <c r="G25" s="8" t="str">
        <f t="shared" si="0"/>
        <v>YANAI IAN</v>
      </c>
      <c r="H25" s="20" t="str">
        <f t="shared" si="1"/>
        <v>4014</v>
      </c>
    </row>
    <row r="26" spans="1:8" x14ac:dyDescent="0.25">
      <c r="A26" s="8">
        <v>43090.208333333336</v>
      </c>
      <c r="B26" s="20" t="s">
        <v>366</v>
      </c>
      <c r="C26" s="20" t="s">
        <v>654</v>
      </c>
      <c r="D26" s="136">
        <v>2440000</v>
      </c>
      <c r="E26" s="20" t="s">
        <v>450</v>
      </c>
      <c r="F26" s="20" t="s">
        <v>451</v>
      </c>
      <c r="G26" s="8" t="str">
        <f t="shared" si="0"/>
        <v>LOPES KIMBERLY</v>
      </c>
      <c r="H26" s="20" t="str">
        <f t="shared" si="1"/>
        <v>4035</v>
      </c>
    </row>
    <row r="27" spans="1:8" x14ac:dyDescent="0.25">
      <c r="A27" s="8">
        <v>43090.214212962965</v>
      </c>
      <c r="B27" s="20" t="s">
        <v>469</v>
      </c>
      <c r="C27" s="20" t="s">
        <v>710</v>
      </c>
      <c r="D27" s="136">
        <v>1100000</v>
      </c>
      <c r="E27" s="20" t="s">
        <v>572</v>
      </c>
      <c r="F27" s="20" t="s">
        <v>573</v>
      </c>
      <c r="G27" s="8" t="str">
        <f t="shared" si="0"/>
        <v>GEBRETEKLE DAGNEW</v>
      </c>
      <c r="H27" s="20" t="str">
        <f t="shared" si="1"/>
        <v>4053</v>
      </c>
    </row>
    <row r="28" spans="1:8" x14ac:dyDescent="0.25">
      <c r="A28" s="8">
        <v>43090.214583333334</v>
      </c>
      <c r="B28" s="20" t="s">
        <v>361</v>
      </c>
      <c r="C28" s="20" t="s">
        <v>655</v>
      </c>
      <c r="D28" s="136">
        <v>940000</v>
      </c>
      <c r="E28" s="20" t="s">
        <v>569</v>
      </c>
      <c r="F28" s="20" t="s">
        <v>570</v>
      </c>
      <c r="G28" s="8" t="str">
        <f t="shared" si="0"/>
        <v>BONDS REYNALDO</v>
      </c>
      <c r="H28" s="20" t="str">
        <f t="shared" si="1"/>
        <v>4017</v>
      </c>
    </row>
    <row r="29" spans="1:8" x14ac:dyDescent="0.25">
      <c r="A29" s="8">
        <v>43090.221307870372</v>
      </c>
      <c r="B29" s="20" t="s">
        <v>673</v>
      </c>
      <c r="C29" s="20" t="s">
        <v>711</v>
      </c>
      <c r="D29" s="136">
        <v>2600000</v>
      </c>
      <c r="E29" s="20" t="s">
        <v>508</v>
      </c>
      <c r="F29" s="20" t="s">
        <v>498</v>
      </c>
      <c r="G29" s="8" t="str">
        <f t="shared" si="0"/>
        <v>DAVIDSON DAVID</v>
      </c>
      <c r="H29" s="20" t="str">
        <f t="shared" si="1"/>
        <v>4027</v>
      </c>
    </row>
    <row r="30" spans="1:8" x14ac:dyDescent="0.25">
      <c r="A30" s="8">
        <v>43090.2266087963</v>
      </c>
      <c r="B30" s="20" t="s">
        <v>657</v>
      </c>
      <c r="C30" s="20" t="s">
        <v>658</v>
      </c>
      <c r="D30" s="136">
        <v>2010000</v>
      </c>
      <c r="E30" s="20" t="s">
        <v>694</v>
      </c>
      <c r="F30" s="20" t="s">
        <v>695</v>
      </c>
      <c r="G30" s="8" t="str">
        <f t="shared" si="0"/>
        <v>MAELZER KURT</v>
      </c>
      <c r="H30" s="20" t="str">
        <f t="shared" si="1"/>
        <v>4064</v>
      </c>
    </row>
    <row r="31" spans="1:8" x14ac:dyDescent="0.25">
      <c r="A31" s="8">
        <v>43090.229050925926</v>
      </c>
      <c r="B31" s="20" t="s">
        <v>365</v>
      </c>
      <c r="C31" s="20" t="s">
        <v>712</v>
      </c>
      <c r="D31" s="136">
        <v>2440000</v>
      </c>
      <c r="E31" s="20" t="s">
        <v>450</v>
      </c>
      <c r="F31" s="20" t="s">
        <v>451</v>
      </c>
      <c r="G31" s="8" t="str">
        <f t="shared" si="0"/>
        <v>LOPES KIMBERLY</v>
      </c>
      <c r="H31" s="20" t="str">
        <f t="shared" si="1"/>
        <v>4036</v>
      </c>
    </row>
    <row r="32" spans="1:8" x14ac:dyDescent="0.25">
      <c r="A32" s="8">
        <v>43090.232303240744</v>
      </c>
      <c r="B32" s="20" t="s">
        <v>390</v>
      </c>
      <c r="C32" s="20" t="s">
        <v>656</v>
      </c>
      <c r="D32" s="136">
        <v>2600000</v>
      </c>
      <c r="E32" s="20" t="s">
        <v>508</v>
      </c>
      <c r="F32" s="20" t="s">
        <v>498</v>
      </c>
      <c r="G32" s="8" t="str">
        <f t="shared" si="0"/>
        <v>DAVIDSON DAVID</v>
      </c>
      <c r="H32" s="20" t="str">
        <f t="shared" si="1"/>
        <v>4028</v>
      </c>
    </row>
    <row r="33" spans="1:8" x14ac:dyDescent="0.25">
      <c r="A33" s="8">
        <v>43090.235081018516</v>
      </c>
      <c r="B33" s="20" t="s">
        <v>389</v>
      </c>
      <c r="C33" s="20" t="s">
        <v>713</v>
      </c>
      <c r="D33" s="136">
        <v>3040000</v>
      </c>
      <c r="E33" s="20" t="s">
        <v>367</v>
      </c>
      <c r="F33" s="20" t="s">
        <v>702</v>
      </c>
      <c r="G33" s="8" t="str">
        <f t="shared" si="0"/>
        <v>WILLIAMS DONTE</v>
      </c>
      <c r="H33" s="20" t="str">
        <f t="shared" si="1"/>
        <v>4059</v>
      </c>
    </row>
    <row r="34" spans="1:8" x14ac:dyDescent="0.25">
      <c r="A34" s="8">
        <v>43090.235173611109</v>
      </c>
      <c r="B34" s="20" t="s">
        <v>676</v>
      </c>
      <c r="C34" s="20" t="s">
        <v>714</v>
      </c>
      <c r="D34" s="136">
        <v>1830000</v>
      </c>
      <c r="E34" s="20" t="s">
        <v>345</v>
      </c>
      <c r="F34" s="20" t="s">
        <v>346</v>
      </c>
      <c r="G34" s="8" t="str">
        <f t="shared" si="0"/>
        <v>YORK EDGAR</v>
      </c>
      <c r="H34" s="20" t="str">
        <f t="shared" si="1"/>
        <v>4033</v>
      </c>
    </row>
    <row r="35" spans="1:8" x14ac:dyDescent="0.25">
      <c r="A35" s="8">
        <v>43090.241666666669</v>
      </c>
      <c r="B35" s="20" t="s">
        <v>668</v>
      </c>
      <c r="C35" s="20" t="s">
        <v>715</v>
      </c>
      <c r="D35" s="136">
        <v>3000000</v>
      </c>
      <c r="E35" s="20" t="s">
        <v>535</v>
      </c>
      <c r="F35" s="20" t="s">
        <v>536</v>
      </c>
      <c r="G35" s="8" t="str">
        <f t="shared" si="0"/>
        <v>FORTUNATO FRANK</v>
      </c>
      <c r="H35" s="20" t="str">
        <f t="shared" si="1"/>
        <v>4005</v>
      </c>
    </row>
    <row r="36" spans="1:8" x14ac:dyDescent="0.25">
      <c r="A36" s="8">
        <v>43090.245416666665</v>
      </c>
      <c r="B36" s="20" t="s">
        <v>471</v>
      </c>
      <c r="C36" s="20" t="s">
        <v>716</v>
      </c>
      <c r="D36" s="136">
        <v>1230000</v>
      </c>
      <c r="E36" s="20" t="s">
        <v>509</v>
      </c>
      <c r="F36" s="20" t="s">
        <v>510</v>
      </c>
      <c r="G36" s="8" t="str">
        <f t="shared" si="0"/>
        <v>YANAI IAN</v>
      </c>
      <c r="H36" s="20" t="str">
        <f t="shared" si="1"/>
        <v>4013</v>
      </c>
    </row>
    <row r="37" spans="1:8" x14ac:dyDescent="0.25">
      <c r="A37" s="8">
        <v>43090.246805555558</v>
      </c>
      <c r="B37" s="20" t="s">
        <v>366</v>
      </c>
      <c r="C37" s="20" t="s">
        <v>717</v>
      </c>
      <c r="D37" s="136">
        <v>2440000</v>
      </c>
      <c r="E37" s="20" t="s">
        <v>450</v>
      </c>
      <c r="F37" s="20" t="s">
        <v>451</v>
      </c>
      <c r="G37" s="8" t="str">
        <f t="shared" si="0"/>
        <v>LOPES KIMBERLY</v>
      </c>
      <c r="H37" s="20" t="str">
        <f t="shared" si="1"/>
        <v>4035</v>
      </c>
    </row>
    <row r="38" spans="1:8" x14ac:dyDescent="0.25">
      <c r="A38" s="8">
        <v>43090.247488425928</v>
      </c>
      <c r="B38" s="20" t="s">
        <v>359</v>
      </c>
      <c r="C38" s="20" t="s">
        <v>718</v>
      </c>
      <c r="D38" s="136">
        <v>940000</v>
      </c>
      <c r="E38" s="20" t="s">
        <v>569</v>
      </c>
      <c r="F38" s="20" t="s">
        <v>570</v>
      </c>
      <c r="G38" s="8" t="str">
        <f t="shared" si="0"/>
        <v>BONDS REYNALDO</v>
      </c>
      <c r="H38" s="20" t="str">
        <f t="shared" si="1"/>
        <v>4018</v>
      </c>
    </row>
    <row r="39" spans="1:8" x14ac:dyDescent="0.25">
      <c r="A39" s="8">
        <v>43090.247800925928</v>
      </c>
      <c r="B39" s="20" t="s">
        <v>390</v>
      </c>
      <c r="C39" s="20" t="s">
        <v>656</v>
      </c>
      <c r="D39" s="136">
        <v>2600000</v>
      </c>
      <c r="E39" s="20" t="s">
        <v>508</v>
      </c>
      <c r="F39" s="20" t="s">
        <v>498</v>
      </c>
      <c r="G39" s="8" t="str">
        <f t="shared" si="0"/>
        <v>DAVIDSON DAVID</v>
      </c>
      <c r="H39" s="20" t="str">
        <f t="shared" si="1"/>
        <v>4028</v>
      </c>
    </row>
    <row r="40" spans="1:8" x14ac:dyDescent="0.25">
      <c r="A40" s="8">
        <v>43090.253171296295</v>
      </c>
      <c r="B40" s="25" t="s">
        <v>659</v>
      </c>
      <c r="C40" s="20" t="s">
        <v>660</v>
      </c>
      <c r="D40" s="136">
        <v>3000000</v>
      </c>
      <c r="E40" s="20" t="s">
        <v>535</v>
      </c>
      <c r="F40" s="20" t="s">
        <v>536</v>
      </c>
      <c r="G40" s="8" t="str">
        <f t="shared" si="0"/>
        <v>FORTUNATO FRANK</v>
      </c>
      <c r="H40" s="20" t="str">
        <f t="shared" si="1"/>
        <v>4006</v>
      </c>
    </row>
    <row r="41" spans="1:8" x14ac:dyDescent="0.25">
      <c r="A41" s="8">
        <v>43090.255844907406</v>
      </c>
      <c r="B41" s="20" t="s">
        <v>468</v>
      </c>
      <c r="C41" s="20" t="s">
        <v>719</v>
      </c>
      <c r="D41" s="136">
        <v>1100000</v>
      </c>
      <c r="E41" s="20" t="s">
        <v>572</v>
      </c>
      <c r="F41" s="20" t="s">
        <v>573</v>
      </c>
      <c r="G41" s="8" t="str">
        <f t="shared" si="0"/>
        <v>GEBRETEKLE DAGNEW</v>
      </c>
      <c r="H41" s="20" t="str">
        <f t="shared" si="1"/>
        <v>4054</v>
      </c>
    </row>
    <row r="42" spans="1:8" x14ac:dyDescent="0.25">
      <c r="A42" s="8">
        <v>43090.263275462959</v>
      </c>
      <c r="B42" s="20" t="s">
        <v>680</v>
      </c>
      <c r="C42" s="20" t="s">
        <v>720</v>
      </c>
      <c r="D42" s="136">
        <v>2010000</v>
      </c>
      <c r="E42" s="20" t="s">
        <v>694</v>
      </c>
      <c r="F42" s="20" t="s">
        <v>695</v>
      </c>
      <c r="G42" s="8" t="str">
        <f t="shared" si="0"/>
        <v>MAELZER KURT</v>
      </c>
      <c r="H42" s="20" t="str">
        <f t="shared" si="1"/>
        <v>4063</v>
      </c>
    </row>
    <row r="43" spans="1:8" x14ac:dyDescent="0.25">
      <c r="A43" s="8">
        <v>43090.269178240742</v>
      </c>
      <c r="B43" s="20" t="s">
        <v>356</v>
      </c>
      <c r="C43" s="20" t="s">
        <v>721</v>
      </c>
      <c r="D43" s="136">
        <v>3040000</v>
      </c>
      <c r="E43" s="20" t="s">
        <v>367</v>
      </c>
      <c r="F43" s="20" t="s">
        <v>702</v>
      </c>
      <c r="G43" s="8" t="str">
        <f t="shared" si="0"/>
        <v>WILLIAMS DONTE</v>
      </c>
      <c r="H43" s="20" t="str">
        <f t="shared" si="1"/>
        <v>4060</v>
      </c>
    </row>
    <row r="44" spans="1:8" x14ac:dyDescent="0.25">
      <c r="A44" s="8">
        <v>43090.269293981481</v>
      </c>
      <c r="B44" s="20" t="s">
        <v>668</v>
      </c>
      <c r="C44" s="20" t="s">
        <v>722</v>
      </c>
      <c r="D44" s="136">
        <v>3000000</v>
      </c>
      <c r="E44" s="20" t="s">
        <v>535</v>
      </c>
      <c r="F44" s="20" t="s">
        <v>536</v>
      </c>
      <c r="G44" s="8" t="str">
        <f t="shared" si="0"/>
        <v>FORTUNATO FRANK</v>
      </c>
      <c r="H44" s="20" t="str">
        <f t="shared" si="1"/>
        <v>4005</v>
      </c>
    </row>
    <row r="45" spans="1:8" x14ac:dyDescent="0.25">
      <c r="A45" s="8">
        <v>43090.269560185188</v>
      </c>
      <c r="B45" s="20" t="s">
        <v>365</v>
      </c>
      <c r="C45" s="20" t="s">
        <v>661</v>
      </c>
      <c r="D45" s="136">
        <v>2440000</v>
      </c>
      <c r="E45" s="20" t="s">
        <v>450</v>
      </c>
      <c r="F45" s="20" t="s">
        <v>451</v>
      </c>
      <c r="G45" s="8" t="str">
        <f t="shared" si="0"/>
        <v>LOPES KIMBERLY</v>
      </c>
      <c r="H45" s="20" t="str">
        <f t="shared" si="1"/>
        <v>4036</v>
      </c>
    </row>
    <row r="46" spans="1:8" x14ac:dyDescent="0.25">
      <c r="A46" s="8">
        <v>43090.270925925928</v>
      </c>
      <c r="B46" s="20" t="s">
        <v>673</v>
      </c>
      <c r="C46" s="20" t="s">
        <v>723</v>
      </c>
      <c r="D46" s="136">
        <v>2600000</v>
      </c>
      <c r="E46" s="20" t="s">
        <v>508</v>
      </c>
      <c r="F46" s="20" t="s">
        <v>498</v>
      </c>
      <c r="G46" s="8" t="str">
        <f t="shared" si="0"/>
        <v>DAVIDSON DAVID</v>
      </c>
      <c r="H46" s="20" t="str">
        <f t="shared" si="1"/>
        <v>4027</v>
      </c>
    </row>
    <row r="47" spans="1:8" x14ac:dyDescent="0.25">
      <c r="A47" s="8">
        <v>43090.276620370372</v>
      </c>
      <c r="B47" s="20" t="s">
        <v>664</v>
      </c>
      <c r="C47" s="20" t="s">
        <v>724</v>
      </c>
      <c r="D47" s="136">
        <v>1830000</v>
      </c>
      <c r="E47" s="20" t="s">
        <v>345</v>
      </c>
      <c r="F47" s="20" t="s">
        <v>346</v>
      </c>
      <c r="G47" s="8" t="str">
        <f t="shared" si="0"/>
        <v>YORK EDGAR</v>
      </c>
      <c r="H47" s="20" t="str">
        <f t="shared" si="1"/>
        <v>4034</v>
      </c>
    </row>
    <row r="48" spans="1:8" x14ac:dyDescent="0.25">
      <c r="A48" s="8">
        <v>43090.287430555552</v>
      </c>
      <c r="B48" s="20" t="s">
        <v>361</v>
      </c>
      <c r="C48" s="20" t="s">
        <v>725</v>
      </c>
      <c r="D48" s="136">
        <v>940000</v>
      </c>
      <c r="E48" s="20" t="s">
        <v>569</v>
      </c>
      <c r="F48" s="20" t="s">
        <v>570</v>
      </c>
      <c r="G48" s="8" t="str">
        <f t="shared" si="0"/>
        <v>BONDS REYNALDO</v>
      </c>
      <c r="H48" s="20" t="str">
        <f t="shared" si="1"/>
        <v>4017</v>
      </c>
    </row>
    <row r="49" spans="1:8" x14ac:dyDescent="0.25">
      <c r="A49" s="8">
        <v>43090.287951388891</v>
      </c>
      <c r="B49" s="20" t="s">
        <v>469</v>
      </c>
      <c r="C49" s="20" t="s">
        <v>726</v>
      </c>
      <c r="D49" s="136">
        <v>1100000</v>
      </c>
      <c r="E49" s="20" t="s">
        <v>572</v>
      </c>
      <c r="F49" s="20" t="s">
        <v>573</v>
      </c>
      <c r="G49" s="8" t="str">
        <f t="shared" si="0"/>
        <v>GEBRETEKLE DAGNEW</v>
      </c>
      <c r="H49" s="20" t="str">
        <f t="shared" si="1"/>
        <v>4053</v>
      </c>
    </row>
    <row r="50" spans="1:8" x14ac:dyDescent="0.25">
      <c r="A50" s="8">
        <v>43090.288819444446</v>
      </c>
      <c r="B50" s="20" t="s">
        <v>470</v>
      </c>
      <c r="C50" s="20" t="s">
        <v>727</v>
      </c>
      <c r="D50" s="136">
        <v>1230000</v>
      </c>
      <c r="E50" s="20" t="s">
        <v>509</v>
      </c>
      <c r="F50" s="20" t="s">
        <v>510</v>
      </c>
      <c r="G50" s="8" t="str">
        <f t="shared" si="0"/>
        <v>YANAI IAN</v>
      </c>
      <c r="H50" s="20" t="str">
        <f t="shared" si="1"/>
        <v>4014</v>
      </c>
    </row>
    <row r="51" spans="1:8" x14ac:dyDescent="0.25">
      <c r="A51" s="8">
        <v>43090.290578703702</v>
      </c>
      <c r="B51" s="20" t="s">
        <v>366</v>
      </c>
      <c r="C51" s="20" t="s">
        <v>728</v>
      </c>
      <c r="D51" s="136">
        <v>2440000</v>
      </c>
      <c r="E51" s="20" t="s">
        <v>450</v>
      </c>
      <c r="F51" s="20" t="s">
        <v>451</v>
      </c>
      <c r="G51" s="8" t="str">
        <f t="shared" si="0"/>
        <v>LOPES KIMBERLY</v>
      </c>
      <c r="H51" s="20" t="str">
        <f t="shared" si="1"/>
        <v>4035</v>
      </c>
    </row>
    <row r="52" spans="1:8" x14ac:dyDescent="0.25">
      <c r="A52" s="8">
        <v>43090.290625000001</v>
      </c>
      <c r="B52" s="20" t="s">
        <v>659</v>
      </c>
      <c r="C52" s="20" t="s">
        <v>662</v>
      </c>
      <c r="D52" s="136">
        <v>3000000</v>
      </c>
      <c r="E52" s="20" t="s">
        <v>535</v>
      </c>
      <c r="F52" s="20" t="s">
        <v>536</v>
      </c>
      <c r="G52" s="8" t="str">
        <f t="shared" si="0"/>
        <v>FORTUNATO FRANK</v>
      </c>
      <c r="H52" s="20" t="str">
        <f t="shared" si="1"/>
        <v>4006</v>
      </c>
    </row>
    <row r="53" spans="1:8" x14ac:dyDescent="0.25">
      <c r="A53" s="8">
        <v>43090.298437500001</v>
      </c>
      <c r="B53" s="20" t="s">
        <v>657</v>
      </c>
      <c r="C53" s="20" t="s">
        <v>729</v>
      </c>
      <c r="D53" s="136">
        <v>2010000</v>
      </c>
      <c r="E53" s="20" t="s">
        <v>694</v>
      </c>
      <c r="F53" s="20" t="s">
        <v>695</v>
      </c>
      <c r="G53" s="8" t="str">
        <f t="shared" si="0"/>
        <v>MAELZER KURT</v>
      </c>
      <c r="H53" s="20" t="str">
        <f t="shared" si="1"/>
        <v>4064</v>
      </c>
    </row>
    <row r="54" spans="1:8" x14ac:dyDescent="0.25">
      <c r="A54" s="8">
        <v>43090.301053240742</v>
      </c>
      <c r="B54" s="20" t="s">
        <v>470</v>
      </c>
      <c r="C54" s="20" t="s">
        <v>727</v>
      </c>
      <c r="D54" s="136">
        <v>1230000</v>
      </c>
      <c r="E54" s="20" t="s">
        <v>509</v>
      </c>
      <c r="F54" s="20" t="s">
        <v>510</v>
      </c>
      <c r="G54" s="8" t="str">
        <f t="shared" si="0"/>
        <v>YANAI IAN</v>
      </c>
      <c r="H54" s="20" t="str">
        <f t="shared" si="1"/>
        <v>4014</v>
      </c>
    </row>
    <row r="55" spans="1:8" x14ac:dyDescent="0.25">
      <c r="A55" s="8">
        <v>43090.30741898148</v>
      </c>
      <c r="B55" s="20" t="s">
        <v>389</v>
      </c>
      <c r="C55" s="20" t="s">
        <v>730</v>
      </c>
      <c r="D55" s="136">
        <v>3040000</v>
      </c>
      <c r="E55" s="20" t="s">
        <v>367</v>
      </c>
      <c r="F55" s="20" t="s">
        <v>702</v>
      </c>
      <c r="G55" s="8" t="str">
        <f t="shared" si="0"/>
        <v>WILLIAMS DONTE</v>
      </c>
      <c r="H55" s="20" t="str">
        <f t="shared" si="1"/>
        <v>4059</v>
      </c>
    </row>
    <row r="56" spans="1:8" x14ac:dyDescent="0.25">
      <c r="A56" s="8">
        <v>43090.308958333335</v>
      </c>
      <c r="B56" s="20" t="s">
        <v>390</v>
      </c>
      <c r="C56" s="20" t="s">
        <v>663</v>
      </c>
      <c r="D56" s="136">
        <v>2600000</v>
      </c>
      <c r="E56" s="20" t="s">
        <v>508</v>
      </c>
      <c r="F56" s="20" t="s">
        <v>498</v>
      </c>
      <c r="G56" s="8" t="str">
        <f t="shared" si="0"/>
        <v>DAVIDSON DAVID</v>
      </c>
      <c r="H56" s="20" t="str">
        <f t="shared" si="1"/>
        <v>4028</v>
      </c>
    </row>
    <row r="57" spans="1:8" x14ac:dyDescent="0.25">
      <c r="A57" s="8">
        <v>43090.309212962966</v>
      </c>
      <c r="B57" s="20" t="s">
        <v>676</v>
      </c>
      <c r="C57" s="20" t="s">
        <v>731</v>
      </c>
      <c r="D57" s="136">
        <v>1830000</v>
      </c>
      <c r="E57" s="20" t="s">
        <v>345</v>
      </c>
      <c r="F57" s="20" t="s">
        <v>346</v>
      </c>
      <c r="G57" s="8" t="str">
        <f t="shared" si="0"/>
        <v>YORK EDGAR</v>
      </c>
      <c r="H57" s="20" t="str">
        <f t="shared" si="1"/>
        <v>4033</v>
      </c>
    </row>
    <row r="58" spans="1:8" x14ac:dyDescent="0.25">
      <c r="A58" s="8">
        <v>43090.310879629629</v>
      </c>
      <c r="B58" s="20" t="s">
        <v>668</v>
      </c>
      <c r="C58" s="20" t="s">
        <v>732</v>
      </c>
      <c r="D58" s="136">
        <v>3000000</v>
      </c>
      <c r="E58" s="20" t="s">
        <v>535</v>
      </c>
      <c r="F58" s="20" t="s">
        <v>536</v>
      </c>
      <c r="G58" s="8" t="str">
        <f t="shared" si="0"/>
        <v>FORTUNATO FRANK</v>
      </c>
      <c r="H58" s="20" t="str">
        <f t="shared" si="1"/>
        <v>4005</v>
      </c>
    </row>
    <row r="59" spans="1:8" x14ac:dyDescent="0.25">
      <c r="A59" s="8">
        <v>43090.311226851853</v>
      </c>
      <c r="B59" s="20" t="s">
        <v>365</v>
      </c>
      <c r="C59" s="20" t="s">
        <v>733</v>
      </c>
      <c r="D59" s="136">
        <v>2440000</v>
      </c>
      <c r="E59" s="20" t="s">
        <v>450</v>
      </c>
      <c r="F59" s="20" t="s">
        <v>451</v>
      </c>
      <c r="G59" s="8" t="str">
        <f t="shared" si="0"/>
        <v>LOPES KIMBERLY</v>
      </c>
      <c r="H59" s="20" t="str">
        <f t="shared" si="1"/>
        <v>4036</v>
      </c>
    </row>
    <row r="60" spans="1:8" x14ac:dyDescent="0.25">
      <c r="A60" s="8">
        <v>43090.319398148145</v>
      </c>
      <c r="B60" s="20" t="s">
        <v>471</v>
      </c>
      <c r="C60" s="20" t="s">
        <v>734</v>
      </c>
      <c r="D60" s="136">
        <v>1230000</v>
      </c>
      <c r="E60" s="20" t="s">
        <v>509</v>
      </c>
      <c r="F60" s="20" t="s">
        <v>510</v>
      </c>
      <c r="G60" s="8" t="str">
        <f t="shared" si="0"/>
        <v>YANAI IAN</v>
      </c>
      <c r="H60" s="20" t="str">
        <f t="shared" si="1"/>
        <v>4013</v>
      </c>
    </row>
    <row r="61" spans="1:8" x14ac:dyDescent="0.25">
      <c r="A61" s="8">
        <v>43090.3203587963</v>
      </c>
      <c r="B61" s="20" t="s">
        <v>359</v>
      </c>
      <c r="C61" s="20" t="s">
        <v>735</v>
      </c>
      <c r="D61" s="136">
        <v>3260000</v>
      </c>
      <c r="E61" s="20" t="s">
        <v>736</v>
      </c>
      <c r="F61" s="20" t="s">
        <v>737</v>
      </c>
      <c r="G61" s="8" t="str">
        <f t="shared" si="0"/>
        <v>PAGE MARCUS</v>
      </c>
      <c r="H61" s="20" t="str">
        <f t="shared" si="1"/>
        <v>4018</v>
      </c>
    </row>
    <row r="62" spans="1:8" x14ac:dyDescent="0.25">
      <c r="A62" s="8">
        <v>43090.328668981485</v>
      </c>
      <c r="B62" s="20" t="s">
        <v>468</v>
      </c>
      <c r="C62" s="20" t="s">
        <v>738</v>
      </c>
      <c r="D62" s="136">
        <v>1100000</v>
      </c>
      <c r="E62" s="20" t="s">
        <v>572</v>
      </c>
      <c r="F62" s="20" t="s">
        <v>573</v>
      </c>
      <c r="G62" s="8" t="str">
        <f t="shared" si="0"/>
        <v>GEBRETEKLE DAGNEW</v>
      </c>
      <c r="H62" s="20" t="str">
        <f t="shared" si="1"/>
        <v>4054</v>
      </c>
    </row>
    <row r="63" spans="1:8" x14ac:dyDescent="0.25">
      <c r="A63" s="8">
        <v>43090.330092592594</v>
      </c>
      <c r="B63" s="20" t="s">
        <v>680</v>
      </c>
      <c r="C63" s="20" t="s">
        <v>739</v>
      </c>
      <c r="D63" s="136">
        <v>2010000</v>
      </c>
      <c r="E63" s="20" t="s">
        <v>694</v>
      </c>
      <c r="F63" s="20" t="s">
        <v>695</v>
      </c>
      <c r="G63" s="8" t="str">
        <f t="shared" si="0"/>
        <v>MAELZER KURT</v>
      </c>
      <c r="H63" s="20" t="str">
        <f t="shared" si="1"/>
        <v>4063</v>
      </c>
    </row>
    <row r="64" spans="1:8" x14ac:dyDescent="0.25">
      <c r="A64" s="26">
        <v>43090.330821759257</v>
      </c>
      <c r="B64" s="20" t="s">
        <v>366</v>
      </c>
      <c r="C64" s="20" t="s">
        <v>740</v>
      </c>
      <c r="D64" s="136">
        <v>2440000</v>
      </c>
      <c r="E64" s="20" t="s">
        <v>450</v>
      </c>
      <c r="F64" s="20" t="s">
        <v>451</v>
      </c>
      <c r="G64" s="8" t="str">
        <f t="shared" si="0"/>
        <v>LOPES KIMBERLY</v>
      </c>
      <c r="H64" s="20" t="str">
        <f t="shared" si="1"/>
        <v>4035</v>
      </c>
    </row>
    <row r="65" spans="1:8" x14ac:dyDescent="0.25">
      <c r="A65" s="8">
        <v>43090.331782407404</v>
      </c>
      <c r="B65" s="20" t="s">
        <v>659</v>
      </c>
      <c r="C65" s="20" t="s">
        <v>741</v>
      </c>
      <c r="D65" s="136">
        <v>3000000</v>
      </c>
      <c r="E65" s="20" t="s">
        <v>535</v>
      </c>
      <c r="F65" s="20" t="s">
        <v>536</v>
      </c>
      <c r="G65" s="8" t="str">
        <f t="shared" si="0"/>
        <v>FORTUNATO FRANK</v>
      </c>
      <c r="H65" s="20" t="str">
        <f t="shared" si="1"/>
        <v>4006</v>
      </c>
    </row>
    <row r="66" spans="1:8" x14ac:dyDescent="0.25">
      <c r="A66" s="8">
        <v>43090.341840277775</v>
      </c>
      <c r="B66" s="20" t="s">
        <v>356</v>
      </c>
      <c r="C66" s="20" t="s">
        <v>742</v>
      </c>
      <c r="D66" s="136">
        <v>3040000</v>
      </c>
      <c r="E66" s="20" t="s">
        <v>367</v>
      </c>
      <c r="F66" s="20" t="s">
        <v>702</v>
      </c>
      <c r="G66" s="8" t="str">
        <f t="shared" si="0"/>
        <v>WILLIAMS DONTE</v>
      </c>
      <c r="H66" s="20" t="str">
        <f t="shared" si="1"/>
        <v>4060</v>
      </c>
    </row>
    <row r="67" spans="1:8" x14ac:dyDescent="0.25">
      <c r="A67" s="8">
        <v>43090.342013888891</v>
      </c>
      <c r="B67" s="20" t="s">
        <v>673</v>
      </c>
      <c r="C67" s="20" t="s">
        <v>743</v>
      </c>
      <c r="D67" s="136">
        <v>2600000</v>
      </c>
      <c r="E67" s="20" t="s">
        <v>508</v>
      </c>
      <c r="F67" s="20" t="s">
        <v>498</v>
      </c>
      <c r="G67" s="8" t="str">
        <f t="shared" ref="G67:G130" si="2">E67&amp;" "&amp;F67</f>
        <v>DAVIDSON DAVID</v>
      </c>
      <c r="H67" s="20" t="str">
        <f t="shared" ref="H67:H130" si="3">MID(B67,13,4)</f>
        <v>4027</v>
      </c>
    </row>
    <row r="68" spans="1:8" x14ac:dyDescent="0.25">
      <c r="A68" s="8">
        <v>43090.348067129627</v>
      </c>
      <c r="B68" s="20" t="s">
        <v>664</v>
      </c>
      <c r="C68" s="20" t="s">
        <v>665</v>
      </c>
      <c r="D68" s="136">
        <v>1830000</v>
      </c>
      <c r="E68" s="20" t="s">
        <v>345</v>
      </c>
      <c r="F68" s="20" t="s">
        <v>346</v>
      </c>
      <c r="G68" s="8" t="str">
        <f t="shared" si="2"/>
        <v>YORK EDGAR</v>
      </c>
      <c r="H68" s="20" t="str">
        <f t="shared" si="3"/>
        <v>4034</v>
      </c>
    </row>
    <row r="69" spans="1:8" x14ac:dyDescent="0.25">
      <c r="A69" s="8">
        <v>43090.350914351853</v>
      </c>
      <c r="B69" s="20" t="s">
        <v>361</v>
      </c>
      <c r="C69" s="20" t="s">
        <v>744</v>
      </c>
      <c r="D69" s="136">
        <v>3260000</v>
      </c>
      <c r="E69" s="20" t="s">
        <v>736</v>
      </c>
      <c r="F69" s="20" t="s">
        <v>737</v>
      </c>
      <c r="G69" s="8" t="str">
        <f t="shared" si="2"/>
        <v>PAGE MARCUS</v>
      </c>
      <c r="H69" s="20" t="str">
        <f t="shared" si="3"/>
        <v>4017</v>
      </c>
    </row>
    <row r="70" spans="1:8" x14ac:dyDescent="0.25">
      <c r="A70" s="8">
        <v>43090.35297453704</v>
      </c>
      <c r="B70" s="20" t="s">
        <v>668</v>
      </c>
      <c r="C70" s="20" t="s">
        <v>745</v>
      </c>
      <c r="D70" s="136">
        <v>3000000</v>
      </c>
      <c r="E70" s="20" t="s">
        <v>535</v>
      </c>
      <c r="F70" s="20" t="s">
        <v>536</v>
      </c>
      <c r="G70" s="8" t="str">
        <f t="shared" si="2"/>
        <v>FORTUNATO FRANK</v>
      </c>
      <c r="H70" s="20" t="str">
        <f t="shared" si="3"/>
        <v>4005</v>
      </c>
    </row>
    <row r="71" spans="1:8" x14ac:dyDescent="0.25">
      <c r="A71" s="8">
        <v>43090.354259259257</v>
      </c>
      <c r="B71" s="20" t="s">
        <v>365</v>
      </c>
      <c r="C71" s="20" t="s">
        <v>746</v>
      </c>
      <c r="D71" s="136">
        <v>2440000</v>
      </c>
      <c r="E71" s="20" t="s">
        <v>450</v>
      </c>
      <c r="F71" s="20" t="s">
        <v>451</v>
      </c>
      <c r="G71" s="8" t="str">
        <f t="shared" si="2"/>
        <v>LOPES KIMBERLY</v>
      </c>
      <c r="H71" s="20" t="str">
        <f t="shared" si="3"/>
        <v>4036</v>
      </c>
    </row>
    <row r="72" spans="1:8" x14ac:dyDescent="0.25">
      <c r="A72" s="8">
        <v>43090.359247685185</v>
      </c>
      <c r="B72" s="20" t="s">
        <v>469</v>
      </c>
      <c r="C72" s="20" t="s">
        <v>747</v>
      </c>
      <c r="D72" s="136">
        <v>1100000</v>
      </c>
      <c r="E72" s="20" t="s">
        <v>572</v>
      </c>
      <c r="F72" s="20" t="s">
        <v>573</v>
      </c>
      <c r="G72" s="8" t="str">
        <f t="shared" si="2"/>
        <v>GEBRETEKLE DAGNEW</v>
      </c>
      <c r="H72" s="20" t="str">
        <f t="shared" si="3"/>
        <v>4053</v>
      </c>
    </row>
    <row r="73" spans="1:8" x14ac:dyDescent="0.25">
      <c r="A73" s="8">
        <v>43090.359976851854</v>
      </c>
      <c r="B73" s="20" t="s">
        <v>470</v>
      </c>
      <c r="C73" s="20" t="s">
        <v>748</v>
      </c>
      <c r="D73" s="136">
        <v>1230000</v>
      </c>
      <c r="E73" s="20" t="s">
        <v>509</v>
      </c>
      <c r="F73" s="20" t="s">
        <v>510</v>
      </c>
      <c r="G73" s="8" t="str">
        <f t="shared" si="2"/>
        <v>YANAI IAN</v>
      </c>
      <c r="H73" s="20" t="str">
        <f t="shared" si="3"/>
        <v>4014</v>
      </c>
    </row>
    <row r="74" spans="1:8" x14ac:dyDescent="0.25">
      <c r="A74" s="8">
        <v>43090.372037037036</v>
      </c>
      <c r="B74" s="20" t="s">
        <v>657</v>
      </c>
      <c r="C74" s="20" t="s">
        <v>749</v>
      </c>
      <c r="D74" s="136">
        <v>2010000</v>
      </c>
      <c r="E74" s="20" t="s">
        <v>694</v>
      </c>
      <c r="F74" s="20" t="s">
        <v>695</v>
      </c>
      <c r="G74" s="8" t="str">
        <f t="shared" si="2"/>
        <v>MAELZER KURT</v>
      </c>
      <c r="H74" s="20" t="str">
        <f t="shared" si="3"/>
        <v>4064</v>
      </c>
    </row>
    <row r="75" spans="1:8" x14ac:dyDescent="0.25">
      <c r="A75" s="8">
        <v>43090.375671296293</v>
      </c>
      <c r="B75" s="20" t="s">
        <v>659</v>
      </c>
      <c r="C75" s="20" t="s">
        <v>750</v>
      </c>
      <c r="D75" s="136">
        <v>3000000</v>
      </c>
      <c r="E75" s="20" t="s">
        <v>535</v>
      </c>
      <c r="F75" s="20" t="s">
        <v>536</v>
      </c>
      <c r="G75" s="8" t="str">
        <f t="shared" si="2"/>
        <v>FORTUNATO FRANK</v>
      </c>
      <c r="H75" s="20" t="str">
        <f t="shared" si="3"/>
        <v>4006</v>
      </c>
    </row>
    <row r="76" spans="1:8" x14ac:dyDescent="0.25">
      <c r="A76" s="8">
        <v>43090.380428240744</v>
      </c>
      <c r="B76" s="20" t="s">
        <v>389</v>
      </c>
      <c r="C76" s="20" t="s">
        <v>666</v>
      </c>
      <c r="D76" s="136">
        <v>3040000</v>
      </c>
      <c r="E76" s="20" t="s">
        <v>367</v>
      </c>
      <c r="F76" s="20" t="s">
        <v>702</v>
      </c>
      <c r="G76" s="8" t="str">
        <f t="shared" si="2"/>
        <v>WILLIAMS DONTE</v>
      </c>
      <c r="H76" s="20" t="str">
        <f t="shared" si="3"/>
        <v>4059</v>
      </c>
    </row>
    <row r="77" spans="1:8" x14ac:dyDescent="0.25">
      <c r="A77" s="8">
        <v>43090.381203703706</v>
      </c>
      <c r="B77" s="20" t="s">
        <v>390</v>
      </c>
      <c r="C77" s="20" t="s">
        <v>751</v>
      </c>
      <c r="D77" s="136">
        <v>2600000</v>
      </c>
      <c r="E77" s="20" t="s">
        <v>508</v>
      </c>
      <c r="F77" s="20" t="s">
        <v>498</v>
      </c>
      <c r="G77" s="8" t="str">
        <f t="shared" si="2"/>
        <v>DAVIDSON DAVID</v>
      </c>
      <c r="H77" s="20" t="str">
        <f t="shared" si="3"/>
        <v>4028</v>
      </c>
    </row>
    <row r="78" spans="1:8" x14ac:dyDescent="0.25">
      <c r="A78" s="8">
        <v>43090.390694444446</v>
      </c>
      <c r="B78" s="20" t="s">
        <v>359</v>
      </c>
      <c r="C78" s="20" t="s">
        <v>752</v>
      </c>
      <c r="D78" s="136">
        <v>940000</v>
      </c>
      <c r="E78" s="20" t="s">
        <v>569</v>
      </c>
      <c r="F78" s="20" t="s">
        <v>570</v>
      </c>
      <c r="G78" s="8" t="str">
        <f t="shared" si="2"/>
        <v>BONDS REYNALDO</v>
      </c>
      <c r="H78" s="20" t="str">
        <f t="shared" si="3"/>
        <v>4018</v>
      </c>
    </row>
    <row r="79" spans="1:8" x14ac:dyDescent="0.25">
      <c r="A79" s="8">
        <v>43090.392384259256</v>
      </c>
      <c r="B79" s="20" t="s">
        <v>471</v>
      </c>
      <c r="C79" s="20" t="s">
        <v>753</v>
      </c>
      <c r="D79" s="136">
        <v>1230000</v>
      </c>
      <c r="E79" s="20" t="s">
        <v>509</v>
      </c>
      <c r="F79" s="20" t="s">
        <v>510</v>
      </c>
      <c r="G79" s="8" t="str">
        <f t="shared" si="2"/>
        <v>YANAI IAN</v>
      </c>
      <c r="H79" s="20" t="str">
        <f t="shared" si="3"/>
        <v>4013</v>
      </c>
    </row>
    <row r="80" spans="1:8" x14ac:dyDescent="0.25">
      <c r="A80" s="8">
        <v>43090.393263888887</v>
      </c>
      <c r="B80" s="20" t="s">
        <v>676</v>
      </c>
      <c r="C80" s="20" t="s">
        <v>754</v>
      </c>
      <c r="D80" s="136">
        <v>1830000</v>
      </c>
      <c r="E80" s="20" t="s">
        <v>345</v>
      </c>
      <c r="F80" s="20" t="s">
        <v>346</v>
      </c>
      <c r="G80" s="8" t="str">
        <f t="shared" si="2"/>
        <v>YORK EDGAR</v>
      </c>
      <c r="H80" s="20" t="str">
        <f t="shared" si="3"/>
        <v>4033</v>
      </c>
    </row>
    <row r="81" spans="1:8" x14ac:dyDescent="0.25">
      <c r="A81" s="8">
        <v>43090.394293981481</v>
      </c>
      <c r="B81" s="20" t="s">
        <v>668</v>
      </c>
      <c r="C81" s="20" t="s">
        <v>755</v>
      </c>
      <c r="D81" s="136">
        <v>3000000</v>
      </c>
      <c r="E81" s="20" t="s">
        <v>535</v>
      </c>
      <c r="F81" s="20" t="s">
        <v>536</v>
      </c>
      <c r="G81" s="8" t="str">
        <f t="shared" si="2"/>
        <v>FORTUNATO FRANK</v>
      </c>
      <c r="H81" s="20" t="str">
        <f t="shared" si="3"/>
        <v>4005</v>
      </c>
    </row>
    <row r="82" spans="1:8" x14ac:dyDescent="0.25">
      <c r="A82" s="8">
        <v>43090.401736111111</v>
      </c>
      <c r="B82" s="20" t="s">
        <v>468</v>
      </c>
      <c r="C82" s="20" t="s">
        <v>756</v>
      </c>
      <c r="D82" s="136">
        <v>1100000</v>
      </c>
      <c r="E82" s="20" t="s">
        <v>572</v>
      </c>
      <c r="F82" s="20" t="s">
        <v>573</v>
      </c>
      <c r="G82" s="8" t="str">
        <f t="shared" si="2"/>
        <v>GEBRETEKLE DAGNEW</v>
      </c>
      <c r="H82" s="20" t="str">
        <f t="shared" si="3"/>
        <v>4054</v>
      </c>
    </row>
    <row r="83" spans="1:8" x14ac:dyDescent="0.25">
      <c r="A83" s="8">
        <v>43090.407129629632</v>
      </c>
      <c r="B83" s="20" t="s">
        <v>680</v>
      </c>
      <c r="C83" s="20" t="s">
        <v>757</v>
      </c>
      <c r="D83" s="136">
        <v>2010000</v>
      </c>
      <c r="E83" s="20" t="s">
        <v>694</v>
      </c>
      <c r="F83" s="20" t="s">
        <v>695</v>
      </c>
      <c r="G83" s="8" t="str">
        <f t="shared" si="2"/>
        <v>MAELZER KURT</v>
      </c>
      <c r="H83" s="20" t="str">
        <f t="shared" si="3"/>
        <v>4063</v>
      </c>
    </row>
    <row r="84" spans="1:8" x14ac:dyDescent="0.25">
      <c r="A84" s="8">
        <v>43090.413483796299</v>
      </c>
      <c r="B84" s="20" t="s">
        <v>356</v>
      </c>
      <c r="C84" s="20" t="s">
        <v>758</v>
      </c>
      <c r="D84" s="136">
        <v>3040000</v>
      </c>
      <c r="E84" s="20" t="s">
        <v>367</v>
      </c>
      <c r="F84" s="20" t="s">
        <v>702</v>
      </c>
      <c r="G84" s="8" t="str">
        <f t="shared" si="2"/>
        <v>WILLIAMS DONTE</v>
      </c>
      <c r="H84" s="20" t="str">
        <f t="shared" si="3"/>
        <v>4060</v>
      </c>
    </row>
    <row r="85" spans="1:8" x14ac:dyDescent="0.25">
      <c r="A85" s="8">
        <v>43090.414594907408</v>
      </c>
      <c r="B85" s="20" t="s">
        <v>673</v>
      </c>
      <c r="C85" s="20" t="s">
        <v>759</v>
      </c>
      <c r="D85" s="136">
        <v>2600000</v>
      </c>
      <c r="E85" s="20" t="s">
        <v>508</v>
      </c>
      <c r="F85" s="20" t="s">
        <v>498</v>
      </c>
      <c r="G85" s="8" t="str">
        <f t="shared" si="2"/>
        <v>DAVIDSON DAVID</v>
      </c>
      <c r="H85" s="20" t="str">
        <f t="shared" si="3"/>
        <v>4027</v>
      </c>
    </row>
    <row r="86" spans="1:8" x14ac:dyDescent="0.25">
      <c r="A86" s="8">
        <v>43090.415046296293</v>
      </c>
      <c r="B86" s="20" t="s">
        <v>659</v>
      </c>
      <c r="C86" s="20" t="s">
        <v>760</v>
      </c>
      <c r="D86" s="136">
        <v>3000000</v>
      </c>
      <c r="E86" s="20" t="s">
        <v>535</v>
      </c>
      <c r="F86" s="20" t="s">
        <v>536</v>
      </c>
      <c r="G86" s="8" t="str">
        <f t="shared" si="2"/>
        <v>FORTUNATO FRANK</v>
      </c>
      <c r="H86" s="20" t="str">
        <f t="shared" si="3"/>
        <v>4006</v>
      </c>
    </row>
    <row r="87" spans="1:8" x14ac:dyDescent="0.25">
      <c r="A87" s="8">
        <v>43090.421238425923</v>
      </c>
      <c r="B87" s="20" t="s">
        <v>664</v>
      </c>
      <c r="C87" s="20" t="s">
        <v>761</v>
      </c>
      <c r="D87" s="136">
        <v>2440000</v>
      </c>
      <c r="E87" s="20" t="s">
        <v>450</v>
      </c>
      <c r="F87" s="20" t="s">
        <v>451</v>
      </c>
      <c r="G87" s="8" t="str">
        <f t="shared" si="2"/>
        <v>LOPES KIMBERLY</v>
      </c>
      <c r="H87" s="20" t="str">
        <f t="shared" si="3"/>
        <v>4034</v>
      </c>
    </row>
    <row r="88" spans="1:8" x14ac:dyDescent="0.25">
      <c r="A88" s="8">
        <v>43090.42763888889</v>
      </c>
      <c r="B88" s="20" t="s">
        <v>361</v>
      </c>
      <c r="C88" s="20" t="s">
        <v>762</v>
      </c>
      <c r="D88" s="136">
        <v>940000</v>
      </c>
      <c r="E88" s="20" t="s">
        <v>569</v>
      </c>
      <c r="F88" s="20" t="s">
        <v>570</v>
      </c>
      <c r="G88" s="8" t="str">
        <f t="shared" si="2"/>
        <v>BONDS REYNALDO</v>
      </c>
      <c r="H88" s="20" t="str">
        <f t="shared" si="3"/>
        <v>4017</v>
      </c>
    </row>
    <row r="89" spans="1:8" x14ac:dyDescent="0.25">
      <c r="A89" s="8">
        <v>43090.433692129627</v>
      </c>
      <c r="B89" s="20" t="s">
        <v>469</v>
      </c>
      <c r="C89" s="20" t="s">
        <v>763</v>
      </c>
      <c r="D89" s="136">
        <v>1100000</v>
      </c>
      <c r="E89" s="20" t="s">
        <v>572</v>
      </c>
      <c r="F89" s="20" t="s">
        <v>573</v>
      </c>
      <c r="G89" s="8" t="str">
        <f t="shared" si="2"/>
        <v>GEBRETEKLE DAGNEW</v>
      </c>
      <c r="H89" s="20" t="str">
        <f t="shared" si="3"/>
        <v>4053</v>
      </c>
    </row>
    <row r="90" spans="1:8" x14ac:dyDescent="0.25">
      <c r="A90" s="8">
        <v>43090.434699074074</v>
      </c>
      <c r="B90" s="20" t="s">
        <v>470</v>
      </c>
      <c r="C90" s="20" t="s">
        <v>764</v>
      </c>
      <c r="D90" s="136">
        <v>1230000</v>
      </c>
      <c r="E90" s="20" t="s">
        <v>509</v>
      </c>
      <c r="F90" s="20" t="s">
        <v>510</v>
      </c>
      <c r="G90" s="8" t="str">
        <f t="shared" si="2"/>
        <v>YANAI IAN</v>
      </c>
      <c r="H90" s="20" t="str">
        <f t="shared" si="3"/>
        <v>4014</v>
      </c>
    </row>
    <row r="91" spans="1:8" x14ac:dyDescent="0.25">
      <c r="A91" s="8">
        <v>43090.435914351852</v>
      </c>
      <c r="B91" s="20" t="s">
        <v>668</v>
      </c>
      <c r="C91" s="20" t="s">
        <v>765</v>
      </c>
      <c r="D91" s="136">
        <v>3000000</v>
      </c>
      <c r="E91" s="20" t="s">
        <v>535</v>
      </c>
      <c r="F91" s="20" t="s">
        <v>536</v>
      </c>
      <c r="G91" s="8" t="str">
        <f t="shared" si="2"/>
        <v>FORTUNATO FRANK</v>
      </c>
      <c r="H91" s="20" t="str">
        <f t="shared" si="3"/>
        <v>4005</v>
      </c>
    </row>
    <row r="92" spans="1:8" x14ac:dyDescent="0.25">
      <c r="A92" s="8">
        <v>43090.444513888891</v>
      </c>
      <c r="B92" s="20" t="s">
        <v>657</v>
      </c>
      <c r="C92" s="20" t="s">
        <v>766</v>
      </c>
      <c r="D92" s="136">
        <v>2550000</v>
      </c>
      <c r="E92" s="20" t="s">
        <v>767</v>
      </c>
      <c r="F92" s="20" t="s">
        <v>768</v>
      </c>
      <c r="G92" s="8" t="str">
        <f t="shared" si="2"/>
        <v>BADERTSCHER DIANE</v>
      </c>
      <c r="H92" s="20" t="str">
        <f t="shared" si="3"/>
        <v>4064</v>
      </c>
    </row>
    <row r="93" spans="1:8" x14ac:dyDescent="0.25">
      <c r="A93" s="8">
        <v>43090.444814814815</v>
      </c>
      <c r="B93" s="20" t="s">
        <v>366</v>
      </c>
      <c r="C93" s="20" t="s">
        <v>769</v>
      </c>
      <c r="D93" s="136">
        <v>1810000</v>
      </c>
      <c r="E93" s="20" t="s">
        <v>537</v>
      </c>
      <c r="F93" s="20" t="s">
        <v>394</v>
      </c>
      <c r="G93" s="8" t="str">
        <f t="shared" si="2"/>
        <v>NEWELL JAMES</v>
      </c>
      <c r="H93" s="20" t="str">
        <f t="shared" si="3"/>
        <v>4035</v>
      </c>
    </row>
    <row r="94" spans="1:8" x14ac:dyDescent="0.25">
      <c r="A94" s="8">
        <v>43090.454351851855</v>
      </c>
      <c r="B94" s="20" t="s">
        <v>389</v>
      </c>
      <c r="C94" s="20" t="s">
        <v>667</v>
      </c>
      <c r="D94" s="136">
        <v>3040000</v>
      </c>
      <c r="E94" s="20" t="s">
        <v>367</v>
      </c>
      <c r="F94" s="20" t="s">
        <v>702</v>
      </c>
      <c r="G94" s="8" t="str">
        <f t="shared" si="2"/>
        <v>WILLIAMS DONTE</v>
      </c>
      <c r="H94" s="20" t="str">
        <f t="shared" si="3"/>
        <v>4059</v>
      </c>
    </row>
    <row r="95" spans="1:8" x14ac:dyDescent="0.25">
      <c r="A95" s="8">
        <v>43090.454629629632</v>
      </c>
      <c r="B95" s="20" t="s">
        <v>390</v>
      </c>
      <c r="C95" s="20" t="s">
        <v>770</v>
      </c>
      <c r="D95" s="136">
        <v>2600000</v>
      </c>
      <c r="E95" s="20" t="s">
        <v>508</v>
      </c>
      <c r="F95" s="20" t="s">
        <v>498</v>
      </c>
      <c r="G95" s="8" t="str">
        <f t="shared" si="2"/>
        <v>DAVIDSON DAVID</v>
      </c>
      <c r="H95" s="20" t="str">
        <f t="shared" si="3"/>
        <v>4028</v>
      </c>
    </row>
    <row r="96" spans="1:8" x14ac:dyDescent="0.25">
      <c r="A96" s="8">
        <v>43090.456597222219</v>
      </c>
      <c r="B96" s="20" t="s">
        <v>676</v>
      </c>
      <c r="C96" s="20" t="s">
        <v>771</v>
      </c>
      <c r="D96" s="136">
        <v>2440000</v>
      </c>
      <c r="E96" s="20" t="s">
        <v>450</v>
      </c>
      <c r="F96" s="20" t="s">
        <v>451</v>
      </c>
      <c r="G96" s="8" t="str">
        <f t="shared" si="2"/>
        <v>LOPES KIMBERLY</v>
      </c>
      <c r="H96" s="20" t="str">
        <f t="shared" si="3"/>
        <v>4033</v>
      </c>
    </row>
    <row r="97" spans="1:8" x14ac:dyDescent="0.25">
      <c r="A97" s="8">
        <v>43090.4606712963</v>
      </c>
      <c r="B97" s="20" t="s">
        <v>659</v>
      </c>
      <c r="C97" s="20" t="s">
        <v>772</v>
      </c>
      <c r="D97" s="136">
        <v>3000000</v>
      </c>
      <c r="E97" s="20" t="s">
        <v>535</v>
      </c>
      <c r="F97" s="20" t="s">
        <v>536</v>
      </c>
      <c r="G97" s="8" t="str">
        <f t="shared" si="2"/>
        <v>FORTUNATO FRANK</v>
      </c>
      <c r="H97" s="20" t="str">
        <f t="shared" si="3"/>
        <v>4006</v>
      </c>
    </row>
    <row r="98" spans="1:8" x14ac:dyDescent="0.25">
      <c r="A98" s="8">
        <v>43090.463842592595</v>
      </c>
      <c r="B98" s="20" t="s">
        <v>471</v>
      </c>
      <c r="C98" s="20" t="s">
        <v>773</v>
      </c>
      <c r="D98" s="136">
        <v>1230000</v>
      </c>
      <c r="E98" s="20" t="s">
        <v>509</v>
      </c>
      <c r="F98" s="20" t="s">
        <v>510</v>
      </c>
      <c r="G98" s="8" t="str">
        <f t="shared" si="2"/>
        <v>YANAI IAN</v>
      </c>
      <c r="H98" s="20" t="str">
        <f t="shared" si="3"/>
        <v>4013</v>
      </c>
    </row>
    <row r="99" spans="1:8" x14ac:dyDescent="0.25">
      <c r="A99" s="8">
        <v>43090.46570601852</v>
      </c>
      <c r="B99" s="20" t="s">
        <v>359</v>
      </c>
      <c r="C99" s="20" t="s">
        <v>774</v>
      </c>
      <c r="D99" s="136">
        <v>1810000</v>
      </c>
      <c r="E99" s="20" t="s">
        <v>537</v>
      </c>
      <c r="F99" s="20" t="s">
        <v>394</v>
      </c>
      <c r="G99" s="8" t="str">
        <f t="shared" si="2"/>
        <v>NEWELL JAMES</v>
      </c>
      <c r="H99" s="20" t="str">
        <f t="shared" si="3"/>
        <v>4018</v>
      </c>
    </row>
    <row r="100" spans="1:8" x14ac:dyDescent="0.25">
      <c r="A100" s="8">
        <v>43090.47284722222</v>
      </c>
      <c r="B100" s="20" t="s">
        <v>365</v>
      </c>
      <c r="C100" s="20" t="s">
        <v>775</v>
      </c>
      <c r="D100" s="136">
        <v>940000</v>
      </c>
      <c r="E100" s="20" t="s">
        <v>569</v>
      </c>
      <c r="F100" s="20" t="s">
        <v>570</v>
      </c>
      <c r="G100" s="8" t="str">
        <f t="shared" si="2"/>
        <v>BONDS REYNALDO</v>
      </c>
      <c r="H100" s="20" t="str">
        <f t="shared" si="3"/>
        <v>4036</v>
      </c>
    </row>
    <row r="101" spans="1:8" x14ac:dyDescent="0.25">
      <c r="A101" s="8">
        <v>43090.474687499998</v>
      </c>
      <c r="B101" s="20" t="s">
        <v>468</v>
      </c>
      <c r="C101" s="20" t="s">
        <v>776</v>
      </c>
      <c r="D101" s="136">
        <v>880000</v>
      </c>
      <c r="E101" s="20" t="s">
        <v>497</v>
      </c>
      <c r="F101" s="20" t="s">
        <v>351</v>
      </c>
      <c r="G101" s="8" t="str">
        <f t="shared" si="2"/>
        <v>STEWART MICHAEL</v>
      </c>
      <c r="H101" s="20" t="str">
        <f t="shared" si="3"/>
        <v>4054</v>
      </c>
    </row>
    <row r="102" spans="1:8" x14ac:dyDescent="0.25">
      <c r="A102" s="8">
        <v>43090.477152777778</v>
      </c>
      <c r="B102" s="20" t="s">
        <v>668</v>
      </c>
      <c r="C102" s="20" t="s">
        <v>669</v>
      </c>
      <c r="D102" s="136">
        <v>3000000</v>
      </c>
      <c r="E102" s="20" t="s">
        <v>535</v>
      </c>
      <c r="F102" s="20" t="s">
        <v>536</v>
      </c>
      <c r="G102" s="8" t="str">
        <f t="shared" si="2"/>
        <v>FORTUNATO FRANK</v>
      </c>
      <c r="H102" s="20" t="str">
        <f t="shared" si="3"/>
        <v>4005</v>
      </c>
    </row>
    <row r="103" spans="1:8" x14ac:dyDescent="0.25">
      <c r="A103" s="8">
        <v>43090.485497685186</v>
      </c>
      <c r="B103" s="20" t="s">
        <v>680</v>
      </c>
      <c r="C103" s="20" t="s">
        <v>777</v>
      </c>
      <c r="D103" s="136">
        <v>2550000</v>
      </c>
      <c r="E103" s="20" t="s">
        <v>767</v>
      </c>
      <c r="F103" s="20" t="s">
        <v>768</v>
      </c>
      <c r="G103" s="8" t="str">
        <f t="shared" si="2"/>
        <v>BADERTSCHER DIANE</v>
      </c>
      <c r="H103" s="20" t="str">
        <f t="shared" si="3"/>
        <v>4063</v>
      </c>
    </row>
    <row r="104" spans="1:8" x14ac:dyDescent="0.25">
      <c r="A104" s="8">
        <v>43090.486574074072</v>
      </c>
      <c r="B104" s="20" t="s">
        <v>673</v>
      </c>
      <c r="C104" s="20" t="s">
        <v>778</v>
      </c>
      <c r="D104" s="136">
        <v>2600000</v>
      </c>
      <c r="E104" s="20" t="s">
        <v>508</v>
      </c>
      <c r="F104" s="20" t="s">
        <v>498</v>
      </c>
      <c r="G104" s="8" t="str">
        <f t="shared" si="2"/>
        <v>DAVIDSON DAVID</v>
      </c>
      <c r="H104" s="20" t="str">
        <f t="shared" si="3"/>
        <v>4027</v>
      </c>
    </row>
    <row r="105" spans="1:8" x14ac:dyDescent="0.25">
      <c r="A105" s="8">
        <v>43090.491435185184</v>
      </c>
      <c r="B105" s="20" t="s">
        <v>356</v>
      </c>
      <c r="C105" s="20" t="s">
        <v>779</v>
      </c>
      <c r="D105" s="136">
        <v>1300000</v>
      </c>
      <c r="E105" s="20" t="s">
        <v>357</v>
      </c>
      <c r="F105" s="20" t="s">
        <v>358</v>
      </c>
      <c r="G105" s="8" t="str">
        <f t="shared" si="2"/>
        <v>LEVIN SCOTT</v>
      </c>
      <c r="H105" s="20" t="str">
        <f t="shared" si="3"/>
        <v>4060</v>
      </c>
    </row>
    <row r="106" spans="1:8" x14ac:dyDescent="0.25">
      <c r="A106" s="8">
        <v>43090.494953703703</v>
      </c>
      <c r="B106" s="20" t="s">
        <v>664</v>
      </c>
      <c r="C106" s="20" t="s">
        <v>780</v>
      </c>
      <c r="D106" s="136">
        <v>2140000</v>
      </c>
      <c r="E106" s="20" t="s">
        <v>513</v>
      </c>
      <c r="F106" s="20" t="s">
        <v>514</v>
      </c>
      <c r="G106" s="8" t="str">
        <f t="shared" si="2"/>
        <v>ROBINSON KADDIBA</v>
      </c>
      <c r="H106" s="20" t="str">
        <f t="shared" si="3"/>
        <v>4034</v>
      </c>
    </row>
    <row r="107" spans="1:8" x14ac:dyDescent="0.25">
      <c r="A107" s="8">
        <v>43090.496608796297</v>
      </c>
      <c r="B107" s="20" t="s">
        <v>361</v>
      </c>
      <c r="C107" s="20" t="s">
        <v>781</v>
      </c>
      <c r="D107" s="136">
        <v>1810000</v>
      </c>
      <c r="E107" s="20" t="s">
        <v>537</v>
      </c>
      <c r="F107" s="20" t="s">
        <v>394</v>
      </c>
      <c r="G107" s="8" t="str">
        <f t="shared" si="2"/>
        <v>NEWELL JAMES</v>
      </c>
      <c r="H107" s="20" t="str">
        <f t="shared" si="3"/>
        <v>4017</v>
      </c>
    </row>
    <row r="108" spans="1:8" x14ac:dyDescent="0.25">
      <c r="A108" s="8">
        <v>43090.4999537037</v>
      </c>
      <c r="B108" s="20" t="s">
        <v>659</v>
      </c>
      <c r="C108" s="20" t="s">
        <v>782</v>
      </c>
      <c r="D108" s="136">
        <v>3000000</v>
      </c>
      <c r="E108" s="20" t="s">
        <v>535</v>
      </c>
      <c r="F108" s="20" t="s">
        <v>536</v>
      </c>
      <c r="G108" s="8" t="str">
        <f t="shared" si="2"/>
        <v>FORTUNATO FRANK</v>
      </c>
      <c r="H108" s="20" t="str">
        <f t="shared" si="3"/>
        <v>4006</v>
      </c>
    </row>
    <row r="109" spans="1:8" x14ac:dyDescent="0.25">
      <c r="A109" s="8">
        <v>43090.508969907409</v>
      </c>
      <c r="B109" s="20" t="s">
        <v>470</v>
      </c>
      <c r="C109" s="20" t="s">
        <v>783</v>
      </c>
      <c r="D109" s="136">
        <v>1760000</v>
      </c>
      <c r="E109" s="20" t="s">
        <v>784</v>
      </c>
      <c r="F109" s="20" t="s">
        <v>785</v>
      </c>
      <c r="G109" s="8" t="str">
        <f t="shared" si="2"/>
        <v>STRICKLAND EVAN</v>
      </c>
      <c r="H109" s="20" t="str">
        <f t="shared" si="3"/>
        <v>4014</v>
      </c>
    </row>
    <row r="110" spans="1:8" x14ac:dyDescent="0.25">
      <c r="A110" s="8">
        <v>43090.515914351854</v>
      </c>
      <c r="B110" s="20" t="s">
        <v>469</v>
      </c>
      <c r="C110" s="20" t="s">
        <v>786</v>
      </c>
      <c r="D110" s="136">
        <v>880000</v>
      </c>
      <c r="E110" s="20" t="s">
        <v>497</v>
      </c>
      <c r="F110" s="20" t="s">
        <v>351</v>
      </c>
      <c r="G110" s="8" t="str">
        <f t="shared" si="2"/>
        <v>STEWART MICHAEL</v>
      </c>
      <c r="H110" s="20" t="str">
        <f t="shared" si="3"/>
        <v>4053</v>
      </c>
    </row>
    <row r="111" spans="1:8" x14ac:dyDescent="0.25">
      <c r="A111" s="8">
        <v>43090.516597222224</v>
      </c>
      <c r="B111" s="20" t="s">
        <v>657</v>
      </c>
      <c r="C111" s="20" t="s">
        <v>787</v>
      </c>
      <c r="D111" s="136">
        <v>2550000</v>
      </c>
      <c r="E111" s="20" t="s">
        <v>767</v>
      </c>
      <c r="F111" s="20" t="s">
        <v>768</v>
      </c>
      <c r="G111" s="8" t="str">
        <f t="shared" si="2"/>
        <v>BADERTSCHER DIANE</v>
      </c>
      <c r="H111" s="20" t="str">
        <f t="shared" si="3"/>
        <v>4064</v>
      </c>
    </row>
    <row r="112" spans="1:8" x14ac:dyDescent="0.25">
      <c r="A112" s="8">
        <v>43090.518750000003</v>
      </c>
      <c r="B112" s="20" t="s">
        <v>668</v>
      </c>
      <c r="C112" s="20" t="s">
        <v>788</v>
      </c>
      <c r="D112" s="136">
        <v>3000000</v>
      </c>
      <c r="E112" s="20" t="s">
        <v>535</v>
      </c>
      <c r="F112" s="20" t="s">
        <v>536</v>
      </c>
      <c r="G112" s="8" t="str">
        <f t="shared" si="2"/>
        <v>FORTUNATO FRANK</v>
      </c>
      <c r="H112" s="20" t="str">
        <f t="shared" si="3"/>
        <v>4005</v>
      </c>
    </row>
    <row r="113" spans="1:8" x14ac:dyDescent="0.25">
      <c r="A113" s="8">
        <v>43090.522291666668</v>
      </c>
      <c r="B113" s="20" t="s">
        <v>389</v>
      </c>
      <c r="C113" s="20" t="s">
        <v>789</v>
      </c>
      <c r="D113" s="136">
        <v>1300000</v>
      </c>
      <c r="E113" s="20" t="s">
        <v>357</v>
      </c>
      <c r="F113" s="20" t="s">
        <v>358</v>
      </c>
      <c r="G113" s="8" t="str">
        <f t="shared" si="2"/>
        <v>LEVIN SCOTT</v>
      </c>
      <c r="H113" s="20" t="str">
        <f t="shared" si="3"/>
        <v>4059</v>
      </c>
    </row>
    <row r="114" spans="1:8" x14ac:dyDescent="0.25">
      <c r="A114" s="8">
        <v>43090.528483796297</v>
      </c>
      <c r="B114" s="20" t="s">
        <v>390</v>
      </c>
      <c r="C114" s="20" t="s">
        <v>670</v>
      </c>
      <c r="D114" s="136">
        <v>2420000</v>
      </c>
      <c r="E114" s="20" t="s">
        <v>576</v>
      </c>
      <c r="F114" s="20" t="s">
        <v>577</v>
      </c>
      <c r="G114" s="8" t="str">
        <f t="shared" si="2"/>
        <v>HOLCOMB KAMDEN</v>
      </c>
      <c r="H114" s="20" t="str">
        <f t="shared" si="3"/>
        <v>4028</v>
      </c>
    </row>
    <row r="115" spans="1:8" x14ac:dyDescent="0.25">
      <c r="A115" s="8">
        <v>43090.537129629629</v>
      </c>
      <c r="B115" s="20" t="s">
        <v>676</v>
      </c>
      <c r="C115" s="20" t="s">
        <v>790</v>
      </c>
      <c r="D115" s="136">
        <v>2140000</v>
      </c>
      <c r="E115" s="20" t="s">
        <v>513</v>
      </c>
      <c r="F115" s="20" t="s">
        <v>514</v>
      </c>
      <c r="G115" s="8" t="str">
        <f t="shared" si="2"/>
        <v>ROBINSON KADDIBA</v>
      </c>
      <c r="H115" s="20" t="str">
        <f t="shared" si="3"/>
        <v>4033</v>
      </c>
    </row>
    <row r="116" spans="1:8" x14ac:dyDescent="0.25">
      <c r="A116" s="8">
        <v>43090.537824074076</v>
      </c>
      <c r="B116" s="20" t="s">
        <v>359</v>
      </c>
      <c r="C116" s="20" t="s">
        <v>791</v>
      </c>
      <c r="D116" s="136">
        <v>1810000</v>
      </c>
      <c r="E116" s="20" t="s">
        <v>537</v>
      </c>
      <c r="F116" s="20" t="s">
        <v>394</v>
      </c>
      <c r="G116" s="8" t="str">
        <f t="shared" si="2"/>
        <v>NEWELL JAMES</v>
      </c>
      <c r="H116" s="20" t="str">
        <f t="shared" si="3"/>
        <v>4018</v>
      </c>
    </row>
    <row r="117" spans="1:8" x14ac:dyDescent="0.25">
      <c r="A117" s="8">
        <v>43090.539189814815</v>
      </c>
      <c r="B117" s="20" t="s">
        <v>471</v>
      </c>
      <c r="C117" s="20" t="s">
        <v>671</v>
      </c>
      <c r="D117" s="136">
        <v>1760000</v>
      </c>
      <c r="E117" s="20" t="s">
        <v>784</v>
      </c>
      <c r="F117" s="20" t="s">
        <v>785</v>
      </c>
      <c r="G117" s="8" t="str">
        <f t="shared" si="2"/>
        <v>STRICKLAND EVAN</v>
      </c>
      <c r="H117" s="20" t="str">
        <f t="shared" si="3"/>
        <v>4013</v>
      </c>
    </row>
    <row r="118" spans="1:8" x14ac:dyDescent="0.25">
      <c r="A118" s="8">
        <v>43090.544317129628</v>
      </c>
      <c r="B118" s="20" t="s">
        <v>659</v>
      </c>
      <c r="C118" s="20" t="s">
        <v>672</v>
      </c>
      <c r="D118" s="136">
        <v>2000000</v>
      </c>
      <c r="E118" s="20" t="s">
        <v>393</v>
      </c>
      <c r="F118" s="20" t="s">
        <v>394</v>
      </c>
      <c r="G118" s="8" t="str">
        <f t="shared" si="2"/>
        <v>STAMBAUGH JAMES</v>
      </c>
      <c r="H118" s="20" t="str">
        <f t="shared" si="3"/>
        <v>4006</v>
      </c>
    </row>
    <row r="119" spans="1:8" x14ac:dyDescent="0.25">
      <c r="A119" s="8">
        <v>43090.548425925925</v>
      </c>
      <c r="B119" s="20" t="s">
        <v>468</v>
      </c>
      <c r="C119" s="20" t="s">
        <v>792</v>
      </c>
      <c r="D119" s="136">
        <v>880000</v>
      </c>
      <c r="E119" s="20" t="s">
        <v>497</v>
      </c>
      <c r="F119" s="20" t="s">
        <v>351</v>
      </c>
      <c r="G119" s="8" t="str">
        <f t="shared" si="2"/>
        <v>STEWART MICHAEL</v>
      </c>
      <c r="H119" s="20" t="str">
        <f t="shared" si="3"/>
        <v>4054</v>
      </c>
    </row>
    <row r="120" spans="1:8" x14ac:dyDescent="0.25">
      <c r="A120" s="8">
        <v>43090.555879629632</v>
      </c>
      <c r="B120" s="20" t="s">
        <v>680</v>
      </c>
      <c r="C120" s="20" t="s">
        <v>793</v>
      </c>
      <c r="D120" s="136">
        <v>2550000</v>
      </c>
      <c r="E120" s="20" t="s">
        <v>767</v>
      </c>
      <c r="F120" s="20" t="s">
        <v>768</v>
      </c>
      <c r="G120" s="8" t="str">
        <f t="shared" si="2"/>
        <v>BADERTSCHER DIANE</v>
      </c>
      <c r="H120" s="20" t="str">
        <f t="shared" si="3"/>
        <v>4063</v>
      </c>
    </row>
    <row r="121" spans="1:8" x14ac:dyDescent="0.25">
      <c r="A121" s="8">
        <v>43090.559490740743</v>
      </c>
      <c r="B121" s="20" t="s">
        <v>668</v>
      </c>
      <c r="C121" s="20" t="s">
        <v>794</v>
      </c>
      <c r="D121" s="136">
        <v>2000000</v>
      </c>
      <c r="E121" s="20" t="s">
        <v>393</v>
      </c>
      <c r="F121" s="20" t="s">
        <v>394</v>
      </c>
      <c r="G121" s="8" t="str">
        <f t="shared" si="2"/>
        <v>STAMBAUGH JAMES</v>
      </c>
      <c r="H121" s="20" t="str">
        <f t="shared" si="3"/>
        <v>4005</v>
      </c>
    </row>
    <row r="122" spans="1:8" x14ac:dyDescent="0.25">
      <c r="A122" s="8">
        <v>43090.560868055552</v>
      </c>
      <c r="B122" s="25" t="s">
        <v>356</v>
      </c>
      <c r="C122" s="20" t="s">
        <v>795</v>
      </c>
      <c r="D122" s="136">
        <v>1300000</v>
      </c>
      <c r="E122" s="20" t="s">
        <v>357</v>
      </c>
      <c r="F122" s="20" t="s">
        <v>358</v>
      </c>
      <c r="G122" s="8" t="str">
        <f t="shared" si="2"/>
        <v>LEVIN SCOTT</v>
      </c>
      <c r="H122" s="20" t="str">
        <f t="shared" si="3"/>
        <v>4060</v>
      </c>
    </row>
    <row r="123" spans="1:8" x14ac:dyDescent="0.25">
      <c r="A123" s="8">
        <v>43090.562245370369</v>
      </c>
      <c r="B123" s="20" t="s">
        <v>471</v>
      </c>
      <c r="C123" s="20" t="s">
        <v>671</v>
      </c>
      <c r="D123" s="136">
        <v>1760000</v>
      </c>
      <c r="E123" s="20" t="s">
        <v>784</v>
      </c>
      <c r="F123" s="20" t="s">
        <v>785</v>
      </c>
      <c r="G123" s="8" t="str">
        <f t="shared" si="2"/>
        <v>STRICKLAND EVAN</v>
      </c>
      <c r="H123" s="20" t="str">
        <f t="shared" si="3"/>
        <v>4013</v>
      </c>
    </row>
    <row r="124" spans="1:8" x14ac:dyDescent="0.25">
      <c r="A124" s="8">
        <v>43090.563634259262</v>
      </c>
      <c r="B124" s="20" t="s">
        <v>673</v>
      </c>
      <c r="C124" s="20" t="s">
        <v>674</v>
      </c>
      <c r="D124" s="136">
        <v>2420000</v>
      </c>
      <c r="E124" s="20" t="s">
        <v>576</v>
      </c>
      <c r="F124" s="20" t="s">
        <v>577</v>
      </c>
      <c r="G124" s="8" t="str">
        <f t="shared" si="2"/>
        <v>HOLCOMB KAMDEN</v>
      </c>
      <c r="H124" s="20" t="str">
        <f t="shared" si="3"/>
        <v>4027</v>
      </c>
    </row>
    <row r="125" spans="1:8" x14ac:dyDescent="0.25">
      <c r="A125" s="8">
        <v>43090.569062499999</v>
      </c>
      <c r="B125" s="20" t="s">
        <v>664</v>
      </c>
      <c r="C125" s="20" t="s">
        <v>796</v>
      </c>
      <c r="D125" s="136">
        <v>2140000</v>
      </c>
      <c r="E125" s="20" t="s">
        <v>513</v>
      </c>
      <c r="F125" s="20" t="s">
        <v>514</v>
      </c>
      <c r="G125" s="8" t="str">
        <f t="shared" si="2"/>
        <v>ROBINSON KADDIBA</v>
      </c>
      <c r="H125" s="20" t="str">
        <f t="shared" si="3"/>
        <v>4034</v>
      </c>
    </row>
    <row r="126" spans="1:8" x14ac:dyDescent="0.25">
      <c r="A126" s="8">
        <v>43090.576469907406</v>
      </c>
      <c r="B126" s="20" t="s">
        <v>361</v>
      </c>
      <c r="C126" s="20" t="s">
        <v>797</v>
      </c>
      <c r="D126" s="136">
        <v>1810000</v>
      </c>
      <c r="E126" s="20" t="s">
        <v>537</v>
      </c>
      <c r="F126" s="20" t="s">
        <v>394</v>
      </c>
      <c r="G126" s="8" t="str">
        <f t="shared" si="2"/>
        <v>NEWELL JAMES</v>
      </c>
      <c r="H126" s="20" t="str">
        <f t="shared" si="3"/>
        <v>4017</v>
      </c>
    </row>
    <row r="127" spans="1:8" x14ac:dyDescent="0.25">
      <c r="A127" s="8">
        <v>43090.581516203703</v>
      </c>
      <c r="B127" s="20" t="s">
        <v>470</v>
      </c>
      <c r="C127" s="20" t="s">
        <v>798</v>
      </c>
      <c r="D127" s="136">
        <v>1180000</v>
      </c>
      <c r="E127" s="20" t="s">
        <v>511</v>
      </c>
      <c r="F127" s="20" t="s">
        <v>512</v>
      </c>
      <c r="G127" s="8" t="str">
        <f t="shared" si="2"/>
        <v>LEVERE CRAIG</v>
      </c>
      <c r="H127" s="20" t="str">
        <f t="shared" si="3"/>
        <v>4014</v>
      </c>
    </row>
    <row r="128" spans="1:8" x14ac:dyDescent="0.25">
      <c r="A128" s="8">
        <v>43090.584131944444</v>
      </c>
      <c r="B128" s="20" t="s">
        <v>691</v>
      </c>
      <c r="C128" s="20" t="s">
        <v>799</v>
      </c>
      <c r="D128" s="136">
        <v>1780000</v>
      </c>
      <c r="E128" s="20" t="s">
        <v>574</v>
      </c>
      <c r="F128" s="20" t="s">
        <v>575</v>
      </c>
      <c r="G128" s="8" t="str">
        <f t="shared" si="2"/>
        <v>DE LA ROSA ALEX</v>
      </c>
      <c r="H128" s="20" t="str">
        <f t="shared" si="3"/>
        <v>4056</v>
      </c>
    </row>
    <row r="129" spans="1:8" x14ac:dyDescent="0.25">
      <c r="A129" s="8">
        <v>43090.586446759262</v>
      </c>
      <c r="B129" s="20" t="s">
        <v>659</v>
      </c>
      <c r="C129" s="20" t="s">
        <v>675</v>
      </c>
      <c r="D129" s="136">
        <v>2000000</v>
      </c>
      <c r="E129" s="20" t="s">
        <v>393</v>
      </c>
      <c r="F129" s="20" t="s">
        <v>394</v>
      </c>
      <c r="G129" s="8" t="str">
        <f t="shared" si="2"/>
        <v>STAMBAUGH JAMES</v>
      </c>
      <c r="H129" s="20" t="str">
        <f t="shared" si="3"/>
        <v>4006</v>
      </c>
    </row>
    <row r="130" spans="1:8" x14ac:dyDescent="0.25">
      <c r="A130" s="8">
        <v>43090.587395833332</v>
      </c>
      <c r="B130" s="20" t="s">
        <v>469</v>
      </c>
      <c r="C130" s="20" t="s">
        <v>800</v>
      </c>
      <c r="D130" s="136">
        <v>880000</v>
      </c>
      <c r="E130" s="20" t="s">
        <v>497</v>
      </c>
      <c r="F130" s="20" t="s">
        <v>351</v>
      </c>
      <c r="G130" s="8" t="str">
        <f t="shared" si="2"/>
        <v>STEWART MICHAEL</v>
      </c>
      <c r="H130" s="20" t="str">
        <f t="shared" si="3"/>
        <v>4053</v>
      </c>
    </row>
    <row r="131" spans="1:8" x14ac:dyDescent="0.25">
      <c r="A131" s="8">
        <v>43090.591620370367</v>
      </c>
      <c r="B131" s="20" t="s">
        <v>657</v>
      </c>
      <c r="C131" s="20" t="s">
        <v>801</v>
      </c>
      <c r="D131" s="136">
        <v>2550000</v>
      </c>
      <c r="E131" s="20" t="s">
        <v>767</v>
      </c>
      <c r="F131" s="20" t="s">
        <v>768</v>
      </c>
      <c r="G131" s="8" t="str">
        <f t="shared" ref="G131:G194" si="4">E131&amp;" "&amp;F131</f>
        <v>BADERTSCHER DIANE</v>
      </c>
      <c r="H131" s="20" t="str">
        <f t="shared" ref="H131:H194" si="5">MID(B131,13,4)</f>
        <v>4064</v>
      </c>
    </row>
    <row r="132" spans="1:8" x14ac:dyDescent="0.25">
      <c r="A132" s="8">
        <v>43090.592152777775</v>
      </c>
      <c r="B132" s="20" t="s">
        <v>389</v>
      </c>
      <c r="C132" s="20" t="s">
        <v>802</v>
      </c>
      <c r="D132" s="136">
        <v>1300000</v>
      </c>
      <c r="E132" s="20" t="s">
        <v>357</v>
      </c>
      <c r="F132" s="20" t="s">
        <v>358</v>
      </c>
      <c r="G132" s="8" t="str">
        <f t="shared" si="4"/>
        <v>LEVIN SCOTT</v>
      </c>
      <c r="H132" s="20" t="str">
        <f t="shared" si="5"/>
        <v>4059</v>
      </c>
    </row>
    <row r="133" spans="1:8" x14ac:dyDescent="0.25">
      <c r="A133" s="8">
        <v>43090.596504629626</v>
      </c>
      <c r="B133" s="20" t="s">
        <v>369</v>
      </c>
      <c r="C133" s="20" t="s">
        <v>803</v>
      </c>
      <c r="D133" s="136">
        <v>1780000</v>
      </c>
      <c r="E133" s="20" t="s">
        <v>574</v>
      </c>
      <c r="F133" s="20" t="s">
        <v>575</v>
      </c>
      <c r="G133" s="8" t="str">
        <f t="shared" si="4"/>
        <v>DE LA ROSA ALEX</v>
      </c>
      <c r="H133" s="20" t="str">
        <f t="shared" si="5"/>
        <v>4012</v>
      </c>
    </row>
    <row r="134" spans="1:8" x14ac:dyDescent="0.25">
      <c r="A134" s="8">
        <v>43090.600682870368</v>
      </c>
      <c r="B134" s="20" t="s">
        <v>668</v>
      </c>
      <c r="C134" s="20" t="s">
        <v>804</v>
      </c>
      <c r="D134" s="136">
        <v>2000000</v>
      </c>
      <c r="E134" s="20" t="s">
        <v>393</v>
      </c>
      <c r="F134" s="20" t="s">
        <v>394</v>
      </c>
      <c r="G134" s="8" t="str">
        <f t="shared" si="4"/>
        <v>STAMBAUGH JAMES</v>
      </c>
      <c r="H134" s="20" t="str">
        <f t="shared" si="5"/>
        <v>4005</v>
      </c>
    </row>
    <row r="135" spans="1:8" x14ac:dyDescent="0.25">
      <c r="A135" s="8">
        <v>43090.601793981485</v>
      </c>
      <c r="B135" s="20" t="s">
        <v>691</v>
      </c>
      <c r="C135" s="20" t="s">
        <v>805</v>
      </c>
      <c r="D135" s="136">
        <v>2420000</v>
      </c>
      <c r="E135" s="20" t="s">
        <v>576</v>
      </c>
      <c r="F135" s="20" t="s">
        <v>577</v>
      </c>
      <c r="G135" s="8" t="str">
        <f t="shared" si="4"/>
        <v>HOLCOMB KAMDEN</v>
      </c>
      <c r="H135" s="20" t="str">
        <f t="shared" si="5"/>
        <v>4056</v>
      </c>
    </row>
    <row r="136" spans="1:8" x14ac:dyDescent="0.25">
      <c r="A136" s="8">
        <v>43090.603449074071</v>
      </c>
      <c r="B136" s="20" t="s">
        <v>676</v>
      </c>
      <c r="C136" s="20" t="s">
        <v>677</v>
      </c>
      <c r="D136" s="136">
        <v>2140000</v>
      </c>
      <c r="E136" s="20" t="s">
        <v>513</v>
      </c>
      <c r="F136" s="20" t="s">
        <v>514</v>
      </c>
      <c r="G136" s="8" t="str">
        <f t="shared" si="4"/>
        <v>ROBINSON KADDIBA</v>
      </c>
      <c r="H136" s="20" t="str">
        <f t="shared" si="5"/>
        <v>4033</v>
      </c>
    </row>
    <row r="137" spans="1:8" x14ac:dyDescent="0.25">
      <c r="A137" s="8">
        <v>43090.605127314811</v>
      </c>
      <c r="B137" s="20" t="s">
        <v>369</v>
      </c>
      <c r="C137" s="20" t="s">
        <v>806</v>
      </c>
      <c r="D137" s="136">
        <v>1780000</v>
      </c>
      <c r="E137" s="20" t="s">
        <v>574</v>
      </c>
      <c r="F137" s="20" t="s">
        <v>575</v>
      </c>
      <c r="G137" s="8" t="str">
        <f t="shared" si="4"/>
        <v>DE LA ROSA ALEX</v>
      </c>
      <c r="H137" s="20" t="str">
        <f t="shared" si="5"/>
        <v>4012</v>
      </c>
    </row>
    <row r="138" spans="1:8" x14ac:dyDescent="0.25">
      <c r="A138" s="8">
        <v>43090.606377314813</v>
      </c>
      <c r="B138" s="20" t="s">
        <v>369</v>
      </c>
      <c r="C138" s="20" t="s">
        <v>806</v>
      </c>
      <c r="D138" s="136">
        <v>1780000</v>
      </c>
      <c r="E138" s="20" t="s">
        <v>574</v>
      </c>
      <c r="F138" s="20" t="s">
        <v>575</v>
      </c>
      <c r="G138" s="8" t="str">
        <f t="shared" si="4"/>
        <v>DE LA ROSA ALEX</v>
      </c>
      <c r="H138" s="20" t="str">
        <f t="shared" si="5"/>
        <v>4012</v>
      </c>
    </row>
    <row r="139" spans="1:8" x14ac:dyDescent="0.25">
      <c r="A139" s="8">
        <v>43090.613344907404</v>
      </c>
      <c r="B139" s="20" t="s">
        <v>359</v>
      </c>
      <c r="C139" s="20" t="s">
        <v>807</v>
      </c>
      <c r="D139" s="136">
        <v>2040000</v>
      </c>
      <c r="E139" s="20" t="s">
        <v>395</v>
      </c>
      <c r="F139" s="20" t="s">
        <v>396</v>
      </c>
      <c r="G139" s="8" t="str">
        <f t="shared" si="4"/>
        <v>MOSES BRADLEY</v>
      </c>
      <c r="H139" s="20" t="str">
        <f t="shared" si="5"/>
        <v>4018</v>
      </c>
    </row>
    <row r="140" spans="1:8" x14ac:dyDescent="0.25">
      <c r="A140" s="8">
        <v>43090.615810185183</v>
      </c>
      <c r="B140" s="20" t="s">
        <v>471</v>
      </c>
      <c r="C140" s="20" t="s">
        <v>808</v>
      </c>
      <c r="D140" s="136">
        <v>1180000</v>
      </c>
      <c r="E140" s="20" t="s">
        <v>511</v>
      </c>
      <c r="F140" s="20" t="s">
        <v>512</v>
      </c>
      <c r="G140" s="8" t="str">
        <f t="shared" si="4"/>
        <v>LEVERE CRAIG</v>
      </c>
      <c r="H140" s="20" t="str">
        <f t="shared" si="5"/>
        <v>4013</v>
      </c>
    </row>
    <row r="141" spans="1:8" x14ac:dyDescent="0.25">
      <c r="A141" s="8">
        <v>43090.621574074074</v>
      </c>
      <c r="B141" s="20" t="s">
        <v>468</v>
      </c>
      <c r="C141" s="20" t="s">
        <v>809</v>
      </c>
      <c r="D141" s="136">
        <v>880000</v>
      </c>
      <c r="E141" s="20" t="s">
        <v>497</v>
      </c>
      <c r="F141" s="20" t="s">
        <v>351</v>
      </c>
      <c r="G141" s="8" t="str">
        <f t="shared" si="4"/>
        <v>STEWART MICHAEL</v>
      </c>
      <c r="H141" s="20" t="str">
        <f t="shared" si="5"/>
        <v>4054</v>
      </c>
    </row>
    <row r="142" spans="1:8" x14ac:dyDescent="0.25">
      <c r="A142" s="8">
        <v>43090.628113425926</v>
      </c>
      <c r="B142" s="20" t="s">
        <v>659</v>
      </c>
      <c r="C142" s="20" t="s">
        <v>810</v>
      </c>
      <c r="D142" s="136">
        <v>2000000</v>
      </c>
      <c r="E142" s="20" t="s">
        <v>393</v>
      </c>
      <c r="F142" s="20" t="s">
        <v>394</v>
      </c>
      <c r="G142" s="8" t="str">
        <f t="shared" si="4"/>
        <v>STAMBAUGH JAMES</v>
      </c>
      <c r="H142" s="20" t="str">
        <f t="shared" si="5"/>
        <v>4006</v>
      </c>
    </row>
    <row r="143" spans="1:8" x14ac:dyDescent="0.25">
      <c r="A143" s="8">
        <v>43090.630266203705</v>
      </c>
      <c r="B143" s="20" t="s">
        <v>680</v>
      </c>
      <c r="C143" s="20" t="s">
        <v>811</v>
      </c>
      <c r="D143" s="136">
        <v>2550000</v>
      </c>
      <c r="E143" s="20" t="s">
        <v>767</v>
      </c>
      <c r="F143" s="20" t="s">
        <v>768</v>
      </c>
      <c r="G143" s="8" t="str">
        <f t="shared" si="4"/>
        <v>BADERTSCHER DIANE</v>
      </c>
      <c r="H143" s="20" t="str">
        <f t="shared" si="5"/>
        <v>4063</v>
      </c>
    </row>
    <row r="144" spans="1:8" x14ac:dyDescent="0.25">
      <c r="A144" s="8">
        <v>43090.635127314818</v>
      </c>
      <c r="B144" s="20" t="s">
        <v>356</v>
      </c>
      <c r="C144" s="20" t="s">
        <v>812</v>
      </c>
      <c r="D144" s="136">
        <v>1300000</v>
      </c>
      <c r="E144" s="20" t="s">
        <v>357</v>
      </c>
      <c r="F144" s="20" t="s">
        <v>358</v>
      </c>
      <c r="G144" s="8" t="str">
        <f t="shared" si="4"/>
        <v>LEVIN SCOTT</v>
      </c>
      <c r="H144" s="20" t="str">
        <f t="shared" si="5"/>
        <v>4060</v>
      </c>
    </row>
    <row r="145" spans="1:8" x14ac:dyDescent="0.25">
      <c r="A145" s="8">
        <v>43090.636979166666</v>
      </c>
      <c r="B145" s="20" t="s">
        <v>366</v>
      </c>
      <c r="C145" s="20" t="s">
        <v>813</v>
      </c>
      <c r="D145" s="136">
        <v>3220000</v>
      </c>
      <c r="E145" s="20" t="s">
        <v>377</v>
      </c>
      <c r="F145" s="20" t="s">
        <v>378</v>
      </c>
      <c r="G145" s="8" t="str">
        <f t="shared" si="4"/>
        <v>RESPASS AARON</v>
      </c>
      <c r="H145" s="20" t="str">
        <f t="shared" si="5"/>
        <v>4035</v>
      </c>
    </row>
    <row r="146" spans="1:8" x14ac:dyDescent="0.25">
      <c r="A146" s="8">
        <v>43090.637361111112</v>
      </c>
      <c r="B146" s="20" t="s">
        <v>534</v>
      </c>
      <c r="C146" s="20" t="s">
        <v>807</v>
      </c>
      <c r="D146" s="136">
        <v>2040000</v>
      </c>
      <c r="E146" s="20" t="s">
        <v>395</v>
      </c>
      <c r="F146" s="20" t="s">
        <v>396</v>
      </c>
      <c r="G146" s="8" t="str">
        <f t="shared" si="4"/>
        <v>MOSES BRADLEY</v>
      </c>
      <c r="H146" s="20" t="str">
        <f t="shared" si="5"/>
        <v>4057</v>
      </c>
    </row>
    <row r="147" spans="1:8" x14ac:dyDescent="0.25">
      <c r="A147" s="8">
        <v>43090.641006944446</v>
      </c>
      <c r="B147" s="20" t="s">
        <v>350</v>
      </c>
      <c r="C147" s="20" t="s">
        <v>814</v>
      </c>
      <c r="D147" s="136">
        <v>2420000</v>
      </c>
      <c r="E147" s="20" t="s">
        <v>576</v>
      </c>
      <c r="F147" s="20" t="s">
        <v>577</v>
      </c>
      <c r="G147" s="8" t="str">
        <f t="shared" si="4"/>
        <v>HOLCOMB KAMDEN</v>
      </c>
      <c r="H147" s="20" t="str">
        <f t="shared" si="5"/>
        <v>4055</v>
      </c>
    </row>
    <row r="148" spans="1:8" x14ac:dyDescent="0.25">
      <c r="A148" s="8">
        <v>43090.643263888887</v>
      </c>
      <c r="B148" s="20" t="s">
        <v>668</v>
      </c>
      <c r="C148" s="20" t="s">
        <v>815</v>
      </c>
      <c r="D148" s="136">
        <v>2000000</v>
      </c>
      <c r="E148" s="20" t="s">
        <v>393</v>
      </c>
      <c r="F148" s="20" t="s">
        <v>394</v>
      </c>
      <c r="G148" s="8" t="str">
        <f t="shared" si="4"/>
        <v>STAMBAUGH JAMES</v>
      </c>
      <c r="H148" s="20" t="str">
        <f t="shared" si="5"/>
        <v>4005</v>
      </c>
    </row>
    <row r="149" spans="1:8" x14ac:dyDescent="0.25">
      <c r="A149" s="8">
        <v>43090.643888888888</v>
      </c>
      <c r="B149" s="20" t="s">
        <v>664</v>
      </c>
      <c r="C149" s="20" t="s">
        <v>816</v>
      </c>
      <c r="D149" s="136">
        <v>2140000</v>
      </c>
      <c r="E149" s="20" t="s">
        <v>513</v>
      </c>
      <c r="F149" s="20" t="s">
        <v>514</v>
      </c>
      <c r="G149" s="8" t="str">
        <f t="shared" si="4"/>
        <v>ROBINSON KADDIBA</v>
      </c>
      <c r="H149" s="20" t="str">
        <f t="shared" si="5"/>
        <v>4034</v>
      </c>
    </row>
    <row r="150" spans="1:8" x14ac:dyDescent="0.25">
      <c r="A150" s="8">
        <v>43090.650138888886</v>
      </c>
      <c r="B150" s="20" t="s">
        <v>370</v>
      </c>
      <c r="C150" s="20" t="s">
        <v>817</v>
      </c>
      <c r="D150" s="136">
        <v>1780000</v>
      </c>
      <c r="E150" s="20" t="s">
        <v>574</v>
      </c>
      <c r="F150" s="20" t="s">
        <v>575</v>
      </c>
      <c r="G150" s="8" t="str">
        <f t="shared" si="4"/>
        <v>DE LA ROSA ALEX</v>
      </c>
      <c r="H150" s="20" t="str">
        <f t="shared" si="5"/>
        <v>4011</v>
      </c>
    </row>
    <row r="151" spans="1:8" x14ac:dyDescent="0.25">
      <c r="A151" s="8">
        <v>43090.650138888886</v>
      </c>
      <c r="B151" s="20" t="s">
        <v>365</v>
      </c>
      <c r="C151" s="20" t="s">
        <v>818</v>
      </c>
      <c r="D151" s="136">
        <v>3220000</v>
      </c>
      <c r="E151" s="20" t="s">
        <v>377</v>
      </c>
      <c r="F151" s="20" t="s">
        <v>378</v>
      </c>
      <c r="G151" s="8" t="str">
        <f t="shared" si="4"/>
        <v>RESPASS AARON</v>
      </c>
      <c r="H151" s="20" t="str">
        <f t="shared" si="5"/>
        <v>4036</v>
      </c>
    </row>
    <row r="152" spans="1:8" x14ac:dyDescent="0.25">
      <c r="A152" s="8">
        <v>43090.651493055557</v>
      </c>
      <c r="B152" s="20" t="s">
        <v>470</v>
      </c>
      <c r="C152" s="20" t="s">
        <v>819</v>
      </c>
      <c r="D152" s="136">
        <v>1180000</v>
      </c>
      <c r="E152" s="20" t="s">
        <v>511</v>
      </c>
      <c r="F152" s="20" t="s">
        <v>512</v>
      </c>
      <c r="G152" s="8" t="str">
        <f t="shared" si="4"/>
        <v>LEVERE CRAIG</v>
      </c>
      <c r="H152" s="20" t="str">
        <f t="shared" si="5"/>
        <v>4014</v>
      </c>
    </row>
    <row r="153" spans="1:8" x14ac:dyDescent="0.25">
      <c r="A153" s="8">
        <v>43090.654131944444</v>
      </c>
      <c r="B153" s="20" t="s">
        <v>350</v>
      </c>
      <c r="C153" s="20" t="s">
        <v>814</v>
      </c>
      <c r="D153" s="136">
        <v>2420000</v>
      </c>
      <c r="E153" s="20" t="s">
        <v>576</v>
      </c>
      <c r="F153" s="20" t="s">
        <v>577</v>
      </c>
      <c r="G153" s="8" t="str">
        <f t="shared" si="4"/>
        <v>HOLCOMB KAMDEN</v>
      </c>
      <c r="H153" s="20" t="str">
        <f t="shared" si="5"/>
        <v>4055</v>
      </c>
    </row>
    <row r="154" spans="1:8" x14ac:dyDescent="0.25">
      <c r="A154" s="8">
        <v>43090.661087962966</v>
      </c>
      <c r="B154" s="20" t="s">
        <v>469</v>
      </c>
      <c r="C154" s="20" t="s">
        <v>820</v>
      </c>
      <c r="D154" s="136">
        <v>880000</v>
      </c>
      <c r="E154" s="20" t="s">
        <v>497</v>
      </c>
      <c r="F154" s="20" t="s">
        <v>351</v>
      </c>
      <c r="G154" s="8" t="str">
        <f t="shared" si="4"/>
        <v>STEWART MICHAEL</v>
      </c>
      <c r="H154" s="20" t="str">
        <f t="shared" si="5"/>
        <v>4053</v>
      </c>
    </row>
    <row r="155" spans="1:8" x14ac:dyDescent="0.25">
      <c r="A155" s="8">
        <v>43090.664513888885</v>
      </c>
      <c r="B155" s="20" t="s">
        <v>389</v>
      </c>
      <c r="C155" s="20" t="s">
        <v>821</v>
      </c>
      <c r="D155" s="136">
        <v>1300000</v>
      </c>
      <c r="E155" s="20" t="s">
        <v>357</v>
      </c>
      <c r="F155" s="20" t="s">
        <v>358</v>
      </c>
      <c r="G155" s="8" t="str">
        <f t="shared" si="4"/>
        <v>LEVIN SCOTT</v>
      </c>
      <c r="H155" s="20" t="str">
        <f t="shared" si="5"/>
        <v>4059</v>
      </c>
    </row>
    <row r="156" spans="1:8" x14ac:dyDescent="0.25">
      <c r="A156" s="8">
        <v>43090.664675925924</v>
      </c>
      <c r="B156" s="20" t="s">
        <v>657</v>
      </c>
      <c r="C156" s="20" t="s">
        <v>822</v>
      </c>
      <c r="D156" s="136">
        <v>2550000</v>
      </c>
      <c r="E156" s="20" t="s">
        <v>767</v>
      </c>
      <c r="F156" s="20" t="s">
        <v>768</v>
      </c>
      <c r="G156" s="8" t="str">
        <f t="shared" si="4"/>
        <v>BADERTSCHER DIANE</v>
      </c>
      <c r="H156" s="20" t="str">
        <f t="shared" si="5"/>
        <v>4064</v>
      </c>
    </row>
    <row r="157" spans="1:8" x14ac:dyDescent="0.25">
      <c r="A157" s="8">
        <v>43090.665891203702</v>
      </c>
      <c r="B157" s="20" t="s">
        <v>366</v>
      </c>
      <c r="C157" s="20" t="s">
        <v>823</v>
      </c>
      <c r="D157" s="136">
        <v>3220000</v>
      </c>
      <c r="E157" s="20" t="s">
        <v>377</v>
      </c>
      <c r="F157" s="20" t="s">
        <v>378</v>
      </c>
      <c r="G157" s="8" t="str">
        <f t="shared" si="4"/>
        <v>RESPASS AARON</v>
      </c>
      <c r="H157" s="20" t="str">
        <f t="shared" si="5"/>
        <v>4035</v>
      </c>
    </row>
    <row r="158" spans="1:8" x14ac:dyDescent="0.25">
      <c r="A158" s="8">
        <v>43090.669224537036</v>
      </c>
      <c r="B158" s="20" t="s">
        <v>659</v>
      </c>
      <c r="C158" s="20" t="s">
        <v>824</v>
      </c>
      <c r="D158" s="136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4006</v>
      </c>
    </row>
    <row r="159" spans="1:8" x14ac:dyDescent="0.25">
      <c r="A159" s="8">
        <v>43090.675844907404</v>
      </c>
      <c r="B159" s="20" t="s">
        <v>691</v>
      </c>
      <c r="C159" s="20" t="s">
        <v>825</v>
      </c>
      <c r="D159" s="136">
        <v>2420000</v>
      </c>
      <c r="E159" s="20" t="s">
        <v>576</v>
      </c>
      <c r="F159" s="20" t="s">
        <v>577</v>
      </c>
      <c r="G159" s="8" t="str">
        <f t="shared" si="4"/>
        <v>HOLCOMB KAMDEN</v>
      </c>
      <c r="H159" s="20" t="str">
        <f t="shared" si="5"/>
        <v>4056</v>
      </c>
    </row>
    <row r="160" spans="1:8" x14ac:dyDescent="0.25">
      <c r="A160" s="8">
        <v>43090.677048611113</v>
      </c>
      <c r="B160" s="20" t="s">
        <v>676</v>
      </c>
      <c r="C160" s="20" t="s">
        <v>826</v>
      </c>
      <c r="D160" s="136">
        <v>2140000</v>
      </c>
      <c r="E160" s="20" t="s">
        <v>513</v>
      </c>
      <c r="F160" s="20" t="s">
        <v>514</v>
      </c>
      <c r="G160" s="8" t="str">
        <f t="shared" si="4"/>
        <v>ROBINSON KADDIBA</v>
      </c>
      <c r="H160" s="20" t="str">
        <f t="shared" si="5"/>
        <v>4033</v>
      </c>
    </row>
    <row r="161" spans="1:8" x14ac:dyDescent="0.25">
      <c r="A161" s="8">
        <v>43090.683553240742</v>
      </c>
      <c r="B161" s="20" t="s">
        <v>369</v>
      </c>
      <c r="C161" s="20" t="s">
        <v>827</v>
      </c>
      <c r="D161" s="136">
        <v>1810000</v>
      </c>
      <c r="E161" s="20" t="s">
        <v>537</v>
      </c>
      <c r="F161" s="20" t="s">
        <v>394</v>
      </c>
      <c r="G161" s="8" t="str">
        <f t="shared" si="4"/>
        <v>NEWELL JAMES</v>
      </c>
      <c r="H161" s="20" t="str">
        <f t="shared" si="5"/>
        <v>4012</v>
      </c>
    </row>
    <row r="162" spans="1:8" x14ac:dyDescent="0.25">
      <c r="A162" s="8">
        <v>43090.684837962966</v>
      </c>
      <c r="B162" s="20" t="s">
        <v>668</v>
      </c>
      <c r="C162" s="20" t="s">
        <v>678</v>
      </c>
      <c r="D162" s="136">
        <v>2000000</v>
      </c>
      <c r="E162" s="20" t="s">
        <v>393</v>
      </c>
      <c r="F162" s="20" t="s">
        <v>394</v>
      </c>
      <c r="G162" s="8" t="str">
        <f t="shared" si="4"/>
        <v>STAMBAUGH JAMES</v>
      </c>
      <c r="H162" s="20" t="str">
        <f t="shared" si="5"/>
        <v>4005</v>
      </c>
    </row>
    <row r="163" spans="1:8" x14ac:dyDescent="0.25">
      <c r="A163" s="8">
        <v>43090.69</v>
      </c>
      <c r="B163" s="20" t="s">
        <v>471</v>
      </c>
      <c r="C163" s="20" t="s">
        <v>828</v>
      </c>
      <c r="D163" s="136">
        <v>1180000</v>
      </c>
      <c r="E163" s="20" t="s">
        <v>511</v>
      </c>
      <c r="F163" s="20" t="s">
        <v>512</v>
      </c>
      <c r="G163" s="8" t="str">
        <f t="shared" si="4"/>
        <v>LEVERE CRAIG</v>
      </c>
      <c r="H163" s="20" t="str">
        <f t="shared" si="5"/>
        <v>4013</v>
      </c>
    </row>
    <row r="164" spans="1:8" x14ac:dyDescent="0.25">
      <c r="A164" s="8">
        <v>43090.69222222222</v>
      </c>
      <c r="B164" s="20" t="s">
        <v>365</v>
      </c>
      <c r="C164" s="20" t="s">
        <v>679</v>
      </c>
      <c r="D164" s="136">
        <v>3220000</v>
      </c>
      <c r="E164" s="20" t="s">
        <v>377</v>
      </c>
      <c r="F164" s="20" t="s">
        <v>378</v>
      </c>
      <c r="G164" s="8" t="str">
        <f t="shared" si="4"/>
        <v>RESPASS AARON</v>
      </c>
      <c r="H164" s="20" t="str">
        <f t="shared" si="5"/>
        <v>4036</v>
      </c>
    </row>
    <row r="165" spans="1:8" x14ac:dyDescent="0.25">
      <c r="A165" s="8">
        <v>43090.694895833331</v>
      </c>
      <c r="B165" s="20" t="s">
        <v>468</v>
      </c>
      <c r="C165" s="20" t="s">
        <v>829</v>
      </c>
      <c r="D165" s="136">
        <v>880000</v>
      </c>
      <c r="E165" s="20" t="s">
        <v>497</v>
      </c>
      <c r="F165" s="20" t="s">
        <v>351</v>
      </c>
      <c r="G165" s="8" t="str">
        <f t="shared" si="4"/>
        <v>STEWART MICHAEL</v>
      </c>
      <c r="H165" s="20" t="str">
        <f t="shared" si="5"/>
        <v>4054</v>
      </c>
    </row>
    <row r="166" spans="1:8" x14ac:dyDescent="0.25">
      <c r="A166" s="8">
        <v>43090.701851851853</v>
      </c>
      <c r="B166" s="20" t="s">
        <v>680</v>
      </c>
      <c r="C166" s="20" t="s">
        <v>681</v>
      </c>
      <c r="D166" s="136">
        <v>2550000</v>
      </c>
      <c r="E166" s="20" t="s">
        <v>767</v>
      </c>
      <c r="F166" s="20" t="s">
        <v>768</v>
      </c>
      <c r="G166" s="8" t="str">
        <f t="shared" si="4"/>
        <v>BADERTSCHER DIANE</v>
      </c>
      <c r="H166" s="20" t="str">
        <f t="shared" si="5"/>
        <v>4063</v>
      </c>
    </row>
    <row r="167" spans="1:8" x14ac:dyDescent="0.25">
      <c r="A167" s="8">
        <v>43090.705995370372</v>
      </c>
      <c r="B167" s="20" t="s">
        <v>356</v>
      </c>
      <c r="C167" s="20" t="s">
        <v>830</v>
      </c>
      <c r="D167" s="136">
        <v>1300000</v>
      </c>
      <c r="E167" s="20" t="s">
        <v>357</v>
      </c>
      <c r="F167" s="20" t="s">
        <v>358</v>
      </c>
      <c r="G167" s="8" t="str">
        <f t="shared" si="4"/>
        <v>LEVIN SCOTT</v>
      </c>
      <c r="H167" s="20" t="str">
        <f t="shared" si="5"/>
        <v>4060</v>
      </c>
    </row>
    <row r="168" spans="1:8" x14ac:dyDescent="0.25">
      <c r="A168" s="8">
        <v>43090.70689814815</v>
      </c>
      <c r="B168" s="20" t="s">
        <v>366</v>
      </c>
      <c r="C168" s="20" t="s">
        <v>831</v>
      </c>
      <c r="D168" s="136">
        <v>3220000</v>
      </c>
      <c r="E168" s="20" t="s">
        <v>377</v>
      </c>
      <c r="F168" s="20" t="s">
        <v>378</v>
      </c>
      <c r="G168" s="8" t="str">
        <f t="shared" si="4"/>
        <v>RESPASS AARON</v>
      </c>
      <c r="H168" s="20" t="str">
        <f t="shared" si="5"/>
        <v>4035</v>
      </c>
    </row>
    <row r="169" spans="1:8" x14ac:dyDescent="0.25">
      <c r="A169" s="8">
        <v>43090.711631944447</v>
      </c>
      <c r="B169" s="20" t="s">
        <v>659</v>
      </c>
      <c r="C169" s="20" t="s">
        <v>832</v>
      </c>
      <c r="D169" s="136">
        <v>2000000</v>
      </c>
      <c r="E169" s="20" t="s">
        <v>393</v>
      </c>
      <c r="F169" s="20" t="s">
        <v>394</v>
      </c>
      <c r="G169" s="8" t="str">
        <f t="shared" si="4"/>
        <v>STAMBAUGH JAMES</v>
      </c>
      <c r="H169" s="20" t="str">
        <f t="shared" si="5"/>
        <v>4006</v>
      </c>
    </row>
    <row r="170" spans="1:8" x14ac:dyDescent="0.25">
      <c r="A170" s="8">
        <v>43090.715208333335</v>
      </c>
      <c r="B170" s="20" t="s">
        <v>350</v>
      </c>
      <c r="C170" s="20" t="s">
        <v>833</v>
      </c>
      <c r="D170" s="136">
        <v>2420000</v>
      </c>
      <c r="E170" s="20" t="s">
        <v>576</v>
      </c>
      <c r="F170" s="20" t="s">
        <v>577</v>
      </c>
      <c r="G170" s="8" t="str">
        <f t="shared" si="4"/>
        <v>HOLCOMB KAMDEN</v>
      </c>
      <c r="H170" s="20" t="str">
        <f t="shared" si="5"/>
        <v>4055</v>
      </c>
    </row>
    <row r="171" spans="1:8" x14ac:dyDescent="0.25">
      <c r="A171" s="8">
        <v>43090.715300925927</v>
      </c>
      <c r="B171" s="20" t="s">
        <v>664</v>
      </c>
      <c r="C171" s="20" t="s">
        <v>834</v>
      </c>
      <c r="D171" s="136">
        <v>2140000</v>
      </c>
      <c r="E171" s="20" t="s">
        <v>513</v>
      </c>
      <c r="F171" s="20" t="s">
        <v>514</v>
      </c>
      <c r="G171" s="8" t="str">
        <f t="shared" si="4"/>
        <v>ROBINSON KADDIBA</v>
      </c>
      <c r="H171" s="20" t="str">
        <f t="shared" si="5"/>
        <v>4034</v>
      </c>
    </row>
    <row r="172" spans="1:8" x14ac:dyDescent="0.25">
      <c r="A172" s="8">
        <v>43090.718275462961</v>
      </c>
      <c r="B172" s="20" t="s">
        <v>370</v>
      </c>
      <c r="C172" s="20" t="s">
        <v>835</v>
      </c>
      <c r="D172" s="136">
        <v>1810000</v>
      </c>
      <c r="E172" s="20" t="s">
        <v>537</v>
      </c>
      <c r="F172" s="20" t="s">
        <v>394</v>
      </c>
      <c r="G172" s="8" t="str">
        <f t="shared" si="4"/>
        <v>NEWELL JAMES</v>
      </c>
      <c r="H172" s="20" t="str">
        <f t="shared" si="5"/>
        <v>4011</v>
      </c>
    </row>
    <row r="173" spans="1:8" x14ac:dyDescent="0.25">
      <c r="A173" s="8">
        <v>43090.725902777776</v>
      </c>
      <c r="B173" s="20" t="s">
        <v>470</v>
      </c>
      <c r="C173" s="20" t="s">
        <v>836</v>
      </c>
      <c r="D173" s="136">
        <v>1180000</v>
      </c>
      <c r="E173" s="20" t="s">
        <v>511</v>
      </c>
      <c r="F173" s="20" t="s">
        <v>512</v>
      </c>
      <c r="G173" s="8" t="str">
        <f t="shared" si="4"/>
        <v>LEVERE CRAIG</v>
      </c>
      <c r="H173" s="20" t="str">
        <f t="shared" si="5"/>
        <v>4014</v>
      </c>
    </row>
    <row r="174" spans="1:8" x14ac:dyDescent="0.25">
      <c r="A174" s="8">
        <v>43090.726701388892</v>
      </c>
      <c r="B174" s="20" t="s">
        <v>668</v>
      </c>
      <c r="C174" s="20" t="s">
        <v>837</v>
      </c>
      <c r="D174" s="136">
        <v>2000000</v>
      </c>
      <c r="E174" s="20" t="s">
        <v>393</v>
      </c>
      <c r="F174" s="20" t="s">
        <v>394</v>
      </c>
      <c r="G174" s="8" t="str">
        <f t="shared" si="4"/>
        <v>STAMBAUGH JAMES</v>
      </c>
      <c r="H174" s="20" t="str">
        <f t="shared" si="5"/>
        <v>4005</v>
      </c>
    </row>
    <row r="175" spans="1:8" x14ac:dyDescent="0.25">
      <c r="A175" s="8">
        <v>43090.727835648147</v>
      </c>
      <c r="B175" s="20" t="s">
        <v>365</v>
      </c>
      <c r="C175" s="20" t="s">
        <v>682</v>
      </c>
      <c r="D175" s="136">
        <v>3220000</v>
      </c>
      <c r="E175" s="20" t="s">
        <v>377</v>
      </c>
      <c r="F175" s="20" t="s">
        <v>378</v>
      </c>
      <c r="G175" s="8" t="str">
        <f t="shared" si="4"/>
        <v>RESPASS AARON</v>
      </c>
      <c r="H175" s="20" t="str">
        <f t="shared" si="5"/>
        <v>4036</v>
      </c>
    </row>
    <row r="176" spans="1:8" x14ac:dyDescent="0.25">
      <c r="A176" s="8">
        <v>43090.733113425929</v>
      </c>
      <c r="B176" s="20" t="s">
        <v>469</v>
      </c>
      <c r="C176" s="20" t="s">
        <v>838</v>
      </c>
      <c r="D176" s="136">
        <v>880000</v>
      </c>
      <c r="E176" s="20" t="s">
        <v>497</v>
      </c>
      <c r="F176" s="20" t="s">
        <v>351</v>
      </c>
      <c r="G176" s="8" t="str">
        <f t="shared" si="4"/>
        <v>STEWART MICHAEL</v>
      </c>
      <c r="H176" s="20" t="str">
        <f t="shared" si="5"/>
        <v>4053</v>
      </c>
    </row>
    <row r="177" spans="1:8" x14ac:dyDescent="0.25">
      <c r="A177" s="8">
        <v>43090.736284722225</v>
      </c>
      <c r="B177" s="20" t="s">
        <v>389</v>
      </c>
      <c r="C177" s="20" t="s">
        <v>839</v>
      </c>
      <c r="D177" s="136">
        <v>1300000</v>
      </c>
      <c r="E177" s="20" t="s">
        <v>357</v>
      </c>
      <c r="F177" s="20" t="s">
        <v>358</v>
      </c>
      <c r="G177" s="8" t="str">
        <f t="shared" si="4"/>
        <v>LEVIN SCOTT</v>
      </c>
      <c r="H177" s="20" t="str">
        <f t="shared" si="5"/>
        <v>4059</v>
      </c>
    </row>
    <row r="178" spans="1:8" x14ac:dyDescent="0.25">
      <c r="A178" s="8">
        <v>43090.737581018519</v>
      </c>
      <c r="B178" s="20" t="s">
        <v>657</v>
      </c>
      <c r="C178" s="20" t="s">
        <v>840</v>
      </c>
      <c r="D178" s="136">
        <v>3490000</v>
      </c>
      <c r="E178" s="20" t="s">
        <v>538</v>
      </c>
      <c r="F178" s="20" t="s">
        <v>539</v>
      </c>
      <c r="G178" s="8" t="str">
        <f t="shared" si="4"/>
        <v>WEST BRYAN</v>
      </c>
      <c r="H178" s="20" t="str">
        <f t="shared" si="5"/>
        <v>4064</v>
      </c>
    </row>
    <row r="179" spans="1:8" x14ac:dyDescent="0.25">
      <c r="A179" s="8">
        <v>43090.747430555559</v>
      </c>
      <c r="B179" s="20" t="s">
        <v>659</v>
      </c>
      <c r="C179" s="20" t="s">
        <v>841</v>
      </c>
      <c r="D179" s="136">
        <v>2000000</v>
      </c>
      <c r="E179" s="20" t="s">
        <v>393</v>
      </c>
      <c r="F179" s="20" t="s">
        <v>394</v>
      </c>
      <c r="G179" s="8" t="str">
        <f t="shared" si="4"/>
        <v>STAMBAUGH JAMES</v>
      </c>
      <c r="H179" s="20" t="str">
        <f t="shared" si="5"/>
        <v>4006</v>
      </c>
    </row>
    <row r="180" spans="1:8" x14ac:dyDescent="0.25">
      <c r="A180" s="8">
        <v>43090.74796296296</v>
      </c>
      <c r="B180" s="20" t="s">
        <v>691</v>
      </c>
      <c r="C180" s="20" t="s">
        <v>842</v>
      </c>
      <c r="D180" s="136">
        <v>2420000</v>
      </c>
      <c r="E180" s="20" t="s">
        <v>576</v>
      </c>
      <c r="F180" s="20" t="s">
        <v>577</v>
      </c>
      <c r="G180" s="8" t="str">
        <f t="shared" si="4"/>
        <v>HOLCOMB KAMDEN</v>
      </c>
      <c r="H180" s="20" t="str">
        <f t="shared" si="5"/>
        <v>4056</v>
      </c>
    </row>
    <row r="181" spans="1:8" x14ac:dyDescent="0.25">
      <c r="A181" s="8">
        <v>43090.750104166669</v>
      </c>
      <c r="B181" s="20" t="s">
        <v>676</v>
      </c>
      <c r="C181" s="20" t="s">
        <v>843</v>
      </c>
      <c r="D181" s="136">
        <v>2140000</v>
      </c>
      <c r="E181" s="20" t="s">
        <v>513</v>
      </c>
      <c r="F181" s="20" t="s">
        <v>514</v>
      </c>
      <c r="G181" s="8" t="str">
        <f t="shared" si="4"/>
        <v>ROBINSON KADDIBA</v>
      </c>
      <c r="H181" s="20" t="str">
        <f t="shared" si="5"/>
        <v>4033</v>
      </c>
    </row>
    <row r="182" spans="1:8" x14ac:dyDescent="0.25">
      <c r="A182" s="8">
        <v>43090.750335648147</v>
      </c>
      <c r="B182" s="20" t="s">
        <v>366</v>
      </c>
      <c r="C182" s="20" t="s">
        <v>683</v>
      </c>
      <c r="D182" s="136">
        <v>3220000</v>
      </c>
      <c r="E182" s="20" t="s">
        <v>377</v>
      </c>
      <c r="F182" s="20" t="s">
        <v>378</v>
      </c>
      <c r="G182" s="8" t="str">
        <f t="shared" si="4"/>
        <v>RESPASS AARON</v>
      </c>
      <c r="H182" s="20" t="str">
        <f t="shared" si="5"/>
        <v>4035</v>
      </c>
    </row>
    <row r="183" spans="1:8" x14ac:dyDescent="0.25">
      <c r="A183" s="8">
        <v>43090.755069444444</v>
      </c>
      <c r="B183" s="20" t="s">
        <v>369</v>
      </c>
      <c r="C183" s="20" t="s">
        <v>844</v>
      </c>
      <c r="D183" s="136">
        <v>3340000</v>
      </c>
      <c r="E183" s="20" t="s">
        <v>845</v>
      </c>
      <c r="F183" s="20" t="s">
        <v>846</v>
      </c>
      <c r="G183" s="8" t="str">
        <f t="shared" si="4"/>
        <v>ELBAUM MIKE</v>
      </c>
      <c r="H183" s="20" t="str">
        <f t="shared" si="5"/>
        <v>4012</v>
      </c>
    </row>
    <row r="184" spans="1:8" x14ac:dyDescent="0.25">
      <c r="A184" s="8">
        <v>43090.762719907405</v>
      </c>
      <c r="B184" s="20" t="s">
        <v>471</v>
      </c>
      <c r="C184" s="20" t="s">
        <v>847</v>
      </c>
      <c r="D184" s="136">
        <v>1180000</v>
      </c>
      <c r="E184" s="20" t="s">
        <v>511</v>
      </c>
      <c r="F184" s="20" t="s">
        <v>512</v>
      </c>
      <c r="G184" s="8" t="str">
        <f t="shared" si="4"/>
        <v>LEVERE CRAIG</v>
      </c>
      <c r="H184" s="20" t="str">
        <f t="shared" si="5"/>
        <v>4013</v>
      </c>
    </row>
    <row r="185" spans="1:8" x14ac:dyDescent="0.25">
      <c r="A185" s="8">
        <v>43090.768206018518</v>
      </c>
      <c r="B185" s="20" t="s">
        <v>668</v>
      </c>
      <c r="C185" s="20" t="s">
        <v>848</v>
      </c>
      <c r="D185" s="136">
        <v>2000000</v>
      </c>
      <c r="E185" s="20" t="s">
        <v>393</v>
      </c>
      <c r="F185" s="20" t="s">
        <v>394</v>
      </c>
      <c r="G185" s="8" t="str">
        <f t="shared" si="4"/>
        <v>STAMBAUGH JAMES</v>
      </c>
      <c r="H185" s="20" t="str">
        <f t="shared" si="5"/>
        <v>4005</v>
      </c>
    </row>
    <row r="186" spans="1:8" x14ac:dyDescent="0.25">
      <c r="A186" s="8">
        <v>43090.768333333333</v>
      </c>
      <c r="B186" s="20" t="s">
        <v>468</v>
      </c>
      <c r="C186" s="20" t="s">
        <v>849</v>
      </c>
      <c r="D186" s="136">
        <v>3320000</v>
      </c>
      <c r="E186" s="20" t="s">
        <v>362</v>
      </c>
      <c r="F186" s="20" t="s">
        <v>363</v>
      </c>
      <c r="G186" s="8" t="str">
        <f t="shared" si="4"/>
        <v>NICHOLSON WESLEY</v>
      </c>
      <c r="H186" s="20" t="str">
        <f t="shared" si="5"/>
        <v>4054</v>
      </c>
    </row>
    <row r="187" spans="1:8" x14ac:dyDescent="0.25">
      <c r="A187" s="8">
        <v>43090.771145833336</v>
      </c>
      <c r="B187" s="20" t="s">
        <v>680</v>
      </c>
      <c r="C187" s="20" t="s">
        <v>850</v>
      </c>
      <c r="D187" s="136">
        <v>3490000</v>
      </c>
      <c r="E187" s="20" t="s">
        <v>538</v>
      </c>
      <c r="F187" s="20" t="s">
        <v>539</v>
      </c>
      <c r="G187" s="8" t="str">
        <f t="shared" si="4"/>
        <v>WEST BRYAN</v>
      </c>
      <c r="H187" s="20" t="str">
        <f t="shared" si="5"/>
        <v>4063</v>
      </c>
    </row>
    <row r="188" spans="1:8" x14ac:dyDescent="0.25">
      <c r="A188" s="8">
        <v>43090.776620370372</v>
      </c>
      <c r="B188" s="20" t="s">
        <v>365</v>
      </c>
      <c r="C188" s="20" t="s">
        <v>851</v>
      </c>
      <c r="D188" s="136">
        <v>3220000</v>
      </c>
      <c r="E188" s="20" t="s">
        <v>377</v>
      </c>
      <c r="F188" s="20" t="s">
        <v>378</v>
      </c>
      <c r="G188" s="8" t="str">
        <f t="shared" si="4"/>
        <v>RESPASS AARON</v>
      </c>
      <c r="H188" s="20" t="str">
        <f t="shared" si="5"/>
        <v>4036</v>
      </c>
    </row>
    <row r="189" spans="1:8" x14ac:dyDescent="0.25">
      <c r="A189" s="8">
        <v>43090.777233796296</v>
      </c>
      <c r="B189" s="20" t="s">
        <v>356</v>
      </c>
      <c r="C189" s="20" t="s">
        <v>852</v>
      </c>
      <c r="D189" s="136">
        <v>1300000</v>
      </c>
      <c r="E189" s="20" t="s">
        <v>357</v>
      </c>
      <c r="F189" s="20" t="s">
        <v>358</v>
      </c>
      <c r="G189" s="8" t="str">
        <f t="shared" si="4"/>
        <v>LEVIN SCOTT</v>
      </c>
      <c r="H189" s="20" t="str">
        <f t="shared" si="5"/>
        <v>4060</v>
      </c>
    </row>
    <row r="190" spans="1:8" x14ac:dyDescent="0.25">
      <c r="A190" s="8">
        <v>43090.786793981482</v>
      </c>
      <c r="B190" s="20" t="s">
        <v>370</v>
      </c>
      <c r="C190" s="20" t="s">
        <v>853</v>
      </c>
      <c r="D190" s="136">
        <v>3340000</v>
      </c>
      <c r="E190" s="20" t="s">
        <v>845</v>
      </c>
      <c r="F190" s="20" t="s">
        <v>846</v>
      </c>
      <c r="G190" s="8" t="str">
        <f t="shared" si="4"/>
        <v>ELBAUM MIKE</v>
      </c>
      <c r="H190" s="20" t="str">
        <f t="shared" si="5"/>
        <v>4011</v>
      </c>
    </row>
    <row r="191" spans="1:8" x14ac:dyDescent="0.25">
      <c r="A191" s="8">
        <v>43090.786817129629</v>
      </c>
      <c r="B191" s="20" t="s">
        <v>350</v>
      </c>
      <c r="C191" s="20" t="s">
        <v>854</v>
      </c>
      <c r="D191" s="136">
        <v>2420000</v>
      </c>
      <c r="E191" s="20" t="s">
        <v>576</v>
      </c>
      <c r="F191" s="20" t="s">
        <v>577</v>
      </c>
      <c r="G191" s="8" t="str">
        <f t="shared" si="4"/>
        <v>HOLCOMB KAMDEN</v>
      </c>
      <c r="H191" s="20" t="str">
        <f t="shared" si="5"/>
        <v>4055</v>
      </c>
    </row>
    <row r="192" spans="1:8" x14ac:dyDescent="0.25">
      <c r="A192" s="8">
        <v>43090.789594907408</v>
      </c>
      <c r="B192" s="20" t="s">
        <v>366</v>
      </c>
      <c r="C192" s="20" t="s">
        <v>855</v>
      </c>
      <c r="D192" s="136">
        <v>3220000</v>
      </c>
      <c r="E192" s="20" t="s">
        <v>377</v>
      </c>
      <c r="F192" s="20" t="s">
        <v>378</v>
      </c>
      <c r="G192" s="8" t="str">
        <f t="shared" si="4"/>
        <v>RESPASS AARON</v>
      </c>
      <c r="H192" s="20" t="str">
        <f t="shared" si="5"/>
        <v>4035</v>
      </c>
    </row>
    <row r="193" spans="1:8" x14ac:dyDescent="0.25">
      <c r="A193" s="8">
        <v>43090.790486111109</v>
      </c>
      <c r="B193" s="20" t="s">
        <v>664</v>
      </c>
      <c r="C193" s="20" t="s">
        <v>684</v>
      </c>
      <c r="D193" s="136">
        <v>3310000</v>
      </c>
      <c r="E193" s="20" t="s">
        <v>856</v>
      </c>
      <c r="F193" s="20" t="s">
        <v>857</v>
      </c>
      <c r="G193" s="8" t="str">
        <f t="shared" si="4"/>
        <v>ANDERS STEVEN</v>
      </c>
      <c r="H193" s="20" t="str">
        <f t="shared" si="5"/>
        <v>4034</v>
      </c>
    </row>
    <row r="194" spans="1:8" x14ac:dyDescent="0.25">
      <c r="A194" s="8">
        <v>43090.793217592596</v>
      </c>
      <c r="B194" s="20" t="s">
        <v>659</v>
      </c>
      <c r="C194" s="20" t="s">
        <v>858</v>
      </c>
      <c r="D194" s="136">
        <v>2000000</v>
      </c>
      <c r="E194" s="20" t="s">
        <v>393</v>
      </c>
      <c r="F194" s="20" t="s">
        <v>394</v>
      </c>
      <c r="G194" s="8" t="str">
        <f t="shared" si="4"/>
        <v>STAMBAUGH JAMES</v>
      </c>
      <c r="H194" s="20" t="str">
        <f t="shared" si="5"/>
        <v>4006</v>
      </c>
    </row>
    <row r="195" spans="1:8" x14ac:dyDescent="0.25">
      <c r="A195" s="8">
        <v>43090.799409722225</v>
      </c>
      <c r="B195" s="20" t="s">
        <v>470</v>
      </c>
      <c r="C195" s="20" t="s">
        <v>859</v>
      </c>
      <c r="D195" s="136">
        <v>1180000</v>
      </c>
      <c r="E195" s="20" t="s">
        <v>511</v>
      </c>
      <c r="F195" s="20" t="s">
        <v>512</v>
      </c>
      <c r="G195" s="8" t="str">
        <f t="shared" ref="G195:G258" si="6">E195&amp;" "&amp;F195</f>
        <v>LEVERE CRAIG</v>
      </c>
      <c r="H195" s="20" t="str">
        <f t="shared" ref="H195:H258" si="7">MID(B195,13,4)</f>
        <v>4014</v>
      </c>
    </row>
    <row r="196" spans="1:8" x14ac:dyDescent="0.25">
      <c r="A196" s="8">
        <v>43090.807349537034</v>
      </c>
      <c r="B196" s="20" t="s">
        <v>469</v>
      </c>
      <c r="C196" s="20" t="s">
        <v>860</v>
      </c>
      <c r="D196" s="136">
        <v>3320000</v>
      </c>
      <c r="E196" s="20" t="s">
        <v>362</v>
      </c>
      <c r="F196" s="20" t="s">
        <v>363</v>
      </c>
      <c r="G196" s="8" t="str">
        <f t="shared" si="6"/>
        <v>NICHOLSON WESLEY</v>
      </c>
      <c r="H196" s="20" t="str">
        <f t="shared" si="7"/>
        <v>4053</v>
      </c>
    </row>
    <row r="197" spans="1:8" x14ac:dyDescent="0.25">
      <c r="A197" s="8">
        <v>43090.807939814818</v>
      </c>
      <c r="B197" s="20" t="s">
        <v>657</v>
      </c>
      <c r="C197" s="20" t="s">
        <v>685</v>
      </c>
      <c r="D197" s="136">
        <v>3490000</v>
      </c>
      <c r="E197" s="20" t="s">
        <v>538</v>
      </c>
      <c r="F197" s="20" t="s">
        <v>539</v>
      </c>
      <c r="G197" s="8" t="str">
        <f t="shared" si="6"/>
        <v>WEST BRYAN</v>
      </c>
      <c r="H197" s="20" t="str">
        <f t="shared" si="7"/>
        <v>4064</v>
      </c>
    </row>
    <row r="198" spans="1:8" x14ac:dyDescent="0.25">
      <c r="A198" s="8">
        <v>43090.808761574073</v>
      </c>
      <c r="B198" s="20" t="s">
        <v>668</v>
      </c>
      <c r="C198" s="20" t="s">
        <v>861</v>
      </c>
      <c r="D198" s="136">
        <v>2000000</v>
      </c>
      <c r="E198" s="20" t="s">
        <v>393</v>
      </c>
      <c r="F198" s="20" t="s">
        <v>394</v>
      </c>
      <c r="G198" s="8" t="str">
        <f t="shared" si="6"/>
        <v>STAMBAUGH JAMES</v>
      </c>
      <c r="H198" s="20" t="str">
        <f t="shared" si="7"/>
        <v>4005</v>
      </c>
    </row>
    <row r="199" spans="1:8" x14ac:dyDescent="0.25">
      <c r="A199" s="8">
        <v>43090.819722222222</v>
      </c>
      <c r="B199" s="20" t="s">
        <v>691</v>
      </c>
      <c r="C199" s="20" t="s">
        <v>862</v>
      </c>
      <c r="D199" s="136">
        <v>2420000</v>
      </c>
      <c r="E199" s="20" t="s">
        <v>576</v>
      </c>
      <c r="F199" s="20" t="s">
        <v>577</v>
      </c>
      <c r="G199" s="8" t="str">
        <f t="shared" si="6"/>
        <v>HOLCOMB KAMDEN</v>
      </c>
      <c r="H199" s="20" t="str">
        <f t="shared" si="7"/>
        <v>4056</v>
      </c>
    </row>
    <row r="200" spans="1:8" x14ac:dyDescent="0.25">
      <c r="A200" s="8">
        <v>43090.828113425923</v>
      </c>
      <c r="B200" s="20" t="s">
        <v>369</v>
      </c>
      <c r="C200" s="20" t="s">
        <v>863</v>
      </c>
      <c r="D200" s="136">
        <v>3340000</v>
      </c>
      <c r="E200" s="20" t="s">
        <v>845</v>
      </c>
      <c r="F200" s="20" t="s">
        <v>846</v>
      </c>
      <c r="G200" s="8" t="str">
        <f t="shared" si="6"/>
        <v>ELBAUM MIKE</v>
      </c>
      <c r="H200" s="20" t="str">
        <f t="shared" si="7"/>
        <v>4012</v>
      </c>
    </row>
    <row r="201" spans="1:8" x14ac:dyDescent="0.25">
      <c r="A201" s="8">
        <v>43090.829236111109</v>
      </c>
      <c r="B201" s="20" t="s">
        <v>676</v>
      </c>
      <c r="C201" s="20" t="s">
        <v>864</v>
      </c>
      <c r="D201" s="136">
        <v>3310000</v>
      </c>
      <c r="E201" s="20" t="s">
        <v>856</v>
      </c>
      <c r="F201" s="20" t="s">
        <v>857</v>
      </c>
      <c r="G201" s="8" t="str">
        <f t="shared" si="6"/>
        <v>ANDERS STEVEN</v>
      </c>
      <c r="H201" s="20" t="str">
        <f t="shared" si="7"/>
        <v>4033</v>
      </c>
    </row>
    <row r="202" spans="1:8" x14ac:dyDescent="0.25">
      <c r="A202" s="26">
        <v>43090.835115740738</v>
      </c>
      <c r="B202" s="20" t="s">
        <v>659</v>
      </c>
      <c r="C202" s="20" t="s">
        <v>686</v>
      </c>
      <c r="D202" s="136">
        <v>2000000</v>
      </c>
      <c r="E202" s="20" t="s">
        <v>393</v>
      </c>
      <c r="F202" s="20" t="s">
        <v>394</v>
      </c>
      <c r="G202" s="8" t="str">
        <f t="shared" si="6"/>
        <v>STAMBAUGH JAMES</v>
      </c>
      <c r="H202" s="20" t="str">
        <f t="shared" si="7"/>
        <v>4006</v>
      </c>
    </row>
    <row r="203" spans="1:8" x14ac:dyDescent="0.25">
      <c r="A203" s="8">
        <v>43090.841319444444</v>
      </c>
      <c r="B203" s="20" t="s">
        <v>680</v>
      </c>
      <c r="C203" s="20" t="s">
        <v>865</v>
      </c>
      <c r="D203" s="136">
        <v>3490000</v>
      </c>
      <c r="E203" s="20" t="s">
        <v>538</v>
      </c>
      <c r="F203" s="20" t="s">
        <v>539</v>
      </c>
      <c r="G203" s="8" t="str">
        <f t="shared" si="6"/>
        <v>WEST BRYAN</v>
      </c>
      <c r="H203" s="20" t="str">
        <f t="shared" si="7"/>
        <v>4063</v>
      </c>
    </row>
    <row r="204" spans="1:8" x14ac:dyDescent="0.25">
      <c r="A204" s="8">
        <v>43090.847037037034</v>
      </c>
      <c r="B204" s="20" t="s">
        <v>468</v>
      </c>
      <c r="C204" s="20" t="s">
        <v>866</v>
      </c>
      <c r="D204" s="136">
        <v>3320000</v>
      </c>
      <c r="E204" s="20" t="s">
        <v>362</v>
      </c>
      <c r="F204" s="20" t="s">
        <v>363</v>
      </c>
      <c r="G204" s="8" t="str">
        <f t="shared" si="6"/>
        <v>NICHOLSON WESLEY</v>
      </c>
      <c r="H204" s="20" t="str">
        <f t="shared" si="7"/>
        <v>4054</v>
      </c>
    </row>
    <row r="205" spans="1:8" x14ac:dyDescent="0.25">
      <c r="A205" s="8">
        <v>43090.850787037038</v>
      </c>
      <c r="B205" s="20" t="s">
        <v>668</v>
      </c>
      <c r="C205" s="20" t="s">
        <v>867</v>
      </c>
      <c r="D205" s="136">
        <v>2000000</v>
      </c>
      <c r="E205" s="20" t="s">
        <v>393</v>
      </c>
      <c r="F205" s="20" t="s">
        <v>394</v>
      </c>
      <c r="G205" s="8" t="str">
        <f t="shared" si="6"/>
        <v>STAMBAUGH JAMES</v>
      </c>
      <c r="H205" s="20" t="str">
        <f t="shared" si="7"/>
        <v>4005</v>
      </c>
    </row>
    <row r="206" spans="1:8" x14ac:dyDescent="0.25">
      <c r="A206" s="8">
        <v>43090.859699074077</v>
      </c>
      <c r="B206" s="20" t="s">
        <v>370</v>
      </c>
      <c r="C206" s="20" t="s">
        <v>687</v>
      </c>
      <c r="D206" s="136">
        <v>3340000</v>
      </c>
      <c r="E206" s="20" t="s">
        <v>845</v>
      </c>
      <c r="F206" s="20" t="s">
        <v>846</v>
      </c>
      <c r="G206" s="8" t="str">
        <f t="shared" si="6"/>
        <v>ELBAUM MIKE</v>
      </c>
      <c r="H206" s="20" t="str">
        <f t="shared" si="7"/>
        <v>4011</v>
      </c>
    </row>
    <row r="207" spans="1:8" x14ac:dyDescent="0.25">
      <c r="A207" s="8">
        <v>43090.872175925928</v>
      </c>
      <c r="B207" s="20" t="s">
        <v>664</v>
      </c>
      <c r="C207" s="20" t="s">
        <v>868</v>
      </c>
      <c r="D207" s="136">
        <v>3310000</v>
      </c>
      <c r="E207" s="20" t="s">
        <v>856</v>
      </c>
      <c r="F207" s="20" t="s">
        <v>857</v>
      </c>
      <c r="G207" s="8" t="str">
        <f t="shared" si="6"/>
        <v>ANDERS STEVEN</v>
      </c>
      <c r="H207" s="20" t="str">
        <f t="shared" si="7"/>
        <v>4034</v>
      </c>
    </row>
    <row r="208" spans="1:8" x14ac:dyDescent="0.25">
      <c r="A208" s="8">
        <v>43090.873449074075</v>
      </c>
      <c r="B208" s="20" t="s">
        <v>659</v>
      </c>
      <c r="C208" s="20" t="s">
        <v>869</v>
      </c>
      <c r="D208" s="136">
        <v>3220000</v>
      </c>
      <c r="E208" s="20" t="s">
        <v>377</v>
      </c>
      <c r="F208" s="20" t="s">
        <v>378</v>
      </c>
      <c r="G208" s="8" t="str">
        <f t="shared" si="6"/>
        <v>RESPASS AARON</v>
      </c>
      <c r="H208" s="20" t="str">
        <f t="shared" si="7"/>
        <v>4006</v>
      </c>
    </row>
    <row r="209" spans="1:8" x14ac:dyDescent="0.25">
      <c r="A209" s="8">
        <v>43090.882187499999</v>
      </c>
      <c r="B209" s="20" t="s">
        <v>657</v>
      </c>
      <c r="C209" s="20" t="s">
        <v>870</v>
      </c>
      <c r="D209" s="136">
        <v>3490000</v>
      </c>
      <c r="E209" s="20" t="s">
        <v>538</v>
      </c>
      <c r="F209" s="20" t="s">
        <v>539</v>
      </c>
      <c r="G209" s="8" t="str">
        <f t="shared" si="6"/>
        <v>WEST BRYAN</v>
      </c>
      <c r="H209" s="20" t="str">
        <f t="shared" si="7"/>
        <v>4064</v>
      </c>
    </row>
    <row r="210" spans="1:8" x14ac:dyDescent="0.25">
      <c r="A210" s="8">
        <v>43090.883726851855</v>
      </c>
      <c r="B210" s="20" t="s">
        <v>469</v>
      </c>
      <c r="C210" s="20" t="s">
        <v>871</v>
      </c>
      <c r="D210" s="136">
        <v>3320000</v>
      </c>
      <c r="E210" s="20" t="s">
        <v>362</v>
      </c>
      <c r="F210" s="20" t="s">
        <v>363</v>
      </c>
      <c r="G210" s="8" t="str">
        <f t="shared" si="6"/>
        <v>NICHOLSON WESLEY</v>
      </c>
      <c r="H210" s="20" t="str">
        <f t="shared" si="7"/>
        <v>4053</v>
      </c>
    </row>
    <row r="211" spans="1:8" x14ac:dyDescent="0.25">
      <c r="A211" s="8">
        <v>43090.893159722225</v>
      </c>
      <c r="B211" s="20" t="s">
        <v>668</v>
      </c>
      <c r="C211" s="20" t="s">
        <v>688</v>
      </c>
      <c r="D211" s="136">
        <v>3220000</v>
      </c>
      <c r="E211" s="20" t="s">
        <v>377</v>
      </c>
      <c r="F211" s="20" t="s">
        <v>378</v>
      </c>
      <c r="G211" s="8" t="str">
        <f t="shared" si="6"/>
        <v>RESPASS AARON</v>
      </c>
      <c r="H211" s="20" t="str">
        <f t="shared" si="7"/>
        <v>4005</v>
      </c>
    </row>
    <row r="212" spans="1:8" x14ac:dyDescent="0.25">
      <c r="A212" s="8">
        <v>43090.901076388887</v>
      </c>
      <c r="B212" s="20" t="s">
        <v>657</v>
      </c>
      <c r="C212" s="20" t="s">
        <v>870</v>
      </c>
      <c r="D212" s="136">
        <v>3490000</v>
      </c>
      <c r="E212" s="20" t="s">
        <v>538</v>
      </c>
      <c r="F212" s="20" t="s">
        <v>539</v>
      </c>
      <c r="G212" s="8" t="str">
        <f t="shared" si="6"/>
        <v>WEST BRYAN</v>
      </c>
      <c r="H212" s="20" t="str">
        <f t="shared" si="7"/>
        <v>4064</v>
      </c>
    </row>
    <row r="213" spans="1:8" x14ac:dyDescent="0.25">
      <c r="A213" s="8">
        <v>43090.903495370374</v>
      </c>
      <c r="B213" s="20" t="s">
        <v>676</v>
      </c>
      <c r="C213" s="20" t="s">
        <v>872</v>
      </c>
      <c r="D213" s="136">
        <v>3310000</v>
      </c>
      <c r="E213" s="20" t="s">
        <v>856</v>
      </c>
      <c r="F213" s="20" t="s">
        <v>857</v>
      </c>
      <c r="G213" s="8" t="str">
        <f t="shared" si="6"/>
        <v>ANDERS STEVEN</v>
      </c>
      <c r="H213" s="20" t="str">
        <f t="shared" si="7"/>
        <v>4033</v>
      </c>
    </row>
    <row r="214" spans="1:8" x14ac:dyDescent="0.25">
      <c r="A214" s="8">
        <v>43090.90357638889</v>
      </c>
      <c r="B214" s="20" t="s">
        <v>369</v>
      </c>
      <c r="C214" s="20" t="s">
        <v>873</v>
      </c>
      <c r="D214" s="136">
        <v>3340000</v>
      </c>
      <c r="E214" s="20" t="s">
        <v>845</v>
      </c>
      <c r="F214" s="20" t="s">
        <v>846</v>
      </c>
      <c r="G214" s="8" t="str">
        <f t="shared" si="6"/>
        <v>ELBAUM MIKE</v>
      </c>
      <c r="H214" s="20" t="str">
        <f t="shared" si="7"/>
        <v>4012</v>
      </c>
    </row>
    <row r="215" spans="1:8" x14ac:dyDescent="0.25">
      <c r="A215" s="8">
        <v>43090.922048611108</v>
      </c>
      <c r="B215" s="20" t="s">
        <v>659</v>
      </c>
      <c r="C215" s="20" t="s">
        <v>689</v>
      </c>
      <c r="D215" s="136">
        <v>3220000</v>
      </c>
      <c r="E215" s="20" t="s">
        <v>377</v>
      </c>
      <c r="F215" s="20" t="s">
        <v>378</v>
      </c>
      <c r="G215" s="8" t="str">
        <f t="shared" si="6"/>
        <v>RESPASS AARON</v>
      </c>
      <c r="H215" s="20" t="str">
        <f t="shared" si="7"/>
        <v>4006</v>
      </c>
    </row>
    <row r="216" spans="1:8" x14ac:dyDescent="0.25">
      <c r="A216" s="8">
        <v>43090.929791666669</v>
      </c>
      <c r="B216" s="20" t="s">
        <v>369</v>
      </c>
      <c r="C216" s="20" t="s">
        <v>873</v>
      </c>
      <c r="D216" s="136">
        <v>3340000</v>
      </c>
      <c r="E216" s="20" t="s">
        <v>845</v>
      </c>
      <c r="F216" s="20" t="s">
        <v>846</v>
      </c>
      <c r="G216" s="8" t="str">
        <f t="shared" si="6"/>
        <v>ELBAUM MIKE</v>
      </c>
      <c r="H216" s="20" t="str">
        <f t="shared" si="7"/>
        <v>4012</v>
      </c>
    </row>
    <row r="217" spans="1:8" x14ac:dyDescent="0.25">
      <c r="A217" s="8">
        <v>43090.929814814815</v>
      </c>
      <c r="B217" s="20" t="s">
        <v>468</v>
      </c>
      <c r="C217" s="20" t="s">
        <v>874</v>
      </c>
      <c r="D217" s="136">
        <v>3320000</v>
      </c>
      <c r="E217" s="20" t="s">
        <v>362</v>
      </c>
      <c r="F217" s="20" t="s">
        <v>363</v>
      </c>
      <c r="G217" s="8" t="str">
        <f t="shared" si="6"/>
        <v>NICHOLSON WESLEY</v>
      </c>
      <c r="H217" s="20" t="str">
        <f t="shared" si="7"/>
        <v>4054</v>
      </c>
    </row>
    <row r="218" spans="1:8" x14ac:dyDescent="0.25">
      <c r="A218" s="8">
        <v>43090.930127314816</v>
      </c>
      <c r="B218" s="20" t="s">
        <v>680</v>
      </c>
      <c r="C218" s="20" t="s">
        <v>875</v>
      </c>
      <c r="D218" s="136">
        <v>3490000</v>
      </c>
      <c r="E218" s="20" t="s">
        <v>538</v>
      </c>
      <c r="F218" s="20" t="s">
        <v>539</v>
      </c>
      <c r="G218" s="8" t="str">
        <f t="shared" si="6"/>
        <v>WEST BRYAN</v>
      </c>
      <c r="H218" s="20" t="str">
        <f t="shared" si="7"/>
        <v>4063</v>
      </c>
    </row>
    <row r="219" spans="1:8" x14ac:dyDescent="0.25">
      <c r="A219" s="8">
        <v>43090.931909722225</v>
      </c>
      <c r="B219" s="20" t="s">
        <v>680</v>
      </c>
      <c r="C219" s="20" t="s">
        <v>875</v>
      </c>
      <c r="D219" s="136">
        <v>3490000</v>
      </c>
      <c r="E219" s="20" t="s">
        <v>538</v>
      </c>
      <c r="F219" s="20" t="s">
        <v>539</v>
      </c>
      <c r="G219" s="8" t="str">
        <f t="shared" si="6"/>
        <v>WEST BRYAN</v>
      </c>
      <c r="H219" s="20" t="str">
        <f t="shared" si="7"/>
        <v>4063</v>
      </c>
    </row>
    <row r="220" spans="1:8" x14ac:dyDescent="0.25">
      <c r="A220" s="8">
        <v>43090.934583333335</v>
      </c>
      <c r="B220" s="20" t="s">
        <v>680</v>
      </c>
      <c r="C220" s="20" t="s">
        <v>875</v>
      </c>
      <c r="D220" s="136">
        <v>3490000</v>
      </c>
      <c r="E220" s="20" t="s">
        <v>538</v>
      </c>
      <c r="F220" s="20" t="s">
        <v>539</v>
      </c>
      <c r="G220" s="8" t="str">
        <f t="shared" si="6"/>
        <v>WEST BRYAN</v>
      </c>
      <c r="H220" s="20" t="str">
        <f t="shared" si="7"/>
        <v>4063</v>
      </c>
    </row>
    <row r="221" spans="1:8" x14ac:dyDescent="0.25">
      <c r="A221" s="8">
        <v>43090.935729166667</v>
      </c>
      <c r="B221" s="20" t="s">
        <v>668</v>
      </c>
      <c r="C221" s="20" t="s">
        <v>876</v>
      </c>
      <c r="D221" s="136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4005</v>
      </c>
    </row>
    <row r="222" spans="1:8" x14ac:dyDescent="0.25">
      <c r="A222" s="8">
        <v>43090.945324074077</v>
      </c>
      <c r="B222" s="20" t="s">
        <v>676</v>
      </c>
      <c r="C222" s="20" t="s">
        <v>872</v>
      </c>
      <c r="D222" s="136">
        <v>3310000</v>
      </c>
      <c r="E222" s="20" t="s">
        <v>856</v>
      </c>
      <c r="F222" s="20" t="s">
        <v>857</v>
      </c>
      <c r="G222" s="8" t="str">
        <f t="shared" si="6"/>
        <v>ANDERS STEVEN</v>
      </c>
      <c r="H222" s="20" t="str">
        <f t="shared" si="7"/>
        <v>4033</v>
      </c>
    </row>
    <row r="223" spans="1:8" x14ac:dyDescent="0.25">
      <c r="A223" s="8">
        <v>43090.947430555556</v>
      </c>
      <c r="B223" s="20" t="s">
        <v>370</v>
      </c>
      <c r="C223" s="20" t="s">
        <v>877</v>
      </c>
      <c r="D223" s="136">
        <v>3340000</v>
      </c>
      <c r="E223" s="20" t="s">
        <v>845</v>
      </c>
      <c r="F223" s="20" t="s">
        <v>846</v>
      </c>
      <c r="G223" s="8" t="str">
        <f t="shared" si="6"/>
        <v>ELBAUM MIKE</v>
      </c>
      <c r="H223" s="20" t="str">
        <f t="shared" si="7"/>
        <v>4011</v>
      </c>
    </row>
    <row r="224" spans="1:8" x14ac:dyDescent="0.25">
      <c r="A224" s="8">
        <v>43090.956828703704</v>
      </c>
      <c r="B224" t="s">
        <v>664</v>
      </c>
      <c r="C224" t="s">
        <v>878</v>
      </c>
      <c r="D224" s="136">
        <v>3310000</v>
      </c>
      <c r="E224" t="s">
        <v>856</v>
      </c>
      <c r="F224" s="20" t="s">
        <v>857</v>
      </c>
      <c r="G224" s="8" t="str">
        <f t="shared" si="6"/>
        <v>ANDERS STEVEN</v>
      </c>
      <c r="H224" s="20" t="str">
        <f t="shared" si="7"/>
        <v>4034</v>
      </c>
    </row>
    <row r="225" spans="1:8" x14ac:dyDescent="0.25">
      <c r="A225" s="8">
        <v>43090.963113425925</v>
      </c>
      <c r="B225" t="s">
        <v>659</v>
      </c>
      <c r="C225" t="s">
        <v>879</v>
      </c>
      <c r="D225" s="136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4006</v>
      </c>
    </row>
    <row r="226" spans="1:8" x14ac:dyDescent="0.25">
      <c r="A226" s="8">
        <v>43090.967129629629</v>
      </c>
      <c r="B226" t="s">
        <v>657</v>
      </c>
      <c r="C226" t="s">
        <v>880</v>
      </c>
      <c r="D226" s="136">
        <v>3490000</v>
      </c>
      <c r="E226" t="s">
        <v>538</v>
      </c>
      <c r="F226" s="20" t="s">
        <v>539</v>
      </c>
      <c r="G226" s="8" t="str">
        <f t="shared" si="6"/>
        <v>WEST BRYAN</v>
      </c>
      <c r="H226" s="20" t="str">
        <f t="shared" si="7"/>
        <v>4064</v>
      </c>
    </row>
    <row r="227" spans="1:8" x14ac:dyDescent="0.25">
      <c r="A227" s="8">
        <v>43090.974895833337</v>
      </c>
      <c r="B227" t="s">
        <v>469</v>
      </c>
      <c r="C227" t="s">
        <v>881</v>
      </c>
      <c r="D227" s="136">
        <v>3320000</v>
      </c>
      <c r="E227" t="s">
        <v>362</v>
      </c>
      <c r="F227" s="20" t="s">
        <v>363</v>
      </c>
      <c r="G227" s="8" t="str">
        <f t="shared" si="6"/>
        <v>NICHOLSON WESLEY</v>
      </c>
      <c r="H227" s="20" t="str">
        <f t="shared" si="7"/>
        <v>4053</v>
      </c>
    </row>
    <row r="228" spans="1:8" x14ac:dyDescent="0.25">
      <c r="A228" s="8">
        <v>43090.975856481484</v>
      </c>
      <c r="B228" t="s">
        <v>668</v>
      </c>
      <c r="C228" t="s">
        <v>882</v>
      </c>
      <c r="D228" s="136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4005</v>
      </c>
    </row>
    <row r="229" spans="1:8" x14ac:dyDescent="0.25">
      <c r="A229" s="8">
        <v>43090.987314814818</v>
      </c>
      <c r="B229" t="s">
        <v>369</v>
      </c>
      <c r="C229" t="s">
        <v>883</v>
      </c>
      <c r="D229" s="136">
        <v>3340000</v>
      </c>
      <c r="E229" t="s">
        <v>845</v>
      </c>
      <c r="F229" s="20" t="s">
        <v>846</v>
      </c>
      <c r="G229" s="8" t="str">
        <f t="shared" si="6"/>
        <v>ELBAUM MIKE</v>
      </c>
      <c r="H229" s="20" t="str">
        <f t="shared" si="7"/>
        <v>4012</v>
      </c>
    </row>
    <row r="230" spans="1:8" x14ac:dyDescent="0.25">
      <c r="A230" s="8">
        <v>43090.995868055557</v>
      </c>
      <c r="B230" t="s">
        <v>676</v>
      </c>
      <c r="C230" t="s">
        <v>884</v>
      </c>
      <c r="D230" s="136">
        <v>3310000</v>
      </c>
      <c r="E230" t="s">
        <v>856</v>
      </c>
      <c r="F230" s="20" t="s">
        <v>857</v>
      </c>
      <c r="G230" s="8" t="str">
        <f t="shared" si="6"/>
        <v>ANDERS STEVEN</v>
      </c>
      <c r="H230" s="20" t="str">
        <f t="shared" si="7"/>
        <v>4033</v>
      </c>
    </row>
    <row r="231" spans="1:8" x14ac:dyDescent="0.25">
      <c r="A231" s="8">
        <v>43091.012731481482</v>
      </c>
      <c r="B231" t="s">
        <v>680</v>
      </c>
      <c r="C231" t="s">
        <v>885</v>
      </c>
      <c r="D231" s="136">
        <v>3490000</v>
      </c>
      <c r="E231" t="s">
        <v>538</v>
      </c>
      <c r="F231" s="20" t="s">
        <v>539</v>
      </c>
      <c r="G231" s="8" t="str">
        <f t="shared" si="6"/>
        <v>WEST BRYAN</v>
      </c>
      <c r="H231" s="20" t="str">
        <f t="shared" si="7"/>
        <v>4063</v>
      </c>
    </row>
    <row r="232" spans="1:8" x14ac:dyDescent="0.25">
      <c r="A232" s="8">
        <v>43091.017442129632</v>
      </c>
      <c r="B232" t="s">
        <v>468</v>
      </c>
      <c r="C232" t="s">
        <v>886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4054</v>
      </c>
    </row>
    <row r="233" spans="1:8" x14ac:dyDescent="0.25">
      <c r="A233" s="8">
        <v>43091.025949074072</v>
      </c>
      <c r="B233" t="s">
        <v>370</v>
      </c>
      <c r="C233" t="s">
        <v>887</v>
      </c>
      <c r="D233" s="136">
        <v>3340000</v>
      </c>
      <c r="E233" t="s">
        <v>845</v>
      </c>
      <c r="F233" s="20" t="s">
        <v>846</v>
      </c>
      <c r="G233" s="8" t="str">
        <f t="shared" si="6"/>
        <v>ELBAUM MIKE</v>
      </c>
      <c r="H233" s="20" t="str">
        <f t="shared" si="7"/>
        <v>4011</v>
      </c>
    </row>
    <row r="234" spans="1:8" x14ac:dyDescent="0.25">
      <c r="A234" s="8">
        <v>43091.028425925928</v>
      </c>
      <c r="B234" t="s">
        <v>664</v>
      </c>
      <c r="C234" t="s">
        <v>888</v>
      </c>
      <c r="D234" s="136">
        <v>3310000</v>
      </c>
      <c r="E234" t="s">
        <v>856</v>
      </c>
      <c r="F234" s="20" t="s">
        <v>857</v>
      </c>
      <c r="G234" s="8" t="str">
        <f t="shared" si="6"/>
        <v>ANDERS STEVEN</v>
      </c>
      <c r="H234" s="20" t="str">
        <f t="shared" si="7"/>
        <v>4034</v>
      </c>
    </row>
    <row r="235" spans="1:8" x14ac:dyDescent="0.25">
      <c r="A235" s="8">
        <v>43091.047418981485</v>
      </c>
      <c r="B235" t="s">
        <v>657</v>
      </c>
      <c r="C235" t="s">
        <v>889</v>
      </c>
      <c r="D235" s="136">
        <v>3490000</v>
      </c>
      <c r="E235" t="s">
        <v>538</v>
      </c>
      <c r="F235" s="20" t="s">
        <v>539</v>
      </c>
      <c r="G235" s="8" t="str">
        <f t="shared" si="6"/>
        <v>WEST BRYAN</v>
      </c>
      <c r="H235" s="20" t="str">
        <f t="shared" si="7"/>
        <v>4064</v>
      </c>
    </row>
    <row r="236" spans="1:8" x14ac:dyDescent="0.25">
      <c r="A236" s="8">
        <v>43091.055046296293</v>
      </c>
      <c r="B236" t="s">
        <v>370</v>
      </c>
      <c r="C236" t="s">
        <v>887</v>
      </c>
      <c r="D236" s="136">
        <v>3340000</v>
      </c>
      <c r="E236" t="s">
        <v>845</v>
      </c>
      <c r="F236" s="20" t="s">
        <v>846</v>
      </c>
      <c r="G236" s="8" t="str">
        <f t="shared" si="6"/>
        <v>ELBAUM MIKE</v>
      </c>
      <c r="H236" s="20" t="str">
        <f t="shared" si="7"/>
        <v>4011</v>
      </c>
    </row>
    <row r="237" spans="1:8" x14ac:dyDescent="0.25">
      <c r="A237" s="8">
        <v>43091.05877314815</v>
      </c>
      <c r="B237" t="s">
        <v>469</v>
      </c>
      <c r="C237" t="s">
        <v>890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4053</v>
      </c>
    </row>
    <row r="238" spans="1:8" x14ac:dyDescent="0.25">
      <c r="A238" s="8">
        <v>43091.070277777777</v>
      </c>
      <c r="B238" t="s">
        <v>369</v>
      </c>
      <c r="C238" t="s">
        <v>891</v>
      </c>
      <c r="D238" s="136">
        <v>3340000</v>
      </c>
      <c r="E238" t="s">
        <v>845</v>
      </c>
      <c r="F238" s="20" t="s">
        <v>846</v>
      </c>
      <c r="G238" s="8" t="str">
        <f t="shared" si="6"/>
        <v>ELBAUM MIKE</v>
      </c>
      <c r="H238" s="20" t="str">
        <f t="shared" si="7"/>
        <v>4012</v>
      </c>
    </row>
    <row r="239" spans="1:8" x14ac:dyDescent="0.25">
      <c r="A239" s="8">
        <v>43091.091435185182</v>
      </c>
      <c r="B239" t="s">
        <v>468</v>
      </c>
      <c r="C239" t="s">
        <v>892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4054</v>
      </c>
    </row>
    <row r="240" spans="1:8" x14ac:dyDescent="0.25">
      <c r="A240" s="8">
        <v>43089.95412037037</v>
      </c>
      <c r="B240" t="s">
        <v>441</v>
      </c>
      <c r="C240" t="s">
        <v>578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468</v>
      </c>
      <c r="C241" t="s">
        <v>579</v>
      </c>
      <c r="D241" s="136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571</v>
      </c>
      <c r="C242" t="s">
        <v>580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581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469</v>
      </c>
      <c r="C244" t="s">
        <v>582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479</v>
      </c>
      <c r="C245" t="s">
        <v>583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476</v>
      </c>
      <c r="C246" t="s">
        <v>584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567</v>
      </c>
      <c r="C247" t="s">
        <v>585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586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587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480</v>
      </c>
      <c r="C250" t="s">
        <v>588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589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571</v>
      </c>
      <c r="C252" t="s">
        <v>590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479</v>
      </c>
      <c r="C253" t="s">
        <v>568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567</v>
      </c>
      <c r="C254" t="s">
        <v>591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592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467</v>
      </c>
      <c r="D256" s="136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activeCell="K7" sqref="K7:K20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593</v>
      </c>
      <c r="I1" s="216" t="s">
        <v>162</v>
      </c>
      <c r="J1" s="216" t="s">
        <v>163</v>
      </c>
      <c r="K1" s="216" t="s">
        <v>594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25">
      <c r="A2" s="194">
        <v>38.69</v>
      </c>
      <c r="B2" s="194">
        <v>0</v>
      </c>
      <c r="C2" s="194">
        <v>16.25</v>
      </c>
      <c r="D2" s="8">
        <v>43090</v>
      </c>
      <c r="E2" s="194">
        <v>0.4</v>
      </c>
      <c r="F2" s="194" t="s">
        <v>462</v>
      </c>
      <c r="G2" s="194">
        <v>287.43</v>
      </c>
      <c r="H2" s="194"/>
      <c r="I2" s="194">
        <v>0</v>
      </c>
      <c r="J2" s="194">
        <v>0</v>
      </c>
      <c r="K2" s="194"/>
      <c r="L2" s="194">
        <v>1001.72</v>
      </c>
      <c r="M2" s="194" t="s">
        <v>461</v>
      </c>
      <c r="N2" s="194">
        <v>38.69</v>
      </c>
      <c r="O2" s="194">
        <v>1513839600</v>
      </c>
      <c r="P2" s="194">
        <v>0</v>
      </c>
      <c r="Q2" s="194">
        <v>4.21</v>
      </c>
      <c r="R2" s="194">
        <v>19</v>
      </c>
      <c r="S2" s="194">
        <v>6.5</v>
      </c>
      <c r="T2" s="194">
        <v>2.14</v>
      </c>
    </row>
    <row r="3" spans="1:20" x14ac:dyDescent="0.25">
      <c r="A3" s="194">
        <v>30.84</v>
      </c>
      <c r="B3" s="194">
        <v>0.02</v>
      </c>
      <c r="C3" s="194">
        <v>20.04</v>
      </c>
      <c r="D3" s="8">
        <v>43090.041666666664</v>
      </c>
      <c r="E3" s="194">
        <v>0.53</v>
      </c>
      <c r="F3" s="194" t="s">
        <v>462</v>
      </c>
      <c r="G3" s="194">
        <v>288.47000000000003</v>
      </c>
      <c r="H3" s="194"/>
      <c r="I3" s="194">
        <v>0</v>
      </c>
      <c r="J3" s="194">
        <v>0</v>
      </c>
      <c r="K3" s="194"/>
      <c r="L3" s="194">
        <v>1004.17</v>
      </c>
      <c r="M3" s="194" t="s">
        <v>461</v>
      </c>
      <c r="N3" s="194">
        <v>35.340000000000003</v>
      </c>
      <c r="O3" s="194">
        <v>1513843200</v>
      </c>
      <c r="P3" s="194">
        <v>0</v>
      </c>
      <c r="Q3" s="194">
        <v>3.97</v>
      </c>
      <c r="R3" s="194">
        <v>2</v>
      </c>
      <c r="S3" s="194">
        <v>13.24</v>
      </c>
      <c r="T3" s="194">
        <v>5.19</v>
      </c>
    </row>
    <row r="4" spans="1:20" x14ac:dyDescent="0.25">
      <c r="A4" s="194">
        <v>26.77</v>
      </c>
      <c r="B4" s="194">
        <v>0.5</v>
      </c>
      <c r="C4" s="194">
        <v>23.94</v>
      </c>
      <c r="D4" s="8">
        <v>43090.083333333336</v>
      </c>
      <c r="E4" s="194">
        <v>0.72</v>
      </c>
      <c r="F4" s="194" t="s">
        <v>540</v>
      </c>
      <c r="G4" s="194">
        <v>289.62</v>
      </c>
      <c r="H4" s="194"/>
      <c r="I4" s="194">
        <v>0</v>
      </c>
      <c r="J4" s="194">
        <v>0</v>
      </c>
      <c r="K4" s="194"/>
      <c r="L4" s="194">
        <v>1007.16</v>
      </c>
      <c r="M4" s="194" t="s">
        <v>541</v>
      </c>
      <c r="N4" s="194">
        <v>31.92</v>
      </c>
      <c r="O4" s="194">
        <v>1513846800</v>
      </c>
      <c r="P4" s="194">
        <v>0</v>
      </c>
      <c r="Q4" s="194">
        <v>4.21</v>
      </c>
      <c r="R4" s="194">
        <v>9</v>
      </c>
      <c r="S4" s="194">
        <v>12.06</v>
      </c>
      <c r="T4" s="194">
        <v>5.23</v>
      </c>
    </row>
    <row r="5" spans="1:20" x14ac:dyDescent="0.25">
      <c r="A5" s="194">
        <v>24.57</v>
      </c>
      <c r="B5" s="194">
        <v>0.9</v>
      </c>
      <c r="C5" s="194">
        <v>23.34</v>
      </c>
      <c r="D5" s="8">
        <v>43090.125</v>
      </c>
      <c r="E5" s="194">
        <v>0.75</v>
      </c>
      <c r="F5" s="194" t="s">
        <v>540</v>
      </c>
      <c r="G5" s="194">
        <v>290.88</v>
      </c>
      <c r="H5" s="194"/>
      <c r="I5" s="194">
        <v>0</v>
      </c>
      <c r="J5" s="194">
        <v>0</v>
      </c>
      <c r="K5" s="194"/>
      <c r="L5" s="194">
        <v>1008.7</v>
      </c>
      <c r="M5" s="194" t="s">
        <v>893</v>
      </c>
      <c r="N5" s="194">
        <v>30.21</v>
      </c>
      <c r="O5" s="194">
        <v>1513850400</v>
      </c>
      <c r="P5" s="194">
        <v>0</v>
      </c>
      <c r="Q5" s="194">
        <v>4.03</v>
      </c>
      <c r="R5" s="194">
        <v>31</v>
      </c>
      <c r="S5" s="194">
        <v>10.99</v>
      </c>
      <c r="T5" s="194">
        <v>5.45</v>
      </c>
    </row>
    <row r="6" spans="1:20" x14ac:dyDescent="0.25">
      <c r="A6" s="194">
        <v>21.25</v>
      </c>
      <c r="B6" s="194">
        <v>0.96</v>
      </c>
      <c r="C6" s="194">
        <v>22.33</v>
      </c>
      <c r="D6" s="8">
        <v>43090.166666666664</v>
      </c>
      <c r="E6" s="194">
        <v>0.79</v>
      </c>
      <c r="F6" s="194" t="s">
        <v>894</v>
      </c>
      <c r="G6" s="194">
        <v>292.35000000000002</v>
      </c>
      <c r="H6" s="194"/>
      <c r="I6" s="194">
        <v>0</v>
      </c>
      <c r="J6" s="194">
        <v>0</v>
      </c>
      <c r="K6" s="194"/>
      <c r="L6" s="194">
        <v>1010.27</v>
      </c>
      <c r="M6" s="194" t="s">
        <v>895</v>
      </c>
      <c r="N6" s="194">
        <v>27.88</v>
      </c>
      <c r="O6" s="194">
        <v>1513854000</v>
      </c>
      <c r="P6" s="194">
        <v>0</v>
      </c>
      <c r="Q6" s="194">
        <v>4.21</v>
      </c>
      <c r="R6" s="194">
        <v>34</v>
      </c>
      <c r="S6" s="194">
        <v>12.89</v>
      </c>
      <c r="T6" s="194">
        <v>6.1</v>
      </c>
    </row>
    <row r="7" spans="1:20" x14ac:dyDescent="0.25">
      <c r="A7" s="194">
        <v>19.55</v>
      </c>
      <c r="B7" s="194">
        <v>0.89</v>
      </c>
      <c r="C7" s="194">
        <v>21.67</v>
      </c>
      <c r="D7" s="8">
        <v>43090.208333333336</v>
      </c>
      <c r="E7" s="194">
        <v>0.85</v>
      </c>
      <c r="F7" s="194" t="s">
        <v>540</v>
      </c>
      <c r="G7" s="194">
        <v>295.49</v>
      </c>
      <c r="H7" s="194">
        <v>0</v>
      </c>
      <c r="I7" s="194">
        <v>2.0000000000000001E-4</v>
      </c>
      <c r="J7" s="194">
        <v>0.02</v>
      </c>
      <c r="K7" s="194" t="s">
        <v>595</v>
      </c>
      <c r="L7" s="194">
        <v>1012.26</v>
      </c>
      <c r="M7" s="194" t="s">
        <v>893</v>
      </c>
      <c r="N7" s="194">
        <v>25.54</v>
      </c>
      <c r="O7" s="194">
        <v>1513857600</v>
      </c>
      <c r="P7" s="194">
        <v>0</v>
      </c>
      <c r="Q7" s="194">
        <v>2.4900000000000002</v>
      </c>
      <c r="R7" s="194">
        <v>20</v>
      </c>
      <c r="S7" s="194">
        <v>11.05</v>
      </c>
      <c r="T7" s="194">
        <v>4.9400000000000004</v>
      </c>
    </row>
    <row r="8" spans="1:20" x14ac:dyDescent="0.25">
      <c r="A8" s="194">
        <v>17.55</v>
      </c>
      <c r="B8" s="194">
        <v>0.9</v>
      </c>
      <c r="C8" s="194">
        <v>20.93</v>
      </c>
      <c r="D8" s="8">
        <v>43090.25</v>
      </c>
      <c r="E8" s="194">
        <v>0.88</v>
      </c>
      <c r="F8" s="194" t="s">
        <v>540</v>
      </c>
      <c r="G8" s="194">
        <v>298.49</v>
      </c>
      <c r="H8" s="194">
        <v>5.7000000000000002E-2</v>
      </c>
      <c r="I8" s="194">
        <v>4.4999999999999997E-3</v>
      </c>
      <c r="J8" s="194">
        <v>0.11</v>
      </c>
      <c r="K8" s="194" t="s">
        <v>595</v>
      </c>
      <c r="L8" s="194">
        <v>1013.82</v>
      </c>
      <c r="M8" s="194" t="s">
        <v>893</v>
      </c>
      <c r="N8" s="194">
        <v>24.05</v>
      </c>
      <c r="O8" s="194">
        <v>1513861200</v>
      </c>
      <c r="P8" s="194">
        <v>0</v>
      </c>
      <c r="Q8" s="194">
        <v>2.06</v>
      </c>
      <c r="R8" s="194">
        <v>8</v>
      </c>
      <c r="S8" s="194">
        <v>11.02</v>
      </c>
      <c r="T8" s="194">
        <v>5.19</v>
      </c>
    </row>
    <row r="9" spans="1:20" x14ac:dyDescent="0.25">
      <c r="A9" s="194">
        <v>15.01</v>
      </c>
      <c r="B9" s="194">
        <v>0.92</v>
      </c>
      <c r="C9" s="194">
        <v>19.329999999999998</v>
      </c>
      <c r="D9" s="8">
        <v>43090.291666666664</v>
      </c>
      <c r="E9" s="194">
        <v>0.88</v>
      </c>
      <c r="F9" s="194" t="s">
        <v>896</v>
      </c>
      <c r="G9" s="194">
        <v>301.89999999999998</v>
      </c>
      <c r="H9" s="194">
        <v>3.5000000000000003E-2</v>
      </c>
      <c r="I9" s="194">
        <v>2.5000000000000001E-3</v>
      </c>
      <c r="J9" s="194">
        <v>0.12</v>
      </c>
      <c r="K9" s="194" t="s">
        <v>595</v>
      </c>
      <c r="L9" s="194">
        <v>1015.16</v>
      </c>
      <c r="M9" s="194" t="s">
        <v>897</v>
      </c>
      <c r="N9" s="194">
        <v>22.27</v>
      </c>
      <c r="O9" s="194">
        <v>1513864800</v>
      </c>
      <c r="P9" s="194">
        <v>0</v>
      </c>
      <c r="Q9" s="194">
        <v>1.29</v>
      </c>
      <c r="R9" s="194">
        <v>3</v>
      </c>
      <c r="S9" s="194">
        <v>12.61</v>
      </c>
      <c r="T9" s="194">
        <v>5.61</v>
      </c>
    </row>
    <row r="10" spans="1:20" x14ac:dyDescent="0.25">
      <c r="A10" s="194">
        <v>12.95</v>
      </c>
      <c r="B10" s="194">
        <v>0.88</v>
      </c>
      <c r="C10" s="194">
        <v>17.059999999999999</v>
      </c>
      <c r="D10" s="8">
        <v>43090.333333333336</v>
      </c>
      <c r="E10" s="194">
        <v>0.86</v>
      </c>
      <c r="F10" s="194" t="s">
        <v>896</v>
      </c>
      <c r="G10" s="194">
        <v>304.61</v>
      </c>
      <c r="H10" s="194">
        <v>0.02</v>
      </c>
      <c r="I10" s="194">
        <v>1.2999999999999999E-3</v>
      </c>
      <c r="J10" s="194">
        <v>0.08</v>
      </c>
      <c r="K10" s="194" t="s">
        <v>595</v>
      </c>
      <c r="L10" s="194">
        <v>1016.03</v>
      </c>
      <c r="M10" s="194" t="s">
        <v>897</v>
      </c>
      <c r="N10" s="194">
        <v>20.61</v>
      </c>
      <c r="O10" s="194">
        <v>1513868400</v>
      </c>
      <c r="P10" s="194">
        <v>0</v>
      </c>
      <c r="Q10" s="194">
        <v>1.18</v>
      </c>
      <c r="R10" s="194">
        <v>13</v>
      </c>
      <c r="S10" s="194">
        <v>12.56</v>
      </c>
      <c r="T10" s="194">
        <v>5.71</v>
      </c>
    </row>
    <row r="11" spans="1:20" x14ac:dyDescent="0.25">
      <c r="A11" s="194">
        <v>11.7</v>
      </c>
      <c r="B11" s="194">
        <v>0.77</v>
      </c>
      <c r="C11" s="194">
        <v>15.3</v>
      </c>
      <c r="D11" s="8">
        <v>43090.375</v>
      </c>
      <c r="E11" s="194">
        <v>0.84</v>
      </c>
      <c r="F11" s="194" t="s">
        <v>896</v>
      </c>
      <c r="G11" s="194">
        <v>305.81</v>
      </c>
      <c r="H11" s="194">
        <v>1.7999999999999999E-2</v>
      </c>
      <c r="I11" s="194">
        <v>1.1000000000000001E-3</v>
      </c>
      <c r="J11" s="194">
        <v>7.0000000000000007E-2</v>
      </c>
      <c r="K11" s="194" t="s">
        <v>595</v>
      </c>
      <c r="L11" s="194">
        <v>1017.36</v>
      </c>
      <c r="M11" s="194" t="s">
        <v>897</v>
      </c>
      <c r="N11" s="194">
        <v>19.25</v>
      </c>
      <c r="O11" s="194">
        <v>1513872000</v>
      </c>
      <c r="P11" s="194">
        <v>1</v>
      </c>
      <c r="Q11" s="194">
        <v>1.23</v>
      </c>
      <c r="R11" s="194">
        <v>12</v>
      </c>
      <c r="S11" s="194">
        <v>12.17</v>
      </c>
      <c r="T11" s="194">
        <v>5.35</v>
      </c>
    </row>
    <row r="12" spans="1:20" x14ac:dyDescent="0.25">
      <c r="A12" s="194">
        <v>12.17</v>
      </c>
      <c r="B12" s="194">
        <v>0.7</v>
      </c>
      <c r="C12" s="194">
        <v>14.83</v>
      </c>
      <c r="D12" s="8">
        <v>43090.416666666664</v>
      </c>
      <c r="E12" s="194">
        <v>0.84</v>
      </c>
      <c r="F12" s="194" t="s">
        <v>896</v>
      </c>
      <c r="G12" s="194">
        <v>306.24</v>
      </c>
      <c r="H12" s="194">
        <v>1.2999999999999999E-2</v>
      </c>
      <c r="I12" s="194">
        <v>8.0000000000000004E-4</v>
      </c>
      <c r="J12" s="194">
        <v>7.0000000000000007E-2</v>
      </c>
      <c r="K12" s="194" t="s">
        <v>595</v>
      </c>
      <c r="L12" s="194">
        <v>1018.94</v>
      </c>
      <c r="M12" s="194" t="s">
        <v>897</v>
      </c>
      <c r="N12" s="194">
        <v>18.82</v>
      </c>
      <c r="O12" s="194">
        <v>1513875600</v>
      </c>
      <c r="P12" s="194">
        <v>1</v>
      </c>
      <c r="Q12" s="194">
        <v>1.31</v>
      </c>
      <c r="R12" s="194">
        <v>10</v>
      </c>
      <c r="S12" s="194">
        <v>10.09</v>
      </c>
      <c r="T12" s="194">
        <v>4.5199999999999996</v>
      </c>
    </row>
    <row r="13" spans="1:20" x14ac:dyDescent="0.25">
      <c r="A13" s="194">
        <v>12.94</v>
      </c>
      <c r="B13" s="194">
        <v>0.61</v>
      </c>
      <c r="C13" s="194">
        <v>14.28</v>
      </c>
      <c r="D13" s="8">
        <v>43090.458333333336</v>
      </c>
      <c r="E13" s="194">
        <v>0.81</v>
      </c>
      <c r="F13" s="194" t="s">
        <v>896</v>
      </c>
      <c r="G13" s="194">
        <v>309.67</v>
      </c>
      <c r="H13" s="194">
        <v>2.9000000000000001E-2</v>
      </c>
      <c r="I13" s="194">
        <v>1.8E-3</v>
      </c>
      <c r="J13" s="194">
        <v>0.04</v>
      </c>
      <c r="K13" s="194" t="s">
        <v>595</v>
      </c>
      <c r="L13" s="194">
        <v>1018.73</v>
      </c>
      <c r="M13" s="194" t="s">
        <v>897</v>
      </c>
      <c r="N13" s="194">
        <v>19.13</v>
      </c>
      <c r="O13" s="194">
        <v>1513879200</v>
      </c>
      <c r="P13" s="194">
        <v>1</v>
      </c>
      <c r="Q13" s="194">
        <v>1.65</v>
      </c>
      <c r="R13" s="194">
        <v>10</v>
      </c>
      <c r="S13" s="194">
        <v>8.85</v>
      </c>
      <c r="T13" s="194">
        <v>4.2</v>
      </c>
    </row>
    <row r="14" spans="1:20" x14ac:dyDescent="0.25">
      <c r="A14" s="194">
        <v>15.69</v>
      </c>
      <c r="B14" s="194">
        <v>0.67</v>
      </c>
      <c r="C14" s="194">
        <v>14.05</v>
      </c>
      <c r="D14" s="8">
        <v>43090.5</v>
      </c>
      <c r="E14" s="194">
        <v>0.77</v>
      </c>
      <c r="F14" s="194" t="s">
        <v>896</v>
      </c>
      <c r="G14" s="194">
        <v>311.16000000000003</v>
      </c>
      <c r="H14" s="194">
        <v>4.2000000000000003E-2</v>
      </c>
      <c r="I14" s="194">
        <v>2.7000000000000001E-3</v>
      </c>
      <c r="J14" s="194">
        <v>0.06</v>
      </c>
      <c r="K14" s="194" t="s">
        <v>595</v>
      </c>
      <c r="L14" s="194">
        <v>1018.31</v>
      </c>
      <c r="M14" s="194" t="s">
        <v>897</v>
      </c>
      <c r="N14" s="194">
        <v>19.989999999999998</v>
      </c>
      <c r="O14" s="194">
        <v>1513882800</v>
      </c>
      <c r="P14" s="194">
        <v>1</v>
      </c>
      <c r="Q14" s="194">
        <v>1.88</v>
      </c>
      <c r="R14" s="194">
        <v>21</v>
      </c>
      <c r="S14" s="194">
        <v>6.6</v>
      </c>
      <c r="T14" s="194">
        <v>3.02</v>
      </c>
    </row>
    <row r="15" spans="1:20" x14ac:dyDescent="0.25">
      <c r="A15" s="194">
        <v>19.940000000000001</v>
      </c>
      <c r="B15" s="194">
        <v>0.87</v>
      </c>
      <c r="C15" s="194">
        <v>13.75</v>
      </c>
      <c r="D15" s="8">
        <v>43090.541666666664</v>
      </c>
      <c r="E15" s="194">
        <v>0.76</v>
      </c>
      <c r="F15" s="194" t="s">
        <v>898</v>
      </c>
      <c r="G15" s="194">
        <v>312.63</v>
      </c>
      <c r="H15" s="194">
        <v>7.0000000000000001E-3</v>
      </c>
      <c r="I15" s="194">
        <v>4.0000000000000002E-4</v>
      </c>
      <c r="J15" s="194">
        <v>0.04</v>
      </c>
      <c r="K15" s="194" t="s">
        <v>595</v>
      </c>
      <c r="L15" s="194">
        <v>1018.58</v>
      </c>
      <c r="M15" s="194" t="s">
        <v>893</v>
      </c>
      <c r="N15" s="194">
        <v>19.940000000000001</v>
      </c>
      <c r="O15" s="194">
        <v>1513886400</v>
      </c>
      <c r="P15" s="194">
        <v>1</v>
      </c>
      <c r="Q15" s="194">
        <v>2.17</v>
      </c>
      <c r="R15" s="194">
        <v>19</v>
      </c>
      <c r="S15" s="194">
        <v>6.02</v>
      </c>
      <c r="T15" s="194">
        <v>2.81</v>
      </c>
    </row>
    <row r="16" spans="1:20" x14ac:dyDescent="0.25">
      <c r="A16" s="194">
        <v>20.3</v>
      </c>
      <c r="B16" s="194">
        <v>0.91</v>
      </c>
      <c r="C16" s="194">
        <v>13.82</v>
      </c>
      <c r="D16" s="8">
        <v>43090.583333333336</v>
      </c>
      <c r="E16" s="194">
        <v>0.76</v>
      </c>
      <c r="F16" s="194" t="s">
        <v>898</v>
      </c>
      <c r="G16" s="194">
        <v>314.20999999999998</v>
      </c>
      <c r="H16" s="194">
        <v>0</v>
      </c>
      <c r="I16" s="194">
        <v>2.0000000000000001E-4</v>
      </c>
      <c r="J16" s="194">
        <v>0.03</v>
      </c>
      <c r="K16" s="194" t="s">
        <v>595</v>
      </c>
      <c r="L16" s="194">
        <v>1019.02</v>
      </c>
      <c r="M16" s="194" t="s">
        <v>893</v>
      </c>
      <c r="N16" s="194">
        <v>20.3</v>
      </c>
      <c r="O16" s="194">
        <v>1513890000</v>
      </c>
      <c r="P16" s="194">
        <v>1</v>
      </c>
      <c r="Q16" s="194">
        <v>3.2</v>
      </c>
      <c r="R16" s="194">
        <v>21</v>
      </c>
      <c r="S16" s="194">
        <v>5.51</v>
      </c>
      <c r="T16" s="194">
        <v>2.35</v>
      </c>
    </row>
    <row r="17" spans="1:20" x14ac:dyDescent="0.25">
      <c r="A17" s="194">
        <v>20.309999999999999</v>
      </c>
      <c r="B17" s="194">
        <v>0.56000000000000005</v>
      </c>
      <c r="C17" s="194">
        <v>13.58</v>
      </c>
      <c r="D17" s="8">
        <v>43090.625</v>
      </c>
      <c r="E17" s="194">
        <v>0.75</v>
      </c>
      <c r="F17" s="194" t="s">
        <v>898</v>
      </c>
      <c r="G17" s="194">
        <v>316.19</v>
      </c>
      <c r="H17" s="194">
        <v>8.0000000000000002E-3</v>
      </c>
      <c r="I17" s="194">
        <v>5.0000000000000001E-4</v>
      </c>
      <c r="J17" s="194">
        <v>0.05</v>
      </c>
      <c r="K17" s="194" t="s">
        <v>595</v>
      </c>
      <c r="L17" s="194">
        <v>1019.17</v>
      </c>
      <c r="M17" s="194" t="s">
        <v>541</v>
      </c>
      <c r="N17" s="194">
        <v>20.309999999999999</v>
      </c>
      <c r="O17" s="194">
        <v>1513893600</v>
      </c>
      <c r="P17" s="194">
        <v>1</v>
      </c>
      <c r="Q17" s="194">
        <v>3.76</v>
      </c>
      <c r="R17" s="194">
        <v>37</v>
      </c>
      <c r="S17" s="194">
        <v>5.22</v>
      </c>
      <c r="T17" s="194">
        <v>1.95</v>
      </c>
    </row>
    <row r="18" spans="1:20" x14ac:dyDescent="0.25">
      <c r="A18" s="194">
        <v>19.440000000000001</v>
      </c>
      <c r="B18" s="194">
        <v>0.72</v>
      </c>
      <c r="C18" s="194">
        <v>13.2</v>
      </c>
      <c r="D18" s="8">
        <v>43090.666666666664</v>
      </c>
      <c r="E18" s="194">
        <v>0.76</v>
      </c>
      <c r="F18" s="194" t="s">
        <v>898</v>
      </c>
      <c r="G18" s="194">
        <v>318.27</v>
      </c>
      <c r="H18" s="194">
        <v>4.0000000000000001E-3</v>
      </c>
      <c r="I18" s="194">
        <v>2.0000000000000001E-4</v>
      </c>
      <c r="J18" s="194">
        <v>0.03</v>
      </c>
      <c r="K18" s="194" t="s">
        <v>595</v>
      </c>
      <c r="L18" s="194">
        <v>1019.63</v>
      </c>
      <c r="M18" s="194" t="s">
        <v>893</v>
      </c>
      <c r="N18" s="194">
        <v>19.440000000000001</v>
      </c>
      <c r="O18" s="194">
        <v>1513897200</v>
      </c>
      <c r="P18" s="194">
        <v>0</v>
      </c>
      <c r="Q18" s="194">
        <v>3.76</v>
      </c>
      <c r="R18" s="194">
        <v>42</v>
      </c>
      <c r="S18" s="194">
        <v>5.1100000000000003</v>
      </c>
      <c r="T18" s="194">
        <v>2.0099999999999998</v>
      </c>
    </row>
    <row r="19" spans="1:20" x14ac:dyDescent="0.25">
      <c r="A19" s="194">
        <v>18.62</v>
      </c>
      <c r="B19" s="194">
        <v>0.89</v>
      </c>
      <c r="C19" s="194">
        <v>13.03</v>
      </c>
      <c r="D19" s="8">
        <v>43090.708333333336</v>
      </c>
      <c r="E19" s="194">
        <v>0.78</v>
      </c>
      <c r="F19" s="194" t="s">
        <v>540</v>
      </c>
      <c r="G19" s="194">
        <v>312.3</v>
      </c>
      <c r="H19" s="194">
        <v>0</v>
      </c>
      <c r="I19" s="194">
        <v>1E-4</v>
      </c>
      <c r="J19" s="194">
        <v>0.01</v>
      </c>
      <c r="K19" s="194" t="s">
        <v>595</v>
      </c>
      <c r="L19" s="194">
        <v>1020.77</v>
      </c>
      <c r="M19" s="194" t="s">
        <v>893</v>
      </c>
      <c r="N19" s="194">
        <v>18.62</v>
      </c>
      <c r="O19" s="194">
        <v>1513900800</v>
      </c>
      <c r="P19" s="194">
        <v>0</v>
      </c>
      <c r="Q19" s="194">
        <v>4.08</v>
      </c>
      <c r="R19" s="194">
        <v>49</v>
      </c>
      <c r="S19" s="194">
        <v>4.71</v>
      </c>
      <c r="T19" s="194">
        <v>2.25</v>
      </c>
    </row>
    <row r="20" spans="1:20" x14ac:dyDescent="0.25">
      <c r="A20" s="194">
        <v>18.03</v>
      </c>
      <c r="B20" s="194">
        <v>0.83</v>
      </c>
      <c r="C20" s="194">
        <v>12.79</v>
      </c>
      <c r="D20" s="8">
        <v>43090.75</v>
      </c>
      <c r="E20" s="194">
        <v>0.8</v>
      </c>
      <c r="F20" s="194" t="s">
        <v>540</v>
      </c>
      <c r="G20" s="194">
        <v>313.56</v>
      </c>
      <c r="H20" s="194">
        <v>6.0000000000000001E-3</v>
      </c>
      <c r="I20" s="194">
        <v>2.9999999999999997E-4</v>
      </c>
      <c r="J20" s="194">
        <v>0.01</v>
      </c>
      <c r="K20" s="194" t="s">
        <v>595</v>
      </c>
      <c r="L20" s="194">
        <v>1021.81</v>
      </c>
      <c r="M20" s="194" t="s">
        <v>893</v>
      </c>
      <c r="N20" s="194">
        <v>18.03</v>
      </c>
      <c r="O20" s="194">
        <v>1513904400</v>
      </c>
      <c r="P20" s="194">
        <v>0</v>
      </c>
      <c r="Q20" s="194">
        <v>3.9</v>
      </c>
      <c r="R20" s="194">
        <v>56</v>
      </c>
      <c r="S20" s="194">
        <v>4.2699999999999996</v>
      </c>
      <c r="T20" s="194">
        <v>1.92</v>
      </c>
    </row>
    <row r="21" spans="1:20" x14ac:dyDescent="0.25">
      <c r="A21" s="194">
        <v>17.54</v>
      </c>
      <c r="B21" s="194">
        <v>0.86</v>
      </c>
      <c r="C21" s="194">
        <v>12.56</v>
      </c>
      <c r="D21" s="8">
        <v>43090.791666666664</v>
      </c>
      <c r="E21" s="194">
        <v>0.8</v>
      </c>
      <c r="F21" s="194" t="s">
        <v>540</v>
      </c>
      <c r="G21" s="194">
        <v>315.56</v>
      </c>
      <c r="H21" s="194"/>
      <c r="I21" s="194">
        <v>0</v>
      </c>
      <c r="J21" s="194">
        <v>0</v>
      </c>
      <c r="K21" s="194"/>
      <c r="L21" s="194">
        <v>1022.61</v>
      </c>
      <c r="M21" s="194" t="s">
        <v>893</v>
      </c>
      <c r="N21" s="194">
        <v>17.54</v>
      </c>
      <c r="O21" s="194">
        <v>1513908000</v>
      </c>
      <c r="P21" s="194">
        <v>0</v>
      </c>
      <c r="Q21" s="194">
        <v>3.62</v>
      </c>
      <c r="R21" s="194">
        <v>67</v>
      </c>
      <c r="S21" s="194">
        <v>3.36</v>
      </c>
      <c r="T21" s="194">
        <v>1.32</v>
      </c>
    </row>
    <row r="22" spans="1:20" x14ac:dyDescent="0.25">
      <c r="A22" s="194">
        <v>16.86</v>
      </c>
      <c r="B22" s="194">
        <v>0.66</v>
      </c>
      <c r="C22" s="194">
        <v>12.05</v>
      </c>
      <c r="D22" s="8">
        <v>43090.833333333336</v>
      </c>
      <c r="E22" s="194">
        <v>0.81</v>
      </c>
      <c r="F22" s="194" t="s">
        <v>540</v>
      </c>
      <c r="G22" s="194">
        <v>318.5</v>
      </c>
      <c r="H22" s="194"/>
      <c r="I22" s="194">
        <v>0</v>
      </c>
      <c r="J22" s="194">
        <v>0</v>
      </c>
      <c r="K22" s="194"/>
      <c r="L22" s="194">
        <v>1023.15</v>
      </c>
      <c r="M22" s="194" t="s">
        <v>893</v>
      </c>
      <c r="N22" s="194">
        <v>16.86</v>
      </c>
      <c r="O22" s="194">
        <v>1513911600</v>
      </c>
      <c r="P22" s="194">
        <v>0</v>
      </c>
      <c r="Q22" s="194">
        <v>4.04</v>
      </c>
      <c r="R22" s="194">
        <v>92</v>
      </c>
      <c r="S22" s="194">
        <v>2.2999999999999998</v>
      </c>
      <c r="T22" s="194">
        <v>1.06</v>
      </c>
    </row>
    <row r="23" spans="1:20" x14ac:dyDescent="0.25">
      <c r="A23" s="194">
        <v>15.77</v>
      </c>
      <c r="B23" s="194">
        <v>0.56999999999999995</v>
      </c>
      <c r="C23" s="194">
        <v>11.01</v>
      </c>
      <c r="D23" s="8">
        <v>43090.875</v>
      </c>
      <c r="E23" s="194">
        <v>0.81</v>
      </c>
      <c r="F23" s="194" t="s">
        <v>540</v>
      </c>
      <c r="G23" s="194">
        <v>322.86</v>
      </c>
      <c r="H23" s="194"/>
      <c r="I23" s="194">
        <v>0</v>
      </c>
      <c r="J23" s="194">
        <v>0</v>
      </c>
      <c r="K23" s="194"/>
      <c r="L23" s="194">
        <v>1023.63</v>
      </c>
      <c r="M23" s="194" t="s">
        <v>541</v>
      </c>
      <c r="N23" s="194">
        <v>15.77</v>
      </c>
      <c r="O23" s="194">
        <v>1513915200</v>
      </c>
      <c r="P23" s="194">
        <v>0</v>
      </c>
      <c r="Q23" s="194">
        <v>3.1</v>
      </c>
      <c r="R23" s="194">
        <v>116</v>
      </c>
      <c r="S23" s="194">
        <v>2.2200000000000002</v>
      </c>
      <c r="T23" s="194">
        <v>0.89</v>
      </c>
    </row>
    <row r="24" spans="1:20" x14ac:dyDescent="0.25">
      <c r="A24" s="194">
        <v>14.79</v>
      </c>
      <c r="B24" s="194">
        <v>7.0000000000000007E-2</v>
      </c>
      <c r="C24" s="194">
        <v>10.31</v>
      </c>
      <c r="D24" s="8">
        <v>43090.916666666664</v>
      </c>
      <c r="E24" s="194">
        <v>0.82</v>
      </c>
      <c r="F24" s="194" t="s">
        <v>462</v>
      </c>
      <c r="G24" s="194">
        <v>328.22</v>
      </c>
      <c r="H24" s="194"/>
      <c r="I24" s="194">
        <v>0</v>
      </c>
      <c r="J24" s="194">
        <v>0</v>
      </c>
      <c r="K24" s="194"/>
      <c r="L24" s="194">
        <v>1023.03</v>
      </c>
      <c r="M24" s="194" t="s">
        <v>461</v>
      </c>
      <c r="N24" s="194">
        <v>14.79</v>
      </c>
      <c r="O24" s="194">
        <v>1513918800</v>
      </c>
      <c r="P24" s="194">
        <v>0</v>
      </c>
      <c r="Q24" s="194">
        <v>3.7</v>
      </c>
      <c r="R24" s="194">
        <v>135</v>
      </c>
      <c r="S24" s="194">
        <v>2.73</v>
      </c>
      <c r="T24" s="194">
        <v>1</v>
      </c>
    </row>
    <row r="25" spans="1:20" x14ac:dyDescent="0.25">
      <c r="A25" s="194">
        <v>14.73</v>
      </c>
      <c r="B25" s="194">
        <v>0.01</v>
      </c>
      <c r="C25" s="194">
        <v>10.220000000000001</v>
      </c>
      <c r="D25" s="8">
        <v>43090.958333333336</v>
      </c>
      <c r="E25" s="194">
        <v>0.82</v>
      </c>
      <c r="F25" s="194" t="s">
        <v>462</v>
      </c>
      <c r="G25" s="194">
        <v>331.08</v>
      </c>
      <c r="H25" s="194"/>
      <c r="I25" s="194">
        <v>0</v>
      </c>
      <c r="J25" s="194">
        <v>0</v>
      </c>
      <c r="K25" s="194"/>
      <c r="L25" s="194">
        <v>1024.46</v>
      </c>
      <c r="M25" s="194" t="s">
        <v>461</v>
      </c>
      <c r="N25" s="194">
        <v>14.73</v>
      </c>
      <c r="O25" s="194">
        <v>1513922400</v>
      </c>
      <c r="P25" s="194">
        <v>0</v>
      </c>
      <c r="Q25" s="194">
        <v>3.49</v>
      </c>
      <c r="R25" s="194">
        <v>150</v>
      </c>
      <c r="S25" s="194">
        <v>2.86</v>
      </c>
      <c r="T25" s="194">
        <v>1.1499999999999999</v>
      </c>
    </row>
    <row r="26" spans="1:20" x14ac:dyDescent="0.25">
      <c r="A26" s="194">
        <v>13.94</v>
      </c>
      <c r="B26" s="194">
        <v>0.03</v>
      </c>
      <c r="C26" s="194">
        <v>9.4700000000000006</v>
      </c>
      <c r="D26" s="8">
        <v>43091</v>
      </c>
      <c r="E26" s="194">
        <v>0.82</v>
      </c>
      <c r="F26" s="194" t="s">
        <v>462</v>
      </c>
      <c r="G26" s="194">
        <v>335.01</v>
      </c>
      <c r="H26" s="194"/>
      <c r="I26" s="194">
        <v>0</v>
      </c>
      <c r="J26" s="194">
        <v>0</v>
      </c>
      <c r="K26" s="194"/>
      <c r="L26" s="194">
        <v>1022.09</v>
      </c>
      <c r="M26" s="194" t="s">
        <v>461</v>
      </c>
      <c r="N26" s="194">
        <v>13.94</v>
      </c>
      <c r="O26" s="194">
        <v>1513926000</v>
      </c>
      <c r="P26" s="194">
        <v>0</v>
      </c>
      <c r="Q26" s="194">
        <v>3.53</v>
      </c>
      <c r="R26" s="194">
        <v>165</v>
      </c>
      <c r="S26" s="194">
        <v>2.11</v>
      </c>
      <c r="T26" s="194">
        <v>0.61</v>
      </c>
    </row>
    <row r="27" spans="1:20" x14ac:dyDescent="0.25">
      <c r="A27" s="194">
        <v>12.97</v>
      </c>
      <c r="B27" s="194">
        <v>0.16</v>
      </c>
      <c r="C27" s="194">
        <v>8.6999999999999993</v>
      </c>
      <c r="D27" s="8">
        <v>43091.041666666664</v>
      </c>
      <c r="E27" s="194">
        <v>0.83</v>
      </c>
      <c r="F27" s="194" t="s">
        <v>462</v>
      </c>
      <c r="G27" s="194">
        <v>338.42</v>
      </c>
      <c r="H27" s="194"/>
      <c r="I27" s="194">
        <v>0</v>
      </c>
      <c r="J27" s="194">
        <v>0</v>
      </c>
      <c r="K27" s="194"/>
      <c r="L27" s="194">
        <v>1021.37</v>
      </c>
      <c r="M27" s="194" t="s">
        <v>461</v>
      </c>
      <c r="N27" s="194">
        <v>12.97</v>
      </c>
      <c r="O27" s="194">
        <v>1513929600</v>
      </c>
      <c r="P27" s="194">
        <v>0</v>
      </c>
      <c r="Q27" s="194">
        <v>3.25</v>
      </c>
      <c r="R27" s="194">
        <v>174</v>
      </c>
      <c r="S27" s="194">
        <v>2.59</v>
      </c>
      <c r="T27" s="194">
        <v>0.91</v>
      </c>
    </row>
    <row r="28" spans="1:20" x14ac:dyDescent="0.25">
      <c r="A28" s="194">
        <v>13.51</v>
      </c>
      <c r="B28" s="194">
        <v>0</v>
      </c>
      <c r="C28" s="194">
        <v>8.42</v>
      </c>
      <c r="D28" s="8">
        <v>43091.083333333336</v>
      </c>
      <c r="E28" s="194">
        <v>0.8</v>
      </c>
      <c r="F28" s="194" t="s">
        <v>462</v>
      </c>
      <c r="G28" s="194">
        <v>340.51</v>
      </c>
      <c r="H28" s="194"/>
      <c r="I28" s="194">
        <v>0</v>
      </c>
      <c r="J28" s="194">
        <v>0</v>
      </c>
      <c r="K28" s="194"/>
      <c r="L28" s="194">
        <v>1022.08</v>
      </c>
      <c r="M28" s="194" t="s">
        <v>461</v>
      </c>
      <c r="N28" s="194">
        <v>13.51</v>
      </c>
      <c r="O28" s="194">
        <v>1513933200</v>
      </c>
      <c r="P28" s="194">
        <v>0</v>
      </c>
      <c r="Q28" s="194">
        <v>2.73</v>
      </c>
      <c r="R28" s="194">
        <v>184</v>
      </c>
      <c r="S28" s="194">
        <v>2.0099999999999998</v>
      </c>
      <c r="T28" s="194">
        <v>0.84</v>
      </c>
    </row>
    <row r="29" spans="1:20" x14ac:dyDescent="0.25">
      <c r="A29" s="194">
        <v>13.42</v>
      </c>
      <c r="B29" s="194">
        <v>0.1</v>
      </c>
      <c r="C29" s="194">
        <v>8.39</v>
      </c>
      <c r="D29" s="8">
        <v>43091.125</v>
      </c>
      <c r="E29" s="194">
        <v>0.8</v>
      </c>
      <c r="F29" s="194" t="s">
        <v>462</v>
      </c>
      <c r="G29" s="194">
        <v>340.29</v>
      </c>
      <c r="H29" s="194"/>
      <c r="I29" s="194">
        <v>0</v>
      </c>
      <c r="J29" s="194">
        <v>0</v>
      </c>
      <c r="K29" s="194"/>
      <c r="L29" s="194">
        <v>1023.31</v>
      </c>
      <c r="M29" s="194" t="s">
        <v>461</v>
      </c>
      <c r="N29" s="194">
        <v>13.42</v>
      </c>
      <c r="O29" s="194">
        <v>1513936800</v>
      </c>
      <c r="P29" s="194">
        <v>0</v>
      </c>
      <c r="Q29" s="194">
        <v>3.64</v>
      </c>
      <c r="R29" s="194">
        <v>187</v>
      </c>
      <c r="S29" s="194">
        <v>2.8</v>
      </c>
      <c r="T29" s="194">
        <v>0.92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I16" sqref="I1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43090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1078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1079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1080</v>
      </c>
      <c r="J20" s="138" t="s">
        <v>87</v>
      </c>
      <c r="M20" s="152" t="s">
        <v>1115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1081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1082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1083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1084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1085</v>
      </c>
      <c r="J25" s="138" t="s">
        <v>144</v>
      </c>
      <c r="M25" s="152" t="b">
        <v>1</v>
      </c>
    </row>
    <row r="26" spans="3:24" x14ac:dyDescent="0.25">
      <c r="C26" t="s">
        <v>1086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%USERPROFILE%\Documents\GitHub\eaglep3-reporting\EC\2017-12-21-refined-times.txt</v>
      </c>
    </row>
    <row r="27" spans="3:24" x14ac:dyDescent="0.25">
      <c r="C27" t="s">
        <v>1087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%USERPROFILE%\Documents\GitHub\eaglep3-reporting\EC\2017-12-21-Enforcements.txt</v>
      </c>
    </row>
    <row r="28" spans="3:24" x14ac:dyDescent="0.25">
      <c r="C28" t="s">
        <v>1088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%USERPROFILE%\Documents\GitHub\eaglep3-reporting\EC\2017-12-21-Runs-refined.txt</v>
      </c>
    </row>
    <row r="29" spans="3:24" x14ac:dyDescent="0.25">
      <c r="C29" t="s">
        <v>1089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%USERPROFILE%\Documents\GitHub\eaglep3-reporting\EC\2017-12-21-Trips.txt</v>
      </c>
    </row>
    <row r="30" spans="3:24" x14ac:dyDescent="0.25">
      <c r="C30" t="s">
        <v>1090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%USERPROFILE%\Documents\GitHub\eaglep3-reporting\EC\2017-12-21-Weather.txt</v>
      </c>
    </row>
    <row r="31" spans="3:24" x14ac:dyDescent="0.25">
      <c r="C31" t="s">
        <v>1091</v>
      </c>
      <c r="J31" s="138" t="s">
        <v>188</v>
      </c>
      <c r="M31" s="152" t="s">
        <v>189</v>
      </c>
    </row>
    <row r="32" spans="3:24" x14ac:dyDescent="0.25">
      <c r="C32" t="s">
        <v>1092</v>
      </c>
    </row>
    <row r="33" spans="3:3" x14ac:dyDescent="0.25">
      <c r="C33" t="s">
        <v>1093</v>
      </c>
    </row>
    <row r="34" spans="3:3" x14ac:dyDescent="0.25">
      <c r="C34" t="s">
        <v>1094</v>
      </c>
    </row>
    <row r="35" spans="3:3" x14ac:dyDescent="0.25">
      <c r="C35" t="s">
        <v>1095</v>
      </c>
    </row>
    <row r="36" spans="3:3" x14ac:dyDescent="0.25">
      <c r="C36" t="s">
        <v>1096</v>
      </c>
    </row>
    <row r="37" spans="3:3" x14ac:dyDescent="0.25">
      <c r="C37" t="s">
        <v>1097</v>
      </c>
    </row>
    <row r="38" spans="3:3" x14ac:dyDescent="0.25">
      <c r="C38" t="s">
        <v>1098</v>
      </c>
    </row>
    <row r="39" spans="3:3" x14ac:dyDescent="0.25">
      <c r="C39" t="s">
        <v>1099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2017-12-27T15:27:04Z</dcterms:modified>
</cp:coreProperties>
</file>