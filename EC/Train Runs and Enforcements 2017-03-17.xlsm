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00000000-0000-0000-0000-000000000000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210"/>
  </bookViews>
  <sheets>
    <sheet name="Train Runs" sheetId="1" r:id="rId1"/>
    <sheet name="Enforcements" sheetId="3" r:id="rId2"/>
    <sheet name="Missing Trips" sheetId="6" r:id="rId3"/>
    <sheet name="XING XRs" sheetId="10" r:id="rId4"/>
    <sheet name="Trips&amp;Operators" sheetId="4" r:id="rId5"/>
    <sheet name="Weather" sheetId="8" r:id="rId6"/>
    <sheet name="Variables" sheetId="5" r:id="rId7"/>
    <sheet name="Redmine List Values" sheetId="7" r:id="rId8"/>
    <sheet name="Slice Disagreement Check" sheetId="9" r:id="rId9"/>
  </sheets>
  <externalReferences>
    <externalReference r:id="rId10"/>
    <externalReference r:id="rId11"/>
  </externalReferences>
  <definedNames>
    <definedName name="_xlnm._FilterDatabase" localSheetId="1" hidden="1">Enforcements!$A$6:$AC$63</definedName>
    <definedName name="_xlnm._FilterDatabase" localSheetId="2" hidden="1">'Missing Trips'!$A$2:$J$94</definedName>
    <definedName name="_xlnm._FilterDatabase" localSheetId="0" hidden="1">'Train Runs'!$A$12:$AG$271</definedName>
    <definedName name="_xlnm._FilterDatabase" localSheetId="4" hidden="1">'Trips&amp;Operators'!$A$1:$E$211</definedName>
    <definedName name="astrogrep_path">Variables!$M$18</definedName>
    <definedName name="Denver_Train_Runs_04122016" localSheetId="0">'Train Runs'!$A$12:$J$64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217" i="1" l="1"/>
  <c r="K217" i="1"/>
  <c r="L217" i="1"/>
  <c r="M217" i="1"/>
  <c r="T217" i="1"/>
  <c r="V217" i="1"/>
  <c r="X217" i="1"/>
  <c r="Y217" i="1"/>
  <c r="Z217" i="1"/>
  <c r="AA217" i="1"/>
  <c r="W217" i="1" s="1"/>
  <c r="AB217" i="1"/>
  <c r="AC217" i="1"/>
  <c r="AD217" i="1"/>
  <c r="AE217" i="1"/>
  <c r="AF217" i="1"/>
  <c r="AG217" i="1"/>
  <c r="AH217" i="1"/>
  <c r="AM217" i="1"/>
  <c r="AN217" i="1"/>
  <c r="P225" i="1"/>
  <c r="U217" i="1" l="1"/>
  <c r="S217" i="1" s="1"/>
  <c r="AI217" i="1"/>
  <c r="K14" i="1"/>
  <c r="L14" i="1"/>
  <c r="M14" i="1"/>
  <c r="N14" i="1" s="1"/>
  <c r="V14" i="1"/>
  <c r="Y14" i="1"/>
  <c r="Z14" i="1"/>
  <c r="AB14" i="1"/>
  <c r="AC14" i="1"/>
  <c r="AD14" i="1"/>
  <c r="T14" i="1" s="1"/>
  <c r="AE14" i="1"/>
  <c r="AF14" i="1"/>
  <c r="AH14" i="1"/>
  <c r="AM14" i="1"/>
  <c r="AN14" i="1"/>
  <c r="K15" i="1"/>
  <c r="L15" i="1"/>
  <c r="M15" i="1"/>
  <c r="N15" i="1" s="1"/>
  <c r="V15" i="1"/>
  <c r="Y15" i="1"/>
  <c r="Z15" i="1"/>
  <c r="AB15" i="1"/>
  <c r="AC15" i="1"/>
  <c r="AD15" i="1"/>
  <c r="AG15" i="1" s="1"/>
  <c r="AE15" i="1"/>
  <c r="AF15" i="1"/>
  <c r="AH15" i="1"/>
  <c r="AM15" i="1"/>
  <c r="AN15" i="1"/>
  <c r="K16" i="1"/>
  <c r="L16" i="1"/>
  <c r="M16" i="1"/>
  <c r="N16" i="1" s="1"/>
  <c r="V16" i="1"/>
  <c r="Y16" i="1"/>
  <c r="Z16" i="1"/>
  <c r="AB16" i="1"/>
  <c r="AC16" i="1"/>
  <c r="AD16" i="1"/>
  <c r="AE16" i="1"/>
  <c r="AF16" i="1"/>
  <c r="AH16" i="1"/>
  <c r="AM16" i="1"/>
  <c r="AN16" i="1"/>
  <c r="K17" i="1"/>
  <c r="L17" i="1"/>
  <c r="M17" i="1"/>
  <c r="N17" i="1" s="1"/>
  <c r="V17" i="1"/>
  <c r="Y17" i="1"/>
  <c r="Z17" i="1"/>
  <c r="AA17" i="1" s="1"/>
  <c r="AB17" i="1"/>
  <c r="AC17" i="1"/>
  <c r="AD17" i="1"/>
  <c r="AE17" i="1"/>
  <c r="R15" i="3" s="1"/>
  <c r="AF17" i="1"/>
  <c r="AH17" i="1"/>
  <c r="AM17" i="1"/>
  <c r="AN17" i="1"/>
  <c r="K18" i="1"/>
  <c r="L18" i="1"/>
  <c r="M18" i="1"/>
  <c r="N18" i="1" s="1"/>
  <c r="V18" i="1"/>
  <c r="Y18" i="1"/>
  <c r="Z18" i="1"/>
  <c r="AB18" i="1"/>
  <c r="AC18" i="1"/>
  <c r="AD18" i="1"/>
  <c r="T18" i="1" s="1"/>
  <c r="AE18" i="1"/>
  <c r="AF18" i="1"/>
  <c r="AH18" i="1"/>
  <c r="AM18" i="1"/>
  <c r="AN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AF19" i="1"/>
  <c r="AH19" i="1"/>
  <c r="AM19" i="1"/>
  <c r="AN19" i="1"/>
  <c r="K20" i="1"/>
  <c r="L20" i="1"/>
  <c r="M20" i="1"/>
  <c r="N20" i="1" s="1"/>
  <c r="V20" i="1"/>
  <c r="S22" i="3" s="1"/>
  <c r="Y20" i="1"/>
  <c r="Z20" i="1"/>
  <c r="AB20" i="1"/>
  <c r="AC20" i="1"/>
  <c r="AD20" i="1"/>
  <c r="AG20" i="1" s="1"/>
  <c r="AE20" i="1"/>
  <c r="AF20" i="1"/>
  <c r="AH20" i="1"/>
  <c r="AM20" i="1"/>
  <c r="AN20" i="1"/>
  <c r="K21" i="1"/>
  <c r="L21" i="1"/>
  <c r="M21" i="1"/>
  <c r="N21" i="1" s="1"/>
  <c r="V21" i="1"/>
  <c r="Y21" i="1"/>
  <c r="Z21" i="1"/>
  <c r="AB21" i="1"/>
  <c r="AC21" i="1"/>
  <c r="AD21" i="1"/>
  <c r="AE21" i="1"/>
  <c r="AF21" i="1"/>
  <c r="AH21" i="1"/>
  <c r="AM21" i="1"/>
  <c r="AN21" i="1"/>
  <c r="K22" i="1"/>
  <c r="L22" i="1"/>
  <c r="M22" i="1"/>
  <c r="N22" i="1" s="1"/>
  <c r="V22" i="1"/>
  <c r="Y22" i="1"/>
  <c r="Z22" i="1"/>
  <c r="AB22" i="1"/>
  <c r="AC22" i="1"/>
  <c r="AD22" i="1"/>
  <c r="T22" i="1" s="1"/>
  <c r="AE22" i="1"/>
  <c r="AF22" i="1"/>
  <c r="AH22" i="1"/>
  <c r="AM22" i="1"/>
  <c r="AN22" i="1"/>
  <c r="K23" i="1"/>
  <c r="L23" i="1"/>
  <c r="M23" i="1"/>
  <c r="N23" i="1" s="1"/>
  <c r="V23" i="1"/>
  <c r="Y23" i="1"/>
  <c r="Z23" i="1"/>
  <c r="AB23" i="1"/>
  <c r="AC23" i="1"/>
  <c r="AD23" i="1"/>
  <c r="T23" i="1" s="1"/>
  <c r="AE23" i="1"/>
  <c r="AF23" i="1"/>
  <c r="AH23" i="1"/>
  <c r="AM23" i="1"/>
  <c r="AN23" i="1"/>
  <c r="K24" i="1"/>
  <c r="L24" i="1"/>
  <c r="M24" i="1"/>
  <c r="N24" i="1" s="1"/>
  <c r="V24" i="1"/>
  <c r="Y24" i="1"/>
  <c r="Z24" i="1"/>
  <c r="AB24" i="1"/>
  <c r="AC24" i="1"/>
  <c r="AD24" i="1"/>
  <c r="AG24" i="1" s="1"/>
  <c r="AE24" i="1"/>
  <c r="AF24" i="1"/>
  <c r="AH24" i="1"/>
  <c r="AM24" i="1"/>
  <c r="AN24" i="1"/>
  <c r="K25" i="1"/>
  <c r="L25" i="1"/>
  <c r="M25" i="1"/>
  <c r="N25" i="1" s="1"/>
  <c r="V25" i="1"/>
  <c r="Y25" i="1"/>
  <c r="Z25" i="1"/>
  <c r="AB25" i="1"/>
  <c r="AC25" i="1"/>
  <c r="AD25" i="1"/>
  <c r="T25" i="1" s="1"/>
  <c r="AE25" i="1"/>
  <c r="AF25" i="1"/>
  <c r="AH25" i="1"/>
  <c r="AM25" i="1"/>
  <c r="AN25" i="1"/>
  <c r="K26" i="1"/>
  <c r="L26" i="1"/>
  <c r="M26" i="1"/>
  <c r="N26" i="1" s="1"/>
  <c r="V26" i="1"/>
  <c r="Y26" i="1"/>
  <c r="Z26" i="1"/>
  <c r="AB26" i="1"/>
  <c r="AC26" i="1"/>
  <c r="AD26" i="1"/>
  <c r="T26" i="1" s="1"/>
  <c r="AE26" i="1"/>
  <c r="AF26" i="1"/>
  <c r="AH26" i="1"/>
  <c r="AM26" i="1"/>
  <c r="AN26" i="1"/>
  <c r="K27" i="1"/>
  <c r="L27" i="1"/>
  <c r="M27" i="1"/>
  <c r="N27" i="1" s="1"/>
  <c r="V27" i="1"/>
  <c r="S13" i="3" s="1"/>
  <c r="Y27" i="1"/>
  <c r="Z27" i="1"/>
  <c r="AB27" i="1"/>
  <c r="AC27" i="1"/>
  <c r="AD27" i="1"/>
  <c r="T27" i="1" s="1"/>
  <c r="AE27" i="1"/>
  <c r="AF27" i="1"/>
  <c r="AH27" i="1"/>
  <c r="AM27" i="1"/>
  <c r="AN27" i="1"/>
  <c r="K28" i="1"/>
  <c r="L28" i="1"/>
  <c r="M28" i="1"/>
  <c r="N28" i="1" s="1"/>
  <c r="V28" i="1"/>
  <c r="S10" i="3" s="1"/>
  <c r="Y28" i="1"/>
  <c r="Z28" i="1"/>
  <c r="AB28" i="1"/>
  <c r="AC28" i="1"/>
  <c r="AD28" i="1"/>
  <c r="AG28" i="1" s="1"/>
  <c r="AE28" i="1"/>
  <c r="R23" i="3" s="1"/>
  <c r="AF28" i="1"/>
  <c r="AH28" i="1"/>
  <c r="AM28" i="1"/>
  <c r="AN28" i="1"/>
  <c r="K29" i="1"/>
  <c r="L29" i="1"/>
  <c r="M29" i="1"/>
  <c r="N29" i="1" s="1"/>
  <c r="V29" i="1"/>
  <c r="Y29" i="1"/>
  <c r="Z29" i="1"/>
  <c r="AB29" i="1"/>
  <c r="AC29" i="1"/>
  <c r="AD29" i="1"/>
  <c r="T29" i="1" s="1"/>
  <c r="AE29" i="1"/>
  <c r="AF29" i="1"/>
  <c r="AH29" i="1"/>
  <c r="AM29" i="1"/>
  <c r="AN29" i="1"/>
  <c r="K30" i="1"/>
  <c r="L30" i="1"/>
  <c r="M30" i="1"/>
  <c r="N30" i="1" s="1"/>
  <c r="V30" i="1"/>
  <c r="Y30" i="1"/>
  <c r="Z30" i="1"/>
  <c r="AA30" i="1" s="1"/>
  <c r="W30" i="1" s="1"/>
  <c r="AB30" i="1"/>
  <c r="AC30" i="1"/>
  <c r="AD30" i="1"/>
  <c r="AG30" i="1" s="1"/>
  <c r="AE30" i="1"/>
  <c r="AF30" i="1"/>
  <c r="AH30" i="1"/>
  <c r="AM30" i="1"/>
  <c r="AN30" i="1"/>
  <c r="K31" i="1"/>
  <c r="L31" i="1"/>
  <c r="M31" i="1"/>
  <c r="N31" i="1" s="1"/>
  <c r="V31" i="1"/>
  <c r="Y31" i="1"/>
  <c r="Z31" i="1"/>
  <c r="AB31" i="1"/>
  <c r="AC31" i="1"/>
  <c r="AD31" i="1"/>
  <c r="T31" i="1" s="1"/>
  <c r="AE31" i="1"/>
  <c r="AF31" i="1"/>
  <c r="AH31" i="1"/>
  <c r="AM31" i="1"/>
  <c r="AN31" i="1"/>
  <c r="K32" i="1"/>
  <c r="L32" i="1"/>
  <c r="M32" i="1"/>
  <c r="N32" i="1" s="1"/>
  <c r="V32" i="1"/>
  <c r="Y32" i="1"/>
  <c r="Z32" i="1"/>
  <c r="AB32" i="1"/>
  <c r="AC32" i="1"/>
  <c r="AD32" i="1"/>
  <c r="AG32" i="1" s="1"/>
  <c r="AE32" i="1"/>
  <c r="AF32" i="1"/>
  <c r="AH32" i="1"/>
  <c r="AM32" i="1"/>
  <c r="AN32" i="1"/>
  <c r="K33" i="1"/>
  <c r="L33" i="1"/>
  <c r="M33" i="1"/>
  <c r="N33" i="1" s="1"/>
  <c r="V33" i="1"/>
  <c r="Y33" i="1"/>
  <c r="Z33" i="1"/>
  <c r="AB33" i="1"/>
  <c r="AC33" i="1"/>
  <c r="AD33" i="1"/>
  <c r="T33" i="1" s="1"/>
  <c r="AE33" i="1"/>
  <c r="AF33" i="1"/>
  <c r="AH33" i="1"/>
  <c r="AM33" i="1"/>
  <c r="AN33" i="1"/>
  <c r="K34" i="1"/>
  <c r="L34" i="1"/>
  <c r="M34" i="1"/>
  <c r="N34" i="1" s="1"/>
  <c r="V34" i="1"/>
  <c r="Y34" i="1"/>
  <c r="Z34" i="1"/>
  <c r="AB34" i="1"/>
  <c r="AC34" i="1"/>
  <c r="AD34" i="1"/>
  <c r="AG34" i="1" s="1"/>
  <c r="AE34" i="1"/>
  <c r="AF34" i="1"/>
  <c r="AH34" i="1"/>
  <c r="AM34" i="1"/>
  <c r="AN34" i="1"/>
  <c r="K35" i="1"/>
  <c r="L35" i="1"/>
  <c r="M35" i="1"/>
  <c r="N35" i="1" s="1"/>
  <c r="V35" i="1"/>
  <c r="Y35" i="1"/>
  <c r="Z35" i="1"/>
  <c r="AB35" i="1"/>
  <c r="AC35" i="1"/>
  <c r="AD35" i="1"/>
  <c r="T35" i="1" s="1"/>
  <c r="AE35" i="1"/>
  <c r="AF35" i="1"/>
  <c r="AH35" i="1"/>
  <c r="AM35" i="1"/>
  <c r="AN35" i="1"/>
  <c r="K36" i="1"/>
  <c r="L36" i="1"/>
  <c r="M36" i="1"/>
  <c r="N36" i="1" s="1"/>
  <c r="V36" i="1"/>
  <c r="Y36" i="1"/>
  <c r="Z36" i="1"/>
  <c r="AB36" i="1"/>
  <c r="AC36" i="1"/>
  <c r="AD36" i="1"/>
  <c r="AG36" i="1" s="1"/>
  <c r="AE36" i="1"/>
  <c r="AF36" i="1"/>
  <c r="AH36" i="1"/>
  <c r="AM36" i="1"/>
  <c r="AN36" i="1"/>
  <c r="K37" i="1"/>
  <c r="L37" i="1"/>
  <c r="M37" i="1"/>
  <c r="N37" i="1" s="1"/>
  <c r="V37" i="1"/>
  <c r="Y37" i="1"/>
  <c r="Z37" i="1"/>
  <c r="AB37" i="1"/>
  <c r="AC37" i="1"/>
  <c r="AD37" i="1"/>
  <c r="AE37" i="1"/>
  <c r="AF37" i="1"/>
  <c r="AH37" i="1"/>
  <c r="AM37" i="1"/>
  <c r="AN37" i="1"/>
  <c r="K38" i="1"/>
  <c r="L38" i="1"/>
  <c r="M38" i="1"/>
  <c r="N38" i="1" s="1"/>
  <c r="V38" i="1"/>
  <c r="Y38" i="1"/>
  <c r="Z38" i="1"/>
  <c r="AB38" i="1"/>
  <c r="AC38" i="1"/>
  <c r="AD38" i="1"/>
  <c r="AG38" i="1" s="1"/>
  <c r="AE38" i="1"/>
  <c r="AF38" i="1"/>
  <c r="AH38" i="1"/>
  <c r="AM38" i="1"/>
  <c r="AN38" i="1"/>
  <c r="K39" i="1"/>
  <c r="L39" i="1"/>
  <c r="M39" i="1"/>
  <c r="N39" i="1" s="1"/>
  <c r="V39" i="1"/>
  <c r="Y39" i="1"/>
  <c r="Z39" i="1"/>
  <c r="AB39" i="1"/>
  <c r="AC39" i="1"/>
  <c r="AD39" i="1"/>
  <c r="T39" i="1" s="1"/>
  <c r="AE39" i="1"/>
  <c r="AF39" i="1"/>
  <c r="AH39" i="1"/>
  <c r="AM39" i="1"/>
  <c r="AN39" i="1"/>
  <c r="K40" i="1"/>
  <c r="L40" i="1"/>
  <c r="M40" i="1"/>
  <c r="N40" i="1" s="1"/>
  <c r="V40" i="1"/>
  <c r="Y40" i="1"/>
  <c r="Z40" i="1"/>
  <c r="AB40" i="1"/>
  <c r="AC40" i="1"/>
  <c r="AD40" i="1"/>
  <c r="AG40" i="1" s="1"/>
  <c r="AE40" i="1"/>
  <c r="AF40" i="1"/>
  <c r="AH40" i="1"/>
  <c r="AM40" i="1"/>
  <c r="AN40" i="1"/>
  <c r="K41" i="1"/>
  <c r="L41" i="1"/>
  <c r="M41" i="1"/>
  <c r="N41" i="1" s="1"/>
  <c r="V41" i="1"/>
  <c r="Y41" i="1"/>
  <c r="Z41" i="1"/>
  <c r="AB41" i="1"/>
  <c r="AC41" i="1"/>
  <c r="AD41" i="1"/>
  <c r="T41" i="1" s="1"/>
  <c r="AE41" i="1"/>
  <c r="AF41" i="1"/>
  <c r="AH41" i="1"/>
  <c r="AM41" i="1"/>
  <c r="AN41" i="1"/>
  <c r="K42" i="1"/>
  <c r="L42" i="1"/>
  <c r="M42" i="1"/>
  <c r="N42" i="1" s="1"/>
  <c r="V42" i="1"/>
  <c r="Y42" i="1"/>
  <c r="Z42" i="1"/>
  <c r="AB42" i="1"/>
  <c r="AC42" i="1"/>
  <c r="AD42" i="1"/>
  <c r="AG42" i="1" s="1"/>
  <c r="AE42" i="1"/>
  <c r="AF42" i="1"/>
  <c r="AH42" i="1"/>
  <c r="AM42" i="1"/>
  <c r="AN42" i="1"/>
  <c r="K43" i="1"/>
  <c r="L43" i="1"/>
  <c r="M43" i="1"/>
  <c r="N43" i="1" s="1"/>
  <c r="V43" i="1"/>
  <c r="Y43" i="1"/>
  <c r="Z43" i="1"/>
  <c r="AA43" i="1" s="1"/>
  <c r="AB43" i="1"/>
  <c r="AC43" i="1"/>
  <c r="AD43" i="1"/>
  <c r="T43" i="1" s="1"/>
  <c r="AE43" i="1"/>
  <c r="AF43" i="1"/>
  <c r="AH43" i="1"/>
  <c r="AM43" i="1"/>
  <c r="AN43" i="1"/>
  <c r="K44" i="1"/>
  <c r="L44" i="1"/>
  <c r="M44" i="1"/>
  <c r="N44" i="1" s="1"/>
  <c r="V44" i="1"/>
  <c r="Y44" i="1"/>
  <c r="Z44" i="1"/>
  <c r="AB44" i="1"/>
  <c r="AC44" i="1"/>
  <c r="AD44" i="1"/>
  <c r="AG44" i="1" s="1"/>
  <c r="AE44" i="1"/>
  <c r="AF44" i="1"/>
  <c r="AH44" i="1"/>
  <c r="AM44" i="1"/>
  <c r="AN44" i="1"/>
  <c r="K45" i="1"/>
  <c r="L45" i="1"/>
  <c r="M45" i="1"/>
  <c r="N45" i="1" s="1"/>
  <c r="V45" i="1"/>
  <c r="Y45" i="1"/>
  <c r="Z45" i="1"/>
  <c r="AB45" i="1"/>
  <c r="AC45" i="1"/>
  <c r="AD45" i="1"/>
  <c r="T45" i="1" s="1"/>
  <c r="AE45" i="1"/>
  <c r="AF45" i="1"/>
  <c r="AH45" i="1"/>
  <c r="AM45" i="1"/>
  <c r="AN45" i="1"/>
  <c r="K46" i="1"/>
  <c r="L46" i="1"/>
  <c r="M46" i="1"/>
  <c r="N46" i="1" s="1"/>
  <c r="V46" i="1"/>
  <c r="Y46" i="1"/>
  <c r="Z46" i="1"/>
  <c r="AB46" i="1"/>
  <c r="AC46" i="1"/>
  <c r="AD46" i="1"/>
  <c r="AG46" i="1" s="1"/>
  <c r="AE46" i="1"/>
  <c r="AF46" i="1"/>
  <c r="AH46" i="1"/>
  <c r="AM46" i="1"/>
  <c r="AN46" i="1"/>
  <c r="K47" i="1"/>
  <c r="L47" i="1"/>
  <c r="M47" i="1"/>
  <c r="N47" i="1" s="1"/>
  <c r="V47" i="1"/>
  <c r="Y47" i="1"/>
  <c r="Z47" i="1"/>
  <c r="AB47" i="1"/>
  <c r="AC47" i="1"/>
  <c r="AD47" i="1"/>
  <c r="T47" i="1" s="1"/>
  <c r="AE47" i="1"/>
  <c r="AF47" i="1"/>
  <c r="AH47" i="1"/>
  <c r="AM47" i="1"/>
  <c r="AN47" i="1"/>
  <c r="K48" i="1"/>
  <c r="L48" i="1"/>
  <c r="M48" i="1"/>
  <c r="N48" i="1" s="1"/>
  <c r="V48" i="1"/>
  <c r="S17" i="3" s="1"/>
  <c r="Y48" i="1"/>
  <c r="Z48" i="1"/>
  <c r="AB48" i="1"/>
  <c r="AC48" i="1"/>
  <c r="AD48" i="1"/>
  <c r="AG48" i="1" s="1"/>
  <c r="AE48" i="1"/>
  <c r="R17" i="3" s="1"/>
  <c r="AF48" i="1"/>
  <c r="AH48" i="1"/>
  <c r="AM48" i="1"/>
  <c r="AN48" i="1"/>
  <c r="K49" i="1"/>
  <c r="L49" i="1"/>
  <c r="M49" i="1"/>
  <c r="N49" i="1" s="1"/>
  <c r="V49" i="1"/>
  <c r="Y49" i="1"/>
  <c r="Z49" i="1"/>
  <c r="AB49" i="1"/>
  <c r="AC49" i="1"/>
  <c r="AD49" i="1"/>
  <c r="T49" i="1" s="1"/>
  <c r="AE49" i="1"/>
  <c r="AF49" i="1"/>
  <c r="AH49" i="1"/>
  <c r="AM49" i="1"/>
  <c r="AN49" i="1"/>
  <c r="K50" i="1"/>
  <c r="L50" i="1"/>
  <c r="M50" i="1"/>
  <c r="N50" i="1" s="1"/>
  <c r="V50" i="1"/>
  <c r="Y50" i="1"/>
  <c r="Z50" i="1"/>
  <c r="AB50" i="1"/>
  <c r="AC50" i="1"/>
  <c r="AD50" i="1"/>
  <c r="AG50" i="1" s="1"/>
  <c r="AE50" i="1"/>
  <c r="AF50" i="1"/>
  <c r="AH50" i="1"/>
  <c r="AM50" i="1"/>
  <c r="AN50" i="1"/>
  <c r="K51" i="1"/>
  <c r="L51" i="1"/>
  <c r="M51" i="1"/>
  <c r="N51" i="1" s="1"/>
  <c r="V51" i="1"/>
  <c r="Y51" i="1"/>
  <c r="Z51" i="1"/>
  <c r="AB51" i="1"/>
  <c r="AC51" i="1"/>
  <c r="AD51" i="1"/>
  <c r="AE51" i="1"/>
  <c r="AF51" i="1"/>
  <c r="AH51" i="1"/>
  <c r="AM51" i="1"/>
  <c r="AN51" i="1"/>
  <c r="K52" i="1"/>
  <c r="L52" i="1"/>
  <c r="M52" i="1"/>
  <c r="N52" i="1" s="1"/>
  <c r="T52" i="1"/>
  <c r="V52" i="1"/>
  <c r="X52" i="1"/>
  <c r="Y52" i="1"/>
  <c r="Z52" i="1"/>
  <c r="AA52" i="1" s="1"/>
  <c r="AB52" i="1"/>
  <c r="AC52" i="1"/>
  <c r="AD52" i="1"/>
  <c r="AE52" i="1"/>
  <c r="AF52" i="1"/>
  <c r="AG52" i="1"/>
  <c r="AH52" i="1"/>
  <c r="AM52" i="1"/>
  <c r="AN52" i="1"/>
  <c r="K53" i="1"/>
  <c r="L53" i="1"/>
  <c r="M53" i="1"/>
  <c r="N53" i="1" s="1"/>
  <c r="V53" i="1"/>
  <c r="Y53" i="1"/>
  <c r="Z53" i="1"/>
  <c r="AB53" i="1"/>
  <c r="AC53" i="1"/>
  <c r="AD53" i="1"/>
  <c r="T53" i="1" s="1"/>
  <c r="AE53" i="1"/>
  <c r="AF53" i="1"/>
  <c r="AH53" i="1"/>
  <c r="AM53" i="1"/>
  <c r="AN53" i="1"/>
  <c r="K54" i="1"/>
  <c r="L54" i="1"/>
  <c r="M54" i="1"/>
  <c r="N54" i="1" s="1"/>
  <c r="V54" i="1"/>
  <c r="Y54" i="1"/>
  <c r="Z54" i="1"/>
  <c r="AB54" i="1"/>
  <c r="AC54" i="1"/>
  <c r="AD54" i="1"/>
  <c r="T54" i="1" s="1"/>
  <c r="AE54" i="1"/>
  <c r="AF54" i="1"/>
  <c r="AH54" i="1"/>
  <c r="AM54" i="1"/>
  <c r="AN54" i="1"/>
  <c r="K55" i="1"/>
  <c r="L55" i="1"/>
  <c r="M55" i="1"/>
  <c r="P55" i="1" s="1"/>
  <c r="V55" i="1"/>
  <c r="Y55" i="1"/>
  <c r="Z55" i="1"/>
  <c r="AB55" i="1"/>
  <c r="AC55" i="1"/>
  <c r="AD55" i="1"/>
  <c r="T55" i="1" s="1"/>
  <c r="AE55" i="1"/>
  <c r="AF55" i="1"/>
  <c r="AH55" i="1"/>
  <c r="AM55" i="1"/>
  <c r="AN55" i="1"/>
  <c r="K56" i="1"/>
  <c r="L56" i="1"/>
  <c r="M56" i="1"/>
  <c r="V56" i="1"/>
  <c r="Y56" i="1"/>
  <c r="Z56" i="1"/>
  <c r="AB56" i="1"/>
  <c r="AC56" i="1"/>
  <c r="AD56" i="1"/>
  <c r="AE56" i="1"/>
  <c r="AF56" i="1"/>
  <c r="AH56" i="1"/>
  <c r="AM56" i="1"/>
  <c r="AN56" i="1"/>
  <c r="K57" i="1"/>
  <c r="L57" i="1"/>
  <c r="M57" i="1"/>
  <c r="N57" i="1" s="1"/>
  <c r="V57" i="1"/>
  <c r="S18" i="3" s="1"/>
  <c r="Y57" i="1"/>
  <c r="Z57" i="1"/>
  <c r="AB57" i="1"/>
  <c r="AC57" i="1"/>
  <c r="AD57" i="1"/>
  <c r="T57" i="1" s="1"/>
  <c r="AE57" i="1"/>
  <c r="R18" i="3" s="1"/>
  <c r="AF57" i="1"/>
  <c r="AH57" i="1"/>
  <c r="AM57" i="1"/>
  <c r="AN57" i="1"/>
  <c r="K58" i="1"/>
  <c r="L58" i="1"/>
  <c r="M58" i="1"/>
  <c r="N58" i="1" s="1"/>
  <c r="V58" i="1"/>
  <c r="Y58" i="1"/>
  <c r="Z58" i="1"/>
  <c r="AB58" i="1"/>
  <c r="AC58" i="1"/>
  <c r="AD58" i="1"/>
  <c r="T58" i="1" s="1"/>
  <c r="AE58" i="1"/>
  <c r="AF58" i="1"/>
  <c r="AH58" i="1"/>
  <c r="AM58" i="1"/>
  <c r="AN58" i="1"/>
  <c r="K59" i="1"/>
  <c r="L59" i="1"/>
  <c r="M59" i="1"/>
  <c r="N59" i="1" s="1"/>
  <c r="V59" i="1"/>
  <c r="Y59" i="1"/>
  <c r="Z59" i="1"/>
  <c r="AB59" i="1"/>
  <c r="AC59" i="1"/>
  <c r="AD59" i="1"/>
  <c r="T59" i="1" s="1"/>
  <c r="AE59" i="1"/>
  <c r="AF59" i="1"/>
  <c r="AH59" i="1"/>
  <c r="AM59" i="1"/>
  <c r="AN59" i="1"/>
  <c r="K60" i="1"/>
  <c r="L60" i="1"/>
  <c r="M60" i="1"/>
  <c r="N60" i="1" s="1"/>
  <c r="V60" i="1"/>
  <c r="Y60" i="1"/>
  <c r="Z60" i="1"/>
  <c r="AB60" i="1"/>
  <c r="AC60" i="1"/>
  <c r="AD60" i="1"/>
  <c r="T60" i="1" s="1"/>
  <c r="AE60" i="1"/>
  <c r="AF60" i="1"/>
  <c r="AH60" i="1"/>
  <c r="AM60" i="1"/>
  <c r="AN60" i="1"/>
  <c r="K61" i="1"/>
  <c r="L61" i="1"/>
  <c r="M61" i="1"/>
  <c r="N61" i="1" s="1"/>
  <c r="V61" i="1"/>
  <c r="Y61" i="1"/>
  <c r="Z61" i="1"/>
  <c r="AB61" i="1"/>
  <c r="AC61" i="1"/>
  <c r="AD61" i="1"/>
  <c r="T61" i="1" s="1"/>
  <c r="AE61" i="1"/>
  <c r="R19" i="3" s="1"/>
  <c r="AF61" i="1"/>
  <c r="AH61" i="1"/>
  <c r="AM61" i="1"/>
  <c r="AN61" i="1"/>
  <c r="K62" i="1"/>
  <c r="L62" i="1"/>
  <c r="M62" i="1"/>
  <c r="P62" i="1" s="1"/>
  <c r="V62" i="1"/>
  <c r="S20" i="3" s="1"/>
  <c r="Y62" i="1"/>
  <c r="Z62" i="1"/>
  <c r="AB62" i="1"/>
  <c r="AC62" i="1"/>
  <c r="AD62" i="1"/>
  <c r="T62" i="1" s="1"/>
  <c r="AE62" i="1"/>
  <c r="AF62" i="1"/>
  <c r="AH62" i="1"/>
  <c r="AM62" i="1"/>
  <c r="AN62" i="1"/>
  <c r="K63" i="1"/>
  <c r="L63" i="1"/>
  <c r="M63" i="1"/>
  <c r="N63" i="1" s="1"/>
  <c r="V63" i="1"/>
  <c r="S11" i="3" s="1"/>
  <c r="Y63" i="1"/>
  <c r="Z63" i="1"/>
  <c r="AB63" i="1"/>
  <c r="AC63" i="1"/>
  <c r="AD63" i="1"/>
  <c r="AG63" i="1" s="1"/>
  <c r="AE63" i="1"/>
  <c r="R25" i="3" s="1"/>
  <c r="AF63" i="1"/>
  <c r="AH63" i="1"/>
  <c r="AM63" i="1"/>
  <c r="AN63" i="1"/>
  <c r="K64" i="1"/>
  <c r="L64" i="1"/>
  <c r="M64" i="1"/>
  <c r="N64" i="1" s="1"/>
  <c r="V64" i="1"/>
  <c r="Y64" i="1"/>
  <c r="Z64" i="1"/>
  <c r="AB64" i="1"/>
  <c r="AC64" i="1"/>
  <c r="AD64" i="1"/>
  <c r="T64" i="1" s="1"/>
  <c r="AE64" i="1"/>
  <c r="AF64" i="1"/>
  <c r="AH64" i="1"/>
  <c r="AM64" i="1"/>
  <c r="AN64" i="1"/>
  <c r="K65" i="1"/>
  <c r="L65" i="1"/>
  <c r="M65" i="1"/>
  <c r="N65" i="1" s="1"/>
  <c r="V65" i="1"/>
  <c r="Y65" i="1"/>
  <c r="Z65" i="1"/>
  <c r="AB65" i="1"/>
  <c r="AC65" i="1"/>
  <c r="AD65" i="1"/>
  <c r="T65" i="1" s="1"/>
  <c r="AE65" i="1"/>
  <c r="AF65" i="1"/>
  <c r="AH65" i="1"/>
  <c r="AM65" i="1"/>
  <c r="AN65" i="1"/>
  <c r="K66" i="1"/>
  <c r="L66" i="1"/>
  <c r="M66" i="1"/>
  <c r="N66" i="1" s="1"/>
  <c r="V66" i="1"/>
  <c r="Y66" i="1"/>
  <c r="Z66" i="1"/>
  <c r="AB66" i="1"/>
  <c r="AC66" i="1"/>
  <c r="AD66" i="1"/>
  <c r="T66" i="1" s="1"/>
  <c r="AE66" i="1"/>
  <c r="AF66" i="1"/>
  <c r="AH66" i="1"/>
  <c r="AM66" i="1"/>
  <c r="AN66" i="1"/>
  <c r="K67" i="1"/>
  <c r="L67" i="1"/>
  <c r="M67" i="1"/>
  <c r="N67" i="1" s="1"/>
  <c r="V67" i="1"/>
  <c r="Y67" i="1"/>
  <c r="Z67" i="1"/>
  <c r="AB67" i="1"/>
  <c r="AC67" i="1"/>
  <c r="AD67" i="1"/>
  <c r="T67" i="1" s="1"/>
  <c r="AE67" i="1"/>
  <c r="AF67" i="1"/>
  <c r="AH67" i="1"/>
  <c r="AM67" i="1"/>
  <c r="AN67" i="1"/>
  <c r="K68" i="1"/>
  <c r="L68" i="1"/>
  <c r="M68" i="1"/>
  <c r="N68" i="1" s="1"/>
  <c r="V68" i="1"/>
  <c r="Y68" i="1"/>
  <c r="Z68" i="1"/>
  <c r="AB68" i="1"/>
  <c r="AC68" i="1"/>
  <c r="AD68" i="1"/>
  <c r="AE68" i="1"/>
  <c r="AF68" i="1"/>
  <c r="AH68" i="1"/>
  <c r="AM68" i="1"/>
  <c r="AN68" i="1"/>
  <c r="K69" i="1"/>
  <c r="L69" i="1"/>
  <c r="M69" i="1"/>
  <c r="N69" i="1" s="1"/>
  <c r="V69" i="1"/>
  <c r="Y69" i="1"/>
  <c r="Z69" i="1"/>
  <c r="AB69" i="1"/>
  <c r="AC69" i="1"/>
  <c r="AD69" i="1"/>
  <c r="T69" i="1" s="1"/>
  <c r="AE69" i="1"/>
  <c r="AF69" i="1"/>
  <c r="AH69" i="1"/>
  <c r="AM69" i="1"/>
  <c r="AN69" i="1"/>
  <c r="K70" i="1"/>
  <c r="L70" i="1"/>
  <c r="M70" i="1"/>
  <c r="N70" i="1" s="1"/>
  <c r="V70" i="1"/>
  <c r="Y70" i="1"/>
  <c r="Z70" i="1"/>
  <c r="AB70" i="1"/>
  <c r="AC70" i="1"/>
  <c r="AD70" i="1"/>
  <c r="T70" i="1" s="1"/>
  <c r="AE70" i="1"/>
  <c r="AF70" i="1"/>
  <c r="AH70" i="1"/>
  <c r="AM70" i="1"/>
  <c r="AN70" i="1"/>
  <c r="K71" i="1"/>
  <c r="L71" i="1"/>
  <c r="M71" i="1"/>
  <c r="N71" i="1" s="1"/>
  <c r="V71" i="1"/>
  <c r="Y71" i="1"/>
  <c r="Z71" i="1"/>
  <c r="AB71" i="1"/>
  <c r="AC71" i="1"/>
  <c r="AD71" i="1"/>
  <c r="T71" i="1" s="1"/>
  <c r="AE71" i="1"/>
  <c r="AF71" i="1"/>
  <c r="AH71" i="1"/>
  <c r="AM71" i="1"/>
  <c r="AN71" i="1"/>
  <c r="K72" i="1"/>
  <c r="L72" i="1"/>
  <c r="M72" i="1"/>
  <c r="N72" i="1" s="1"/>
  <c r="V72" i="1"/>
  <c r="S26" i="3" s="1"/>
  <c r="Y72" i="1"/>
  <c r="Z72" i="1"/>
  <c r="AB72" i="1"/>
  <c r="AC72" i="1"/>
  <c r="AD72" i="1"/>
  <c r="AE72" i="1"/>
  <c r="AF72" i="1"/>
  <c r="AH72" i="1"/>
  <c r="AM72" i="1"/>
  <c r="AN72" i="1"/>
  <c r="K73" i="1"/>
  <c r="L73" i="1"/>
  <c r="M73" i="1"/>
  <c r="N73" i="1" s="1"/>
  <c r="V73" i="1"/>
  <c r="Y73" i="1"/>
  <c r="Z73" i="1"/>
  <c r="AB73" i="1"/>
  <c r="AC73" i="1"/>
  <c r="AD73" i="1"/>
  <c r="T73" i="1" s="1"/>
  <c r="AE73" i="1"/>
  <c r="AF73" i="1"/>
  <c r="AH73" i="1"/>
  <c r="AM73" i="1"/>
  <c r="AN73" i="1"/>
  <c r="K74" i="1"/>
  <c r="L74" i="1"/>
  <c r="M74" i="1"/>
  <c r="N74" i="1" s="1"/>
  <c r="V74" i="1"/>
  <c r="Y74" i="1"/>
  <c r="Z74" i="1"/>
  <c r="AB74" i="1"/>
  <c r="AC74" i="1"/>
  <c r="AD74" i="1"/>
  <c r="T74" i="1" s="1"/>
  <c r="AE74" i="1"/>
  <c r="AF74" i="1"/>
  <c r="AH74" i="1"/>
  <c r="AM74" i="1"/>
  <c r="AN74" i="1"/>
  <c r="K75" i="1"/>
  <c r="L75" i="1"/>
  <c r="M75" i="1"/>
  <c r="N75" i="1" s="1"/>
  <c r="V75" i="1"/>
  <c r="Y75" i="1"/>
  <c r="Z75" i="1"/>
  <c r="AB75" i="1"/>
  <c r="AC75" i="1"/>
  <c r="AD75" i="1"/>
  <c r="AE75" i="1"/>
  <c r="AF75" i="1"/>
  <c r="AH75" i="1"/>
  <c r="AM75" i="1"/>
  <c r="AN75" i="1"/>
  <c r="K76" i="1"/>
  <c r="L76" i="1"/>
  <c r="M76" i="1"/>
  <c r="N76" i="1" s="1"/>
  <c r="V76" i="1"/>
  <c r="Y76" i="1"/>
  <c r="Z76" i="1"/>
  <c r="AB76" i="1"/>
  <c r="AC76" i="1"/>
  <c r="AD76" i="1"/>
  <c r="AE76" i="1"/>
  <c r="AF76" i="1"/>
  <c r="AH76" i="1"/>
  <c r="AM76" i="1"/>
  <c r="AN76" i="1"/>
  <c r="K77" i="1"/>
  <c r="L77" i="1"/>
  <c r="M77" i="1"/>
  <c r="N77" i="1" s="1"/>
  <c r="V77" i="1"/>
  <c r="Y77" i="1"/>
  <c r="Z77" i="1"/>
  <c r="AB77" i="1"/>
  <c r="AC77" i="1"/>
  <c r="AD77" i="1"/>
  <c r="T77" i="1" s="1"/>
  <c r="AE77" i="1"/>
  <c r="R32" i="3" s="1"/>
  <c r="AF77" i="1"/>
  <c r="AH77" i="1"/>
  <c r="AM77" i="1"/>
  <c r="AN77" i="1"/>
  <c r="K78" i="1"/>
  <c r="L78" i="1"/>
  <c r="M78" i="1"/>
  <c r="N78" i="1" s="1"/>
  <c r="V78" i="1"/>
  <c r="Y78" i="1"/>
  <c r="Z78" i="1"/>
  <c r="AB78" i="1"/>
  <c r="AC78" i="1"/>
  <c r="AD78" i="1"/>
  <c r="T78" i="1" s="1"/>
  <c r="AE78" i="1"/>
  <c r="R30" i="3" s="1"/>
  <c r="AF78" i="1"/>
  <c r="AH78" i="1"/>
  <c r="AM78" i="1"/>
  <c r="AN78" i="1"/>
  <c r="K79" i="1"/>
  <c r="L79" i="1"/>
  <c r="M79" i="1"/>
  <c r="N79" i="1" s="1"/>
  <c r="V79" i="1"/>
  <c r="Y79" i="1"/>
  <c r="AA79" i="1" s="1"/>
  <c r="Z79" i="1"/>
  <c r="AB79" i="1"/>
  <c r="AC79" i="1"/>
  <c r="AD79" i="1"/>
  <c r="AG79" i="1" s="1"/>
  <c r="AE79" i="1"/>
  <c r="AF79" i="1"/>
  <c r="AH79" i="1"/>
  <c r="AM79" i="1"/>
  <c r="AN79" i="1"/>
  <c r="K80" i="1"/>
  <c r="L80" i="1"/>
  <c r="M80" i="1"/>
  <c r="N80" i="1" s="1"/>
  <c r="V80" i="1"/>
  <c r="Y80" i="1"/>
  <c r="Z80" i="1"/>
  <c r="AB80" i="1"/>
  <c r="AC80" i="1"/>
  <c r="AD80" i="1"/>
  <c r="AG80" i="1" s="1"/>
  <c r="AE80" i="1"/>
  <c r="AF80" i="1"/>
  <c r="AH80" i="1"/>
  <c r="AM80" i="1"/>
  <c r="AN80" i="1"/>
  <c r="K81" i="1"/>
  <c r="L81" i="1"/>
  <c r="M81" i="1"/>
  <c r="N81" i="1" s="1"/>
  <c r="V81" i="1"/>
  <c r="Y81" i="1"/>
  <c r="Z81" i="1"/>
  <c r="AB81" i="1"/>
  <c r="AC81" i="1"/>
  <c r="AD81" i="1"/>
  <c r="T81" i="1" s="1"/>
  <c r="AE81" i="1"/>
  <c r="AF81" i="1"/>
  <c r="AH81" i="1"/>
  <c r="AM81" i="1"/>
  <c r="AN81" i="1"/>
  <c r="K82" i="1"/>
  <c r="L82" i="1"/>
  <c r="M82" i="1"/>
  <c r="N82" i="1" s="1"/>
  <c r="V82" i="1"/>
  <c r="Y82" i="1"/>
  <c r="Z82" i="1"/>
  <c r="AB82" i="1"/>
  <c r="AC82" i="1"/>
  <c r="AD82" i="1"/>
  <c r="T82" i="1" s="1"/>
  <c r="AE82" i="1"/>
  <c r="AF82" i="1"/>
  <c r="AH82" i="1"/>
  <c r="AM82" i="1"/>
  <c r="AN82" i="1"/>
  <c r="K83" i="1"/>
  <c r="L83" i="1"/>
  <c r="M83" i="1"/>
  <c r="N83" i="1" s="1"/>
  <c r="V83" i="1"/>
  <c r="Y83" i="1"/>
  <c r="Z83" i="1"/>
  <c r="AB83" i="1"/>
  <c r="AC83" i="1"/>
  <c r="AD83" i="1"/>
  <c r="T83" i="1" s="1"/>
  <c r="AE83" i="1"/>
  <c r="AF83" i="1"/>
  <c r="AH83" i="1"/>
  <c r="AM83" i="1"/>
  <c r="AN83" i="1"/>
  <c r="K84" i="1"/>
  <c r="L84" i="1"/>
  <c r="M84" i="1"/>
  <c r="N84" i="1" s="1"/>
  <c r="V84" i="1"/>
  <c r="Y84" i="1"/>
  <c r="Z84" i="1"/>
  <c r="AB84" i="1"/>
  <c r="AC84" i="1"/>
  <c r="AD84" i="1"/>
  <c r="AG84" i="1" s="1"/>
  <c r="AE84" i="1"/>
  <c r="AF84" i="1"/>
  <c r="AH84" i="1"/>
  <c r="AM84" i="1"/>
  <c r="AN84" i="1"/>
  <c r="K85" i="1"/>
  <c r="L85" i="1"/>
  <c r="M85" i="1"/>
  <c r="N85" i="1" s="1"/>
  <c r="V85" i="1"/>
  <c r="Y85" i="1"/>
  <c r="Z85" i="1"/>
  <c r="AB85" i="1"/>
  <c r="AC85" i="1"/>
  <c r="AD85" i="1"/>
  <c r="AE85" i="1"/>
  <c r="AF85" i="1"/>
  <c r="AH85" i="1"/>
  <c r="AM85" i="1"/>
  <c r="AN85" i="1"/>
  <c r="K86" i="1"/>
  <c r="L86" i="1"/>
  <c r="M86" i="1"/>
  <c r="N86" i="1" s="1"/>
  <c r="V86" i="1"/>
  <c r="Y86" i="1"/>
  <c r="Z86" i="1"/>
  <c r="AB86" i="1"/>
  <c r="AC86" i="1"/>
  <c r="AD86" i="1"/>
  <c r="X86" i="1" s="1"/>
  <c r="AE86" i="1"/>
  <c r="AF86" i="1"/>
  <c r="AH86" i="1"/>
  <c r="AM86" i="1"/>
  <c r="AN86" i="1"/>
  <c r="K87" i="1"/>
  <c r="L87" i="1"/>
  <c r="M87" i="1"/>
  <c r="N87" i="1" s="1"/>
  <c r="V87" i="1"/>
  <c r="Y87" i="1"/>
  <c r="Z87" i="1"/>
  <c r="AB87" i="1"/>
  <c r="AC87" i="1"/>
  <c r="AD87" i="1"/>
  <c r="T87" i="1" s="1"/>
  <c r="AE87" i="1"/>
  <c r="R33" i="3" s="1"/>
  <c r="AF87" i="1"/>
  <c r="AH87" i="1"/>
  <c r="AM87" i="1"/>
  <c r="AN87" i="1"/>
  <c r="K88" i="1"/>
  <c r="L88" i="1"/>
  <c r="M88" i="1"/>
  <c r="N88" i="1" s="1"/>
  <c r="V88" i="1"/>
  <c r="Y88" i="1"/>
  <c r="Z88" i="1"/>
  <c r="AB88" i="1"/>
  <c r="AC88" i="1"/>
  <c r="AD88" i="1"/>
  <c r="T88" i="1" s="1"/>
  <c r="AE88" i="1"/>
  <c r="AF88" i="1"/>
  <c r="AH88" i="1"/>
  <c r="AM88" i="1"/>
  <c r="AN88" i="1"/>
  <c r="K89" i="1"/>
  <c r="L89" i="1"/>
  <c r="M89" i="1"/>
  <c r="N89" i="1" s="1"/>
  <c r="V89" i="1"/>
  <c r="Y89" i="1"/>
  <c r="Z89" i="1"/>
  <c r="AB89" i="1"/>
  <c r="AC89" i="1"/>
  <c r="AD89" i="1"/>
  <c r="AG89" i="1" s="1"/>
  <c r="AE89" i="1"/>
  <c r="AF89" i="1"/>
  <c r="AH89" i="1"/>
  <c r="AM89" i="1"/>
  <c r="AN89" i="1"/>
  <c r="K90" i="1"/>
  <c r="L90" i="1"/>
  <c r="M90" i="1"/>
  <c r="N90" i="1" s="1"/>
  <c r="V90" i="1"/>
  <c r="Y90" i="1"/>
  <c r="Z90" i="1"/>
  <c r="AB90" i="1"/>
  <c r="AC90" i="1"/>
  <c r="AD90" i="1"/>
  <c r="T90" i="1" s="1"/>
  <c r="AE90" i="1"/>
  <c r="AF90" i="1"/>
  <c r="AH90" i="1"/>
  <c r="AM90" i="1"/>
  <c r="AN90" i="1"/>
  <c r="K91" i="1"/>
  <c r="L91" i="1"/>
  <c r="M91" i="1"/>
  <c r="N91" i="1" s="1"/>
  <c r="V91" i="1"/>
  <c r="Y91" i="1"/>
  <c r="Z91" i="1"/>
  <c r="AB91" i="1"/>
  <c r="AC91" i="1"/>
  <c r="AD91" i="1"/>
  <c r="T91" i="1" s="1"/>
  <c r="AE91" i="1"/>
  <c r="AF91" i="1"/>
  <c r="AH91" i="1"/>
  <c r="AM91" i="1"/>
  <c r="AN91" i="1"/>
  <c r="K92" i="1"/>
  <c r="L92" i="1"/>
  <c r="M92" i="1"/>
  <c r="N92" i="1" s="1"/>
  <c r="V92" i="1"/>
  <c r="Y92" i="1"/>
  <c r="Z92" i="1"/>
  <c r="AB92" i="1"/>
  <c r="AC92" i="1"/>
  <c r="AD92" i="1"/>
  <c r="T92" i="1" s="1"/>
  <c r="AE92" i="1"/>
  <c r="AF92" i="1"/>
  <c r="AH92" i="1"/>
  <c r="AM92" i="1"/>
  <c r="AN92" i="1"/>
  <c r="K93" i="1"/>
  <c r="L93" i="1"/>
  <c r="M93" i="1"/>
  <c r="N93" i="1" s="1"/>
  <c r="V93" i="1"/>
  <c r="Y93" i="1"/>
  <c r="Z93" i="1"/>
  <c r="AB93" i="1"/>
  <c r="AC93" i="1"/>
  <c r="AD93" i="1"/>
  <c r="AG93" i="1" s="1"/>
  <c r="AE93" i="1"/>
  <c r="AF93" i="1"/>
  <c r="AH93" i="1"/>
  <c r="AM93" i="1"/>
  <c r="AN93" i="1"/>
  <c r="K94" i="1"/>
  <c r="L94" i="1"/>
  <c r="M94" i="1"/>
  <c r="N94" i="1" s="1"/>
  <c r="V94" i="1"/>
  <c r="S7" i="3" s="1"/>
  <c r="Y94" i="1"/>
  <c r="Z94" i="1"/>
  <c r="AB94" i="1"/>
  <c r="AC94" i="1"/>
  <c r="AD94" i="1"/>
  <c r="T94" i="1" s="1"/>
  <c r="AE94" i="1"/>
  <c r="AF94" i="1"/>
  <c r="AH94" i="1"/>
  <c r="AM94" i="1"/>
  <c r="AN94" i="1"/>
  <c r="K95" i="1"/>
  <c r="L95" i="1"/>
  <c r="M95" i="1"/>
  <c r="N95" i="1" s="1"/>
  <c r="V95" i="1"/>
  <c r="Y95" i="1"/>
  <c r="Z95" i="1"/>
  <c r="AB95" i="1"/>
  <c r="AC95" i="1"/>
  <c r="AD95" i="1"/>
  <c r="T95" i="1" s="1"/>
  <c r="AE95" i="1"/>
  <c r="AF95" i="1"/>
  <c r="AH95" i="1"/>
  <c r="AM95" i="1"/>
  <c r="AN95" i="1"/>
  <c r="K96" i="1"/>
  <c r="L96" i="1"/>
  <c r="M96" i="1"/>
  <c r="N96" i="1"/>
  <c r="V96" i="1"/>
  <c r="S21" i="3" s="1"/>
  <c r="Y96" i="1"/>
  <c r="Z96" i="1"/>
  <c r="AB96" i="1"/>
  <c r="AC96" i="1"/>
  <c r="AD96" i="1"/>
  <c r="T96" i="1" s="1"/>
  <c r="AE96" i="1"/>
  <c r="AF96" i="1"/>
  <c r="AH96" i="1"/>
  <c r="AM96" i="1"/>
  <c r="AN96" i="1"/>
  <c r="K97" i="1"/>
  <c r="L97" i="1"/>
  <c r="M97" i="1"/>
  <c r="N97" i="1" s="1"/>
  <c r="V97" i="1"/>
  <c r="Y97" i="1"/>
  <c r="Z97" i="1"/>
  <c r="AB97" i="1"/>
  <c r="AC97" i="1"/>
  <c r="AD97" i="1"/>
  <c r="T97" i="1" s="1"/>
  <c r="AE97" i="1"/>
  <c r="AF97" i="1"/>
  <c r="AH97" i="1"/>
  <c r="AM97" i="1"/>
  <c r="AN97" i="1"/>
  <c r="K98" i="1"/>
  <c r="L98" i="1"/>
  <c r="M98" i="1"/>
  <c r="N98" i="1" s="1"/>
  <c r="V98" i="1"/>
  <c r="Y98" i="1"/>
  <c r="Z98" i="1"/>
  <c r="AB98" i="1"/>
  <c r="AC98" i="1"/>
  <c r="AD98" i="1"/>
  <c r="AE98" i="1"/>
  <c r="AF98" i="1"/>
  <c r="AH98" i="1"/>
  <c r="AM98" i="1"/>
  <c r="AN98" i="1"/>
  <c r="K99" i="1"/>
  <c r="L99" i="1"/>
  <c r="M99" i="1"/>
  <c r="N99" i="1" s="1"/>
  <c r="V99" i="1"/>
  <c r="S31" i="3" s="1"/>
  <c r="Y99" i="1"/>
  <c r="Z99" i="1"/>
  <c r="AB99" i="1"/>
  <c r="AC99" i="1"/>
  <c r="AD99" i="1"/>
  <c r="T99" i="1" s="1"/>
  <c r="AE99" i="1"/>
  <c r="AF99" i="1"/>
  <c r="AH99" i="1"/>
  <c r="AM99" i="1"/>
  <c r="AN99" i="1"/>
  <c r="K100" i="1"/>
  <c r="L100" i="1"/>
  <c r="M100" i="1"/>
  <c r="N100" i="1" s="1"/>
  <c r="V100" i="1"/>
  <c r="Y100" i="1"/>
  <c r="Z100" i="1"/>
  <c r="AB100" i="1"/>
  <c r="AC100" i="1"/>
  <c r="AD100" i="1"/>
  <c r="T100" i="1" s="1"/>
  <c r="AE100" i="1"/>
  <c r="AF100" i="1"/>
  <c r="AH100" i="1"/>
  <c r="AM100" i="1"/>
  <c r="AN100" i="1"/>
  <c r="K101" i="1"/>
  <c r="L101" i="1"/>
  <c r="M101" i="1"/>
  <c r="N101" i="1" s="1"/>
  <c r="V101" i="1"/>
  <c r="Y101" i="1"/>
  <c r="Z101" i="1"/>
  <c r="AB101" i="1"/>
  <c r="AC101" i="1"/>
  <c r="AD101" i="1"/>
  <c r="AG101" i="1" s="1"/>
  <c r="AE101" i="1"/>
  <c r="R34" i="3" s="1"/>
  <c r="AF101" i="1"/>
  <c r="AH101" i="1"/>
  <c r="AM101" i="1"/>
  <c r="AN101" i="1"/>
  <c r="K102" i="1"/>
  <c r="L102" i="1"/>
  <c r="M102" i="1"/>
  <c r="N102" i="1" s="1"/>
  <c r="V102" i="1"/>
  <c r="Y102" i="1"/>
  <c r="Z102" i="1"/>
  <c r="AB102" i="1"/>
  <c r="AC102" i="1"/>
  <c r="AD102" i="1"/>
  <c r="AE102" i="1"/>
  <c r="AF102" i="1"/>
  <c r="AH102" i="1"/>
  <c r="AM102" i="1"/>
  <c r="AN102" i="1"/>
  <c r="K103" i="1"/>
  <c r="L103" i="1"/>
  <c r="M103" i="1"/>
  <c r="N103" i="1" s="1"/>
  <c r="V103" i="1"/>
  <c r="Y103" i="1"/>
  <c r="Z103" i="1"/>
  <c r="AB103" i="1"/>
  <c r="AC103" i="1"/>
  <c r="AD103" i="1"/>
  <c r="T103" i="1" s="1"/>
  <c r="AE103" i="1"/>
  <c r="AF103" i="1"/>
  <c r="AH103" i="1"/>
  <c r="AM103" i="1"/>
  <c r="AN103" i="1"/>
  <c r="K104" i="1"/>
  <c r="L104" i="1"/>
  <c r="M104" i="1"/>
  <c r="N104" i="1" s="1"/>
  <c r="V104" i="1"/>
  <c r="Y104" i="1"/>
  <c r="Z104" i="1"/>
  <c r="AB104" i="1"/>
  <c r="AC104" i="1"/>
  <c r="AD104" i="1"/>
  <c r="T104" i="1" s="1"/>
  <c r="AE104" i="1"/>
  <c r="AF104" i="1"/>
  <c r="AH104" i="1"/>
  <c r="AM104" i="1"/>
  <c r="AN104" i="1"/>
  <c r="K105" i="1"/>
  <c r="L105" i="1"/>
  <c r="M105" i="1"/>
  <c r="N105" i="1" s="1"/>
  <c r="V105" i="1"/>
  <c r="Y105" i="1"/>
  <c r="Z105" i="1"/>
  <c r="AB105" i="1"/>
  <c r="AC105" i="1"/>
  <c r="AD105" i="1"/>
  <c r="AG105" i="1" s="1"/>
  <c r="AE105" i="1"/>
  <c r="AF105" i="1"/>
  <c r="AH105" i="1"/>
  <c r="AM105" i="1"/>
  <c r="AN105" i="1"/>
  <c r="K106" i="1"/>
  <c r="L106" i="1"/>
  <c r="M106" i="1"/>
  <c r="N106" i="1" s="1"/>
  <c r="V106" i="1"/>
  <c r="S24" i="3" s="1"/>
  <c r="Y106" i="1"/>
  <c r="Z106" i="1"/>
  <c r="AB106" i="1"/>
  <c r="AC106" i="1"/>
  <c r="AD106" i="1"/>
  <c r="T106" i="1" s="1"/>
  <c r="AE106" i="1"/>
  <c r="R24" i="3" s="1"/>
  <c r="AF106" i="1"/>
  <c r="AH106" i="1"/>
  <c r="AM106" i="1"/>
  <c r="AN106" i="1"/>
  <c r="K107" i="1"/>
  <c r="L107" i="1"/>
  <c r="M107" i="1"/>
  <c r="N107" i="1"/>
  <c r="V107" i="1"/>
  <c r="S27" i="3" s="1"/>
  <c r="Y107" i="1"/>
  <c r="Z107" i="1"/>
  <c r="AB107" i="1"/>
  <c r="AC107" i="1"/>
  <c r="AD107" i="1"/>
  <c r="T107" i="1" s="1"/>
  <c r="AE107" i="1"/>
  <c r="R27" i="3" s="1"/>
  <c r="AF107" i="1"/>
  <c r="AH107" i="1"/>
  <c r="AM107" i="1"/>
  <c r="AN107" i="1"/>
  <c r="K108" i="1"/>
  <c r="L108" i="1"/>
  <c r="M108" i="1"/>
  <c r="N108" i="1" s="1"/>
  <c r="V108" i="1"/>
  <c r="Y108" i="1"/>
  <c r="Z108" i="1"/>
  <c r="AB108" i="1"/>
  <c r="AC108" i="1"/>
  <c r="AD108" i="1"/>
  <c r="AG108" i="1" s="1"/>
  <c r="AE108" i="1"/>
  <c r="AF108" i="1"/>
  <c r="AH108" i="1"/>
  <c r="AM108" i="1"/>
  <c r="AN108" i="1"/>
  <c r="K109" i="1"/>
  <c r="L109" i="1"/>
  <c r="M109" i="1"/>
  <c r="N109" i="1" s="1"/>
  <c r="V109" i="1"/>
  <c r="Y109" i="1"/>
  <c r="Z109" i="1"/>
  <c r="AB109" i="1"/>
  <c r="AC109" i="1"/>
  <c r="AD109" i="1"/>
  <c r="T109" i="1" s="1"/>
  <c r="AE109" i="1"/>
  <c r="AF109" i="1"/>
  <c r="AH109" i="1"/>
  <c r="AM109" i="1"/>
  <c r="AN109" i="1"/>
  <c r="K110" i="1"/>
  <c r="L110" i="1"/>
  <c r="M110" i="1"/>
  <c r="N110" i="1" s="1"/>
  <c r="V110" i="1"/>
  <c r="Y110" i="1"/>
  <c r="Z110" i="1"/>
  <c r="AB110" i="1"/>
  <c r="AC110" i="1"/>
  <c r="AD110" i="1"/>
  <c r="T110" i="1" s="1"/>
  <c r="AE110" i="1"/>
  <c r="AF110" i="1"/>
  <c r="AH110" i="1"/>
  <c r="AM110" i="1"/>
  <c r="AN110" i="1"/>
  <c r="K111" i="1"/>
  <c r="L111" i="1"/>
  <c r="M111" i="1"/>
  <c r="N111" i="1" s="1"/>
  <c r="V111" i="1"/>
  <c r="Y111" i="1"/>
  <c r="Z111" i="1"/>
  <c r="AB111" i="1"/>
  <c r="AC111" i="1"/>
  <c r="AD111" i="1"/>
  <c r="T111" i="1" s="1"/>
  <c r="AE111" i="1"/>
  <c r="AF111" i="1"/>
  <c r="AH111" i="1"/>
  <c r="AM111" i="1"/>
  <c r="AN111" i="1"/>
  <c r="K112" i="1"/>
  <c r="L112" i="1"/>
  <c r="M112" i="1"/>
  <c r="N112" i="1" s="1"/>
  <c r="V112" i="1"/>
  <c r="Y112" i="1"/>
  <c r="Z112" i="1"/>
  <c r="AB112" i="1"/>
  <c r="AC112" i="1"/>
  <c r="AD112" i="1"/>
  <c r="AG112" i="1" s="1"/>
  <c r="AE112" i="1"/>
  <c r="AF112" i="1"/>
  <c r="AH112" i="1"/>
  <c r="AM112" i="1"/>
  <c r="AN112" i="1"/>
  <c r="K113" i="1"/>
  <c r="L113" i="1"/>
  <c r="M113" i="1"/>
  <c r="N113" i="1" s="1"/>
  <c r="V113" i="1"/>
  <c r="Y113" i="1"/>
  <c r="Z113" i="1"/>
  <c r="AB113" i="1"/>
  <c r="AC113" i="1"/>
  <c r="AD113" i="1"/>
  <c r="AE113" i="1"/>
  <c r="AF113" i="1"/>
  <c r="AH113" i="1"/>
  <c r="AM113" i="1"/>
  <c r="AN113" i="1"/>
  <c r="K114" i="1"/>
  <c r="L114" i="1"/>
  <c r="M114" i="1"/>
  <c r="N114" i="1" s="1"/>
  <c r="V114" i="1"/>
  <c r="Y114" i="1"/>
  <c r="Z114" i="1"/>
  <c r="AB114" i="1"/>
  <c r="AC114" i="1"/>
  <c r="AD114" i="1"/>
  <c r="T114" i="1" s="1"/>
  <c r="AE114" i="1"/>
  <c r="AF114" i="1"/>
  <c r="AH114" i="1"/>
  <c r="AM114" i="1"/>
  <c r="AN114" i="1"/>
  <c r="K115" i="1"/>
  <c r="L115" i="1"/>
  <c r="M115" i="1"/>
  <c r="N115" i="1" s="1"/>
  <c r="V115" i="1"/>
  <c r="Y115" i="1"/>
  <c r="Z115" i="1"/>
  <c r="AB115" i="1"/>
  <c r="AC115" i="1"/>
  <c r="AD115" i="1"/>
  <c r="T115" i="1" s="1"/>
  <c r="AE115" i="1"/>
  <c r="AF115" i="1"/>
  <c r="AH115" i="1"/>
  <c r="AM115" i="1"/>
  <c r="AN115" i="1"/>
  <c r="K116" i="1"/>
  <c r="L116" i="1"/>
  <c r="M116" i="1"/>
  <c r="N116" i="1" s="1"/>
  <c r="V116" i="1"/>
  <c r="Y116" i="1"/>
  <c r="Z116" i="1"/>
  <c r="AA116" i="1" s="1"/>
  <c r="AB116" i="1"/>
  <c r="AC116" i="1"/>
  <c r="AD116" i="1"/>
  <c r="AG116" i="1" s="1"/>
  <c r="AE116" i="1"/>
  <c r="R37" i="3" s="1"/>
  <c r="AF116" i="1"/>
  <c r="AH116" i="1"/>
  <c r="AM116" i="1"/>
  <c r="AN116" i="1"/>
  <c r="K117" i="1"/>
  <c r="L117" i="1"/>
  <c r="M117" i="1"/>
  <c r="N117" i="1" s="1"/>
  <c r="V117" i="1"/>
  <c r="S35" i="3" s="1"/>
  <c r="Y117" i="1"/>
  <c r="Z117" i="1"/>
  <c r="AB117" i="1"/>
  <c r="AC117" i="1"/>
  <c r="AD117" i="1"/>
  <c r="AE117" i="1"/>
  <c r="R35" i="3" s="1"/>
  <c r="AF117" i="1"/>
  <c r="AH117" i="1"/>
  <c r="AM117" i="1"/>
  <c r="AN117" i="1"/>
  <c r="K118" i="1"/>
  <c r="L118" i="1"/>
  <c r="M118" i="1"/>
  <c r="N118" i="1" s="1"/>
  <c r="V118" i="1"/>
  <c r="Y118" i="1"/>
  <c r="Z118" i="1"/>
  <c r="AA118" i="1" s="1"/>
  <c r="AB118" i="1"/>
  <c r="AC118" i="1"/>
  <c r="AD118" i="1"/>
  <c r="T118" i="1" s="1"/>
  <c r="AE118" i="1"/>
  <c r="AF118" i="1"/>
  <c r="AH118" i="1"/>
  <c r="AM118" i="1"/>
  <c r="AN118" i="1"/>
  <c r="K119" i="1"/>
  <c r="L119" i="1"/>
  <c r="M119" i="1"/>
  <c r="N119" i="1" s="1"/>
  <c r="V119" i="1"/>
  <c r="Y119" i="1"/>
  <c r="Z119" i="1"/>
  <c r="AB119" i="1"/>
  <c r="AC119" i="1"/>
  <c r="AD119" i="1"/>
  <c r="T119" i="1" s="1"/>
  <c r="AE119" i="1"/>
  <c r="AF119" i="1"/>
  <c r="AH119" i="1"/>
  <c r="AM119" i="1"/>
  <c r="AN119" i="1"/>
  <c r="K120" i="1"/>
  <c r="L120" i="1"/>
  <c r="M120" i="1"/>
  <c r="N120" i="1" s="1"/>
  <c r="V120" i="1"/>
  <c r="Y120" i="1"/>
  <c r="Z120" i="1"/>
  <c r="AI120" i="1" s="1"/>
  <c r="AB120" i="1"/>
  <c r="AC120" i="1"/>
  <c r="AD120" i="1"/>
  <c r="AG120" i="1" s="1"/>
  <c r="AE120" i="1"/>
  <c r="AF120" i="1"/>
  <c r="AH120" i="1"/>
  <c r="AM120" i="1"/>
  <c r="AN120" i="1"/>
  <c r="K121" i="1"/>
  <c r="L121" i="1"/>
  <c r="M121" i="1"/>
  <c r="N121" i="1" s="1"/>
  <c r="V121" i="1"/>
  <c r="Y121" i="1"/>
  <c r="Z121" i="1"/>
  <c r="AB121" i="1"/>
  <c r="AC121" i="1"/>
  <c r="AD121" i="1"/>
  <c r="AE121" i="1"/>
  <c r="AF121" i="1"/>
  <c r="AH121" i="1"/>
  <c r="AM121" i="1"/>
  <c r="AN121" i="1"/>
  <c r="K122" i="1"/>
  <c r="L122" i="1"/>
  <c r="M122" i="1"/>
  <c r="N122" i="1" s="1"/>
  <c r="V122" i="1"/>
  <c r="Y122" i="1"/>
  <c r="Z122" i="1"/>
  <c r="AB122" i="1"/>
  <c r="AC122" i="1"/>
  <c r="AD122" i="1"/>
  <c r="AE122" i="1"/>
  <c r="AF122" i="1"/>
  <c r="AH122" i="1"/>
  <c r="AM122" i="1"/>
  <c r="AN122" i="1"/>
  <c r="K123" i="1"/>
  <c r="L123" i="1"/>
  <c r="M123" i="1"/>
  <c r="N123" i="1" s="1"/>
  <c r="V123" i="1"/>
  <c r="Y123" i="1"/>
  <c r="Z123" i="1"/>
  <c r="AB123" i="1"/>
  <c r="AC123" i="1"/>
  <c r="AD123" i="1"/>
  <c r="T123" i="1" s="1"/>
  <c r="AE123" i="1"/>
  <c r="AF123" i="1"/>
  <c r="AH123" i="1"/>
  <c r="AM123" i="1"/>
  <c r="AN123" i="1"/>
  <c r="K124" i="1"/>
  <c r="L124" i="1"/>
  <c r="M124" i="1"/>
  <c r="N124" i="1" s="1"/>
  <c r="V124" i="1"/>
  <c r="Y124" i="1"/>
  <c r="Z124" i="1"/>
  <c r="AB124" i="1"/>
  <c r="AC124" i="1"/>
  <c r="AD124" i="1"/>
  <c r="AE124" i="1"/>
  <c r="AF124" i="1"/>
  <c r="AH124" i="1"/>
  <c r="AM124" i="1"/>
  <c r="AN124" i="1"/>
  <c r="K125" i="1"/>
  <c r="L125" i="1"/>
  <c r="M125" i="1"/>
  <c r="N125" i="1" s="1"/>
  <c r="V125" i="1"/>
  <c r="Y125" i="1"/>
  <c r="Z125" i="1"/>
  <c r="AB125" i="1"/>
  <c r="AC125" i="1"/>
  <c r="AD125" i="1"/>
  <c r="AG125" i="1" s="1"/>
  <c r="AE125" i="1"/>
  <c r="AF125" i="1"/>
  <c r="AH125" i="1"/>
  <c r="AM125" i="1"/>
  <c r="AN125" i="1"/>
  <c r="K126" i="1"/>
  <c r="L126" i="1"/>
  <c r="M126" i="1"/>
  <c r="N126" i="1" s="1"/>
  <c r="V126" i="1"/>
  <c r="Y126" i="1"/>
  <c r="Z126" i="1"/>
  <c r="AB126" i="1"/>
  <c r="AC126" i="1"/>
  <c r="AD126" i="1"/>
  <c r="T126" i="1" s="1"/>
  <c r="AE126" i="1"/>
  <c r="AF126" i="1"/>
  <c r="AH126" i="1"/>
  <c r="AM126" i="1"/>
  <c r="AN126" i="1"/>
  <c r="K127" i="1"/>
  <c r="L127" i="1"/>
  <c r="M127" i="1"/>
  <c r="N127" i="1" s="1"/>
  <c r="V127" i="1"/>
  <c r="Y127" i="1"/>
  <c r="Z127" i="1"/>
  <c r="AB127" i="1"/>
  <c r="AC127" i="1"/>
  <c r="AD127" i="1"/>
  <c r="AE127" i="1"/>
  <c r="AF127" i="1"/>
  <c r="AH127" i="1"/>
  <c r="AM127" i="1"/>
  <c r="AN127" i="1"/>
  <c r="K128" i="1"/>
  <c r="L128" i="1"/>
  <c r="M128" i="1"/>
  <c r="N128" i="1" s="1"/>
  <c r="V128" i="1"/>
  <c r="Y128" i="1"/>
  <c r="Z128" i="1"/>
  <c r="AB128" i="1"/>
  <c r="AC128" i="1"/>
  <c r="AD128" i="1"/>
  <c r="T128" i="1" s="1"/>
  <c r="AE128" i="1"/>
  <c r="AF128" i="1"/>
  <c r="AH128" i="1"/>
  <c r="AM128" i="1"/>
  <c r="AN128" i="1"/>
  <c r="K129" i="1"/>
  <c r="L129" i="1"/>
  <c r="M129" i="1"/>
  <c r="N129" i="1" s="1"/>
  <c r="V129" i="1"/>
  <c r="Y129" i="1"/>
  <c r="Z129" i="1"/>
  <c r="AB129" i="1"/>
  <c r="AC129" i="1"/>
  <c r="AD129" i="1"/>
  <c r="T129" i="1" s="1"/>
  <c r="AE129" i="1"/>
  <c r="AF129" i="1"/>
  <c r="AH129" i="1"/>
  <c r="AM129" i="1"/>
  <c r="AN129" i="1"/>
  <c r="K130" i="1"/>
  <c r="L130" i="1"/>
  <c r="M130" i="1"/>
  <c r="N130" i="1" s="1"/>
  <c r="V130" i="1"/>
  <c r="Y130" i="1"/>
  <c r="Z130" i="1"/>
  <c r="AB130" i="1"/>
  <c r="AC130" i="1"/>
  <c r="AD130" i="1"/>
  <c r="T130" i="1" s="1"/>
  <c r="AE130" i="1"/>
  <c r="AF130" i="1"/>
  <c r="AG130" i="1"/>
  <c r="AH130" i="1"/>
  <c r="AM130" i="1"/>
  <c r="AN130" i="1"/>
  <c r="K131" i="1"/>
  <c r="L131" i="1"/>
  <c r="M131" i="1"/>
  <c r="N131" i="1" s="1"/>
  <c r="V131" i="1"/>
  <c r="Y131" i="1"/>
  <c r="Z131" i="1"/>
  <c r="AB131" i="1"/>
  <c r="AC131" i="1"/>
  <c r="AD131" i="1"/>
  <c r="AE131" i="1"/>
  <c r="AF131" i="1"/>
  <c r="AH131" i="1"/>
  <c r="AM131" i="1"/>
  <c r="AN131" i="1"/>
  <c r="K132" i="1"/>
  <c r="L132" i="1"/>
  <c r="M132" i="1"/>
  <c r="N132" i="1" s="1"/>
  <c r="V132" i="1"/>
  <c r="Y132" i="1"/>
  <c r="Z132" i="1"/>
  <c r="AB132" i="1"/>
  <c r="AC132" i="1"/>
  <c r="AD132" i="1"/>
  <c r="AG132" i="1" s="1"/>
  <c r="AE132" i="1"/>
  <c r="AF132" i="1"/>
  <c r="AH132" i="1"/>
  <c r="AM132" i="1"/>
  <c r="AN132" i="1"/>
  <c r="K133" i="1"/>
  <c r="L133" i="1"/>
  <c r="M133" i="1"/>
  <c r="N133" i="1" s="1"/>
  <c r="V133" i="1"/>
  <c r="Y133" i="1"/>
  <c r="Z133" i="1"/>
  <c r="AB133" i="1"/>
  <c r="AC133" i="1"/>
  <c r="AD133" i="1"/>
  <c r="AE133" i="1"/>
  <c r="AF133" i="1"/>
  <c r="AH133" i="1"/>
  <c r="AM133" i="1"/>
  <c r="AN133" i="1"/>
  <c r="K134" i="1"/>
  <c r="L134" i="1"/>
  <c r="M134" i="1"/>
  <c r="N134" i="1" s="1"/>
  <c r="V134" i="1"/>
  <c r="Y134" i="1"/>
  <c r="Z134" i="1"/>
  <c r="AB134" i="1"/>
  <c r="AC134" i="1"/>
  <c r="AD134" i="1"/>
  <c r="T134" i="1" s="1"/>
  <c r="AE134" i="1"/>
  <c r="AF134" i="1"/>
  <c r="AH134" i="1"/>
  <c r="AM134" i="1"/>
  <c r="AN134" i="1"/>
  <c r="K135" i="1"/>
  <c r="L135" i="1"/>
  <c r="M135" i="1"/>
  <c r="N135" i="1" s="1"/>
  <c r="V135" i="1"/>
  <c r="Y135" i="1"/>
  <c r="Z135" i="1"/>
  <c r="AB135" i="1"/>
  <c r="AC135" i="1"/>
  <c r="AD135" i="1"/>
  <c r="AE135" i="1"/>
  <c r="AF135" i="1"/>
  <c r="AH135" i="1"/>
  <c r="AM135" i="1"/>
  <c r="AN135" i="1"/>
  <c r="K136" i="1"/>
  <c r="L136" i="1"/>
  <c r="M136" i="1"/>
  <c r="N136" i="1" s="1"/>
  <c r="V136" i="1"/>
  <c r="Y136" i="1"/>
  <c r="Z136" i="1"/>
  <c r="AB136" i="1"/>
  <c r="AC136" i="1"/>
  <c r="AD136" i="1"/>
  <c r="AG136" i="1" s="1"/>
  <c r="AE136" i="1"/>
  <c r="AF136" i="1"/>
  <c r="AH136" i="1"/>
  <c r="AM136" i="1"/>
  <c r="AN136" i="1"/>
  <c r="K137" i="1"/>
  <c r="L137" i="1"/>
  <c r="M137" i="1"/>
  <c r="N137" i="1" s="1"/>
  <c r="V137" i="1"/>
  <c r="Y137" i="1"/>
  <c r="Z137" i="1"/>
  <c r="AB137" i="1"/>
  <c r="AC137" i="1"/>
  <c r="AD137" i="1"/>
  <c r="AE137" i="1"/>
  <c r="AF137" i="1"/>
  <c r="AH137" i="1"/>
  <c r="AM137" i="1"/>
  <c r="AN137" i="1"/>
  <c r="K138" i="1"/>
  <c r="L138" i="1"/>
  <c r="M138" i="1"/>
  <c r="N138" i="1" s="1"/>
  <c r="V138" i="1"/>
  <c r="Y138" i="1"/>
  <c r="Z138" i="1"/>
  <c r="AB138" i="1"/>
  <c r="AC138" i="1"/>
  <c r="AD138" i="1"/>
  <c r="T138" i="1" s="1"/>
  <c r="AE138" i="1"/>
  <c r="AF138" i="1"/>
  <c r="AH138" i="1"/>
  <c r="AM138" i="1"/>
  <c r="AN138" i="1"/>
  <c r="K139" i="1"/>
  <c r="L139" i="1"/>
  <c r="M139" i="1"/>
  <c r="N139" i="1" s="1"/>
  <c r="V139" i="1"/>
  <c r="Y139" i="1"/>
  <c r="Z139" i="1"/>
  <c r="AB139" i="1"/>
  <c r="AC139" i="1"/>
  <c r="AD139" i="1"/>
  <c r="AE139" i="1"/>
  <c r="AF139" i="1"/>
  <c r="AH139" i="1"/>
  <c r="AM139" i="1"/>
  <c r="AN139" i="1"/>
  <c r="K140" i="1"/>
  <c r="L140" i="1"/>
  <c r="M140" i="1"/>
  <c r="N140" i="1" s="1"/>
  <c r="V140" i="1"/>
  <c r="Y140" i="1"/>
  <c r="Z140" i="1"/>
  <c r="AB140" i="1"/>
  <c r="AC140" i="1"/>
  <c r="AD140" i="1"/>
  <c r="AG140" i="1" s="1"/>
  <c r="AE140" i="1"/>
  <c r="AF140" i="1"/>
  <c r="AH140" i="1"/>
  <c r="AM140" i="1"/>
  <c r="AN140" i="1"/>
  <c r="K141" i="1"/>
  <c r="L141" i="1"/>
  <c r="M141" i="1"/>
  <c r="N141" i="1" s="1"/>
  <c r="V141" i="1"/>
  <c r="Y141" i="1"/>
  <c r="Z141" i="1"/>
  <c r="AB141" i="1"/>
  <c r="AC141" i="1"/>
  <c r="AD141" i="1"/>
  <c r="T141" i="1" s="1"/>
  <c r="AE141" i="1"/>
  <c r="AF141" i="1"/>
  <c r="AH141" i="1"/>
  <c r="AM141" i="1"/>
  <c r="AN141" i="1"/>
  <c r="K142" i="1"/>
  <c r="L142" i="1"/>
  <c r="M142" i="1"/>
  <c r="N142" i="1" s="1"/>
  <c r="V142" i="1"/>
  <c r="S8" i="3" s="1"/>
  <c r="Y142" i="1"/>
  <c r="Z142" i="1"/>
  <c r="AB142" i="1"/>
  <c r="AC142" i="1"/>
  <c r="AD142" i="1"/>
  <c r="AE142" i="1"/>
  <c r="R8" i="3" s="1"/>
  <c r="AF142" i="1"/>
  <c r="AH142" i="1"/>
  <c r="AM142" i="1"/>
  <c r="AN142" i="1"/>
  <c r="K143" i="1"/>
  <c r="L143" i="1"/>
  <c r="M143" i="1"/>
  <c r="N143" i="1" s="1"/>
  <c r="V143" i="1"/>
  <c r="Y143" i="1"/>
  <c r="Z143" i="1"/>
  <c r="AB143" i="1"/>
  <c r="AC143" i="1"/>
  <c r="AD143" i="1"/>
  <c r="AE143" i="1"/>
  <c r="AF143" i="1"/>
  <c r="AH143" i="1"/>
  <c r="AM143" i="1"/>
  <c r="AN143" i="1"/>
  <c r="K144" i="1"/>
  <c r="L144" i="1"/>
  <c r="M144" i="1"/>
  <c r="N144" i="1" s="1"/>
  <c r="V144" i="1"/>
  <c r="Y144" i="1"/>
  <c r="Z144" i="1"/>
  <c r="AA144" i="1" s="1"/>
  <c r="AB144" i="1"/>
  <c r="AC144" i="1"/>
  <c r="AD144" i="1"/>
  <c r="AG144" i="1" s="1"/>
  <c r="AE144" i="1"/>
  <c r="AF144" i="1"/>
  <c r="AH144" i="1"/>
  <c r="AM144" i="1"/>
  <c r="AN144" i="1"/>
  <c r="K145" i="1"/>
  <c r="L145" i="1"/>
  <c r="M145" i="1"/>
  <c r="N145" i="1" s="1"/>
  <c r="V145" i="1"/>
  <c r="Y145" i="1"/>
  <c r="Z145" i="1"/>
  <c r="AB145" i="1"/>
  <c r="AC145" i="1"/>
  <c r="AD145" i="1"/>
  <c r="T145" i="1" s="1"/>
  <c r="AE145" i="1"/>
  <c r="AF145" i="1"/>
  <c r="AH145" i="1"/>
  <c r="AM145" i="1"/>
  <c r="AN145" i="1"/>
  <c r="K146" i="1"/>
  <c r="L146" i="1"/>
  <c r="M146" i="1"/>
  <c r="N146" i="1" s="1"/>
  <c r="V146" i="1"/>
  <c r="Y146" i="1"/>
  <c r="Z146" i="1"/>
  <c r="AB146" i="1"/>
  <c r="AC146" i="1"/>
  <c r="AD146" i="1"/>
  <c r="AE146" i="1"/>
  <c r="AF146" i="1"/>
  <c r="AH146" i="1"/>
  <c r="AM146" i="1"/>
  <c r="AN146" i="1"/>
  <c r="K147" i="1"/>
  <c r="L147" i="1"/>
  <c r="M147" i="1"/>
  <c r="N147" i="1" s="1"/>
  <c r="V147" i="1"/>
  <c r="Y147" i="1"/>
  <c r="Z147" i="1"/>
  <c r="AB147" i="1"/>
  <c r="AC147" i="1"/>
  <c r="AD147" i="1"/>
  <c r="AE147" i="1"/>
  <c r="AF147" i="1"/>
  <c r="AH147" i="1"/>
  <c r="AM147" i="1"/>
  <c r="AN147" i="1"/>
  <c r="K148" i="1"/>
  <c r="L148" i="1"/>
  <c r="M148" i="1"/>
  <c r="N148" i="1" s="1"/>
  <c r="V148" i="1"/>
  <c r="Y148" i="1"/>
  <c r="Z148" i="1"/>
  <c r="AB148" i="1"/>
  <c r="AC148" i="1"/>
  <c r="AD148" i="1"/>
  <c r="AG148" i="1" s="1"/>
  <c r="AE148" i="1"/>
  <c r="AF148" i="1"/>
  <c r="AH148" i="1"/>
  <c r="AM148" i="1"/>
  <c r="AN148" i="1"/>
  <c r="K149" i="1"/>
  <c r="L149" i="1"/>
  <c r="M149" i="1"/>
  <c r="N149" i="1" s="1"/>
  <c r="V149" i="1"/>
  <c r="Y149" i="1"/>
  <c r="Z149" i="1"/>
  <c r="AB149" i="1"/>
  <c r="AC149" i="1"/>
  <c r="AD149" i="1"/>
  <c r="T149" i="1" s="1"/>
  <c r="AE149" i="1"/>
  <c r="AF149" i="1"/>
  <c r="AH149" i="1"/>
  <c r="AM149" i="1"/>
  <c r="AN149" i="1"/>
  <c r="K150" i="1"/>
  <c r="L150" i="1"/>
  <c r="M150" i="1"/>
  <c r="N150" i="1" s="1"/>
  <c r="V150" i="1"/>
  <c r="S9" i="3" s="1"/>
  <c r="Y150" i="1"/>
  <c r="Z150" i="1"/>
  <c r="AB150" i="1"/>
  <c r="AC150" i="1"/>
  <c r="AD150" i="1"/>
  <c r="T150" i="1" s="1"/>
  <c r="AE150" i="1"/>
  <c r="R9" i="3" s="1"/>
  <c r="AF150" i="1"/>
  <c r="AH150" i="1"/>
  <c r="AM150" i="1"/>
  <c r="AN150" i="1"/>
  <c r="K151" i="1"/>
  <c r="L151" i="1"/>
  <c r="M151" i="1"/>
  <c r="N151" i="1" s="1"/>
  <c r="V151" i="1"/>
  <c r="Y151" i="1"/>
  <c r="Z151" i="1"/>
  <c r="AB151" i="1"/>
  <c r="AC151" i="1"/>
  <c r="AD151" i="1"/>
  <c r="T151" i="1" s="1"/>
  <c r="AE151" i="1"/>
  <c r="AF151" i="1"/>
  <c r="AH151" i="1"/>
  <c r="AM151" i="1"/>
  <c r="AN151" i="1"/>
  <c r="K152" i="1"/>
  <c r="L152" i="1"/>
  <c r="M152" i="1"/>
  <c r="N152" i="1" s="1"/>
  <c r="V152" i="1"/>
  <c r="Y152" i="1"/>
  <c r="Z152" i="1"/>
  <c r="AB152" i="1"/>
  <c r="AC152" i="1"/>
  <c r="AD152" i="1"/>
  <c r="T152" i="1" s="1"/>
  <c r="AE152" i="1"/>
  <c r="AF152" i="1"/>
  <c r="AH152" i="1"/>
  <c r="AM152" i="1"/>
  <c r="AN152" i="1"/>
  <c r="K153" i="1"/>
  <c r="L153" i="1"/>
  <c r="M153" i="1"/>
  <c r="N153" i="1" s="1"/>
  <c r="V153" i="1"/>
  <c r="Y153" i="1"/>
  <c r="Z153" i="1"/>
  <c r="AB153" i="1"/>
  <c r="AC153" i="1"/>
  <c r="AD153" i="1"/>
  <c r="AG153" i="1" s="1"/>
  <c r="AE153" i="1"/>
  <c r="AF153" i="1"/>
  <c r="AH153" i="1"/>
  <c r="AM153" i="1"/>
  <c r="AN153" i="1"/>
  <c r="K154" i="1"/>
  <c r="L154" i="1"/>
  <c r="M154" i="1"/>
  <c r="N154" i="1" s="1"/>
  <c r="V154" i="1"/>
  <c r="Y154" i="1"/>
  <c r="Z154" i="1"/>
  <c r="AB154" i="1"/>
  <c r="AC154" i="1"/>
  <c r="AD154" i="1"/>
  <c r="AE154" i="1"/>
  <c r="AF154" i="1"/>
  <c r="AH154" i="1"/>
  <c r="AM154" i="1"/>
  <c r="AN154" i="1"/>
  <c r="K155" i="1"/>
  <c r="L155" i="1"/>
  <c r="M155" i="1"/>
  <c r="N155" i="1" s="1"/>
  <c r="V155" i="1"/>
  <c r="Y155" i="1"/>
  <c r="Z155" i="1"/>
  <c r="AB155" i="1"/>
  <c r="AC155" i="1"/>
  <c r="AD155" i="1"/>
  <c r="T155" i="1" s="1"/>
  <c r="AE155" i="1"/>
  <c r="AF155" i="1"/>
  <c r="AH155" i="1"/>
  <c r="AM155" i="1"/>
  <c r="AN155" i="1"/>
  <c r="K156" i="1"/>
  <c r="L156" i="1"/>
  <c r="M156" i="1"/>
  <c r="N156" i="1" s="1"/>
  <c r="V156" i="1"/>
  <c r="Y156" i="1"/>
  <c r="Z156" i="1"/>
  <c r="AB156" i="1"/>
  <c r="AC156" i="1"/>
  <c r="AD156" i="1"/>
  <c r="T156" i="1" s="1"/>
  <c r="AE156" i="1"/>
  <c r="AF156" i="1"/>
  <c r="AH156" i="1"/>
  <c r="AM156" i="1"/>
  <c r="AN156" i="1"/>
  <c r="K157" i="1"/>
  <c r="L157" i="1"/>
  <c r="M157" i="1"/>
  <c r="N157" i="1" s="1"/>
  <c r="V157" i="1"/>
  <c r="Y157" i="1"/>
  <c r="Z157" i="1"/>
  <c r="AB157" i="1"/>
  <c r="AC157" i="1"/>
  <c r="AD157" i="1"/>
  <c r="T157" i="1" s="1"/>
  <c r="AE157" i="1"/>
  <c r="AF157" i="1"/>
  <c r="AH157" i="1"/>
  <c r="AM157" i="1"/>
  <c r="AN157" i="1"/>
  <c r="K158" i="1"/>
  <c r="L158" i="1"/>
  <c r="M158" i="1"/>
  <c r="N158" i="1" s="1"/>
  <c r="V158" i="1"/>
  <c r="Y158" i="1"/>
  <c r="Z158" i="1"/>
  <c r="AB158" i="1"/>
  <c r="AC158" i="1"/>
  <c r="AD158" i="1"/>
  <c r="AE158" i="1"/>
  <c r="AF158" i="1"/>
  <c r="AH158" i="1"/>
  <c r="AM158" i="1"/>
  <c r="AN158" i="1"/>
  <c r="K159" i="1"/>
  <c r="L159" i="1"/>
  <c r="M159" i="1"/>
  <c r="N159" i="1" s="1"/>
  <c r="V159" i="1"/>
  <c r="Y159" i="1"/>
  <c r="Z159" i="1"/>
  <c r="AB159" i="1"/>
  <c r="AC159" i="1"/>
  <c r="AD159" i="1"/>
  <c r="T159" i="1" s="1"/>
  <c r="AE159" i="1"/>
  <c r="AF159" i="1"/>
  <c r="AH159" i="1"/>
  <c r="AM159" i="1"/>
  <c r="AN159" i="1"/>
  <c r="K207" i="1"/>
  <c r="L207" i="1"/>
  <c r="M207" i="1"/>
  <c r="N207" i="1" s="1"/>
  <c r="V207" i="1"/>
  <c r="Y207" i="1"/>
  <c r="Z207" i="1"/>
  <c r="AB207" i="1"/>
  <c r="AC207" i="1"/>
  <c r="AD207" i="1"/>
  <c r="T207" i="1" s="1"/>
  <c r="AE207" i="1"/>
  <c r="AF207" i="1"/>
  <c r="AH160" i="1"/>
  <c r="AM160" i="1"/>
  <c r="AN160" i="1"/>
  <c r="K208" i="1"/>
  <c r="L208" i="1"/>
  <c r="M208" i="1"/>
  <c r="N208" i="1" s="1"/>
  <c r="V208" i="1"/>
  <c r="Y208" i="1"/>
  <c r="Z208" i="1"/>
  <c r="AB208" i="1"/>
  <c r="AC208" i="1"/>
  <c r="AD208" i="1"/>
  <c r="AG208" i="1" s="1"/>
  <c r="AE208" i="1"/>
  <c r="AF208" i="1"/>
  <c r="AH161" i="1"/>
  <c r="AM161" i="1"/>
  <c r="AN161" i="1"/>
  <c r="K209" i="1"/>
  <c r="L209" i="1"/>
  <c r="M209" i="1"/>
  <c r="N209" i="1" s="1"/>
  <c r="V209" i="1"/>
  <c r="Y209" i="1"/>
  <c r="Z209" i="1"/>
  <c r="AB209" i="1"/>
  <c r="AC209" i="1"/>
  <c r="AD209" i="1"/>
  <c r="T209" i="1" s="1"/>
  <c r="AE209" i="1"/>
  <c r="AF209" i="1"/>
  <c r="AH162" i="1"/>
  <c r="AM162" i="1"/>
  <c r="AN162" i="1"/>
  <c r="K210" i="1"/>
  <c r="L210" i="1"/>
  <c r="M210" i="1"/>
  <c r="N210" i="1" s="1"/>
  <c r="V210" i="1"/>
  <c r="Y210" i="1"/>
  <c r="Z210" i="1"/>
  <c r="AB210" i="1"/>
  <c r="AC210" i="1"/>
  <c r="AD210" i="1"/>
  <c r="T210" i="1" s="1"/>
  <c r="AE210" i="1"/>
  <c r="AF210" i="1"/>
  <c r="AH163" i="1"/>
  <c r="AM163" i="1"/>
  <c r="AN163" i="1"/>
  <c r="K211" i="1"/>
  <c r="L211" i="1"/>
  <c r="M211" i="1"/>
  <c r="N211" i="1" s="1"/>
  <c r="V211" i="1"/>
  <c r="Y211" i="1"/>
  <c r="Z211" i="1"/>
  <c r="AB211" i="1"/>
  <c r="AC211" i="1"/>
  <c r="AD211" i="1"/>
  <c r="T211" i="1" s="1"/>
  <c r="AE211" i="1"/>
  <c r="AF211" i="1"/>
  <c r="AH164" i="1"/>
  <c r="AM164" i="1"/>
  <c r="AN164" i="1"/>
  <c r="K212" i="1"/>
  <c r="L212" i="1"/>
  <c r="M212" i="1"/>
  <c r="N212" i="1" s="1"/>
  <c r="V212" i="1"/>
  <c r="Y212" i="1"/>
  <c r="Z212" i="1"/>
  <c r="AB212" i="1"/>
  <c r="AC212" i="1"/>
  <c r="AD212" i="1"/>
  <c r="T212" i="1" s="1"/>
  <c r="AE212" i="1"/>
  <c r="AF212" i="1"/>
  <c r="AH165" i="1"/>
  <c r="AM165" i="1"/>
  <c r="AN165" i="1"/>
  <c r="K213" i="1"/>
  <c r="L213" i="1"/>
  <c r="M213" i="1"/>
  <c r="N213" i="1" s="1"/>
  <c r="V213" i="1"/>
  <c r="Y213" i="1"/>
  <c r="Z213" i="1"/>
  <c r="AB213" i="1"/>
  <c r="AC213" i="1"/>
  <c r="AD213" i="1"/>
  <c r="T213" i="1" s="1"/>
  <c r="AE213" i="1"/>
  <c r="AF213" i="1"/>
  <c r="AH166" i="1"/>
  <c r="AM166" i="1"/>
  <c r="AN166" i="1"/>
  <c r="K214" i="1"/>
  <c r="L214" i="1"/>
  <c r="M214" i="1"/>
  <c r="N214" i="1" s="1"/>
  <c r="V214" i="1"/>
  <c r="Y214" i="1"/>
  <c r="Z214" i="1"/>
  <c r="AB214" i="1"/>
  <c r="AC214" i="1"/>
  <c r="AD214" i="1"/>
  <c r="T214" i="1" s="1"/>
  <c r="AE214" i="1"/>
  <c r="AF214" i="1"/>
  <c r="AH167" i="1"/>
  <c r="AM167" i="1"/>
  <c r="AN167" i="1"/>
  <c r="K215" i="1"/>
  <c r="L215" i="1"/>
  <c r="M215" i="1"/>
  <c r="N215" i="1" s="1"/>
  <c r="V215" i="1"/>
  <c r="Y215" i="1"/>
  <c r="Z215" i="1"/>
  <c r="AB215" i="1"/>
  <c r="AC215" i="1"/>
  <c r="AD215" i="1"/>
  <c r="T215" i="1" s="1"/>
  <c r="AE215" i="1"/>
  <c r="AF215" i="1"/>
  <c r="AH168" i="1"/>
  <c r="AM168" i="1"/>
  <c r="AN168" i="1"/>
  <c r="K216" i="1"/>
  <c r="L216" i="1"/>
  <c r="M216" i="1"/>
  <c r="N216" i="1" s="1"/>
  <c r="V216" i="1"/>
  <c r="Y216" i="1"/>
  <c r="Z216" i="1"/>
  <c r="AB216" i="1"/>
  <c r="AC216" i="1"/>
  <c r="AD216" i="1"/>
  <c r="AG216" i="1" s="1"/>
  <c r="AE216" i="1"/>
  <c r="AF216" i="1"/>
  <c r="AH169" i="1"/>
  <c r="AM169" i="1"/>
  <c r="AN169" i="1"/>
  <c r="K224" i="1"/>
  <c r="L224" i="1"/>
  <c r="M224" i="1"/>
  <c r="N224" i="1" s="1"/>
  <c r="V224" i="1"/>
  <c r="Y224" i="1"/>
  <c r="Z224" i="1"/>
  <c r="AB224" i="1"/>
  <c r="AC224" i="1"/>
  <c r="AD224" i="1"/>
  <c r="AE224" i="1"/>
  <c r="AF224" i="1"/>
  <c r="AH170" i="1"/>
  <c r="AM170" i="1"/>
  <c r="AN170" i="1"/>
  <c r="K225" i="1"/>
  <c r="L225" i="1"/>
  <c r="M225" i="1"/>
  <c r="V225" i="1"/>
  <c r="S46" i="3" s="1"/>
  <c r="Y225" i="1"/>
  <c r="Z225" i="1"/>
  <c r="AB225" i="1"/>
  <c r="AC225" i="1"/>
  <c r="AD225" i="1"/>
  <c r="T225" i="1" s="1"/>
  <c r="AE225" i="1"/>
  <c r="AF225" i="1"/>
  <c r="AH171" i="1"/>
  <c r="AM171" i="1"/>
  <c r="AN171" i="1"/>
  <c r="K226" i="1"/>
  <c r="L226" i="1"/>
  <c r="M226" i="1"/>
  <c r="N226" i="1" s="1"/>
  <c r="V226" i="1"/>
  <c r="Y226" i="1"/>
  <c r="Z226" i="1"/>
  <c r="AB226" i="1"/>
  <c r="AC226" i="1"/>
  <c r="AD226" i="1"/>
  <c r="T226" i="1" s="1"/>
  <c r="AE226" i="1"/>
  <c r="AF226" i="1"/>
  <c r="K227" i="1"/>
  <c r="L227" i="1"/>
  <c r="M227" i="1"/>
  <c r="N227" i="1" s="1"/>
  <c r="V227" i="1"/>
  <c r="Y227" i="1"/>
  <c r="Z227" i="1"/>
  <c r="AB227" i="1"/>
  <c r="AC227" i="1"/>
  <c r="AD227" i="1"/>
  <c r="AG227" i="1" s="1"/>
  <c r="AE227" i="1"/>
  <c r="AF227" i="1"/>
  <c r="AH172" i="1"/>
  <c r="AM172" i="1"/>
  <c r="AN172" i="1"/>
  <c r="K228" i="1"/>
  <c r="L228" i="1"/>
  <c r="M228" i="1"/>
  <c r="N228" i="1" s="1"/>
  <c r="V228" i="1"/>
  <c r="Y228" i="1"/>
  <c r="Z228" i="1"/>
  <c r="AB228" i="1"/>
  <c r="AC228" i="1"/>
  <c r="AD228" i="1"/>
  <c r="T228" i="1" s="1"/>
  <c r="AE228" i="1"/>
  <c r="AF228" i="1"/>
  <c r="AH173" i="1"/>
  <c r="AM173" i="1"/>
  <c r="AN173" i="1"/>
  <c r="K160" i="1"/>
  <c r="L160" i="1"/>
  <c r="M160" i="1"/>
  <c r="N160" i="1" s="1"/>
  <c r="V160" i="1"/>
  <c r="Y160" i="1"/>
  <c r="Z160" i="1"/>
  <c r="AB160" i="1"/>
  <c r="AC160" i="1"/>
  <c r="AD160" i="1"/>
  <c r="T160" i="1" s="1"/>
  <c r="AE160" i="1"/>
  <c r="AF160" i="1"/>
  <c r="AH174" i="1"/>
  <c r="AM174" i="1"/>
  <c r="AN174" i="1"/>
  <c r="K161" i="1"/>
  <c r="L161" i="1"/>
  <c r="M161" i="1"/>
  <c r="N161" i="1" s="1"/>
  <c r="V161" i="1"/>
  <c r="Y161" i="1"/>
  <c r="Z161" i="1"/>
  <c r="AB161" i="1"/>
  <c r="AC161" i="1"/>
  <c r="AD161" i="1"/>
  <c r="T161" i="1" s="1"/>
  <c r="AE161" i="1"/>
  <c r="AF161" i="1"/>
  <c r="AH175" i="1"/>
  <c r="AM175" i="1"/>
  <c r="AN175" i="1"/>
  <c r="K162" i="1"/>
  <c r="L162" i="1"/>
  <c r="M162" i="1"/>
  <c r="N162" i="1" s="1"/>
  <c r="V162" i="1"/>
  <c r="Y162" i="1"/>
  <c r="Z162" i="1"/>
  <c r="AB162" i="1"/>
  <c r="AC162" i="1"/>
  <c r="AD162" i="1"/>
  <c r="AG162" i="1" s="1"/>
  <c r="AE162" i="1"/>
  <c r="AF162" i="1"/>
  <c r="AH176" i="1"/>
  <c r="AM176" i="1"/>
  <c r="AN176" i="1"/>
  <c r="K163" i="1"/>
  <c r="L163" i="1"/>
  <c r="M163" i="1"/>
  <c r="N163" i="1" s="1"/>
  <c r="V163" i="1"/>
  <c r="Y163" i="1"/>
  <c r="Z163" i="1"/>
  <c r="AB163" i="1"/>
  <c r="AC163" i="1"/>
  <c r="AD163" i="1"/>
  <c r="AE163" i="1"/>
  <c r="AF163" i="1"/>
  <c r="AH177" i="1"/>
  <c r="AM177" i="1"/>
  <c r="AN177" i="1"/>
  <c r="K164" i="1"/>
  <c r="L164" i="1"/>
  <c r="M164" i="1"/>
  <c r="N164" i="1" s="1"/>
  <c r="V164" i="1"/>
  <c r="Y164" i="1"/>
  <c r="Z164" i="1"/>
  <c r="AB164" i="1"/>
  <c r="AC164" i="1"/>
  <c r="AD164" i="1"/>
  <c r="T164" i="1" s="1"/>
  <c r="AE164" i="1"/>
  <c r="AF164" i="1"/>
  <c r="AH178" i="1"/>
  <c r="AM178" i="1"/>
  <c r="AN178" i="1"/>
  <c r="K165" i="1"/>
  <c r="L165" i="1"/>
  <c r="M165" i="1"/>
  <c r="N165" i="1" s="1"/>
  <c r="V165" i="1"/>
  <c r="Y165" i="1"/>
  <c r="Z165" i="1"/>
  <c r="AB165" i="1"/>
  <c r="AC165" i="1"/>
  <c r="AD165" i="1"/>
  <c r="T165" i="1" s="1"/>
  <c r="AE165" i="1"/>
  <c r="AF165" i="1"/>
  <c r="AH179" i="1"/>
  <c r="AM179" i="1"/>
  <c r="AN179" i="1"/>
  <c r="K166" i="1"/>
  <c r="L166" i="1"/>
  <c r="M166" i="1"/>
  <c r="N166" i="1" s="1"/>
  <c r="V166" i="1"/>
  <c r="Y166" i="1"/>
  <c r="Z166" i="1"/>
  <c r="AB166" i="1"/>
  <c r="AC166" i="1"/>
  <c r="AD166" i="1"/>
  <c r="AG166" i="1" s="1"/>
  <c r="AE166" i="1"/>
  <c r="AF166" i="1"/>
  <c r="AH180" i="1"/>
  <c r="AM180" i="1"/>
  <c r="AN180" i="1"/>
  <c r="K167" i="1"/>
  <c r="L167" i="1"/>
  <c r="M167" i="1"/>
  <c r="N167" i="1" s="1"/>
  <c r="V167" i="1"/>
  <c r="Y167" i="1"/>
  <c r="Z167" i="1"/>
  <c r="AB167" i="1"/>
  <c r="AC167" i="1"/>
  <c r="AD167" i="1"/>
  <c r="T167" i="1" s="1"/>
  <c r="AE167" i="1"/>
  <c r="AF167" i="1"/>
  <c r="AH181" i="1"/>
  <c r="AM181" i="1"/>
  <c r="AN181" i="1"/>
  <c r="K168" i="1"/>
  <c r="L168" i="1"/>
  <c r="M168" i="1"/>
  <c r="N168" i="1" s="1"/>
  <c r="V168" i="1"/>
  <c r="Y168" i="1"/>
  <c r="Z168" i="1"/>
  <c r="AB168" i="1"/>
  <c r="AC168" i="1"/>
  <c r="AD168" i="1"/>
  <c r="T168" i="1" s="1"/>
  <c r="AE168" i="1"/>
  <c r="AF168" i="1"/>
  <c r="AH182" i="1"/>
  <c r="AM182" i="1"/>
  <c r="AN182" i="1"/>
  <c r="K169" i="1"/>
  <c r="L169" i="1"/>
  <c r="M169" i="1"/>
  <c r="N169" i="1" s="1"/>
  <c r="V169" i="1"/>
  <c r="Y169" i="1"/>
  <c r="Z169" i="1"/>
  <c r="AB169" i="1"/>
  <c r="AC169" i="1"/>
  <c r="AD169" i="1"/>
  <c r="T169" i="1" s="1"/>
  <c r="AE169" i="1"/>
  <c r="AF169" i="1"/>
  <c r="AH183" i="1"/>
  <c r="AM183" i="1"/>
  <c r="AN183" i="1"/>
  <c r="K170" i="1"/>
  <c r="L170" i="1"/>
  <c r="M170" i="1"/>
  <c r="N170" i="1" s="1"/>
  <c r="V170" i="1"/>
  <c r="Y170" i="1"/>
  <c r="Z170" i="1"/>
  <c r="AB170" i="1"/>
  <c r="AC170" i="1"/>
  <c r="AD170" i="1"/>
  <c r="AG170" i="1" s="1"/>
  <c r="AE170" i="1"/>
  <c r="AF170" i="1"/>
  <c r="AH184" i="1"/>
  <c r="AM184" i="1"/>
  <c r="AN184" i="1"/>
  <c r="K171" i="1"/>
  <c r="L171" i="1"/>
  <c r="M171" i="1"/>
  <c r="N171" i="1" s="1"/>
  <c r="V171" i="1"/>
  <c r="Y171" i="1"/>
  <c r="Z171" i="1"/>
  <c r="AB171" i="1"/>
  <c r="AC171" i="1"/>
  <c r="AD171" i="1"/>
  <c r="AE171" i="1"/>
  <c r="AF171" i="1"/>
  <c r="AH185" i="1"/>
  <c r="AM185" i="1"/>
  <c r="AN185" i="1"/>
  <c r="AH186" i="1"/>
  <c r="AM186" i="1"/>
  <c r="AN186" i="1"/>
  <c r="K172" i="1"/>
  <c r="L172" i="1"/>
  <c r="M172" i="1"/>
  <c r="N172" i="1" s="1"/>
  <c r="V172" i="1"/>
  <c r="Y172" i="1"/>
  <c r="Z172" i="1"/>
  <c r="AB172" i="1"/>
  <c r="AC172" i="1"/>
  <c r="AD172" i="1"/>
  <c r="T172" i="1" s="1"/>
  <c r="AE172" i="1"/>
  <c r="AF172" i="1"/>
  <c r="AH187" i="1"/>
  <c r="AM187" i="1"/>
  <c r="AN187" i="1"/>
  <c r="K173" i="1"/>
  <c r="L173" i="1"/>
  <c r="M173" i="1"/>
  <c r="N173" i="1" s="1"/>
  <c r="V173" i="1"/>
  <c r="Y173" i="1"/>
  <c r="Z173" i="1"/>
  <c r="AB173" i="1"/>
  <c r="AC173" i="1"/>
  <c r="AD173" i="1"/>
  <c r="AG173" i="1" s="1"/>
  <c r="AE173" i="1"/>
  <c r="AF173" i="1"/>
  <c r="AH188" i="1"/>
  <c r="AM188" i="1"/>
  <c r="AN188" i="1"/>
  <c r="K174" i="1"/>
  <c r="L174" i="1"/>
  <c r="M174" i="1"/>
  <c r="N174" i="1" s="1"/>
  <c r="V174" i="1"/>
  <c r="Y174" i="1"/>
  <c r="Z174" i="1"/>
  <c r="AB174" i="1"/>
  <c r="AC174" i="1"/>
  <c r="AD174" i="1"/>
  <c r="T174" i="1" s="1"/>
  <c r="AE174" i="1"/>
  <c r="AF174" i="1"/>
  <c r="K175" i="1"/>
  <c r="L175" i="1"/>
  <c r="M175" i="1"/>
  <c r="N175" i="1" s="1"/>
  <c r="V175" i="1"/>
  <c r="Y175" i="1"/>
  <c r="Z175" i="1"/>
  <c r="AB175" i="1"/>
  <c r="AC175" i="1"/>
  <c r="AD175" i="1"/>
  <c r="T175" i="1" s="1"/>
  <c r="AE175" i="1"/>
  <c r="AF175" i="1"/>
  <c r="AH189" i="1"/>
  <c r="AM189" i="1"/>
  <c r="AN189" i="1"/>
  <c r="K176" i="1"/>
  <c r="L176" i="1"/>
  <c r="M176" i="1"/>
  <c r="N176" i="1" s="1"/>
  <c r="V176" i="1"/>
  <c r="Y176" i="1"/>
  <c r="Z176" i="1"/>
  <c r="AB176" i="1"/>
  <c r="AC176" i="1"/>
  <c r="AD176" i="1"/>
  <c r="T176" i="1" s="1"/>
  <c r="AE176" i="1"/>
  <c r="AF176" i="1"/>
  <c r="AH190" i="1"/>
  <c r="AM190" i="1"/>
  <c r="AN190" i="1"/>
  <c r="K177" i="1"/>
  <c r="L177" i="1"/>
  <c r="M177" i="1"/>
  <c r="N177" i="1" s="1"/>
  <c r="V177" i="1"/>
  <c r="Y177" i="1"/>
  <c r="Z177" i="1"/>
  <c r="AB177" i="1"/>
  <c r="AC177" i="1"/>
  <c r="AD177" i="1"/>
  <c r="AG177" i="1" s="1"/>
  <c r="AE177" i="1"/>
  <c r="AF177" i="1"/>
  <c r="AH191" i="1"/>
  <c r="AM191" i="1"/>
  <c r="AN191" i="1"/>
  <c r="K178" i="1"/>
  <c r="L178" i="1"/>
  <c r="M178" i="1"/>
  <c r="N178" i="1" s="1"/>
  <c r="V178" i="1"/>
  <c r="Y178" i="1"/>
  <c r="Z178" i="1"/>
  <c r="AB178" i="1"/>
  <c r="AC178" i="1"/>
  <c r="AD178" i="1"/>
  <c r="AE178" i="1"/>
  <c r="AF178" i="1"/>
  <c r="AH192" i="1"/>
  <c r="AM192" i="1"/>
  <c r="AN192" i="1"/>
  <c r="K179" i="1"/>
  <c r="L179" i="1"/>
  <c r="M179" i="1"/>
  <c r="N179" i="1" s="1"/>
  <c r="V179" i="1"/>
  <c r="Y179" i="1"/>
  <c r="Z179" i="1"/>
  <c r="AB179" i="1"/>
  <c r="AC179" i="1"/>
  <c r="AD179" i="1"/>
  <c r="AG179" i="1" s="1"/>
  <c r="AE179" i="1"/>
  <c r="AF179" i="1"/>
  <c r="AH193" i="1"/>
  <c r="AM193" i="1"/>
  <c r="AN193" i="1"/>
  <c r="K180" i="1"/>
  <c r="L180" i="1"/>
  <c r="M180" i="1"/>
  <c r="N180" i="1" s="1"/>
  <c r="V180" i="1"/>
  <c r="Y180" i="1"/>
  <c r="Z180" i="1"/>
  <c r="AB180" i="1"/>
  <c r="AC180" i="1"/>
  <c r="AD180" i="1"/>
  <c r="AE180" i="1"/>
  <c r="AF180" i="1"/>
  <c r="AH194" i="1"/>
  <c r="AM194" i="1"/>
  <c r="AN194" i="1"/>
  <c r="K181" i="1"/>
  <c r="L181" i="1"/>
  <c r="M181" i="1"/>
  <c r="N181" i="1" s="1"/>
  <c r="V181" i="1"/>
  <c r="S40" i="3" s="1"/>
  <c r="Y181" i="1"/>
  <c r="Z181" i="1"/>
  <c r="AB181" i="1"/>
  <c r="AC181" i="1"/>
  <c r="AD181" i="1"/>
  <c r="AG181" i="1" s="1"/>
  <c r="AE181" i="1"/>
  <c r="R40" i="3" s="1"/>
  <c r="AF181" i="1"/>
  <c r="AH195" i="1"/>
  <c r="AM195" i="1"/>
  <c r="AN195" i="1"/>
  <c r="K182" i="1"/>
  <c r="L182" i="1"/>
  <c r="M182" i="1"/>
  <c r="N182" i="1" s="1"/>
  <c r="V182" i="1"/>
  <c r="S42" i="3" s="1"/>
  <c r="Y182" i="1"/>
  <c r="Z182" i="1"/>
  <c r="AB182" i="1"/>
  <c r="AC182" i="1"/>
  <c r="AD182" i="1"/>
  <c r="T182" i="1" s="1"/>
  <c r="AE182" i="1"/>
  <c r="R42" i="3" s="1"/>
  <c r="AF182" i="1"/>
  <c r="AH196" i="1"/>
  <c r="AM196" i="1"/>
  <c r="AN196" i="1"/>
  <c r="K183" i="1"/>
  <c r="L183" i="1"/>
  <c r="M183" i="1"/>
  <c r="N183" i="1" s="1"/>
  <c r="V183" i="1"/>
  <c r="Y183" i="1"/>
  <c r="Z183" i="1"/>
  <c r="AB183" i="1"/>
  <c r="AC183" i="1"/>
  <c r="AD183" i="1"/>
  <c r="T183" i="1" s="1"/>
  <c r="AE183" i="1"/>
  <c r="AF183" i="1"/>
  <c r="AH197" i="1"/>
  <c r="AM197" i="1"/>
  <c r="AN197" i="1"/>
  <c r="K184" i="1"/>
  <c r="L184" i="1"/>
  <c r="M184" i="1"/>
  <c r="N184" i="1" s="1"/>
  <c r="V184" i="1"/>
  <c r="S41" i="3" s="1"/>
  <c r="Y184" i="1"/>
  <c r="Z184" i="1"/>
  <c r="AB184" i="1"/>
  <c r="AC184" i="1"/>
  <c r="AD184" i="1"/>
  <c r="AG184" i="1" s="1"/>
  <c r="AE184" i="1"/>
  <c r="R41" i="3" s="1"/>
  <c r="AF184" i="1"/>
  <c r="AH198" i="1"/>
  <c r="AM198" i="1"/>
  <c r="AN198" i="1"/>
  <c r="K185" i="1"/>
  <c r="L185" i="1"/>
  <c r="M185" i="1"/>
  <c r="N185" i="1" s="1"/>
  <c r="V185" i="1"/>
  <c r="Y185" i="1"/>
  <c r="Z185" i="1"/>
  <c r="AB185" i="1"/>
  <c r="AC185" i="1"/>
  <c r="AD185" i="1"/>
  <c r="T185" i="1" s="1"/>
  <c r="AE185" i="1"/>
  <c r="AF185" i="1"/>
  <c r="K186" i="1"/>
  <c r="L186" i="1"/>
  <c r="M186" i="1"/>
  <c r="N186" i="1" s="1"/>
  <c r="V186" i="1"/>
  <c r="Y186" i="1"/>
  <c r="Z186" i="1"/>
  <c r="AB186" i="1"/>
  <c r="AC186" i="1"/>
  <c r="AD186" i="1"/>
  <c r="T186" i="1" s="1"/>
  <c r="AE186" i="1"/>
  <c r="AF186" i="1"/>
  <c r="AH199" i="1"/>
  <c r="AM199" i="1"/>
  <c r="AN199" i="1"/>
  <c r="K187" i="1"/>
  <c r="L187" i="1"/>
  <c r="M187" i="1"/>
  <c r="N187" i="1" s="1"/>
  <c r="V187" i="1"/>
  <c r="S44" i="3" s="1"/>
  <c r="Y187" i="1"/>
  <c r="Z187" i="1"/>
  <c r="AB187" i="1"/>
  <c r="AC187" i="1"/>
  <c r="AD187" i="1"/>
  <c r="T187" i="1" s="1"/>
  <c r="AE187" i="1"/>
  <c r="R44" i="3" s="1"/>
  <c r="AF187" i="1"/>
  <c r="AH200" i="1"/>
  <c r="AM200" i="1"/>
  <c r="AN200" i="1"/>
  <c r="K188" i="1"/>
  <c r="L188" i="1"/>
  <c r="M188" i="1"/>
  <c r="N188" i="1" s="1"/>
  <c r="V188" i="1"/>
  <c r="S39" i="3" s="1"/>
  <c r="Y188" i="1"/>
  <c r="Z188" i="1"/>
  <c r="AB188" i="1"/>
  <c r="AC188" i="1"/>
  <c r="AD188" i="1"/>
  <c r="AG188" i="1" s="1"/>
  <c r="AE188" i="1"/>
  <c r="R39" i="3" s="1"/>
  <c r="AF188" i="1"/>
  <c r="AH201" i="1"/>
  <c r="AM201" i="1"/>
  <c r="AN201" i="1"/>
  <c r="AH202" i="1"/>
  <c r="AM202" i="1"/>
  <c r="AN202" i="1"/>
  <c r="K189" i="1"/>
  <c r="L189" i="1"/>
  <c r="M189" i="1"/>
  <c r="N189" i="1" s="1"/>
  <c r="V189" i="1"/>
  <c r="Y189" i="1"/>
  <c r="Z189" i="1"/>
  <c r="AB189" i="1"/>
  <c r="AC189" i="1"/>
  <c r="AD189" i="1"/>
  <c r="T189" i="1" s="1"/>
  <c r="AE189" i="1"/>
  <c r="AF189" i="1"/>
  <c r="AH203" i="1"/>
  <c r="AM203" i="1"/>
  <c r="AN203" i="1"/>
  <c r="K190" i="1"/>
  <c r="L190" i="1"/>
  <c r="M190" i="1"/>
  <c r="N190" i="1" s="1"/>
  <c r="V190" i="1"/>
  <c r="Y190" i="1"/>
  <c r="Z190" i="1"/>
  <c r="AB190" i="1"/>
  <c r="AC190" i="1"/>
  <c r="AD190" i="1"/>
  <c r="T190" i="1" s="1"/>
  <c r="AE190" i="1"/>
  <c r="AF190" i="1"/>
  <c r="AH204" i="1"/>
  <c r="AM204" i="1"/>
  <c r="AN204" i="1"/>
  <c r="K191" i="1"/>
  <c r="L191" i="1"/>
  <c r="M191" i="1"/>
  <c r="N191" i="1" s="1"/>
  <c r="V191" i="1"/>
  <c r="Y191" i="1"/>
  <c r="Z191" i="1"/>
  <c r="AB191" i="1"/>
  <c r="AC191" i="1"/>
  <c r="AD191" i="1"/>
  <c r="AG191" i="1" s="1"/>
  <c r="AE191" i="1"/>
  <c r="AF191" i="1"/>
  <c r="AH205" i="1"/>
  <c r="AM205" i="1"/>
  <c r="AN205" i="1"/>
  <c r="K192" i="1"/>
  <c r="L192" i="1"/>
  <c r="M192" i="1"/>
  <c r="N192" i="1" s="1"/>
  <c r="V192" i="1"/>
  <c r="Y192" i="1"/>
  <c r="Z192" i="1"/>
  <c r="AB192" i="1"/>
  <c r="AC192" i="1"/>
  <c r="AD192" i="1"/>
  <c r="T192" i="1" s="1"/>
  <c r="AE192" i="1"/>
  <c r="AF192" i="1"/>
  <c r="AH206" i="1"/>
  <c r="AM206" i="1"/>
  <c r="AN206" i="1"/>
  <c r="K193" i="1"/>
  <c r="L193" i="1"/>
  <c r="M193" i="1"/>
  <c r="N193" i="1" s="1"/>
  <c r="V193" i="1"/>
  <c r="Y193" i="1"/>
  <c r="Z193" i="1"/>
  <c r="AB193" i="1"/>
  <c r="AC193" i="1"/>
  <c r="AD193" i="1"/>
  <c r="T193" i="1" s="1"/>
  <c r="AE193" i="1"/>
  <c r="AF193" i="1"/>
  <c r="AH207" i="1"/>
  <c r="AM207" i="1"/>
  <c r="AN207" i="1"/>
  <c r="K194" i="1"/>
  <c r="L194" i="1"/>
  <c r="M194" i="1"/>
  <c r="N194" i="1" s="1"/>
  <c r="V194" i="1"/>
  <c r="Y194" i="1"/>
  <c r="Z194" i="1"/>
  <c r="AB194" i="1"/>
  <c r="AC194" i="1"/>
  <c r="AD194" i="1"/>
  <c r="T194" i="1" s="1"/>
  <c r="AE194" i="1"/>
  <c r="AF194" i="1"/>
  <c r="AH208" i="1"/>
  <c r="AM208" i="1"/>
  <c r="AN208" i="1"/>
  <c r="K195" i="1"/>
  <c r="L195" i="1"/>
  <c r="M195" i="1"/>
  <c r="N195" i="1" s="1"/>
  <c r="V195" i="1"/>
  <c r="Y195" i="1"/>
  <c r="Z195" i="1"/>
  <c r="AB195" i="1"/>
  <c r="AC195" i="1"/>
  <c r="AD195" i="1"/>
  <c r="AE195" i="1"/>
  <c r="AF195" i="1"/>
  <c r="AH209" i="1"/>
  <c r="AM209" i="1"/>
  <c r="AN209" i="1"/>
  <c r="K196" i="1"/>
  <c r="L196" i="1"/>
  <c r="M196" i="1"/>
  <c r="N196" i="1" s="1"/>
  <c r="V196" i="1"/>
  <c r="Y196" i="1"/>
  <c r="Z196" i="1"/>
  <c r="AB196" i="1"/>
  <c r="AC196" i="1"/>
  <c r="AD196" i="1"/>
  <c r="AE196" i="1"/>
  <c r="AF196" i="1"/>
  <c r="AH210" i="1"/>
  <c r="AM210" i="1"/>
  <c r="AN210" i="1"/>
  <c r="K197" i="1"/>
  <c r="L197" i="1"/>
  <c r="M197" i="1"/>
  <c r="N197" i="1"/>
  <c r="V197" i="1"/>
  <c r="Y197" i="1"/>
  <c r="Z197" i="1"/>
  <c r="AB197" i="1"/>
  <c r="AC197" i="1"/>
  <c r="AD197" i="1"/>
  <c r="T197" i="1" s="1"/>
  <c r="AE197" i="1"/>
  <c r="AF197" i="1"/>
  <c r="AH211" i="1"/>
  <c r="AM211" i="1"/>
  <c r="AN211" i="1"/>
  <c r="K198" i="1"/>
  <c r="L198" i="1"/>
  <c r="M198" i="1"/>
  <c r="N198" i="1" s="1"/>
  <c r="V198" i="1"/>
  <c r="Y198" i="1"/>
  <c r="Z198" i="1"/>
  <c r="AB198" i="1"/>
  <c r="AC198" i="1"/>
  <c r="AD198" i="1"/>
  <c r="T198" i="1" s="1"/>
  <c r="AE198" i="1"/>
  <c r="AF198" i="1"/>
  <c r="AH212" i="1"/>
  <c r="AM212" i="1"/>
  <c r="AN212" i="1"/>
  <c r="AH213" i="1"/>
  <c r="AM213" i="1"/>
  <c r="AN213" i="1"/>
  <c r="K199" i="1"/>
  <c r="L199" i="1"/>
  <c r="M199" i="1"/>
  <c r="N199" i="1" s="1"/>
  <c r="V199" i="1"/>
  <c r="Y199" i="1"/>
  <c r="Z199" i="1"/>
  <c r="AB199" i="1"/>
  <c r="AC199" i="1"/>
  <c r="AD199" i="1"/>
  <c r="X199" i="1" s="1"/>
  <c r="AE199" i="1"/>
  <c r="AF199" i="1"/>
  <c r="AH214" i="1"/>
  <c r="AM214" i="1"/>
  <c r="AN214" i="1"/>
  <c r="K200" i="1"/>
  <c r="L200" i="1"/>
  <c r="M200" i="1"/>
  <c r="N200" i="1" s="1"/>
  <c r="V200" i="1"/>
  <c r="Y200" i="1"/>
  <c r="Z200" i="1"/>
  <c r="AB200" i="1"/>
  <c r="AC200" i="1"/>
  <c r="AD200" i="1"/>
  <c r="T200" i="1" s="1"/>
  <c r="AE200" i="1"/>
  <c r="AF200" i="1"/>
  <c r="AH215" i="1"/>
  <c r="AM215" i="1"/>
  <c r="AN215" i="1"/>
  <c r="K201" i="1"/>
  <c r="L201" i="1"/>
  <c r="M201" i="1"/>
  <c r="N201" i="1" s="1"/>
  <c r="V201" i="1"/>
  <c r="Y201" i="1"/>
  <c r="Z201" i="1"/>
  <c r="AB201" i="1"/>
  <c r="AC201" i="1"/>
  <c r="AD201" i="1"/>
  <c r="T201" i="1" s="1"/>
  <c r="AE201" i="1"/>
  <c r="AF201" i="1"/>
  <c r="AH216" i="1"/>
  <c r="AM216" i="1"/>
  <c r="AN216" i="1"/>
  <c r="K202" i="1"/>
  <c r="L202" i="1"/>
  <c r="M202" i="1"/>
  <c r="N202" i="1" s="1"/>
  <c r="V202" i="1"/>
  <c r="S43" i="3" s="1"/>
  <c r="Y202" i="1"/>
  <c r="Z202" i="1"/>
  <c r="AB202" i="1"/>
  <c r="AC202" i="1"/>
  <c r="AD202" i="1"/>
  <c r="X202" i="1" s="1"/>
  <c r="AE202" i="1"/>
  <c r="R43" i="3" s="1"/>
  <c r="AF202" i="1"/>
  <c r="AH218" i="1"/>
  <c r="AM218" i="1"/>
  <c r="AN218" i="1"/>
  <c r="K203" i="1"/>
  <c r="L203" i="1"/>
  <c r="M203" i="1"/>
  <c r="N203" i="1" s="1"/>
  <c r="V203" i="1"/>
  <c r="Y203" i="1"/>
  <c r="Z203" i="1"/>
  <c r="AB203" i="1"/>
  <c r="AC203" i="1"/>
  <c r="AD203" i="1"/>
  <c r="AE203" i="1"/>
  <c r="AF203" i="1"/>
  <c r="AH219" i="1"/>
  <c r="AM219" i="1"/>
  <c r="AN219" i="1"/>
  <c r="K204" i="1"/>
  <c r="L204" i="1"/>
  <c r="M204" i="1"/>
  <c r="N204" i="1" s="1"/>
  <c r="V204" i="1"/>
  <c r="Y204" i="1"/>
  <c r="Z204" i="1"/>
  <c r="AB204" i="1"/>
  <c r="AC204" i="1"/>
  <c r="AD204" i="1"/>
  <c r="T204" i="1" s="1"/>
  <c r="AE204" i="1"/>
  <c r="AF204" i="1"/>
  <c r="AH220" i="1"/>
  <c r="AM220" i="1"/>
  <c r="AN220" i="1"/>
  <c r="K205" i="1"/>
  <c r="L205" i="1"/>
  <c r="M205" i="1"/>
  <c r="N205" i="1" s="1"/>
  <c r="V205" i="1"/>
  <c r="Y205" i="1"/>
  <c r="Z205" i="1"/>
  <c r="AB205" i="1"/>
  <c r="AC205" i="1"/>
  <c r="AD205" i="1"/>
  <c r="T205" i="1" s="1"/>
  <c r="AE205" i="1"/>
  <c r="AF205" i="1"/>
  <c r="AH221" i="1"/>
  <c r="AM221" i="1"/>
  <c r="AN221" i="1"/>
  <c r="K206" i="1"/>
  <c r="L206" i="1"/>
  <c r="M206" i="1"/>
  <c r="N206" i="1" s="1"/>
  <c r="V206" i="1"/>
  <c r="Y206" i="1"/>
  <c r="Z206" i="1"/>
  <c r="AB206" i="1"/>
  <c r="AC206" i="1"/>
  <c r="AD206" i="1"/>
  <c r="T206" i="1" s="1"/>
  <c r="AE206" i="1"/>
  <c r="AF206" i="1"/>
  <c r="AH222" i="1"/>
  <c r="AM222" i="1"/>
  <c r="AN222" i="1"/>
  <c r="K229" i="1"/>
  <c r="L229" i="1"/>
  <c r="M229" i="1"/>
  <c r="N229" i="1" s="1"/>
  <c r="V229" i="1"/>
  <c r="Y229" i="1"/>
  <c r="Z229" i="1"/>
  <c r="AB229" i="1"/>
  <c r="AC229" i="1"/>
  <c r="AD229" i="1"/>
  <c r="T229" i="1" s="1"/>
  <c r="AE229" i="1"/>
  <c r="AF229" i="1"/>
  <c r="AH223" i="1"/>
  <c r="AM223" i="1"/>
  <c r="AN223" i="1"/>
  <c r="K230" i="1"/>
  <c r="L230" i="1"/>
  <c r="M230" i="1"/>
  <c r="N230" i="1" s="1"/>
  <c r="V230" i="1"/>
  <c r="Y230" i="1"/>
  <c r="Z230" i="1"/>
  <c r="AB230" i="1"/>
  <c r="AC230" i="1"/>
  <c r="AD230" i="1"/>
  <c r="T230" i="1" s="1"/>
  <c r="AE230" i="1"/>
  <c r="AF230" i="1"/>
  <c r="AH224" i="1"/>
  <c r="AM224" i="1"/>
  <c r="AN224" i="1"/>
  <c r="K231" i="1"/>
  <c r="L231" i="1"/>
  <c r="M231" i="1"/>
  <c r="N231" i="1" s="1"/>
  <c r="V231" i="1"/>
  <c r="Y231" i="1"/>
  <c r="Z231" i="1"/>
  <c r="AB231" i="1"/>
  <c r="AC231" i="1"/>
  <c r="AD231" i="1"/>
  <c r="T231" i="1" s="1"/>
  <c r="AE231" i="1"/>
  <c r="AF231" i="1"/>
  <c r="AH225" i="1"/>
  <c r="AM225" i="1"/>
  <c r="AN225" i="1"/>
  <c r="K232" i="1"/>
  <c r="L232" i="1"/>
  <c r="M232" i="1"/>
  <c r="N232" i="1" s="1"/>
  <c r="V232" i="1"/>
  <c r="Y232" i="1"/>
  <c r="Z232" i="1"/>
  <c r="AB232" i="1"/>
  <c r="AC232" i="1"/>
  <c r="AD232" i="1"/>
  <c r="AG232" i="1" s="1"/>
  <c r="AE232" i="1"/>
  <c r="AF232" i="1"/>
  <c r="AH226" i="1"/>
  <c r="AM226" i="1"/>
  <c r="AN226" i="1"/>
  <c r="K233" i="1"/>
  <c r="L233" i="1"/>
  <c r="M233" i="1"/>
  <c r="N233" i="1" s="1"/>
  <c r="V233" i="1"/>
  <c r="Y233" i="1"/>
  <c r="Z233" i="1"/>
  <c r="AB233" i="1"/>
  <c r="AC233" i="1"/>
  <c r="AD233" i="1"/>
  <c r="T233" i="1" s="1"/>
  <c r="AE233" i="1"/>
  <c r="AF233" i="1"/>
  <c r="AH227" i="1"/>
  <c r="AM227" i="1"/>
  <c r="AN227" i="1"/>
  <c r="K234" i="1"/>
  <c r="L234" i="1"/>
  <c r="M234" i="1"/>
  <c r="N234" i="1" s="1"/>
  <c r="V234" i="1"/>
  <c r="Y234" i="1"/>
  <c r="Z234" i="1"/>
  <c r="AB234" i="1"/>
  <c r="AC234" i="1"/>
  <c r="AD234" i="1"/>
  <c r="T234" i="1" s="1"/>
  <c r="AE234" i="1"/>
  <c r="AF234" i="1"/>
  <c r="AH228" i="1"/>
  <c r="AM228" i="1"/>
  <c r="AN228" i="1"/>
  <c r="K218" i="1"/>
  <c r="L218" i="1"/>
  <c r="M218" i="1"/>
  <c r="N218" i="1" s="1"/>
  <c r="V218" i="1"/>
  <c r="Y218" i="1"/>
  <c r="Z218" i="1"/>
  <c r="AB218" i="1"/>
  <c r="AC218" i="1"/>
  <c r="AD218" i="1"/>
  <c r="T218" i="1" s="1"/>
  <c r="AE218" i="1"/>
  <c r="AF218" i="1"/>
  <c r="AH229" i="1"/>
  <c r="AM229" i="1"/>
  <c r="AN229" i="1"/>
  <c r="K219" i="1"/>
  <c r="L219" i="1"/>
  <c r="M219" i="1"/>
  <c r="N219" i="1" s="1"/>
  <c r="V219" i="1"/>
  <c r="Y219" i="1"/>
  <c r="Z219" i="1"/>
  <c r="AB219" i="1"/>
  <c r="AC219" i="1"/>
  <c r="AD219" i="1"/>
  <c r="AG219" i="1" s="1"/>
  <c r="AE219" i="1"/>
  <c r="AF219" i="1"/>
  <c r="AH230" i="1"/>
  <c r="AM230" i="1"/>
  <c r="AN230" i="1"/>
  <c r="K220" i="1"/>
  <c r="L220" i="1"/>
  <c r="M220" i="1"/>
  <c r="N220" i="1" s="1"/>
  <c r="V220" i="1"/>
  <c r="Y220" i="1"/>
  <c r="Z220" i="1"/>
  <c r="AB220" i="1"/>
  <c r="AC220" i="1"/>
  <c r="AD220" i="1"/>
  <c r="AG220" i="1" s="1"/>
  <c r="AE220" i="1"/>
  <c r="AF220" i="1"/>
  <c r="AH231" i="1"/>
  <c r="AM231" i="1"/>
  <c r="AN231" i="1"/>
  <c r="K221" i="1"/>
  <c r="L221" i="1"/>
  <c r="M221" i="1"/>
  <c r="N221" i="1" s="1"/>
  <c r="V221" i="1"/>
  <c r="Y221" i="1"/>
  <c r="Z221" i="1"/>
  <c r="AB221" i="1"/>
  <c r="AC221" i="1"/>
  <c r="AD221" i="1"/>
  <c r="T221" i="1" s="1"/>
  <c r="AE221" i="1"/>
  <c r="AF221" i="1"/>
  <c r="AH232" i="1"/>
  <c r="AM232" i="1"/>
  <c r="AN232" i="1"/>
  <c r="K222" i="1"/>
  <c r="L222" i="1"/>
  <c r="M222" i="1"/>
  <c r="N222" i="1" s="1"/>
  <c r="V222" i="1"/>
  <c r="S47" i="3" s="1"/>
  <c r="Y222" i="1"/>
  <c r="Z222" i="1"/>
  <c r="AB222" i="1"/>
  <c r="AC222" i="1"/>
  <c r="AD222" i="1"/>
  <c r="T222" i="1" s="1"/>
  <c r="AE222" i="1"/>
  <c r="R47" i="3" s="1"/>
  <c r="AF222" i="1"/>
  <c r="AH233" i="1"/>
  <c r="AM233" i="1"/>
  <c r="AN233" i="1"/>
  <c r="K223" i="1"/>
  <c r="L223" i="1"/>
  <c r="M223" i="1"/>
  <c r="N223" i="1" s="1"/>
  <c r="V223" i="1"/>
  <c r="Y223" i="1"/>
  <c r="Z223" i="1"/>
  <c r="AB223" i="1"/>
  <c r="AC223" i="1"/>
  <c r="AD223" i="1"/>
  <c r="AG223" i="1" s="1"/>
  <c r="AE223" i="1"/>
  <c r="AF223" i="1"/>
  <c r="AH234" i="1"/>
  <c r="AM234" i="1"/>
  <c r="AN234" i="1"/>
  <c r="M49" i="3"/>
  <c r="R49" i="3"/>
  <c r="S49" i="3"/>
  <c r="U49" i="3"/>
  <c r="T49" i="3" s="1"/>
  <c r="V49" i="3"/>
  <c r="W49" i="3"/>
  <c r="X49" i="3"/>
  <c r="M15" i="3"/>
  <c r="S15" i="3"/>
  <c r="U15" i="3"/>
  <c r="T15" i="3" s="1"/>
  <c r="V15" i="3"/>
  <c r="W15" i="3"/>
  <c r="X15" i="3"/>
  <c r="AC15" i="3"/>
  <c r="M13" i="3"/>
  <c r="R13" i="3"/>
  <c r="U13" i="3"/>
  <c r="AC13" i="3" s="1"/>
  <c r="V13" i="3"/>
  <c r="W13" i="3"/>
  <c r="X13" i="3"/>
  <c r="M22" i="3"/>
  <c r="R22" i="3"/>
  <c r="U22" i="3"/>
  <c r="AC22" i="3" s="1"/>
  <c r="V22" i="3"/>
  <c r="W22" i="3"/>
  <c r="X22" i="3"/>
  <c r="M28" i="3"/>
  <c r="R28" i="3"/>
  <c r="S28" i="3"/>
  <c r="U28" i="3"/>
  <c r="AC28" i="3" s="1"/>
  <c r="V28" i="3"/>
  <c r="W28" i="3"/>
  <c r="X28" i="3"/>
  <c r="M23" i="3"/>
  <c r="S23" i="3"/>
  <c r="U23" i="3"/>
  <c r="V23" i="3"/>
  <c r="W23" i="3"/>
  <c r="X23" i="3"/>
  <c r="AC23" i="3"/>
  <c r="M10" i="3"/>
  <c r="U10" i="3"/>
  <c r="AC10" i="3" s="1"/>
  <c r="V10" i="3"/>
  <c r="W10" i="3"/>
  <c r="X10" i="3"/>
  <c r="M17" i="3"/>
  <c r="U17" i="3"/>
  <c r="AC17" i="3" s="1"/>
  <c r="V17" i="3"/>
  <c r="W17" i="3"/>
  <c r="X17" i="3"/>
  <c r="M20" i="3"/>
  <c r="R20" i="3"/>
  <c r="U20" i="3"/>
  <c r="AC20" i="3" s="1"/>
  <c r="V20" i="3"/>
  <c r="W20" i="3"/>
  <c r="X20" i="3"/>
  <c r="M18" i="3"/>
  <c r="U18" i="3"/>
  <c r="T18" i="3" s="1"/>
  <c r="V18" i="3"/>
  <c r="W18" i="3"/>
  <c r="X18" i="3"/>
  <c r="AC18" i="3"/>
  <c r="M19" i="3"/>
  <c r="S19" i="3"/>
  <c r="U19" i="3"/>
  <c r="AC19" i="3" s="1"/>
  <c r="V19" i="3"/>
  <c r="W19" i="3"/>
  <c r="X19" i="3"/>
  <c r="M25" i="3"/>
  <c r="U25" i="3"/>
  <c r="AC25" i="3" s="1"/>
  <c r="V25" i="3"/>
  <c r="W25" i="3"/>
  <c r="X25" i="3"/>
  <c r="M26" i="3"/>
  <c r="R26" i="3"/>
  <c r="U26" i="3"/>
  <c r="AC26" i="3" s="1"/>
  <c r="V26" i="3"/>
  <c r="W26" i="3"/>
  <c r="X26" i="3"/>
  <c r="M16" i="3"/>
  <c r="U16" i="3"/>
  <c r="V16" i="3"/>
  <c r="W16" i="3"/>
  <c r="X16" i="3"/>
  <c r="AC16" i="3"/>
  <c r="M12" i="3"/>
  <c r="U12" i="3"/>
  <c r="V12" i="3"/>
  <c r="W12" i="3"/>
  <c r="X12" i="3"/>
  <c r="M11" i="3"/>
  <c r="U11" i="3"/>
  <c r="AC11" i="3" s="1"/>
  <c r="V11" i="3"/>
  <c r="W11" i="3"/>
  <c r="X11" i="3"/>
  <c r="M29" i="3"/>
  <c r="R29" i="3"/>
  <c r="S29" i="3"/>
  <c r="U29" i="3"/>
  <c r="AC29" i="3" s="1"/>
  <c r="V29" i="3"/>
  <c r="W29" i="3"/>
  <c r="X29" i="3"/>
  <c r="M30" i="3"/>
  <c r="S30" i="3"/>
  <c r="U30" i="3"/>
  <c r="T30" i="3" s="1"/>
  <c r="V30" i="3"/>
  <c r="W30" i="3"/>
  <c r="X30" i="3"/>
  <c r="AC30" i="3"/>
  <c r="M32" i="3"/>
  <c r="S32" i="3"/>
  <c r="U32" i="3"/>
  <c r="AD32" i="3" s="1"/>
  <c r="V32" i="3"/>
  <c r="W32" i="3"/>
  <c r="X32" i="3"/>
  <c r="M40" i="3"/>
  <c r="U40" i="3"/>
  <c r="AC40" i="3" s="1"/>
  <c r="V40" i="3"/>
  <c r="W40" i="3"/>
  <c r="X40" i="3"/>
  <c r="M7" i="3"/>
  <c r="R7" i="3"/>
  <c r="U7" i="3"/>
  <c r="AC7" i="3" s="1"/>
  <c r="V7" i="3"/>
  <c r="W7" i="3"/>
  <c r="X7" i="3"/>
  <c r="M42" i="3"/>
  <c r="U42" i="3"/>
  <c r="T42" i="3" s="1"/>
  <c r="V42" i="3"/>
  <c r="W42" i="3"/>
  <c r="Y42" i="3" s="1"/>
  <c r="X42" i="3"/>
  <c r="AC42" i="3"/>
  <c r="M14" i="3"/>
  <c r="R14" i="3"/>
  <c r="S14" i="3"/>
  <c r="U14" i="3"/>
  <c r="V14" i="3"/>
  <c r="W14" i="3"/>
  <c r="X14" i="3"/>
  <c r="M21" i="3"/>
  <c r="R21" i="3"/>
  <c r="U21" i="3"/>
  <c r="AC21" i="3" s="1"/>
  <c r="V21" i="3"/>
  <c r="W21" i="3"/>
  <c r="X21" i="3"/>
  <c r="M33" i="3"/>
  <c r="S33" i="3"/>
  <c r="U33" i="3"/>
  <c r="AC33" i="3" s="1"/>
  <c r="V33" i="3"/>
  <c r="W33" i="3"/>
  <c r="X33" i="3"/>
  <c r="M41" i="3"/>
  <c r="U41" i="3"/>
  <c r="T41" i="3" s="1"/>
  <c r="V41" i="3"/>
  <c r="W41" i="3"/>
  <c r="X41" i="3"/>
  <c r="M38" i="3"/>
  <c r="R38" i="3"/>
  <c r="U38" i="3"/>
  <c r="V38" i="3"/>
  <c r="W38" i="3"/>
  <c r="X38" i="3"/>
  <c r="M31" i="3"/>
  <c r="R31" i="3"/>
  <c r="U31" i="3"/>
  <c r="AC31" i="3" s="1"/>
  <c r="V31" i="3"/>
  <c r="W31" i="3"/>
  <c r="X31" i="3"/>
  <c r="M24" i="3"/>
  <c r="U24" i="3"/>
  <c r="AC24" i="3" s="1"/>
  <c r="V24" i="3"/>
  <c r="W24" i="3"/>
  <c r="X24" i="3"/>
  <c r="M44" i="3"/>
  <c r="U44" i="3"/>
  <c r="V44" i="3"/>
  <c r="W44" i="3"/>
  <c r="X44" i="3"/>
  <c r="AC44" i="3"/>
  <c r="M34" i="3"/>
  <c r="S34" i="3"/>
  <c r="U34" i="3"/>
  <c r="V34" i="3"/>
  <c r="W34" i="3"/>
  <c r="X34" i="3"/>
  <c r="M39" i="3"/>
  <c r="U39" i="3"/>
  <c r="AC39" i="3" s="1"/>
  <c r="V39" i="3"/>
  <c r="W39" i="3"/>
  <c r="X39" i="3"/>
  <c r="M27" i="3"/>
  <c r="U27" i="3"/>
  <c r="AC27" i="3" s="1"/>
  <c r="V27" i="3"/>
  <c r="W27" i="3"/>
  <c r="X27" i="3"/>
  <c r="M37" i="3"/>
  <c r="S37" i="3"/>
  <c r="U37" i="3"/>
  <c r="T37" i="3" s="1"/>
  <c r="V37" i="3"/>
  <c r="W37" i="3"/>
  <c r="X37" i="3"/>
  <c r="AC37" i="3"/>
  <c r="M35" i="3"/>
  <c r="U35" i="3"/>
  <c r="AD42" i="3" s="1"/>
  <c r="V35" i="3"/>
  <c r="W35" i="3"/>
  <c r="X35" i="3"/>
  <c r="AC35" i="3"/>
  <c r="M36" i="3"/>
  <c r="R36" i="3"/>
  <c r="U36" i="3"/>
  <c r="AC36" i="3" s="1"/>
  <c r="V36" i="3"/>
  <c r="W36" i="3"/>
  <c r="X36" i="3"/>
  <c r="M45" i="3"/>
  <c r="R45" i="3"/>
  <c r="U45" i="3"/>
  <c r="AC45" i="3" s="1"/>
  <c r="V45" i="3"/>
  <c r="W45" i="3"/>
  <c r="X45" i="3"/>
  <c r="M46" i="3"/>
  <c r="R46" i="3"/>
  <c r="U46" i="3"/>
  <c r="T46" i="3" s="1"/>
  <c r="V46" i="3"/>
  <c r="W46" i="3"/>
  <c r="X46" i="3"/>
  <c r="AC46" i="3"/>
  <c r="M47" i="3"/>
  <c r="U47" i="3"/>
  <c r="V47" i="3"/>
  <c r="W47" i="3"/>
  <c r="X47" i="3"/>
  <c r="M43" i="3"/>
  <c r="U43" i="3"/>
  <c r="AC43" i="3" s="1"/>
  <c r="V43" i="3"/>
  <c r="W43" i="3"/>
  <c r="X43" i="3"/>
  <c r="M8" i="3"/>
  <c r="U8" i="3"/>
  <c r="AC8" i="3" s="1"/>
  <c r="V8" i="3"/>
  <c r="W8" i="3"/>
  <c r="X8" i="3"/>
  <c r="M9" i="3"/>
  <c r="U9" i="3"/>
  <c r="T9" i="3" s="1"/>
  <c r="V9" i="3"/>
  <c r="W9" i="3"/>
  <c r="X9" i="3"/>
  <c r="AC9" i="3"/>
  <c r="X146" i="1" l="1"/>
  <c r="X142" i="1"/>
  <c r="X201" i="1"/>
  <c r="X197" i="1"/>
  <c r="AA149" i="1"/>
  <c r="X200" i="1"/>
  <c r="AA150" i="1"/>
  <c r="X198" i="1"/>
  <c r="Y14" i="3"/>
  <c r="AD19" i="3"/>
  <c r="AD41" i="3"/>
  <c r="S45" i="3"/>
  <c r="Y31" i="3"/>
  <c r="AA168" i="1"/>
  <c r="AA166" i="1"/>
  <c r="X150" i="1"/>
  <c r="T86" i="1"/>
  <c r="X17" i="1"/>
  <c r="X191" i="1"/>
  <c r="AC41" i="3"/>
  <c r="Y40" i="3"/>
  <c r="X133" i="1"/>
  <c r="X75" i="1"/>
  <c r="X190" i="1"/>
  <c r="AD25" i="3"/>
  <c r="Y19" i="3"/>
  <c r="AI191" i="1"/>
  <c r="AA181" i="1"/>
  <c r="AA136" i="1"/>
  <c r="AA74" i="1"/>
  <c r="AA62" i="1"/>
  <c r="AA58" i="1"/>
  <c r="T17" i="1"/>
  <c r="X189" i="1"/>
  <c r="AA120" i="1"/>
  <c r="X171" i="1"/>
  <c r="AD49" i="3"/>
  <c r="AE49" i="3"/>
  <c r="Y36" i="3"/>
  <c r="S38" i="3"/>
  <c r="S16" i="3"/>
  <c r="S25" i="3"/>
  <c r="R10" i="3"/>
  <c r="Y49" i="3"/>
  <c r="AG233" i="1"/>
  <c r="AA190" i="1"/>
  <c r="AG168" i="1"/>
  <c r="AG150" i="1"/>
  <c r="AA147" i="1"/>
  <c r="AA145" i="1"/>
  <c r="AA130" i="1"/>
  <c r="AA119" i="1"/>
  <c r="AA86" i="1"/>
  <c r="X68" i="1"/>
  <c r="AG17" i="1"/>
  <c r="X174" i="1"/>
  <c r="AA183" i="1"/>
  <c r="Y38" i="3"/>
  <c r="S12" i="3"/>
  <c r="Y17" i="3"/>
  <c r="Y13" i="3"/>
  <c r="Y15" i="3"/>
  <c r="AA180" i="1"/>
  <c r="AA176" i="1"/>
  <c r="AA211" i="1"/>
  <c r="AA207" i="1"/>
  <c r="AA105" i="1"/>
  <c r="AA101" i="1"/>
  <c r="AA75" i="1"/>
  <c r="AA67" i="1"/>
  <c r="T30" i="1"/>
  <c r="X173" i="1"/>
  <c r="AC32" i="3"/>
  <c r="X172" i="1"/>
  <c r="AI216" i="1"/>
  <c r="AG213" i="1"/>
  <c r="AI213" i="1" s="1"/>
  <c r="X213" i="1"/>
  <c r="X121" i="1"/>
  <c r="AA112" i="1"/>
  <c r="X98" i="1"/>
  <c r="AG97" i="1"/>
  <c r="U97" i="1" s="1"/>
  <c r="S97" i="1" s="1"/>
  <c r="AA83" i="1"/>
  <c r="X80" i="1"/>
  <c r="AG35" i="1"/>
  <c r="AI35" i="1" s="1"/>
  <c r="X108" i="1"/>
  <c r="X109" i="1"/>
  <c r="AA198" i="1"/>
  <c r="AE44" i="3"/>
  <c r="Y21" i="3"/>
  <c r="AD28" i="3"/>
  <c r="Y22" i="3"/>
  <c r="AG198" i="1"/>
  <c r="U198" i="1" s="1"/>
  <c r="S198" i="1" s="1"/>
  <c r="X158" i="1"/>
  <c r="AG149" i="1"/>
  <c r="AI149" i="1" s="1"/>
  <c r="T120" i="1"/>
  <c r="AG86" i="1"/>
  <c r="AG43" i="1"/>
  <c r="AI43" i="1" s="1"/>
  <c r="X21" i="1"/>
  <c r="X107" i="1"/>
  <c r="AA165" i="1"/>
  <c r="Y12" i="3"/>
  <c r="AA192" i="1"/>
  <c r="AG128" i="1"/>
  <c r="AI128" i="1" s="1"/>
  <c r="T125" i="1"/>
  <c r="U125" i="1" s="1"/>
  <c r="S125" i="1" s="1"/>
  <c r="AG109" i="1"/>
  <c r="AI109" i="1" s="1"/>
  <c r="AD44" i="3"/>
  <c r="AD40" i="3"/>
  <c r="AD13" i="3"/>
  <c r="Y26" i="3"/>
  <c r="AA201" i="1"/>
  <c r="AA187" i="1"/>
  <c r="X178" i="1"/>
  <c r="AA164" i="1"/>
  <c r="AA162" i="1"/>
  <c r="AA213" i="1"/>
  <c r="AA212" i="1"/>
  <c r="X113" i="1"/>
  <c r="T112" i="1"/>
  <c r="AA80" i="1"/>
  <c r="W80" i="1" s="1"/>
  <c r="T80" i="1"/>
  <c r="X72" i="1"/>
  <c r="AG71" i="1"/>
  <c r="X67" i="1"/>
  <c r="AA63" i="1"/>
  <c r="W63" i="1" s="1"/>
  <c r="AA59" i="1"/>
  <c r="T50" i="1"/>
  <c r="U50" i="1" s="1"/>
  <c r="S50" i="1" s="1"/>
  <c r="AG41" i="1"/>
  <c r="AI41" i="1" s="1"/>
  <c r="X41" i="1"/>
  <c r="X30" i="1"/>
  <c r="AA24" i="1"/>
  <c r="AA22" i="1"/>
  <c r="X106" i="1"/>
  <c r="S36" i="3"/>
  <c r="T7" i="3"/>
  <c r="AD26" i="3"/>
  <c r="AE13" i="3"/>
  <c r="R12" i="3"/>
  <c r="R16" i="3"/>
  <c r="T20" i="3"/>
  <c r="AA199" i="1"/>
  <c r="AI188" i="1"/>
  <c r="AA161" i="1"/>
  <c r="AA226" i="1"/>
  <c r="AA158" i="1"/>
  <c r="T158" i="1"/>
  <c r="AG157" i="1"/>
  <c r="AI157" i="1" s="1"/>
  <c r="AA156" i="1"/>
  <c r="AA142" i="1"/>
  <c r="T142" i="1"/>
  <c r="AG141" i="1"/>
  <c r="AI141" i="1" s="1"/>
  <c r="X141" i="1"/>
  <c r="AA134" i="1"/>
  <c r="T133" i="1"/>
  <c r="AA129" i="1"/>
  <c r="AI116" i="1"/>
  <c r="AG110" i="1"/>
  <c r="U110" i="1" s="1"/>
  <c r="S110" i="1" s="1"/>
  <c r="AA99" i="1"/>
  <c r="AG94" i="1"/>
  <c r="U94" i="1" s="1"/>
  <c r="S94" i="1" s="1"/>
  <c r="AA88" i="1"/>
  <c r="AA73" i="1"/>
  <c r="AA49" i="1"/>
  <c r="AA47" i="1"/>
  <c r="T21" i="1"/>
  <c r="AA20" i="1"/>
  <c r="W20" i="1" s="1"/>
  <c r="AA16" i="1"/>
  <c r="AD36" i="3"/>
  <c r="Y47" i="3"/>
  <c r="Y41" i="3"/>
  <c r="Y7" i="3"/>
  <c r="Y20" i="3"/>
  <c r="X154" i="1"/>
  <c r="X140" i="1"/>
  <c r="U112" i="1"/>
  <c r="S112" i="1" s="1"/>
  <c r="U52" i="1"/>
  <c r="S52" i="1" s="1"/>
  <c r="T46" i="1"/>
  <c r="AI17" i="1"/>
  <c r="AD21" i="3"/>
  <c r="Y45" i="3"/>
  <c r="Y34" i="3"/>
  <c r="Y11" i="3"/>
  <c r="R11" i="3"/>
  <c r="Y10" i="3"/>
  <c r="Y28" i="3"/>
  <c r="AI233" i="1"/>
  <c r="X233" i="1"/>
  <c r="Y43" i="3"/>
  <c r="Y39" i="3"/>
  <c r="AD34" i="3"/>
  <c r="AD33" i="3"/>
  <c r="AE33" i="3"/>
  <c r="AD30" i="3"/>
  <c r="AE28" i="3"/>
  <c r="Y32" i="3"/>
  <c r="Y29" i="3"/>
  <c r="AD22" i="3"/>
  <c r="Y25" i="3"/>
  <c r="AE21" i="3"/>
  <c r="AG222" i="1"/>
  <c r="U222" i="1" s="1"/>
  <c r="S222" i="1" s="1"/>
  <c r="AA220" i="1"/>
  <c r="T219" i="1"/>
  <c r="U219" i="1" s="1"/>
  <c r="S219" i="1" s="1"/>
  <c r="AG194" i="1"/>
  <c r="U194" i="1" s="1"/>
  <c r="S194" i="1" s="1"/>
  <c r="AG183" i="1"/>
  <c r="U183" i="1" s="1"/>
  <c r="S183" i="1" s="1"/>
  <c r="AA170" i="1"/>
  <c r="AA160" i="1"/>
  <c r="AA227" i="1"/>
  <c r="W227" i="1" s="1"/>
  <c r="AG158" i="1"/>
  <c r="AG142" i="1"/>
  <c r="X137" i="1"/>
  <c r="AG134" i="1"/>
  <c r="AI134" i="1" s="1"/>
  <c r="AG133" i="1"/>
  <c r="X117" i="1"/>
  <c r="X102" i="1"/>
  <c r="AA98" i="1"/>
  <c r="AA94" i="1"/>
  <c r="AA89" i="1"/>
  <c r="W89" i="1" s="1"/>
  <c r="T84" i="1"/>
  <c r="U84" i="1" s="1"/>
  <c r="S84" i="1" s="1"/>
  <c r="X76" i="1"/>
  <c r="AG73" i="1"/>
  <c r="AA72" i="1"/>
  <c r="X56" i="1"/>
  <c r="AG55" i="1"/>
  <c r="AA54" i="1"/>
  <c r="AA46" i="1"/>
  <c r="W46" i="1" s="1"/>
  <c r="AA19" i="1"/>
  <c r="W116" i="1"/>
  <c r="AA225" i="1"/>
  <c r="AA216" i="1"/>
  <c r="W216" i="1" s="1"/>
  <c r="AA215" i="1"/>
  <c r="AG212" i="1"/>
  <c r="AI212" i="1" s="1"/>
  <c r="AA208" i="1"/>
  <c r="W208" i="1" s="1"/>
  <c r="AA157" i="1"/>
  <c r="AA153" i="1"/>
  <c r="W153" i="1" s="1"/>
  <c r="AA152" i="1"/>
  <c r="AA146" i="1"/>
  <c r="T146" i="1"/>
  <c r="AG145" i="1"/>
  <c r="AI145" i="1" s="1"/>
  <c r="AA143" i="1"/>
  <c r="T140" i="1"/>
  <c r="U140" i="1" s="1"/>
  <c r="S140" i="1" s="1"/>
  <c r="T132" i="1"/>
  <c r="AA131" i="1"/>
  <c r="AG129" i="1"/>
  <c r="U129" i="1" s="1"/>
  <c r="S129" i="1" s="1"/>
  <c r="X129" i="1"/>
  <c r="AA128" i="1"/>
  <c r="W128" i="1" s="1"/>
  <c r="AG126" i="1"/>
  <c r="U126" i="1" s="1"/>
  <c r="S126" i="1" s="1"/>
  <c r="AA124" i="1"/>
  <c r="AA121" i="1"/>
  <c r="T121" i="1"/>
  <c r="AA114" i="1"/>
  <c r="AA109" i="1"/>
  <c r="W94" i="1"/>
  <c r="W86" i="1"/>
  <c r="AA50" i="1"/>
  <c r="W50" i="1" s="1"/>
  <c r="AG49" i="1"/>
  <c r="AA45" i="1"/>
  <c r="X28" i="1"/>
  <c r="T220" i="1"/>
  <c r="U220" i="1" s="1"/>
  <c r="S220" i="1" s="1"/>
  <c r="AA219" i="1"/>
  <c r="W219" i="1" s="1"/>
  <c r="AA218" i="1"/>
  <c r="AA231" i="1"/>
  <c r="AG229" i="1"/>
  <c r="AI229" i="1" s="1"/>
  <c r="X229" i="1"/>
  <c r="AA203" i="1"/>
  <c r="AG201" i="1"/>
  <c r="U201" i="1" s="1"/>
  <c r="S201" i="1" s="1"/>
  <c r="AA194" i="1"/>
  <c r="AG190" i="1"/>
  <c r="U190" i="1" s="1"/>
  <c r="S190" i="1" s="1"/>
  <c r="AG187" i="1"/>
  <c r="AA185" i="1"/>
  <c r="AA179" i="1"/>
  <c r="W179" i="1" s="1"/>
  <c r="AA177" i="1"/>
  <c r="W177" i="1" s="1"/>
  <c r="AG175" i="1"/>
  <c r="AA172" i="1"/>
  <c r="T116" i="1"/>
  <c r="U116" i="1" s="1"/>
  <c r="S116" i="1" s="1"/>
  <c r="AA115" i="1"/>
  <c r="T113" i="1"/>
  <c r="AA111" i="1"/>
  <c r="AA110" i="1"/>
  <c r="W110" i="1" s="1"/>
  <c r="AG106" i="1"/>
  <c r="AA103" i="1"/>
  <c r="T101" i="1"/>
  <c r="U101" i="1" s="1"/>
  <c r="S101" i="1" s="1"/>
  <c r="AA100" i="1"/>
  <c r="T98" i="1"/>
  <c r="AA96" i="1"/>
  <c r="AA95" i="1"/>
  <c r="AG90" i="1"/>
  <c r="AI90" i="1" s="1"/>
  <c r="X90" i="1"/>
  <c r="AA87" i="1"/>
  <c r="AA85" i="1"/>
  <c r="AG83" i="1"/>
  <c r="W83" i="1" s="1"/>
  <c r="T72" i="1"/>
  <c r="AA69" i="1"/>
  <c r="AG64" i="1"/>
  <c r="U64" i="1" s="1"/>
  <c r="S64" i="1" s="1"/>
  <c r="X64" i="1"/>
  <c r="AG60" i="1"/>
  <c r="X60" i="1"/>
  <c r="AA56" i="1"/>
  <c r="T56" i="1"/>
  <c r="T48" i="1"/>
  <c r="X46" i="1"/>
  <c r="AA40" i="1"/>
  <c r="W40" i="1" s="1"/>
  <c r="T40" i="1"/>
  <c r="U40" i="1" s="1"/>
  <c r="S40" i="1" s="1"/>
  <c r="AA39" i="1"/>
  <c r="AA35" i="1"/>
  <c r="W35" i="1" s="1"/>
  <c r="AG33" i="1"/>
  <c r="AI33" i="1" s="1"/>
  <c r="X33" i="1"/>
  <c r="AA29" i="1"/>
  <c r="AA27" i="1"/>
  <c r="AG25" i="1"/>
  <c r="AI25" i="1" s="1"/>
  <c r="X25" i="1"/>
  <c r="AA18" i="1"/>
  <c r="X16" i="1"/>
  <c r="X15" i="1"/>
  <c r="T223" i="1"/>
  <c r="U223" i="1" s="1"/>
  <c r="S223" i="1" s="1"/>
  <c r="AA222" i="1"/>
  <c r="X170" i="1"/>
  <c r="X162" i="1"/>
  <c r="X216" i="1"/>
  <c r="AA214" i="1"/>
  <c r="AA159" i="1"/>
  <c r="X153" i="1"/>
  <c r="AA151" i="1"/>
  <c r="AA148" i="1"/>
  <c r="W148" i="1" s="1"/>
  <c r="AG146" i="1"/>
  <c r="U146" i="1" s="1"/>
  <c r="S146" i="1" s="1"/>
  <c r="AA140" i="1"/>
  <c r="W140" i="1" s="1"/>
  <c r="AA137" i="1"/>
  <c r="AA135" i="1"/>
  <c r="AA132" i="1"/>
  <c r="W132" i="1" s="1"/>
  <c r="AA127" i="1"/>
  <c r="AA126" i="1"/>
  <c r="AG121" i="1"/>
  <c r="U120" i="1"/>
  <c r="S120" i="1" s="1"/>
  <c r="T76" i="1"/>
  <c r="AA51" i="1"/>
  <c r="AA48" i="1"/>
  <c r="T38" i="1"/>
  <c r="U38" i="1" s="1"/>
  <c r="S38" i="1" s="1"/>
  <c r="U35" i="1"/>
  <c r="S35" i="1" s="1"/>
  <c r="T32" i="1"/>
  <c r="U32" i="1" s="1"/>
  <c r="S32" i="1" s="1"/>
  <c r="AA31" i="1"/>
  <c r="AA28" i="1"/>
  <c r="W28" i="1" s="1"/>
  <c r="AA23" i="1"/>
  <c r="AG21" i="1"/>
  <c r="AI21" i="1" s="1"/>
  <c r="AA223" i="1"/>
  <c r="W223" i="1" s="1"/>
  <c r="AA233" i="1"/>
  <c r="W233" i="1" s="1"/>
  <c r="X232" i="1"/>
  <c r="AG231" i="1"/>
  <c r="U231" i="1" s="1"/>
  <c r="S231" i="1" s="1"/>
  <c r="AA230" i="1"/>
  <c r="AA206" i="1"/>
  <c r="AA205" i="1"/>
  <c r="AA196" i="1"/>
  <c r="AI184" i="1"/>
  <c r="X177" i="1"/>
  <c r="AA175" i="1"/>
  <c r="W175" i="1" s="1"/>
  <c r="AA173" i="1"/>
  <c r="W173" i="1" s="1"/>
  <c r="AA169" i="1"/>
  <c r="X163" i="1"/>
  <c r="W112" i="1"/>
  <c r="AA108" i="1"/>
  <c r="W108" i="1" s="1"/>
  <c r="AA106" i="1"/>
  <c r="T105" i="1"/>
  <c r="U105" i="1" s="1"/>
  <c r="S105" i="1" s="1"/>
  <c r="AA104" i="1"/>
  <c r="AA97" i="1"/>
  <c r="AG95" i="1"/>
  <c r="U95" i="1" s="1"/>
  <c r="S95" i="1" s="1"/>
  <c r="AA93" i="1"/>
  <c r="W93" i="1" s="1"/>
  <c r="AA90" i="1"/>
  <c r="AA84" i="1"/>
  <c r="W84" i="1" s="1"/>
  <c r="AG77" i="1"/>
  <c r="AI77" i="1" s="1"/>
  <c r="AA76" i="1"/>
  <c r="AA71" i="1"/>
  <c r="W71" i="1" s="1"/>
  <c r="AG69" i="1"/>
  <c r="AI69" i="1" s="1"/>
  <c r="AA64" i="1"/>
  <c r="AA60" i="1"/>
  <c r="AG59" i="1"/>
  <c r="AI59" i="1" s="1"/>
  <c r="AG56" i="1"/>
  <c r="AI56" i="1" s="1"/>
  <c r="AA55" i="1"/>
  <c r="X40" i="1"/>
  <c r="AA38" i="1"/>
  <c r="W38" i="1" s="1"/>
  <c r="X38" i="1"/>
  <c r="AA37" i="1"/>
  <c r="AA32" i="1"/>
  <c r="W32" i="1" s="1"/>
  <c r="AA26" i="1"/>
  <c r="AA15" i="1"/>
  <c r="AG205" i="1"/>
  <c r="U205" i="1" s="1"/>
  <c r="S205" i="1" s="1"/>
  <c r="W181" i="1"/>
  <c r="W170" i="1"/>
  <c r="W162" i="1"/>
  <c r="X223" i="1"/>
  <c r="AA221" i="1"/>
  <c r="AG218" i="1"/>
  <c r="U218" i="1" s="1"/>
  <c r="S218" i="1" s="1"/>
  <c r="AA229" i="1"/>
  <c r="AG206" i="1"/>
  <c r="W206" i="1" s="1"/>
  <c r="X206" i="1"/>
  <c r="X203" i="1"/>
  <c r="AG203" i="1"/>
  <c r="T203" i="1"/>
  <c r="AG195" i="1"/>
  <c r="AI195" i="1" s="1"/>
  <c r="X195" i="1"/>
  <c r="T195" i="1"/>
  <c r="AI208" i="1"/>
  <c r="AI153" i="1"/>
  <c r="W220" i="1"/>
  <c r="X219" i="1"/>
  <c r="AA234" i="1"/>
  <c r="AA232" i="1"/>
  <c r="T232" i="1"/>
  <c r="U232" i="1" s="1"/>
  <c r="S232" i="1" s="1"/>
  <c r="T199" i="1"/>
  <c r="AG199" i="1"/>
  <c r="W166" i="1"/>
  <c r="AG202" i="1"/>
  <c r="T202" i="1"/>
  <c r="X196" i="1"/>
  <c r="AG196" i="1"/>
  <c r="T196" i="1"/>
  <c r="U196" i="1" s="1"/>
  <c r="S196" i="1" s="1"/>
  <c r="X224" i="1"/>
  <c r="T177" i="1"/>
  <c r="U177" i="1" s="1"/>
  <c r="S177" i="1" s="1"/>
  <c r="T170" i="1"/>
  <c r="U170" i="1" s="1"/>
  <c r="S170" i="1" s="1"/>
  <c r="W168" i="1"/>
  <c r="X166" i="1"/>
  <c r="T162" i="1"/>
  <c r="U162" i="1" s="1"/>
  <c r="S162" i="1" s="1"/>
  <c r="X227" i="1"/>
  <c r="T216" i="1"/>
  <c r="U216" i="1" s="1"/>
  <c r="S216" i="1" s="1"/>
  <c r="W213" i="1"/>
  <c r="U212" i="1"/>
  <c r="S212" i="1" s="1"/>
  <c r="X208" i="1"/>
  <c r="T153" i="1"/>
  <c r="U153" i="1" s="1"/>
  <c r="S153" i="1" s="1"/>
  <c r="W150" i="1"/>
  <c r="U141" i="1"/>
  <c r="AI108" i="1"/>
  <c r="AI105" i="1"/>
  <c r="AI93" i="1"/>
  <c r="AI89" i="1"/>
  <c r="AI63" i="1"/>
  <c r="AA204" i="1"/>
  <c r="AA202" i="1"/>
  <c r="AA197" i="1"/>
  <c r="AA195" i="1"/>
  <c r="AG192" i="1"/>
  <c r="W192" i="1" s="1"/>
  <c r="X192" i="1"/>
  <c r="AA189" i="1"/>
  <c r="AA188" i="1"/>
  <c r="W188" i="1" s="1"/>
  <c r="T188" i="1"/>
  <c r="U188" i="1" s="1"/>
  <c r="S188" i="1" s="1"/>
  <c r="AG185" i="1"/>
  <c r="X185" i="1"/>
  <c r="X184" i="1"/>
  <c r="AG182" i="1"/>
  <c r="U182" i="1" s="1"/>
  <c r="X182" i="1"/>
  <c r="T181" i="1"/>
  <c r="U181" i="1" s="1"/>
  <c r="S181" i="1" s="1"/>
  <c r="AA178" i="1"/>
  <c r="T178" i="1"/>
  <c r="AG174" i="1"/>
  <c r="AA171" i="1"/>
  <c r="T171" i="1"/>
  <c r="AG167" i="1"/>
  <c r="X167" i="1"/>
  <c r="AA163" i="1"/>
  <c r="T163" i="1"/>
  <c r="AG228" i="1"/>
  <c r="X228" i="1"/>
  <c r="AA224" i="1"/>
  <c r="T224" i="1"/>
  <c r="X212" i="1"/>
  <c r="AG209" i="1"/>
  <c r="U209" i="1" s="1"/>
  <c r="S209" i="1" s="1"/>
  <c r="X209" i="1"/>
  <c r="AA155" i="1"/>
  <c r="AA154" i="1"/>
  <c r="T154" i="1"/>
  <c r="X149" i="1"/>
  <c r="X148" i="1"/>
  <c r="X145" i="1"/>
  <c r="X144" i="1"/>
  <c r="AG138" i="1"/>
  <c r="AI138" i="1" s="1"/>
  <c r="X138" i="1"/>
  <c r="T137" i="1"/>
  <c r="T136" i="1"/>
  <c r="U136" i="1" s="1"/>
  <c r="S136" i="1" s="1"/>
  <c r="U128" i="1"/>
  <c r="S128" i="1" s="1"/>
  <c r="AG124" i="1"/>
  <c r="T124" i="1"/>
  <c r="X125" i="1"/>
  <c r="T173" i="1"/>
  <c r="U173" i="1" s="1"/>
  <c r="S173" i="1" s="1"/>
  <c r="T166" i="1"/>
  <c r="U166" i="1" s="1"/>
  <c r="S166" i="1" s="1"/>
  <c r="T227" i="1"/>
  <c r="U227" i="1" s="1"/>
  <c r="S227" i="1" s="1"/>
  <c r="T208" i="1"/>
  <c r="U208" i="1" s="1"/>
  <c r="S208" i="1" s="1"/>
  <c r="W130" i="1"/>
  <c r="T122" i="1"/>
  <c r="AG122" i="1"/>
  <c r="AI101" i="1"/>
  <c r="AA200" i="1"/>
  <c r="AA193" i="1"/>
  <c r="AA191" i="1"/>
  <c r="W191" i="1" s="1"/>
  <c r="T191" i="1"/>
  <c r="U191" i="1" s="1"/>
  <c r="S191" i="1" s="1"/>
  <c r="X188" i="1"/>
  <c r="AA186" i="1"/>
  <c r="AA184" i="1"/>
  <c r="W184" i="1" s="1"/>
  <c r="T184" i="1"/>
  <c r="U184" i="1" s="1"/>
  <c r="S184" i="1" s="1"/>
  <c r="AG178" i="1"/>
  <c r="AA174" i="1"/>
  <c r="AG171" i="1"/>
  <c r="AA167" i="1"/>
  <c r="AG163" i="1"/>
  <c r="AA228" i="1"/>
  <c r="AG224" i="1"/>
  <c r="AA210" i="1"/>
  <c r="AA209" i="1"/>
  <c r="X157" i="1"/>
  <c r="AG154" i="1"/>
  <c r="AI154" i="1" s="1"/>
  <c r="T148" i="1"/>
  <c r="U148" i="1" s="1"/>
  <c r="S148" i="1" s="1"/>
  <c r="T144" i="1"/>
  <c r="AA141" i="1"/>
  <c r="W141" i="1" s="1"/>
  <c r="AA139" i="1"/>
  <c r="AA138" i="1"/>
  <c r="AG137" i="1"/>
  <c r="X136" i="1"/>
  <c r="AA133" i="1"/>
  <c r="X132" i="1"/>
  <c r="AI129" i="1"/>
  <c r="AI79" i="1"/>
  <c r="AA123" i="1"/>
  <c r="AA122" i="1"/>
  <c r="AA117" i="1"/>
  <c r="T117" i="1"/>
  <c r="AG114" i="1"/>
  <c r="U114" i="1" s="1"/>
  <c r="S114" i="1" s="1"/>
  <c r="T108" i="1"/>
  <c r="U108" i="1" s="1"/>
  <c r="S108" i="1" s="1"/>
  <c r="AA107" i="1"/>
  <c r="AA102" i="1"/>
  <c r="T102" i="1"/>
  <c r="AG99" i="1"/>
  <c r="X94" i="1"/>
  <c r="T93" i="1"/>
  <c r="U93" i="1" s="1"/>
  <c r="S93" i="1" s="1"/>
  <c r="AA92" i="1"/>
  <c r="AA91" i="1"/>
  <c r="X89" i="1"/>
  <c r="AG87" i="1"/>
  <c r="AA82" i="1"/>
  <c r="X79" i="1"/>
  <c r="AA77" i="1"/>
  <c r="W77" i="1" s="1"/>
  <c r="AG76" i="1"/>
  <c r="AI76" i="1" s="1"/>
  <c r="AA70" i="1"/>
  <c r="AA68" i="1"/>
  <c r="T68" i="1"/>
  <c r="AG67" i="1"/>
  <c r="AA65" i="1"/>
  <c r="X63" i="1"/>
  <c r="AA61" i="1"/>
  <c r="X59" i="1"/>
  <c r="AA53" i="1"/>
  <c r="AG45" i="1"/>
  <c r="AI45" i="1" s="1"/>
  <c r="X45" i="1"/>
  <c r="X44" i="1"/>
  <c r="AA42" i="1"/>
  <c r="W42" i="1" s="1"/>
  <c r="T42" i="1"/>
  <c r="U42" i="1" s="1"/>
  <c r="S42" i="1" s="1"/>
  <c r="AA41" i="1"/>
  <c r="W41" i="1" s="1"/>
  <c r="AG39" i="1"/>
  <c r="AI39" i="1" s="1"/>
  <c r="T37" i="1"/>
  <c r="AA36" i="1"/>
  <c r="W36" i="1" s="1"/>
  <c r="T36" i="1"/>
  <c r="X34" i="1"/>
  <c r="AG29" i="1"/>
  <c r="AI29" i="1" s="1"/>
  <c r="X29" i="1"/>
  <c r="AG27" i="1"/>
  <c r="AI27" i="1" s="1"/>
  <c r="X24" i="1"/>
  <c r="X20" i="1"/>
  <c r="T16" i="1"/>
  <c r="W120" i="1"/>
  <c r="W105" i="1"/>
  <c r="W79" i="1"/>
  <c r="T75" i="1"/>
  <c r="U71" i="1"/>
  <c r="S71" i="1" s="1"/>
  <c r="U55" i="1"/>
  <c r="S55" i="1" s="1"/>
  <c r="W17" i="1"/>
  <c r="AG16" i="1"/>
  <c r="T15" i="1"/>
  <c r="U15" i="1" s="1"/>
  <c r="S15" i="1" s="1"/>
  <c r="AA14" i="1"/>
  <c r="AG117" i="1"/>
  <c r="AI117" i="1" s="1"/>
  <c r="AA113" i="1"/>
  <c r="AG102" i="1"/>
  <c r="W101" i="1"/>
  <c r="AG91" i="1"/>
  <c r="U91" i="1" s="1"/>
  <c r="S91" i="1" s="1"/>
  <c r="T89" i="1"/>
  <c r="U89" i="1" s="1"/>
  <c r="S89" i="1" s="1"/>
  <c r="X83" i="1"/>
  <c r="AA81" i="1"/>
  <c r="T79" i="1"/>
  <c r="U79" i="1" s="1"/>
  <c r="S79" i="1" s="1"/>
  <c r="AA78" i="1"/>
  <c r="AG75" i="1"/>
  <c r="X71" i="1"/>
  <c r="AG68" i="1"/>
  <c r="AG65" i="1"/>
  <c r="AI65" i="1" s="1"/>
  <c r="T63" i="1"/>
  <c r="U63" i="1" s="1"/>
  <c r="S63" i="1" s="1"/>
  <c r="AG61" i="1"/>
  <c r="AI61" i="1" s="1"/>
  <c r="AA57" i="1"/>
  <c r="X55" i="1"/>
  <c r="AG47" i="1"/>
  <c r="AA44" i="1"/>
  <c r="W44" i="1" s="1"/>
  <c r="T44" i="1"/>
  <c r="U44" i="1" s="1"/>
  <c r="S44" i="1" s="1"/>
  <c r="X42" i="1"/>
  <c r="AG37" i="1"/>
  <c r="X37" i="1"/>
  <c r="X36" i="1"/>
  <c r="AA34" i="1"/>
  <c r="W34" i="1" s="1"/>
  <c r="T34" i="1"/>
  <c r="U34" i="1" s="1"/>
  <c r="S34" i="1" s="1"/>
  <c r="AA33" i="1"/>
  <c r="AG31" i="1"/>
  <c r="AA25" i="1"/>
  <c r="T24" i="1"/>
  <c r="U24" i="1" s="1"/>
  <c r="S24" i="1" s="1"/>
  <c r="AA21" i="1"/>
  <c r="T20" i="1"/>
  <c r="U20" i="1" s="1"/>
  <c r="S20" i="1" s="1"/>
  <c r="AA125" i="1"/>
  <c r="W125" i="1" s="1"/>
  <c r="AG118" i="1"/>
  <c r="AG113" i="1"/>
  <c r="AI112" i="1"/>
  <c r="AG103" i="1"/>
  <c r="AI103" i="1" s="1"/>
  <c r="AG98" i="1"/>
  <c r="W95" i="1"/>
  <c r="U86" i="1"/>
  <c r="S86" i="1" s="1"/>
  <c r="X84" i="1"/>
  <c r="AG81" i="1"/>
  <c r="AI81" i="1" s="1"/>
  <c r="AG72" i="1"/>
  <c r="W72" i="1" s="1"/>
  <c r="AI71" i="1"/>
  <c r="AA66" i="1"/>
  <c r="AI55" i="1"/>
  <c r="W52" i="1"/>
  <c r="X48" i="1"/>
  <c r="X32" i="1"/>
  <c r="T28" i="1"/>
  <c r="U28" i="1" s="1"/>
  <c r="S28" i="1" s="1"/>
  <c r="AI209" i="1"/>
  <c r="U187" i="1"/>
  <c r="S187" i="1" s="1"/>
  <c r="AI205" i="1"/>
  <c r="AI198" i="1"/>
  <c r="AI222" i="1"/>
  <c r="W232" i="1"/>
  <c r="W195" i="1"/>
  <c r="U233" i="1"/>
  <c r="S233" i="1" s="1"/>
  <c r="U192" i="1"/>
  <c r="S192" i="1" s="1"/>
  <c r="U185" i="1"/>
  <c r="S185" i="1" s="1"/>
  <c r="T179" i="1"/>
  <c r="U179" i="1" s="1"/>
  <c r="S179" i="1" s="1"/>
  <c r="X179" i="1"/>
  <c r="AI136" i="1"/>
  <c r="AG221" i="1"/>
  <c r="AI221" i="1" s="1"/>
  <c r="X220" i="1"/>
  <c r="AG234" i="1"/>
  <c r="AI234" i="1" s="1"/>
  <c r="AG230" i="1"/>
  <c r="AI230" i="1" s="1"/>
  <c r="AG204" i="1"/>
  <c r="AI204" i="1" s="1"/>
  <c r="AG200" i="1"/>
  <c r="AI200" i="1" s="1"/>
  <c r="AG197" i="1"/>
  <c r="AG193" i="1"/>
  <c r="W193" i="1" s="1"/>
  <c r="AG189" i="1"/>
  <c r="AI189" i="1" s="1"/>
  <c r="AG186" i="1"/>
  <c r="AA182" i="1"/>
  <c r="W182" i="1" s="1"/>
  <c r="T180" i="1"/>
  <c r="X180" i="1"/>
  <c r="AG180" i="1"/>
  <c r="AI180" i="1" s="1"/>
  <c r="W144" i="1"/>
  <c r="AI140" i="1"/>
  <c r="U132" i="1"/>
  <c r="S132" i="1" s="1"/>
  <c r="AI132" i="1"/>
  <c r="X221" i="1"/>
  <c r="X234" i="1"/>
  <c r="AI227" i="1"/>
  <c r="X230" i="1"/>
  <c r="AI223" i="1"/>
  <c r="X204" i="1"/>
  <c r="AI219" i="1"/>
  <c r="X193" i="1"/>
  <c r="X186" i="1"/>
  <c r="AI148" i="1"/>
  <c r="U144" i="1"/>
  <c r="S144" i="1" s="1"/>
  <c r="AI144" i="1"/>
  <c r="X222" i="1"/>
  <c r="X218" i="1"/>
  <c r="X231" i="1"/>
  <c r="X205" i="1"/>
  <c r="X194" i="1"/>
  <c r="X187" i="1"/>
  <c r="X183" i="1"/>
  <c r="S182" i="1"/>
  <c r="AI196" i="1"/>
  <c r="X181" i="1"/>
  <c r="W136" i="1"/>
  <c r="U174" i="1"/>
  <c r="S174" i="1" s="1"/>
  <c r="U167" i="1"/>
  <c r="S167" i="1" s="1"/>
  <c r="U228" i="1"/>
  <c r="S228" i="1" s="1"/>
  <c r="U213" i="1"/>
  <c r="S213" i="1" s="1"/>
  <c r="U150" i="1"/>
  <c r="S150" i="1" s="1"/>
  <c r="U138" i="1"/>
  <c r="S138" i="1" s="1"/>
  <c r="U134" i="1"/>
  <c r="S134" i="1" s="1"/>
  <c r="U130" i="1"/>
  <c r="S130" i="1" s="1"/>
  <c r="U175" i="1"/>
  <c r="S175" i="1" s="1"/>
  <c r="U168" i="1"/>
  <c r="S168" i="1" s="1"/>
  <c r="AG164" i="1"/>
  <c r="AG160" i="1"/>
  <c r="AG225" i="1"/>
  <c r="AI225" i="1" s="1"/>
  <c r="AG214" i="1"/>
  <c r="AI214" i="1" s="1"/>
  <c r="AG210" i="1"/>
  <c r="AI210" i="1" s="1"/>
  <c r="AG159" i="1"/>
  <c r="W159" i="1" s="1"/>
  <c r="AG155" i="1"/>
  <c r="AG151" i="1"/>
  <c r="AG147" i="1"/>
  <c r="AG143" i="1"/>
  <c r="W143" i="1" s="1"/>
  <c r="S141" i="1"/>
  <c r="AG139" i="1"/>
  <c r="AG135" i="1"/>
  <c r="W135" i="1" s="1"/>
  <c r="X134" i="1"/>
  <c r="AG131" i="1"/>
  <c r="X130" i="1"/>
  <c r="AI192" i="1"/>
  <c r="AG176" i="1"/>
  <c r="AI176" i="1" s="1"/>
  <c r="X175" i="1"/>
  <c r="AG172" i="1"/>
  <c r="AI185" i="1"/>
  <c r="AG169" i="1"/>
  <c r="AI169" i="1" s="1"/>
  <c r="X168" i="1"/>
  <c r="AI181" i="1"/>
  <c r="AG165" i="1"/>
  <c r="AI165" i="1" s="1"/>
  <c r="X164" i="1"/>
  <c r="AI177" i="1"/>
  <c r="AG161" i="1"/>
  <c r="AI161" i="1" s="1"/>
  <c r="X160" i="1"/>
  <c r="AI173" i="1"/>
  <c r="AG226" i="1"/>
  <c r="X225" i="1"/>
  <c r="AI170" i="1"/>
  <c r="AG215" i="1"/>
  <c r="X214" i="1"/>
  <c r="AI166" i="1"/>
  <c r="AG211" i="1"/>
  <c r="X210" i="1"/>
  <c r="AI162" i="1"/>
  <c r="AG207" i="1"/>
  <c r="X159" i="1"/>
  <c r="AG156" i="1"/>
  <c r="X155" i="1"/>
  <c r="AG152" i="1"/>
  <c r="W152" i="1" s="1"/>
  <c r="X151" i="1"/>
  <c r="AI150" i="1"/>
  <c r="X147" i="1"/>
  <c r="T147" i="1"/>
  <c r="AI146" i="1"/>
  <c r="X143" i="1"/>
  <c r="T143" i="1"/>
  <c r="AI142" i="1"/>
  <c r="X139" i="1"/>
  <c r="T139" i="1"/>
  <c r="X135" i="1"/>
  <c r="T135" i="1"/>
  <c r="X131" i="1"/>
  <c r="T131" i="1"/>
  <c r="AI130" i="1"/>
  <c r="X176" i="1"/>
  <c r="AI186" i="1"/>
  <c r="X169" i="1"/>
  <c r="X165" i="1"/>
  <c r="X161" i="1"/>
  <c r="X226" i="1"/>
  <c r="X215" i="1"/>
  <c r="X211" i="1"/>
  <c r="X207" i="1"/>
  <c r="X156" i="1"/>
  <c r="X152" i="1"/>
  <c r="T127" i="1"/>
  <c r="X127" i="1"/>
  <c r="AG127" i="1"/>
  <c r="X128" i="1"/>
  <c r="X124" i="1"/>
  <c r="U121" i="1"/>
  <c r="S121" i="1" s="1"/>
  <c r="X120" i="1"/>
  <c r="X116" i="1"/>
  <c r="U113" i="1"/>
  <c r="S113" i="1" s="1"/>
  <c r="X112" i="1"/>
  <c r="U109" i="1"/>
  <c r="S109" i="1" s="1"/>
  <c r="X105" i="1"/>
  <c r="X101" i="1"/>
  <c r="U98" i="1"/>
  <c r="S98" i="1" s="1"/>
  <c r="X97" i="1"/>
  <c r="X93" i="1"/>
  <c r="AI84" i="1"/>
  <c r="AI80" i="1"/>
  <c r="U80" i="1"/>
  <c r="S80" i="1" s="1"/>
  <c r="U99" i="1"/>
  <c r="S99" i="1" s="1"/>
  <c r="T85" i="1"/>
  <c r="X85" i="1"/>
  <c r="X126" i="1"/>
  <c r="AI125" i="1"/>
  <c r="AG123" i="1"/>
  <c r="X122" i="1"/>
  <c r="AI121" i="1"/>
  <c r="AG119" i="1"/>
  <c r="W119" i="1" s="1"/>
  <c r="X118" i="1"/>
  <c r="AG115" i="1"/>
  <c r="X114" i="1"/>
  <c r="AI113" i="1"/>
  <c r="AG111" i="1"/>
  <c r="X110" i="1"/>
  <c r="AG107" i="1"/>
  <c r="AI106" i="1"/>
  <c r="AG104" i="1"/>
  <c r="X103" i="1"/>
  <c r="AG100" i="1"/>
  <c r="X99" i="1"/>
  <c r="AG96" i="1"/>
  <c r="X95" i="1"/>
  <c r="AI94" i="1"/>
  <c r="AG92" i="1"/>
  <c r="X91" i="1"/>
  <c r="AG88" i="1"/>
  <c r="X87" i="1"/>
  <c r="AI86" i="1"/>
  <c r="AG85" i="1"/>
  <c r="X123" i="1"/>
  <c r="AI122" i="1"/>
  <c r="X119" i="1"/>
  <c r="AI118" i="1"/>
  <c r="X115" i="1"/>
  <c r="X111" i="1"/>
  <c r="X104" i="1"/>
  <c r="X100" i="1"/>
  <c r="AI99" i="1"/>
  <c r="X96" i="1"/>
  <c r="X92" i="1"/>
  <c r="X88" i="1"/>
  <c r="U76" i="1"/>
  <c r="S76" i="1" s="1"/>
  <c r="U60" i="1"/>
  <c r="S60" i="1" s="1"/>
  <c r="X50" i="1"/>
  <c r="AI46" i="1"/>
  <c r="U46" i="1"/>
  <c r="S46" i="1" s="1"/>
  <c r="AI40" i="1"/>
  <c r="U39" i="1"/>
  <c r="S39" i="1" s="1"/>
  <c r="AI30" i="1"/>
  <c r="U30" i="1"/>
  <c r="S30" i="1" s="1"/>
  <c r="W15" i="1"/>
  <c r="U77" i="1"/>
  <c r="S77" i="1" s="1"/>
  <c r="U65" i="1"/>
  <c r="S65" i="1" s="1"/>
  <c r="U61" i="1"/>
  <c r="S61" i="1" s="1"/>
  <c r="AG57" i="1"/>
  <c r="AG53" i="1"/>
  <c r="T51" i="1"/>
  <c r="X51" i="1"/>
  <c r="W48" i="1"/>
  <c r="AI42" i="1"/>
  <c r="U36" i="1"/>
  <c r="S36" i="1" s="1"/>
  <c r="AI36" i="1"/>
  <c r="W24" i="1"/>
  <c r="AI15" i="1"/>
  <c r="AG82" i="1"/>
  <c r="X81" i="1"/>
  <c r="AG78" i="1"/>
  <c r="X77" i="1"/>
  <c r="AG74" i="1"/>
  <c r="W74" i="1" s="1"/>
  <c r="X73" i="1"/>
  <c r="AI72" i="1"/>
  <c r="AG70" i="1"/>
  <c r="X69" i="1"/>
  <c r="AG66" i="1"/>
  <c r="X65" i="1"/>
  <c r="AG62" i="1"/>
  <c r="W62" i="1" s="1"/>
  <c r="X61" i="1"/>
  <c r="AI60" i="1"/>
  <c r="AG58" i="1"/>
  <c r="X57" i="1"/>
  <c r="AG54" i="1"/>
  <c r="X53" i="1"/>
  <c r="AI52" i="1"/>
  <c r="AG51" i="1"/>
  <c r="U48" i="1"/>
  <c r="S48" i="1" s="1"/>
  <c r="AI48" i="1"/>
  <c r="AI38" i="1"/>
  <c r="AI32" i="1"/>
  <c r="AI24" i="1"/>
  <c r="AI20" i="1"/>
  <c r="X82" i="1"/>
  <c r="X78" i="1"/>
  <c r="X74" i="1"/>
  <c r="X70" i="1"/>
  <c r="X66" i="1"/>
  <c r="X62" i="1"/>
  <c r="X58" i="1"/>
  <c r="X54" i="1"/>
  <c r="AI50" i="1"/>
  <c r="AI44" i="1"/>
  <c r="U43" i="1"/>
  <c r="S43" i="1" s="1"/>
  <c r="AI34" i="1"/>
  <c r="AI28" i="1"/>
  <c r="U41" i="1"/>
  <c r="S41" i="1" s="1"/>
  <c r="U17" i="1"/>
  <c r="S17" i="1" s="1"/>
  <c r="X49" i="1"/>
  <c r="AG26" i="1"/>
  <c r="AG22" i="1"/>
  <c r="AG18" i="1"/>
  <c r="W18" i="1" s="1"/>
  <c r="AG14" i="1"/>
  <c r="X26" i="1"/>
  <c r="AG23" i="1"/>
  <c r="X22" i="1"/>
  <c r="AG19" i="1"/>
  <c r="X18" i="1"/>
  <c r="X47" i="1"/>
  <c r="X43" i="1"/>
  <c r="X39" i="1"/>
  <c r="X35" i="1"/>
  <c r="X31" i="1"/>
  <c r="X27" i="1"/>
  <c r="X23" i="1"/>
  <c r="X19" i="1"/>
  <c r="AE41" i="3"/>
  <c r="AD18" i="3"/>
  <c r="T24" i="3"/>
  <c r="AE20" i="3"/>
  <c r="T28" i="3"/>
  <c r="Y9" i="3"/>
  <c r="Y46" i="3"/>
  <c r="AD46" i="3"/>
  <c r="T45" i="3"/>
  <c r="Y35" i="3"/>
  <c r="Y27" i="3"/>
  <c r="AD37" i="3"/>
  <c r="AC38" i="3"/>
  <c r="AD24" i="3"/>
  <c r="AD20" i="3"/>
  <c r="AE11" i="3"/>
  <c r="AE36" i="3"/>
  <c r="T26" i="3"/>
  <c r="Y18" i="3"/>
  <c r="AD11" i="3"/>
  <c r="AD9" i="3"/>
  <c r="T8" i="3"/>
  <c r="AD45" i="3"/>
  <c r="AE45" i="3"/>
  <c r="Y37" i="3"/>
  <c r="AE40" i="3"/>
  <c r="AC34" i="3"/>
  <c r="T44" i="3"/>
  <c r="Y24" i="3"/>
  <c r="T33" i="3"/>
  <c r="AD29" i="3"/>
  <c r="AE29" i="3"/>
  <c r="Y30" i="3"/>
  <c r="AE24" i="3"/>
  <c r="AC12" i="3"/>
  <c r="T16" i="3"/>
  <c r="AE17" i="3"/>
  <c r="AD12" i="3"/>
  <c r="AE12" i="3"/>
  <c r="T17" i="3"/>
  <c r="T23" i="3"/>
  <c r="AE14" i="3"/>
  <c r="AD38" i="3"/>
  <c r="AE38" i="3"/>
  <c r="Y33" i="3"/>
  <c r="Y16" i="3"/>
  <c r="Y23" i="3"/>
  <c r="Y8" i="3"/>
  <c r="Y44" i="3"/>
  <c r="AC47" i="3"/>
  <c r="T27" i="3"/>
  <c r="AE37" i="3"/>
  <c r="AE32" i="3"/>
  <c r="AC14" i="3"/>
  <c r="T29" i="3"/>
  <c r="AE22" i="3"/>
  <c r="T25" i="3"/>
  <c r="AE15" i="3"/>
  <c r="AE19" i="3"/>
  <c r="T22" i="3"/>
  <c r="AE47" i="3"/>
  <c r="T43" i="3"/>
  <c r="AE23" i="3"/>
  <c r="AE31" i="3"/>
  <c r="T21" i="3"/>
  <c r="AE10" i="3"/>
  <c r="T11" i="3"/>
  <c r="T36" i="3"/>
  <c r="T39" i="3"/>
  <c r="AE35" i="3"/>
  <c r="T31" i="3"/>
  <c r="AE27" i="3"/>
  <c r="T40" i="3"/>
  <c r="AD47" i="3"/>
  <c r="AE46" i="3"/>
  <c r="T47" i="3"/>
  <c r="AD43" i="3"/>
  <c r="AE42" i="3"/>
  <c r="T35" i="3"/>
  <c r="AD23" i="3"/>
  <c r="AE18" i="3"/>
  <c r="T34" i="3"/>
  <c r="AD35" i="3"/>
  <c r="AE34" i="3"/>
  <c r="T38" i="3"/>
  <c r="AD31" i="3"/>
  <c r="AE30" i="3"/>
  <c r="T14" i="3"/>
  <c r="AD27" i="3"/>
  <c r="AE26" i="3"/>
  <c r="T32" i="3"/>
  <c r="AD10" i="3"/>
  <c r="AE25" i="3"/>
  <c r="T12" i="3"/>
  <c r="AD17" i="3"/>
  <c r="AE16" i="3"/>
  <c r="T19" i="3"/>
  <c r="AD15" i="3"/>
  <c r="AE39" i="3"/>
  <c r="T10" i="3"/>
  <c r="AD14" i="3"/>
  <c r="AE7" i="3"/>
  <c r="T13" i="3"/>
  <c r="AC49" i="3"/>
  <c r="AE43" i="3"/>
  <c r="AD16" i="3"/>
  <c r="AD39" i="3"/>
  <c r="AD7" i="3"/>
  <c r="AE9" i="3"/>
  <c r="S48" i="3"/>
  <c r="R48" i="3"/>
  <c r="M48" i="3"/>
  <c r="U48" i="3"/>
  <c r="V48" i="3"/>
  <c r="W48" i="3"/>
  <c r="X48" i="3"/>
  <c r="W202" i="1" l="1"/>
  <c r="W60" i="1"/>
  <c r="U142" i="1"/>
  <c r="S142" i="1" s="1"/>
  <c r="U122" i="1"/>
  <c r="S122" i="1" s="1"/>
  <c r="W194" i="1"/>
  <c r="U56" i="1"/>
  <c r="W82" i="1"/>
  <c r="W151" i="1"/>
  <c r="AI206" i="1"/>
  <c r="AI193" i="1"/>
  <c r="W21" i="1"/>
  <c r="W67" i="1"/>
  <c r="W196" i="1"/>
  <c r="U199" i="1"/>
  <c r="S199" i="1" s="1"/>
  <c r="W229" i="1"/>
  <c r="W90" i="1"/>
  <c r="W142" i="1"/>
  <c r="W70" i="1"/>
  <c r="U69" i="1"/>
  <c r="S69" i="1" s="1"/>
  <c r="U90" i="1"/>
  <c r="S90" i="1" s="1"/>
  <c r="U206" i="1"/>
  <c r="S206" i="1" s="1"/>
  <c r="W29" i="1"/>
  <c r="U117" i="1"/>
  <c r="S117" i="1" s="1"/>
  <c r="U158" i="1"/>
  <c r="S158" i="1" s="1"/>
  <c r="W183" i="1"/>
  <c r="U21" i="1"/>
  <c r="S21" i="1" s="1"/>
  <c r="W43" i="1"/>
  <c r="W57" i="1"/>
  <c r="W92" i="1"/>
  <c r="AI231" i="1"/>
  <c r="W99" i="1"/>
  <c r="W109" i="1"/>
  <c r="W129" i="1"/>
  <c r="U27" i="1"/>
  <c r="S27" i="1" s="1"/>
  <c r="AI110" i="1"/>
  <c r="U103" i="1"/>
  <c r="S103" i="1" s="1"/>
  <c r="W126" i="1"/>
  <c r="W160" i="1"/>
  <c r="AI126" i="1"/>
  <c r="U83" i="1"/>
  <c r="S83" i="1" s="1"/>
  <c r="U224" i="1"/>
  <c r="S224" i="1" s="1"/>
  <c r="U171" i="1"/>
  <c r="S171" i="1" s="1"/>
  <c r="W76" i="1"/>
  <c r="U25" i="1"/>
  <c r="S25" i="1" s="1"/>
  <c r="U229" i="1"/>
  <c r="S229" i="1" s="1"/>
  <c r="AI97" i="1"/>
  <c r="U145" i="1"/>
  <c r="S145" i="1" s="1"/>
  <c r="W64" i="1"/>
  <c r="W187" i="1"/>
  <c r="W121" i="1"/>
  <c r="W146" i="1"/>
  <c r="W149" i="1"/>
  <c r="U29" i="1"/>
  <c r="S29" i="1" s="1"/>
  <c r="AI64" i="1"/>
  <c r="U81" i="1"/>
  <c r="S81" i="1" s="1"/>
  <c r="U72" i="1"/>
  <c r="S72" i="1" s="1"/>
  <c r="AI95" i="1"/>
  <c r="AI182" i="1"/>
  <c r="W215" i="1"/>
  <c r="U154" i="1"/>
  <c r="S154" i="1" s="1"/>
  <c r="AI201" i="1"/>
  <c r="U195" i="1"/>
  <c r="S195" i="1" s="1"/>
  <c r="W33" i="1"/>
  <c r="U163" i="1"/>
  <c r="S163" i="1" s="1"/>
  <c r="U178" i="1"/>
  <c r="S178" i="1" s="1"/>
  <c r="W185" i="1"/>
  <c r="U149" i="1"/>
  <c r="S149" i="1" s="1"/>
  <c r="U202" i="1"/>
  <c r="S202" i="1" s="1"/>
  <c r="W97" i="1"/>
  <c r="W106" i="1"/>
  <c r="W16" i="1"/>
  <c r="W198" i="1"/>
  <c r="U102" i="1"/>
  <c r="S102" i="1" s="1"/>
  <c r="AI102" i="1"/>
  <c r="AI73" i="1"/>
  <c r="W73" i="1"/>
  <c r="U133" i="1"/>
  <c r="S133" i="1" s="1"/>
  <c r="AI133" i="1"/>
  <c r="U45" i="1"/>
  <c r="S45" i="1" s="1"/>
  <c r="U73" i="1"/>
  <c r="S73" i="1" s="1"/>
  <c r="W226" i="1"/>
  <c r="U68" i="1"/>
  <c r="S68" i="1" s="1"/>
  <c r="AI68" i="1"/>
  <c r="W133" i="1"/>
  <c r="W203" i="1"/>
  <c r="U203" i="1"/>
  <c r="S203" i="1" s="1"/>
  <c r="AI49" i="1"/>
  <c r="U49" i="1"/>
  <c r="S49" i="1" s="1"/>
  <c r="AI91" i="1"/>
  <c r="U106" i="1"/>
  <c r="S106" i="1" s="1"/>
  <c r="W127" i="1"/>
  <c r="AI158" i="1"/>
  <c r="W45" i="1"/>
  <c r="U59" i="1"/>
  <c r="S59" i="1" s="1"/>
  <c r="W118" i="1"/>
  <c r="U118" i="1"/>
  <c r="S118" i="1" s="1"/>
  <c r="W158" i="1"/>
  <c r="W104" i="1"/>
  <c r="AI83" i="1"/>
  <c r="AI37" i="1"/>
  <c r="U37" i="1"/>
  <c r="S37" i="1" s="1"/>
  <c r="W87" i="1"/>
  <c r="U87" i="1"/>
  <c r="S87" i="1" s="1"/>
  <c r="AI87" i="1"/>
  <c r="AI114" i="1"/>
  <c r="W114" i="1"/>
  <c r="U33" i="1"/>
  <c r="S33" i="1" s="1"/>
  <c r="W66" i="1"/>
  <c r="W107" i="1"/>
  <c r="AI218" i="1"/>
  <c r="W98" i="1"/>
  <c r="W25" i="1"/>
  <c r="W91" i="1"/>
  <c r="W134" i="1"/>
  <c r="W199" i="1"/>
  <c r="W55" i="1"/>
  <c r="AE48" i="3"/>
  <c r="AI98" i="1"/>
  <c r="AI202" i="1"/>
  <c r="W103" i="1"/>
  <c r="W31" i="1"/>
  <c r="U157" i="1"/>
  <c r="S157" i="1" s="1"/>
  <c r="W124" i="1"/>
  <c r="W222" i="1"/>
  <c r="W157" i="1"/>
  <c r="W69" i="1"/>
  <c r="W231" i="1"/>
  <c r="W212" i="1"/>
  <c r="W68" i="1"/>
  <c r="W49" i="1"/>
  <c r="W190" i="1"/>
  <c r="W204" i="1"/>
  <c r="W209" i="1"/>
  <c r="W59" i="1"/>
  <c r="W56" i="1"/>
  <c r="W145" i="1"/>
  <c r="W201" i="1"/>
  <c r="U75" i="1"/>
  <c r="S75" i="1" s="1"/>
  <c r="AI75" i="1"/>
  <c r="W81" i="1"/>
  <c r="W37" i="1"/>
  <c r="W65" i="1"/>
  <c r="W228" i="1"/>
  <c r="W174" i="1"/>
  <c r="U31" i="1"/>
  <c r="S31" i="1" s="1"/>
  <c r="AI31" i="1"/>
  <c r="W113" i="1"/>
  <c r="U67" i="1"/>
  <c r="S67" i="1" s="1"/>
  <c r="AI67" i="1"/>
  <c r="W102" i="1"/>
  <c r="W117" i="1"/>
  <c r="U137" i="1"/>
  <c r="S137" i="1" s="1"/>
  <c r="AI137" i="1"/>
  <c r="W75" i="1"/>
  <c r="W137" i="1"/>
  <c r="W27" i="1"/>
  <c r="W154" i="1"/>
  <c r="W197" i="1"/>
  <c r="AI197" i="1"/>
  <c r="U16" i="1"/>
  <c r="S16" i="1" s="1"/>
  <c r="AI16" i="1"/>
  <c r="W61" i="1"/>
  <c r="W122" i="1"/>
  <c r="W138" i="1"/>
  <c r="W167" i="1"/>
  <c r="W39" i="1"/>
  <c r="U124" i="1"/>
  <c r="S124" i="1" s="1"/>
  <c r="AI124" i="1"/>
  <c r="W205" i="1"/>
  <c r="W172" i="1"/>
  <c r="AI172" i="1"/>
  <c r="AI226" i="1"/>
  <c r="U47" i="1"/>
  <c r="S47" i="1" s="1"/>
  <c r="AI47" i="1"/>
  <c r="W47" i="1"/>
  <c r="W224" i="1"/>
  <c r="W163" i="1"/>
  <c r="W171" i="1"/>
  <c r="W178" i="1"/>
  <c r="W218" i="1"/>
  <c r="AI26" i="1"/>
  <c r="U26" i="1"/>
  <c r="S26" i="1" s="1"/>
  <c r="U19" i="1"/>
  <c r="S19" i="1" s="1"/>
  <c r="AI19" i="1"/>
  <c r="AI14" i="1"/>
  <c r="U14" i="1"/>
  <c r="S14" i="1" s="1"/>
  <c r="U51" i="1"/>
  <c r="S51" i="1" s="1"/>
  <c r="AI51" i="1"/>
  <c r="U66" i="1"/>
  <c r="S66" i="1" s="1"/>
  <c r="AI66" i="1"/>
  <c r="W14" i="1"/>
  <c r="W26" i="1"/>
  <c r="U85" i="1"/>
  <c r="S85" i="1" s="1"/>
  <c r="AI85" i="1"/>
  <c r="U100" i="1"/>
  <c r="S100" i="1" s="1"/>
  <c r="AI100" i="1"/>
  <c r="U115" i="1"/>
  <c r="S115" i="1" s="1"/>
  <c r="AI115" i="1"/>
  <c r="W115" i="1"/>
  <c r="U211" i="1"/>
  <c r="S211" i="1" s="1"/>
  <c r="AI164" i="1"/>
  <c r="U165" i="1"/>
  <c r="S165" i="1" s="1"/>
  <c r="AI179" i="1"/>
  <c r="AI131" i="1"/>
  <c r="U131" i="1"/>
  <c r="S131" i="1" s="1"/>
  <c r="AI147" i="1"/>
  <c r="U147" i="1"/>
  <c r="S147" i="1" s="1"/>
  <c r="AI163" i="1"/>
  <c r="U210" i="1"/>
  <c r="S210" i="1" s="1"/>
  <c r="AI178" i="1"/>
  <c r="U164" i="1"/>
  <c r="S164" i="1" s="1"/>
  <c r="W147" i="1"/>
  <c r="W210" i="1"/>
  <c r="U180" i="1"/>
  <c r="S180" i="1" s="1"/>
  <c r="AI194" i="1"/>
  <c r="AI199" i="1"/>
  <c r="U186" i="1"/>
  <c r="S186" i="1" s="1"/>
  <c r="AI215" i="1"/>
  <c r="U200" i="1"/>
  <c r="S200" i="1" s="1"/>
  <c r="W180" i="1"/>
  <c r="AI18" i="1"/>
  <c r="U18" i="1"/>
  <c r="S18" i="1" s="1"/>
  <c r="U62" i="1"/>
  <c r="S62" i="1" s="1"/>
  <c r="AI62" i="1"/>
  <c r="AI53" i="1"/>
  <c r="U53" i="1"/>
  <c r="S53" i="1" s="1"/>
  <c r="U96" i="1"/>
  <c r="S96" i="1" s="1"/>
  <c r="AI96" i="1"/>
  <c r="U111" i="1"/>
  <c r="S111" i="1" s="1"/>
  <c r="AI111" i="1"/>
  <c r="W51" i="1"/>
  <c r="W85" i="1"/>
  <c r="W111" i="1"/>
  <c r="U127" i="1"/>
  <c r="S127" i="1" s="1"/>
  <c r="AI127" i="1"/>
  <c r="W100" i="1"/>
  <c r="U207" i="1"/>
  <c r="S207" i="1" s="1"/>
  <c r="AI160" i="1"/>
  <c r="U161" i="1"/>
  <c r="S161" i="1" s="1"/>
  <c r="AI175" i="1"/>
  <c r="U176" i="1"/>
  <c r="S176" i="1" s="1"/>
  <c r="AI190" i="1"/>
  <c r="AI139" i="1"/>
  <c r="U139" i="1"/>
  <c r="S139" i="1" s="1"/>
  <c r="AI151" i="1"/>
  <c r="U151" i="1"/>
  <c r="S151" i="1" s="1"/>
  <c r="AI167" i="1"/>
  <c r="U214" i="1"/>
  <c r="S214" i="1" s="1"/>
  <c r="W176" i="1"/>
  <c r="W139" i="1"/>
  <c r="W211" i="1"/>
  <c r="AI203" i="1"/>
  <c r="U189" i="1"/>
  <c r="S189" i="1" s="1"/>
  <c r="AI220" i="1"/>
  <c r="U204" i="1"/>
  <c r="S204" i="1" s="1"/>
  <c r="AI232" i="1"/>
  <c r="U221" i="1"/>
  <c r="S221" i="1" s="1"/>
  <c r="W207" i="1"/>
  <c r="W164" i="1"/>
  <c r="W186" i="1"/>
  <c r="W221" i="1"/>
  <c r="U78" i="1"/>
  <c r="S78" i="1" s="1"/>
  <c r="AI78" i="1"/>
  <c r="U23" i="1"/>
  <c r="S23" i="1" s="1"/>
  <c r="AI23" i="1"/>
  <c r="AI22" i="1"/>
  <c r="U22" i="1"/>
  <c r="S22" i="1" s="1"/>
  <c r="W19" i="1"/>
  <c r="W23" i="1"/>
  <c r="U58" i="1"/>
  <c r="S58" i="1" s="1"/>
  <c r="AI58" i="1"/>
  <c r="U74" i="1"/>
  <c r="S74" i="1" s="1"/>
  <c r="AI74" i="1"/>
  <c r="W22" i="1"/>
  <c r="AI57" i="1"/>
  <c r="U57" i="1"/>
  <c r="S57" i="1" s="1"/>
  <c r="W58" i="1"/>
  <c r="U92" i="1"/>
  <c r="S92" i="1" s="1"/>
  <c r="AI92" i="1"/>
  <c r="U107" i="1"/>
  <c r="S107" i="1" s="1"/>
  <c r="AI107" i="1"/>
  <c r="U123" i="1"/>
  <c r="S123" i="1" s="1"/>
  <c r="AI123" i="1"/>
  <c r="W53" i="1"/>
  <c r="W96" i="1"/>
  <c r="U156" i="1"/>
  <c r="S156" i="1" s="1"/>
  <c r="AI156" i="1"/>
  <c r="U226" i="1"/>
  <c r="S226" i="1" s="1"/>
  <c r="U172" i="1"/>
  <c r="S172" i="1" s="1"/>
  <c r="AI187" i="1"/>
  <c r="AI155" i="1"/>
  <c r="U155" i="1"/>
  <c r="S155" i="1" s="1"/>
  <c r="AI171" i="1"/>
  <c r="U225" i="1"/>
  <c r="S225" i="1" s="1"/>
  <c r="W155" i="1"/>
  <c r="W161" i="1"/>
  <c r="AI207" i="1"/>
  <c r="U193" i="1"/>
  <c r="S193" i="1" s="1"/>
  <c r="AI224" i="1"/>
  <c r="U230" i="1"/>
  <c r="S230" i="1" s="1"/>
  <c r="W131" i="1"/>
  <c r="W165" i="1"/>
  <c r="W189" i="1"/>
  <c r="W230" i="1"/>
  <c r="U54" i="1"/>
  <c r="S54" i="1" s="1"/>
  <c r="AI54" i="1"/>
  <c r="U70" i="1"/>
  <c r="S70" i="1" s="1"/>
  <c r="AI70" i="1"/>
  <c r="U82" i="1"/>
  <c r="S82" i="1" s="1"/>
  <c r="AI82" i="1"/>
  <c r="W78" i="1"/>
  <c r="U88" i="1"/>
  <c r="S88" i="1" s="1"/>
  <c r="AI88" i="1"/>
  <c r="U104" i="1"/>
  <c r="S104" i="1" s="1"/>
  <c r="AI104" i="1"/>
  <c r="U119" i="1"/>
  <c r="S119" i="1" s="1"/>
  <c r="AI119" i="1"/>
  <c r="W54" i="1"/>
  <c r="W88" i="1"/>
  <c r="U152" i="1"/>
  <c r="S152" i="1" s="1"/>
  <c r="AI152" i="1"/>
  <c r="U215" i="1"/>
  <c r="S215" i="1" s="1"/>
  <c r="AI168" i="1"/>
  <c r="U169" i="1"/>
  <c r="S169" i="1" s="1"/>
  <c r="AI183" i="1"/>
  <c r="AI135" i="1"/>
  <c r="U135" i="1"/>
  <c r="S135" i="1" s="1"/>
  <c r="AI143" i="1"/>
  <c r="U143" i="1"/>
  <c r="S143" i="1" s="1"/>
  <c r="AI159" i="1"/>
  <c r="U159" i="1"/>
  <c r="S159" i="1" s="1"/>
  <c r="AI174" i="1"/>
  <c r="U160" i="1"/>
  <c r="S160" i="1" s="1"/>
  <c r="W123" i="1"/>
  <c r="W156" i="1"/>
  <c r="W214" i="1"/>
  <c r="W169" i="1"/>
  <c r="AI211" i="1"/>
  <c r="U197" i="1"/>
  <c r="S197" i="1" s="1"/>
  <c r="AI228" i="1"/>
  <c r="U234" i="1"/>
  <c r="S234" i="1" s="1"/>
  <c r="W225" i="1"/>
  <c r="W234" i="1"/>
  <c r="W200" i="1"/>
  <c r="T48" i="3"/>
  <c r="AD48" i="3"/>
  <c r="AC48" i="3"/>
  <c r="Y48" i="3"/>
  <c r="M28" i="5" l="1"/>
  <c r="M23" i="5" l="1"/>
  <c r="D22" i="10" l="1"/>
  <c r="D23" i="10" s="1"/>
  <c r="D19" i="10"/>
  <c r="K19" i="10" s="1"/>
  <c r="L19" i="10" s="1"/>
  <c r="D5" i="10"/>
  <c r="D6" i="10" s="1"/>
  <c r="K6" i="10" s="1"/>
  <c r="L6" i="10" s="1"/>
  <c r="K3" i="10"/>
  <c r="L3" i="10" s="1"/>
  <c r="K4" i="10"/>
  <c r="L4" i="10" s="1"/>
  <c r="K12" i="10"/>
  <c r="L12" i="10" s="1"/>
  <c r="K13" i="10"/>
  <c r="L13" i="10" s="1"/>
  <c r="K14" i="10"/>
  <c r="L14" i="10" s="1"/>
  <c r="K15" i="10"/>
  <c r="L15" i="10" s="1"/>
  <c r="K16" i="10"/>
  <c r="L16" i="10" s="1"/>
  <c r="K17" i="10"/>
  <c r="L17" i="10" s="1"/>
  <c r="K18" i="10"/>
  <c r="L18" i="10" s="1"/>
  <c r="K20" i="10"/>
  <c r="L20" i="10" s="1"/>
  <c r="K21" i="10"/>
  <c r="L21" i="10" s="1"/>
  <c r="K22" i="10"/>
  <c r="L22" i="10" s="1"/>
  <c r="K34" i="10"/>
  <c r="L34" i="10" s="1"/>
  <c r="K35" i="10"/>
  <c r="L35" i="10" s="1"/>
  <c r="K2" i="10"/>
  <c r="L2" i="10" s="1"/>
  <c r="J3" i="10"/>
  <c r="J4" i="10"/>
  <c r="J5" i="10"/>
  <c r="J6" i="10"/>
  <c r="J7" i="10"/>
  <c r="J8" i="10"/>
  <c r="J9" i="10"/>
  <c r="J10" i="10"/>
  <c r="J11" i="10"/>
  <c r="J12" i="10"/>
  <c r="J13" i="10"/>
  <c r="J14" i="10"/>
  <c r="J15" i="10"/>
  <c r="J16" i="10"/>
  <c r="J17" i="10"/>
  <c r="J18" i="10"/>
  <c r="J19" i="10"/>
  <c r="J20" i="10"/>
  <c r="J21" i="10"/>
  <c r="J22" i="10"/>
  <c r="J23" i="10"/>
  <c r="J24" i="10"/>
  <c r="J25" i="10"/>
  <c r="J26" i="10"/>
  <c r="J27" i="10"/>
  <c r="J28" i="10"/>
  <c r="J29" i="10"/>
  <c r="J30" i="10"/>
  <c r="J31" i="10"/>
  <c r="J32" i="10"/>
  <c r="J33" i="10"/>
  <c r="J34" i="10"/>
  <c r="J35" i="10"/>
  <c r="J2" i="10"/>
  <c r="AF13" i="1"/>
  <c r="M3" i="10"/>
  <c r="N3" i="10"/>
  <c r="O3" i="10"/>
  <c r="P3" i="10"/>
  <c r="M4" i="10"/>
  <c r="N4" i="10"/>
  <c r="O4" i="10"/>
  <c r="P4" i="10"/>
  <c r="M5" i="10"/>
  <c r="N5" i="10"/>
  <c r="O5" i="10"/>
  <c r="P5" i="10"/>
  <c r="M6" i="10"/>
  <c r="N6" i="10"/>
  <c r="O6" i="10"/>
  <c r="P6" i="10"/>
  <c r="M7" i="10"/>
  <c r="N7" i="10"/>
  <c r="O7" i="10"/>
  <c r="P7" i="10"/>
  <c r="M8" i="10"/>
  <c r="N8" i="10"/>
  <c r="O8" i="10"/>
  <c r="P8" i="10"/>
  <c r="M9" i="10"/>
  <c r="N9" i="10"/>
  <c r="O9" i="10"/>
  <c r="P9" i="10"/>
  <c r="M10" i="10"/>
  <c r="N10" i="10"/>
  <c r="O10" i="10"/>
  <c r="P10" i="10"/>
  <c r="M11" i="10"/>
  <c r="N11" i="10"/>
  <c r="O11" i="10"/>
  <c r="P11" i="10"/>
  <c r="M12" i="10"/>
  <c r="N12" i="10"/>
  <c r="O12" i="10"/>
  <c r="P12" i="10"/>
  <c r="M13" i="10"/>
  <c r="N13" i="10"/>
  <c r="O13" i="10"/>
  <c r="P13" i="10"/>
  <c r="M14" i="10"/>
  <c r="N14" i="10"/>
  <c r="O14" i="10"/>
  <c r="P14" i="10"/>
  <c r="M15" i="10"/>
  <c r="N15" i="10"/>
  <c r="O15" i="10"/>
  <c r="P15" i="10"/>
  <c r="M16" i="10"/>
  <c r="N16" i="10"/>
  <c r="O16" i="10"/>
  <c r="P16" i="10"/>
  <c r="M17" i="10"/>
  <c r="N17" i="10"/>
  <c r="O17" i="10"/>
  <c r="P17" i="10"/>
  <c r="M18" i="10"/>
  <c r="N18" i="10"/>
  <c r="O18" i="10"/>
  <c r="P18" i="10"/>
  <c r="M19" i="10"/>
  <c r="N19" i="10"/>
  <c r="O19" i="10"/>
  <c r="P19" i="10"/>
  <c r="M20" i="10"/>
  <c r="N20" i="10"/>
  <c r="O20" i="10"/>
  <c r="P20" i="10"/>
  <c r="M21" i="10"/>
  <c r="N21" i="10"/>
  <c r="O21" i="10"/>
  <c r="P21" i="10"/>
  <c r="M22" i="10"/>
  <c r="N22" i="10"/>
  <c r="O22" i="10"/>
  <c r="P22" i="10"/>
  <c r="M23" i="10"/>
  <c r="N23" i="10"/>
  <c r="O23" i="10"/>
  <c r="P23" i="10"/>
  <c r="M24" i="10"/>
  <c r="N24" i="10"/>
  <c r="O24" i="10"/>
  <c r="P24" i="10"/>
  <c r="M25" i="10"/>
  <c r="N25" i="10"/>
  <c r="O25" i="10"/>
  <c r="P25" i="10"/>
  <c r="M26" i="10"/>
  <c r="N26" i="10"/>
  <c r="O26" i="10"/>
  <c r="P26" i="10"/>
  <c r="M27" i="10"/>
  <c r="N27" i="10"/>
  <c r="O27" i="10"/>
  <c r="P27" i="10"/>
  <c r="M28" i="10"/>
  <c r="N28" i="10"/>
  <c r="O28" i="10"/>
  <c r="P28" i="10"/>
  <c r="M29" i="10"/>
  <c r="N29" i="10"/>
  <c r="O29" i="10"/>
  <c r="P29" i="10"/>
  <c r="M30" i="10"/>
  <c r="N30" i="10"/>
  <c r="O30" i="10"/>
  <c r="P30" i="10"/>
  <c r="M31" i="10"/>
  <c r="N31" i="10"/>
  <c r="O31" i="10"/>
  <c r="P31" i="10"/>
  <c r="M32" i="10"/>
  <c r="N32" i="10"/>
  <c r="O32" i="10"/>
  <c r="P32" i="10"/>
  <c r="M33" i="10"/>
  <c r="N33" i="10"/>
  <c r="O33" i="10"/>
  <c r="P33" i="10"/>
  <c r="M34" i="10"/>
  <c r="N34" i="10"/>
  <c r="O34" i="10"/>
  <c r="P34" i="10"/>
  <c r="M35" i="10"/>
  <c r="N35" i="10"/>
  <c r="O35" i="10"/>
  <c r="P35" i="10"/>
  <c r="P2" i="10"/>
  <c r="O2" i="10"/>
  <c r="N2" i="10"/>
  <c r="M2" i="10"/>
  <c r="K23" i="10" l="1"/>
  <c r="L23" i="10" s="1"/>
  <c r="D24" i="10"/>
  <c r="K5" i="10"/>
  <c r="L5" i="10" s="1"/>
  <c r="Q2" i="10"/>
  <c r="H2" i="10" s="1"/>
  <c r="Q32" i="10"/>
  <c r="Q28" i="10"/>
  <c r="Q24" i="10"/>
  <c r="Q20" i="10"/>
  <c r="H20" i="10" s="1"/>
  <c r="Q16" i="10"/>
  <c r="H16" i="10" s="1"/>
  <c r="Q12" i="10"/>
  <c r="H12" i="10" s="1"/>
  <c r="Q8" i="10"/>
  <c r="Q4" i="10"/>
  <c r="H4" i="10" s="1"/>
  <c r="Q34" i="10"/>
  <c r="G34" i="10" s="1"/>
  <c r="Q31" i="10"/>
  <c r="Q29" i="10"/>
  <c r="Q26" i="10"/>
  <c r="Q23" i="10"/>
  <c r="H23" i="10" s="1"/>
  <c r="Q22" i="10"/>
  <c r="H22" i="10" s="1"/>
  <c r="Q18" i="10"/>
  <c r="H18" i="10" s="1"/>
  <c r="Q15" i="10"/>
  <c r="H15" i="10" s="1"/>
  <c r="Q13" i="10"/>
  <c r="H13" i="10" s="1"/>
  <c r="Q11" i="10"/>
  <c r="Q9" i="10"/>
  <c r="Q7" i="10"/>
  <c r="Q5" i="10"/>
  <c r="Q35" i="10"/>
  <c r="G35" i="10" s="1"/>
  <c r="Q33" i="10"/>
  <c r="Q30" i="10"/>
  <c r="Q27" i="10"/>
  <c r="Q25" i="10"/>
  <c r="Q21" i="10"/>
  <c r="H21" i="10" s="1"/>
  <c r="Q19" i="10"/>
  <c r="H19" i="10" s="1"/>
  <c r="Q17" i="10"/>
  <c r="H17" i="10" s="1"/>
  <c r="Q14" i="10"/>
  <c r="H14" i="10" s="1"/>
  <c r="Q10" i="10"/>
  <c r="Q6" i="10"/>
  <c r="H6" i="10" s="1"/>
  <c r="Q3" i="10"/>
  <c r="H3" i="10" s="1"/>
  <c r="D7" i="10"/>
  <c r="I6" i="10"/>
  <c r="I2" i="10"/>
  <c r="I3" i="10"/>
  <c r="I4" i="10"/>
  <c r="I12" i="10"/>
  <c r="I13" i="10"/>
  <c r="I15" i="10"/>
  <c r="I17" i="10"/>
  <c r="I19" i="10"/>
  <c r="I20" i="10"/>
  <c r="I21" i="10"/>
  <c r="I35" i="10"/>
  <c r="I5" i="10" l="1"/>
  <c r="H5" i="10"/>
  <c r="G4" i="10"/>
  <c r="I23" i="10"/>
  <c r="G20" i="10"/>
  <c r="D25" i="10"/>
  <c r="K24" i="10"/>
  <c r="L24" i="10" s="1"/>
  <c r="G24" i="10" s="1"/>
  <c r="I34" i="10"/>
  <c r="I22" i="10"/>
  <c r="I18" i="10"/>
  <c r="I16" i="10"/>
  <c r="I14" i="10"/>
  <c r="G3" i="10"/>
  <c r="H34" i="10"/>
  <c r="G2" i="10"/>
  <c r="G19" i="10"/>
  <c r="H35" i="10"/>
  <c r="G16" i="10"/>
  <c r="G22" i="10"/>
  <c r="G6" i="10"/>
  <c r="G12" i="10"/>
  <c r="K7" i="10"/>
  <c r="L7" i="10" s="1"/>
  <c r="H7" i="10" s="1"/>
  <c r="D8" i="10"/>
  <c r="G15" i="10"/>
  <c r="G14" i="10"/>
  <c r="G17" i="10"/>
  <c r="G13" i="10"/>
  <c r="G23" i="10"/>
  <c r="G18" i="10"/>
  <c r="G5" i="10"/>
  <c r="G21" i="10"/>
  <c r="K13" i="1"/>
  <c r="M13" i="1"/>
  <c r="N13" i="1" s="1"/>
  <c r="Y13" i="1"/>
  <c r="Z13" i="1"/>
  <c r="AB13" i="1"/>
  <c r="AC13" i="1"/>
  <c r="AD13" i="1"/>
  <c r="X14" i="1" s="1"/>
  <c r="AE13" i="1"/>
  <c r="AM13" i="1"/>
  <c r="I7" i="10" l="1"/>
  <c r="H24" i="10"/>
  <c r="I24" i="10"/>
  <c r="K25" i="10"/>
  <c r="D26" i="10"/>
  <c r="G7" i="10"/>
  <c r="D9" i="10"/>
  <c r="K8" i="10"/>
  <c r="AG13" i="1"/>
  <c r="AI13" i="1" s="1"/>
  <c r="X13" i="1"/>
  <c r="AA13" i="1"/>
  <c r="T13" i="1"/>
  <c r="L8" i="10" l="1"/>
  <c r="H8" i="10" s="1"/>
  <c r="I8" i="10"/>
  <c r="D27" i="10"/>
  <c r="K26" i="10"/>
  <c r="L25" i="10"/>
  <c r="I25" i="10"/>
  <c r="K9" i="10"/>
  <c r="D10" i="10"/>
  <c r="W13" i="1"/>
  <c r="B93" i="9"/>
  <c r="B94" i="9"/>
  <c r="C94" i="9" s="1"/>
  <c r="B95" i="9"/>
  <c r="B96" i="9"/>
  <c r="C96" i="9" s="1"/>
  <c r="B97" i="9"/>
  <c r="B98" i="9"/>
  <c r="C98" i="9" s="1"/>
  <c r="B99" i="9"/>
  <c r="B100" i="9"/>
  <c r="B101" i="9"/>
  <c r="B102" i="9"/>
  <c r="B103" i="9"/>
  <c r="B104" i="9"/>
  <c r="B105" i="9"/>
  <c r="C106" i="9" s="1"/>
  <c r="B106" i="9"/>
  <c r="B107" i="9"/>
  <c r="B108" i="9"/>
  <c r="B109" i="9"/>
  <c r="B110" i="9"/>
  <c r="B111" i="9"/>
  <c r="B112" i="9"/>
  <c r="B113" i="9"/>
  <c r="B114" i="9"/>
  <c r="C114" i="9"/>
  <c r="B115" i="9"/>
  <c r="B116" i="9"/>
  <c r="B117" i="9"/>
  <c r="B118" i="9"/>
  <c r="C118" i="9" s="1"/>
  <c r="B119" i="9"/>
  <c r="B120" i="9"/>
  <c r="C120" i="9" s="1"/>
  <c r="B121" i="9"/>
  <c r="B122" i="9"/>
  <c r="C122" i="9" s="1"/>
  <c r="B123" i="9"/>
  <c r="B124" i="9"/>
  <c r="B125" i="9"/>
  <c r="B126" i="9"/>
  <c r="B127" i="9"/>
  <c r="B128" i="9"/>
  <c r="C128" i="9" s="1"/>
  <c r="B129" i="9"/>
  <c r="B130" i="9"/>
  <c r="G25" i="10" l="1"/>
  <c r="H25" i="10"/>
  <c r="L9" i="10"/>
  <c r="H9" i="10" s="1"/>
  <c r="I9" i="10"/>
  <c r="L26" i="10"/>
  <c r="I26" i="10"/>
  <c r="G8" i="10"/>
  <c r="D28" i="10"/>
  <c r="K27" i="10"/>
  <c r="D11" i="10"/>
  <c r="K11" i="10" s="1"/>
  <c r="K10" i="10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K28" i="10" l="1"/>
  <c r="D29" i="10"/>
  <c r="L11" i="10"/>
  <c r="H11" i="10" s="1"/>
  <c r="I11" i="10"/>
  <c r="G9" i="10"/>
  <c r="L10" i="10"/>
  <c r="H10" i="10" s="1"/>
  <c r="I10" i="10"/>
  <c r="L27" i="10"/>
  <c r="I27" i="10"/>
  <c r="G26" i="10"/>
  <c r="H26" i="10"/>
  <c r="B87" i="9"/>
  <c r="B88" i="9"/>
  <c r="B89" i="9"/>
  <c r="B90" i="9"/>
  <c r="B91" i="9"/>
  <c r="B92" i="9"/>
  <c r="G11" i="10" l="1"/>
  <c r="G10" i="10"/>
  <c r="H27" i="10"/>
  <c r="G27" i="10"/>
  <c r="D30" i="10"/>
  <c r="K29" i="10"/>
  <c r="L28" i="10"/>
  <c r="I28" i="10"/>
  <c r="C88" i="9"/>
  <c r="C92" i="9"/>
  <c r="C93" i="9"/>
  <c r="C90" i="9"/>
  <c r="C89" i="9"/>
  <c r="C91" i="9"/>
  <c r="H28" i="10" l="1"/>
  <c r="G28" i="10"/>
  <c r="L29" i="10"/>
  <c r="I29" i="10"/>
  <c r="K30" i="10"/>
  <c r="D31" i="10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L30" i="10" l="1"/>
  <c r="I30" i="10"/>
  <c r="G29" i="10"/>
  <c r="H29" i="10"/>
  <c r="K31" i="10"/>
  <c r="D32" i="10"/>
  <c r="C86" i="9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K32" i="10" l="1"/>
  <c r="D33" i="10"/>
  <c r="K33" i="10" s="1"/>
  <c r="L31" i="10"/>
  <c r="I31" i="10"/>
  <c r="G30" i="10"/>
  <c r="H30" i="10"/>
  <c r="B55" i="9"/>
  <c r="B56" i="9"/>
  <c r="B57" i="9"/>
  <c r="B58" i="9"/>
  <c r="B59" i="9"/>
  <c r="B60" i="9"/>
  <c r="B61" i="9"/>
  <c r="B62" i="9"/>
  <c r="C63" i="9" s="1"/>
  <c r="L33" i="10" l="1"/>
  <c r="I33" i="10"/>
  <c r="G31" i="10"/>
  <c r="H31" i="10"/>
  <c r="L32" i="10"/>
  <c r="I32" i="10"/>
  <c r="C61" i="9"/>
  <c r="C57" i="9"/>
  <c r="C59" i="9"/>
  <c r="C62" i="9"/>
  <c r="C60" i="9"/>
  <c r="C58" i="9"/>
  <c r="C56" i="9"/>
  <c r="H32" i="10" l="1"/>
  <c r="G32" i="10"/>
  <c r="G33" i="10"/>
  <c r="H33" i="10"/>
  <c r="B50" i="9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V13" i="1" l="1"/>
  <c r="AN13" i="1"/>
  <c r="AD8" i="3"/>
  <c r="B31" i="9"/>
  <c r="B32" i="9"/>
  <c r="C33" i="9" s="1"/>
  <c r="AE8" i="3" l="1"/>
  <c r="C32" i="9"/>
  <c r="G3" i="4" l="1"/>
  <c r="G4" i="4"/>
  <c r="G5" i="4"/>
  <c r="G6" i="4"/>
  <c r="G7" i="4"/>
  <c r="G8" i="4"/>
  <c r="G9" i="4"/>
  <c r="G10" i="4"/>
  <c r="G11" i="4"/>
  <c r="G12" i="4"/>
  <c r="G13" i="4"/>
  <c r="N49" i="3" s="1"/>
  <c r="G14" i="4"/>
  <c r="G15" i="4"/>
  <c r="G16" i="4"/>
  <c r="N15" i="3" s="1"/>
  <c r="G17" i="4"/>
  <c r="G18" i="4"/>
  <c r="G19" i="4"/>
  <c r="G20" i="4"/>
  <c r="G21" i="4"/>
  <c r="N48" i="3" s="1"/>
  <c r="G22" i="4"/>
  <c r="G23" i="4"/>
  <c r="G24" i="4"/>
  <c r="G25" i="4"/>
  <c r="G26" i="4"/>
  <c r="G27" i="4"/>
  <c r="G28" i="4"/>
  <c r="N22" i="3" s="1"/>
  <c r="G29" i="4"/>
  <c r="G30" i="4"/>
  <c r="N13" i="3" s="1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N17" i="3" s="1"/>
  <c r="G74" i="4"/>
  <c r="G75" i="4"/>
  <c r="G76" i="4"/>
  <c r="G77" i="4"/>
  <c r="G78" i="4"/>
  <c r="G79" i="4"/>
  <c r="G80" i="4"/>
  <c r="G81" i="4"/>
  <c r="G82" i="4"/>
  <c r="G83" i="4"/>
  <c r="N20" i="3" s="1"/>
  <c r="G84" i="4"/>
  <c r="N18" i="3" s="1"/>
  <c r="G85" i="4"/>
  <c r="G86" i="4"/>
  <c r="G87" i="4"/>
  <c r="G88" i="4"/>
  <c r="G89" i="4"/>
  <c r="N19" i="3" s="1"/>
  <c r="G90" i="4"/>
  <c r="G91" i="4"/>
  <c r="G92" i="4"/>
  <c r="G93" i="4"/>
  <c r="G94" i="4"/>
  <c r="G95" i="4"/>
  <c r="G96" i="4"/>
  <c r="N26" i="3" s="1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N32" i="3" s="1"/>
  <c r="G113" i="4"/>
  <c r="G114" i="4"/>
  <c r="G115" i="4"/>
  <c r="G116" i="4"/>
  <c r="G117" i="4"/>
  <c r="G118" i="4"/>
  <c r="G119" i="4"/>
  <c r="G120" i="4"/>
  <c r="N40" i="3" s="1"/>
  <c r="G121" i="4"/>
  <c r="G122" i="4"/>
  <c r="G123" i="4"/>
  <c r="G124" i="4"/>
  <c r="N33" i="3" s="1"/>
  <c r="G125" i="4"/>
  <c r="N42" i="3" s="1"/>
  <c r="G126" i="4"/>
  <c r="N7" i="3" s="1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N31" i="3" s="1"/>
  <c r="G140" i="4"/>
  <c r="G141" i="4"/>
  <c r="N24" i="3" s="1"/>
  <c r="G142" i="4"/>
  <c r="N34" i="3" s="1"/>
  <c r="G143" i="4"/>
  <c r="G144" i="4"/>
  <c r="G145" i="4"/>
  <c r="G146" i="4"/>
  <c r="G147" i="4"/>
  <c r="G148" i="4"/>
  <c r="G149" i="4"/>
  <c r="N44" i="3" s="1"/>
  <c r="G150" i="4"/>
  <c r="G151" i="4"/>
  <c r="G152" i="4"/>
  <c r="G153" i="4"/>
  <c r="N27" i="3" s="1"/>
  <c r="G154" i="4"/>
  <c r="N39" i="3" s="1"/>
  <c r="G155" i="4"/>
  <c r="G156" i="4"/>
  <c r="G157" i="4"/>
  <c r="G158" i="4"/>
  <c r="G159" i="4"/>
  <c r="G160" i="4"/>
  <c r="N37" i="3" s="1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N47" i="3" s="1"/>
  <c r="G204" i="4"/>
  <c r="G205" i="4"/>
  <c r="G206" i="4"/>
  <c r="G207" i="4"/>
  <c r="G208" i="4"/>
  <c r="G209" i="4"/>
  <c r="G210" i="4"/>
  <c r="G211" i="4"/>
  <c r="G212" i="4"/>
  <c r="G213" i="4"/>
  <c r="G214" i="4"/>
  <c r="G215" i="4"/>
  <c r="N43" i="3" s="1"/>
  <c r="G216" i="4"/>
  <c r="G217" i="4"/>
  <c r="N8" i="3" s="1"/>
  <c r="G218" i="4"/>
  <c r="G219" i="4"/>
  <c r="G220" i="4"/>
  <c r="G221" i="4"/>
  <c r="G222" i="4"/>
  <c r="G223" i="4"/>
  <c r="G224" i="4"/>
  <c r="G225" i="4"/>
  <c r="G226" i="4"/>
  <c r="G227" i="4"/>
  <c r="G228" i="4"/>
  <c r="G229" i="4"/>
  <c r="G230" i="4"/>
  <c r="N9" i="3" s="1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" i="4"/>
  <c r="N36" i="3" l="1"/>
  <c r="N35" i="3"/>
  <c r="N29" i="3"/>
  <c r="N30" i="3"/>
  <c r="N23" i="3"/>
  <c r="N10" i="3"/>
  <c r="N28" i="3"/>
  <c r="N45" i="3"/>
  <c r="N46" i="3"/>
  <c r="N41" i="3"/>
  <c r="N38" i="3"/>
  <c r="N14" i="3"/>
  <c r="N21" i="3"/>
  <c r="N25" i="3"/>
  <c r="N16" i="3"/>
  <c r="N12" i="3"/>
  <c r="N11" i="3"/>
  <c r="L13" i="1"/>
  <c r="B2" i="9" l="1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M30" i="5" l="1"/>
  <c r="M29" i="5"/>
  <c r="M27" i="5"/>
  <c r="M26" i="5" l="1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F282" i="4" l="1"/>
  <c r="G282" i="4" s="1"/>
  <c r="F283" i="4"/>
  <c r="G283" i="4" s="1"/>
  <c r="F284" i="4"/>
  <c r="G284" i="4" s="1"/>
  <c r="F285" i="4"/>
  <c r="G285" i="4" s="1"/>
  <c r="F286" i="4"/>
  <c r="G286" i="4" s="1"/>
  <c r="F287" i="4"/>
  <c r="G287" i="4" s="1"/>
  <c r="F288" i="4"/>
  <c r="G288" i="4" s="1"/>
  <c r="F289" i="4"/>
  <c r="G289" i="4" s="1"/>
  <c r="F290" i="4"/>
  <c r="G290" i="4" s="1"/>
  <c r="F291" i="4"/>
  <c r="G291" i="4" s="1"/>
  <c r="F292" i="4"/>
  <c r="G292" i="4" s="1"/>
  <c r="F293" i="4"/>
  <c r="G293" i="4" s="1"/>
  <c r="F294" i="4"/>
  <c r="G294" i="4" s="1"/>
  <c r="F295" i="4"/>
  <c r="G295" i="4" s="1"/>
  <c r="F296" i="4"/>
  <c r="G296" i="4" s="1"/>
  <c r="F297" i="4"/>
  <c r="G297" i="4" s="1"/>
  <c r="F298" i="4"/>
  <c r="G298" i="4" s="1"/>
  <c r="F299" i="4"/>
  <c r="G299" i="4" s="1"/>
  <c r="F300" i="4"/>
  <c r="G300" i="4" s="1"/>
  <c r="F301" i="4"/>
  <c r="G301" i="4" s="1"/>
  <c r="F302" i="4"/>
  <c r="G302" i="4" s="1"/>
  <c r="F303" i="4"/>
  <c r="G303" i="4" s="1"/>
  <c r="F304" i="4"/>
  <c r="G304" i="4" s="1"/>
  <c r="F305" i="4"/>
  <c r="G305" i="4" s="1"/>
  <c r="F306" i="4"/>
  <c r="G306" i="4" s="1"/>
  <c r="F307" i="4"/>
  <c r="G307" i="4" s="1"/>
  <c r="F308" i="4"/>
  <c r="G308" i="4" s="1"/>
  <c r="F309" i="4"/>
  <c r="G309" i="4" s="1"/>
  <c r="F310" i="4"/>
  <c r="G310" i="4" s="1"/>
  <c r="F311" i="4"/>
  <c r="G311" i="4" s="1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V5" i="1" l="1"/>
  <c r="V8" i="1" s="1"/>
  <c r="G266" i="4"/>
  <c r="G267" i="4"/>
  <c r="G268" i="4"/>
  <c r="G269" i="4"/>
  <c r="G270" i="4"/>
  <c r="G271" i="4"/>
  <c r="G272" i="4"/>
  <c r="G273" i="4"/>
  <c r="G274" i="4"/>
  <c r="G275" i="4"/>
  <c r="G276" i="4"/>
  <c r="F277" i="4"/>
  <c r="G277" i="4" s="1"/>
  <c r="F278" i="4"/>
  <c r="G278" i="4" s="1"/>
  <c r="F279" i="4"/>
  <c r="G279" i="4" s="1"/>
  <c r="F280" i="4"/>
  <c r="G280" i="4" s="1"/>
  <c r="F281" i="4"/>
  <c r="G281" i="4" s="1"/>
  <c r="G259" i="4" l="1"/>
  <c r="G260" i="4"/>
  <c r="G261" i="4"/>
  <c r="G262" i="4"/>
  <c r="G263" i="4"/>
  <c r="G264" i="4"/>
  <c r="G265" i="4"/>
  <c r="M14" i="5" l="1"/>
  <c r="M13" i="5"/>
  <c r="M12" i="5"/>
  <c r="M11" i="5"/>
  <c r="M10" i="5"/>
  <c r="M9" i="5"/>
  <c r="M8" i="5"/>
  <c r="M7" i="5"/>
  <c r="M6" i="5"/>
  <c r="M5" i="5"/>
  <c r="M4" i="5"/>
  <c r="M3" i="5"/>
  <c r="U13" i="1" l="1"/>
  <c r="S13" i="1" s="1"/>
  <c r="O2" i="3"/>
  <c r="O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  <c r="B3" i="6" l="1"/>
  <c r="I3" i="6" l="1"/>
  <c r="F3" i="6"/>
  <c r="G3" i="6"/>
  <c r="J3" i="6"/>
  <c r="H3" i="6"/>
  <c r="B4" i="6"/>
  <c r="I4" i="6" l="1"/>
  <c r="F4" i="6"/>
  <c r="J4" i="6"/>
  <c r="H4" i="6"/>
  <c r="G4" i="6"/>
  <c r="B5" i="6"/>
  <c r="I5" i="6" l="1"/>
  <c r="F5" i="6"/>
  <c r="H5" i="6"/>
  <c r="G5" i="6"/>
  <c r="J5" i="6"/>
  <c r="B6" i="6"/>
  <c r="I6" i="6" l="1"/>
  <c r="F6" i="6"/>
  <c r="B7" i="6"/>
  <c r="G6" i="6"/>
  <c r="H6" i="6"/>
  <c r="J6" i="6"/>
  <c r="I7" i="6" l="1"/>
  <c r="F7" i="6"/>
  <c r="J7" i="6"/>
  <c r="H7" i="6"/>
  <c r="G7" i="6"/>
  <c r="B8" i="6"/>
  <c r="I8" i="6" l="1"/>
  <c r="F8" i="6"/>
  <c r="H8" i="6"/>
  <c r="J8" i="6"/>
  <c r="G8" i="6"/>
  <c r="B9" i="6"/>
  <c r="I9" i="6" l="1"/>
  <c r="F9" i="6"/>
  <c r="H9" i="6"/>
  <c r="J9" i="6"/>
  <c r="G9" i="6"/>
  <c r="B10" i="6"/>
  <c r="I10" i="6" l="1"/>
  <c r="F10" i="6"/>
  <c r="H10" i="6"/>
  <c r="J10" i="6"/>
  <c r="G10" i="6"/>
  <c r="B11" i="6"/>
  <c r="I11" i="6" l="1"/>
  <c r="F11" i="6"/>
  <c r="G11" i="6"/>
  <c r="H11" i="6"/>
  <c r="J11" i="6"/>
  <c r="B12" i="6"/>
  <c r="I12" i="6" l="1"/>
  <c r="F12" i="6"/>
  <c r="B13" i="6"/>
  <c r="J12" i="6"/>
  <c r="G12" i="6"/>
  <c r="H12" i="6"/>
  <c r="I13" i="6" l="1"/>
  <c r="F13" i="6"/>
  <c r="B14" i="6"/>
  <c r="J13" i="6"/>
  <c r="G13" i="6"/>
  <c r="H13" i="6"/>
  <c r="I14" i="6" l="1"/>
  <c r="F14" i="6"/>
  <c r="H14" i="6"/>
  <c r="J14" i="6"/>
  <c r="G14" i="6"/>
  <c r="B15" i="6"/>
  <c r="I15" i="6" l="1"/>
  <c r="F15" i="6"/>
  <c r="B16" i="6"/>
  <c r="G15" i="6"/>
  <c r="J15" i="6"/>
  <c r="H15" i="6"/>
  <c r="I16" i="6" l="1"/>
  <c r="F16" i="6"/>
  <c r="G16" i="6"/>
  <c r="H16" i="6"/>
  <c r="J16" i="6"/>
  <c r="B17" i="6"/>
  <c r="I17" i="6" l="1"/>
  <c r="F17" i="6"/>
  <c r="J17" i="6"/>
  <c r="G17" i="6"/>
  <c r="H17" i="6"/>
  <c r="B18" i="6"/>
  <c r="I18" i="6" l="1"/>
  <c r="F18" i="6"/>
  <c r="G18" i="6"/>
  <c r="H18" i="6"/>
  <c r="J18" i="6"/>
  <c r="B19" i="6"/>
  <c r="I19" i="6" l="1"/>
  <c r="F19" i="6"/>
  <c r="B20" i="6"/>
  <c r="J19" i="6"/>
  <c r="H19" i="6"/>
  <c r="G19" i="6"/>
  <c r="I20" i="6" l="1"/>
  <c r="F20" i="6"/>
  <c r="J20" i="6"/>
  <c r="G20" i="6"/>
  <c r="H20" i="6"/>
  <c r="B21" i="6"/>
  <c r="I21" i="6" l="1"/>
  <c r="F21" i="6"/>
  <c r="B22" i="6"/>
  <c r="G21" i="6"/>
  <c r="J21" i="6"/>
  <c r="H21" i="6"/>
  <c r="I22" i="6" l="1"/>
  <c r="F22" i="6"/>
  <c r="G22" i="6"/>
  <c r="J22" i="6"/>
  <c r="H22" i="6"/>
  <c r="B23" i="6"/>
  <c r="I23" i="6" l="1"/>
  <c r="F23" i="6"/>
  <c r="B24" i="6"/>
  <c r="G23" i="6"/>
  <c r="J23" i="6"/>
  <c r="H23" i="6"/>
  <c r="I24" i="6" l="1"/>
  <c r="F24" i="6"/>
  <c r="G24" i="6"/>
  <c r="H24" i="6"/>
  <c r="J24" i="6"/>
  <c r="B25" i="6"/>
  <c r="I25" i="6" l="1"/>
  <c r="F25" i="6"/>
  <c r="B26" i="6"/>
  <c r="G25" i="6"/>
  <c r="H25" i="6"/>
  <c r="J25" i="6"/>
  <c r="I26" i="6" l="1"/>
  <c r="F26" i="6"/>
  <c r="G26" i="6"/>
  <c r="H26" i="6"/>
  <c r="J26" i="6"/>
  <c r="B27" i="6"/>
  <c r="I27" i="6" l="1"/>
  <c r="F27" i="6"/>
  <c r="G27" i="6"/>
  <c r="H27" i="6"/>
  <c r="J27" i="6"/>
  <c r="B28" i="6"/>
  <c r="I28" i="6" l="1"/>
  <c r="F28" i="6"/>
  <c r="B29" i="6"/>
  <c r="J28" i="6"/>
  <c r="G28" i="6"/>
  <c r="H28" i="6"/>
  <c r="I29" i="6" l="1"/>
  <c r="F29" i="6"/>
  <c r="B30" i="6"/>
  <c r="J29" i="6"/>
  <c r="G29" i="6"/>
  <c r="H29" i="6"/>
  <c r="I30" i="6" l="1"/>
  <c r="F30" i="6"/>
  <c r="H30" i="6"/>
  <c r="G30" i="6"/>
  <c r="J30" i="6"/>
  <c r="B31" i="6"/>
  <c r="I31" i="6" l="1"/>
  <c r="F31" i="6"/>
  <c r="B32" i="6"/>
  <c r="G31" i="6"/>
  <c r="J31" i="6"/>
  <c r="H31" i="6"/>
  <c r="I32" i="6" l="1"/>
  <c r="F32" i="6"/>
  <c r="B33" i="6"/>
  <c r="J32" i="6"/>
  <c r="G32" i="6"/>
  <c r="H32" i="6"/>
  <c r="I33" i="6" l="1"/>
  <c r="F33" i="6"/>
  <c r="J33" i="6"/>
  <c r="G33" i="6"/>
  <c r="H33" i="6"/>
  <c r="B34" i="6"/>
  <c r="I34" i="6" l="1"/>
  <c r="F34" i="6"/>
  <c r="H34" i="6"/>
  <c r="J34" i="6"/>
  <c r="G34" i="6"/>
  <c r="B35" i="6"/>
  <c r="I35" i="6" l="1"/>
  <c r="F35" i="6"/>
  <c r="B36" i="6"/>
  <c r="J35" i="6"/>
  <c r="H35" i="6"/>
  <c r="G35" i="6"/>
  <c r="I36" i="6" l="1"/>
  <c r="F36" i="6"/>
  <c r="J36" i="6"/>
  <c r="G36" i="6"/>
  <c r="H36" i="6"/>
  <c r="B37" i="6"/>
  <c r="I37" i="6" l="1"/>
  <c r="F37" i="6"/>
  <c r="G37" i="6"/>
  <c r="H37" i="6"/>
  <c r="J37" i="6"/>
  <c r="B38" i="6"/>
  <c r="I38" i="6" l="1"/>
  <c r="F38" i="6"/>
  <c r="G38" i="6"/>
  <c r="H38" i="6"/>
  <c r="J38" i="6"/>
  <c r="B39" i="6"/>
  <c r="I39" i="6" l="1"/>
  <c r="F39" i="6"/>
  <c r="B40" i="6"/>
  <c r="J39" i="6"/>
  <c r="H39" i="6"/>
  <c r="G39" i="6"/>
  <c r="I40" i="6" l="1"/>
  <c r="F40" i="6"/>
  <c r="B41" i="6"/>
  <c r="J40" i="6"/>
  <c r="G40" i="6"/>
  <c r="H40" i="6"/>
  <c r="I41" i="6" l="1"/>
  <c r="F41" i="6"/>
  <c r="H41" i="6"/>
  <c r="G41" i="6"/>
  <c r="J41" i="6"/>
  <c r="B42" i="6"/>
  <c r="I42" i="6" l="1"/>
  <c r="F42" i="6"/>
  <c r="G42" i="6"/>
  <c r="H42" i="6"/>
  <c r="J42" i="6"/>
  <c r="B43" i="6"/>
  <c r="I43" i="6" l="1"/>
  <c r="F43" i="6"/>
  <c r="B44" i="6"/>
  <c r="J43" i="6"/>
  <c r="H43" i="6"/>
  <c r="G43" i="6"/>
  <c r="I44" i="6" l="1"/>
  <c r="F44" i="6"/>
  <c r="B45" i="6"/>
  <c r="J44" i="6"/>
  <c r="G44" i="6"/>
  <c r="H44" i="6"/>
  <c r="I45" i="6" l="1"/>
  <c r="F45" i="6"/>
  <c r="B46" i="6"/>
  <c r="J45" i="6"/>
  <c r="G45" i="6"/>
  <c r="H45" i="6"/>
  <c r="I46" i="6" l="1"/>
  <c r="F46" i="6"/>
  <c r="J46" i="6"/>
  <c r="H46" i="6"/>
  <c r="G46" i="6"/>
  <c r="B47" i="6"/>
  <c r="I47" i="6" l="1"/>
  <c r="F47" i="6"/>
  <c r="J47" i="6"/>
  <c r="H47" i="6"/>
  <c r="G47" i="6"/>
  <c r="B48" i="6"/>
  <c r="I48" i="6" l="1"/>
  <c r="F48" i="6"/>
  <c r="J48" i="6"/>
  <c r="G48" i="6"/>
  <c r="H48" i="6"/>
  <c r="B49" i="6"/>
  <c r="I49" i="6" l="1"/>
  <c r="F49" i="6"/>
  <c r="B50" i="6"/>
  <c r="G49" i="6"/>
  <c r="H49" i="6"/>
  <c r="J49" i="6"/>
  <c r="I50" i="6" l="1"/>
  <c r="F50" i="6"/>
  <c r="G50" i="6"/>
  <c r="H50" i="6"/>
  <c r="J50" i="6"/>
  <c r="B51" i="6"/>
  <c r="I51" i="6" l="1"/>
  <c r="F51" i="6"/>
  <c r="B52" i="6"/>
  <c r="J51" i="6"/>
  <c r="G51" i="6"/>
  <c r="H51" i="6"/>
  <c r="I52" i="6" l="1"/>
  <c r="F52" i="6"/>
  <c r="H52" i="6"/>
  <c r="G52" i="6"/>
  <c r="J52" i="6"/>
  <c r="B53" i="6"/>
  <c r="I53" i="6" l="1"/>
  <c r="F53" i="6"/>
  <c r="B54" i="6"/>
  <c r="H53" i="6"/>
  <c r="G53" i="6"/>
  <c r="J53" i="6"/>
  <c r="I54" i="6" l="1"/>
  <c r="F54" i="6"/>
  <c r="B55" i="6"/>
  <c r="J54" i="6"/>
  <c r="H54" i="6"/>
  <c r="G54" i="6"/>
  <c r="I55" i="6" l="1"/>
  <c r="F55" i="6"/>
  <c r="J55" i="6"/>
  <c r="H55" i="6"/>
  <c r="G55" i="6"/>
  <c r="B56" i="6"/>
  <c r="I56" i="6" l="1"/>
  <c r="F56" i="6"/>
  <c r="J56" i="6"/>
  <c r="H56" i="6"/>
  <c r="G56" i="6"/>
  <c r="B57" i="6"/>
  <c r="I57" i="6" l="1"/>
  <c r="F57" i="6"/>
  <c r="B58" i="6"/>
  <c r="J57" i="6"/>
  <c r="G57" i="6"/>
  <c r="H57" i="6"/>
  <c r="I58" i="6" l="1"/>
  <c r="F58" i="6"/>
  <c r="B59" i="6"/>
  <c r="G58" i="6"/>
  <c r="H58" i="6"/>
  <c r="J58" i="6"/>
  <c r="I59" i="6" l="1"/>
  <c r="F59" i="6"/>
  <c r="B60" i="6"/>
  <c r="J59" i="6"/>
  <c r="H59" i="6"/>
  <c r="G59" i="6"/>
  <c r="I60" i="6" l="1"/>
  <c r="F60" i="6"/>
  <c r="B61" i="6"/>
  <c r="H60" i="6"/>
  <c r="J60" i="6"/>
  <c r="G60" i="6"/>
  <c r="I61" i="6" l="1"/>
  <c r="F61" i="6"/>
  <c r="G61" i="6"/>
  <c r="H61" i="6"/>
  <c r="J61" i="6"/>
  <c r="B62" i="6"/>
  <c r="I62" i="6" l="1"/>
  <c r="F62" i="6"/>
  <c r="B63" i="6"/>
  <c r="G62" i="6"/>
  <c r="J62" i="6"/>
  <c r="H62" i="6"/>
  <c r="I63" i="6" l="1"/>
  <c r="F63" i="6"/>
  <c r="H63" i="6"/>
  <c r="J63" i="6"/>
  <c r="G63" i="6"/>
  <c r="B64" i="6"/>
  <c r="I64" i="6" l="1"/>
  <c r="F64" i="6"/>
  <c r="H64" i="6"/>
  <c r="G64" i="6"/>
  <c r="J64" i="6"/>
  <c r="B65" i="6"/>
  <c r="I65" i="6" l="1"/>
  <c r="F65" i="6"/>
  <c r="H65" i="6"/>
  <c r="G65" i="6"/>
  <c r="J65" i="6"/>
  <c r="B66" i="6"/>
  <c r="I66" i="6" l="1"/>
  <c r="F66" i="6"/>
  <c r="H66" i="6"/>
  <c r="J66" i="6"/>
  <c r="G66" i="6"/>
  <c r="B67" i="6"/>
  <c r="I67" i="6" l="1"/>
  <c r="F67" i="6"/>
  <c r="J67" i="6"/>
  <c r="G67" i="6"/>
  <c r="H67" i="6"/>
  <c r="B68" i="6"/>
  <c r="I68" i="6" l="1"/>
  <c r="F68" i="6"/>
  <c r="J68" i="6"/>
  <c r="H68" i="6"/>
  <c r="G68" i="6"/>
  <c r="B69" i="6"/>
  <c r="I69" i="6" l="1"/>
  <c r="F69" i="6"/>
  <c r="G69" i="6"/>
  <c r="H69" i="6"/>
  <c r="J69" i="6"/>
  <c r="B70" i="6"/>
  <c r="I70" i="6" l="1"/>
  <c r="F70" i="6"/>
  <c r="B71" i="6"/>
  <c r="J70" i="6"/>
  <c r="G70" i="6"/>
  <c r="H70" i="6"/>
  <c r="I71" i="6" l="1"/>
  <c r="F71" i="6"/>
  <c r="J71" i="6"/>
  <c r="H71" i="6"/>
  <c r="G71" i="6"/>
  <c r="B72" i="6"/>
  <c r="I72" i="6" l="1"/>
  <c r="F72" i="6"/>
  <c r="B73" i="6"/>
  <c r="J72" i="6"/>
  <c r="G72" i="6"/>
  <c r="H72" i="6"/>
  <c r="I73" i="6" l="1"/>
  <c r="F73" i="6"/>
  <c r="B74" i="6"/>
  <c r="H73" i="6"/>
  <c r="G73" i="6"/>
  <c r="J73" i="6"/>
  <c r="I74" i="6" l="1"/>
  <c r="F74" i="6"/>
  <c r="B75" i="6"/>
  <c r="J74" i="6"/>
  <c r="G74" i="6"/>
  <c r="H74" i="6"/>
  <c r="I75" i="6" l="1"/>
  <c r="F75" i="6"/>
  <c r="B76" i="6"/>
  <c r="J75" i="6"/>
  <c r="H75" i="6"/>
  <c r="G75" i="6"/>
  <c r="I76" i="6" l="1"/>
  <c r="F76" i="6"/>
  <c r="G76" i="6"/>
  <c r="H76" i="6"/>
  <c r="J76" i="6"/>
  <c r="B77" i="6"/>
  <c r="I77" i="6" l="1"/>
  <c r="F77" i="6"/>
  <c r="B78" i="6"/>
  <c r="J77" i="6"/>
  <c r="G77" i="6"/>
  <c r="H77" i="6"/>
  <c r="I78" i="6" l="1"/>
  <c r="F78" i="6"/>
  <c r="G78" i="6"/>
  <c r="H78" i="6"/>
  <c r="J78" i="6"/>
  <c r="B79" i="6"/>
  <c r="I79" i="6" l="1"/>
  <c r="F79" i="6"/>
  <c r="H79" i="6"/>
  <c r="G79" i="6"/>
  <c r="J79" i="6"/>
  <c r="B80" i="6"/>
  <c r="I80" i="6" l="1"/>
  <c r="F80" i="6"/>
  <c r="J80" i="6"/>
  <c r="H80" i="6"/>
  <c r="G80" i="6"/>
  <c r="B81" i="6"/>
  <c r="I81" i="6" l="1"/>
  <c r="F81" i="6"/>
  <c r="H81" i="6"/>
  <c r="G81" i="6"/>
  <c r="J81" i="6"/>
  <c r="B82" i="6"/>
  <c r="I82" i="6" l="1"/>
  <c r="F82" i="6"/>
  <c r="H82" i="6"/>
  <c r="G82" i="6"/>
  <c r="J82" i="6"/>
  <c r="B83" i="6"/>
  <c r="I83" i="6" l="1"/>
  <c r="F83" i="6"/>
  <c r="J83" i="6"/>
  <c r="G83" i="6"/>
  <c r="H83" i="6"/>
  <c r="B84" i="6"/>
  <c r="I84" i="6" l="1"/>
  <c r="F84" i="6"/>
  <c r="G84" i="6"/>
  <c r="H84" i="6"/>
  <c r="J84" i="6"/>
  <c r="B85" i="6"/>
  <c r="I85" i="6" l="1"/>
  <c r="F85" i="6"/>
  <c r="B86" i="6"/>
  <c r="H85" i="6"/>
  <c r="G85" i="6"/>
  <c r="J85" i="6"/>
  <c r="I86" i="6" l="1"/>
  <c r="F86" i="6"/>
  <c r="B87" i="6"/>
  <c r="J86" i="6"/>
  <c r="G86" i="6"/>
  <c r="H86" i="6"/>
  <c r="I87" i="6" l="1"/>
  <c r="F87" i="6"/>
  <c r="H87" i="6"/>
  <c r="G87" i="6"/>
  <c r="J87" i="6"/>
  <c r="B88" i="6"/>
  <c r="I88" i="6" l="1"/>
  <c r="F88" i="6"/>
  <c r="H88" i="6"/>
  <c r="J88" i="6"/>
  <c r="G88" i="6"/>
  <c r="B89" i="6"/>
  <c r="I89" i="6" l="1"/>
  <c r="F89" i="6"/>
  <c r="G89" i="6"/>
  <c r="J89" i="6"/>
  <c r="H89" i="6"/>
  <c r="B90" i="6"/>
  <c r="I90" i="6" l="1"/>
  <c r="F90" i="6"/>
  <c r="B91" i="6"/>
  <c r="H90" i="6"/>
  <c r="J90" i="6"/>
  <c r="G90" i="6"/>
  <c r="I91" i="6" l="1"/>
  <c r="F91" i="6"/>
  <c r="B92" i="6"/>
  <c r="J91" i="6"/>
  <c r="H91" i="6"/>
  <c r="G91" i="6"/>
  <c r="I92" i="6" l="1"/>
  <c r="F92" i="6"/>
  <c r="B94" i="6"/>
  <c r="B93" i="6"/>
  <c r="G92" i="6"/>
  <c r="H92" i="6"/>
  <c r="J92" i="6"/>
  <c r="I93" i="6" l="1"/>
  <c r="F93" i="6"/>
  <c r="I94" i="6"/>
  <c r="F94" i="6"/>
  <c r="G93" i="6"/>
  <c r="H93" i="6"/>
  <c r="J93" i="6"/>
  <c r="J94" i="6"/>
  <c r="G94" i="6"/>
  <c r="H94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<sst xmlns="http://schemas.openxmlformats.org/spreadsheetml/2006/main" count="2883" uniqueCount="1033">
  <si>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</si>
  <si>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</si>
  <si>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</si>
  <si>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</si>
  <si>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</si>
  <si>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</si>
  <si>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</si>
  <si>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</si>
  <si>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</si>
  <si>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</si>
  <si>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</si>
  <si>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</si>
  <si>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</si>
  <si>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</si>
  <si>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</si>
  <si>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</si>
  <si>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</si>
  <si>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</si>
  <si>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</si>
  <si>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</si>
  <si>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</si>
  <si>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</si>
  <si>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</si>
  <si>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</si>
  <si>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</si>
  <si>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</si>
  <si>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</si>
  <si>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</si>
  <si>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</si>
  <si>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</si>
  <si>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</si>
  <si>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</si>
  <si>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</si>
  <si>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</si>
  <si>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</si>
  <si>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</si>
  <si>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</si>
  <si>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</si>
  <si>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</si>
  <si>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</si>
  <si>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</si>
  <si>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</si>
  <si>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</si>
  <si>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</si>
  <si>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</si>
  <si>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</si>
  <si>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</si>
  <si>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</si>
  <si>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</si>
  <si>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</si>
  <si>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</si>
  <si>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</si>
  <si>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</si>
  <si>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</si>
  <si>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</si>
  <si>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</si>
  <si>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</si>
  <si>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</si>
  <si>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</si>
  <si>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</si>
  <si>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</si>
  <si>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</si>
  <si>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</si>
  <si>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</si>
  <si>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</si>
  <si>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</si>
  <si>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</si>
  <si>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</si>
  <si>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</si>
  <si>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</si>
  <si>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</si>
  <si>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</si>
  <si>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</si>
  <si>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</si>
  <si>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</si>
  <si>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</si>
  <si>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</si>
  <si>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</si>
  <si>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</si>
  <si>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</si>
  <si>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</si>
  <si>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</si>
  <si>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</si>
  <si>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</si>
  <si>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</si>
  <si>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</si>
  <si>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</si>
  <si>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</si>
  <si>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</si>
  <si>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</si>
  <si>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</si>
  <si>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</si>
  <si>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</si>
  <si>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</si>
  <si>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</si>
  <si>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</si>
  <si>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</si>
  <si>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</si>
  <si>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</si>
  <si>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</si>
  <si>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</si>
  <si>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</si>
  <si>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</si>
  <si>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</si>
  <si>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</si>
  <si>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</si>
  <si>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</si>
  <si>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</si>
  <si>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</si>
  <si>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</si>
  <si>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</si>
  <si>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</si>
  <si>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</si>
  <si>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</si>
  <si>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</si>
  <si>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</si>
  <si>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</si>
  <si>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</si>
  <si>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</si>
  <si>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</si>
  <si>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</si>
  <si>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</si>
  <si>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</si>
  <si>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</si>
  <si>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</si>
  <si>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</si>
  <si>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</si>
  <si>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</si>
  <si>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</si>
  <si>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</si>
  <si>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</si>
  <si>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</si>
  <si>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</si>
  <si>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</si>
  <si>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</si>
  <si>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</si>
  <si>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</si>
  <si>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</si>
  <si>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</si>
  <si>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</si>
  <si>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</si>
  <si>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</si>
  <si>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</si>
  <si>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</si>
  <si>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</si>
  <si>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</si>
  <si>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</si>
  <si>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</si>
  <si>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</si>
  <si>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</si>
  <si>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</si>
  <si>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</si>
  <si>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</si>
  <si>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</si>
  <si>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</si>
  <si>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</si>
  <si>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</si>
  <si>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</si>
  <si>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</si>
  <si>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</si>
  <si>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</si>
  <si>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</si>
  <si>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</si>
  <si>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</si>
  <si>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</si>
  <si>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</si>
  <si>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</si>
  <si>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</si>
  <si>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</si>
  <si>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</si>
  <si>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</si>
  <si>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</si>
  <si>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</si>
  <si>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</si>
  <si>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</si>
  <si>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</si>
  <si>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</si>
  <si>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</si>
  <si>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</si>
  <si>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</si>
  <si>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</si>
  <si>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</si>
  <si>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</si>
  <si>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</si>
  <si>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204:149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</si>
  <si>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</si>
  <si>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</si>
  <si>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</si>
  <si>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</si>
  <si>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</si>
  <si>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</si>
  <si>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204:150</t>
  </si>
  <si>
    <t>CLI Grep2 (for slice disagreement)</t>
  </si>
  <si>
    <t>GRADE CROSSING</t>
  </si>
  <si>
    <t>Bulletin (2)</t>
  </si>
  <si>
    <t>JAMES</t>
  </si>
  <si>
    <t>Last + First</t>
  </si>
  <si>
    <t>Employee First Name</t>
  </si>
  <si>
    <t>MICHAEL</t>
  </si>
  <si>
    <t>NEWELL</t>
  </si>
  <si>
    <t>204:152</t>
  </si>
  <si>
    <t>204:158</t>
  </si>
  <si>
    <t>rtdc.l.rtdc.4030:itc</t>
  </si>
  <si>
    <t>AWS CP Parallel</t>
  </si>
  <si>
    <t>DownloadS3Logs</t>
  </si>
  <si>
    <t>%USERPROFILE%\Documents\GitHub\eaglep3\Utilities\DownloadLogsFromS3.py</t>
  </si>
  <si>
    <t>204:154</t>
  </si>
  <si>
    <t>Uncaught Wi-MAX GREP</t>
  </si>
  <si>
    <t>204:451</t>
  </si>
  <si>
    <t>204:457</t>
  </si>
  <si>
    <t>204:460</t>
  </si>
  <si>
    <t>BROWN</t>
  </si>
  <si>
    <t>JACOB</t>
  </si>
  <si>
    <t>204:453</t>
  </si>
  <si>
    <t>CHANDLER</t>
  </si>
  <si>
    <t>KELVIN</t>
  </si>
  <si>
    <t>204:455</t>
  </si>
  <si>
    <t>204:141</t>
  </si>
  <si>
    <t>204:440</t>
  </si>
  <si>
    <t>204:156</t>
  </si>
  <si>
    <t>204:147</t>
  </si>
  <si>
    <t>204:447</t>
  </si>
  <si>
    <t>204:466</t>
  </si>
  <si>
    <t>PERMANENT SPEED RESTRICTION</t>
  </si>
  <si>
    <t>Speed (6)</t>
  </si>
  <si>
    <t>YANG</t>
  </si>
  <si>
    <t>JAN</t>
  </si>
  <si>
    <t>DE.1.0.9.0</t>
  </si>
  <si>
    <t>204:458</t>
  </si>
  <si>
    <t>204:233297</t>
  </si>
  <si>
    <t>204:233289</t>
  </si>
  <si>
    <t>204:233299</t>
  </si>
  <si>
    <t>204:233312</t>
  </si>
  <si>
    <t>204:467</t>
  </si>
  <si>
    <t>204:233000</t>
  </si>
  <si>
    <t>204:442</t>
  </si>
  <si>
    <t>204:161</t>
  </si>
  <si>
    <t>204:233295</t>
  </si>
  <si>
    <t>204:232971</t>
  </si>
  <si>
    <t>rtdc.l.rtdc.4020:itc</t>
  </si>
  <si>
    <t>204:469</t>
  </si>
  <si>
    <t>204:233006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</si>
  <si>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</si>
  <si>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</si>
  <si>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</si>
  <si>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</si>
  <si>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</si>
  <si>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</si>
  <si>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</si>
  <si>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</si>
  <si>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</si>
  <si>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</si>
  <si>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</si>
  <si>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</si>
  <si>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</si>
  <si>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</si>
  <si>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</si>
  <si>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</si>
  <si>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</si>
  <si>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</si>
  <si>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</si>
  <si>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</si>
  <si>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</si>
  <si>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</si>
  <si>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</si>
  <si>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</si>
  <si>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</si>
  <si>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</si>
  <si>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</si>
  <si>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</si>
  <si>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</si>
  <si>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</si>
  <si>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</si>
  <si>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</si>
  <si>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</si>
  <si>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</si>
  <si>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</si>
  <si>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</si>
  <si>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</si>
  <si>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</si>
  <si>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</si>
  <si>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</si>
  <si>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</si>
  <si>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</si>
  <si>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</si>
  <si>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</si>
  <si>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</si>
  <si>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</si>
  <si>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</si>
  <si>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</si>
  <si>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</si>
  <si>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</si>
  <si>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</si>
  <si>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</si>
  <si>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</si>
  <si>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</si>
  <si>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</si>
  <si>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</si>
  <si>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</si>
  <si>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</si>
  <si>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</si>
  <si>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</si>
  <si>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</si>
  <si>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</si>
  <si>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</si>
  <si>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</si>
  <si>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</si>
  <si>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</si>
  <si>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</si>
  <si>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</si>
  <si>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</si>
  <si>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</si>
  <si>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</si>
  <si>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</si>
  <si>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</si>
  <si>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</si>
  <si>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</si>
  <si>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</si>
  <si>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</si>
  <si>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</si>
  <si>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</si>
  <si>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</si>
  <si>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</si>
  <si>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</si>
  <si>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</si>
  <si>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</si>
  <si>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</si>
  <si>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</si>
  <si>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</si>
  <si>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</si>
  <si>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</si>
  <si>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</si>
  <si>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</si>
  <si>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</si>
  <si>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</si>
  <si>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</si>
  <si>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</si>
  <si>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</si>
  <si>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</si>
  <si>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</si>
  <si>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</si>
  <si>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</si>
  <si>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</si>
  <si>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</si>
  <si>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</si>
  <si>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</si>
  <si>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</si>
  <si>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</si>
  <si>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</si>
  <si>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</si>
  <si>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</si>
  <si>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</si>
  <si>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</si>
  <si>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</si>
  <si>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</si>
  <si>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</si>
  <si>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</si>
  <si>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</si>
  <si>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</si>
  <si>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</si>
  <si>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</si>
  <si>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</si>
  <si>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</si>
  <si>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</si>
  <si>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</si>
  <si>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</si>
  <si>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</si>
  <si>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</si>
  <si>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</si>
  <si>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</si>
  <si>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</si>
  <si>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</si>
  <si>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rtdc.l.rtdc.4019:itc</t>
  </si>
  <si>
    <t>204:232982</t>
  </si>
  <si>
    <t>rtdc.l.rtdc.4009:itc</t>
  </si>
  <si>
    <t>partly-cloudy-night</t>
  </si>
  <si>
    <t>Partly Cloudy</t>
  </si>
  <si>
    <t>partly-cloudy-day</t>
  </si>
  <si>
    <t>SIGNAL</t>
  </si>
  <si>
    <t>Signal based authority (5)</t>
  </si>
  <si>
    <t>rtdc.l.rtdc.4051:itc</t>
  </si>
  <si>
    <t>Y</t>
  </si>
  <si>
    <t>STORY</t>
  </si>
  <si>
    <t>SAMANTHA</t>
  </si>
  <si>
    <t>204:233307</t>
  </si>
  <si>
    <t>204:475</t>
  </si>
  <si>
    <t>204:232974</t>
  </si>
  <si>
    <t>:.+((SYSTEM_STATE.+slice.+state.+changed )|(ment ac)|(multiple cpu faults)|(system.+state.+changed )|(\[timeout)|(PRM\|1\|D)|(kpr)|(kdp)|(\|lc)|(penalty))</t>
  </si>
  <si>
    <t>Time</t>
  </si>
  <si>
    <t>XING</t>
  </si>
  <si>
    <t>XING IDs 1</t>
  </si>
  <si>
    <t>RegExp</t>
  </si>
  <si>
    <t>XING IDs 2</t>
  </si>
  <si>
    <t>XING IDs 3</t>
  </si>
  <si>
    <t>XING IDs 4</t>
  </si>
  <si>
    <t>XING ID Vlookups</t>
  </si>
  <si>
    <t>EC0270XH YORK AND JOSEPHINE STREET</t>
  </si>
  <si>
    <t>Direction</t>
  </si>
  <si>
    <t>SB</t>
  </si>
  <si>
    <t>Suspected LocoID 1</t>
  </si>
  <si>
    <t>Form C blocked path to crossing</t>
  </si>
  <si>
    <t>Onboard in-route failure, trip ran in ATC</t>
  </si>
  <si>
    <t>Suspected TripID 1 with suffix</t>
  </si>
  <si>
    <t>Exclude Location in GREP?</t>
  </si>
  <si>
    <t>Early arrival enforcement @ previous XING</t>
  </si>
  <si>
    <t>RESTRICTING aspect at EC0386RH 44-2T 2S blocked path to crossing</t>
  </si>
  <si>
    <t>Kibana</t>
  </si>
  <si>
    <t>GREP -hSE</t>
  </si>
  <si>
    <t>EC0477XH HOLLY STREET</t>
  </si>
  <si>
    <t>EC0426XH DAHLIA STREET</t>
  </si>
  <si>
    <t>EC1035XH SABLE BOULEVARD</t>
  </si>
  <si>
    <t>rtdc.l.rtdc.4064:itc</t>
  </si>
  <si>
    <t>rtdc.l.rtdc.4039:itc</t>
  </si>
  <si>
    <t>rtdc.l.rtdc.4063:itc</t>
  </si>
  <si>
    <t>rtdc.l.rtdc.4040:itc</t>
  </si>
  <si>
    <t>SWANSON</t>
  </si>
  <si>
    <t>BRYCE</t>
  </si>
  <si>
    <t>204:464</t>
  </si>
  <si>
    <t>204:233306</t>
  </si>
  <si>
    <t>204:232984</t>
  </si>
  <si>
    <t>204:233293</t>
  </si>
  <si>
    <t>204:165</t>
  </si>
  <si>
    <t>204:233323</t>
  </si>
  <si>
    <t>204:462</t>
  </si>
  <si>
    <t>300:23346</t>
  </si>
  <si>
    <t>204:138</t>
  </si>
  <si>
    <t>rtdc.l.rtdc.4053:itc</t>
  </si>
  <si>
    <t>rtdc.l.rtdc.4054:itc</t>
  </si>
  <si>
    <t>rtdc.l.rtdc.4028:itc</t>
  </si>
  <si>
    <t>rtdc.l.rtdc.4025:itc</t>
  </si>
  <si>
    <t>rtdc.l.rtdc.4027:itc</t>
  </si>
  <si>
    <t>STAMBAUGH</t>
  </si>
  <si>
    <t>204:232998</t>
  </si>
  <si>
    <t>204:232975</t>
  </si>
  <si>
    <t>204:232977</t>
  </si>
  <si>
    <t>204:132</t>
  </si>
  <si>
    <t>300:58939</t>
  </si>
  <si>
    <t>204:232987</t>
  </si>
  <si>
    <t>Onboard in-route failure</t>
  </si>
  <si>
    <t>rtdc.l.rtdc.4010:itc</t>
  </si>
  <si>
    <t>ROCHA</t>
  </si>
  <si>
    <t>YAOTL</t>
  </si>
  <si>
    <t>YANAI</t>
  </si>
  <si>
    <t>IAN</t>
  </si>
  <si>
    <t>CLARK</t>
  </si>
  <si>
    <t>KATHLEEN</t>
  </si>
  <si>
    <t>204:232965</t>
  </si>
  <si>
    <t>204:471</t>
  </si>
  <si>
    <t>300:23304</t>
  </si>
  <si>
    <t>rtdc.l.rtdc.4032:itc</t>
  </si>
  <si>
    <t>rtdc.l.rtdc.4031:itc</t>
  </si>
  <si>
    <t>236-14</t>
  </si>
  <si>
    <t>244-14</t>
  </si>
  <si>
    <t>rtdc.l.rtdc.4026:itc</t>
  </si>
  <si>
    <t>STARKS</t>
  </si>
  <si>
    <t>ANGELINA</t>
  </si>
  <si>
    <t>LOZA</t>
  </si>
  <si>
    <t>FIDEL</t>
  </si>
  <si>
    <t>rtdc.l.rtdc.4052:itc</t>
  </si>
  <si>
    <t>81-14</t>
  </si>
  <si>
    <t>82-14</t>
  </si>
  <si>
    <t>234-14</t>
  </si>
  <si>
    <t>237-14</t>
  </si>
  <si>
    <t>239-14</t>
  </si>
  <si>
    <t>241-14</t>
  </si>
  <si>
    <t>238-14</t>
  </si>
  <si>
    <t>243-14</t>
  </si>
  <si>
    <t>240-14</t>
  </si>
  <si>
    <t>242-14</t>
  </si>
  <si>
    <t>315-14</t>
  </si>
  <si>
    <t>309-14</t>
  </si>
  <si>
    <t>311-14</t>
  </si>
  <si>
    <t>313-14</t>
  </si>
  <si>
    <t>302-15</t>
  </si>
  <si>
    <t>BADERTSCHER</t>
  </si>
  <si>
    <t>DIANE</t>
  </si>
  <si>
    <t>Clear</t>
  </si>
  <si>
    <t>clear-night</t>
  </si>
  <si>
    <t>204:232957</t>
  </si>
  <si>
    <t>204:145</t>
  </si>
  <si>
    <t>204:163</t>
  </si>
  <si>
    <t>204:233011</t>
  </si>
  <si>
    <t>204:167</t>
  </si>
  <si>
    <t>300:23308</t>
  </si>
  <si>
    <t>300:58636</t>
  </si>
  <si>
    <t>300:58941</t>
  </si>
  <si>
    <t>rtdc.l.rtdc.4045:itc</t>
  </si>
  <si>
    <t>rtdc.l.rtdc.4046:itc</t>
  </si>
  <si>
    <t>rtdc.l.rtdc.4001:itc</t>
  </si>
  <si>
    <t>GEBRETEKLE</t>
  </si>
  <si>
    <t>DAGNEW</t>
  </si>
  <si>
    <t>JOHN</t>
  </si>
  <si>
    <t>rtdc.l.rtdc.4002:itc</t>
  </si>
  <si>
    <t>WILLIAMS</t>
  </si>
  <si>
    <t>DONTE</t>
  </si>
  <si>
    <t>HELVIE</t>
  </si>
  <si>
    <t>ADAM</t>
  </si>
  <si>
    <t>DELGADO</t>
  </si>
  <si>
    <t>DIANAH</t>
  </si>
  <si>
    <t>BRUDER</t>
  </si>
  <si>
    <t>RICHARD</t>
  </si>
  <si>
    <t>DE LA ROSA</t>
  </si>
  <si>
    <t>ALEX</t>
  </si>
  <si>
    <t>MENGES</t>
  </si>
  <si>
    <t>BRAD</t>
  </si>
  <si>
    <t>WHITED</t>
  </si>
  <si>
    <t>DUSTIN</t>
  </si>
  <si>
    <t>311-15</t>
  </si>
  <si>
    <t>313-15</t>
  </si>
  <si>
    <t>302-16</t>
  </si>
  <si>
    <t>Mostly Cloudy</t>
  </si>
  <si>
    <t>204:233284</t>
  </si>
  <si>
    <t>204:143</t>
  </si>
  <si>
    <t>204:232978</t>
  </si>
  <si>
    <t>204:232976</t>
  </si>
  <si>
    <t>204:233304</t>
  </si>
  <si>
    <t>204:233286</t>
  </si>
  <si>
    <t>204:437</t>
  </si>
  <si>
    <t>204:232991</t>
  </si>
  <si>
    <t>204:233013</t>
  </si>
  <si>
    <t>204:233280</t>
  </si>
  <si>
    <t>204:233274</t>
  </si>
  <si>
    <t>204:232972</t>
  </si>
  <si>
    <t>204:233308</t>
  </si>
  <si>
    <t>204:689</t>
  </si>
  <si>
    <t>204:981</t>
  </si>
  <si>
    <t>300:58630</t>
  </si>
  <si>
    <t>300:58628</t>
  </si>
  <si>
    <t>Early arrival</t>
  </si>
  <si>
    <t>rtdc.l.rtdc.4018:itc</t>
  </si>
  <si>
    <t>rtdc.l.rtdc.4017:itc</t>
  </si>
  <si>
    <t>rtdc.l.rtdc.4013:itc</t>
  </si>
  <si>
    <t>rtdc.l.rtdc.4021:itc</t>
  </si>
  <si>
    <t>ROBINSON</t>
  </si>
  <si>
    <t>KADDIBA</t>
  </si>
  <si>
    <t>rtdc.l.rtdc.4022:itc</t>
  </si>
  <si>
    <t>SHOOK</t>
  </si>
  <si>
    <t>SULLIVAN</t>
  </si>
  <si>
    <t>BRANDON</t>
  </si>
  <si>
    <t>SMITH</t>
  </si>
  <si>
    <t>BRANDNER</t>
  </si>
  <si>
    <t>MELINDA</t>
  </si>
  <si>
    <t>FORTUNATO</t>
  </si>
  <si>
    <t>FRANK</t>
  </si>
  <si>
    <t>ARVIDSON</t>
  </si>
  <si>
    <t>DANIEL</t>
  </si>
  <si>
    <t>rtdc.l.rtdc.4014:itc</t>
  </si>
  <si>
    <t>PERKINS</t>
  </si>
  <si>
    <t>DARREN</t>
  </si>
  <si>
    <t>4021-16</t>
  </si>
  <si>
    <t>4022-16</t>
  </si>
  <si>
    <t>242-16</t>
  </si>
  <si>
    <t>309-16</t>
  </si>
  <si>
    <t>244-16</t>
  </si>
  <si>
    <t>311-16</t>
  </si>
  <si>
    <t>313-16</t>
  </si>
  <si>
    <t>fog</t>
  </si>
  <si>
    <t>Foggy</t>
  </si>
  <si>
    <t>204:763</t>
  </si>
  <si>
    <t>204:232992</t>
  </si>
  <si>
    <t>204:232979</t>
  </si>
  <si>
    <t>204:446</t>
  </si>
  <si>
    <t>204:233301</t>
  </si>
  <si>
    <t>204:743</t>
  </si>
  <si>
    <t>204:444</t>
  </si>
  <si>
    <t>204:233023</t>
  </si>
  <si>
    <t>204:169</t>
  </si>
  <si>
    <t>204:232953</t>
  </si>
  <si>
    <t>204:233302</t>
  </si>
  <si>
    <t>204:233008</t>
  </si>
  <si>
    <t>204:232994</t>
  </si>
  <si>
    <t>204:232990</t>
  </si>
  <si>
    <t>204:233334</t>
  </si>
  <si>
    <t>204:1154</t>
  </si>
  <si>
    <t>204:178</t>
  </si>
  <si>
    <t>204:127</t>
  </si>
  <si>
    <t>204:233071</t>
  </si>
  <si>
    <t>204:233329</t>
  </si>
  <si>
    <t>204:233270</t>
  </si>
  <si>
    <t>204:473</t>
  </si>
  <si>
    <t>204:136</t>
  </si>
  <si>
    <t>204:176</t>
  </si>
  <si>
    <t>204:477</t>
  </si>
  <si>
    <t>204:722</t>
  </si>
  <si>
    <t>204:128272</t>
  </si>
  <si>
    <t>300:58988</t>
  </si>
  <si>
    <t>204:974</t>
  </si>
  <si>
    <t>300:58935</t>
  </si>
  <si>
    <t>300:58683</t>
  </si>
  <si>
    <t>204:1028</t>
  </si>
  <si>
    <t>300:58677</t>
  </si>
  <si>
    <t>204:971</t>
  </si>
  <si>
    <t>204:691</t>
  </si>
  <si>
    <t>300:58926</t>
  </si>
  <si>
    <t>204:1025</t>
  </si>
  <si>
    <t>300:58626</t>
  </si>
  <si>
    <t>204:967</t>
  </si>
  <si>
    <t>300:58963</t>
  </si>
  <si>
    <t>300:58986</t>
  </si>
  <si>
    <t>300:58931</t>
  </si>
  <si>
    <t>300:58990</t>
  </si>
  <si>
    <t>204:1020</t>
  </si>
  <si>
    <t>300:58634</t>
  </si>
  <si>
    <t>204:148</t>
  </si>
  <si>
    <t>204:675</t>
  </si>
  <si>
    <t>start /low /b %USERPROFILE%\Documents\GitHub\eaglep3\Utilities\DownloadLogsFromS3.py --loco 4002 --day 2017-03-17</t>
  </si>
  <si>
    <t>start /low /b %USERPROFILE%\Documents\GitHub\eaglep3\Utilities\DownloadLogsFromS3.py --loco 4018 --day 2017-03-17</t>
  </si>
  <si>
    <t>start /low /b %USERPROFILE%\Documents\GitHub\eaglep3\Utilities\DownloadLogsFromS3.py --loco 4017 --day 2017-03-17</t>
  </si>
  <si>
    <t>Delayed by onboard in-route failure</t>
  </si>
  <si>
    <t>306-17</t>
  </si>
  <si>
    <t>105-17</t>
  </si>
  <si>
    <t>rtdc.l.rtdc.4042:itc</t>
  </si>
  <si>
    <t>115-17</t>
  </si>
  <si>
    <t>108-17</t>
  </si>
  <si>
    <t>rtdc.l.rtdc.4041:itc</t>
  </si>
  <si>
    <t>116-17</t>
  </si>
  <si>
    <t>136-17</t>
  </si>
  <si>
    <t>149-17</t>
  </si>
  <si>
    <t>144-17</t>
  </si>
  <si>
    <t>148-17</t>
  </si>
  <si>
    <t>150-17</t>
  </si>
  <si>
    <t>159-17</t>
  </si>
  <si>
    <t>165-17</t>
  </si>
  <si>
    <t>164-17</t>
  </si>
  <si>
    <t>821-17</t>
  </si>
  <si>
    <t>181-17</t>
  </si>
  <si>
    <t>822-17</t>
  </si>
  <si>
    <t>rtdc.l.rtdc.4011:itc</t>
  </si>
  <si>
    <t>183-17</t>
  </si>
  <si>
    <t>174-17</t>
  </si>
  <si>
    <t>824-17</t>
  </si>
  <si>
    <t>rtdc.l.rtdc.4015:itc</t>
  </si>
  <si>
    <t>186-17</t>
  </si>
  <si>
    <t>193-17</t>
  </si>
  <si>
    <t>rtdc.l.rtdc.4044:itc</t>
  </si>
  <si>
    <t>827-17</t>
  </si>
  <si>
    <t>188-17</t>
  </si>
  <si>
    <t>rtdc.l.rtdc.4043:itc</t>
  </si>
  <si>
    <t>828-17</t>
  </si>
  <si>
    <t>194-17</t>
  </si>
  <si>
    <t>203-17</t>
  </si>
  <si>
    <t>204-17</t>
  </si>
  <si>
    <t>55-17</t>
  </si>
  <si>
    <t>906-17</t>
  </si>
  <si>
    <t>842-17</t>
  </si>
  <si>
    <t>229-17</t>
  </si>
  <si>
    <t>237-17</t>
  </si>
  <si>
    <t>rtdc.l.rtdc.4012:itc</t>
  </si>
  <si>
    <t>302-17</t>
  </si>
  <si>
    <t>101-17</t>
  </si>
  <si>
    <t>304-17</t>
  </si>
  <si>
    <t>103-17</t>
  </si>
  <si>
    <t>102-17</t>
  </si>
  <si>
    <t>308-17</t>
  </si>
  <si>
    <t>SPECTOR</t>
  </si>
  <si>
    <t>104-17</t>
  </si>
  <si>
    <t>107-17</t>
  </si>
  <si>
    <t>310-17</t>
  </si>
  <si>
    <t>109-17</t>
  </si>
  <si>
    <t>901-17</t>
  </si>
  <si>
    <t>111-17</t>
  </si>
  <si>
    <t>BONDS</t>
  </si>
  <si>
    <t>REYNALDO</t>
  </si>
  <si>
    <t>800-17</t>
  </si>
  <si>
    <t>113-17</t>
  </si>
  <si>
    <t>106-17</t>
  </si>
  <si>
    <t>801-17</t>
  </si>
  <si>
    <t>117-17</t>
  </si>
  <si>
    <t>110-17</t>
  </si>
  <si>
    <t>902-17</t>
  </si>
  <si>
    <t>112-17</t>
  </si>
  <si>
    <t>119-17</t>
  </si>
  <si>
    <t>114-17</t>
  </si>
  <si>
    <t>802-17</t>
  </si>
  <si>
    <t>121-17</t>
  </si>
  <si>
    <t>803-17</t>
  </si>
  <si>
    <t>118-17</t>
  </si>
  <si>
    <t>805-17</t>
  </si>
  <si>
    <t>123-17</t>
  </si>
  <si>
    <t>804-17</t>
  </si>
  <si>
    <t>125-17</t>
  </si>
  <si>
    <t>120-17</t>
  </si>
  <si>
    <t>127-17</t>
  </si>
  <si>
    <t>807-17</t>
  </si>
  <si>
    <t>806-17</t>
  </si>
  <si>
    <t>122-17</t>
  </si>
  <si>
    <t>129-17</t>
  </si>
  <si>
    <t>124-17</t>
  </si>
  <si>
    <t>131-17</t>
  </si>
  <si>
    <t>809-17</t>
  </si>
  <si>
    <t>126-17</t>
  </si>
  <si>
    <t>808-17</t>
  </si>
  <si>
    <t>133-17</t>
  </si>
  <si>
    <t>128-17</t>
  </si>
  <si>
    <t>135-17</t>
  </si>
  <si>
    <t>811-17</t>
  </si>
  <si>
    <t>130-17</t>
  </si>
  <si>
    <t>810-17</t>
  </si>
  <si>
    <t>132-17</t>
  </si>
  <si>
    <t>137-17</t>
  </si>
  <si>
    <t>139-17</t>
  </si>
  <si>
    <t>903-17</t>
  </si>
  <si>
    <t>134-17</t>
  </si>
  <si>
    <t>141-17</t>
  </si>
  <si>
    <t>812-17</t>
  </si>
  <si>
    <t>143-17</t>
  </si>
  <si>
    <t>813-17</t>
  </si>
  <si>
    <t>138-17</t>
  </si>
  <si>
    <t>145-17</t>
  </si>
  <si>
    <t>140-17</t>
  </si>
  <si>
    <t>147-17</t>
  </si>
  <si>
    <t>142-17</t>
  </si>
  <si>
    <t>814-17</t>
  </si>
  <si>
    <t>146-17</t>
  </si>
  <si>
    <t>151-17</t>
  </si>
  <si>
    <t>815-17</t>
  </si>
  <si>
    <t>153-17</t>
  </si>
  <si>
    <t>rtdc.l.rtdc.4023:itc</t>
  </si>
  <si>
    <t>50-17</t>
  </si>
  <si>
    <t>155-17</t>
  </si>
  <si>
    <t>rtdc.l.rtdc.4016:itc</t>
  </si>
  <si>
    <t>157-17</t>
  </si>
  <si>
    <t>816-17</t>
  </si>
  <si>
    <t>152-17</t>
  </si>
  <si>
    <t>STEWART</t>
  </si>
  <si>
    <t>817-17</t>
  </si>
  <si>
    <t>rtdc.l.rtdc.4024:itc</t>
  </si>
  <si>
    <t>51-17</t>
  </si>
  <si>
    <t>154-17</t>
  </si>
  <si>
    <t>161-17</t>
  </si>
  <si>
    <t>ROMERO</t>
  </si>
  <si>
    <t>CHAD</t>
  </si>
  <si>
    <t>156-17</t>
  </si>
  <si>
    <t>163-17</t>
  </si>
  <si>
    <t>158-17</t>
  </si>
  <si>
    <t>818-17</t>
  </si>
  <si>
    <t>160-17</t>
  </si>
  <si>
    <t>167-17</t>
  </si>
  <si>
    <t>819-17</t>
  </si>
  <si>
    <t>162-17</t>
  </si>
  <si>
    <t>169-17</t>
  </si>
  <si>
    <t>171-17</t>
  </si>
  <si>
    <t>166-17</t>
  </si>
  <si>
    <t>820-17</t>
  </si>
  <si>
    <t>173-17</t>
  </si>
  <si>
    <t>175-17</t>
  </si>
  <si>
    <t>168-17</t>
  </si>
  <si>
    <t>170-17</t>
  </si>
  <si>
    <t>177-17</t>
  </si>
  <si>
    <t>172-17</t>
  </si>
  <si>
    <t>179-17</t>
  </si>
  <si>
    <t>176-17</t>
  </si>
  <si>
    <t>LOPES</t>
  </si>
  <si>
    <t>KIMBERLY</t>
  </si>
  <si>
    <t>823-17</t>
  </si>
  <si>
    <t>178-17</t>
  </si>
  <si>
    <t>185-17</t>
  </si>
  <si>
    <t>180-17</t>
  </si>
  <si>
    <t>187-17</t>
  </si>
  <si>
    <t>189-17</t>
  </si>
  <si>
    <t>182-17</t>
  </si>
  <si>
    <t>184-17</t>
  </si>
  <si>
    <t>191-17</t>
  </si>
  <si>
    <t>825-17</t>
  </si>
  <si>
    <t>904-17</t>
  </si>
  <si>
    <t>190-17</t>
  </si>
  <si>
    <t>195-17</t>
  </si>
  <si>
    <t>826-17</t>
  </si>
  <si>
    <t>197-17</t>
  </si>
  <si>
    <t>192-17</t>
  </si>
  <si>
    <t>199-17</t>
  </si>
  <si>
    <t>829-17</t>
  </si>
  <si>
    <t>201-17</t>
  </si>
  <si>
    <t>196-17</t>
  </si>
  <si>
    <t>198-17</t>
  </si>
  <si>
    <t>831-17</t>
  </si>
  <si>
    <t>830-17</t>
  </si>
  <si>
    <t>205-17</t>
  </si>
  <si>
    <t>200-17</t>
  </si>
  <si>
    <t>207-17</t>
  </si>
  <si>
    <t>832-17</t>
  </si>
  <si>
    <t>202-17</t>
  </si>
  <si>
    <t>833-17</t>
  </si>
  <si>
    <t>209-17</t>
  </si>
  <si>
    <t>211-17</t>
  </si>
  <si>
    <t>835-17</t>
  </si>
  <si>
    <t>206-17</t>
  </si>
  <si>
    <t>834-17</t>
  </si>
  <si>
    <t>213-17</t>
  </si>
  <si>
    <t>208-17</t>
  </si>
  <si>
    <t>74-17</t>
  </si>
  <si>
    <t>SAFIEF</t>
  </si>
  <si>
    <t>AEIMEN</t>
  </si>
  <si>
    <t>215-17</t>
  </si>
  <si>
    <t>70-17</t>
  </si>
  <si>
    <t>836-17</t>
  </si>
  <si>
    <t>837-17</t>
  </si>
  <si>
    <t>210-17</t>
  </si>
  <si>
    <t>217-17</t>
  </si>
  <si>
    <t>212-17</t>
  </si>
  <si>
    <t>219-17</t>
  </si>
  <si>
    <t>839-17</t>
  </si>
  <si>
    <t>214-17</t>
  </si>
  <si>
    <t>71-17</t>
  </si>
  <si>
    <t>838-17</t>
  </si>
  <si>
    <t>303-17</t>
  </si>
  <si>
    <t>216-17</t>
  </si>
  <si>
    <t>218-17</t>
  </si>
  <si>
    <t>221-17</t>
  </si>
  <si>
    <t>305-17</t>
  </si>
  <si>
    <t>220-17</t>
  </si>
  <si>
    <t>841-17</t>
  </si>
  <si>
    <t>223-17</t>
  </si>
  <si>
    <t>840-17</t>
  </si>
  <si>
    <t>307-17</t>
  </si>
  <si>
    <t>225-17</t>
  </si>
  <si>
    <t>222-17</t>
  </si>
  <si>
    <t>843-17</t>
  </si>
  <si>
    <t>227-17</t>
  </si>
  <si>
    <t>224-17</t>
  </si>
  <si>
    <t>226-17</t>
  </si>
  <si>
    <t>845-17</t>
  </si>
  <si>
    <t>228-17</t>
  </si>
  <si>
    <t>231-17</t>
  </si>
  <si>
    <t>844-17</t>
  </si>
  <si>
    <t>233-17</t>
  </si>
  <si>
    <t>230-17</t>
  </si>
  <si>
    <t>847-17</t>
  </si>
  <si>
    <t>232-17</t>
  </si>
  <si>
    <t>235-17</t>
  </si>
  <si>
    <t>908-17</t>
  </si>
  <si>
    <t>234-17</t>
  </si>
  <si>
    <t>88-17</t>
  </si>
  <si>
    <t>MAGEE</t>
  </si>
  <si>
    <t>KENYA</t>
  </si>
  <si>
    <t>236-17</t>
  </si>
  <si>
    <t>239-17</t>
  </si>
  <si>
    <t>241-17</t>
  </si>
  <si>
    <t>238-17</t>
  </si>
  <si>
    <t>240-17</t>
  </si>
  <si>
    <t>243-17</t>
  </si>
  <si>
    <t>242-17</t>
  </si>
  <si>
    <t>245-17</t>
  </si>
  <si>
    <t>309-17</t>
  </si>
  <si>
    <t>244-17</t>
  </si>
  <si>
    <t>311-17</t>
  </si>
  <si>
    <t>246-17</t>
  </si>
  <si>
    <t>313-17</t>
  </si>
  <si>
    <t>clear-day</t>
  </si>
  <si>
    <t>204:750</t>
  </si>
  <si>
    <t>204:232662</t>
  </si>
  <si>
    <t>204:797</t>
  </si>
  <si>
    <t>204:233245</t>
  </si>
  <si>
    <t>204:232641</t>
  </si>
  <si>
    <t>204:233337</t>
  </si>
  <si>
    <t>204:233015</t>
  </si>
  <si>
    <t>204:233353</t>
  </si>
  <si>
    <t>204:233079</t>
  </si>
  <si>
    <t>204:752</t>
  </si>
  <si>
    <t>204:426</t>
  </si>
  <si>
    <t>204:130</t>
  </si>
  <si>
    <t>204:233268</t>
  </si>
  <si>
    <t>204:232955</t>
  </si>
  <si>
    <t>204:232961</t>
  </si>
  <si>
    <t>204:233325</t>
  </si>
  <si>
    <t>204:427</t>
  </si>
  <si>
    <t>204:233288</t>
  </si>
  <si>
    <t>204:233300</t>
  </si>
  <si>
    <t>204:233344</t>
  </si>
  <si>
    <t>204:180</t>
  </si>
  <si>
    <t>204:19132</t>
  </si>
  <si>
    <t>204:233216</t>
  </si>
  <si>
    <t>204:1138</t>
  </si>
  <si>
    <t>204:232938</t>
  </si>
  <si>
    <t>204:1158</t>
  </si>
  <si>
    <t>204:232985</t>
  </si>
  <si>
    <t>204:110696</t>
  </si>
  <si>
    <t>204:233038</t>
  </si>
  <si>
    <t>204:123</t>
  </si>
  <si>
    <t>204:172</t>
  </si>
  <si>
    <t>204:233305</t>
  </si>
  <si>
    <t>204:233319</t>
  </si>
  <si>
    <t>204:431</t>
  </si>
  <si>
    <t>204:233382</t>
  </si>
  <si>
    <t>204:233053</t>
  </si>
  <si>
    <t>204:129</t>
  </si>
  <si>
    <t>204:233321</t>
  </si>
  <si>
    <t>204:233383</t>
  </si>
  <si>
    <t>204:233096</t>
  </si>
  <si>
    <t>204:480</t>
  </si>
  <si>
    <t>204:233278</t>
  </si>
  <si>
    <t>204:435</t>
  </si>
  <si>
    <t>204:232964</t>
  </si>
  <si>
    <t>204:233385</t>
  </si>
  <si>
    <t>204:233389</t>
  </si>
  <si>
    <t>204:233067</t>
  </si>
  <si>
    <t>204:134</t>
  </si>
  <si>
    <t>204:170</t>
  </si>
  <si>
    <t>204:233403</t>
  </si>
  <si>
    <t>204:233076</t>
  </si>
  <si>
    <t>204:233426</t>
  </si>
  <si>
    <t>204:233115</t>
  </si>
  <si>
    <t>204:229</t>
  </si>
  <si>
    <t>204:416</t>
  </si>
  <si>
    <t>204:233003</t>
  </si>
  <si>
    <t>204:233440</t>
  </si>
  <si>
    <t>204:233121</t>
  </si>
  <si>
    <t>204:160</t>
  </si>
  <si>
    <t>204:422</t>
  </si>
  <si>
    <t>204:233399</t>
  </si>
  <si>
    <t>204:233051</t>
  </si>
  <si>
    <t>204:484</t>
  </si>
  <si>
    <t>204:233415</t>
  </si>
  <si>
    <t>204:233104</t>
  </si>
  <si>
    <t>204:546</t>
  </si>
  <si>
    <t>204:233002</t>
  </si>
  <si>
    <t>204:233253</t>
  </si>
  <si>
    <t>204:232946</t>
  </si>
  <si>
    <t>204:233074</t>
  </si>
  <si>
    <t>204:233251</t>
  </si>
  <si>
    <t>204:233349</t>
  </si>
  <si>
    <t>204:233017</t>
  </si>
  <si>
    <t>204:233376</t>
  </si>
  <si>
    <t>204:233266</t>
  </si>
  <si>
    <t>204:233372</t>
  </si>
  <si>
    <t>204:232944</t>
  </si>
  <si>
    <t>204:433</t>
  </si>
  <si>
    <t>300:23160</t>
  </si>
  <si>
    <t>204:119</t>
  </si>
  <si>
    <t>300:23111</t>
  </si>
  <si>
    <t>300:23031</t>
  </si>
  <si>
    <t>300:23310</t>
  </si>
  <si>
    <t>300:23347</t>
  </si>
  <si>
    <t>300:23521</t>
  </si>
  <si>
    <t>204:489</t>
  </si>
  <si>
    <t>300:23565</t>
  </si>
  <si>
    <t>204:1471</t>
  </si>
  <si>
    <t>204:1784</t>
  </si>
  <si>
    <t>300:23375</t>
  </si>
  <si>
    <t>204:419</t>
  </si>
  <si>
    <t>300:22132</t>
  </si>
  <si>
    <t>204:915</t>
  </si>
  <si>
    <t>300:58672</t>
  </si>
  <si>
    <t>204:692</t>
  </si>
  <si>
    <t>300:59007</t>
  </si>
  <si>
    <t>300:58687</t>
  </si>
  <si>
    <t>204:706</t>
  </si>
  <si>
    <t>204:1030</t>
  </si>
  <si>
    <t>300:58997</t>
  </si>
  <si>
    <t>300:58679</t>
  </si>
  <si>
    <t>204:733</t>
  </si>
  <si>
    <t>204:999</t>
  </si>
  <si>
    <t>204:1023</t>
  </si>
  <si>
    <t>300:58992</t>
  </si>
  <si>
    <t>204:1007</t>
  </si>
  <si>
    <t>300:58673</t>
  </si>
  <si>
    <t>204:428</t>
  </si>
  <si>
    <t>204:701</t>
  </si>
  <si>
    <t>204:741</t>
  </si>
  <si>
    <t>204:1018</t>
  </si>
  <si>
    <t>300:58670</t>
  </si>
  <si>
    <t>300:58675</t>
  </si>
  <si>
    <t>300:58615</t>
  </si>
  <si>
    <t>204:736</t>
  </si>
  <si>
    <t>204:944</t>
  </si>
  <si>
    <t>300:58086</t>
  </si>
  <si>
    <t>300:57318</t>
  </si>
  <si>
    <t>300:58950</t>
  </si>
  <si>
    <t>204:955</t>
  </si>
  <si>
    <t>300:58924</t>
  </si>
  <si>
    <t>300:58609</t>
  </si>
  <si>
    <t>204:983</t>
  </si>
  <si>
    <t>300:58952</t>
  </si>
  <si>
    <t>204:705</t>
  </si>
  <si>
    <t>204:684</t>
  </si>
  <si>
    <t>204:992</t>
  </si>
  <si>
    <t>300:58969</t>
  </si>
  <si>
    <t>300:57341</t>
  </si>
  <si>
    <t>204:698</t>
  </si>
  <si>
    <t>204:694</t>
  </si>
  <si>
    <t>300:58944</t>
  </si>
  <si>
    <t>204:969</t>
  </si>
  <si>
    <t>300:58933</t>
  </si>
  <si>
    <t>300:58598</t>
  </si>
  <si>
    <t>204:710</t>
  </si>
  <si>
    <t>204:990</t>
  </si>
  <si>
    <t>300:58918</t>
  </si>
  <si>
    <t>204:107189</t>
  </si>
  <si>
    <t>204:10214</t>
  </si>
  <si>
    <t>204:115914</t>
  </si>
  <si>
    <t>204:64141</t>
  </si>
  <si>
    <t>204:128005</t>
  </si>
  <si>
    <t>204:10110</t>
  </si>
  <si>
    <t>204:10354</t>
  </si>
  <si>
    <t>204:107519</t>
  </si>
  <si>
    <t>204:10444</t>
  </si>
  <si>
    <t>204:116240</t>
  </si>
  <si>
    <t>204:1165</t>
  </si>
  <si>
    <t>300:29633</t>
  </si>
  <si>
    <t>300:22768</t>
  </si>
  <si>
    <t>204:740</t>
  </si>
  <si>
    <t>300:24239</t>
  </si>
  <si>
    <t>300:23466</t>
  </si>
  <si>
    <t>300:58613</t>
  </si>
  <si>
    <t>300:28789</t>
  </si>
  <si>
    <t>300:21458</t>
  </si>
  <si>
    <t>start /low /b %USERPROFILE%\Documents\GitHub\eaglep3\Utilities\DownloadLogsFromS3.py --loco 4042 --day 2017-03-17</t>
  </si>
  <si>
    <t>start /low /b %USERPROFILE%\Documents\GitHub\eaglep3\Utilities\DownloadLogsFromS3.py --loco 4044 --day 2017-03-17</t>
  </si>
  <si>
    <t>start /low /b %USERPROFILE%\Documents\GitHub\eaglep3\Utilities\DownloadLogsFromS3.py --loco 4053 --day 2017-03-17</t>
  </si>
  <si>
    <t>start /low /b %USERPROFILE%\Documents\GitHub\eaglep3\Utilities\DownloadLogsFromS3.py --loco 4053 --day 2017-03-18</t>
  </si>
  <si>
    <t>start /low /b %USERPROFILE%\Documents\GitHub\eaglep3\Utilities\DownloadLogsFromS3.py --loco 4001 --day 2017-03-17</t>
  </si>
  <si>
    <t>start /low /b %USERPROFILE%\Documents\GitHub\eaglep3\Utilities\DownloadLogsFromS3.py --loco 4041 --day 2017-03-17</t>
  </si>
  <si>
    <t>start /low /b %USERPROFILE%\Documents\GitHub\eaglep3\Utilities\DownloadLogsFromS3.py --loco 4011 --day 2017-03-17</t>
  </si>
  <si>
    <t>start /low /b %USERPROFILE%\Documents\GitHub\eaglep3\Utilities\DownloadLogsFromS3.py --loco 4020 --day 2017-03-17</t>
  </si>
  <si>
    <t>start /low /b %USERPROFILE%\Documents\GitHub\eaglep3\Utilities\DownloadLogsFromS3.py --loco 4019 --day 2017-03-17</t>
  </si>
  <si>
    <t>start /low /b %USERPROFILE%\Documents\GitHub\eaglep3\Utilities\DownloadLogsFromS3.py --loco 4040 --day 2017-03-17</t>
  </si>
  <si>
    <t>start /low /b %USERPROFILE%\Documents\GitHub\eaglep3\Utilities\DownloadLogsFromS3.py --loco 4015 --day 2017-03-17</t>
  </si>
  <si>
    <t>start /low /b %USERPROFILE%\Documents\GitHub\eaglep3\Utilities\DownloadLogsFromS3.py --loco 4039 --day 2017-03-17</t>
  </si>
  <si>
    <t>start /low /b %USERPROFILE%\Documents\GitHub\eaglep3\Utilities\DownloadLogsFromS3.py --loco 4019 --day 2017-03-18</t>
  </si>
  <si>
    <t>start /low /b %USERPROFILE%\Documents\GitHub\eaglep3\Utilities\DownloadLogsFromS3.py --loco 4013 --day 2017-03-17</t>
  </si>
  <si>
    <t>start /low /b %USERPROFILE%\Documents\GitHub\eaglep3\Utilities\DownloadLogsFromS3.py --loco 4043 --day 2017-03-17</t>
  </si>
  <si>
    <t>start /low /b %USERPROFILE%\Documents\GitHub\eaglep3\Utilities\DownloadLogsFromS3.py --loco 4014 --day 2017-03-17</t>
  </si>
  <si>
    <t>start /low /b %USERPROFILE%\Documents\GitHub\eaglep3\Utilities\DownloadLogsFromS3.py --loco 4013 --day 2017-03-18</t>
  </si>
  <si>
    <t>DUS 2N STOP; DUS SW 9 was reversed; train on Main 1</t>
  </si>
  <si>
    <t>Delayed by PA issue on RTDC4044</t>
  </si>
  <si>
    <t>Delayed due to reverser handle in reverse/center</t>
  </si>
  <si>
    <t>Form C</t>
  </si>
  <si>
    <t>Premature downgrade at EC0286RH 21-1T 1N</t>
  </si>
  <si>
    <t>At 17:51:55, we have what seems like a premature downgrade at EC0286RH 21-1T 1N. Do logs tell of anything unusual at the time?</t>
  </si>
  <si>
    <t>Overspeed</t>
  </si>
  <si>
    <t>40th 4S STOP</t>
  </si>
  <si>
    <t>Main 3 departure</t>
  </si>
  <si>
    <t>315-17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</si>
</sst>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8"/>
      <color rgb="FF3F3F76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00B050"/>
        <bgColor indexed="64"/>
      </patternFill>
    </fill>
  </fills>
  <borders count="2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7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  <xf numFmtId="0" fontId="20" fillId="10" borderId="18" applyNumberFormat="0" applyAlignment="0" applyProtection="0"/>
    <xf numFmtId="0" fontId="21" fillId="11" borderId="19" applyNumberFormat="0" applyAlignment="0" applyProtection="0"/>
    <xf numFmtId="0" fontId="22" fillId="11" borderId="18" applyNumberFormat="0" applyAlignment="0" applyProtection="0"/>
  </cellStyleXfs>
  <cellXfs count="222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0" xfId="0" applyNumberFormat="1"/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5" fillId="0" borderId="0" xfId="0" applyNumberFormat="1" applyFont="1"/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0" fontId="0" fillId="0" borderId="0" xfId="0" applyNumberFormat="1" applyBorder="1"/>
    <xf numFmtId="0" fontId="1" fillId="0" borderId="0" xfId="0" applyNumberFormat="1" applyFont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0" fillId="0" borderId="0" xfId="0" applyAlignment="1">
      <alignment wrapText="1"/>
    </xf>
    <xf numFmtId="169" fontId="1" fillId="0" borderId="5" xfId="0" applyFont="1" applyBorder="1" applyAlignment="1">
      <alignment wrapText="1"/>
    </xf>
    <xf numFmtId="0" fontId="0" fillId="0" borderId="5" xfId="0" applyNumberFormat="1" applyBorder="1"/>
    <xf numFmtId="169" fontId="20" fillId="10" borderId="18" xfId="4" applyNumberFormat="1"/>
    <xf numFmtId="169" fontId="20" fillId="10" borderId="18" xfId="4" applyNumberFormat="1" applyAlignment="1">
      <alignment wrapText="1"/>
    </xf>
    <xf numFmtId="167" fontId="20" fillId="10" borderId="18" xfId="4" applyNumberFormat="1" applyAlignment="1">
      <alignment wrapText="1"/>
    </xf>
    <xf numFmtId="167" fontId="20" fillId="10" borderId="18" xfId="4" applyNumberFormat="1" applyAlignment="1">
      <alignment vertical="center"/>
    </xf>
    <xf numFmtId="167" fontId="20" fillId="10" borderId="18" xfId="4" applyNumberFormat="1"/>
    <xf numFmtId="169" fontId="22" fillId="11" borderId="18" xfId="6" applyNumberFormat="1" applyAlignment="1">
      <alignment wrapText="1"/>
    </xf>
    <xf numFmtId="0" fontId="22" fillId="11" borderId="18" xfId="6" applyNumberFormat="1" applyAlignment="1">
      <alignment wrapText="1"/>
    </xf>
    <xf numFmtId="169" fontId="22" fillId="11" borderId="18" xfId="6" applyNumberFormat="1"/>
    <xf numFmtId="0" fontId="22" fillId="11" borderId="18" xfId="6" applyNumberFormat="1"/>
    <xf numFmtId="169" fontId="23" fillId="10" borderId="18" xfId="4" applyNumberFormat="1" applyFont="1" applyAlignment="1">
      <alignment wrapText="1"/>
    </xf>
    <xf numFmtId="169" fontId="23" fillId="10" borderId="18" xfId="4" applyNumberFormat="1" applyFont="1"/>
    <xf numFmtId="21" fontId="22" fillId="11" borderId="18" xfId="6" applyNumberFormat="1" applyAlignment="1">
      <alignment wrapText="1"/>
    </xf>
    <xf numFmtId="21" fontId="22" fillId="11" borderId="18" xfId="6" applyNumberFormat="1"/>
    <xf numFmtId="1" fontId="20" fillId="10" borderId="18" xfId="4" applyNumberFormat="1" applyAlignment="1">
      <alignment wrapText="1"/>
    </xf>
    <xf numFmtId="1" fontId="20" fillId="10" borderId="18" xfId="4" applyNumberFormat="1"/>
    <xf numFmtId="169" fontId="21" fillId="8" borderId="19" xfId="5" applyNumberFormat="1" applyFill="1" applyAlignment="1">
      <alignment wrapText="1"/>
    </xf>
    <xf numFmtId="169" fontId="21" fillId="8" borderId="19" xfId="5" applyNumberFormat="1" applyFill="1"/>
    <xf numFmtId="169" fontId="21" fillId="5" borderId="19" xfId="5" applyNumberFormat="1" applyFill="1" applyAlignment="1">
      <alignment wrapText="1"/>
    </xf>
    <xf numFmtId="169" fontId="21" fillId="5" borderId="19" xfId="5" applyNumberFormat="1" applyFill="1"/>
    <xf numFmtId="169" fontId="21" fillId="12" borderId="19" xfId="5" applyNumberFormat="1" applyFill="1" applyAlignment="1">
      <alignment wrapText="1"/>
    </xf>
    <xf numFmtId="169" fontId="21" fillId="12" borderId="19" xfId="5" applyNumberFormat="1" applyFill="1"/>
    <xf numFmtId="0" fontId="1" fillId="0" borderId="5" xfId="0" applyNumberFormat="1" applyFont="1" applyBorder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7">
    <cellStyle name="Calculation" xfId="6" builtinId="22"/>
    <cellStyle name="Input" xfId="4" builtinId="20"/>
    <cellStyle name="Normal" xfId="0" builtinId="0"/>
    <cellStyle name="Normal 2" xfId="3"/>
    <cellStyle name="Normal_XINGS" xfId="1"/>
    <cellStyle name="Output" xfId="5" builtinId="2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77"/>
  <sheetViews>
    <sheetView tabSelected="1" workbookViewId="0"/>
  </sheetViews>
  <sheetFormatPr defaultRowHeight="15" x14ac:dyDescent="0.25"/>
  <cols>
    <col min="1" max="1" width="8" style="35" customWidth="1"/>
    <col min="2" max="2" width="6.140625" style="37" customWidth="1"/>
    <col min="3" max="3" width="13.5703125" style="27" hidden="1" customWidth="1"/>
    <col min="4" max="4" width="16.140625" style="27" hidden="1" customWidth="1"/>
    <col min="5" max="5" width="19.5703125" style="34" hidden="1" customWidth="1"/>
    <col min="6" max="6" width="18.28515625" style="34" customWidth="1"/>
    <col min="7" max="7" width="4.85546875" style="37" hidden="1" customWidth="1"/>
    <col min="8" max="8" width="22.140625" style="34" hidden="1" customWidth="1"/>
    <col min="9" max="9" width="18.5703125" style="34" customWidth="1"/>
    <col min="10" max="10" width="7.28515625" style="37" customWidth="1"/>
    <col min="11" max="11" width="10.42578125" style="27" customWidth="1"/>
    <col min="12" max="12" width="16.28515625" style="27" customWidth="1"/>
    <col min="13" max="13" width="7.42578125" style="36" customWidth="1"/>
    <col min="14" max="14" width="3.85546875" style="37" customWidth="1"/>
    <col min="15" max="15" width="3.7109375" style="2" customWidth="1"/>
    <col min="16" max="16" width="3.42578125" style="2" customWidth="1"/>
    <col min="17" max="17" width="3.7109375" hidden="1" customWidth="1"/>
    <col min="18" max="18" width="33.5703125" customWidth="1"/>
    <col min="19" max="19" width="6" style="20" customWidth="1"/>
    <col min="20" max="20" width="3.85546875" customWidth="1"/>
    <col min="21" max="21" width="5" style="168" customWidth="1"/>
    <col min="22" max="22" width="5.7109375" style="188" customWidth="1"/>
    <col min="23" max="23" width="3.85546875" style="181" customWidth="1"/>
    <col min="24" max="24" width="6.5703125" style="181" customWidth="1"/>
    <col min="25" max="25" width="11.5703125" style="60" bestFit="1" customWidth="1"/>
    <col min="26" max="26" width="7.28515625" style="60" customWidth="1"/>
    <col min="27" max="27" width="9.140625" style="60"/>
    <col min="28" max="28" width="10.7109375" style="57" hidden="1" customWidth="1"/>
    <col min="29" max="29" width="9.42578125" style="51" hidden="1" customWidth="1"/>
    <col min="30" max="30" width="7.85546875" style="52" customWidth="1"/>
    <col min="31" max="31" width="4.5703125" style="83" customWidth="1"/>
    <col min="32" max="32" width="6.28515625" style="80" customWidth="1"/>
    <col min="33" max="33" width="5.42578125" customWidth="1"/>
    <col min="34" max="34" width="5" style="86" customWidth="1"/>
    <col min="35" max="35" width="5.7109375" style="100" customWidth="1"/>
    <col min="36" max="36" width="9.85546875" customWidth="1"/>
    <col min="37" max="37" width="7.7109375" customWidth="1"/>
    <col min="38" max="38" width="7.85546875" customWidth="1"/>
    <col min="39" max="39" width="9.140625" style="154"/>
  </cols>
  <sheetData>
    <row r="1" spans="1:91" s="20" customFormat="1" ht="15.75" thickBot="1" x14ac:dyDescent="0.3">
      <c r="A1" s="35"/>
      <c r="B1" s="37"/>
      <c r="C1" s="27"/>
      <c r="D1" s="27"/>
      <c r="E1" s="34"/>
      <c r="F1" s="34"/>
      <c r="G1" s="37"/>
      <c r="H1" s="34"/>
      <c r="I1" s="34" t="s">
        <v>105</v>
      </c>
      <c r="J1" s="37"/>
      <c r="K1" s="27"/>
      <c r="L1" s="27"/>
      <c r="M1" s="36"/>
      <c r="N1" s="37"/>
      <c r="O1" s="2"/>
      <c r="P1" s="2"/>
      <c r="R1" s="34" t="s">
        <v>106</v>
      </c>
      <c r="S1" s="37"/>
      <c r="T1" s="27"/>
      <c r="U1" s="166"/>
      <c r="V1" s="167"/>
      <c r="W1" s="166"/>
      <c r="X1" s="168"/>
      <c r="Y1" s="60"/>
      <c r="Z1" s="60"/>
      <c r="AA1" s="60"/>
      <c r="AB1" s="57"/>
      <c r="AC1" s="51"/>
      <c r="AD1" s="52"/>
      <c r="AE1" s="1"/>
      <c r="AF1" s="1"/>
      <c r="AG1" s="1"/>
      <c r="AH1" s="48"/>
      <c r="AI1" s="1"/>
      <c r="AM1" s="154"/>
    </row>
    <row r="2" spans="1:91" s="20" customFormat="1" ht="15.75" thickBot="1" x14ac:dyDescent="0.3">
      <c r="A2" s="35"/>
      <c r="B2" s="37"/>
      <c r="C2" s="27"/>
      <c r="D2" s="27"/>
      <c r="E2" s="34"/>
      <c r="F2" s="34"/>
      <c r="G2" s="37"/>
      <c r="H2" s="34"/>
      <c r="I2" s="65">
        <f>Variables!$A$2</f>
        <v>42811</v>
      </c>
      <c r="J2" s="66"/>
      <c r="K2" s="67"/>
      <c r="L2" s="67"/>
      <c r="M2" s="68" t="s">
        <v>8</v>
      </c>
      <c r="N2" s="69"/>
      <c r="O2" s="70"/>
      <c r="P2" s="2"/>
      <c r="R2" s="65">
        <f>Variables!$A$2</f>
        <v>42811</v>
      </c>
      <c r="S2" s="66"/>
      <c r="T2" s="67"/>
      <c r="U2" s="169"/>
      <c r="V2" s="170" t="s">
        <v>8</v>
      </c>
      <c r="W2" s="171"/>
      <c r="X2" s="172"/>
      <c r="Y2" s="60"/>
      <c r="Z2" s="60"/>
      <c r="AA2" s="60"/>
      <c r="AB2" s="57"/>
      <c r="AC2" s="51"/>
      <c r="AD2" s="52"/>
      <c r="AE2" s="1"/>
      <c r="AF2" s="1"/>
      <c r="AG2" s="1"/>
      <c r="AH2" s="48"/>
      <c r="AI2" s="1"/>
      <c r="AM2" s="154"/>
    </row>
    <row r="3" spans="1:91" s="20" customFormat="1" ht="15.75" thickBot="1" x14ac:dyDescent="0.3">
      <c r="A3" s="35"/>
      <c r="B3" s="37"/>
      <c r="C3" s="27"/>
      <c r="D3" s="27"/>
      <c r="E3" s="34"/>
      <c r="F3" s="34"/>
      <c r="G3" s="37"/>
      <c r="H3" s="34"/>
      <c r="I3" s="71" t="s">
        <v>10</v>
      </c>
      <c r="J3" s="72"/>
      <c r="K3" s="73"/>
      <c r="L3" s="73"/>
      <c r="M3" s="38" t="s">
        <v>11</v>
      </c>
      <c r="N3" s="39" t="s">
        <v>12</v>
      </c>
      <c r="O3" s="3" t="s">
        <v>13</v>
      </c>
      <c r="P3" s="2"/>
      <c r="R3" s="71" t="s">
        <v>10</v>
      </c>
      <c r="S3" s="72"/>
      <c r="T3" s="73"/>
      <c r="U3" s="173"/>
      <c r="V3" s="174" t="s">
        <v>11</v>
      </c>
      <c r="W3" s="175" t="s">
        <v>12</v>
      </c>
      <c r="X3" s="176" t="s">
        <v>13</v>
      </c>
      <c r="Y3" s="60"/>
      <c r="Z3" s="60"/>
      <c r="AA3" s="60"/>
      <c r="AB3" s="57"/>
      <c r="AC3" s="51"/>
      <c r="AD3" s="52"/>
      <c r="AE3" s="1"/>
      <c r="AF3" s="1"/>
      <c r="AG3" s="1"/>
      <c r="AH3" s="48"/>
      <c r="AI3" s="1"/>
      <c r="AM3" s="154"/>
    </row>
    <row r="4" spans="1:91" s="20" customFormat="1" ht="15.75" thickBot="1" x14ac:dyDescent="0.3">
      <c r="A4" s="35"/>
      <c r="B4" s="37"/>
      <c r="C4" s="27"/>
      <c r="D4" s="27"/>
      <c r="E4" s="34"/>
      <c r="F4" s="34"/>
      <c r="G4" s="37"/>
      <c r="H4" s="34"/>
      <c r="I4" s="74" t="s">
        <v>14</v>
      </c>
      <c r="J4" s="50">
        <f>SUM(J5:J7)</f>
        <v>146</v>
      </c>
      <c r="K4" s="40"/>
      <c r="L4" s="40"/>
      <c r="M4" s="41" t="s">
        <v>15</v>
      </c>
      <c r="N4" s="39" t="s">
        <v>15</v>
      </c>
      <c r="O4" s="3" t="s">
        <v>15</v>
      </c>
      <c r="P4" s="2"/>
      <c r="R4" s="74" t="s">
        <v>14</v>
      </c>
      <c r="S4" s="50">
        <f>SUM(S5:S7)</f>
        <v>47</v>
      </c>
      <c r="T4" s="40"/>
      <c r="U4" s="177"/>
      <c r="V4" s="174" t="s">
        <v>15</v>
      </c>
      <c r="W4" s="175" t="s">
        <v>15</v>
      </c>
      <c r="X4" s="176" t="s">
        <v>15</v>
      </c>
      <c r="Y4" s="60"/>
      <c r="Z4" s="60"/>
      <c r="AA4" s="60"/>
      <c r="AB4" s="57"/>
      <c r="AC4" s="51"/>
      <c r="AD4" s="52"/>
      <c r="AE4" s="1"/>
      <c r="AF4" s="1"/>
      <c r="AG4" s="1"/>
      <c r="AH4" s="48"/>
      <c r="AI4" s="1"/>
      <c r="AM4" s="154"/>
    </row>
    <row r="5" spans="1:91" s="20" customFormat="1" ht="15.75" thickBot="1" x14ac:dyDescent="0.3">
      <c r="A5" s="35"/>
      <c r="B5" s="37"/>
      <c r="C5" s="27"/>
      <c r="D5" s="27"/>
      <c r="E5" s="34"/>
      <c r="F5" s="34"/>
      <c r="G5" s="37"/>
      <c r="H5" s="34"/>
      <c r="I5" s="74" t="s">
        <v>17</v>
      </c>
      <c r="J5" s="50">
        <f>COUNTIFS($N$13:$N$9336,"&gt;0",$AG$13:$AG$9336,I1)</f>
        <v>144</v>
      </c>
      <c r="K5" s="40"/>
      <c r="L5" s="40"/>
      <c r="M5" s="41">
        <f>AVERAGEIFS($N$13:$N$9336,$AG$13:$AG$9336,I1)</f>
        <v>39.651736111045466</v>
      </c>
      <c r="N5" s="39">
        <f t="array" ref="N5">MIN(IF($AG$13:$AG$9336=I1,IF(ISNUMBER($N$13:$N$9336),IF($N$13:$N$9336&gt;0,$N$13:$N$9336))))</f>
        <v>34.68333333148621</v>
      </c>
      <c r="O5" s="3">
        <f t="array" ref="O5">MAX(IF($AG$13:$AG$9336=I1,IF(ISNUMBER($N$13:$N$9336),IF($N$13:$N$9336&gt;0,$N$13:$N$9336))))</f>
        <v>58.16666666418314</v>
      </c>
      <c r="P5" s="2"/>
      <c r="R5" s="74" t="s">
        <v>17</v>
      </c>
      <c r="S5" s="50">
        <f>COUNTIFS($N$13:$N$9336,"&gt;0",$AG$13:$AG$9336,R1)</f>
        <v>47</v>
      </c>
      <c r="T5" s="40"/>
      <c r="U5" s="177"/>
      <c r="V5" s="174">
        <f>AVERAGEIFS($N$13:$N$9336,$AG$13:$AG$9336,R1)</f>
        <v>15.550354610028815</v>
      </c>
      <c r="W5" s="175">
        <f t="array" ref="W5">MIN(IF($AG$13:$AG$9336=R1,IF(ISNUMBER($N$13:$N$9336),IF($N$13:$N$9336&gt;0,$N$13:$N$9336))))</f>
        <v>12.550000000046566</v>
      </c>
      <c r="X5" s="176">
        <f t="array" ref="X5">MAX(IF($AG$13:$AG$9336=R1,IF(ISNUMBER($N$13:$N$9336),IF($N$13:$N$9336&gt;0,$N$13:$N$9336))))</f>
        <v>40.083333336515352</v>
      </c>
      <c r="Y5" s="60"/>
      <c r="Z5" s="60"/>
      <c r="AA5" s="60"/>
      <c r="AB5" s="57"/>
      <c r="AC5" s="51"/>
      <c r="AD5" s="52"/>
      <c r="AE5" s="1"/>
      <c r="AF5" s="1"/>
      <c r="AG5" s="1"/>
      <c r="AH5" s="48"/>
      <c r="AI5" s="1"/>
      <c r="AM5" s="154"/>
    </row>
    <row r="6" spans="1:91" s="20" customFormat="1" ht="15.75" thickBot="1" x14ac:dyDescent="0.3">
      <c r="A6" s="35"/>
      <c r="B6" s="37"/>
      <c r="C6" s="27"/>
      <c r="D6" s="27"/>
      <c r="E6" s="34"/>
      <c r="F6" s="34"/>
      <c r="G6" s="37"/>
      <c r="H6" s="34"/>
      <c r="I6" s="75" t="s">
        <v>43</v>
      </c>
      <c r="J6" s="50">
        <f>COUNT($O$13:$O$118)</f>
        <v>0</v>
      </c>
      <c r="K6" s="40"/>
      <c r="L6" s="40"/>
      <c r="M6" s="41">
        <f>IFERROR(AVERAGE($O$13:$O$118),0)</f>
        <v>0</v>
      </c>
      <c r="N6" s="39">
        <f>MIN($O$13:$O$118)</f>
        <v>0</v>
      </c>
      <c r="O6" s="3">
        <f>MAX($O$13:$O$118)</f>
        <v>0</v>
      </c>
      <c r="P6" s="2"/>
      <c r="R6" s="75" t="s">
        <v>43</v>
      </c>
      <c r="S6" s="50">
        <f>COUNT($O$13:$O$118)</f>
        <v>0</v>
      </c>
      <c r="T6" s="40"/>
      <c r="U6" s="177"/>
      <c r="V6" s="174">
        <f>IFERROR(AVERAGE($O$13:$O$118),0)</f>
        <v>0</v>
      </c>
      <c r="W6" s="175">
        <f>MIN($O$13:$O$118)</f>
        <v>0</v>
      </c>
      <c r="X6" s="176">
        <f>MAX($O$13:$O$118)</f>
        <v>0</v>
      </c>
      <c r="Y6" s="60"/>
      <c r="Z6" s="60"/>
      <c r="AA6" s="60"/>
      <c r="AB6" s="57"/>
      <c r="AC6" s="51"/>
      <c r="AD6" s="52"/>
      <c r="AE6" s="1"/>
      <c r="AF6" s="1"/>
      <c r="AG6" s="1"/>
      <c r="AH6" s="48"/>
      <c r="AI6" s="1"/>
      <c r="AM6" s="154"/>
    </row>
    <row r="7" spans="1:91" s="20" customFormat="1" ht="15.75" thickBot="1" x14ac:dyDescent="0.3">
      <c r="A7" s="35"/>
      <c r="B7" s="37"/>
      <c r="C7" s="27"/>
      <c r="D7" s="27"/>
      <c r="E7" s="34"/>
      <c r="F7" s="34"/>
      <c r="G7" s="37"/>
      <c r="H7" s="34"/>
      <c r="I7" s="76" t="s">
        <v>9</v>
      </c>
      <c r="J7" s="50">
        <f>COUNTIFS($P$13:$P$9336,"&gt;0",$AG$13:$AG$9336,I1)</f>
        <v>2</v>
      </c>
      <c r="K7" s="40"/>
      <c r="L7" s="40"/>
      <c r="M7" s="39" t="s">
        <v>15</v>
      </c>
      <c r="N7" s="39" t="s">
        <v>15</v>
      </c>
      <c r="O7" s="3" t="s">
        <v>15</v>
      </c>
      <c r="P7" s="2"/>
      <c r="R7" s="76" t="s">
        <v>9</v>
      </c>
      <c r="S7" s="50">
        <f>COUNTIFS($P$13:$P$9336,"&gt;0",$AG$13:$AG$9336,R1)</f>
        <v>0</v>
      </c>
      <c r="T7" s="40"/>
      <c r="U7" s="177"/>
      <c r="V7" s="174" t="s">
        <v>15</v>
      </c>
      <c r="W7" s="175" t="s">
        <v>15</v>
      </c>
      <c r="X7" s="176" t="s">
        <v>15</v>
      </c>
      <c r="Y7" s="60"/>
      <c r="Z7" s="60"/>
      <c r="AA7" s="60"/>
      <c r="AB7" s="57"/>
      <c r="AC7" s="51"/>
      <c r="AD7" s="52"/>
      <c r="AE7" s="1"/>
      <c r="AF7" s="1"/>
      <c r="AG7" s="1"/>
      <c r="AH7" s="48"/>
      <c r="AI7" s="1"/>
      <c r="AM7" s="154"/>
    </row>
    <row r="8" spans="1:91" s="20" customFormat="1" ht="15.75" thickBot="1" x14ac:dyDescent="0.3">
      <c r="A8" s="35"/>
      <c r="B8" s="37"/>
      <c r="C8" s="27"/>
      <c r="D8" s="27"/>
      <c r="E8" s="34"/>
      <c r="F8" s="34"/>
      <c r="G8" s="37"/>
      <c r="H8" s="34"/>
      <c r="I8" s="74" t="s">
        <v>16</v>
      </c>
      <c r="J8" s="50">
        <f>J5</f>
        <v>144</v>
      </c>
      <c r="K8" s="40"/>
      <c r="L8" s="40"/>
      <c r="M8" s="41">
        <f>M5</f>
        <v>39.651736111045466</v>
      </c>
      <c r="N8" s="39">
        <f>N5</f>
        <v>34.68333333148621</v>
      </c>
      <c r="O8" s="3">
        <f>O5</f>
        <v>58.16666666418314</v>
      </c>
      <c r="P8" s="2"/>
      <c r="R8" s="74" t="s">
        <v>16</v>
      </c>
      <c r="S8" s="50">
        <f>S5</f>
        <v>47</v>
      </c>
      <c r="T8" s="40"/>
      <c r="U8" s="177"/>
      <c r="V8" s="174">
        <f>V5</f>
        <v>15.550354610028815</v>
      </c>
      <c r="W8" s="175">
        <f>W5</f>
        <v>12.550000000046566</v>
      </c>
      <c r="X8" s="176">
        <f>X5</f>
        <v>40.083333336515352</v>
      </c>
      <c r="Y8" s="60"/>
      <c r="Z8" s="60"/>
      <c r="AA8" s="60"/>
      <c r="AB8" s="57"/>
      <c r="AC8" s="51"/>
      <c r="AD8" s="52"/>
      <c r="AE8" s="1"/>
      <c r="AF8" s="1"/>
      <c r="AG8" s="1"/>
      <c r="AH8" s="48"/>
      <c r="AI8" s="1"/>
      <c r="AM8" s="154"/>
    </row>
    <row r="9" spans="1:91" s="20" customFormat="1" ht="15.75" thickBot="1" x14ac:dyDescent="0.3">
      <c r="A9" s="35"/>
      <c r="B9" s="37"/>
      <c r="C9" s="27"/>
      <c r="D9" s="27"/>
      <c r="E9" s="34"/>
      <c r="F9" s="34"/>
      <c r="G9" s="37"/>
      <c r="H9" s="34"/>
      <c r="I9" s="74" t="s">
        <v>19</v>
      </c>
      <c r="J9" s="135">
        <f>J8/J4</f>
        <v>0.98630136986301364</v>
      </c>
      <c r="K9" s="42"/>
      <c r="L9" s="42"/>
      <c r="M9" s="77"/>
      <c r="N9" s="37"/>
      <c r="O9" s="78"/>
      <c r="P9" s="2"/>
      <c r="R9" s="74" t="s">
        <v>19</v>
      </c>
      <c r="S9" s="135">
        <f>S8/S4</f>
        <v>1</v>
      </c>
      <c r="T9" s="42"/>
      <c r="U9" s="166"/>
      <c r="V9" s="178"/>
      <c r="W9" s="166"/>
      <c r="X9" s="179"/>
      <c r="Y9" s="60"/>
      <c r="Z9" s="60"/>
      <c r="AA9" s="60"/>
      <c r="AB9" s="57"/>
      <c r="AC9" s="51"/>
      <c r="AD9" s="52"/>
      <c r="AE9" s="1"/>
      <c r="AF9" s="1"/>
      <c r="AG9" s="1"/>
      <c r="AH9" s="48"/>
      <c r="AI9" s="1"/>
      <c r="AM9" s="154"/>
    </row>
    <row r="10" spans="1:91" s="20" customFormat="1" x14ac:dyDescent="0.25">
      <c r="A10" s="35"/>
      <c r="B10" s="37"/>
      <c r="C10" s="27"/>
      <c r="D10" s="27"/>
      <c r="E10" s="34"/>
      <c r="F10" s="34"/>
      <c r="G10" s="37"/>
      <c r="H10" s="34"/>
      <c r="I10" s="34"/>
      <c r="J10" s="37"/>
      <c r="K10" s="27"/>
      <c r="L10" s="27"/>
      <c r="M10" s="36"/>
      <c r="N10" s="37"/>
      <c r="O10" s="2"/>
      <c r="P10" s="2"/>
      <c r="U10" s="168"/>
      <c r="V10" s="180"/>
      <c r="W10" s="181"/>
      <c r="X10" s="181"/>
      <c r="Y10" s="60"/>
      <c r="Z10" s="60"/>
      <c r="AA10" s="60"/>
      <c r="AB10" s="57"/>
      <c r="AC10" s="51"/>
      <c r="AD10" s="52"/>
      <c r="AE10" s="1"/>
      <c r="AF10" s="1"/>
      <c r="AG10" s="1"/>
      <c r="AH10" s="48"/>
      <c r="AI10" s="1"/>
      <c r="AM10" s="154"/>
    </row>
    <row r="11" spans="1:91" ht="16.5" thickBot="1" x14ac:dyDescent="0.3">
      <c r="A11" s="220" t="str">
        <f>"Eagle P3 System Performance - "&amp;TEXT(Variables!A2,"yyyy-mm-dd")</f>
        <v>Eagle P3 System Performance - 2017-03-17</v>
      </c>
      <c r="B11" s="220"/>
      <c r="C11" s="220"/>
      <c r="D11" s="220"/>
      <c r="E11" s="220"/>
      <c r="F11" s="220"/>
      <c r="G11" s="220"/>
      <c r="H11" s="220"/>
      <c r="I11" s="220"/>
      <c r="J11" s="220"/>
      <c r="K11" s="220"/>
      <c r="L11" s="220"/>
      <c r="M11" s="220"/>
      <c r="N11" s="220"/>
      <c r="O11" s="220"/>
      <c r="P11" s="220"/>
      <c r="S11" s="64">
        <f>AVERAGE(S13:S87)</f>
        <v>1</v>
      </c>
      <c r="V11" s="180"/>
      <c r="AE11" s="1"/>
      <c r="AF11" s="1"/>
      <c r="AG11" s="1"/>
      <c r="AH11" s="48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9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9" t="s">
        <v>24</v>
      </c>
      <c r="S12" s="19" t="s">
        <v>63</v>
      </c>
      <c r="T12" s="49" t="s">
        <v>64</v>
      </c>
      <c r="U12" s="182" t="s">
        <v>65</v>
      </c>
      <c r="V12" s="183" t="s">
        <v>45</v>
      </c>
      <c r="W12" s="184" t="s">
        <v>23</v>
      </c>
      <c r="X12" s="184" t="s">
        <v>48</v>
      </c>
      <c r="Y12" s="61" t="s">
        <v>20</v>
      </c>
      <c r="Z12" s="61" t="s">
        <v>21</v>
      </c>
      <c r="AA12" s="61" t="s">
        <v>22</v>
      </c>
      <c r="AB12" s="58" t="s">
        <v>39</v>
      </c>
      <c r="AC12" s="54" t="s">
        <v>40</v>
      </c>
      <c r="AD12" s="53" t="s">
        <v>82</v>
      </c>
      <c r="AE12" s="84" t="s">
        <v>89</v>
      </c>
      <c r="AF12" s="81" t="s">
        <v>94</v>
      </c>
      <c r="AG12" s="4" t="s">
        <v>107</v>
      </c>
      <c r="AH12" s="87" t="s">
        <v>109</v>
      </c>
      <c r="AI12" s="107" t="s">
        <v>147</v>
      </c>
      <c r="AJ12" s="47" t="s">
        <v>148</v>
      </c>
      <c r="AK12" s="47" t="s">
        <v>121</v>
      </c>
      <c r="AL12" s="47" t="s">
        <v>149</v>
      </c>
      <c r="AM12" s="155" t="s">
        <v>203</v>
      </c>
      <c r="AN12" s="47" t="s">
        <v>207</v>
      </c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3" t="s">
        <v>649</v>
      </c>
      <c r="B13" s="7">
        <v>4053</v>
      </c>
      <c r="C13" s="21" t="s">
        <v>227</v>
      </c>
      <c r="D13" s="21" t="s">
        <v>849</v>
      </c>
      <c r="E13" s="13">
        <v>42811.127974537034</v>
      </c>
      <c r="F13" s="13">
        <v>42811.137071759258</v>
      </c>
      <c r="G13" s="7">
        <v>1</v>
      </c>
      <c r="H13" s="21" t="s">
        <v>562</v>
      </c>
      <c r="I13" s="13">
        <v>42811.163472222222</v>
      </c>
      <c r="J13" s="7">
        <v>0</v>
      </c>
      <c r="K13" s="98" t="str">
        <f t="shared" ref="K13:K76" si="0">IF(ISEVEN(B13),(B13-1)&amp;"/"&amp;B13,B13&amp;"/"&amp;(B13+1))</f>
        <v>4053/4054</v>
      </c>
      <c r="L13" s="21" t="str">
        <f>VLOOKUP(A13,'Trips&amp;Operators'!$C$1:$G$99999,5,FALSE)</f>
        <v>BADERTSCHER DIANE</v>
      </c>
      <c r="M13" s="6">
        <f t="shared" ref="M13:M76" si="1">I13-F13</f>
        <v>2.6400462964375038E-2</v>
      </c>
      <c r="N13" s="7">
        <f t="shared" ref="N13:N54" si="2">24*60*SUM($M13:$M13)</f>
        <v>38.016666668700054</v>
      </c>
      <c r="O13" s="7"/>
      <c r="P13" s="7"/>
      <c r="Q13" s="22"/>
      <c r="R13" s="22"/>
      <c r="S13" s="31">
        <f t="shared" ref="S13:S55" si="3">SUM(U13:U13)/IF(AG13="EC",12,1)</f>
        <v>1</v>
      </c>
      <c r="T13" s="46" t="str">
        <f t="shared" ref="T13:T76" si="4">IF(ISEVEN(LEFT(AD13,4)),"Southbound","NorthBound")</f>
        <v>NorthBound</v>
      </c>
      <c r="U13" s="185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86" t="str">
        <f t="shared" ref="V13:V76" si="5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-03-17T02:04:17-0600',mode:absolute,to:'2017-03-17T04:55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3" s="187" t="str">
        <f t="shared" ref="W13:W76" si="6">IF(AA13&lt;IF(AG13="EC",23,5.65),"Y","N")</f>
        <v>N</v>
      </c>
      <c r="X13" s="187" t="e">
        <f t="shared" ref="X13:X44" si="7">VALUE(LEFT(AD13,4))-VALUE(LEFT(AD12,4))</f>
        <v>#VALUE!</v>
      </c>
      <c r="Y13" s="62">
        <f t="shared" ref="Y13:Y76" si="8">RIGHT(D13,LEN(D13)-4)/10000</f>
        <v>7.4999999999999997E-2</v>
      </c>
      <c r="Z13" s="62">
        <f t="shared" ref="Z13:Z76" si="9">RIGHT(H13,LEN(H13)-4)/10000</f>
        <v>23.330100000000002</v>
      </c>
      <c r="AA13" s="62">
        <f t="shared" ref="AA13:AA76" si="10">ABS(Z13-Y13)</f>
        <v>23.255100000000002</v>
      </c>
      <c r="AB13" s="59" t="e">
        <f>VLOOKUP(A13,Enforcements!$C$7:$K$13,8,0)</f>
        <v>#N/A</v>
      </c>
      <c r="AC13" s="55" t="e">
        <f>VLOOKUP(A13,Enforcements!$C$7:$E$13,3,0)</f>
        <v>#N/A</v>
      </c>
      <c r="AD13" s="56" t="str">
        <f t="shared" ref="AD13:AD76" si="11">IF(LEN(A13)=6,"0"&amp;A13,A13)</f>
        <v>0101-17</v>
      </c>
      <c r="AE13" s="85" t="str">
        <f t="shared" ref="AE13:AE76" si="12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s3://rtdc.mdm.uploadarchive.raw/RTDC4053/ "%USERPROFILE%\AppData\Local\Temp\OnboardLogs"\RTDC4053\2017-03-17 --exclude "*" --recursive --include "*20170317*" &amp; "%USERPROFILE%\Documents\GitHub\mrs-test-scripts\Headless Mode &amp; Sideloading\WalkAndUnGZ.bat" "%USERPROFILE%\AppData\Local\Temp\OnboardLogs"\RTDC4053\2017-03-17 &amp; aws s3 cp s3://rtdc.mdm.uploadarchive.raw/RTDC4053/ "%USERPROFILE%\AppData\Local\Temp\OnboardLogs"\RTDC4053\2017-03-18 --exclude "*" --recursive --include "*20170318*" &amp; "%USERPROFILE%\Documents\GitHub\mrs-test-scripts\Headless Mode &amp; Sideloading\WalkAndUnGZ.bat" "%USERPROFILE%\AppData\Local\Temp\OnboardLogs"\RTDC4053\2017-03-18</v>
      </c>
      <c r="AF13" s="82" t="str">
        <f t="shared" ref="AF13:AF76" si="13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/stypes="app*4053*20170317*" /stext=" 09:.+((SYSTEM_STATE.+slice.+state.+changed )|(ment ac)|(multiple cpu faults)|(system.+state.+changed )|(\[timeout)|(PRM\|1\|D)|(kpr)|(kdp)|(\|lc)|(penalty))"</v>
      </c>
      <c r="AG13" s="1" t="str">
        <f t="shared" ref="AG13:AG76" si="14">IFERROR(IF(VALUE(LEFT(AD13,2))&lt;=2,"EC",IF(OR(VALUE(LEFT(AD13,2))=8,VALUE(LEFT(AD13,2))=18),"NW","Other")),"Other")</f>
        <v>EC</v>
      </c>
      <c r="AH13" s="86" t="str">
        <f t="shared" ref="AH13" si="15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101-17 --locoid 4053 --swversion DE.1.0.9.0 --startMP 204:750 --initTime 2017-03-17T03:04:17 --startdatetime 2017-03-17T03:17:23 --delay 1 --endMP 204:233301 --enddatetime 2017-03-17T03:55:24 --enforcementcount 0 &gt;&gt;C:\Users\stu\Documents\GitHub\eaglep3-reporting\EC\2017-03-17-refined-times.txt</v>
      </c>
      <c r="AI13" s="108" t="str">
        <f t="shared" ref="AI13" si="16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{"issue":{"subject":"","project_id":79,"tracker_id":40,"status_id":1,"priority_id":2,"assigned_to_id":23,"start_date":"2017-03-17","description":"","custom_fields":[{"id":1,"name":"Subdivision","value":"EC"},{"id":4,"name":"Milepost","value":"23.3301"},{"id":17,"name":"Train ID","value":"101-17"},{"id":16,"name":"Locomotive ID","value":"4053"},{"id":130,"name":"Impact","value":""},{"id":150,"name":"Time of Event (Mountain Time)","value":"03:55:24"},{"id":151,"name":"Denver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48"/>
      <c r="AK13" s="48"/>
      <c r="AL13" s="48"/>
      <c r="AM13" s="154" t="str">
        <f t="shared" ref="AM13" si="17">"start /low /b "&amp;dls3logs&amp;" --loco "&amp;B13&amp;" --day "&amp;TEXT(F13,"YYYY-MM-DD")</f>
        <v>start /low /b %USERPROFILE%\Documents\GitHub\eaglep3\Utilities\DownloadLogsFromS3.py --loco 4053 --day 2017-03-17</v>
      </c>
      <c r="AN13" s="163" t="str">
        <f>"grep -SE -B400 ""CHR.+\|PRM\|1\|D.+(SWITCH|SIGNAL).+UNKNOWN"" "&amp;search_path&amp;"\RTDC"&amp;B13&amp;"\*"&amp;B13&amp;"*"&amp;TEXT(AVERAGE(F13,I13)-utc_offset/24,"YYYYMMDD")&amp;"*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"%USERPROFILE%\AppData\Local\Temp\OnboardLogs"\RTDC4053\*4053*20170317* | grep -SE "(Enforcement Action)|(\[TIMEOUT)|(CHR.+\|PRM\|1\|D.+(SWITCH|SIGNAL).+UNKNOWN)" - &gt;&gt; 2017-03-17-UncaughtWiMAX.txt</v>
      </c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3" t="s">
        <v>652</v>
      </c>
      <c r="B14" s="7">
        <v>4012</v>
      </c>
      <c r="C14" s="21" t="s">
        <v>227</v>
      </c>
      <c r="D14" s="21" t="s">
        <v>850</v>
      </c>
      <c r="E14" s="13">
        <v>42811.170451388891</v>
      </c>
      <c r="F14" s="13">
        <v>42811.174884259257</v>
      </c>
      <c r="G14" s="7">
        <v>1</v>
      </c>
      <c r="H14" s="21" t="s">
        <v>580</v>
      </c>
      <c r="I14" s="13">
        <v>42811.204432870371</v>
      </c>
      <c r="J14" s="7">
        <v>0</v>
      </c>
      <c r="K14" s="98" t="str">
        <f t="shared" si="0"/>
        <v>4011/4012</v>
      </c>
      <c r="L14" s="21" t="str">
        <f>VLOOKUP(A14,'Trips&amp;Operators'!$C$1:$G$99999,5,FALSE)</f>
        <v>BADERTSCHER DIANE</v>
      </c>
      <c r="M14" s="6">
        <f t="shared" si="1"/>
        <v>2.9548611113568768E-2</v>
      </c>
      <c r="N14" s="7">
        <f t="shared" si="2"/>
        <v>42.550000003539026</v>
      </c>
      <c r="O14" s="7"/>
      <c r="P14" s="7"/>
      <c r="Q14" s="22"/>
      <c r="R14" s="22"/>
      <c r="S14" s="31">
        <f t="shared" si="3"/>
        <v>1</v>
      </c>
      <c r="T14" s="46" t="str">
        <f t="shared" si="4"/>
        <v>Southbound</v>
      </c>
      <c r="U14" s="185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86" t="str">
        <f t="shared" si="5"/>
        <v>https://d0f6bd738d7f1b3e5a7ca70fe4ff75f0.us-east-1.aws.found.io/app/kibana#/discover/Steve-Slow-Train-Analysis-(2080s-and-2083s)?_g=(refreshInterval:(display:Off,pause:!f,section:0,value:0),time:(from:'2017-03-17T03:05:27-0600',mode:absolute,to:'2017-03-17T05:54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4" s="187" t="str">
        <f t="shared" si="6"/>
        <v>N</v>
      </c>
      <c r="X14" s="187">
        <f t="shared" si="7"/>
        <v>1</v>
      </c>
      <c r="Y14" s="62">
        <f t="shared" si="8"/>
        <v>23.266200000000001</v>
      </c>
      <c r="Z14" s="62">
        <f t="shared" si="9"/>
        <v>1.3599999999999999E-2</v>
      </c>
      <c r="AA14" s="62">
        <f t="shared" si="10"/>
        <v>23.252600000000001</v>
      </c>
      <c r="AB14" s="59" t="e">
        <f>VLOOKUP(A14,Enforcements!$C$7:$K$13,8,0)</f>
        <v>#N/A</v>
      </c>
      <c r="AC14" s="55" t="e">
        <f>VLOOKUP(A14,Enforcements!$C$7:$E$13,3,0)</f>
        <v>#N/A</v>
      </c>
      <c r="AD14" s="56" t="str">
        <f t="shared" si="11"/>
        <v>0102-17</v>
      </c>
      <c r="AE14" s="85" t="str">
        <f t="shared" si="12"/>
        <v>aws s3 cp s3://rtdc.mdm.uploadarchive.raw/RTDC4012/ "%USERPROFILE%\AppData\Local\Temp\OnboardLogs"\RTDC4012\2017-03-17 --exclude "*" --recursive --include "*20170317*" &amp; "%USERPROFILE%\Documents\GitHub\mrs-test-scripts\Headless Mode &amp; Sideloading\WalkAndUnGZ.bat" "%USERPROFILE%\AppData\Local\Temp\OnboardLogs"\RTDC4012\2017-03-17 &amp; aws s3 cp s3://rtdc.mdm.uploadarchive.raw/RTDC4012/ "%USERPROFILE%\AppData\Local\Temp\OnboardLogs"\RTDC4012\2017-03-18 --exclude "*" --recursive --include "*20170318*" &amp; "%USERPROFILE%\Documents\GitHub\mrs-test-scripts\Headless Mode &amp; Sideloading\WalkAndUnGZ.bat" "%USERPROFILE%\AppData\Local\Temp\OnboardLogs"\RTDC4012\2017-03-18</v>
      </c>
      <c r="AF14" s="82" t="str">
        <f t="shared" si="13"/>
        <v>"C:\Program Files (x86)\AstroGrep\AstroGrep.exe" /e /r /s /spath="%USERPROFILE%\AppData\Local\Temp\OnboardLogs" /stypes="app*4012*20170317*" /stext=" 10:.+((SYSTEM_STATE.+slice.+state.+changed )|(ment ac)|(multiple cpu faults)|(system.+state.+changed )|(\[timeout)|(PRM\|1\|D)|(kpr)|(kdp)|(\|lc)|(penalty))"</v>
      </c>
      <c r="AG14" s="1" t="str">
        <f t="shared" si="14"/>
        <v>EC</v>
      </c>
      <c r="AH14" s="86" t="str">
        <f t="shared" ref="AH14:AH77" si="18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102-17 --locoid 4012 --swversion DE.1.0.9.0 --startMP 204:232662 --initTime 2017-03-17T04:05:27 --startdatetime 2017-03-17T04:11:50 --delay 1 --endMP 204:136 --enddatetime 2017-03-17T04:54:23 --enforcementcount 0 &gt;&gt;C:\Users\stu\Documents\GitHub\eaglep3-reporting\EC\2017-03-17-refined-times.txt</v>
      </c>
      <c r="AI14" s="108" t="str">
        <f t="shared" ref="AI14:AI77" si="19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{"issue":{"subject":"","project_id":79,"tracker_id":40,"status_id":1,"priority_id":2,"assigned_to_id":23,"start_date":"2017-03-17","description":"","custom_fields":[{"id":1,"name":"Subdivision","value":"EC"},{"id":4,"name":"Milepost","value":"0.0136"},{"id":17,"name":"Train ID","value":"102-17"},{"id":16,"name":"Locomotive ID","value":"4012"},{"id":130,"name":"Impact","value":""},{"id":150,"name":"Time of Event (Mountain Time)","value":"04:54:23"},{"id":151,"name":"Denver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48"/>
      <c r="AK14" s="48"/>
      <c r="AL14" s="48"/>
      <c r="AM14" s="154" t="str">
        <f t="shared" ref="AM14:AM77" si="20">"start /low /b "&amp;dls3logs&amp;" --loco "&amp;B14&amp;" --day "&amp;TEXT(F14,"YYYY-MM-DD")</f>
        <v>start /low /b %USERPROFILE%\Documents\GitHub\eaglep3\Utilities\DownloadLogsFromS3.py --loco 4012 --day 2017-03-17</v>
      </c>
      <c r="AN14" s="163" t="str">
        <f>"grep -SE -B400 ""CHR.+\|PRM\|1\|D.+(SWITCH|SIGNAL).+UNKNOWN"" "&amp;search_path&amp;"\RTDC"&amp;B14&amp;"\*"&amp;B14&amp;"*"&amp;TEXT(AVERAGE(F14,I14)-utc_offset/24,"YYYYMMDD")&amp;"*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"%USERPROFILE%\AppData\Local\Temp\OnboardLogs"\RTDC4012\*4012*20170317* | grep -SE "(Enforcement Action)|(\[TIMEOUT)|(CHR.+\|PRM\|1\|D.+(SWITCH|SIGNAL).+UNKNOWN)" - &gt;&gt; 2017-03-17-UncaughtWiMAX.txt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3" t="s">
        <v>651</v>
      </c>
      <c r="B15" s="7">
        <v>4042</v>
      </c>
      <c r="C15" s="21" t="s">
        <v>227</v>
      </c>
      <c r="D15" s="21" t="s">
        <v>851</v>
      </c>
      <c r="E15" s="13">
        <v>42811.151863425926</v>
      </c>
      <c r="F15" s="13">
        <v>42811.157199074078</v>
      </c>
      <c r="G15" s="7">
        <v>3</v>
      </c>
      <c r="H15" s="21" t="s">
        <v>852</v>
      </c>
      <c r="I15" s="13">
        <v>42811.182442129626</v>
      </c>
      <c r="J15" s="7">
        <v>0</v>
      </c>
      <c r="K15" s="98" t="str">
        <f t="shared" si="0"/>
        <v>4041/4042</v>
      </c>
      <c r="L15" s="21" t="str">
        <f>VLOOKUP(A15,'Trips&amp;Operators'!$C$1:$G$99999,5,FALSE)</f>
        <v>YANAI IAN</v>
      </c>
      <c r="M15" s="6">
        <f t="shared" si="1"/>
        <v>2.5243055548344273E-2</v>
      </c>
      <c r="N15" s="7">
        <f t="shared" si="2"/>
        <v>36.349999989615753</v>
      </c>
      <c r="O15" s="7"/>
      <c r="P15" s="7"/>
      <c r="Q15" s="22"/>
      <c r="R15" s="22"/>
      <c r="S15" s="31">
        <f t="shared" si="3"/>
        <v>1</v>
      </c>
      <c r="T15" s="46" t="str">
        <f t="shared" si="4"/>
        <v>NorthBound</v>
      </c>
      <c r="U15" s="185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86" t="str">
        <f t="shared" si="5"/>
        <v>https://d0f6bd738d7f1b3e5a7ca70fe4ff75f0.us-east-1.aws.found.io/app/kibana#/discover/Steve-Slow-Train-Analysis-(2080s-and-2083s)?_g=(refreshInterval:(display:Off,pause:!f,section:0,value:0),time:(from:'2017-03-17T02:38:41-0600',mode:absolute,to:'2017-03-17T05:22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5" s="187" t="str">
        <f t="shared" si="6"/>
        <v>N</v>
      </c>
      <c r="X15" s="187">
        <f t="shared" si="7"/>
        <v>1</v>
      </c>
      <c r="Y15" s="62">
        <f t="shared" si="8"/>
        <v>7.9699999999999993E-2</v>
      </c>
      <c r="Z15" s="62">
        <f t="shared" si="9"/>
        <v>23.3245</v>
      </c>
      <c r="AA15" s="62">
        <f t="shared" si="10"/>
        <v>23.244800000000001</v>
      </c>
      <c r="AB15" s="59" t="e">
        <f>VLOOKUP(A15,Enforcements!$C$7:$K$13,8,0)</f>
        <v>#N/A</v>
      </c>
      <c r="AC15" s="55" t="e">
        <f>VLOOKUP(A15,Enforcements!$C$7:$E$13,3,0)</f>
        <v>#N/A</v>
      </c>
      <c r="AD15" s="56" t="str">
        <f t="shared" si="11"/>
        <v>0103-17</v>
      </c>
      <c r="AE15" s="85" t="str">
        <f t="shared" si="12"/>
        <v>aws s3 cp s3://rtdc.mdm.uploadarchive.raw/RTDC4042/ "%USERPROFILE%\AppData\Local\Temp\OnboardLogs"\RTDC4042\2017-03-17 --exclude "*" --recursive --include "*20170317*" &amp; "%USERPROFILE%\Documents\GitHub\mrs-test-scripts\Headless Mode &amp; Sideloading\WalkAndUnGZ.bat" "%USERPROFILE%\AppData\Local\Temp\OnboardLogs"\RTDC4042\2017-03-17 &amp; aws s3 cp s3://rtdc.mdm.uploadarchive.raw/RTDC4042/ "%USERPROFILE%\AppData\Local\Temp\OnboardLogs"\RTDC4042\2017-03-18 --exclude "*" --recursive --include "*20170318*" &amp; "%USERPROFILE%\Documents\GitHub\mrs-test-scripts\Headless Mode &amp; Sideloading\WalkAndUnGZ.bat" "%USERPROFILE%\AppData\Local\Temp\OnboardLogs"\RTDC4042\2017-03-18</v>
      </c>
      <c r="AF15" s="82" t="str">
        <f t="shared" si="13"/>
        <v>"C:\Program Files (x86)\AstroGrep\AstroGrep.exe" /e /r /s /spath="%USERPROFILE%\AppData\Local\Temp\OnboardLogs" /stypes="app*4042*20170317*" /stext=" 10:.+((SYSTEM_STATE.+slice.+state.+changed )|(ment ac)|(multiple cpu faults)|(system.+state.+changed )|(\[timeout)|(PRM\|1\|D)|(kpr)|(kdp)|(\|lc)|(penalty))"</v>
      </c>
      <c r="AG15" s="1" t="str">
        <f t="shared" si="14"/>
        <v>EC</v>
      </c>
      <c r="AH15" s="86" t="str">
        <f t="shared" si="18"/>
        <v>"%USERPROFILE%\Documents\GitHub\eaglep3\Utilities\RefineRTDCRunTimes.py" --tripid 103-17 --locoid 4042 --swversion DE.1.0.9.0 --startMP 204:797 --initTime 2017-03-17T03:38:41 --startdatetime 2017-03-17T03:46:22 --delay 3 --endMP 204:233245 --enddatetime 2017-03-17T04:22:43 --enforcementcount 0 &gt;&gt;C:\Users\stu\Documents\GitHub\eaglep3-reporting\EC\2017-03-17-refined-times.txt</v>
      </c>
      <c r="AI15" s="108" t="str">
        <f t="shared" si="19"/>
        <v>echo {"issue":{"subject":"","project_id":79,"tracker_id":40,"status_id":1,"priority_id":2,"assigned_to_id":23,"start_date":"2017-03-17","description":"","custom_fields":[{"id":1,"name":"Subdivision","value":"EC"},{"id":4,"name":"Milepost","value":"23.3245"},{"id":17,"name":"Train ID","value":"103-17"},{"id":16,"name":"Locomotive ID","value":"4042"},{"id":130,"name":"Impact","value":""},{"id":150,"name":"Time of Event (Mountain Time)","value":"04:22:43"},{"id":151,"name":"Denver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48"/>
      <c r="AK15" s="48"/>
      <c r="AL15" s="48"/>
      <c r="AM15" s="154" t="str">
        <f t="shared" si="20"/>
        <v>start /low /b %USERPROFILE%\Documents\GitHub\eaglep3\Utilities\DownloadLogsFromS3.py --loco 4042 --day 2017-03-17</v>
      </c>
      <c r="AN15" s="163" t="str">
        <f>"grep -SE -B400 ""CHR.+\|PRM\|1\|D.+(SWITCH|SIGNAL).+UNKNOWN"" "&amp;search_path&amp;"\RTDC"&amp;B15&amp;"\*"&amp;B15&amp;"*"&amp;TEXT(AVERAGE(F15,I15)-utc_offset/24,"YYYYMMDD")&amp;"*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"%USERPROFILE%\AppData\Local\Temp\OnboardLogs"\RTDC4042\*4042*20170317* | grep -SE "(Enforcement Action)|(\[TIMEOUT)|(CHR.+\|PRM\|1\|D.+(SWITCH|SIGNAL).+UNKNOWN)" - &gt;&gt; 2017-03-17-UncaughtWiMAX.txt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3" t="s">
        <v>655</v>
      </c>
      <c r="B16" s="7">
        <v>4039</v>
      </c>
      <c r="C16" s="21" t="s">
        <v>227</v>
      </c>
      <c r="D16" s="21" t="s">
        <v>853</v>
      </c>
      <c r="E16" s="13">
        <v>42811.18476851852</v>
      </c>
      <c r="F16" s="13">
        <v>42811.195439814815</v>
      </c>
      <c r="G16" s="7">
        <v>1</v>
      </c>
      <c r="H16" s="21" t="s">
        <v>200</v>
      </c>
      <c r="I16" s="13">
        <v>42811.223240740743</v>
      </c>
      <c r="J16" s="7">
        <v>0</v>
      </c>
      <c r="K16" s="98" t="str">
        <f t="shared" si="0"/>
        <v>4039/4040</v>
      </c>
      <c r="L16" s="21" t="str">
        <f>VLOOKUP(A16,'Trips&amp;Operators'!$C$1:$G$99999,5,FALSE)</f>
        <v>YANAI IAN</v>
      </c>
      <c r="M16" s="6">
        <f t="shared" si="1"/>
        <v>2.7800925927294884E-2</v>
      </c>
      <c r="N16" s="7">
        <f t="shared" si="2"/>
        <v>40.033333335304633</v>
      </c>
      <c r="O16" s="7"/>
      <c r="P16" s="7"/>
      <c r="Q16" s="22"/>
      <c r="R16" s="22"/>
      <c r="S16" s="31">
        <f t="shared" si="3"/>
        <v>1</v>
      </c>
      <c r="T16" s="46" t="str">
        <f t="shared" si="4"/>
        <v>Southbound</v>
      </c>
      <c r="U16" s="185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86" t="str">
        <f t="shared" si="5"/>
        <v>https://d0f6bd738d7f1b3e5a7ca70fe4ff75f0.us-east-1.aws.found.io/app/kibana#/discover/Steve-Slow-Train-Analysis-(2080s-and-2083s)?_g=(refreshInterval:(display:Off,pause:!f,section:0,value:0),time:(from:'2017-03-17T03:26:04-0600',mode:absolute,to:'2017-03-17T06:21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6" s="187" t="str">
        <f t="shared" si="6"/>
        <v>N</v>
      </c>
      <c r="X16" s="187">
        <f t="shared" si="7"/>
        <v>1</v>
      </c>
      <c r="Y16" s="62">
        <f t="shared" si="8"/>
        <v>23.264099999999999</v>
      </c>
      <c r="Z16" s="62">
        <f t="shared" si="9"/>
        <v>1.52E-2</v>
      </c>
      <c r="AA16" s="62">
        <f t="shared" si="10"/>
        <v>23.248899999999999</v>
      </c>
      <c r="AB16" s="59" t="e">
        <f>VLOOKUP(A16,Enforcements!$C$7:$K$13,8,0)</f>
        <v>#N/A</v>
      </c>
      <c r="AC16" s="55" t="e">
        <f>VLOOKUP(A16,Enforcements!$C$7:$E$13,3,0)</f>
        <v>#N/A</v>
      </c>
      <c r="AD16" s="56" t="str">
        <f t="shared" si="11"/>
        <v>0104-17</v>
      </c>
      <c r="AE16" s="85" t="str">
        <f t="shared" si="12"/>
        <v>aws s3 cp s3://rtdc.mdm.uploadarchive.raw/RTDC4039/ "%USERPROFILE%\AppData\Local\Temp\OnboardLogs"\RTDC4039\2017-03-17 --exclude "*" --recursive --include "*20170317*" &amp; "%USERPROFILE%\Documents\GitHub\mrs-test-scripts\Headless Mode &amp; Sideloading\WalkAndUnGZ.bat" "%USERPROFILE%\AppData\Local\Temp\OnboardLogs"\RTDC4039\2017-03-17 &amp; aws s3 cp s3://rtdc.mdm.uploadarchive.raw/RTDC4039/ "%USERPROFILE%\AppData\Local\Temp\OnboardLogs"\RTDC4039\2017-03-18 --exclude "*" --recursive --include "*20170318*" &amp; "%USERPROFILE%\Documents\GitHub\mrs-test-scripts\Headless Mode &amp; Sideloading\WalkAndUnGZ.bat" "%USERPROFILE%\AppData\Local\Temp\OnboardLogs"\RTDC4039\2017-03-18</v>
      </c>
      <c r="AF16" s="82" t="str">
        <f t="shared" si="13"/>
        <v>"C:\Program Files (x86)\AstroGrep\AstroGrep.exe" /e /r /s /spath="%USERPROFILE%\AppData\Local\Temp\OnboardLogs" /stypes="app*4039*20170317*" /stext=" 11:.+((SYSTEM_STATE.+slice.+state.+changed )|(ment ac)|(multiple cpu faults)|(system.+state.+changed )|(\[timeout)|(PRM\|1\|D)|(kpr)|(kdp)|(\|lc)|(penalty))"</v>
      </c>
      <c r="AG16" s="1" t="str">
        <f t="shared" si="14"/>
        <v>EC</v>
      </c>
      <c r="AH16" s="86" t="str">
        <f t="shared" si="18"/>
        <v>"%USERPROFILE%\Documents\GitHub\eaglep3\Utilities\RefineRTDCRunTimes.py" --tripid 104-17 --locoid 4039 --swversion DE.1.0.9.0 --startMP 204:232641 --initTime 2017-03-17T04:26:04 --startdatetime 2017-03-17T04:41:26 --delay 1 --endMP 204:152 --enddatetime 2017-03-17T05:21:28 --enforcementcount 0 &gt;&gt;C:\Users\stu\Documents\GitHub\eaglep3-reporting\EC\2017-03-17-refined-times.txt</v>
      </c>
      <c r="AI16" s="108" t="str">
        <f t="shared" si="19"/>
        <v>echo {"issue":{"subject":"","project_id":79,"tracker_id":40,"status_id":1,"priority_id":2,"assigned_to_id":23,"start_date":"2017-03-17","description":"","custom_fields":[{"id":1,"name":"Subdivision","value":"EC"},{"id":4,"name":"Milepost","value":"0.0152"},{"id":17,"name":"Train ID","value":"104-17"},{"id":16,"name":"Locomotive ID","value":"4039"},{"id":130,"name":"Impact","value":""},{"id":150,"name":"Time of Event (Mountain Time)","value":"05:21:28"},{"id":151,"name":"Denver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48"/>
      <c r="AK16" s="48"/>
      <c r="AL16" s="48"/>
      <c r="AM16" s="154" t="str">
        <f t="shared" si="20"/>
        <v>start /low /b %USERPROFILE%\Documents\GitHub\eaglep3\Utilities\DownloadLogsFromS3.py --loco 4039 --day 2017-03-17</v>
      </c>
      <c r="AN16" s="163" t="str">
        <f>"grep -SE -B400 ""CHR.+\|PRM\|1\|D.+(SWITCH|SIGNAL).+UNKNOWN"" "&amp;search_path&amp;"\RTDC"&amp;B16&amp;"\*"&amp;B16&amp;"*"&amp;TEXT(AVERAGE(F16,I16)-utc_offset/24,"YYYYMMDD")&amp;"*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"%USERPROFILE%\AppData\Local\Temp\OnboardLogs"\RTDC4039\*4039*20170317* | grep -SE "(Enforcement Action)|(\[TIMEOUT)|(CHR.+\|PRM\|1\|D.+(SWITCH|SIGNAL).+UNKNOWN)" - &gt;&gt; 2017-03-17-UncaughtWiMAX.txt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3" t="s">
        <v>610</v>
      </c>
      <c r="B17" s="7">
        <v>4020</v>
      </c>
      <c r="C17" s="21" t="s">
        <v>227</v>
      </c>
      <c r="D17" s="21" t="s">
        <v>235</v>
      </c>
      <c r="E17" s="13">
        <v>42811.174618055556</v>
      </c>
      <c r="F17" s="13">
        <v>42811.177268518521</v>
      </c>
      <c r="G17" s="7">
        <v>1</v>
      </c>
      <c r="H17" s="21" t="s">
        <v>418</v>
      </c>
      <c r="I17" s="13">
        <v>42811.203784722224</v>
      </c>
      <c r="J17" s="7">
        <v>0</v>
      </c>
      <c r="K17" s="98" t="str">
        <f t="shared" si="0"/>
        <v>4019/4020</v>
      </c>
      <c r="L17" s="21" t="str">
        <f>VLOOKUP(A17,'Trips&amp;Operators'!$C$1:$G$99999,5,FALSE)</f>
        <v>SPECTOR MICHAEL</v>
      </c>
      <c r="M17" s="6">
        <f t="shared" si="1"/>
        <v>2.6516203703067731E-2</v>
      </c>
      <c r="N17" s="7">
        <f t="shared" si="2"/>
        <v>38.183333332417533</v>
      </c>
      <c r="O17" s="7"/>
      <c r="P17" s="7"/>
      <c r="Q17" s="22"/>
      <c r="R17" s="22"/>
      <c r="S17" s="31">
        <f t="shared" si="3"/>
        <v>1</v>
      </c>
      <c r="T17" s="46" t="str">
        <f t="shared" si="4"/>
        <v>NorthBound</v>
      </c>
      <c r="U17" s="185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86" t="str">
        <f t="shared" si="5"/>
        <v>https://d0f6bd738d7f1b3e5a7ca70fe4ff75f0.us-east-1.aws.found.io/app/kibana#/discover/Steve-Slow-Train-Analysis-(2080s-and-2083s)?_g=(refreshInterval:(display:Off,pause:!f,section:0,value:0),time:(from:'2017-03-17T03:11:27-0600',mode:absolute,to:'2017-03-17T05:53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7" s="187" t="str">
        <f t="shared" si="6"/>
        <v>N</v>
      </c>
      <c r="X17" s="187">
        <f t="shared" si="7"/>
        <v>1</v>
      </c>
      <c r="Y17" s="62">
        <f t="shared" si="8"/>
        <v>4.4200000000000003E-2</v>
      </c>
      <c r="Z17" s="62">
        <f t="shared" si="9"/>
        <v>23.3306</v>
      </c>
      <c r="AA17" s="62">
        <f t="shared" si="10"/>
        <v>23.2864</v>
      </c>
      <c r="AB17" s="59" t="e">
        <f>VLOOKUP(A17,Enforcements!$C$7:$K$13,8,0)</f>
        <v>#N/A</v>
      </c>
      <c r="AC17" s="55" t="e">
        <f>VLOOKUP(A17,Enforcements!$C$7:$E$13,3,0)</f>
        <v>#N/A</v>
      </c>
      <c r="AD17" s="56" t="str">
        <f t="shared" si="11"/>
        <v>0105-17</v>
      </c>
      <c r="AE17" s="85" t="str">
        <f t="shared" si="12"/>
        <v>aws s3 cp s3://rtdc.mdm.uploadarchive.raw/RTDC4020/ "%USERPROFILE%\AppData\Local\Temp\OnboardLogs"\RTDC4020\2017-03-17 --exclude "*" --recursive --include "*20170317*" &amp; "%USERPROFILE%\Documents\GitHub\mrs-test-scripts\Headless Mode &amp; Sideloading\WalkAndUnGZ.bat" "%USERPROFILE%\AppData\Local\Temp\OnboardLogs"\RTDC4020\2017-03-17 &amp; aws s3 cp s3://rtdc.mdm.uploadarchive.raw/RTDC4020/ "%USERPROFILE%\AppData\Local\Temp\OnboardLogs"\RTDC4020\2017-03-18 --exclude "*" --recursive --include "*20170318*" &amp; "%USERPROFILE%\Documents\GitHub\mrs-test-scripts\Headless Mode &amp; Sideloading\WalkAndUnGZ.bat" "%USERPROFILE%\AppData\Local\Temp\OnboardLogs"\RTDC4020\2017-03-18</v>
      </c>
      <c r="AF17" s="82" t="str">
        <f t="shared" si="13"/>
        <v>"C:\Program Files (x86)\AstroGrep\AstroGrep.exe" /e /r /s /spath="%USERPROFILE%\AppData\Local\Temp\OnboardLogs" /stypes="app*4020*20170317*" /stext=" 10:.+((SYSTEM_STATE.+slice.+state.+changed )|(ment ac)|(multiple cpu faults)|(system.+state.+changed )|(\[timeout)|(PRM\|1\|D)|(kpr)|(kdp)|(\|lc)|(penalty))"</v>
      </c>
      <c r="AG17" s="1" t="str">
        <f t="shared" si="14"/>
        <v>EC</v>
      </c>
      <c r="AH17" s="86" t="str">
        <f t="shared" si="18"/>
        <v>"%USERPROFILE%\Documents\GitHub\eaglep3\Utilities\RefineRTDCRunTimes.py" --tripid 105-17 --locoid 4020 --swversion DE.1.0.9.0 --startMP 204:442 --initTime 2017-03-17T04:11:27 --startdatetime 2017-03-17T04:15:16 --delay 1 --endMP 204:233306 --enddatetime 2017-03-17T04:53:27 --enforcementcount 0 &gt;&gt;C:\Users\stu\Documents\GitHub\eaglep3-reporting\EC\2017-03-17-refined-times.txt</v>
      </c>
      <c r="AI17" s="108" t="str">
        <f t="shared" si="19"/>
        <v>echo {"issue":{"subject":"","project_id":79,"tracker_id":40,"status_id":1,"priority_id":2,"assigned_to_id":23,"start_date":"2017-03-17","description":"","custom_fields":[{"id":1,"name":"Subdivision","value":"EC"},{"id":4,"name":"Milepost","value":"23.3306"},{"id":17,"name":"Train ID","value":"105-17"},{"id":16,"name":"Locomotive ID","value":"4020"},{"id":130,"name":"Impact","value":""},{"id":150,"name":"Time of Event (Mountain Time)","value":"04:53:27"},{"id":151,"name":"Denver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48"/>
      <c r="AK17" s="48"/>
      <c r="AL17" s="48"/>
      <c r="AM17" s="154" t="str">
        <f t="shared" si="20"/>
        <v>start /low /b %USERPROFILE%\Documents\GitHub\eaglep3\Utilities\DownloadLogsFromS3.py --loco 4020 --day 2017-03-17</v>
      </c>
      <c r="AN17" s="163" t="str">
        <f>"grep -SE -B400 ""CHR.+\|PRM\|1\|D.+(SWITCH|SIGNAL).+UNKNOWN"" "&amp;search_path&amp;"\RTDC"&amp;B17&amp;"\*"&amp;B17&amp;"*"&amp;TEXT(AVERAGE(F17,I17)-utc_offset/24,"YYYYMMDD")&amp;"*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"%USERPROFILE%\AppData\Local\Temp\OnboardLogs"\RTDC4020\*4020*20170317* | grep -SE "(Enforcement Action)|(\[TIMEOUT)|(CHR.+\|PRM\|1\|D.+(SWITCH|SIGNAL).+UNKNOWN)" - &gt;&gt; 2017-03-17-UncaughtWiMAX.txt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3" t="s">
        <v>665</v>
      </c>
      <c r="B18" s="7">
        <v>4019</v>
      </c>
      <c r="C18" s="21" t="s">
        <v>227</v>
      </c>
      <c r="D18" s="21" t="s">
        <v>518</v>
      </c>
      <c r="E18" s="13">
        <v>42811.210833333331</v>
      </c>
      <c r="F18" s="13">
        <v>42811.216145833336</v>
      </c>
      <c r="G18" s="7">
        <v>1</v>
      </c>
      <c r="H18" s="21" t="s">
        <v>191</v>
      </c>
      <c r="I18" s="13">
        <v>42811.244629629633</v>
      </c>
      <c r="J18" s="7">
        <v>0</v>
      </c>
      <c r="K18" s="98" t="str">
        <f t="shared" si="0"/>
        <v>4019/4020</v>
      </c>
      <c r="L18" s="21" t="str">
        <f>VLOOKUP(A18,'Trips&amp;Operators'!$C$1:$G$99999,5,FALSE)</f>
        <v>SPECTOR MICHAEL</v>
      </c>
      <c r="M18" s="6">
        <f t="shared" si="1"/>
        <v>2.8483796297223307E-2</v>
      </c>
      <c r="N18" s="7">
        <f t="shared" si="2"/>
        <v>41.016666668001562</v>
      </c>
      <c r="O18" s="7"/>
      <c r="P18" s="7"/>
      <c r="Q18" s="22"/>
      <c r="R18" s="22"/>
      <c r="S18" s="31">
        <f t="shared" si="3"/>
        <v>1</v>
      </c>
      <c r="T18" s="46" t="str">
        <f t="shared" si="4"/>
        <v>Southbound</v>
      </c>
      <c r="U18" s="185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86" t="str">
        <f t="shared" si="5"/>
        <v>https://d0f6bd738d7f1b3e5a7ca70fe4ff75f0.us-east-1.aws.found.io/app/kibana#/discover/Steve-Slow-Train-Analysis-(2080s-and-2083s)?_g=(refreshInterval:(display:Off,pause:!f,section:0,value:0),time:(from:'2017-03-17T04:03:36-0600',mode:absolute,to:'2017-03-17T06:52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8" s="187" t="str">
        <f t="shared" si="6"/>
        <v>N</v>
      </c>
      <c r="X18" s="187">
        <f t="shared" si="7"/>
        <v>1</v>
      </c>
      <c r="Y18" s="62">
        <f t="shared" si="8"/>
        <v>23.299099999999999</v>
      </c>
      <c r="Z18" s="62">
        <f t="shared" si="9"/>
        <v>1.4999999999999999E-2</v>
      </c>
      <c r="AA18" s="62">
        <f t="shared" si="10"/>
        <v>23.284099999999999</v>
      </c>
      <c r="AB18" s="59" t="e">
        <f>VLOOKUP(A18,Enforcements!$C$7:$K$13,8,0)</f>
        <v>#N/A</v>
      </c>
      <c r="AC18" s="55" t="e">
        <f>VLOOKUP(A18,Enforcements!$C$7:$E$13,3,0)</f>
        <v>#N/A</v>
      </c>
      <c r="AD18" s="56" t="str">
        <f t="shared" si="11"/>
        <v>0106-17</v>
      </c>
      <c r="AE18" s="85" t="str">
        <f t="shared" si="12"/>
        <v>aws s3 cp s3://rtdc.mdm.uploadarchive.raw/RTDC4019/ "%USERPROFILE%\AppData\Local\Temp\OnboardLogs"\RTDC4019\2017-03-17 --exclude "*" --recursive --include "*20170317*" &amp; "%USERPROFILE%\Documents\GitHub\mrs-test-scripts\Headless Mode &amp; Sideloading\WalkAndUnGZ.bat" "%USERPROFILE%\AppData\Local\Temp\OnboardLogs"\RTDC4019\2017-03-17 &amp; aws s3 cp s3://rtdc.mdm.uploadarchive.raw/RTDC4019/ "%USERPROFILE%\AppData\Local\Temp\OnboardLogs"\RTDC4019\2017-03-18 --exclude "*" --recursive --include "*20170318*" &amp; "%USERPROFILE%\Documents\GitHub\mrs-test-scripts\Headless Mode &amp; Sideloading\WalkAndUnGZ.bat" "%USERPROFILE%\AppData\Local\Temp\OnboardLogs"\RTDC4019\2017-03-18</v>
      </c>
      <c r="AF18" s="82" t="str">
        <f t="shared" si="13"/>
        <v>"C:\Program Files (x86)\AstroGrep\AstroGrep.exe" /e /r /s /spath="%USERPROFILE%\AppData\Local\Temp\OnboardLogs" /stypes="app*4019*20170317*" /stext=" 11:.+((SYSTEM_STATE.+slice.+state.+changed )|(ment ac)|(multiple cpu faults)|(system.+state.+changed )|(\[timeout)|(PRM\|1\|D)|(kpr)|(kdp)|(\|lc)|(penalty))"</v>
      </c>
      <c r="AG18" s="1" t="str">
        <f t="shared" si="14"/>
        <v>EC</v>
      </c>
      <c r="AH18" s="86" t="str">
        <f t="shared" si="18"/>
        <v>"%USERPROFILE%\Documents\GitHub\eaglep3\Utilities\RefineRTDCRunTimes.py" --tripid 106-17 --locoid 4019 --swversion DE.1.0.9.0 --startMP 204:232991 --initTime 2017-03-17T05:03:36 --startdatetime 2017-03-17T05:11:15 --delay 1 --endMP 204:150 --enddatetime 2017-03-17T05:52:16 --enforcementcount 0 &gt;&gt;C:\Users\stu\Documents\GitHub\eaglep3-reporting\EC\2017-03-17-refined-times.txt</v>
      </c>
      <c r="AI18" s="108" t="str">
        <f t="shared" si="19"/>
        <v>echo {"issue":{"subject":"","project_id":79,"tracker_id":40,"status_id":1,"priority_id":2,"assigned_to_id":23,"start_date":"2017-03-17","description":"","custom_fields":[{"id":1,"name":"Subdivision","value":"EC"},{"id":4,"name":"Milepost","value":"0.015"},{"id":17,"name":"Train ID","value":"106-17"},{"id":16,"name":"Locomotive ID","value":"4019"},{"id":130,"name":"Impact","value":""},{"id":150,"name":"Time of Event (Mountain Time)","value":"05:52:16"},{"id":151,"name":"Denver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48"/>
      <c r="AK18" s="48"/>
      <c r="AL18" s="48"/>
      <c r="AM18" s="154" t="str">
        <f t="shared" si="20"/>
        <v>start /low /b %USERPROFILE%\Documents\GitHub\eaglep3\Utilities\DownloadLogsFromS3.py --loco 4019 --day 2017-03-17</v>
      </c>
      <c r="AN18" s="163" t="str">
        <f>"grep -SE -B400 ""CHR.+\|PRM\|1\|D.+(SWITCH|SIGNAL).+UNKNOWN"" "&amp;search_path&amp;"\RTDC"&amp;B18&amp;"\*"&amp;B18&amp;"*"&amp;TEXT(AVERAGE(F18,I18)-utc_offset/24,"YYYYMMDD")&amp;"*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"%USERPROFILE%\AppData\Local\Temp\OnboardLogs"\RTDC4019\*4019*20170317* | grep -SE "(Enforcement Action)|(\[TIMEOUT)|(CHR.+\|PRM\|1\|D.+(SWITCH|SIGNAL).+UNKNOWN)" - &gt;&gt; 2017-03-17-UncaughtWiMAX.txt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3" t="s">
        <v>656</v>
      </c>
      <c r="B19" s="7">
        <v>4002</v>
      </c>
      <c r="C19" s="21" t="s">
        <v>227</v>
      </c>
      <c r="D19" s="21" t="s">
        <v>240</v>
      </c>
      <c r="E19" s="13">
        <v>42811.188321759262</v>
      </c>
      <c r="F19" s="13">
        <v>42811.189375000002</v>
      </c>
      <c r="G19" s="7">
        <v>0</v>
      </c>
      <c r="H19" s="21" t="s">
        <v>854</v>
      </c>
      <c r="I19" s="13">
        <v>42811.213923611111</v>
      </c>
      <c r="J19" s="7">
        <v>0</v>
      </c>
      <c r="K19" s="98" t="str">
        <f t="shared" si="0"/>
        <v>4001/4002</v>
      </c>
      <c r="L19" s="21" t="str">
        <f>VLOOKUP(A19,'Trips&amp;Operators'!$C$1:$G$99999,5,FALSE)</f>
        <v>STARKS ANGELINA</v>
      </c>
      <c r="M19" s="6">
        <f t="shared" si="1"/>
        <v>2.4548611108912155E-2</v>
      </c>
      <c r="N19" s="7">
        <f t="shared" si="2"/>
        <v>35.349999996833503</v>
      </c>
      <c r="O19" s="7"/>
      <c r="P19" s="7"/>
      <c r="Q19" s="22"/>
      <c r="R19" s="22"/>
      <c r="S19" s="31">
        <f t="shared" si="3"/>
        <v>1</v>
      </c>
      <c r="T19" s="46" t="str">
        <f t="shared" si="4"/>
        <v>NorthBound</v>
      </c>
      <c r="U19" s="185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86" t="str">
        <f t="shared" si="5"/>
        <v>https://d0f6bd738d7f1b3e5a7ca70fe4ff75f0.us-east-1.aws.found.io/app/kibana#/discover/Steve-Slow-Train-Analysis-(2080s-and-2083s)?_g=(refreshInterval:(display:Off,pause:!f,section:0,value:0),time:(from:'2017-03-17T03:31:11-0600',mode:absolute,to:'2017-03-17T06:08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9" s="187" t="str">
        <f t="shared" si="6"/>
        <v>N</v>
      </c>
      <c r="X19" s="187">
        <f t="shared" si="7"/>
        <v>1</v>
      </c>
      <c r="Y19" s="62">
        <f t="shared" si="8"/>
        <v>4.6899999999999997E-2</v>
      </c>
      <c r="Z19" s="62">
        <f t="shared" si="9"/>
        <v>23.3337</v>
      </c>
      <c r="AA19" s="62">
        <f t="shared" si="10"/>
        <v>23.286799999999999</v>
      </c>
      <c r="AB19" s="59" t="e">
        <f>VLOOKUP(A19,Enforcements!$C$7:$K$13,8,0)</f>
        <v>#N/A</v>
      </c>
      <c r="AC19" s="55" t="e">
        <f>VLOOKUP(A19,Enforcements!$C$7:$E$13,3,0)</f>
        <v>#N/A</v>
      </c>
      <c r="AD19" s="56" t="str">
        <f t="shared" si="11"/>
        <v>0107-17</v>
      </c>
      <c r="AE19" s="85" t="str">
        <f t="shared" si="12"/>
        <v>aws s3 cp s3://rtdc.mdm.uploadarchive.raw/RTDC4002/ "%USERPROFILE%\AppData\Local\Temp\OnboardLogs"\RTDC4002\2017-03-17 --exclude "*" --recursive --include "*20170317*" &amp; "%USERPROFILE%\Documents\GitHub\mrs-test-scripts\Headless Mode &amp; Sideloading\WalkAndUnGZ.bat" "%USERPROFILE%\AppData\Local\Temp\OnboardLogs"\RTDC4002\2017-03-17 &amp; aws s3 cp s3://rtdc.mdm.uploadarchive.raw/RTDC4002/ "%USERPROFILE%\AppData\Local\Temp\OnboardLogs"\RTDC4002\2017-03-18 --exclude "*" --recursive --include "*20170318*" &amp; "%USERPROFILE%\Documents\GitHub\mrs-test-scripts\Headless Mode &amp; Sideloading\WalkAndUnGZ.bat" "%USERPROFILE%\AppData\Local\Temp\OnboardLogs"\RTDC4002\2017-03-18</v>
      </c>
      <c r="AF19" s="82" t="str">
        <f t="shared" si="13"/>
        <v>"C:\Program Files (x86)\AstroGrep\AstroGrep.exe" /e /r /s /spath="%USERPROFILE%\AppData\Local\Temp\OnboardLogs" /stypes="app*4002*20170317*" /stext=" 11:.+((SYSTEM_STATE.+slice.+state.+changed )|(ment ac)|(multiple cpu faults)|(system.+state.+changed )|(\[timeout)|(PRM\|1\|D)|(kpr)|(kdp)|(\|lc)|(penalty))"</v>
      </c>
      <c r="AG19" s="1" t="str">
        <f t="shared" si="14"/>
        <v>EC</v>
      </c>
      <c r="AH19" s="86" t="str">
        <f t="shared" si="18"/>
        <v>"%USERPROFILE%\Documents\GitHub\eaglep3\Utilities\RefineRTDCRunTimes.py" --tripid 107-17 --locoid 4002 --swversion DE.1.0.9.0 --startMP 204:469 --initTime 2017-03-17T04:31:11 --startdatetime 2017-03-17T04:32:42 --delay 0 --endMP 204:233337 --enddatetime 2017-03-17T05:08:03 --enforcementcount 0 &gt;&gt;C:\Users\stu\Documents\GitHub\eaglep3-reporting\EC\2017-03-17-refined-times.txt</v>
      </c>
      <c r="AI19" s="108" t="str">
        <f t="shared" si="19"/>
        <v>echo {"issue":{"subject":"","project_id":79,"tracker_id":40,"status_id":1,"priority_id":2,"assigned_to_id":23,"start_date":"2017-03-17","description":"","custom_fields":[{"id":1,"name":"Subdivision","value":"EC"},{"id":4,"name":"Milepost","value":"23.3337"},{"id":17,"name":"Train ID","value":"107-17"},{"id":16,"name":"Locomotive ID","value":"4002"},{"id":130,"name":"Impact","value":""},{"id":150,"name":"Time of Event (Mountain Time)","value":"05:08:03"},{"id":151,"name":"Denver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48"/>
      <c r="AK19" s="48"/>
      <c r="AL19" s="48"/>
      <c r="AM19" s="154" t="str">
        <f t="shared" si="20"/>
        <v>start /low /b %USERPROFILE%\Documents\GitHub\eaglep3\Utilities\DownloadLogsFromS3.py --loco 4002 --day 2017-03-17</v>
      </c>
      <c r="AN19" s="163" t="str">
        <f>"grep -SE -B400 ""CHR.+\|PRM\|1\|D.+(SWITCH|SIGNAL).+UNKNOWN"" "&amp;search_path&amp;"\RTDC"&amp;B19&amp;"\*"&amp;B19&amp;"*"&amp;TEXT(AVERAGE(F19,I19)-utc_offset/24,"YYYYMMDD")&amp;"*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"%USERPROFILE%\AppData\Local\Temp\OnboardLogs"\RTDC4002\*4002*20170317* | grep -SE "(Enforcement Action)|(\[TIMEOUT)|(CHR.+\|PRM\|1\|D.+(SWITCH|SIGNAL).+UNKNOWN)" - &gt;&gt; 2017-03-17-UncaughtWiMAX.txt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3" t="s">
        <v>613</v>
      </c>
      <c r="B20" s="7">
        <v>4001</v>
      </c>
      <c r="C20" s="21" t="s">
        <v>227</v>
      </c>
      <c r="D20" s="21" t="s">
        <v>855</v>
      </c>
      <c r="E20" s="13">
        <v>42811.224710648145</v>
      </c>
      <c r="F20" s="13">
        <v>42811.226724537039</v>
      </c>
      <c r="G20" s="7">
        <v>1</v>
      </c>
      <c r="H20" s="21" t="s">
        <v>512</v>
      </c>
      <c r="I20" s="13">
        <v>42811.254513888889</v>
      </c>
      <c r="J20" s="7">
        <v>0</v>
      </c>
      <c r="K20" s="98" t="str">
        <f t="shared" si="0"/>
        <v>4001/4002</v>
      </c>
      <c r="L20" s="21" t="str">
        <f>VLOOKUP(A20,'Trips&amp;Operators'!$C$1:$G$99999,5,FALSE)</f>
        <v>STARKS ANGELINA</v>
      </c>
      <c r="M20" s="6">
        <f t="shared" si="1"/>
        <v>2.7789351850515231E-2</v>
      </c>
      <c r="N20" s="7">
        <f t="shared" si="2"/>
        <v>40.016666664741933</v>
      </c>
      <c r="O20" s="7"/>
      <c r="P20" s="7"/>
      <c r="Q20" s="22"/>
      <c r="R20" s="22"/>
      <c r="S20" s="31">
        <f t="shared" si="3"/>
        <v>1</v>
      </c>
      <c r="T20" s="46" t="str">
        <f t="shared" si="4"/>
        <v>Southbound</v>
      </c>
      <c r="U20" s="185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86" t="str">
        <f t="shared" si="5"/>
        <v>https://d0f6bd738d7f1b3e5a7ca70fe4ff75f0.us-east-1.aws.found.io/app/kibana#/discover/Steve-Slow-Train-Analysis-(2080s-and-2083s)?_g=(refreshInterval:(display:Off,pause:!f,section:0,value:0),time:(from:'2017-03-17T04:23:35-0600',mode:absolute,to:'2017-03-17T07:06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0" s="187" t="str">
        <f t="shared" si="6"/>
        <v>N</v>
      </c>
      <c r="X20" s="187">
        <f t="shared" si="7"/>
        <v>1</v>
      </c>
      <c r="Y20" s="62">
        <f t="shared" si="8"/>
        <v>23.301500000000001</v>
      </c>
      <c r="Z20" s="62">
        <f t="shared" si="9"/>
        <v>1.43E-2</v>
      </c>
      <c r="AA20" s="62">
        <f t="shared" si="10"/>
        <v>23.287200000000002</v>
      </c>
      <c r="AB20" s="59" t="e">
        <f>VLOOKUP(A20,Enforcements!$C$7:$K$13,8,0)</f>
        <v>#N/A</v>
      </c>
      <c r="AC20" s="55" t="e">
        <f>VLOOKUP(A20,Enforcements!$C$7:$E$13,3,0)</f>
        <v>#N/A</v>
      </c>
      <c r="AD20" s="56" t="str">
        <f t="shared" si="11"/>
        <v>0108-17</v>
      </c>
      <c r="AE20" s="85" t="str">
        <f t="shared" si="12"/>
        <v>aws s3 cp s3://rtdc.mdm.uploadarchive.raw/RTDC4001/ "%USERPROFILE%\AppData\Local\Temp\OnboardLogs"\RTDC4001\2017-03-17 --exclude "*" --recursive --include "*20170317*" &amp; "%USERPROFILE%\Documents\GitHub\mrs-test-scripts\Headless Mode &amp; Sideloading\WalkAndUnGZ.bat" "%USERPROFILE%\AppData\Local\Temp\OnboardLogs"\RTDC4001\2017-03-17 &amp; aws s3 cp s3://rtdc.mdm.uploadarchive.raw/RTDC4001/ "%USERPROFILE%\AppData\Local\Temp\OnboardLogs"\RTDC4001\2017-03-18 --exclude "*" --recursive --include "*20170318*" &amp; "%USERPROFILE%\Documents\GitHub\mrs-test-scripts\Headless Mode &amp; Sideloading\WalkAndUnGZ.bat" "%USERPROFILE%\AppData\Local\Temp\OnboardLogs"\RTDC4001\2017-03-18</v>
      </c>
      <c r="AF20" s="82" t="str">
        <f t="shared" si="13"/>
        <v>"C:\Program Files (x86)\AstroGrep\AstroGrep.exe" /e /r /s /spath="%USERPROFILE%\AppData\Local\Temp\OnboardLogs" /stypes="app*4001*20170317*" /stext=" 12:.+((SYSTEM_STATE.+slice.+state.+changed )|(ment ac)|(multiple cpu faults)|(system.+state.+changed )|(\[timeout)|(PRM\|1\|D)|(kpr)|(kdp)|(\|lc)|(penalty))"</v>
      </c>
      <c r="AG20" s="1" t="str">
        <f t="shared" si="14"/>
        <v>EC</v>
      </c>
      <c r="AH20" s="86" t="str">
        <f t="shared" si="18"/>
        <v>"%USERPROFILE%\Documents\GitHub\eaglep3\Utilities\RefineRTDCRunTimes.py" --tripid 108-17 --locoid 4001 --swversion DE.1.0.9.0 --startMP 204:233015 --initTime 2017-03-17T05:23:35 --startdatetime 2017-03-17T05:26:29 --delay 1 --endMP 204:143 --enddatetime 2017-03-17T06:06:30 --enforcementcount 0 &gt;&gt;C:\Users\stu\Documents\GitHub\eaglep3-reporting\EC\2017-03-17-refined-times.txt</v>
      </c>
      <c r="AI20" s="108" t="str">
        <f t="shared" si="19"/>
        <v>echo {"issue":{"subject":"","project_id":79,"tracker_id":40,"status_id":1,"priority_id":2,"assigned_to_id":23,"start_date":"2017-03-17","description":"","custom_fields":[{"id":1,"name":"Subdivision","value":"EC"},{"id":4,"name":"Milepost","value":"0.0143"},{"id":17,"name":"Train ID","value":"108-17"},{"id":16,"name":"Locomotive ID","value":"4001"},{"id":130,"name":"Impact","value":""},{"id":150,"name":"Time of Event (Mountain Time)","value":"06:06:30"},{"id":151,"name":"Denver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48"/>
      <c r="AK20" s="48"/>
      <c r="AL20" s="48"/>
      <c r="AM20" s="154" t="str">
        <f t="shared" si="20"/>
        <v>start /low /b %USERPROFILE%\Documents\GitHub\eaglep3\Utilities\DownloadLogsFromS3.py --loco 4001 --day 2017-03-17</v>
      </c>
      <c r="AN20" s="163" t="str">
        <f>"grep -SE -B400 ""CHR.+\|PRM\|1\|D.+(SWITCH|SIGNAL).+UNKNOWN"" "&amp;search_path&amp;"\RTDC"&amp;B20&amp;"\*"&amp;B20&amp;"*"&amp;TEXT(AVERAGE(F20,I20)-utc_offset/24,"YYYYMMDD")&amp;"*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"%USERPROFILE%\AppData\Local\Temp\OnboardLogs"\RTDC4001\*4001*20170317* | grep -SE "(Enforcement Action)|(\[TIMEOUT)|(CHR.+\|PRM\|1\|D.+(SWITCH|SIGNAL).+UNKNOWN)" - &gt;&gt; 2017-03-17-UncaughtWiMAX.txt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3" t="s">
        <v>658</v>
      </c>
      <c r="B21" s="7">
        <v>4018</v>
      </c>
      <c r="C21" s="21" t="s">
        <v>227</v>
      </c>
      <c r="D21" s="21" t="s">
        <v>417</v>
      </c>
      <c r="E21" s="13">
        <v>42811.197210648148</v>
      </c>
      <c r="F21" s="13">
        <v>42811.198888888888</v>
      </c>
      <c r="G21" s="7">
        <v>1</v>
      </c>
      <c r="H21" s="21" t="s">
        <v>856</v>
      </c>
      <c r="I21" s="13">
        <v>42811.224282407406</v>
      </c>
      <c r="J21" s="7">
        <v>0</v>
      </c>
      <c r="K21" s="98" t="str">
        <f t="shared" si="0"/>
        <v>4017/4018</v>
      </c>
      <c r="L21" s="21" t="str">
        <f>VLOOKUP(A21,'Trips&amp;Operators'!$C$1:$G$99999,5,FALSE)</f>
        <v>LOZA FIDEL</v>
      </c>
      <c r="M21" s="6">
        <f t="shared" si="1"/>
        <v>2.5393518517375924E-2</v>
      </c>
      <c r="N21" s="7">
        <f t="shared" si="2"/>
        <v>36.56666666502133</v>
      </c>
      <c r="O21" s="7"/>
      <c r="P21" s="7"/>
      <c r="Q21" s="22"/>
      <c r="R21" s="22"/>
      <c r="S21" s="31">
        <f t="shared" si="3"/>
        <v>1</v>
      </c>
      <c r="T21" s="46" t="str">
        <f t="shared" si="4"/>
        <v>NorthBound</v>
      </c>
      <c r="U21" s="185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86" t="str">
        <f t="shared" si="5"/>
        <v>https://d0f6bd738d7f1b3e5a7ca70fe4ff75f0.us-east-1.aws.found.io/app/kibana#/discover/Steve-Slow-Train-Analysis-(2080s-and-2083s)?_g=(refreshInterval:(display:Off,pause:!f,section:0,value:0),time:(from:'2017-03-17T03:43:59-0600',mode:absolute,to:'2017-03-17T06:22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1" s="187" t="str">
        <f t="shared" si="6"/>
        <v>N</v>
      </c>
      <c r="X21" s="187">
        <f t="shared" si="7"/>
        <v>1</v>
      </c>
      <c r="Y21" s="62">
        <f t="shared" si="8"/>
        <v>4.6399999999999997E-2</v>
      </c>
      <c r="Z21" s="62">
        <f t="shared" si="9"/>
        <v>23.3353</v>
      </c>
      <c r="AA21" s="62">
        <f t="shared" si="10"/>
        <v>23.288900000000002</v>
      </c>
      <c r="AB21" s="59" t="e">
        <f>VLOOKUP(A21,Enforcements!$C$7:$K$13,8,0)</f>
        <v>#N/A</v>
      </c>
      <c r="AC21" s="55" t="e">
        <f>VLOOKUP(A21,Enforcements!$C$7:$E$13,3,0)</f>
        <v>#N/A</v>
      </c>
      <c r="AD21" s="56" t="str">
        <f t="shared" si="11"/>
        <v>0109-17</v>
      </c>
      <c r="AE21" s="85" t="str">
        <f t="shared" si="12"/>
        <v>aws s3 cp s3://rtdc.mdm.uploadarchive.raw/RTDC4018/ "%USERPROFILE%\AppData\Local\Temp\OnboardLogs"\RTDC4018\2017-03-17 --exclude "*" --recursive --include "*20170317*" &amp; "%USERPROFILE%\Documents\GitHub\mrs-test-scripts\Headless Mode &amp; Sideloading\WalkAndUnGZ.bat" "%USERPROFILE%\AppData\Local\Temp\OnboardLogs"\RTDC4018\2017-03-17 &amp; aws s3 cp s3://rtdc.mdm.uploadarchive.raw/RTDC4018/ "%USERPROFILE%\AppData\Local\Temp\OnboardLogs"\RTDC4018\2017-03-18 --exclude "*" --recursive --include "*20170318*" &amp; "%USERPROFILE%\Documents\GitHub\mrs-test-scripts\Headless Mode &amp; Sideloading\WalkAndUnGZ.bat" "%USERPROFILE%\AppData\Local\Temp\OnboardLogs"\RTDC4018\2017-03-18</v>
      </c>
      <c r="AF21" s="82" t="str">
        <f t="shared" si="13"/>
        <v>"C:\Program Files (x86)\AstroGrep\AstroGrep.exe" /e /r /s /spath="%USERPROFILE%\AppData\Local\Temp\OnboardLogs" /stypes="app*4018*20170317*" /stext=" 11:.+((SYSTEM_STATE.+slice.+state.+changed )|(ment ac)|(multiple cpu faults)|(system.+state.+changed )|(\[timeout)|(PRM\|1\|D)|(kpr)|(kdp)|(\|lc)|(penalty))"</v>
      </c>
      <c r="AG21" s="1" t="str">
        <f t="shared" si="14"/>
        <v>EC</v>
      </c>
      <c r="AH21" s="86" t="str">
        <f t="shared" si="18"/>
        <v>"%USERPROFILE%\Documents\GitHub\eaglep3\Utilities\RefineRTDCRunTimes.py" --tripid 109-17 --locoid 4018 --swversion DE.1.0.9.0 --startMP 204:464 --initTime 2017-03-17T04:43:59 --startdatetime 2017-03-17T04:46:24 --delay 1 --endMP 204:233353 --enddatetime 2017-03-17T05:22:58 --enforcementcount 0 &gt;&gt;C:\Users\stu\Documents\GitHub\eaglep3-reporting\EC\2017-03-17-refined-times.txt</v>
      </c>
      <c r="AI21" s="108" t="str">
        <f t="shared" si="19"/>
        <v>echo {"issue":{"subject":"","project_id":79,"tracker_id":40,"status_id":1,"priority_id":2,"assigned_to_id":23,"start_date":"2017-03-17","description":"","custom_fields":[{"id":1,"name":"Subdivision","value":"EC"},{"id":4,"name":"Milepost","value":"23.3353"},{"id":17,"name":"Train ID","value":"109-17"},{"id":16,"name":"Locomotive ID","value":"4018"},{"id":130,"name":"Impact","value":""},{"id":150,"name":"Time of Event (Mountain Time)","value":"05:22:58"},{"id":151,"name":"Denver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48"/>
      <c r="AK21" s="48"/>
      <c r="AL21" s="48"/>
      <c r="AM21" s="154" t="str">
        <f t="shared" si="20"/>
        <v>start /low /b %USERPROFILE%\Documents\GitHub\eaglep3\Utilities\DownloadLogsFromS3.py --loco 4018 --day 2017-03-17</v>
      </c>
      <c r="AN21" s="163" t="str">
        <f>"grep -SE -B400 ""CHR.+\|PRM\|1\|D.+(SWITCH|SIGNAL).+UNKNOWN"" "&amp;search_path&amp;"\RTDC"&amp;B21&amp;"\*"&amp;B21&amp;"*"&amp;TEXT(AVERAGE(F21,I21)-utc_offset/24,"YYYYMMDD")&amp;"*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"%USERPROFILE%\AppData\Local\Temp\OnboardLogs"\RTDC4018\*4018*20170317* | grep -SE "(Enforcement Action)|(\[TIMEOUT)|(CHR.+\|PRM\|1\|D.+(SWITCH|SIGNAL).+UNKNOWN)" - &gt;&gt; 2017-03-17-UncaughtWiMAX.txt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3" t="s">
        <v>668</v>
      </c>
      <c r="B22" s="7">
        <v>4017</v>
      </c>
      <c r="C22" s="21" t="s">
        <v>227</v>
      </c>
      <c r="D22" s="21" t="s">
        <v>857</v>
      </c>
      <c r="E22" s="13">
        <v>42811.231689814813</v>
      </c>
      <c r="F22" s="13">
        <v>42811.237291666665</v>
      </c>
      <c r="G22" s="7">
        <v>2</v>
      </c>
      <c r="H22" s="21" t="s">
        <v>200</v>
      </c>
      <c r="I22" s="13">
        <v>42811.265127314815</v>
      </c>
      <c r="J22" s="7">
        <v>0</v>
      </c>
      <c r="K22" s="98" t="str">
        <f t="shared" si="0"/>
        <v>4017/4018</v>
      </c>
      <c r="L22" s="21" t="str">
        <f>VLOOKUP(A22,'Trips&amp;Operators'!$C$1:$G$99999,5,FALSE)</f>
        <v>LOZA FIDEL</v>
      </c>
      <c r="M22" s="6">
        <f t="shared" si="1"/>
        <v>2.7835648150357883E-2</v>
      </c>
      <c r="N22" s="7">
        <f t="shared" si="2"/>
        <v>40.083333336515352</v>
      </c>
      <c r="O22" s="7"/>
      <c r="P22" s="7"/>
      <c r="Q22" s="22"/>
      <c r="R22" s="22"/>
      <c r="S22" s="31">
        <f t="shared" si="3"/>
        <v>1</v>
      </c>
      <c r="T22" s="46" t="str">
        <f t="shared" si="4"/>
        <v>Southbound</v>
      </c>
      <c r="U22" s="185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86" t="str">
        <f t="shared" si="5"/>
        <v>https://d0f6bd738d7f1b3e5a7ca70fe4ff75f0.us-east-1.aws.found.io/app/kibana#/discover/Steve-Slow-Train-Analysis-(2080s-and-2083s)?_g=(refreshInterval:(display:Off,pause:!f,section:0,value:0),time:(from:'2017-03-17T04:33:38-0600',mode:absolute,to:'2017-03-17T07:21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2" s="187" t="str">
        <f t="shared" si="6"/>
        <v>N</v>
      </c>
      <c r="X22" s="187">
        <f t="shared" si="7"/>
        <v>1</v>
      </c>
      <c r="Y22" s="62">
        <f t="shared" si="8"/>
        <v>23.3079</v>
      </c>
      <c r="Z22" s="62">
        <f t="shared" si="9"/>
        <v>1.52E-2</v>
      </c>
      <c r="AA22" s="62">
        <f t="shared" si="10"/>
        <v>23.2927</v>
      </c>
      <c r="AB22" s="59" t="e">
        <f>VLOOKUP(A22,Enforcements!$C$7:$K$13,8,0)</f>
        <v>#N/A</v>
      </c>
      <c r="AC22" s="55" t="e">
        <f>VLOOKUP(A22,Enforcements!$C$7:$E$13,3,0)</f>
        <v>#N/A</v>
      </c>
      <c r="AD22" s="56" t="str">
        <f t="shared" si="11"/>
        <v>0110-17</v>
      </c>
      <c r="AE22" s="85" t="str">
        <f t="shared" si="12"/>
        <v>aws s3 cp s3://rtdc.mdm.uploadarchive.raw/RTDC4017/ "%USERPROFILE%\AppData\Local\Temp\OnboardLogs"\RTDC4017\2017-03-17 --exclude "*" --recursive --include "*20170317*" &amp; "%USERPROFILE%\Documents\GitHub\mrs-test-scripts\Headless Mode &amp; Sideloading\WalkAndUnGZ.bat" "%USERPROFILE%\AppData\Local\Temp\OnboardLogs"\RTDC4017\2017-03-17 &amp; aws s3 cp s3://rtdc.mdm.uploadarchive.raw/RTDC4017/ "%USERPROFILE%\AppData\Local\Temp\OnboardLogs"\RTDC4017\2017-03-18 --exclude "*" --recursive --include "*20170318*" &amp; "%USERPROFILE%\Documents\GitHub\mrs-test-scripts\Headless Mode &amp; Sideloading\WalkAndUnGZ.bat" "%USERPROFILE%\AppData\Local\Temp\OnboardLogs"\RTDC4017\2017-03-18</v>
      </c>
      <c r="AF22" s="82" t="str">
        <f t="shared" si="13"/>
        <v>"C:\Program Files (x86)\AstroGrep\AstroGrep.exe" /e /r /s /spath="%USERPROFILE%\AppData\Local\Temp\OnboardLogs" /stypes="app*4017*20170317*" /stext=" 12:.+((SYSTEM_STATE.+slice.+state.+changed )|(ment ac)|(multiple cpu faults)|(system.+state.+changed )|(\[timeout)|(PRM\|1\|D)|(kpr)|(kdp)|(\|lc)|(penalty))"</v>
      </c>
      <c r="AG22" s="1" t="str">
        <f t="shared" si="14"/>
        <v>EC</v>
      </c>
      <c r="AH22" s="86" t="str">
        <f t="shared" si="18"/>
        <v>"%USERPROFILE%\Documents\GitHub\eaglep3\Utilities\RefineRTDCRunTimes.py" --tripid 110-17 --locoid 4017 --swversion DE.1.0.9.0 --startMP 204:233079 --initTime 2017-03-17T05:33:38 --startdatetime 2017-03-17T05:41:42 --delay 2 --endMP 204:152 --enddatetime 2017-03-17T06:21:47 --enforcementcount 0 &gt;&gt;C:\Users\stu\Documents\GitHub\eaglep3-reporting\EC\2017-03-17-refined-times.txt</v>
      </c>
      <c r="AI22" s="108" t="str">
        <f t="shared" si="19"/>
        <v>echo {"issue":{"subject":"","project_id":79,"tracker_id":40,"status_id":1,"priority_id":2,"assigned_to_id":23,"start_date":"2017-03-17","description":"","custom_fields":[{"id":1,"name":"Subdivision","value":"EC"},{"id":4,"name":"Milepost","value":"0.0152"},{"id":17,"name":"Train ID","value":"110-17"},{"id":16,"name":"Locomotive ID","value":"4017"},{"id":130,"name":"Impact","value":""},{"id":150,"name":"Time of Event (Mountain Time)","value":"06:21:47"},{"id":151,"name":"Denver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48"/>
      <c r="AK22" s="48"/>
      <c r="AL22" s="48"/>
      <c r="AM22" s="154" t="str">
        <f t="shared" si="20"/>
        <v>start /low /b %USERPROFILE%\Documents\GitHub\eaglep3\Utilities\DownloadLogsFromS3.py --loco 4017 --day 2017-03-17</v>
      </c>
      <c r="AN22" s="163" t="str">
        <f>"grep -SE -B400 ""CHR.+\|PRM\|1\|D.+(SWITCH|SIGNAL).+UNKNOWN"" "&amp;search_path&amp;"\RTDC"&amp;B22&amp;"\*"&amp;B22&amp;"*"&amp;TEXT(AVERAGE(F22,I22)-utc_offset/24,"YYYYMMDD")&amp;"*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"%USERPROFILE%\AppData\Local\Temp\OnboardLogs"\RTDC4017\*4017*20170317* | grep -SE "(Enforcement Action)|(\[TIMEOUT)|(CHR.+\|PRM\|1\|D.+(SWITCH|SIGNAL).+UNKNOWN)" - &gt;&gt; 2017-03-17-UncaughtWiMAX.txt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3" t="s">
        <v>660</v>
      </c>
      <c r="B23" s="7">
        <v>4053</v>
      </c>
      <c r="C23" s="21" t="s">
        <v>227</v>
      </c>
      <c r="D23" s="21" t="s">
        <v>858</v>
      </c>
      <c r="E23" s="13">
        <v>42811.206134259257</v>
      </c>
      <c r="F23" s="13">
        <v>42811.208749999998</v>
      </c>
      <c r="G23" s="7">
        <v>1</v>
      </c>
      <c r="H23" s="21" t="s">
        <v>231</v>
      </c>
      <c r="I23" s="13">
        <v>42811.234780092593</v>
      </c>
      <c r="J23" s="7">
        <v>0</v>
      </c>
      <c r="K23" s="98" t="str">
        <f t="shared" si="0"/>
        <v>4053/4054</v>
      </c>
      <c r="L23" s="21" t="str">
        <f>VLOOKUP(A23,'Trips&amp;Operators'!$C$1:$G$99999,5,FALSE)</f>
        <v>BONDS REYNALDO</v>
      </c>
      <c r="M23" s="6">
        <f t="shared" si="1"/>
        <v>2.6030092594737653E-2</v>
      </c>
      <c r="N23" s="7">
        <f t="shared" si="2"/>
        <v>37.48333333642222</v>
      </c>
      <c r="O23" s="7"/>
      <c r="P23" s="7"/>
      <c r="Q23" s="22"/>
      <c r="R23" s="22"/>
      <c r="S23" s="31">
        <f t="shared" si="3"/>
        <v>1</v>
      </c>
      <c r="T23" s="46" t="str">
        <f t="shared" si="4"/>
        <v>NorthBound</v>
      </c>
      <c r="U23" s="185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86" t="str">
        <f t="shared" si="5"/>
        <v>https://d0f6bd738d7f1b3e5a7ca70fe4ff75f0.us-east-1.aws.found.io/app/kibana#/discover/Steve-Slow-Train-Analysis-(2080s-and-2083s)?_g=(refreshInterval:(display:Off,pause:!f,section:0,value:0),time:(from:'2017-03-17T03:56:50-0600',mode:absolute,to:'2017-03-17T06:38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3" s="187" t="str">
        <f t="shared" si="6"/>
        <v>N</v>
      </c>
      <c r="X23" s="187">
        <f t="shared" si="7"/>
        <v>1</v>
      </c>
      <c r="Y23" s="62">
        <f t="shared" si="8"/>
        <v>7.5200000000000003E-2</v>
      </c>
      <c r="Z23" s="62">
        <f t="shared" si="9"/>
        <v>23.329899999999999</v>
      </c>
      <c r="AA23" s="62">
        <f t="shared" si="10"/>
        <v>23.2547</v>
      </c>
      <c r="AB23" s="59" t="e">
        <f>VLOOKUP(A23,Enforcements!$C$7:$K$13,8,0)</f>
        <v>#N/A</v>
      </c>
      <c r="AC23" s="55" t="e">
        <f>VLOOKUP(A23,Enforcements!$C$7:$E$13,3,0)</f>
        <v>#N/A</v>
      </c>
      <c r="AD23" s="56" t="str">
        <f t="shared" si="11"/>
        <v>0111-17</v>
      </c>
      <c r="AE23" s="85" t="str">
        <f t="shared" si="12"/>
        <v>aws s3 cp s3://rtdc.mdm.uploadarchive.raw/RTDC4053/ "%USERPROFILE%\AppData\Local\Temp\OnboardLogs"\RTDC4053\2017-03-17 --exclude "*" --recursive --include "*20170317*" &amp; "%USERPROFILE%\Documents\GitHub\mrs-test-scripts\Headless Mode &amp; Sideloading\WalkAndUnGZ.bat" "%USERPROFILE%\AppData\Local\Temp\OnboardLogs"\RTDC4053\2017-03-17 &amp; aws s3 cp s3://rtdc.mdm.uploadarchive.raw/RTDC4053/ "%USERPROFILE%\AppData\Local\Temp\OnboardLogs"\RTDC4053\2017-03-18 --exclude "*" --recursive --include "*20170318*" &amp; "%USERPROFILE%\Documents\GitHub\mrs-test-scripts\Headless Mode &amp; Sideloading\WalkAndUnGZ.bat" "%USERPROFILE%\AppData\Local\Temp\OnboardLogs"\RTDC4053\2017-03-18</v>
      </c>
      <c r="AF23" s="82" t="str">
        <f t="shared" si="13"/>
        <v>"C:\Program Files (x86)\AstroGrep\AstroGrep.exe" /e /r /s /spath="%USERPROFILE%\AppData\Local\Temp\OnboardLogs" /stypes="app*4053*20170317*" /stext=" 11:.+((SYSTEM_STATE.+slice.+state.+changed )|(ment ac)|(multiple cpu faults)|(system.+state.+changed )|(\[timeout)|(PRM\|1\|D)|(kpr)|(kdp)|(\|lc)|(penalty))"</v>
      </c>
      <c r="AG23" s="1" t="str">
        <f t="shared" si="14"/>
        <v>EC</v>
      </c>
      <c r="AH23" s="86" t="str">
        <f t="shared" si="18"/>
        <v>"%USERPROFILE%\Documents\GitHub\eaglep3\Utilities\RefineRTDCRunTimes.py" --tripid 111-17 --locoid 4053 --swversion DE.1.0.9.0 --startMP 204:752 --initTime 2017-03-17T04:56:50 --startdatetime 2017-03-17T05:00:36 --delay 1 --endMP 204:233299 --enddatetime 2017-03-17T05:38:05 --enforcementcount 0 &gt;&gt;C:\Users\stu\Documents\GitHub\eaglep3-reporting\EC\2017-03-17-refined-times.txt</v>
      </c>
      <c r="AI23" s="108" t="str">
        <f t="shared" si="19"/>
        <v>echo {"issue":{"subject":"","project_id":79,"tracker_id":40,"status_id":1,"priority_id":2,"assigned_to_id":23,"start_date":"2017-03-17","description":"","custom_fields":[{"id":1,"name":"Subdivision","value":"EC"},{"id":4,"name":"Milepost","value":"23.3299"},{"id":17,"name":"Train ID","value":"111-17"},{"id":16,"name":"Locomotive ID","value":"4053"},{"id":130,"name":"Impact","value":""},{"id":150,"name":"Time of Event (Mountain Time)","value":"05:38:05"},{"id":151,"name":"Denver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48"/>
      <c r="AK23" s="48"/>
      <c r="AL23" s="48"/>
      <c r="AM23" s="154" t="str">
        <f t="shared" si="20"/>
        <v>start /low /b %USERPROFILE%\Documents\GitHub\eaglep3\Utilities\DownloadLogsFromS3.py --loco 4053 --day 2017-03-17</v>
      </c>
      <c r="AN23" s="163" t="str">
        <f>"grep -SE -B400 ""CHR.+\|PRM\|1\|D.+(SWITCH|SIGNAL).+UNKNOWN"" "&amp;search_path&amp;"\RTDC"&amp;B23&amp;"\*"&amp;B23&amp;"*"&amp;TEXT(AVERAGE(F23,I23)-utc_offset/24,"YYYYMMDD")&amp;"*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"%USERPROFILE%\AppData\Local\Temp\OnboardLogs"\RTDC4053\*4053*20170317* | grep -SE "(Enforcement Action)|(\[TIMEOUT)|(CHR.+\|PRM\|1\|D.+(SWITCH|SIGNAL).+UNKNOWN)" - &gt;&gt; 2017-03-17-UncaughtWiMAX.txt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3" t="s">
        <v>670</v>
      </c>
      <c r="B24" s="7">
        <v>4054</v>
      </c>
      <c r="C24" s="21" t="s">
        <v>227</v>
      </c>
      <c r="D24" s="21" t="s">
        <v>434</v>
      </c>
      <c r="E24" s="13">
        <v>42811.245289351849</v>
      </c>
      <c r="F24" s="13">
        <v>42811.247430555559</v>
      </c>
      <c r="G24" s="7">
        <v>1</v>
      </c>
      <c r="H24" s="21" t="s">
        <v>206</v>
      </c>
      <c r="I24" s="13">
        <v>42811.277268518519</v>
      </c>
      <c r="J24" s="7">
        <v>0</v>
      </c>
      <c r="K24" s="98" t="str">
        <f t="shared" si="0"/>
        <v>4053/4054</v>
      </c>
      <c r="L24" s="21" t="str">
        <f>VLOOKUP(A24,'Trips&amp;Operators'!$C$1:$G$99999,5,FALSE)</f>
        <v>BONDS REYNALDO</v>
      </c>
      <c r="M24" s="6">
        <f t="shared" si="1"/>
        <v>2.9837962960300501E-2</v>
      </c>
      <c r="N24" s="7">
        <f t="shared" si="2"/>
        <v>42.966666662832722</v>
      </c>
      <c r="O24" s="7"/>
      <c r="P24" s="7"/>
      <c r="Q24" s="22"/>
      <c r="R24" s="22"/>
      <c r="S24" s="31">
        <f t="shared" si="3"/>
        <v>1</v>
      </c>
      <c r="T24" s="46" t="str">
        <f t="shared" si="4"/>
        <v>Southbound</v>
      </c>
      <c r="U24" s="185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86" t="str">
        <f t="shared" si="5"/>
        <v>https://d0f6bd738d7f1b3e5a7ca70fe4ff75f0.us-east-1.aws.found.io/app/kibana#/discover/Steve-Slow-Train-Analysis-(2080s-and-2083s)?_g=(refreshInterval:(display:Off,pause:!f,section:0,value:0),time:(from:'2017-03-17T04:53:13-0600',mode:absolute,to:'2017-03-17T07:39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4" s="187" t="str">
        <f t="shared" si="6"/>
        <v>N</v>
      </c>
      <c r="X24" s="187">
        <f t="shared" si="7"/>
        <v>1</v>
      </c>
      <c r="Y24" s="62">
        <f t="shared" si="8"/>
        <v>23.297699999999999</v>
      </c>
      <c r="Z24" s="62">
        <f t="shared" si="9"/>
        <v>1.54E-2</v>
      </c>
      <c r="AA24" s="62">
        <f t="shared" si="10"/>
        <v>23.282299999999999</v>
      </c>
      <c r="AB24" s="59" t="e">
        <f>VLOOKUP(A24,Enforcements!$C$7:$K$13,8,0)</f>
        <v>#N/A</v>
      </c>
      <c r="AC24" s="55" t="e">
        <f>VLOOKUP(A24,Enforcements!$C$7:$E$13,3,0)</f>
        <v>#N/A</v>
      </c>
      <c r="AD24" s="56" t="str">
        <f t="shared" si="11"/>
        <v>0112-17</v>
      </c>
      <c r="AE24" s="85" t="str">
        <f t="shared" si="12"/>
        <v>aws s3 cp s3://rtdc.mdm.uploadarchive.raw/RTDC4054/ "%USERPROFILE%\AppData\Local\Temp\OnboardLogs"\RTDC4054\2017-03-17 --exclude "*" --recursive --include "*20170317*" &amp; "%USERPROFILE%\Documents\GitHub\mrs-test-scripts\Headless Mode &amp; Sideloading\WalkAndUnGZ.bat" "%USERPROFILE%\AppData\Local\Temp\OnboardLogs"\RTDC4054\2017-03-17 &amp; aws s3 cp s3://rtdc.mdm.uploadarchive.raw/RTDC4054/ "%USERPROFILE%\AppData\Local\Temp\OnboardLogs"\RTDC4054\2017-03-18 --exclude "*" --recursive --include "*20170318*" &amp; "%USERPROFILE%\Documents\GitHub\mrs-test-scripts\Headless Mode &amp; Sideloading\WalkAndUnGZ.bat" "%USERPROFILE%\AppData\Local\Temp\OnboardLogs"\RTDC4054\2017-03-18</v>
      </c>
      <c r="AF24" s="82" t="str">
        <f t="shared" si="13"/>
        <v>"C:\Program Files (x86)\AstroGrep\AstroGrep.exe" /e /r /s /spath="%USERPROFILE%\AppData\Local\Temp\OnboardLogs" /stypes="app*4054*20170317*" /stext=" 12:.+((SYSTEM_STATE.+slice.+state.+changed )|(ment ac)|(multiple cpu faults)|(system.+state.+changed )|(\[timeout)|(PRM\|1\|D)|(kpr)|(kdp)|(\|lc)|(penalty))"</v>
      </c>
      <c r="AG24" s="1" t="str">
        <f t="shared" si="14"/>
        <v>EC</v>
      </c>
      <c r="AH24" s="86" t="str">
        <f t="shared" si="18"/>
        <v>"%USERPROFILE%\Documents\GitHub\eaglep3\Utilities\RefineRTDCRunTimes.py" --tripid 112-17 --locoid 4054 --swversion DE.1.0.9.0 --startMP 204:232977 --initTime 2017-03-17T05:53:13 --startdatetime 2017-03-17T05:56:18 --delay 1 --endMP 204:154 --enddatetime 2017-03-17T06:39:16 --enforcementcount 0 &gt;&gt;C:\Users\stu\Documents\GitHub\eaglep3-reporting\EC\2017-03-17-refined-times.txt</v>
      </c>
      <c r="AI24" s="108" t="str">
        <f t="shared" si="19"/>
        <v>echo {"issue":{"subject":"","project_id":79,"tracker_id":40,"status_id":1,"priority_id":2,"assigned_to_id":23,"start_date":"2017-03-17","description":"","custom_fields":[{"id":1,"name":"Subdivision","value":"EC"},{"id":4,"name":"Milepost","value":"0.0154"},{"id":17,"name":"Train ID","value":"112-17"},{"id":16,"name":"Locomotive ID","value":"4054"},{"id":130,"name":"Impact","value":""},{"id":150,"name":"Time of Event (Mountain Time)","value":"06:39:16"},{"id":151,"name":"Denver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48"/>
      <c r="AK24" s="48"/>
      <c r="AL24" s="48"/>
      <c r="AM24" s="154" t="str">
        <f t="shared" si="20"/>
        <v>start /low /b %USERPROFILE%\Documents\GitHub\eaglep3\Utilities\DownloadLogsFromS3.py --loco 4054 --day 2017-03-17</v>
      </c>
      <c r="AN24" s="163" t="str">
        <f>"grep -SE -B400 ""CHR.+\|PRM\|1\|D.+(SWITCH|SIGNAL).+UNKNOWN"" "&amp;search_path&amp;"\RTDC"&amp;B24&amp;"\*"&amp;B24&amp;"*"&amp;TEXT(AVERAGE(F24,I24)-utc_offset/24,"YYYYMMDD")&amp;"*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"%USERPROFILE%\AppData\Local\Temp\OnboardLogs"\RTDC4054\*4054*20170317* | grep -SE "(Enforcement Action)|(\[TIMEOUT)|(CHR.+\|PRM\|1\|D.+(SWITCH|SIGNAL).+UNKNOWN)" - &gt;&gt; 2017-03-17-UncaughtWiMAX.txt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3" t="s">
        <v>664</v>
      </c>
      <c r="B25" s="7">
        <v>4011</v>
      </c>
      <c r="C25" s="21" t="s">
        <v>227</v>
      </c>
      <c r="D25" s="21" t="s">
        <v>859</v>
      </c>
      <c r="E25" s="13">
        <v>42811.211423611108</v>
      </c>
      <c r="F25" s="13">
        <v>42811.218969907408</v>
      </c>
      <c r="G25" s="7">
        <v>1</v>
      </c>
      <c r="H25" s="21" t="s">
        <v>420</v>
      </c>
      <c r="I25" s="13">
        <v>42811.24590277778</v>
      </c>
      <c r="J25" s="7">
        <v>0</v>
      </c>
      <c r="K25" s="98" t="str">
        <f t="shared" si="0"/>
        <v>4011/4012</v>
      </c>
      <c r="L25" s="21" t="str">
        <f>VLOOKUP(A25,'Trips&amp;Operators'!$C$1:$G$99999,5,FALSE)</f>
        <v>BADERTSCHER DIANE</v>
      </c>
      <c r="M25" s="6">
        <f t="shared" si="1"/>
        <v>2.6932870372547768E-2</v>
      </c>
      <c r="N25" s="7">
        <f t="shared" si="2"/>
        <v>38.783333336468786</v>
      </c>
      <c r="O25" s="7"/>
      <c r="P25" s="7"/>
      <c r="Q25" s="22"/>
      <c r="R25" s="22"/>
      <c r="S25" s="31">
        <f t="shared" si="3"/>
        <v>1</v>
      </c>
      <c r="T25" s="46" t="str">
        <f t="shared" si="4"/>
        <v>NorthBound</v>
      </c>
      <c r="U25" s="185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86" t="str">
        <f t="shared" si="5"/>
        <v>https://d0f6bd738d7f1b3e5a7ca70fe4ff75f0.us-east-1.aws.found.io/app/kibana#/discover/Steve-Slow-Train-Analysis-(2080s-and-2083s)?_g=(refreshInterval:(display:Off,pause:!f,section:0,value:0),time:(from:'2017-03-17T04:04:27-0600',mode:absolute,to:'2017-03-17T06:54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5" s="187" t="str">
        <f t="shared" si="6"/>
        <v>N</v>
      </c>
      <c r="X25" s="187">
        <f t="shared" si="7"/>
        <v>1</v>
      </c>
      <c r="Y25" s="62">
        <f t="shared" si="8"/>
        <v>4.2599999999999999E-2</v>
      </c>
      <c r="Z25" s="62">
        <f t="shared" si="9"/>
        <v>23.3293</v>
      </c>
      <c r="AA25" s="62">
        <f t="shared" si="10"/>
        <v>23.2867</v>
      </c>
      <c r="AB25" s="59" t="e">
        <f>VLOOKUP(A25,Enforcements!$C$7:$K$13,8,0)</f>
        <v>#N/A</v>
      </c>
      <c r="AC25" s="55" t="e">
        <f>VLOOKUP(A25,Enforcements!$C$7:$E$13,3,0)</f>
        <v>#N/A</v>
      </c>
      <c r="AD25" s="56" t="str">
        <f t="shared" si="11"/>
        <v>0113-17</v>
      </c>
      <c r="AE25" s="85" t="str">
        <f t="shared" si="12"/>
        <v>aws s3 cp s3://rtdc.mdm.uploadarchive.raw/RTDC4011/ "%USERPROFILE%\AppData\Local\Temp\OnboardLogs"\RTDC4011\2017-03-17 --exclude "*" --recursive --include "*20170317*" &amp; "%USERPROFILE%\Documents\GitHub\mrs-test-scripts\Headless Mode &amp; Sideloading\WalkAndUnGZ.bat" "%USERPROFILE%\AppData\Local\Temp\OnboardLogs"\RTDC4011\2017-03-17 &amp; aws s3 cp s3://rtdc.mdm.uploadarchive.raw/RTDC4011/ "%USERPROFILE%\AppData\Local\Temp\OnboardLogs"\RTDC4011\2017-03-18 --exclude "*" --recursive --include "*20170318*" &amp; "%USERPROFILE%\Documents\GitHub\mrs-test-scripts\Headless Mode &amp; Sideloading\WalkAndUnGZ.bat" "%USERPROFILE%\AppData\Local\Temp\OnboardLogs"\RTDC4011\2017-03-18</v>
      </c>
      <c r="AF25" s="82" t="str">
        <f t="shared" si="13"/>
        <v>"C:\Program Files (x86)\AstroGrep\AstroGrep.exe" /e /r /s /spath="%USERPROFILE%\AppData\Local\Temp\OnboardLogs" /stypes="app*4011*20170317*" /stext=" 11:.+((SYSTEM_STATE.+slice.+state.+changed )|(ment ac)|(multiple cpu faults)|(system.+state.+changed )|(\[timeout)|(PRM\|1\|D)|(kpr)|(kdp)|(\|lc)|(penalty))"</v>
      </c>
      <c r="AG25" s="1" t="str">
        <f t="shared" si="14"/>
        <v>EC</v>
      </c>
      <c r="AH25" s="86" t="str">
        <f t="shared" si="18"/>
        <v>"%USERPROFILE%\Documents\GitHub\eaglep3\Utilities\RefineRTDCRunTimes.py" --tripid 113-17 --locoid 4011 --swversion DE.1.0.9.0 --startMP 204:426 --initTime 2017-03-17T05:04:27 --startdatetime 2017-03-17T05:15:19 --delay 1 --endMP 204:233293 --enddatetime 2017-03-17T05:54:06 --enforcementcount 0 &gt;&gt;C:\Users\stu\Documents\GitHub\eaglep3-reporting\EC\2017-03-17-refined-times.txt</v>
      </c>
      <c r="AI25" s="108" t="str">
        <f t="shared" si="19"/>
        <v>echo {"issue":{"subject":"","project_id":79,"tracker_id":40,"status_id":1,"priority_id":2,"assigned_to_id":23,"start_date":"2017-03-17","description":"","custom_fields":[{"id":1,"name":"Subdivision","value":"EC"},{"id":4,"name":"Milepost","value":"23.3293"},{"id":17,"name":"Train ID","value":"113-17"},{"id":16,"name":"Locomotive ID","value":"4011"},{"id":130,"name":"Impact","value":""},{"id":150,"name":"Time of Event (Mountain Time)","value":"05:54:06"},{"id":151,"name":"Denver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48"/>
      <c r="AK25" s="48"/>
      <c r="AL25" s="48"/>
      <c r="AM25" s="154" t="str">
        <f t="shared" si="20"/>
        <v>start /low /b %USERPROFILE%\Documents\GitHub\eaglep3\Utilities\DownloadLogsFromS3.py --loco 4011 --day 2017-03-17</v>
      </c>
      <c r="AN25" s="163" t="str">
        <f>"grep -SE -B400 ""CHR.+\|PRM\|1\|D.+(SWITCH|SIGNAL).+UNKNOWN"" "&amp;search_path&amp;"\RTDC"&amp;B25&amp;"\*"&amp;B25&amp;"*"&amp;TEXT(AVERAGE(F25,I25)-utc_offset/24,"YYYYMMDD")&amp;"*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"%USERPROFILE%\AppData\Local\Temp\OnboardLogs"\RTDC4011\*4011*20170317* | grep -SE "(Enforcement Action)|(\[TIMEOUT)|(CHR.+\|PRM\|1\|D.+(SWITCH|SIGNAL).+UNKNOWN)" - &gt;&gt; 2017-03-17-UncaughtWiMAX.txt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3" t="s">
        <v>672</v>
      </c>
      <c r="B26" s="7">
        <v>4012</v>
      </c>
      <c r="C26" s="21" t="s">
        <v>227</v>
      </c>
      <c r="D26" s="21" t="s">
        <v>434</v>
      </c>
      <c r="E26" s="13">
        <v>42811.253368055557</v>
      </c>
      <c r="F26" s="13">
        <v>42811.2578125</v>
      </c>
      <c r="G26" s="7">
        <v>1</v>
      </c>
      <c r="H26" s="21" t="s">
        <v>860</v>
      </c>
      <c r="I26" s="13">
        <v>42811.286817129629</v>
      </c>
      <c r="J26" s="7">
        <v>0</v>
      </c>
      <c r="K26" s="98" t="str">
        <f t="shared" si="0"/>
        <v>4011/4012</v>
      </c>
      <c r="L26" s="21" t="str">
        <f>VLOOKUP(A26,'Trips&amp;Operators'!$C$1:$G$99999,5,FALSE)</f>
        <v>BADERTSCHER DIANE</v>
      </c>
      <c r="M26" s="6">
        <f t="shared" si="1"/>
        <v>2.9004629628616385E-2</v>
      </c>
      <c r="N26" s="7">
        <f t="shared" si="2"/>
        <v>41.766666665207595</v>
      </c>
      <c r="O26" s="7"/>
      <c r="P26" s="7"/>
      <c r="Q26" s="22"/>
      <c r="R26" s="22"/>
      <c r="S26" s="31">
        <f t="shared" si="3"/>
        <v>1</v>
      </c>
      <c r="T26" s="46" t="str">
        <f t="shared" si="4"/>
        <v>Southbound</v>
      </c>
      <c r="U26" s="185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86" t="str">
        <f t="shared" si="5"/>
        <v>https://d0f6bd738d7f1b3e5a7ca70fe4ff75f0.us-east-1.aws.found.io/app/kibana#/discover/Steve-Slow-Train-Analysis-(2080s-and-2083s)?_g=(refreshInterval:(display:Off,pause:!f,section:0,value:0),time:(from:'2017-03-17T05:04:51-0600',mode:absolute,to:'2017-03-17T07:53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6" s="187" t="str">
        <f t="shared" si="6"/>
        <v>N</v>
      </c>
      <c r="X26" s="187">
        <f t="shared" si="7"/>
        <v>1</v>
      </c>
      <c r="Y26" s="62">
        <f t="shared" si="8"/>
        <v>23.297699999999999</v>
      </c>
      <c r="Z26" s="62">
        <f t="shared" si="9"/>
        <v>1.2999999999999999E-2</v>
      </c>
      <c r="AA26" s="62">
        <f t="shared" si="10"/>
        <v>23.284699999999997</v>
      </c>
      <c r="AB26" s="59" t="e">
        <f>VLOOKUP(A26,Enforcements!$C$7:$K$13,8,0)</f>
        <v>#N/A</v>
      </c>
      <c r="AC26" s="55" t="e">
        <f>VLOOKUP(A26,Enforcements!$C$7:$E$13,3,0)</f>
        <v>#N/A</v>
      </c>
      <c r="AD26" s="56" t="str">
        <f t="shared" si="11"/>
        <v>0114-17</v>
      </c>
      <c r="AE26" s="85" t="str">
        <f t="shared" si="12"/>
        <v>aws s3 cp s3://rtdc.mdm.uploadarchive.raw/RTDC4012/ "%USERPROFILE%\AppData\Local\Temp\OnboardLogs"\RTDC4012\2017-03-17 --exclude "*" --recursive --include "*20170317*" &amp; "%USERPROFILE%\Documents\GitHub\mrs-test-scripts\Headless Mode &amp; Sideloading\WalkAndUnGZ.bat" "%USERPROFILE%\AppData\Local\Temp\OnboardLogs"\RTDC4012\2017-03-17 &amp; aws s3 cp s3://rtdc.mdm.uploadarchive.raw/RTDC4012/ "%USERPROFILE%\AppData\Local\Temp\OnboardLogs"\RTDC4012\2017-03-18 --exclude "*" --recursive --include "*20170318*" &amp; "%USERPROFILE%\Documents\GitHub\mrs-test-scripts\Headless Mode &amp; Sideloading\WalkAndUnGZ.bat" "%USERPROFILE%\AppData\Local\Temp\OnboardLogs"\RTDC4012\2017-03-18</v>
      </c>
      <c r="AF26" s="82" t="str">
        <f t="shared" si="13"/>
        <v>"C:\Program Files (x86)\AstroGrep\AstroGrep.exe" /e /r /s /spath="%USERPROFILE%\AppData\Local\Temp\OnboardLogs" /stypes="app*4012*20170317*" /stext=" 12:.+((SYSTEM_STATE.+slice.+state.+changed )|(ment ac)|(multiple cpu faults)|(system.+state.+changed )|(\[timeout)|(PRM\|1\|D)|(kpr)|(kdp)|(\|lc)|(penalty))"</v>
      </c>
      <c r="AG26" s="1" t="str">
        <f t="shared" si="14"/>
        <v>EC</v>
      </c>
      <c r="AH26" s="86" t="str">
        <f t="shared" si="18"/>
        <v>"%USERPROFILE%\Documents\GitHub\eaglep3\Utilities\RefineRTDCRunTimes.py" --tripid 114-17 --locoid 4012 --swversion DE.1.0.9.0 --startMP 204:232977 --initTime 2017-03-17T06:04:51 --startdatetime 2017-03-17T06:11:15 --delay 1 --endMP 204:130 --enddatetime 2017-03-17T06:53:01 --enforcementcount 0 &gt;&gt;C:\Users\stu\Documents\GitHub\eaglep3-reporting\EC\2017-03-17-refined-times.txt</v>
      </c>
      <c r="AI26" s="108" t="str">
        <f t="shared" si="19"/>
        <v>echo {"issue":{"subject":"","project_id":79,"tracker_id":40,"status_id":1,"priority_id":2,"assigned_to_id":23,"start_date":"2017-03-17","description":"","custom_fields":[{"id":1,"name":"Subdivision","value":"EC"},{"id":4,"name":"Milepost","value":"0.013"},{"id":17,"name":"Train ID","value":"114-17"},{"id":16,"name":"Locomotive ID","value":"4012"},{"id":130,"name":"Impact","value":""},{"id":150,"name":"Time of Event (Mountain Time)","value":"06:53:01"},{"id":151,"name":"Denver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48"/>
      <c r="AK26" s="48"/>
      <c r="AL26" s="48"/>
      <c r="AM26" s="154" t="str">
        <f t="shared" si="20"/>
        <v>start /low /b %USERPROFILE%\Documents\GitHub\eaglep3\Utilities\DownloadLogsFromS3.py --loco 4012 --day 2017-03-17</v>
      </c>
      <c r="AN26" s="163" t="str">
        <f>"grep -SE -B400 ""CHR.+\|PRM\|1\|D.+(SWITCH|SIGNAL).+UNKNOWN"" "&amp;search_path&amp;"\RTDC"&amp;B26&amp;"\*"&amp;B26&amp;"*"&amp;TEXT(AVERAGE(F26,I26)-utc_offset/24,"YYYYMMDD")&amp;"*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"%USERPROFILE%\AppData\Local\Temp\OnboardLogs"\RTDC4012\*4012*20170317* | grep -SE "(Enforcement Action)|(\[TIMEOUT)|(CHR.+\|PRM\|1\|D.+(SWITCH|SIGNAL).+UNKNOWN)" - &gt;&gt; 2017-03-17-UncaughtWiMAX.txt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3" t="s">
        <v>612</v>
      </c>
      <c r="B27" s="7">
        <v>4042</v>
      </c>
      <c r="C27" s="21" t="s">
        <v>227</v>
      </c>
      <c r="D27" s="21" t="s">
        <v>558</v>
      </c>
      <c r="E27" s="13">
        <v>42811.22729166667</v>
      </c>
      <c r="F27" s="13">
        <v>42811.230185185188</v>
      </c>
      <c r="G27" s="7">
        <v>3</v>
      </c>
      <c r="H27" s="21" t="s">
        <v>861</v>
      </c>
      <c r="I27" s="13">
        <v>42811.256990740738</v>
      </c>
      <c r="J27" s="7">
        <v>0</v>
      </c>
      <c r="K27" s="98" t="str">
        <f t="shared" si="0"/>
        <v>4041/4042</v>
      </c>
      <c r="L27" s="21" t="str">
        <f>VLOOKUP(A27,'Trips&amp;Operators'!$C$1:$G$99999,5,FALSE)</f>
        <v>SULLIVAN BRANDON</v>
      </c>
      <c r="M27" s="6">
        <f t="shared" si="1"/>
        <v>2.6805555549799465E-2</v>
      </c>
      <c r="N27" s="7">
        <f t="shared" si="2"/>
        <v>38.599999991711229</v>
      </c>
      <c r="O27" s="7"/>
      <c r="P27" s="7"/>
      <c r="Q27" s="22"/>
      <c r="R27" s="22"/>
      <c r="S27" s="31">
        <f t="shared" si="3"/>
        <v>1</v>
      </c>
      <c r="T27" s="46" t="str">
        <f t="shared" si="4"/>
        <v>NorthBound</v>
      </c>
      <c r="U27" s="185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86" t="str">
        <f t="shared" si="5"/>
        <v>https://d0f6bd738d7f1b3e5a7ca70fe4ff75f0.us-east-1.aws.found.io/app/kibana#/discover/Steve-Slow-Train-Analysis-(2080s-and-2083s)?_g=(refreshInterval:(display:Off,pause:!f,section:0,value:0),time:(from:'2017-03-17T04:27:18-0600',mode:absolute,to:'2017-03-17T07:10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7" s="187" t="str">
        <f t="shared" si="6"/>
        <v>N</v>
      </c>
      <c r="X27" s="187">
        <f t="shared" si="7"/>
        <v>1</v>
      </c>
      <c r="Y27" s="62">
        <f t="shared" si="8"/>
        <v>7.6300000000000007E-2</v>
      </c>
      <c r="Z27" s="62">
        <f t="shared" si="9"/>
        <v>23.326799999999999</v>
      </c>
      <c r="AA27" s="62">
        <f t="shared" si="10"/>
        <v>23.250499999999999</v>
      </c>
      <c r="AB27" s="59" t="str">
        <f>VLOOKUP(A27,Enforcements!$C$7:$K$13,8,0)</f>
        <v>Bulletin (2)</v>
      </c>
      <c r="AC27" s="55" t="str">
        <f>VLOOKUP(A27,Enforcements!$C$7:$E$13,3,0)</f>
        <v>GRADE CROSSING</v>
      </c>
      <c r="AD27" s="56" t="str">
        <f t="shared" si="11"/>
        <v>0115-17</v>
      </c>
      <c r="AE27" s="85" t="str">
        <f t="shared" si="12"/>
        <v>aws s3 cp s3://rtdc.mdm.uploadarchive.raw/RTDC4042/ "%USERPROFILE%\AppData\Local\Temp\OnboardLogs"\RTDC4042\2017-03-17 --exclude "*" --recursive --include "*20170317*" &amp; "%USERPROFILE%\Documents\GitHub\mrs-test-scripts\Headless Mode &amp; Sideloading\WalkAndUnGZ.bat" "%USERPROFILE%\AppData\Local\Temp\OnboardLogs"\RTDC4042\2017-03-17 &amp; aws s3 cp s3://rtdc.mdm.uploadarchive.raw/RTDC4042/ "%USERPROFILE%\AppData\Local\Temp\OnboardLogs"\RTDC4042\2017-03-18 --exclude "*" --recursive --include "*20170318*" &amp; "%USERPROFILE%\Documents\GitHub\mrs-test-scripts\Headless Mode &amp; Sideloading\WalkAndUnGZ.bat" "%USERPROFILE%\AppData\Local\Temp\OnboardLogs"\RTDC4042\2017-03-18</v>
      </c>
      <c r="AF27" s="82" t="str">
        <f t="shared" si="13"/>
        <v>"C:\Program Files (x86)\AstroGrep\AstroGrep.exe" /e /r /s /spath="%USERPROFILE%\AppData\Local\Temp\OnboardLogs" /stypes="app*4042*20170317*" /stext=" 12:.+((SYSTEM_STATE.+slice.+state.+changed )|(ment ac)|(multiple cpu faults)|(system.+state.+changed )|(\[timeout)|(PRM\|1\|D)|(kpr)|(kdp)|(\|lc)|(penalty))"</v>
      </c>
      <c r="AG27" s="1" t="str">
        <f t="shared" si="14"/>
        <v>EC</v>
      </c>
      <c r="AH27" s="86" t="str">
        <f t="shared" si="18"/>
        <v>"%USERPROFILE%\Documents\GitHub\eaglep3\Utilities\RefineRTDCRunTimes.py" --tripid 115-17 --locoid 4042 --swversion DE.1.0.9.0 --startMP 204:763 --initTime 2017-03-17T05:27:18 --startdatetime 2017-03-17T05:31:28 --delay 3 --endMP 204:233268 --enddatetime 2017-03-17T06:10:04 --enforcementcount 0 &gt;&gt;C:\Users\stu\Documents\GitHub\eaglep3-reporting\EC\2017-03-17-refined-times.txt</v>
      </c>
      <c r="AI27" s="108" t="str">
        <f t="shared" si="19"/>
        <v>echo {"issue":{"subject":"","project_id":79,"tracker_id":40,"status_id":1,"priority_id":2,"assigned_to_id":23,"start_date":"2017-03-17","description":"","custom_fields":[{"id":1,"name":"Subdivision","value":"EC"},{"id":4,"name":"Milepost","value":"23.3268"},{"id":17,"name":"Train ID","value":"115-17"},{"id":16,"name":"Locomotive ID","value":"4042"},{"id":130,"name":"Impact","value":""},{"id":150,"name":"Time of Event (Mountain Time)","value":"06:10:04"},{"id":151,"name":"Denver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48"/>
      <c r="AK27" s="48"/>
      <c r="AL27" s="48"/>
      <c r="AM27" s="154" t="str">
        <f t="shared" si="20"/>
        <v>start /low /b %USERPROFILE%\Documents\GitHub\eaglep3\Utilities\DownloadLogsFromS3.py --loco 4042 --day 2017-03-17</v>
      </c>
      <c r="AN27" s="163" t="str">
        <f>"grep -SE -B400 ""CHR.+\|PRM\|1\|D.+(SWITCH|SIGNAL).+UNKNOWN"" "&amp;search_path&amp;"\RTDC"&amp;B27&amp;"\*"&amp;B27&amp;"*"&amp;TEXT(AVERAGE(F27,I27)-utc_offset/24,"YYYYMMDD")&amp;"*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"%USERPROFILE%\AppData\Local\Temp\OnboardLogs"\RTDC4042\*4042*20170317* | grep -SE "(Enforcement Action)|(\[TIMEOUT)|(CHR.+\|PRM\|1\|D.+(SWITCH|SIGNAL).+UNKNOWN)" - &gt;&gt; 2017-03-17-UncaughtWiMAX.txt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3" t="s">
        <v>615</v>
      </c>
      <c r="B28" s="7">
        <v>4041</v>
      </c>
      <c r="C28" s="21" t="s">
        <v>227</v>
      </c>
      <c r="D28" s="21" t="s">
        <v>862</v>
      </c>
      <c r="E28" s="13">
        <v>42811.264085648145</v>
      </c>
      <c r="F28" s="13">
        <v>42811.268460648149</v>
      </c>
      <c r="G28" s="7">
        <v>2</v>
      </c>
      <c r="H28" s="21" t="s">
        <v>184</v>
      </c>
      <c r="I28" s="13">
        <v>42811.298356481479</v>
      </c>
      <c r="J28" s="7">
        <v>0</v>
      </c>
      <c r="K28" s="98" t="str">
        <f t="shared" si="0"/>
        <v>4041/4042</v>
      </c>
      <c r="L28" s="21" t="str">
        <f>VLOOKUP(A28,'Trips&amp;Operators'!$C$1:$G$99999,5,FALSE)</f>
        <v>SULLIVAN BRANDON</v>
      </c>
      <c r="M28" s="6">
        <f t="shared" si="1"/>
        <v>2.9895833329646848E-2</v>
      </c>
      <c r="N28" s="7">
        <f t="shared" si="2"/>
        <v>43.049999994691461</v>
      </c>
      <c r="O28" s="7"/>
      <c r="P28" s="7"/>
      <c r="Q28" s="22"/>
      <c r="R28" s="22"/>
      <c r="S28" s="31">
        <f t="shared" si="3"/>
        <v>1</v>
      </c>
      <c r="T28" s="46" t="str">
        <f t="shared" si="4"/>
        <v>Southbound</v>
      </c>
      <c r="U28" s="185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86" t="str">
        <f t="shared" si="5"/>
        <v>https://d0f6bd738d7f1b3e5a7ca70fe4ff75f0.us-east-1.aws.found.io/app/kibana#/discover/Steve-Slow-Train-Analysis-(2080s-and-2083s)?_g=(refreshInterval:(display:Off,pause:!f,section:0,value:0),time:(from:'2017-03-17T05:20:17-0600',mode:absolute,to:'2017-03-17T08:09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8" s="187" t="str">
        <f t="shared" si="6"/>
        <v>N</v>
      </c>
      <c r="X28" s="187">
        <f t="shared" si="7"/>
        <v>1</v>
      </c>
      <c r="Y28" s="62">
        <f t="shared" si="8"/>
        <v>23.295500000000001</v>
      </c>
      <c r="Z28" s="62">
        <f t="shared" si="9"/>
        <v>1.49E-2</v>
      </c>
      <c r="AA28" s="62">
        <f t="shared" si="10"/>
        <v>23.2806</v>
      </c>
      <c r="AB28" s="59" t="str">
        <f>VLOOKUP(A28,Enforcements!$C$7:$K$13,8,0)</f>
        <v>Bulletin (2)</v>
      </c>
      <c r="AC28" s="55" t="str">
        <f>VLOOKUP(A28,Enforcements!$C$7:$E$13,3,0)</f>
        <v>GRADE CROSSING</v>
      </c>
      <c r="AD28" s="56" t="str">
        <f t="shared" si="11"/>
        <v>0116-17</v>
      </c>
      <c r="AE28" s="85" t="str">
        <f t="shared" si="12"/>
        <v>aws s3 cp s3://rtdc.mdm.uploadarchive.raw/RTDC4041/ "%USERPROFILE%\AppData\Local\Temp\OnboardLogs"\RTDC4041\2017-03-17 --exclude "*" --recursive --include "*20170317*" &amp; "%USERPROFILE%\Documents\GitHub\mrs-test-scripts\Headless Mode &amp; Sideloading\WalkAndUnGZ.bat" "%USERPROFILE%\AppData\Local\Temp\OnboardLogs"\RTDC4041\2017-03-17 &amp; aws s3 cp s3://rtdc.mdm.uploadarchive.raw/RTDC4041/ "%USERPROFILE%\AppData\Local\Temp\OnboardLogs"\RTDC4041\2017-03-18 --exclude "*" --recursive --include "*20170318*" &amp; "%USERPROFILE%\Documents\GitHub\mrs-test-scripts\Headless Mode &amp; Sideloading\WalkAndUnGZ.bat" "%USERPROFILE%\AppData\Local\Temp\OnboardLogs"\RTDC4041\2017-03-18</v>
      </c>
      <c r="AF28" s="82" t="str">
        <f t="shared" si="13"/>
        <v>"C:\Program Files (x86)\AstroGrep\AstroGrep.exe" /e /r /s /spath="%USERPROFILE%\AppData\Local\Temp\OnboardLogs" /stypes="app*4041*20170317*" /stext=" 13:.+((SYSTEM_STATE.+slice.+state.+changed )|(ment ac)|(multiple cpu faults)|(system.+state.+changed )|(\[timeout)|(PRM\|1\|D)|(kpr)|(kdp)|(\|lc)|(penalty))"</v>
      </c>
      <c r="AG28" s="1" t="str">
        <f t="shared" si="14"/>
        <v>EC</v>
      </c>
      <c r="AH28" s="86" t="str">
        <f t="shared" si="18"/>
        <v>"%USERPROFILE%\Documents\GitHub\eaglep3\Utilities\RefineRTDCRunTimes.py" --tripid 116-17 --locoid 4041 --swversion DE.1.0.9.0 --startMP 204:232955 --initTime 2017-03-17T06:20:17 --startdatetime 2017-03-17T06:26:35 --delay 2 --endMP 204:149 --enddatetime 2017-03-17T07:09:38 --enforcementcount 0 &gt;&gt;C:\Users\stu\Documents\GitHub\eaglep3-reporting\EC\2017-03-17-refined-times.txt</v>
      </c>
      <c r="AI28" s="108" t="str">
        <f t="shared" si="19"/>
        <v>echo {"issue":{"subject":"","project_id":79,"tracker_id":40,"status_id":1,"priority_id":2,"assigned_to_id":23,"start_date":"2017-03-17","description":"","custom_fields":[{"id":1,"name":"Subdivision","value":"EC"},{"id":4,"name":"Milepost","value":"0.0149"},{"id":17,"name":"Train ID","value":"116-17"},{"id":16,"name":"Locomotive ID","value":"4041"},{"id":130,"name":"Impact","value":""},{"id":150,"name":"Time of Event (Mountain Time)","value":"07:09:38"},{"id":151,"name":"Denver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48"/>
      <c r="AK28" s="48"/>
      <c r="AL28" s="48"/>
      <c r="AM28" s="154" t="str">
        <f t="shared" si="20"/>
        <v>start /low /b %USERPROFILE%\Documents\GitHub\eaglep3\Utilities\DownloadLogsFromS3.py --loco 4041 --day 2017-03-17</v>
      </c>
      <c r="AN28" s="163" t="str">
        <f>"grep -SE -B400 ""CHR.+\|PRM\|1\|D.+(SWITCH|SIGNAL).+UNKNOWN"" "&amp;search_path&amp;"\RTDC"&amp;B28&amp;"\*"&amp;B28&amp;"*"&amp;TEXT(AVERAGE(F28,I28)-utc_offset/24,"YYYYMMDD")&amp;"*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"%USERPROFILE%\AppData\Local\Temp\OnboardLogs"\RTDC4041\*4041*20170317* | grep -SE "(Enforcement Action)|(\[TIMEOUT)|(CHR.+\|PRM\|1\|D.+(SWITCH|SIGNAL).+UNKNOWN)" - &gt;&gt; 2017-03-17-UncaughtWiMAX.txt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3" t="s">
        <v>667</v>
      </c>
      <c r="B29" s="7">
        <v>4040</v>
      </c>
      <c r="C29" s="21" t="s">
        <v>227</v>
      </c>
      <c r="D29" s="21" t="s">
        <v>208</v>
      </c>
      <c r="E29" s="13">
        <v>42811.232523148145</v>
      </c>
      <c r="F29" s="13">
        <v>42811.239733796298</v>
      </c>
      <c r="G29" s="7">
        <v>2</v>
      </c>
      <c r="H29" s="21" t="s">
        <v>418</v>
      </c>
      <c r="I29" s="13">
        <v>42811.264907407407</v>
      </c>
      <c r="J29" s="7">
        <v>0</v>
      </c>
      <c r="K29" s="98" t="str">
        <f t="shared" si="0"/>
        <v>4039/4040</v>
      </c>
      <c r="L29" s="21" t="str">
        <f>VLOOKUP(A29,'Trips&amp;Operators'!$C$1:$G$99999,5,FALSE)</f>
        <v>YANAI IAN</v>
      </c>
      <c r="M29" s="6">
        <f t="shared" si="1"/>
        <v>2.5173611109494232E-2</v>
      </c>
      <c r="N29" s="7">
        <f t="shared" si="2"/>
        <v>36.249999997671694</v>
      </c>
      <c r="O29" s="7"/>
      <c r="P29" s="7"/>
      <c r="Q29" s="22"/>
      <c r="R29" s="22"/>
      <c r="S29" s="31">
        <f t="shared" si="3"/>
        <v>1</v>
      </c>
      <c r="T29" s="46" t="str">
        <f t="shared" si="4"/>
        <v>NorthBound</v>
      </c>
      <c r="U29" s="185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86" t="str">
        <f t="shared" si="5"/>
        <v>https://d0f6bd738d7f1b3e5a7ca70fe4ff75f0.us-east-1.aws.found.io/app/kibana#/discover/Steve-Slow-Train-Analysis-(2080s-and-2083s)?_g=(refreshInterval:(display:Off,pause:!f,section:0,value:0),time:(from:'2017-03-17T04:34:50-0600',mode:absolute,to:'2017-03-17T07:21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9" s="187" t="str">
        <f t="shared" si="6"/>
        <v>N</v>
      </c>
      <c r="X29" s="187">
        <f t="shared" si="7"/>
        <v>1</v>
      </c>
      <c r="Y29" s="62">
        <f t="shared" si="8"/>
        <v>4.5100000000000001E-2</v>
      </c>
      <c r="Z29" s="62">
        <f t="shared" si="9"/>
        <v>23.3306</v>
      </c>
      <c r="AA29" s="62">
        <f t="shared" si="10"/>
        <v>23.285499999999999</v>
      </c>
      <c r="AB29" s="59" t="e">
        <f>VLOOKUP(A29,Enforcements!$C$7:$K$13,8,0)</f>
        <v>#N/A</v>
      </c>
      <c r="AC29" s="55" t="e">
        <f>VLOOKUP(A29,Enforcements!$C$7:$E$13,3,0)</f>
        <v>#N/A</v>
      </c>
      <c r="AD29" s="56" t="str">
        <f t="shared" si="11"/>
        <v>0117-17</v>
      </c>
      <c r="AE29" s="85" t="str">
        <f t="shared" si="12"/>
        <v>aws s3 cp s3://rtdc.mdm.uploadarchive.raw/RTDC4040/ "%USERPROFILE%\AppData\Local\Temp\OnboardLogs"\RTDC4040\2017-03-17 --exclude "*" --recursive --include "*20170317*" &amp; "%USERPROFILE%\Documents\GitHub\mrs-test-scripts\Headless Mode &amp; Sideloading\WalkAndUnGZ.bat" "%USERPROFILE%\AppData\Local\Temp\OnboardLogs"\RTDC4040\2017-03-17 &amp; aws s3 cp s3://rtdc.mdm.uploadarchive.raw/RTDC4040/ "%USERPROFILE%\AppData\Local\Temp\OnboardLogs"\RTDC4040\2017-03-18 --exclude "*" --recursive --include "*20170318*" &amp; "%USERPROFILE%\Documents\GitHub\mrs-test-scripts\Headless Mode &amp; Sideloading\WalkAndUnGZ.bat" "%USERPROFILE%\AppData\Local\Temp\OnboardLogs"\RTDC4040\2017-03-18</v>
      </c>
      <c r="AF29" s="82" t="str">
        <f t="shared" si="13"/>
        <v>"C:\Program Files (x86)\AstroGrep\AstroGrep.exe" /e /r /s /spath="%USERPROFILE%\AppData\Local\Temp\OnboardLogs" /stypes="app*4040*20170317*" /stext=" 12:.+((SYSTEM_STATE.+slice.+state.+changed )|(ment ac)|(multiple cpu faults)|(system.+state.+changed )|(\[timeout)|(PRM\|1\|D)|(kpr)|(kdp)|(\|lc)|(penalty))"</v>
      </c>
      <c r="AG29" s="1" t="str">
        <f t="shared" si="14"/>
        <v>EC</v>
      </c>
      <c r="AH29" s="86" t="str">
        <f t="shared" si="18"/>
        <v>"%USERPROFILE%\Documents\GitHub\eaglep3\Utilities\RefineRTDCRunTimes.py" --tripid 117-17 --locoid 4040 --swversion DE.1.0.9.0 --startMP 204:451 --initTime 2017-03-17T05:34:50 --startdatetime 2017-03-17T05:45:13 --delay 2 --endMP 204:233306 --enddatetime 2017-03-17T06:21:28 --enforcementcount 0 &gt;&gt;C:\Users\stu\Documents\GitHub\eaglep3-reporting\EC\2017-03-17-refined-times.txt</v>
      </c>
      <c r="AI29" s="108" t="str">
        <f t="shared" si="19"/>
        <v>echo {"issue":{"subject":"","project_id":79,"tracker_id":40,"status_id":1,"priority_id":2,"assigned_to_id":23,"start_date":"2017-03-17","description":"","custom_fields":[{"id":1,"name":"Subdivision","value":"EC"},{"id":4,"name":"Milepost","value":"23.3306"},{"id":17,"name":"Train ID","value":"117-17"},{"id":16,"name":"Locomotive ID","value":"4040"},{"id":130,"name":"Impact","value":""},{"id":150,"name":"Time of Event (Mountain Time)","value":"06:21:28"},{"id":151,"name":"Denver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48"/>
      <c r="AK29" s="48"/>
      <c r="AL29" s="48"/>
      <c r="AM29" s="154" t="str">
        <f t="shared" si="20"/>
        <v>start /low /b %USERPROFILE%\Documents\GitHub\eaglep3\Utilities\DownloadLogsFromS3.py --loco 4040 --day 2017-03-17</v>
      </c>
      <c r="AN29" s="163" t="str">
        <f>"grep -SE -B400 ""CHR.+\|PRM\|1\|D.+(SWITCH|SIGNAL).+UNKNOWN"" "&amp;search_path&amp;"\RTDC"&amp;B29&amp;"\*"&amp;B29&amp;"*"&amp;TEXT(AVERAGE(F29,I29)-utc_offset/24,"YYYYMMDD")&amp;"*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"%USERPROFILE%\AppData\Local\Temp\OnboardLogs"\RTDC4040\*4040*20170317* | grep -SE "(Enforcement Action)|(\[TIMEOUT)|(CHR.+\|PRM\|1\|D.+(SWITCH|SIGNAL).+UNKNOWN)" - &gt;&gt; 2017-03-17-UncaughtWiMAX.txt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3" t="s">
        <v>676</v>
      </c>
      <c r="B30" s="7">
        <v>4039</v>
      </c>
      <c r="C30" s="21" t="s">
        <v>227</v>
      </c>
      <c r="D30" s="21" t="s">
        <v>560</v>
      </c>
      <c r="E30" s="13">
        <v>42811.266435185185</v>
      </c>
      <c r="F30" s="13">
        <v>42811.278645833336</v>
      </c>
      <c r="G30" s="7">
        <v>0</v>
      </c>
      <c r="H30" s="21" t="s">
        <v>191</v>
      </c>
      <c r="I30" s="13">
        <v>42811.304965277777</v>
      </c>
      <c r="J30" s="7">
        <v>0</v>
      </c>
      <c r="K30" s="98" t="str">
        <f t="shared" si="0"/>
        <v>4039/4040</v>
      </c>
      <c r="L30" s="21" t="str">
        <f>VLOOKUP(A30,'Trips&amp;Operators'!$C$1:$G$99999,5,FALSE)</f>
        <v>YANAI IAN</v>
      </c>
      <c r="M30" s="6">
        <f t="shared" si="1"/>
        <v>2.6319444441469386E-2</v>
      </c>
      <c r="N30" s="7">
        <f t="shared" si="2"/>
        <v>37.899999995715916</v>
      </c>
      <c r="O30" s="7"/>
      <c r="P30" s="7"/>
      <c r="Q30" s="22"/>
      <c r="R30" s="22"/>
      <c r="S30" s="31">
        <f t="shared" si="3"/>
        <v>1</v>
      </c>
      <c r="T30" s="46" t="str">
        <f t="shared" si="4"/>
        <v>Southbound</v>
      </c>
      <c r="U30" s="185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86" t="str">
        <f t="shared" si="5"/>
        <v>https://d0f6bd738d7f1b3e5a7ca70fe4ff75f0.us-east-1.aws.found.io/app/kibana#/discover/Steve-Slow-Train-Analysis-(2080s-and-2083s)?_g=(refreshInterval:(display:Off,pause:!f,section:0,value:0),time:(from:'2017-03-17T05:23:40-0600',mode:absolute,to:'2017-03-17T08:19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30" s="187" t="str">
        <f t="shared" si="6"/>
        <v>N</v>
      </c>
      <c r="X30" s="187">
        <f t="shared" si="7"/>
        <v>1</v>
      </c>
      <c r="Y30" s="62">
        <f t="shared" si="8"/>
        <v>23.297899999999998</v>
      </c>
      <c r="Z30" s="62">
        <f t="shared" si="9"/>
        <v>1.4999999999999999E-2</v>
      </c>
      <c r="AA30" s="62">
        <f t="shared" si="10"/>
        <v>23.282899999999998</v>
      </c>
      <c r="AB30" s="59" t="e">
        <f>VLOOKUP(A30,Enforcements!$C$7:$K$13,8,0)</f>
        <v>#N/A</v>
      </c>
      <c r="AC30" s="55" t="e">
        <f>VLOOKUP(A30,Enforcements!$C$7:$E$13,3,0)</f>
        <v>#N/A</v>
      </c>
      <c r="AD30" s="56" t="str">
        <f t="shared" si="11"/>
        <v>0118-17</v>
      </c>
      <c r="AE30" s="85" t="str">
        <f t="shared" si="12"/>
        <v>aws s3 cp s3://rtdc.mdm.uploadarchive.raw/RTDC4039/ "%USERPROFILE%\AppData\Local\Temp\OnboardLogs"\RTDC4039\2017-03-17 --exclude "*" --recursive --include "*20170317*" &amp; "%USERPROFILE%\Documents\GitHub\mrs-test-scripts\Headless Mode &amp; Sideloading\WalkAndUnGZ.bat" "%USERPROFILE%\AppData\Local\Temp\OnboardLogs"\RTDC4039\2017-03-17 &amp; aws s3 cp s3://rtdc.mdm.uploadarchive.raw/RTDC4039/ "%USERPROFILE%\AppData\Local\Temp\OnboardLogs"\RTDC4039\2017-03-18 --exclude "*" --recursive --include "*20170318*" &amp; "%USERPROFILE%\Documents\GitHub\mrs-test-scripts\Headless Mode &amp; Sideloading\WalkAndUnGZ.bat" "%USERPROFILE%\AppData\Local\Temp\OnboardLogs"\RTDC4039\2017-03-18</v>
      </c>
      <c r="AF30" s="82" t="str">
        <f t="shared" si="13"/>
        <v>"C:\Program Files (x86)\AstroGrep\AstroGrep.exe" /e /r /s /spath="%USERPROFILE%\AppData\Local\Temp\OnboardLogs" /stypes="app*4039*20170317*" /stext=" 13:.+((SYSTEM_STATE.+slice.+state.+changed )|(ment ac)|(multiple cpu faults)|(system.+state.+changed )|(\[timeout)|(PRM\|1\|D)|(kpr)|(kdp)|(\|lc)|(penalty))"</v>
      </c>
      <c r="AG30" s="1" t="str">
        <f t="shared" si="14"/>
        <v>EC</v>
      </c>
      <c r="AH30" s="86" t="str">
        <f t="shared" si="18"/>
        <v>"%USERPROFILE%\Documents\GitHub\eaglep3\Utilities\RefineRTDCRunTimes.py" --tripid 118-17 --locoid 4039 --swversion DE.1.0.9.0 --startMP 204:232979 --initTime 2017-03-17T06:23:40 --startdatetime 2017-03-17T06:41:15 --delay 0 --endMP 204:150 --enddatetime 2017-03-17T07:19:09 --enforcementcount 0 &gt;&gt;C:\Users\stu\Documents\GitHub\eaglep3-reporting\EC\2017-03-17-refined-times.txt</v>
      </c>
      <c r="AI30" s="108" t="str">
        <f t="shared" si="19"/>
        <v>echo {"issue":{"subject":"","project_id":79,"tracker_id":40,"status_id":1,"priority_id":2,"assigned_to_id":23,"start_date":"2017-03-17","description":"","custom_fields":[{"id":1,"name":"Subdivision","value":"EC"},{"id":4,"name":"Milepost","value":"0.015"},{"id":17,"name":"Train ID","value":"118-17"},{"id":16,"name":"Locomotive ID","value":"4039"},{"id":130,"name":"Impact","value":""},{"id":150,"name":"Time of Event (Mountain Time)","value":"07:19:09"},{"id":151,"name":"Denver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48"/>
      <c r="AK30" s="48"/>
      <c r="AL30" s="48"/>
      <c r="AM30" s="154" t="str">
        <f t="shared" si="20"/>
        <v>start /low /b %USERPROFILE%\Documents\GitHub\eaglep3\Utilities\DownloadLogsFromS3.py --loco 4039 --day 2017-03-17</v>
      </c>
      <c r="AN30" s="163" t="str">
        <f>"grep -SE -B400 ""CHR.+\|PRM\|1\|D.+(SWITCH|SIGNAL).+UNKNOWN"" "&amp;search_path&amp;"\RTDC"&amp;B30&amp;"\*"&amp;B30&amp;"*"&amp;TEXT(AVERAGE(F30,I30)-utc_offset/24,"YYYYMMDD")&amp;"*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"%USERPROFILE%\AppData\Local\Temp\OnboardLogs"\RTDC4039\*4039*20170317* | grep -SE "(Enforcement Action)|(\[TIMEOUT)|(CHR.+\|PRM\|1\|D.+(SWITCH|SIGNAL).+UNKNOWN)" - &gt;&gt; 2017-03-17-UncaughtWiMAX.txt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3" t="s">
        <v>671</v>
      </c>
      <c r="B31" s="7">
        <v>4020</v>
      </c>
      <c r="C31" s="21" t="s">
        <v>227</v>
      </c>
      <c r="D31" s="21" t="s">
        <v>210</v>
      </c>
      <c r="E31" s="13">
        <v>42811.246249999997</v>
      </c>
      <c r="F31" s="13">
        <v>42811.250196759262</v>
      </c>
      <c r="G31" s="7">
        <v>1</v>
      </c>
      <c r="H31" s="21" t="s">
        <v>520</v>
      </c>
      <c r="I31" s="13">
        <v>42811.275972222225</v>
      </c>
      <c r="J31" s="7">
        <v>0</v>
      </c>
      <c r="K31" s="98" t="str">
        <f t="shared" si="0"/>
        <v>4019/4020</v>
      </c>
      <c r="L31" s="21" t="str">
        <f>VLOOKUP(A31,'Trips&amp;Operators'!$C$1:$G$99999,5,FALSE)</f>
        <v>ROBINSON KADDIBA</v>
      </c>
      <c r="M31" s="6">
        <f t="shared" si="1"/>
        <v>2.5775462963792961E-2</v>
      </c>
      <c r="N31" s="7">
        <f t="shared" si="2"/>
        <v>37.116666667861864</v>
      </c>
      <c r="O31" s="7"/>
      <c r="P31" s="7"/>
      <c r="Q31" s="22"/>
      <c r="R31" s="22"/>
      <c r="S31" s="31">
        <f t="shared" si="3"/>
        <v>1</v>
      </c>
      <c r="T31" s="46" t="str">
        <f t="shared" si="4"/>
        <v>NorthBound</v>
      </c>
      <c r="U31" s="185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86" t="str">
        <f t="shared" si="5"/>
        <v>https://d0f6bd738d7f1b3e5a7ca70fe4ff75f0.us-east-1.aws.found.io/app/kibana#/discover/Steve-Slow-Train-Analysis-(2080s-and-2083s)?_g=(refreshInterval:(display:Off,pause:!f,section:0,value:0),time:(from:'2017-03-17T04:54:36-0600',mode:absolute,to:'2017-03-17T07:37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31" s="187" t="str">
        <f t="shared" si="6"/>
        <v>N</v>
      </c>
      <c r="X31" s="187">
        <f t="shared" si="7"/>
        <v>1</v>
      </c>
      <c r="Y31" s="62">
        <f t="shared" si="8"/>
        <v>4.5999999999999999E-2</v>
      </c>
      <c r="Z31" s="62">
        <f t="shared" si="9"/>
        <v>23.327999999999999</v>
      </c>
      <c r="AA31" s="62">
        <f t="shared" si="10"/>
        <v>23.282</v>
      </c>
      <c r="AB31" s="59" t="e">
        <f>VLOOKUP(A31,Enforcements!$C$7:$K$13,8,0)</f>
        <v>#N/A</v>
      </c>
      <c r="AC31" s="55" t="e">
        <f>VLOOKUP(A31,Enforcements!$C$7:$E$13,3,0)</f>
        <v>#N/A</v>
      </c>
      <c r="AD31" s="56" t="str">
        <f t="shared" si="11"/>
        <v>0119-17</v>
      </c>
      <c r="AE31" s="85" t="str">
        <f t="shared" si="12"/>
        <v>aws s3 cp s3://rtdc.mdm.uploadarchive.raw/RTDC4020/ "%USERPROFILE%\AppData\Local\Temp\OnboardLogs"\RTDC4020\2017-03-17 --exclude "*" --recursive --include "*20170317*" &amp; "%USERPROFILE%\Documents\GitHub\mrs-test-scripts\Headless Mode &amp; Sideloading\WalkAndUnGZ.bat" "%USERPROFILE%\AppData\Local\Temp\OnboardLogs"\RTDC4020\2017-03-17 &amp; aws s3 cp s3://rtdc.mdm.uploadarchive.raw/RTDC4020/ "%USERPROFILE%\AppData\Local\Temp\OnboardLogs"\RTDC4020\2017-03-18 --exclude "*" --recursive --include "*20170318*" &amp; "%USERPROFILE%\Documents\GitHub\mrs-test-scripts\Headless Mode &amp; Sideloading\WalkAndUnGZ.bat" "%USERPROFILE%\AppData\Local\Temp\OnboardLogs"\RTDC4020\2017-03-18</v>
      </c>
      <c r="AF31" s="82" t="str">
        <f t="shared" si="13"/>
        <v>"C:\Program Files (x86)\AstroGrep\AstroGrep.exe" /e /r /s /spath="%USERPROFILE%\AppData\Local\Temp\OnboardLogs" /stypes="app*4020*20170317*" /stext=" 12:.+((SYSTEM_STATE.+slice.+state.+changed )|(ment ac)|(multiple cpu faults)|(system.+state.+changed )|(\[timeout)|(PRM\|1\|D)|(kpr)|(kdp)|(\|lc)|(penalty))"</v>
      </c>
      <c r="AG31" s="1" t="str">
        <f t="shared" si="14"/>
        <v>EC</v>
      </c>
      <c r="AH31" s="86" t="str">
        <f t="shared" si="18"/>
        <v>"%USERPROFILE%\Documents\GitHub\eaglep3\Utilities\RefineRTDCRunTimes.py" --tripid 119-17 --locoid 4020 --swversion DE.1.0.9.0 --startMP 204:460 --initTime 2017-03-17T05:54:36 --startdatetime 2017-03-17T06:00:17 --delay 1 --endMP 204:233280 --enddatetime 2017-03-17T06:37:24 --enforcementcount 0 &gt;&gt;C:\Users\stu\Documents\GitHub\eaglep3-reporting\EC\2017-03-17-refined-times.txt</v>
      </c>
      <c r="AI31" s="108" t="str">
        <f t="shared" si="19"/>
        <v>echo {"issue":{"subject":"","project_id":79,"tracker_id":40,"status_id":1,"priority_id":2,"assigned_to_id":23,"start_date":"2017-03-17","description":"","custom_fields":[{"id":1,"name":"Subdivision","value":"EC"},{"id":4,"name":"Milepost","value":"23.328"},{"id":17,"name":"Train ID","value":"119-17"},{"id":16,"name":"Locomotive ID","value":"4020"},{"id":130,"name":"Impact","value":""},{"id":150,"name":"Time of Event (Mountain Time)","value":"06:37:24"},{"id":151,"name":"Denver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48"/>
      <c r="AK31" s="48"/>
      <c r="AL31" s="48"/>
      <c r="AM31" s="154" t="str">
        <f t="shared" si="20"/>
        <v>start /low /b %USERPROFILE%\Documents\GitHub\eaglep3\Utilities\DownloadLogsFromS3.py --loco 4020 --day 2017-03-17</v>
      </c>
      <c r="AN31" s="163" t="str">
        <f>"grep -SE -B400 ""CHR.+\|PRM\|1\|D.+(SWITCH|SIGNAL).+UNKNOWN"" "&amp;search_path&amp;"\RTDC"&amp;B31&amp;"\*"&amp;B31&amp;"*"&amp;TEXT(AVERAGE(F31,I31)-utc_offset/24,"YYYYMMDD")&amp;"*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"%USERPROFILE%\AppData\Local\Temp\OnboardLogs"\RTDC4020\*4020*20170317* | grep -SE "(Enforcement Action)|(\[TIMEOUT)|(CHR.+\|PRM\|1\|D.+(SWITCH|SIGNAL).+UNKNOWN)" - &gt;&gt; 2017-03-17-UncaughtWiMAX.txt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3" t="s">
        <v>681</v>
      </c>
      <c r="B32" s="7">
        <v>4019</v>
      </c>
      <c r="C32" s="21" t="s">
        <v>227</v>
      </c>
      <c r="D32" s="21" t="s">
        <v>863</v>
      </c>
      <c r="E32" s="13">
        <v>42811.282500000001</v>
      </c>
      <c r="F32" s="13">
        <v>42811.289143518516</v>
      </c>
      <c r="G32" s="7">
        <v>5</v>
      </c>
      <c r="H32" s="21" t="s">
        <v>200</v>
      </c>
      <c r="I32" s="13">
        <v>42811.318159722221</v>
      </c>
      <c r="J32" s="7">
        <v>0</v>
      </c>
      <c r="K32" s="98" t="str">
        <f t="shared" si="0"/>
        <v>4019/4020</v>
      </c>
      <c r="L32" s="21" t="str">
        <f>VLOOKUP(A32,'Trips&amp;Operators'!$C$1:$G$99999,5,FALSE)</f>
        <v>ROBINSON KADDIBA</v>
      </c>
      <c r="M32" s="6">
        <f t="shared" si="1"/>
        <v>2.9016203705396038E-2</v>
      </c>
      <c r="N32" s="7">
        <f t="shared" si="2"/>
        <v>41.783333335770294</v>
      </c>
      <c r="O32" s="7"/>
      <c r="P32" s="7"/>
      <c r="Q32" s="22"/>
      <c r="R32" s="22"/>
      <c r="S32" s="31">
        <f t="shared" si="3"/>
        <v>1</v>
      </c>
      <c r="T32" s="46" t="str">
        <f t="shared" si="4"/>
        <v>Southbound</v>
      </c>
      <c r="U32" s="185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86" t="str">
        <f t="shared" si="5"/>
        <v>https://d0f6bd738d7f1b3e5a7ca70fe4ff75f0.us-east-1.aws.found.io/app/kibana#/discover/Steve-Slow-Train-Analysis-(2080s-and-2083s)?_g=(refreshInterval:(display:Off,pause:!f,section:0,value:0),time:(from:'2017-03-17T05:46:48-0600',mode:absolute,to:'2017-03-17T08:38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32" s="187" t="str">
        <f t="shared" si="6"/>
        <v>N</v>
      </c>
      <c r="X32" s="187">
        <f t="shared" si="7"/>
        <v>1</v>
      </c>
      <c r="Y32" s="62">
        <f t="shared" si="8"/>
        <v>23.296099999999999</v>
      </c>
      <c r="Z32" s="62">
        <f t="shared" si="9"/>
        <v>1.52E-2</v>
      </c>
      <c r="AA32" s="62">
        <f t="shared" si="10"/>
        <v>23.280899999999999</v>
      </c>
      <c r="AB32" s="59" t="e">
        <f>VLOOKUP(A32,Enforcements!$C$7:$K$13,8,0)</f>
        <v>#N/A</v>
      </c>
      <c r="AC32" s="55" t="e">
        <f>VLOOKUP(A32,Enforcements!$C$7:$E$13,3,0)</f>
        <v>#N/A</v>
      </c>
      <c r="AD32" s="56" t="str">
        <f t="shared" si="11"/>
        <v>0120-17</v>
      </c>
      <c r="AE32" s="85" t="str">
        <f t="shared" si="12"/>
        <v>aws s3 cp s3://rtdc.mdm.uploadarchive.raw/RTDC4019/ "%USERPROFILE%\AppData\Local\Temp\OnboardLogs"\RTDC4019\2017-03-17 --exclude "*" --recursive --include "*20170317*" &amp; "%USERPROFILE%\Documents\GitHub\mrs-test-scripts\Headless Mode &amp; Sideloading\WalkAndUnGZ.bat" "%USERPROFILE%\AppData\Local\Temp\OnboardLogs"\RTDC4019\2017-03-17 &amp; aws s3 cp s3://rtdc.mdm.uploadarchive.raw/RTDC4019/ "%USERPROFILE%\AppData\Local\Temp\OnboardLogs"\RTDC4019\2017-03-18 --exclude "*" --recursive --include "*20170318*" &amp; "%USERPROFILE%\Documents\GitHub\mrs-test-scripts\Headless Mode &amp; Sideloading\WalkAndUnGZ.bat" "%USERPROFILE%\AppData\Local\Temp\OnboardLogs"\RTDC4019\2017-03-18</v>
      </c>
      <c r="AF32" s="82" t="str">
        <f t="shared" si="13"/>
        <v>"C:\Program Files (x86)\AstroGrep\AstroGrep.exe" /e /r /s /spath="%USERPROFILE%\AppData\Local\Temp\OnboardLogs" /stypes="app*4019*20170317*" /stext=" 13:.+((SYSTEM_STATE.+slice.+state.+changed )|(ment ac)|(multiple cpu faults)|(system.+state.+changed )|(\[timeout)|(PRM\|1\|D)|(kpr)|(kdp)|(\|lc)|(penalty))"</v>
      </c>
      <c r="AG32" s="1" t="str">
        <f t="shared" si="14"/>
        <v>EC</v>
      </c>
      <c r="AH32" s="86" t="str">
        <f t="shared" si="18"/>
        <v>"%USERPROFILE%\Documents\GitHub\eaglep3\Utilities\RefineRTDCRunTimes.py" --tripid 120-17 --locoid 4019 --swversion DE.1.0.9.0 --startMP 204:232961 --initTime 2017-03-17T06:46:48 --startdatetime 2017-03-17T06:56:22 --delay 5 --endMP 204:152 --enddatetime 2017-03-17T07:38:09 --enforcementcount 0 &gt;&gt;C:\Users\stu\Documents\GitHub\eaglep3-reporting\EC\2017-03-17-refined-times.txt</v>
      </c>
      <c r="AI32" s="108" t="str">
        <f t="shared" si="19"/>
        <v>echo {"issue":{"subject":"","project_id":79,"tracker_id":40,"status_id":1,"priority_id":2,"assigned_to_id":23,"start_date":"2017-03-17","description":"","custom_fields":[{"id":1,"name":"Subdivision","value":"EC"},{"id":4,"name":"Milepost","value":"0.0152"},{"id":17,"name":"Train ID","value":"120-17"},{"id":16,"name":"Locomotive ID","value":"4019"},{"id":130,"name":"Impact","value":""},{"id":150,"name":"Time of Event (Mountain Time)","value":"07:38:09"},{"id":151,"name":"Denver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48"/>
      <c r="AK32" s="48"/>
      <c r="AL32" s="48"/>
      <c r="AM32" s="154" t="str">
        <f t="shared" si="20"/>
        <v>start /low /b %USERPROFILE%\Documents\GitHub\eaglep3\Utilities\DownloadLogsFromS3.py --loco 4019 --day 2017-03-17</v>
      </c>
      <c r="AN32" s="163" t="str">
        <f>"grep -SE -B400 ""CHR.+\|PRM\|1\|D.+(SWITCH|SIGNAL).+UNKNOWN"" "&amp;search_path&amp;"\RTDC"&amp;B32&amp;"\*"&amp;B32&amp;"*"&amp;TEXT(AVERAGE(F32,I32)-utc_offset/24,"YYYYMMDD")&amp;"*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"%USERPROFILE%\AppData\Local\Temp\OnboardLogs"\RTDC4019\*4019*20170317* | grep -SE "(Enforcement Action)|(\[TIMEOUT)|(CHR.+\|PRM\|1\|D.+(SWITCH|SIGNAL).+UNKNOWN)" - &gt;&gt; 2017-03-17-UncaughtWiMAX.txt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3" t="s">
        <v>674</v>
      </c>
      <c r="B33" s="7">
        <v>4002</v>
      </c>
      <c r="C33" s="21" t="s">
        <v>227</v>
      </c>
      <c r="D33" s="21" t="s">
        <v>447</v>
      </c>
      <c r="E33" s="13">
        <v>42811.257777777777</v>
      </c>
      <c r="F33" s="13">
        <v>42811.260636574072</v>
      </c>
      <c r="G33" s="7">
        <v>1</v>
      </c>
      <c r="H33" s="21" t="s">
        <v>515</v>
      </c>
      <c r="I33" s="13">
        <v>42811.285787037035</v>
      </c>
      <c r="J33" s="7">
        <v>0</v>
      </c>
      <c r="K33" s="98" t="str">
        <f t="shared" si="0"/>
        <v>4001/4002</v>
      </c>
      <c r="L33" s="21" t="str">
        <f>VLOOKUP(A33,'Trips&amp;Operators'!$C$1:$G$99999,5,FALSE)</f>
        <v>STARKS ANGELINA</v>
      </c>
      <c r="M33" s="6">
        <f t="shared" si="1"/>
        <v>2.5150462963210884E-2</v>
      </c>
      <c r="N33" s="7">
        <f t="shared" si="2"/>
        <v>36.216666667023674</v>
      </c>
      <c r="O33" s="7"/>
      <c r="P33" s="7"/>
      <c r="Q33" s="22"/>
      <c r="R33" s="22"/>
      <c r="S33" s="31">
        <f t="shared" si="3"/>
        <v>1</v>
      </c>
      <c r="T33" s="46" t="str">
        <f t="shared" si="4"/>
        <v>NorthBound</v>
      </c>
      <c r="U33" s="185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86" t="str">
        <f t="shared" si="5"/>
        <v>https://d0f6bd738d7f1b3e5a7ca70fe4ff75f0.us-east-1.aws.found.io/app/kibana#/discover/Steve-Slow-Train-Analysis-(2080s-and-2083s)?_g=(refreshInterval:(display:Off,pause:!f,section:0,value:0),time:(from:'2017-03-17T05:11:12-0600',mode:absolute,to:'2017-03-17T07:51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33" s="187" t="str">
        <f t="shared" si="6"/>
        <v>N</v>
      </c>
      <c r="X33" s="187">
        <f t="shared" si="7"/>
        <v>1</v>
      </c>
      <c r="Y33" s="62">
        <f t="shared" si="8"/>
        <v>4.7100000000000003E-2</v>
      </c>
      <c r="Z33" s="62">
        <f t="shared" si="9"/>
        <v>23.330400000000001</v>
      </c>
      <c r="AA33" s="62">
        <f t="shared" si="10"/>
        <v>23.283300000000001</v>
      </c>
      <c r="AB33" s="59" t="e">
        <f>VLOOKUP(A33,Enforcements!$C$7:$K$13,8,0)</f>
        <v>#N/A</v>
      </c>
      <c r="AC33" s="55" t="e">
        <f>VLOOKUP(A33,Enforcements!$C$7:$E$13,3,0)</f>
        <v>#N/A</v>
      </c>
      <c r="AD33" s="56" t="str">
        <f t="shared" si="11"/>
        <v>0121-17</v>
      </c>
      <c r="AE33" s="85" t="str">
        <f t="shared" si="12"/>
        <v>aws s3 cp s3://rtdc.mdm.uploadarchive.raw/RTDC4002/ "%USERPROFILE%\AppData\Local\Temp\OnboardLogs"\RTDC4002\2017-03-17 --exclude "*" --recursive --include "*20170317*" &amp; "%USERPROFILE%\Documents\GitHub\mrs-test-scripts\Headless Mode &amp; Sideloading\WalkAndUnGZ.bat" "%USERPROFILE%\AppData\Local\Temp\OnboardLogs"\RTDC4002\2017-03-17 &amp; aws s3 cp s3://rtdc.mdm.uploadarchive.raw/RTDC4002/ "%USERPROFILE%\AppData\Local\Temp\OnboardLogs"\RTDC4002\2017-03-18 --exclude "*" --recursive --include "*20170318*" &amp; "%USERPROFILE%\Documents\GitHub\mrs-test-scripts\Headless Mode &amp; Sideloading\WalkAndUnGZ.bat" "%USERPROFILE%\AppData\Local\Temp\OnboardLogs"\RTDC4002\2017-03-18</v>
      </c>
      <c r="AF33" s="82" t="str">
        <f t="shared" si="13"/>
        <v>"C:\Program Files (x86)\AstroGrep\AstroGrep.exe" /e /r /s /spath="%USERPROFILE%\AppData\Local\Temp\OnboardLogs" /stypes="app*4002*20170317*" /stext=" 12:.+((SYSTEM_STATE.+slice.+state.+changed )|(ment ac)|(multiple cpu faults)|(system.+state.+changed )|(\[timeout)|(PRM\|1\|D)|(kpr)|(kdp)|(\|lc)|(penalty))"</v>
      </c>
      <c r="AG33" s="1" t="str">
        <f t="shared" si="14"/>
        <v>EC</v>
      </c>
      <c r="AH33" s="86" t="str">
        <f t="shared" si="18"/>
        <v>"%USERPROFILE%\Documents\GitHub\eaglep3\Utilities\RefineRTDCRunTimes.py" --tripid 121-17 --locoid 4002 --swversion DE.1.0.9.0 --startMP 204:471 --initTime 2017-03-17T06:11:12 --startdatetime 2017-03-17T06:15:19 --delay 1 --endMP 204:233304 --enddatetime 2017-03-17T06:51:32 --enforcementcount 0 &gt;&gt;C:\Users\stu\Documents\GitHub\eaglep3-reporting\EC\2017-03-17-refined-times.txt</v>
      </c>
      <c r="AI33" s="108" t="str">
        <f t="shared" si="19"/>
        <v>echo {"issue":{"subject":"","project_id":79,"tracker_id":40,"status_id":1,"priority_id":2,"assigned_to_id":23,"start_date":"2017-03-17","description":"","custom_fields":[{"id":1,"name":"Subdivision","value":"EC"},{"id":4,"name":"Milepost","value":"23.3304"},{"id":17,"name":"Train ID","value":"121-17"},{"id":16,"name":"Locomotive ID","value":"4002"},{"id":130,"name":"Impact","value":""},{"id":150,"name":"Time of Event (Mountain Time)","value":"06:51:32"},{"id":151,"name":"Denver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48"/>
      <c r="AK33" s="48"/>
      <c r="AL33" s="48"/>
      <c r="AM33" s="154" t="str">
        <f t="shared" si="20"/>
        <v>start /low /b %USERPROFILE%\Documents\GitHub\eaglep3\Utilities\DownloadLogsFromS3.py --loco 4002 --day 2017-03-17</v>
      </c>
      <c r="AN33" s="163" t="str">
        <f>"grep -SE -B400 ""CHR.+\|PRM\|1\|D.+(SWITCH|SIGNAL).+UNKNOWN"" "&amp;search_path&amp;"\RTDC"&amp;B33&amp;"\*"&amp;B33&amp;"*"&amp;TEXT(AVERAGE(F33,I33)-utc_offset/24,"YYYYMMDD")&amp;"*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"%USERPROFILE%\AppData\Local\Temp\OnboardLogs"\RTDC4002\*4002*20170317* | grep -SE "(Enforcement Action)|(\[TIMEOUT)|(CHR.+\|PRM\|1\|D.+(SWITCH|SIGNAL).+UNKNOWN)" - &gt;&gt; 2017-03-17-UncaughtWiMAX.txt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3" t="s">
        <v>685</v>
      </c>
      <c r="B34" s="7">
        <v>4001</v>
      </c>
      <c r="C34" s="21" t="s">
        <v>227</v>
      </c>
      <c r="D34" s="21" t="s">
        <v>386</v>
      </c>
      <c r="E34" s="13">
        <v>42811.296157407407</v>
      </c>
      <c r="F34" s="13">
        <v>42811.299467592595</v>
      </c>
      <c r="G34" s="7">
        <v>1</v>
      </c>
      <c r="H34" s="21" t="s">
        <v>184</v>
      </c>
      <c r="I34" s="13">
        <v>42811.327175925922</v>
      </c>
      <c r="J34" s="7">
        <v>0</v>
      </c>
      <c r="K34" s="98" t="str">
        <f t="shared" si="0"/>
        <v>4001/4002</v>
      </c>
      <c r="L34" s="21" t="str">
        <f>VLOOKUP(A34,'Trips&amp;Operators'!$C$1:$G$99999,5,FALSE)</f>
        <v>STARKS ANGELINA</v>
      </c>
      <c r="M34" s="6">
        <f t="shared" si="1"/>
        <v>2.770833332760958E-2</v>
      </c>
      <c r="N34" s="7">
        <f t="shared" si="2"/>
        <v>39.899999991757795</v>
      </c>
      <c r="O34" s="7"/>
      <c r="P34" s="7"/>
      <c r="Q34" s="22"/>
      <c r="R34" s="22"/>
      <c r="S34" s="31">
        <f t="shared" si="3"/>
        <v>1</v>
      </c>
      <c r="T34" s="46" t="str">
        <f t="shared" si="4"/>
        <v>Southbound</v>
      </c>
      <c r="U34" s="185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86" t="str">
        <f t="shared" si="5"/>
        <v>https://d0f6bd738d7f1b3e5a7ca70fe4ff75f0.us-east-1.aws.found.io/app/kibana#/discover/Steve-Slow-Train-Analysis-(2080s-and-2083s)?_g=(refreshInterval:(display:Off,pause:!f,section:0,value:0),time:(from:'2017-03-17T06:06:28-0600',mode:absolute,to:'2017-03-17T08:51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34" s="187" t="str">
        <f t="shared" si="6"/>
        <v>N</v>
      </c>
      <c r="X34" s="187">
        <f t="shared" si="7"/>
        <v>1</v>
      </c>
      <c r="Y34" s="62">
        <f t="shared" si="8"/>
        <v>23.2974</v>
      </c>
      <c r="Z34" s="62">
        <f t="shared" si="9"/>
        <v>1.49E-2</v>
      </c>
      <c r="AA34" s="62">
        <f t="shared" si="10"/>
        <v>23.282499999999999</v>
      </c>
      <c r="AB34" s="59" t="e">
        <f>VLOOKUP(A34,Enforcements!$C$7:$K$13,8,0)</f>
        <v>#N/A</v>
      </c>
      <c r="AC34" s="55" t="e">
        <f>VLOOKUP(A34,Enforcements!$C$7:$E$13,3,0)</f>
        <v>#N/A</v>
      </c>
      <c r="AD34" s="56" t="str">
        <f t="shared" si="11"/>
        <v>0122-17</v>
      </c>
      <c r="AE34" s="85" t="str">
        <f t="shared" si="12"/>
        <v>aws s3 cp s3://rtdc.mdm.uploadarchive.raw/RTDC4001/ "%USERPROFILE%\AppData\Local\Temp\OnboardLogs"\RTDC4001\2017-03-17 --exclude "*" --recursive --include "*20170317*" &amp; "%USERPROFILE%\Documents\GitHub\mrs-test-scripts\Headless Mode &amp; Sideloading\WalkAndUnGZ.bat" "%USERPROFILE%\AppData\Local\Temp\OnboardLogs"\RTDC4001\2017-03-17 &amp; aws s3 cp s3://rtdc.mdm.uploadarchive.raw/RTDC4001/ "%USERPROFILE%\AppData\Local\Temp\OnboardLogs"\RTDC4001\2017-03-18 --exclude "*" --recursive --include "*20170318*" &amp; "%USERPROFILE%\Documents\GitHub\mrs-test-scripts\Headless Mode &amp; Sideloading\WalkAndUnGZ.bat" "%USERPROFILE%\AppData\Local\Temp\OnboardLogs"\RTDC4001\2017-03-18</v>
      </c>
      <c r="AF34" s="82" t="str">
        <f t="shared" si="13"/>
        <v>"C:\Program Files (x86)\AstroGrep\AstroGrep.exe" /e /r /s /spath="%USERPROFILE%\AppData\Local\Temp\OnboardLogs" /stypes="app*4001*20170317*" /stext=" 13:.+((SYSTEM_STATE.+slice.+state.+changed )|(ment ac)|(multiple cpu faults)|(system.+state.+changed )|(\[timeout)|(PRM\|1\|D)|(kpr)|(kdp)|(\|lc)|(penalty))"</v>
      </c>
      <c r="AG34" s="1" t="str">
        <f t="shared" si="14"/>
        <v>EC</v>
      </c>
      <c r="AH34" s="86" t="str">
        <f t="shared" si="18"/>
        <v>"%USERPROFILE%\Documents\GitHub\eaglep3\Utilities\RefineRTDCRunTimes.py" --tripid 122-17 --locoid 4001 --swversion DE.1.0.9.0 --startMP 204:232974 --initTime 2017-03-17T07:06:28 --startdatetime 2017-03-17T07:11:14 --delay 1 --endMP 204:149 --enddatetime 2017-03-17T07:51:08 --enforcementcount 0 &gt;&gt;C:\Users\stu\Documents\GitHub\eaglep3-reporting\EC\2017-03-17-refined-times.txt</v>
      </c>
      <c r="AI34" s="108" t="str">
        <f t="shared" si="19"/>
        <v>echo {"issue":{"subject":"","project_id":79,"tracker_id":40,"status_id":1,"priority_id":2,"assigned_to_id":23,"start_date":"2017-03-17","description":"","custom_fields":[{"id":1,"name":"Subdivision","value":"EC"},{"id":4,"name":"Milepost","value":"0.0149"},{"id":17,"name":"Train ID","value":"122-17"},{"id":16,"name":"Locomotive ID","value":"4001"},{"id":130,"name":"Impact","value":""},{"id":150,"name":"Time of Event (Mountain Time)","value":"07:51:08"},{"id":151,"name":"Denver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48"/>
      <c r="AK34" s="48"/>
      <c r="AL34" s="48"/>
      <c r="AM34" s="154" t="str">
        <f t="shared" si="20"/>
        <v>start /low /b %USERPROFILE%\Documents\GitHub\eaglep3\Utilities\DownloadLogsFromS3.py --loco 4001 --day 2017-03-17</v>
      </c>
      <c r="AN34" s="163" t="str">
        <f>"grep -SE -B400 ""CHR.+\|PRM\|1\|D.+(SWITCH|SIGNAL).+UNKNOWN"" "&amp;search_path&amp;"\RTDC"&amp;B34&amp;"\*"&amp;B34&amp;"*"&amp;TEXT(AVERAGE(F34,I34)-utc_offset/24,"YYYYMMDD")&amp;"*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"%USERPROFILE%\AppData\Local\Temp\OnboardLogs"\RTDC4001\*4001*20170317* | grep -SE "(Enforcement Action)|(\[TIMEOUT)|(CHR.+\|PRM\|1\|D.+(SWITCH|SIGNAL).+UNKNOWN)" - &gt;&gt; 2017-03-17-UncaughtWiMAX.txt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3" t="s">
        <v>678</v>
      </c>
      <c r="B35" s="7">
        <v>4018</v>
      </c>
      <c r="C35" s="21" t="s">
        <v>227</v>
      </c>
      <c r="D35" s="21" t="s">
        <v>216</v>
      </c>
      <c r="E35" s="13">
        <v>42811.26798611111</v>
      </c>
      <c r="F35" s="13">
        <v>42811.271238425928</v>
      </c>
      <c r="G35" s="7">
        <v>2</v>
      </c>
      <c r="H35" s="21" t="s">
        <v>384</v>
      </c>
      <c r="I35" s="13">
        <v>42811.29582175926</v>
      </c>
      <c r="J35" s="7">
        <v>0</v>
      </c>
      <c r="K35" s="98" t="str">
        <f t="shared" si="0"/>
        <v>4017/4018</v>
      </c>
      <c r="L35" s="21" t="str">
        <f>VLOOKUP(A35,'Trips&amp;Operators'!$C$1:$G$99999,5,FALSE)</f>
        <v>LOZA FIDEL</v>
      </c>
      <c r="M35" s="6">
        <f t="shared" si="1"/>
        <v>2.4583333331975155E-2</v>
      </c>
      <c r="N35" s="7">
        <f t="shared" si="2"/>
        <v>35.399999998044223</v>
      </c>
      <c r="O35" s="7"/>
      <c r="P35" s="7"/>
      <c r="Q35" s="22"/>
      <c r="R35" s="22"/>
      <c r="S35" s="31">
        <f t="shared" si="3"/>
        <v>1</v>
      </c>
      <c r="T35" s="46" t="str">
        <f t="shared" si="4"/>
        <v>NorthBound</v>
      </c>
      <c r="U35" s="185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86" t="str">
        <f t="shared" si="5"/>
        <v>https://d0f6bd738d7f1b3e5a7ca70fe4ff75f0.us-east-1.aws.found.io/app/kibana#/discover/Steve-Slow-Train-Analysis-(2080s-and-2083s)?_g=(refreshInterval:(display:Off,pause:!f,section:0,value:0),time:(from:'2017-03-17T05:25:54-0600',mode:absolute,to:'2017-03-17T08:05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35" s="187" t="str">
        <f t="shared" si="6"/>
        <v>N</v>
      </c>
      <c r="X35" s="187">
        <f t="shared" si="7"/>
        <v>1</v>
      </c>
      <c r="Y35" s="62">
        <f t="shared" si="8"/>
        <v>4.5499999999999999E-2</v>
      </c>
      <c r="Z35" s="62">
        <f t="shared" si="9"/>
        <v>23.3307</v>
      </c>
      <c r="AA35" s="62">
        <f t="shared" si="10"/>
        <v>23.2852</v>
      </c>
      <c r="AB35" s="59" t="e">
        <f>VLOOKUP(A35,Enforcements!$C$7:$K$13,8,0)</f>
        <v>#N/A</v>
      </c>
      <c r="AC35" s="55" t="e">
        <f>VLOOKUP(A35,Enforcements!$C$7:$E$13,3,0)</f>
        <v>#N/A</v>
      </c>
      <c r="AD35" s="56" t="str">
        <f t="shared" si="11"/>
        <v>0123-17</v>
      </c>
      <c r="AE35" s="85" t="str">
        <f t="shared" si="12"/>
        <v>aws s3 cp s3://rtdc.mdm.uploadarchive.raw/RTDC4018/ "%USERPROFILE%\AppData\Local\Temp\OnboardLogs"\RTDC4018\2017-03-17 --exclude "*" --recursive --include "*20170317*" &amp; "%USERPROFILE%\Documents\GitHub\mrs-test-scripts\Headless Mode &amp; Sideloading\WalkAndUnGZ.bat" "%USERPROFILE%\AppData\Local\Temp\OnboardLogs"\RTDC4018\2017-03-17 &amp; aws s3 cp s3://rtdc.mdm.uploadarchive.raw/RTDC4018/ "%USERPROFILE%\AppData\Local\Temp\OnboardLogs"\RTDC4018\2017-03-18 --exclude "*" --recursive --include "*20170318*" &amp; "%USERPROFILE%\Documents\GitHub\mrs-test-scripts\Headless Mode &amp; Sideloading\WalkAndUnGZ.bat" "%USERPROFILE%\AppData\Local\Temp\OnboardLogs"\RTDC4018\2017-03-18</v>
      </c>
      <c r="AF35" s="82" t="str">
        <f t="shared" si="13"/>
        <v>"C:\Program Files (x86)\AstroGrep\AstroGrep.exe" /e /r /s /spath="%USERPROFILE%\AppData\Local\Temp\OnboardLogs" /stypes="app*4018*20170317*" /stext=" 13:.+((SYSTEM_STATE.+slice.+state.+changed )|(ment ac)|(multiple cpu faults)|(system.+state.+changed )|(\[timeout)|(PRM\|1\|D)|(kpr)|(kdp)|(\|lc)|(penalty))"</v>
      </c>
      <c r="AG35" s="1" t="str">
        <f t="shared" si="14"/>
        <v>EC</v>
      </c>
      <c r="AH35" s="86" t="str">
        <f t="shared" si="18"/>
        <v>"%USERPROFILE%\Documents\GitHub\eaglep3\Utilities\RefineRTDCRunTimes.py" --tripid 123-17 --locoid 4018 --swversion DE.1.0.9.0 --startMP 204:455 --initTime 2017-03-17T06:25:54 --startdatetime 2017-03-17T06:30:35 --delay 2 --endMP 204:233307 --enddatetime 2017-03-17T07:05:59 --enforcementcount 0 &gt;&gt;C:\Users\stu\Documents\GitHub\eaglep3-reporting\EC\2017-03-17-refined-times.txt</v>
      </c>
      <c r="AI35" s="108" t="str">
        <f t="shared" si="19"/>
        <v>echo {"issue":{"subject":"","project_id":79,"tracker_id":40,"status_id":1,"priority_id":2,"assigned_to_id":23,"start_date":"2017-03-17","description":"","custom_fields":[{"id":1,"name":"Subdivision","value":"EC"},{"id":4,"name":"Milepost","value":"23.3307"},{"id":17,"name":"Train ID","value":"123-17"},{"id":16,"name":"Locomotive ID","value":"4018"},{"id":130,"name":"Impact","value":""},{"id":150,"name":"Time of Event (Mountain Time)","value":"07:05:59"},{"id":151,"name":"Denver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48"/>
      <c r="AK35" s="48"/>
      <c r="AL35" s="48"/>
      <c r="AM35" s="154" t="str">
        <f t="shared" si="20"/>
        <v>start /low /b %USERPROFILE%\Documents\GitHub\eaglep3\Utilities\DownloadLogsFromS3.py --loco 4018 --day 2017-03-17</v>
      </c>
      <c r="AN35" s="163" t="str">
        <f>"grep -SE -B400 ""CHR.+\|PRM\|1\|D.+(SWITCH|SIGNAL).+UNKNOWN"" "&amp;search_path&amp;"\RTDC"&amp;B35&amp;"\*"&amp;B35&amp;"*"&amp;TEXT(AVERAGE(F35,I35)-utc_offset/24,"YYYYMMDD")&amp;"*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"%USERPROFILE%\AppData\Local\Temp\OnboardLogs"\RTDC4018\*4018*20170317* | grep -SE "(Enforcement Action)|(\[TIMEOUT)|(CHR.+\|PRM\|1\|D.+(SWITCH|SIGNAL).+UNKNOWN)" - &gt;&gt; 2017-03-17-UncaughtWiMAX.txt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3" t="s">
        <v>687</v>
      </c>
      <c r="B36" s="7">
        <v>4017</v>
      </c>
      <c r="C36" s="21" t="s">
        <v>227</v>
      </c>
      <c r="D36" s="21" t="s">
        <v>559</v>
      </c>
      <c r="E36" s="13">
        <v>42811.304675925923</v>
      </c>
      <c r="F36" s="13">
        <v>42811.309976851851</v>
      </c>
      <c r="G36" s="7">
        <v>1</v>
      </c>
      <c r="H36" s="21" t="s">
        <v>206</v>
      </c>
      <c r="I36" s="13">
        <v>42811.338680555556</v>
      </c>
      <c r="J36" s="7">
        <v>0</v>
      </c>
      <c r="K36" s="98" t="str">
        <f t="shared" si="0"/>
        <v>4017/4018</v>
      </c>
      <c r="L36" s="21" t="str">
        <f>VLOOKUP(A36,'Trips&amp;Operators'!$C$1:$G$99999,5,FALSE)</f>
        <v>LOZA FIDEL</v>
      </c>
      <c r="M36" s="6">
        <f t="shared" si="1"/>
        <v>2.8703703705104999E-2</v>
      </c>
      <c r="N36" s="7">
        <f t="shared" si="2"/>
        <v>41.333333335351199</v>
      </c>
      <c r="O36" s="7"/>
      <c r="P36" s="7"/>
      <c r="Q36" s="22"/>
      <c r="R36" s="22"/>
      <c r="S36" s="31">
        <f t="shared" si="3"/>
        <v>1</v>
      </c>
      <c r="T36" s="46" t="str">
        <f t="shared" si="4"/>
        <v>Southbound</v>
      </c>
      <c r="U36" s="185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86" t="str">
        <f t="shared" si="5"/>
        <v>https://d0f6bd738d7f1b3e5a7ca70fe4ff75f0.us-east-1.aws.found.io/app/kibana#/discover/Steve-Slow-Train-Analysis-(2080s-and-2083s)?_g=(refreshInterval:(display:Off,pause:!f,section:0,value:0),time:(from:'2017-03-17T06:18:44-0600',mode:absolute,to:'2017-03-17T09:07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36" s="187" t="str">
        <f t="shared" si="6"/>
        <v>N</v>
      </c>
      <c r="X36" s="187">
        <f t="shared" si="7"/>
        <v>1</v>
      </c>
      <c r="Y36" s="62">
        <f t="shared" si="8"/>
        <v>23.299199999999999</v>
      </c>
      <c r="Z36" s="62">
        <f t="shared" si="9"/>
        <v>1.54E-2</v>
      </c>
      <c r="AA36" s="62">
        <f t="shared" si="10"/>
        <v>23.283799999999999</v>
      </c>
      <c r="AB36" s="59" t="e">
        <f>VLOOKUP(A36,Enforcements!$C$7:$K$13,8,0)</f>
        <v>#N/A</v>
      </c>
      <c r="AC36" s="55" t="e">
        <f>VLOOKUP(A36,Enforcements!$C$7:$E$13,3,0)</f>
        <v>#N/A</v>
      </c>
      <c r="AD36" s="56" t="str">
        <f t="shared" si="11"/>
        <v>0124-17</v>
      </c>
      <c r="AE36" s="85" t="str">
        <f t="shared" si="12"/>
        <v>aws s3 cp s3://rtdc.mdm.uploadarchive.raw/RTDC4017/ "%USERPROFILE%\AppData\Local\Temp\OnboardLogs"\RTDC4017\2017-03-17 --exclude "*" --recursive --include "*20170317*" &amp; "%USERPROFILE%\Documents\GitHub\mrs-test-scripts\Headless Mode &amp; Sideloading\WalkAndUnGZ.bat" "%USERPROFILE%\AppData\Local\Temp\OnboardLogs"\RTDC4017\2017-03-17 &amp; aws s3 cp s3://rtdc.mdm.uploadarchive.raw/RTDC4017/ "%USERPROFILE%\AppData\Local\Temp\OnboardLogs"\RTDC4017\2017-03-18 --exclude "*" --recursive --include "*20170318*" &amp; "%USERPROFILE%\Documents\GitHub\mrs-test-scripts\Headless Mode &amp; Sideloading\WalkAndUnGZ.bat" "%USERPROFILE%\AppData\Local\Temp\OnboardLogs"\RTDC4017\2017-03-18</v>
      </c>
      <c r="AF36" s="82" t="str">
        <f t="shared" si="13"/>
        <v>"C:\Program Files (x86)\AstroGrep\AstroGrep.exe" /e /r /s /spath="%USERPROFILE%\AppData\Local\Temp\OnboardLogs" /stypes="app*4017*20170317*" /stext=" 14:.+((SYSTEM_STATE.+slice.+state.+changed )|(ment ac)|(multiple cpu faults)|(system.+state.+changed )|(\[timeout)|(PRM\|1\|D)|(kpr)|(kdp)|(\|lc)|(penalty))"</v>
      </c>
      <c r="AG36" s="1" t="str">
        <f t="shared" si="14"/>
        <v>EC</v>
      </c>
      <c r="AH36" s="86" t="str">
        <f t="shared" si="18"/>
        <v>"%USERPROFILE%\Documents\GitHub\eaglep3\Utilities\RefineRTDCRunTimes.py" --tripid 124-17 --locoid 4017 --swversion DE.1.0.9.0 --startMP 204:232992 --initTime 2017-03-17T07:18:44 --startdatetime 2017-03-17T07:26:22 --delay 1 --endMP 204:154 --enddatetime 2017-03-17T08:07:42 --enforcementcount 0 &gt;&gt;C:\Users\stu\Documents\GitHub\eaglep3-reporting\EC\2017-03-17-refined-times.txt</v>
      </c>
      <c r="AI36" s="108" t="str">
        <f t="shared" si="19"/>
        <v>echo {"issue":{"subject":"","project_id":79,"tracker_id":40,"status_id":1,"priority_id":2,"assigned_to_id":23,"start_date":"2017-03-17","description":"","custom_fields":[{"id":1,"name":"Subdivision","value":"EC"},{"id":4,"name":"Milepost","value":"0.0154"},{"id":17,"name":"Train ID","value":"124-17"},{"id":16,"name":"Locomotive ID","value":"4017"},{"id":130,"name":"Impact","value":""},{"id":150,"name":"Time of Event (Mountain Time)","value":"08:07:42"},{"id":151,"name":"Denver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48"/>
      <c r="AK36" s="48"/>
      <c r="AL36" s="48"/>
      <c r="AM36" s="154" t="str">
        <f t="shared" si="20"/>
        <v>start /low /b %USERPROFILE%\Documents\GitHub\eaglep3\Utilities\DownloadLogsFromS3.py --loco 4017 --day 2017-03-17</v>
      </c>
      <c r="AN36" s="163" t="str">
        <f>"grep -SE -B400 ""CHR.+\|PRM\|1\|D.+(SWITCH|SIGNAL).+UNKNOWN"" "&amp;search_path&amp;"\RTDC"&amp;B36&amp;"\*"&amp;B36&amp;"*"&amp;TEXT(AVERAGE(F36,I36)-utc_offset/24,"YYYYMMDD")&amp;"*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"%USERPROFILE%\AppData\Local\Temp\OnboardLogs"\RTDC4017\*4017*20170317* | grep -SE "(Enforcement Action)|(\[TIMEOUT)|(CHR.+\|PRM\|1\|D.+(SWITCH|SIGNAL).+UNKNOWN)" - &gt;&gt; 2017-03-17-UncaughtWiMAX.txt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3" t="s">
        <v>680</v>
      </c>
      <c r="B37" s="7">
        <v>4053</v>
      </c>
      <c r="C37" s="21" t="s">
        <v>227</v>
      </c>
      <c r="D37" s="21" t="s">
        <v>209</v>
      </c>
      <c r="E37" s="13">
        <v>42811.279108796298</v>
      </c>
      <c r="F37" s="13">
        <v>42811.281782407408</v>
      </c>
      <c r="G37" s="7">
        <v>1</v>
      </c>
      <c r="H37" s="21" t="s">
        <v>864</v>
      </c>
      <c r="I37" s="13">
        <v>42811.307592592595</v>
      </c>
      <c r="J37" s="7">
        <v>0</v>
      </c>
      <c r="K37" s="98" t="str">
        <f t="shared" si="0"/>
        <v>4053/4054</v>
      </c>
      <c r="L37" s="21" t="str">
        <f>VLOOKUP(A37,'Trips&amp;Operators'!$C$1:$G$99999,5,FALSE)</f>
        <v>BONDS REYNALDO</v>
      </c>
      <c r="M37" s="6">
        <f t="shared" si="1"/>
        <v>2.5810185186855961E-2</v>
      </c>
      <c r="N37" s="7">
        <f t="shared" si="2"/>
        <v>37.166666669072583</v>
      </c>
      <c r="O37" s="7"/>
      <c r="P37" s="7"/>
      <c r="Q37" s="22"/>
      <c r="R37" s="22"/>
      <c r="S37" s="31">
        <f t="shared" si="3"/>
        <v>1</v>
      </c>
      <c r="T37" s="46" t="str">
        <f t="shared" si="4"/>
        <v>NorthBound</v>
      </c>
      <c r="U37" s="185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86" t="str">
        <f t="shared" si="5"/>
        <v>https://d0f6bd738d7f1b3e5a7ca70fe4ff75f0.us-east-1.aws.found.io/app/kibana#/discover/Steve-Slow-Train-Analysis-(2080s-and-2083s)?_g=(refreshInterval:(display:Off,pause:!f,section:0,value:0),time:(from:'2017-03-17T05:41:55-0600',mode:absolute,to:'2017-03-17T08:22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37" s="187" t="str">
        <f t="shared" si="6"/>
        <v>N</v>
      </c>
      <c r="X37" s="187">
        <f t="shared" si="7"/>
        <v>1</v>
      </c>
      <c r="Y37" s="62">
        <f t="shared" si="8"/>
        <v>4.5699999999999998E-2</v>
      </c>
      <c r="Z37" s="62">
        <f t="shared" si="9"/>
        <v>23.3325</v>
      </c>
      <c r="AA37" s="62">
        <f t="shared" si="10"/>
        <v>23.286799999999999</v>
      </c>
      <c r="AB37" s="59" t="e">
        <f>VLOOKUP(A37,Enforcements!$C$7:$K$13,8,0)</f>
        <v>#N/A</v>
      </c>
      <c r="AC37" s="55" t="e">
        <f>VLOOKUP(A37,Enforcements!$C$7:$E$13,3,0)</f>
        <v>#N/A</v>
      </c>
      <c r="AD37" s="56" t="str">
        <f t="shared" si="11"/>
        <v>0125-17</v>
      </c>
      <c r="AE37" s="85" t="str">
        <f t="shared" si="12"/>
        <v>aws s3 cp s3://rtdc.mdm.uploadarchive.raw/RTDC4053/ "%USERPROFILE%\AppData\Local\Temp\OnboardLogs"\RTDC4053\2017-03-17 --exclude "*" --recursive --include "*20170317*" &amp; "%USERPROFILE%\Documents\GitHub\mrs-test-scripts\Headless Mode &amp; Sideloading\WalkAndUnGZ.bat" "%USERPROFILE%\AppData\Local\Temp\OnboardLogs"\RTDC4053\2017-03-17 &amp; aws s3 cp s3://rtdc.mdm.uploadarchive.raw/RTDC4053/ "%USERPROFILE%\AppData\Local\Temp\OnboardLogs"\RTDC4053\2017-03-18 --exclude "*" --recursive --include "*20170318*" &amp; "%USERPROFILE%\Documents\GitHub\mrs-test-scripts\Headless Mode &amp; Sideloading\WalkAndUnGZ.bat" "%USERPROFILE%\AppData\Local\Temp\OnboardLogs"\RTDC4053\2017-03-18</v>
      </c>
      <c r="AF37" s="82" t="str">
        <f t="shared" si="13"/>
        <v>"C:\Program Files (x86)\AstroGrep\AstroGrep.exe" /e /r /s /spath="%USERPROFILE%\AppData\Local\Temp\OnboardLogs" /stypes="app*4053*20170317*" /stext=" 13:.+((SYSTEM_STATE.+slice.+state.+changed )|(ment ac)|(multiple cpu faults)|(system.+state.+changed )|(\[timeout)|(PRM\|1\|D)|(kpr)|(kdp)|(\|lc)|(penalty))"</v>
      </c>
      <c r="AG37" s="1" t="str">
        <f t="shared" si="14"/>
        <v>EC</v>
      </c>
      <c r="AH37" s="86" t="str">
        <f t="shared" si="18"/>
        <v>"%USERPROFILE%\Documents\GitHub\eaglep3\Utilities\RefineRTDCRunTimes.py" --tripid 125-17 --locoid 4053 --swversion DE.1.0.9.0 --startMP 204:457 --initTime 2017-03-17T06:41:55 --startdatetime 2017-03-17T06:45:46 --delay 1 --endMP 204:233325 --enddatetime 2017-03-17T07:22:56 --enforcementcount 0 &gt;&gt;C:\Users\stu\Documents\GitHub\eaglep3-reporting\EC\2017-03-17-refined-times.txt</v>
      </c>
      <c r="AI37" s="108" t="str">
        <f t="shared" si="19"/>
        <v>echo {"issue":{"subject":"","project_id":79,"tracker_id":40,"status_id":1,"priority_id":2,"assigned_to_id":23,"start_date":"2017-03-17","description":"","custom_fields":[{"id":1,"name":"Subdivision","value":"EC"},{"id":4,"name":"Milepost","value":"23.3325"},{"id":17,"name":"Train ID","value":"125-17"},{"id":16,"name":"Locomotive ID","value":"4053"},{"id":130,"name":"Impact","value":""},{"id":150,"name":"Time of Event (Mountain Time)","value":"07:22:56"},{"id":151,"name":"Denver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48"/>
      <c r="AK37" s="48"/>
      <c r="AL37" s="48"/>
      <c r="AM37" s="154" t="str">
        <f t="shared" si="20"/>
        <v>start /low /b %USERPROFILE%\Documents\GitHub\eaglep3\Utilities\DownloadLogsFromS3.py --loco 4053 --day 2017-03-17</v>
      </c>
      <c r="AN37" s="163" t="str">
        <f>"grep -SE -B400 ""CHR.+\|PRM\|1\|D.+(SWITCH|SIGNAL).+UNKNOWN"" "&amp;search_path&amp;"\RTDC"&amp;B37&amp;"\*"&amp;B37&amp;"*"&amp;TEXT(AVERAGE(F37,I37)-utc_offset/24,"YYYYMMDD")&amp;"*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"%USERPROFILE%\AppData\Local\Temp\OnboardLogs"\RTDC4053\*4053*20170317* | grep -SE "(Enforcement Action)|(\[TIMEOUT)|(CHR.+\|PRM\|1\|D.+(SWITCH|SIGNAL).+UNKNOWN)" - &gt;&gt; 2017-03-17-UncaughtWiMAX.txt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3" t="s">
        <v>690</v>
      </c>
      <c r="B38" s="7">
        <v>4054</v>
      </c>
      <c r="C38" s="21" t="s">
        <v>227</v>
      </c>
      <c r="D38" s="21" t="s">
        <v>234</v>
      </c>
      <c r="E38" s="13">
        <v>42811.315000000002</v>
      </c>
      <c r="F38" s="13">
        <v>42811.3203125</v>
      </c>
      <c r="G38" s="7">
        <v>1</v>
      </c>
      <c r="H38" s="21" t="s">
        <v>566</v>
      </c>
      <c r="I38" s="13">
        <v>42811.347766203704</v>
      </c>
      <c r="J38" s="7">
        <v>0</v>
      </c>
      <c r="K38" s="98" t="str">
        <f t="shared" si="0"/>
        <v>4053/4054</v>
      </c>
      <c r="L38" s="21" t="str">
        <f>VLOOKUP(A38,'Trips&amp;Operators'!$C$1:$G$99999,5,FALSE)</f>
        <v>BONDS REYNALDO</v>
      </c>
      <c r="M38" s="6">
        <f t="shared" si="1"/>
        <v>2.7453703703940846E-2</v>
      </c>
      <c r="N38" s="7">
        <f t="shared" si="2"/>
        <v>39.533333333674818</v>
      </c>
      <c r="O38" s="7"/>
      <c r="P38" s="7"/>
      <c r="Q38" s="22"/>
      <c r="R38" s="22"/>
      <c r="S38" s="31">
        <f t="shared" si="3"/>
        <v>1</v>
      </c>
      <c r="T38" s="46" t="str">
        <f t="shared" si="4"/>
        <v>Southbound</v>
      </c>
      <c r="U38" s="185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86" t="str">
        <f t="shared" si="5"/>
        <v>https://d0f6bd738d7f1b3e5a7ca70fe4ff75f0.us-east-1.aws.found.io/app/kibana#/discover/Steve-Slow-Train-Analysis-(2080s-and-2083s)?_g=(refreshInterval:(display:Off,pause:!f,section:0,value:0),time:(from:'2017-03-17T06:33:36-0600',mode:absolute,to:'2017-03-17T09:20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38" s="187" t="str">
        <f t="shared" si="6"/>
        <v>N</v>
      </c>
      <c r="X38" s="187">
        <f t="shared" si="7"/>
        <v>1</v>
      </c>
      <c r="Y38" s="62">
        <f t="shared" si="8"/>
        <v>23.3</v>
      </c>
      <c r="Z38" s="62">
        <f t="shared" si="9"/>
        <v>1.6899999999999998E-2</v>
      </c>
      <c r="AA38" s="62">
        <f t="shared" si="10"/>
        <v>23.283100000000001</v>
      </c>
      <c r="AB38" s="59" t="e">
        <f>VLOOKUP(A38,Enforcements!$C$7:$K$13,8,0)</f>
        <v>#N/A</v>
      </c>
      <c r="AC38" s="55" t="e">
        <f>VLOOKUP(A38,Enforcements!$C$7:$E$13,3,0)</f>
        <v>#N/A</v>
      </c>
      <c r="AD38" s="56" t="str">
        <f t="shared" si="11"/>
        <v>0126-17</v>
      </c>
      <c r="AE38" s="85" t="str">
        <f t="shared" si="12"/>
        <v>aws s3 cp s3://rtdc.mdm.uploadarchive.raw/RTDC4054/ "%USERPROFILE%\AppData\Local\Temp\OnboardLogs"\RTDC4054\2017-03-17 --exclude "*" --recursive --include "*20170317*" &amp; "%USERPROFILE%\Documents\GitHub\mrs-test-scripts\Headless Mode &amp; Sideloading\WalkAndUnGZ.bat" "%USERPROFILE%\AppData\Local\Temp\OnboardLogs"\RTDC4054\2017-03-17 &amp; aws s3 cp s3://rtdc.mdm.uploadarchive.raw/RTDC4054/ "%USERPROFILE%\AppData\Local\Temp\OnboardLogs"\RTDC4054\2017-03-18 --exclude "*" --recursive --include "*20170318*" &amp; "%USERPROFILE%\Documents\GitHub\mrs-test-scripts\Headless Mode &amp; Sideloading\WalkAndUnGZ.bat" "%USERPROFILE%\AppData\Local\Temp\OnboardLogs"\RTDC4054\2017-03-18</v>
      </c>
      <c r="AF38" s="82" t="str">
        <f t="shared" si="13"/>
        <v>"C:\Program Files (x86)\AstroGrep\AstroGrep.exe" /e /r /s /spath="%USERPROFILE%\AppData\Local\Temp\OnboardLogs" /stypes="app*4054*20170317*" /stext=" 14:.+((SYSTEM_STATE.+slice.+state.+changed )|(ment ac)|(multiple cpu faults)|(system.+state.+changed )|(\[timeout)|(PRM\|1\|D)|(kpr)|(kdp)|(\|lc)|(penalty))"</v>
      </c>
      <c r="AG38" s="1" t="str">
        <f t="shared" si="14"/>
        <v>EC</v>
      </c>
      <c r="AH38" s="86" t="str">
        <f t="shared" si="18"/>
        <v>"%USERPROFILE%\Documents\GitHub\eaglep3\Utilities\RefineRTDCRunTimes.py" --tripid 126-17 --locoid 4054 --swversion DE.1.0.9.0 --startMP 204:233000 --initTime 2017-03-17T07:33:36 --startdatetime 2017-03-17T07:41:15 --delay 1 --endMP 204:169 --enddatetime 2017-03-17T08:20:47 --enforcementcount 0 &gt;&gt;C:\Users\stu\Documents\GitHub\eaglep3-reporting\EC\2017-03-17-refined-times.txt</v>
      </c>
      <c r="AI38" s="108" t="str">
        <f t="shared" si="19"/>
        <v>echo {"issue":{"subject":"","project_id":79,"tracker_id":40,"status_id":1,"priority_id":2,"assigned_to_id":23,"start_date":"2017-03-17","description":"","custom_fields":[{"id":1,"name":"Subdivision","value":"EC"},{"id":4,"name":"Milepost","value":"0.0169"},{"id":17,"name":"Train ID","value":"126-17"},{"id":16,"name":"Locomotive ID","value":"4054"},{"id":130,"name":"Impact","value":""},{"id":150,"name":"Time of Event (Mountain Time)","value":"08:20:47"},{"id":151,"name":"Denver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48"/>
      <c r="AK38" s="48"/>
      <c r="AL38" s="48"/>
      <c r="AM38" s="154" t="str">
        <f t="shared" si="20"/>
        <v>start /low /b %USERPROFILE%\Documents\GitHub\eaglep3\Utilities\DownloadLogsFromS3.py --loco 4054 --day 2017-03-17</v>
      </c>
      <c r="AN38" s="163" t="str">
        <f>"grep -SE -B400 ""CHR.+\|PRM\|1\|D.+(SWITCH|SIGNAL).+UNKNOWN"" "&amp;search_path&amp;"\RTDC"&amp;B38&amp;"\*"&amp;B38&amp;"*"&amp;TEXT(AVERAGE(F38,I38)-utc_offset/24,"YYYYMMDD")&amp;"*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"%USERPROFILE%\AppData\Local\Temp\OnboardLogs"\RTDC4054\*4054*20170317* | grep -SE "(Enforcement Action)|(\[TIMEOUT)|(CHR.+\|PRM\|1\|D.+(SWITCH|SIGNAL).+UNKNOWN)" - &gt;&gt; 2017-03-17-UncaughtWiMAX.txt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3" t="s">
        <v>682</v>
      </c>
      <c r="B39" s="7">
        <v>4011</v>
      </c>
      <c r="C39" s="21" t="s">
        <v>227</v>
      </c>
      <c r="D39" s="21" t="s">
        <v>865</v>
      </c>
      <c r="E39" s="13">
        <v>42811.289236111108</v>
      </c>
      <c r="F39" s="13">
        <v>42811.291898148149</v>
      </c>
      <c r="G39" s="7">
        <v>1</v>
      </c>
      <c r="H39" s="21" t="s">
        <v>866</v>
      </c>
      <c r="I39" s="13">
        <v>42811.317291666666</v>
      </c>
      <c r="J39" s="7">
        <v>0</v>
      </c>
      <c r="K39" s="98" t="str">
        <f t="shared" si="0"/>
        <v>4011/4012</v>
      </c>
      <c r="L39" s="21" t="str">
        <f>VLOOKUP(A39,'Trips&amp;Operators'!$C$1:$G$99999,5,FALSE)</f>
        <v>BADERTSCHER DIANE</v>
      </c>
      <c r="M39" s="6">
        <f t="shared" si="1"/>
        <v>2.5393518517375924E-2</v>
      </c>
      <c r="N39" s="7">
        <f t="shared" si="2"/>
        <v>36.56666666502133</v>
      </c>
      <c r="O39" s="7"/>
      <c r="P39" s="7"/>
      <c r="Q39" s="22"/>
      <c r="R39" s="22"/>
      <c r="S39" s="31">
        <f t="shared" si="3"/>
        <v>1</v>
      </c>
      <c r="T39" s="46" t="str">
        <f t="shared" si="4"/>
        <v>NorthBound</v>
      </c>
      <c r="U39" s="185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86" t="str">
        <f t="shared" si="5"/>
        <v>https://d0f6bd738d7f1b3e5a7ca70fe4ff75f0.us-east-1.aws.found.io/app/kibana#/discover/Steve-Slow-Train-Analysis-(2080s-and-2083s)?_g=(refreshInterval:(display:Off,pause:!f,section:0,value:0),time:(from:'2017-03-17T05:56:30-0600',mode:absolute,to:'2017-03-17T08:36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39" s="187" t="str">
        <f t="shared" si="6"/>
        <v>N</v>
      </c>
      <c r="X39" s="187">
        <f t="shared" si="7"/>
        <v>1</v>
      </c>
      <c r="Y39" s="62">
        <f t="shared" si="8"/>
        <v>4.2700000000000002E-2</v>
      </c>
      <c r="Z39" s="62">
        <f t="shared" si="9"/>
        <v>23.328800000000001</v>
      </c>
      <c r="AA39" s="62">
        <f t="shared" si="10"/>
        <v>23.286100000000001</v>
      </c>
      <c r="AB39" s="59" t="e">
        <f>VLOOKUP(A39,Enforcements!$C$7:$K$13,8,0)</f>
        <v>#N/A</v>
      </c>
      <c r="AC39" s="55" t="e">
        <f>VLOOKUP(A39,Enforcements!$C$7:$E$13,3,0)</f>
        <v>#N/A</v>
      </c>
      <c r="AD39" s="56" t="str">
        <f t="shared" si="11"/>
        <v>0127-17</v>
      </c>
      <c r="AE39" s="85" t="str">
        <f t="shared" si="12"/>
        <v>aws s3 cp s3://rtdc.mdm.uploadarchive.raw/RTDC4011/ "%USERPROFILE%\AppData\Local\Temp\OnboardLogs"\RTDC4011\2017-03-17 --exclude "*" --recursive --include "*20170317*" &amp; "%USERPROFILE%\Documents\GitHub\mrs-test-scripts\Headless Mode &amp; Sideloading\WalkAndUnGZ.bat" "%USERPROFILE%\AppData\Local\Temp\OnboardLogs"\RTDC4011\2017-03-17 &amp; aws s3 cp s3://rtdc.mdm.uploadarchive.raw/RTDC4011/ "%USERPROFILE%\AppData\Local\Temp\OnboardLogs"\RTDC4011\2017-03-18 --exclude "*" --recursive --include "*20170318*" &amp; "%USERPROFILE%\Documents\GitHub\mrs-test-scripts\Headless Mode &amp; Sideloading\WalkAndUnGZ.bat" "%USERPROFILE%\AppData\Local\Temp\OnboardLogs"\RTDC4011\2017-03-18</v>
      </c>
      <c r="AF39" s="82" t="str">
        <f t="shared" si="13"/>
        <v>"C:\Program Files (x86)\AstroGrep\AstroGrep.exe" /e /r /s /spath="%USERPROFILE%\AppData\Local\Temp\OnboardLogs" /stypes="app*4011*20170317*" /stext=" 13:.+((SYSTEM_STATE.+slice.+state.+changed )|(ment ac)|(multiple cpu faults)|(system.+state.+changed )|(\[timeout)|(PRM\|1\|D)|(kpr)|(kdp)|(\|lc)|(penalty))"</v>
      </c>
      <c r="AG39" s="1" t="str">
        <f t="shared" si="14"/>
        <v>EC</v>
      </c>
      <c r="AH39" s="86" t="str">
        <f t="shared" si="18"/>
        <v>"%USERPROFILE%\Documents\GitHub\eaglep3\Utilities\RefineRTDCRunTimes.py" --tripid 127-17 --locoid 4011 --swversion DE.1.0.9.0 --startMP 204:427 --initTime 2017-03-17T06:56:30 --startdatetime 2017-03-17T07:00:20 --delay 1 --endMP 204:233288 --enddatetime 2017-03-17T07:36:54 --enforcementcount 0 &gt;&gt;C:\Users\stu\Documents\GitHub\eaglep3-reporting\EC\2017-03-17-refined-times.txt</v>
      </c>
      <c r="AI39" s="108" t="str">
        <f t="shared" si="19"/>
        <v>echo {"issue":{"subject":"","project_id":79,"tracker_id":40,"status_id":1,"priority_id":2,"assigned_to_id":23,"start_date":"2017-03-17","description":"","custom_fields":[{"id":1,"name":"Subdivision","value":"EC"},{"id":4,"name":"Milepost","value":"23.3288"},{"id":17,"name":"Train ID","value":"127-17"},{"id":16,"name":"Locomotive ID","value":"4011"},{"id":130,"name":"Impact","value":""},{"id":150,"name":"Time of Event (Mountain Time)","value":"07:36:54"},{"id":151,"name":"Denver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48"/>
      <c r="AK39" s="48"/>
      <c r="AL39" s="48"/>
      <c r="AM39" s="154" t="str">
        <f t="shared" si="20"/>
        <v>start /low /b %USERPROFILE%\Documents\GitHub\eaglep3\Utilities\DownloadLogsFromS3.py --loco 4011 --day 2017-03-17</v>
      </c>
      <c r="AN39" s="163" t="str">
        <f>"grep -SE -B400 ""CHR.+\|PRM\|1\|D.+(SWITCH|SIGNAL).+UNKNOWN"" "&amp;search_path&amp;"\RTDC"&amp;B39&amp;"\*"&amp;B39&amp;"*"&amp;TEXT(AVERAGE(F39,I39)-utc_offset/24,"YYYYMMDD")&amp;"*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"%USERPROFILE%\AppData\Local\Temp\OnboardLogs"\RTDC4011\*4011*20170317* | grep -SE "(Enforcement Action)|(\[TIMEOUT)|(CHR.+\|PRM\|1\|D.+(SWITCH|SIGNAL).+UNKNOWN)" - &gt;&gt; 2017-03-17-UncaughtWiMAX.txt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3" t="s">
        <v>693</v>
      </c>
      <c r="B40" s="7">
        <v>4012</v>
      </c>
      <c r="C40" s="21" t="s">
        <v>227</v>
      </c>
      <c r="D40" s="21" t="s">
        <v>433</v>
      </c>
      <c r="E40" s="13">
        <v>42811.32671296296</v>
      </c>
      <c r="F40" s="13">
        <v>42811.330740740741</v>
      </c>
      <c r="G40" s="7">
        <v>2</v>
      </c>
      <c r="H40" s="21" t="s">
        <v>482</v>
      </c>
      <c r="I40" s="13">
        <v>42811.35833333333</v>
      </c>
      <c r="J40" s="7">
        <v>0</v>
      </c>
      <c r="K40" s="98" t="str">
        <f t="shared" si="0"/>
        <v>4011/4012</v>
      </c>
      <c r="L40" s="21" t="str">
        <f>VLOOKUP(A40,'Trips&amp;Operators'!$C$1:$G$99999,5,FALSE)</f>
        <v>BADERTSCHER DIANE</v>
      </c>
      <c r="M40" s="6">
        <f t="shared" si="1"/>
        <v>2.7592592588916887E-2</v>
      </c>
      <c r="N40" s="7">
        <f t="shared" si="2"/>
        <v>39.733333328040317</v>
      </c>
      <c r="O40" s="7"/>
      <c r="P40" s="7"/>
      <c r="Q40" s="22"/>
      <c r="R40" s="22"/>
      <c r="S40" s="31">
        <f t="shared" si="3"/>
        <v>1</v>
      </c>
      <c r="T40" s="46" t="str">
        <f t="shared" si="4"/>
        <v>Southbound</v>
      </c>
      <c r="U40" s="185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86" t="str">
        <f t="shared" si="5"/>
        <v>https://d0f6bd738d7f1b3e5a7ca70fe4ff75f0.us-east-1.aws.found.io/app/kibana#/discover/Steve-Slow-Train-Analysis-(2080s-and-2083s)?_g=(refreshInterval:(display:Off,pause:!f,section:0,value:0),time:(from:'2017-03-17T06:50:28-0600',mode:absolute,to:'2017-03-17T09:36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40" s="187" t="str">
        <f t="shared" si="6"/>
        <v>N</v>
      </c>
      <c r="X40" s="187">
        <f t="shared" si="7"/>
        <v>1</v>
      </c>
      <c r="Y40" s="62">
        <f t="shared" si="8"/>
        <v>23.297499999999999</v>
      </c>
      <c r="Z40" s="62">
        <f t="shared" si="9"/>
        <v>1.67E-2</v>
      </c>
      <c r="AA40" s="62">
        <f t="shared" si="10"/>
        <v>23.280799999999999</v>
      </c>
      <c r="AB40" s="59" t="e">
        <f>VLOOKUP(A40,Enforcements!$C$7:$K$13,8,0)</f>
        <v>#N/A</v>
      </c>
      <c r="AC40" s="55" t="e">
        <f>VLOOKUP(A40,Enforcements!$C$7:$E$13,3,0)</f>
        <v>#N/A</v>
      </c>
      <c r="AD40" s="56" t="str">
        <f t="shared" si="11"/>
        <v>0128-17</v>
      </c>
      <c r="AE40" s="85" t="str">
        <f t="shared" si="12"/>
        <v>aws s3 cp s3://rtdc.mdm.uploadarchive.raw/RTDC4012/ "%USERPROFILE%\AppData\Local\Temp\OnboardLogs"\RTDC4012\2017-03-17 --exclude "*" --recursive --include "*20170317*" &amp; "%USERPROFILE%\Documents\GitHub\mrs-test-scripts\Headless Mode &amp; Sideloading\WalkAndUnGZ.bat" "%USERPROFILE%\AppData\Local\Temp\OnboardLogs"\RTDC4012\2017-03-17 &amp; aws s3 cp s3://rtdc.mdm.uploadarchive.raw/RTDC4012/ "%USERPROFILE%\AppData\Local\Temp\OnboardLogs"\RTDC4012\2017-03-18 --exclude "*" --recursive --include "*20170318*" &amp; "%USERPROFILE%\Documents\GitHub\mrs-test-scripts\Headless Mode &amp; Sideloading\WalkAndUnGZ.bat" "%USERPROFILE%\AppData\Local\Temp\OnboardLogs"\RTDC4012\2017-03-18</v>
      </c>
      <c r="AF40" s="82" t="str">
        <f t="shared" si="13"/>
        <v>"C:\Program Files (x86)\AstroGrep\AstroGrep.exe" /e /r /s /spath="%USERPROFILE%\AppData\Local\Temp\OnboardLogs" /stypes="app*4012*20170317*" /stext=" 14:.+((SYSTEM_STATE.+slice.+state.+changed )|(ment ac)|(multiple cpu faults)|(system.+state.+changed )|(\[timeout)|(PRM\|1\|D)|(kpr)|(kdp)|(\|lc)|(penalty))"</v>
      </c>
      <c r="AG40" s="1" t="str">
        <f t="shared" si="14"/>
        <v>EC</v>
      </c>
      <c r="AH40" s="86" t="str">
        <f t="shared" si="18"/>
        <v>"%USERPROFILE%\Documents\GitHub\eaglep3\Utilities\RefineRTDCRunTimes.py" --tripid 128-17 --locoid 4012 --swversion DE.1.0.9.0 --startMP 204:232975 --initTime 2017-03-17T07:50:28 --startdatetime 2017-03-17T07:56:16 --delay 2 --endMP 204:167 --enddatetime 2017-03-17T08:36:00 --enforcementcount 0 &gt;&gt;C:\Users\stu\Documents\GitHub\eaglep3-reporting\EC\2017-03-17-refined-times.txt</v>
      </c>
      <c r="AI40" s="108" t="str">
        <f t="shared" si="19"/>
        <v>echo {"issue":{"subject":"","project_id":79,"tracker_id":40,"status_id":1,"priority_id":2,"assigned_to_id":23,"start_date":"2017-03-17","description":"","custom_fields":[{"id":1,"name":"Subdivision","value":"EC"},{"id":4,"name":"Milepost","value":"0.0167"},{"id":17,"name":"Train ID","value":"128-17"},{"id":16,"name":"Locomotive ID","value":"4012"},{"id":130,"name":"Impact","value":""},{"id":150,"name":"Time of Event (Mountain Time)","value":"08:36:00"},{"id":151,"name":"Denver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48"/>
      <c r="AK40" s="48"/>
      <c r="AL40" s="48"/>
      <c r="AM40" s="154" t="str">
        <f t="shared" si="20"/>
        <v>start /low /b %USERPROFILE%\Documents\GitHub\eaglep3\Utilities\DownloadLogsFromS3.py --loco 4012 --day 2017-03-17</v>
      </c>
      <c r="AN40" s="163" t="str">
        <f>"grep -SE -B400 ""CHR.+\|PRM\|1\|D.+(SWITCH|SIGNAL).+UNKNOWN"" "&amp;search_path&amp;"\RTDC"&amp;B40&amp;"\*"&amp;B40&amp;"*"&amp;TEXT(AVERAGE(F40,I40)-utc_offset/24,"YYYYMMDD")&amp;"*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"%USERPROFILE%\AppData\Local\Temp\OnboardLogs"\RTDC4012\*4012*20170317* | grep -SE "(Enforcement Action)|(\[TIMEOUT)|(CHR.+\|PRM\|1\|D.+(SWITCH|SIGNAL).+UNKNOWN)" - &gt;&gt; 2017-03-17-UncaughtWiMAX.txt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3" t="s">
        <v>686</v>
      </c>
      <c r="B41" s="7">
        <v>4042</v>
      </c>
      <c r="C41" s="21" t="s">
        <v>227</v>
      </c>
      <c r="D41" s="21" t="s">
        <v>240</v>
      </c>
      <c r="E41" s="13">
        <v>42811.299849537034</v>
      </c>
      <c r="F41" s="13">
        <v>42811.302256944444</v>
      </c>
      <c r="G41" s="7">
        <v>1</v>
      </c>
      <c r="H41" s="21" t="s">
        <v>867</v>
      </c>
      <c r="I41" s="13">
        <v>42811.327650462961</v>
      </c>
      <c r="J41" s="7">
        <v>0</v>
      </c>
      <c r="K41" s="98" t="str">
        <f t="shared" si="0"/>
        <v>4041/4042</v>
      </c>
      <c r="L41" s="21" t="str">
        <f>VLOOKUP(A41,'Trips&amp;Operators'!$C$1:$G$99999,5,FALSE)</f>
        <v>ROCHA YAOTL</v>
      </c>
      <c r="M41" s="6">
        <f t="shared" si="1"/>
        <v>2.5393518517375924E-2</v>
      </c>
      <c r="N41" s="7">
        <f t="shared" si="2"/>
        <v>36.56666666502133</v>
      </c>
      <c r="O41" s="7"/>
      <c r="P41" s="7"/>
      <c r="Q41" s="22"/>
      <c r="R41" s="22"/>
      <c r="S41" s="31">
        <f t="shared" si="3"/>
        <v>1</v>
      </c>
      <c r="T41" s="46" t="str">
        <f t="shared" si="4"/>
        <v>NorthBound</v>
      </c>
      <c r="U41" s="185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86" t="str">
        <f t="shared" si="5"/>
        <v>https://d0f6bd738d7f1b3e5a7ca70fe4ff75f0.us-east-1.aws.found.io/app/kibana#/discover/Steve-Slow-Train-Analysis-(2080s-and-2083s)?_g=(refreshInterval:(display:Off,pause:!f,section:0,value:0),time:(from:'2017-03-17T06:11:47-0600',mode:absolute,to:'2017-03-17T08:51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41" s="187" t="str">
        <f t="shared" si="6"/>
        <v>N</v>
      </c>
      <c r="X41" s="187">
        <f t="shared" si="7"/>
        <v>1</v>
      </c>
      <c r="Y41" s="62">
        <f t="shared" si="8"/>
        <v>4.6899999999999997E-2</v>
      </c>
      <c r="Z41" s="62">
        <f t="shared" si="9"/>
        <v>23.33</v>
      </c>
      <c r="AA41" s="62">
        <f t="shared" si="10"/>
        <v>23.283099999999997</v>
      </c>
      <c r="AB41" s="59" t="e">
        <f>VLOOKUP(A41,Enforcements!$C$7:$K$13,8,0)</f>
        <v>#N/A</v>
      </c>
      <c r="AC41" s="55" t="e">
        <f>VLOOKUP(A41,Enforcements!$C$7:$E$13,3,0)</f>
        <v>#N/A</v>
      </c>
      <c r="AD41" s="56" t="str">
        <f t="shared" si="11"/>
        <v>0129-17</v>
      </c>
      <c r="AE41" s="85" t="str">
        <f t="shared" si="12"/>
        <v>aws s3 cp s3://rtdc.mdm.uploadarchive.raw/RTDC4042/ "%USERPROFILE%\AppData\Local\Temp\OnboardLogs"\RTDC4042\2017-03-17 --exclude "*" --recursive --include "*20170317*" &amp; "%USERPROFILE%\Documents\GitHub\mrs-test-scripts\Headless Mode &amp; Sideloading\WalkAndUnGZ.bat" "%USERPROFILE%\AppData\Local\Temp\OnboardLogs"\RTDC4042\2017-03-17 &amp; aws s3 cp s3://rtdc.mdm.uploadarchive.raw/RTDC4042/ "%USERPROFILE%\AppData\Local\Temp\OnboardLogs"\RTDC4042\2017-03-18 --exclude "*" --recursive --include "*20170318*" &amp; "%USERPROFILE%\Documents\GitHub\mrs-test-scripts\Headless Mode &amp; Sideloading\WalkAndUnGZ.bat" "%USERPROFILE%\AppData\Local\Temp\OnboardLogs"\RTDC4042\2017-03-18</v>
      </c>
      <c r="AF41" s="82" t="str">
        <f t="shared" si="13"/>
        <v>"C:\Program Files (x86)\AstroGrep\AstroGrep.exe" /e /r /s /spath="%USERPROFILE%\AppData\Local\Temp\OnboardLogs" /stypes="app*4042*20170317*" /stext=" 13:.+((SYSTEM_STATE.+slice.+state.+changed )|(ment ac)|(multiple cpu faults)|(system.+state.+changed )|(\[timeout)|(PRM\|1\|D)|(kpr)|(kdp)|(\|lc)|(penalty))"</v>
      </c>
      <c r="AG41" s="1" t="str">
        <f t="shared" si="14"/>
        <v>EC</v>
      </c>
      <c r="AH41" s="86" t="str">
        <f t="shared" si="18"/>
        <v>"%USERPROFILE%\Documents\GitHub\eaglep3\Utilities\RefineRTDCRunTimes.py" --tripid 129-17 --locoid 4042 --swversion DE.1.0.9.0 --startMP 204:469 --initTime 2017-03-17T07:11:47 --startdatetime 2017-03-17T07:15:15 --delay 1 --endMP 204:233300 --enddatetime 2017-03-17T07:51:49 --enforcementcount 0 &gt;&gt;C:\Users\stu\Documents\GitHub\eaglep3-reporting\EC\2017-03-17-refined-times.txt</v>
      </c>
      <c r="AI41" s="108" t="str">
        <f t="shared" si="19"/>
        <v>echo {"issue":{"subject":"","project_id":79,"tracker_id":40,"status_id":1,"priority_id":2,"assigned_to_id":23,"start_date":"2017-03-17","description":"","custom_fields":[{"id":1,"name":"Subdivision","value":"EC"},{"id":4,"name":"Milepost","value":"23.33"},{"id":17,"name":"Train ID","value":"129-17"},{"id":16,"name":"Locomotive ID","value":"4042"},{"id":130,"name":"Impact","value":""},{"id":150,"name":"Time of Event (Mountain Time)","value":"07:51:49"},{"id":151,"name":"Denver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48"/>
      <c r="AK41" s="48"/>
      <c r="AL41" s="48"/>
      <c r="AM41" s="154" t="str">
        <f t="shared" si="20"/>
        <v>start /low /b %USERPROFILE%\Documents\GitHub\eaglep3\Utilities\DownloadLogsFromS3.py --loco 4042 --day 2017-03-17</v>
      </c>
      <c r="AN41" s="163" t="str">
        <f>"grep -SE -B400 ""CHR.+\|PRM\|1\|D.+(SWITCH|SIGNAL).+UNKNOWN"" "&amp;search_path&amp;"\RTDC"&amp;B41&amp;"\*"&amp;B41&amp;"*"&amp;TEXT(AVERAGE(F41,I41)-utc_offset/24,"YYYYMMDD")&amp;"*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"%USERPROFILE%\AppData\Local\Temp\OnboardLogs"\RTDC4042\*4042*20170317* | grep -SE "(Enforcement Action)|(\[TIMEOUT)|(CHR.+\|PRM\|1\|D.+(SWITCH|SIGNAL).+UNKNOWN)" - &gt;&gt; 2017-03-17-UncaughtWiMAX.txt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3" t="s">
        <v>696</v>
      </c>
      <c r="B42" s="7">
        <v>4041</v>
      </c>
      <c r="C42" s="21" t="s">
        <v>227</v>
      </c>
      <c r="D42" s="21" t="s">
        <v>437</v>
      </c>
      <c r="E42" s="13">
        <v>42811.3359375</v>
      </c>
      <c r="F42" s="13">
        <v>42811.341180555559</v>
      </c>
      <c r="G42" s="7">
        <v>2</v>
      </c>
      <c r="H42" s="21" t="s">
        <v>421</v>
      </c>
      <c r="I42" s="13">
        <v>42811.369201388887</v>
      </c>
      <c r="J42" s="7">
        <v>0</v>
      </c>
      <c r="K42" s="98" t="str">
        <f t="shared" si="0"/>
        <v>4041/4042</v>
      </c>
      <c r="L42" s="21" t="str">
        <f>VLOOKUP(A42,'Trips&amp;Operators'!$C$1:$G$99999,5,FALSE)</f>
        <v>ROCHA YAOTL</v>
      </c>
      <c r="M42" s="6">
        <f t="shared" si="1"/>
        <v>2.8020833327900618E-2</v>
      </c>
      <c r="N42" s="7">
        <f t="shared" si="2"/>
        <v>40.34999999217689</v>
      </c>
      <c r="O42" s="7"/>
      <c r="P42" s="7"/>
      <c r="Q42" s="22"/>
      <c r="R42" s="22"/>
      <c r="S42" s="31">
        <f t="shared" si="3"/>
        <v>1</v>
      </c>
      <c r="T42" s="46" t="str">
        <f t="shared" si="4"/>
        <v>Southbound</v>
      </c>
      <c r="U42" s="185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86" t="str">
        <f t="shared" si="5"/>
        <v>https://d0f6bd738d7f1b3e5a7ca70fe4ff75f0.us-east-1.aws.found.io/app/kibana#/discover/Steve-Slow-Train-Analysis-(2080s-and-2083s)?_g=(refreshInterval:(display:Off,pause:!f,section:0,value:0),time:(from:'2017-03-17T07:03:45-0600',mode:absolute,to:'2017-03-17T09:51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42" s="187" t="str">
        <f t="shared" si="6"/>
        <v>N</v>
      </c>
      <c r="X42" s="187">
        <f t="shared" si="7"/>
        <v>1</v>
      </c>
      <c r="Y42" s="62">
        <f t="shared" si="8"/>
        <v>23.2987</v>
      </c>
      <c r="Z42" s="62">
        <f t="shared" si="9"/>
        <v>1.6500000000000001E-2</v>
      </c>
      <c r="AA42" s="62">
        <f t="shared" si="10"/>
        <v>23.2822</v>
      </c>
      <c r="AB42" s="59" t="e">
        <f>VLOOKUP(A42,Enforcements!$C$7:$K$13,8,0)</f>
        <v>#N/A</v>
      </c>
      <c r="AC42" s="55" t="e">
        <f>VLOOKUP(A42,Enforcements!$C$7:$E$13,3,0)</f>
        <v>#N/A</v>
      </c>
      <c r="AD42" s="56" t="str">
        <f t="shared" si="11"/>
        <v>0130-17</v>
      </c>
      <c r="AE42" s="85" t="str">
        <f t="shared" si="12"/>
        <v>aws s3 cp s3://rtdc.mdm.uploadarchive.raw/RTDC4041/ "%USERPROFILE%\AppData\Local\Temp\OnboardLogs"\RTDC4041\2017-03-17 --exclude "*" --recursive --include "*20170317*" &amp; "%USERPROFILE%\Documents\GitHub\mrs-test-scripts\Headless Mode &amp; Sideloading\WalkAndUnGZ.bat" "%USERPROFILE%\AppData\Local\Temp\OnboardLogs"\RTDC4041\2017-03-17 &amp; aws s3 cp s3://rtdc.mdm.uploadarchive.raw/RTDC4041/ "%USERPROFILE%\AppData\Local\Temp\OnboardLogs"\RTDC4041\2017-03-18 --exclude "*" --recursive --include "*20170318*" &amp; "%USERPROFILE%\Documents\GitHub\mrs-test-scripts\Headless Mode &amp; Sideloading\WalkAndUnGZ.bat" "%USERPROFILE%\AppData\Local\Temp\OnboardLogs"\RTDC4041\2017-03-18</v>
      </c>
      <c r="AF42" s="82" t="str">
        <f t="shared" si="13"/>
        <v>"C:\Program Files (x86)\AstroGrep\AstroGrep.exe" /e /r /s /spath="%USERPROFILE%\AppData\Local\Temp\OnboardLogs" /stypes="app*4041*20170317*" /stext=" 14:.+((SYSTEM_STATE.+slice.+state.+changed )|(ment ac)|(multiple cpu faults)|(system.+state.+changed )|(\[timeout)|(PRM\|1\|D)|(kpr)|(kdp)|(\|lc)|(penalty))"</v>
      </c>
      <c r="AG42" s="1" t="str">
        <f t="shared" si="14"/>
        <v>EC</v>
      </c>
      <c r="AH42" s="86" t="str">
        <f t="shared" si="18"/>
        <v>"%USERPROFILE%\Documents\GitHub\eaglep3\Utilities\RefineRTDCRunTimes.py" --tripid 130-17 --locoid 4041 --swversion DE.1.0.9.0 --startMP 204:232987 --initTime 2017-03-17T08:03:45 --startdatetime 2017-03-17T08:11:18 --delay 2 --endMP 204:165 --enddatetime 2017-03-17T08:51:39 --enforcementcount 0 &gt;&gt;C:\Users\stu\Documents\GitHub\eaglep3-reporting\EC\2017-03-17-refined-times.txt</v>
      </c>
      <c r="AI42" s="108" t="str">
        <f t="shared" si="19"/>
        <v>echo {"issue":{"subject":"","project_id":79,"tracker_id":40,"status_id":1,"priority_id":2,"assigned_to_id":23,"start_date":"2017-03-17","description":"","custom_fields":[{"id":1,"name":"Subdivision","value":"EC"},{"id":4,"name":"Milepost","value":"0.0165"},{"id":17,"name":"Train ID","value":"130-17"},{"id":16,"name":"Locomotive ID","value":"4041"},{"id":130,"name":"Impact","value":""},{"id":150,"name":"Time of Event (Mountain Time)","value":"08:51:39"},{"id":151,"name":"Denver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48"/>
      <c r="AK42" s="48"/>
      <c r="AL42" s="48"/>
      <c r="AM42" s="154" t="str">
        <f t="shared" si="20"/>
        <v>start /low /b %USERPROFILE%\Documents\GitHub\eaglep3\Utilities\DownloadLogsFromS3.py --loco 4041 --day 2017-03-17</v>
      </c>
      <c r="AN42" s="163" t="str">
        <f>"grep -SE -B400 ""CHR.+\|PRM\|1\|D.+(SWITCH|SIGNAL).+UNKNOWN"" "&amp;search_path&amp;"\RTDC"&amp;B42&amp;"\*"&amp;B42&amp;"*"&amp;TEXT(AVERAGE(F42,I42)-utc_offset/24,"YYYYMMDD")&amp;"*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"%USERPROFILE%\AppData\Local\Temp\OnboardLogs"\RTDC4041\*4041*20170317* | grep -SE "(Enforcement Action)|(\[TIMEOUT)|(CHR.+\|PRM\|1\|D.+(SWITCH|SIGNAL).+UNKNOWN)" - &gt;&gt; 2017-03-17-UncaughtWiMAX.txt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3" t="s">
        <v>688</v>
      </c>
      <c r="B43" s="7">
        <v>4040</v>
      </c>
      <c r="C43" s="21" t="s">
        <v>227</v>
      </c>
      <c r="D43" s="21" t="s">
        <v>579</v>
      </c>
      <c r="E43" s="13">
        <v>42811.307442129626</v>
      </c>
      <c r="F43" s="13">
        <v>42811.312847222223</v>
      </c>
      <c r="G43" s="7">
        <v>1</v>
      </c>
      <c r="H43" s="21" t="s">
        <v>578</v>
      </c>
      <c r="I43" s="13">
        <v>42811.338321759256</v>
      </c>
      <c r="J43" s="7">
        <v>0</v>
      </c>
      <c r="K43" s="98" t="str">
        <f t="shared" si="0"/>
        <v>4039/4040</v>
      </c>
      <c r="L43" s="21" t="str">
        <f>VLOOKUP(A43,'Trips&amp;Operators'!$C$1:$G$99999,5,FALSE)</f>
        <v>YANAI IAN</v>
      </c>
      <c r="M43" s="6">
        <f t="shared" si="1"/>
        <v>2.5474537033005618E-2</v>
      </c>
      <c r="N43" s="7">
        <f t="shared" si="2"/>
        <v>36.683333327528089</v>
      </c>
      <c r="O43" s="7"/>
      <c r="P43" s="7"/>
      <c r="Q43" s="22"/>
      <c r="R43" s="22"/>
      <c r="S43" s="31">
        <f t="shared" si="3"/>
        <v>1</v>
      </c>
      <c r="T43" s="46" t="str">
        <f t="shared" si="4"/>
        <v>NorthBound</v>
      </c>
      <c r="U43" s="185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86" t="str">
        <f t="shared" si="5"/>
        <v>https://d0f6bd738d7f1b3e5a7ca70fe4ff75f0.us-east-1.aws.found.io/app/kibana#/discover/Steve-Slow-Train-Analysis-(2080s-and-2083s)?_g=(refreshInterval:(display:Off,pause:!f,section:0,value:0),time:(from:'2017-03-17T06:22:43-0600',mode:absolute,to:'2017-03-17T09:07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43" s="187" t="str">
        <f t="shared" si="6"/>
        <v>N</v>
      </c>
      <c r="X43" s="187">
        <f t="shared" si="7"/>
        <v>1</v>
      </c>
      <c r="Y43" s="62">
        <f t="shared" si="8"/>
        <v>4.7300000000000002E-2</v>
      </c>
      <c r="Z43" s="62">
        <f t="shared" si="9"/>
        <v>23.327000000000002</v>
      </c>
      <c r="AA43" s="62">
        <f t="shared" si="10"/>
        <v>23.279700000000002</v>
      </c>
      <c r="AB43" s="59" t="e">
        <f>VLOOKUP(A43,Enforcements!$C$7:$K$13,8,0)</f>
        <v>#N/A</v>
      </c>
      <c r="AC43" s="55" t="e">
        <f>VLOOKUP(A43,Enforcements!$C$7:$E$13,3,0)</f>
        <v>#N/A</v>
      </c>
      <c r="AD43" s="56" t="str">
        <f t="shared" si="11"/>
        <v>0131-17</v>
      </c>
      <c r="AE43" s="85" t="str">
        <f t="shared" si="12"/>
        <v>aws s3 cp s3://rtdc.mdm.uploadarchive.raw/RTDC4040/ "%USERPROFILE%\AppData\Local\Temp\OnboardLogs"\RTDC4040\2017-03-17 --exclude "*" --recursive --include "*20170317*" &amp; "%USERPROFILE%\Documents\GitHub\mrs-test-scripts\Headless Mode &amp; Sideloading\WalkAndUnGZ.bat" "%USERPROFILE%\AppData\Local\Temp\OnboardLogs"\RTDC4040\2017-03-17 &amp; aws s3 cp s3://rtdc.mdm.uploadarchive.raw/RTDC4040/ "%USERPROFILE%\AppData\Local\Temp\OnboardLogs"\RTDC4040\2017-03-18 --exclude "*" --recursive --include "*20170318*" &amp; "%USERPROFILE%\Documents\GitHub\mrs-test-scripts\Headless Mode &amp; Sideloading\WalkAndUnGZ.bat" "%USERPROFILE%\AppData\Local\Temp\OnboardLogs"\RTDC4040\2017-03-18</v>
      </c>
      <c r="AF43" s="82" t="str">
        <f t="shared" si="13"/>
        <v>"C:\Program Files (x86)\AstroGrep\AstroGrep.exe" /e /r /s /spath="%USERPROFILE%\AppData\Local\Temp\OnboardLogs" /stypes="app*4040*20170317*" /stext=" 14:.+((SYSTEM_STATE.+slice.+state.+changed )|(ment ac)|(multiple cpu faults)|(system.+state.+changed )|(\[timeout)|(PRM\|1\|D)|(kpr)|(kdp)|(\|lc)|(penalty))"</v>
      </c>
      <c r="AG43" s="1" t="str">
        <f t="shared" si="14"/>
        <v>EC</v>
      </c>
      <c r="AH43" s="86" t="str">
        <f t="shared" si="18"/>
        <v>"%USERPROFILE%\Documents\GitHub\eaglep3\Utilities\RefineRTDCRunTimes.py" --tripid 131-17 --locoid 4040 --swversion DE.1.0.9.0 --startMP 204:473 --initTime 2017-03-17T07:22:43 --startdatetime 2017-03-17T07:30:30 --delay 1 --endMP 204:233270 --enddatetime 2017-03-17T08:07:11 --enforcementcount 0 &gt;&gt;C:\Users\stu\Documents\GitHub\eaglep3-reporting\EC\2017-03-17-refined-times.txt</v>
      </c>
      <c r="AI43" s="108" t="str">
        <f t="shared" si="19"/>
        <v>echo {"issue":{"subject":"","project_id":79,"tracker_id":40,"status_id":1,"priority_id":2,"assigned_to_id":23,"start_date":"2017-03-17","description":"","custom_fields":[{"id":1,"name":"Subdivision","value":"EC"},{"id":4,"name":"Milepost","value":"23.327"},{"id":17,"name":"Train ID","value":"131-17"},{"id":16,"name":"Locomotive ID","value":"4040"},{"id":130,"name":"Impact","value":""},{"id":150,"name":"Time of Event (Mountain Time)","value":"08:07:11"},{"id":151,"name":"Denver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48"/>
      <c r="AK43" s="48"/>
      <c r="AL43" s="48"/>
      <c r="AM43" s="154" t="str">
        <f t="shared" si="20"/>
        <v>start /low /b %USERPROFILE%\Documents\GitHub\eaglep3\Utilities\DownloadLogsFromS3.py --loco 4040 --day 2017-03-17</v>
      </c>
      <c r="AN43" s="163" t="str">
        <f>"grep -SE -B400 ""CHR.+\|PRM\|1\|D.+(SWITCH|SIGNAL).+UNKNOWN"" "&amp;search_path&amp;"\RTDC"&amp;B43&amp;"\*"&amp;B43&amp;"*"&amp;TEXT(AVERAGE(F43,I43)-utc_offset/24,"YYYYMMDD")&amp;"*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"%USERPROFILE%\AppData\Local\Temp\OnboardLogs"\RTDC4040\*4040*20170317* | grep -SE "(Enforcement Action)|(\[TIMEOUT)|(CHR.+\|PRM\|1\|D.+(SWITCH|SIGNAL).+UNKNOWN)" - &gt;&gt; 2017-03-17-UncaughtWiMAX.txt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3" t="s">
        <v>698</v>
      </c>
      <c r="B44" s="7">
        <v>4039</v>
      </c>
      <c r="C44" s="21" t="s">
        <v>227</v>
      </c>
      <c r="D44" s="21" t="s">
        <v>478</v>
      </c>
      <c r="E44" s="13">
        <v>42811.34003472222</v>
      </c>
      <c r="F44" s="13">
        <v>42811.351574074077</v>
      </c>
      <c r="G44" s="7">
        <v>1</v>
      </c>
      <c r="H44" s="21" t="s">
        <v>191</v>
      </c>
      <c r="I44" s="13">
        <v>42811.380497685182</v>
      </c>
      <c r="J44" s="7">
        <v>0</v>
      </c>
      <c r="K44" s="98" t="str">
        <f t="shared" si="0"/>
        <v>4039/4040</v>
      </c>
      <c r="L44" s="21" t="str">
        <f>VLOOKUP(A44,'Trips&amp;Operators'!$C$1:$G$99999,5,FALSE)</f>
        <v>YANAI IAN</v>
      </c>
      <c r="M44" s="6">
        <f t="shared" si="1"/>
        <v>2.8923611105710734E-2</v>
      </c>
      <c r="N44" s="7">
        <f t="shared" si="2"/>
        <v>41.649999992223457</v>
      </c>
      <c r="O44" s="7"/>
      <c r="P44" s="7"/>
      <c r="Q44" s="22"/>
      <c r="R44" s="22"/>
      <c r="S44" s="31">
        <f t="shared" si="3"/>
        <v>1</v>
      </c>
      <c r="T44" s="46" t="str">
        <f t="shared" si="4"/>
        <v>Southbound</v>
      </c>
      <c r="U44" s="185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86" t="str">
        <f t="shared" si="5"/>
        <v>https://d0f6bd738d7f1b3e5a7ca70fe4ff75f0.us-east-1.aws.found.io/app/kibana#/discover/Steve-Slow-Train-Analysis-(2080s-and-2083s)?_g=(refreshInterval:(display:Off,pause:!f,section:0,value:0),time:(from:'2017-03-17T07:09:39-0600',mode:absolute,to:'2017-03-17T10:07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44" s="187" t="str">
        <f t="shared" si="6"/>
        <v>N</v>
      </c>
      <c r="X44" s="187">
        <f t="shared" si="7"/>
        <v>1</v>
      </c>
      <c r="Y44" s="62">
        <f t="shared" si="8"/>
        <v>23.2957</v>
      </c>
      <c r="Z44" s="62">
        <f t="shared" si="9"/>
        <v>1.4999999999999999E-2</v>
      </c>
      <c r="AA44" s="62">
        <f t="shared" si="10"/>
        <v>23.2807</v>
      </c>
      <c r="AB44" s="59" t="e">
        <f>VLOOKUP(A44,Enforcements!$C$7:$K$13,8,0)</f>
        <v>#N/A</v>
      </c>
      <c r="AC44" s="55" t="e">
        <f>VLOOKUP(A44,Enforcements!$C$7:$E$13,3,0)</f>
        <v>#N/A</v>
      </c>
      <c r="AD44" s="56" t="str">
        <f t="shared" si="11"/>
        <v>0132-17</v>
      </c>
      <c r="AE44" s="85" t="str">
        <f t="shared" si="12"/>
        <v>aws s3 cp s3://rtdc.mdm.uploadarchive.raw/RTDC4039/ "%USERPROFILE%\AppData\Local\Temp\OnboardLogs"\RTDC4039\2017-03-17 --exclude "*" --recursive --include "*20170317*" &amp; "%USERPROFILE%\Documents\GitHub\mrs-test-scripts\Headless Mode &amp; Sideloading\WalkAndUnGZ.bat" "%USERPROFILE%\AppData\Local\Temp\OnboardLogs"\RTDC4039\2017-03-17 &amp; aws s3 cp s3://rtdc.mdm.uploadarchive.raw/RTDC4039/ "%USERPROFILE%\AppData\Local\Temp\OnboardLogs"\RTDC4039\2017-03-18 --exclude "*" --recursive --include "*20170318*" &amp; "%USERPROFILE%\Documents\GitHub\mrs-test-scripts\Headless Mode &amp; Sideloading\WalkAndUnGZ.bat" "%USERPROFILE%\AppData\Local\Temp\OnboardLogs"\RTDC4039\2017-03-18</v>
      </c>
      <c r="AF44" s="82" t="str">
        <f t="shared" si="13"/>
        <v>"C:\Program Files (x86)\AstroGrep\AstroGrep.exe" /e /r /s /spath="%USERPROFILE%\AppData\Local\Temp\OnboardLogs" /stypes="app*4039*20170317*" /stext=" 15:.+((SYSTEM_STATE.+slice.+state.+changed )|(ment ac)|(multiple cpu faults)|(system.+state.+changed )|(\[timeout)|(PRM\|1\|D)|(kpr)|(kdp)|(\|lc)|(penalty))"</v>
      </c>
      <c r="AG44" s="1" t="str">
        <f t="shared" si="14"/>
        <v>EC</v>
      </c>
      <c r="AH44" s="86" t="str">
        <f t="shared" si="18"/>
        <v>"%USERPROFILE%\Documents\GitHub\eaglep3\Utilities\RefineRTDCRunTimes.py" --tripid 132-17 --locoid 4039 --swversion DE.1.0.9.0 --startMP 204:232957 --initTime 2017-03-17T08:09:39 --startdatetime 2017-03-17T08:26:16 --delay 1 --endMP 204:150 --enddatetime 2017-03-17T09:07:55 --enforcementcount 0 &gt;&gt;C:\Users\stu\Documents\GitHub\eaglep3-reporting\EC\2017-03-17-refined-times.txt</v>
      </c>
      <c r="AI44" s="108" t="str">
        <f t="shared" si="19"/>
        <v>echo {"issue":{"subject":"","project_id":79,"tracker_id":40,"status_id":1,"priority_id":2,"assigned_to_id":23,"start_date":"2017-03-17","description":"","custom_fields":[{"id":1,"name":"Subdivision","value":"EC"},{"id":4,"name":"Milepost","value":"0.015"},{"id":17,"name":"Train ID","value":"132-17"},{"id":16,"name":"Locomotive ID","value":"4039"},{"id":130,"name":"Impact","value":""},{"id":150,"name":"Time of Event (Mountain Time)","value":"09:07:55"},{"id":151,"name":"Denver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48"/>
      <c r="AK44" s="48"/>
      <c r="AL44" s="48"/>
      <c r="AM44" s="154" t="str">
        <f t="shared" si="20"/>
        <v>start /low /b %USERPROFILE%\Documents\GitHub\eaglep3\Utilities\DownloadLogsFromS3.py --loco 4039 --day 2017-03-17</v>
      </c>
      <c r="AN44" s="163" t="str">
        <f>"grep -SE -B400 ""CHR.+\|PRM\|1\|D.+(SWITCH|SIGNAL).+UNKNOWN"" "&amp;search_path&amp;"\RTDC"&amp;B44&amp;"\*"&amp;B44&amp;"*"&amp;TEXT(AVERAGE(F44,I44)-utc_offset/24,"YYYYMMDD")&amp;"*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"%USERPROFILE%\AppData\Local\Temp\OnboardLogs"\RTDC4039\*4039*20170317* | grep -SE "(Enforcement Action)|(\[TIMEOUT)|(CHR.+\|PRM\|1\|D.+(SWITCH|SIGNAL).+UNKNOWN)" - &gt;&gt; 2017-03-17-UncaughtWiMAX.txt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3" t="s">
        <v>692</v>
      </c>
      <c r="B45" s="7">
        <v>4020</v>
      </c>
      <c r="C45" s="21" t="s">
        <v>227</v>
      </c>
      <c r="D45" s="21" t="s">
        <v>228</v>
      </c>
      <c r="E45" s="13">
        <v>42811.319733796299</v>
      </c>
      <c r="F45" s="13">
        <v>42811.32309027778</v>
      </c>
      <c r="G45" s="7">
        <v>1</v>
      </c>
      <c r="H45" s="21" t="s">
        <v>515</v>
      </c>
      <c r="I45" s="13">
        <v>42811.350983796299</v>
      </c>
      <c r="J45" s="7">
        <v>0</v>
      </c>
      <c r="K45" s="98" t="str">
        <f t="shared" si="0"/>
        <v>4019/4020</v>
      </c>
      <c r="L45" s="21" t="str">
        <f>VLOOKUP(A45,'Trips&amp;Operators'!$C$1:$G$99999,5,FALSE)</f>
        <v>ROBINSON KADDIBA</v>
      </c>
      <c r="M45" s="6">
        <f t="shared" si="1"/>
        <v>2.789351851970423E-2</v>
      </c>
      <c r="N45" s="7">
        <f t="shared" si="2"/>
        <v>40.166666668374091</v>
      </c>
      <c r="O45" s="7"/>
      <c r="P45" s="7"/>
      <c r="Q45" s="22"/>
      <c r="R45" s="22"/>
      <c r="S45" s="31">
        <f t="shared" si="3"/>
        <v>1</v>
      </c>
      <c r="T45" s="46" t="str">
        <f t="shared" si="4"/>
        <v>NorthBound</v>
      </c>
      <c r="U45" s="185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86" t="str">
        <f t="shared" si="5"/>
        <v>https://d0f6bd738d7f1b3e5a7ca70fe4ff75f0.us-east-1.aws.found.io/app/kibana#/discover/Steve-Slow-Train-Analysis-(2080s-and-2083s)?_g=(refreshInterval:(display:Off,pause:!f,section:0,value:0),time:(from:'2017-03-17T06:40:25-0600',mode:absolute,to:'2017-03-17T09:25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45" s="187" t="str">
        <f t="shared" si="6"/>
        <v>N</v>
      </c>
      <c r="X45" s="187">
        <f t="shared" ref="X45:X76" si="21">VALUE(LEFT(AD45,4))-VALUE(LEFT(AD44,4))</f>
        <v>1</v>
      </c>
      <c r="Y45" s="62">
        <f t="shared" si="8"/>
        <v>4.58E-2</v>
      </c>
      <c r="Z45" s="62">
        <f t="shared" si="9"/>
        <v>23.330400000000001</v>
      </c>
      <c r="AA45" s="62">
        <f t="shared" si="10"/>
        <v>23.284600000000001</v>
      </c>
      <c r="AB45" s="59" t="e">
        <f>VLOOKUP(A45,Enforcements!$C$7:$K$13,8,0)</f>
        <v>#N/A</v>
      </c>
      <c r="AC45" s="55" t="e">
        <f>VLOOKUP(A45,Enforcements!$C$7:$E$13,3,0)</f>
        <v>#N/A</v>
      </c>
      <c r="AD45" s="56" t="str">
        <f t="shared" si="11"/>
        <v>0133-17</v>
      </c>
      <c r="AE45" s="85" t="str">
        <f t="shared" si="12"/>
        <v>aws s3 cp s3://rtdc.mdm.uploadarchive.raw/RTDC4020/ "%USERPROFILE%\AppData\Local\Temp\OnboardLogs"\RTDC4020\2017-03-17 --exclude "*" --recursive --include "*20170317*" &amp; "%USERPROFILE%\Documents\GitHub\mrs-test-scripts\Headless Mode &amp; Sideloading\WalkAndUnGZ.bat" "%USERPROFILE%\AppData\Local\Temp\OnboardLogs"\RTDC4020\2017-03-17 &amp; aws s3 cp s3://rtdc.mdm.uploadarchive.raw/RTDC4020/ "%USERPROFILE%\AppData\Local\Temp\OnboardLogs"\RTDC4020\2017-03-18 --exclude "*" --recursive --include "*20170318*" &amp; "%USERPROFILE%\Documents\GitHub\mrs-test-scripts\Headless Mode &amp; Sideloading\WalkAndUnGZ.bat" "%USERPROFILE%\AppData\Local\Temp\OnboardLogs"\RTDC4020\2017-03-18</v>
      </c>
      <c r="AF45" s="82" t="str">
        <f t="shared" si="13"/>
        <v>"C:\Program Files (x86)\AstroGrep\AstroGrep.exe" /e /r /s /spath="%USERPROFILE%\AppData\Local\Temp\OnboardLogs" /stypes="app*4020*20170317*" /stext=" 14:.+((SYSTEM_STATE.+slice.+state.+changed )|(ment ac)|(multiple cpu faults)|(system.+state.+changed )|(\[timeout)|(PRM\|1\|D)|(kpr)|(kdp)|(\|lc)|(penalty))"</v>
      </c>
      <c r="AG45" s="1" t="str">
        <f t="shared" si="14"/>
        <v>EC</v>
      </c>
      <c r="AH45" s="86" t="str">
        <f t="shared" si="18"/>
        <v>"%USERPROFILE%\Documents\GitHub\eaglep3\Utilities\RefineRTDCRunTimes.py" --tripid 133-17 --locoid 4020 --swversion DE.1.0.9.0 --startMP 204:458 --initTime 2017-03-17T07:40:25 --startdatetime 2017-03-17T07:45:15 --delay 1 --endMP 204:233304 --enddatetime 2017-03-17T08:25:25 --enforcementcount 0 &gt;&gt;C:\Users\stu\Documents\GitHub\eaglep3-reporting\EC\2017-03-17-refined-times.txt</v>
      </c>
      <c r="AI45" s="108" t="str">
        <f t="shared" si="19"/>
        <v>echo {"issue":{"subject":"","project_id":79,"tracker_id":40,"status_id":1,"priority_id":2,"assigned_to_id":23,"start_date":"2017-03-17","description":"","custom_fields":[{"id":1,"name":"Subdivision","value":"EC"},{"id":4,"name":"Milepost","value":"23.3304"},{"id":17,"name":"Train ID","value":"133-17"},{"id":16,"name":"Locomotive ID","value":"4020"},{"id":130,"name":"Impact","value":""},{"id":150,"name":"Time of Event (Mountain Time)","value":"08:25:25"},{"id":151,"name":"Denver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48"/>
      <c r="AK45" s="48"/>
      <c r="AL45" s="48"/>
      <c r="AM45" s="154" t="str">
        <f t="shared" si="20"/>
        <v>start /low /b %USERPROFILE%\Documents\GitHub\eaglep3\Utilities\DownloadLogsFromS3.py --loco 4020 --day 2017-03-17</v>
      </c>
      <c r="AN45" s="163" t="str">
        <f>"grep -SE -B400 ""CHR.+\|PRM\|1\|D.+(SWITCH|SIGNAL).+UNKNOWN"" "&amp;search_path&amp;"\RTDC"&amp;B45&amp;"\*"&amp;B45&amp;"*"&amp;TEXT(AVERAGE(F45,I45)-utc_offset/24,"YYYYMMDD")&amp;"*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"%USERPROFILE%\AppData\Local\Temp\OnboardLogs"\RTDC4020\*4020*20170317* | grep -SE "(Enforcement Action)|(\[TIMEOUT)|(CHR.+\|PRM\|1\|D.+(SWITCH|SIGNAL).+UNKNOWN)" - &gt;&gt; 2017-03-17-UncaughtWiMAX.txt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3" t="s">
        <v>702</v>
      </c>
      <c r="B46" s="7">
        <v>4019</v>
      </c>
      <c r="C46" s="21" t="s">
        <v>227</v>
      </c>
      <c r="D46" s="21" t="s">
        <v>518</v>
      </c>
      <c r="E46" s="13">
        <v>42811.357789351852</v>
      </c>
      <c r="F46" s="13">
        <v>42811.362210648149</v>
      </c>
      <c r="G46" s="7">
        <v>1</v>
      </c>
      <c r="H46" s="21" t="s">
        <v>479</v>
      </c>
      <c r="I46" s="13">
        <v>42811.390497685185</v>
      </c>
      <c r="J46" s="7">
        <v>0</v>
      </c>
      <c r="K46" s="98" t="str">
        <f t="shared" si="0"/>
        <v>4019/4020</v>
      </c>
      <c r="L46" s="21" t="str">
        <f>VLOOKUP(A46,'Trips&amp;Operators'!$C$1:$G$99999,5,FALSE)</f>
        <v>ROBINSON KADDIBA</v>
      </c>
      <c r="M46" s="6">
        <f t="shared" si="1"/>
        <v>2.8287037035624962E-2</v>
      </c>
      <c r="N46" s="7">
        <f t="shared" si="2"/>
        <v>40.733333331299946</v>
      </c>
      <c r="O46" s="7"/>
      <c r="P46" s="7"/>
      <c r="Q46" s="22"/>
      <c r="R46" s="22"/>
      <c r="S46" s="31">
        <f t="shared" si="3"/>
        <v>1</v>
      </c>
      <c r="T46" s="46" t="str">
        <f t="shared" si="4"/>
        <v>Southbound</v>
      </c>
      <c r="U46" s="185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86" t="str">
        <f t="shared" si="5"/>
        <v>https://d0f6bd738d7f1b3e5a7ca70fe4ff75f0.us-east-1.aws.found.io/app/kibana#/discover/Steve-Slow-Train-Analysis-(2080s-and-2083s)?_g=(refreshInterval:(display:Off,pause:!f,section:0,value:0),time:(from:'2017-03-17T07:35:13-0600',mode:absolute,to:'2017-03-17T10:22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46" s="187" t="str">
        <f t="shared" si="6"/>
        <v>N</v>
      </c>
      <c r="X46" s="187">
        <f t="shared" si="21"/>
        <v>1</v>
      </c>
      <c r="Y46" s="62">
        <f t="shared" si="8"/>
        <v>23.299099999999999</v>
      </c>
      <c r="Z46" s="62">
        <f t="shared" si="9"/>
        <v>1.4500000000000001E-2</v>
      </c>
      <c r="AA46" s="62">
        <f t="shared" si="10"/>
        <v>23.284599999999998</v>
      </c>
      <c r="AB46" s="59" t="e">
        <f>VLOOKUP(A46,Enforcements!$C$7:$K$13,8,0)</f>
        <v>#N/A</v>
      </c>
      <c r="AC46" s="55" t="e">
        <f>VLOOKUP(A46,Enforcements!$C$7:$E$13,3,0)</f>
        <v>#N/A</v>
      </c>
      <c r="AD46" s="56" t="str">
        <f t="shared" si="11"/>
        <v>0134-17</v>
      </c>
      <c r="AE46" s="85" t="str">
        <f t="shared" si="12"/>
        <v>aws s3 cp s3://rtdc.mdm.uploadarchive.raw/RTDC4019/ "%USERPROFILE%\AppData\Local\Temp\OnboardLogs"\RTDC4019\2017-03-17 --exclude "*" --recursive --include "*20170317*" &amp; "%USERPROFILE%\Documents\GitHub\mrs-test-scripts\Headless Mode &amp; Sideloading\WalkAndUnGZ.bat" "%USERPROFILE%\AppData\Local\Temp\OnboardLogs"\RTDC4019\2017-03-17 &amp; aws s3 cp s3://rtdc.mdm.uploadarchive.raw/RTDC4019/ "%USERPROFILE%\AppData\Local\Temp\OnboardLogs"\RTDC4019\2017-03-18 --exclude "*" --recursive --include "*20170318*" &amp; "%USERPROFILE%\Documents\GitHub\mrs-test-scripts\Headless Mode &amp; Sideloading\WalkAndUnGZ.bat" "%USERPROFILE%\AppData\Local\Temp\OnboardLogs"\RTDC4019\2017-03-18</v>
      </c>
      <c r="AF46" s="82" t="str">
        <f t="shared" si="13"/>
        <v>"C:\Program Files (x86)\AstroGrep\AstroGrep.exe" /e /r /s /spath="%USERPROFILE%\AppData\Local\Temp\OnboardLogs" /stypes="app*4019*20170317*" /stext=" 15:.+((SYSTEM_STATE.+slice.+state.+changed )|(ment ac)|(multiple cpu faults)|(system.+state.+changed )|(\[timeout)|(PRM\|1\|D)|(kpr)|(kdp)|(\|lc)|(penalty))"</v>
      </c>
      <c r="AG46" s="1" t="str">
        <f t="shared" si="14"/>
        <v>EC</v>
      </c>
      <c r="AH46" s="86" t="str">
        <f t="shared" si="18"/>
        <v>"%USERPROFILE%\Documents\GitHub\eaglep3\Utilities\RefineRTDCRunTimes.py" --tripid 134-17 --locoid 4019 --swversion DE.1.0.9.0 --startMP 204:232991 --initTime 2017-03-17T08:35:13 --startdatetime 2017-03-17T08:41:35 --delay 1 --endMP 204:145 --enddatetime 2017-03-17T09:22:19 --enforcementcount 0 &gt;&gt;C:\Users\stu\Documents\GitHub\eaglep3-reporting\EC\2017-03-17-refined-times.txt</v>
      </c>
      <c r="AI46" s="108" t="str">
        <f t="shared" si="19"/>
        <v>echo {"issue":{"subject":"","project_id":79,"tracker_id":40,"status_id":1,"priority_id":2,"assigned_to_id":23,"start_date":"2017-03-17","description":"","custom_fields":[{"id":1,"name":"Subdivision","value":"EC"},{"id":4,"name":"Milepost","value":"0.0145"},{"id":17,"name":"Train ID","value":"134-17"},{"id":16,"name":"Locomotive ID","value":"4019"},{"id":130,"name":"Impact","value":""},{"id":150,"name":"Time of Event (Mountain Time)","value":"09:22:19"},{"id":151,"name":"Denver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48"/>
      <c r="AK46" s="48"/>
      <c r="AL46" s="48"/>
      <c r="AM46" s="154" t="str">
        <f t="shared" si="20"/>
        <v>start /low /b %USERPROFILE%\Documents\GitHub\eaglep3\Utilities\DownloadLogsFromS3.py --loco 4019 --day 2017-03-17</v>
      </c>
      <c r="AN46" s="163" t="str">
        <f>"grep -SE -B400 ""CHR.+\|PRM\|1\|D.+(SWITCH|SIGNAL).+UNKNOWN"" "&amp;search_path&amp;"\RTDC"&amp;B46&amp;"\*"&amp;B46&amp;"*"&amp;TEXT(AVERAGE(F46,I46)-utc_offset/24,"YYYYMMDD")&amp;"*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"%USERPROFILE%\AppData\Local\Temp\OnboardLogs"\RTDC4019\*4019*20170317* | grep -SE "(Enforcement Action)|(\[TIMEOUT)|(CHR.+\|PRM\|1\|D.+(SWITCH|SIGNAL).+UNKNOWN)" - &gt;&gt; 2017-03-17-UncaughtWiMAX.txt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3" t="s">
        <v>694</v>
      </c>
      <c r="B47" s="7">
        <v>4002</v>
      </c>
      <c r="C47" s="21" t="s">
        <v>227</v>
      </c>
      <c r="D47" s="21" t="s">
        <v>221</v>
      </c>
      <c r="E47" s="13">
        <v>42811.329594907409</v>
      </c>
      <c r="F47" s="13">
        <v>42811.333495370367</v>
      </c>
      <c r="G47" s="7">
        <v>1</v>
      </c>
      <c r="H47" s="21" t="s">
        <v>866</v>
      </c>
      <c r="I47" s="13">
        <v>42811.359282407408</v>
      </c>
      <c r="J47" s="7">
        <v>0</v>
      </c>
      <c r="K47" s="98" t="str">
        <f t="shared" si="0"/>
        <v>4001/4002</v>
      </c>
      <c r="L47" s="21" t="str">
        <f>VLOOKUP(A47,'Trips&amp;Operators'!$C$1:$G$99999,5,FALSE)</f>
        <v>STARKS ANGELINA</v>
      </c>
      <c r="M47" s="6">
        <f t="shared" si="1"/>
        <v>2.5787037040572613E-2</v>
      </c>
      <c r="N47" s="7">
        <f t="shared" si="2"/>
        <v>37.133333338424563</v>
      </c>
      <c r="O47" s="7"/>
      <c r="P47" s="7"/>
      <c r="Q47" s="22"/>
      <c r="R47" s="22"/>
      <c r="S47" s="31">
        <f t="shared" si="3"/>
        <v>1</v>
      </c>
      <c r="T47" s="46" t="str">
        <f t="shared" si="4"/>
        <v>NorthBound</v>
      </c>
      <c r="U47" s="185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86" t="str">
        <f t="shared" si="5"/>
        <v>https://d0f6bd738d7f1b3e5a7ca70fe4ff75f0.us-east-1.aws.found.io/app/kibana#/discover/Steve-Slow-Train-Analysis-(2080s-and-2083s)?_g=(refreshInterval:(display:Off,pause:!f,section:0,value:0),time:(from:'2017-03-17T06:54:37-0600',mode:absolute,to:'2017-03-17T09:37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47" s="187" t="str">
        <f t="shared" si="6"/>
        <v>N</v>
      </c>
      <c r="X47" s="187">
        <f t="shared" si="21"/>
        <v>1</v>
      </c>
      <c r="Y47" s="62">
        <f t="shared" si="8"/>
        <v>4.4699999999999997E-2</v>
      </c>
      <c r="Z47" s="62">
        <f t="shared" si="9"/>
        <v>23.328800000000001</v>
      </c>
      <c r="AA47" s="62">
        <f t="shared" si="10"/>
        <v>23.284100000000002</v>
      </c>
      <c r="AB47" s="59" t="e">
        <f>VLOOKUP(A47,Enforcements!$C$7:$K$13,8,0)</f>
        <v>#N/A</v>
      </c>
      <c r="AC47" s="55" t="e">
        <f>VLOOKUP(A47,Enforcements!$C$7:$E$13,3,0)</f>
        <v>#N/A</v>
      </c>
      <c r="AD47" s="56" t="str">
        <f t="shared" si="11"/>
        <v>0135-17</v>
      </c>
      <c r="AE47" s="85" t="str">
        <f t="shared" si="12"/>
        <v>aws s3 cp s3://rtdc.mdm.uploadarchive.raw/RTDC4002/ "%USERPROFILE%\AppData\Local\Temp\OnboardLogs"\RTDC4002\2017-03-17 --exclude "*" --recursive --include "*20170317*" &amp; "%USERPROFILE%\Documents\GitHub\mrs-test-scripts\Headless Mode &amp; Sideloading\WalkAndUnGZ.bat" "%USERPROFILE%\AppData\Local\Temp\OnboardLogs"\RTDC4002\2017-03-17 &amp; aws s3 cp s3://rtdc.mdm.uploadarchive.raw/RTDC4002/ "%USERPROFILE%\AppData\Local\Temp\OnboardLogs"\RTDC4002\2017-03-18 --exclude "*" --recursive --include "*20170318*" &amp; "%USERPROFILE%\Documents\GitHub\mrs-test-scripts\Headless Mode &amp; Sideloading\WalkAndUnGZ.bat" "%USERPROFILE%\AppData\Local\Temp\OnboardLogs"\RTDC4002\2017-03-18</v>
      </c>
      <c r="AF47" s="82" t="str">
        <f t="shared" si="13"/>
        <v>"C:\Program Files (x86)\AstroGrep\AstroGrep.exe" /e /r /s /spath="%USERPROFILE%\AppData\Local\Temp\OnboardLogs" /stypes="app*4002*20170317*" /stext=" 14:.+((SYSTEM_STATE.+slice.+state.+changed )|(ment ac)|(multiple cpu faults)|(system.+state.+changed )|(\[timeout)|(PRM\|1\|D)|(kpr)|(kdp)|(\|lc)|(penalty))"</v>
      </c>
      <c r="AG47" s="1" t="str">
        <f t="shared" si="14"/>
        <v>EC</v>
      </c>
      <c r="AH47" s="86" t="str">
        <f t="shared" si="18"/>
        <v>"%USERPROFILE%\Documents\GitHub\eaglep3\Utilities\RefineRTDCRunTimes.py" --tripid 135-17 --locoid 4002 --swversion DE.1.0.9.0 --startMP 204:447 --initTime 2017-03-17T07:54:37 --startdatetime 2017-03-17T08:00:14 --delay 1 --endMP 204:233288 --enddatetime 2017-03-17T08:37:22 --enforcementcount 0 &gt;&gt;C:\Users\stu\Documents\GitHub\eaglep3-reporting\EC\2017-03-17-refined-times.txt</v>
      </c>
      <c r="AI47" s="108" t="str">
        <f t="shared" si="19"/>
        <v>echo {"issue":{"subject":"","project_id":79,"tracker_id":40,"status_id":1,"priority_id":2,"assigned_to_id":23,"start_date":"2017-03-17","description":"","custom_fields":[{"id":1,"name":"Subdivision","value":"EC"},{"id":4,"name":"Milepost","value":"23.3288"},{"id":17,"name":"Train ID","value":"135-17"},{"id":16,"name":"Locomotive ID","value":"4002"},{"id":130,"name":"Impact","value":""},{"id":150,"name":"Time of Event (Mountain Time)","value":"08:37:22"},{"id":151,"name":"Denver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48"/>
      <c r="AK47" s="48"/>
      <c r="AL47" s="48"/>
      <c r="AM47" s="154" t="str">
        <f t="shared" si="20"/>
        <v>start /low /b %USERPROFILE%\Documents\GitHub\eaglep3\Utilities\DownloadLogsFromS3.py --loco 4002 --day 2017-03-17</v>
      </c>
      <c r="AN47" s="163" t="str">
        <f>"grep -SE -B400 ""CHR.+\|PRM\|1\|D.+(SWITCH|SIGNAL).+UNKNOWN"" "&amp;search_path&amp;"\RTDC"&amp;B47&amp;"\*"&amp;B47&amp;"*"&amp;TEXT(AVERAGE(F47,I47)-utc_offset/24,"YYYYMMDD")&amp;"*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"%USERPROFILE%\AppData\Local\Temp\OnboardLogs"\RTDC4002\*4002*20170317* | grep -SE "(Enforcement Action)|(\[TIMEOUT)|(CHR.+\|PRM\|1\|D.+(SWITCH|SIGNAL).+UNKNOWN)" - &gt;&gt; 2017-03-17-UncaughtWiMAX.txt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3" t="s">
        <v>616</v>
      </c>
      <c r="B48" s="7">
        <v>4001</v>
      </c>
      <c r="C48" s="21" t="s">
        <v>227</v>
      </c>
      <c r="D48" s="21" t="s">
        <v>446</v>
      </c>
      <c r="E48" s="13">
        <v>42811.371064814812</v>
      </c>
      <c r="F48" s="13">
        <v>42811.372384259259</v>
      </c>
      <c r="G48" s="7">
        <v>0</v>
      </c>
      <c r="H48" s="21" t="s">
        <v>219</v>
      </c>
      <c r="I48" s="13">
        <v>42811.401087962964</v>
      </c>
      <c r="J48" s="7">
        <v>0</v>
      </c>
      <c r="K48" s="98" t="str">
        <f t="shared" si="0"/>
        <v>4001/4002</v>
      </c>
      <c r="L48" s="21" t="str">
        <f>VLOOKUP(A48,'Trips&amp;Operators'!$C$1:$G$99999,5,FALSE)</f>
        <v>STARKS ANGELINA</v>
      </c>
      <c r="M48" s="6">
        <f t="shared" si="1"/>
        <v>2.8703703705104999E-2</v>
      </c>
      <c r="N48" s="7">
        <f t="shared" si="2"/>
        <v>41.333333335351199</v>
      </c>
      <c r="O48" s="7"/>
      <c r="P48" s="7"/>
      <c r="Q48" s="22"/>
      <c r="R48" s="22"/>
      <c r="S48" s="31">
        <f t="shared" si="3"/>
        <v>1</v>
      </c>
      <c r="T48" s="46" t="str">
        <f t="shared" si="4"/>
        <v>Southbound</v>
      </c>
      <c r="U48" s="185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86" t="str">
        <f t="shared" si="5"/>
        <v>https://d0f6bd738d7f1b3e5a7ca70fe4ff75f0.us-east-1.aws.found.io/app/kibana#/discover/Steve-Slow-Train-Analysis-(2080s-and-2083s)?_g=(refreshInterval:(display:Off,pause:!f,section:0,value:0),time:(from:'2017-03-17T07:54:20-0600',mode:absolute,to:'2017-03-17T10:37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48" s="187" t="str">
        <f t="shared" si="6"/>
        <v>N</v>
      </c>
      <c r="X48" s="187">
        <f t="shared" si="21"/>
        <v>1</v>
      </c>
      <c r="Y48" s="62">
        <f t="shared" si="8"/>
        <v>23.296500000000002</v>
      </c>
      <c r="Z48" s="62">
        <f t="shared" si="9"/>
        <v>1.5599999999999999E-2</v>
      </c>
      <c r="AA48" s="62">
        <f t="shared" si="10"/>
        <v>23.280900000000003</v>
      </c>
      <c r="AB48" s="59" t="e">
        <f>VLOOKUP(A48,Enforcements!$C$7:$K$13,8,0)</f>
        <v>#N/A</v>
      </c>
      <c r="AC48" s="55" t="e">
        <f>VLOOKUP(A48,Enforcements!$C$7:$E$13,3,0)</f>
        <v>#N/A</v>
      </c>
      <c r="AD48" s="56" t="str">
        <f t="shared" si="11"/>
        <v>0136-17</v>
      </c>
      <c r="AE48" s="85" t="str">
        <f t="shared" si="12"/>
        <v>aws s3 cp s3://rtdc.mdm.uploadarchive.raw/RTDC4001/ "%USERPROFILE%\AppData\Local\Temp\OnboardLogs"\RTDC4001\2017-03-17 --exclude "*" --recursive --include "*20170317*" &amp; "%USERPROFILE%\Documents\GitHub\mrs-test-scripts\Headless Mode &amp; Sideloading\WalkAndUnGZ.bat" "%USERPROFILE%\AppData\Local\Temp\OnboardLogs"\RTDC4001\2017-03-17 &amp; aws s3 cp s3://rtdc.mdm.uploadarchive.raw/RTDC4001/ "%USERPROFILE%\AppData\Local\Temp\OnboardLogs"\RTDC4001\2017-03-18 --exclude "*" --recursive --include "*20170318*" &amp; "%USERPROFILE%\Documents\GitHub\mrs-test-scripts\Headless Mode &amp; Sideloading\WalkAndUnGZ.bat" "%USERPROFILE%\AppData\Local\Temp\OnboardLogs"\RTDC4001\2017-03-18</v>
      </c>
      <c r="AF48" s="82" t="str">
        <f t="shared" si="13"/>
        <v>"C:\Program Files (x86)\AstroGrep\AstroGrep.exe" /e /r /s /spath="%USERPROFILE%\AppData\Local\Temp\OnboardLogs" /stypes="app*4001*20170317*" /stext=" 15:.+((SYSTEM_STATE.+slice.+state.+changed )|(ment ac)|(multiple cpu faults)|(system.+state.+changed )|(\[timeout)|(PRM\|1\|D)|(kpr)|(kdp)|(\|lc)|(penalty))"</v>
      </c>
      <c r="AG48" s="1" t="str">
        <f t="shared" si="14"/>
        <v>EC</v>
      </c>
      <c r="AH48" s="86" t="str">
        <f t="shared" si="18"/>
        <v>"%USERPROFILE%\Documents\GitHub\eaglep3\Utilities\RefineRTDCRunTimes.py" --tripid 136-17 --locoid 4001 --swversion DE.1.0.9.0 --startMP 204:232965 --initTime 2017-03-17T08:54:20 --startdatetime 2017-03-17T08:56:14 --delay 0 --endMP 204:156 --enddatetime 2017-03-17T09:37:34 --enforcementcount 0 &gt;&gt;C:\Users\stu\Documents\GitHub\eaglep3-reporting\EC\2017-03-17-refined-times.txt</v>
      </c>
      <c r="AI48" s="108" t="str">
        <f t="shared" si="19"/>
        <v>echo {"issue":{"subject":"","project_id":79,"tracker_id":40,"status_id":1,"priority_id":2,"assigned_to_id":23,"start_date":"2017-03-17","description":"","custom_fields":[{"id":1,"name":"Subdivision","value":"EC"},{"id":4,"name":"Milepost","value":"0.0156"},{"id":17,"name":"Train ID","value":"136-17"},{"id":16,"name":"Locomotive ID","value":"4001"},{"id":130,"name":"Impact","value":""},{"id":150,"name":"Time of Event (Mountain Time)","value":"09:37:34"},{"id":151,"name":"Denver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48"/>
      <c r="AK48" s="48"/>
      <c r="AL48" s="48"/>
      <c r="AM48" s="154" t="str">
        <f t="shared" si="20"/>
        <v>start /low /b %USERPROFILE%\Documents\GitHub\eaglep3\Utilities\DownloadLogsFromS3.py --loco 4001 --day 2017-03-17</v>
      </c>
      <c r="AN48" s="163" t="str">
        <f>"grep -SE -B400 ""CHR.+\|PRM\|1\|D.+(SWITCH|SIGNAL).+UNKNOWN"" "&amp;search_path&amp;"\RTDC"&amp;B48&amp;"\*"&amp;B48&amp;"*"&amp;TEXT(AVERAGE(F48,I48)-utc_offset/24,"YYYYMMDD")&amp;"*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"%USERPROFILE%\AppData\Local\Temp\OnboardLogs"\RTDC4001\*4001*20170317* | grep -SE "(Enforcement Action)|(\[TIMEOUT)|(CHR.+\|PRM\|1\|D.+(SWITCH|SIGNAL).+UNKNOWN)" - &gt;&gt; 2017-03-17-UncaughtWiMAX.txt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3" t="s">
        <v>699</v>
      </c>
      <c r="B49" s="7">
        <v>4018</v>
      </c>
      <c r="C49" s="21" t="s">
        <v>227</v>
      </c>
      <c r="D49" s="21" t="s">
        <v>561</v>
      </c>
      <c r="E49" s="13">
        <v>42811.340983796297</v>
      </c>
      <c r="F49" s="13">
        <v>42811.344548611109</v>
      </c>
      <c r="G49" s="7">
        <v>2</v>
      </c>
      <c r="H49" s="21" t="s">
        <v>868</v>
      </c>
      <c r="I49" s="13">
        <v>42811.371377314812</v>
      </c>
      <c r="J49" s="7">
        <v>0</v>
      </c>
      <c r="K49" s="98" t="str">
        <f t="shared" si="0"/>
        <v>4017/4018</v>
      </c>
      <c r="L49" s="21" t="str">
        <f>VLOOKUP(A49,'Trips&amp;Operators'!$C$1:$G$99999,5,FALSE)</f>
        <v>WILLIAMS DONTE</v>
      </c>
      <c r="M49" s="6">
        <f t="shared" si="1"/>
        <v>2.6828703703358769E-2</v>
      </c>
      <c r="N49" s="7">
        <f t="shared" si="2"/>
        <v>38.633333332836628</v>
      </c>
      <c r="O49" s="7"/>
      <c r="P49" s="7"/>
      <c r="Q49" s="22"/>
      <c r="R49" s="22"/>
      <c r="S49" s="31">
        <f t="shared" si="3"/>
        <v>1</v>
      </c>
      <c r="T49" s="46" t="str">
        <f t="shared" si="4"/>
        <v>NorthBound</v>
      </c>
      <c r="U49" s="185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86" t="str">
        <f t="shared" si="5"/>
        <v>https://d0f6bd738d7f1b3e5a7ca70fe4ff75f0.us-east-1.aws.found.io/app/kibana#/discover/Steve-Slow-Train-Analysis-(2080s-and-2083s)?_g=(refreshInterval:(display:Off,pause:!f,section:0,value:0),time:(from:'2017-03-17T07:11:01-0600',mode:absolute,to:'2017-03-17T09:54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49" s="187" t="str">
        <f t="shared" si="6"/>
        <v>N</v>
      </c>
      <c r="X49" s="187">
        <f t="shared" si="21"/>
        <v>1</v>
      </c>
      <c r="Y49" s="62">
        <f t="shared" si="8"/>
        <v>4.4600000000000001E-2</v>
      </c>
      <c r="Z49" s="62">
        <f t="shared" si="9"/>
        <v>23.334399999999999</v>
      </c>
      <c r="AA49" s="62">
        <f t="shared" si="10"/>
        <v>23.2898</v>
      </c>
      <c r="AB49" s="59" t="e">
        <f>VLOOKUP(A49,Enforcements!$C$7:$K$13,8,0)</f>
        <v>#N/A</v>
      </c>
      <c r="AC49" s="55" t="e">
        <f>VLOOKUP(A49,Enforcements!$C$7:$E$13,3,0)</f>
        <v>#N/A</v>
      </c>
      <c r="AD49" s="56" t="str">
        <f t="shared" si="11"/>
        <v>0137-17</v>
      </c>
      <c r="AE49" s="85" t="str">
        <f t="shared" si="12"/>
        <v>aws s3 cp s3://rtdc.mdm.uploadarchive.raw/RTDC4018/ "%USERPROFILE%\AppData\Local\Temp\OnboardLogs"\RTDC4018\2017-03-17 --exclude "*" --recursive --include "*20170317*" &amp; "%USERPROFILE%\Documents\GitHub\mrs-test-scripts\Headless Mode &amp; Sideloading\WalkAndUnGZ.bat" "%USERPROFILE%\AppData\Local\Temp\OnboardLogs"\RTDC4018\2017-03-17 &amp; aws s3 cp s3://rtdc.mdm.uploadarchive.raw/RTDC4018/ "%USERPROFILE%\AppData\Local\Temp\OnboardLogs"\RTDC4018\2017-03-18 --exclude "*" --recursive --include "*20170318*" &amp; "%USERPROFILE%\Documents\GitHub\mrs-test-scripts\Headless Mode &amp; Sideloading\WalkAndUnGZ.bat" "%USERPROFILE%\AppData\Local\Temp\OnboardLogs"\RTDC4018\2017-03-18</v>
      </c>
      <c r="AF49" s="82" t="str">
        <f t="shared" si="13"/>
        <v>"C:\Program Files (x86)\AstroGrep\AstroGrep.exe" /e /r /s /spath="%USERPROFILE%\AppData\Local\Temp\OnboardLogs" /stypes="app*4018*20170317*" /stext=" 14:.+((SYSTEM_STATE.+slice.+state.+changed )|(ment ac)|(multiple cpu faults)|(system.+state.+changed )|(\[timeout)|(PRM\|1\|D)|(kpr)|(kdp)|(\|lc)|(penalty))"</v>
      </c>
      <c r="AG49" s="1" t="str">
        <f t="shared" si="14"/>
        <v>EC</v>
      </c>
      <c r="AH49" s="86" t="str">
        <f t="shared" si="18"/>
        <v>"%USERPROFILE%\Documents\GitHub\eaglep3\Utilities\RefineRTDCRunTimes.py" --tripid 137-17 --locoid 4018 --swversion DE.1.0.9.0 --startMP 204:446 --initTime 2017-03-17T08:11:01 --startdatetime 2017-03-17T08:16:09 --delay 2 --endMP 204:233344 --enddatetime 2017-03-17T08:54:47 --enforcementcount 0 &gt;&gt;C:\Users\stu\Documents\GitHub\eaglep3-reporting\EC\2017-03-17-refined-times.txt</v>
      </c>
      <c r="AI49" s="108" t="str">
        <f t="shared" si="19"/>
        <v>echo {"issue":{"subject":"","project_id":79,"tracker_id":40,"status_id":1,"priority_id":2,"assigned_to_id":23,"start_date":"2017-03-17","description":"","custom_fields":[{"id":1,"name":"Subdivision","value":"EC"},{"id":4,"name":"Milepost","value":"23.3344"},{"id":17,"name":"Train ID","value":"137-17"},{"id":16,"name":"Locomotive ID","value":"4018"},{"id":130,"name":"Impact","value":""},{"id":150,"name":"Time of Event (Mountain Time)","value":"08:54:47"},{"id":151,"name":"Denver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48"/>
      <c r="AK49" s="48"/>
      <c r="AL49" s="48"/>
      <c r="AM49" s="154" t="str">
        <f t="shared" si="20"/>
        <v>start /low /b %USERPROFILE%\Documents\GitHub\eaglep3\Utilities\DownloadLogsFromS3.py --loco 4018 --day 2017-03-17</v>
      </c>
      <c r="AN49" s="163" t="str">
        <f>"grep -SE -B400 ""CHR.+\|PRM\|1\|D.+(SWITCH|SIGNAL).+UNKNOWN"" "&amp;search_path&amp;"\RTDC"&amp;B49&amp;"\*"&amp;B49&amp;"*"&amp;TEXT(AVERAGE(F49,I49)-utc_offset/24,"YYYYMMDD")&amp;"*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"%USERPROFILE%\AppData\Local\Temp\OnboardLogs"\RTDC4018\*4018*20170317* | grep -SE "(Enforcement Action)|(\[TIMEOUT)|(CHR.+\|PRM\|1\|D.+(SWITCH|SIGNAL).+UNKNOWN)" - &gt;&gt; 2017-03-17-UncaughtWiMAX.txt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3" t="s">
        <v>707</v>
      </c>
      <c r="B50" s="7">
        <v>4017</v>
      </c>
      <c r="C50" s="21" t="s">
        <v>227</v>
      </c>
      <c r="D50" s="21" t="s">
        <v>519</v>
      </c>
      <c r="E50" s="13">
        <v>42811.378888888888</v>
      </c>
      <c r="F50" s="13">
        <v>42811.382905092592</v>
      </c>
      <c r="G50" s="7">
        <v>3</v>
      </c>
      <c r="H50" s="21" t="s">
        <v>575</v>
      </c>
      <c r="I50" s="13">
        <v>42811.412824074076</v>
      </c>
      <c r="J50" s="7">
        <v>0</v>
      </c>
      <c r="K50" s="98" t="str">
        <f t="shared" si="0"/>
        <v>4017/4018</v>
      </c>
      <c r="L50" s="21" t="str">
        <f>VLOOKUP(A50,'Trips&amp;Operators'!$C$1:$G$99999,5,FALSE)</f>
        <v>WILLIAMS DONTE</v>
      </c>
      <c r="M50" s="6">
        <f t="shared" si="1"/>
        <v>2.9918981483206153E-2</v>
      </c>
      <c r="N50" s="7">
        <f t="shared" si="2"/>
        <v>43.08333333581686</v>
      </c>
      <c r="O50" s="7"/>
      <c r="P50" s="7"/>
      <c r="Q50" s="22"/>
      <c r="R50" s="22"/>
      <c r="S50" s="31">
        <f t="shared" si="3"/>
        <v>1</v>
      </c>
      <c r="T50" s="46" t="str">
        <f t="shared" si="4"/>
        <v>Southbound</v>
      </c>
      <c r="U50" s="185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86" t="str">
        <f t="shared" si="5"/>
        <v>https://d0f6bd738d7f1b3e5a7ca70fe4ff75f0.us-east-1.aws.found.io/app/kibana#/discover/Steve-Slow-Train-Analysis-(2080s-and-2083s)?_g=(refreshInterval:(display:Off,pause:!f,section:0,value:0),time:(from:'2017-03-17T08:05:36-0600',mode:absolute,to:'2017-03-17T10:54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50" s="187" t="str">
        <f t="shared" si="6"/>
        <v>N</v>
      </c>
      <c r="X50" s="187">
        <f t="shared" si="21"/>
        <v>1</v>
      </c>
      <c r="Y50" s="62">
        <f t="shared" si="8"/>
        <v>23.301300000000001</v>
      </c>
      <c r="Z50" s="62">
        <f t="shared" si="9"/>
        <v>1.2699999999999999E-2</v>
      </c>
      <c r="AA50" s="62">
        <f t="shared" si="10"/>
        <v>23.288600000000002</v>
      </c>
      <c r="AB50" s="59" t="e">
        <f>VLOOKUP(A50,Enforcements!$C$7:$K$13,8,0)</f>
        <v>#N/A</v>
      </c>
      <c r="AC50" s="55" t="e">
        <f>VLOOKUP(A50,Enforcements!$C$7:$E$13,3,0)</f>
        <v>#N/A</v>
      </c>
      <c r="AD50" s="56" t="str">
        <f t="shared" si="11"/>
        <v>0138-17</v>
      </c>
      <c r="AE50" s="85" t="str">
        <f t="shared" si="12"/>
        <v>aws s3 cp s3://rtdc.mdm.uploadarchive.raw/RTDC4017/ "%USERPROFILE%\AppData\Local\Temp\OnboardLogs"\RTDC4017\2017-03-17 --exclude "*" --recursive --include "*20170317*" &amp; "%USERPROFILE%\Documents\GitHub\mrs-test-scripts\Headless Mode &amp; Sideloading\WalkAndUnGZ.bat" "%USERPROFILE%\AppData\Local\Temp\OnboardLogs"\RTDC4017\2017-03-17 &amp; aws s3 cp s3://rtdc.mdm.uploadarchive.raw/RTDC4017/ "%USERPROFILE%\AppData\Local\Temp\OnboardLogs"\RTDC4017\2017-03-18 --exclude "*" --recursive --include "*20170318*" &amp; "%USERPROFILE%\Documents\GitHub\mrs-test-scripts\Headless Mode &amp; Sideloading\WalkAndUnGZ.bat" "%USERPROFILE%\AppData\Local\Temp\OnboardLogs"\RTDC4017\2017-03-18</v>
      </c>
      <c r="AF50" s="82" t="str">
        <f t="shared" si="13"/>
        <v>"C:\Program Files (x86)\AstroGrep\AstroGrep.exe" /e /r /s /spath="%USERPROFILE%\AppData\Local\Temp\OnboardLogs" /stypes="app*4017*20170317*" /stext=" 15:.+((SYSTEM_STATE.+slice.+state.+changed )|(ment ac)|(multiple cpu faults)|(system.+state.+changed )|(\[timeout)|(PRM\|1\|D)|(kpr)|(kdp)|(\|lc)|(penalty))"</v>
      </c>
      <c r="AG50" s="1" t="str">
        <f t="shared" si="14"/>
        <v>EC</v>
      </c>
      <c r="AH50" s="86" t="str">
        <f t="shared" si="18"/>
        <v>"%USERPROFILE%\Documents\GitHub\eaglep3\Utilities\RefineRTDCRunTimes.py" --tripid 138-17 --locoid 4017 --swversion DE.1.0.9.0 --startMP 204:233013 --initTime 2017-03-17T09:05:36 --startdatetime 2017-03-17T09:11:23 --delay 3 --endMP 204:127 --enddatetime 2017-03-17T09:54:28 --enforcementcount 0 &gt;&gt;C:\Users\stu\Documents\GitHub\eaglep3-reporting\EC\2017-03-17-refined-times.txt</v>
      </c>
      <c r="AI50" s="108" t="str">
        <f t="shared" si="19"/>
        <v>echo {"issue":{"subject":"","project_id":79,"tracker_id":40,"status_id":1,"priority_id":2,"assigned_to_id":23,"start_date":"2017-03-17","description":"","custom_fields":[{"id":1,"name":"Subdivision","value":"EC"},{"id":4,"name":"Milepost","value":"0.0127"},{"id":17,"name":"Train ID","value":"138-17"},{"id":16,"name":"Locomotive ID","value":"4017"},{"id":130,"name":"Impact","value":""},{"id":150,"name":"Time of Event (Mountain Time)","value":"09:54:28"},{"id":151,"name":"Denver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48"/>
      <c r="AK50" s="48"/>
      <c r="AL50" s="48"/>
      <c r="AM50" s="154" t="str">
        <f t="shared" si="20"/>
        <v>start /low /b %USERPROFILE%\Documents\GitHub\eaglep3\Utilities\DownloadLogsFromS3.py --loco 4017 --day 2017-03-17</v>
      </c>
      <c r="AN50" s="163" t="str">
        <f>"grep -SE -B400 ""CHR.+\|PRM\|1\|D.+(SWITCH|SIGNAL).+UNKNOWN"" "&amp;search_path&amp;"\RTDC"&amp;B50&amp;"\*"&amp;B50&amp;"*"&amp;TEXT(AVERAGE(F50,I50)-utc_offset/24,"YYYYMMDD")&amp;"*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"%USERPROFILE%\AppData\Local\Temp\OnboardLogs"\RTDC4017\*4017*20170317* | grep -SE "(Enforcement Action)|(\[TIMEOUT)|(CHR.+\|PRM\|1\|D.+(SWITCH|SIGNAL).+UNKNOWN)" - &gt;&gt; 2017-03-17-UncaughtWiMAX.txt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3" t="s">
        <v>700</v>
      </c>
      <c r="B51" s="7">
        <v>4053</v>
      </c>
      <c r="C51" s="21" t="s">
        <v>227</v>
      </c>
      <c r="D51" s="21" t="s">
        <v>222</v>
      </c>
      <c r="E51" s="13">
        <v>42811.349398148152</v>
      </c>
      <c r="F51" s="13">
        <v>42811.354502314818</v>
      </c>
      <c r="G51" s="7">
        <v>1</v>
      </c>
      <c r="H51" s="21" t="s">
        <v>229</v>
      </c>
      <c r="I51" s="13">
        <v>42811.380983796298</v>
      </c>
      <c r="J51" s="7">
        <v>0</v>
      </c>
      <c r="K51" s="98" t="str">
        <f t="shared" si="0"/>
        <v>4053/4054</v>
      </c>
      <c r="L51" s="21" t="str">
        <f>VLOOKUP(A51,'Trips&amp;Operators'!$C$1:$G$99999,5,FALSE)</f>
        <v>BONDS REYNALDO</v>
      </c>
      <c r="M51" s="6">
        <f t="shared" si="1"/>
        <v>2.6481481480004732E-2</v>
      </c>
      <c r="N51" s="7">
        <f t="shared" si="2"/>
        <v>38.133333331206813</v>
      </c>
      <c r="O51" s="7"/>
      <c r="P51" s="7"/>
      <c r="Q51" s="22"/>
      <c r="R51" s="22"/>
      <c r="S51" s="31">
        <f t="shared" si="3"/>
        <v>1</v>
      </c>
      <c r="T51" s="46" t="str">
        <f t="shared" si="4"/>
        <v>NorthBound</v>
      </c>
      <c r="U51" s="185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86" t="str">
        <f t="shared" si="5"/>
        <v>https://d0f6bd738d7f1b3e5a7ca70fe4ff75f0.us-east-1.aws.found.io/app/kibana#/discover/Steve-Slow-Train-Analysis-(2080s-and-2083s)?_g=(refreshInterval:(display:Off,pause:!f,section:0,value:0),time:(from:'2017-03-17T07:23:08-0600',mode:absolute,to:'2017-03-17T10:08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51" s="187" t="str">
        <f t="shared" si="6"/>
        <v>N</v>
      </c>
      <c r="X51" s="187">
        <f t="shared" si="21"/>
        <v>1</v>
      </c>
      <c r="Y51" s="62">
        <f t="shared" si="8"/>
        <v>4.6600000000000003E-2</v>
      </c>
      <c r="Z51" s="62">
        <f t="shared" si="9"/>
        <v>23.329699999999999</v>
      </c>
      <c r="AA51" s="62">
        <f t="shared" si="10"/>
        <v>23.283099999999997</v>
      </c>
      <c r="AB51" s="59" t="e">
        <f>VLOOKUP(A51,Enforcements!$C$7:$K$13,8,0)</f>
        <v>#N/A</v>
      </c>
      <c r="AC51" s="55" t="e">
        <f>VLOOKUP(A51,Enforcements!$C$7:$E$13,3,0)</f>
        <v>#N/A</v>
      </c>
      <c r="AD51" s="56" t="str">
        <f t="shared" si="11"/>
        <v>0139-17</v>
      </c>
      <c r="AE51" s="85" t="str">
        <f t="shared" si="12"/>
        <v>aws s3 cp s3://rtdc.mdm.uploadarchive.raw/RTDC4053/ "%USERPROFILE%\AppData\Local\Temp\OnboardLogs"\RTDC4053\2017-03-17 --exclude "*" --recursive --include "*20170317*" &amp; "%USERPROFILE%\Documents\GitHub\mrs-test-scripts\Headless Mode &amp; Sideloading\WalkAndUnGZ.bat" "%USERPROFILE%\AppData\Local\Temp\OnboardLogs"\RTDC4053\2017-03-17 &amp; aws s3 cp s3://rtdc.mdm.uploadarchive.raw/RTDC4053/ "%USERPROFILE%\AppData\Local\Temp\OnboardLogs"\RTDC4053\2017-03-18 --exclude "*" --recursive --include "*20170318*" &amp; "%USERPROFILE%\Documents\GitHub\mrs-test-scripts\Headless Mode &amp; Sideloading\WalkAndUnGZ.bat" "%USERPROFILE%\AppData\Local\Temp\OnboardLogs"\RTDC4053\2017-03-18</v>
      </c>
      <c r="AF51" s="82" t="str">
        <f t="shared" si="13"/>
        <v>"C:\Program Files (x86)\AstroGrep\AstroGrep.exe" /e /r /s /spath="%USERPROFILE%\AppData\Local\Temp\OnboardLogs" /stypes="app*4053*20170317*" /stext=" 15:.+((SYSTEM_STATE.+slice.+state.+changed )|(ment ac)|(multiple cpu faults)|(system.+state.+changed )|(\[timeout)|(PRM\|1\|D)|(kpr)|(kdp)|(\|lc)|(penalty))"</v>
      </c>
      <c r="AG51" s="1" t="str">
        <f t="shared" si="14"/>
        <v>EC</v>
      </c>
      <c r="AH51" s="86" t="str">
        <f t="shared" si="18"/>
        <v>"%USERPROFILE%\Documents\GitHub\eaglep3\Utilities\RefineRTDCRunTimes.py" --tripid 139-17 --locoid 4053 --swversion DE.1.0.9.0 --startMP 204:466 --initTime 2017-03-17T08:23:08 --startdatetime 2017-03-17T08:30:29 --delay 1 --endMP 204:233297 --enddatetime 2017-03-17T09:08:37 --enforcementcount 0 &gt;&gt;C:\Users\stu\Documents\GitHub\eaglep3-reporting\EC\2017-03-17-refined-times.txt</v>
      </c>
      <c r="AI51" s="108" t="str">
        <f t="shared" si="19"/>
        <v>echo {"issue":{"subject":"","project_id":79,"tracker_id":40,"status_id":1,"priority_id":2,"assigned_to_id":23,"start_date":"2017-03-17","description":"","custom_fields":[{"id":1,"name":"Subdivision","value":"EC"},{"id":4,"name":"Milepost","value":"23.3297"},{"id":17,"name":"Train ID","value":"139-17"},{"id":16,"name":"Locomotive ID","value":"4053"},{"id":130,"name":"Impact","value":""},{"id":150,"name":"Time of Event (Mountain Time)","value":"09:08:37"},{"id":151,"name":"Denver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48"/>
      <c r="AK51" s="48"/>
      <c r="AL51" s="48"/>
      <c r="AM51" s="154" t="str">
        <f t="shared" si="20"/>
        <v>start /low /b %USERPROFILE%\Documents\GitHub\eaglep3\Utilities\DownloadLogsFromS3.py --loco 4053 --day 2017-03-17</v>
      </c>
      <c r="AN51" s="163" t="str">
        <f>"grep -SE -B400 ""CHR.+\|PRM\|1\|D.+(SWITCH|SIGNAL).+UNKNOWN"" "&amp;search_path&amp;"\RTDC"&amp;B51&amp;"\*"&amp;B51&amp;"*"&amp;TEXT(AVERAGE(F51,I51)-utc_offset/24,"YYYYMMDD")&amp;"*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"%USERPROFILE%\AppData\Local\Temp\OnboardLogs"\RTDC4053\*4053*20170317* | grep -SE "(Enforcement Action)|(\[TIMEOUT)|(CHR.+\|PRM\|1\|D.+(SWITCH|SIGNAL).+UNKNOWN)" - &gt;&gt; 2017-03-17-UncaughtWiMAX.txt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3" t="s">
        <v>709</v>
      </c>
      <c r="B52" s="7">
        <v>4054</v>
      </c>
      <c r="C52" s="21" t="s">
        <v>227</v>
      </c>
      <c r="D52" s="21" t="s">
        <v>373</v>
      </c>
      <c r="E52" s="13">
        <v>42811.390277777777</v>
      </c>
      <c r="F52" s="13">
        <v>42811.393229166664</v>
      </c>
      <c r="G52" s="7">
        <v>1</v>
      </c>
      <c r="H52" s="21" t="s">
        <v>479</v>
      </c>
      <c r="I52" s="13">
        <v>42811.423622685186</v>
      </c>
      <c r="J52" s="7">
        <v>0</v>
      </c>
      <c r="K52" s="98" t="str">
        <f t="shared" si="0"/>
        <v>4053/4054</v>
      </c>
      <c r="L52" s="21" t="str">
        <f>VLOOKUP(A52,'Trips&amp;Operators'!$C$1:$G$99999,5,FALSE)</f>
        <v>BONDS REYNALDO</v>
      </c>
      <c r="M52" s="6">
        <f t="shared" si="1"/>
        <v>3.0393518522032537E-2</v>
      </c>
      <c r="N52" s="7">
        <f t="shared" si="2"/>
        <v>43.766666671726853</v>
      </c>
      <c r="O52" s="7"/>
      <c r="P52" s="7"/>
      <c r="Q52" s="22"/>
      <c r="R52" s="22"/>
      <c r="S52" s="31">
        <f t="shared" si="3"/>
        <v>1</v>
      </c>
      <c r="T52" s="46" t="str">
        <f t="shared" si="4"/>
        <v>Southbound</v>
      </c>
      <c r="U52" s="185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86" t="str">
        <f t="shared" si="5"/>
        <v>https://d0f6bd738d7f1b3e5a7ca70fe4ff75f0.us-east-1.aws.found.io/app/kibana#/discover/Steve-Slow-Train-Analysis-(2080s-and-2083s)?_g=(refreshInterval:(display:Off,pause:!f,section:0,value:0),time:(from:'2017-03-17T08:22:00-0600',mode:absolute,to:'2017-03-17T11:10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52" s="187" t="str">
        <f t="shared" si="6"/>
        <v>N</v>
      </c>
      <c r="X52" s="187">
        <f t="shared" si="21"/>
        <v>1</v>
      </c>
      <c r="Y52" s="62">
        <f t="shared" si="8"/>
        <v>23.298200000000001</v>
      </c>
      <c r="Z52" s="62">
        <f t="shared" si="9"/>
        <v>1.4500000000000001E-2</v>
      </c>
      <c r="AA52" s="62">
        <f t="shared" si="10"/>
        <v>23.2837</v>
      </c>
      <c r="AB52" s="59" t="e">
        <f>VLOOKUP(A52,Enforcements!$C$7:$K$13,8,0)</f>
        <v>#N/A</v>
      </c>
      <c r="AC52" s="55" t="e">
        <f>VLOOKUP(A52,Enforcements!$C$7:$E$13,3,0)</f>
        <v>#N/A</v>
      </c>
      <c r="AD52" s="56" t="str">
        <f t="shared" si="11"/>
        <v>0140-17</v>
      </c>
      <c r="AE52" s="85" t="str">
        <f t="shared" si="12"/>
        <v>aws s3 cp s3://rtdc.mdm.uploadarchive.raw/RTDC4054/ "%USERPROFILE%\AppData\Local\Temp\OnboardLogs"\RTDC4054\2017-03-17 --exclude "*" --recursive --include "*20170317*" &amp; "%USERPROFILE%\Documents\GitHub\mrs-test-scripts\Headless Mode &amp; Sideloading\WalkAndUnGZ.bat" "%USERPROFILE%\AppData\Local\Temp\OnboardLogs"\RTDC4054\2017-03-17 &amp; aws s3 cp s3://rtdc.mdm.uploadarchive.raw/RTDC4054/ "%USERPROFILE%\AppData\Local\Temp\OnboardLogs"\RTDC4054\2017-03-18 --exclude "*" --recursive --include "*20170318*" &amp; "%USERPROFILE%\Documents\GitHub\mrs-test-scripts\Headless Mode &amp; Sideloading\WalkAndUnGZ.bat" "%USERPROFILE%\AppData\Local\Temp\OnboardLogs"\RTDC4054\2017-03-18</v>
      </c>
      <c r="AF52" s="82" t="str">
        <f t="shared" si="13"/>
        <v>"C:\Program Files (x86)\AstroGrep\AstroGrep.exe" /e /r /s /spath="%USERPROFILE%\AppData\Local\Temp\OnboardLogs" /stypes="app*4054*20170317*" /stext=" 16:.+((SYSTEM_STATE.+slice.+state.+changed )|(ment ac)|(multiple cpu faults)|(system.+state.+changed )|(\[timeout)|(PRM\|1\|D)|(kpr)|(kdp)|(\|lc)|(penalty))"</v>
      </c>
      <c r="AG52" s="1" t="str">
        <f t="shared" si="14"/>
        <v>EC</v>
      </c>
      <c r="AH52" s="86" t="str">
        <f t="shared" si="18"/>
        <v>"%USERPROFILE%\Documents\GitHub\eaglep3\Utilities\RefineRTDCRunTimes.py" --tripid 140-17 --locoid 4054 --swversion DE.1.0.9.0 --startMP 204:232982 --initTime 2017-03-17T09:22:00 --startdatetime 2017-03-17T09:26:15 --delay 1 --endMP 204:145 --enddatetime 2017-03-17T10:10:01 --enforcementcount 0 &gt;&gt;C:\Users\stu\Documents\GitHub\eaglep3-reporting\EC\2017-03-17-refined-times.txt</v>
      </c>
      <c r="AI52" s="108" t="str">
        <f t="shared" si="19"/>
        <v>echo {"issue":{"subject":"","project_id":79,"tracker_id":40,"status_id":1,"priority_id":2,"assigned_to_id":23,"start_date":"2017-03-17","description":"","custom_fields":[{"id":1,"name":"Subdivision","value":"EC"},{"id":4,"name":"Milepost","value":"0.0145"},{"id":17,"name":"Train ID","value":"140-17"},{"id":16,"name":"Locomotive ID","value":"4054"},{"id":130,"name":"Impact","value":""},{"id":150,"name":"Time of Event (Mountain Time)","value":"10:10:01"},{"id":151,"name":"Denver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48"/>
      <c r="AK52" s="48"/>
      <c r="AL52" s="48"/>
      <c r="AM52" s="154" t="str">
        <f t="shared" si="20"/>
        <v>start /low /b %USERPROFILE%\Documents\GitHub\eaglep3\Utilities\DownloadLogsFromS3.py --loco 4054 --day 2017-03-17</v>
      </c>
      <c r="AN52" s="163" t="str">
        <f>"grep -SE -B400 ""CHR.+\|PRM\|1\|D.+(SWITCH|SIGNAL).+UNKNOWN"" "&amp;search_path&amp;"\RTDC"&amp;B52&amp;"\*"&amp;B52&amp;"*"&amp;TEXT(AVERAGE(F52,I52)-utc_offset/24,"YYYYMMDD")&amp;"*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"%USERPROFILE%\AppData\Local\Temp\OnboardLogs"\RTDC4054\*4054*20170317* | grep -SE "(Enforcement Action)|(\[TIMEOUT)|(CHR.+\|PRM\|1\|D.+(SWITCH|SIGNAL).+UNKNOWN)" - &gt;&gt; 2017-03-17-UncaughtWiMAX.txt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3" t="s">
        <v>703</v>
      </c>
      <c r="B53" s="7">
        <v>4011</v>
      </c>
      <c r="C53" s="21" t="s">
        <v>227</v>
      </c>
      <c r="D53" s="21" t="s">
        <v>209</v>
      </c>
      <c r="E53" s="13">
        <v>42811.36010416667</v>
      </c>
      <c r="F53" s="13">
        <v>42811.364733796298</v>
      </c>
      <c r="G53" s="7">
        <v>1</v>
      </c>
      <c r="H53" s="21" t="s">
        <v>568</v>
      </c>
      <c r="I53" s="13">
        <v>42811.3903587963</v>
      </c>
      <c r="J53" s="7">
        <v>0</v>
      </c>
      <c r="K53" s="98" t="str">
        <f t="shared" si="0"/>
        <v>4011/4012</v>
      </c>
      <c r="L53" s="21" t="str">
        <f>VLOOKUP(A53,'Trips&amp;Operators'!$C$1:$G$99999,5,FALSE)</f>
        <v>BADERTSCHER DIANE</v>
      </c>
      <c r="M53" s="6">
        <f t="shared" si="1"/>
        <v>2.5625000002037268E-2</v>
      </c>
      <c r="N53" s="7">
        <f t="shared" si="2"/>
        <v>36.900000002933666</v>
      </c>
      <c r="O53" s="7"/>
      <c r="P53" s="7"/>
      <c r="Q53" s="22"/>
      <c r="R53" s="22"/>
      <c r="S53" s="31">
        <f t="shared" si="3"/>
        <v>1</v>
      </c>
      <c r="T53" s="46" t="str">
        <f t="shared" si="4"/>
        <v>NorthBound</v>
      </c>
      <c r="U53" s="185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86" t="str">
        <f t="shared" si="5"/>
        <v>https://d0f6bd738d7f1b3e5a7ca70fe4ff75f0.us-east-1.aws.found.io/app/kibana#/discover/Steve-Slow-Train-Analysis-(2080s-and-2083s)?_g=(refreshInterval:(display:Off,pause:!f,section:0,value:0),time:(from:'2017-03-17T07:38:33-0600',mode:absolute,to:'2017-03-17T10:22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53" s="187" t="str">
        <f t="shared" si="6"/>
        <v>N</v>
      </c>
      <c r="X53" s="187">
        <f t="shared" si="21"/>
        <v>1</v>
      </c>
      <c r="Y53" s="62">
        <f t="shared" si="8"/>
        <v>4.5699999999999998E-2</v>
      </c>
      <c r="Z53" s="62">
        <f t="shared" si="9"/>
        <v>23.330200000000001</v>
      </c>
      <c r="AA53" s="62">
        <f t="shared" si="10"/>
        <v>23.284500000000001</v>
      </c>
      <c r="AB53" s="59" t="e">
        <f>VLOOKUP(A53,Enforcements!$C$7:$K$13,8,0)</f>
        <v>#N/A</v>
      </c>
      <c r="AC53" s="55" t="e">
        <f>VLOOKUP(A53,Enforcements!$C$7:$E$13,3,0)</f>
        <v>#N/A</v>
      </c>
      <c r="AD53" s="56" t="str">
        <f t="shared" si="11"/>
        <v>0141-17</v>
      </c>
      <c r="AE53" s="85" t="str">
        <f t="shared" si="12"/>
        <v>aws s3 cp s3://rtdc.mdm.uploadarchive.raw/RTDC4011/ "%USERPROFILE%\AppData\Local\Temp\OnboardLogs"\RTDC4011\2017-03-17 --exclude "*" --recursive --include "*20170317*" &amp; "%USERPROFILE%\Documents\GitHub\mrs-test-scripts\Headless Mode &amp; Sideloading\WalkAndUnGZ.bat" "%USERPROFILE%\AppData\Local\Temp\OnboardLogs"\RTDC4011\2017-03-17 &amp; aws s3 cp s3://rtdc.mdm.uploadarchive.raw/RTDC4011/ "%USERPROFILE%\AppData\Local\Temp\OnboardLogs"\RTDC4011\2017-03-18 --exclude "*" --recursive --include "*20170318*" &amp; "%USERPROFILE%\Documents\GitHub\mrs-test-scripts\Headless Mode &amp; Sideloading\WalkAndUnGZ.bat" "%USERPROFILE%\AppData\Local\Temp\OnboardLogs"\RTDC4011\2017-03-18</v>
      </c>
      <c r="AF53" s="82" t="str">
        <f t="shared" si="13"/>
        <v>"C:\Program Files (x86)\AstroGrep\AstroGrep.exe" /e /r /s /spath="%USERPROFILE%\AppData\Local\Temp\OnboardLogs" /stypes="app*4011*20170317*" /stext=" 15:.+((SYSTEM_STATE.+slice.+state.+changed )|(ment ac)|(multiple cpu faults)|(system.+state.+changed )|(\[timeout)|(PRM\|1\|D)|(kpr)|(kdp)|(\|lc)|(penalty))"</v>
      </c>
      <c r="AG53" s="1" t="str">
        <f t="shared" si="14"/>
        <v>EC</v>
      </c>
      <c r="AH53" s="86" t="str">
        <f t="shared" si="18"/>
        <v>"%USERPROFILE%\Documents\GitHub\eaglep3\Utilities\RefineRTDCRunTimes.py" --tripid 141-17 --locoid 4011 --swversion DE.1.0.9.0 --startMP 204:457 --initTime 2017-03-17T08:38:33 --startdatetime 2017-03-17T08:45:13 --delay 1 --endMP 204:233302 --enddatetime 2017-03-17T09:22:07 --enforcementcount 0 &gt;&gt;C:\Users\stu\Documents\GitHub\eaglep3-reporting\EC\2017-03-17-refined-times.txt</v>
      </c>
      <c r="AI53" s="108" t="str">
        <f t="shared" si="19"/>
        <v>echo {"issue":{"subject":"","project_id":79,"tracker_id":40,"status_id":1,"priority_id":2,"assigned_to_id":23,"start_date":"2017-03-17","description":"","custom_fields":[{"id":1,"name":"Subdivision","value":"EC"},{"id":4,"name":"Milepost","value":"23.3302"},{"id":17,"name":"Train ID","value":"141-17"},{"id":16,"name":"Locomotive ID","value":"4011"},{"id":130,"name":"Impact","value":""},{"id":150,"name":"Time of Event (Mountain Time)","value":"09:22:07"},{"id":151,"name":"Denver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48"/>
      <c r="AK53" s="48"/>
      <c r="AL53" s="48"/>
      <c r="AM53" s="154" t="str">
        <f t="shared" si="20"/>
        <v>start /low /b %USERPROFILE%\Documents\GitHub\eaglep3\Utilities\DownloadLogsFromS3.py --loco 4011 --day 2017-03-17</v>
      </c>
      <c r="AN53" s="163" t="str">
        <f>"grep -SE -B400 ""CHR.+\|PRM\|1\|D.+(SWITCH|SIGNAL).+UNKNOWN"" "&amp;search_path&amp;"\RTDC"&amp;B53&amp;"\*"&amp;B53&amp;"*"&amp;TEXT(AVERAGE(F53,I53)-utc_offset/24,"YYYYMMDD")&amp;"*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"%USERPROFILE%\AppData\Local\Temp\OnboardLogs"\RTDC4011\*4011*20170317* | grep -SE "(Enforcement Action)|(\[TIMEOUT)|(CHR.+\|PRM\|1\|D.+(SWITCH|SIGNAL).+UNKNOWN)" - &gt;&gt; 2017-03-17-UncaughtWiMAX.txt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3" t="s">
        <v>711</v>
      </c>
      <c r="B54" s="7">
        <v>4012</v>
      </c>
      <c r="C54" s="21" t="s">
        <v>227</v>
      </c>
      <c r="D54" s="21" t="s">
        <v>570</v>
      </c>
      <c r="E54" s="13">
        <v>42811.398321759261</v>
      </c>
      <c r="F54" s="13">
        <v>42811.403935185182</v>
      </c>
      <c r="G54" s="7">
        <v>2</v>
      </c>
      <c r="H54" s="21" t="s">
        <v>869</v>
      </c>
      <c r="I54" s="13">
        <v>42811.431701388887</v>
      </c>
      <c r="J54" s="7">
        <v>0</v>
      </c>
      <c r="K54" s="98" t="str">
        <f t="shared" si="0"/>
        <v>4011/4012</v>
      </c>
      <c r="L54" s="21" t="str">
        <f>VLOOKUP(A54,'Trips&amp;Operators'!$C$1:$G$99999,5,FALSE)</f>
        <v>BADERTSCHER DIANE</v>
      </c>
      <c r="M54" s="6">
        <f t="shared" si="1"/>
        <v>2.7766203704231884E-2</v>
      </c>
      <c r="N54" s="7">
        <f t="shared" si="2"/>
        <v>39.983333334093913</v>
      </c>
      <c r="O54" s="7"/>
      <c r="P54" s="7"/>
      <c r="Q54" s="22"/>
      <c r="R54" s="22"/>
      <c r="S54" s="31">
        <f t="shared" si="3"/>
        <v>1</v>
      </c>
      <c r="T54" s="46" t="str">
        <f t="shared" si="4"/>
        <v>Southbound</v>
      </c>
      <c r="U54" s="185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86" t="str">
        <f t="shared" si="5"/>
        <v>https://d0f6bd738d7f1b3e5a7ca70fe4ff75f0.us-east-1.aws.found.io/app/kibana#/discover/Steve-Slow-Train-Analysis-(2080s-and-2083s)?_g=(refreshInterval:(display:Off,pause:!f,section:0,value:0),time:(from:'2017-03-17T08:33:35-0600',mode:absolute,to:'2017-03-17T11:21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54" s="187" t="str">
        <f t="shared" si="6"/>
        <v>N</v>
      </c>
      <c r="X54" s="187">
        <f t="shared" si="21"/>
        <v>1</v>
      </c>
      <c r="Y54" s="62">
        <f t="shared" si="8"/>
        <v>23.299399999999999</v>
      </c>
      <c r="Z54" s="62">
        <f t="shared" si="9"/>
        <v>1.7999999999999999E-2</v>
      </c>
      <c r="AA54" s="62">
        <f t="shared" si="10"/>
        <v>23.281399999999998</v>
      </c>
      <c r="AB54" s="59" t="e">
        <f>VLOOKUP(A54,Enforcements!$C$7:$K$13,8,0)</f>
        <v>#N/A</v>
      </c>
      <c r="AC54" s="55" t="e">
        <f>VLOOKUP(A54,Enforcements!$C$7:$E$13,3,0)</f>
        <v>#N/A</v>
      </c>
      <c r="AD54" s="56" t="str">
        <f t="shared" si="11"/>
        <v>0142-17</v>
      </c>
      <c r="AE54" s="85" t="str">
        <f t="shared" si="12"/>
        <v>aws s3 cp s3://rtdc.mdm.uploadarchive.raw/RTDC4012/ "%USERPROFILE%\AppData\Local\Temp\OnboardLogs"\RTDC4012\2017-03-17 --exclude "*" --recursive --include "*20170317*" &amp; "%USERPROFILE%\Documents\GitHub\mrs-test-scripts\Headless Mode &amp; Sideloading\WalkAndUnGZ.bat" "%USERPROFILE%\AppData\Local\Temp\OnboardLogs"\RTDC4012\2017-03-17 &amp; aws s3 cp s3://rtdc.mdm.uploadarchive.raw/RTDC4012/ "%USERPROFILE%\AppData\Local\Temp\OnboardLogs"\RTDC4012\2017-03-18 --exclude "*" --recursive --include "*20170318*" &amp; "%USERPROFILE%\Documents\GitHub\mrs-test-scripts\Headless Mode &amp; Sideloading\WalkAndUnGZ.bat" "%USERPROFILE%\AppData\Local\Temp\OnboardLogs"\RTDC4012\2017-03-18</v>
      </c>
      <c r="AF54" s="82" t="str">
        <f t="shared" si="13"/>
        <v>"C:\Program Files (x86)\AstroGrep\AstroGrep.exe" /e /r /s /spath="%USERPROFILE%\AppData\Local\Temp\OnboardLogs" /stypes="app*4012*20170317*" /stext=" 16:.+((SYSTEM_STATE.+slice.+state.+changed )|(ment ac)|(multiple cpu faults)|(system.+state.+changed )|(\[timeout)|(PRM\|1\|D)|(kpr)|(kdp)|(\|lc)|(penalty))"</v>
      </c>
      <c r="AG54" s="1" t="str">
        <f t="shared" si="14"/>
        <v>EC</v>
      </c>
      <c r="AH54" s="86" t="str">
        <f t="shared" si="18"/>
        <v>"%USERPROFILE%\Documents\GitHub\eaglep3\Utilities\RefineRTDCRunTimes.py" --tripid 142-17 --locoid 4012 --swversion DE.1.0.9.0 --startMP 204:232994 --initTime 2017-03-17T09:33:35 --startdatetime 2017-03-17T09:41:40 --delay 2 --endMP 204:180 --enddatetime 2017-03-17T10:21:39 --enforcementcount 0 &gt;&gt;C:\Users\stu\Documents\GitHub\eaglep3-reporting\EC\2017-03-17-refined-times.txt</v>
      </c>
      <c r="AI54" s="108" t="str">
        <f t="shared" si="19"/>
        <v>echo {"issue":{"subject":"","project_id":79,"tracker_id":40,"status_id":1,"priority_id":2,"assigned_to_id":23,"start_date":"2017-03-17","description":"","custom_fields":[{"id":1,"name":"Subdivision","value":"EC"},{"id":4,"name":"Milepost","value":"0.018"},{"id":17,"name":"Train ID","value":"142-17"},{"id":16,"name":"Locomotive ID","value":"4012"},{"id":130,"name":"Impact","value":""},{"id":150,"name":"Time of Event (Mountain Time)","value":"10:21:39"},{"id":151,"name":"Denver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48"/>
      <c r="AK54" s="48"/>
      <c r="AL54" s="48"/>
      <c r="AM54" s="154" t="str">
        <f t="shared" si="20"/>
        <v>start /low /b %USERPROFILE%\Documents\GitHub\eaglep3\Utilities\DownloadLogsFromS3.py --loco 4012 --day 2017-03-17</v>
      </c>
      <c r="AN54" s="163" t="str">
        <f>"grep -SE -B400 ""CHR.+\|PRM\|1\|D.+(SWITCH|SIGNAL).+UNKNOWN"" "&amp;search_path&amp;"\RTDC"&amp;B54&amp;"\*"&amp;B54&amp;"*"&amp;TEXT(AVERAGE(F54,I54)-utc_offset/24,"YYYYMMDD")&amp;"*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"%USERPROFILE%\AppData\Local\Temp\OnboardLogs"\RTDC4012\*4012*20170317* | grep -SE "(Enforcement Action)|(\[TIMEOUT)|(CHR.+\|PRM\|1\|D.+(SWITCH|SIGNAL).+UNKNOWN)" - &gt;&gt; 2017-03-17-UncaughtWiMAX.txt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3" t="s">
        <v>705</v>
      </c>
      <c r="B55" s="7">
        <v>4042</v>
      </c>
      <c r="C55" s="21" t="s">
        <v>227</v>
      </c>
      <c r="D55" s="21" t="s">
        <v>870</v>
      </c>
      <c r="E55" s="13">
        <v>42811.379224537035</v>
      </c>
      <c r="F55" s="13">
        <v>42811.380173611113</v>
      </c>
      <c r="G55" s="7">
        <v>0</v>
      </c>
      <c r="H55" s="21" t="s">
        <v>871</v>
      </c>
      <c r="I55" s="13">
        <v>42811.404016203705</v>
      </c>
      <c r="J55" s="7">
        <v>0</v>
      </c>
      <c r="K55" s="98" t="str">
        <f t="shared" si="0"/>
        <v>4041/4042</v>
      </c>
      <c r="L55" s="21" t="str">
        <f>VLOOKUP(A55,'Trips&amp;Operators'!$C$1:$G$99999,5,FALSE)</f>
        <v>SULLIVAN BRANDON</v>
      </c>
      <c r="M55" s="6">
        <f t="shared" si="1"/>
        <v>2.3842592592700385E-2</v>
      </c>
      <c r="N55" s="7"/>
      <c r="O55" s="7"/>
      <c r="P55" s="7">
        <f>24*60*SUM($M55:$M55)</f>
        <v>34.333333333488554</v>
      </c>
      <c r="Q55" s="22"/>
      <c r="R55" s="22" t="s">
        <v>1023</v>
      </c>
      <c r="S55" s="31">
        <f t="shared" si="3"/>
        <v>1</v>
      </c>
      <c r="T55" s="46" t="str">
        <f t="shared" si="4"/>
        <v>NorthBound</v>
      </c>
      <c r="U55" s="185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86" t="str">
        <f t="shared" si="5"/>
        <v>https://d0f6bd738d7f1b3e5a7ca70fe4ff75f0.us-east-1.aws.found.io/app/kibana#/discover/Steve-Slow-Train-Analysis-(2080s-and-2083s)?_g=(refreshInterval:(display:Off,pause:!f,section:0,value:0),time:(from:'2017-03-17T08:06:05-0600',mode:absolute,to:'2017-03-17T10:41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55" s="187" t="str">
        <f t="shared" si="6"/>
        <v>Y</v>
      </c>
      <c r="X55" s="187">
        <f t="shared" si="21"/>
        <v>1</v>
      </c>
      <c r="Y55" s="62">
        <f t="shared" si="8"/>
        <v>1.9132</v>
      </c>
      <c r="Z55" s="62">
        <f t="shared" si="9"/>
        <v>23.3216</v>
      </c>
      <c r="AA55" s="62">
        <f t="shared" si="10"/>
        <v>21.4084</v>
      </c>
      <c r="AB55" s="59" t="e">
        <f>VLOOKUP(A55,Enforcements!$C$7:$K$13,8,0)</f>
        <v>#N/A</v>
      </c>
      <c r="AC55" s="55" t="e">
        <f>VLOOKUP(A55,Enforcements!$C$7:$E$13,3,0)</f>
        <v>#N/A</v>
      </c>
      <c r="AD55" s="56" t="str">
        <f t="shared" si="11"/>
        <v>0143-17</v>
      </c>
      <c r="AE55" s="85" t="str">
        <f t="shared" si="12"/>
        <v>aws s3 cp s3://rtdc.mdm.uploadarchive.raw/RTDC4042/ "%USERPROFILE%\AppData\Local\Temp\OnboardLogs"\RTDC4042\2017-03-17 --exclude "*" --recursive --include "*20170317*" &amp; "%USERPROFILE%\Documents\GitHub\mrs-test-scripts\Headless Mode &amp; Sideloading\WalkAndUnGZ.bat" "%USERPROFILE%\AppData\Local\Temp\OnboardLogs"\RTDC4042\2017-03-17 &amp; aws s3 cp s3://rtdc.mdm.uploadarchive.raw/RTDC4042/ "%USERPROFILE%\AppData\Local\Temp\OnboardLogs"\RTDC4042\2017-03-18 --exclude "*" --recursive --include "*20170318*" &amp; "%USERPROFILE%\Documents\GitHub\mrs-test-scripts\Headless Mode &amp; Sideloading\WalkAndUnGZ.bat" "%USERPROFILE%\AppData\Local\Temp\OnboardLogs"\RTDC4042\2017-03-18</v>
      </c>
      <c r="AF55" s="82" t="str">
        <f t="shared" si="13"/>
        <v>"C:\Program Files (x86)\AstroGrep\AstroGrep.exe" /e /r /s /spath="%USERPROFILE%\AppData\Local\Temp\OnboardLogs" /stypes="app*4042*20170317*" /stext=" 15:.+((SYSTEM_STATE.+slice.+state.+changed )|(ment ac)|(multiple cpu faults)|(system.+state.+changed )|(\[timeout)|(PRM\|1\|D)|(kpr)|(kdp)|(\|lc)|(penalty))"</v>
      </c>
      <c r="AG55" s="1" t="str">
        <f t="shared" si="14"/>
        <v>EC</v>
      </c>
      <c r="AH55" s="86" t="str">
        <f t="shared" si="18"/>
        <v>"%USERPROFILE%\Documents\GitHub\eaglep3\Utilities\RefineRTDCRunTimes.py" --tripid 143-17 --locoid 4042 --swversion DE.1.0.9.0 --startMP 204:19132 --initTime 2017-03-17T09:06:05 --startdatetime 2017-03-17T09:07:27 --delay 0 --endMP 204:233216 --enddatetime 2017-03-17T09:41:47 --enforcementcount 0 &gt;&gt;C:\Users\stu\Documents\GitHub\eaglep3-reporting\EC\2017-03-17-refined-times.txt</v>
      </c>
      <c r="AI55" s="108" t="str">
        <f t="shared" si="19"/>
        <v>echo {"issue":{"subject":"DUS 2N STOP; DUS SW 9 was reversed; train on Main 1","project_id":79,"tracker_id":40,"status_id":1,"priority_id":2,"assigned_to_id":23,"start_date":"2017-03-17","description":"","custom_fields":[{"id":1,"name":"Subdivision","value":"EC"},{"id":4,"name":"Milepost","value":"23.3216"},{"id":17,"name":"Train ID","value":"143-17"},{"id":16,"name":"Locomotive ID","value":"4042"},{"id":130,"name":"Impact","value":""},{"id":150,"name":"Time of Event (Mountain Time)","value":"09:41:47"},{"id":151,"name":"Denver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48"/>
      <c r="AK55" s="48"/>
      <c r="AL55" s="48"/>
      <c r="AM55" s="154" t="str">
        <f t="shared" si="20"/>
        <v>start /low /b %USERPROFILE%\Documents\GitHub\eaglep3\Utilities\DownloadLogsFromS3.py --loco 4042 --day 2017-03-17</v>
      </c>
      <c r="AN55" s="163" t="str">
        <f>"grep -SE -B400 ""CHR.+\|PRM\|1\|D.+(SWITCH|SIGNAL).+UNKNOWN"" "&amp;search_path&amp;"\RTDC"&amp;B55&amp;"\*"&amp;B55&amp;"*"&amp;TEXT(AVERAGE(F55,I55)-utc_offset/24,"YYYYMMDD")&amp;"*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"%USERPROFILE%\AppData\Local\Temp\OnboardLogs"\RTDC4042\*4042*20170317* | grep -SE "(Enforcement Action)|(\[TIMEOUT)|(CHR.+\|PRM\|1\|D.+(SWITCH|SIGNAL).+UNKNOWN)" - &gt;&gt; 2017-03-17-UncaughtWiMAX.txt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3" t="s">
        <v>705</v>
      </c>
      <c r="B56" s="7">
        <v>4042</v>
      </c>
      <c r="C56" s="21" t="s">
        <v>227</v>
      </c>
      <c r="D56" s="21" t="s">
        <v>561</v>
      </c>
      <c r="E56" s="13">
        <v>42811.370578703703</v>
      </c>
      <c r="F56" s="13">
        <v>42811.380173611113</v>
      </c>
      <c r="G56" s="7">
        <v>3</v>
      </c>
      <c r="H56" s="21" t="s">
        <v>872</v>
      </c>
      <c r="I56" s="13">
        <v>42811.404016203705</v>
      </c>
      <c r="J56" s="7">
        <v>0</v>
      </c>
      <c r="K56" s="98" t="str">
        <f t="shared" si="0"/>
        <v>4041/4042</v>
      </c>
      <c r="L56" s="21" t="str">
        <f>VLOOKUP(A56,'Trips&amp;Operators'!$C$1:$G$99999,5,FALSE)</f>
        <v>SULLIVAN BRANDON</v>
      </c>
      <c r="M56" s="6">
        <f t="shared" si="1"/>
        <v>2.3842592592700385E-2</v>
      </c>
      <c r="N56" s="7"/>
      <c r="O56" s="7"/>
      <c r="P56" s="7"/>
      <c r="Q56" s="22"/>
      <c r="R56" s="22"/>
      <c r="S56" s="31"/>
      <c r="T56" s="46" t="str">
        <f t="shared" si="4"/>
        <v>NorthBound</v>
      </c>
      <c r="U56" s="185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0</v>
      </c>
      <c r="V56" s="186" t="str">
        <f t="shared" si="5"/>
        <v>https://d0f6bd738d7f1b3e5a7ca70fe4ff75f0.us-east-1.aws.found.io/app/kibana#/discover/Steve-Slow-Train-Analysis-(2080s-and-2083s)?_g=(refreshInterval:(display:Off,pause:!f,section:0,value:0),time:(from:'2017-03-17T07:53:38-0600',mode:absolute,to:'2017-03-17T10:41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56" s="187" t="str">
        <f t="shared" si="6"/>
        <v>Y</v>
      </c>
      <c r="X56" s="187">
        <f t="shared" si="21"/>
        <v>0</v>
      </c>
      <c r="Y56" s="62">
        <f t="shared" si="8"/>
        <v>4.4600000000000001E-2</v>
      </c>
      <c r="Z56" s="62">
        <f t="shared" si="9"/>
        <v>0.1138</v>
      </c>
      <c r="AA56" s="62">
        <f t="shared" si="10"/>
        <v>6.9199999999999998E-2</v>
      </c>
      <c r="AB56" s="59" t="e">
        <f>VLOOKUP(A56,Enforcements!$C$7:$K$13,8,0)</f>
        <v>#N/A</v>
      </c>
      <c r="AC56" s="55" t="e">
        <f>VLOOKUP(A56,Enforcements!$C$7:$E$13,3,0)</f>
        <v>#N/A</v>
      </c>
      <c r="AD56" s="56" t="str">
        <f t="shared" si="11"/>
        <v>0143-17</v>
      </c>
      <c r="AE56" s="85" t="str">
        <f t="shared" si="12"/>
        <v>aws s3 cp s3://rtdc.mdm.uploadarchive.raw/RTDC4042/ "%USERPROFILE%\AppData\Local\Temp\OnboardLogs"\RTDC4042\2017-03-17 --exclude "*" --recursive --include "*20170317*" &amp; "%USERPROFILE%\Documents\GitHub\mrs-test-scripts\Headless Mode &amp; Sideloading\WalkAndUnGZ.bat" "%USERPROFILE%\AppData\Local\Temp\OnboardLogs"\RTDC4042\2017-03-17 &amp; aws s3 cp s3://rtdc.mdm.uploadarchive.raw/RTDC4042/ "%USERPROFILE%\AppData\Local\Temp\OnboardLogs"\RTDC4042\2017-03-18 --exclude "*" --recursive --include "*20170318*" &amp; "%USERPROFILE%\Documents\GitHub\mrs-test-scripts\Headless Mode &amp; Sideloading\WalkAndUnGZ.bat" "%USERPROFILE%\AppData\Local\Temp\OnboardLogs"\RTDC4042\2017-03-18</v>
      </c>
      <c r="AF56" s="82" t="str">
        <f t="shared" si="13"/>
        <v>"C:\Program Files (x86)\AstroGrep\AstroGrep.exe" /e /r /s /spath="%USERPROFILE%\AppData\Local\Temp\OnboardLogs" /stypes="app*4042*20170317*" /stext=" 15:.+((SYSTEM_STATE.+slice.+state.+changed )|(ment ac)|(multiple cpu faults)|(system.+state.+changed )|(\[timeout)|(PRM\|1\|D)|(kpr)|(kdp)|(\|lc)|(penalty))"</v>
      </c>
      <c r="AG56" s="1" t="str">
        <f t="shared" si="14"/>
        <v>EC</v>
      </c>
      <c r="AH56" s="86" t="str">
        <f t="shared" si="18"/>
        <v>"%USERPROFILE%\Documents\GitHub\eaglep3\Utilities\RefineRTDCRunTimes.py" --tripid 143-17 --locoid 4042 --swversion DE.1.0.9.0 --startMP 204:446 --initTime 2017-03-17T08:53:38 --startdatetime 2017-03-17T09:07:27 --delay 3 --endMP 204:1138 --enddatetime 2017-03-17T09:41:47 --enforcementcount 0 &gt;&gt;C:\Users\stu\Documents\GitHub\eaglep3-reporting\EC\2017-03-17-refined-times.txt</v>
      </c>
      <c r="AI56" s="108" t="str">
        <f t="shared" si="19"/>
        <v>echo {"issue":{"subject":"","project_id":79,"tracker_id":40,"status_id":1,"priority_id":2,"assigned_to_id":23,"start_date":"2017-03-17","description":"","custom_fields":[{"id":1,"name":"Subdivision","value":"EC"},{"id":4,"name":"Milepost","value":"0.1138"},{"id":17,"name":"Train ID","value":"143-17"},{"id":16,"name":"Locomotive ID","value":"4042"},{"id":130,"name":"Impact","value":""},{"id":150,"name":"Time of Event (Mountain Time)","value":"09:41:47"},{"id":151,"name":"Denver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48"/>
      <c r="AK56" s="48"/>
      <c r="AL56" s="48"/>
      <c r="AM56" s="154" t="str">
        <f t="shared" si="20"/>
        <v>start /low /b %USERPROFILE%\Documents\GitHub\eaglep3\Utilities\DownloadLogsFromS3.py --loco 4042 --day 2017-03-17</v>
      </c>
      <c r="AN56" s="163" t="str">
        <f>"grep -SE -B400 ""CHR.+\|PRM\|1\|D.+(SWITCH|SIGNAL).+UNKNOWN"" "&amp;search_path&amp;"\RTDC"&amp;B56&amp;"\*"&amp;B56&amp;"*"&amp;TEXT(AVERAGE(F56,I56)-utc_offset/24,"YYYYMMDD")&amp;"*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"%USERPROFILE%\AppData\Local\Temp\OnboardLogs"\RTDC4042\*4042*20170317* | grep -SE "(Enforcement Action)|(\[TIMEOUT)|(CHR.+\|PRM\|1\|D.+(SWITCH|SIGNAL).+UNKNOWN)" - &gt;&gt; 2017-03-17-UncaughtWiMAX.txt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3" t="s">
        <v>618</v>
      </c>
      <c r="B57" s="7">
        <v>4041</v>
      </c>
      <c r="C57" s="21" t="s">
        <v>227</v>
      </c>
      <c r="D57" s="21" t="s">
        <v>873</v>
      </c>
      <c r="E57" s="13">
        <v>42811.407349537039</v>
      </c>
      <c r="F57" s="13">
        <v>42811.414594907408</v>
      </c>
      <c r="G57" s="7">
        <v>3</v>
      </c>
      <c r="H57" s="21" t="s">
        <v>874</v>
      </c>
      <c r="I57" s="13">
        <v>42811.446817129632</v>
      </c>
      <c r="J57" s="7">
        <v>0</v>
      </c>
      <c r="K57" s="98" t="str">
        <f t="shared" si="0"/>
        <v>4041/4042</v>
      </c>
      <c r="L57" s="21" t="str">
        <f>VLOOKUP(A57,'Trips&amp;Operators'!$C$1:$G$99999,5,FALSE)</f>
        <v>SULLIVAN BRANDON</v>
      </c>
      <c r="M57" s="6">
        <f t="shared" si="1"/>
        <v>3.2222222223936114E-2</v>
      </c>
      <c r="N57" s="7">
        <f>24*60*SUM($M57:$M57)</f>
        <v>46.400000002468005</v>
      </c>
      <c r="O57" s="7"/>
      <c r="P57" s="7"/>
      <c r="Q57" s="22"/>
      <c r="R57" s="22"/>
      <c r="S57" s="31">
        <f t="shared" ref="S57:S88" si="22">SUM(U57:U57)/IF(AG57="EC",12,1)</f>
        <v>1</v>
      </c>
      <c r="T57" s="46" t="str">
        <f t="shared" si="4"/>
        <v>Southbound</v>
      </c>
      <c r="U57" s="185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86" t="str">
        <f t="shared" si="5"/>
        <v>https://d0f6bd738d7f1b3e5a7ca70fe4ff75f0.us-east-1.aws.found.io/app/kibana#/discover/Steve-Slow-Train-Analysis-(2080s-and-2083s)?_g=(refreshInterval:(display:Off,pause:!f,section:0,value:0),time:(from:'2017-03-17T08:46:35-0600',mode:absolute,to:'2017-03-17T11:43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57" s="187" t="str">
        <f t="shared" si="6"/>
        <v>N</v>
      </c>
      <c r="X57" s="187">
        <f t="shared" si="21"/>
        <v>1</v>
      </c>
      <c r="Y57" s="62">
        <f t="shared" si="8"/>
        <v>23.293800000000001</v>
      </c>
      <c r="Z57" s="62">
        <f t="shared" si="9"/>
        <v>0.1158</v>
      </c>
      <c r="AA57" s="62">
        <f t="shared" si="10"/>
        <v>23.178000000000001</v>
      </c>
      <c r="AB57" s="59" t="e">
        <f>VLOOKUP(A57,Enforcements!$C$7:$K$13,8,0)</f>
        <v>#N/A</v>
      </c>
      <c r="AC57" s="55" t="e">
        <f>VLOOKUP(A57,Enforcements!$C$7:$E$13,3,0)</f>
        <v>#N/A</v>
      </c>
      <c r="AD57" s="56" t="str">
        <f t="shared" si="11"/>
        <v>0144-17</v>
      </c>
      <c r="AE57" s="85" t="str">
        <f t="shared" si="12"/>
        <v>aws s3 cp s3://rtdc.mdm.uploadarchive.raw/RTDC4041/ "%USERPROFILE%\AppData\Local\Temp\OnboardLogs"\RTDC4041\2017-03-17 --exclude "*" --recursive --include "*20170317*" &amp; "%USERPROFILE%\Documents\GitHub\mrs-test-scripts\Headless Mode &amp; Sideloading\WalkAndUnGZ.bat" "%USERPROFILE%\AppData\Local\Temp\OnboardLogs"\RTDC4041\2017-03-17 &amp; aws s3 cp s3://rtdc.mdm.uploadarchive.raw/RTDC4041/ "%USERPROFILE%\AppData\Local\Temp\OnboardLogs"\RTDC4041\2017-03-18 --exclude "*" --recursive --include "*20170318*" &amp; "%USERPROFILE%\Documents\GitHub\mrs-test-scripts\Headless Mode &amp; Sideloading\WalkAndUnGZ.bat" "%USERPROFILE%\AppData\Local\Temp\OnboardLogs"\RTDC4041\2017-03-18</v>
      </c>
      <c r="AF57" s="82" t="str">
        <f t="shared" si="13"/>
        <v>"C:\Program Files (x86)\AstroGrep\AstroGrep.exe" /e /r /s /spath="%USERPROFILE%\AppData\Local\Temp\OnboardLogs" /stypes="app*4041*20170317*" /stext=" 16:.+((SYSTEM_STATE.+slice.+state.+changed )|(ment ac)|(multiple cpu faults)|(system.+state.+changed )|(\[timeout)|(PRM\|1\|D)|(kpr)|(kdp)|(\|lc)|(penalty))"</v>
      </c>
      <c r="AG57" s="1" t="str">
        <f t="shared" si="14"/>
        <v>EC</v>
      </c>
      <c r="AH57" s="86" t="str">
        <f t="shared" si="18"/>
        <v>"%USERPROFILE%\Documents\GitHub\eaglep3\Utilities\RefineRTDCRunTimes.py" --tripid 144-17 --locoid 4041 --swversion DE.1.0.9.0 --startMP 204:232938 --initTime 2017-03-17T09:46:35 --startdatetime 2017-03-17T09:57:01 --delay 3 --endMP 204:1158 --enddatetime 2017-03-17T10:43:25 --enforcementcount 0 &gt;&gt;C:\Users\stu\Documents\GitHub\eaglep3-reporting\EC\2017-03-17-refined-times.txt</v>
      </c>
      <c r="AI57" s="108" t="str">
        <f t="shared" si="19"/>
        <v>echo {"issue":{"subject":"","project_id":79,"tracker_id":40,"status_id":1,"priority_id":2,"assigned_to_id":23,"start_date":"2017-03-17","description":"","custom_fields":[{"id":1,"name":"Subdivision","value":"EC"},{"id":4,"name":"Milepost","value":"0.1158"},{"id":17,"name":"Train ID","value":"144-17"},{"id":16,"name":"Locomotive ID","value":"4041"},{"id":130,"name":"Impact","value":""},{"id":150,"name":"Time of Event (Mountain Time)","value":"10:43:25"},{"id":151,"name":"Denver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48"/>
      <c r="AK57" s="48"/>
      <c r="AL57" s="48"/>
      <c r="AM57" s="154" t="str">
        <f t="shared" si="20"/>
        <v>start /low /b %USERPROFILE%\Documents\GitHub\eaglep3\Utilities\DownloadLogsFromS3.py --loco 4041 --day 2017-03-17</v>
      </c>
      <c r="AN57" s="163" t="str">
        <f>"grep -SE -B400 ""CHR.+\|PRM\|1\|D.+(SWITCH|SIGNAL).+UNKNOWN"" "&amp;search_path&amp;"\RTDC"&amp;B57&amp;"\*"&amp;B57&amp;"*"&amp;TEXT(AVERAGE(F57,I57)-utc_offset/24,"YYYYMMDD")&amp;"*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"%USERPROFILE%\AppData\Local\Temp\OnboardLogs"\RTDC4041\*4041*20170317* | grep -SE "(Enforcement Action)|(\[TIMEOUT)|(CHR.+\|PRM\|1\|D.+(SWITCH|SIGNAL).+UNKNOWN)" - &gt;&gt; 2017-03-17-UncaughtWiMAX.txt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3" t="s">
        <v>708</v>
      </c>
      <c r="B58" s="7">
        <v>4040</v>
      </c>
      <c r="C58" s="21" t="s">
        <v>227</v>
      </c>
      <c r="D58" s="21" t="s">
        <v>233</v>
      </c>
      <c r="E58" s="13">
        <v>42811.382106481484</v>
      </c>
      <c r="F58" s="13">
        <v>42811.385659722226</v>
      </c>
      <c r="G58" s="7">
        <v>1</v>
      </c>
      <c r="H58" s="21" t="s">
        <v>523</v>
      </c>
      <c r="I58" s="13">
        <v>42811.410879629628</v>
      </c>
      <c r="J58" s="7">
        <v>0</v>
      </c>
      <c r="K58" s="98" t="str">
        <f t="shared" si="0"/>
        <v>4039/4040</v>
      </c>
      <c r="L58" s="21" t="str">
        <f>VLOOKUP(A58,'Trips&amp;Operators'!$C$1:$G$99999,5,FALSE)</f>
        <v>YANAI IAN</v>
      </c>
      <c r="M58" s="6">
        <f t="shared" si="1"/>
        <v>2.5219907402060926E-2</v>
      </c>
      <c r="N58" s="7">
        <f>24*60*SUM($M58:$M58)</f>
        <v>36.316666658967733</v>
      </c>
      <c r="O58" s="7"/>
      <c r="P58" s="7"/>
      <c r="Q58" s="22"/>
      <c r="R58" s="22"/>
      <c r="S58" s="31">
        <f t="shared" si="22"/>
        <v>1</v>
      </c>
      <c r="T58" s="46" t="str">
        <f t="shared" si="4"/>
        <v>NorthBound</v>
      </c>
      <c r="U58" s="185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86" t="str">
        <f t="shared" si="5"/>
        <v>https://d0f6bd738d7f1b3e5a7ca70fe4ff75f0.us-east-1.aws.found.io/app/kibana#/discover/Steve-Slow-Train-Analysis-(2080s-and-2083s)?_g=(refreshInterval:(display:Off,pause:!f,section:0,value:0),time:(from:'2017-03-17T08:10:14-0600',mode:absolute,to:'2017-03-17T10:51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58" s="187" t="str">
        <f t="shared" si="6"/>
        <v>N</v>
      </c>
      <c r="X58" s="187">
        <f t="shared" si="21"/>
        <v>1</v>
      </c>
      <c r="Y58" s="62">
        <f t="shared" si="8"/>
        <v>4.6699999999999998E-2</v>
      </c>
      <c r="Z58" s="62">
        <f t="shared" si="9"/>
        <v>23.3308</v>
      </c>
      <c r="AA58" s="62">
        <f t="shared" si="10"/>
        <v>23.284099999999999</v>
      </c>
      <c r="AB58" s="59" t="e">
        <f>VLOOKUP(A58,Enforcements!$C$7:$K$13,8,0)</f>
        <v>#N/A</v>
      </c>
      <c r="AC58" s="55" t="e">
        <f>VLOOKUP(A58,Enforcements!$C$7:$E$13,3,0)</f>
        <v>#N/A</v>
      </c>
      <c r="AD58" s="56" t="str">
        <f t="shared" si="11"/>
        <v>0145-17</v>
      </c>
      <c r="AE58" s="85" t="str">
        <f t="shared" si="12"/>
        <v>aws s3 cp s3://rtdc.mdm.uploadarchive.raw/RTDC4040/ "%USERPROFILE%\AppData\Local\Temp\OnboardLogs"\RTDC4040\2017-03-17 --exclude "*" --recursive --include "*20170317*" &amp; "%USERPROFILE%\Documents\GitHub\mrs-test-scripts\Headless Mode &amp; Sideloading\WalkAndUnGZ.bat" "%USERPROFILE%\AppData\Local\Temp\OnboardLogs"\RTDC4040\2017-03-17 &amp; aws s3 cp s3://rtdc.mdm.uploadarchive.raw/RTDC4040/ "%USERPROFILE%\AppData\Local\Temp\OnboardLogs"\RTDC4040\2017-03-18 --exclude "*" --recursive --include "*20170318*" &amp; "%USERPROFILE%\Documents\GitHub\mrs-test-scripts\Headless Mode &amp; Sideloading\WalkAndUnGZ.bat" "%USERPROFILE%\AppData\Local\Temp\OnboardLogs"\RTDC4040\2017-03-18</v>
      </c>
      <c r="AF58" s="82" t="str">
        <f t="shared" si="13"/>
        <v>"C:\Program Files (x86)\AstroGrep\AstroGrep.exe" /e /r /s /spath="%USERPROFILE%\AppData\Local\Temp\OnboardLogs" /stypes="app*4040*20170317*" /stext=" 15:.+((SYSTEM_STATE.+slice.+state.+changed )|(ment ac)|(multiple cpu faults)|(system.+state.+changed )|(\[timeout)|(PRM\|1\|D)|(kpr)|(kdp)|(\|lc)|(penalty))"</v>
      </c>
      <c r="AG58" s="1" t="str">
        <f t="shared" si="14"/>
        <v>EC</v>
      </c>
      <c r="AH58" s="86" t="str">
        <f t="shared" si="18"/>
        <v>"%USERPROFILE%\Documents\GitHub\eaglep3\Utilities\RefineRTDCRunTimes.py" --tripid 145-17 --locoid 4040 --swversion DE.1.0.9.0 --startMP 204:467 --initTime 2017-03-17T09:10:14 --startdatetime 2017-03-17T09:15:21 --delay 1 --endMP 204:233308 --enddatetime 2017-03-17T09:51:40 --enforcementcount 0 &gt;&gt;C:\Users\stu\Documents\GitHub\eaglep3-reporting\EC\2017-03-17-refined-times.txt</v>
      </c>
      <c r="AI58" s="108" t="str">
        <f t="shared" si="19"/>
        <v>echo {"issue":{"subject":"","project_id":79,"tracker_id":40,"status_id":1,"priority_id":2,"assigned_to_id":23,"start_date":"2017-03-17","description":"","custom_fields":[{"id":1,"name":"Subdivision","value":"EC"},{"id":4,"name":"Milepost","value":"23.3308"},{"id":17,"name":"Train ID","value":"145-17"},{"id":16,"name":"Locomotive ID","value":"4040"},{"id":130,"name":"Impact","value":""},{"id":150,"name":"Time of Event (Mountain Time)","value":"09:51:40"},{"id":151,"name":"Denver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48"/>
      <c r="AK58" s="48"/>
      <c r="AL58" s="48"/>
      <c r="AM58" s="154" t="str">
        <f t="shared" si="20"/>
        <v>start /low /b %USERPROFILE%\Documents\GitHub\eaglep3\Utilities\DownloadLogsFromS3.py --loco 4040 --day 2017-03-17</v>
      </c>
      <c r="AN58" s="163" t="str">
        <f>"grep -SE -B400 ""CHR.+\|PRM\|1\|D.+(SWITCH|SIGNAL).+UNKNOWN"" "&amp;search_path&amp;"\RTDC"&amp;B58&amp;"\*"&amp;B58&amp;"*"&amp;TEXT(AVERAGE(F58,I58)-utc_offset/24,"YYYYMMDD")&amp;"*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"%USERPROFILE%\AppData\Local\Temp\OnboardLogs"\RTDC4040\*4040*20170317* | grep -SE "(Enforcement Action)|(\[TIMEOUT)|(CHR.+\|PRM\|1\|D.+(SWITCH|SIGNAL).+UNKNOWN)" - &gt;&gt; 2017-03-17-UncaughtWiMAX.txt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3" t="s">
        <v>713</v>
      </c>
      <c r="B59" s="7">
        <v>4039</v>
      </c>
      <c r="C59" s="21" t="s">
        <v>227</v>
      </c>
      <c r="D59" s="21" t="s">
        <v>875</v>
      </c>
      <c r="E59" s="13">
        <v>42811.412175925929</v>
      </c>
      <c r="F59" s="13">
        <v>42811.424456018518</v>
      </c>
      <c r="G59" s="7">
        <v>1</v>
      </c>
      <c r="H59" s="21" t="s">
        <v>191</v>
      </c>
      <c r="I59" s="13">
        <v>42811.450879629629</v>
      </c>
      <c r="J59" s="7">
        <v>0</v>
      </c>
      <c r="K59" s="98" t="str">
        <f t="shared" si="0"/>
        <v>4039/4040</v>
      </c>
      <c r="L59" s="21" t="str">
        <f>VLOOKUP(A59,'Trips&amp;Operators'!$C$1:$G$99999,5,FALSE)</f>
        <v>YANAI IAN</v>
      </c>
      <c r="M59" s="6">
        <f t="shared" si="1"/>
        <v>2.6423611110658385E-2</v>
      </c>
      <c r="N59" s="7">
        <f>24*60*SUM($M59:$M59)</f>
        <v>38.049999999348074</v>
      </c>
      <c r="O59" s="7"/>
      <c r="P59" s="7"/>
      <c r="Q59" s="22"/>
      <c r="R59" s="22"/>
      <c r="S59" s="31">
        <f t="shared" si="22"/>
        <v>1</v>
      </c>
      <c r="T59" s="46" t="str">
        <f t="shared" si="4"/>
        <v>Southbound</v>
      </c>
      <c r="U59" s="185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86" t="str">
        <f t="shared" si="5"/>
        <v>https://d0f6bd738d7f1b3e5a7ca70fe4ff75f0.us-east-1.aws.found.io/app/kibana#/discover/Steve-Slow-Train-Analysis-(2080s-and-2083s)?_g=(refreshInterval:(display:Off,pause:!f,section:0,value:0),time:(from:'2017-03-17T08:53:32-0600',mode:absolute,to:'2017-03-17T11:49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59" s="187" t="str">
        <f t="shared" si="6"/>
        <v>N</v>
      </c>
      <c r="X59" s="187">
        <f t="shared" si="21"/>
        <v>1</v>
      </c>
      <c r="Y59" s="62">
        <f t="shared" si="8"/>
        <v>23.298500000000001</v>
      </c>
      <c r="Z59" s="62">
        <f t="shared" si="9"/>
        <v>1.4999999999999999E-2</v>
      </c>
      <c r="AA59" s="62">
        <f t="shared" si="10"/>
        <v>23.2835</v>
      </c>
      <c r="AB59" s="59" t="e">
        <f>VLOOKUP(A59,Enforcements!$C$7:$K$13,8,0)</f>
        <v>#N/A</v>
      </c>
      <c r="AC59" s="55" t="e">
        <f>VLOOKUP(A59,Enforcements!$C$7:$E$13,3,0)</f>
        <v>#N/A</v>
      </c>
      <c r="AD59" s="56" t="str">
        <f t="shared" si="11"/>
        <v>0146-17</v>
      </c>
      <c r="AE59" s="85" t="str">
        <f t="shared" si="12"/>
        <v>aws s3 cp s3://rtdc.mdm.uploadarchive.raw/RTDC4039/ "%USERPROFILE%\AppData\Local\Temp\OnboardLogs"\RTDC4039\2017-03-17 --exclude "*" --recursive --include "*20170317*" &amp; "%USERPROFILE%\Documents\GitHub\mrs-test-scripts\Headless Mode &amp; Sideloading\WalkAndUnGZ.bat" "%USERPROFILE%\AppData\Local\Temp\OnboardLogs"\RTDC4039\2017-03-17 &amp; aws s3 cp s3://rtdc.mdm.uploadarchive.raw/RTDC4039/ "%USERPROFILE%\AppData\Local\Temp\OnboardLogs"\RTDC4039\2017-03-18 --exclude "*" --recursive --include "*20170318*" &amp; "%USERPROFILE%\Documents\GitHub\mrs-test-scripts\Headless Mode &amp; Sideloading\WalkAndUnGZ.bat" "%USERPROFILE%\AppData\Local\Temp\OnboardLogs"\RTDC4039\2017-03-18</v>
      </c>
      <c r="AF59" s="82" t="str">
        <f t="shared" si="13"/>
        <v>"C:\Program Files (x86)\AstroGrep\AstroGrep.exe" /e /r /s /spath="%USERPROFILE%\AppData\Local\Temp\OnboardLogs" /stypes="app*4039*20170317*" /stext=" 16:.+((SYSTEM_STATE.+slice.+state.+changed )|(ment ac)|(multiple cpu faults)|(system.+state.+changed )|(\[timeout)|(PRM\|1\|D)|(kpr)|(kdp)|(\|lc)|(penalty))"</v>
      </c>
      <c r="AG59" s="1" t="str">
        <f t="shared" si="14"/>
        <v>EC</v>
      </c>
      <c r="AH59" s="86" t="str">
        <f t="shared" si="18"/>
        <v>"%USERPROFILE%\Documents\GitHub\eaglep3\Utilities\RefineRTDCRunTimes.py" --tripid 146-17 --locoid 4039 --swversion DE.1.0.9.0 --startMP 204:232985 --initTime 2017-03-17T09:53:32 --startdatetime 2017-03-17T10:11:13 --delay 1 --endMP 204:150 --enddatetime 2017-03-17T10:49:16 --enforcementcount 0 &gt;&gt;C:\Users\stu\Documents\GitHub\eaglep3-reporting\EC\2017-03-17-refined-times.txt</v>
      </c>
      <c r="AI59" s="108" t="str">
        <f t="shared" si="19"/>
        <v>echo {"issue":{"subject":"","project_id":79,"tracker_id":40,"status_id":1,"priority_id":2,"assigned_to_id":23,"start_date":"2017-03-17","description":"","custom_fields":[{"id":1,"name":"Subdivision","value":"EC"},{"id":4,"name":"Milepost","value":"0.015"},{"id":17,"name":"Train ID","value":"146-17"},{"id":16,"name":"Locomotive ID","value":"4039"},{"id":130,"name":"Impact","value":""},{"id":150,"name":"Time of Event (Mountain Time)","value":"10:49:16"},{"id":151,"name":"Denver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48"/>
      <c r="AK59" s="48"/>
      <c r="AL59" s="48"/>
      <c r="AM59" s="154" t="str">
        <f t="shared" si="20"/>
        <v>start /low /b %USERPROFILE%\Documents\GitHub\eaglep3\Utilities\DownloadLogsFromS3.py --loco 4039 --day 2017-03-17</v>
      </c>
      <c r="AN59" s="163" t="str">
        <f>"grep -SE -B400 ""CHR.+\|PRM\|1\|D.+(SWITCH|SIGNAL).+UNKNOWN"" "&amp;search_path&amp;"\RTDC"&amp;B59&amp;"\*"&amp;B59&amp;"*"&amp;TEXT(AVERAGE(F59,I59)-utc_offset/24,"YYYYMMDD")&amp;"*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"%USERPROFILE%\AppData\Local\Temp\OnboardLogs"\RTDC4039\*4039*20170317* | grep -SE "(Enforcement Action)|(\[TIMEOUT)|(CHR.+\|PRM\|1\|D.+(SWITCH|SIGNAL).+UNKNOWN)" - &gt;&gt; 2017-03-17-UncaughtWiMAX.txt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3" t="s">
        <v>710</v>
      </c>
      <c r="B60" s="7">
        <v>4020</v>
      </c>
      <c r="C60" s="21" t="s">
        <v>227</v>
      </c>
      <c r="D60" s="21" t="s">
        <v>222</v>
      </c>
      <c r="E60" s="13">
        <v>42811.39234953704</v>
      </c>
      <c r="F60" s="13">
        <v>42811.396238425928</v>
      </c>
      <c r="G60" s="7">
        <v>1</v>
      </c>
      <c r="H60" s="21" t="s">
        <v>516</v>
      </c>
      <c r="I60" s="13">
        <v>42811.421689814815</v>
      </c>
      <c r="J60" s="7">
        <v>0</v>
      </c>
      <c r="K60" s="98" t="str">
        <f t="shared" si="0"/>
        <v>4019/4020</v>
      </c>
      <c r="L60" s="21" t="str">
        <f>VLOOKUP(A60,'Trips&amp;Operators'!$C$1:$G$99999,5,FALSE)</f>
        <v>ROBINSON KADDIBA</v>
      </c>
      <c r="M60" s="6">
        <f t="shared" si="1"/>
        <v>2.545138888672227E-2</v>
      </c>
      <c r="N60" s="7">
        <f>24*60*SUM($M60:$M60)</f>
        <v>36.649999996880069</v>
      </c>
      <c r="O60" s="7"/>
      <c r="P60" s="7"/>
      <c r="Q60" s="22"/>
      <c r="R60" s="22"/>
      <c r="S60" s="31">
        <f t="shared" si="22"/>
        <v>1</v>
      </c>
      <c r="T60" s="46" t="str">
        <f t="shared" si="4"/>
        <v>NorthBound</v>
      </c>
      <c r="U60" s="185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86" t="str">
        <f t="shared" si="5"/>
        <v>https://d0f6bd738d7f1b3e5a7ca70fe4ff75f0.us-east-1.aws.found.io/app/kibana#/discover/Steve-Slow-Train-Analysis-(2080s-and-2083s)?_g=(refreshInterval:(display:Off,pause:!f,section:0,value:0),time:(from:'2017-03-17T08:24:59-0600',mode:absolute,to:'2017-03-17T11:07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60" s="187" t="str">
        <f t="shared" si="6"/>
        <v>N</v>
      </c>
      <c r="X60" s="187">
        <f t="shared" si="21"/>
        <v>1</v>
      </c>
      <c r="Y60" s="62">
        <f t="shared" si="8"/>
        <v>4.6600000000000003E-2</v>
      </c>
      <c r="Z60" s="62">
        <f t="shared" si="9"/>
        <v>23.328600000000002</v>
      </c>
      <c r="AA60" s="62">
        <f t="shared" si="10"/>
        <v>23.282</v>
      </c>
      <c r="AB60" s="59" t="e">
        <f>VLOOKUP(A60,Enforcements!$C$7:$K$13,8,0)</f>
        <v>#N/A</v>
      </c>
      <c r="AC60" s="55" t="e">
        <f>VLOOKUP(A60,Enforcements!$C$7:$E$13,3,0)</f>
        <v>#N/A</v>
      </c>
      <c r="AD60" s="56" t="str">
        <f t="shared" si="11"/>
        <v>0147-17</v>
      </c>
      <c r="AE60" s="85" t="str">
        <f t="shared" si="12"/>
        <v>aws s3 cp s3://rtdc.mdm.uploadarchive.raw/RTDC4020/ "%USERPROFILE%\AppData\Local\Temp\OnboardLogs"\RTDC4020\2017-03-17 --exclude "*" --recursive --include "*20170317*" &amp; "%USERPROFILE%\Documents\GitHub\mrs-test-scripts\Headless Mode &amp; Sideloading\WalkAndUnGZ.bat" "%USERPROFILE%\AppData\Local\Temp\OnboardLogs"\RTDC4020\2017-03-17 &amp; aws s3 cp s3://rtdc.mdm.uploadarchive.raw/RTDC4020/ "%USERPROFILE%\AppData\Local\Temp\OnboardLogs"\RTDC4020\2017-03-18 --exclude "*" --recursive --include "*20170318*" &amp; "%USERPROFILE%\Documents\GitHub\mrs-test-scripts\Headless Mode &amp; Sideloading\WalkAndUnGZ.bat" "%USERPROFILE%\AppData\Local\Temp\OnboardLogs"\RTDC4020\2017-03-18</v>
      </c>
      <c r="AF60" s="82" t="str">
        <f t="shared" si="13"/>
        <v>"C:\Program Files (x86)\AstroGrep\AstroGrep.exe" /e /r /s /spath="%USERPROFILE%\AppData\Local\Temp\OnboardLogs" /stypes="app*4020*20170317*" /stext=" 16:.+((SYSTEM_STATE.+slice.+state.+changed )|(ment ac)|(multiple cpu faults)|(system.+state.+changed )|(\[timeout)|(PRM\|1\|D)|(kpr)|(kdp)|(\|lc)|(penalty))"</v>
      </c>
      <c r="AG60" s="1" t="str">
        <f t="shared" si="14"/>
        <v>EC</v>
      </c>
      <c r="AH60" s="86" t="str">
        <f t="shared" si="18"/>
        <v>"%USERPROFILE%\Documents\GitHub\eaglep3\Utilities\RefineRTDCRunTimes.py" --tripid 147-17 --locoid 4020 --swversion DE.1.0.9.0 --startMP 204:466 --initTime 2017-03-17T09:24:59 --startdatetime 2017-03-17T09:30:35 --delay 1 --endMP 204:233286 --enddatetime 2017-03-17T10:07:14 --enforcementcount 0 &gt;&gt;C:\Users\stu\Documents\GitHub\eaglep3-reporting\EC\2017-03-17-refined-times.txt</v>
      </c>
      <c r="AI60" s="108" t="str">
        <f t="shared" si="19"/>
        <v>echo {"issue":{"subject":"","project_id":79,"tracker_id":40,"status_id":1,"priority_id":2,"assigned_to_id":23,"start_date":"2017-03-17","description":"","custom_fields":[{"id":1,"name":"Subdivision","value":"EC"},{"id":4,"name":"Milepost","value":"23.3286"},{"id":17,"name":"Train ID","value":"147-17"},{"id":16,"name":"Locomotive ID","value":"4020"},{"id":130,"name":"Impact","value":""},{"id":150,"name":"Time of Event (Mountain Time)","value":"10:07:14"},{"id":151,"name":"Denver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48"/>
      <c r="AK60" s="48"/>
      <c r="AL60" s="48"/>
      <c r="AM60" s="154" t="str">
        <f t="shared" si="20"/>
        <v>start /low /b %USERPROFILE%\Documents\GitHub\eaglep3\Utilities\DownloadLogsFromS3.py --loco 4020 --day 2017-03-17</v>
      </c>
      <c r="AN60" s="163" t="str">
        <f>"grep -SE -B400 ""CHR.+\|PRM\|1\|D.+(SWITCH|SIGNAL).+UNKNOWN"" "&amp;search_path&amp;"\RTDC"&amp;B60&amp;"\*"&amp;B60&amp;"*"&amp;TEXT(AVERAGE(F60,I60)-utc_offset/24,"YYYYMMDD")&amp;"*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"%USERPROFILE%\AppData\Local\Temp\OnboardLogs"\RTDC4020\*4020*20170317* | grep -SE "(Enforcement Action)|(\[TIMEOUT)|(CHR.+\|PRM\|1\|D.+(SWITCH|SIGNAL).+UNKNOWN)" - &gt;&gt; 2017-03-17-UncaughtWiMAX.txt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3" t="s">
        <v>619</v>
      </c>
      <c r="B61" s="7">
        <v>4019</v>
      </c>
      <c r="C61" s="21" t="s">
        <v>227</v>
      </c>
      <c r="D61" s="21" t="s">
        <v>567</v>
      </c>
      <c r="E61" s="13">
        <v>42811.430578703701</v>
      </c>
      <c r="F61" s="13">
        <v>42811.434895833336</v>
      </c>
      <c r="G61" s="7">
        <v>1</v>
      </c>
      <c r="H61" s="21" t="s">
        <v>206</v>
      </c>
      <c r="I61" s="13">
        <v>42811.46466435185</v>
      </c>
      <c r="J61" s="7">
        <v>0</v>
      </c>
      <c r="K61" s="98" t="str">
        <f t="shared" si="0"/>
        <v>4019/4020</v>
      </c>
      <c r="L61" s="21" t="str">
        <f>VLOOKUP(A61,'Trips&amp;Operators'!$C$1:$G$99999,5,FALSE)</f>
        <v>ROBINSON KADDIBA</v>
      </c>
      <c r="M61" s="6">
        <f t="shared" si="1"/>
        <v>2.9768518514174502E-2</v>
      </c>
      <c r="N61" s="7">
        <f>24*60*SUM($M61:$M61)</f>
        <v>42.866666660411283</v>
      </c>
      <c r="O61" s="7"/>
      <c r="P61" s="7"/>
      <c r="Q61" s="22"/>
      <c r="R61" s="22"/>
      <c r="S61" s="31">
        <f t="shared" si="22"/>
        <v>1</v>
      </c>
      <c r="T61" s="46" t="str">
        <f t="shared" si="4"/>
        <v>Southbound</v>
      </c>
      <c r="U61" s="185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86" t="str">
        <f t="shared" si="5"/>
        <v>https://d0f6bd738d7f1b3e5a7ca70fe4ff75f0.us-east-1.aws.found.io/app/kibana#/discover/Steve-Slow-Train-Analysis-(2080s-and-2083s)?_g=(refreshInterval:(display:Off,pause:!f,section:0,value:0),time:(from:'2017-03-17T09:20:02-0600',mode:absolute,to:'2017-03-17T12:09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61" s="187" t="str">
        <f t="shared" si="6"/>
        <v>N</v>
      </c>
      <c r="X61" s="187">
        <f t="shared" si="21"/>
        <v>1</v>
      </c>
      <c r="Y61" s="62">
        <f t="shared" si="8"/>
        <v>23.295300000000001</v>
      </c>
      <c r="Z61" s="62">
        <f t="shared" si="9"/>
        <v>1.54E-2</v>
      </c>
      <c r="AA61" s="62">
        <f t="shared" si="10"/>
        <v>23.279900000000001</v>
      </c>
      <c r="AB61" s="59" t="e">
        <f>VLOOKUP(A61,Enforcements!$C$7:$K$13,8,0)</f>
        <v>#N/A</v>
      </c>
      <c r="AC61" s="55" t="e">
        <f>VLOOKUP(A61,Enforcements!$C$7:$E$13,3,0)</f>
        <v>#N/A</v>
      </c>
      <c r="AD61" s="56" t="str">
        <f t="shared" si="11"/>
        <v>0148-17</v>
      </c>
      <c r="AE61" s="85" t="str">
        <f t="shared" si="12"/>
        <v>aws s3 cp s3://rtdc.mdm.uploadarchive.raw/RTDC4019/ "%USERPROFILE%\AppData\Local\Temp\OnboardLogs"\RTDC4019\2017-03-17 --exclude "*" --recursive --include "*20170317*" &amp; "%USERPROFILE%\Documents\GitHub\mrs-test-scripts\Headless Mode &amp; Sideloading\WalkAndUnGZ.bat" "%USERPROFILE%\AppData\Local\Temp\OnboardLogs"\RTDC4019\2017-03-17 &amp; aws s3 cp s3://rtdc.mdm.uploadarchive.raw/RTDC4019/ "%USERPROFILE%\AppData\Local\Temp\OnboardLogs"\RTDC4019\2017-03-18 --exclude "*" --recursive --include "*20170318*" &amp; "%USERPROFILE%\Documents\GitHub\mrs-test-scripts\Headless Mode &amp; Sideloading\WalkAndUnGZ.bat" "%USERPROFILE%\AppData\Local\Temp\OnboardLogs"\RTDC4019\2017-03-18</v>
      </c>
      <c r="AF61" s="82" t="str">
        <f t="shared" si="13"/>
        <v>"C:\Program Files (x86)\AstroGrep\AstroGrep.exe" /e /r /s /spath="%USERPROFILE%\AppData\Local\Temp\OnboardLogs" /stypes="app*4019*20170317*" /stext=" 17:.+((SYSTEM_STATE.+slice.+state.+changed )|(ment ac)|(multiple cpu faults)|(system.+state.+changed )|(\[timeout)|(PRM\|1\|D)|(kpr)|(kdp)|(\|lc)|(penalty))"</v>
      </c>
      <c r="AG61" s="1" t="str">
        <f t="shared" si="14"/>
        <v>EC</v>
      </c>
      <c r="AH61" s="86" t="str">
        <f t="shared" si="18"/>
        <v>"%USERPROFILE%\Documents\GitHub\eaglep3\Utilities\RefineRTDCRunTimes.py" --tripid 148-17 --locoid 4019 --swversion DE.1.0.9.0 --startMP 204:232953 --initTime 2017-03-17T10:20:02 --startdatetime 2017-03-17T10:26:15 --delay 1 --endMP 204:154 --enddatetime 2017-03-17T11:09:07 --enforcementcount 0 &gt;&gt;C:\Users\stu\Documents\GitHub\eaglep3-reporting\EC\2017-03-17-refined-times.txt</v>
      </c>
      <c r="AI61" s="108" t="str">
        <f t="shared" si="19"/>
        <v>echo {"issue":{"subject":"","project_id":79,"tracker_id":40,"status_id":1,"priority_id":2,"assigned_to_id":23,"start_date":"2017-03-17","description":"","custom_fields":[{"id":1,"name":"Subdivision","value":"EC"},{"id":4,"name":"Milepost","value":"0.0154"},{"id":17,"name":"Train ID","value":"148-17"},{"id":16,"name":"Locomotive ID","value":"4019"},{"id":130,"name":"Impact","value":""},{"id":150,"name":"Time of Event (Mountain Time)","value":"11:09:07"},{"id":151,"name":"Denver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48"/>
      <c r="AK61" s="48"/>
      <c r="AL61" s="48"/>
      <c r="AM61" s="154" t="str">
        <f t="shared" si="20"/>
        <v>start /low /b %USERPROFILE%\Documents\GitHub\eaglep3\Utilities\DownloadLogsFromS3.py --loco 4019 --day 2017-03-17</v>
      </c>
      <c r="AN61" s="163" t="str">
        <f>"grep -SE -B400 ""CHR.+\|PRM\|1\|D.+(SWITCH|SIGNAL).+UNKNOWN"" "&amp;search_path&amp;"\RTDC"&amp;B61&amp;"\*"&amp;B61&amp;"*"&amp;TEXT(AVERAGE(F61,I61)-utc_offset/24,"YYYYMMDD")&amp;"*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"%USERPROFILE%\AppData\Local\Temp\OnboardLogs"\RTDC4019\*4019*20170317* | grep -SE "(Enforcement Action)|(\[TIMEOUT)|(CHR.+\|PRM\|1\|D.+(SWITCH|SIGNAL).+UNKNOWN)" - &gt;&gt; 2017-03-17-UncaughtWiMAX.txt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3" t="s">
        <v>617</v>
      </c>
      <c r="B62" s="7">
        <v>4002</v>
      </c>
      <c r="C62" s="21" t="s">
        <v>227</v>
      </c>
      <c r="D62" s="21" t="s">
        <v>385</v>
      </c>
      <c r="E62" s="13">
        <v>42811.403854166667</v>
      </c>
      <c r="F62" s="13">
        <v>42811.406423611108</v>
      </c>
      <c r="G62" s="7">
        <v>1</v>
      </c>
      <c r="H62" s="21" t="s">
        <v>876</v>
      </c>
      <c r="I62" s="13">
        <v>42811.421550925923</v>
      </c>
      <c r="J62" s="7">
        <v>0</v>
      </c>
      <c r="K62" s="98" t="str">
        <f t="shared" si="0"/>
        <v>4001/4002</v>
      </c>
      <c r="L62" s="21" t="str">
        <f>VLOOKUP(A62,'Trips&amp;Operators'!$C$1:$G$99999,5,FALSE)</f>
        <v>STARKS ANGELINA</v>
      </c>
      <c r="M62" s="6">
        <f t="shared" si="1"/>
        <v>1.5127314814890269E-2</v>
      </c>
      <c r="N62" s="7"/>
      <c r="O62" s="7"/>
      <c r="P62" s="7">
        <f>24*60*SUM($M62:$M62)</f>
        <v>21.783333333441988</v>
      </c>
      <c r="Q62" s="22"/>
      <c r="R62" s="22" t="s">
        <v>438</v>
      </c>
      <c r="S62" s="31">
        <f t="shared" si="22"/>
        <v>1</v>
      </c>
      <c r="T62" s="46" t="str">
        <f t="shared" si="4"/>
        <v>NorthBound</v>
      </c>
      <c r="U62" s="185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86" t="str">
        <f t="shared" si="5"/>
        <v>https://d0f6bd738d7f1b3e5a7ca70fe4ff75f0.us-east-1.aws.found.io/app/kibana#/discover/Steve-Slow-Train-Analysis-(2080s-and-2083s)?_g=(refreshInterval:(display:Off,pause:!f,section:0,value:0),time:(from:'2017-03-17T08:41:33-0600',mode:absolute,to:'2017-03-17T11:07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62" s="187" t="str">
        <f t="shared" si="6"/>
        <v>Y</v>
      </c>
      <c r="X62" s="187">
        <f t="shared" si="21"/>
        <v>1</v>
      </c>
      <c r="Y62" s="62">
        <f t="shared" si="8"/>
        <v>4.7500000000000001E-2</v>
      </c>
      <c r="Z62" s="62">
        <f t="shared" si="9"/>
        <v>11.069599999999999</v>
      </c>
      <c r="AA62" s="62">
        <f t="shared" si="10"/>
        <v>11.0221</v>
      </c>
      <c r="AB62" s="59" t="e">
        <f>VLOOKUP(A62,Enforcements!$C$7:$K$13,8,0)</f>
        <v>#N/A</v>
      </c>
      <c r="AC62" s="55" t="e">
        <f>VLOOKUP(A62,Enforcements!$C$7:$E$13,3,0)</f>
        <v>#N/A</v>
      </c>
      <c r="AD62" s="56" t="str">
        <f t="shared" si="11"/>
        <v>0149-17</v>
      </c>
      <c r="AE62" s="85" t="str">
        <f t="shared" si="12"/>
        <v>aws s3 cp s3://rtdc.mdm.uploadarchive.raw/RTDC4002/ "%USERPROFILE%\AppData\Local\Temp\OnboardLogs"\RTDC4002\2017-03-17 --exclude "*" --recursive --include "*20170317*" &amp; "%USERPROFILE%\Documents\GitHub\mrs-test-scripts\Headless Mode &amp; Sideloading\WalkAndUnGZ.bat" "%USERPROFILE%\AppData\Local\Temp\OnboardLogs"\RTDC4002\2017-03-17 &amp; aws s3 cp s3://rtdc.mdm.uploadarchive.raw/RTDC4002/ "%USERPROFILE%\AppData\Local\Temp\OnboardLogs"\RTDC4002\2017-03-18 --exclude "*" --recursive --include "*20170318*" &amp; "%USERPROFILE%\Documents\GitHub\mrs-test-scripts\Headless Mode &amp; Sideloading\WalkAndUnGZ.bat" "%USERPROFILE%\AppData\Local\Temp\OnboardLogs"\RTDC4002\2017-03-18</v>
      </c>
      <c r="AF62" s="82" t="str">
        <f t="shared" si="13"/>
        <v>"C:\Program Files (x86)\AstroGrep\AstroGrep.exe" /e /r /s /spath="%USERPROFILE%\AppData\Local\Temp\OnboardLogs" /stypes="app*4002*20170317*" /stext=" 16:.+((SYSTEM_STATE.+slice.+state.+changed )|(ment ac)|(multiple cpu faults)|(system.+state.+changed )|(\[timeout)|(PRM\|1\|D)|(kpr)|(kdp)|(\|lc)|(penalty))"</v>
      </c>
      <c r="AG62" s="1" t="str">
        <f t="shared" si="14"/>
        <v>EC</v>
      </c>
      <c r="AH62" s="86" t="str">
        <f t="shared" si="18"/>
        <v>"%USERPROFILE%\Documents\GitHub\eaglep3\Utilities\RefineRTDCRunTimes.py" --tripid 149-17 --locoid 4002 --swversion DE.1.0.9.0 --startMP 204:475 --initTime 2017-03-17T09:41:33 --startdatetime 2017-03-17T09:45:15 --delay 1 --endMP 204:110696 --enddatetime 2017-03-17T10:07:02 --enforcementcount 0 &gt;&gt;C:\Users\stu\Documents\GitHub\eaglep3-reporting\EC\2017-03-17-refined-times.txt</v>
      </c>
      <c r="AI62" s="108" t="str">
        <f t="shared" si="19"/>
        <v>echo {"issue":{"subject":"Onboard in-route failure","project_id":79,"tracker_id":40,"status_id":1,"priority_id":2,"assigned_to_id":23,"start_date":"2017-03-17","description":"","custom_fields":[{"id":1,"name":"Subdivision","value":"EC"},{"id":4,"name":"Milepost","value":"11.0696"},{"id":17,"name":"Train ID","value":"149-17"},{"id":16,"name":"Locomotive ID","value":"4002"},{"id":130,"name":"Impact","value":""},{"id":150,"name":"Time of Event (Mountain Time)","value":"10:07:02"},{"id":151,"name":"Denver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48"/>
      <c r="AK62" s="48"/>
      <c r="AL62" s="48"/>
      <c r="AM62" s="154" t="str">
        <f t="shared" si="20"/>
        <v>start /low /b %USERPROFILE%\Documents\GitHub\eaglep3\Utilities\DownloadLogsFromS3.py --loco 4002 --day 2017-03-17</v>
      </c>
      <c r="AN62" s="163" t="str">
        <f>"grep -SE -B400 ""CHR.+\|PRM\|1\|D.+(SWITCH|SIGNAL).+UNKNOWN"" "&amp;search_path&amp;"\RTDC"&amp;B62&amp;"\*"&amp;B62&amp;"*"&amp;TEXT(AVERAGE(F62,I62)-utc_offset/24,"YYYYMMDD")&amp;"*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"%USERPROFILE%\AppData\Local\Temp\OnboardLogs"\RTDC4002\*4002*20170317* | grep -SE "(Enforcement Action)|(\[TIMEOUT)|(CHR.+\|PRM\|1\|D.+(SWITCH|SIGNAL).+UNKNOWN)" - &gt;&gt; 2017-03-17-UncaughtWiMAX.txt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3" t="s">
        <v>620</v>
      </c>
      <c r="B63" s="7">
        <v>4001</v>
      </c>
      <c r="C63" s="21" t="s">
        <v>227</v>
      </c>
      <c r="D63" s="21" t="s">
        <v>513</v>
      </c>
      <c r="E63" s="13">
        <v>42811.443888888891</v>
      </c>
      <c r="F63" s="13">
        <v>42811.445393518516</v>
      </c>
      <c r="G63" s="7">
        <v>1</v>
      </c>
      <c r="H63" s="21" t="s">
        <v>425</v>
      </c>
      <c r="I63" s="13">
        <v>42811.475844907407</v>
      </c>
      <c r="J63" s="7">
        <v>0</v>
      </c>
      <c r="K63" s="98" t="str">
        <f t="shared" si="0"/>
        <v>4001/4002</v>
      </c>
      <c r="L63" s="21" t="str">
        <f>VLOOKUP(A63,'Trips&amp;Operators'!$C$1:$G$99999,5,FALSE)</f>
        <v>STARKS ANGELINA</v>
      </c>
      <c r="M63" s="6">
        <f t="shared" si="1"/>
        <v>3.0451388891378883E-2</v>
      </c>
      <c r="N63" s="7">
        <f t="shared" ref="N63:N94" si="23">24*60*SUM($M63:$M63)</f>
        <v>43.850000003585592</v>
      </c>
      <c r="O63" s="7"/>
      <c r="P63" s="7"/>
      <c r="Q63" s="22"/>
      <c r="R63" s="22"/>
      <c r="S63" s="31">
        <f t="shared" si="22"/>
        <v>1</v>
      </c>
      <c r="T63" s="46" t="str">
        <f t="shared" si="4"/>
        <v>Southbound</v>
      </c>
      <c r="U63" s="185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86" t="str">
        <f t="shared" si="5"/>
        <v>https://d0f6bd738d7f1b3e5a7ca70fe4ff75f0.us-east-1.aws.found.io/app/kibana#/discover/Steve-Slow-Train-Analysis-(2080s-and-2083s)?_g=(refreshInterval:(display:Off,pause:!f,section:0,value:0),time:(from:'2017-03-17T09:39:12-0600',mode:absolute,to:'2017-03-17T12:25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63" s="187" t="str">
        <f t="shared" si="6"/>
        <v>N</v>
      </c>
      <c r="X63" s="187">
        <f t="shared" si="21"/>
        <v>1</v>
      </c>
      <c r="Y63" s="62">
        <f t="shared" si="8"/>
        <v>23.297799999999999</v>
      </c>
      <c r="Z63" s="62">
        <f t="shared" si="9"/>
        <v>1.38E-2</v>
      </c>
      <c r="AA63" s="62">
        <f t="shared" si="10"/>
        <v>23.283999999999999</v>
      </c>
      <c r="AB63" s="59" t="str">
        <f>VLOOKUP(A63,Enforcements!$C$7:$K$13,8,0)</f>
        <v>Bulletin (2)</v>
      </c>
      <c r="AC63" s="55" t="str">
        <f>VLOOKUP(A63,Enforcements!$C$7:$E$13,3,0)</f>
        <v>GRADE CROSSING</v>
      </c>
      <c r="AD63" s="56" t="str">
        <f t="shared" si="11"/>
        <v>0150-17</v>
      </c>
      <c r="AE63" s="85" t="str">
        <f t="shared" si="12"/>
        <v>aws s3 cp s3://rtdc.mdm.uploadarchive.raw/RTDC4001/ "%USERPROFILE%\AppData\Local\Temp\OnboardLogs"\RTDC4001\2017-03-17 --exclude "*" --recursive --include "*20170317*" &amp; "%USERPROFILE%\Documents\GitHub\mrs-test-scripts\Headless Mode &amp; Sideloading\WalkAndUnGZ.bat" "%USERPROFILE%\AppData\Local\Temp\OnboardLogs"\RTDC4001\2017-03-17 &amp; aws s3 cp s3://rtdc.mdm.uploadarchive.raw/RTDC4001/ "%USERPROFILE%\AppData\Local\Temp\OnboardLogs"\RTDC4001\2017-03-18 --exclude "*" --recursive --include "*20170318*" &amp; "%USERPROFILE%\Documents\GitHub\mrs-test-scripts\Headless Mode &amp; Sideloading\WalkAndUnGZ.bat" "%USERPROFILE%\AppData\Local\Temp\OnboardLogs"\RTDC4001\2017-03-18</v>
      </c>
      <c r="AF63" s="82" t="str">
        <f t="shared" si="13"/>
        <v>"C:\Program Files (x86)\AstroGrep\AstroGrep.exe" /e /r /s /spath="%USERPROFILE%\AppData\Local\Temp\OnboardLogs" /stypes="app*4001*20170317*" /stext=" 17:.+((SYSTEM_STATE.+slice.+state.+changed )|(ment ac)|(multiple cpu faults)|(system.+state.+changed )|(\[timeout)|(PRM\|1\|D)|(kpr)|(kdp)|(\|lc)|(penalty))"</v>
      </c>
      <c r="AG63" s="1" t="str">
        <f t="shared" si="14"/>
        <v>EC</v>
      </c>
      <c r="AH63" s="86" t="str">
        <f t="shared" si="18"/>
        <v>"%USERPROFILE%\Documents\GitHub\eaglep3\Utilities\RefineRTDCRunTimes.py" --tripid 150-17 --locoid 4001 --swversion DE.1.0.9.0 --startMP 204:232978 --initTime 2017-03-17T10:39:12 --startdatetime 2017-03-17T10:41:22 --delay 1 --endMP 204:138 --enddatetime 2017-03-17T11:25:13 --enforcementcount 0 &gt;&gt;C:\Users\stu\Documents\GitHub\eaglep3-reporting\EC\2017-03-17-refined-times.txt</v>
      </c>
      <c r="AI63" s="108" t="str">
        <f t="shared" si="19"/>
        <v>echo {"issue":{"subject":"","project_id":79,"tracker_id":40,"status_id":1,"priority_id":2,"assigned_to_id":23,"start_date":"2017-03-17","description":"","custom_fields":[{"id":1,"name":"Subdivision","value":"EC"},{"id":4,"name":"Milepost","value":"0.0138"},{"id":17,"name":"Train ID","value":"150-17"},{"id":16,"name":"Locomotive ID","value":"4001"},{"id":130,"name":"Impact","value":""},{"id":150,"name":"Time of Event (Mountain Time)","value":"11:25:13"},{"id":151,"name":"Denver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48"/>
      <c r="AK63" s="48"/>
      <c r="AL63" s="48"/>
      <c r="AM63" s="154" t="str">
        <f t="shared" si="20"/>
        <v>start /low /b %USERPROFILE%\Documents\GitHub\eaglep3\Utilities\DownloadLogsFromS3.py --loco 4001 --day 2017-03-17</v>
      </c>
      <c r="AN63" s="163" t="str">
        <f>"grep -SE -B400 ""CHR.+\|PRM\|1\|D.+(SWITCH|SIGNAL).+UNKNOWN"" "&amp;search_path&amp;"\RTDC"&amp;B63&amp;"\*"&amp;B63&amp;"*"&amp;TEXT(AVERAGE(F63,I63)-utc_offset/24,"YYYYMMDD")&amp;"*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"%USERPROFILE%\AppData\Local\Temp\OnboardLogs"\RTDC4001\*4001*20170317* | grep -SE "(Enforcement Action)|(\[TIMEOUT)|(CHR.+\|PRM\|1\|D.+(SWITCH|SIGNAL).+UNKNOWN)" - &gt;&gt; 2017-03-17-UncaughtWiMAX.txt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3" t="s">
        <v>714</v>
      </c>
      <c r="B64" s="7">
        <v>4018</v>
      </c>
      <c r="C64" s="21" t="s">
        <v>227</v>
      </c>
      <c r="D64" s="21" t="s">
        <v>218</v>
      </c>
      <c r="E64" s="13">
        <v>42811.414502314816</v>
      </c>
      <c r="F64" s="13">
        <v>42811.417002314818</v>
      </c>
      <c r="G64" s="7">
        <v>1</v>
      </c>
      <c r="H64" s="21" t="s">
        <v>572</v>
      </c>
      <c r="I64" s="13">
        <v>42811.444247685184</v>
      </c>
      <c r="J64" s="7">
        <v>0</v>
      </c>
      <c r="K64" s="98" t="str">
        <f t="shared" si="0"/>
        <v>4017/4018</v>
      </c>
      <c r="L64" s="21" t="str">
        <f>VLOOKUP(A64,'Trips&amp;Operators'!$C$1:$G$99999,5,FALSE)</f>
        <v>WILLIAMS DONTE</v>
      </c>
      <c r="M64" s="6">
        <f t="shared" si="1"/>
        <v>2.7245370365562849E-2</v>
      </c>
      <c r="N64" s="7">
        <f t="shared" si="23"/>
        <v>39.233333326410502</v>
      </c>
      <c r="O64" s="7"/>
      <c r="P64" s="7"/>
      <c r="Q64" s="22"/>
      <c r="R64" s="22"/>
      <c r="S64" s="31">
        <f t="shared" si="22"/>
        <v>1</v>
      </c>
      <c r="T64" s="46" t="str">
        <f t="shared" si="4"/>
        <v>NorthBound</v>
      </c>
      <c r="U64" s="185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86" t="str">
        <f t="shared" si="5"/>
        <v>https://d0f6bd738d7f1b3e5a7ca70fe4ff75f0.us-east-1.aws.found.io/app/kibana#/discover/Steve-Slow-Train-Analysis-(2080s-and-2083s)?_g=(refreshInterval:(display:Off,pause:!f,section:0,value:0),time:(from:'2017-03-17T08:56:53-0600',mode:absolute,to:'2017-03-17T11:39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64" s="187" t="str">
        <f t="shared" si="6"/>
        <v>N</v>
      </c>
      <c r="X64" s="187">
        <f t="shared" si="21"/>
        <v>1</v>
      </c>
      <c r="Y64" s="62">
        <f t="shared" si="8"/>
        <v>4.3999999999999997E-2</v>
      </c>
      <c r="Z64" s="62">
        <f t="shared" si="9"/>
        <v>23.333400000000001</v>
      </c>
      <c r="AA64" s="62">
        <f t="shared" si="10"/>
        <v>23.289400000000001</v>
      </c>
      <c r="AB64" s="59" t="e">
        <f>VLOOKUP(A64,Enforcements!$C$7:$K$13,8,0)</f>
        <v>#N/A</v>
      </c>
      <c r="AC64" s="55" t="e">
        <f>VLOOKUP(A64,Enforcements!$C$7:$E$13,3,0)</f>
        <v>#N/A</v>
      </c>
      <c r="AD64" s="56" t="str">
        <f t="shared" si="11"/>
        <v>0151-17</v>
      </c>
      <c r="AE64" s="85" t="str">
        <f t="shared" si="12"/>
        <v>aws s3 cp s3://rtdc.mdm.uploadarchive.raw/RTDC4018/ "%USERPROFILE%\AppData\Local\Temp\OnboardLogs"\RTDC4018\2017-03-17 --exclude "*" --recursive --include "*20170317*" &amp; "%USERPROFILE%\Documents\GitHub\mrs-test-scripts\Headless Mode &amp; Sideloading\WalkAndUnGZ.bat" "%USERPROFILE%\AppData\Local\Temp\OnboardLogs"\RTDC4018\2017-03-17 &amp; aws s3 cp s3://rtdc.mdm.uploadarchive.raw/RTDC4018/ "%USERPROFILE%\AppData\Local\Temp\OnboardLogs"\RTDC4018\2017-03-18 --exclude "*" --recursive --include "*20170318*" &amp; "%USERPROFILE%\Documents\GitHub\mrs-test-scripts\Headless Mode &amp; Sideloading\WalkAndUnGZ.bat" "%USERPROFILE%\AppData\Local\Temp\OnboardLogs"\RTDC4018\2017-03-18</v>
      </c>
      <c r="AF64" s="82" t="str">
        <f t="shared" si="13"/>
        <v>"C:\Program Files (x86)\AstroGrep\AstroGrep.exe" /e /r /s /spath="%USERPROFILE%\AppData\Local\Temp\OnboardLogs" /stypes="app*4018*20170317*" /stext=" 16:.+((SYSTEM_STATE.+slice.+state.+changed )|(ment ac)|(multiple cpu faults)|(system.+state.+changed )|(\[timeout)|(PRM\|1\|D)|(kpr)|(kdp)|(\|lc)|(penalty))"</v>
      </c>
      <c r="AG64" s="1" t="str">
        <f t="shared" si="14"/>
        <v>EC</v>
      </c>
      <c r="AH64" s="86" t="str">
        <f t="shared" si="18"/>
        <v>"%USERPROFILE%\Documents\GitHub\eaglep3\Utilities\RefineRTDCRunTimes.py" --tripid 151-17 --locoid 4018 --swversion DE.1.0.9.0 --startMP 204:440 --initTime 2017-03-17T09:56:53 --startdatetime 2017-03-17T10:00:29 --delay 1 --endMP 204:233334 --enddatetime 2017-03-17T10:39:43 --enforcementcount 0 &gt;&gt;C:\Users\stu\Documents\GitHub\eaglep3-reporting\EC\2017-03-17-refined-times.txt</v>
      </c>
      <c r="AI64" s="108" t="str">
        <f t="shared" si="19"/>
        <v>echo {"issue":{"subject":"","project_id":79,"tracker_id":40,"status_id":1,"priority_id":2,"assigned_to_id":23,"start_date":"2017-03-17","description":"","custom_fields":[{"id":1,"name":"Subdivision","value":"EC"},{"id":4,"name":"Milepost","value":"23.3334"},{"id":17,"name":"Train ID","value":"151-17"},{"id":16,"name":"Locomotive ID","value":"4018"},{"id":130,"name":"Impact","value":""},{"id":150,"name":"Time of Event (Mountain Time)","value":"10:39:43"},{"id":151,"name":"Denver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48"/>
      <c r="AK64" s="48"/>
      <c r="AL64" s="48"/>
      <c r="AM64" s="154" t="str">
        <f t="shared" si="20"/>
        <v>start /low /b %USERPROFILE%\Documents\GitHub\eaglep3\Utilities\DownloadLogsFromS3.py --loco 4018 --day 2017-03-17</v>
      </c>
      <c r="AN64" s="163" t="str">
        <f>"grep -SE -B400 ""CHR.+\|PRM\|1\|D.+(SWITCH|SIGNAL).+UNKNOWN"" "&amp;search_path&amp;"\RTDC"&amp;B64&amp;"\*"&amp;B64&amp;"*"&amp;TEXT(AVERAGE(F64,I64)-utc_offset/24,"YYYYMMDD")&amp;"*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"%USERPROFILE%\AppData\Local\Temp\OnboardLogs"\RTDC4018\*4018*20170317* | grep -SE "(Enforcement Action)|(\[TIMEOUT)|(CHR.+\|PRM\|1\|D.+(SWITCH|SIGNAL).+UNKNOWN)" - &gt;&gt; 2017-03-17-UncaughtWiMAX.txt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3" t="s">
        <v>723</v>
      </c>
      <c r="B65" s="7">
        <v>4017</v>
      </c>
      <c r="C65" s="21" t="s">
        <v>227</v>
      </c>
      <c r="D65" s="21" t="s">
        <v>565</v>
      </c>
      <c r="E65" s="13">
        <v>42811.446851851855</v>
      </c>
      <c r="F65" s="13">
        <v>42811.45584490741</v>
      </c>
      <c r="G65" s="7">
        <v>1</v>
      </c>
      <c r="H65" s="21" t="s">
        <v>479</v>
      </c>
      <c r="I65" s="13">
        <v>42811.483935185184</v>
      </c>
      <c r="J65" s="7">
        <v>0</v>
      </c>
      <c r="K65" s="98" t="str">
        <f t="shared" si="0"/>
        <v>4017/4018</v>
      </c>
      <c r="L65" s="21" t="str">
        <f>VLOOKUP(A65,'Trips&amp;Operators'!$C$1:$G$99999,5,FALSE)</f>
        <v>WILLIAMS DONTE</v>
      </c>
      <c r="M65" s="6">
        <f t="shared" si="1"/>
        <v>2.8090277774026617E-2</v>
      </c>
      <c r="N65" s="7">
        <f t="shared" si="23"/>
        <v>40.449999994598329</v>
      </c>
      <c r="O65" s="7"/>
      <c r="P65" s="7"/>
      <c r="Q65" s="22"/>
      <c r="R65" s="22"/>
      <c r="S65" s="31">
        <f t="shared" si="22"/>
        <v>1</v>
      </c>
      <c r="T65" s="46" t="str">
        <f t="shared" si="4"/>
        <v>Southbound</v>
      </c>
      <c r="U65" s="185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86" t="str">
        <f t="shared" si="5"/>
        <v>https://d0f6bd738d7f1b3e5a7ca70fe4ff75f0.us-east-1.aws.found.io/app/kibana#/discover/Steve-Slow-Train-Analysis-(2080s-and-2083s)?_g=(refreshInterval:(display:Off,pause:!f,section:0,value:0),time:(from:'2017-03-17T09:43:28-0600',mode:absolute,to:'2017-03-17T12:36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65" s="187" t="str">
        <f t="shared" si="6"/>
        <v>N</v>
      </c>
      <c r="X65" s="187">
        <f t="shared" si="21"/>
        <v>1</v>
      </c>
      <c r="Y65" s="62">
        <f t="shared" si="8"/>
        <v>23.302299999999999</v>
      </c>
      <c r="Z65" s="62">
        <f t="shared" si="9"/>
        <v>1.4500000000000001E-2</v>
      </c>
      <c r="AA65" s="62">
        <f t="shared" si="10"/>
        <v>23.287799999999997</v>
      </c>
      <c r="AB65" s="59" t="e">
        <f>VLOOKUP(A65,Enforcements!$C$7:$K$13,8,0)</f>
        <v>#N/A</v>
      </c>
      <c r="AC65" s="55" t="e">
        <f>VLOOKUP(A65,Enforcements!$C$7:$E$13,3,0)</f>
        <v>#N/A</v>
      </c>
      <c r="AD65" s="56" t="str">
        <f t="shared" si="11"/>
        <v>0152-17</v>
      </c>
      <c r="AE65" s="85" t="str">
        <f t="shared" si="12"/>
        <v>aws s3 cp s3://rtdc.mdm.uploadarchive.raw/RTDC4017/ "%USERPROFILE%\AppData\Local\Temp\OnboardLogs"\RTDC4017\2017-03-17 --exclude "*" --recursive --include "*20170317*" &amp; "%USERPROFILE%\Documents\GitHub\mrs-test-scripts\Headless Mode &amp; Sideloading\WalkAndUnGZ.bat" "%USERPROFILE%\AppData\Local\Temp\OnboardLogs"\RTDC4017\2017-03-17 &amp; aws s3 cp s3://rtdc.mdm.uploadarchive.raw/RTDC4017/ "%USERPROFILE%\AppData\Local\Temp\OnboardLogs"\RTDC4017\2017-03-18 --exclude "*" --recursive --include "*20170318*" &amp; "%USERPROFILE%\Documents\GitHub\mrs-test-scripts\Headless Mode &amp; Sideloading\WalkAndUnGZ.bat" "%USERPROFILE%\AppData\Local\Temp\OnboardLogs"\RTDC4017\2017-03-18</v>
      </c>
      <c r="AF65" s="82" t="str">
        <f t="shared" si="13"/>
        <v>"C:\Program Files (x86)\AstroGrep\AstroGrep.exe" /e /r /s /spath="%USERPROFILE%\AppData\Local\Temp\OnboardLogs" /stypes="app*4017*20170317*" /stext=" 17:.+((SYSTEM_STATE.+slice.+state.+changed )|(ment ac)|(multiple cpu faults)|(system.+state.+changed )|(\[timeout)|(PRM\|1\|D)|(kpr)|(kdp)|(\|lc)|(penalty))"</v>
      </c>
      <c r="AG65" s="1" t="str">
        <f t="shared" si="14"/>
        <v>EC</v>
      </c>
      <c r="AH65" s="86" t="str">
        <f t="shared" si="18"/>
        <v>"%USERPROFILE%\Documents\GitHub\eaglep3\Utilities\RefineRTDCRunTimes.py" --tripid 152-17 --locoid 4017 --swversion DE.1.0.9.0 --startMP 204:233023 --initTime 2017-03-17T10:43:28 --startdatetime 2017-03-17T10:56:25 --delay 1 --endMP 204:145 --enddatetime 2017-03-17T11:36:52 --enforcementcount 0 &gt;&gt;C:\Users\stu\Documents\GitHub\eaglep3-reporting\EC\2017-03-17-refined-times.txt</v>
      </c>
      <c r="AI65" s="108" t="str">
        <f t="shared" si="19"/>
        <v>echo {"issue":{"subject":"","project_id":79,"tracker_id":40,"status_id":1,"priority_id":2,"assigned_to_id":23,"start_date":"2017-03-17","description":"","custom_fields":[{"id":1,"name":"Subdivision","value":"EC"},{"id":4,"name":"Milepost","value":"0.0145"},{"id":17,"name":"Train ID","value":"152-17"},{"id":16,"name":"Locomotive ID","value":"4017"},{"id":130,"name":"Impact","value":""},{"id":150,"name":"Time of Event (Mountain Time)","value":"11:36:52"},{"id":151,"name":"Denver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48"/>
      <c r="AK65" s="48"/>
      <c r="AL65" s="48"/>
      <c r="AM65" s="154" t="str">
        <f t="shared" si="20"/>
        <v>start /low /b %USERPROFILE%\Documents\GitHub\eaglep3\Utilities\DownloadLogsFromS3.py --loco 4017 --day 2017-03-17</v>
      </c>
      <c r="AN65" s="163" t="str">
        <f>"grep -SE -B400 ""CHR.+\|PRM\|1\|D.+(SWITCH|SIGNAL).+UNKNOWN"" "&amp;search_path&amp;"\RTDC"&amp;B65&amp;"\*"&amp;B65&amp;"*"&amp;TEXT(AVERAGE(F65,I65)-utc_offset/24,"YYYYMMDD")&amp;"*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"%USERPROFILE%\AppData\Local\Temp\OnboardLogs"\RTDC4017\*4017*20170317* | grep -SE "(Enforcement Action)|(\[TIMEOUT)|(CHR.+\|PRM\|1\|D.+(SWITCH|SIGNAL).+UNKNOWN)" - &gt;&gt; 2017-03-17-UncaughtWiMAX.txt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3" t="s">
        <v>716</v>
      </c>
      <c r="B66" s="7">
        <v>4053</v>
      </c>
      <c r="C66" s="21" t="s">
        <v>227</v>
      </c>
      <c r="D66" s="21" t="s">
        <v>209</v>
      </c>
      <c r="E66" s="13">
        <v>42811.424976851849</v>
      </c>
      <c r="F66" s="13">
        <v>42811.42732638889</v>
      </c>
      <c r="G66" s="7">
        <v>1</v>
      </c>
      <c r="H66" s="21" t="s">
        <v>231</v>
      </c>
      <c r="I66" s="13">
        <v>42811.452951388892</v>
      </c>
      <c r="J66" s="7">
        <v>0</v>
      </c>
      <c r="K66" s="98" t="str">
        <f t="shared" si="0"/>
        <v>4053/4054</v>
      </c>
      <c r="L66" s="21" t="str">
        <f>VLOOKUP(A66,'Trips&amp;Operators'!$C$1:$G$99999,5,FALSE)</f>
        <v>BONDS REYNALDO</v>
      </c>
      <c r="M66" s="6">
        <f t="shared" si="1"/>
        <v>2.5625000002037268E-2</v>
      </c>
      <c r="N66" s="7">
        <f t="shared" si="23"/>
        <v>36.900000002933666</v>
      </c>
      <c r="O66" s="7"/>
      <c r="P66" s="7"/>
      <c r="Q66" s="22"/>
      <c r="R66" s="22"/>
      <c r="S66" s="31">
        <f t="shared" si="22"/>
        <v>1</v>
      </c>
      <c r="T66" s="46" t="str">
        <f t="shared" si="4"/>
        <v>NorthBound</v>
      </c>
      <c r="U66" s="185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86" t="str">
        <f t="shared" si="5"/>
        <v>https://d0f6bd738d7f1b3e5a7ca70fe4ff75f0.us-east-1.aws.found.io/app/kibana#/discover/Steve-Slow-Train-Analysis-(2080s-and-2083s)?_g=(refreshInterval:(display:Off,pause:!f,section:0,value:0),time:(from:'2017-03-17T09:11:58-0600',mode:absolute,to:'2017-03-17T11:52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66" s="187" t="str">
        <f t="shared" si="6"/>
        <v>N</v>
      </c>
      <c r="X66" s="187">
        <f t="shared" si="21"/>
        <v>1</v>
      </c>
      <c r="Y66" s="62">
        <f t="shared" si="8"/>
        <v>4.5699999999999998E-2</v>
      </c>
      <c r="Z66" s="62">
        <f t="shared" si="9"/>
        <v>23.329899999999999</v>
      </c>
      <c r="AA66" s="62">
        <f t="shared" si="10"/>
        <v>23.284199999999998</v>
      </c>
      <c r="AB66" s="59" t="e">
        <f>VLOOKUP(A66,Enforcements!$C$7:$K$13,8,0)</f>
        <v>#N/A</v>
      </c>
      <c r="AC66" s="55" t="e">
        <f>VLOOKUP(A66,Enforcements!$C$7:$E$13,3,0)</f>
        <v>#N/A</v>
      </c>
      <c r="AD66" s="56" t="str">
        <f t="shared" si="11"/>
        <v>0153-17</v>
      </c>
      <c r="AE66" s="85" t="str">
        <f t="shared" si="12"/>
        <v>aws s3 cp s3://rtdc.mdm.uploadarchive.raw/RTDC4053/ "%USERPROFILE%\AppData\Local\Temp\OnboardLogs"\RTDC4053\2017-03-17 --exclude "*" --recursive --include "*20170317*" &amp; "%USERPROFILE%\Documents\GitHub\mrs-test-scripts\Headless Mode &amp; Sideloading\WalkAndUnGZ.bat" "%USERPROFILE%\AppData\Local\Temp\OnboardLogs"\RTDC4053\2017-03-17 &amp; aws s3 cp s3://rtdc.mdm.uploadarchive.raw/RTDC4053/ "%USERPROFILE%\AppData\Local\Temp\OnboardLogs"\RTDC4053\2017-03-18 --exclude "*" --recursive --include "*20170318*" &amp; "%USERPROFILE%\Documents\GitHub\mrs-test-scripts\Headless Mode &amp; Sideloading\WalkAndUnGZ.bat" "%USERPROFILE%\AppData\Local\Temp\OnboardLogs"\RTDC4053\2017-03-18</v>
      </c>
      <c r="AF66" s="82" t="str">
        <f t="shared" si="13"/>
        <v>"C:\Program Files (x86)\AstroGrep\AstroGrep.exe" /e /r /s /spath="%USERPROFILE%\AppData\Local\Temp\OnboardLogs" /stypes="app*4053*20170317*" /stext=" 16:.+((SYSTEM_STATE.+slice.+state.+changed )|(ment ac)|(multiple cpu faults)|(system.+state.+changed )|(\[timeout)|(PRM\|1\|D)|(kpr)|(kdp)|(\|lc)|(penalty))"</v>
      </c>
      <c r="AG66" s="1" t="str">
        <f t="shared" si="14"/>
        <v>EC</v>
      </c>
      <c r="AH66" s="86" t="str">
        <f t="shared" si="18"/>
        <v>"%USERPROFILE%\Documents\GitHub\eaglep3\Utilities\RefineRTDCRunTimes.py" --tripid 153-17 --locoid 4053 --swversion DE.1.0.9.0 --startMP 204:457 --initTime 2017-03-17T10:11:58 --startdatetime 2017-03-17T10:15:21 --delay 1 --endMP 204:233299 --enddatetime 2017-03-17T10:52:15 --enforcementcount 0 &gt;&gt;C:\Users\stu\Documents\GitHub\eaglep3-reporting\EC\2017-03-17-refined-times.txt</v>
      </c>
      <c r="AI66" s="108" t="str">
        <f t="shared" si="19"/>
        <v>echo {"issue":{"subject":"","project_id":79,"tracker_id":40,"status_id":1,"priority_id":2,"assigned_to_id":23,"start_date":"2017-03-17","description":"","custom_fields":[{"id":1,"name":"Subdivision","value":"EC"},{"id":4,"name":"Milepost","value":"23.3299"},{"id":17,"name":"Train ID","value":"153-17"},{"id":16,"name":"Locomotive ID","value":"4053"},{"id":130,"name":"Impact","value":""},{"id":150,"name":"Time of Event (Mountain Time)","value":"10:52:15"},{"id":151,"name":"Denver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48"/>
      <c r="AK66" s="48"/>
      <c r="AL66" s="48"/>
      <c r="AM66" s="154" t="str">
        <f t="shared" si="20"/>
        <v>start /low /b %USERPROFILE%\Documents\GitHub\eaglep3\Utilities\DownloadLogsFromS3.py --loco 4053 --day 2017-03-17</v>
      </c>
      <c r="AN66" s="163" t="str">
        <f>"grep -SE -B400 ""CHR.+\|PRM\|1\|D.+(SWITCH|SIGNAL).+UNKNOWN"" "&amp;search_path&amp;"\RTDC"&amp;B66&amp;"\*"&amp;B66&amp;"*"&amp;TEXT(AVERAGE(F66,I66)-utc_offset/24,"YYYYMMDD")&amp;"*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"%USERPROFILE%\AppData\Local\Temp\OnboardLogs"\RTDC4053\*4053*20170317* | grep -SE "(Enforcement Action)|(\[TIMEOUT)|(CHR.+\|PRM\|1\|D.+(SWITCH|SIGNAL).+UNKNOWN)" - &gt;&gt; 2017-03-17-UncaughtWiMAX.txt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3" t="s">
        <v>728</v>
      </c>
      <c r="B67" s="7">
        <v>4054</v>
      </c>
      <c r="C67" s="21" t="s">
        <v>227</v>
      </c>
      <c r="D67" s="21" t="s">
        <v>419</v>
      </c>
      <c r="E67" s="13">
        <v>42811.46056712963</v>
      </c>
      <c r="F67" s="13">
        <v>42811.466458333336</v>
      </c>
      <c r="G67" s="7">
        <v>0</v>
      </c>
      <c r="H67" s="21" t="s">
        <v>219</v>
      </c>
      <c r="I67" s="13">
        <v>42811.493946759256</v>
      </c>
      <c r="J67" s="7">
        <v>0</v>
      </c>
      <c r="K67" s="98" t="str">
        <f t="shared" si="0"/>
        <v>4053/4054</v>
      </c>
      <c r="L67" s="21" t="str">
        <f>VLOOKUP(A67,'Trips&amp;Operators'!$C$1:$G$99999,5,FALSE)</f>
        <v>BONDS REYNALDO</v>
      </c>
      <c r="M67" s="6">
        <f t="shared" si="1"/>
        <v>2.7488425919727888E-2</v>
      </c>
      <c r="N67" s="7">
        <f t="shared" si="23"/>
        <v>39.583333324408159</v>
      </c>
      <c r="O67" s="7"/>
      <c r="P67" s="7"/>
      <c r="Q67" s="22"/>
      <c r="R67" s="22"/>
      <c r="S67" s="31">
        <f t="shared" si="22"/>
        <v>1</v>
      </c>
      <c r="T67" s="46" t="str">
        <f t="shared" si="4"/>
        <v>Southbound</v>
      </c>
      <c r="U67" s="185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86" t="str">
        <f t="shared" si="5"/>
        <v>https://d0f6bd738d7f1b3e5a7ca70fe4ff75f0.us-east-1.aws.found.io/app/kibana#/discover/Steve-Slow-Train-Analysis-(2080s-and-2083s)?_g=(refreshInterval:(display:Off,pause:!f,section:0,value:0),time:(from:'2017-03-17T10:03:13-0600',mode:absolute,to:'2017-03-17T12:51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67" s="187" t="str">
        <f t="shared" si="6"/>
        <v>N</v>
      </c>
      <c r="X67" s="187">
        <f t="shared" si="21"/>
        <v>1</v>
      </c>
      <c r="Y67" s="62">
        <f t="shared" si="8"/>
        <v>23.298400000000001</v>
      </c>
      <c r="Z67" s="62">
        <f t="shared" si="9"/>
        <v>1.5599999999999999E-2</v>
      </c>
      <c r="AA67" s="62">
        <f t="shared" si="10"/>
        <v>23.282800000000002</v>
      </c>
      <c r="AB67" s="59" t="e">
        <f>VLOOKUP(A67,Enforcements!$C$7:$K$13,8,0)</f>
        <v>#N/A</v>
      </c>
      <c r="AC67" s="55" t="e">
        <f>VLOOKUP(A67,Enforcements!$C$7:$E$13,3,0)</f>
        <v>#N/A</v>
      </c>
      <c r="AD67" s="56" t="str">
        <f t="shared" si="11"/>
        <v>0154-17</v>
      </c>
      <c r="AE67" s="85" t="str">
        <f t="shared" si="12"/>
        <v>aws s3 cp s3://rtdc.mdm.uploadarchive.raw/RTDC4054/ "%USERPROFILE%\AppData\Local\Temp\OnboardLogs"\RTDC4054\2017-03-17 --exclude "*" --recursive --include "*20170317*" &amp; "%USERPROFILE%\Documents\GitHub\mrs-test-scripts\Headless Mode &amp; Sideloading\WalkAndUnGZ.bat" "%USERPROFILE%\AppData\Local\Temp\OnboardLogs"\RTDC4054\2017-03-17 &amp; aws s3 cp s3://rtdc.mdm.uploadarchive.raw/RTDC4054/ "%USERPROFILE%\AppData\Local\Temp\OnboardLogs"\RTDC4054\2017-03-18 --exclude "*" --recursive --include "*20170318*" &amp; "%USERPROFILE%\Documents\GitHub\mrs-test-scripts\Headless Mode &amp; Sideloading\WalkAndUnGZ.bat" "%USERPROFILE%\AppData\Local\Temp\OnboardLogs"\RTDC4054\2017-03-18</v>
      </c>
      <c r="AF67" s="82" t="str">
        <f t="shared" si="13"/>
        <v>"C:\Program Files (x86)\AstroGrep\AstroGrep.exe" /e /r /s /spath="%USERPROFILE%\AppData\Local\Temp\OnboardLogs" /stypes="app*4054*20170317*" /stext=" 17:.+((SYSTEM_STATE.+slice.+state.+changed )|(ment ac)|(multiple cpu faults)|(system.+state.+changed )|(\[timeout)|(PRM\|1\|D)|(kpr)|(kdp)|(\|lc)|(penalty))"</v>
      </c>
      <c r="AG67" s="1" t="str">
        <f t="shared" si="14"/>
        <v>EC</v>
      </c>
      <c r="AH67" s="86" t="str">
        <f t="shared" si="18"/>
        <v>"%USERPROFILE%\Documents\GitHub\eaglep3\Utilities\RefineRTDCRunTimes.py" --tripid 154-17 --locoid 4054 --swversion DE.1.0.9.0 --startMP 204:232984 --initTime 2017-03-17T11:03:13 --startdatetime 2017-03-17T11:11:42 --delay 0 --endMP 204:156 --enddatetime 2017-03-17T11:51:17 --enforcementcount 0 &gt;&gt;C:\Users\stu\Documents\GitHub\eaglep3-reporting\EC\2017-03-17-refined-times.txt</v>
      </c>
      <c r="AI67" s="108" t="str">
        <f t="shared" si="19"/>
        <v>echo {"issue":{"subject":"","project_id":79,"tracker_id":40,"status_id":1,"priority_id":2,"assigned_to_id":23,"start_date":"2017-03-17","description":"","custom_fields":[{"id":1,"name":"Subdivision","value":"EC"},{"id":4,"name":"Milepost","value":"0.0156"},{"id":17,"name":"Train ID","value":"154-17"},{"id":16,"name":"Locomotive ID","value":"4054"},{"id":130,"name":"Impact","value":""},{"id":150,"name":"Time of Event (Mountain Time)","value":"11:51:17"},{"id":151,"name":"Denver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48"/>
      <c r="AK67" s="48"/>
      <c r="AL67" s="48"/>
      <c r="AM67" s="154" t="str">
        <f t="shared" si="20"/>
        <v>start /low /b %USERPROFILE%\Documents\GitHub\eaglep3\Utilities\DownloadLogsFromS3.py --loco 4054 --day 2017-03-17</v>
      </c>
      <c r="AN67" s="163" t="str">
        <f>"grep -SE -B400 ""CHR.+\|PRM\|1\|D.+(SWITCH|SIGNAL).+UNKNOWN"" "&amp;search_path&amp;"\RTDC"&amp;B67&amp;"\*"&amp;B67&amp;"*"&amp;TEXT(AVERAGE(F67,I67)-utc_offset/24,"YYYYMMDD")&amp;"*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"%USERPROFILE%\AppData\Local\Temp\OnboardLogs"\RTDC4054\*4054*20170317* | grep -SE "(Enforcement Action)|(\[TIMEOUT)|(CHR.+\|PRM\|1\|D.+(SWITCH|SIGNAL).+UNKNOWN)" - &gt;&gt; 2017-03-17-UncaughtWiMAX.txt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3" t="s">
        <v>719</v>
      </c>
      <c r="B68" s="7">
        <v>4011</v>
      </c>
      <c r="C68" s="21" t="s">
        <v>227</v>
      </c>
      <c r="D68" s="21" t="s">
        <v>222</v>
      </c>
      <c r="E68" s="13">
        <v>42811.433321759258</v>
      </c>
      <c r="F68" s="13">
        <v>42811.437696759262</v>
      </c>
      <c r="G68" s="7">
        <v>1</v>
      </c>
      <c r="H68" s="21" t="s">
        <v>422</v>
      </c>
      <c r="I68" s="13">
        <v>42811.462488425925</v>
      </c>
      <c r="J68" s="7">
        <v>0</v>
      </c>
      <c r="K68" s="98" t="str">
        <f t="shared" si="0"/>
        <v>4011/4012</v>
      </c>
      <c r="L68" s="21" t="str">
        <f>VLOOKUP(A68,'Trips&amp;Operators'!$C$1:$G$99999,5,FALSE)</f>
        <v>GEBRETEKLE DAGNEW</v>
      </c>
      <c r="M68" s="6">
        <f t="shared" si="1"/>
        <v>2.4791666663077194E-2</v>
      </c>
      <c r="N68" s="7">
        <f t="shared" si="23"/>
        <v>35.69999999483116</v>
      </c>
      <c r="O68" s="7"/>
      <c r="P68" s="7"/>
      <c r="Q68" s="22"/>
      <c r="R68" s="22"/>
      <c r="S68" s="31">
        <f t="shared" si="22"/>
        <v>1</v>
      </c>
      <c r="T68" s="46" t="str">
        <f t="shared" si="4"/>
        <v>NorthBound</v>
      </c>
      <c r="U68" s="185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86" t="str">
        <f t="shared" si="5"/>
        <v>https://d0f6bd738d7f1b3e5a7ca70fe4ff75f0.us-east-1.aws.found.io/app/kibana#/discover/Steve-Slow-Train-Analysis-(2080s-and-2083s)?_g=(refreshInterval:(display:Off,pause:!f,section:0,value:0),time:(from:'2017-03-17T09:23:59-0600',mode:absolute,to:'2017-03-17T12:05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68" s="187" t="str">
        <f t="shared" si="6"/>
        <v>N</v>
      </c>
      <c r="X68" s="187">
        <f t="shared" si="21"/>
        <v>1</v>
      </c>
      <c r="Y68" s="62">
        <f t="shared" si="8"/>
        <v>4.6600000000000003E-2</v>
      </c>
      <c r="Z68" s="62">
        <f t="shared" si="9"/>
        <v>23.3323</v>
      </c>
      <c r="AA68" s="62">
        <f t="shared" si="10"/>
        <v>23.285699999999999</v>
      </c>
      <c r="AB68" s="59" t="e">
        <f>VLOOKUP(A68,Enforcements!$C$7:$K$13,8,0)</f>
        <v>#N/A</v>
      </c>
      <c r="AC68" s="55" t="e">
        <f>VLOOKUP(A68,Enforcements!$C$7:$E$13,3,0)</f>
        <v>#N/A</v>
      </c>
      <c r="AD68" s="56" t="str">
        <f t="shared" si="11"/>
        <v>0155-17</v>
      </c>
      <c r="AE68" s="85" t="str">
        <f t="shared" si="12"/>
        <v>aws s3 cp s3://rtdc.mdm.uploadarchive.raw/RTDC4011/ "%USERPROFILE%\AppData\Local\Temp\OnboardLogs"\RTDC4011\2017-03-17 --exclude "*" --recursive --include "*20170317*" &amp; "%USERPROFILE%\Documents\GitHub\mrs-test-scripts\Headless Mode &amp; Sideloading\WalkAndUnGZ.bat" "%USERPROFILE%\AppData\Local\Temp\OnboardLogs"\RTDC4011\2017-03-17 &amp; aws s3 cp s3://rtdc.mdm.uploadarchive.raw/RTDC4011/ "%USERPROFILE%\AppData\Local\Temp\OnboardLogs"\RTDC4011\2017-03-18 --exclude "*" --recursive --include "*20170318*" &amp; "%USERPROFILE%\Documents\GitHub\mrs-test-scripts\Headless Mode &amp; Sideloading\WalkAndUnGZ.bat" "%USERPROFILE%\AppData\Local\Temp\OnboardLogs"\RTDC4011\2017-03-18</v>
      </c>
      <c r="AF68" s="82" t="str">
        <f t="shared" si="13"/>
        <v>"C:\Program Files (x86)\AstroGrep\AstroGrep.exe" /e /r /s /spath="%USERPROFILE%\AppData\Local\Temp\OnboardLogs" /stypes="app*4011*20170317*" /stext=" 17:.+((SYSTEM_STATE.+slice.+state.+changed )|(ment ac)|(multiple cpu faults)|(system.+state.+changed )|(\[timeout)|(PRM\|1\|D)|(kpr)|(kdp)|(\|lc)|(penalty))"</v>
      </c>
      <c r="AG68" s="1" t="str">
        <f t="shared" si="14"/>
        <v>EC</v>
      </c>
      <c r="AH68" s="86" t="str">
        <f t="shared" si="18"/>
        <v>"%USERPROFILE%\Documents\GitHub\eaglep3\Utilities\RefineRTDCRunTimes.py" --tripid 155-17 --locoid 4011 --swversion DE.1.0.9.0 --startMP 204:466 --initTime 2017-03-17T10:23:59 --startdatetime 2017-03-17T10:30:17 --delay 1 --endMP 204:233323 --enddatetime 2017-03-17T11:05:59 --enforcementcount 0 &gt;&gt;C:\Users\stu\Documents\GitHub\eaglep3-reporting\EC\2017-03-17-refined-times.txt</v>
      </c>
      <c r="AI68" s="108" t="str">
        <f t="shared" si="19"/>
        <v>echo {"issue":{"subject":"","project_id":79,"tracker_id":40,"status_id":1,"priority_id":2,"assigned_to_id":23,"start_date":"2017-03-17","description":"","custom_fields":[{"id":1,"name":"Subdivision","value":"EC"},{"id":4,"name":"Milepost","value":"23.3323"},{"id":17,"name":"Train ID","value":"155-17"},{"id":16,"name":"Locomotive ID","value":"4011"},{"id":130,"name":"Impact","value":""},{"id":150,"name":"Time of Event (Mountain Time)","value":"11:05:59"},{"id":151,"name":"Denver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48"/>
      <c r="AK68" s="48"/>
      <c r="AL68" s="48"/>
      <c r="AM68" s="154" t="str">
        <f t="shared" si="20"/>
        <v>start /low /b %USERPROFILE%\Documents\GitHub\eaglep3\Utilities\DownloadLogsFromS3.py --loco 4011 --day 2017-03-17</v>
      </c>
      <c r="AN68" s="163" t="str">
        <f>"grep -SE -B400 ""CHR.+\|PRM\|1\|D.+(SWITCH|SIGNAL).+UNKNOWN"" "&amp;search_path&amp;"\RTDC"&amp;B68&amp;"\*"&amp;B68&amp;"*"&amp;TEXT(AVERAGE(F68,I68)-utc_offset/24,"YYYYMMDD")&amp;"*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"%USERPROFILE%\AppData\Local\Temp\OnboardLogs"\RTDC4011\*4011*20170317* | grep -SE "(Enforcement Action)|(\[TIMEOUT)|(CHR.+\|PRM\|1\|D.+(SWITCH|SIGNAL).+UNKNOWN)" - &gt;&gt; 2017-03-17-UncaughtWiMAX.txt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3" t="s">
        <v>732</v>
      </c>
      <c r="B69" s="7">
        <v>4012</v>
      </c>
      <c r="C69" s="21" t="s">
        <v>227</v>
      </c>
      <c r="D69" s="21" t="s">
        <v>481</v>
      </c>
      <c r="E69" s="13">
        <v>42811.471273148149</v>
      </c>
      <c r="F69" s="13">
        <v>42811.476574074077</v>
      </c>
      <c r="G69" s="7">
        <v>2</v>
      </c>
      <c r="H69" s="21" t="s">
        <v>236</v>
      </c>
      <c r="I69" s="13">
        <v>42811.503078703703</v>
      </c>
      <c r="J69" s="7">
        <v>0</v>
      </c>
      <c r="K69" s="98" t="str">
        <f t="shared" si="0"/>
        <v>4011/4012</v>
      </c>
      <c r="L69" s="21" t="str">
        <f>VLOOKUP(A69,'Trips&amp;Operators'!$C$1:$G$99999,5,FALSE)</f>
        <v>GEBRETEKLE DAGNEW</v>
      </c>
      <c r="M69" s="6">
        <f t="shared" si="1"/>
        <v>2.6504629626288079E-2</v>
      </c>
      <c r="N69" s="7">
        <f t="shared" si="23"/>
        <v>38.166666661854833</v>
      </c>
      <c r="O69" s="7"/>
      <c r="P69" s="7"/>
      <c r="Q69" s="22"/>
      <c r="R69" s="22"/>
      <c r="S69" s="31">
        <f t="shared" si="22"/>
        <v>1</v>
      </c>
      <c r="T69" s="46" t="str">
        <f t="shared" si="4"/>
        <v>Southbound</v>
      </c>
      <c r="U69" s="185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86" t="str">
        <f t="shared" si="5"/>
        <v>https://d0f6bd738d7f1b3e5a7ca70fe4ff75f0.us-east-1.aws.found.io/app/kibana#/discover/Steve-Slow-Train-Analysis-(2080s-and-2083s)?_g=(refreshInterval:(display:Off,pause:!f,section:0,value:0),time:(from:'2017-03-17T10:18:38-0600',mode:absolute,to:'2017-03-17T13:04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69" s="187" t="str">
        <f t="shared" si="6"/>
        <v>N</v>
      </c>
      <c r="X69" s="187">
        <f t="shared" si="21"/>
        <v>1</v>
      </c>
      <c r="Y69" s="62">
        <f t="shared" si="8"/>
        <v>23.301100000000002</v>
      </c>
      <c r="Z69" s="62">
        <f t="shared" si="9"/>
        <v>1.61E-2</v>
      </c>
      <c r="AA69" s="62">
        <f t="shared" si="10"/>
        <v>23.285</v>
      </c>
      <c r="AB69" s="59" t="e">
        <f>VLOOKUP(A69,Enforcements!$C$7:$K$13,8,0)</f>
        <v>#N/A</v>
      </c>
      <c r="AC69" s="55" t="e">
        <f>VLOOKUP(A69,Enforcements!$C$7:$E$13,3,0)</f>
        <v>#N/A</v>
      </c>
      <c r="AD69" s="56" t="str">
        <f t="shared" si="11"/>
        <v>0156-17</v>
      </c>
      <c r="AE69" s="85" t="str">
        <f t="shared" si="12"/>
        <v>aws s3 cp s3://rtdc.mdm.uploadarchive.raw/RTDC4012/ "%USERPROFILE%\AppData\Local\Temp\OnboardLogs"\RTDC4012\2017-03-17 --exclude "*" --recursive --include "*20170317*" &amp; "%USERPROFILE%\Documents\GitHub\mrs-test-scripts\Headless Mode &amp; Sideloading\WalkAndUnGZ.bat" "%USERPROFILE%\AppData\Local\Temp\OnboardLogs"\RTDC4012\2017-03-17 &amp; aws s3 cp s3://rtdc.mdm.uploadarchive.raw/RTDC4012/ "%USERPROFILE%\AppData\Local\Temp\OnboardLogs"\RTDC4012\2017-03-18 --exclude "*" --recursive --include "*20170318*" &amp; "%USERPROFILE%\Documents\GitHub\mrs-test-scripts\Headless Mode &amp; Sideloading\WalkAndUnGZ.bat" "%USERPROFILE%\AppData\Local\Temp\OnboardLogs"\RTDC4012\2017-03-18</v>
      </c>
      <c r="AF69" s="82" t="str">
        <f t="shared" si="13"/>
        <v>"C:\Program Files (x86)\AstroGrep\AstroGrep.exe" /e /r /s /spath="%USERPROFILE%\AppData\Local\Temp\OnboardLogs" /stypes="app*4012*20170317*" /stext=" 18:.+((SYSTEM_STATE.+slice.+state.+changed )|(ment ac)|(multiple cpu faults)|(system.+state.+changed )|(\[timeout)|(PRM\|1\|D)|(kpr)|(kdp)|(\|lc)|(penalty))"</v>
      </c>
      <c r="AG69" s="1" t="str">
        <f t="shared" si="14"/>
        <v>EC</v>
      </c>
      <c r="AH69" s="86" t="str">
        <f t="shared" si="18"/>
        <v>"%USERPROFILE%\Documents\GitHub\eaglep3\Utilities\RefineRTDCRunTimes.py" --tripid 156-17 --locoid 4012 --swversion DE.1.0.9.0 --startMP 204:233011 --initTime 2017-03-17T11:18:38 --startdatetime 2017-03-17T11:26:16 --delay 2 --endMP 204:161 --enddatetime 2017-03-17T12:04:26 --enforcementcount 0 &gt;&gt;C:\Users\stu\Documents\GitHub\eaglep3-reporting\EC\2017-03-17-refined-times.txt</v>
      </c>
      <c r="AI69" s="108" t="str">
        <f t="shared" si="19"/>
        <v>echo {"issue":{"subject":"","project_id":79,"tracker_id":40,"status_id":1,"priority_id":2,"assigned_to_id":23,"start_date":"2017-03-17","description":"","custom_fields":[{"id":1,"name":"Subdivision","value":"EC"},{"id":4,"name":"Milepost","value":"0.0161"},{"id":17,"name":"Train ID","value":"156-17"},{"id":16,"name":"Locomotive ID","value":"4012"},{"id":130,"name":"Impact","value":""},{"id":150,"name":"Time of Event (Mountain Time)","value":"12:04:26"},{"id":151,"name":"Denver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48"/>
      <c r="AK69" s="48"/>
      <c r="AL69" s="48"/>
      <c r="AM69" s="154" t="str">
        <f t="shared" si="20"/>
        <v>start /low /b %USERPROFILE%\Documents\GitHub\eaglep3\Utilities\DownloadLogsFromS3.py --loco 4012 --day 2017-03-17</v>
      </c>
      <c r="AN69" s="163" t="str">
        <f>"grep -SE -B400 ""CHR.+\|PRM\|1\|D.+(SWITCH|SIGNAL).+UNKNOWN"" "&amp;search_path&amp;"\RTDC"&amp;B69&amp;"\*"&amp;B69&amp;"*"&amp;TEXT(AVERAGE(F69,I69)-utc_offset/24,"YYYYMMDD")&amp;"*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"%USERPROFILE%\AppData\Local\Temp\OnboardLogs"\RTDC4012\*4012*20170317* | grep -SE "(Enforcement Action)|(\[TIMEOUT)|(CHR.+\|PRM\|1\|D.+(SWITCH|SIGNAL).+UNKNOWN)" - &gt;&gt; 2017-03-17-UncaughtWiMAX.txt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3" t="s">
        <v>721</v>
      </c>
      <c r="B70" s="7">
        <v>4016</v>
      </c>
      <c r="C70" s="21" t="s">
        <v>227</v>
      </c>
      <c r="D70" s="21" t="s">
        <v>423</v>
      </c>
      <c r="E70" s="13">
        <v>42811.44021990741</v>
      </c>
      <c r="F70" s="13">
        <v>42811.448171296295</v>
      </c>
      <c r="G70" s="7">
        <v>1</v>
      </c>
      <c r="H70" s="21" t="s">
        <v>420</v>
      </c>
      <c r="I70" s="13">
        <v>42811.472696759258</v>
      </c>
      <c r="J70" s="7">
        <v>0</v>
      </c>
      <c r="K70" s="98" t="str">
        <f t="shared" si="0"/>
        <v>4015/4016</v>
      </c>
      <c r="L70" s="21" t="str">
        <f>VLOOKUP(A70,'Trips&amp;Operators'!$C$1:$G$99999,5,FALSE)</f>
        <v>DE LA ROSA ALEX</v>
      </c>
      <c r="M70" s="6">
        <f t="shared" si="1"/>
        <v>2.4525462962628808E-2</v>
      </c>
      <c r="N70" s="7">
        <f t="shared" si="23"/>
        <v>35.316666666185483</v>
      </c>
      <c r="O70" s="7"/>
      <c r="P70" s="7"/>
      <c r="Q70" s="22"/>
      <c r="R70" s="22"/>
      <c r="S70" s="31">
        <f t="shared" si="22"/>
        <v>1</v>
      </c>
      <c r="T70" s="46" t="str">
        <f t="shared" si="4"/>
        <v>NorthBound</v>
      </c>
      <c r="U70" s="185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86" t="str">
        <f t="shared" si="5"/>
        <v>https://d0f6bd738d7f1b3e5a7ca70fe4ff75f0.us-east-1.aws.found.io/app/kibana#/discover/Steve-Slow-Train-Analysis-(2080s-and-2083s)?_g=(refreshInterval:(display:Off,pause:!f,section:0,value:0),time:(from:'2017-03-17T09:33:55-0600',mode:absolute,to:'2017-03-17T12:20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70" s="187" t="str">
        <f t="shared" si="6"/>
        <v>N</v>
      </c>
      <c r="X70" s="187">
        <f t="shared" si="21"/>
        <v>1</v>
      </c>
      <c r="Y70" s="62">
        <f t="shared" si="8"/>
        <v>4.6199999999999998E-2</v>
      </c>
      <c r="Z70" s="62">
        <f t="shared" si="9"/>
        <v>23.3293</v>
      </c>
      <c r="AA70" s="62">
        <f t="shared" si="10"/>
        <v>23.283100000000001</v>
      </c>
      <c r="AB70" s="59" t="e">
        <f>VLOOKUP(A70,Enforcements!$C$7:$K$13,8,0)</f>
        <v>#N/A</v>
      </c>
      <c r="AC70" s="55" t="e">
        <f>VLOOKUP(A70,Enforcements!$C$7:$E$13,3,0)</f>
        <v>#N/A</v>
      </c>
      <c r="AD70" s="56" t="str">
        <f t="shared" si="11"/>
        <v>0157-17</v>
      </c>
      <c r="AE70" s="85" t="str">
        <f t="shared" si="12"/>
        <v>aws s3 cp s3://rtdc.mdm.uploadarchive.raw/RTDC4016/ "%USERPROFILE%\AppData\Local\Temp\OnboardLogs"\RTDC4016\2017-03-17 --exclude "*" --recursive --include "*20170317*" &amp; "%USERPROFILE%\Documents\GitHub\mrs-test-scripts\Headless Mode &amp; Sideloading\WalkAndUnGZ.bat" "%USERPROFILE%\AppData\Local\Temp\OnboardLogs"\RTDC4016\2017-03-17 &amp; aws s3 cp s3://rtdc.mdm.uploadarchive.raw/RTDC4016/ "%USERPROFILE%\AppData\Local\Temp\OnboardLogs"\RTDC4016\2017-03-18 --exclude "*" --recursive --include "*20170318*" &amp; "%USERPROFILE%\Documents\GitHub\mrs-test-scripts\Headless Mode &amp; Sideloading\WalkAndUnGZ.bat" "%USERPROFILE%\AppData\Local\Temp\OnboardLogs"\RTDC4016\2017-03-18</v>
      </c>
      <c r="AF70" s="82" t="str">
        <f t="shared" si="13"/>
        <v>"C:\Program Files (x86)\AstroGrep\AstroGrep.exe" /e /r /s /spath="%USERPROFILE%\AppData\Local\Temp\OnboardLogs" /stypes="app*4016*20170317*" /stext=" 17:.+((SYSTEM_STATE.+slice.+state.+changed )|(ment ac)|(multiple cpu faults)|(system.+state.+changed )|(\[timeout)|(PRM\|1\|D)|(kpr)|(kdp)|(\|lc)|(penalty))"</v>
      </c>
      <c r="AG70" s="1" t="str">
        <f t="shared" si="14"/>
        <v>EC</v>
      </c>
      <c r="AH70" s="86" t="str">
        <f t="shared" si="18"/>
        <v>"%USERPROFILE%\Documents\GitHub\eaglep3\Utilities\RefineRTDCRunTimes.py" --tripid 157-17 --locoid 4016 --swversion DE.1.0.9.0 --startMP 204:462 --initTime 2017-03-17T10:33:55 --startdatetime 2017-03-17T10:45:22 --delay 1 --endMP 204:233293 --enddatetime 2017-03-17T11:20:41 --enforcementcount 0 &gt;&gt;C:\Users\stu\Documents\GitHub\eaglep3-reporting\EC\2017-03-17-refined-times.txt</v>
      </c>
      <c r="AI70" s="108" t="str">
        <f t="shared" si="19"/>
        <v>echo {"issue":{"subject":"","project_id":79,"tracker_id":40,"status_id":1,"priority_id":2,"assigned_to_id":23,"start_date":"2017-03-17","description":"","custom_fields":[{"id":1,"name":"Subdivision","value":"EC"},{"id":4,"name":"Milepost","value":"23.3293"},{"id":17,"name":"Train ID","value":"157-17"},{"id":16,"name":"Locomotive ID","value":"4016"},{"id":130,"name":"Impact","value":""},{"id":150,"name":"Time of Event (Mountain Time)","value":"11:20:41"},{"id":151,"name":"Denver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48"/>
      <c r="AK70" s="48"/>
      <c r="AL70" s="48"/>
      <c r="AM70" s="154" t="str">
        <f t="shared" si="20"/>
        <v>start /low /b %USERPROFILE%\Documents\GitHub\eaglep3\Utilities\DownloadLogsFromS3.py --loco 4016 --day 2017-03-17</v>
      </c>
      <c r="AN70" s="163" t="str">
        <f>"grep -SE -B400 ""CHR.+\|PRM\|1\|D.+(SWITCH|SIGNAL).+UNKNOWN"" "&amp;search_path&amp;"\RTDC"&amp;B70&amp;"\*"&amp;B70&amp;"*"&amp;TEXT(AVERAGE(F70,I70)-utc_offset/24,"YYYYMMDD")&amp;"*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"%USERPROFILE%\AppData\Local\Temp\OnboardLogs"\RTDC4016\*4016*20170317* | grep -SE "(Enforcement Action)|(\[TIMEOUT)|(CHR.+\|PRM\|1\|D.+(SWITCH|SIGNAL).+UNKNOWN)" - &gt;&gt; 2017-03-17-UncaughtWiMAX.txt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3" t="s">
        <v>734</v>
      </c>
      <c r="B71" s="7">
        <v>4015</v>
      </c>
      <c r="C71" s="21" t="s">
        <v>227</v>
      </c>
      <c r="D71" s="21" t="s">
        <v>432</v>
      </c>
      <c r="E71" s="13">
        <v>42811.483819444446</v>
      </c>
      <c r="F71" s="13">
        <v>42811.48709490741</v>
      </c>
      <c r="G71" s="7">
        <v>1</v>
      </c>
      <c r="H71" s="21" t="s">
        <v>206</v>
      </c>
      <c r="I71" s="13">
        <v>42811.514502314814</v>
      </c>
      <c r="J71" s="7">
        <v>0</v>
      </c>
      <c r="K71" s="98" t="str">
        <f t="shared" si="0"/>
        <v>4015/4016</v>
      </c>
      <c r="L71" s="21" t="str">
        <f>VLOOKUP(A71,'Trips&amp;Operators'!$C$1:$G$99999,5,FALSE)</f>
        <v>DE LA ROSA ALEX</v>
      </c>
      <c r="M71" s="6">
        <f t="shared" si="1"/>
        <v>2.7407407404098194E-2</v>
      </c>
      <c r="N71" s="7">
        <f t="shared" si="23"/>
        <v>39.466666661901399</v>
      </c>
      <c r="O71" s="7"/>
      <c r="P71" s="7"/>
      <c r="Q71" s="22"/>
      <c r="R71" s="22"/>
      <c r="S71" s="31">
        <f t="shared" si="22"/>
        <v>1</v>
      </c>
      <c r="T71" s="46" t="str">
        <f t="shared" si="4"/>
        <v>Southbound</v>
      </c>
      <c r="U71" s="185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86" t="str">
        <f t="shared" si="5"/>
        <v>https://d0f6bd738d7f1b3e5a7ca70fe4ff75f0.us-east-1.aws.found.io/app/kibana#/discover/Steve-Slow-Train-Analysis-(2080s-and-2083s)?_g=(refreshInterval:(display:Off,pause:!f,section:0,value:0),time:(from:'2017-03-17T10:36:42-0600',mode:absolute,to:'2017-03-17T13:20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71" s="187" t="str">
        <f t="shared" si="6"/>
        <v>N</v>
      </c>
      <c r="X71" s="187">
        <f t="shared" si="21"/>
        <v>1</v>
      </c>
      <c r="Y71" s="62">
        <f t="shared" si="8"/>
        <v>23.299800000000001</v>
      </c>
      <c r="Z71" s="62">
        <f t="shared" si="9"/>
        <v>1.54E-2</v>
      </c>
      <c r="AA71" s="62">
        <f t="shared" si="10"/>
        <v>23.284400000000002</v>
      </c>
      <c r="AB71" s="59" t="e">
        <f>VLOOKUP(A71,Enforcements!$C$7:$K$13,8,0)</f>
        <v>#N/A</v>
      </c>
      <c r="AC71" s="55" t="e">
        <f>VLOOKUP(A71,Enforcements!$C$7:$E$13,3,0)</f>
        <v>#N/A</v>
      </c>
      <c r="AD71" s="56" t="str">
        <f t="shared" si="11"/>
        <v>0158-17</v>
      </c>
      <c r="AE71" s="85" t="str">
        <f t="shared" si="12"/>
        <v>aws s3 cp s3://rtdc.mdm.uploadarchive.raw/RTDC4015/ "%USERPROFILE%\AppData\Local\Temp\OnboardLogs"\RTDC4015\2017-03-17 --exclude "*" --recursive --include "*20170317*" &amp; "%USERPROFILE%\Documents\GitHub\mrs-test-scripts\Headless Mode &amp; Sideloading\WalkAndUnGZ.bat" "%USERPROFILE%\AppData\Local\Temp\OnboardLogs"\RTDC4015\2017-03-17 &amp; aws s3 cp s3://rtdc.mdm.uploadarchive.raw/RTDC4015/ "%USERPROFILE%\AppData\Local\Temp\OnboardLogs"\RTDC4015\2017-03-18 --exclude "*" --recursive --include "*20170318*" &amp; "%USERPROFILE%\Documents\GitHub\mrs-test-scripts\Headless Mode &amp; Sideloading\WalkAndUnGZ.bat" "%USERPROFILE%\AppData\Local\Temp\OnboardLogs"\RTDC4015\2017-03-18</v>
      </c>
      <c r="AF71" s="82" t="str">
        <f t="shared" si="13"/>
        <v>"C:\Program Files (x86)\AstroGrep\AstroGrep.exe" /e /r /s /spath="%USERPROFILE%\AppData\Local\Temp\OnboardLogs" /stypes="app*4015*20170317*" /stext=" 18:.+((SYSTEM_STATE.+slice.+state.+changed )|(ment ac)|(multiple cpu faults)|(system.+state.+changed )|(\[timeout)|(PRM\|1\|D)|(kpr)|(kdp)|(\|lc)|(penalty))"</v>
      </c>
      <c r="AG71" s="1" t="str">
        <f t="shared" si="14"/>
        <v>EC</v>
      </c>
      <c r="AH71" s="86" t="str">
        <f t="shared" si="18"/>
        <v>"%USERPROFILE%\Documents\GitHub\eaglep3\Utilities\RefineRTDCRunTimes.py" --tripid 158-17 --locoid 4015 --swversion DE.1.0.9.0 --startMP 204:232998 --initTime 2017-03-17T11:36:42 --startdatetime 2017-03-17T11:41:25 --delay 1 --endMP 204:154 --enddatetime 2017-03-17T12:20:53 --enforcementcount 0 &gt;&gt;C:\Users\stu\Documents\GitHub\eaglep3-reporting\EC\2017-03-17-refined-times.txt</v>
      </c>
      <c r="AI71" s="108" t="str">
        <f t="shared" si="19"/>
        <v>echo {"issue":{"subject":"","project_id":79,"tracker_id":40,"status_id":1,"priority_id":2,"assigned_to_id":23,"start_date":"2017-03-17","description":"","custom_fields":[{"id":1,"name":"Subdivision","value":"EC"},{"id":4,"name":"Milepost","value":"0.0154"},{"id":17,"name":"Train ID","value":"158-17"},{"id":16,"name":"Locomotive ID","value":"4015"},{"id":130,"name":"Impact","value":""},{"id":150,"name":"Time of Event (Mountain Time)","value":"12:20:53"},{"id":151,"name":"Denver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48"/>
      <c r="AK71" s="48"/>
      <c r="AL71" s="48"/>
      <c r="AM71" s="154" t="str">
        <f t="shared" si="20"/>
        <v>start /low /b %USERPROFILE%\Documents\GitHub\eaglep3\Utilities\DownloadLogsFromS3.py --loco 4015 --day 2017-03-17</v>
      </c>
      <c r="AN71" s="163" t="str">
        <f>"grep -SE -B400 ""CHR.+\|PRM\|1\|D.+(SWITCH|SIGNAL).+UNKNOWN"" "&amp;search_path&amp;"\RTDC"&amp;B71&amp;"\*"&amp;B71&amp;"*"&amp;TEXT(AVERAGE(F71,I71)-utc_offset/24,"YYYYMMDD")&amp;"*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"%USERPROFILE%\AppData\Local\Temp\OnboardLogs"\RTDC4015\*4015*20170317* | grep -SE "(Enforcement Action)|(\[TIMEOUT)|(CHR.+\|PRM\|1\|D.+(SWITCH|SIGNAL).+UNKNOWN)" - &gt;&gt; 2017-03-17-UncaughtWiMAX.txt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3" t="s">
        <v>621</v>
      </c>
      <c r="B72" s="7">
        <v>4040</v>
      </c>
      <c r="C72" s="21" t="s">
        <v>227</v>
      </c>
      <c r="D72" s="21" t="s">
        <v>233</v>
      </c>
      <c r="E72" s="13">
        <v>42811.452997685185</v>
      </c>
      <c r="F72" s="13">
        <v>42811.458541666667</v>
      </c>
      <c r="G72" s="7">
        <v>2</v>
      </c>
      <c r="H72" s="21" t="s">
        <v>229</v>
      </c>
      <c r="I72" s="13">
        <v>42811.483854166669</v>
      </c>
      <c r="J72" s="7">
        <v>0</v>
      </c>
      <c r="K72" s="98" t="str">
        <f t="shared" si="0"/>
        <v>4039/4040</v>
      </c>
      <c r="L72" s="21" t="str">
        <f>VLOOKUP(A72,'Trips&amp;Operators'!$C$1:$G$99999,5,FALSE)</f>
        <v>STEWART MICHAEL</v>
      </c>
      <c r="M72" s="6">
        <f t="shared" si="1"/>
        <v>2.531250000174623E-2</v>
      </c>
      <c r="N72" s="7">
        <f t="shared" si="23"/>
        <v>36.450000002514571</v>
      </c>
      <c r="O72" s="7"/>
      <c r="P72" s="7"/>
      <c r="Q72" s="22"/>
      <c r="R72" s="22"/>
      <c r="S72" s="31">
        <f t="shared" si="22"/>
        <v>1</v>
      </c>
      <c r="T72" s="46" t="str">
        <f t="shared" si="4"/>
        <v>NorthBound</v>
      </c>
      <c r="U72" s="185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86" t="str">
        <f t="shared" si="5"/>
        <v>https://d0f6bd738d7f1b3e5a7ca70fe4ff75f0.us-east-1.aws.found.io/app/kibana#/discover/Steve-Slow-Train-Analysis-(2080s-and-2083s)?_g=(refreshInterval:(display:Off,pause:!f,section:0,value:0),time:(from:'2017-03-17T09:52:19-0600',mode:absolute,to:'2017-03-17T12:36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72" s="187" t="str">
        <f t="shared" si="6"/>
        <v>N</v>
      </c>
      <c r="X72" s="187">
        <f t="shared" si="21"/>
        <v>1</v>
      </c>
      <c r="Y72" s="62">
        <f t="shared" si="8"/>
        <v>4.6699999999999998E-2</v>
      </c>
      <c r="Z72" s="62">
        <f t="shared" si="9"/>
        <v>23.329699999999999</v>
      </c>
      <c r="AA72" s="62">
        <f t="shared" si="10"/>
        <v>23.282999999999998</v>
      </c>
      <c r="AB72" s="59" t="e">
        <f>VLOOKUP(A72,Enforcements!$C$7:$K$13,8,0)</f>
        <v>#N/A</v>
      </c>
      <c r="AC72" s="55" t="e">
        <f>VLOOKUP(A72,Enforcements!$C$7:$E$13,3,0)</f>
        <v>#N/A</v>
      </c>
      <c r="AD72" s="56" t="str">
        <f t="shared" si="11"/>
        <v>0159-17</v>
      </c>
      <c r="AE72" s="85" t="str">
        <f t="shared" si="12"/>
        <v>aws s3 cp s3://rtdc.mdm.uploadarchive.raw/RTDC4040/ "%USERPROFILE%\AppData\Local\Temp\OnboardLogs"\RTDC4040\2017-03-17 --exclude "*" --recursive --include "*20170317*" &amp; "%USERPROFILE%\Documents\GitHub\mrs-test-scripts\Headless Mode &amp; Sideloading\WalkAndUnGZ.bat" "%USERPROFILE%\AppData\Local\Temp\OnboardLogs"\RTDC4040\2017-03-17 &amp; aws s3 cp s3://rtdc.mdm.uploadarchive.raw/RTDC4040/ "%USERPROFILE%\AppData\Local\Temp\OnboardLogs"\RTDC4040\2017-03-18 --exclude "*" --recursive --include "*20170318*" &amp; "%USERPROFILE%\Documents\GitHub\mrs-test-scripts\Headless Mode &amp; Sideloading\WalkAndUnGZ.bat" "%USERPROFILE%\AppData\Local\Temp\OnboardLogs"\RTDC4040\2017-03-18</v>
      </c>
      <c r="AF72" s="82" t="str">
        <f t="shared" si="13"/>
        <v>"C:\Program Files (x86)\AstroGrep\AstroGrep.exe" /e /r /s /spath="%USERPROFILE%\AppData\Local\Temp\OnboardLogs" /stypes="app*4040*20170317*" /stext=" 17:.+((SYSTEM_STATE.+slice.+state.+changed )|(ment ac)|(multiple cpu faults)|(system.+state.+changed )|(\[timeout)|(PRM\|1\|D)|(kpr)|(kdp)|(\|lc)|(penalty))"</v>
      </c>
      <c r="AG72" s="1" t="str">
        <f t="shared" si="14"/>
        <v>EC</v>
      </c>
      <c r="AH72" s="86" t="str">
        <f t="shared" si="18"/>
        <v>"%USERPROFILE%\Documents\GitHub\eaglep3\Utilities\RefineRTDCRunTimes.py" --tripid 159-17 --locoid 4040 --swversion DE.1.0.9.0 --startMP 204:467 --initTime 2017-03-17T10:52:19 --startdatetime 2017-03-17T11:00:18 --delay 2 --endMP 204:233297 --enddatetime 2017-03-17T11:36:45 --enforcementcount 0 &gt;&gt;C:\Users\stu\Documents\GitHub\eaglep3-reporting\EC\2017-03-17-refined-times.txt</v>
      </c>
      <c r="AI72" s="108" t="str">
        <f t="shared" si="19"/>
        <v>echo {"issue":{"subject":"","project_id":79,"tracker_id":40,"status_id":1,"priority_id":2,"assigned_to_id":23,"start_date":"2017-03-17","description":"","custom_fields":[{"id":1,"name":"Subdivision","value":"EC"},{"id":4,"name":"Milepost","value":"23.3297"},{"id":17,"name":"Train ID","value":"159-17"},{"id":16,"name":"Locomotive ID","value":"4040"},{"id":130,"name":"Impact","value":""},{"id":150,"name":"Time of Event (Mountain Time)","value":"11:36:45"},{"id":151,"name":"Denver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48"/>
      <c r="AK72" s="48"/>
      <c r="AL72" s="48"/>
      <c r="AM72" s="154" t="str">
        <f t="shared" si="20"/>
        <v>start /low /b %USERPROFILE%\Documents\GitHub\eaglep3\Utilities\DownloadLogsFromS3.py --loco 4040 --day 2017-03-17</v>
      </c>
      <c r="AN72" s="163" t="str">
        <f>"grep -SE -B400 ""CHR.+\|PRM\|1\|D.+(SWITCH|SIGNAL).+UNKNOWN"" "&amp;search_path&amp;"\RTDC"&amp;B72&amp;"\*"&amp;B72&amp;"*"&amp;TEXT(AVERAGE(F72,I72)-utc_offset/24,"YYYYMMDD")&amp;"*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"%USERPROFILE%\AppData\Local\Temp\OnboardLogs"\RTDC4040\*4040*20170317* | grep -SE "(Enforcement Action)|(\[TIMEOUT)|(CHR.+\|PRM\|1\|D.+(SWITCH|SIGNAL).+UNKNOWN)" - &gt;&gt; 2017-03-17-UncaughtWiMAX.txt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3" t="s">
        <v>736</v>
      </c>
      <c r="B73" s="7">
        <v>4039</v>
      </c>
      <c r="C73" s="21" t="s">
        <v>227</v>
      </c>
      <c r="D73" s="21" t="s">
        <v>875</v>
      </c>
      <c r="E73" s="13">
        <v>42811.494618055556</v>
      </c>
      <c r="F73" s="13">
        <v>42811.497453703705</v>
      </c>
      <c r="G73" s="7">
        <v>2</v>
      </c>
      <c r="H73" s="21" t="s">
        <v>220</v>
      </c>
      <c r="I73" s="13">
        <v>42811.525740740741</v>
      </c>
      <c r="J73" s="7">
        <v>0</v>
      </c>
      <c r="K73" s="98" t="str">
        <f t="shared" si="0"/>
        <v>4039/4040</v>
      </c>
      <c r="L73" s="21" t="str">
        <f>VLOOKUP(A73,'Trips&amp;Operators'!$C$1:$G$99999,5,FALSE)</f>
        <v>STEWART MICHAEL</v>
      </c>
      <c r="M73" s="6">
        <f t="shared" si="1"/>
        <v>2.8287037035624962E-2</v>
      </c>
      <c r="N73" s="7">
        <f t="shared" si="23"/>
        <v>40.733333331299946</v>
      </c>
      <c r="O73" s="7"/>
      <c r="P73" s="7"/>
      <c r="Q73" s="22"/>
      <c r="R73" s="22"/>
      <c r="S73" s="31">
        <f t="shared" si="22"/>
        <v>1</v>
      </c>
      <c r="T73" s="46" t="str">
        <f t="shared" si="4"/>
        <v>Southbound</v>
      </c>
      <c r="U73" s="185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86" t="str">
        <f t="shared" si="5"/>
        <v>https://d0f6bd738d7f1b3e5a7ca70fe4ff75f0.us-east-1.aws.found.io/app/kibana#/discover/Steve-Slow-Train-Analysis-(2080s-and-2083s)?_g=(refreshInterval:(display:Off,pause:!f,section:0,value:0),time:(from:'2017-03-17T10:52:15-0600',mode:absolute,to:'2017-03-17T13:37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73" s="187" t="str">
        <f t="shared" si="6"/>
        <v>N</v>
      </c>
      <c r="X73" s="187">
        <f t="shared" si="21"/>
        <v>1</v>
      </c>
      <c r="Y73" s="62">
        <f t="shared" si="8"/>
        <v>23.298500000000001</v>
      </c>
      <c r="Z73" s="62">
        <f t="shared" si="9"/>
        <v>1.47E-2</v>
      </c>
      <c r="AA73" s="62">
        <f t="shared" si="10"/>
        <v>23.283799999999999</v>
      </c>
      <c r="AB73" s="59" t="e">
        <f>VLOOKUP(A73,Enforcements!$C$7:$K$13,8,0)</f>
        <v>#N/A</v>
      </c>
      <c r="AC73" s="55" t="e">
        <f>VLOOKUP(A73,Enforcements!$C$7:$E$13,3,0)</f>
        <v>#N/A</v>
      </c>
      <c r="AD73" s="56" t="str">
        <f t="shared" si="11"/>
        <v>0160-17</v>
      </c>
      <c r="AE73" s="85" t="str">
        <f t="shared" si="12"/>
        <v>aws s3 cp s3://rtdc.mdm.uploadarchive.raw/RTDC4039/ "%USERPROFILE%\AppData\Local\Temp\OnboardLogs"\RTDC4039\2017-03-17 --exclude "*" --recursive --include "*20170317*" &amp; "%USERPROFILE%\Documents\GitHub\mrs-test-scripts\Headless Mode &amp; Sideloading\WalkAndUnGZ.bat" "%USERPROFILE%\AppData\Local\Temp\OnboardLogs"\RTDC4039\2017-03-17 &amp; aws s3 cp s3://rtdc.mdm.uploadarchive.raw/RTDC4039/ "%USERPROFILE%\AppData\Local\Temp\OnboardLogs"\RTDC4039\2017-03-18 --exclude "*" --recursive --include "*20170318*" &amp; "%USERPROFILE%\Documents\GitHub\mrs-test-scripts\Headless Mode &amp; Sideloading\WalkAndUnGZ.bat" "%USERPROFILE%\AppData\Local\Temp\OnboardLogs"\RTDC4039\2017-03-18</v>
      </c>
      <c r="AF73" s="82" t="str">
        <f t="shared" si="13"/>
        <v>"C:\Program Files (x86)\AstroGrep\AstroGrep.exe" /e /r /s /spath="%USERPROFILE%\AppData\Local\Temp\OnboardLogs" /stypes="app*4039*20170317*" /stext=" 18:.+((SYSTEM_STATE.+slice.+state.+changed )|(ment ac)|(multiple cpu faults)|(system.+state.+changed )|(\[timeout)|(PRM\|1\|D)|(kpr)|(kdp)|(\|lc)|(penalty))"</v>
      </c>
      <c r="AG73" s="1" t="str">
        <f t="shared" si="14"/>
        <v>EC</v>
      </c>
      <c r="AH73" s="86" t="str">
        <f t="shared" si="18"/>
        <v>"%USERPROFILE%\Documents\GitHub\eaglep3\Utilities\RefineRTDCRunTimes.py" --tripid 160-17 --locoid 4039 --swversion DE.1.0.9.0 --startMP 204:232985 --initTime 2017-03-17T11:52:15 --startdatetime 2017-03-17T11:56:20 --delay 2 --endMP 204:147 --enddatetime 2017-03-17T12:37:04 --enforcementcount 0 &gt;&gt;C:\Users\stu\Documents\GitHub\eaglep3-reporting\EC\2017-03-17-refined-times.txt</v>
      </c>
      <c r="AI73" s="108" t="str">
        <f t="shared" si="19"/>
        <v>echo {"issue":{"subject":"","project_id":79,"tracker_id":40,"status_id":1,"priority_id":2,"assigned_to_id":23,"start_date":"2017-03-17","description":"","custom_fields":[{"id":1,"name":"Subdivision","value":"EC"},{"id":4,"name":"Milepost","value":"0.0147"},{"id":17,"name":"Train ID","value":"160-17"},{"id":16,"name":"Locomotive ID","value":"4039"},{"id":130,"name":"Impact","value":""},{"id":150,"name":"Time of Event (Mountain Time)","value":"12:37:04"},{"id":151,"name":"Denver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48"/>
      <c r="AK73" s="48"/>
      <c r="AL73" s="48"/>
      <c r="AM73" s="154" t="str">
        <f t="shared" si="20"/>
        <v>start /low /b %USERPROFILE%\Documents\GitHub\eaglep3\Utilities\DownloadLogsFromS3.py --loco 4039 --day 2017-03-17</v>
      </c>
      <c r="AN73" s="163" t="str">
        <f>"grep -SE -B400 ""CHR.+\|PRM\|1\|D.+(SWITCH|SIGNAL).+UNKNOWN"" "&amp;search_path&amp;"\RTDC"&amp;B73&amp;"\*"&amp;B73&amp;"*"&amp;TEXT(AVERAGE(F73,I73)-utc_offset/24,"YYYYMMDD")&amp;"*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"%USERPROFILE%\AppData\Local\Temp\OnboardLogs"\RTDC4039\*4039*20170317* | grep -SE "(Enforcement Action)|(\[TIMEOUT)|(CHR.+\|PRM\|1\|D.+(SWITCH|SIGNAL).+UNKNOWN)" - &gt;&gt; 2017-03-17-UncaughtWiMAX.txt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3" t="s">
        <v>729</v>
      </c>
      <c r="B74" s="7">
        <v>4020</v>
      </c>
      <c r="C74" s="21" t="s">
        <v>227</v>
      </c>
      <c r="D74" s="21" t="s">
        <v>582</v>
      </c>
      <c r="E74" s="13">
        <v>42811.466979166667</v>
      </c>
      <c r="F74" s="13">
        <v>42811.468935185185</v>
      </c>
      <c r="G74" s="7">
        <v>1</v>
      </c>
      <c r="H74" s="21" t="s">
        <v>572</v>
      </c>
      <c r="I74" s="13">
        <v>42811.493784722225</v>
      </c>
      <c r="J74" s="7">
        <v>0</v>
      </c>
      <c r="K74" s="98" t="str">
        <f t="shared" si="0"/>
        <v>4019/4020</v>
      </c>
      <c r="L74" s="21" t="str">
        <f>VLOOKUP(A74,'Trips&amp;Operators'!$C$1:$G$99999,5,FALSE)</f>
        <v>ROMERO CHAD</v>
      </c>
      <c r="M74" s="6">
        <f t="shared" si="1"/>
        <v>2.4849537039699499E-2</v>
      </c>
      <c r="N74" s="7">
        <f t="shared" si="23"/>
        <v>35.783333337167278</v>
      </c>
      <c r="O74" s="7"/>
      <c r="P74" s="7"/>
      <c r="Q74" s="22"/>
      <c r="R74" s="22"/>
      <c r="S74" s="31">
        <f t="shared" si="22"/>
        <v>1</v>
      </c>
      <c r="T74" s="46" t="str">
        <f t="shared" si="4"/>
        <v>NorthBound</v>
      </c>
      <c r="U74" s="185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86" t="str">
        <f t="shared" si="5"/>
        <v>https://d0f6bd738d7f1b3e5a7ca70fe4ff75f0.us-east-1.aws.found.io/app/kibana#/discover/Steve-Slow-Train-Analysis-(2080s-and-2083s)?_g=(refreshInterval:(display:Off,pause:!f,section:0,value:0),time:(from:'2017-03-17T10:12:27-0600',mode:absolute,to:'2017-03-17T12:51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74" s="187" t="str">
        <f t="shared" si="6"/>
        <v>N</v>
      </c>
      <c r="X74" s="187">
        <f t="shared" si="21"/>
        <v>1</v>
      </c>
      <c r="Y74" s="62">
        <f t="shared" si="8"/>
        <v>4.7699999999999999E-2</v>
      </c>
      <c r="Z74" s="62">
        <f t="shared" si="9"/>
        <v>23.333400000000001</v>
      </c>
      <c r="AA74" s="62">
        <f t="shared" si="10"/>
        <v>23.285700000000002</v>
      </c>
      <c r="AB74" s="59" t="e">
        <f>VLOOKUP(A74,Enforcements!$C$7:$K$13,8,0)</f>
        <v>#N/A</v>
      </c>
      <c r="AC74" s="55" t="e">
        <f>VLOOKUP(A74,Enforcements!$C$7:$E$13,3,0)</f>
        <v>#N/A</v>
      </c>
      <c r="AD74" s="56" t="str">
        <f t="shared" si="11"/>
        <v>0161-17</v>
      </c>
      <c r="AE74" s="85" t="str">
        <f t="shared" si="12"/>
        <v>aws s3 cp s3://rtdc.mdm.uploadarchive.raw/RTDC4020/ "%USERPROFILE%\AppData\Local\Temp\OnboardLogs"\RTDC4020\2017-03-17 --exclude "*" --recursive --include "*20170317*" &amp; "%USERPROFILE%\Documents\GitHub\mrs-test-scripts\Headless Mode &amp; Sideloading\WalkAndUnGZ.bat" "%USERPROFILE%\AppData\Local\Temp\OnboardLogs"\RTDC4020\2017-03-17 &amp; aws s3 cp s3://rtdc.mdm.uploadarchive.raw/RTDC4020/ "%USERPROFILE%\AppData\Local\Temp\OnboardLogs"\RTDC4020\2017-03-18 --exclude "*" --recursive --include "*20170318*" &amp; "%USERPROFILE%\Documents\GitHub\mrs-test-scripts\Headless Mode &amp; Sideloading\WalkAndUnGZ.bat" "%USERPROFILE%\AppData\Local\Temp\OnboardLogs"\RTDC4020\2017-03-18</v>
      </c>
      <c r="AF74" s="82" t="str">
        <f t="shared" si="13"/>
        <v>"C:\Program Files (x86)\AstroGrep\AstroGrep.exe" /e /r /s /spath="%USERPROFILE%\AppData\Local\Temp\OnboardLogs" /stypes="app*4020*20170317*" /stext=" 17:.+((SYSTEM_STATE.+slice.+state.+changed )|(ment ac)|(multiple cpu faults)|(system.+state.+changed )|(\[timeout)|(PRM\|1\|D)|(kpr)|(kdp)|(\|lc)|(penalty))"</v>
      </c>
      <c r="AG74" s="1" t="str">
        <f t="shared" si="14"/>
        <v>EC</v>
      </c>
      <c r="AH74" s="86" t="str">
        <f t="shared" si="18"/>
        <v>"%USERPROFILE%\Documents\GitHub\eaglep3\Utilities\RefineRTDCRunTimes.py" --tripid 161-17 --locoid 4020 --swversion DE.1.0.9.0 --startMP 204:477 --initTime 2017-03-17T11:12:27 --startdatetime 2017-03-17T11:15:16 --delay 1 --endMP 204:233334 --enddatetime 2017-03-17T11:51:03 --enforcementcount 0 &gt;&gt;C:\Users\stu\Documents\GitHub\eaglep3-reporting\EC\2017-03-17-refined-times.txt</v>
      </c>
      <c r="AI74" s="108" t="str">
        <f t="shared" si="19"/>
        <v>echo {"issue":{"subject":"","project_id":79,"tracker_id":40,"status_id":1,"priority_id":2,"assigned_to_id":23,"start_date":"2017-03-17","description":"","custom_fields":[{"id":1,"name":"Subdivision","value":"EC"},{"id":4,"name":"Milepost","value":"23.3334"},{"id":17,"name":"Train ID","value":"161-17"},{"id":16,"name":"Locomotive ID","value":"4020"},{"id":130,"name":"Impact","value":""},{"id":150,"name":"Time of Event (Mountain Time)","value":"11:51:03"},{"id":151,"name":"Denver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48"/>
      <c r="AK74" s="48"/>
      <c r="AL74" s="48"/>
      <c r="AM74" s="154" t="str">
        <f t="shared" si="20"/>
        <v>start /low /b %USERPROFILE%\Documents\GitHub\eaglep3\Utilities\DownloadLogsFromS3.py --loco 4020 --day 2017-03-17</v>
      </c>
      <c r="AN74" s="163" t="str">
        <f>"grep -SE -B400 ""CHR.+\|PRM\|1\|D.+(SWITCH|SIGNAL).+UNKNOWN"" "&amp;search_path&amp;"\RTDC"&amp;B74&amp;"\*"&amp;B74&amp;"*"&amp;TEXT(AVERAGE(F74,I74)-utc_offset/24,"YYYYMMDD")&amp;"*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"%USERPROFILE%\AppData\Local\Temp\OnboardLogs"\RTDC4020\*4020*20170317* | grep -SE "(Enforcement Action)|(\[TIMEOUT)|(CHR.+\|PRM\|1\|D.+(SWITCH|SIGNAL).+UNKNOWN)" - &gt;&gt; 2017-03-17-UncaughtWiMAX.txt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3" t="s">
        <v>739</v>
      </c>
      <c r="B75" s="7">
        <v>4019</v>
      </c>
      <c r="C75" s="21" t="s">
        <v>227</v>
      </c>
      <c r="D75" s="21" t="s">
        <v>877</v>
      </c>
      <c r="E75" s="13">
        <v>42811.497141203705</v>
      </c>
      <c r="F75" s="13">
        <v>42811.507928240739</v>
      </c>
      <c r="G75" s="7">
        <v>3</v>
      </c>
      <c r="H75" s="21" t="s">
        <v>878</v>
      </c>
      <c r="I75" s="13">
        <v>42811.534502314818</v>
      </c>
      <c r="J75" s="7">
        <v>0</v>
      </c>
      <c r="K75" s="98" t="str">
        <f t="shared" si="0"/>
        <v>4019/4020</v>
      </c>
      <c r="L75" s="21" t="str">
        <f>VLOOKUP(A75,'Trips&amp;Operators'!$C$1:$G$99999,5,FALSE)</f>
        <v>ROMERO CHAD</v>
      </c>
      <c r="M75" s="6">
        <f t="shared" si="1"/>
        <v>2.6574074079690035E-2</v>
      </c>
      <c r="N75" s="7">
        <f t="shared" si="23"/>
        <v>38.266666674753651</v>
      </c>
      <c r="O75" s="7"/>
      <c r="P75" s="7"/>
      <c r="Q75" s="22"/>
      <c r="R75" s="22"/>
      <c r="S75" s="31">
        <f t="shared" si="22"/>
        <v>1</v>
      </c>
      <c r="T75" s="46" t="str">
        <f t="shared" si="4"/>
        <v>Southbound</v>
      </c>
      <c r="U75" s="185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86" t="str">
        <f t="shared" si="5"/>
        <v>https://d0f6bd738d7f1b3e5a7ca70fe4ff75f0.us-east-1.aws.found.io/app/kibana#/discover/Steve-Slow-Train-Analysis-(2080s-and-2083s)?_g=(refreshInterval:(display:Off,pause:!f,section:0,value:0),time:(from:'2017-03-17T10:55:53-0600',mode:absolute,to:'2017-03-17T13:49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75" s="187" t="str">
        <f t="shared" si="6"/>
        <v>N</v>
      </c>
      <c r="X75" s="187">
        <f t="shared" si="21"/>
        <v>1</v>
      </c>
      <c r="Y75" s="62">
        <f t="shared" si="8"/>
        <v>23.303799999999999</v>
      </c>
      <c r="Z75" s="62">
        <f t="shared" si="9"/>
        <v>1.23E-2</v>
      </c>
      <c r="AA75" s="62">
        <f t="shared" si="10"/>
        <v>23.291499999999999</v>
      </c>
      <c r="AB75" s="59" t="e">
        <f>VLOOKUP(A75,Enforcements!$C$7:$K$13,8,0)</f>
        <v>#N/A</v>
      </c>
      <c r="AC75" s="55" t="e">
        <f>VLOOKUP(A75,Enforcements!$C$7:$E$13,3,0)</f>
        <v>#N/A</v>
      </c>
      <c r="AD75" s="56" t="str">
        <f t="shared" si="11"/>
        <v>0162-17</v>
      </c>
      <c r="AE75" s="85" t="str">
        <f t="shared" si="12"/>
        <v>aws s3 cp s3://rtdc.mdm.uploadarchive.raw/RTDC4019/ "%USERPROFILE%\AppData\Local\Temp\OnboardLogs"\RTDC4019\2017-03-17 --exclude "*" --recursive --include "*20170317*" &amp; "%USERPROFILE%\Documents\GitHub\mrs-test-scripts\Headless Mode &amp; Sideloading\WalkAndUnGZ.bat" "%USERPROFILE%\AppData\Local\Temp\OnboardLogs"\RTDC4019\2017-03-17 &amp; aws s3 cp s3://rtdc.mdm.uploadarchive.raw/RTDC4019/ "%USERPROFILE%\AppData\Local\Temp\OnboardLogs"\RTDC4019\2017-03-18 --exclude "*" --recursive --include "*20170318*" &amp; "%USERPROFILE%\Documents\GitHub\mrs-test-scripts\Headless Mode &amp; Sideloading\WalkAndUnGZ.bat" "%USERPROFILE%\AppData\Local\Temp\OnboardLogs"\RTDC4019\2017-03-18</v>
      </c>
      <c r="AF75" s="82" t="str">
        <f t="shared" si="13"/>
        <v>"C:\Program Files (x86)\AstroGrep\AstroGrep.exe" /e /r /s /spath="%USERPROFILE%\AppData\Local\Temp\OnboardLogs" /stypes="app*4019*20170317*" /stext=" 18:.+((SYSTEM_STATE.+slice.+state.+changed )|(ment ac)|(multiple cpu faults)|(system.+state.+changed )|(\[timeout)|(PRM\|1\|D)|(kpr)|(kdp)|(\|lc)|(penalty))"</v>
      </c>
      <c r="AG75" s="1" t="str">
        <f t="shared" si="14"/>
        <v>EC</v>
      </c>
      <c r="AH75" s="86" t="str">
        <f t="shared" si="18"/>
        <v>"%USERPROFILE%\Documents\GitHub\eaglep3\Utilities\RefineRTDCRunTimes.py" --tripid 162-17 --locoid 4019 --swversion DE.1.0.9.0 --startMP 204:233038 --initTime 2017-03-17T11:55:53 --startdatetime 2017-03-17T12:11:25 --delay 3 --endMP 204:123 --enddatetime 2017-03-17T12:49:41 --enforcementcount 0 &gt;&gt;C:\Users\stu\Documents\GitHub\eaglep3-reporting\EC\2017-03-17-refined-times.txt</v>
      </c>
      <c r="AI75" s="108" t="str">
        <f t="shared" si="19"/>
        <v>echo {"issue":{"subject":"","project_id":79,"tracker_id":40,"status_id":1,"priority_id":2,"assigned_to_id":23,"start_date":"2017-03-17","description":"","custom_fields":[{"id":1,"name":"Subdivision","value":"EC"},{"id":4,"name":"Milepost","value":"0.0123"},{"id":17,"name":"Train ID","value":"162-17"},{"id":16,"name":"Locomotive ID","value":"4019"},{"id":130,"name":"Impact","value":""},{"id":150,"name":"Time of Event (Mountain Time)","value":"12:49:41"},{"id":151,"name":"Denver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48"/>
      <c r="AK75" s="48"/>
      <c r="AL75" s="48"/>
      <c r="AM75" s="154" t="str">
        <f t="shared" si="20"/>
        <v>start /low /b %USERPROFILE%\Documents\GitHub\eaglep3\Utilities\DownloadLogsFromS3.py --loco 4019 --day 2017-03-17</v>
      </c>
      <c r="AN75" s="163" t="str">
        <f>"grep -SE -B400 ""CHR.+\|PRM\|1\|D.+(SWITCH|SIGNAL).+UNKNOWN"" "&amp;search_path&amp;"\RTDC"&amp;B75&amp;"\*"&amp;B75&amp;"*"&amp;TEXT(AVERAGE(F75,I75)-utc_offset/24,"YYYYMMDD")&amp;"*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"%USERPROFILE%\AppData\Local\Temp\OnboardLogs"\RTDC4019\*4019*20170317* | grep -SE "(Enforcement Action)|(\[TIMEOUT)|(CHR.+\|PRM\|1\|D.+(SWITCH|SIGNAL).+UNKNOWN)" - &gt;&gt; 2017-03-17-UncaughtWiMAX.txt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3" t="s">
        <v>733</v>
      </c>
      <c r="B76" s="7">
        <v>4002</v>
      </c>
      <c r="C76" s="21" t="s">
        <v>227</v>
      </c>
      <c r="D76" s="21" t="s">
        <v>235</v>
      </c>
      <c r="E76" s="13">
        <v>42811.477696759262</v>
      </c>
      <c r="F76" s="13">
        <v>42811.479375000003</v>
      </c>
      <c r="G76" s="7">
        <v>1</v>
      </c>
      <c r="H76" s="21" t="s">
        <v>577</v>
      </c>
      <c r="I76" s="13">
        <v>42811.506388888891</v>
      </c>
      <c r="J76" s="7">
        <v>0</v>
      </c>
      <c r="K76" s="98" t="str">
        <f t="shared" si="0"/>
        <v>4001/4002</v>
      </c>
      <c r="L76" s="21" t="str">
        <f>VLOOKUP(A76,'Trips&amp;Operators'!$C$1:$G$99999,5,FALSE)</f>
        <v>CLARK KATHLEEN</v>
      </c>
      <c r="M76" s="6">
        <f t="shared" si="1"/>
        <v>2.7013888888177462E-2</v>
      </c>
      <c r="N76" s="7">
        <f t="shared" si="23"/>
        <v>38.899999998975545</v>
      </c>
      <c r="O76" s="7"/>
      <c r="P76" s="7"/>
      <c r="Q76" s="22"/>
      <c r="R76" s="22"/>
      <c r="S76" s="31">
        <f t="shared" si="22"/>
        <v>1</v>
      </c>
      <c r="T76" s="46" t="str">
        <f t="shared" si="4"/>
        <v>NorthBound</v>
      </c>
      <c r="U76" s="185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86" t="str">
        <f t="shared" si="5"/>
        <v>https://d0f6bd738d7f1b3e5a7ca70fe4ff75f0.us-east-1.aws.found.io/app/kibana#/discover/Steve-Slow-Train-Analysis-(2080s-and-2083s)?_g=(refreshInterval:(display:Off,pause:!f,section:0,value:0),time:(from:'2017-03-17T10:27:53-0600',mode:absolute,to:'2017-03-17T13:09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76" s="187" t="str">
        <f t="shared" si="6"/>
        <v>N</v>
      </c>
      <c r="X76" s="187">
        <f t="shared" si="21"/>
        <v>1</v>
      </c>
      <c r="Y76" s="62">
        <f t="shared" si="8"/>
        <v>4.4200000000000003E-2</v>
      </c>
      <c r="Z76" s="62">
        <f t="shared" si="9"/>
        <v>23.332899999999999</v>
      </c>
      <c r="AA76" s="62">
        <f t="shared" si="10"/>
        <v>23.288699999999999</v>
      </c>
      <c r="AB76" s="59" t="e">
        <f>VLOOKUP(A76,Enforcements!$C$7:$K$13,8,0)</f>
        <v>#N/A</v>
      </c>
      <c r="AC76" s="55" t="e">
        <f>VLOOKUP(A76,Enforcements!$C$7:$E$13,3,0)</f>
        <v>#N/A</v>
      </c>
      <c r="AD76" s="56" t="str">
        <f t="shared" si="11"/>
        <v>0163-17</v>
      </c>
      <c r="AE76" s="85" t="str">
        <f t="shared" si="12"/>
        <v>aws s3 cp s3://rtdc.mdm.uploadarchive.raw/RTDC4002/ "%USERPROFILE%\AppData\Local\Temp\OnboardLogs"\RTDC4002\2017-03-17 --exclude "*" --recursive --include "*20170317*" &amp; "%USERPROFILE%\Documents\GitHub\mrs-test-scripts\Headless Mode &amp; Sideloading\WalkAndUnGZ.bat" "%USERPROFILE%\AppData\Local\Temp\OnboardLogs"\RTDC4002\2017-03-17 &amp; aws s3 cp s3://rtdc.mdm.uploadarchive.raw/RTDC4002/ "%USERPROFILE%\AppData\Local\Temp\OnboardLogs"\RTDC4002\2017-03-18 --exclude "*" --recursive --include "*20170318*" &amp; "%USERPROFILE%\Documents\GitHub\mrs-test-scripts\Headless Mode &amp; Sideloading\WalkAndUnGZ.bat" "%USERPROFILE%\AppData\Local\Temp\OnboardLogs"\RTDC4002\2017-03-18</v>
      </c>
      <c r="AF76" s="82" t="str">
        <f t="shared" si="13"/>
        <v>"C:\Program Files (x86)\AstroGrep\AstroGrep.exe" /e /r /s /spath="%USERPROFILE%\AppData\Local\Temp\OnboardLogs" /stypes="app*4002*20170317*" /stext=" 18:.+((SYSTEM_STATE.+slice.+state.+changed )|(ment ac)|(multiple cpu faults)|(system.+state.+changed )|(\[timeout)|(PRM\|1\|D)|(kpr)|(kdp)|(\|lc)|(penalty))"</v>
      </c>
      <c r="AG76" s="1" t="str">
        <f t="shared" si="14"/>
        <v>EC</v>
      </c>
      <c r="AH76" s="86" t="str">
        <f t="shared" si="18"/>
        <v>"%USERPROFILE%\Documents\GitHub\eaglep3\Utilities\RefineRTDCRunTimes.py" --tripid 163-17 --locoid 4002 --swversion DE.1.0.9.0 --startMP 204:442 --initTime 2017-03-17T11:27:53 --startdatetime 2017-03-17T11:30:18 --delay 1 --endMP 204:233329 --enddatetime 2017-03-17T12:09:12 --enforcementcount 0 &gt;&gt;C:\Users\stu\Documents\GitHub\eaglep3-reporting\EC\2017-03-17-refined-times.txt</v>
      </c>
      <c r="AI76" s="108" t="str">
        <f t="shared" si="19"/>
        <v>echo {"issue":{"subject":"","project_id":79,"tracker_id":40,"status_id":1,"priority_id":2,"assigned_to_id":23,"start_date":"2017-03-17","description":"","custom_fields":[{"id":1,"name":"Subdivision","value":"EC"},{"id":4,"name":"Milepost","value":"23.3329"},{"id":17,"name":"Train ID","value":"163-17"},{"id":16,"name":"Locomotive ID","value":"4002"},{"id":130,"name":"Impact","value":""},{"id":150,"name":"Time of Event (Mountain Time)","value":"12:09:12"},{"id":151,"name":"Denver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48"/>
      <c r="AK76" s="48"/>
      <c r="AL76" s="48"/>
      <c r="AM76" s="154" t="str">
        <f t="shared" si="20"/>
        <v>start /low /b %USERPROFILE%\Documents\GitHub\eaglep3\Utilities\DownloadLogsFromS3.py --loco 4002 --day 2017-03-17</v>
      </c>
      <c r="AN76" s="163" t="str">
        <f>"grep -SE -B400 ""CHR.+\|PRM\|1\|D.+(SWITCH|SIGNAL).+UNKNOWN"" "&amp;search_path&amp;"\RTDC"&amp;B76&amp;"\*"&amp;B76&amp;"*"&amp;TEXT(AVERAGE(F76,I76)-utc_offset/24,"YYYYMMDD")&amp;"*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"%USERPROFILE%\AppData\Local\Temp\OnboardLogs"\RTDC4002\*4002*20170317* | grep -SE "(Enforcement Action)|(\[TIMEOUT)|(CHR.+\|PRM\|1\|D.+(SWITCH|SIGNAL).+UNKNOWN)" - &gt;&gt; 2017-03-17-UncaughtWiMAX.txt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3" t="s">
        <v>623</v>
      </c>
      <c r="B77" s="7">
        <v>4001</v>
      </c>
      <c r="C77" s="21" t="s">
        <v>227</v>
      </c>
      <c r="D77" s="21" t="s">
        <v>241</v>
      </c>
      <c r="E77" s="13">
        <v>42811.512291666666</v>
      </c>
      <c r="F77" s="13">
        <v>42811.518229166664</v>
      </c>
      <c r="G77" s="7">
        <v>1</v>
      </c>
      <c r="H77" s="21" t="s">
        <v>879</v>
      </c>
      <c r="I77" s="13">
        <v>42811.545740740738</v>
      </c>
      <c r="J77" s="7">
        <v>0</v>
      </c>
      <c r="K77" s="98" t="str">
        <f t="shared" ref="K77:K140" si="24">IF(ISEVEN(B77),(B77-1)&amp;"/"&amp;B77,B77&amp;"/"&amp;(B77+1))</f>
        <v>4001/4002</v>
      </c>
      <c r="L77" s="21" t="str">
        <f>VLOOKUP(A77,'Trips&amp;Operators'!$C$1:$G$99999,5,FALSE)</f>
        <v>CLARK KATHLEEN</v>
      </c>
      <c r="M77" s="6">
        <f t="shared" ref="M77:M140" si="25">I77-F77</f>
        <v>2.7511574073287193E-2</v>
      </c>
      <c r="N77" s="7">
        <f t="shared" si="23"/>
        <v>39.616666665533558</v>
      </c>
      <c r="O77" s="7"/>
      <c r="P77" s="7"/>
      <c r="Q77" s="22"/>
      <c r="R77" s="22"/>
      <c r="S77" s="31">
        <f t="shared" si="22"/>
        <v>1</v>
      </c>
      <c r="T77" s="46" t="str">
        <f t="shared" ref="T77:T140" si="26">IF(ISEVEN(LEFT(AD77,4)),"Southbound","NorthBound")</f>
        <v>Southbound</v>
      </c>
      <c r="U77" s="185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86" t="str">
        <f t="shared" ref="V77:V140" si="27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-03-17T11:17:42-0600',mode:absolute,to:'2017-03-17T14:05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77" s="187" t="str">
        <f t="shared" ref="W77:W140" si="28">IF(AA77&lt;IF(AG77="EC",23,5.65),"Y","N")</f>
        <v>N</v>
      </c>
      <c r="X77" s="187">
        <f t="shared" ref="X77:X105" si="29">VALUE(LEFT(AD77,4))-VALUE(LEFT(AD76,4))</f>
        <v>1</v>
      </c>
      <c r="Y77" s="62">
        <f t="shared" ref="Y77:Y140" si="30">RIGHT(D77,LEN(D77)-4)/10000</f>
        <v>23.300599999999999</v>
      </c>
      <c r="Z77" s="62">
        <f t="shared" ref="Z77:Z140" si="31">RIGHT(H77,LEN(H77)-4)/10000</f>
        <v>1.72E-2</v>
      </c>
      <c r="AA77" s="62">
        <f t="shared" ref="AA77:AA140" si="32">ABS(Z77-Y77)</f>
        <v>23.2834</v>
      </c>
      <c r="AB77" s="59" t="e">
        <f>VLOOKUP(A77,Enforcements!$C$7:$K$13,8,0)</f>
        <v>#N/A</v>
      </c>
      <c r="AC77" s="55" t="e">
        <f>VLOOKUP(A77,Enforcements!$C$7:$E$13,3,0)</f>
        <v>#N/A</v>
      </c>
      <c r="AD77" s="56" t="str">
        <f t="shared" ref="AD77:AD140" si="33">IF(LEN(A77)=6,"0"&amp;A77,A77)</f>
        <v>0164-17</v>
      </c>
      <c r="AE77" s="85" t="str">
        <f t="shared" ref="AE77:AE140" si="34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s3://rtdc.mdm.uploadarchive.raw/RTDC4001/ "%USERPROFILE%\AppData\Local\Temp\OnboardLogs"\RTDC4001\2017-03-17 --exclude "*" --recursive --include "*20170317*" &amp; "%USERPROFILE%\Documents\GitHub\mrs-test-scripts\Headless Mode &amp; Sideloading\WalkAndUnGZ.bat" "%USERPROFILE%\AppData\Local\Temp\OnboardLogs"\RTDC4001\2017-03-17 &amp; aws s3 cp s3://rtdc.mdm.uploadarchive.raw/RTDC4001/ "%USERPROFILE%\AppData\Local\Temp\OnboardLogs"\RTDC4001\2017-03-18 --exclude "*" --recursive --include "*20170318*" &amp; "%USERPROFILE%\Documents\GitHub\mrs-test-scripts\Headless Mode &amp; Sideloading\WalkAndUnGZ.bat" "%USERPROFILE%\AppData\Local\Temp\OnboardLogs"\RTDC4001\2017-03-18</v>
      </c>
      <c r="AF77" s="82" t="str">
        <f t="shared" ref="AF77:AF140" si="35"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/stypes="app*4001*20170317*" /stext=" 19:.+((SYSTEM_STATE.+slice.+state.+changed )|(ment ac)|(multiple cpu faults)|(system.+state.+changed )|(\[timeout)|(PRM\|1\|D)|(kpr)|(kdp)|(\|lc)|(penalty))"</v>
      </c>
      <c r="AG77" s="1" t="str">
        <f t="shared" ref="AG77:AG140" si="36">IFERROR(IF(VALUE(LEFT(AD77,2))&lt;=2,"EC",IF(OR(VALUE(LEFT(AD77,2))=8,VALUE(LEFT(AD77,2))=18),"NW","Other")),"Other")</f>
        <v>EC</v>
      </c>
      <c r="AH77" s="86" t="str">
        <f t="shared" si="18"/>
        <v>"%USERPROFILE%\Documents\GitHub\eaglep3\Utilities\RefineRTDCRunTimes.py" --tripid 164-17 --locoid 4001 --swversion DE.1.0.9.0 --startMP 204:233006 --initTime 2017-03-17T12:17:42 --startdatetime 2017-03-17T12:26:15 --delay 1 --endMP 204:172 --enddatetime 2017-03-17T13:05:52 --enforcementcount 0 &gt;&gt;C:\Users\stu\Documents\GitHub\eaglep3-reporting\EC\2017-03-17-refined-times.txt</v>
      </c>
      <c r="AI77" s="108" t="str">
        <f t="shared" si="19"/>
        <v>echo {"issue":{"subject":"","project_id":79,"tracker_id":40,"status_id":1,"priority_id":2,"assigned_to_id":23,"start_date":"2017-03-17","description":"","custom_fields":[{"id":1,"name":"Subdivision","value":"EC"},{"id":4,"name":"Milepost","value":"0.0172"},{"id":17,"name":"Train ID","value":"164-17"},{"id":16,"name":"Locomotive ID","value":"4001"},{"id":130,"name":"Impact","value":""},{"id":150,"name":"Time of Event (Mountain Time)","value":"13:05:52"},{"id":151,"name":"Denver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48"/>
      <c r="AK77" s="48"/>
      <c r="AL77" s="48"/>
      <c r="AM77" s="154" t="str">
        <f t="shared" si="20"/>
        <v>start /low /b %USERPROFILE%\Documents\GitHub\eaglep3\Utilities\DownloadLogsFromS3.py --loco 4001 --day 2017-03-17</v>
      </c>
      <c r="AN77" s="163" t="str">
        <f>"grep -SE -B400 ""CHR.+\|PRM\|1\|D.+(SWITCH|SIGNAL).+UNKNOWN"" "&amp;search_path&amp;"\RTDC"&amp;B77&amp;"\*"&amp;B77&amp;"*"&amp;TEXT(AVERAGE(F77,I77)-utc_offset/24,"YYYYMMDD")&amp;"*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"%USERPROFILE%\AppData\Local\Temp\OnboardLogs"\RTDC4001\*4001*20170317* | grep -SE "(Enforcement Action)|(\[TIMEOUT)|(CHR.+\|PRM\|1\|D.+(SWITCH|SIGNAL).+UNKNOWN)" - &gt;&gt; 2017-03-17-UncaughtWiMAX.txt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3" t="s">
        <v>622</v>
      </c>
      <c r="B78" s="7">
        <v>4018</v>
      </c>
      <c r="C78" s="21" t="s">
        <v>227</v>
      </c>
      <c r="D78" s="21" t="s">
        <v>561</v>
      </c>
      <c r="E78" s="13">
        <v>42811.486921296295</v>
      </c>
      <c r="F78" s="13">
        <v>42811.489768518521</v>
      </c>
      <c r="G78" s="7">
        <v>1</v>
      </c>
      <c r="H78" s="21" t="s">
        <v>880</v>
      </c>
      <c r="I78" s="13">
        <v>42811.515717592592</v>
      </c>
      <c r="J78" s="7">
        <v>0</v>
      </c>
      <c r="K78" s="98" t="str">
        <f t="shared" si="24"/>
        <v>4017/4018</v>
      </c>
      <c r="L78" s="21" t="str">
        <f>VLOOKUP(A78,'Trips&amp;Operators'!$C$1:$G$99999,5,FALSE)</f>
        <v>BRUDER RICHARD</v>
      </c>
      <c r="M78" s="6">
        <f t="shared" si="25"/>
        <v>2.5949074071832001E-2</v>
      </c>
      <c r="N78" s="7">
        <f t="shared" si="23"/>
        <v>37.366666663438082</v>
      </c>
      <c r="O78" s="7"/>
      <c r="P78" s="7"/>
      <c r="Q78" s="22"/>
      <c r="R78" s="22"/>
      <c r="S78" s="31">
        <f t="shared" si="22"/>
        <v>1</v>
      </c>
      <c r="T78" s="46" t="str">
        <f t="shared" si="26"/>
        <v>NorthBound</v>
      </c>
      <c r="U78" s="185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86" t="str">
        <f t="shared" si="27"/>
        <v>https://d0f6bd738d7f1b3e5a7ca70fe4ff75f0.us-east-1.aws.found.io/app/kibana#/discover/Steve-Slow-Train-Analysis-(2080s-and-2083s)?_g=(refreshInterval:(display:Off,pause:!f,section:0,value:0),time:(from:'2017-03-17T10:41:10-0600',mode:absolute,to:'2017-03-17T13:22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78" s="187" t="str">
        <f t="shared" si="28"/>
        <v>N</v>
      </c>
      <c r="X78" s="187">
        <f t="shared" si="29"/>
        <v>1</v>
      </c>
      <c r="Y78" s="62">
        <f t="shared" si="30"/>
        <v>4.4600000000000001E-2</v>
      </c>
      <c r="Z78" s="62">
        <f t="shared" si="31"/>
        <v>23.330500000000001</v>
      </c>
      <c r="AA78" s="62">
        <f t="shared" si="32"/>
        <v>23.285900000000002</v>
      </c>
      <c r="AB78" s="59" t="e">
        <f>VLOOKUP(A78,Enforcements!$C$7:$K$13,8,0)</f>
        <v>#N/A</v>
      </c>
      <c r="AC78" s="55" t="e">
        <f>VLOOKUP(A78,Enforcements!$C$7:$E$13,3,0)</f>
        <v>#N/A</v>
      </c>
      <c r="AD78" s="56" t="str">
        <f t="shared" si="33"/>
        <v>0165-17</v>
      </c>
      <c r="AE78" s="85" t="str">
        <f t="shared" si="34"/>
        <v>aws s3 cp s3://rtdc.mdm.uploadarchive.raw/RTDC4018/ "%USERPROFILE%\AppData\Local\Temp\OnboardLogs"\RTDC4018\2017-03-17 --exclude "*" --recursive --include "*20170317*" &amp; "%USERPROFILE%\Documents\GitHub\mrs-test-scripts\Headless Mode &amp; Sideloading\WalkAndUnGZ.bat" "%USERPROFILE%\AppData\Local\Temp\OnboardLogs"\RTDC4018\2017-03-17 &amp; aws s3 cp s3://rtdc.mdm.uploadarchive.raw/RTDC4018/ "%USERPROFILE%\AppData\Local\Temp\OnboardLogs"\RTDC4018\2017-03-18 --exclude "*" --recursive --include "*20170318*" &amp; "%USERPROFILE%\Documents\GitHub\mrs-test-scripts\Headless Mode &amp; Sideloading\WalkAndUnGZ.bat" "%USERPROFILE%\AppData\Local\Temp\OnboardLogs"\RTDC4018\2017-03-18</v>
      </c>
      <c r="AF78" s="82" t="str">
        <f t="shared" si="35"/>
        <v>"C:\Program Files (x86)\AstroGrep\AstroGrep.exe" /e /r /s /spath="%USERPROFILE%\AppData\Local\Temp\OnboardLogs" /stypes="app*4018*20170317*" /stext=" 18:.+((SYSTEM_STATE.+slice.+state.+changed )|(ment ac)|(multiple cpu faults)|(system.+state.+changed )|(\[timeout)|(PRM\|1\|D)|(kpr)|(kdp)|(\|lc)|(penalty))"</v>
      </c>
      <c r="AG78" s="1" t="str">
        <f t="shared" si="36"/>
        <v>EC</v>
      </c>
      <c r="AH78" s="86" t="str">
        <f t="shared" ref="AH78:AH140" si="37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165-17 --locoid 4018 --swversion DE.1.0.9.0 --startMP 204:446 --initTime 2017-03-17T11:41:10 --startdatetime 2017-03-17T11:45:16 --delay 1 --endMP 204:233305 --enddatetime 2017-03-17T12:22:38 --enforcementcount 0 &gt;&gt;C:\Users\stu\Documents\GitHub\eaglep3-reporting\EC\2017-03-17-refined-times.txt</v>
      </c>
      <c r="AI78" s="108" t="str">
        <f t="shared" ref="AI78:AI140" si="38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{"issue":{"subject":"","project_id":79,"tracker_id":40,"status_id":1,"priority_id":2,"assigned_to_id":23,"start_date":"2017-03-17","description":"","custom_fields":[{"id":1,"name":"Subdivision","value":"EC"},{"id":4,"name":"Milepost","value":"23.3305"},{"id":17,"name":"Train ID","value":"165-17"},{"id":16,"name":"Locomotive ID","value":"4018"},{"id":130,"name":"Impact","value":""},{"id":150,"name":"Time of Event (Mountain Time)","value":"12:22:38"},{"id":151,"name":"Denver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48"/>
      <c r="AK78" s="48"/>
      <c r="AL78" s="48"/>
      <c r="AM78" s="154" t="str">
        <f t="shared" ref="AM78:AM140" si="39">"start /low /b "&amp;dls3logs&amp;" --loco "&amp;B78&amp;" --day "&amp;TEXT(F78,"YYYY-MM-DD")</f>
        <v>start /low /b %USERPROFILE%\Documents\GitHub\eaglep3\Utilities\DownloadLogsFromS3.py --loco 4018 --day 2017-03-17</v>
      </c>
      <c r="AN78" s="163" t="str">
        <f>"grep -SE -B400 ""CHR.+\|PRM\|1\|D.+(SWITCH|SIGNAL).+UNKNOWN"" "&amp;search_path&amp;"\RTDC"&amp;B78&amp;"\*"&amp;B78&amp;"*"&amp;TEXT(AVERAGE(F78,I78)-utc_offset/24,"YYYYMMDD")&amp;"*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"%USERPROFILE%\AppData\Local\Temp\OnboardLogs"\RTDC4018\*4018*20170317* | grep -SE "(Enforcement Action)|(\[TIMEOUT)|(CHR.+\|PRM\|1\|D.+(SWITCH|SIGNAL).+UNKNOWN)" - &gt;&gt; 2017-03-17-UncaughtWiMAX.txt</v>
      </c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3" t="s">
        <v>742</v>
      </c>
      <c r="B79" s="7">
        <v>4017</v>
      </c>
      <c r="C79" s="21" t="s">
        <v>227</v>
      </c>
      <c r="D79" s="21" t="s">
        <v>571</v>
      </c>
      <c r="E79" s="13">
        <v>42811.523981481485</v>
      </c>
      <c r="F79" s="13">
        <v>42811.528634259259</v>
      </c>
      <c r="G79" s="7">
        <v>1</v>
      </c>
      <c r="H79" s="21" t="s">
        <v>479</v>
      </c>
      <c r="I79" s="13">
        <v>42811.55568287037</v>
      </c>
      <c r="J79" s="7">
        <v>0</v>
      </c>
      <c r="K79" s="98" t="str">
        <f t="shared" si="24"/>
        <v>4017/4018</v>
      </c>
      <c r="L79" s="21" t="str">
        <f>VLOOKUP(A79,'Trips&amp;Operators'!$C$1:$G$99999,5,FALSE)</f>
        <v>BRUDER RICHARD</v>
      </c>
      <c r="M79" s="6">
        <f t="shared" si="25"/>
        <v>2.7048611111240461E-2</v>
      </c>
      <c r="N79" s="7">
        <f t="shared" si="23"/>
        <v>38.950000000186265</v>
      </c>
      <c r="O79" s="7"/>
      <c r="P79" s="7"/>
      <c r="Q79" s="22"/>
      <c r="R79" s="22"/>
      <c r="S79" s="31">
        <f t="shared" si="22"/>
        <v>1</v>
      </c>
      <c r="T79" s="46" t="str">
        <f t="shared" si="26"/>
        <v>Southbound</v>
      </c>
      <c r="U79" s="185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86" t="str">
        <f t="shared" si="27"/>
        <v>https://d0f6bd738d7f1b3e5a7ca70fe4ff75f0.us-east-1.aws.found.io/app/kibana#/discover/Steve-Slow-Train-Analysis-(2080s-and-2083s)?_g=(refreshInterval:(display:Off,pause:!f,section:0,value:0),time:(from:'2017-03-17T11:34:32-0600',mode:absolute,to:'2017-03-17T14:20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79" s="187" t="str">
        <f t="shared" si="28"/>
        <v>N</v>
      </c>
      <c r="X79" s="187">
        <f t="shared" si="29"/>
        <v>1</v>
      </c>
      <c r="Y79" s="62">
        <f t="shared" si="30"/>
        <v>23.298999999999999</v>
      </c>
      <c r="Z79" s="62">
        <f t="shared" si="31"/>
        <v>1.4500000000000001E-2</v>
      </c>
      <c r="AA79" s="62">
        <f t="shared" si="32"/>
        <v>23.284499999999998</v>
      </c>
      <c r="AB79" s="59" t="e">
        <f>VLOOKUP(A79,Enforcements!$C$7:$K$13,8,0)</f>
        <v>#N/A</v>
      </c>
      <c r="AC79" s="55" t="e">
        <f>VLOOKUP(A79,Enforcements!$C$7:$E$13,3,0)</f>
        <v>#N/A</v>
      </c>
      <c r="AD79" s="56" t="str">
        <f t="shared" si="33"/>
        <v>0166-17</v>
      </c>
      <c r="AE79" s="85" t="str">
        <f t="shared" si="34"/>
        <v>aws s3 cp s3://rtdc.mdm.uploadarchive.raw/RTDC4017/ "%USERPROFILE%\AppData\Local\Temp\OnboardLogs"\RTDC4017\2017-03-17 --exclude "*" --recursive --include "*20170317*" &amp; "%USERPROFILE%\Documents\GitHub\mrs-test-scripts\Headless Mode &amp; Sideloading\WalkAndUnGZ.bat" "%USERPROFILE%\AppData\Local\Temp\OnboardLogs"\RTDC4017\2017-03-17 &amp; aws s3 cp s3://rtdc.mdm.uploadarchive.raw/RTDC4017/ "%USERPROFILE%\AppData\Local\Temp\OnboardLogs"\RTDC4017\2017-03-18 --exclude "*" --recursive --include "*20170318*" &amp; "%USERPROFILE%\Documents\GitHub\mrs-test-scripts\Headless Mode &amp; Sideloading\WalkAndUnGZ.bat" "%USERPROFILE%\AppData\Local\Temp\OnboardLogs"\RTDC4017\2017-03-18</v>
      </c>
      <c r="AF79" s="82" t="str">
        <f t="shared" si="35"/>
        <v>"C:\Program Files (x86)\AstroGrep\AstroGrep.exe" /e /r /s /spath="%USERPROFILE%\AppData\Local\Temp\OnboardLogs" /stypes="app*4017*20170317*" /stext=" 19:.+((SYSTEM_STATE.+slice.+state.+changed )|(ment ac)|(multiple cpu faults)|(system.+state.+changed )|(\[timeout)|(PRM\|1\|D)|(kpr)|(kdp)|(\|lc)|(penalty))"</v>
      </c>
      <c r="AG79" s="1" t="str">
        <f t="shared" si="36"/>
        <v>EC</v>
      </c>
      <c r="AH79" s="86" t="str">
        <f t="shared" si="37"/>
        <v>"%USERPROFILE%\Documents\GitHub\eaglep3\Utilities\RefineRTDCRunTimes.py" --tripid 166-17 --locoid 4017 --swversion DE.1.0.9.0 --startMP 204:232990 --initTime 2017-03-17T12:34:32 --startdatetime 2017-03-17T12:41:14 --delay 1 --endMP 204:145 --enddatetime 2017-03-17T13:20:11 --enforcementcount 0 &gt;&gt;C:\Users\stu\Documents\GitHub\eaglep3-reporting\EC\2017-03-17-refined-times.txt</v>
      </c>
      <c r="AI79" s="108" t="str">
        <f t="shared" si="38"/>
        <v>echo {"issue":{"subject":"","project_id":79,"tracker_id":40,"status_id":1,"priority_id":2,"assigned_to_id":23,"start_date":"2017-03-17","description":"","custom_fields":[{"id":1,"name":"Subdivision","value":"EC"},{"id":4,"name":"Milepost","value":"0.0145"},{"id":17,"name":"Train ID","value":"166-17"},{"id":16,"name":"Locomotive ID","value":"4017"},{"id":130,"name":"Impact","value":""},{"id":150,"name":"Time of Event (Mountain Time)","value":"13:20:11"},{"id":151,"name":"Denver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48"/>
      <c r="AK79" s="48"/>
      <c r="AL79" s="48"/>
      <c r="AM79" s="154" t="str">
        <f t="shared" si="39"/>
        <v>start /low /b %USERPROFILE%\Documents\GitHub\eaglep3\Utilities\DownloadLogsFromS3.py --loco 4017 --day 2017-03-17</v>
      </c>
      <c r="AN79" s="163" t="str">
        <f>"grep -SE -B400 ""CHR.+\|PRM\|1\|D.+(SWITCH|SIGNAL).+UNKNOWN"" "&amp;search_path&amp;"\RTDC"&amp;B79&amp;"\*"&amp;B79&amp;"*"&amp;TEXT(AVERAGE(F79,I79)-utc_offset/24,"YYYYMMDD")&amp;"*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"%USERPROFILE%\AppData\Local\Temp\OnboardLogs"\RTDC4017\*4017*20170317* | grep -SE "(Enforcement Action)|(\[TIMEOUT)|(CHR.+\|PRM\|1\|D.+(SWITCH|SIGNAL).+UNKNOWN)" - &gt;&gt; 2017-03-17-UncaughtWiMAX.txt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3" t="s">
        <v>737</v>
      </c>
      <c r="B80" s="7">
        <v>4053</v>
      </c>
      <c r="C80" s="21" t="s">
        <v>227</v>
      </c>
      <c r="D80" s="21" t="s">
        <v>216</v>
      </c>
      <c r="E80" s="13">
        <v>42811.496898148151</v>
      </c>
      <c r="F80" s="13">
        <v>42811.500173611108</v>
      </c>
      <c r="G80" s="7">
        <v>2</v>
      </c>
      <c r="H80" s="21" t="s">
        <v>881</v>
      </c>
      <c r="I80" s="13">
        <v>42811.525312500002</v>
      </c>
      <c r="J80" s="7">
        <v>0</v>
      </c>
      <c r="K80" s="98" t="str">
        <f t="shared" si="24"/>
        <v>4053/4054</v>
      </c>
      <c r="L80" s="21" t="str">
        <f>VLOOKUP(A80,'Trips&amp;Operators'!$C$1:$G$99999,5,FALSE)</f>
        <v>HELVIE ADAM</v>
      </c>
      <c r="M80" s="6">
        <f t="shared" si="25"/>
        <v>2.513888889370719E-2</v>
      </c>
      <c r="N80" s="7">
        <f t="shared" si="23"/>
        <v>36.200000006938353</v>
      </c>
      <c r="O80" s="7"/>
      <c r="P80" s="7"/>
      <c r="Q80" s="22"/>
      <c r="R80" s="22"/>
      <c r="S80" s="31">
        <f t="shared" si="22"/>
        <v>1</v>
      </c>
      <c r="T80" s="46" t="str">
        <f t="shared" si="26"/>
        <v>NorthBound</v>
      </c>
      <c r="U80" s="185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86" t="str">
        <f t="shared" si="27"/>
        <v>https://d0f6bd738d7f1b3e5a7ca70fe4ff75f0.us-east-1.aws.found.io/app/kibana#/discover/Steve-Slow-Train-Analysis-(2080s-and-2083s)?_g=(refreshInterval:(display:Off,pause:!f,section:0,value:0),time:(from:'2017-03-17T10:55:32-0600',mode:absolute,to:'2017-03-17T13:36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80" s="187" t="str">
        <f t="shared" si="28"/>
        <v>N</v>
      </c>
      <c r="X80" s="187">
        <f t="shared" si="29"/>
        <v>1</v>
      </c>
      <c r="Y80" s="62">
        <f t="shared" si="30"/>
        <v>4.5499999999999999E-2</v>
      </c>
      <c r="Z80" s="62">
        <f t="shared" si="31"/>
        <v>23.331900000000001</v>
      </c>
      <c r="AA80" s="62">
        <f t="shared" si="32"/>
        <v>23.2864</v>
      </c>
      <c r="AB80" s="59" t="e">
        <f>VLOOKUP(A80,Enforcements!$C$7:$K$13,8,0)</f>
        <v>#N/A</v>
      </c>
      <c r="AC80" s="55" t="e">
        <f>VLOOKUP(A80,Enforcements!$C$7:$E$13,3,0)</f>
        <v>#N/A</v>
      </c>
      <c r="AD80" s="56" t="str">
        <f t="shared" si="33"/>
        <v>0167-17</v>
      </c>
      <c r="AE80" s="85" t="str">
        <f t="shared" si="34"/>
        <v>aws s3 cp s3://rtdc.mdm.uploadarchive.raw/RTDC4053/ "%USERPROFILE%\AppData\Local\Temp\OnboardLogs"\RTDC4053\2017-03-17 --exclude "*" --recursive --include "*20170317*" &amp; "%USERPROFILE%\Documents\GitHub\mrs-test-scripts\Headless Mode &amp; Sideloading\WalkAndUnGZ.bat" "%USERPROFILE%\AppData\Local\Temp\OnboardLogs"\RTDC4053\2017-03-17 &amp; aws s3 cp s3://rtdc.mdm.uploadarchive.raw/RTDC4053/ "%USERPROFILE%\AppData\Local\Temp\OnboardLogs"\RTDC4053\2017-03-18 --exclude "*" --recursive --include "*20170318*" &amp; "%USERPROFILE%\Documents\GitHub\mrs-test-scripts\Headless Mode &amp; Sideloading\WalkAndUnGZ.bat" "%USERPROFILE%\AppData\Local\Temp\OnboardLogs"\RTDC4053\2017-03-18</v>
      </c>
      <c r="AF80" s="82" t="str">
        <f t="shared" si="35"/>
        <v>"C:\Program Files (x86)\AstroGrep\AstroGrep.exe" /e /r /s /spath="%USERPROFILE%\AppData\Local\Temp\OnboardLogs" /stypes="app*4053*20170317*" /stext=" 18:.+((SYSTEM_STATE.+slice.+state.+changed )|(ment ac)|(multiple cpu faults)|(system.+state.+changed )|(\[timeout)|(PRM\|1\|D)|(kpr)|(kdp)|(\|lc)|(penalty))"</v>
      </c>
      <c r="AG80" s="1" t="str">
        <f t="shared" si="36"/>
        <v>EC</v>
      </c>
      <c r="AH80" s="86" t="str">
        <f t="shared" si="37"/>
        <v>"%USERPROFILE%\Documents\GitHub\eaglep3\Utilities\RefineRTDCRunTimes.py" --tripid 167-17 --locoid 4053 --swversion DE.1.0.9.0 --startMP 204:455 --initTime 2017-03-17T11:55:32 --startdatetime 2017-03-17T12:00:15 --delay 2 --endMP 204:233319 --enddatetime 2017-03-17T12:36:27 --enforcementcount 0 &gt;&gt;C:\Users\stu\Documents\GitHub\eaglep3-reporting\EC\2017-03-17-refined-times.txt</v>
      </c>
      <c r="AI80" s="108" t="str">
        <f t="shared" si="38"/>
        <v>echo {"issue":{"subject":"","project_id":79,"tracker_id":40,"status_id":1,"priority_id":2,"assigned_to_id":23,"start_date":"2017-03-17","description":"","custom_fields":[{"id":1,"name":"Subdivision","value":"EC"},{"id":4,"name":"Milepost","value":"23.3319"},{"id":17,"name":"Train ID","value":"167-17"},{"id":16,"name":"Locomotive ID","value":"4053"},{"id":130,"name":"Impact","value":""},{"id":150,"name":"Time of Event (Mountain Time)","value":"12:36:27"},{"id":151,"name":"Denver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48"/>
      <c r="AK80" s="48"/>
      <c r="AL80" s="48"/>
      <c r="AM80" s="154" t="str">
        <f t="shared" si="39"/>
        <v>start /low /b %USERPROFILE%\Documents\GitHub\eaglep3\Utilities\DownloadLogsFromS3.py --loco 4053 --day 2017-03-17</v>
      </c>
      <c r="AN80" s="163" t="str">
        <f>"grep -SE -B400 ""CHR.+\|PRM\|1\|D.+(SWITCH|SIGNAL).+UNKNOWN"" "&amp;search_path&amp;"\RTDC"&amp;B80&amp;"\*"&amp;B80&amp;"*"&amp;TEXT(AVERAGE(F80,I80)-utc_offset/24,"YYYYMMDD")&amp;"*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"%USERPROFILE%\AppData\Local\Temp\OnboardLogs"\RTDC4053\*4053*20170317* | grep -SE "(Enforcement Action)|(\[TIMEOUT)|(CHR.+\|PRM\|1\|D.+(SWITCH|SIGNAL).+UNKNOWN)" - &gt;&gt; 2017-03-17-UncaughtWiMAX.txt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3" t="s">
        <v>746</v>
      </c>
      <c r="B81" s="7">
        <v>4054</v>
      </c>
      <c r="C81" s="21" t="s">
        <v>227</v>
      </c>
      <c r="D81" s="21" t="s">
        <v>875</v>
      </c>
      <c r="E81" s="13">
        <v>42811.536620370367</v>
      </c>
      <c r="F81" s="13">
        <v>42811.539120370369</v>
      </c>
      <c r="G81" s="7">
        <v>1</v>
      </c>
      <c r="H81" s="21" t="s">
        <v>219</v>
      </c>
      <c r="I81" s="13">
        <v>42811.565613425926</v>
      </c>
      <c r="J81" s="7">
        <v>0</v>
      </c>
      <c r="K81" s="98" t="str">
        <f t="shared" si="24"/>
        <v>4053/4054</v>
      </c>
      <c r="L81" s="21" t="str">
        <f>VLOOKUP(A81,'Trips&amp;Operators'!$C$1:$G$99999,5,FALSE)</f>
        <v>HELVIE ADAM</v>
      </c>
      <c r="M81" s="6">
        <f t="shared" si="25"/>
        <v>2.6493055556784384E-2</v>
      </c>
      <c r="N81" s="7">
        <f t="shared" si="23"/>
        <v>38.150000001769513</v>
      </c>
      <c r="O81" s="7"/>
      <c r="P81" s="7"/>
      <c r="Q81" s="22"/>
      <c r="R81" s="22"/>
      <c r="S81" s="31">
        <f t="shared" si="22"/>
        <v>1</v>
      </c>
      <c r="T81" s="46" t="str">
        <f t="shared" si="26"/>
        <v>Southbound</v>
      </c>
      <c r="U81" s="185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86" t="str">
        <f t="shared" si="27"/>
        <v>https://d0f6bd738d7f1b3e5a7ca70fe4ff75f0.us-east-1.aws.found.io/app/kibana#/discover/Steve-Slow-Train-Analysis-(2080s-and-2083s)?_g=(refreshInterval:(display:Off,pause:!f,section:0,value:0),time:(from:'2017-03-17T11:52:44-0600',mode:absolute,to:'2017-03-17T14:34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81" s="187" t="str">
        <f t="shared" si="28"/>
        <v>N</v>
      </c>
      <c r="X81" s="187">
        <f t="shared" si="29"/>
        <v>1</v>
      </c>
      <c r="Y81" s="62">
        <f t="shared" si="30"/>
        <v>23.298500000000001</v>
      </c>
      <c r="Z81" s="62">
        <f t="shared" si="31"/>
        <v>1.5599999999999999E-2</v>
      </c>
      <c r="AA81" s="62">
        <f t="shared" si="32"/>
        <v>23.282900000000001</v>
      </c>
      <c r="AB81" s="59" t="e">
        <f>VLOOKUP(A81,Enforcements!$C$7:$K$13,8,0)</f>
        <v>#N/A</v>
      </c>
      <c r="AC81" s="55" t="e">
        <f>VLOOKUP(A81,Enforcements!$C$7:$E$13,3,0)</f>
        <v>#N/A</v>
      </c>
      <c r="AD81" s="56" t="str">
        <f t="shared" si="33"/>
        <v>0168-17</v>
      </c>
      <c r="AE81" s="85" t="str">
        <f t="shared" si="34"/>
        <v>aws s3 cp s3://rtdc.mdm.uploadarchive.raw/RTDC4054/ "%USERPROFILE%\AppData\Local\Temp\OnboardLogs"\RTDC4054\2017-03-17 --exclude "*" --recursive --include "*20170317*" &amp; "%USERPROFILE%\Documents\GitHub\mrs-test-scripts\Headless Mode &amp; Sideloading\WalkAndUnGZ.bat" "%USERPROFILE%\AppData\Local\Temp\OnboardLogs"\RTDC4054\2017-03-17 &amp; aws s3 cp s3://rtdc.mdm.uploadarchive.raw/RTDC4054/ "%USERPROFILE%\AppData\Local\Temp\OnboardLogs"\RTDC4054\2017-03-18 --exclude "*" --recursive --include "*20170318*" &amp; "%USERPROFILE%\Documents\GitHub\mrs-test-scripts\Headless Mode &amp; Sideloading\WalkAndUnGZ.bat" "%USERPROFILE%\AppData\Local\Temp\OnboardLogs"\RTDC4054\2017-03-18</v>
      </c>
      <c r="AF81" s="82" t="str">
        <f t="shared" si="35"/>
        <v>"C:\Program Files (x86)\AstroGrep\AstroGrep.exe" /e /r /s /spath="%USERPROFILE%\AppData\Local\Temp\OnboardLogs" /stypes="app*4054*20170317*" /stext=" 19:.+((SYSTEM_STATE.+slice.+state.+changed )|(ment ac)|(multiple cpu faults)|(system.+state.+changed )|(\[timeout)|(PRM\|1\|D)|(kpr)|(kdp)|(\|lc)|(penalty))"</v>
      </c>
      <c r="AG81" s="1" t="str">
        <f t="shared" si="36"/>
        <v>EC</v>
      </c>
      <c r="AH81" s="86" t="str">
        <f t="shared" si="37"/>
        <v>"%USERPROFILE%\Documents\GitHub\eaglep3\Utilities\RefineRTDCRunTimes.py" --tripid 168-17 --locoid 4054 --swversion DE.1.0.9.0 --startMP 204:232985 --initTime 2017-03-17T12:52:44 --startdatetime 2017-03-17T12:56:20 --delay 1 --endMP 204:156 --enddatetime 2017-03-17T13:34:29 --enforcementcount 0 &gt;&gt;C:\Users\stu\Documents\GitHub\eaglep3-reporting\EC\2017-03-17-refined-times.txt</v>
      </c>
      <c r="AI81" s="108" t="str">
        <f t="shared" si="38"/>
        <v>echo {"issue":{"subject":"","project_id":79,"tracker_id":40,"status_id":1,"priority_id":2,"assigned_to_id":23,"start_date":"2017-03-17","description":"","custom_fields":[{"id":1,"name":"Subdivision","value":"EC"},{"id":4,"name":"Milepost","value":"0.0156"},{"id":17,"name":"Train ID","value":"168-17"},{"id":16,"name":"Locomotive ID","value":"4054"},{"id":130,"name":"Impact","value":""},{"id":150,"name":"Time of Event (Mountain Time)","value":"13:34:29"},{"id":151,"name":"Denver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48"/>
      <c r="AK81" s="48"/>
      <c r="AL81" s="48"/>
      <c r="AM81" s="154" t="str">
        <f t="shared" si="39"/>
        <v>start /low /b %USERPROFILE%\Documents\GitHub\eaglep3\Utilities\DownloadLogsFromS3.py --loco 4054 --day 2017-03-17</v>
      </c>
      <c r="AN81" s="163" t="str">
        <f>"grep -SE -B400 ""CHR.+\|PRM\|1\|D.+(SWITCH|SIGNAL).+UNKNOWN"" "&amp;search_path&amp;"\RTDC"&amp;B81&amp;"\*"&amp;B81&amp;"*"&amp;TEXT(AVERAGE(F81,I81)-utc_offset/24,"YYYYMMDD")&amp;"*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"%USERPROFILE%\AppData\Local\Temp\OnboardLogs"\RTDC4054\*4054*20170317* | grep -SE "(Enforcement Action)|(\[TIMEOUT)|(CHR.+\|PRM\|1\|D.+(SWITCH|SIGNAL).+UNKNOWN)" - &gt;&gt; 2017-03-17-UncaughtWiMAX.txt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3" t="s">
        <v>740</v>
      </c>
      <c r="B82" s="7">
        <v>4011</v>
      </c>
      <c r="C82" s="21" t="s">
        <v>227</v>
      </c>
      <c r="D82" s="21" t="s">
        <v>882</v>
      </c>
      <c r="E82" s="13">
        <v>42811.504583333335</v>
      </c>
      <c r="F82" s="13">
        <v>42811.510740740741</v>
      </c>
      <c r="G82" s="7">
        <v>1</v>
      </c>
      <c r="H82" s="21" t="s">
        <v>883</v>
      </c>
      <c r="I82" s="13">
        <v>42811.535486111112</v>
      </c>
      <c r="J82" s="7">
        <v>0</v>
      </c>
      <c r="K82" s="98" t="str">
        <f t="shared" si="24"/>
        <v>4011/4012</v>
      </c>
      <c r="L82" s="21" t="str">
        <f>VLOOKUP(A82,'Trips&amp;Operators'!$C$1:$G$99999,5,FALSE)</f>
        <v>DELGADO DIANAH</v>
      </c>
      <c r="M82" s="6">
        <f t="shared" si="25"/>
        <v>2.47453703705105E-2</v>
      </c>
      <c r="N82" s="7">
        <f t="shared" si="23"/>
        <v>35.63333333353512</v>
      </c>
      <c r="O82" s="7"/>
      <c r="P82" s="7"/>
      <c r="Q82" s="22"/>
      <c r="R82" s="22"/>
      <c r="S82" s="31">
        <f t="shared" si="22"/>
        <v>1</v>
      </c>
      <c r="T82" s="46" t="str">
        <f t="shared" si="26"/>
        <v>NorthBound</v>
      </c>
      <c r="U82" s="185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86" t="str">
        <f t="shared" si="27"/>
        <v>https://d0f6bd738d7f1b3e5a7ca70fe4ff75f0.us-east-1.aws.found.io/app/kibana#/discover/Steve-Slow-Train-Analysis-(2080s-and-2083s)?_g=(refreshInterval:(display:Off,pause:!f,section:0,value:0),time:(from:'2017-03-17T11:06:36-0600',mode:absolute,to:'2017-03-17T13:51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82" s="187" t="str">
        <f t="shared" si="28"/>
        <v>N</v>
      </c>
      <c r="X82" s="187">
        <f t="shared" si="29"/>
        <v>1</v>
      </c>
      <c r="Y82" s="62">
        <f t="shared" si="30"/>
        <v>4.3099999999999999E-2</v>
      </c>
      <c r="Z82" s="62">
        <f t="shared" si="31"/>
        <v>23.338200000000001</v>
      </c>
      <c r="AA82" s="62">
        <f t="shared" si="32"/>
        <v>23.295100000000001</v>
      </c>
      <c r="AB82" s="59" t="e">
        <f>VLOOKUP(A82,Enforcements!$C$7:$K$13,8,0)</f>
        <v>#N/A</v>
      </c>
      <c r="AC82" s="55" t="e">
        <f>VLOOKUP(A82,Enforcements!$C$7:$E$13,3,0)</f>
        <v>#N/A</v>
      </c>
      <c r="AD82" s="56" t="str">
        <f t="shared" si="33"/>
        <v>0169-17</v>
      </c>
      <c r="AE82" s="85" t="str">
        <f t="shared" si="34"/>
        <v>aws s3 cp s3://rtdc.mdm.uploadarchive.raw/RTDC4011/ "%USERPROFILE%\AppData\Local\Temp\OnboardLogs"\RTDC4011\2017-03-17 --exclude "*" --recursive --include "*20170317*" &amp; "%USERPROFILE%\Documents\GitHub\mrs-test-scripts\Headless Mode &amp; Sideloading\WalkAndUnGZ.bat" "%USERPROFILE%\AppData\Local\Temp\OnboardLogs"\RTDC4011\2017-03-17 &amp; aws s3 cp s3://rtdc.mdm.uploadarchive.raw/RTDC4011/ "%USERPROFILE%\AppData\Local\Temp\OnboardLogs"\RTDC4011\2017-03-18 --exclude "*" --recursive --include "*20170318*" &amp; "%USERPROFILE%\Documents\GitHub\mrs-test-scripts\Headless Mode &amp; Sideloading\WalkAndUnGZ.bat" "%USERPROFILE%\AppData\Local\Temp\OnboardLogs"\RTDC4011\2017-03-18</v>
      </c>
      <c r="AF82" s="82" t="str">
        <f t="shared" si="35"/>
        <v>"C:\Program Files (x86)\AstroGrep\AstroGrep.exe" /e /r /s /spath="%USERPROFILE%\AppData\Local\Temp\OnboardLogs" /stypes="app*4011*20170317*" /stext=" 18:.+((SYSTEM_STATE.+slice.+state.+changed )|(ment ac)|(multiple cpu faults)|(system.+state.+changed )|(\[timeout)|(PRM\|1\|D)|(kpr)|(kdp)|(\|lc)|(penalty))"</v>
      </c>
      <c r="AG82" s="1" t="str">
        <f t="shared" si="36"/>
        <v>EC</v>
      </c>
      <c r="AH82" s="86" t="str">
        <f t="shared" si="37"/>
        <v>"%USERPROFILE%\Documents\GitHub\eaglep3\Utilities\RefineRTDCRunTimes.py" --tripid 169-17 --locoid 4011 --swversion DE.1.0.9.0 --startMP 204:431 --initTime 2017-03-17T12:06:36 --startdatetime 2017-03-17T12:15:28 --delay 1 --endMP 204:233382 --enddatetime 2017-03-17T12:51:06 --enforcementcount 0 &gt;&gt;C:\Users\stu\Documents\GitHub\eaglep3-reporting\EC\2017-03-17-refined-times.txt</v>
      </c>
      <c r="AI82" s="108" t="str">
        <f t="shared" si="38"/>
        <v>echo {"issue":{"subject":"","project_id":79,"tracker_id":40,"status_id":1,"priority_id":2,"assigned_to_id":23,"start_date":"2017-03-17","description":"","custom_fields":[{"id":1,"name":"Subdivision","value":"EC"},{"id":4,"name":"Milepost","value":"23.3382"},{"id":17,"name":"Train ID","value":"169-17"},{"id":16,"name":"Locomotive ID","value":"4011"},{"id":130,"name":"Impact","value":""},{"id":150,"name":"Time of Event (Mountain Time)","value":"12:51:06"},{"id":151,"name":"Denver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48"/>
      <c r="AK82" s="48"/>
      <c r="AL82" s="48"/>
      <c r="AM82" s="154" t="str">
        <f t="shared" si="39"/>
        <v>start /low /b %USERPROFILE%\Documents\GitHub\eaglep3\Utilities\DownloadLogsFromS3.py --loco 4011 --day 2017-03-17</v>
      </c>
      <c r="AN82" s="163" t="str">
        <f>"grep -SE -B400 ""CHR.+\|PRM\|1\|D.+(SWITCH|SIGNAL).+UNKNOWN"" "&amp;search_path&amp;"\RTDC"&amp;B82&amp;"\*"&amp;B82&amp;"*"&amp;TEXT(AVERAGE(F82,I82)-utc_offset/24,"YYYYMMDD")&amp;"*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"%USERPROFILE%\AppData\Local\Temp\OnboardLogs"\RTDC4011\*4011*20170317* | grep -SE "(Enforcement Action)|(\[TIMEOUT)|(CHR.+\|PRM\|1\|D.+(SWITCH|SIGNAL).+UNKNOWN)" - &gt;&gt; 2017-03-17-UncaughtWiMAX.txt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20" customFormat="1" x14ac:dyDescent="0.25">
      <c r="A83" s="33" t="s">
        <v>747</v>
      </c>
      <c r="B83" s="7">
        <v>4012</v>
      </c>
      <c r="C83" s="21" t="s">
        <v>227</v>
      </c>
      <c r="D83" s="21" t="s">
        <v>884</v>
      </c>
      <c r="E83" s="13">
        <v>42811.543657407405</v>
      </c>
      <c r="F83" s="13">
        <v>42811.549479166664</v>
      </c>
      <c r="G83" s="7">
        <v>1</v>
      </c>
      <c r="H83" s="21" t="s">
        <v>885</v>
      </c>
      <c r="I83" s="13">
        <v>42811.576238425929</v>
      </c>
      <c r="J83" s="7">
        <v>0</v>
      </c>
      <c r="K83" s="98" t="str">
        <f t="shared" si="24"/>
        <v>4011/4012</v>
      </c>
      <c r="L83" s="21" t="str">
        <f>VLOOKUP(A83,'Trips&amp;Operators'!$C$1:$G$99999,5,FALSE)</f>
        <v>DELGADO DIANAH</v>
      </c>
      <c r="M83" s="6">
        <f t="shared" si="25"/>
        <v>2.6759259264508728E-2</v>
      </c>
      <c r="N83" s="7">
        <f t="shared" si="23"/>
        <v>38.533333340892568</v>
      </c>
      <c r="O83" s="7"/>
      <c r="P83" s="7"/>
      <c r="Q83" s="22"/>
      <c r="R83" s="22"/>
      <c r="S83" s="31">
        <f t="shared" si="22"/>
        <v>1</v>
      </c>
      <c r="T83" s="46" t="str">
        <f t="shared" si="26"/>
        <v>Southbound</v>
      </c>
      <c r="U83" s="185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86" t="str">
        <f t="shared" si="27"/>
        <v>https://d0f6bd738d7f1b3e5a7ca70fe4ff75f0.us-east-1.aws.found.io/app/kibana#/discover/Steve-Slow-Train-Analysis-(2080s-and-2083s)?_g=(refreshInterval:(display:Off,pause:!f,section:0,value:0),time:(from:'2017-03-17T12:02:52-0600',mode:absolute,to:'2017-03-17T14:49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83" s="187" t="str">
        <f t="shared" si="28"/>
        <v>N</v>
      </c>
      <c r="X83" s="187">
        <f t="shared" si="29"/>
        <v>1</v>
      </c>
      <c r="Y83" s="62">
        <f t="shared" si="30"/>
        <v>23.305299999999999</v>
      </c>
      <c r="Z83" s="62">
        <f t="shared" si="31"/>
        <v>1.29E-2</v>
      </c>
      <c r="AA83" s="62">
        <f t="shared" si="32"/>
        <v>23.292400000000001</v>
      </c>
      <c r="AB83" s="59" t="e">
        <f>VLOOKUP(A83,Enforcements!$C$7:$K$13,8,0)</f>
        <v>#N/A</v>
      </c>
      <c r="AC83" s="55" t="e">
        <f>VLOOKUP(A83,Enforcements!$C$7:$E$13,3,0)</f>
        <v>#N/A</v>
      </c>
      <c r="AD83" s="56" t="str">
        <f t="shared" si="33"/>
        <v>0170-17</v>
      </c>
      <c r="AE83" s="85" t="str">
        <f t="shared" si="34"/>
        <v>aws s3 cp s3://rtdc.mdm.uploadarchive.raw/RTDC4012/ "%USERPROFILE%\AppData\Local\Temp\OnboardLogs"\RTDC4012\2017-03-17 --exclude "*" --recursive --include "*20170317*" &amp; "%USERPROFILE%\Documents\GitHub\mrs-test-scripts\Headless Mode &amp; Sideloading\WalkAndUnGZ.bat" "%USERPROFILE%\AppData\Local\Temp\OnboardLogs"\RTDC4012\2017-03-17 &amp; aws s3 cp s3://rtdc.mdm.uploadarchive.raw/RTDC4012/ "%USERPROFILE%\AppData\Local\Temp\OnboardLogs"\RTDC4012\2017-03-18 --exclude "*" --recursive --include "*20170318*" &amp; "%USERPROFILE%\Documents\GitHub\mrs-test-scripts\Headless Mode &amp; Sideloading\WalkAndUnGZ.bat" "%USERPROFILE%\AppData\Local\Temp\OnboardLogs"\RTDC4012\2017-03-18</v>
      </c>
      <c r="AF83" s="82" t="str">
        <f t="shared" si="35"/>
        <v>"C:\Program Files (x86)\AstroGrep\AstroGrep.exe" /e /r /s /spath="%USERPROFILE%\AppData\Local\Temp\OnboardLogs" /stypes="app*4012*20170317*" /stext=" 19:.+((SYSTEM_STATE.+slice.+state.+changed )|(ment ac)|(multiple cpu faults)|(system.+state.+changed )|(\[timeout)|(PRM\|1\|D)|(kpr)|(kdp)|(\|lc)|(penalty))"</v>
      </c>
      <c r="AG83" s="1" t="str">
        <f t="shared" si="36"/>
        <v>EC</v>
      </c>
      <c r="AH83" s="86" t="str">
        <f t="shared" si="37"/>
        <v>"%USERPROFILE%\Documents\GitHub\eaglep3\Utilities\RefineRTDCRunTimes.py" --tripid 170-17 --locoid 4012 --swversion DE.1.0.9.0 --startMP 204:233053 --initTime 2017-03-17T13:02:52 --startdatetime 2017-03-17T13:11:15 --delay 1 --endMP 204:129 --enddatetime 2017-03-17T13:49:47 --enforcementcount 0 &gt;&gt;C:\Users\stu\Documents\GitHub\eaglep3-reporting\EC\2017-03-17-refined-times.txt</v>
      </c>
      <c r="AI83" s="108" t="str">
        <f t="shared" si="38"/>
        <v>echo {"issue":{"subject":"","project_id":79,"tracker_id":40,"status_id":1,"priority_id":2,"assigned_to_id":23,"start_date":"2017-03-17","description":"","custom_fields":[{"id":1,"name":"Subdivision","value":"EC"},{"id":4,"name":"Milepost","value":"0.0129"},{"id":17,"name":"Train ID","value":"170-17"},{"id":16,"name":"Locomotive ID","value":"4012"},{"id":130,"name":"Impact","value":""},{"id":150,"name":"Time of Event (Mountain Time)","value":"13:49:47"},{"id":151,"name":"Denver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48"/>
      <c r="AK83" s="48"/>
      <c r="AL83" s="48"/>
      <c r="AM83" s="154" t="str">
        <f t="shared" si="39"/>
        <v>start /low /b %USERPROFILE%\Documents\GitHub\eaglep3\Utilities\DownloadLogsFromS3.py --loco 4012 --day 2017-03-17</v>
      </c>
      <c r="AN83" s="163" t="str">
        <f>"grep -SE -B400 ""CHR.+\|PRM\|1\|D.+(SWITCH|SIGNAL).+UNKNOWN"" "&amp;search_path&amp;"\RTDC"&amp;B83&amp;"\*"&amp;B83&amp;"*"&amp;TEXT(AVERAGE(F83,I83)-utc_offset/24,"YYYYMMDD")&amp;"*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"%USERPROFILE%\AppData\Local\Temp\OnboardLogs"\RTDC4012\*4012*20170317* | grep -SE "(Enforcement Action)|(\[TIMEOUT)|(CHR.+\|PRM\|1\|D.+(SWITCH|SIGNAL).+UNKNOWN)" - &gt;&gt; 2017-03-17-UncaughtWiMAX.txt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20" customFormat="1" x14ac:dyDescent="0.25">
      <c r="A84" s="33" t="s">
        <v>741</v>
      </c>
      <c r="B84" s="7">
        <v>4016</v>
      </c>
      <c r="C84" s="21" t="s">
        <v>227</v>
      </c>
      <c r="D84" s="21" t="s">
        <v>228</v>
      </c>
      <c r="E84" s="13">
        <v>42811.516585648147</v>
      </c>
      <c r="F84" s="13">
        <v>42811.521192129629</v>
      </c>
      <c r="G84" s="7">
        <v>2</v>
      </c>
      <c r="H84" s="21" t="s">
        <v>886</v>
      </c>
      <c r="I84" s="13">
        <v>42811.546736111108</v>
      </c>
      <c r="J84" s="7">
        <v>0</v>
      </c>
      <c r="K84" s="98" t="str">
        <f t="shared" si="24"/>
        <v>4015/4016</v>
      </c>
      <c r="L84" s="21" t="str">
        <f>VLOOKUP(A84,'Trips&amp;Operators'!$C$1:$G$99999,5,FALSE)</f>
        <v>WHITED DUSTIN</v>
      </c>
      <c r="M84" s="6">
        <f t="shared" si="25"/>
        <v>2.5543981479131617E-2</v>
      </c>
      <c r="N84" s="7">
        <f t="shared" si="23"/>
        <v>36.783333329949528</v>
      </c>
      <c r="O84" s="7"/>
      <c r="P84" s="7"/>
      <c r="Q84" s="22"/>
      <c r="R84" s="22"/>
      <c r="S84" s="31">
        <f t="shared" si="22"/>
        <v>1</v>
      </c>
      <c r="T84" s="46" t="str">
        <f t="shared" si="26"/>
        <v>NorthBound</v>
      </c>
      <c r="U84" s="185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86" t="str">
        <f t="shared" si="27"/>
        <v>https://d0f6bd738d7f1b3e5a7ca70fe4ff75f0.us-east-1.aws.found.io/app/kibana#/discover/Steve-Slow-Train-Analysis-(2080s-and-2083s)?_g=(refreshInterval:(display:Off,pause:!f,section:0,value:0),time:(from:'2017-03-17T11:23:53-0600',mode:absolute,to:'2017-03-17T14:07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84" s="187" t="str">
        <f t="shared" si="28"/>
        <v>N</v>
      </c>
      <c r="X84" s="187">
        <f t="shared" si="29"/>
        <v>1</v>
      </c>
      <c r="Y84" s="62">
        <f t="shared" si="30"/>
        <v>4.58E-2</v>
      </c>
      <c r="Z84" s="62">
        <f t="shared" si="31"/>
        <v>23.332100000000001</v>
      </c>
      <c r="AA84" s="62">
        <f t="shared" si="32"/>
        <v>23.286300000000001</v>
      </c>
      <c r="AB84" s="59" t="e">
        <f>VLOOKUP(A84,Enforcements!$C$7:$K$13,8,0)</f>
        <v>#N/A</v>
      </c>
      <c r="AC84" s="55" t="e">
        <f>VLOOKUP(A84,Enforcements!$C$7:$E$13,3,0)</f>
        <v>#N/A</v>
      </c>
      <c r="AD84" s="56" t="str">
        <f t="shared" si="33"/>
        <v>0171-17</v>
      </c>
      <c r="AE84" s="85" t="str">
        <f t="shared" si="34"/>
        <v>aws s3 cp s3://rtdc.mdm.uploadarchive.raw/RTDC4016/ "%USERPROFILE%\AppData\Local\Temp\OnboardLogs"\RTDC4016\2017-03-17 --exclude "*" --recursive --include "*20170317*" &amp; "%USERPROFILE%\Documents\GitHub\mrs-test-scripts\Headless Mode &amp; Sideloading\WalkAndUnGZ.bat" "%USERPROFILE%\AppData\Local\Temp\OnboardLogs"\RTDC4016\2017-03-17 &amp; aws s3 cp s3://rtdc.mdm.uploadarchive.raw/RTDC4016/ "%USERPROFILE%\AppData\Local\Temp\OnboardLogs"\RTDC4016\2017-03-18 --exclude "*" --recursive --include "*20170318*" &amp; "%USERPROFILE%\Documents\GitHub\mrs-test-scripts\Headless Mode &amp; Sideloading\WalkAndUnGZ.bat" "%USERPROFILE%\AppData\Local\Temp\OnboardLogs"\RTDC4016\2017-03-18</v>
      </c>
      <c r="AF84" s="82" t="str">
        <f t="shared" si="35"/>
        <v>"C:\Program Files (x86)\AstroGrep\AstroGrep.exe" /e /r /s /spath="%USERPROFILE%\AppData\Local\Temp\OnboardLogs" /stypes="app*4016*20170317*" /stext=" 19:.+((SYSTEM_STATE.+slice.+state.+changed )|(ment ac)|(multiple cpu faults)|(system.+state.+changed )|(\[timeout)|(PRM\|1\|D)|(kpr)|(kdp)|(\|lc)|(penalty))"</v>
      </c>
      <c r="AG84" s="1" t="str">
        <f t="shared" si="36"/>
        <v>EC</v>
      </c>
      <c r="AH84" s="86" t="str">
        <f t="shared" si="37"/>
        <v>"%USERPROFILE%\Documents\GitHub\eaglep3\Utilities\RefineRTDCRunTimes.py" --tripid 171-17 --locoid 4016 --swversion DE.1.0.9.0 --startMP 204:458 --initTime 2017-03-17T12:23:53 --startdatetime 2017-03-17T12:30:31 --delay 2 --endMP 204:233321 --enddatetime 2017-03-17T13:07:18 --enforcementcount 0 &gt;&gt;C:\Users\stu\Documents\GitHub\eaglep3-reporting\EC\2017-03-17-refined-times.txt</v>
      </c>
      <c r="AI84" s="108" t="str">
        <f t="shared" si="38"/>
        <v>echo {"issue":{"subject":"","project_id":79,"tracker_id":40,"status_id":1,"priority_id":2,"assigned_to_id":23,"start_date":"2017-03-17","description":"","custom_fields":[{"id":1,"name":"Subdivision","value":"EC"},{"id":4,"name":"Milepost","value":"23.3321"},{"id":17,"name":"Train ID","value":"171-17"},{"id":16,"name":"Locomotive ID","value":"4016"},{"id":130,"name":"Impact","value":""},{"id":150,"name":"Time of Event (Mountain Time)","value":"13:07:18"},{"id":151,"name":"Denver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48"/>
      <c r="AK84" s="48"/>
      <c r="AL84" s="48"/>
      <c r="AM84" s="154" t="str">
        <f t="shared" si="39"/>
        <v>start /low /b %USERPROFILE%\Documents\GitHub\eaglep3\Utilities\DownloadLogsFromS3.py --loco 4016 --day 2017-03-17</v>
      </c>
      <c r="AN84" s="163" t="str">
        <f>"grep -SE -B400 ""CHR.+\|PRM\|1\|D.+(SWITCH|SIGNAL).+UNKNOWN"" "&amp;search_path&amp;"\RTDC"&amp;B84&amp;"\*"&amp;B84&amp;"*"&amp;TEXT(AVERAGE(F84,I84)-utc_offset/24,"YYYYMMDD")&amp;"*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"%USERPROFILE%\AppData\Local\Temp\OnboardLogs"\RTDC4016\*4016*20170317* | grep -SE "(Enforcement Action)|(\[TIMEOUT)|(CHR.+\|PRM\|1\|D.+(SWITCH|SIGNAL).+UNKNOWN)" - &gt;&gt; 2017-03-17-UncaughtWiMAX.txt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x14ac:dyDescent="0.25">
      <c r="A85" s="33" t="s">
        <v>749</v>
      </c>
      <c r="B85" s="7">
        <v>4015</v>
      </c>
      <c r="C85" s="21" t="s">
        <v>227</v>
      </c>
      <c r="D85" s="21" t="s">
        <v>481</v>
      </c>
      <c r="E85" s="13">
        <v>42811.553437499999</v>
      </c>
      <c r="F85" s="13">
        <v>42811.560069444444</v>
      </c>
      <c r="G85" s="7">
        <v>1</v>
      </c>
      <c r="H85" s="21" t="s">
        <v>435</v>
      </c>
      <c r="I85" s="13">
        <v>42811.587314814817</v>
      </c>
      <c r="J85" s="7">
        <v>0</v>
      </c>
      <c r="K85" s="98" t="str">
        <f t="shared" si="24"/>
        <v>4015/4016</v>
      </c>
      <c r="L85" s="21" t="str">
        <f>VLOOKUP(A85,'Trips&amp;Operators'!$C$1:$G$99999,5,FALSE)</f>
        <v>WHITED DUSTIN</v>
      </c>
      <c r="M85" s="6">
        <f t="shared" si="25"/>
        <v>2.7245370372838806E-2</v>
      </c>
      <c r="N85" s="7">
        <f t="shared" si="23"/>
        <v>39.233333336887881</v>
      </c>
      <c r="O85" s="7"/>
      <c r="P85" s="7"/>
      <c r="Q85" s="22"/>
      <c r="R85" s="22"/>
      <c r="S85" s="31">
        <f t="shared" si="22"/>
        <v>1</v>
      </c>
      <c r="T85" s="46" t="str">
        <f t="shared" si="26"/>
        <v>Southbound</v>
      </c>
      <c r="U85" s="185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86" t="str">
        <f t="shared" si="27"/>
        <v>https://d0f6bd738d7f1b3e5a7ca70fe4ff75f0.us-east-1.aws.found.io/app/kibana#/discover/Steve-Slow-Train-Analysis-(2080s-and-2083s)?_g=(refreshInterval:(display:Off,pause:!f,section:0,value:0),time:(from:'2017-03-17T12:16:57-0600',mode:absolute,to:'2017-03-17T15:05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85" s="187" t="str">
        <f t="shared" si="28"/>
        <v>N</v>
      </c>
      <c r="X85" s="187">
        <f t="shared" si="29"/>
        <v>1</v>
      </c>
      <c r="Y85" s="62">
        <f t="shared" si="30"/>
        <v>23.301100000000002</v>
      </c>
      <c r="Z85" s="62">
        <f t="shared" si="31"/>
        <v>1.32E-2</v>
      </c>
      <c r="AA85" s="62">
        <f t="shared" si="32"/>
        <v>23.2879</v>
      </c>
      <c r="AB85" s="59" t="e">
        <f>VLOOKUP(A85,Enforcements!$C$7:$K$13,8,0)</f>
        <v>#N/A</v>
      </c>
      <c r="AC85" s="55" t="e">
        <f>VLOOKUP(A85,Enforcements!$C$7:$E$13,3,0)</f>
        <v>#N/A</v>
      </c>
      <c r="AD85" s="56" t="str">
        <f t="shared" si="33"/>
        <v>0172-17</v>
      </c>
      <c r="AE85" s="85" t="str">
        <f t="shared" si="34"/>
        <v>aws s3 cp s3://rtdc.mdm.uploadarchive.raw/RTDC4015/ "%USERPROFILE%\AppData\Local\Temp\OnboardLogs"\RTDC4015\2017-03-17 --exclude "*" --recursive --include "*20170317*" &amp; "%USERPROFILE%\Documents\GitHub\mrs-test-scripts\Headless Mode &amp; Sideloading\WalkAndUnGZ.bat" "%USERPROFILE%\AppData\Local\Temp\OnboardLogs"\RTDC4015\2017-03-17 &amp; aws s3 cp s3://rtdc.mdm.uploadarchive.raw/RTDC4015/ "%USERPROFILE%\AppData\Local\Temp\OnboardLogs"\RTDC4015\2017-03-18 --exclude "*" --recursive --include "*20170318*" &amp; "%USERPROFILE%\Documents\GitHub\mrs-test-scripts\Headless Mode &amp; Sideloading\WalkAndUnGZ.bat" "%USERPROFILE%\AppData\Local\Temp\OnboardLogs"\RTDC4015\2017-03-18</v>
      </c>
      <c r="AF85" s="82" t="str">
        <f t="shared" si="35"/>
        <v>"C:\Program Files (x86)\AstroGrep\AstroGrep.exe" /e /r /s /spath="%USERPROFILE%\AppData\Local\Temp\OnboardLogs" /stypes="app*4015*20170317*" /stext=" 20:.+((SYSTEM_STATE.+slice.+state.+changed )|(ment ac)|(multiple cpu faults)|(system.+state.+changed )|(\[timeout)|(PRM\|1\|D)|(kpr)|(kdp)|(\|lc)|(penalty))"</v>
      </c>
      <c r="AG85" s="1" t="str">
        <f t="shared" si="36"/>
        <v>EC</v>
      </c>
      <c r="AH85" s="86" t="str">
        <f t="shared" si="37"/>
        <v>"%USERPROFILE%\Documents\GitHub\eaglep3\Utilities\RefineRTDCRunTimes.py" --tripid 172-17 --locoid 4015 --swversion DE.1.0.9.0 --startMP 204:233011 --initTime 2017-03-17T13:16:57 --startdatetime 2017-03-17T13:26:30 --delay 1 --endMP 204:132 --enddatetime 2017-03-17T14:05:44 --enforcementcount 0 &gt;&gt;C:\Users\stu\Documents\GitHub\eaglep3-reporting\EC\2017-03-17-refined-times.txt</v>
      </c>
      <c r="AI85" s="108" t="str">
        <f t="shared" si="38"/>
        <v>echo {"issue":{"subject":"","project_id":79,"tracker_id":40,"status_id":1,"priority_id":2,"assigned_to_id":23,"start_date":"2017-03-17","description":"","custom_fields":[{"id":1,"name":"Subdivision","value":"EC"},{"id":4,"name":"Milepost","value":"0.0132"},{"id":17,"name":"Train ID","value":"172-17"},{"id":16,"name":"Locomotive ID","value":"4015"},{"id":130,"name":"Impact","value":""},{"id":150,"name":"Time of Event (Mountain Time)","value":"14:05:44"},{"id":151,"name":"Denver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48"/>
      <c r="AK85" s="48"/>
      <c r="AL85" s="48"/>
      <c r="AM85" s="154" t="str">
        <f t="shared" si="39"/>
        <v>start /low /b %USERPROFILE%\Documents\GitHub\eaglep3\Utilities\DownloadLogsFromS3.py --loco 4015 --day 2017-03-17</v>
      </c>
      <c r="AN85" s="163" t="str">
        <f>"grep -SE -B400 ""CHR.+\|PRM\|1\|D.+(SWITCH|SIGNAL).+UNKNOWN"" "&amp;search_path&amp;"\RTDC"&amp;B85&amp;"\*"&amp;B85&amp;"*"&amp;TEXT(AVERAGE(F85,I85)-utc_offset/24,"YYYYMMDD")&amp;"*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"%USERPROFILE%\AppData\Local\Temp\OnboardLogs"\RTDC4015\*4015*20170317* | grep -SE "(Enforcement Action)|(\[TIMEOUT)|(CHR.+\|PRM\|1\|D.+(SWITCH|SIGNAL).+UNKNOWN)" - &gt;&gt; 2017-03-17-UncaughtWiMAX.txt</v>
      </c>
    </row>
    <row r="86" spans="1:91" s="20" customFormat="1" x14ac:dyDescent="0.25">
      <c r="A86" s="33" t="s">
        <v>744</v>
      </c>
      <c r="B86" s="7">
        <v>4040</v>
      </c>
      <c r="C86" s="21" t="s">
        <v>227</v>
      </c>
      <c r="D86" s="21" t="s">
        <v>209</v>
      </c>
      <c r="E86" s="13">
        <v>42811.527777777781</v>
      </c>
      <c r="F86" s="13">
        <v>42811.531481481485</v>
      </c>
      <c r="G86" s="7">
        <v>1</v>
      </c>
      <c r="H86" s="21" t="s">
        <v>511</v>
      </c>
      <c r="I86" s="13">
        <v>42811.556064814817</v>
      </c>
      <c r="J86" s="7">
        <v>0</v>
      </c>
      <c r="K86" s="98" t="str">
        <f t="shared" si="24"/>
        <v>4039/4040</v>
      </c>
      <c r="L86" s="21" t="str">
        <f>VLOOKUP(A86,'Trips&amp;Operators'!$C$1:$G$99999,5,FALSE)</f>
        <v>STEWART MICHAEL</v>
      </c>
      <c r="M86" s="6">
        <f t="shared" si="25"/>
        <v>2.4583333331975155E-2</v>
      </c>
      <c r="N86" s="7">
        <f t="shared" si="23"/>
        <v>35.399999998044223</v>
      </c>
      <c r="O86" s="7"/>
      <c r="P86" s="7"/>
      <c r="Q86" s="22"/>
      <c r="R86" s="22"/>
      <c r="S86" s="31">
        <f t="shared" si="22"/>
        <v>1</v>
      </c>
      <c r="T86" s="46" t="str">
        <f t="shared" si="26"/>
        <v>NorthBound</v>
      </c>
      <c r="U86" s="185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86" t="str">
        <f t="shared" si="27"/>
        <v>https://d0f6bd738d7f1b3e5a7ca70fe4ff75f0.us-east-1.aws.found.io/app/kibana#/discover/Steve-Slow-Train-Analysis-(2080s-and-2083s)?_g=(refreshInterval:(display:Off,pause:!f,section:0,value:0),time:(from:'2017-03-17T11:40:00-0600',mode:absolute,to:'2017-03-17T14:20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86" s="187" t="str">
        <f t="shared" si="28"/>
        <v>N</v>
      </c>
      <c r="X86" s="187">
        <f t="shared" si="29"/>
        <v>1</v>
      </c>
      <c r="Y86" s="62">
        <f t="shared" si="30"/>
        <v>4.5699999999999998E-2</v>
      </c>
      <c r="Z86" s="62">
        <f t="shared" si="31"/>
        <v>23.328399999999998</v>
      </c>
      <c r="AA86" s="62">
        <f t="shared" si="32"/>
        <v>23.282699999999998</v>
      </c>
      <c r="AB86" s="59" t="e">
        <f>VLOOKUP(A86,Enforcements!$C$7:$K$13,8,0)</f>
        <v>#N/A</v>
      </c>
      <c r="AC86" s="55" t="e">
        <f>VLOOKUP(A86,Enforcements!$C$7:$E$13,3,0)</f>
        <v>#N/A</v>
      </c>
      <c r="AD86" s="56" t="str">
        <f t="shared" si="33"/>
        <v>0173-17</v>
      </c>
      <c r="AE86" s="85" t="str">
        <f t="shared" si="34"/>
        <v>aws s3 cp s3://rtdc.mdm.uploadarchive.raw/RTDC4040/ "%USERPROFILE%\AppData\Local\Temp\OnboardLogs"\RTDC4040\2017-03-17 --exclude "*" --recursive --include "*20170317*" &amp; "%USERPROFILE%\Documents\GitHub\mrs-test-scripts\Headless Mode &amp; Sideloading\WalkAndUnGZ.bat" "%USERPROFILE%\AppData\Local\Temp\OnboardLogs"\RTDC4040\2017-03-17 &amp; aws s3 cp s3://rtdc.mdm.uploadarchive.raw/RTDC4040/ "%USERPROFILE%\AppData\Local\Temp\OnboardLogs"\RTDC4040\2017-03-18 --exclude "*" --recursive --include "*20170318*" &amp; "%USERPROFILE%\Documents\GitHub\mrs-test-scripts\Headless Mode &amp; Sideloading\WalkAndUnGZ.bat" "%USERPROFILE%\AppData\Local\Temp\OnboardLogs"\RTDC4040\2017-03-18</v>
      </c>
      <c r="AF86" s="82" t="str">
        <f t="shared" si="35"/>
        <v>"C:\Program Files (x86)\AstroGrep\AstroGrep.exe" /e /r /s /spath="%USERPROFILE%\AppData\Local\Temp\OnboardLogs" /stypes="app*4040*20170317*" /stext=" 19:.+((SYSTEM_STATE.+slice.+state.+changed )|(ment ac)|(multiple cpu faults)|(system.+state.+changed )|(\[timeout)|(PRM\|1\|D)|(kpr)|(kdp)|(\|lc)|(penalty))"</v>
      </c>
      <c r="AG86" s="1" t="str">
        <f t="shared" si="36"/>
        <v>EC</v>
      </c>
      <c r="AH86" s="86" t="str">
        <f t="shared" si="37"/>
        <v>"%USERPROFILE%\Documents\GitHub\eaglep3\Utilities\RefineRTDCRunTimes.py" --tripid 173-17 --locoid 4040 --swversion DE.1.0.9.0 --startMP 204:457 --initTime 2017-03-17T12:40:00 --startdatetime 2017-03-17T12:45:20 --delay 1 --endMP 204:233284 --enddatetime 2017-03-17T13:20:44 --enforcementcount 0 &gt;&gt;C:\Users\stu\Documents\GitHub\eaglep3-reporting\EC\2017-03-17-refined-times.txt</v>
      </c>
      <c r="AI86" s="108" t="str">
        <f t="shared" si="38"/>
        <v>echo {"issue":{"subject":"","project_id":79,"tracker_id":40,"status_id":1,"priority_id":2,"assigned_to_id":23,"start_date":"2017-03-17","description":"","custom_fields":[{"id":1,"name":"Subdivision","value":"EC"},{"id":4,"name":"Milepost","value":"23.3284"},{"id":17,"name":"Train ID","value":"173-17"},{"id":16,"name":"Locomotive ID","value":"4040"},{"id":130,"name":"Impact","value":""},{"id":150,"name":"Time of Event (Mountain Time)","value":"13:20:44"},{"id":151,"name":"Denver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48"/>
      <c r="AK86" s="48"/>
      <c r="AL86" s="48"/>
      <c r="AM86" s="154" t="str">
        <f t="shared" si="39"/>
        <v>start /low /b %USERPROFILE%\Documents\GitHub\eaglep3\Utilities\DownloadLogsFromS3.py --loco 4040 --day 2017-03-17</v>
      </c>
      <c r="AN86" s="163" t="str">
        <f>"grep -SE -B400 ""CHR.+\|PRM\|1\|D.+(SWITCH|SIGNAL).+UNKNOWN"" "&amp;search_path&amp;"\RTDC"&amp;B86&amp;"\*"&amp;B86&amp;"*"&amp;TEXT(AVERAGE(F86,I86)-utc_offset/24,"YYYYMMDD")&amp;"*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"%USERPROFILE%\AppData\Local\Temp\OnboardLogs"\RTDC4040\*4040*20170317* | grep -SE "(Enforcement Action)|(\[TIMEOUT)|(CHR.+\|PRM\|1\|D.+(SWITCH|SIGNAL).+UNKNOWN)" - &gt;&gt; 2017-03-17-UncaughtWiMAX.txt</v>
      </c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20" customFormat="1" x14ac:dyDescent="0.25">
      <c r="A87" s="33" t="s">
        <v>629</v>
      </c>
      <c r="B87" s="7">
        <v>4039</v>
      </c>
      <c r="C87" s="21" t="s">
        <v>227</v>
      </c>
      <c r="D87" s="21" t="s">
        <v>513</v>
      </c>
      <c r="E87" s="13">
        <v>42811.56559027778</v>
      </c>
      <c r="F87" s="13">
        <v>42811.5703587963</v>
      </c>
      <c r="G87" s="7">
        <v>2</v>
      </c>
      <c r="H87" s="21" t="s">
        <v>581</v>
      </c>
      <c r="I87" s="13">
        <v>42811.597928240742</v>
      </c>
      <c r="J87" s="7">
        <v>0</v>
      </c>
      <c r="K87" s="98" t="str">
        <f t="shared" si="24"/>
        <v>4039/4040</v>
      </c>
      <c r="L87" s="21" t="str">
        <f>VLOOKUP(A87,'Trips&amp;Operators'!$C$1:$G$99999,5,FALSE)</f>
        <v>STEWART MICHAEL</v>
      </c>
      <c r="M87" s="6">
        <f t="shared" si="25"/>
        <v>2.7569444442633539E-2</v>
      </c>
      <c r="N87" s="7">
        <f t="shared" si="23"/>
        <v>39.699999997392297</v>
      </c>
      <c r="O87" s="7"/>
      <c r="P87" s="7"/>
      <c r="Q87" s="22"/>
      <c r="R87" s="22"/>
      <c r="S87" s="31">
        <f t="shared" si="22"/>
        <v>1</v>
      </c>
      <c r="T87" s="46" t="str">
        <f t="shared" si="26"/>
        <v>Southbound</v>
      </c>
      <c r="U87" s="185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86" t="str">
        <f t="shared" si="27"/>
        <v>https://d0f6bd738d7f1b3e5a7ca70fe4ff75f0.us-east-1.aws.found.io/app/kibana#/discover/Steve-Slow-Train-Analysis-(2080s-and-2083s)?_g=(refreshInterval:(display:Off,pause:!f,section:0,value:0),time:(from:'2017-03-17T12:34:27-0600',mode:absolute,to:'2017-03-17T15:21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87" s="187" t="str">
        <f t="shared" si="28"/>
        <v>N</v>
      </c>
      <c r="X87" s="187">
        <f t="shared" si="29"/>
        <v>1</v>
      </c>
      <c r="Y87" s="62">
        <f t="shared" si="30"/>
        <v>23.297799999999999</v>
      </c>
      <c r="Z87" s="62">
        <f t="shared" si="31"/>
        <v>1.7600000000000001E-2</v>
      </c>
      <c r="AA87" s="62">
        <f t="shared" si="32"/>
        <v>23.280199999999997</v>
      </c>
      <c r="AB87" s="59" t="e">
        <f>VLOOKUP(A87,Enforcements!$C$7:$K$13,8,0)</f>
        <v>#N/A</v>
      </c>
      <c r="AC87" s="55" t="e">
        <f>VLOOKUP(A87,Enforcements!$C$7:$E$13,3,0)</f>
        <v>#N/A</v>
      </c>
      <c r="AD87" s="56" t="str">
        <f t="shared" si="33"/>
        <v>0174-17</v>
      </c>
      <c r="AE87" s="85" t="str">
        <f t="shared" si="34"/>
        <v>aws s3 cp s3://rtdc.mdm.uploadarchive.raw/RTDC4039/ "%USERPROFILE%\AppData\Local\Temp\OnboardLogs"\RTDC4039\2017-03-17 --exclude "*" --recursive --include "*20170317*" &amp; "%USERPROFILE%\Documents\GitHub\mrs-test-scripts\Headless Mode &amp; Sideloading\WalkAndUnGZ.bat" "%USERPROFILE%\AppData\Local\Temp\OnboardLogs"\RTDC4039\2017-03-17 &amp; aws s3 cp s3://rtdc.mdm.uploadarchive.raw/RTDC4039/ "%USERPROFILE%\AppData\Local\Temp\OnboardLogs"\RTDC4039\2017-03-18 --exclude "*" --recursive --include "*20170318*" &amp; "%USERPROFILE%\Documents\GitHub\mrs-test-scripts\Headless Mode &amp; Sideloading\WalkAndUnGZ.bat" "%USERPROFILE%\AppData\Local\Temp\OnboardLogs"\RTDC4039\2017-03-18</v>
      </c>
      <c r="AF87" s="82" t="str">
        <f t="shared" si="35"/>
        <v>"C:\Program Files (x86)\AstroGrep\AstroGrep.exe" /e /r /s /spath="%USERPROFILE%\AppData\Local\Temp\OnboardLogs" /stypes="app*4039*20170317*" /stext=" 20:.+((SYSTEM_STATE.+slice.+state.+changed )|(ment ac)|(multiple cpu faults)|(system.+state.+changed )|(\[timeout)|(PRM\|1\|D)|(kpr)|(kdp)|(\|lc)|(penalty))"</v>
      </c>
      <c r="AG87" s="1" t="str">
        <f t="shared" si="36"/>
        <v>EC</v>
      </c>
      <c r="AH87" s="86" t="str">
        <f t="shared" si="37"/>
        <v>"%USERPROFILE%\Documents\GitHub\eaglep3\Utilities\RefineRTDCRunTimes.py" --tripid 174-17 --locoid 4039 --swversion DE.1.0.9.0 --startMP 204:232978 --initTime 2017-03-17T13:34:27 --startdatetime 2017-03-17T13:41:19 --delay 2 --endMP 204:176 --enddatetime 2017-03-17T14:21:01 --enforcementcount 0 &gt;&gt;C:\Users\stu\Documents\GitHub\eaglep3-reporting\EC\2017-03-17-refined-times.txt</v>
      </c>
      <c r="AI87" s="108" t="str">
        <f t="shared" si="38"/>
        <v>echo {"issue":{"subject":"","project_id":79,"tracker_id":40,"status_id":1,"priority_id":2,"assigned_to_id":23,"start_date":"2017-03-17","description":"","custom_fields":[{"id":1,"name":"Subdivision","value":"EC"},{"id":4,"name":"Milepost","value":"0.0176"},{"id":17,"name":"Train ID","value":"174-17"},{"id":16,"name":"Locomotive ID","value":"4039"},{"id":130,"name":"Impact","value":""},{"id":150,"name":"Time of Event (Mountain Time)","value":"14:21:01"},{"id":151,"name":"Denver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48"/>
      <c r="AK87" s="48"/>
      <c r="AL87" s="48"/>
      <c r="AM87" s="154" t="str">
        <f t="shared" si="39"/>
        <v>start /low /b %USERPROFILE%\Documents\GitHub\eaglep3\Utilities\DownloadLogsFromS3.py --loco 4039 --day 2017-03-17</v>
      </c>
      <c r="AN87" s="163" t="str">
        <f>"grep -SE -B400 ""CHR.+\|PRM\|1\|D.+(SWITCH|SIGNAL).+UNKNOWN"" "&amp;search_path&amp;"\RTDC"&amp;B87&amp;"\*"&amp;B87&amp;"*"&amp;TEXT(AVERAGE(F87,I87)-utc_offset/24,"YYYYMMDD")&amp;"*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"%USERPROFILE%\AppData\Local\Temp\OnboardLogs"\RTDC4039\*4039*20170317* | grep -SE "(Enforcement Action)|(\[TIMEOUT)|(CHR.+\|PRM\|1\|D.+(SWITCH|SIGNAL).+UNKNOWN)" - &gt;&gt; 2017-03-17-UncaughtWiMAX.txt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20" customFormat="1" x14ac:dyDescent="0.25">
      <c r="A88" s="33" t="s">
        <v>745</v>
      </c>
      <c r="B88" s="7">
        <v>4020</v>
      </c>
      <c r="C88" s="21" t="s">
        <v>227</v>
      </c>
      <c r="D88" s="21" t="s">
        <v>209</v>
      </c>
      <c r="E88" s="13">
        <v>42811.536238425928</v>
      </c>
      <c r="F88" s="13">
        <v>42811.541828703703</v>
      </c>
      <c r="G88" s="7">
        <v>1</v>
      </c>
      <c r="H88" s="21" t="s">
        <v>887</v>
      </c>
      <c r="I88" s="13">
        <v>42811.566840277781</v>
      </c>
      <c r="J88" s="7">
        <v>0</v>
      </c>
      <c r="K88" s="98" t="str">
        <f t="shared" si="24"/>
        <v>4019/4020</v>
      </c>
      <c r="L88" s="21" t="str">
        <f>VLOOKUP(A88,'Trips&amp;Operators'!$C$1:$G$99999,5,FALSE)</f>
        <v>ROMERO CHAD</v>
      </c>
      <c r="M88" s="6">
        <f t="shared" si="25"/>
        <v>2.5011574078234844E-2</v>
      </c>
      <c r="N88" s="7">
        <f t="shared" si="23"/>
        <v>36.016666672658175</v>
      </c>
      <c r="O88" s="7"/>
      <c r="P88" s="7"/>
      <c r="Q88" s="22"/>
      <c r="R88" s="22"/>
      <c r="S88" s="31">
        <f t="shared" si="22"/>
        <v>1</v>
      </c>
      <c r="T88" s="46" t="str">
        <f t="shared" si="26"/>
        <v>NorthBound</v>
      </c>
      <c r="U88" s="185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86" t="str">
        <f t="shared" si="27"/>
        <v>https://d0f6bd738d7f1b3e5a7ca70fe4ff75f0.us-east-1.aws.found.io/app/kibana#/discover/Steve-Slow-Train-Analysis-(2080s-and-2083s)?_g=(refreshInterval:(display:Off,pause:!f,section:0,value:0),time:(from:'2017-03-17T11:52:11-0600',mode:absolute,to:'2017-03-17T14:36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88" s="187" t="str">
        <f t="shared" si="28"/>
        <v>N</v>
      </c>
      <c r="X88" s="187">
        <f t="shared" si="29"/>
        <v>1</v>
      </c>
      <c r="Y88" s="62">
        <f t="shared" si="30"/>
        <v>4.5699999999999998E-2</v>
      </c>
      <c r="Z88" s="62">
        <f t="shared" si="31"/>
        <v>23.3383</v>
      </c>
      <c r="AA88" s="62">
        <f t="shared" si="32"/>
        <v>23.2926</v>
      </c>
      <c r="AB88" s="59" t="e">
        <f>VLOOKUP(A88,Enforcements!$C$7:$K$13,8,0)</f>
        <v>#N/A</v>
      </c>
      <c r="AC88" s="55" t="e">
        <f>VLOOKUP(A88,Enforcements!$C$7:$E$13,3,0)</f>
        <v>#N/A</v>
      </c>
      <c r="AD88" s="56" t="str">
        <f t="shared" si="33"/>
        <v>0175-17</v>
      </c>
      <c r="AE88" s="85" t="str">
        <f t="shared" si="34"/>
        <v>aws s3 cp s3://rtdc.mdm.uploadarchive.raw/RTDC4020/ "%USERPROFILE%\AppData\Local\Temp\OnboardLogs"\RTDC4020\2017-03-17 --exclude "*" --recursive --include "*20170317*" &amp; "%USERPROFILE%\Documents\GitHub\mrs-test-scripts\Headless Mode &amp; Sideloading\WalkAndUnGZ.bat" "%USERPROFILE%\AppData\Local\Temp\OnboardLogs"\RTDC4020\2017-03-17 &amp; aws s3 cp s3://rtdc.mdm.uploadarchive.raw/RTDC4020/ "%USERPROFILE%\AppData\Local\Temp\OnboardLogs"\RTDC4020\2017-03-18 --exclude "*" --recursive --include "*20170318*" &amp; "%USERPROFILE%\Documents\GitHub\mrs-test-scripts\Headless Mode &amp; Sideloading\WalkAndUnGZ.bat" "%USERPROFILE%\AppData\Local\Temp\OnboardLogs"\RTDC4020\2017-03-18</v>
      </c>
      <c r="AF88" s="82" t="str">
        <f t="shared" si="35"/>
        <v>"C:\Program Files (x86)\AstroGrep\AstroGrep.exe" /e /r /s /spath="%USERPROFILE%\AppData\Local\Temp\OnboardLogs" /stypes="app*4020*20170317*" /stext=" 19:.+((SYSTEM_STATE.+slice.+state.+changed )|(ment ac)|(multiple cpu faults)|(system.+state.+changed )|(\[timeout)|(PRM\|1\|D)|(kpr)|(kdp)|(\|lc)|(penalty))"</v>
      </c>
      <c r="AG88" s="1" t="str">
        <f t="shared" si="36"/>
        <v>EC</v>
      </c>
      <c r="AH88" s="86" t="str">
        <f t="shared" si="37"/>
        <v>"%USERPROFILE%\Documents\GitHub\eaglep3\Utilities\RefineRTDCRunTimes.py" --tripid 175-17 --locoid 4020 --swversion DE.1.0.9.0 --startMP 204:457 --initTime 2017-03-17T12:52:11 --startdatetime 2017-03-17T13:00:14 --delay 1 --endMP 204:233383 --enddatetime 2017-03-17T13:36:15 --enforcementcount 0 &gt;&gt;C:\Users\stu\Documents\GitHub\eaglep3-reporting\EC\2017-03-17-refined-times.txt</v>
      </c>
      <c r="AI88" s="108" t="str">
        <f t="shared" si="38"/>
        <v>echo {"issue":{"subject":"","project_id":79,"tracker_id":40,"status_id":1,"priority_id":2,"assigned_to_id":23,"start_date":"2017-03-17","description":"","custom_fields":[{"id":1,"name":"Subdivision","value":"EC"},{"id":4,"name":"Milepost","value":"23.3383"},{"id":17,"name":"Train ID","value":"175-17"},{"id":16,"name":"Locomotive ID","value":"4020"},{"id":130,"name":"Impact","value":""},{"id":150,"name":"Time of Event (Mountain Time)","value":"13:36:15"},{"id":151,"name":"Denver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48"/>
      <c r="AK88" s="48"/>
      <c r="AL88" s="48"/>
      <c r="AM88" s="154" t="str">
        <f t="shared" si="39"/>
        <v>start /low /b %USERPROFILE%\Documents\GitHub\eaglep3\Utilities\DownloadLogsFromS3.py --loco 4020 --day 2017-03-17</v>
      </c>
      <c r="AN88" s="163" t="str">
        <f>"grep -SE -B400 ""CHR.+\|PRM\|1\|D.+(SWITCH|SIGNAL).+UNKNOWN"" "&amp;search_path&amp;"\RTDC"&amp;B88&amp;"\*"&amp;B88&amp;"*"&amp;TEXT(AVERAGE(F88,I88)-utc_offset/24,"YYYYMMDD")&amp;"*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"%USERPROFILE%\AppData\Local\Temp\OnboardLogs"\RTDC4020\*4020*20170317* | grep -SE "(Enforcement Action)|(\[TIMEOUT)|(CHR.+\|PRM\|1\|D.+(SWITCH|SIGNAL).+UNKNOWN)" - &gt;&gt; 2017-03-17-UncaughtWiMAX.txt</v>
      </c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20" customFormat="1" x14ac:dyDescent="0.25">
      <c r="A89" s="33" t="s">
        <v>751</v>
      </c>
      <c r="B89" s="7">
        <v>4019</v>
      </c>
      <c r="C89" s="21" t="s">
        <v>227</v>
      </c>
      <c r="D89" s="21" t="s">
        <v>888</v>
      </c>
      <c r="E89" s="13">
        <v>42811.576365740744</v>
      </c>
      <c r="F89" s="13">
        <v>42811.580763888887</v>
      </c>
      <c r="G89" s="7">
        <v>1</v>
      </c>
      <c r="H89" s="21" t="s">
        <v>435</v>
      </c>
      <c r="I89" s="13">
        <v>42811.606550925928</v>
      </c>
      <c r="J89" s="7">
        <v>0</v>
      </c>
      <c r="K89" s="98" t="str">
        <f t="shared" si="24"/>
        <v>4019/4020</v>
      </c>
      <c r="L89" s="21" t="str">
        <f>VLOOKUP(A89,'Trips&amp;Operators'!$C$1:$G$99999,5,FALSE)</f>
        <v>ROMERO CHAD</v>
      </c>
      <c r="M89" s="6">
        <f t="shared" si="25"/>
        <v>2.5787037040572613E-2</v>
      </c>
      <c r="N89" s="7">
        <f t="shared" si="23"/>
        <v>37.133333338424563</v>
      </c>
      <c r="O89" s="7"/>
      <c r="P89" s="7"/>
      <c r="Q89" s="22"/>
      <c r="R89" s="22"/>
      <c r="S89" s="31">
        <f t="shared" ref="S89:S120" si="40">SUM(U89:U89)/IF(AG89="EC",12,1)</f>
        <v>1</v>
      </c>
      <c r="T89" s="46" t="str">
        <f t="shared" si="26"/>
        <v>Southbound</v>
      </c>
      <c r="U89" s="185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86" t="str">
        <f t="shared" si="27"/>
        <v>https://d0f6bd738d7f1b3e5a7ca70fe4ff75f0.us-east-1.aws.found.io/app/kibana#/discover/Steve-Slow-Train-Analysis-(2080s-and-2083s)?_g=(refreshInterval:(display:Off,pause:!f,section:0,value:0),time:(from:'2017-03-17T12:49:58-0600',mode:absolute,to:'2017-03-17T15:33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89" s="187" t="str">
        <f t="shared" si="28"/>
        <v>N</v>
      </c>
      <c r="X89" s="187">
        <f t="shared" si="29"/>
        <v>1</v>
      </c>
      <c r="Y89" s="62">
        <f t="shared" si="30"/>
        <v>23.3096</v>
      </c>
      <c r="Z89" s="62">
        <f t="shared" si="31"/>
        <v>1.32E-2</v>
      </c>
      <c r="AA89" s="62">
        <f t="shared" si="32"/>
        <v>23.296399999999998</v>
      </c>
      <c r="AB89" s="59" t="e">
        <f>VLOOKUP(A89,Enforcements!$C$7:$K$13,8,0)</f>
        <v>#N/A</v>
      </c>
      <c r="AC89" s="55" t="e">
        <f>VLOOKUP(A89,Enforcements!$C$7:$E$13,3,0)</f>
        <v>#N/A</v>
      </c>
      <c r="AD89" s="56" t="str">
        <f t="shared" si="33"/>
        <v>0176-17</v>
      </c>
      <c r="AE89" s="85" t="str">
        <f t="shared" si="34"/>
        <v>aws s3 cp s3://rtdc.mdm.uploadarchive.raw/RTDC4019/ "%USERPROFILE%\AppData\Local\Temp\OnboardLogs"\RTDC4019\2017-03-17 --exclude "*" --recursive --include "*20170317*" &amp; "%USERPROFILE%\Documents\GitHub\mrs-test-scripts\Headless Mode &amp; Sideloading\WalkAndUnGZ.bat" "%USERPROFILE%\AppData\Local\Temp\OnboardLogs"\RTDC4019\2017-03-17 &amp; aws s3 cp s3://rtdc.mdm.uploadarchive.raw/RTDC4019/ "%USERPROFILE%\AppData\Local\Temp\OnboardLogs"\RTDC4019\2017-03-18 --exclude "*" --recursive --include "*20170318*" &amp; "%USERPROFILE%\Documents\GitHub\mrs-test-scripts\Headless Mode &amp; Sideloading\WalkAndUnGZ.bat" "%USERPROFILE%\AppData\Local\Temp\OnboardLogs"\RTDC4019\2017-03-18</v>
      </c>
      <c r="AF89" s="82" t="str">
        <f t="shared" si="35"/>
        <v>"C:\Program Files (x86)\AstroGrep\AstroGrep.exe" /e /r /s /spath="%USERPROFILE%\AppData\Local\Temp\OnboardLogs" /stypes="app*4019*20170317*" /stext=" 20:.+((SYSTEM_STATE.+slice.+state.+changed )|(ment ac)|(multiple cpu faults)|(system.+state.+changed )|(\[timeout)|(PRM\|1\|D)|(kpr)|(kdp)|(\|lc)|(penalty))"</v>
      </c>
      <c r="AG89" s="1" t="str">
        <f t="shared" si="36"/>
        <v>EC</v>
      </c>
      <c r="AH89" s="86" t="str">
        <f t="shared" si="37"/>
        <v>"%USERPROFILE%\Documents\GitHub\eaglep3\Utilities\RefineRTDCRunTimes.py" --tripid 176-17 --locoid 4019 --swversion DE.1.0.9.0 --startMP 204:233096 --initTime 2017-03-17T13:49:58 --startdatetime 2017-03-17T13:56:18 --delay 1 --endMP 204:132 --enddatetime 2017-03-17T14:33:26 --enforcementcount 0 &gt;&gt;C:\Users\stu\Documents\GitHub\eaglep3-reporting\EC\2017-03-17-refined-times.txt</v>
      </c>
      <c r="AI89" s="108" t="str">
        <f t="shared" si="38"/>
        <v>echo {"issue":{"subject":"","project_id":79,"tracker_id":40,"status_id":1,"priority_id":2,"assigned_to_id":23,"start_date":"2017-03-17","description":"","custom_fields":[{"id":1,"name":"Subdivision","value":"EC"},{"id":4,"name":"Milepost","value":"0.0132"},{"id":17,"name":"Train ID","value":"176-17"},{"id":16,"name":"Locomotive ID","value":"4019"},{"id":130,"name":"Impact","value":""},{"id":150,"name":"Time of Event (Mountain Time)","value":"14:33:26"},{"id":151,"name":"Denver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48"/>
      <c r="AK89" s="48"/>
      <c r="AL89" s="48"/>
      <c r="AM89" s="154" t="str">
        <f t="shared" si="39"/>
        <v>start /low /b %USERPROFILE%\Documents\GitHub\eaglep3\Utilities\DownloadLogsFromS3.py --loco 4019 --day 2017-03-17</v>
      </c>
      <c r="AN89" s="163" t="str">
        <f>"grep -SE -B400 ""CHR.+\|PRM\|1\|D.+(SWITCH|SIGNAL).+UNKNOWN"" "&amp;search_path&amp;"\RTDC"&amp;B89&amp;"\*"&amp;B89&amp;"*"&amp;TEXT(AVERAGE(F89,I89)-utc_offset/24,"YYYYMMDD")&amp;"*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"%USERPROFILE%\AppData\Local\Temp\OnboardLogs"\RTDC4019\*4019*20170317* | grep -SE "(Enforcement Action)|(\[TIMEOUT)|(CHR.+\|PRM\|1\|D.+(SWITCH|SIGNAL).+UNKNOWN)" - &gt;&gt; 2017-03-17-UncaughtWiMAX.txt</v>
      </c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x14ac:dyDescent="0.25">
      <c r="A90" s="33" t="s">
        <v>748</v>
      </c>
      <c r="B90" s="7">
        <v>4002</v>
      </c>
      <c r="C90" s="21" t="s">
        <v>227</v>
      </c>
      <c r="D90" s="21" t="s">
        <v>889</v>
      </c>
      <c r="E90" s="13">
        <v>42811.548506944448</v>
      </c>
      <c r="F90" s="13">
        <v>42811.552256944444</v>
      </c>
      <c r="G90" s="7">
        <v>2</v>
      </c>
      <c r="H90" s="21" t="s">
        <v>562</v>
      </c>
      <c r="I90" s="13">
        <v>42811.578090277777</v>
      </c>
      <c r="J90" s="7">
        <v>0</v>
      </c>
      <c r="K90" s="98" t="str">
        <f t="shared" si="24"/>
        <v>4001/4002</v>
      </c>
      <c r="L90" s="21" t="str">
        <f>VLOOKUP(A90,'Trips&amp;Operators'!$C$1:$G$99999,5,FALSE)</f>
        <v>BRANDNER MELINDA</v>
      </c>
      <c r="M90" s="6">
        <f t="shared" si="25"/>
        <v>2.5833333333139308E-2</v>
      </c>
      <c r="N90" s="7">
        <f t="shared" si="23"/>
        <v>37.199999999720603</v>
      </c>
      <c r="O90" s="7"/>
      <c r="P90" s="7"/>
      <c r="Q90" s="22"/>
      <c r="R90" s="22"/>
      <c r="S90" s="31">
        <f t="shared" si="40"/>
        <v>1</v>
      </c>
      <c r="T90" s="46" t="str">
        <f t="shared" si="26"/>
        <v>NorthBound</v>
      </c>
      <c r="U90" s="185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86" t="str">
        <f t="shared" si="27"/>
        <v>https://d0f6bd738d7f1b3e5a7ca70fe4ff75f0.us-east-1.aws.found.io/app/kibana#/discover/Steve-Slow-Train-Analysis-(2080s-and-2083s)?_g=(refreshInterval:(display:Off,pause:!f,section:0,value:0),time:(from:'2017-03-17T12:09:51-0600',mode:absolute,to:'2017-03-17T14:52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90" s="187" t="str">
        <f t="shared" si="28"/>
        <v>N</v>
      </c>
      <c r="X90" s="187">
        <f t="shared" si="29"/>
        <v>1</v>
      </c>
      <c r="Y90" s="62">
        <f t="shared" si="30"/>
        <v>4.8000000000000001E-2</v>
      </c>
      <c r="Z90" s="62">
        <f t="shared" si="31"/>
        <v>23.330100000000002</v>
      </c>
      <c r="AA90" s="62">
        <f t="shared" si="32"/>
        <v>23.282100000000003</v>
      </c>
      <c r="AB90" s="59" t="e">
        <f>VLOOKUP(A90,Enforcements!$C$7:$K$13,8,0)</f>
        <v>#N/A</v>
      </c>
      <c r="AC90" s="55" t="e">
        <f>VLOOKUP(A90,Enforcements!$C$7:$E$13,3,0)</f>
        <v>#N/A</v>
      </c>
      <c r="AD90" s="56" t="str">
        <f t="shared" si="33"/>
        <v>0177-17</v>
      </c>
      <c r="AE90" s="85" t="str">
        <f t="shared" si="34"/>
        <v>aws s3 cp s3://rtdc.mdm.uploadarchive.raw/RTDC4002/ "%USERPROFILE%\AppData\Local\Temp\OnboardLogs"\RTDC4002\2017-03-17 --exclude "*" --recursive --include "*20170317*" &amp; "%USERPROFILE%\Documents\GitHub\mrs-test-scripts\Headless Mode &amp; Sideloading\WalkAndUnGZ.bat" "%USERPROFILE%\AppData\Local\Temp\OnboardLogs"\RTDC4002\2017-03-17 &amp; aws s3 cp s3://rtdc.mdm.uploadarchive.raw/RTDC4002/ "%USERPROFILE%\AppData\Local\Temp\OnboardLogs"\RTDC4002\2017-03-18 --exclude "*" --recursive --include "*20170318*" &amp; "%USERPROFILE%\Documents\GitHub\mrs-test-scripts\Headless Mode &amp; Sideloading\WalkAndUnGZ.bat" "%USERPROFILE%\AppData\Local\Temp\OnboardLogs"\RTDC4002\2017-03-18</v>
      </c>
      <c r="AF90" s="82" t="str">
        <f t="shared" si="35"/>
        <v>"C:\Program Files (x86)\AstroGrep\AstroGrep.exe" /e /r /s /spath="%USERPROFILE%\AppData\Local\Temp\OnboardLogs" /stypes="app*4002*20170317*" /stext=" 19:.+((SYSTEM_STATE.+slice.+state.+changed )|(ment ac)|(multiple cpu faults)|(system.+state.+changed )|(\[timeout)|(PRM\|1\|D)|(kpr)|(kdp)|(\|lc)|(penalty))"</v>
      </c>
      <c r="AG90" s="1" t="str">
        <f t="shared" si="36"/>
        <v>EC</v>
      </c>
      <c r="AH90" s="86" t="str">
        <f t="shared" si="37"/>
        <v>"%USERPROFILE%\Documents\GitHub\eaglep3\Utilities\RefineRTDCRunTimes.py" --tripid 177-17 --locoid 4002 --swversion DE.1.0.9.0 --startMP 204:480 --initTime 2017-03-17T13:09:51 --startdatetime 2017-03-17T13:15:15 --delay 2 --endMP 204:233301 --enddatetime 2017-03-17T13:52:27 --enforcementcount 0 &gt;&gt;C:\Users\stu\Documents\GitHub\eaglep3-reporting\EC\2017-03-17-refined-times.txt</v>
      </c>
      <c r="AI90" s="108" t="str">
        <f t="shared" si="38"/>
        <v>echo {"issue":{"subject":"","project_id":79,"tracker_id":40,"status_id":1,"priority_id":2,"assigned_to_id":23,"start_date":"2017-03-17","description":"","custom_fields":[{"id":1,"name":"Subdivision","value":"EC"},{"id":4,"name":"Milepost","value":"23.3301"},{"id":17,"name":"Train ID","value":"177-17"},{"id":16,"name":"Locomotive ID","value":"4002"},{"id":130,"name":"Impact","value":""},{"id":150,"name":"Time of Event (Mountain Time)","value":"13:52:27"},{"id":151,"name":"Denver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48"/>
      <c r="AK90" s="48"/>
      <c r="AL90" s="48"/>
      <c r="AM90" s="154" t="str">
        <f t="shared" si="39"/>
        <v>start /low /b %USERPROFILE%\Documents\GitHub\eaglep3\Utilities\DownloadLogsFromS3.py --loco 4002 --day 2017-03-17</v>
      </c>
      <c r="AN90" s="163" t="str">
        <f>"grep -SE -B400 ""CHR.+\|PRM\|1\|D.+(SWITCH|SIGNAL).+UNKNOWN"" "&amp;search_path&amp;"\RTDC"&amp;B90&amp;"\*"&amp;B90&amp;"*"&amp;TEXT(AVERAGE(F90,I90)-utc_offset/24,"YYYYMMDD")&amp;"*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"%USERPROFILE%\AppData\Local\Temp\OnboardLogs"\RTDC4002\*4002*20170317* | grep -SE "(Enforcement Action)|(\[TIMEOUT)|(CHR.+\|PRM\|1\|D.+(SWITCH|SIGNAL).+UNKNOWN)" - &gt;&gt; 2017-03-17-UncaughtWiMAX.txt</v>
      </c>
    </row>
    <row r="91" spans="1:91" s="20" customFormat="1" x14ac:dyDescent="0.25">
      <c r="A91" s="33" t="s">
        <v>755</v>
      </c>
      <c r="B91" s="7">
        <v>4001</v>
      </c>
      <c r="C91" s="21" t="s">
        <v>227</v>
      </c>
      <c r="D91" s="21" t="s">
        <v>434</v>
      </c>
      <c r="E91" s="13">
        <v>42811.586365740739</v>
      </c>
      <c r="F91" s="13">
        <v>42811.591423611113</v>
      </c>
      <c r="G91" s="7">
        <v>2</v>
      </c>
      <c r="H91" s="21" t="s">
        <v>479</v>
      </c>
      <c r="I91" s="13">
        <v>42811.622534722221</v>
      </c>
      <c r="J91" s="7">
        <v>0</v>
      </c>
      <c r="K91" s="98" t="str">
        <f t="shared" si="24"/>
        <v>4001/4002</v>
      </c>
      <c r="L91" s="21" t="str">
        <f>VLOOKUP(A91,'Trips&amp;Operators'!$C$1:$G$99999,5,FALSE)</f>
        <v>BRANDNER MELINDA</v>
      </c>
      <c r="M91" s="6">
        <f t="shared" si="25"/>
        <v>3.1111111107748002E-2</v>
      </c>
      <c r="N91" s="7">
        <f t="shared" si="23"/>
        <v>44.799999995157123</v>
      </c>
      <c r="O91" s="7"/>
      <c r="P91" s="7"/>
      <c r="Q91" s="22"/>
      <c r="R91" s="22"/>
      <c r="S91" s="31">
        <f t="shared" si="40"/>
        <v>1</v>
      </c>
      <c r="T91" s="46" t="str">
        <f t="shared" si="26"/>
        <v>Southbound</v>
      </c>
      <c r="U91" s="185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86" t="str">
        <f t="shared" si="27"/>
        <v>https://d0f6bd738d7f1b3e5a7ca70fe4ff75f0.us-east-1.aws.found.io/app/kibana#/discover/Steve-Slow-Train-Analysis-(2080s-and-2083s)?_g=(refreshInterval:(display:Off,pause:!f,section:0,value:0),time:(from:'2017-03-17T13:04:22-0600',mode:absolute,to:'2017-03-17T15:56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91" s="187" t="str">
        <f t="shared" si="28"/>
        <v>N</v>
      </c>
      <c r="X91" s="187">
        <f t="shared" si="29"/>
        <v>1</v>
      </c>
      <c r="Y91" s="62">
        <f t="shared" si="30"/>
        <v>23.297699999999999</v>
      </c>
      <c r="Z91" s="62">
        <f t="shared" si="31"/>
        <v>1.4500000000000001E-2</v>
      </c>
      <c r="AA91" s="62">
        <f t="shared" si="32"/>
        <v>23.283199999999997</v>
      </c>
      <c r="AB91" s="59" t="e">
        <f>VLOOKUP(A91,Enforcements!$C$7:$K$13,8,0)</f>
        <v>#N/A</v>
      </c>
      <c r="AC91" s="55" t="e">
        <f>VLOOKUP(A91,Enforcements!$C$7:$E$13,3,0)</f>
        <v>#N/A</v>
      </c>
      <c r="AD91" s="56" t="str">
        <f t="shared" si="33"/>
        <v>0178-17</v>
      </c>
      <c r="AE91" s="85" t="str">
        <f t="shared" si="34"/>
        <v>aws s3 cp s3://rtdc.mdm.uploadarchive.raw/RTDC4001/ "%USERPROFILE%\AppData\Local\Temp\OnboardLogs"\RTDC4001\2017-03-17 --exclude "*" --recursive --include "*20170317*" &amp; "%USERPROFILE%\Documents\GitHub\mrs-test-scripts\Headless Mode &amp; Sideloading\WalkAndUnGZ.bat" "%USERPROFILE%\AppData\Local\Temp\OnboardLogs"\RTDC4001\2017-03-17 &amp; aws s3 cp s3://rtdc.mdm.uploadarchive.raw/RTDC4001/ "%USERPROFILE%\AppData\Local\Temp\OnboardLogs"\RTDC4001\2017-03-18 --exclude "*" --recursive --include "*20170318*" &amp; "%USERPROFILE%\Documents\GitHub\mrs-test-scripts\Headless Mode &amp; Sideloading\WalkAndUnGZ.bat" "%USERPROFILE%\AppData\Local\Temp\OnboardLogs"\RTDC4001\2017-03-18</v>
      </c>
      <c r="AF91" s="82" t="str">
        <f t="shared" si="35"/>
        <v>"C:\Program Files (x86)\AstroGrep\AstroGrep.exe" /e /r /s /spath="%USERPROFILE%\AppData\Local\Temp\OnboardLogs" /stypes="app*4001*20170317*" /stext=" 20:.+((SYSTEM_STATE.+slice.+state.+changed )|(ment ac)|(multiple cpu faults)|(system.+state.+changed )|(\[timeout)|(PRM\|1\|D)|(kpr)|(kdp)|(\|lc)|(penalty))"</v>
      </c>
      <c r="AG91" s="1" t="str">
        <f t="shared" si="36"/>
        <v>EC</v>
      </c>
      <c r="AH91" s="86" t="str">
        <f t="shared" si="37"/>
        <v>"%USERPROFILE%\Documents\GitHub\eaglep3\Utilities\RefineRTDCRunTimes.py" --tripid 178-17 --locoid 4001 --swversion DE.1.0.9.0 --startMP 204:232977 --initTime 2017-03-17T14:04:22 --startdatetime 2017-03-17T14:11:39 --delay 2 --endMP 204:145 --enddatetime 2017-03-17T14:56:27 --enforcementcount 0 &gt;&gt;C:\Users\stu\Documents\GitHub\eaglep3-reporting\EC\2017-03-17-refined-times.txt</v>
      </c>
      <c r="AI91" s="108" t="str">
        <f t="shared" si="38"/>
        <v>echo {"issue":{"subject":"","project_id":79,"tracker_id":40,"status_id":1,"priority_id":2,"assigned_to_id":23,"start_date":"2017-03-17","description":"","custom_fields":[{"id":1,"name":"Subdivision","value":"EC"},{"id":4,"name":"Milepost","value":"0.0145"},{"id":17,"name":"Train ID","value":"178-17"},{"id":16,"name":"Locomotive ID","value":"4001"},{"id":130,"name":"Impact","value":""},{"id":150,"name":"Time of Event (Mountain Time)","value":"14:56:27"},{"id":151,"name":"Denver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48"/>
      <c r="AK91" s="48"/>
      <c r="AL91" s="48"/>
      <c r="AM91" s="154" t="str">
        <f t="shared" si="39"/>
        <v>start /low /b %USERPROFILE%\Documents\GitHub\eaglep3\Utilities\DownloadLogsFromS3.py --loco 4001 --day 2017-03-17</v>
      </c>
      <c r="AN91" s="163" t="str">
        <f>"grep -SE -B400 ""CHR.+\|PRM\|1\|D.+(SWITCH|SIGNAL).+UNKNOWN"" "&amp;search_path&amp;"\RTDC"&amp;B91&amp;"\*"&amp;B91&amp;"*"&amp;TEXT(AVERAGE(F91,I91)-utc_offset/24,"YYYYMMDD")&amp;"*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"%USERPROFILE%\AppData\Local\Temp\OnboardLogs"\RTDC4001\*4001*20170317* | grep -SE "(Enforcement Action)|(\[TIMEOUT)|(CHR.+\|PRM\|1\|D.+(SWITCH|SIGNAL).+UNKNOWN)" - &gt;&gt; 2017-03-17-UncaughtWiMAX.txt</v>
      </c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20" customFormat="1" x14ac:dyDescent="0.25">
      <c r="A92" s="33" t="s">
        <v>750</v>
      </c>
      <c r="B92" s="7">
        <v>4018</v>
      </c>
      <c r="C92" s="21" t="s">
        <v>227</v>
      </c>
      <c r="D92" s="21" t="s">
        <v>228</v>
      </c>
      <c r="E92" s="13">
        <v>42811.557511574072</v>
      </c>
      <c r="F92" s="13">
        <v>42811.562743055554</v>
      </c>
      <c r="G92" s="7">
        <v>1</v>
      </c>
      <c r="H92" s="21" t="s">
        <v>523</v>
      </c>
      <c r="I92" s="13">
        <v>42811.587592592594</v>
      </c>
      <c r="J92" s="7">
        <v>0</v>
      </c>
      <c r="K92" s="98" t="str">
        <f t="shared" si="24"/>
        <v>4017/4018</v>
      </c>
      <c r="L92" s="21" t="str">
        <f>VLOOKUP(A92,'Trips&amp;Operators'!$C$1:$G$99999,5,FALSE)</f>
        <v>BRUDER RICHARD</v>
      </c>
      <c r="M92" s="6">
        <f t="shared" si="25"/>
        <v>2.4849537039699499E-2</v>
      </c>
      <c r="N92" s="7">
        <f t="shared" si="23"/>
        <v>35.783333337167278</v>
      </c>
      <c r="O92" s="7"/>
      <c r="P92" s="7"/>
      <c r="Q92" s="22"/>
      <c r="R92" s="22"/>
      <c r="S92" s="31">
        <f t="shared" si="40"/>
        <v>1</v>
      </c>
      <c r="T92" s="46" t="str">
        <f t="shared" si="26"/>
        <v>NorthBound</v>
      </c>
      <c r="U92" s="185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86" t="str">
        <f t="shared" si="27"/>
        <v>https://d0f6bd738d7f1b3e5a7ca70fe4ff75f0.us-east-1.aws.found.io/app/kibana#/discover/Steve-Slow-Train-Analysis-(2080s-and-2083s)?_g=(refreshInterval:(display:Off,pause:!f,section:0,value:0),time:(from:'2017-03-17T12:22:49-0600',mode:absolute,to:'2017-03-17T15:06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92" s="187" t="str">
        <f t="shared" si="28"/>
        <v>N</v>
      </c>
      <c r="X92" s="187">
        <f t="shared" si="29"/>
        <v>1</v>
      </c>
      <c r="Y92" s="62">
        <f t="shared" si="30"/>
        <v>4.58E-2</v>
      </c>
      <c r="Z92" s="62">
        <f t="shared" si="31"/>
        <v>23.3308</v>
      </c>
      <c r="AA92" s="62">
        <f t="shared" si="32"/>
        <v>23.285</v>
      </c>
      <c r="AB92" s="59" t="e">
        <f>VLOOKUP(A92,Enforcements!$C$7:$K$13,8,0)</f>
        <v>#N/A</v>
      </c>
      <c r="AC92" s="55" t="e">
        <f>VLOOKUP(A92,Enforcements!$C$7:$E$13,3,0)</f>
        <v>#N/A</v>
      </c>
      <c r="AD92" s="56" t="str">
        <f t="shared" si="33"/>
        <v>0179-17</v>
      </c>
      <c r="AE92" s="85" t="str">
        <f t="shared" si="34"/>
        <v>aws s3 cp s3://rtdc.mdm.uploadarchive.raw/RTDC4018/ "%USERPROFILE%\AppData\Local\Temp\OnboardLogs"\RTDC4018\2017-03-17 --exclude "*" --recursive --include "*20170317*" &amp; "%USERPROFILE%\Documents\GitHub\mrs-test-scripts\Headless Mode &amp; Sideloading\WalkAndUnGZ.bat" "%USERPROFILE%\AppData\Local\Temp\OnboardLogs"\RTDC4018\2017-03-17 &amp; aws s3 cp s3://rtdc.mdm.uploadarchive.raw/RTDC4018/ "%USERPROFILE%\AppData\Local\Temp\OnboardLogs"\RTDC4018\2017-03-18 --exclude "*" --recursive --include "*20170318*" &amp; "%USERPROFILE%\Documents\GitHub\mrs-test-scripts\Headless Mode &amp; Sideloading\WalkAndUnGZ.bat" "%USERPROFILE%\AppData\Local\Temp\OnboardLogs"\RTDC4018\2017-03-18</v>
      </c>
      <c r="AF92" s="82" t="str">
        <f t="shared" si="35"/>
        <v>"C:\Program Files (x86)\AstroGrep\AstroGrep.exe" /e /r /s /spath="%USERPROFILE%\AppData\Local\Temp\OnboardLogs" /stypes="app*4018*20170317*" /stext=" 20:.+((SYSTEM_STATE.+slice.+state.+changed )|(ment ac)|(multiple cpu faults)|(system.+state.+changed )|(\[timeout)|(PRM\|1\|D)|(kpr)|(kdp)|(\|lc)|(penalty))"</v>
      </c>
      <c r="AG92" s="1" t="str">
        <f t="shared" si="36"/>
        <v>EC</v>
      </c>
      <c r="AH92" s="86" t="str">
        <f t="shared" si="37"/>
        <v>"%USERPROFILE%\Documents\GitHub\eaglep3\Utilities\RefineRTDCRunTimes.py" --tripid 179-17 --locoid 4018 --swversion DE.1.0.9.0 --startMP 204:458 --initTime 2017-03-17T13:22:49 --startdatetime 2017-03-17T13:30:21 --delay 1 --endMP 204:233308 --enddatetime 2017-03-17T14:06:08 --enforcementcount 0 &gt;&gt;C:\Users\stu\Documents\GitHub\eaglep3-reporting\EC\2017-03-17-refined-times.txt</v>
      </c>
      <c r="AI92" s="108" t="str">
        <f t="shared" si="38"/>
        <v>echo {"issue":{"subject":"","project_id":79,"tracker_id":40,"status_id":1,"priority_id":2,"assigned_to_id":23,"start_date":"2017-03-17","description":"","custom_fields":[{"id":1,"name":"Subdivision","value":"EC"},{"id":4,"name":"Milepost","value":"23.3308"},{"id":17,"name":"Train ID","value":"179-17"},{"id":16,"name":"Locomotive ID","value":"4018"},{"id":130,"name":"Impact","value":""},{"id":150,"name":"Time of Event (Mountain Time)","value":"14:06:08"},{"id":151,"name":"Denver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48"/>
      <c r="AK92" s="48"/>
      <c r="AL92" s="48"/>
      <c r="AM92" s="154" t="str">
        <f t="shared" si="39"/>
        <v>start /low /b %USERPROFILE%\Documents\GitHub\eaglep3\Utilities\DownloadLogsFromS3.py --loco 4018 --day 2017-03-17</v>
      </c>
      <c r="AN92" s="163" t="str">
        <f>"grep -SE -B400 ""CHR.+\|PRM\|1\|D.+(SWITCH|SIGNAL).+UNKNOWN"" "&amp;search_path&amp;"\RTDC"&amp;B92&amp;"\*"&amp;B92&amp;"*"&amp;TEXT(AVERAGE(F92,I92)-utc_offset/24,"YYYYMMDD")&amp;"*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"%USERPROFILE%\AppData\Local\Temp\OnboardLogs"\RTDC4018\*4018*20170317* | grep -SE "(Enforcement Action)|(\[TIMEOUT)|(CHR.+\|PRM\|1\|D.+(SWITCH|SIGNAL).+UNKNOWN)" - &gt;&gt; 2017-03-17-UncaughtWiMAX.txt</v>
      </c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20" customFormat="1" x14ac:dyDescent="0.25">
      <c r="A93" s="33" t="s">
        <v>757</v>
      </c>
      <c r="B93" s="7">
        <v>4017</v>
      </c>
      <c r="C93" s="21" t="s">
        <v>227</v>
      </c>
      <c r="D93" s="21" t="s">
        <v>437</v>
      </c>
      <c r="E93" s="13">
        <v>42811.596620370372</v>
      </c>
      <c r="F93" s="13">
        <v>42811.601631944446</v>
      </c>
      <c r="G93" s="7">
        <v>1</v>
      </c>
      <c r="H93" s="21" t="s">
        <v>512</v>
      </c>
      <c r="I93" s="13">
        <v>42811.632395833331</v>
      </c>
      <c r="J93" s="7">
        <v>0</v>
      </c>
      <c r="K93" s="98" t="str">
        <f t="shared" si="24"/>
        <v>4017/4018</v>
      </c>
      <c r="L93" s="21" t="str">
        <f>VLOOKUP(A93,'Trips&amp;Operators'!$C$1:$G$99999,5,FALSE)</f>
        <v>BRUDER RICHARD</v>
      </c>
      <c r="M93" s="6">
        <f t="shared" si="25"/>
        <v>3.0763888884393964E-2</v>
      </c>
      <c r="N93" s="7">
        <f t="shared" si="23"/>
        <v>44.299999993527308</v>
      </c>
      <c r="O93" s="7"/>
      <c r="P93" s="7"/>
      <c r="Q93" s="22"/>
      <c r="R93" s="22"/>
      <c r="S93" s="31">
        <f t="shared" si="40"/>
        <v>1</v>
      </c>
      <c r="T93" s="46" t="str">
        <f t="shared" si="26"/>
        <v>Southbound</v>
      </c>
      <c r="U93" s="185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86" t="str">
        <f t="shared" si="27"/>
        <v>https://d0f6bd738d7f1b3e5a7ca70fe4ff75f0.us-east-1.aws.found.io/app/kibana#/discover/Steve-Slow-Train-Analysis-(2080s-and-2083s)?_g=(refreshInterval:(display:Off,pause:!f,section:0,value:0),time:(from:'2017-03-17T13:19:08-0600',mode:absolute,to:'2017-03-17T16:10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93" s="187" t="str">
        <f t="shared" si="28"/>
        <v>N</v>
      </c>
      <c r="X93" s="187">
        <f t="shared" si="29"/>
        <v>1</v>
      </c>
      <c r="Y93" s="62">
        <f t="shared" si="30"/>
        <v>23.2987</v>
      </c>
      <c r="Z93" s="62">
        <f t="shared" si="31"/>
        <v>1.43E-2</v>
      </c>
      <c r="AA93" s="62">
        <f t="shared" si="32"/>
        <v>23.284400000000002</v>
      </c>
      <c r="AB93" s="59" t="e">
        <f>VLOOKUP(A93,Enforcements!$C$7:$K$13,8,0)</f>
        <v>#N/A</v>
      </c>
      <c r="AC93" s="55" t="e">
        <f>VLOOKUP(A93,Enforcements!$C$7:$E$13,3,0)</f>
        <v>#N/A</v>
      </c>
      <c r="AD93" s="56" t="str">
        <f t="shared" si="33"/>
        <v>0180-17</v>
      </c>
      <c r="AE93" s="85" t="str">
        <f t="shared" si="34"/>
        <v>aws s3 cp s3://rtdc.mdm.uploadarchive.raw/RTDC4017/ "%USERPROFILE%\AppData\Local\Temp\OnboardLogs"\RTDC4017\2017-03-17 --exclude "*" --recursive --include "*20170317*" &amp; "%USERPROFILE%\Documents\GitHub\mrs-test-scripts\Headless Mode &amp; Sideloading\WalkAndUnGZ.bat" "%USERPROFILE%\AppData\Local\Temp\OnboardLogs"\RTDC4017\2017-03-17 &amp; aws s3 cp s3://rtdc.mdm.uploadarchive.raw/RTDC4017/ "%USERPROFILE%\AppData\Local\Temp\OnboardLogs"\RTDC4017\2017-03-18 --exclude "*" --recursive --include "*20170318*" &amp; "%USERPROFILE%\Documents\GitHub\mrs-test-scripts\Headless Mode &amp; Sideloading\WalkAndUnGZ.bat" "%USERPROFILE%\AppData\Local\Temp\OnboardLogs"\RTDC4017\2017-03-18</v>
      </c>
      <c r="AF93" s="82" t="str">
        <f t="shared" si="35"/>
        <v>"C:\Program Files (x86)\AstroGrep\AstroGrep.exe" /e /r /s /spath="%USERPROFILE%\AppData\Local\Temp\OnboardLogs" /stypes="app*4017*20170317*" /stext=" 21:.+((SYSTEM_STATE.+slice.+state.+changed )|(ment ac)|(multiple cpu faults)|(system.+state.+changed )|(\[timeout)|(PRM\|1\|D)|(kpr)|(kdp)|(\|lc)|(penalty))"</v>
      </c>
      <c r="AG93" s="1" t="str">
        <f t="shared" si="36"/>
        <v>EC</v>
      </c>
      <c r="AH93" s="86" t="str">
        <f t="shared" si="37"/>
        <v>"%USERPROFILE%\Documents\GitHub\eaglep3\Utilities\RefineRTDCRunTimes.py" --tripid 180-17 --locoid 4017 --swversion DE.1.0.9.0 --startMP 204:232987 --initTime 2017-03-17T14:19:08 --startdatetime 2017-03-17T14:26:21 --delay 1 --endMP 204:143 --enddatetime 2017-03-17T15:10:39 --enforcementcount 0 &gt;&gt;C:\Users\stu\Documents\GitHub\eaglep3-reporting\EC\2017-03-17-refined-times.txt</v>
      </c>
      <c r="AI93" s="108" t="str">
        <f t="shared" si="38"/>
        <v>echo {"issue":{"subject":"","project_id":79,"tracker_id":40,"status_id":1,"priority_id":2,"assigned_to_id":23,"start_date":"2017-03-17","description":"","custom_fields":[{"id":1,"name":"Subdivision","value":"EC"},{"id":4,"name":"Milepost","value":"0.0143"},{"id":17,"name":"Train ID","value":"180-17"},{"id":16,"name":"Locomotive ID","value":"4017"},{"id":130,"name":"Impact","value":""},{"id":150,"name":"Time of Event (Mountain Time)","value":"15:10:39"},{"id":151,"name":"Denver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48"/>
      <c r="AK93" s="48"/>
      <c r="AL93" s="48"/>
      <c r="AM93" s="154" t="str">
        <f t="shared" si="39"/>
        <v>start /low /b %USERPROFILE%\Documents\GitHub\eaglep3\Utilities\DownloadLogsFromS3.py --loco 4017 --day 2017-03-17</v>
      </c>
      <c r="AN93" s="163" t="str">
        <f>"grep -SE -B400 ""CHR.+\|PRM\|1\|D.+(SWITCH|SIGNAL).+UNKNOWN"" "&amp;search_path&amp;"\RTDC"&amp;B93&amp;"\*"&amp;B93&amp;"*"&amp;TEXT(AVERAGE(F93,I93)-utc_offset/24,"YYYYMMDD")&amp;"*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"%USERPROFILE%\AppData\Local\Temp\OnboardLogs"\RTDC4017\*4017*20170317* | grep -SE "(Enforcement Action)|(\[TIMEOUT)|(CHR.+\|PRM\|1\|D.+(SWITCH|SIGNAL).+UNKNOWN)" - &gt;&gt; 2017-03-17-UncaughtWiMAX.txt</v>
      </c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20" customFormat="1" x14ac:dyDescent="0.25">
      <c r="A94" s="33" t="s">
        <v>625</v>
      </c>
      <c r="B94" s="7">
        <v>4053</v>
      </c>
      <c r="C94" s="21" t="s">
        <v>227</v>
      </c>
      <c r="D94" s="21" t="s">
        <v>209</v>
      </c>
      <c r="E94" s="13">
        <v>42811.570601851854</v>
      </c>
      <c r="F94" s="13">
        <v>42811.573113425926</v>
      </c>
      <c r="G94" s="7">
        <v>0</v>
      </c>
      <c r="H94" s="21" t="s">
        <v>890</v>
      </c>
      <c r="I94" s="13">
        <v>42811.597685185188</v>
      </c>
      <c r="J94" s="7">
        <v>0</v>
      </c>
      <c r="K94" s="98" t="str">
        <f t="shared" si="24"/>
        <v>4053/4054</v>
      </c>
      <c r="L94" s="21" t="str">
        <f>VLOOKUP(A94,'Trips&amp;Operators'!$C$1:$G$99999,5,FALSE)</f>
        <v>HELVIE ADAM</v>
      </c>
      <c r="M94" s="6">
        <f t="shared" si="25"/>
        <v>2.457175926247146E-2</v>
      </c>
      <c r="N94" s="7">
        <f t="shared" si="23"/>
        <v>35.383333337958902</v>
      </c>
      <c r="O94" s="7"/>
      <c r="P94" s="7"/>
      <c r="Q94" s="22"/>
      <c r="R94" s="22"/>
      <c r="S94" s="31">
        <f t="shared" si="40"/>
        <v>1</v>
      </c>
      <c r="T94" s="46" t="str">
        <f t="shared" si="26"/>
        <v>NorthBound</v>
      </c>
      <c r="U94" s="185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86" t="str">
        <f t="shared" si="27"/>
        <v>https://d0f6bd738d7f1b3e5a7ca70fe4ff75f0.us-east-1.aws.found.io/app/kibana#/discover/Steve-Slow-Train-Analysis-(2080s-and-2083s)?_g=(refreshInterval:(display:Off,pause:!f,section:0,value:0),time:(from:'2017-03-17T12:41:40-0600',mode:absolute,to:'2017-03-17T15:20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94" s="187" t="str">
        <f t="shared" si="28"/>
        <v>N</v>
      </c>
      <c r="X94" s="187">
        <f t="shared" si="29"/>
        <v>1</v>
      </c>
      <c r="Y94" s="62">
        <f t="shared" si="30"/>
        <v>4.5699999999999998E-2</v>
      </c>
      <c r="Z94" s="62">
        <f t="shared" si="31"/>
        <v>23.3278</v>
      </c>
      <c r="AA94" s="62">
        <f t="shared" si="32"/>
        <v>23.2821</v>
      </c>
      <c r="AB94" s="59" t="str">
        <f>VLOOKUP(A94,Enforcements!$C$7:$K$13,8,0)</f>
        <v>Bulletin (2)</v>
      </c>
      <c r="AC94" s="55" t="str">
        <f>VLOOKUP(A94,Enforcements!$C$7:$E$13,3,0)</f>
        <v>GRADE CROSSING</v>
      </c>
      <c r="AD94" s="56" t="str">
        <f t="shared" si="33"/>
        <v>0181-17</v>
      </c>
      <c r="AE94" s="85" t="str">
        <f t="shared" si="34"/>
        <v>aws s3 cp s3://rtdc.mdm.uploadarchive.raw/RTDC4053/ "%USERPROFILE%\AppData\Local\Temp\OnboardLogs"\RTDC4053\2017-03-17 --exclude "*" --recursive --include "*20170317*" &amp; "%USERPROFILE%\Documents\GitHub\mrs-test-scripts\Headless Mode &amp; Sideloading\WalkAndUnGZ.bat" "%USERPROFILE%\AppData\Local\Temp\OnboardLogs"\RTDC4053\2017-03-17 &amp; aws s3 cp s3://rtdc.mdm.uploadarchive.raw/RTDC4053/ "%USERPROFILE%\AppData\Local\Temp\OnboardLogs"\RTDC4053\2017-03-18 --exclude "*" --recursive --include "*20170318*" &amp; "%USERPROFILE%\Documents\GitHub\mrs-test-scripts\Headless Mode &amp; Sideloading\WalkAndUnGZ.bat" "%USERPROFILE%\AppData\Local\Temp\OnboardLogs"\RTDC4053\2017-03-18</v>
      </c>
      <c r="AF94" s="82" t="str">
        <f t="shared" si="35"/>
        <v>"C:\Program Files (x86)\AstroGrep\AstroGrep.exe" /e /r /s /spath="%USERPROFILE%\AppData\Local\Temp\OnboardLogs" /stypes="app*4053*20170317*" /stext=" 20:.+((SYSTEM_STATE.+slice.+state.+changed )|(ment ac)|(multiple cpu faults)|(system.+state.+changed )|(\[timeout)|(PRM\|1\|D)|(kpr)|(kdp)|(\|lc)|(penalty))"</v>
      </c>
      <c r="AG94" s="1" t="str">
        <f t="shared" si="36"/>
        <v>EC</v>
      </c>
      <c r="AH94" s="86" t="str">
        <f t="shared" si="37"/>
        <v>"%USERPROFILE%\Documents\GitHub\eaglep3\Utilities\RefineRTDCRunTimes.py" --tripid 181-17 --locoid 4053 --swversion DE.1.0.9.0 --startMP 204:457 --initTime 2017-03-17T13:41:40 --startdatetime 2017-03-17T13:45:17 --delay 0 --endMP 204:233278 --enddatetime 2017-03-17T14:20:40 --enforcementcount 0 &gt;&gt;C:\Users\stu\Documents\GitHub\eaglep3-reporting\EC\2017-03-17-refined-times.txt</v>
      </c>
      <c r="AI94" s="108" t="str">
        <f t="shared" si="38"/>
        <v>echo {"issue":{"subject":"","project_id":79,"tracker_id":40,"status_id":1,"priority_id":2,"assigned_to_id":23,"start_date":"2017-03-17","description":"","custom_fields":[{"id":1,"name":"Subdivision","value":"EC"},{"id":4,"name":"Milepost","value":"23.3278"},{"id":17,"name":"Train ID","value":"181-17"},{"id":16,"name":"Locomotive ID","value":"4053"},{"id":130,"name":"Impact","value":""},{"id":150,"name":"Time of Event (Mountain Time)","value":"14:20:40"},{"id":151,"name":"Denver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48"/>
      <c r="AK94" s="48"/>
      <c r="AL94" s="48"/>
      <c r="AM94" s="154" t="str">
        <f t="shared" si="39"/>
        <v>start /low /b %USERPROFILE%\Documents\GitHub\eaglep3\Utilities\DownloadLogsFromS3.py --loco 4053 --day 2017-03-17</v>
      </c>
      <c r="AN94" s="163" t="str">
        <f>"grep -SE -B400 ""CHR.+\|PRM\|1\|D.+(SWITCH|SIGNAL).+UNKNOWN"" "&amp;search_path&amp;"\RTDC"&amp;B94&amp;"\*"&amp;B94&amp;"*"&amp;TEXT(AVERAGE(F94,I94)-utc_offset/24,"YYYYMMDD")&amp;"*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"%USERPROFILE%\AppData\Local\Temp\OnboardLogs"\RTDC4053\*4053*20170317* | grep -SE "(Enforcement Action)|(\[TIMEOUT)|(CHR.+\|PRM\|1\|D.+(SWITCH|SIGNAL).+UNKNOWN)" - &gt;&gt; 2017-03-17-UncaughtWiMAX.txt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0" customFormat="1" x14ac:dyDescent="0.25">
      <c r="A95" s="33" t="s">
        <v>760</v>
      </c>
      <c r="B95" s="7">
        <v>4054</v>
      </c>
      <c r="C95" s="21" t="s">
        <v>227</v>
      </c>
      <c r="D95" s="21" t="s">
        <v>434</v>
      </c>
      <c r="E95" s="13">
        <v>42811.609513888892</v>
      </c>
      <c r="F95" s="13">
        <v>42811.61210648148</v>
      </c>
      <c r="G95" s="7">
        <v>1</v>
      </c>
      <c r="H95" s="21" t="s">
        <v>480</v>
      </c>
      <c r="I95" s="13">
        <v>42811.64234953704</v>
      </c>
      <c r="J95" s="7">
        <v>0</v>
      </c>
      <c r="K95" s="98" t="str">
        <f t="shared" si="24"/>
        <v>4053/4054</v>
      </c>
      <c r="L95" s="21" t="str">
        <f>VLOOKUP(A95,'Trips&amp;Operators'!$C$1:$G$99999,5,FALSE)</f>
        <v>HELVIE ADAM</v>
      </c>
      <c r="M95" s="6">
        <f t="shared" si="25"/>
        <v>3.0243055560276844E-2</v>
      </c>
      <c r="N95" s="7">
        <f t="shared" ref="N95:N126" si="41">24*60*SUM($M95:$M95)</f>
        <v>43.550000006798655</v>
      </c>
      <c r="O95" s="7"/>
      <c r="P95" s="7"/>
      <c r="Q95" s="22"/>
      <c r="R95" s="22"/>
      <c r="S95" s="31">
        <f t="shared" si="40"/>
        <v>1</v>
      </c>
      <c r="T95" s="46" t="str">
        <f t="shared" si="26"/>
        <v>Southbound</v>
      </c>
      <c r="U95" s="185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86" t="str">
        <f t="shared" si="27"/>
        <v>https://d0f6bd738d7f1b3e5a7ca70fe4ff75f0.us-east-1.aws.found.io/app/kibana#/discover/Steve-Slow-Train-Analysis-(2080s-and-2083s)?_g=(refreshInterval:(display:Off,pause:!f,section:0,value:0),time:(from:'2017-03-17T13:37:42-0600',mode:absolute,to:'2017-03-17T16:24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95" s="187" t="str">
        <f t="shared" si="28"/>
        <v>N</v>
      </c>
      <c r="X95" s="187">
        <f t="shared" si="29"/>
        <v>1</v>
      </c>
      <c r="Y95" s="62">
        <f t="shared" si="30"/>
        <v>23.297699999999999</v>
      </c>
      <c r="Z95" s="62">
        <f t="shared" si="31"/>
        <v>1.6299999999999999E-2</v>
      </c>
      <c r="AA95" s="62">
        <f t="shared" si="32"/>
        <v>23.281399999999998</v>
      </c>
      <c r="AB95" s="59" t="e">
        <f>VLOOKUP(A95,Enforcements!$C$7:$K$13,8,0)</f>
        <v>#N/A</v>
      </c>
      <c r="AC95" s="55" t="e">
        <f>VLOOKUP(A95,Enforcements!$C$7:$E$13,3,0)</f>
        <v>#N/A</v>
      </c>
      <c r="AD95" s="56" t="str">
        <f t="shared" si="33"/>
        <v>0182-17</v>
      </c>
      <c r="AE95" s="85" t="str">
        <f t="shared" si="34"/>
        <v>aws s3 cp s3://rtdc.mdm.uploadarchive.raw/RTDC4054/ "%USERPROFILE%\AppData\Local\Temp\OnboardLogs"\RTDC4054\2017-03-17 --exclude "*" --recursive --include "*20170317*" &amp; "%USERPROFILE%\Documents\GitHub\mrs-test-scripts\Headless Mode &amp; Sideloading\WalkAndUnGZ.bat" "%USERPROFILE%\AppData\Local\Temp\OnboardLogs"\RTDC4054\2017-03-17 &amp; aws s3 cp s3://rtdc.mdm.uploadarchive.raw/RTDC4054/ "%USERPROFILE%\AppData\Local\Temp\OnboardLogs"\RTDC4054\2017-03-18 --exclude "*" --recursive --include "*20170318*" &amp; "%USERPROFILE%\Documents\GitHub\mrs-test-scripts\Headless Mode &amp; Sideloading\WalkAndUnGZ.bat" "%USERPROFILE%\AppData\Local\Temp\OnboardLogs"\RTDC4054\2017-03-18</v>
      </c>
      <c r="AF95" s="82" t="str">
        <f t="shared" si="35"/>
        <v>"C:\Program Files (x86)\AstroGrep\AstroGrep.exe" /e /r /s /spath="%USERPROFILE%\AppData\Local\Temp\OnboardLogs" /stypes="app*4054*20170317*" /stext=" 21:.+((SYSTEM_STATE.+slice.+state.+changed )|(ment ac)|(multiple cpu faults)|(system.+state.+changed )|(\[timeout)|(PRM\|1\|D)|(kpr)|(kdp)|(\|lc)|(penalty))"</v>
      </c>
      <c r="AG95" s="1" t="str">
        <f t="shared" si="36"/>
        <v>EC</v>
      </c>
      <c r="AH95" s="86" t="str">
        <f t="shared" si="37"/>
        <v>"%USERPROFILE%\Documents\GitHub\eaglep3\Utilities\RefineRTDCRunTimes.py" --tripid 182-17 --locoid 4054 --swversion DE.1.0.9.0 --startMP 204:232977 --initTime 2017-03-17T14:37:42 --startdatetime 2017-03-17T14:41:26 --delay 1 --endMP 204:163 --enddatetime 2017-03-17T15:24:59 --enforcementcount 0 &gt;&gt;C:\Users\stu\Documents\GitHub\eaglep3-reporting\EC\2017-03-17-refined-times.txt</v>
      </c>
      <c r="AI95" s="108" t="str">
        <f t="shared" si="38"/>
        <v>echo {"issue":{"subject":"","project_id":79,"tracker_id":40,"status_id":1,"priority_id":2,"assigned_to_id":23,"start_date":"2017-03-17","description":"","custom_fields":[{"id":1,"name":"Subdivision","value":"EC"},{"id":4,"name":"Milepost","value":"0.0163"},{"id":17,"name":"Train ID","value":"182-17"},{"id":16,"name":"Locomotive ID","value":"4054"},{"id":130,"name":"Impact","value":""},{"id":150,"name":"Time of Event (Mountain Time)","value":"15:24:59"},{"id":151,"name":"Denver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48"/>
      <c r="AK95" s="48"/>
      <c r="AL95" s="48"/>
      <c r="AM95" s="154" t="str">
        <f t="shared" si="39"/>
        <v>start /low /b %USERPROFILE%\Documents\GitHub\eaglep3\Utilities\DownloadLogsFromS3.py --loco 4054 --day 2017-03-17</v>
      </c>
      <c r="AN95" s="163" t="str">
        <f>"grep -SE -B400 ""CHR.+\|PRM\|1\|D.+(SWITCH|SIGNAL).+UNKNOWN"" "&amp;search_path&amp;"\RTDC"&amp;B95&amp;"\*"&amp;B95&amp;"*"&amp;TEXT(AVERAGE(F95,I95)-utc_offset/24,"YYYYMMDD")&amp;"*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"%USERPROFILE%\AppData\Local\Temp\OnboardLogs"\RTDC4054\*4054*20170317* | grep -SE "(Enforcement Action)|(\[TIMEOUT)|(CHR.+\|PRM\|1\|D.+(SWITCH|SIGNAL).+UNKNOWN)" - &gt;&gt; 2017-03-17-UncaughtWiMAX.txt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0" customFormat="1" x14ac:dyDescent="0.25">
      <c r="A96" s="33" t="s">
        <v>628</v>
      </c>
      <c r="B96" s="7">
        <v>4011</v>
      </c>
      <c r="C96" s="21" t="s">
        <v>227</v>
      </c>
      <c r="D96" s="21" t="s">
        <v>891</v>
      </c>
      <c r="E96" s="13">
        <v>42811.577939814815</v>
      </c>
      <c r="F96" s="13">
        <v>42811.583495370367</v>
      </c>
      <c r="G96" s="7">
        <v>1</v>
      </c>
      <c r="H96" s="21" t="s">
        <v>230</v>
      </c>
      <c r="I96" s="13">
        <v>42811.611655092594</v>
      </c>
      <c r="J96" s="7">
        <v>0</v>
      </c>
      <c r="K96" s="98" t="str">
        <f t="shared" si="24"/>
        <v>4011/4012</v>
      </c>
      <c r="L96" s="21" t="str">
        <f>VLOOKUP(A96,'Trips&amp;Operators'!$C$1:$G$99999,5,FALSE)</f>
        <v>LOPES KIMBERLY</v>
      </c>
      <c r="M96" s="6">
        <f t="shared" si="25"/>
        <v>2.8159722227428574E-2</v>
      </c>
      <c r="N96" s="7">
        <f t="shared" si="41"/>
        <v>40.550000007497147</v>
      </c>
      <c r="O96" s="7"/>
      <c r="P96" s="7"/>
      <c r="Q96" s="22"/>
      <c r="R96" s="22"/>
      <c r="S96" s="31">
        <f t="shared" si="40"/>
        <v>1</v>
      </c>
      <c r="T96" s="46" t="str">
        <f t="shared" si="26"/>
        <v>NorthBound</v>
      </c>
      <c r="U96" s="185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86" t="str">
        <f t="shared" si="27"/>
        <v>https://d0f6bd738d7f1b3e5a7ca70fe4ff75f0.us-east-1.aws.found.io/app/kibana#/discover/Steve-Slow-Train-Analysis-(2080s-and-2083s)?_g=(refreshInterval:(display:Off,pause:!f,section:0,value:0),time:(from:'2017-03-17T12:52:14-0600',mode:absolute,to:'2017-03-17T15:40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96" s="187" t="str">
        <f t="shared" si="28"/>
        <v>N</v>
      </c>
      <c r="X96" s="187">
        <f t="shared" si="29"/>
        <v>1</v>
      </c>
      <c r="Y96" s="62">
        <f t="shared" si="30"/>
        <v>4.3499999999999997E-2</v>
      </c>
      <c r="Z96" s="62">
        <f t="shared" si="31"/>
        <v>23.328900000000001</v>
      </c>
      <c r="AA96" s="62">
        <f t="shared" si="32"/>
        <v>23.285399999999999</v>
      </c>
      <c r="AB96" s="59" t="e">
        <f>VLOOKUP(A96,Enforcements!$C$7:$K$13,8,0)</f>
        <v>#N/A</v>
      </c>
      <c r="AC96" s="55" t="e">
        <f>VLOOKUP(A96,Enforcements!$C$7:$E$13,3,0)</f>
        <v>#N/A</v>
      </c>
      <c r="AD96" s="56" t="str">
        <f t="shared" si="33"/>
        <v>0183-17</v>
      </c>
      <c r="AE96" s="85" t="str">
        <f t="shared" si="34"/>
        <v>aws s3 cp s3://rtdc.mdm.uploadarchive.raw/RTDC4011/ "%USERPROFILE%\AppData\Local\Temp\OnboardLogs"\RTDC4011\2017-03-17 --exclude "*" --recursive --include "*20170317*" &amp; "%USERPROFILE%\Documents\GitHub\mrs-test-scripts\Headless Mode &amp; Sideloading\WalkAndUnGZ.bat" "%USERPROFILE%\AppData\Local\Temp\OnboardLogs"\RTDC4011\2017-03-17 &amp; aws s3 cp s3://rtdc.mdm.uploadarchive.raw/RTDC4011/ "%USERPROFILE%\AppData\Local\Temp\OnboardLogs"\RTDC4011\2017-03-18 --exclude "*" --recursive --include "*20170318*" &amp; "%USERPROFILE%\Documents\GitHub\mrs-test-scripts\Headless Mode &amp; Sideloading\WalkAndUnGZ.bat" "%USERPROFILE%\AppData\Local\Temp\OnboardLogs"\RTDC4011\2017-03-18</v>
      </c>
      <c r="AF96" s="82" t="str">
        <f t="shared" si="35"/>
        <v>"C:\Program Files (x86)\AstroGrep\AstroGrep.exe" /e /r /s /spath="%USERPROFILE%\AppData\Local\Temp\OnboardLogs" /stypes="app*4011*20170317*" /stext=" 20:.+((SYSTEM_STATE.+slice.+state.+changed )|(ment ac)|(multiple cpu faults)|(system.+state.+changed )|(\[timeout)|(PRM\|1\|D)|(kpr)|(kdp)|(\|lc)|(penalty))"</v>
      </c>
      <c r="AG96" s="1" t="str">
        <f t="shared" si="36"/>
        <v>EC</v>
      </c>
      <c r="AH96" s="86" t="str">
        <f t="shared" si="37"/>
        <v>"%USERPROFILE%\Documents\GitHub\eaglep3\Utilities\RefineRTDCRunTimes.py" --tripid 183-17 --locoid 4011 --swversion DE.1.0.9.0 --startMP 204:435 --initTime 2017-03-17T13:52:14 --startdatetime 2017-03-17T14:00:14 --delay 1 --endMP 204:233289 --enddatetime 2017-03-17T14:40:47 --enforcementcount 0 &gt;&gt;C:\Users\stu\Documents\GitHub\eaglep3-reporting\EC\2017-03-17-refined-times.txt</v>
      </c>
      <c r="AI96" s="108" t="str">
        <f t="shared" si="38"/>
        <v>echo {"issue":{"subject":"","project_id":79,"tracker_id":40,"status_id":1,"priority_id":2,"assigned_to_id":23,"start_date":"2017-03-17","description":"","custom_fields":[{"id":1,"name":"Subdivision","value":"EC"},{"id":4,"name":"Milepost","value":"23.3289"},{"id":17,"name":"Train ID","value":"183-17"},{"id":16,"name":"Locomotive ID","value":"4011"},{"id":130,"name":"Impact","value":""},{"id":150,"name":"Time of Event (Mountain Time)","value":"14:40:47"},{"id":151,"name":"Denver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48"/>
      <c r="AK96" s="48"/>
      <c r="AL96" s="48"/>
      <c r="AM96" s="154" t="str">
        <f t="shared" si="39"/>
        <v>start /low /b %USERPROFILE%\Documents\GitHub\eaglep3\Utilities\DownloadLogsFromS3.py --loco 4011 --day 2017-03-17</v>
      </c>
      <c r="AN96" s="163" t="str">
        <f>"grep -SE -B400 ""CHR.+\|PRM\|1\|D.+(SWITCH|SIGNAL).+UNKNOWN"" "&amp;search_path&amp;"\RTDC"&amp;B96&amp;"\*"&amp;B96&amp;"*"&amp;TEXT(AVERAGE(F96,I96)-utc_offset/24,"YYYYMMDD")&amp;"*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"%USERPROFILE%\AppData\Local\Temp\OnboardLogs"\RTDC4011\*4011*20170317* | grep -SE "(Enforcement Action)|(\[TIMEOUT)|(CHR.+\|PRM\|1\|D.+(SWITCH|SIGNAL).+UNKNOWN)" - &gt;&gt; 2017-03-17-UncaughtWiMAX.txt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20" customFormat="1" x14ac:dyDescent="0.25">
      <c r="A97" s="33" t="s">
        <v>761</v>
      </c>
      <c r="B97" s="7">
        <v>4012</v>
      </c>
      <c r="C97" s="21" t="s">
        <v>227</v>
      </c>
      <c r="D97" s="21" t="s">
        <v>892</v>
      </c>
      <c r="E97" s="13">
        <v>42811.618472222224</v>
      </c>
      <c r="F97" s="13">
        <v>42811.622395833336</v>
      </c>
      <c r="G97" s="7">
        <v>1</v>
      </c>
      <c r="H97" s="21" t="s">
        <v>201</v>
      </c>
      <c r="I97" s="13">
        <v>42811.655439814815</v>
      </c>
      <c r="J97" s="7">
        <v>0</v>
      </c>
      <c r="K97" s="98" t="str">
        <f t="shared" si="24"/>
        <v>4011/4012</v>
      </c>
      <c r="L97" s="21" t="str">
        <f>VLOOKUP(A97,'Trips&amp;Operators'!$C$1:$G$99999,5,FALSE)</f>
        <v>LOPES KIMBERLY</v>
      </c>
      <c r="M97" s="6">
        <f t="shared" si="25"/>
        <v>3.3043981478840578E-2</v>
      </c>
      <c r="N97" s="7">
        <f t="shared" si="41"/>
        <v>47.583333329530433</v>
      </c>
      <c r="O97" s="7"/>
      <c r="P97" s="7"/>
      <c r="Q97" s="22"/>
      <c r="R97" s="22"/>
      <c r="S97" s="31">
        <f t="shared" si="40"/>
        <v>1</v>
      </c>
      <c r="T97" s="46" t="str">
        <f t="shared" si="26"/>
        <v>Southbound</v>
      </c>
      <c r="U97" s="185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86" t="str">
        <f t="shared" si="27"/>
        <v>https://d0f6bd738d7f1b3e5a7ca70fe4ff75f0.us-east-1.aws.found.io/app/kibana#/discover/Steve-Slow-Train-Analysis-(2080s-and-2083s)?_g=(refreshInterval:(display:Off,pause:!f,section:0,value:0),time:(from:'2017-03-17T13:50:36-0600',mode:absolute,to:'2017-03-17T16:43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97" s="187" t="str">
        <f t="shared" si="28"/>
        <v>N</v>
      </c>
      <c r="X97" s="187">
        <f t="shared" si="29"/>
        <v>1</v>
      </c>
      <c r="Y97" s="62">
        <f t="shared" si="30"/>
        <v>23.296399999999998</v>
      </c>
      <c r="Z97" s="62">
        <f t="shared" si="31"/>
        <v>1.5800000000000002E-2</v>
      </c>
      <c r="AA97" s="62">
        <f t="shared" si="32"/>
        <v>23.2806</v>
      </c>
      <c r="AB97" s="59" t="e">
        <f>VLOOKUP(A97,Enforcements!$C$7:$K$13,8,0)</f>
        <v>#N/A</v>
      </c>
      <c r="AC97" s="55" t="e">
        <f>VLOOKUP(A97,Enforcements!$C$7:$E$13,3,0)</f>
        <v>#N/A</v>
      </c>
      <c r="AD97" s="56" t="str">
        <f t="shared" si="33"/>
        <v>0184-17</v>
      </c>
      <c r="AE97" s="85" t="str">
        <f t="shared" si="34"/>
        <v>aws s3 cp s3://rtdc.mdm.uploadarchive.raw/RTDC4012/ "%USERPROFILE%\AppData\Local\Temp\OnboardLogs"\RTDC4012\2017-03-17 --exclude "*" --recursive --include "*20170317*" &amp; "%USERPROFILE%\Documents\GitHub\mrs-test-scripts\Headless Mode &amp; Sideloading\WalkAndUnGZ.bat" "%USERPROFILE%\AppData\Local\Temp\OnboardLogs"\RTDC4012\2017-03-17 &amp; aws s3 cp s3://rtdc.mdm.uploadarchive.raw/RTDC4012/ "%USERPROFILE%\AppData\Local\Temp\OnboardLogs"\RTDC4012\2017-03-18 --exclude "*" --recursive --include "*20170318*" &amp; "%USERPROFILE%\Documents\GitHub\mrs-test-scripts\Headless Mode &amp; Sideloading\WalkAndUnGZ.bat" "%USERPROFILE%\AppData\Local\Temp\OnboardLogs"\RTDC4012\2017-03-18</v>
      </c>
      <c r="AF97" s="82" t="str">
        <f t="shared" si="35"/>
        <v>"C:\Program Files (x86)\AstroGrep\AstroGrep.exe" /e /r /s /spath="%USERPROFILE%\AppData\Local\Temp\OnboardLogs" /stypes="app*4012*20170317*" /stext=" 21:.+((SYSTEM_STATE.+slice.+state.+changed )|(ment ac)|(multiple cpu faults)|(system.+state.+changed )|(\[timeout)|(PRM\|1\|D)|(kpr)|(kdp)|(\|lc)|(penalty))"</v>
      </c>
      <c r="AG97" s="1" t="str">
        <f t="shared" si="36"/>
        <v>EC</v>
      </c>
      <c r="AH97" s="86" t="str">
        <f t="shared" si="37"/>
        <v>"%USERPROFILE%\Documents\GitHub\eaglep3\Utilities\RefineRTDCRunTimes.py" --tripid 184-17 --locoid 4012 --swversion DE.1.0.9.0 --startMP 204:232964 --initTime 2017-03-17T14:50:36 --startdatetime 2017-03-17T14:56:15 --delay 1 --endMP 204:158 --enddatetime 2017-03-17T15:43:50 --enforcementcount 0 &gt;&gt;C:\Users\stu\Documents\GitHub\eaglep3-reporting\EC\2017-03-17-refined-times.txt</v>
      </c>
      <c r="AI97" s="108" t="str">
        <f t="shared" si="38"/>
        <v>echo {"issue":{"subject":"","project_id":79,"tracker_id":40,"status_id":1,"priority_id":2,"assigned_to_id":23,"start_date":"2017-03-17","description":"","custom_fields":[{"id":1,"name":"Subdivision","value":"EC"},{"id":4,"name":"Milepost","value":"0.0158"},{"id":17,"name":"Train ID","value":"184-17"},{"id":16,"name":"Locomotive ID","value":"4012"},{"id":130,"name":"Impact","value":""},{"id":150,"name":"Time of Event (Mountain Time)","value":"15:43:50"},{"id":151,"name":"Denver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48"/>
      <c r="AK97" s="48"/>
      <c r="AL97" s="48"/>
      <c r="AM97" s="154" t="str">
        <f t="shared" si="39"/>
        <v>start /low /b %USERPROFILE%\Documents\GitHub\eaglep3\Utilities\DownloadLogsFromS3.py --loco 4012 --day 2017-03-17</v>
      </c>
      <c r="AN97" s="163" t="str">
        <f>"grep -SE -B400 ""CHR.+\|PRM\|1\|D.+(SWITCH|SIGNAL).+UNKNOWN"" "&amp;search_path&amp;"\RTDC"&amp;B97&amp;"\*"&amp;B97&amp;"*"&amp;TEXT(AVERAGE(F97,I97)-utc_offset/24,"YYYYMMDD")&amp;"*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"%USERPROFILE%\AppData\Local\Temp\OnboardLogs"\RTDC4012\*4012*20170317* | grep -SE "(Enforcement Action)|(\[TIMEOUT)|(CHR.+\|PRM\|1\|D.+(SWITCH|SIGNAL).+UNKNOWN)" - &gt;&gt; 2017-03-17-UncaughtWiMAX.txt</v>
      </c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x14ac:dyDescent="0.25">
      <c r="A98" s="33" t="s">
        <v>756</v>
      </c>
      <c r="B98" s="7">
        <v>4016</v>
      </c>
      <c r="C98" s="21" t="s">
        <v>227</v>
      </c>
      <c r="D98" s="21" t="s">
        <v>517</v>
      </c>
      <c r="E98" s="13">
        <v>42811.590173611112</v>
      </c>
      <c r="F98" s="13">
        <v>42811.593981481485</v>
      </c>
      <c r="G98" s="7">
        <v>1</v>
      </c>
      <c r="H98" s="21" t="s">
        <v>893</v>
      </c>
      <c r="I98" s="13">
        <v>42811.619004629632</v>
      </c>
      <c r="J98" s="7">
        <v>0</v>
      </c>
      <c r="K98" s="98" t="str">
        <f t="shared" si="24"/>
        <v>4015/4016</v>
      </c>
      <c r="L98" s="21" t="str">
        <f>VLOOKUP(A98,'Trips&amp;Operators'!$C$1:$G$99999,5,FALSE)</f>
        <v>WHITED DUSTIN</v>
      </c>
      <c r="M98" s="6">
        <f t="shared" si="25"/>
        <v>2.5023148147738539E-2</v>
      </c>
      <c r="N98" s="7">
        <f t="shared" si="41"/>
        <v>36.033333332743496</v>
      </c>
      <c r="O98" s="7"/>
      <c r="P98" s="7"/>
      <c r="Q98" s="22"/>
      <c r="R98" s="22"/>
      <c r="S98" s="31">
        <f t="shared" si="40"/>
        <v>1</v>
      </c>
      <c r="T98" s="46" t="str">
        <f t="shared" si="26"/>
        <v>NorthBound</v>
      </c>
      <c r="U98" s="185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86" t="str">
        <f t="shared" si="27"/>
        <v>https://d0f6bd738d7f1b3e5a7ca70fe4ff75f0.us-east-1.aws.found.io/app/kibana#/discover/Steve-Slow-Train-Analysis-(2080s-and-2083s)?_g=(refreshInterval:(display:Off,pause:!f,section:0,value:0),time:(from:'2017-03-17T13:09:51-0600',mode:absolute,to:'2017-03-17T15:51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98" s="187" t="str">
        <f t="shared" si="28"/>
        <v>N</v>
      </c>
      <c r="X98" s="187">
        <f t="shared" si="29"/>
        <v>1</v>
      </c>
      <c r="Y98" s="62">
        <f t="shared" si="30"/>
        <v>4.3700000000000003E-2</v>
      </c>
      <c r="Z98" s="62">
        <f t="shared" si="31"/>
        <v>23.3385</v>
      </c>
      <c r="AA98" s="62">
        <f t="shared" si="32"/>
        <v>23.294799999999999</v>
      </c>
      <c r="AB98" s="59" t="e">
        <f>VLOOKUP(A98,Enforcements!$C$7:$K$13,8,0)</f>
        <v>#N/A</v>
      </c>
      <c r="AC98" s="55" t="e">
        <f>VLOOKUP(A98,Enforcements!$C$7:$E$13,3,0)</f>
        <v>#N/A</v>
      </c>
      <c r="AD98" s="56" t="str">
        <f t="shared" si="33"/>
        <v>0185-17</v>
      </c>
      <c r="AE98" s="85" t="str">
        <f t="shared" si="34"/>
        <v>aws s3 cp s3://rtdc.mdm.uploadarchive.raw/RTDC4016/ "%USERPROFILE%\AppData\Local\Temp\OnboardLogs"\RTDC4016\2017-03-17 --exclude "*" --recursive --include "*20170317*" &amp; "%USERPROFILE%\Documents\GitHub\mrs-test-scripts\Headless Mode &amp; Sideloading\WalkAndUnGZ.bat" "%USERPROFILE%\AppData\Local\Temp\OnboardLogs"\RTDC4016\2017-03-17 &amp; aws s3 cp s3://rtdc.mdm.uploadarchive.raw/RTDC4016/ "%USERPROFILE%\AppData\Local\Temp\OnboardLogs"\RTDC4016\2017-03-18 --exclude "*" --recursive --include "*20170318*" &amp; "%USERPROFILE%\Documents\GitHub\mrs-test-scripts\Headless Mode &amp; Sideloading\WalkAndUnGZ.bat" "%USERPROFILE%\AppData\Local\Temp\OnboardLogs"\RTDC4016\2017-03-18</v>
      </c>
      <c r="AF98" s="82" t="str">
        <f t="shared" si="35"/>
        <v>"C:\Program Files (x86)\AstroGrep\AstroGrep.exe" /e /r /s /spath="%USERPROFILE%\AppData\Local\Temp\OnboardLogs" /stypes="app*4016*20170317*" /stext=" 20:.+((SYSTEM_STATE.+slice.+state.+changed )|(ment ac)|(multiple cpu faults)|(system.+state.+changed )|(\[timeout)|(PRM\|1\|D)|(kpr)|(kdp)|(\|lc)|(penalty))"</v>
      </c>
      <c r="AG98" s="1" t="str">
        <f t="shared" si="36"/>
        <v>EC</v>
      </c>
      <c r="AH98" s="86" t="str">
        <f t="shared" si="37"/>
        <v>"%USERPROFILE%\Documents\GitHub\eaglep3\Utilities\RefineRTDCRunTimes.py" --tripid 185-17 --locoid 4016 --swversion DE.1.0.9.0 --startMP 204:437 --initTime 2017-03-17T14:09:51 --startdatetime 2017-03-17T14:15:20 --delay 1 --endMP 204:233385 --enddatetime 2017-03-17T14:51:22 --enforcementcount 0 &gt;&gt;C:\Users\stu\Documents\GitHub\eaglep3-reporting\EC\2017-03-17-refined-times.txt</v>
      </c>
      <c r="AI98" s="108" t="str">
        <f t="shared" si="38"/>
        <v>echo {"issue":{"subject":"","project_id":79,"tracker_id":40,"status_id":1,"priority_id":2,"assigned_to_id":23,"start_date":"2017-03-17","description":"","custom_fields":[{"id":1,"name":"Subdivision","value":"EC"},{"id":4,"name":"Milepost","value":"23.3385"},{"id":17,"name":"Train ID","value":"185-17"},{"id":16,"name":"Locomotive ID","value":"4016"},{"id":130,"name":"Impact","value":""},{"id":150,"name":"Time of Event (Mountain Time)","value":"14:51:22"},{"id":151,"name":"Denver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48"/>
      <c r="AK98" s="48"/>
      <c r="AL98" s="48"/>
      <c r="AM98" s="154" t="str">
        <f t="shared" si="39"/>
        <v>start /low /b %USERPROFILE%\Documents\GitHub\eaglep3\Utilities\DownloadLogsFromS3.py --loco 4016 --day 2017-03-17</v>
      </c>
      <c r="AN98" s="163" t="str">
        <f>"grep -SE -B400 ""CHR.+\|PRM\|1\|D.+(SWITCH|SIGNAL).+UNKNOWN"" "&amp;search_path&amp;"\RTDC"&amp;B98&amp;"\*"&amp;B98&amp;"*"&amp;TEXT(AVERAGE(F98,I98)-utc_offset/24,"YYYYMMDD")&amp;"*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"%USERPROFILE%\AppData\Local\Temp\OnboardLogs"\RTDC4016\*4016*20170317* | grep -SE "(Enforcement Action)|(\[TIMEOUT)|(CHR.+\|PRM\|1\|D.+(SWITCH|SIGNAL).+UNKNOWN)" - &gt;&gt; 2017-03-17-UncaughtWiMAX.txt</v>
      </c>
    </row>
    <row r="99" spans="1:91" s="20" customFormat="1" x14ac:dyDescent="0.25">
      <c r="A99" s="33" t="s">
        <v>632</v>
      </c>
      <c r="B99" s="7">
        <v>4015</v>
      </c>
      <c r="C99" s="21" t="s">
        <v>227</v>
      </c>
      <c r="D99" s="21" t="s">
        <v>576</v>
      </c>
      <c r="E99" s="13">
        <v>42811.624861111108</v>
      </c>
      <c r="F99" s="13">
        <v>42811.632939814815</v>
      </c>
      <c r="G99" s="7">
        <v>5</v>
      </c>
      <c r="H99" s="21" t="s">
        <v>191</v>
      </c>
      <c r="I99" s="13">
        <v>42811.66642361111</v>
      </c>
      <c r="J99" s="7">
        <v>0</v>
      </c>
      <c r="K99" s="98" t="str">
        <f t="shared" si="24"/>
        <v>4015/4016</v>
      </c>
      <c r="L99" s="21" t="str">
        <f>VLOOKUP(A99,'Trips&amp;Operators'!$C$1:$G$99999,5,FALSE)</f>
        <v>DELGADO DIANAH</v>
      </c>
      <c r="M99" s="6">
        <f t="shared" si="25"/>
        <v>3.3483796294603962E-2</v>
      </c>
      <c r="N99" s="7">
        <f t="shared" si="41"/>
        <v>48.216666664229706</v>
      </c>
      <c r="O99" s="7"/>
      <c r="P99" s="7"/>
      <c r="Q99" s="22"/>
      <c r="R99" s="22"/>
      <c r="S99" s="31">
        <f t="shared" si="40"/>
        <v>1</v>
      </c>
      <c r="T99" s="46" t="str">
        <f t="shared" si="26"/>
        <v>Southbound</v>
      </c>
      <c r="U99" s="185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86" t="str">
        <f t="shared" si="27"/>
        <v>https://d0f6bd738d7f1b3e5a7ca70fe4ff75f0.us-east-1.aws.found.io/app/kibana#/discover/Steve-Slow-Train-Analysis-(2080s-and-2083s)?_g=(refreshInterval:(display:Off,pause:!f,section:0,value:0),time:(from:'2017-03-17T13:59:48-0600',mode:absolute,to:'2017-03-17T16:59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99" s="187" t="str">
        <f t="shared" si="28"/>
        <v>N</v>
      </c>
      <c r="X99" s="187">
        <f t="shared" si="29"/>
        <v>1</v>
      </c>
      <c r="Y99" s="62">
        <f t="shared" si="30"/>
        <v>23.307099999999998</v>
      </c>
      <c r="Z99" s="62">
        <f t="shared" si="31"/>
        <v>1.4999999999999999E-2</v>
      </c>
      <c r="AA99" s="62">
        <f t="shared" si="32"/>
        <v>23.292099999999998</v>
      </c>
      <c r="AB99" s="59" t="e">
        <f>VLOOKUP(A99,Enforcements!$C$7:$K$13,8,0)</f>
        <v>#N/A</v>
      </c>
      <c r="AC99" s="55" t="e">
        <f>VLOOKUP(A99,Enforcements!$C$7:$E$13,3,0)</f>
        <v>#N/A</v>
      </c>
      <c r="AD99" s="56" t="str">
        <f t="shared" si="33"/>
        <v>0186-17</v>
      </c>
      <c r="AE99" s="85" t="str">
        <f t="shared" si="34"/>
        <v>aws s3 cp s3://rtdc.mdm.uploadarchive.raw/RTDC4015/ "%USERPROFILE%\AppData\Local\Temp\OnboardLogs"\RTDC4015\2017-03-17 --exclude "*" --recursive --include "*20170317*" &amp; "%USERPROFILE%\Documents\GitHub\mrs-test-scripts\Headless Mode &amp; Sideloading\WalkAndUnGZ.bat" "%USERPROFILE%\AppData\Local\Temp\OnboardLogs"\RTDC4015\2017-03-17 &amp; aws s3 cp s3://rtdc.mdm.uploadarchive.raw/RTDC4015/ "%USERPROFILE%\AppData\Local\Temp\OnboardLogs"\RTDC4015\2017-03-18 --exclude "*" --recursive --include "*20170318*" &amp; "%USERPROFILE%\Documents\GitHub\mrs-test-scripts\Headless Mode &amp; Sideloading\WalkAndUnGZ.bat" "%USERPROFILE%\AppData\Local\Temp\OnboardLogs"\RTDC4015\2017-03-18</v>
      </c>
      <c r="AF99" s="82" t="str">
        <f t="shared" si="35"/>
        <v>"C:\Program Files (x86)\AstroGrep\AstroGrep.exe" /e /r /s /spath="%USERPROFILE%\AppData\Local\Temp\OnboardLogs" /stypes="app*4015*20170317*" /stext=" 21:.+((SYSTEM_STATE.+slice.+state.+changed )|(ment ac)|(multiple cpu faults)|(system.+state.+changed )|(\[timeout)|(PRM\|1\|D)|(kpr)|(kdp)|(\|lc)|(penalty))"</v>
      </c>
      <c r="AG99" s="1" t="str">
        <f t="shared" si="36"/>
        <v>EC</v>
      </c>
      <c r="AH99" s="86" t="str">
        <f t="shared" si="37"/>
        <v>"%USERPROFILE%\Documents\GitHub\eaglep3\Utilities\RefineRTDCRunTimes.py" --tripid 186-17 --locoid 4015 --swversion DE.1.0.9.0 --startMP 204:233071 --initTime 2017-03-17T14:59:48 --startdatetime 2017-03-17T15:11:26 --delay 5 --endMP 204:150 --enddatetime 2017-03-17T15:59:39 --enforcementcount 0 &gt;&gt;C:\Users\stu\Documents\GitHub\eaglep3-reporting\EC\2017-03-17-refined-times.txt</v>
      </c>
      <c r="AI99" s="108" t="str">
        <f t="shared" si="38"/>
        <v>echo {"issue":{"subject":"","project_id":79,"tracker_id":40,"status_id":1,"priority_id":2,"assigned_to_id":23,"start_date":"2017-03-17","description":"","custom_fields":[{"id":1,"name":"Subdivision","value":"EC"},{"id":4,"name":"Milepost","value":"0.015"},{"id":17,"name":"Train ID","value":"186-17"},{"id":16,"name":"Locomotive ID","value":"4015"},{"id":130,"name":"Impact","value":""},{"id":150,"name":"Time of Event (Mountain Time)","value":"15:59:39"},{"id":151,"name":"Denver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48"/>
      <c r="AK99" s="48"/>
      <c r="AL99" s="48"/>
      <c r="AM99" s="154" t="str">
        <f t="shared" si="39"/>
        <v>start /low /b %USERPROFILE%\Documents\GitHub\eaglep3\Utilities\DownloadLogsFromS3.py --loco 4015 --day 2017-03-17</v>
      </c>
      <c r="AN99" s="163" t="str">
        <f>"grep -SE -B400 ""CHR.+\|PRM\|1\|D.+(SWITCH|SIGNAL).+UNKNOWN"" "&amp;search_path&amp;"\RTDC"&amp;B99&amp;"\*"&amp;B99&amp;"*"&amp;TEXT(AVERAGE(F99,I99)-utc_offset/24,"YYYYMMDD")&amp;"*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"%USERPROFILE%\AppData\Local\Temp\OnboardLogs"\RTDC4015\*4015*20170317* | grep -SE "(Enforcement Action)|(\[TIMEOUT)|(CHR.+\|PRM\|1\|D.+(SWITCH|SIGNAL).+UNKNOWN)" - &gt;&gt; 2017-03-17-UncaughtWiMAX.txt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0" customFormat="1" x14ac:dyDescent="0.25">
      <c r="A100" s="33" t="s">
        <v>758</v>
      </c>
      <c r="B100" s="7">
        <v>4040</v>
      </c>
      <c r="C100" s="21" t="s">
        <v>227</v>
      </c>
      <c r="D100" s="21" t="s">
        <v>233</v>
      </c>
      <c r="E100" s="13">
        <v>42811.600046296298</v>
      </c>
      <c r="F100" s="13">
        <v>42811.604421296295</v>
      </c>
      <c r="G100" s="7">
        <v>1</v>
      </c>
      <c r="H100" s="21" t="s">
        <v>237</v>
      </c>
      <c r="I100" s="13">
        <v>42811.631921296299</v>
      </c>
      <c r="J100" s="7">
        <v>0</v>
      </c>
      <c r="K100" s="98" t="str">
        <f t="shared" si="24"/>
        <v>4039/4040</v>
      </c>
      <c r="L100" s="21" t="str">
        <f>VLOOKUP(A100,'Trips&amp;Operators'!$C$1:$G$99999,5,FALSE)</f>
        <v>STEWART MICHAEL</v>
      </c>
      <c r="M100" s="6">
        <f t="shared" si="25"/>
        <v>2.7500000003783498E-2</v>
      </c>
      <c r="N100" s="7">
        <f t="shared" si="41"/>
        <v>39.600000005448237</v>
      </c>
      <c r="O100" s="7"/>
      <c r="P100" s="7"/>
      <c r="Q100" s="22"/>
      <c r="R100" s="22"/>
      <c r="S100" s="31">
        <f t="shared" si="40"/>
        <v>1</v>
      </c>
      <c r="T100" s="46" t="str">
        <f t="shared" si="26"/>
        <v>NorthBound</v>
      </c>
      <c r="U100" s="185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86" t="str">
        <f t="shared" si="27"/>
        <v>https://d0f6bd738d7f1b3e5a7ca70fe4ff75f0.us-east-1.aws.found.io/app/kibana#/discover/Steve-Slow-Train-Analysis-(2080s-and-2083s)?_g=(refreshInterval:(display:Off,pause:!f,section:0,value:0),time:(from:'2017-03-17T13:24:04-0600',mode:absolute,to:'2017-03-17T16:09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00" s="187" t="str">
        <f t="shared" si="28"/>
        <v>N</v>
      </c>
      <c r="X100" s="187">
        <f t="shared" si="29"/>
        <v>1</v>
      </c>
      <c r="Y100" s="62">
        <f t="shared" si="30"/>
        <v>4.6699999999999998E-2</v>
      </c>
      <c r="Z100" s="62">
        <f t="shared" si="31"/>
        <v>23.329499999999999</v>
      </c>
      <c r="AA100" s="62">
        <f t="shared" si="32"/>
        <v>23.282799999999998</v>
      </c>
      <c r="AB100" s="59" t="e">
        <f>VLOOKUP(A100,Enforcements!$C$7:$K$13,8,0)</f>
        <v>#N/A</v>
      </c>
      <c r="AC100" s="55" t="e">
        <f>VLOOKUP(A100,Enforcements!$C$7:$E$13,3,0)</f>
        <v>#N/A</v>
      </c>
      <c r="AD100" s="56" t="str">
        <f t="shared" si="33"/>
        <v>0187-17</v>
      </c>
      <c r="AE100" s="85" t="str">
        <f t="shared" si="34"/>
        <v>aws s3 cp s3://rtdc.mdm.uploadarchive.raw/RTDC4040/ "%USERPROFILE%\AppData\Local\Temp\OnboardLogs"\RTDC4040\2017-03-17 --exclude "*" --recursive --include "*20170317*" &amp; "%USERPROFILE%\Documents\GitHub\mrs-test-scripts\Headless Mode &amp; Sideloading\WalkAndUnGZ.bat" "%USERPROFILE%\AppData\Local\Temp\OnboardLogs"\RTDC4040\2017-03-17 &amp; aws s3 cp s3://rtdc.mdm.uploadarchive.raw/RTDC4040/ "%USERPROFILE%\AppData\Local\Temp\OnboardLogs"\RTDC4040\2017-03-18 --exclude "*" --recursive --include "*20170318*" &amp; "%USERPROFILE%\Documents\GitHub\mrs-test-scripts\Headless Mode &amp; Sideloading\WalkAndUnGZ.bat" "%USERPROFILE%\AppData\Local\Temp\OnboardLogs"\RTDC4040\2017-03-18</v>
      </c>
      <c r="AF100" s="82" t="str">
        <f t="shared" si="35"/>
        <v>"C:\Program Files (x86)\AstroGrep\AstroGrep.exe" /e /r /s /spath="%USERPROFILE%\AppData\Local\Temp\OnboardLogs" /stypes="app*4040*20170317*" /stext=" 21:.+((SYSTEM_STATE.+slice.+state.+changed )|(ment ac)|(multiple cpu faults)|(system.+state.+changed )|(\[timeout)|(PRM\|1\|D)|(kpr)|(kdp)|(\|lc)|(penalty))"</v>
      </c>
      <c r="AG100" s="1" t="str">
        <f t="shared" si="36"/>
        <v>EC</v>
      </c>
      <c r="AH100" s="86" t="str">
        <f t="shared" si="37"/>
        <v>"%USERPROFILE%\Documents\GitHub\eaglep3\Utilities\RefineRTDCRunTimes.py" --tripid 187-17 --locoid 4040 --swversion DE.1.0.9.0 --startMP 204:467 --initTime 2017-03-17T14:24:04 --startdatetime 2017-03-17T14:30:22 --delay 1 --endMP 204:233295 --enddatetime 2017-03-17T15:09:58 --enforcementcount 0 &gt;&gt;C:\Users\stu\Documents\GitHub\eaglep3-reporting\EC\2017-03-17-refined-times.txt</v>
      </c>
      <c r="AI100" s="108" t="str">
        <f t="shared" si="38"/>
        <v>echo {"issue":{"subject":"","project_id":79,"tracker_id":40,"status_id":1,"priority_id":2,"assigned_to_id":23,"start_date":"2017-03-17","description":"","custom_fields":[{"id":1,"name":"Subdivision","value":"EC"},{"id":4,"name":"Milepost","value":"23.3295"},{"id":17,"name":"Train ID","value":"187-17"},{"id":16,"name":"Locomotive ID","value":"4040"},{"id":130,"name":"Impact","value":""},{"id":150,"name":"Time of Event (Mountain Time)","value":"15:09:58"},{"id":151,"name":"Denver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48"/>
      <c r="AK100" s="48"/>
      <c r="AL100" s="48"/>
      <c r="AM100" s="154" t="str">
        <f t="shared" si="39"/>
        <v>start /low /b %USERPROFILE%\Documents\GitHub\eaglep3\Utilities\DownloadLogsFromS3.py --loco 4040 --day 2017-03-17</v>
      </c>
      <c r="AN100" s="163" t="str">
        <f>"grep -SE -B400 ""CHR.+\|PRM\|1\|D.+(SWITCH|SIGNAL).+UNKNOWN"" "&amp;search_path&amp;"\RTDC"&amp;B100&amp;"\*"&amp;B100&amp;"*"&amp;TEXT(AVERAGE(F100,I100)-utc_offset/24,"YYYYMMDD")&amp;"*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"%USERPROFILE%\AppData\Local\Temp\OnboardLogs"\RTDC4040\*4040*20170317* | grep -SE "(Enforcement Action)|(\[TIMEOUT)|(CHR.+\|PRM\|1\|D.+(SWITCH|SIGNAL).+UNKNOWN)" - &gt;&gt; 2017-03-17-UncaughtWiMAX.txt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25">
      <c r="A101" s="33" t="s">
        <v>636</v>
      </c>
      <c r="B101" s="7">
        <v>4039</v>
      </c>
      <c r="C101" s="21" t="s">
        <v>227</v>
      </c>
      <c r="D101" s="21" t="s">
        <v>522</v>
      </c>
      <c r="E101" s="13">
        <v>42811.639247685183</v>
      </c>
      <c r="F101" s="13">
        <v>42811.643321759257</v>
      </c>
      <c r="G101" s="7">
        <v>3</v>
      </c>
      <c r="H101" s="21" t="s">
        <v>425</v>
      </c>
      <c r="I101" s="13">
        <v>42811.674699074072</v>
      </c>
      <c r="J101" s="7">
        <v>0</v>
      </c>
      <c r="K101" s="98" t="str">
        <f t="shared" si="24"/>
        <v>4039/4040</v>
      </c>
      <c r="L101" s="21" t="str">
        <f>VLOOKUP(A101,'Trips&amp;Operators'!$C$1:$G$99999,5,FALSE)</f>
        <v>STEWART MICHAEL</v>
      </c>
      <c r="M101" s="6">
        <f t="shared" si="25"/>
        <v>3.1377314815472346E-2</v>
      </c>
      <c r="N101" s="7">
        <f t="shared" si="41"/>
        <v>45.183333334280178</v>
      </c>
      <c r="O101" s="7"/>
      <c r="P101" s="7"/>
      <c r="Q101" s="22"/>
      <c r="R101" s="22"/>
      <c r="S101" s="31">
        <f t="shared" si="40"/>
        <v>1</v>
      </c>
      <c r="T101" s="46" t="str">
        <f t="shared" si="26"/>
        <v>Southbound</v>
      </c>
      <c r="U101" s="185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86" t="str">
        <f t="shared" si="27"/>
        <v>https://d0f6bd738d7f1b3e5a7ca70fe4ff75f0.us-east-1.aws.found.io/app/kibana#/discover/Steve-Slow-Train-Analysis-(2080s-and-2083s)?_g=(refreshInterval:(display:Off,pause:!f,section:0,value:0),time:(from:'2017-03-17T14:20:31-0600',mode:absolute,to:'2017-03-17T17:11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01" s="187" t="str">
        <f t="shared" si="28"/>
        <v>N</v>
      </c>
      <c r="X101" s="187">
        <f t="shared" si="29"/>
        <v>1</v>
      </c>
      <c r="Y101" s="62">
        <f t="shared" si="30"/>
        <v>23.2972</v>
      </c>
      <c r="Z101" s="62">
        <f t="shared" si="31"/>
        <v>1.38E-2</v>
      </c>
      <c r="AA101" s="62">
        <f t="shared" si="32"/>
        <v>23.2834</v>
      </c>
      <c r="AB101" s="59" t="e">
        <f>VLOOKUP(A101,Enforcements!$C$7:$K$13,8,0)</f>
        <v>#N/A</v>
      </c>
      <c r="AC101" s="55" t="e">
        <f>VLOOKUP(A101,Enforcements!$C$7:$E$13,3,0)</f>
        <v>#N/A</v>
      </c>
      <c r="AD101" s="56" t="str">
        <f t="shared" si="33"/>
        <v>0188-17</v>
      </c>
      <c r="AE101" s="85" t="str">
        <f t="shared" si="34"/>
        <v>aws s3 cp s3://rtdc.mdm.uploadarchive.raw/RTDC4039/ "%USERPROFILE%\AppData\Local\Temp\OnboardLogs"\RTDC4039\2017-03-17 --exclude "*" --recursive --include "*20170317*" &amp; "%USERPROFILE%\Documents\GitHub\mrs-test-scripts\Headless Mode &amp; Sideloading\WalkAndUnGZ.bat" "%USERPROFILE%\AppData\Local\Temp\OnboardLogs"\RTDC4039\2017-03-17 &amp; aws s3 cp s3://rtdc.mdm.uploadarchive.raw/RTDC4039/ "%USERPROFILE%\AppData\Local\Temp\OnboardLogs"\RTDC4039\2017-03-18 --exclude "*" --recursive --include "*20170318*" &amp; "%USERPROFILE%\Documents\GitHub\mrs-test-scripts\Headless Mode &amp; Sideloading\WalkAndUnGZ.bat" "%USERPROFILE%\AppData\Local\Temp\OnboardLogs"\RTDC4039\2017-03-18</v>
      </c>
      <c r="AF101" s="82" t="str">
        <f t="shared" si="35"/>
        <v>"C:\Program Files (x86)\AstroGrep\AstroGrep.exe" /e /r /s /spath="%USERPROFILE%\AppData\Local\Temp\OnboardLogs" /stypes="app*4039*20170317*" /stext=" 22:.+((SYSTEM_STATE.+slice.+state.+changed )|(ment ac)|(multiple cpu faults)|(system.+state.+changed )|(\[timeout)|(PRM\|1\|D)|(kpr)|(kdp)|(\|lc)|(penalty))"</v>
      </c>
      <c r="AG101" s="1" t="str">
        <f t="shared" si="36"/>
        <v>EC</v>
      </c>
      <c r="AH101" s="86" t="str">
        <f t="shared" si="37"/>
        <v>"%USERPROFILE%\Documents\GitHub\eaglep3\Utilities\RefineRTDCRunTimes.py" --tripid 188-17 --locoid 4039 --swversion DE.1.0.9.0 --startMP 204:232972 --initTime 2017-03-17T15:20:31 --startdatetime 2017-03-17T15:26:23 --delay 3 --endMP 204:138 --enddatetime 2017-03-17T16:11:34 --enforcementcount 0 &gt;&gt;C:\Users\stu\Documents\GitHub\eaglep3-reporting\EC\2017-03-17-refined-times.txt</v>
      </c>
      <c r="AI101" s="108" t="str">
        <f t="shared" si="38"/>
        <v>echo {"issue":{"subject":"","project_id":79,"tracker_id":40,"status_id":1,"priority_id":2,"assigned_to_id":23,"start_date":"2017-03-17","description":"","custom_fields":[{"id":1,"name":"Subdivision","value":"EC"},{"id":4,"name":"Milepost","value":"0.0138"},{"id":17,"name":"Train ID","value":"188-17"},{"id":16,"name":"Locomotive ID","value":"4039"},{"id":130,"name":"Impact","value":""},{"id":150,"name":"Time of Event (Mountain Time)","value":"16:11:34"},{"id":151,"name":"Denver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48"/>
      <c r="AK101" s="48"/>
      <c r="AL101" s="48"/>
      <c r="AM101" s="154" t="str">
        <f t="shared" si="39"/>
        <v>start /low /b %USERPROFILE%\Documents\GitHub\eaglep3\Utilities\DownloadLogsFromS3.py --loco 4039 --day 2017-03-17</v>
      </c>
      <c r="AN101" s="163" t="str">
        <f>"grep -SE -B400 ""CHR.+\|PRM\|1\|D.+(SWITCH|SIGNAL).+UNKNOWN"" "&amp;search_path&amp;"\RTDC"&amp;B101&amp;"\*"&amp;B101&amp;"*"&amp;TEXT(AVERAGE(F101,I101)-utc_offset/24,"YYYYMMDD")&amp;"*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"%USERPROFILE%\AppData\Local\Temp\OnboardLogs"\RTDC4039\*4039*20170317* | grep -SE "(Enforcement Action)|(\[TIMEOUT)|(CHR.+\|PRM\|1\|D.+(SWITCH|SIGNAL).+UNKNOWN)" - &gt;&gt; 2017-03-17-UncaughtWiMAX.txt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3" t="s">
        <v>759</v>
      </c>
      <c r="B102" s="7">
        <v>4020</v>
      </c>
      <c r="C102" s="21" t="s">
        <v>227</v>
      </c>
      <c r="D102" s="21" t="s">
        <v>208</v>
      </c>
      <c r="E102" s="13">
        <v>42811.608611111114</v>
      </c>
      <c r="F102" s="13">
        <v>42811.614745370367</v>
      </c>
      <c r="G102" s="7">
        <v>1</v>
      </c>
      <c r="H102" s="21" t="s">
        <v>894</v>
      </c>
      <c r="I102" s="13">
        <v>42811.641736111109</v>
      </c>
      <c r="J102" s="7">
        <v>0</v>
      </c>
      <c r="K102" s="98" t="str">
        <f t="shared" si="24"/>
        <v>4019/4020</v>
      </c>
      <c r="L102" s="21" t="str">
        <f>VLOOKUP(A102,'Trips&amp;Operators'!$C$1:$G$99999,5,FALSE)</f>
        <v>ROMERO CHAD</v>
      </c>
      <c r="M102" s="6">
        <f t="shared" si="25"/>
        <v>2.6990740741894115E-2</v>
      </c>
      <c r="N102" s="7">
        <f t="shared" si="41"/>
        <v>38.866666668327525</v>
      </c>
      <c r="O102" s="7"/>
      <c r="P102" s="7"/>
      <c r="Q102" s="22"/>
      <c r="R102" s="22"/>
      <c r="S102" s="31">
        <f t="shared" si="40"/>
        <v>1</v>
      </c>
      <c r="T102" s="46" t="str">
        <f t="shared" si="26"/>
        <v>NorthBound</v>
      </c>
      <c r="U102" s="185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86" t="str">
        <f t="shared" si="27"/>
        <v>https://d0f6bd738d7f1b3e5a7ca70fe4ff75f0.us-east-1.aws.found.io/app/kibana#/discover/Steve-Slow-Train-Analysis-(2080s-and-2083s)?_g=(refreshInterval:(display:Off,pause:!f,section:0,value:0),time:(from:'2017-03-17T13:36:24-0600',mode:absolute,to:'2017-03-17T16:24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02" s="187" t="str">
        <f t="shared" si="28"/>
        <v>N</v>
      </c>
      <c r="X102" s="187">
        <f t="shared" si="29"/>
        <v>1</v>
      </c>
      <c r="Y102" s="62">
        <f t="shared" si="30"/>
        <v>4.5100000000000001E-2</v>
      </c>
      <c r="Z102" s="62">
        <f t="shared" si="31"/>
        <v>23.338899999999999</v>
      </c>
      <c r="AA102" s="62">
        <f t="shared" si="32"/>
        <v>23.293799999999997</v>
      </c>
      <c r="AB102" s="59" t="e">
        <f>VLOOKUP(A102,Enforcements!$C$7:$K$13,8,0)</f>
        <v>#N/A</v>
      </c>
      <c r="AC102" s="55" t="e">
        <f>VLOOKUP(A102,Enforcements!$C$7:$E$13,3,0)</f>
        <v>#N/A</v>
      </c>
      <c r="AD102" s="56" t="str">
        <f t="shared" si="33"/>
        <v>0189-17</v>
      </c>
      <c r="AE102" s="85" t="str">
        <f t="shared" si="34"/>
        <v>aws s3 cp s3://rtdc.mdm.uploadarchive.raw/RTDC4020/ "%USERPROFILE%\AppData\Local\Temp\OnboardLogs"\RTDC4020\2017-03-17 --exclude "*" --recursive --include "*20170317*" &amp; "%USERPROFILE%\Documents\GitHub\mrs-test-scripts\Headless Mode &amp; Sideloading\WalkAndUnGZ.bat" "%USERPROFILE%\AppData\Local\Temp\OnboardLogs"\RTDC4020\2017-03-17 &amp; aws s3 cp s3://rtdc.mdm.uploadarchive.raw/RTDC4020/ "%USERPROFILE%\AppData\Local\Temp\OnboardLogs"\RTDC4020\2017-03-18 --exclude "*" --recursive --include "*20170318*" &amp; "%USERPROFILE%\Documents\GitHub\mrs-test-scripts\Headless Mode &amp; Sideloading\WalkAndUnGZ.bat" "%USERPROFILE%\AppData\Local\Temp\OnboardLogs"\RTDC4020\2017-03-18</v>
      </c>
      <c r="AF102" s="82" t="str">
        <f t="shared" si="35"/>
        <v>"C:\Program Files (x86)\AstroGrep\AstroGrep.exe" /e /r /s /spath="%USERPROFILE%\AppData\Local\Temp\OnboardLogs" /stypes="app*4020*20170317*" /stext=" 21:.+((SYSTEM_STATE.+slice.+state.+changed )|(ment ac)|(multiple cpu faults)|(system.+state.+changed )|(\[timeout)|(PRM\|1\|D)|(kpr)|(kdp)|(\|lc)|(penalty))"</v>
      </c>
      <c r="AG102" s="1" t="str">
        <f t="shared" si="36"/>
        <v>EC</v>
      </c>
      <c r="AH102" s="86" t="str">
        <f t="shared" si="37"/>
        <v>"%USERPROFILE%\Documents\GitHub\eaglep3\Utilities\RefineRTDCRunTimes.py" --tripid 189-17 --locoid 4020 --swversion DE.1.0.9.0 --startMP 204:451 --initTime 2017-03-17T14:36:24 --startdatetime 2017-03-17T14:45:14 --delay 1 --endMP 204:233389 --enddatetime 2017-03-17T15:24:06 --enforcementcount 0 &gt;&gt;C:\Users\stu\Documents\GitHub\eaglep3-reporting\EC\2017-03-17-refined-times.txt</v>
      </c>
      <c r="AI102" s="108" t="str">
        <f t="shared" si="38"/>
        <v>echo {"issue":{"subject":"","project_id":79,"tracker_id":40,"status_id":1,"priority_id":2,"assigned_to_id":23,"start_date":"2017-03-17","description":"","custom_fields":[{"id":1,"name":"Subdivision","value":"EC"},{"id":4,"name":"Milepost","value":"23.3389"},{"id":17,"name":"Train ID","value":"189-17"},{"id":16,"name":"Locomotive ID","value":"4020"},{"id":130,"name":"Impact","value":""},{"id":150,"name":"Time of Event (Mountain Time)","value":"15:24:06"},{"id":151,"name":"Denver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48"/>
      <c r="AK102" s="48"/>
      <c r="AL102" s="48"/>
      <c r="AM102" s="154" t="str">
        <f t="shared" si="39"/>
        <v>start /low /b %USERPROFILE%\Documents\GitHub\eaglep3\Utilities\DownloadLogsFromS3.py --loco 4020 --day 2017-03-17</v>
      </c>
      <c r="AN102" s="163" t="str">
        <f>"grep -SE -B400 ""CHR.+\|PRM\|1\|D.+(SWITCH|SIGNAL).+UNKNOWN"" "&amp;search_path&amp;"\RTDC"&amp;B102&amp;"\*"&amp;B102&amp;"*"&amp;TEXT(AVERAGE(F102,I102)-utc_offset/24,"YYYYMMDD")&amp;"*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"%USERPROFILE%\AppData\Local\Temp\OnboardLogs"\RTDC4020\*4020*20170317* | grep -SE "(Enforcement Action)|(\[TIMEOUT)|(CHR.+\|PRM\|1\|D.+(SWITCH|SIGNAL).+UNKNOWN)" - &gt;&gt; 2017-03-17-UncaughtWiMAX.txt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3" t="s">
        <v>765</v>
      </c>
      <c r="B103" s="7">
        <v>4019</v>
      </c>
      <c r="C103" s="21" t="s">
        <v>227</v>
      </c>
      <c r="D103" s="21" t="s">
        <v>895</v>
      </c>
      <c r="E103" s="13">
        <v>42811.643136574072</v>
      </c>
      <c r="F103" s="13">
        <v>42811.653807870367</v>
      </c>
      <c r="G103" s="7">
        <v>1</v>
      </c>
      <c r="H103" s="21" t="s">
        <v>896</v>
      </c>
      <c r="I103" s="13">
        <v>42811.683715277781</v>
      </c>
      <c r="J103" s="7">
        <v>0</v>
      </c>
      <c r="K103" s="98" t="str">
        <f t="shared" si="24"/>
        <v>4019/4020</v>
      </c>
      <c r="L103" s="21" t="str">
        <f>VLOOKUP(A103,'Trips&amp;Operators'!$C$1:$G$99999,5,FALSE)</f>
        <v>ROMERO CHAD</v>
      </c>
      <c r="M103" s="6">
        <f t="shared" si="25"/>
        <v>2.9907407413702458E-2</v>
      </c>
      <c r="N103" s="7">
        <f t="shared" si="41"/>
        <v>43.06666667573154</v>
      </c>
      <c r="O103" s="7"/>
      <c r="P103" s="7"/>
      <c r="Q103" s="22"/>
      <c r="R103" s="22"/>
      <c r="S103" s="31">
        <f t="shared" si="40"/>
        <v>1</v>
      </c>
      <c r="T103" s="46" t="str">
        <f t="shared" si="26"/>
        <v>Southbound</v>
      </c>
      <c r="U103" s="185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86" t="str">
        <f t="shared" si="27"/>
        <v>https://d0f6bd738d7f1b3e5a7ca70fe4ff75f0.us-east-1.aws.found.io/app/kibana#/discover/Steve-Slow-Train-Analysis-(2080s-and-2083s)?_g=(refreshInterval:(display:Off,pause:!f,section:0,value:0),time:(from:'2017-03-17T14:26:07-0600',mode:absolute,to:'2017-03-17T17:24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03" s="187" t="str">
        <f t="shared" si="28"/>
        <v>N</v>
      </c>
      <c r="X103" s="187">
        <f t="shared" si="29"/>
        <v>1</v>
      </c>
      <c r="Y103" s="62">
        <f t="shared" si="30"/>
        <v>23.306699999999999</v>
      </c>
      <c r="Z103" s="62">
        <f t="shared" si="31"/>
        <v>1.34E-2</v>
      </c>
      <c r="AA103" s="62">
        <f t="shared" si="32"/>
        <v>23.293299999999999</v>
      </c>
      <c r="AB103" s="59" t="e">
        <f>VLOOKUP(A103,Enforcements!$C$7:$K$13,8,0)</f>
        <v>#N/A</v>
      </c>
      <c r="AC103" s="55" t="e">
        <f>VLOOKUP(A103,Enforcements!$C$7:$E$13,3,0)</f>
        <v>#N/A</v>
      </c>
      <c r="AD103" s="56" t="str">
        <f t="shared" si="33"/>
        <v>0190-17</v>
      </c>
      <c r="AE103" s="85" t="str">
        <f t="shared" si="34"/>
        <v>aws s3 cp s3://rtdc.mdm.uploadarchive.raw/RTDC4019/ "%USERPROFILE%\AppData\Local\Temp\OnboardLogs"\RTDC4019\2017-03-17 --exclude "*" --recursive --include "*20170317*" &amp; "%USERPROFILE%\Documents\GitHub\mrs-test-scripts\Headless Mode &amp; Sideloading\WalkAndUnGZ.bat" "%USERPROFILE%\AppData\Local\Temp\OnboardLogs"\RTDC4019\2017-03-17 &amp; aws s3 cp s3://rtdc.mdm.uploadarchive.raw/RTDC4019/ "%USERPROFILE%\AppData\Local\Temp\OnboardLogs"\RTDC4019\2017-03-18 --exclude "*" --recursive --include "*20170318*" &amp; "%USERPROFILE%\Documents\GitHub\mrs-test-scripts\Headless Mode &amp; Sideloading\WalkAndUnGZ.bat" "%USERPROFILE%\AppData\Local\Temp\OnboardLogs"\RTDC4019\2017-03-18</v>
      </c>
      <c r="AF103" s="82" t="str">
        <f t="shared" si="35"/>
        <v>"C:\Program Files (x86)\AstroGrep\AstroGrep.exe" /e /r /s /spath="%USERPROFILE%\AppData\Local\Temp\OnboardLogs" /stypes="app*4019*20170317*" /stext=" 22:.+((SYSTEM_STATE.+slice.+state.+changed )|(ment ac)|(multiple cpu faults)|(system.+state.+changed )|(\[timeout)|(PRM\|1\|D)|(kpr)|(kdp)|(\|lc)|(penalty))"</v>
      </c>
      <c r="AG103" s="1" t="str">
        <f t="shared" si="36"/>
        <v>EC</v>
      </c>
      <c r="AH103" s="86" t="str">
        <f t="shared" si="37"/>
        <v>"%USERPROFILE%\Documents\GitHub\eaglep3\Utilities\RefineRTDCRunTimes.py" --tripid 190-17 --locoid 4019 --swversion DE.1.0.9.0 --startMP 204:233067 --initTime 2017-03-17T15:26:07 --startdatetime 2017-03-17T15:41:29 --delay 1 --endMP 204:134 --enddatetime 2017-03-17T16:24:33 --enforcementcount 0 &gt;&gt;C:\Users\stu\Documents\GitHub\eaglep3-reporting\EC\2017-03-17-refined-times.txt</v>
      </c>
      <c r="AI103" s="108" t="str">
        <f t="shared" si="38"/>
        <v>echo {"issue":{"subject":"","project_id":79,"tracker_id":40,"status_id":1,"priority_id":2,"assigned_to_id":23,"start_date":"2017-03-17","description":"","custom_fields":[{"id":1,"name":"Subdivision","value":"EC"},{"id":4,"name":"Milepost","value":"0.0134"},{"id":17,"name":"Train ID","value":"190-17"},{"id":16,"name":"Locomotive ID","value":"4019"},{"id":130,"name":"Impact","value":""},{"id":150,"name":"Time of Event (Mountain Time)","value":"16:24:33"},{"id":151,"name":"Denver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48"/>
      <c r="AK103" s="48"/>
      <c r="AL103" s="48"/>
      <c r="AM103" s="154" t="str">
        <f t="shared" si="39"/>
        <v>start /low /b %USERPROFILE%\Documents\GitHub\eaglep3\Utilities\DownloadLogsFromS3.py --loco 4019 --day 2017-03-17</v>
      </c>
      <c r="AN103" s="163" t="str">
        <f>"grep -SE -B400 ""CHR.+\|PRM\|1\|D.+(SWITCH|SIGNAL).+UNKNOWN"" "&amp;search_path&amp;"\RTDC"&amp;B103&amp;"\*"&amp;B103&amp;"*"&amp;TEXT(AVERAGE(F103,I103)-utc_offset/24,"YYYYMMDD")&amp;"*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"%USERPROFILE%\AppData\Local\Temp\OnboardLogs"\RTDC4019\*4019*20170317* | grep -SE "(Enforcement Action)|(\[TIMEOUT)|(CHR.+\|PRM\|1\|D.+(SWITCH|SIGNAL).+UNKNOWN)" - &gt;&gt; 2017-03-17-UncaughtWiMAX.txt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3" t="s">
        <v>762</v>
      </c>
      <c r="B104" s="7">
        <v>4002</v>
      </c>
      <c r="C104" s="21" t="s">
        <v>227</v>
      </c>
      <c r="D104" s="21" t="s">
        <v>216</v>
      </c>
      <c r="E104" s="13">
        <v>42811.623935185184</v>
      </c>
      <c r="F104" s="13">
        <v>42811.625937500001</v>
      </c>
      <c r="G104" s="7">
        <v>1</v>
      </c>
      <c r="H104" s="21" t="s">
        <v>867</v>
      </c>
      <c r="I104" s="13">
        <v>42811.658460648148</v>
      </c>
      <c r="J104" s="7">
        <v>0</v>
      </c>
      <c r="K104" s="98" t="str">
        <f t="shared" si="24"/>
        <v>4001/4002</v>
      </c>
      <c r="L104" s="21" t="str">
        <f>VLOOKUP(A104,'Trips&amp;Operators'!$C$1:$G$99999,5,FALSE)</f>
        <v>CLARK KATHLEEN</v>
      </c>
      <c r="M104" s="6">
        <f t="shared" si="25"/>
        <v>3.25231481474475E-2</v>
      </c>
      <c r="N104" s="7">
        <f t="shared" si="41"/>
        <v>46.833333332324401</v>
      </c>
      <c r="O104" s="7"/>
      <c r="P104" s="7"/>
      <c r="Q104" s="22"/>
      <c r="R104" s="22"/>
      <c r="S104" s="31">
        <f t="shared" si="40"/>
        <v>1</v>
      </c>
      <c r="T104" s="46" t="str">
        <f t="shared" si="26"/>
        <v>NorthBound</v>
      </c>
      <c r="U104" s="185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86" t="str">
        <f t="shared" si="27"/>
        <v>https://d0f6bd738d7f1b3e5a7ca70fe4ff75f0.us-east-1.aws.found.io/app/kibana#/discover/Steve-Slow-Train-Analysis-(2080s-and-2083s)?_g=(refreshInterval:(display:Off,pause:!f,section:0,value:0),time:(from:'2017-03-17T13:58:28-0600',mode:absolute,to:'2017-03-17T16:48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04" s="187" t="str">
        <f t="shared" si="28"/>
        <v>N</v>
      </c>
      <c r="X104" s="187">
        <f t="shared" si="29"/>
        <v>1</v>
      </c>
      <c r="Y104" s="62">
        <f t="shared" si="30"/>
        <v>4.5499999999999999E-2</v>
      </c>
      <c r="Z104" s="62">
        <f t="shared" si="31"/>
        <v>23.33</v>
      </c>
      <c r="AA104" s="62">
        <f t="shared" si="32"/>
        <v>23.284499999999998</v>
      </c>
      <c r="AB104" s="59" t="e">
        <f>VLOOKUP(A104,Enforcements!$C$7:$K$13,8,0)</f>
        <v>#N/A</v>
      </c>
      <c r="AC104" s="55" t="e">
        <f>VLOOKUP(A104,Enforcements!$C$7:$E$13,3,0)</f>
        <v>#N/A</v>
      </c>
      <c r="AD104" s="56" t="str">
        <f t="shared" si="33"/>
        <v>0191-17</v>
      </c>
      <c r="AE104" s="85" t="str">
        <f t="shared" si="34"/>
        <v>aws s3 cp s3://rtdc.mdm.uploadarchive.raw/RTDC4002/ "%USERPROFILE%\AppData\Local\Temp\OnboardLogs"\RTDC4002\2017-03-17 --exclude "*" --recursive --include "*20170317*" &amp; "%USERPROFILE%\Documents\GitHub\mrs-test-scripts\Headless Mode &amp; Sideloading\WalkAndUnGZ.bat" "%USERPROFILE%\AppData\Local\Temp\OnboardLogs"\RTDC4002\2017-03-17 &amp; aws s3 cp s3://rtdc.mdm.uploadarchive.raw/RTDC4002/ "%USERPROFILE%\AppData\Local\Temp\OnboardLogs"\RTDC4002\2017-03-18 --exclude "*" --recursive --include "*20170318*" &amp; "%USERPROFILE%\Documents\GitHub\mrs-test-scripts\Headless Mode &amp; Sideloading\WalkAndUnGZ.bat" "%USERPROFILE%\AppData\Local\Temp\OnboardLogs"\RTDC4002\2017-03-18</v>
      </c>
      <c r="AF104" s="82" t="str">
        <f t="shared" si="35"/>
        <v>"C:\Program Files (x86)\AstroGrep\AstroGrep.exe" /e /r /s /spath="%USERPROFILE%\AppData\Local\Temp\OnboardLogs" /stypes="app*4002*20170317*" /stext=" 21:.+((SYSTEM_STATE.+slice.+state.+changed )|(ment ac)|(multiple cpu faults)|(system.+state.+changed )|(\[timeout)|(PRM\|1\|D)|(kpr)|(kdp)|(\|lc)|(penalty))"</v>
      </c>
      <c r="AG104" s="1" t="str">
        <f t="shared" si="36"/>
        <v>EC</v>
      </c>
      <c r="AH104" s="86" t="str">
        <f t="shared" si="37"/>
        <v>"%USERPROFILE%\Documents\GitHub\eaglep3\Utilities\RefineRTDCRunTimes.py" --tripid 191-17 --locoid 4002 --swversion DE.1.0.9.0 --startMP 204:455 --initTime 2017-03-17T14:58:28 --startdatetime 2017-03-17T15:01:21 --delay 1 --endMP 204:233300 --enddatetime 2017-03-17T15:48:11 --enforcementcount 0 &gt;&gt;C:\Users\stu\Documents\GitHub\eaglep3-reporting\EC\2017-03-17-refined-times.txt</v>
      </c>
      <c r="AI104" s="108" t="str">
        <f t="shared" si="38"/>
        <v>echo {"issue":{"subject":"","project_id":79,"tracker_id":40,"status_id":1,"priority_id":2,"assigned_to_id":23,"start_date":"2017-03-17","description":"","custom_fields":[{"id":1,"name":"Subdivision","value":"EC"},{"id":4,"name":"Milepost","value":"23.33"},{"id":17,"name":"Train ID","value":"191-17"},{"id":16,"name":"Locomotive ID","value":"4002"},{"id":130,"name":"Impact","value":""},{"id":150,"name":"Time of Event (Mountain Time)","value":"15:48:11"},{"id":151,"name":"Denver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48"/>
      <c r="AK104" s="48"/>
      <c r="AL104" s="48"/>
      <c r="AM104" s="154" t="str">
        <f t="shared" si="39"/>
        <v>start /low /b %USERPROFILE%\Documents\GitHub\eaglep3\Utilities\DownloadLogsFromS3.py --loco 4002 --day 2017-03-17</v>
      </c>
      <c r="AN104" s="163" t="str">
        <f>"grep -SE -B400 ""CHR.+\|PRM\|1\|D.+(SWITCH|SIGNAL).+UNKNOWN"" "&amp;search_path&amp;"\RTDC"&amp;B104&amp;"\*"&amp;B104&amp;"*"&amp;TEXT(AVERAGE(F104,I104)-utc_offset/24,"YYYYMMDD")&amp;"*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"%USERPROFILE%\AppData\Local\Temp\OnboardLogs"\RTDC4002\*4002*20170317* | grep -SE "(Enforcement Action)|(\[TIMEOUT)|(CHR.+\|PRM\|1\|D.+(SWITCH|SIGNAL).+UNKNOWN)" - &gt;&gt; 2017-03-17-UncaughtWiMAX.txt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3" t="s">
        <v>769</v>
      </c>
      <c r="B105" s="7">
        <v>4001</v>
      </c>
      <c r="C105" s="21" t="s">
        <v>227</v>
      </c>
      <c r="D105" s="21" t="s">
        <v>514</v>
      </c>
      <c r="E105" s="13">
        <v>42811.661377314813</v>
      </c>
      <c r="F105" s="13">
        <v>42811.664050925923</v>
      </c>
      <c r="G105" s="7">
        <v>1</v>
      </c>
      <c r="H105" s="21" t="s">
        <v>897</v>
      </c>
      <c r="I105" s="13">
        <v>42811.696793981479</v>
      </c>
      <c r="J105" s="7">
        <v>0</v>
      </c>
      <c r="K105" s="98" t="str">
        <f t="shared" si="24"/>
        <v>4001/4002</v>
      </c>
      <c r="L105" s="21" t="str">
        <f>VLOOKUP(A105,'Trips&amp;Operators'!$C$1:$G$99999,5,FALSE)</f>
        <v>CLARK KATHLEEN</v>
      </c>
      <c r="M105" s="6">
        <f t="shared" si="25"/>
        <v>3.2743055555329192E-2</v>
      </c>
      <c r="N105" s="7">
        <f t="shared" si="41"/>
        <v>47.149999999674037</v>
      </c>
      <c r="O105" s="7"/>
      <c r="P105" s="7"/>
      <c r="Q105" s="22"/>
      <c r="R105" s="22"/>
      <c r="S105" s="31">
        <f t="shared" si="40"/>
        <v>1</v>
      </c>
      <c r="T105" s="46" t="str">
        <f t="shared" si="26"/>
        <v>Southbound</v>
      </c>
      <c r="U105" s="185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86" t="str">
        <f t="shared" si="27"/>
        <v>https://d0f6bd738d7f1b3e5a7ca70fe4ff75f0.us-east-1.aws.found.io/app/kibana#/discover/Steve-Slow-Train-Analysis-(2080s-and-2083s)?_g=(refreshInterval:(display:Off,pause:!f,section:0,value:0),time:(from:'2017-03-17T14:52:23-0600',mode:absolute,to:'2017-03-17T17:43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05" s="187" t="str">
        <f t="shared" si="28"/>
        <v>N</v>
      </c>
      <c r="X105" s="187">
        <f t="shared" si="29"/>
        <v>1</v>
      </c>
      <c r="Y105" s="62">
        <f t="shared" si="30"/>
        <v>23.297599999999999</v>
      </c>
      <c r="Z105" s="62">
        <f t="shared" si="31"/>
        <v>1.7000000000000001E-2</v>
      </c>
      <c r="AA105" s="62">
        <f t="shared" si="32"/>
        <v>23.2806</v>
      </c>
      <c r="AB105" s="59" t="e">
        <f>VLOOKUP(A105,Enforcements!$C$7:$K$13,8,0)</f>
        <v>#N/A</v>
      </c>
      <c r="AC105" s="55" t="e">
        <f>VLOOKUP(A105,Enforcements!$C$7:$E$13,3,0)</f>
        <v>#N/A</v>
      </c>
      <c r="AD105" s="56" t="str">
        <f t="shared" si="33"/>
        <v>0192-17</v>
      </c>
      <c r="AE105" s="85" t="str">
        <f t="shared" si="34"/>
        <v>aws s3 cp s3://rtdc.mdm.uploadarchive.raw/RTDC4001/ "%USERPROFILE%\AppData\Local\Temp\OnboardLogs"\RTDC4001\2017-03-17 --exclude "*" --recursive --include "*20170317*" &amp; "%USERPROFILE%\Documents\GitHub\mrs-test-scripts\Headless Mode &amp; Sideloading\WalkAndUnGZ.bat" "%USERPROFILE%\AppData\Local\Temp\OnboardLogs"\RTDC4001\2017-03-17 &amp; aws s3 cp s3://rtdc.mdm.uploadarchive.raw/RTDC4001/ "%USERPROFILE%\AppData\Local\Temp\OnboardLogs"\RTDC4001\2017-03-18 --exclude "*" --recursive --include "*20170318*" &amp; "%USERPROFILE%\Documents\GitHub\mrs-test-scripts\Headless Mode &amp; Sideloading\WalkAndUnGZ.bat" "%USERPROFILE%\AppData\Local\Temp\OnboardLogs"\RTDC4001\2017-03-18</v>
      </c>
      <c r="AF105" s="82" t="str">
        <f t="shared" si="35"/>
        <v>"C:\Program Files (x86)\AstroGrep\AstroGrep.exe" /e /r /s /spath="%USERPROFILE%\AppData\Local\Temp\OnboardLogs" /stypes="app*4001*20170317*" /stext=" 22:.+((SYSTEM_STATE.+slice.+state.+changed )|(ment ac)|(multiple cpu faults)|(system.+state.+changed )|(\[timeout)|(PRM\|1\|D)|(kpr)|(kdp)|(\|lc)|(penalty))"</v>
      </c>
      <c r="AG105" s="1" t="str">
        <f t="shared" si="36"/>
        <v>EC</v>
      </c>
      <c r="AH105" s="86" t="str">
        <f t="shared" si="37"/>
        <v>"%USERPROFILE%\Documents\GitHub\eaglep3\Utilities\RefineRTDCRunTimes.py" --tripid 192-17 --locoid 4001 --swversion DE.1.0.9.0 --startMP 204:232976 --initTime 2017-03-17T15:52:23 --startdatetime 2017-03-17T15:56:14 --delay 1 --endMP 204:170 --enddatetime 2017-03-17T16:43:23 --enforcementcount 0 &gt;&gt;C:\Users\stu\Documents\GitHub\eaglep3-reporting\EC\2017-03-17-refined-times.txt</v>
      </c>
      <c r="AI105" s="108" t="str">
        <f t="shared" si="38"/>
        <v>echo {"issue":{"subject":"","project_id":79,"tracker_id":40,"status_id":1,"priority_id":2,"assigned_to_id":23,"start_date":"2017-03-17","description":"","custom_fields":[{"id":1,"name":"Subdivision","value":"EC"},{"id":4,"name":"Milepost","value":"0.017"},{"id":17,"name":"Train ID","value":"192-17"},{"id":16,"name":"Locomotive ID","value":"4001"},{"id":130,"name":"Impact","value":""},{"id":150,"name":"Time of Event (Mountain Time)","value":"16:43:23"},{"id":151,"name":"Denver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48"/>
      <c r="AK105" s="48"/>
      <c r="AL105" s="48"/>
      <c r="AM105" s="154" t="str">
        <f t="shared" si="39"/>
        <v>start /low /b %USERPROFILE%\Documents\GitHub\eaglep3\Utilities\DownloadLogsFromS3.py --loco 4001 --day 2017-03-17</v>
      </c>
      <c r="AN105" s="163" t="str">
        <f>"grep -SE -B400 ""CHR.+\|PRM\|1\|D.+(SWITCH|SIGNAL).+UNKNOWN"" "&amp;search_path&amp;"\RTDC"&amp;B105&amp;"\*"&amp;B105&amp;"*"&amp;TEXT(AVERAGE(F105,I105)-utc_offset/24,"YYYYMMDD")&amp;"*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"%USERPROFILE%\AppData\Local\Temp\OnboardLogs"\RTDC4001\*4001*20170317* | grep -SE "(Enforcement Action)|(\[TIMEOUT)|(CHR.+\|PRM\|1\|D.+(SWITCH|SIGNAL).+UNKNOWN)" - &gt;&gt; 2017-03-17-UncaughtWiMAX.txt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3" t="s">
        <v>633</v>
      </c>
      <c r="B106" s="7">
        <v>4018</v>
      </c>
      <c r="C106" s="21" t="s">
        <v>227</v>
      </c>
      <c r="D106" s="21" t="s">
        <v>564</v>
      </c>
      <c r="E106" s="13">
        <v>42811.633599537039</v>
      </c>
      <c r="F106" s="13">
        <v>42811.635775462964</v>
      </c>
      <c r="G106" s="7">
        <v>1</v>
      </c>
      <c r="H106" s="21" t="s">
        <v>384</v>
      </c>
      <c r="I106" s="13">
        <v>42811.664398148147</v>
      </c>
      <c r="J106" s="7">
        <v>0</v>
      </c>
      <c r="K106" s="98" t="str">
        <f t="shared" si="24"/>
        <v>4017/4018</v>
      </c>
      <c r="L106" s="21" t="str">
        <f>VLOOKUP(A106,'Trips&amp;Operators'!$C$1:$G$99999,5,FALSE)</f>
        <v>BRUDER RICHARD</v>
      </c>
      <c r="M106" s="6">
        <f t="shared" si="25"/>
        <v>2.8622685182199348E-2</v>
      </c>
      <c r="N106" s="7">
        <f t="shared" si="41"/>
        <v>41.216666662367061</v>
      </c>
      <c r="O106" s="7"/>
      <c r="P106" s="7"/>
      <c r="Q106" s="22"/>
      <c r="R106" s="22"/>
      <c r="S106" s="31">
        <f t="shared" si="40"/>
        <v>1</v>
      </c>
      <c r="T106" s="46" t="str">
        <f t="shared" si="26"/>
        <v>NorthBound</v>
      </c>
      <c r="U106" s="185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86" t="str">
        <f t="shared" si="27"/>
        <v>https://d0f6bd738d7f1b3e5a7ca70fe4ff75f0.us-east-1.aws.found.io/app/kibana#/discover/Steve-Slow-Train-Analysis-(2080s-and-2083s)?_g=(refreshInterval:(display:Off,pause:!f,section:0,value:0),time:(from:'2017-03-17T14:12:23-0600',mode:absolute,to:'2017-03-17T16:56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06" s="187" t="str">
        <f t="shared" si="28"/>
        <v>N</v>
      </c>
      <c r="X106" s="187">
        <f t="shared" ref="X106:X109" si="42">VALUE(LEFT(AD106,4))-VALUE(LEFT(AD105,4))</f>
        <v>1</v>
      </c>
      <c r="Y106" s="62">
        <f t="shared" si="30"/>
        <v>4.4400000000000002E-2</v>
      </c>
      <c r="Z106" s="62">
        <f t="shared" si="31"/>
        <v>23.3307</v>
      </c>
      <c r="AA106" s="62">
        <f t="shared" si="32"/>
        <v>23.286300000000001</v>
      </c>
      <c r="AB106" s="59" t="e">
        <f>VLOOKUP(A106,Enforcements!$C$7:$K$13,8,0)</f>
        <v>#N/A</v>
      </c>
      <c r="AC106" s="55" t="e">
        <f>VLOOKUP(A106,Enforcements!$C$7:$E$13,3,0)</f>
        <v>#N/A</v>
      </c>
      <c r="AD106" s="56" t="str">
        <f t="shared" si="33"/>
        <v>0193-17</v>
      </c>
      <c r="AE106" s="85" t="str">
        <f t="shared" si="34"/>
        <v>aws s3 cp s3://rtdc.mdm.uploadarchive.raw/RTDC4018/ "%USERPROFILE%\AppData\Local\Temp\OnboardLogs"\RTDC4018\2017-03-17 --exclude "*" --recursive --include "*20170317*" &amp; "%USERPROFILE%\Documents\GitHub\mrs-test-scripts\Headless Mode &amp; Sideloading\WalkAndUnGZ.bat" "%USERPROFILE%\AppData\Local\Temp\OnboardLogs"\RTDC4018\2017-03-17 &amp; aws s3 cp s3://rtdc.mdm.uploadarchive.raw/RTDC4018/ "%USERPROFILE%\AppData\Local\Temp\OnboardLogs"\RTDC4018\2017-03-18 --exclude "*" --recursive --include "*20170318*" &amp; "%USERPROFILE%\Documents\GitHub\mrs-test-scripts\Headless Mode &amp; Sideloading\WalkAndUnGZ.bat" "%USERPROFILE%\AppData\Local\Temp\OnboardLogs"\RTDC4018\2017-03-18</v>
      </c>
      <c r="AF106" s="82" t="str">
        <f t="shared" si="35"/>
        <v>"C:\Program Files (x86)\AstroGrep\AstroGrep.exe" /e /r /s /spath="%USERPROFILE%\AppData\Local\Temp\OnboardLogs" /stypes="app*4018*20170317*" /stext=" 21:.+((SYSTEM_STATE.+slice.+state.+changed )|(ment ac)|(multiple cpu faults)|(system.+state.+changed )|(\[timeout)|(PRM\|1\|D)|(kpr)|(kdp)|(\|lc)|(penalty))"</v>
      </c>
      <c r="AG106" s="1" t="str">
        <f t="shared" si="36"/>
        <v>EC</v>
      </c>
      <c r="AH106" s="86" t="str">
        <f t="shared" si="37"/>
        <v>"%USERPROFILE%\Documents\GitHub\eaglep3\Utilities\RefineRTDCRunTimes.py" --tripid 193-17 --locoid 4018 --swversion DE.1.0.9.0 --startMP 204:444 --initTime 2017-03-17T15:12:23 --startdatetime 2017-03-17T15:15:31 --delay 1 --endMP 204:233307 --enddatetime 2017-03-17T15:56:44 --enforcementcount 0 &gt;&gt;C:\Users\stu\Documents\GitHub\eaglep3-reporting\EC\2017-03-17-refined-times.txt</v>
      </c>
      <c r="AI106" s="108" t="str">
        <f t="shared" si="38"/>
        <v>echo {"issue":{"subject":"","project_id":79,"tracker_id":40,"status_id":1,"priority_id":2,"assigned_to_id":23,"start_date":"2017-03-17","description":"","custom_fields":[{"id":1,"name":"Subdivision","value":"EC"},{"id":4,"name":"Milepost","value":"23.3307"},{"id":17,"name":"Train ID","value":"193-17"},{"id":16,"name":"Locomotive ID","value":"4018"},{"id":130,"name":"Impact","value":""},{"id":150,"name":"Time of Event (Mountain Time)","value":"15:56:44"},{"id":151,"name":"Denver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48"/>
      <c r="AK106" s="48"/>
      <c r="AL106" s="48"/>
      <c r="AM106" s="154" t="str">
        <f t="shared" si="39"/>
        <v>start /low /b %USERPROFILE%\Documents\GitHub\eaglep3\Utilities\DownloadLogsFromS3.py --loco 4018 --day 2017-03-17</v>
      </c>
      <c r="AN106" s="163" t="str">
        <f>"grep -SE -B400 ""CHR.+\|PRM\|1\|D.+(SWITCH|SIGNAL).+UNKNOWN"" "&amp;search_path&amp;"\RTDC"&amp;B106&amp;"\*"&amp;B106&amp;"*"&amp;TEXT(AVERAGE(F106,I106)-utc_offset/24,"YYYYMMDD")&amp;"*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"%USERPROFILE%\AppData\Local\Temp\OnboardLogs"\RTDC4018\*4018*20170317* | grep -SE "(Enforcement Action)|(\[TIMEOUT)|(CHR.+\|PRM\|1\|D.+(SWITCH|SIGNAL).+UNKNOWN)" - &gt;&gt; 2017-03-17-UncaughtWiMAX.txt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3" t="s">
        <v>639</v>
      </c>
      <c r="B107" s="7">
        <v>4017</v>
      </c>
      <c r="C107" s="21" t="s">
        <v>227</v>
      </c>
      <c r="D107" s="21" t="s">
        <v>571</v>
      </c>
      <c r="E107" s="13">
        <v>42811.669131944444</v>
      </c>
      <c r="F107" s="13">
        <v>42811.671111111114</v>
      </c>
      <c r="G107" s="7">
        <v>13</v>
      </c>
      <c r="H107" s="21" t="s">
        <v>573</v>
      </c>
      <c r="I107" s="13">
        <v>42811.711504629631</v>
      </c>
      <c r="J107" s="7">
        <v>0</v>
      </c>
      <c r="K107" s="98" t="str">
        <f t="shared" si="24"/>
        <v>4017/4018</v>
      </c>
      <c r="L107" s="21" t="str">
        <f>VLOOKUP(A107,'Trips&amp;Operators'!$C$1:$G$99999,5,FALSE)</f>
        <v>BRUDER RICHARD</v>
      </c>
      <c r="M107" s="6">
        <f t="shared" si="25"/>
        <v>4.0393518516793847E-2</v>
      </c>
      <c r="N107" s="7">
        <f t="shared" si="41"/>
        <v>58.16666666418314</v>
      </c>
      <c r="O107" s="7"/>
      <c r="P107" s="7"/>
      <c r="Q107" s="22"/>
      <c r="R107" s="22" t="s">
        <v>608</v>
      </c>
      <c r="S107" s="31">
        <f t="shared" si="40"/>
        <v>1</v>
      </c>
      <c r="T107" s="46" t="str">
        <f t="shared" si="26"/>
        <v>Southbound</v>
      </c>
      <c r="U107" s="185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86" t="str">
        <f t="shared" si="27"/>
        <v>https://d0f6bd738d7f1b3e5a7ca70fe4ff75f0.us-east-1.aws.found.io/app/kibana#/discover/Steve-Slow-Train-Analysis-(2080s-and-2083s)?_g=(refreshInterval:(display:Off,pause:!f,section:0,value:0),time:(from:'2017-03-17T15:03:33-0600',mode:absolute,to:'2017-03-17T18:04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07" s="187" t="str">
        <f t="shared" si="28"/>
        <v>N</v>
      </c>
      <c r="X107" s="187">
        <f t="shared" si="42"/>
        <v>1</v>
      </c>
      <c r="Y107" s="62">
        <f t="shared" si="30"/>
        <v>23.298999999999999</v>
      </c>
      <c r="Z107" s="62">
        <f t="shared" si="31"/>
        <v>0.1154</v>
      </c>
      <c r="AA107" s="62">
        <f t="shared" si="32"/>
        <v>23.183599999999998</v>
      </c>
      <c r="AB107" s="59" t="e">
        <f>VLOOKUP(A107,Enforcements!$C$7:$K$13,8,0)</f>
        <v>#N/A</v>
      </c>
      <c r="AC107" s="55" t="e">
        <f>VLOOKUP(A107,Enforcements!$C$7:$E$13,3,0)</f>
        <v>#N/A</v>
      </c>
      <c r="AD107" s="56" t="str">
        <f t="shared" si="33"/>
        <v>0194-17</v>
      </c>
      <c r="AE107" s="85" t="str">
        <f t="shared" si="34"/>
        <v>aws s3 cp s3://rtdc.mdm.uploadarchive.raw/RTDC4017/ "%USERPROFILE%\AppData\Local\Temp\OnboardLogs"\RTDC4017\2017-03-17 --exclude "*" --recursive --include "*20170317*" &amp; "%USERPROFILE%\Documents\GitHub\mrs-test-scripts\Headless Mode &amp; Sideloading\WalkAndUnGZ.bat" "%USERPROFILE%\AppData\Local\Temp\OnboardLogs"\RTDC4017\2017-03-17 &amp; aws s3 cp s3://rtdc.mdm.uploadarchive.raw/RTDC4017/ "%USERPROFILE%\AppData\Local\Temp\OnboardLogs"\RTDC4017\2017-03-18 --exclude "*" --recursive --include "*20170318*" &amp; "%USERPROFILE%\Documents\GitHub\mrs-test-scripts\Headless Mode &amp; Sideloading\WalkAndUnGZ.bat" "%USERPROFILE%\AppData\Local\Temp\OnboardLogs"\RTDC4017\2017-03-18</v>
      </c>
      <c r="AF107" s="82" t="str">
        <f t="shared" si="35"/>
        <v>"C:\Program Files (x86)\AstroGrep\AstroGrep.exe" /e /r /s /spath="%USERPROFILE%\AppData\Local\Temp\OnboardLogs" /stypes="app*4017*20170317*" /stext=" 23:.+((SYSTEM_STATE.+slice.+state.+changed )|(ment ac)|(multiple cpu faults)|(system.+state.+changed )|(\[timeout)|(PRM\|1\|D)|(kpr)|(kdp)|(\|lc)|(penalty))"</v>
      </c>
      <c r="AG107" s="1" t="str">
        <f t="shared" si="36"/>
        <v>EC</v>
      </c>
      <c r="AH107" s="86" t="str">
        <f t="shared" si="37"/>
        <v>"%USERPROFILE%\Documents\GitHub\eaglep3\Utilities\RefineRTDCRunTimes.py" --tripid 194-17 --locoid 4017 --swversion DE.1.0.9.0 --startMP 204:232990 --initTime 2017-03-17T16:03:33 --startdatetime 2017-03-17T16:06:24 --delay 13 --endMP 204:1154 --enddatetime 2017-03-17T17:04:34 --enforcementcount 0 &gt;&gt;C:\Users\stu\Documents\GitHub\eaglep3-reporting\EC\2017-03-17-refined-times.txt</v>
      </c>
      <c r="AI107" s="108" t="str">
        <f t="shared" si="38"/>
        <v>echo {"issue":{"subject":"Delayed by onboard in-route failure","project_id":79,"tracker_id":40,"status_id":1,"priority_id":2,"assigned_to_id":23,"start_date":"2017-03-17","description":"","custom_fields":[{"id":1,"name":"Subdivision","value":"EC"},{"id":4,"name":"Milepost","value":"0.1154"},{"id":17,"name":"Train ID","value":"194-17"},{"id":16,"name":"Locomotive ID","value":"4017"},{"id":130,"name":"Impact","value":""},{"id":150,"name":"Time of Event (Mountain Time)","value":"17:04:34"},{"id":151,"name":"Denver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48"/>
      <c r="AK107" s="48"/>
      <c r="AL107" s="48"/>
      <c r="AM107" s="154" t="str">
        <f t="shared" si="39"/>
        <v>start /low /b %USERPROFILE%\Documents\GitHub\eaglep3\Utilities\DownloadLogsFromS3.py --loco 4017 --day 2017-03-17</v>
      </c>
      <c r="AN107" s="163" t="str">
        <f>"grep -SE -B400 ""CHR.+\|PRM\|1\|D.+(SWITCH|SIGNAL).+UNKNOWN"" "&amp;search_path&amp;"\RTDC"&amp;B107&amp;"\*"&amp;B107&amp;"*"&amp;TEXT(AVERAGE(F107,I107)-utc_offset/24,"YYYYMMDD")&amp;"*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"%USERPROFILE%\AppData\Local\Temp\OnboardLogs"\RTDC4017\*4017*20170317* | grep -SE "(Enforcement Action)|(\[TIMEOUT)|(CHR.+\|PRM\|1\|D.+(SWITCH|SIGNAL).+UNKNOWN)" - &gt;&gt; 2017-03-17-UncaughtWiMAX.txt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3" t="s">
        <v>766</v>
      </c>
      <c r="B108" s="7">
        <v>4053</v>
      </c>
      <c r="C108" s="21" t="s">
        <v>227</v>
      </c>
      <c r="D108" s="21" t="s">
        <v>517</v>
      </c>
      <c r="E108" s="13">
        <v>42811.644826388889</v>
      </c>
      <c r="F108" s="13">
        <v>42811.646145833336</v>
      </c>
      <c r="G108" s="7">
        <v>1</v>
      </c>
      <c r="H108" s="21" t="s">
        <v>568</v>
      </c>
      <c r="I108" s="13">
        <v>42811.673101851855</v>
      </c>
      <c r="J108" s="7">
        <v>0</v>
      </c>
      <c r="K108" s="98" t="str">
        <f t="shared" si="24"/>
        <v>4053/4054</v>
      </c>
      <c r="L108" s="21" t="str">
        <f>VLOOKUP(A108,'Trips&amp;Operators'!$C$1:$G$99999,5,FALSE)</f>
        <v>HELVIE ADAM</v>
      </c>
      <c r="M108" s="6">
        <f t="shared" si="25"/>
        <v>2.6956018518831115E-2</v>
      </c>
      <c r="N108" s="7">
        <f t="shared" si="41"/>
        <v>38.816666667116806</v>
      </c>
      <c r="O108" s="7"/>
      <c r="P108" s="7"/>
      <c r="Q108" s="22"/>
      <c r="R108" s="22"/>
      <c r="S108" s="31">
        <f t="shared" si="40"/>
        <v>1</v>
      </c>
      <c r="T108" s="46" t="str">
        <f t="shared" si="26"/>
        <v>NorthBound</v>
      </c>
      <c r="U108" s="185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86" t="str">
        <f t="shared" si="27"/>
        <v>https://d0f6bd738d7f1b3e5a7ca70fe4ff75f0.us-east-1.aws.found.io/app/kibana#/discover/Steve-Slow-Train-Analysis-(2080s-and-2083s)?_g=(refreshInterval:(display:Off,pause:!f,section:0,value:0),time:(from:'2017-03-17T14:28:33-0600',mode:absolute,to:'2017-03-17T17:09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08" s="187" t="str">
        <f t="shared" si="28"/>
        <v>N</v>
      </c>
      <c r="X108" s="187">
        <f t="shared" si="42"/>
        <v>1</v>
      </c>
      <c r="Y108" s="62">
        <f t="shared" si="30"/>
        <v>4.3700000000000003E-2</v>
      </c>
      <c r="Z108" s="62">
        <f t="shared" si="31"/>
        <v>23.330200000000001</v>
      </c>
      <c r="AA108" s="62">
        <f t="shared" si="32"/>
        <v>23.2865</v>
      </c>
      <c r="AB108" s="59" t="e">
        <f>VLOOKUP(A108,Enforcements!$C$7:$K$13,8,0)</f>
        <v>#N/A</v>
      </c>
      <c r="AC108" s="55" t="e">
        <f>VLOOKUP(A108,Enforcements!$C$7:$E$13,3,0)</f>
        <v>#N/A</v>
      </c>
      <c r="AD108" s="56" t="str">
        <f t="shared" si="33"/>
        <v>0195-17</v>
      </c>
      <c r="AE108" s="85" t="str">
        <f t="shared" si="34"/>
        <v>aws s3 cp s3://rtdc.mdm.uploadarchive.raw/RTDC4053/ "%USERPROFILE%\AppData\Local\Temp\OnboardLogs"\RTDC4053\2017-03-17 --exclude "*" --recursive --include "*20170317*" &amp; "%USERPROFILE%\Documents\GitHub\mrs-test-scripts\Headless Mode &amp; Sideloading\WalkAndUnGZ.bat" "%USERPROFILE%\AppData\Local\Temp\OnboardLogs"\RTDC4053\2017-03-17 &amp; aws s3 cp s3://rtdc.mdm.uploadarchive.raw/RTDC4053/ "%USERPROFILE%\AppData\Local\Temp\OnboardLogs"\RTDC4053\2017-03-18 --exclude "*" --recursive --include "*20170318*" &amp; "%USERPROFILE%\Documents\GitHub\mrs-test-scripts\Headless Mode &amp; Sideloading\WalkAndUnGZ.bat" "%USERPROFILE%\AppData\Local\Temp\OnboardLogs"\RTDC4053\2017-03-18</v>
      </c>
      <c r="AF108" s="82" t="str">
        <f t="shared" si="35"/>
        <v>"C:\Program Files (x86)\AstroGrep\AstroGrep.exe" /e /r /s /spath="%USERPROFILE%\AppData\Local\Temp\OnboardLogs" /stypes="app*4053*20170317*" /stext=" 22:.+((SYSTEM_STATE.+slice.+state.+changed )|(ment ac)|(multiple cpu faults)|(system.+state.+changed )|(\[timeout)|(PRM\|1\|D)|(kpr)|(kdp)|(\|lc)|(penalty))"</v>
      </c>
      <c r="AG108" s="1" t="str">
        <f t="shared" si="36"/>
        <v>EC</v>
      </c>
      <c r="AH108" s="86" t="str">
        <f t="shared" si="37"/>
        <v>"%USERPROFILE%\Documents\GitHub\eaglep3\Utilities\RefineRTDCRunTimes.py" --tripid 195-17 --locoid 4053 --swversion DE.1.0.9.0 --startMP 204:437 --initTime 2017-03-17T15:28:33 --startdatetime 2017-03-17T15:30:27 --delay 1 --endMP 204:233302 --enddatetime 2017-03-17T16:09:16 --enforcementcount 0 &gt;&gt;C:\Users\stu\Documents\GitHub\eaglep3-reporting\EC\2017-03-17-refined-times.txt</v>
      </c>
      <c r="AI108" s="108" t="str">
        <f t="shared" si="38"/>
        <v>echo {"issue":{"subject":"","project_id":79,"tracker_id":40,"status_id":1,"priority_id":2,"assigned_to_id":23,"start_date":"2017-03-17","description":"","custom_fields":[{"id":1,"name":"Subdivision","value":"EC"},{"id":4,"name":"Milepost","value":"23.3302"},{"id":17,"name":"Train ID","value":"195-17"},{"id":16,"name":"Locomotive ID","value":"4053"},{"id":130,"name":"Impact","value":""},{"id":150,"name":"Time of Event (Mountain Time)","value":"16:09:16"},{"id":151,"name":"Denver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48"/>
      <c r="AK108" s="48"/>
      <c r="AL108" s="48"/>
      <c r="AM108" s="154" t="str">
        <f t="shared" si="39"/>
        <v>start /low /b %USERPROFILE%\Documents\GitHub\eaglep3\Utilities\DownloadLogsFromS3.py --loco 4053 --day 2017-03-17</v>
      </c>
      <c r="AN108" s="163" t="str">
        <f>"grep -SE -B400 ""CHR.+\|PRM\|1\|D.+(SWITCH|SIGNAL).+UNKNOWN"" "&amp;search_path&amp;"\RTDC"&amp;B108&amp;"\*"&amp;B108&amp;"*"&amp;TEXT(AVERAGE(F108,I108)-utc_offset/24,"YYYYMMDD")&amp;"*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"%USERPROFILE%\AppData\Local\Temp\OnboardLogs"\RTDC4053\*4053*20170317* | grep -SE "(Enforcement Action)|(\[TIMEOUT)|(CHR.+\|PRM\|1\|D.+(SWITCH|SIGNAL).+UNKNOWN)" - &gt;&gt; 2017-03-17-UncaughtWiMAX.txt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3" t="s">
        <v>773</v>
      </c>
      <c r="B109" s="7">
        <v>4054</v>
      </c>
      <c r="C109" s="21" t="s">
        <v>227</v>
      </c>
      <c r="D109" s="21" t="s">
        <v>855</v>
      </c>
      <c r="E109" s="13">
        <v>42811.682812500003</v>
      </c>
      <c r="F109" s="13">
        <v>42811.685057870367</v>
      </c>
      <c r="G109" s="7">
        <v>1</v>
      </c>
      <c r="H109" s="21" t="s">
        <v>879</v>
      </c>
      <c r="I109" s="13">
        <v>42811.719444444447</v>
      </c>
      <c r="J109" s="7">
        <v>0</v>
      </c>
      <c r="K109" s="98" t="str">
        <f t="shared" si="24"/>
        <v>4053/4054</v>
      </c>
      <c r="L109" s="21" t="str">
        <f>VLOOKUP(A109,'Trips&amp;Operators'!$C$1:$G$99999,5,FALSE)</f>
        <v>HELVIE ADAM</v>
      </c>
      <c r="M109" s="6">
        <f t="shared" si="25"/>
        <v>3.4386574079690035E-2</v>
      </c>
      <c r="N109" s="7">
        <f t="shared" si="41"/>
        <v>49.516666674753651</v>
      </c>
      <c r="O109" s="7"/>
      <c r="P109" s="7"/>
      <c r="Q109" s="22"/>
      <c r="R109" s="22"/>
      <c r="S109" s="31">
        <f t="shared" si="40"/>
        <v>1</v>
      </c>
      <c r="T109" s="46" t="str">
        <f t="shared" si="26"/>
        <v>Southbound</v>
      </c>
      <c r="U109" s="185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86" t="str">
        <f t="shared" si="27"/>
        <v>https://d0f6bd738d7f1b3e5a7ca70fe4ff75f0.us-east-1.aws.found.io/app/kibana#/discover/Steve-Slow-Train-Analysis-(2080s-and-2083s)?_g=(refreshInterval:(display:Off,pause:!f,section:0,value:0),time:(from:'2017-03-17T15:23:15-0600',mode:absolute,to:'2017-03-17T18:16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09" s="187" t="str">
        <f t="shared" si="28"/>
        <v>N</v>
      </c>
      <c r="X109" s="187">
        <f t="shared" si="42"/>
        <v>1</v>
      </c>
      <c r="Y109" s="62">
        <f t="shared" si="30"/>
        <v>23.301500000000001</v>
      </c>
      <c r="Z109" s="62">
        <f t="shared" si="31"/>
        <v>1.72E-2</v>
      </c>
      <c r="AA109" s="62">
        <f t="shared" si="32"/>
        <v>23.284300000000002</v>
      </c>
      <c r="AB109" s="59" t="e">
        <f>VLOOKUP(A109,Enforcements!$C$7:$K$13,8,0)</f>
        <v>#N/A</v>
      </c>
      <c r="AC109" s="55" t="e">
        <f>VLOOKUP(A109,Enforcements!$C$7:$E$13,3,0)</f>
        <v>#N/A</v>
      </c>
      <c r="AD109" s="56" t="str">
        <f t="shared" si="33"/>
        <v>0196-17</v>
      </c>
      <c r="AE109" s="85" t="str">
        <f t="shared" si="34"/>
        <v>aws s3 cp s3://rtdc.mdm.uploadarchive.raw/RTDC4054/ "%USERPROFILE%\AppData\Local\Temp\OnboardLogs"\RTDC4054\2017-03-17 --exclude "*" --recursive --include "*20170317*" &amp; "%USERPROFILE%\Documents\GitHub\mrs-test-scripts\Headless Mode &amp; Sideloading\WalkAndUnGZ.bat" "%USERPROFILE%\AppData\Local\Temp\OnboardLogs"\RTDC4054\2017-03-17 &amp; aws s3 cp s3://rtdc.mdm.uploadarchive.raw/RTDC4054/ "%USERPROFILE%\AppData\Local\Temp\OnboardLogs"\RTDC4054\2017-03-18 --exclude "*" --recursive --include "*20170318*" &amp; "%USERPROFILE%\Documents\GitHub\mrs-test-scripts\Headless Mode &amp; Sideloading\WalkAndUnGZ.bat" "%USERPROFILE%\AppData\Local\Temp\OnboardLogs"\RTDC4054\2017-03-18</v>
      </c>
      <c r="AF109" s="82" t="str">
        <f t="shared" si="35"/>
        <v>"C:\Program Files (x86)\AstroGrep\AstroGrep.exe" /e /r /s /spath="%USERPROFILE%\AppData\Local\Temp\OnboardLogs" /stypes="app*4054*20170317*" /stext=" 23:.+((SYSTEM_STATE.+slice.+state.+changed )|(ment ac)|(multiple cpu faults)|(system.+state.+changed )|(\[timeout)|(PRM\|1\|D)|(kpr)|(kdp)|(\|lc)|(penalty))"</v>
      </c>
      <c r="AG109" s="1" t="str">
        <f t="shared" si="36"/>
        <v>EC</v>
      </c>
      <c r="AH109" s="86" t="str">
        <f t="shared" si="37"/>
        <v>"%USERPROFILE%\Documents\GitHub\eaglep3\Utilities\RefineRTDCRunTimes.py" --tripid 196-17 --locoid 4054 --swversion DE.1.0.9.0 --startMP 204:233015 --initTime 2017-03-17T16:23:15 --startdatetime 2017-03-17T16:26:29 --delay 1 --endMP 204:172 --enddatetime 2017-03-17T17:16:00 --enforcementcount 0 &gt;&gt;C:\Users\stu\Documents\GitHub\eaglep3-reporting\EC\2017-03-17-refined-times.txt</v>
      </c>
      <c r="AI109" s="108" t="str">
        <f t="shared" si="38"/>
        <v>echo {"issue":{"subject":"","project_id":79,"tracker_id":40,"status_id":1,"priority_id":2,"assigned_to_id":23,"start_date":"2017-03-17","description":"","custom_fields":[{"id":1,"name":"Subdivision","value":"EC"},{"id":4,"name":"Milepost","value":"0.0172"},{"id":17,"name":"Train ID","value":"196-17"},{"id":16,"name":"Locomotive ID","value":"4054"},{"id":130,"name":"Impact","value":""},{"id":150,"name":"Time of Event (Mountain Time)","value":"17:16:00"},{"id":151,"name":"Denver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48"/>
      <c r="AK109" s="48"/>
      <c r="AL109" s="48"/>
      <c r="AM109" s="154" t="str">
        <f t="shared" si="39"/>
        <v>start /low /b %USERPROFILE%\Documents\GitHub\eaglep3\Utilities\DownloadLogsFromS3.py --loco 4054 --day 2017-03-17</v>
      </c>
      <c r="AN109" s="163" t="str">
        <f>"grep -SE -B400 ""CHR.+\|PRM\|1\|D.+(SWITCH|SIGNAL).+UNKNOWN"" "&amp;search_path&amp;"\RTDC"&amp;B109&amp;"\*"&amp;B109&amp;"*"&amp;TEXT(AVERAGE(F109,I109)-utc_offset/24,"YYYYMMDD")&amp;"*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"%USERPROFILE%\AppData\Local\Temp\OnboardLogs"\RTDC4054\*4054*20170317* | grep -SE "(Enforcement Action)|(\[TIMEOUT)|(CHR.+\|PRM\|1\|D.+(SWITCH|SIGNAL).+UNKNOWN)" - &gt;&gt; 2017-03-17-UncaughtWiMAX.txt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3" t="s">
        <v>768</v>
      </c>
      <c r="B110" s="7">
        <v>4011</v>
      </c>
      <c r="C110" s="21" t="s">
        <v>227</v>
      </c>
      <c r="D110" s="21" t="s">
        <v>240</v>
      </c>
      <c r="E110" s="13">
        <v>42811.656678240739</v>
      </c>
      <c r="F110" s="13">
        <v>42811.658182870371</v>
      </c>
      <c r="G110" s="7">
        <v>1</v>
      </c>
      <c r="H110" s="21" t="s">
        <v>420</v>
      </c>
      <c r="I110" s="13">
        <v>42811.685023148151</v>
      </c>
      <c r="J110" s="7">
        <v>0</v>
      </c>
      <c r="K110" s="98" t="str">
        <f t="shared" si="24"/>
        <v>4011/4012</v>
      </c>
      <c r="L110" s="21" t="str">
        <f>VLOOKUP(A110,'Trips&amp;Operators'!$C$1:$G$99999,5,FALSE)</f>
        <v>LOPES KIMBERLY</v>
      </c>
      <c r="M110" s="6">
        <f t="shared" si="25"/>
        <v>2.6840277780138422E-2</v>
      </c>
      <c r="N110" s="7">
        <f t="shared" si="41"/>
        <v>38.650000003399327</v>
      </c>
      <c r="O110" s="7"/>
      <c r="P110" s="7"/>
      <c r="Q110" s="22"/>
      <c r="R110" s="22"/>
      <c r="S110" s="31">
        <f t="shared" si="40"/>
        <v>1</v>
      </c>
      <c r="T110" s="46" t="str">
        <f t="shared" si="26"/>
        <v>NorthBound</v>
      </c>
      <c r="U110" s="185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86" t="str">
        <f t="shared" si="27"/>
        <v>https://d0f6bd738d7f1b3e5a7ca70fe4ff75f0.us-east-1.aws.found.io/app/kibana#/discover/Steve-Slow-Train-Analysis-(2080s-and-2083s)?_g=(refreshInterval:(display:Off,pause:!f,section:0,value:0),time:(from:'2017-03-17T14:45:37-0600',mode:absolute,to:'2017-03-17T17:26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10" s="187" t="str">
        <f t="shared" si="28"/>
        <v>N</v>
      </c>
      <c r="X110" s="187">
        <f t="shared" ref="X110:X141" si="43">VALUE(LEFT(AD110,4))-VALUE(LEFT(AD109,4))</f>
        <v>1</v>
      </c>
      <c r="Y110" s="62">
        <f t="shared" si="30"/>
        <v>4.6899999999999997E-2</v>
      </c>
      <c r="Z110" s="62">
        <f t="shared" si="31"/>
        <v>23.3293</v>
      </c>
      <c r="AA110" s="62">
        <f t="shared" si="32"/>
        <v>23.282399999999999</v>
      </c>
      <c r="AB110" s="59" t="e">
        <f>VLOOKUP(A110,Enforcements!$C$7:$K$13,8,0)</f>
        <v>#N/A</v>
      </c>
      <c r="AC110" s="55" t="e">
        <f>VLOOKUP(A110,Enforcements!$C$7:$E$13,3,0)</f>
        <v>#N/A</v>
      </c>
      <c r="AD110" s="56" t="str">
        <f t="shared" si="33"/>
        <v>0197-17</v>
      </c>
      <c r="AE110" s="85" t="str">
        <f t="shared" si="34"/>
        <v>aws s3 cp s3://rtdc.mdm.uploadarchive.raw/RTDC4011/ "%USERPROFILE%\AppData\Local\Temp\OnboardLogs"\RTDC4011\2017-03-17 --exclude "*" --recursive --include "*20170317*" &amp; "%USERPROFILE%\Documents\GitHub\mrs-test-scripts\Headless Mode &amp; Sideloading\WalkAndUnGZ.bat" "%USERPROFILE%\AppData\Local\Temp\OnboardLogs"\RTDC4011\2017-03-17 &amp; aws s3 cp s3://rtdc.mdm.uploadarchive.raw/RTDC4011/ "%USERPROFILE%\AppData\Local\Temp\OnboardLogs"\RTDC4011\2017-03-18 --exclude "*" --recursive --include "*20170318*" &amp; "%USERPROFILE%\Documents\GitHub\mrs-test-scripts\Headless Mode &amp; Sideloading\WalkAndUnGZ.bat" "%USERPROFILE%\AppData\Local\Temp\OnboardLogs"\RTDC4011\2017-03-18</v>
      </c>
      <c r="AF110" s="82" t="str">
        <f t="shared" si="35"/>
        <v>"C:\Program Files (x86)\AstroGrep\AstroGrep.exe" /e /r /s /spath="%USERPROFILE%\AppData\Local\Temp\OnboardLogs" /stypes="app*4011*20170317*" /stext=" 22:.+((SYSTEM_STATE.+slice.+state.+changed )|(ment ac)|(multiple cpu faults)|(system.+state.+changed )|(\[timeout)|(PRM\|1\|D)|(kpr)|(kdp)|(\|lc)|(penalty))"</v>
      </c>
      <c r="AG110" s="1" t="str">
        <f t="shared" si="36"/>
        <v>EC</v>
      </c>
      <c r="AH110" s="86" t="str">
        <f t="shared" si="37"/>
        <v>"%USERPROFILE%\Documents\GitHub\eaglep3\Utilities\RefineRTDCRunTimes.py" --tripid 197-17 --locoid 4011 --swversion DE.1.0.9.0 --startMP 204:469 --initTime 2017-03-17T15:45:37 --startdatetime 2017-03-17T15:47:47 --delay 1 --endMP 204:233293 --enddatetime 2017-03-17T16:26:26 --enforcementcount 0 &gt;&gt;C:\Users\stu\Documents\GitHub\eaglep3-reporting\EC\2017-03-17-refined-times.txt</v>
      </c>
      <c r="AI110" s="108" t="str">
        <f t="shared" si="38"/>
        <v>echo {"issue":{"subject":"","project_id":79,"tracker_id":40,"status_id":1,"priority_id":2,"assigned_to_id":23,"start_date":"2017-03-17","description":"","custom_fields":[{"id":1,"name":"Subdivision","value":"EC"},{"id":4,"name":"Milepost","value":"23.3293"},{"id":17,"name":"Train ID","value":"197-17"},{"id":16,"name":"Locomotive ID","value":"4011"},{"id":130,"name":"Impact","value":""},{"id":150,"name":"Time of Event (Mountain Time)","value":"16:26:26"},{"id":151,"name":"Denver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48"/>
      <c r="AK110" s="48"/>
      <c r="AL110" s="48"/>
      <c r="AM110" s="154" t="str">
        <f t="shared" si="39"/>
        <v>start /low /b %USERPROFILE%\Documents\GitHub\eaglep3\Utilities\DownloadLogsFromS3.py --loco 4011 --day 2017-03-17</v>
      </c>
      <c r="AN110" s="163" t="str">
        <f>"grep -SE -B400 ""CHR.+\|PRM\|1\|D.+(SWITCH|SIGNAL).+UNKNOWN"" "&amp;search_path&amp;"\RTDC"&amp;B110&amp;"\*"&amp;B110&amp;"*"&amp;TEXT(AVERAGE(F110,I110)-utc_offset/24,"YYYYMMDD")&amp;"*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"%USERPROFILE%\AppData\Local\Temp\OnboardLogs"\RTDC4011\*4011*20170317* | grep -SE "(Enforcement Action)|(\[TIMEOUT)|(CHR.+\|PRM\|1\|D.+(SWITCH|SIGNAL).+UNKNOWN)" - &gt;&gt; 2017-03-17-UncaughtWiMAX.txt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3" t="s">
        <v>774</v>
      </c>
      <c r="B111" s="7">
        <v>4012</v>
      </c>
      <c r="C111" s="21" t="s">
        <v>227</v>
      </c>
      <c r="D111" s="21" t="s">
        <v>373</v>
      </c>
      <c r="E111" s="13">
        <v>42811.68677083333</v>
      </c>
      <c r="F111" s="13">
        <v>42811.695405092592</v>
      </c>
      <c r="G111" s="7">
        <v>1</v>
      </c>
      <c r="H111" s="21" t="s">
        <v>512</v>
      </c>
      <c r="I111" s="13">
        <v>42811.726851851854</v>
      </c>
      <c r="J111" s="7">
        <v>0</v>
      </c>
      <c r="K111" s="98" t="str">
        <f t="shared" si="24"/>
        <v>4011/4012</v>
      </c>
      <c r="L111" s="21" t="str">
        <f>VLOOKUP(A111,'Trips&amp;Operators'!$C$1:$G$99999,5,FALSE)</f>
        <v>LOPES KIMBERLY</v>
      </c>
      <c r="M111" s="6">
        <f t="shared" si="25"/>
        <v>3.1446759261598345E-2</v>
      </c>
      <c r="N111" s="7">
        <f t="shared" si="41"/>
        <v>45.283333336701617</v>
      </c>
      <c r="O111" s="7"/>
      <c r="P111" s="7"/>
      <c r="Q111" s="22"/>
      <c r="R111" s="22"/>
      <c r="S111" s="31">
        <f t="shared" si="40"/>
        <v>1</v>
      </c>
      <c r="T111" s="46" t="str">
        <f t="shared" si="26"/>
        <v>Southbound</v>
      </c>
      <c r="U111" s="185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86" t="str">
        <f t="shared" si="27"/>
        <v>https://d0f6bd738d7f1b3e5a7ca70fe4ff75f0.us-east-1.aws.found.io/app/kibana#/discover/Steve-Slow-Train-Analysis-(2080s-and-2083s)?_g=(refreshInterval:(display:Off,pause:!f,section:0,value:0),time:(from:'2017-03-17T15:28:57-0600',mode:absolute,to:'2017-03-17T18:26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11" s="187" t="str">
        <f t="shared" si="28"/>
        <v>N</v>
      </c>
      <c r="X111" s="187">
        <f t="shared" si="43"/>
        <v>1</v>
      </c>
      <c r="Y111" s="62">
        <f t="shared" si="30"/>
        <v>23.298200000000001</v>
      </c>
      <c r="Z111" s="62">
        <f t="shared" si="31"/>
        <v>1.43E-2</v>
      </c>
      <c r="AA111" s="62">
        <f t="shared" si="32"/>
        <v>23.283900000000003</v>
      </c>
      <c r="AB111" s="59" t="e">
        <f>VLOOKUP(A111,Enforcements!$C$7:$K$13,8,0)</f>
        <v>#N/A</v>
      </c>
      <c r="AC111" s="55" t="e">
        <f>VLOOKUP(A111,Enforcements!$C$7:$E$13,3,0)</f>
        <v>#N/A</v>
      </c>
      <c r="AD111" s="56" t="str">
        <f t="shared" si="33"/>
        <v>0198-17</v>
      </c>
      <c r="AE111" s="85" t="str">
        <f t="shared" si="34"/>
        <v>aws s3 cp s3://rtdc.mdm.uploadarchive.raw/RTDC4012/ "%USERPROFILE%\AppData\Local\Temp\OnboardLogs"\RTDC4012\2017-03-17 --exclude "*" --recursive --include "*20170317*" &amp; "%USERPROFILE%\Documents\GitHub\mrs-test-scripts\Headless Mode &amp; Sideloading\WalkAndUnGZ.bat" "%USERPROFILE%\AppData\Local\Temp\OnboardLogs"\RTDC4012\2017-03-17 &amp; aws s3 cp s3://rtdc.mdm.uploadarchive.raw/RTDC4012/ "%USERPROFILE%\AppData\Local\Temp\OnboardLogs"\RTDC4012\2017-03-18 --exclude "*" --recursive --include "*20170318*" &amp; "%USERPROFILE%\Documents\GitHub\mrs-test-scripts\Headless Mode &amp; Sideloading\WalkAndUnGZ.bat" "%USERPROFILE%\AppData\Local\Temp\OnboardLogs"\RTDC4012\2017-03-18</v>
      </c>
      <c r="AF111" s="82" t="str">
        <f t="shared" si="35"/>
        <v>"C:\Program Files (x86)\AstroGrep\AstroGrep.exe" /e /r /s /spath="%USERPROFILE%\AppData\Local\Temp\OnboardLogs" /stypes="app*4012*20170317*" /stext=" 23:.+((SYSTEM_STATE.+slice.+state.+changed )|(ment ac)|(multiple cpu faults)|(system.+state.+changed )|(\[timeout)|(PRM\|1\|D)|(kpr)|(kdp)|(\|lc)|(penalty))"</v>
      </c>
      <c r="AG111" s="1" t="str">
        <f t="shared" si="36"/>
        <v>EC</v>
      </c>
      <c r="AH111" s="86" t="str">
        <f t="shared" si="37"/>
        <v>"%USERPROFILE%\Documents\GitHub\eaglep3\Utilities\RefineRTDCRunTimes.py" --tripid 198-17 --locoid 4012 --swversion DE.1.0.9.0 --startMP 204:232982 --initTime 2017-03-17T16:28:57 --startdatetime 2017-03-17T16:41:23 --delay 1 --endMP 204:143 --enddatetime 2017-03-17T17:26:40 --enforcementcount 0 &gt;&gt;C:\Users\stu\Documents\GitHub\eaglep3-reporting\EC\2017-03-17-refined-times.txt</v>
      </c>
      <c r="AI111" s="108" t="str">
        <f t="shared" si="38"/>
        <v>echo {"issue":{"subject":"","project_id":79,"tracker_id":40,"status_id":1,"priority_id":2,"assigned_to_id":23,"start_date":"2017-03-17","description":"","custom_fields":[{"id":1,"name":"Subdivision","value":"EC"},{"id":4,"name":"Milepost","value":"0.0143"},{"id":17,"name":"Train ID","value":"198-17"},{"id":16,"name":"Locomotive ID","value":"4012"},{"id":130,"name":"Impact","value":""},{"id":150,"name":"Time of Event (Mountain Time)","value":"17:26:40"},{"id":151,"name":"Denver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48"/>
      <c r="AK111" s="48"/>
      <c r="AL111" s="48"/>
      <c r="AM111" s="154" t="str">
        <f t="shared" si="39"/>
        <v>start /low /b %USERPROFILE%\Documents\GitHub\eaglep3\Utilities\DownloadLogsFromS3.py --loco 4012 --day 2017-03-17</v>
      </c>
      <c r="AN111" s="163" t="str">
        <f>"grep -SE -B400 ""CHR.+\|PRM\|1\|D.+(SWITCH|SIGNAL).+UNKNOWN"" "&amp;search_path&amp;"\RTDC"&amp;B111&amp;"\*"&amp;B111&amp;"*"&amp;TEXT(AVERAGE(F111,I111)-utc_offset/24,"YYYYMMDD")&amp;"*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"%USERPROFILE%\AppData\Local\Temp\OnboardLogs"\RTDC4012\*4012*20170317* | grep -SE "(Enforcement Action)|(\[TIMEOUT)|(CHR.+\|PRM\|1\|D.+(SWITCH|SIGNAL).+UNKNOWN)" - &gt;&gt; 2017-03-17-UncaughtWiMAX.txt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3" t="s">
        <v>770</v>
      </c>
      <c r="B112" s="7">
        <v>4016</v>
      </c>
      <c r="C112" s="21" t="s">
        <v>227</v>
      </c>
      <c r="D112" s="21" t="s">
        <v>228</v>
      </c>
      <c r="E112" s="13">
        <v>42811.667349537034</v>
      </c>
      <c r="F112" s="13">
        <v>42811.668692129628</v>
      </c>
      <c r="G112" s="7">
        <v>1</v>
      </c>
      <c r="H112" s="21" t="s">
        <v>898</v>
      </c>
      <c r="I112" s="13">
        <v>42811.699791666666</v>
      </c>
      <c r="J112" s="7">
        <v>0</v>
      </c>
      <c r="K112" s="98" t="str">
        <f t="shared" si="24"/>
        <v>4015/4016</v>
      </c>
      <c r="L112" s="21" t="str">
        <f>VLOOKUP(A112,'Trips&amp;Operators'!$C$1:$G$99999,5,FALSE)</f>
        <v>DELGADO DIANAH</v>
      </c>
      <c r="M112" s="6">
        <f t="shared" si="25"/>
        <v>3.1099537038244307E-2</v>
      </c>
      <c r="N112" s="7">
        <f t="shared" si="41"/>
        <v>44.783333335071802</v>
      </c>
      <c r="O112" s="7"/>
      <c r="P112" s="7"/>
      <c r="Q112" s="22"/>
      <c r="R112" s="22"/>
      <c r="S112" s="31">
        <f t="shared" si="40"/>
        <v>1</v>
      </c>
      <c r="T112" s="46" t="str">
        <f t="shared" si="26"/>
        <v>NorthBound</v>
      </c>
      <c r="U112" s="185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86" t="str">
        <f t="shared" si="27"/>
        <v>https://d0f6bd738d7f1b3e5a7ca70fe4ff75f0.us-east-1.aws.found.io/app/kibana#/discover/Steve-Slow-Train-Analysis-(2080s-and-2083s)?_g=(refreshInterval:(display:Off,pause:!f,section:0,value:0),time:(from:'2017-03-17T15:00:59-0600',mode:absolute,to:'2017-03-17T17:47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12" s="187" t="str">
        <f t="shared" si="28"/>
        <v>N</v>
      </c>
      <c r="X112" s="187">
        <f t="shared" si="43"/>
        <v>1</v>
      </c>
      <c r="Y112" s="62">
        <f t="shared" si="30"/>
        <v>4.58E-2</v>
      </c>
      <c r="Z112" s="62">
        <f t="shared" si="31"/>
        <v>23.340299999999999</v>
      </c>
      <c r="AA112" s="62">
        <f t="shared" si="32"/>
        <v>23.294499999999999</v>
      </c>
      <c r="AB112" s="59" t="e">
        <f>VLOOKUP(A112,Enforcements!$C$7:$K$13,8,0)</f>
        <v>#N/A</v>
      </c>
      <c r="AC112" s="55" t="e">
        <f>VLOOKUP(A112,Enforcements!$C$7:$E$13,3,0)</f>
        <v>#N/A</v>
      </c>
      <c r="AD112" s="56" t="str">
        <f t="shared" si="33"/>
        <v>0199-17</v>
      </c>
      <c r="AE112" s="85" t="str">
        <f t="shared" si="34"/>
        <v>aws s3 cp s3://rtdc.mdm.uploadarchive.raw/RTDC4016/ "%USERPROFILE%\AppData\Local\Temp\OnboardLogs"\RTDC4016\2017-03-17 --exclude "*" --recursive --include "*20170317*" &amp; "%USERPROFILE%\Documents\GitHub\mrs-test-scripts\Headless Mode &amp; Sideloading\WalkAndUnGZ.bat" "%USERPROFILE%\AppData\Local\Temp\OnboardLogs"\RTDC4016\2017-03-17 &amp; aws s3 cp s3://rtdc.mdm.uploadarchive.raw/RTDC4016/ "%USERPROFILE%\AppData\Local\Temp\OnboardLogs"\RTDC4016\2017-03-18 --exclude "*" --recursive --include "*20170318*" &amp; "%USERPROFILE%\Documents\GitHub\mrs-test-scripts\Headless Mode &amp; Sideloading\WalkAndUnGZ.bat" "%USERPROFILE%\AppData\Local\Temp\OnboardLogs"\RTDC4016\2017-03-18</v>
      </c>
      <c r="AF112" s="82" t="str">
        <f t="shared" si="35"/>
        <v>"C:\Program Files (x86)\AstroGrep\AstroGrep.exe" /e /r /s /spath="%USERPROFILE%\AppData\Local\Temp\OnboardLogs" /stypes="app*4016*20170317*" /stext=" 22:.+((SYSTEM_STATE.+slice.+state.+changed )|(ment ac)|(multiple cpu faults)|(system.+state.+changed )|(\[timeout)|(PRM\|1\|D)|(kpr)|(kdp)|(\|lc)|(penalty))"</v>
      </c>
      <c r="AG112" s="1" t="str">
        <f t="shared" si="36"/>
        <v>EC</v>
      </c>
      <c r="AH112" s="86" t="str">
        <f t="shared" si="37"/>
        <v>"%USERPROFILE%\Documents\GitHub\eaglep3\Utilities\RefineRTDCRunTimes.py" --tripid 199-17 --locoid 4016 --swversion DE.1.0.9.0 --startMP 204:458 --initTime 2017-03-17T16:00:59 --startdatetime 2017-03-17T16:02:55 --delay 1 --endMP 204:233403 --enddatetime 2017-03-17T16:47:42 --enforcementcount 0 &gt;&gt;C:\Users\stu\Documents\GitHub\eaglep3-reporting\EC\2017-03-17-refined-times.txt</v>
      </c>
      <c r="AI112" s="108" t="str">
        <f t="shared" si="38"/>
        <v>echo {"issue":{"subject":"","project_id":79,"tracker_id":40,"status_id":1,"priority_id":2,"assigned_to_id":23,"start_date":"2017-03-17","description":"","custom_fields":[{"id":1,"name":"Subdivision","value":"EC"},{"id":4,"name":"Milepost","value":"23.3403"},{"id":17,"name":"Train ID","value":"199-17"},{"id":16,"name":"Locomotive ID","value":"4016"},{"id":130,"name":"Impact","value":""},{"id":150,"name":"Time of Event (Mountain Time)","value":"16:47:42"},{"id":151,"name":"Denver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48"/>
      <c r="AK112" s="48"/>
      <c r="AL112" s="48"/>
      <c r="AM112" s="154" t="str">
        <f t="shared" si="39"/>
        <v>start /low /b %USERPROFILE%\Documents\GitHub\eaglep3\Utilities\DownloadLogsFromS3.py --loco 4016 --day 2017-03-17</v>
      </c>
      <c r="AN112" s="163" t="str">
        <f>"grep -SE -B400 ""CHR.+\|PRM\|1\|D.+(SWITCH|SIGNAL).+UNKNOWN"" "&amp;search_path&amp;"\RTDC"&amp;B112&amp;"\*"&amp;B112&amp;"*"&amp;TEXT(AVERAGE(F112,I112)-utc_offset/24,"YYYYMMDD")&amp;"*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"%USERPROFILE%\AppData\Local\Temp\OnboardLogs"\RTDC4016\*4016*20170317* | grep -SE "(Enforcement Action)|(\[TIMEOUT)|(CHR.+\|PRM\|1\|D.+(SWITCH|SIGNAL).+UNKNOWN)" - &gt;&gt; 2017-03-17-UncaughtWiMAX.txt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3" t="s">
        <v>778</v>
      </c>
      <c r="B113" s="7">
        <v>4015</v>
      </c>
      <c r="C113" s="21" t="s">
        <v>227</v>
      </c>
      <c r="D113" s="21" t="s">
        <v>899</v>
      </c>
      <c r="E113" s="13">
        <v>42811.701956018522</v>
      </c>
      <c r="F113" s="13">
        <v>42811.705925925926</v>
      </c>
      <c r="G113" s="7">
        <v>1</v>
      </c>
      <c r="H113" s="21" t="s">
        <v>425</v>
      </c>
      <c r="I113" s="13">
        <v>42811.735659722224</v>
      </c>
      <c r="J113" s="7">
        <v>0</v>
      </c>
      <c r="K113" s="98" t="str">
        <f t="shared" si="24"/>
        <v>4015/4016</v>
      </c>
      <c r="L113" s="21" t="str">
        <f>VLOOKUP(A113,'Trips&amp;Operators'!$C$1:$G$99999,5,FALSE)</f>
        <v>DELGADO DIANAH</v>
      </c>
      <c r="M113" s="6">
        <f t="shared" si="25"/>
        <v>2.973379629838746E-2</v>
      </c>
      <c r="N113" s="7">
        <f t="shared" si="41"/>
        <v>42.816666669677943</v>
      </c>
      <c r="O113" s="7"/>
      <c r="P113" s="7"/>
      <c r="Q113" s="22"/>
      <c r="R113" s="22"/>
      <c r="S113" s="31">
        <f t="shared" si="40"/>
        <v>1</v>
      </c>
      <c r="T113" s="46" t="str">
        <f t="shared" si="26"/>
        <v>Southbound</v>
      </c>
      <c r="U113" s="185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86" t="str">
        <f t="shared" si="27"/>
        <v>https://d0f6bd738d7f1b3e5a7ca70fe4ff75f0.us-east-1.aws.found.io/app/kibana#/discover/Steve-Slow-Train-Analysis-(2080s-and-2083s)?_g=(refreshInterval:(display:Off,pause:!f,section:0,value:0),time:(from:'2017-03-17T15:50:49-0600',mode:absolute,to:'2017-03-17T18:39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13" s="187" t="str">
        <f t="shared" si="28"/>
        <v>N</v>
      </c>
      <c r="X113" s="187">
        <f t="shared" si="43"/>
        <v>1</v>
      </c>
      <c r="Y113" s="62">
        <f t="shared" si="30"/>
        <v>23.307600000000001</v>
      </c>
      <c r="Z113" s="62">
        <f t="shared" si="31"/>
        <v>1.38E-2</v>
      </c>
      <c r="AA113" s="62">
        <f t="shared" si="32"/>
        <v>23.293800000000001</v>
      </c>
      <c r="AB113" s="59" t="e">
        <f>VLOOKUP(A113,Enforcements!$C$7:$K$13,8,0)</f>
        <v>#N/A</v>
      </c>
      <c r="AC113" s="55" t="e">
        <f>VLOOKUP(A113,Enforcements!$C$7:$E$13,3,0)</f>
        <v>#N/A</v>
      </c>
      <c r="AD113" s="56" t="str">
        <f t="shared" si="33"/>
        <v>0200-17</v>
      </c>
      <c r="AE113" s="85" t="str">
        <f t="shared" si="34"/>
        <v>aws s3 cp s3://rtdc.mdm.uploadarchive.raw/RTDC4015/ "%USERPROFILE%\AppData\Local\Temp\OnboardLogs"\RTDC4015\2017-03-17 --exclude "*" --recursive --include "*20170317*" &amp; "%USERPROFILE%\Documents\GitHub\mrs-test-scripts\Headless Mode &amp; Sideloading\WalkAndUnGZ.bat" "%USERPROFILE%\AppData\Local\Temp\OnboardLogs"\RTDC4015\2017-03-17 &amp; aws s3 cp s3://rtdc.mdm.uploadarchive.raw/RTDC4015/ "%USERPROFILE%\AppData\Local\Temp\OnboardLogs"\RTDC4015\2017-03-18 --exclude "*" --recursive --include "*20170318*" &amp; "%USERPROFILE%\Documents\GitHub\mrs-test-scripts\Headless Mode &amp; Sideloading\WalkAndUnGZ.bat" "%USERPROFILE%\AppData\Local\Temp\OnboardLogs"\RTDC4015\2017-03-18</v>
      </c>
      <c r="AF113" s="82" t="str">
        <f t="shared" si="35"/>
        <v>"C:\Program Files (x86)\AstroGrep\AstroGrep.exe" /e /r /s /spath="%USERPROFILE%\AppData\Local\Temp\OnboardLogs" /stypes="app*4015*20170317*" /stext=" 23:.+((SYSTEM_STATE.+slice.+state.+changed )|(ment ac)|(multiple cpu faults)|(system.+state.+changed )|(\[timeout)|(PRM\|1\|D)|(kpr)|(kdp)|(\|lc)|(penalty))"</v>
      </c>
      <c r="AG113" s="1" t="str">
        <f t="shared" si="36"/>
        <v>EC</v>
      </c>
      <c r="AH113" s="86" t="str">
        <f t="shared" si="37"/>
        <v>"%USERPROFILE%\Documents\GitHub\eaglep3\Utilities\RefineRTDCRunTimes.py" --tripid 200-17 --locoid 4015 --swversion DE.1.0.9.0 --startMP 204:233076 --initTime 2017-03-17T16:50:49 --startdatetime 2017-03-17T16:56:32 --delay 1 --endMP 204:138 --enddatetime 2017-03-17T17:39:21 --enforcementcount 0 &gt;&gt;C:\Users\stu\Documents\GitHub\eaglep3-reporting\EC\2017-03-17-refined-times.txt</v>
      </c>
      <c r="AI113" s="108" t="str">
        <f t="shared" si="38"/>
        <v>echo {"issue":{"subject":"","project_id":79,"tracker_id":40,"status_id":1,"priority_id":2,"assigned_to_id":23,"start_date":"2017-03-17","description":"","custom_fields":[{"id":1,"name":"Subdivision","value":"EC"},{"id":4,"name":"Milepost","value":"0.0138"},{"id":17,"name":"Train ID","value":"200-17"},{"id":16,"name":"Locomotive ID","value":"4015"},{"id":130,"name":"Impact","value":""},{"id":150,"name":"Time of Event (Mountain Time)","value":"17:39:21"},{"id":151,"name":"Denver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48"/>
      <c r="AK113" s="48"/>
      <c r="AL113" s="48"/>
      <c r="AM113" s="154" t="str">
        <f t="shared" si="39"/>
        <v>start /low /b %USERPROFILE%\Documents\GitHub\eaglep3\Utilities\DownloadLogsFromS3.py --loco 4015 --day 2017-03-17</v>
      </c>
      <c r="AN113" s="163" t="str">
        <f>"grep -SE -B400 ""CHR.+\|PRM\|1\|D.+(SWITCH|SIGNAL).+UNKNOWN"" "&amp;search_path&amp;"\RTDC"&amp;B113&amp;"\*"&amp;B113&amp;"*"&amp;TEXT(AVERAGE(F113,I113)-utc_offset/24,"YYYYMMDD")&amp;"*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"%USERPROFILE%\AppData\Local\Temp\OnboardLogs"\RTDC4015\*4015*20170317* | grep -SE "(Enforcement Action)|(\[TIMEOUT)|(CHR.+\|PRM\|1\|D.+(SWITCH|SIGNAL).+UNKNOWN)" - &gt;&gt; 2017-03-17-UncaughtWiMAX.txt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3" t="s">
        <v>772</v>
      </c>
      <c r="B114" s="7">
        <v>4040</v>
      </c>
      <c r="C114" s="21" t="s">
        <v>227</v>
      </c>
      <c r="D114" s="21" t="s">
        <v>218</v>
      </c>
      <c r="E114" s="13">
        <v>42811.676898148151</v>
      </c>
      <c r="F114" s="13">
        <v>42811.678587962961</v>
      </c>
      <c r="G114" s="7">
        <v>1</v>
      </c>
      <c r="H114" s="21" t="s">
        <v>229</v>
      </c>
      <c r="I114" s="13">
        <v>42811.710798611108</v>
      </c>
      <c r="J114" s="7">
        <v>0</v>
      </c>
      <c r="K114" s="98" t="str">
        <f t="shared" si="24"/>
        <v>4039/4040</v>
      </c>
      <c r="L114" s="21" t="str">
        <f>VLOOKUP(A114,'Trips&amp;Operators'!$C$1:$G$99999,5,FALSE)</f>
        <v>STEWART MICHAEL</v>
      </c>
      <c r="M114" s="6">
        <f t="shared" si="25"/>
        <v>3.2210648147156462E-2</v>
      </c>
      <c r="N114" s="7">
        <f t="shared" si="41"/>
        <v>46.383333331905305</v>
      </c>
      <c r="O114" s="7"/>
      <c r="P114" s="7"/>
      <c r="Q114" s="22"/>
      <c r="R114" s="22"/>
      <c r="S114" s="31">
        <f t="shared" si="40"/>
        <v>1</v>
      </c>
      <c r="T114" s="46" t="str">
        <f t="shared" si="26"/>
        <v>NorthBound</v>
      </c>
      <c r="U114" s="185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86" t="str">
        <f t="shared" si="27"/>
        <v>https://d0f6bd738d7f1b3e5a7ca70fe4ff75f0.us-east-1.aws.found.io/app/kibana#/discover/Steve-Slow-Train-Analysis-(2080s-and-2083s)?_g=(refreshInterval:(display:Off,pause:!f,section:0,value:0),time:(from:'2017-03-17T15:14:44-0600',mode:absolute,to:'2017-03-17T18:03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14" s="187" t="str">
        <f t="shared" si="28"/>
        <v>N</v>
      </c>
      <c r="X114" s="187">
        <f t="shared" si="43"/>
        <v>1</v>
      </c>
      <c r="Y114" s="62">
        <f t="shared" si="30"/>
        <v>4.3999999999999997E-2</v>
      </c>
      <c r="Z114" s="62">
        <f t="shared" si="31"/>
        <v>23.329699999999999</v>
      </c>
      <c r="AA114" s="62">
        <f t="shared" si="32"/>
        <v>23.285699999999999</v>
      </c>
      <c r="AB114" s="59" t="e">
        <f>VLOOKUP(A114,Enforcements!$C$7:$K$13,8,0)</f>
        <v>#N/A</v>
      </c>
      <c r="AC114" s="55" t="e">
        <f>VLOOKUP(A114,Enforcements!$C$7:$E$13,3,0)</f>
        <v>#N/A</v>
      </c>
      <c r="AD114" s="56" t="str">
        <f t="shared" si="33"/>
        <v>0201-17</v>
      </c>
      <c r="AE114" s="85" t="str">
        <f t="shared" si="34"/>
        <v>aws s3 cp s3://rtdc.mdm.uploadarchive.raw/RTDC4040/ "%USERPROFILE%\AppData\Local\Temp\OnboardLogs"\RTDC4040\2017-03-17 --exclude "*" --recursive --include "*20170317*" &amp; "%USERPROFILE%\Documents\GitHub\mrs-test-scripts\Headless Mode &amp; Sideloading\WalkAndUnGZ.bat" "%USERPROFILE%\AppData\Local\Temp\OnboardLogs"\RTDC4040\2017-03-17 &amp; aws s3 cp s3://rtdc.mdm.uploadarchive.raw/RTDC4040/ "%USERPROFILE%\AppData\Local\Temp\OnboardLogs"\RTDC4040\2017-03-18 --exclude "*" --recursive --include "*20170318*" &amp; "%USERPROFILE%\Documents\GitHub\mrs-test-scripts\Headless Mode &amp; Sideloading\WalkAndUnGZ.bat" "%USERPROFILE%\AppData\Local\Temp\OnboardLogs"\RTDC4040\2017-03-18</v>
      </c>
      <c r="AF114" s="82" t="str">
        <f t="shared" si="35"/>
        <v>"C:\Program Files (x86)\AstroGrep\AstroGrep.exe" /e /r /s /spath="%USERPROFILE%\AppData\Local\Temp\OnboardLogs" /stypes="app*4040*20170317*" /stext=" 23:.+((SYSTEM_STATE.+slice.+state.+changed )|(ment ac)|(multiple cpu faults)|(system.+state.+changed )|(\[timeout)|(PRM\|1\|D)|(kpr)|(kdp)|(\|lc)|(penalty))"</v>
      </c>
      <c r="AG114" s="1" t="str">
        <f t="shared" si="36"/>
        <v>EC</v>
      </c>
      <c r="AH114" s="86" t="str">
        <f t="shared" si="37"/>
        <v>"%USERPROFILE%\Documents\GitHub\eaglep3\Utilities\RefineRTDCRunTimes.py" --tripid 201-17 --locoid 4040 --swversion DE.1.0.9.0 --startMP 204:440 --initTime 2017-03-17T16:14:44 --startdatetime 2017-03-17T16:17:10 --delay 1 --endMP 204:233297 --enddatetime 2017-03-17T17:03:33 --enforcementcount 0 &gt;&gt;C:\Users\stu\Documents\GitHub\eaglep3-reporting\EC\2017-03-17-refined-times.txt</v>
      </c>
      <c r="AI114" s="108" t="str">
        <f t="shared" si="38"/>
        <v>echo {"issue":{"subject":"","project_id":79,"tracker_id":40,"status_id":1,"priority_id":2,"assigned_to_id":23,"start_date":"2017-03-17","description":"","custom_fields":[{"id":1,"name":"Subdivision","value":"EC"},{"id":4,"name":"Milepost","value":"23.3297"},{"id":17,"name":"Train ID","value":"201-17"},{"id":16,"name":"Locomotive ID","value":"4040"},{"id":130,"name":"Impact","value":""},{"id":150,"name":"Time of Event (Mountain Time)","value":"17:03:33"},{"id":151,"name":"Denver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48"/>
      <c r="AK114" s="48"/>
      <c r="AL114" s="48"/>
      <c r="AM114" s="154" t="str">
        <f t="shared" si="39"/>
        <v>start /low /b %USERPROFILE%\Documents\GitHub\eaglep3\Utilities\DownloadLogsFromS3.py --loco 4040 --day 2017-03-17</v>
      </c>
      <c r="AN114" s="163" t="str">
        <f>"grep -SE -B400 ""CHR.+\|PRM\|1\|D.+(SWITCH|SIGNAL).+UNKNOWN"" "&amp;search_path&amp;"\RTDC"&amp;B114&amp;"\*"&amp;B114&amp;"*"&amp;TEXT(AVERAGE(F114,I114)-utc_offset/24,"YYYYMMDD")&amp;"*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"%USERPROFILE%\AppData\Local\Temp\OnboardLogs"\RTDC4040\*4040*20170317* | grep -SE "(Enforcement Action)|(\[TIMEOUT)|(CHR.+\|PRM\|1\|D.+(SWITCH|SIGNAL).+UNKNOWN)" - &gt;&gt; 2017-03-17-UncaughtWiMAX.txt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x14ac:dyDescent="0.25">
      <c r="A115" s="33" t="s">
        <v>781</v>
      </c>
      <c r="B115" s="7">
        <v>4039</v>
      </c>
      <c r="C115" s="21" t="s">
        <v>227</v>
      </c>
      <c r="D115" s="21" t="s">
        <v>875</v>
      </c>
      <c r="E115" s="13">
        <v>42811.714386574073</v>
      </c>
      <c r="F115" s="13">
        <v>42811.716307870367</v>
      </c>
      <c r="G115" s="7">
        <v>1</v>
      </c>
      <c r="H115" s="21" t="s">
        <v>220</v>
      </c>
      <c r="I115" s="13">
        <v>42811.747546296298</v>
      </c>
      <c r="J115" s="7">
        <v>0</v>
      </c>
      <c r="K115" s="98" t="str">
        <f t="shared" si="24"/>
        <v>4039/4040</v>
      </c>
      <c r="L115" s="21" t="str">
        <f>VLOOKUP(A115,'Trips&amp;Operators'!$C$1:$G$99999,5,FALSE)</f>
        <v>STEWART MICHAEL</v>
      </c>
      <c r="M115" s="6">
        <f t="shared" si="25"/>
        <v>3.1238425930496305E-2</v>
      </c>
      <c r="N115" s="7">
        <f t="shared" si="41"/>
        <v>44.98333333991468</v>
      </c>
      <c r="O115" s="7"/>
      <c r="P115" s="7"/>
      <c r="Q115" s="22"/>
      <c r="R115" s="22"/>
      <c r="S115" s="31">
        <f t="shared" si="40"/>
        <v>1</v>
      </c>
      <c r="T115" s="46" t="str">
        <f t="shared" si="26"/>
        <v>Southbound</v>
      </c>
      <c r="U115" s="185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86" t="str">
        <f t="shared" si="27"/>
        <v>https://d0f6bd738d7f1b3e5a7ca70fe4ff75f0.us-east-1.aws.found.io/app/kibana#/discover/Steve-Slow-Train-Analysis-(2080s-and-2083s)?_g=(refreshInterval:(display:Off,pause:!f,section:0,value:0),time:(from:'2017-03-17T16:08:43-0600',mode:absolute,to:'2017-03-17T18:56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15" s="187" t="str">
        <f t="shared" si="28"/>
        <v>N</v>
      </c>
      <c r="X115" s="187">
        <f t="shared" si="43"/>
        <v>1</v>
      </c>
      <c r="Y115" s="62">
        <f t="shared" si="30"/>
        <v>23.298500000000001</v>
      </c>
      <c r="Z115" s="62">
        <f t="shared" si="31"/>
        <v>1.47E-2</v>
      </c>
      <c r="AA115" s="62">
        <f t="shared" si="32"/>
        <v>23.283799999999999</v>
      </c>
      <c r="AB115" s="59" t="e">
        <f>VLOOKUP(A115,Enforcements!$C$7:$K$13,8,0)</f>
        <v>#N/A</v>
      </c>
      <c r="AC115" s="55" t="e">
        <f>VLOOKUP(A115,Enforcements!$C$7:$E$13,3,0)</f>
        <v>#N/A</v>
      </c>
      <c r="AD115" s="56" t="str">
        <f t="shared" si="33"/>
        <v>0202-17</v>
      </c>
      <c r="AE115" s="85" t="str">
        <f t="shared" si="34"/>
        <v>aws s3 cp s3://rtdc.mdm.uploadarchive.raw/RTDC4039/ "%USERPROFILE%\AppData\Local\Temp\OnboardLogs"\RTDC4039\2017-03-17 --exclude "*" --recursive --include "*20170317*" &amp; "%USERPROFILE%\Documents\GitHub\mrs-test-scripts\Headless Mode &amp; Sideloading\WalkAndUnGZ.bat" "%USERPROFILE%\AppData\Local\Temp\OnboardLogs"\RTDC4039\2017-03-17 &amp; aws s3 cp s3://rtdc.mdm.uploadarchive.raw/RTDC4039/ "%USERPROFILE%\AppData\Local\Temp\OnboardLogs"\RTDC4039\2017-03-18 --exclude "*" --recursive --include "*20170318*" &amp; "%USERPROFILE%\Documents\GitHub\mrs-test-scripts\Headless Mode &amp; Sideloading\WalkAndUnGZ.bat" "%USERPROFILE%\AppData\Local\Temp\OnboardLogs"\RTDC4039\2017-03-18</v>
      </c>
      <c r="AF115" s="82" t="str">
        <f t="shared" si="35"/>
        <v>"C:\Program Files (x86)\AstroGrep\AstroGrep.exe" /e /r /s /spath="%USERPROFILE%\AppData\Local\Temp\OnboardLogs" /stypes="app*4039*20170317*" /stext=" 23:.+((SYSTEM_STATE.+slice.+state.+changed )|(ment ac)|(multiple cpu faults)|(system.+state.+changed )|(\[timeout)|(PRM\|1\|D)|(kpr)|(kdp)|(\|lc)|(penalty))"</v>
      </c>
      <c r="AG115" s="1" t="str">
        <f t="shared" si="36"/>
        <v>EC</v>
      </c>
      <c r="AH115" s="86" t="str">
        <f t="shared" si="37"/>
        <v>"%USERPROFILE%\Documents\GitHub\eaglep3\Utilities\RefineRTDCRunTimes.py" --tripid 202-17 --locoid 4039 --swversion DE.1.0.9.0 --startMP 204:232985 --initTime 2017-03-17T17:08:43 --startdatetime 2017-03-17T17:11:29 --delay 1 --endMP 204:147 --enddatetime 2017-03-17T17:56:28 --enforcementcount 0 &gt;&gt;C:\Users\stu\Documents\GitHub\eaglep3-reporting\EC\2017-03-17-refined-times.txt</v>
      </c>
      <c r="AI115" s="108" t="str">
        <f t="shared" si="38"/>
        <v>echo {"issue":{"subject":"","project_id":79,"tracker_id":40,"status_id":1,"priority_id":2,"assigned_to_id":23,"start_date":"2017-03-17","description":"","custom_fields":[{"id":1,"name":"Subdivision","value":"EC"},{"id":4,"name":"Milepost","value":"0.0147"},{"id":17,"name":"Train ID","value":"202-17"},{"id":16,"name":"Locomotive ID","value":"4039"},{"id":130,"name":"Impact","value":""},{"id":150,"name":"Time of Event (Mountain Time)","value":"17:56:28"},{"id":151,"name":"Denver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48"/>
      <c r="AK115" s="48"/>
      <c r="AL115" s="48"/>
      <c r="AM115" s="154" t="str">
        <f t="shared" si="39"/>
        <v>start /low /b %USERPROFILE%\Documents\GitHub\eaglep3\Utilities\DownloadLogsFromS3.py --loco 4039 --day 2017-03-17</v>
      </c>
      <c r="AN115" s="163" t="str">
        <f>"grep -SE -B400 ""CHR.+\|PRM\|1\|D.+(SWITCH|SIGNAL).+UNKNOWN"" "&amp;search_path&amp;"\RTDC"&amp;B115&amp;"\*"&amp;B115&amp;"*"&amp;TEXT(AVERAGE(F115,I115)-utc_offset/24,"YYYYMMDD")&amp;"*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"%USERPROFILE%\AppData\Local\Temp\OnboardLogs"\RTDC4039\*4039*20170317* | grep -SE "(Enforcement Action)|(\[TIMEOUT)|(CHR.+\|PRM\|1\|D.+(SWITCH|SIGNAL).+UNKNOWN)" - &gt;&gt; 2017-03-17-UncaughtWiMAX.txt</v>
      </c>
    </row>
    <row r="116" spans="1:91" s="20" customFormat="1" x14ac:dyDescent="0.25">
      <c r="A116" s="33" t="s">
        <v>640</v>
      </c>
      <c r="B116" s="7">
        <v>4020</v>
      </c>
      <c r="C116" s="21" t="s">
        <v>227</v>
      </c>
      <c r="D116" s="21" t="s">
        <v>222</v>
      </c>
      <c r="E116" s="13">
        <v>42811.685034722221</v>
      </c>
      <c r="F116" s="13">
        <v>42811.687951388885</v>
      </c>
      <c r="G116" s="7">
        <v>1</v>
      </c>
      <c r="H116" s="21" t="s">
        <v>900</v>
      </c>
      <c r="I116" s="13">
        <v>42811.716678240744</v>
      </c>
      <c r="J116" s="7">
        <v>0</v>
      </c>
      <c r="K116" s="98" t="str">
        <f t="shared" si="24"/>
        <v>4019/4020</v>
      </c>
      <c r="L116" s="21" t="str">
        <f>VLOOKUP(A116,'Trips&amp;Operators'!$C$1:$G$99999,5,FALSE)</f>
        <v>ROMERO CHAD</v>
      </c>
      <c r="M116" s="6">
        <f t="shared" si="25"/>
        <v>2.8726851858664304E-2</v>
      </c>
      <c r="N116" s="7">
        <f t="shared" si="41"/>
        <v>41.366666676476598</v>
      </c>
      <c r="O116" s="7"/>
      <c r="P116" s="7"/>
      <c r="Q116" s="22"/>
      <c r="R116" s="22"/>
      <c r="S116" s="31">
        <f t="shared" si="40"/>
        <v>1</v>
      </c>
      <c r="T116" s="46" t="str">
        <f t="shared" si="26"/>
        <v>NorthBound</v>
      </c>
      <c r="U116" s="185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86" t="str">
        <f t="shared" si="27"/>
        <v>https://d0f6bd738d7f1b3e5a7ca70fe4ff75f0.us-east-1.aws.found.io/app/kibana#/discover/Steve-Slow-Train-Analysis-(2080s-and-2083s)?_g=(refreshInterval:(display:Off,pause:!f,section:0,value:0),time:(from:'2017-03-17T15:26:27-0600',mode:absolute,to:'2017-03-17T18:12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16" s="187" t="str">
        <f t="shared" si="28"/>
        <v>N</v>
      </c>
      <c r="X116" s="187">
        <f t="shared" si="43"/>
        <v>1</v>
      </c>
      <c r="Y116" s="62">
        <f t="shared" si="30"/>
        <v>4.6600000000000003E-2</v>
      </c>
      <c r="Z116" s="62">
        <f t="shared" si="31"/>
        <v>23.342600000000001</v>
      </c>
      <c r="AA116" s="62">
        <f t="shared" si="32"/>
        <v>23.295999999999999</v>
      </c>
      <c r="AB116" s="59" t="e">
        <f>VLOOKUP(A116,Enforcements!$C$7:$K$13,8,0)</f>
        <v>#N/A</v>
      </c>
      <c r="AC116" s="55" t="e">
        <f>VLOOKUP(A116,Enforcements!$C$7:$E$13,3,0)</f>
        <v>#N/A</v>
      </c>
      <c r="AD116" s="56" t="str">
        <f t="shared" si="33"/>
        <v>0203-17</v>
      </c>
      <c r="AE116" s="85" t="str">
        <f t="shared" si="34"/>
        <v>aws s3 cp s3://rtdc.mdm.uploadarchive.raw/RTDC4020/ "%USERPROFILE%\AppData\Local\Temp\OnboardLogs"\RTDC4020\2017-03-17 --exclude "*" --recursive --include "*20170317*" &amp; "%USERPROFILE%\Documents\GitHub\mrs-test-scripts\Headless Mode &amp; Sideloading\WalkAndUnGZ.bat" "%USERPROFILE%\AppData\Local\Temp\OnboardLogs"\RTDC4020\2017-03-17 &amp; aws s3 cp s3://rtdc.mdm.uploadarchive.raw/RTDC4020/ "%USERPROFILE%\AppData\Local\Temp\OnboardLogs"\RTDC4020\2017-03-18 --exclude "*" --recursive --include "*20170318*" &amp; "%USERPROFILE%\Documents\GitHub\mrs-test-scripts\Headless Mode &amp; Sideloading\WalkAndUnGZ.bat" "%USERPROFILE%\AppData\Local\Temp\OnboardLogs"\RTDC4020\2017-03-18</v>
      </c>
      <c r="AF116" s="82" t="str">
        <f t="shared" si="35"/>
        <v>"C:\Program Files (x86)\AstroGrep\AstroGrep.exe" /e /r /s /spath="%USERPROFILE%\AppData\Local\Temp\OnboardLogs" /stypes="app*4020*20170317*" /stext=" 23:.+((SYSTEM_STATE.+slice.+state.+changed )|(ment ac)|(multiple cpu faults)|(system.+state.+changed )|(\[timeout)|(PRM\|1\|D)|(kpr)|(kdp)|(\|lc)|(penalty))"</v>
      </c>
      <c r="AG116" s="1" t="str">
        <f t="shared" si="36"/>
        <v>EC</v>
      </c>
      <c r="AH116" s="86" t="str">
        <f t="shared" si="37"/>
        <v>"%USERPROFILE%\Documents\GitHub\eaglep3\Utilities\RefineRTDCRunTimes.py" --tripid 203-17 --locoid 4020 --swversion DE.1.0.9.0 --startMP 204:466 --initTime 2017-03-17T16:26:27 --startdatetime 2017-03-17T16:30:39 --delay 1 --endMP 204:233426 --enddatetime 2017-03-17T17:12:01 --enforcementcount 0 &gt;&gt;C:\Users\stu\Documents\GitHub\eaglep3-reporting\EC\2017-03-17-refined-times.txt</v>
      </c>
      <c r="AI116" s="108" t="str">
        <f t="shared" si="38"/>
        <v>echo {"issue":{"subject":"","project_id":79,"tracker_id":40,"status_id":1,"priority_id":2,"assigned_to_id":23,"start_date":"2017-03-17","description":"","custom_fields":[{"id":1,"name":"Subdivision","value":"EC"},{"id":4,"name":"Milepost","value":"23.3426"},{"id":17,"name":"Train ID","value":"203-17"},{"id":16,"name":"Locomotive ID","value":"4020"},{"id":130,"name":"Impact","value":""},{"id":150,"name":"Time of Event (Mountain Time)","value":"17:12:01"},{"id":151,"name":"Denver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48"/>
      <c r="AK116" s="48"/>
      <c r="AL116" s="48"/>
      <c r="AM116" s="154" t="str">
        <f t="shared" si="39"/>
        <v>start /low /b %USERPROFILE%\Documents\GitHub\eaglep3\Utilities\DownloadLogsFromS3.py --loco 4020 --day 2017-03-17</v>
      </c>
      <c r="AN116" s="163" t="str">
        <f>"grep -SE -B400 ""CHR.+\|PRM\|1\|D.+(SWITCH|SIGNAL).+UNKNOWN"" "&amp;search_path&amp;"\RTDC"&amp;B116&amp;"\*"&amp;B116&amp;"*"&amp;TEXT(AVERAGE(F116,I116)-utc_offset/24,"YYYYMMDD")&amp;"*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"%USERPROFILE%\AppData\Local\Temp\OnboardLogs"\RTDC4020\*4020*20170317* | grep -SE "(Enforcement Action)|(\[TIMEOUT)|(CHR.+\|PRM\|1\|D.+(SWITCH|SIGNAL).+UNKNOWN)" - &gt;&gt; 2017-03-17-UncaughtWiMAX.txt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x14ac:dyDescent="0.25">
      <c r="A117" s="33" t="s">
        <v>641</v>
      </c>
      <c r="B117" s="7">
        <v>4019</v>
      </c>
      <c r="C117" s="21" t="s">
        <v>227</v>
      </c>
      <c r="D117" s="21" t="s">
        <v>901</v>
      </c>
      <c r="E117" s="13">
        <v>42811.718321759261</v>
      </c>
      <c r="F117" s="13">
        <v>42811.726793981485</v>
      </c>
      <c r="G117" s="7">
        <v>1</v>
      </c>
      <c r="H117" s="21" t="s">
        <v>482</v>
      </c>
      <c r="I117" s="13">
        <v>42811.753622685188</v>
      </c>
      <c r="J117" s="7">
        <v>0</v>
      </c>
      <c r="K117" s="98" t="str">
        <f t="shared" si="24"/>
        <v>4019/4020</v>
      </c>
      <c r="L117" s="21" t="str">
        <f>VLOOKUP(A117,'Trips&amp;Operators'!$C$1:$G$99999,5,FALSE)</f>
        <v>ROMERO CHAD</v>
      </c>
      <c r="M117" s="6">
        <f t="shared" si="25"/>
        <v>2.6828703703358769E-2</v>
      </c>
      <c r="N117" s="7">
        <f t="shared" si="41"/>
        <v>38.633333332836628</v>
      </c>
      <c r="O117" s="7"/>
      <c r="P117" s="7"/>
      <c r="Q117" s="22"/>
      <c r="R117" s="22"/>
      <c r="S117" s="31">
        <f t="shared" si="40"/>
        <v>1</v>
      </c>
      <c r="T117" s="46" t="str">
        <f t="shared" si="26"/>
        <v>Southbound</v>
      </c>
      <c r="U117" s="185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86" t="str">
        <f t="shared" si="27"/>
        <v>https://d0f6bd738d7f1b3e5a7ca70fe4ff75f0.us-east-1.aws.found.io/app/kibana#/discover/Steve-Slow-Train-Analysis-(2080s-and-2083s)?_g=(refreshInterval:(display:Off,pause:!f,section:0,value:0),time:(from:'2017-03-17T16:14:23-0600',mode:absolute,to:'2017-03-17T19:05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17" s="187" t="str">
        <f t="shared" si="28"/>
        <v>N</v>
      </c>
      <c r="X117" s="187">
        <f t="shared" si="43"/>
        <v>1</v>
      </c>
      <c r="Y117" s="62">
        <f t="shared" si="30"/>
        <v>23.311499999999999</v>
      </c>
      <c r="Z117" s="62">
        <f t="shared" si="31"/>
        <v>1.67E-2</v>
      </c>
      <c r="AA117" s="62">
        <f t="shared" si="32"/>
        <v>23.294799999999999</v>
      </c>
      <c r="AB117" s="59" t="e">
        <f>VLOOKUP(A117,Enforcements!$C$7:$K$13,8,0)</f>
        <v>#N/A</v>
      </c>
      <c r="AC117" s="55" t="e">
        <f>VLOOKUP(A117,Enforcements!$C$7:$E$13,3,0)</f>
        <v>#N/A</v>
      </c>
      <c r="AD117" s="56" t="str">
        <f t="shared" si="33"/>
        <v>0204-17</v>
      </c>
      <c r="AE117" s="85" t="str">
        <f t="shared" si="34"/>
        <v>aws s3 cp s3://rtdc.mdm.uploadarchive.raw/RTDC4019/ "%USERPROFILE%\AppData\Local\Temp\OnboardLogs"\RTDC4019\2017-03-17 --exclude "*" --recursive --include "*20170317*" &amp; "%USERPROFILE%\Documents\GitHub\mrs-test-scripts\Headless Mode &amp; Sideloading\WalkAndUnGZ.bat" "%USERPROFILE%\AppData\Local\Temp\OnboardLogs"\RTDC4019\2017-03-17 &amp; aws s3 cp s3://rtdc.mdm.uploadarchive.raw/RTDC4019/ "%USERPROFILE%\AppData\Local\Temp\OnboardLogs"\RTDC4019\2017-03-18 --exclude "*" --recursive --include "*20170318*" &amp; "%USERPROFILE%\Documents\GitHub\mrs-test-scripts\Headless Mode &amp; Sideloading\WalkAndUnGZ.bat" "%USERPROFILE%\AppData\Local\Temp\OnboardLogs"\RTDC4019\2017-03-18</v>
      </c>
      <c r="AF117" s="82" t="str">
        <f t="shared" si="35"/>
        <v>"C:\Program Files (x86)\AstroGrep\AstroGrep.exe" /e /r /s /spath="%USERPROFILE%\AppData\Local\Temp\OnboardLogs" /stypes="app*4019*20170318*" /stext=" 00:.+((SYSTEM_STATE.+slice.+state.+changed )|(ment ac)|(multiple cpu faults)|(system.+state.+changed )|(\[timeout)|(PRM\|1\|D)|(kpr)|(kdp)|(\|lc)|(penalty))"</v>
      </c>
      <c r="AG117" s="1" t="str">
        <f t="shared" si="36"/>
        <v>EC</v>
      </c>
      <c r="AH117" s="86" t="str">
        <f t="shared" si="37"/>
        <v>"%USERPROFILE%\Documents\GitHub\eaglep3\Utilities\RefineRTDCRunTimes.py" --tripid 204-17 --locoid 4019 --swversion DE.1.0.9.0 --startMP 204:233115 --initTime 2017-03-17T17:14:23 --startdatetime 2017-03-17T17:26:35 --delay 1 --endMP 204:167 --enddatetime 2017-03-17T18:05:13 --enforcementcount 0 &gt;&gt;C:\Users\stu\Documents\GitHub\eaglep3-reporting\EC\2017-03-17-refined-times.txt</v>
      </c>
      <c r="AI117" s="108" t="str">
        <f t="shared" si="38"/>
        <v>echo {"issue":{"subject":"","project_id":79,"tracker_id":40,"status_id":1,"priority_id":2,"assigned_to_id":23,"start_date":"2017-03-17","description":"","custom_fields":[{"id":1,"name":"Subdivision","value":"EC"},{"id":4,"name":"Milepost","value":"0.0167"},{"id":17,"name":"Train ID","value":"204-17"},{"id":16,"name":"Locomotive ID","value":"4019"},{"id":130,"name":"Impact","value":""},{"id":150,"name":"Time of Event (Mountain Time)","value":"18:05:13"},{"id":151,"name":"Denver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48"/>
      <c r="AK117" s="48"/>
      <c r="AL117" s="48"/>
      <c r="AM117" s="154" t="str">
        <f t="shared" si="39"/>
        <v>start /low /b %USERPROFILE%\Documents\GitHub\eaglep3\Utilities\DownloadLogsFromS3.py --loco 4019 --day 2017-03-17</v>
      </c>
      <c r="AN117" s="163" t="str">
        <f>"grep -SE -B400 ""CHR.+\|PRM\|1\|D.+(SWITCH|SIGNAL).+UNKNOWN"" "&amp;search_path&amp;"\RTDC"&amp;B117&amp;"\*"&amp;B117&amp;"*"&amp;TEXT(AVERAGE(F117,I117)-utc_offset/24,"YYYYMMDD")&amp;"*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"%USERPROFILE%\AppData\Local\Temp\OnboardLogs"\RTDC4019\*4019*20170317* | grep -SE "(Enforcement Action)|(\[TIMEOUT)|(CHR.+\|PRM\|1\|D.+(SWITCH|SIGNAL).+UNKNOWN)" - &gt;&gt; 2017-03-17-UncaughtWiMAX.txt</v>
      </c>
    </row>
    <row r="118" spans="1:91" s="20" customFormat="1" x14ac:dyDescent="0.25">
      <c r="A118" s="33" t="s">
        <v>777</v>
      </c>
      <c r="B118" s="7">
        <v>4002</v>
      </c>
      <c r="C118" s="21" t="s">
        <v>227</v>
      </c>
      <c r="D118" s="21" t="s">
        <v>582</v>
      </c>
      <c r="E118" s="13">
        <v>42811.697962962964</v>
      </c>
      <c r="F118" s="13">
        <v>42811.699664351851</v>
      </c>
      <c r="G118" s="7">
        <v>1</v>
      </c>
      <c r="H118" s="21" t="s">
        <v>515</v>
      </c>
      <c r="I118" s="13">
        <v>42811.726041666669</v>
      </c>
      <c r="J118" s="7">
        <v>0</v>
      </c>
      <c r="K118" s="98" t="str">
        <f t="shared" si="24"/>
        <v>4001/4002</v>
      </c>
      <c r="L118" s="21" t="str">
        <f>VLOOKUP(A118,'Trips&amp;Operators'!$C$1:$G$99999,5,FALSE)</f>
        <v>CLARK KATHLEEN</v>
      </c>
      <c r="M118" s="6">
        <f t="shared" si="25"/>
        <v>2.6377314818091691E-2</v>
      </c>
      <c r="N118" s="7">
        <f t="shared" si="41"/>
        <v>37.983333338052034</v>
      </c>
      <c r="O118" s="7"/>
      <c r="P118" s="7"/>
      <c r="Q118" s="22"/>
      <c r="R118" s="22"/>
      <c r="S118" s="31">
        <f t="shared" si="40"/>
        <v>1</v>
      </c>
      <c r="T118" s="46" t="str">
        <f t="shared" si="26"/>
        <v>NorthBound</v>
      </c>
      <c r="U118" s="185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86" t="str">
        <f t="shared" si="27"/>
        <v>https://d0f6bd738d7f1b3e5a7ca70fe4ff75f0.us-east-1.aws.found.io/app/kibana#/discover/Steve-Slow-Train-Analysis-(2080s-and-2083s)?_g=(refreshInterval:(display:Off,pause:!f,section:0,value:0),time:(from:'2017-03-17T15:45:04-0600',mode:absolute,to:'2017-03-17T18:25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18" s="187" t="str">
        <f t="shared" si="28"/>
        <v>N</v>
      </c>
      <c r="X118" s="187">
        <f t="shared" si="43"/>
        <v>1</v>
      </c>
      <c r="Y118" s="62">
        <f t="shared" si="30"/>
        <v>4.7699999999999999E-2</v>
      </c>
      <c r="Z118" s="62">
        <f t="shared" si="31"/>
        <v>23.330400000000001</v>
      </c>
      <c r="AA118" s="62">
        <f t="shared" si="32"/>
        <v>23.282700000000002</v>
      </c>
      <c r="AB118" s="59" t="e">
        <f>VLOOKUP(A118,Enforcements!$C$7:$K$13,8,0)</f>
        <v>#N/A</v>
      </c>
      <c r="AC118" s="55" t="e">
        <f>VLOOKUP(A118,Enforcements!$C$7:$E$13,3,0)</f>
        <v>#N/A</v>
      </c>
      <c r="AD118" s="56" t="str">
        <f t="shared" si="33"/>
        <v>0205-17</v>
      </c>
      <c r="AE118" s="85" t="str">
        <f t="shared" si="34"/>
        <v>aws s3 cp s3://rtdc.mdm.uploadarchive.raw/RTDC4002/ "%USERPROFILE%\AppData\Local\Temp\OnboardLogs"\RTDC4002\2017-03-17 --exclude "*" --recursive --include "*20170317*" &amp; "%USERPROFILE%\Documents\GitHub\mrs-test-scripts\Headless Mode &amp; Sideloading\WalkAndUnGZ.bat" "%USERPROFILE%\AppData\Local\Temp\OnboardLogs"\RTDC4002\2017-03-17 &amp; aws s3 cp s3://rtdc.mdm.uploadarchive.raw/RTDC4002/ "%USERPROFILE%\AppData\Local\Temp\OnboardLogs"\RTDC4002\2017-03-18 --exclude "*" --recursive --include "*20170318*" &amp; "%USERPROFILE%\Documents\GitHub\mrs-test-scripts\Headless Mode &amp; Sideloading\WalkAndUnGZ.bat" "%USERPROFILE%\AppData\Local\Temp\OnboardLogs"\RTDC4002\2017-03-18</v>
      </c>
      <c r="AF118" s="82" t="str">
        <f t="shared" si="35"/>
        <v>"C:\Program Files (x86)\AstroGrep\AstroGrep.exe" /e /r /s /spath="%USERPROFILE%\AppData\Local\Temp\OnboardLogs" /stypes="app*4002*20170317*" /stext=" 23:.+((SYSTEM_STATE.+slice.+state.+changed )|(ment ac)|(multiple cpu faults)|(system.+state.+changed )|(\[timeout)|(PRM\|1\|D)|(kpr)|(kdp)|(\|lc)|(penalty))"</v>
      </c>
      <c r="AG118" s="1" t="str">
        <f t="shared" si="36"/>
        <v>EC</v>
      </c>
      <c r="AH118" s="86" t="str">
        <f t="shared" si="37"/>
        <v>"%USERPROFILE%\Documents\GitHub\eaglep3\Utilities\RefineRTDCRunTimes.py" --tripid 205-17 --locoid 4002 --swversion DE.1.0.9.0 --startMP 204:477 --initTime 2017-03-17T16:45:04 --startdatetime 2017-03-17T16:47:31 --delay 1 --endMP 204:233304 --enddatetime 2017-03-17T17:25:30 --enforcementcount 0 &gt;&gt;C:\Users\stu\Documents\GitHub\eaglep3-reporting\EC\2017-03-17-refined-times.txt</v>
      </c>
      <c r="AI118" s="108" t="str">
        <f t="shared" si="38"/>
        <v>echo {"issue":{"subject":"","project_id":79,"tracker_id":40,"status_id":1,"priority_id":2,"assigned_to_id":23,"start_date":"2017-03-17","description":"","custom_fields":[{"id":1,"name":"Subdivision","value":"EC"},{"id":4,"name":"Milepost","value":"23.3304"},{"id":17,"name":"Train ID","value":"205-17"},{"id":16,"name":"Locomotive ID","value":"4002"},{"id":130,"name":"Impact","value":""},{"id":150,"name":"Time of Event (Mountain Time)","value":"17:25:30"},{"id":151,"name":"Denver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48"/>
      <c r="AK118" s="48"/>
      <c r="AL118" s="48"/>
      <c r="AM118" s="154" t="str">
        <f t="shared" si="39"/>
        <v>start /low /b %USERPROFILE%\Documents\GitHub\eaglep3\Utilities\DownloadLogsFromS3.py --loco 4002 --day 2017-03-17</v>
      </c>
      <c r="AN118" s="163" t="str">
        <f>"grep -SE -B400 ""CHR.+\|PRM\|1\|D.+(SWITCH|SIGNAL).+UNKNOWN"" "&amp;search_path&amp;"\RTDC"&amp;B118&amp;"\*"&amp;B118&amp;"*"&amp;TEXT(AVERAGE(F118,I118)-utc_offset/24,"YYYYMMDD")&amp;"*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"%USERPROFILE%\AppData\Local\Temp\OnboardLogs"\RTDC4002\*4002*20170317* | grep -SE "(Enforcement Action)|(\[TIMEOUT)|(CHR.+\|PRM\|1\|D.+(SWITCH|SIGNAL).+UNKNOWN)" - &gt;&gt; 2017-03-17-UncaughtWiMAX.txt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3" t="s">
        <v>786</v>
      </c>
      <c r="B119" s="7">
        <v>4001</v>
      </c>
      <c r="C119" s="21" t="s">
        <v>227</v>
      </c>
      <c r="D119" s="21" t="s">
        <v>437</v>
      </c>
      <c r="E119" s="13">
        <v>42811.733506944445</v>
      </c>
      <c r="F119" s="13">
        <v>42811.736967592595</v>
      </c>
      <c r="G119" s="7">
        <v>1</v>
      </c>
      <c r="H119" s="21" t="s">
        <v>902</v>
      </c>
      <c r="I119" s="13">
        <v>42811.76599537037</v>
      </c>
      <c r="J119" s="7">
        <v>0</v>
      </c>
      <c r="K119" s="98" t="str">
        <f t="shared" si="24"/>
        <v>4001/4002</v>
      </c>
      <c r="L119" s="21" t="str">
        <f>VLOOKUP(A119,'Trips&amp;Operators'!$C$1:$G$99999,5,FALSE)</f>
        <v>CLARK KATHLEEN</v>
      </c>
      <c r="M119" s="6">
        <f t="shared" si="25"/>
        <v>2.9027777774899732E-2</v>
      </c>
      <c r="N119" s="7">
        <f t="shared" si="41"/>
        <v>41.799999995855615</v>
      </c>
      <c r="O119" s="7"/>
      <c r="P119" s="7"/>
      <c r="Q119" s="22"/>
      <c r="R119" s="22"/>
      <c r="S119" s="31">
        <f t="shared" si="40"/>
        <v>1</v>
      </c>
      <c r="T119" s="46" t="str">
        <f t="shared" si="26"/>
        <v>Southbound</v>
      </c>
      <c r="U119" s="185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86" t="str">
        <f t="shared" si="27"/>
        <v>https://d0f6bd738d7f1b3e5a7ca70fe4ff75f0.us-east-1.aws.found.io/app/kibana#/discover/Steve-Slow-Train-Analysis-(2080s-and-2083s)?_g=(refreshInterval:(display:Off,pause:!f,section:0,value:0),time:(from:'2017-03-17T16:36:15-0600',mode:absolute,to:'2017-03-17T19:23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19" s="187" t="str">
        <f t="shared" si="28"/>
        <v>N</v>
      </c>
      <c r="X119" s="187">
        <f t="shared" si="43"/>
        <v>1</v>
      </c>
      <c r="Y119" s="62">
        <f t="shared" si="30"/>
        <v>23.2987</v>
      </c>
      <c r="Z119" s="62">
        <f t="shared" si="31"/>
        <v>2.29E-2</v>
      </c>
      <c r="AA119" s="62">
        <f t="shared" si="32"/>
        <v>23.2758</v>
      </c>
      <c r="AB119" s="59" t="e">
        <f>VLOOKUP(A119,Enforcements!$C$7:$K$13,8,0)</f>
        <v>#N/A</v>
      </c>
      <c r="AC119" s="55" t="e">
        <f>VLOOKUP(A119,Enforcements!$C$7:$E$13,3,0)</f>
        <v>#N/A</v>
      </c>
      <c r="AD119" s="56" t="str">
        <f t="shared" si="33"/>
        <v>0206-17</v>
      </c>
      <c r="AE119" s="85" t="str">
        <f t="shared" si="34"/>
        <v>aws s3 cp s3://rtdc.mdm.uploadarchive.raw/RTDC4001/ "%USERPROFILE%\AppData\Local\Temp\OnboardLogs"\RTDC4001\2017-03-17 --exclude "*" --recursive --include "*20170317*" &amp; "%USERPROFILE%\Documents\GitHub\mrs-test-scripts\Headless Mode &amp; Sideloading\WalkAndUnGZ.bat" "%USERPROFILE%\AppData\Local\Temp\OnboardLogs"\RTDC4001\2017-03-17 &amp; aws s3 cp s3://rtdc.mdm.uploadarchive.raw/RTDC4001/ "%USERPROFILE%\AppData\Local\Temp\OnboardLogs"\RTDC4001\2017-03-18 --exclude "*" --recursive --include "*20170318*" &amp; "%USERPROFILE%\Documents\GitHub\mrs-test-scripts\Headless Mode &amp; Sideloading\WalkAndUnGZ.bat" "%USERPROFILE%\AppData\Local\Temp\OnboardLogs"\RTDC4001\2017-03-18</v>
      </c>
      <c r="AF119" s="82" t="str">
        <f t="shared" si="35"/>
        <v>"C:\Program Files (x86)\AstroGrep\AstroGrep.exe" /e /r /s /spath="%USERPROFILE%\AppData\Local\Temp\OnboardLogs" /stypes="app*4001*20170318*" /stext=" 00:.+((SYSTEM_STATE.+slice.+state.+changed )|(ment ac)|(multiple cpu faults)|(system.+state.+changed )|(\[timeout)|(PRM\|1\|D)|(kpr)|(kdp)|(\|lc)|(penalty))"</v>
      </c>
      <c r="AG119" s="1" t="str">
        <f t="shared" si="36"/>
        <v>EC</v>
      </c>
      <c r="AH119" s="86" t="str">
        <f t="shared" si="37"/>
        <v>"%USERPROFILE%\Documents\GitHub\eaglep3\Utilities\RefineRTDCRunTimes.py" --tripid 206-17 --locoid 4001 --swversion DE.1.0.9.0 --startMP 204:232987 --initTime 2017-03-17T17:36:15 --startdatetime 2017-03-17T17:41:14 --delay 1 --endMP 204:229 --enddatetime 2017-03-17T18:23:02 --enforcementcount 0 &gt;&gt;C:\Users\stu\Documents\GitHub\eaglep3-reporting\EC\2017-03-17-refined-times.txt</v>
      </c>
      <c r="AI119" s="108" t="str">
        <f t="shared" si="38"/>
        <v>echo {"issue":{"subject":"","project_id":79,"tracker_id":40,"status_id":1,"priority_id":2,"assigned_to_id":23,"start_date":"2017-03-17","description":"","custom_fields":[{"id":1,"name":"Subdivision","value":"EC"},{"id":4,"name":"Milepost","value":"0.0229"},{"id":17,"name":"Train ID","value":"206-17"},{"id":16,"name":"Locomotive ID","value":"4001"},{"id":130,"name":"Impact","value":""},{"id":150,"name":"Time of Event (Mountain Time)","value":"18:23:02"},{"id":151,"name":"Denver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48"/>
      <c r="AK119" s="48"/>
      <c r="AL119" s="48"/>
      <c r="AM119" s="154" t="str">
        <f t="shared" si="39"/>
        <v>start /low /b %USERPROFILE%\Documents\GitHub\eaglep3\Utilities\DownloadLogsFromS3.py --loco 4001 --day 2017-03-17</v>
      </c>
      <c r="AN119" s="163" t="str">
        <f>"grep -SE -B400 ""CHR.+\|PRM\|1\|D.+(SWITCH|SIGNAL).+UNKNOWN"" "&amp;search_path&amp;"\RTDC"&amp;B119&amp;"\*"&amp;B119&amp;"*"&amp;TEXT(AVERAGE(F119,I119)-utc_offset/24,"YYYYMMDD")&amp;"*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"%USERPROFILE%\AppData\Local\Temp\OnboardLogs"\RTDC4001\*4001*20170318* | grep -SE "(Enforcement Action)|(\[TIMEOUT)|(CHR.+\|PRM\|1\|D.+(SWITCH|SIGNAL).+UNKNOWN)" - &gt;&gt; 2017-03-17-UncaughtWiMAX.txt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3" t="s">
        <v>779</v>
      </c>
      <c r="B120" s="7">
        <v>4042</v>
      </c>
      <c r="C120" s="21" t="s">
        <v>227</v>
      </c>
      <c r="D120" s="21" t="s">
        <v>903</v>
      </c>
      <c r="E120" s="13">
        <v>42811.710381944446</v>
      </c>
      <c r="F120" s="13">
        <v>42811.712881944448</v>
      </c>
      <c r="G120" s="7">
        <v>1</v>
      </c>
      <c r="H120" s="21" t="s">
        <v>232</v>
      </c>
      <c r="I120" s="13">
        <v>42811.740532407406</v>
      </c>
      <c r="J120" s="7">
        <v>0</v>
      </c>
      <c r="K120" s="98" t="str">
        <f t="shared" si="24"/>
        <v>4041/4042</v>
      </c>
      <c r="L120" s="21" t="str">
        <f>VLOOKUP(A120,'Trips&amp;Operators'!$C$1:$G$99999,5,FALSE)</f>
        <v>ARVIDSON DANIEL</v>
      </c>
      <c r="M120" s="6">
        <f t="shared" si="25"/>
        <v>2.7650462958263233E-2</v>
      </c>
      <c r="N120" s="7">
        <f t="shared" si="41"/>
        <v>39.816666659899056</v>
      </c>
      <c r="O120" s="7"/>
      <c r="P120" s="7"/>
      <c r="Q120" s="22"/>
      <c r="R120" s="22"/>
      <c r="S120" s="31">
        <f t="shared" si="40"/>
        <v>1</v>
      </c>
      <c r="T120" s="46" t="str">
        <f t="shared" si="26"/>
        <v>NorthBound</v>
      </c>
      <c r="U120" s="185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86" t="str">
        <f t="shared" si="27"/>
        <v>https://d0f6bd738d7f1b3e5a7ca70fe4ff75f0.us-east-1.aws.found.io/app/kibana#/discover/Steve-Slow-Train-Analysis-(2080s-and-2083s)?_g=(refreshInterval:(display:Off,pause:!f,section:0,value:0),time:(from:'2017-03-17T16:02:57-0600',mode:absolute,to:'2017-03-17T18:46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20" s="187" t="str">
        <f t="shared" si="28"/>
        <v>N</v>
      </c>
      <c r="X120" s="187">
        <f t="shared" si="43"/>
        <v>1</v>
      </c>
      <c r="Y120" s="62">
        <f t="shared" si="30"/>
        <v>4.1599999999999998E-2</v>
      </c>
      <c r="Z120" s="62">
        <f t="shared" si="31"/>
        <v>23.331199999999999</v>
      </c>
      <c r="AA120" s="62">
        <f t="shared" si="32"/>
        <v>23.2896</v>
      </c>
      <c r="AB120" s="59" t="e">
        <f>VLOOKUP(A120,Enforcements!$C$7:$K$13,8,0)</f>
        <v>#N/A</v>
      </c>
      <c r="AC120" s="55" t="e">
        <f>VLOOKUP(A120,Enforcements!$C$7:$E$13,3,0)</f>
        <v>#N/A</v>
      </c>
      <c r="AD120" s="56" t="str">
        <f t="shared" si="33"/>
        <v>0207-17</v>
      </c>
      <c r="AE120" s="85" t="str">
        <f t="shared" si="34"/>
        <v>aws s3 cp s3://rtdc.mdm.uploadarchive.raw/RTDC4042/ "%USERPROFILE%\AppData\Local\Temp\OnboardLogs"\RTDC4042\2017-03-17 --exclude "*" --recursive --include "*20170317*" &amp; "%USERPROFILE%\Documents\GitHub\mrs-test-scripts\Headless Mode &amp; Sideloading\WalkAndUnGZ.bat" "%USERPROFILE%\AppData\Local\Temp\OnboardLogs"\RTDC4042\2017-03-17 &amp; aws s3 cp s3://rtdc.mdm.uploadarchive.raw/RTDC4042/ "%USERPROFILE%\AppData\Local\Temp\OnboardLogs"\RTDC4042\2017-03-18 --exclude "*" --recursive --include "*20170318*" &amp; "%USERPROFILE%\Documents\GitHub\mrs-test-scripts\Headless Mode &amp; Sideloading\WalkAndUnGZ.bat" "%USERPROFILE%\AppData\Local\Temp\OnboardLogs"\RTDC4042\2017-03-18</v>
      </c>
      <c r="AF120" s="82" t="str">
        <f t="shared" si="35"/>
        <v>"C:\Program Files (x86)\AstroGrep\AstroGrep.exe" /e /r /s /spath="%USERPROFILE%\AppData\Local\Temp\OnboardLogs" /stypes="app*4042*20170317*" /stext=" 23:.+((SYSTEM_STATE.+slice.+state.+changed )|(ment ac)|(multiple cpu faults)|(system.+state.+changed )|(\[timeout)|(PRM\|1\|D)|(kpr)|(kdp)|(\|lc)|(penalty))"</v>
      </c>
      <c r="AG120" s="1" t="str">
        <f t="shared" si="36"/>
        <v>EC</v>
      </c>
      <c r="AH120" s="86" t="str">
        <f t="shared" si="37"/>
        <v>"%USERPROFILE%\Documents\GitHub\eaglep3\Utilities\RefineRTDCRunTimes.py" --tripid 207-17 --locoid 4042 --swversion DE.1.0.9.0 --startMP 204:416 --initTime 2017-03-17T17:02:57 --startdatetime 2017-03-17T17:06:33 --delay 1 --endMP 204:233312 --enddatetime 2017-03-17T17:46:22 --enforcementcount 0 &gt;&gt;C:\Users\stu\Documents\GitHub\eaglep3-reporting\EC\2017-03-17-refined-times.txt</v>
      </c>
      <c r="AI120" s="108" t="str">
        <f t="shared" si="38"/>
        <v>echo {"issue":{"subject":"","project_id":79,"tracker_id":40,"status_id":1,"priority_id":2,"assigned_to_id":23,"start_date":"2017-03-17","description":"","custom_fields":[{"id":1,"name":"Subdivision","value":"EC"},{"id":4,"name":"Milepost","value":"23.3312"},{"id":17,"name":"Train ID","value":"207-17"},{"id":16,"name":"Locomotive ID","value":"4042"},{"id":130,"name":"Impact","value":""},{"id":150,"name":"Time of Event (Mountain Time)","value":"17:46:22"},{"id":151,"name":"Denver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48"/>
      <c r="AK120" s="48"/>
      <c r="AL120" s="48"/>
      <c r="AM120" s="154" t="str">
        <f t="shared" si="39"/>
        <v>start /low /b %USERPROFILE%\Documents\GitHub\eaglep3\Utilities\DownloadLogsFromS3.py --loco 4042 --day 2017-03-17</v>
      </c>
      <c r="AN120" s="163" t="str">
        <f>"grep -SE -B400 ""CHR.+\|PRM\|1\|D.+(SWITCH|SIGNAL).+UNKNOWN"" "&amp;search_path&amp;"\RTDC"&amp;B120&amp;"\*"&amp;B120&amp;"*"&amp;TEXT(AVERAGE(F120,I120)-utc_offset/24,"YYYYMMDD")&amp;"*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"%USERPROFILE%\AppData\Local\Temp\OnboardLogs"\RTDC4042\*4042*20170317* | grep -SE "(Enforcement Action)|(\[TIMEOUT)|(CHR.+\|PRM\|1\|D.+(SWITCH|SIGNAL).+UNKNOWN)" - &gt;&gt; 2017-03-17-UncaughtWiMAX.txt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3" t="s">
        <v>789</v>
      </c>
      <c r="B121" s="7">
        <v>4041</v>
      </c>
      <c r="C121" s="21" t="s">
        <v>227</v>
      </c>
      <c r="D121" s="21" t="s">
        <v>904</v>
      </c>
      <c r="E121" s="13">
        <v>42811.745208333334</v>
      </c>
      <c r="F121" s="13">
        <v>42811.747476851851</v>
      </c>
      <c r="G121" s="7">
        <v>1</v>
      </c>
      <c r="H121" s="21" t="s">
        <v>184</v>
      </c>
      <c r="I121" s="13">
        <v>42811.776504629626</v>
      </c>
      <c r="J121" s="7">
        <v>0</v>
      </c>
      <c r="K121" s="98" t="str">
        <f t="shared" si="24"/>
        <v>4041/4042</v>
      </c>
      <c r="L121" s="21" t="str">
        <f>VLOOKUP(A121,'Trips&amp;Operators'!$C$1:$G$99999,5,FALSE)</f>
        <v>ARVIDSON DANIEL</v>
      </c>
      <c r="M121" s="6">
        <f t="shared" si="25"/>
        <v>2.9027777774899732E-2</v>
      </c>
      <c r="N121" s="7">
        <f t="shared" si="41"/>
        <v>41.799999995855615</v>
      </c>
      <c r="O121" s="7"/>
      <c r="P121" s="7"/>
      <c r="Q121" s="22"/>
      <c r="R121" s="22"/>
      <c r="S121" s="31">
        <f t="shared" ref="S121:S152" si="44">SUM(U121:U121)/IF(AG121="EC",12,1)</f>
        <v>1</v>
      </c>
      <c r="T121" s="46" t="str">
        <f t="shared" si="26"/>
        <v>Southbound</v>
      </c>
      <c r="U121" s="185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86" t="str">
        <f t="shared" si="27"/>
        <v>https://d0f6bd738d7f1b3e5a7ca70fe4ff75f0.us-east-1.aws.found.io/app/kibana#/discover/Steve-Slow-Train-Analysis-(2080s-and-2083s)?_g=(refreshInterval:(display:Off,pause:!f,section:0,value:0),time:(from:'2017-03-17T16:53:06-0600',mode:absolute,to:'2017-03-17T19:38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21" s="187" t="str">
        <f t="shared" si="28"/>
        <v>N</v>
      </c>
      <c r="X121" s="187">
        <f t="shared" si="43"/>
        <v>1</v>
      </c>
      <c r="Y121" s="62">
        <f t="shared" si="30"/>
        <v>23.3003</v>
      </c>
      <c r="Z121" s="62">
        <f t="shared" si="31"/>
        <v>1.49E-2</v>
      </c>
      <c r="AA121" s="62">
        <f t="shared" si="32"/>
        <v>23.285399999999999</v>
      </c>
      <c r="AB121" s="59" t="e">
        <f>VLOOKUP(A121,Enforcements!$C$7:$K$13,8,0)</f>
        <v>#N/A</v>
      </c>
      <c r="AC121" s="55" t="e">
        <f>VLOOKUP(A121,Enforcements!$C$7:$E$13,3,0)</f>
        <v>#N/A</v>
      </c>
      <c r="AD121" s="56" t="str">
        <f t="shared" si="33"/>
        <v>0208-17</v>
      </c>
      <c r="AE121" s="85" t="str">
        <f t="shared" si="34"/>
        <v>aws s3 cp s3://rtdc.mdm.uploadarchive.raw/RTDC4041/ "%USERPROFILE%\AppData\Local\Temp\OnboardLogs"\RTDC4041\2017-03-17 --exclude "*" --recursive --include "*20170317*" &amp; "%USERPROFILE%\Documents\GitHub\mrs-test-scripts\Headless Mode &amp; Sideloading\WalkAndUnGZ.bat" "%USERPROFILE%\AppData\Local\Temp\OnboardLogs"\RTDC4041\2017-03-17 &amp; aws s3 cp s3://rtdc.mdm.uploadarchive.raw/RTDC4041/ "%USERPROFILE%\AppData\Local\Temp\OnboardLogs"\RTDC4041\2017-03-18 --exclude "*" --recursive --include "*20170318*" &amp; "%USERPROFILE%\Documents\GitHub\mrs-test-scripts\Headless Mode &amp; Sideloading\WalkAndUnGZ.bat" "%USERPROFILE%\AppData\Local\Temp\OnboardLogs"\RTDC4041\2017-03-18</v>
      </c>
      <c r="AF121" s="82" t="str">
        <f t="shared" si="35"/>
        <v>"C:\Program Files (x86)\AstroGrep\AstroGrep.exe" /e /r /s /spath="%USERPROFILE%\AppData\Local\Temp\OnboardLogs" /stypes="app*4041*20170318*" /stext=" 00:.+((SYSTEM_STATE.+slice.+state.+changed )|(ment ac)|(multiple cpu faults)|(system.+state.+changed )|(\[timeout)|(PRM\|1\|D)|(kpr)|(kdp)|(\|lc)|(penalty))"</v>
      </c>
      <c r="AG121" s="1" t="str">
        <f t="shared" si="36"/>
        <v>EC</v>
      </c>
      <c r="AH121" s="86" t="str">
        <f t="shared" si="37"/>
        <v>"%USERPROFILE%\Documents\GitHub\eaglep3\Utilities\RefineRTDCRunTimes.py" --tripid 208-17 --locoid 4041 --swversion DE.1.0.9.0 --startMP 204:233003 --initTime 2017-03-17T17:53:06 --startdatetime 2017-03-17T17:56:22 --delay 1 --endMP 204:149 --enddatetime 2017-03-17T18:38:10 --enforcementcount 0 &gt;&gt;C:\Users\stu\Documents\GitHub\eaglep3-reporting\EC\2017-03-17-refined-times.txt</v>
      </c>
      <c r="AI121" s="108" t="str">
        <f t="shared" si="38"/>
        <v>echo {"issue":{"subject":"","project_id":79,"tracker_id":40,"status_id":1,"priority_id":2,"assigned_to_id":23,"start_date":"2017-03-17","description":"","custom_fields":[{"id":1,"name":"Subdivision","value":"EC"},{"id":4,"name":"Milepost","value":"0.0149"},{"id":17,"name":"Train ID","value":"208-17"},{"id":16,"name":"Locomotive ID","value":"4041"},{"id":130,"name":"Impact","value":""},{"id":150,"name":"Time of Event (Mountain Time)","value":"18:38:10"},{"id":151,"name":"Denver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48"/>
      <c r="AK121" s="48"/>
      <c r="AL121" s="48"/>
      <c r="AM121" s="154" t="str">
        <f t="shared" si="39"/>
        <v>start /low /b %USERPROFILE%\Documents\GitHub\eaglep3\Utilities\DownloadLogsFromS3.py --loco 4041 --day 2017-03-17</v>
      </c>
      <c r="AN121" s="163" t="str">
        <f>"grep -SE -B400 ""CHR.+\|PRM\|1\|D.+(SWITCH|SIGNAL).+UNKNOWN"" "&amp;search_path&amp;"\RTDC"&amp;B121&amp;"\*"&amp;B121&amp;"*"&amp;TEXT(AVERAGE(F121,I121)-utc_offset/24,"YYYYMMDD")&amp;"*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"%USERPROFILE%\AppData\Local\Temp\OnboardLogs"\RTDC4041\*4041*20170318* | grep -SE "(Enforcement Action)|(\[TIMEOUT)|(CHR.+\|PRM\|1\|D.+(SWITCH|SIGNAL).+UNKNOWN)" - &gt;&gt; 2017-03-17-UncaughtWiMAX.txt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3" t="s">
        <v>783</v>
      </c>
      <c r="B122" s="7">
        <v>4053</v>
      </c>
      <c r="C122" s="21" t="s">
        <v>227</v>
      </c>
      <c r="D122" s="21" t="s">
        <v>423</v>
      </c>
      <c r="E122" s="13">
        <v>42811.720497685186</v>
      </c>
      <c r="F122" s="13">
        <v>42811.721828703703</v>
      </c>
      <c r="G122" s="7">
        <v>1</v>
      </c>
      <c r="H122" s="21" t="s">
        <v>521</v>
      </c>
      <c r="I122" s="13">
        <v>42811.74591435185</v>
      </c>
      <c r="J122" s="7">
        <v>0</v>
      </c>
      <c r="K122" s="98" t="str">
        <f t="shared" si="24"/>
        <v>4053/4054</v>
      </c>
      <c r="L122" s="21" t="str">
        <f>VLOOKUP(A122,'Trips&amp;Operators'!$C$1:$G$99999,5,FALSE)</f>
        <v>HELVIE ADAM</v>
      </c>
      <c r="M122" s="6">
        <f t="shared" si="25"/>
        <v>2.4085648146865424E-2</v>
      </c>
      <c r="N122" s="7">
        <f t="shared" si="41"/>
        <v>34.68333333148621</v>
      </c>
      <c r="O122" s="7"/>
      <c r="P122" s="7"/>
      <c r="Q122" s="22"/>
      <c r="R122" s="22"/>
      <c r="S122" s="31">
        <f t="shared" si="44"/>
        <v>1</v>
      </c>
      <c r="T122" s="46" t="str">
        <f t="shared" si="26"/>
        <v>NorthBound</v>
      </c>
      <c r="U122" s="185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86" t="str">
        <f t="shared" si="27"/>
        <v>https://d0f6bd738d7f1b3e5a7ca70fe4ff75f0.us-east-1.aws.found.io/app/kibana#/discover/Steve-Slow-Train-Analysis-(2080s-and-2083s)?_g=(refreshInterval:(display:Off,pause:!f,section:0,value:0),time:(from:'2017-03-17T16:17:31-0600',mode:absolute,to:'2017-03-17T18:54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22" s="187" t="str">
        <f t="shared" si="28"/>
        <v>N</v>
      </c>
      <c r="X122" s="187">
        <f t="shared" si="43"/>
        <v>1</v>
      </c>
      <c r="Y122" s="62">
        <f t="shared" si="30"/>
        <v>4.6199999999999998E-2</v>
      </c>
      <c r="Z122" s="62">
        <f t="shared" si="31"/>
        <v>23.327400000000001</v>
      </c>
      <c r="AA122" s="62">
        <f t="shared" si="32"/>
        <v>23.281200000000002</v>
      </c>
      <c r="AB122" s="59" t="e">
        <f>VLOOKUP(A122,Enforcements!$C$7:$K$13,8,0)</f>
        <v>#N/A</v>
      </c>
      <c r="AC122" s="55" t="e">
        <f>VLOOKUP(A122,Enforcements!$C$7:$E$13,3,0)</f>
        <v>#N/A</v>
      </c>
      <c r="AD122" s="56" t="str">
        <f t="shared" si="33"/>
        <v>0209-17</v>
      </c>
      <c r="AE122" s="85" t="str">
        <f t="shared" si="34"/>
        <v>aws s3 cp s3://rtdc.mdm.uploadarchive.raw/RTDC4053/ "%USERPROFILE%\AppData\Local\Temp\OnboardLogs"\RTDC4053\2017-03-17 --exclude "*" --recursive --include "*20170317*" &amp; "%USERPROFILE%\Documents\GitHub\mrs-test-scripts\Headless Mode &amp; Sideloading\WalkAndUnGZ.bat" "%USERPROFILE%\AppData\Local\Temp\OnboardLogs"\RTDC4053\2017-03-17 &amp; aws s3 cp s3://rtdc.mdm.uploadarchive.raw/RTDC4053/ "%USERPROFILE%\AppData\Local\Temp\OnboardLogs"\RTDC4053\2017-03-18 --exclude "*" --recursive --include "*20170318*" &amp; "%USERPROFILE%\Documents\GitHub\mrs-test-scripts\Headless Mode &amp; Sideloading\WalkAndUnGZ.bat" "%USERPROFILE%\AppData\Local\Temp\OnboardLogs"\RTDC4053\2017-03-18</v>
      </c>
      <c r="AF122" s="82" t="str">
        <f t="shared" si="35"/>
        <v>"C:\Program Files (x86)\AstroGrep\AstroGrep.exe" /e /r /s /spath="%USERPROFILE%\AppData\Local\Temp\OnboardLogs" /stypes="app*4053*20170317*" /stext=" 23:.+((SYSTEM_STATE.+slice.+state.+changed )|(ment ac)|(multiple cpu faults)|(system.+state.+changed )|(\[timeout)|(PRM\|1\|D)|(kpr)|(kdp)|(\|lc)|(penalty))"</v>
      </c>
      <c r="AG122" s="1" t="str">
        <f t="shared" si="36"/>
        <v>EC</v>
      </c>
      <c r="AH122" s="86" t="str">
        <f t="shared" si="37"/>
        <v>"%USERPROFILE%\Documents\GitHub\eaglep3\Utilities\RefineRTDCRunTimes.py" --tripid 209-17 --locoid 4053 --swversion DE.1.0.9.0 --startMP 204:462 --initTime 2017-03-17T17:17:31 --startdatetime 2017-03-17T17:19:26 --delay 1 --endMP 204:233274 --enddatetime 2017-03-17T17:54:07 --enforcementcount 0 &gt;&gt;C:\Users\stu\Documents\GitHub\eaglep3-reporting\EC\2017-03-17-refined-times.txt</v>
      </c>
      <c r="AI122" s="108" t="str">
        <f t="shared" si="38"/>
        <v>echo {"issue":{"subject":"","project_id":79,"tracker_id":40,"status_id":1,"priority_id":2,"assigned_to_id":23,"start_date":"2017-03-17","description":"","custom_fields":[{"id":1,"name":"Subdivision","value":"EC"},{"id":4,"name":"Milepost","value":"23.3274"},{"id":17,"name":"Train ID","value":"209-17"},{"id":16,"name":"Locomotive ID","value":"4053"},{"id":130,"name":"Impact","value":""},{"id":150,"name":"Time of Event (Mountain Time)","value":"17:54:07"},{"id":151,"name":"Denver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48"/>
      <c r="AK122" s="48"/>
      <c r="AL122" s="48"/>
      <c r="AM122" s="154" t="str">
        <f t="shared" si="39"/>
        <v>start /low /b %USERPROFILE%\Documents\GitHub\eaglep3\Utilities\DownloadLogsFromS3.py --loco 4053 --day 2017-03-17</v>
      </c>
      <c r="AN122" s="163" t="str">
        <f>"grep -SE -B400 ""CHR.+\|PRM\|1\|D.+(SWITCH|SIGNAL).+UNKNOWN"" "&amp;search_path&amp;"\RTDC"&amp;B122&amp;"\*"&amp;B122&amp;"*"&amp;TEXT(AVERAGE(F122,I122)-utc_offset/24,"YYYYMMDD")&amp;"*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"%USERPROFILE%\AppData\Local\Temp\OnboardLogs"\RTDC4053\*4053*20170317* | grep -SE "(Enforcement Action)|(\[TIMEOUT)|(CHR.+\|PRM\|1\|D.+(SWITCH|SIGNAL).+UNKNOWN)" - &gt;&gt; 2017-03-17-UncaughtWiMAX.txt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3" t="s">
        <v>797</v>
      </c>
      <c r="B123" s="7">
        <v>4054</v>
      </c>
      <c r="C123" s="21" t="s">
        <v>227</v>
      </c>
      <c r="D123" s="21" t="s">
        <v>478</v>
      </c>
      <c r="E123" s="13">
        <v>42811.75681712963</v>
      </c>
      <c r="F123" s="13">
        <v>42811.757916666669</v>
      </c>
      <c r="G123" s="7">
        <v>0</v>
      </c>
      <c r="H123" s="21" t="s">
        <v>236</v>
      </c>
      <c r="I123" s="13">
        <v>42811.78597222222</v>
      </c>
      <c r="J123" s="7">
        <v>0</v>
      </c>
      <c r="K123" s="98" t="str">
        <f t="shared" si="24"/>
        <v>4053/4054</v>
      </c>
      <c r="L123" s="21" t="str">
        <f>VLOOKUP(A123,'Trips&amp;Operators'!$C$1:$G$99999,5,FALSE)</f>
        <v>HELVIE ADAM</v>
      </c>
      <c r="M123" s="6">
        <f t="shared" si="25"/>
        <v>2.8055555550963618E-2</v>
      </c>
      <c r="N123" s="7">
        <f t="shared" si="41"/>
        <v>40.39999999338761</v>
      </c>
      <c r="O123" s="7"/>
      <c r="P123" s="7"/>
      <c r="Q123" s="22"/>
      <c r="R123" s="22"/>
      <c r="S123" s="31">
        <f t="shared" si="44"/>
        <v>1</v>
      </c>
      <c r="T123" s="46" t="str">
        <f t="shared" si="26"/>
        <v>Southbound</v>
      </c>
      <c r="U123" s="185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86" t="str">
        <f t="shared" si="27"/>
        <v>https://d0f6bd738d7f1b3e5a7ca70fe4ff75f0.us-east-1.aws.found.io/app/kibana#/discover/Steve-Slow-Train-Analysis-(2080s-and-2083s)?_g=(refreshInterval:(display:Off,pause:!f,section:0,value:0),time:(from:'2017-03-17T17:09:49-0600',mode:absolute,to:'2017-03-17T19:51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23" s="187" t="str">
        <f t="shared" si="28"/>
        <v>N</v>
      </c>
      <c r="X123" s="187">
        <f t="shared" si="43"/>
        <v>1</v>
      </c>
      <c r="Y123" s="62">
        <f t="shared" si="30"/>
        <v>23.2957</v>
      </c>
      <c r="Z123" s="62">
        <f t="shared" si="31"/>
        <v>1.61E-2</v>
      </c>
      <c r="AA123" s="62">
        <f t="shared" si="32"/>
        <v>23.279599999999999</v>
      </c>
      <c r="AB123" s="59" t="e">
        <f>VLOOKUP(A123,Enforcements!$C$7:$K$13,8,0)</f>
        <v>#N/A</v>
      </c>
      <c r="AC123" s="55" t="e">
        <f>VLOOKUP(A123,Enforcements!$C$7:$E$13,3,0)</f>
        <v>#N/A</v>
      </c>
      <c r="AD123" s="56" t="str">
        <f t="shared" si="33"/>
        <v>0210-17</v>
      </c>
      <c r="AE123" s="85" t="str">
        <f t="shared" si="34"/>
        <v>aws s3 cp s3://rtdc.mdm.uploadarchive.raw/RTDC4054/ "%USERPROFILE%\AppData\Local\Temp\OnboardLogs"\RTDC4054\2017-03-17 --exclude "*" --recursive --include "*20170317*" &amp; "%USERPROFILE%\Documents\GitHub\mrs-test-scripts\Headless Mode &amp; Sideloading\WalkAndUnGZ.bat" "%USERPROFILE%\AppData\Local\Temp\OnboardLogs"\RTDC4054\2017-03-17 &amp; aws s3 cp s3://rtdc.mdm.uploadarchive.raw/RTDC4054/ "%USERPROFILE%\AppData\Local\Temp\OnboardLogs"\RTDC4054\2017-03-18 --exclude "*" --recursive --include "*20170318*" &amp; "%USERPROFILE%\Documents\GitHub\mrs-test-scripts\Headless Mode &amp; Sideloading\WalkAndUnGZ.bat" "%USERPROFILE%\AppData\Local\Temp\OnboardLogs"\RTDC4054\2017-03-18</v>
      </c>
      <c r="AF123" s="82" t="str">
        <f t="shared" si="35"/>
        <v>"C:\Program Files (x86)\AstroGrep\AstroGrep.exe" /e /r /s /spath="%USERPROFILE%\AppData\Local\Temp\OnboardLogs" /stypes="app*4054*20170318*" /stext=" 00:.+((SYSTEM_STATE.+slice.+state.+changed )|(ment ac)|(multiple cpu faults)|(system.+state.+changed )|(\[timeout)|(PRM\|1\|D)|(kpr)|(kdp)|(\|lc)|(penalty))"</v>
      </c>
      <c r="AG123" s="1" t="str">
        <f t="shared" si="36"/>
        <v>EC</v>
      </c>
      <c r="AH123" s="86" t="str">
        <f t="shared" si="37"/>
        <v>"%USERPROFILE%\Documents\GitHub\eaglep3\Utilities\RefineRTDCRunTimes.py" --tripid 210-17 --locoid 4054 --swversion DE.1.0.9.0 --startMP 204:232957 --initTime 2017-03-17T18:09:49 --startdatetime 2017-03-17T18:11:24 --delay 0 --endMP 204:161 --enddatetime 2017-03-17T18:51:48 --enforcementcount 0 &gt;&gt;C:\Users\stu\Documents\GitHub\eaglep3-reporting\EC\2017-03-17-refined-times.txt</v>
      </c>
      <c r="AI123" s="108" t="str">
        <f t="shared" si="38"/>
        <v>echo {"issue":{"subject":"","project_id":79,"tracker_id":40,"status_id":1,"priority_id":2,"assigned_to_id":23,"start_date":"2017-03-17","description":"","custom_fields":[{"id":1,"name":"Subdivision","value":"EC"},{"id":4,"name":"Milepost","value":"0.0161"},{"id":17,"name":"Train ID","value":"210-17"},{"id":16,"name":"Locomotive ID","value":"4054"},{"id":130,"name":"Impact","value":""},{"id":150,"name":"Time of Event (Mountain Time)","value":"18:51:48"},{"id":151,"name":"Denver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48"/>
      <c r="AK123" s="48"/>
      <c r="AL123" s="48"/>
      <c r="AM123" s="154" t="str">
        <f t="shared" si="39"/>
        <v>start /low /b %USERPROFILE%\Documents\GitHub\eaglep3\Utilities\DownloadLogsFromS3.py --loco 4054 --day 2017-03-17</v>
      </c>
      <c r="AN123" s="163" t="str">
        <f>"grep -SE -B400 ""CHR.+\|PRM\|1\|D.+(SWITCH|SIGNAL).+UNKNOWN"" "&amp;search_path&amp;"\RTDC"&amp;B123&amp;"\*"&amp;B123&amp;"*"&amp;TEXT(AVERAGE(F123,I123)-utc_offset/24,"YYYYMMDD")&amp;"*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"%USERPROFILE%\AppData\Local\Temp\OnboardLogs"\RTDC4054\*4054*20170318* | grep -SE "(Enforcement Action)|(\[TIMEOUT)|(CHR.+\|PRM\|1\|D.+(SWITCH|SIGNAL).+UNKNOWN)" - &gt;&gt; 2017-03-17-UncaughtWiMAX.txt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3" t="s">
        <v>784</v>
      </c>
      <c r="B124" s="7">
        <v>4011</v>
      </c>
      <c r="C124" s="21" t="s">
        <v>227</v>
      </c>
      <c r="D124" s="21" t="s">
        <v>213</v>
      </c>
      <c r="E124" s="13">
        <v>42811.728171296294</v>
      </c>
      <c r="F124" s="13">
        <v>42811.729745370372</v>
      </c>
      <c r="G124" s="7">
        <v>1</v>
      </c>
      <c r="H124" s="21" t="s">
        <v>880</v>
      </c>
      <c r="I124" s="13">
        <v>42811.755254629628</v>
      </c>
      <c r="J124" s="7">
        <v>0</v>
      </c>
      <c r="K124" s="98" t="str">
        <f t="shared" si="24"/>
        <v>4011/4012</v>
      </c>
      <c r="L124" s="21" t="str">
        <f>VLOOKUP(A124,'Trips&amp;Operators'!$C$1:$G$99999,5,FALSE)</f>
        <v>LOPES KIMBERLY</v>
      </c>
      <c r="M124" s="6">
        <f t="shared" si="25"/>
        <v>2.5509259256068617E-2</v>
      </c>
      <c r="N124" s="7">
        <f t="shared" si="41"/>
        <v>36.733333328738809</v>
      </c>
      <c r="O124" s="7"/>
      <c r="P124" s="7"/>
      <c r="Q124" s="22"/>
      <c r="R124" s="22"/>
      <c r="S124" s="31">
        <f t="shared" si="44"/>
        <v>1</v>
      </c>
      <c r="T124" s="46" t="str">
        <f t="shared" si="26"/>
        <v>NorthBound</v>
      </c>
      <c r="U124" s="185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86" t="str">
        <f t="shared" si="27"/>
        <v>https://d0f6bd738d7f1b3e5a7ca70fe4ff75f0.us-east-1.aws.found.io/app/kibana#/discover/Steve-Slow-Train-Analysis-(2080s-and-2083s)?_g=(refreshInterval:(display:Off,pause:!f,section:0,value:0),time:(from:'2017-03-17T16:28:34-0600',mode:absolute,to:'2017-03-17T19:07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24" s="187" t="str">
        <f t="shared" si="28"/>
        <v>N</v>
      </c>
      <c r="X124" s="187">
        <f t="shared" si="43"/>
        <v>1</v>
      </c>
      <c r="Y124" s="62">
        <f t="shared" si="30"/>
        <v>4.53E-2</v>
      </c>
      <c r="Z124" s="62">
        <f t="shared" si="31"/>
        <v>23.330500000000001</v>
      </c>
      <c r="AA124" s="62">
        <f t="shared" si="32"/>
        <v>23.2852</v>
      </c>
      <c r="AB124" s="59" t="e">
        <f>VLOOKUP(A124,Enforcements!$C$7:$K$13,8,0)</f>
        <v>#N/A</v>
      </c>
      <c r="AC124" s="55" t="e">
        <f>VLOOKUP(A124,Enforcements!$C$7:$E$13,3,0)</f>
        <v>#N/A</v>
      </c>
      <c r="AD124" s="56" t="str">
        <f t="shared" si="33"/>
        <v>0211-17</v>
      </c>
      <c r="AE124" s="85" t="str">
        <f t="shared" si="34"/>
        <v>aws s3 cp s3://rtdc.mdm.uploadarchive.raw/RTDC4011/ "%USERPROFILE%\AppData\Local\Temp\OnboardLogs"\RTDC4011\2017-03-17 --exclude "*" --recursive --include "*20170317*" &amp; "%USERPROFILE%\Documents\GitHub\mrs-test-scripts\Headless Mode &amp; Sideloading\WalkAndUnGZ.bat" "%USERPROFILE%\AppData\Local\Temp\OnboardLogs"\RTDC4011\2017-03-17 &amp; aws s3 cp s3://rtdc.mdm.uploadarchive.raw/RTDC4011/ "%USERPROFILE%\AppData\Local\Temp\OnboardLogs"\RTDC4011\2017-03-18 --exclude "*" --recursive --include "*20170318*" &amp; "%USERPROFILE%\Documents\GitHub\mrs-test-scripts\Headless Mode &amp; Sideloading\WalkAndUnGZ.bat" "%USERPROFILE%\AppData\Local\Temp\OnboardLogs"\RTDC4011\2017-03-18</v>
      </c>
      <c r="AF124" s="82" t="str">
        <f t="shared" si="35"/>
        <v>"C:\Program Files (x86)\AstroGrep\AstroGrep.exe" /e /r /s /spath="%USERPROFILE%\AppData\Local\Temp\OnboardLogs" /stypes="app*4011*20170318*" /stext=" 00:.+((SYSTEM_STATE.+slice.+state.+changed )|(ment ac)|(multiple cpu faults)|(system.+state.+changed )|(\[timeout)|(PRM\|1\|D)|(kpr)|(kdp)|(\|lc)|(penalty))"</v>
      </c>
      <c r="AG124" s="1" t="str">
        <f t="shared" si="36"/>
        <v>EC</v>
      </c>
      <c r="AH124" s="86" t="str">
        <f t="shared" si="37"/>
        <v>"%USERPROFILE%\Documents\GitHub\eaglep3\Utilities\RefineRTDCRunTimes.py" --tripid 211-17 --locoid 4011 --swversion DE.1.0.9.0 --startMP 204:453 --initTime 2017-03-17T17:28:34 --startdatetime 2017-03-17T17:30:50 --delay 1 --endMP 204:233305 --enddatetime 2017-03-17T18:07:34 --enforcementcount 0 &gt;&gt;C:\Users\stu\Documents\GitHub\eaglep3-reporting\EC\2017-03-17-refined-times.txt</v>
      </c>
      <c r="AI124" s="108" t="str">
        <f t="shared" si="38"/>
        <v>echo {"issue":{"subject":"","project_id":79,"tracker_id":40,"status_id":1,"priority_id":2,"assigned_to_id":23,"start_date":"2017-03-17","description":"","custom_fields":[{"id":1,"name":"Subdivision","value":"EC"},{"id":4,"name":"Milepost","value":"23.3305"},{"id":17,"name":"Train ID","value":"211-17"},{"id":16,"name":"Locomotive ID","value":"4011"},{"id":130,"name":"Impact","value":""},{"id":150,"name":"Time of Event (Mountain Time)","value":"18:07:34"},{"id":151,"name":"Denver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48"/>
      <c r="AK124" s="48"/>
      <c r="AL124" s="48"/>
      <c r="AM124" s="154" t="str">
        <f t="shared" si="39"/>
        <v>start /low /b %USERPROFILE%\Documents\GitHub\eaglep3\Utilities\DownloadLogsFromS3.py --loco 4011 --day 2017-03-17</v>
      </c>
      <c r="AN124" s="163" t="str">
        <f>"grep -SE -B400 ""CHR.+\|PRM\|1\|D.+(SWITCH|SIGNAL).+UNKNOWN"" "&amp;search_path&amp;"\RTDC"&amp;B124&amp;"\*"&amp;B124&amp;"*"&amp;TEXT(AVERAGE(F124,I124)-utc_offset/24,"YYYYMMDD")&amp;"*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"%USERPROFILE%\AppData\Local\Temp\OnboardLogs"\RTDC4011\*4011*20170317* | grep -SE "(Enforcement Action)|(\[TIMEOUT)|(CHR.+\|PRM\|1\|D.+(SWITCH|SIGNAL).+UNKNOWN)" - &gt;&gt; 2017-03-17-UncaughtWiMAX.txt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3" t="s">
        <v>799</v>
      </c>
      <c r="B125" s="7">
        <v>4012</v>
      </c>
      <c r="C125" s="21" t="s">
        <v>227</v>
      </c>
      <c r="D125" s="21" t="s">
        <v>433</v>
      </c>
      <c r="E125" s="13">
        <v>42811.762187499997</v>
      </c>
      <c r="F125" s="13">
        <v>42811.768229166664</v>
      </c>
      <c r="G125" s="7">
        <v>1</v>
      </c>
      <c r="H125" s="21" t="s">
        <v>201</v>
      </c>
      <c r="I125" s="13">
        <v>42811.7966087963</v>
      </c>
      <c r="J125" s="7">
        <v>0</v>
      </c>
      <c r="K125" s="98" t="str">
        <f t="shared" si="24"/>
        <v>4011/4012</v>
      </c>
      <c r="L125" s="21" t="str">
        <f>VLOOKUP(A125,'Trips&amp;Operators'!$C$1:$G$99999,5,FALSE)</f>
        <v>LOPES KIMBERLY</v>
      </c>
      <c r="M125" s="6">
        <f t="shared" si="25"/>
        <v>2.8379629635310266E-2</v>
      </c>
      <c r="N125" s="7">
        <f t="shared" si="41"/>
        <v>40.866666674846783</v>
      </c>
      <c r="O125" s="7"/>
      <c r="P125" s="7"/>
      <c r="Q125" s="22"/>
      <c r="R125" s="22"/>
      <c r="S125" s="31">
        <f t="shared" si="44"/>
        <v>1</v>
      </c>
      <c r="T125" s="46" t="str">
        <f t="shared" si="26"/>
        <v>Southbound</v>
      </c>
      <c r="U125" s="185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86" t="str">
        <f t="shared" si="27"/>
        <v>https://d0f6bd738d7f1b3e5a7ca70fe4ff75f0.us-east-1.aws.found.io/app/kibana#/discover/Steve-Slow-Train-Analysis-(2080s-and-2083s)?_g=(refreshInterval:(display:Off,pause:!f,section:0,value:0),time:(from:'2017-03-17T17:17:33-0600',mode:absolute,to:'2017-03-17T20:07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25" s="187" t="str">
        <f t="shared" si="28"/>
        <v>N</v>
      </c>
      <c r="X125" s="187">
        <f t="shared" si="43"/>
        <v>1</v>
      </c>
      <c r="Y125" s="62">
        <f t="shared" si="30"/>
        <v>23.297499999999999</v>
      </c>
      <c r="Z125" s="62">
        <f t="shared" si="31"/>
        <v>1.5800000000000002E-2</v>
      </c>
      <c r="AA125" s="62">
        <f t="shared" si="32"/>
        <v>23.281700000000001</v>
      </c>
      <c r="AB125" s="59" t="e">
        <f>VLOOKUP(A125,Enforcements!$C$7:$K$13,8,0)</f>
        <v>#N/A</v>
      </c>
      <c r="AC125" s="55" t="e">
        <f>VLOOKUP(A125,Enforcements!$C$7:$E$13,3,0)</f>
        <v>#N/A</v>
      </c>
      <c r="AD125" s="56" t="str">
        <f t="shared" si="33"/>
        <v>0212-17</v>
      </c>
      <c r="AE125" s="85" t="str">
        <f t="shared" si="34"/>
        <v>aws s3 cp s3://rtdc.mdm.uploadarchive.raw/RTDC4012/ "%USERPROFILE%\AppData\Local\Temp\OnboardLogs"\RTDC4012\2017-03-17 --exclude "*" --recursive --include "*20170317*" &amp; "%USERPROFILE%\Documents\GitHub\mrs-test-scripts\Headless Mode &amp; Sideloading\WalkAndUnGZ.bat" "%USERPROFILE%\AppData\Local\Temp\OnboardLogs"\RTDC4012\2017-03-17 &amp; aws s3 cp s3://rtdc.mdm.uploadarchive.raw/RTDC4012/ "%USERPROFILE%\AppData\Local\Temp\OnboardLogs"\RTDC4012\2017-03-18 --exclude "*" --recursive --include "*20170318*" &amp; "%USERPROFILE%\Documents\GitHub\mrs-test-scripts\Headless Mode &amp; Sideloading\WalkAndUnGZ.bat" "%USERPROFILE%\AppData\Local\Temp\OnboardLogs"\RTDC4012\2017-03-18</v>
      </c>
      <c r="AF125" s="82" t="str">
        <f t="shared" si="35"/>
        <v>"C:\Program Files (x86)\AstroGrep\AstroGrep.exe" /e /r /s /spath="%USERPROFILE%\AppData\Local\Temp\OnboardLogs" /stypes="app*4012*20170318*" /stext=" 01:.+((SYSTEM_STATE.+slice.+state.+changed )|(ment ac)|(multiple cpu faults)|(system.+state.+changed )|(\[timeout)|(PRM\|1\|D)|(kpr)|(kdp)|(\|lc)|(penalty))"</v>
      </c>
      <c r="AG125" s="1" t="str">
        <f t="shared" si="36"/>
        <v>EC</v>
      </c>
      <c r="AH125" s="86" t="str">
        <f t="shared" si="37"/>
        <v>"%USERPROFILE%\Documents\GitHub\eaglep3\Utilities\RefineRTDCRunTimes.py" --tripid 212-17 --locoid 4012 --swversion DE.1.0.9.0 --startMP 204:232975 --initTime 2017-03-17T18:17:33 --startdatetime 2017-03-17T18:26:15 --delay 1 --endMP 204:158 --enddatetime 2017-03-17T19:07:07 --enforcementcount 0 &gt;&gt;C:\Users\stu\Documents\GitHub\eaglep3-reporting\EC\2017-03-17-refined-times.txt</v>
      </c>
      <c r="AI125" s="108" t="str">
        <f t="shared" si="38"/>
        <v>echo {"issue":{"subject":"","project_id":79,"tracker_id":40,"status_id":1,"priority_id":2,"assigned_to_id":23,"start_date":"2017-03-17","description":"","custom_fields":[{"id":1,"name":"Subdivision","value":"EC"},{"id":4,"name":"Milepost","value":"0.0158"},{"id":17,"name":"Train ID","value":"212-17"},{"id":16,"name":"Locomotive ID","value":"4012"},{"id":130,"name":"Impact","value":""},{"id":150,"name":"Time of Event (Mountain Time)","value":"19:07:07"},{"id":151,"name":"Denver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48"/>
      <c r="AK125" s="48"/>
      <c r="AL125" s="48"/>
      <c r="AM125" s="154" t="str">
        <f t="shared" si="39"/>
        <v>start /low /b %USERPROFILE%\Documents\GitHub\eaglep3\Utilities\DownloadLogsFromS3.py --loco 4012 --day 2017-03-17</v>
      </c>
      <c r="AN125" s="163" t="str">
        <f>"grep -SE -B400 ""CHR.+\|PRM\|1\|D.+(SWITCH|SIGNAL).+UNKNOWN"" "&amp;search_path&amp;"\RTDC"&amp;B125&amp;"\*"&amp;B125&amp;"*"&amp;TEXT(AVERAGE(F125,I125)-utc_offset/24,"YYYYMMDD")&amp;"*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"%USERPROFILE%\AppData\Local\Temp\OnboardLogs"\RTDC4012\*4012*20170318* | grep -SE "(Enforcement Action)|(\[TIMEOUT)|(CHR.+\|PRM\|1\|D.+(SWITCH|SIGNAL).+UNKNOWN)" - &gt;&gt; 2017-03-17-UncaughtWiMAX.txt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3" t="s">
        <v>788</v>
      </c>
      <c r="B126" s="7">
        <v>4016</v>
      </c>
      <c r="C126" s="21" t="s">
        <v>227</v>
      </c>
      <c r="D126" s="21" t="s">
        <v>228</v>
      </c>
      <c r="E126" s="13">
        <v>42811.737916666665</v>
      </c>
      <c r="F126" s="13">
        <v>42811.741724537038</v>
      </c>
      <c r="G126" s="7">
        <v>2</v>
      </c>
      <c r="H126" s="21" t="s">
        <v>905</v>
      </c>
      <c r="I126" s="13">
        <v>42811.767118055555</v>
      </c>
      <c r="J126" s="7">
        <v>0</v>
      </c>
      <c r="K126" s="98" t="str">
        <f t="shared" si="24"/>
        <v>4015/4016</v>
      </c>
      <c r="L126" s="21" t="str">
        <f>VLOOKUP(A126,'Trips&amp;Operators'!$C$1:$G$99999,5,FALSE)</f>
        <v>STORY SAMANTHA</v>
      </c>
      <c r="M126" s="6">
        <f t="shared" si="25"/>
        <v>2.5393518517375924E-2</v>
      </c>
      <c r="N126" s="7">
        <f t="shared" si="41"/>
        <v>36.56666666502133</v>
      </c>
      <c r="O126" s="7"/>
      <c r="P126" s="7"/>
      <c r="Q126" s="22"/>
      <c r="R126" s="22"/>
      <c r="S126" s="31">
        <f t="shared" si="44"/>
        <v>1</v>
      </c>
      <c r="T126" s="46" t="str">
        <f t="shared" si="26"/>
        <v>NorthBound</v>
      </c>
      <c r="U126" s="185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86" t="str">
        <f t="shared" si="27"/>
        <v>https://d0f6bd738d7f1b3e5a7ca70fe4ff75f0.us-east-1.aws.found.io/app/kibana#/discover/Steve-Slow-Train-Analysis-(2080s-and-2083s)?_g=(refreshInterval:(display:Off,pause:!f,section:0,value:0),time:(from:'2017-03-17T16:42:36-0600',mode:absolute,to:'2017-03-17T19:24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26" s="187" t="str">
        <f t="shared" si="28"/>
        <v>N</v>
      </c>
      <c r="X126" s="187">
        <f t="shared" si="43"/>
        <v>1</v>
      </c>
      <c r="Y126" s="62">
        <f t="shared" si="30"/>
        <v>4.58E-2</v>
      </c>
      <c r="Z126" s="62">
        <f t="shared" si="31"/>
        <v>23.344000000000001</v>
      </c>
      <c r="AA126" s="62">
        <f t="shared" si="32"/>
        <v>23.298200000000001</v>
      </c>
      <c r="AB126" s="59" t="e">
        <f>VLOOKUP(A126,Enforcements!$C$7:$K$13,8,0)</f>
        <v>#N/A</v>
      </c>
      <c r="AC126" s="55" t="e">
        <f>VLOOKUP(A126,Enforcements!$C$7:$E$13,3,0)</f>
        <v>#N/A</v>
      </c>
      <c r="AD126" s="56" t="str">
        <f t="shared" si="33"/>
        <v>0213-17</v>
      </c>
      <c r="AE126" s="85" t="str">
        <f t="shared" si="34"/>
        <v>aws s3 cp s3://rtdc.mdm.uploadarchive.raw/RTDC4016/ "%USERPROFILE%\AppData\Local\Temp\OnboardLogs"\RTDC4016\2017-03-17 --exclude "*" --recursive --include "*20170317*" &amp; "%USERPROFILE%\Documents\GitHub\mrs-test-scripts\Headless Mode &amp; Sideloading\WalkAndUnGZ.bat" "%USERPROFILE%\AppData\Local\Temp\OnboardLogs"\RTDC4016\2017-03-17 &amp; aws s3 cp s3://rtdc.mdm.uploadarchive.raw/RTDC4016/ "%USERPROFILE%\AppData\Local\Temp\OnboardLogs"\RTDC4016\2017-03-18 --exclude "*" --recursive --include "*20170318*" &amp; "%USERPROFILE%\Documents\GitHub\mrs-test-scripts\Headless Mode &amp; Sideloading\WalkAndUnGZ.bat" "%USERPROFILE%\AppData\Local\Temp\OnboardLogs"\RTDC4016\2017-03-18</v>
      </c>
      <c r="AF126" s="82" t="str">
        <f t="shared" si="35"/>
        <v>"C:\Program Files (x86)\AstroGrep\AstroGrep.exe" /e /r /s /spath="%USERPROFILE%\AppData\Local\Temp\OnboardLogs" /stypes="app*4016*20170318*" /stext=" 00:.+((SYSTEM_STATE.+slice.+state.+changed )|(ment ac)|(multiple cpu faults)|(system.+state.+changed )|(\[timeout)|(PRM\|1\|D)|(kpr)|(kdp)|(\|lc)|(penalty))"</v>
      </c>
      <c r="AG126" s="1" t="str">
        <f t="shared" si="36"/>
        <v>EC</v>
      </c>
      <c r="AH126" s="86" t="str">
        <f t="shared" si="37"/>
        <v>"%USERPROFILE%\Documents\GitHub\eaglep3\Utilities\RefineRTDCRunTimes.py" --tripid 213-17 --locoid 4016 --swversion DE.1.0.9.0 --startMP 204:458 --initTime 2017-03-17T17:42:36 --startdatetime 2017-03-17T17:48:05 --delay 2 --endMP 204:233440 --enddatetime 2017-03-17T18:24:39 --enforcementcount 0 &gt;&gt;C:\Users\stu\Documents\GitHub\eaglep3-reporting\EC\2017-03-17-refined-times.txt</v>
      </c>
      <c r="AI126" s="108" t="str">
        <f t="shared" si="38"/>
        <v>echo {"issue":{"subject":"","project_id":79,"tracker_id":40,"status_id":1,"priority_id":2,"assigned_to_id":23,"start_date":"2017-03-17","description":"","custom_fields":[{"id":1,"name":"Subdivision","value":"EC"},{"id":4,"name":"Milepost","value":"23.344"},{"id":17,"name":"Train ID","value":"213-17"},{"id":16,"name":"Locomotive ID","value":"4016"},{"id":130,"name":"Impact","value":""},{"id":150,"name":"Time of Event (Mountain Time)","value":"18:24:39"},{"id":151,"name":"Denver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48"/>
      <c r="AK126" s="48"/>
      <c r="AL126" s="48"/>
      <c r="AM126" s="154" t="str">
        <f t="shared" si="39"/>
        <v>start /low /b %USERPROFILE%\Documents\GitHub\eaglep3\Utilities\DownloadLogsFromS3.py --loco 4016 --day 2017-03-17</v>
      </c>
      <c r="AN126" s="163" t="str">
        <f>"grep -SE -B400 ""CHR.+\|PRM\|1\|D.+(SWITCH|SIGNAL).+UNKNOWN"" "&amp;search_path&amp;"\RTDC"&amp;B126&amp;"\*"&amp;B126&amp;"*"&amp;TEXT(AVERAGE(F126,I126)-utc_offset/24,"YYYYMMDD")&amp;"*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"%USERPROFILE%\AppData\Local\Temp\OnboardLogs"\RTDC4016\*4016*20170318* | grep -SE "(Enforcement Action)|(\[TIMEOUT)|(CHR.+\|PRM\|1\|D.+(SWITCH|SIGNAL).+UNKNOWN)" - &gt;&gt; 2017-03-17-UncaughtWiMAX.txt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3" t="s">
        <v>802</v>
      </c>
      <c r="B127" s="7">
        <v>4015</v>
      </c>
      <c r="C127" s="21" t="s">
        <v>227</v>
      </c>
      <c r="D127" s="21" t="s">
        <v>906</v>
      </c>
      <c r="E127" s="13">
        <v>42811.774050925924</v>
      </c>
      <c r="F127" s="13">
        <v>42811.778854166667</v>
      </c>
      <c r="G127" s="7">
        <v>1</v>
      </c>
      <c r="H127" s="21" t="s">
        <v>907</v>
      </c>
      <c r="I127" s="13">
        <v>42811.807002314818</v>
      </c>
      <c r="J127" s="7">
        <v>0</v>
      </c>
      <c r="K127" s="98" t="str">
        <f t="shared" si="24"/>
        <v>4015/4016</v>
      </c>
      <c r="L127" s="21" t="str">
        <f>VLOOKUP(A127,'Trips&amp;Operators'!$C$1:$G$99999,5,FALSE)</f>
        <v>MENGES BRAD</v>
      </c>
      <c r="M127" s="6">
        <f t="shared" si="25"/>
        <v>2.8148148150648922E-2</v>
      </c>
      <c r="N127" s="7">
        <f t="shared" ref="N127:N158" si="45">24*60*SUM($M127:$M127)</f>
        <v>40.533333336934447</v>
      </c>
      <c r="O127" s="7"/>
      <c r="P127" s="7"/>
      <c r="Q127" s="22"/>
      <c r="R127" s="22"/>
      <c r="S127" s="31">
        <f t="shared" si="44"/>
        <v>1</v>
      </c>
      <c r="T127" s="46" t="str">
        <f t="shared" si="26"/>
        <v>Southbound</v>
      </c>
      <c r="U127" s="185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86" t="str">
        <f t="shared" si="27"/>
        <v>https://d0f6bd738d7f1b3e5a7ca70fe4ff75f0.us-east-1.aws.found.io/app/kibana#/discover/Steve-Slow-Train-Analysis-(2080s-and-2083s)?_g=(refreshInterval:(display:Off,pause:!f,section:0,value:0),time:(from:'2017-03-17T17:34:38-0600',mode:absolute,to:'2017-03-17T20:22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27" s="187" t="str">
        <f t="shared" si="28"/>
        <v>N</v>
      </c>
      <c r="X127" s="187">
        <f t="shared" si="43"/>
        <v>1</v>
      </c>
      <c r="Y127" s="62">
        <f t="shared" si="30"/>
        <v>23.312100000000001</v>
      </c>
      <c r="Z127" s="62">
        <f t="shared" si="31"/>
        <v>1.6E-2</v>
      </c>
      <c r="AA127" s="62">
        <f t="shared" si="32"/>
        <v>23.296100000000003</v>
      </c>
      <c r="AB127" s="59" t="e">
        <f>VLOOKUP(A127,Enforcements!$C$7:$K$13,8,0)</f>
        <v>#N/A</v>
      </c>
      <c r="AC127" s="55" t="e">
        <f>VLOOKUP(A127,Enforcements!$C$7:$E$13,3,0)</f>
        <v>#N/A</v>
      </c>
      <c r="AD127" s="56" t="str">
        <f t="shared" si="33"/>
        <v>0214-17</v>
      </c>
      <c r="AE127" s="85" t="str">
        <f t="shared" si="34"/>
        <v>aws s3 cp s3://rtdc.mdm.uploadarchive.raw/RTDC4015/ "%USERPROFILE%\AppData\Local\Temp\OnboardLogs"\RTDC4015\2017-03-17 --exclude "*" --recursive --include "*20170317*" &amp; "%USERPROFILE%\Documents\GitHub\mrs-test-scripts\Headless Mode &amp; Sideloading\WalkAndUnGZ.bat" "%USERPROFILE%\AppData\Local\Temp\OnboardLogs"\RTDC4015\2017-03-17 &amp; aws s3 cp s3://rtdc.mdm.uploadarchive.raw/RTDC4015/ "%USERPROFILE%\AppData\Local\Temp\OnboardLogs"\RTDC4015\2017-03-18 --exclude "*" --recursive --include "*20170318*" &amp; "%USERPROFILE%\Documents\GitHub\mrs-test-scripts\Headless Mode &amp; Sideloading\WalkAndUnGZ.bat" "%USERPROFILE%\AppData\Local\Temp\OnboardLogs"\RTDC4015\2017-03-18</v>
      </c>
      <c r="AF127" s="82" t="str">
        <f t="shared" si="35"/>
        <v>"C:\Program Files (x86)\AstroGrep\AstroGrep.exe" /e /r /s /spath="%USERPROFILE%\AppData\Local\Temp\OnboardLogs" /stypes="app*4015*20170318*" /stext=" 01:.+((SYSTEM_STATE.+slice.+state.+changed )|(ment ac)|(multiple cpu faults)|(system.+state.+changed )|(\[timeout)|(PRM\|1\|D)|(kpr)|(kdp)|(\|lc)|(penalty))"</v>
      </c>
      <c r="AG127" s="1" t="str">
        <f t="shared" si="36"/>
        <v>EC</v>
      </c>
      <c r="AH127" s="86" t="str">
        <f t="shared" si="37"/>
        <v>"%USERPROFILE%\Documents\GitHub\eaglep3\Utilities\RefineRTDCRunTimes.py" --tripid 214-17 --locoid 4015 --swversion DE.1.0.9.0 --startMP 204:233121 --initTime 2017-03-17T18:34:38 --startdatetime 2017-03-17T18:41:33 --delay 1 --endMP 204:160 --enddatetime 2017-03-17T19:22:05 --enforcementcount 0 &gt;&gt;C:\Users\stu\Documents\GitHub\eaglep3-reporting\EC\2017-03-17-refined-times.txt</v>
      </c>
      <c r="AI127" s="108" t="str">
        <f t="shared" si="38"/>
        <v>echo {"issue":{"subject":"","project_id":79,"tracker_id":40,"status_id":1,"priority_id":2,"assigned_to_id":23,"start_date":"2017-03-17","description":"","custom_fields":[{"id":1,"name":"Subdivision","value":"EC"},{"id":4,"name":"Milepost","value":"0.016"},{"id":17,"name":"Train ID","value":"214-17"},{"id":16,"name":"Locomotive ID","value":"4015"},{"id":130,"name":"Impact","value":""},{"id":150,"name":"Time of Event (Mountain Time)","value":"19:22:05"},{"id":151,"name":"Denver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48"/>
      <c r="AK127" s="48"/>
      <c r="AL127" s="48"/>
      <c r="AM127" s="154" t="str">
        <f t="shared" si="39"/>
        <v>start /low /b %USERPROFILE%\Documents\GitHub\eaglep3\Utilities\DownloadLogsFromS3.py --loco 4015 --day 2017-03-17</v>
      </c>
      <c r="AN127" s="163" t="str">
        <f>"grep -SE -B400 ""CHR.+\|PRM\|1\|D.+(SWITCH|SIGNAL).+UNKNOWN"" "&amp;search_path&amp;"\RTDC"&amp;B127&amp;"\*"&amp;B127&amp;"*"&amp;TEXT(AVERAGE(F127,I127)-utc_offset/24,"YYYYMMDD")&amp;"*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"%USERPROFILE%\AppData\Local\Temp\OnboardLogs"\RTDC4015\*4015*20170318* | grep -SE "(Enforcement Action)|(\[TIMEOUT)|(CHR.+\|PRM\|1\|D.+(SWITCH|SIGNAL).+UNKNOWN)" - &gt;&gt; 2017-03-17-UncaughtWiMAX.txt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3" t="s">
        <v>793</v>
      </c>
      <c r="B128" s="7">
        <v>4040</v>
      </c>
      <c r="C128" s="21" t="s">
        <v>227</v>
      </c>
      <c r="D128" s="21" t="s">
        <v>908</v>
      </c>
      <c r="E128" s="13">
        <v>42811.749988425923</v>
      </c>
      <c r="F128" s="13">
        <v>42811.751851851855</v>
      </c>
      <c r="G128" s="7">
        <v>1</v>
      </c>
      <c r="H128" s="21" t="s">
        <v>909</v>
      </c>
      <c r="I128" s="13">
        <v>42811.776585648149</v>
      </c>
      <c r="J128" s="7">
        <v>0</v>
      </c>
      <c r="K128" s="98" t="str">
        <f t="shared" si="24"/>
        <v>4039/4040</v>
      </c>
      <c r="L128" s="21" t="str">
        <f>VLOOKUP(A128,'Trips&amp;Operators'!$C$1:$G$99999,5,FALSE)</f>
        <v>WHITED DUSTIN</v>
      </c>
      <c r="M128" s="6">
        <f t="shared" si="25"/>
        <v>2.4733796293730848E-2</v>
      </c>
      <c r="N128" s="7">
        <f t="shared" si="45"/>
        <v>35.61666666297242</v>
      </c>
      <c r="O128" s="7"/>
      <c r="P128" s="7"/>
      <c r="Q128" s="22"/>
      <c r="R128" s="22"/>
      <c r="S128" s="31">
        <f t="shared" si="44"/>
        <v>1</v>
      </c>
      <c r="T128" s="46" t="str">
        <f t="shared" si="26"/>
        <v>NorthBound</v>
      </c>
      <c r="U128" s="185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86" t="str">
        <f t="shared" si="27"/>
        <v>https://d0f6bd738d7f1b3e5a7ca70fe4ff75f0.us-east-1.aws.found.io/app/kibana#/discover/Steve-Slow-Train-Analysis-(2080s-and-2083s)?_g=(refreshInterval:(display:Off,pause:!f,section:0,value:0),time:(from:'2017-03-17T16:59:59-0600',mode:absolute,to:'2017-03-17T19:38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28" s="187" t="str">
        <f t="shared" si="28"/>
        <v>N</v>
      </c>
      <c r="X128" s="187">
        <f t="shared" si="43"/>
        <v>1</v>
      </c>
      <c r="Y128" s="62">
        <f t="shared" si="30"/>
        <v>4.2200000000000001E-2</v>
      </c>
      <c r="Z128" s="62">
        <f t="shared" si="31"/>
        <v>23.3399</v>
      </c>
      <c r="AA128" s="62">
        <f t="shared" si="32"/>
        <v>23.297699999999999</v>
      </c>
      <c r="AB128" s="59" t="e">
        <f>VLOOKUP(A128,Enforcements!$C$7:$K$13,8,0)</f>
        <v>#N/A</v>
      </c>
      <c r="AC128" s="55" t="e">
        <f>VLOOKUP(A128,Enforcements!$C$7:$E$13,3,0)</f>
        <v>#N/A</v>
      </c>
      <c r="AD128" s="56" t="str">
        <f t="shared" si="33"/>
        <v>0215-17</v>
      </c>
      <c r="AE128" s="85" t="str">
        <f t="shared" si="34"/>
        <v>aws s3 cp s3://rtdc.mdm.uploadarchive.raw/RTDC4040/ "%USERPROFILE%\AppData\Local\Temp\OnboardLogs"\RTDC4040\2017-03-17 --exclude "*" --recursive --include "*20170317*" &amp; "%USERPROFILE%\Documents\GitHub\mrs-test-scripts\Headless Mode &amp; Sideloading\WalkAndUnGZ.bat" "%USERPROFILE%\AppData\Local\Temp\OnboardLogs"\RTDC4040\2017-03-17 &amp; aws s3 cp s3://rtdc.mdm.uploadarchive.raw/RTDC4040/ "%USERPROFILE%\AppData\Local\Temp\OnboardLogs"\RTDC4040\2017-03-18 --exclude "*" --recursive --include "*20170318*" &amp; "%USERPROFILE%\Documents\GitHub\mrs-test-scripts\Headless Mode &amp; Sideloading\WalkAndUnGZ.bat" "%USERPROFILE%\AppData\Local\Temp\OnboardLogs"\RTDC4040\2017-03-18</v>
      </c>
      <c r="AF128" s="82" t="str">
        <f t="shared" si="35"/>
        <v>"C:\Program Files (x86)\AstroGrep\AstroGrep.exe" /e /r /s /spath="%USERPROFILE%\AppData\Local\Temp\OnboardLogs" /stypes="app*4040*20170318*" /stext=" 00:.+((SYSTEM_STATE.+slice.+state.+changed )|(ment ac)|(multiple cpu faults)|(system.+state.+changed )|(\[timeout)|(PRM\|1\|D)|(kpr)|(kdp)|(\|lc)|(penalty))"</v>
      </c>
      <c r="AG128" s="1" t="str">
        <f t="shared" si="36"/>
        <v>EC</v>
      </c>
      <c r="AH128" s="86" t="str">
        <f t="shared" si="37"/>
        <v>"%USERPROFILE%\Documents\GitHub\eaglep3\Utilities\RefineRTDCRunTimes.py" --tripid 215-17 --locoid 4040 --swversion DE.1.0.9.0 --startMP 204:422 --initTime 2017-03-17T17:59:59 --startdatetime 2017-03-17T18:02:40 --delay 1 --endMP 204:233399 --enddatetime 2017-03-17T18:38:17 --enforcementcount 0 &gt;&gt;C:\Users\stu\Documents\GitHub\eaglep3-reporting\EC\2017-03-17-refined-times.txt</v>
      </c>
      <c r="AI128" s="108" t="str">
        <f t="shared" si="38"/>
        <v>echo {"issue":{"subject":"","project_id":79,"tracker_id":40,"status_id":1,"priority_id":2,"assigned_to_id":23,"start_date":"2017-03-17","description":"","custom_fields":[{"id":1,"name":"Subdivision","value":"EC"},{"id":4,"name":"Milepost","value":"23.3399"},{"id":17,"name":"Train ID","value":"215-17"},{"id":16,"name":"Locomotive ID","value":"4040"},{"id":130,"name":"Impact","value":""},{"id":150,"name":"Time of Event (Mountain Time)","value":"18:38:17"},{"id":151,"name":"Denver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48"/>
      <c r="AK128" s="48"/>
      <c r="AL128" s="48"/>
      <c r="AM128" s="154" t="str">
        <f t="shared" si="39"/>
        <v>start /low /b %USERPROFILE%\Documents\GitHub\eaglep3\Utilities\DownloadLogsFromS3.py --loco 4040 --day 2017-03-17</v>
      </c>
      <c r="AN128" s="163" t="str">
        <f>"grep -SE -B400 ""CHR.+\|PRM\|1\|D.+(SWITCH|SIGNAL).+UNKNOWN"" "&amp;search_path&amp;"\RTDC"&amp;B128&amp;"\*"&amp;B128&amp;"*"&amp;TEXT(AVERAGE(F128,I128)-utc_offset/24,"YYYYMMDD")&amp;"*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"%USERPROFILE%\AppData\Local\Temp\OnboardLogs"\RTDC4040\*4040*20170318* | grep -SE "(Enforcement Action)|(\[TIMEOUT)|(CHR.+\|PRM\|1\|D.+(SWITCH|SIGNAL).+UNKNOWN)" - &gt;&gt; 2017-03-17-UncaughtWiMAX.txt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3" t="s">
        <v>806</v>
      </c>
      <c r="B129" s="7">
        <v>4039</v>
      </c>
      <c r="C129" s="21" t="s">
        <v>227</v>
      </c>
      <c r="D129" s="21" t="s">
        <v>910</v>
      </c>
      <c r="E129" s="13">
        <v>42811.782314814816</v>
      </c>
      <c r="F129" s="13">
        <v>42811.789131944446</v>
      </c>
      <c r="G129" s="7">
        <v>1</v>
      </c>
      <c r="H129" s="21" t="s">
        <v>896</v>
      </c>
      <c r="I129" s="13">
        <v>42811.817141203705</v>
      </c>
      <c r="J129" s="7">
        <v>0</v>
      </c>
      <c r="K129" s="98" t="str">
        <f t="shared" si="24"/>
        <v>4039/4040</v>
      </c>
      <c r="L129" s="21" t="str">
        <f>VLOOKUP(A129,'Trips&amp;Operators'!$C$1:$G$99999,5,FALSE)</f>
        <v>WHITED DUSTIN</v>
      </c>
      <c r="M129" s="6">
        <f t="shared" si="25"/>
        <v>2.8009259258396924E-2</v>
      </c>
      <c r="N129" s="7">
        <f t="shared" si="45"/>
        <v>40.33333333209157</v>
      </c>
      <c r="O129" s="7"/>
      <c r="P129" s="7"/>
      <c r="Q129" s="22"/>
      <c r="R129" s="22"/>
      <c r="S129" s="31">
        <f t="shared" si="44"/>
        <v>1</v>
      </c>
      <c r="T129" s="46" t="str">
        <f t="shared" si="26"/>
        <v>Southbound</v>
      </c>
      <c r="U129" s="185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86" t="str">
        <f t="shared" si="27"/>
        <v>https://d0f6bd738d7f1b3e5a7ca70fe4ff75f0.us-east-1.aws.found.io/app/kibana#/discover/Steve-Slow-Train-Analysis-(2080s-and-2083s)?_g=(refreshInterval:(display:Off,pause:!f,section:0,value:0),time:(from:'2017-03-17T17:46:32-0600',mode:absolute,to:'2017-03-17T20:36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29" s="187" t="str">
        <f t="shared" si="28"/>
        <v>N</v>
      </c>
      <c r="X129" s="187">
        <f t="shared" si="43"/>
        <v>1</v>
      </c>
      <c r="Y129" s="62">
        <f t="shared" si="30"/>
        <v>23.305099999999999</v>
      </c>
      <c r="Z129" s="62">
        <f t="shared" si="31"/>
        <v>1.34E-2</v>
      </c>
      <c r="AA129" s="62">
        <f t="shared" si="32"/>
        <v>23.291699999999999</v>
      </c>
      <c r="AB129" s="59" t="e">
        <f>VLOOKUP(A129,Enforcements!$C$7:$K$13,8,0)</f>
        <v>#N/A</v>
      </c>
      <c r="AC129" s="55" t="e">
        <f>VLOOKUP(A129,Enforcements!$C$7:$E$13,3,0)</f>
        <v>#N/A</v>
      </c>
      <c r="AD129" s="56" t="str">
        <f t="shared" si="33"/>
        <v>0216-17</v>
      </c>
      <c r="AE129" s="85" t="str">
        <f t="shared" si="34"/>
        <v>aws s3 cp s3://rtdc.mdm.uploadarchive.raw/RTDC4039/ "%USERPROFILE%\AppData\Local\Temp\OnboardLogs"\RTDC4039\2017-03-17 --exclude "*" --recursive --include "*20170317*" &amp; "%USERPROFILE%\Documents\GitHub\mrs-test-scripts\Headless Mode &amp; Sideloading\WalkAndUnGZ.bat" "%USERPROFILE%\AppData\Local\Temp\OnboardLogs"\RTDC4039\2017-03-17 &amp; aws s3 cp s3://rtdc.mdm.uploadarchive.raw/RTDC4039/ "%USERPROFILE%\AppData\Local\Temp\OnboardLogs"\RTDC4039\2017-03-18 --exclude "*" --recursive --include "*20170318*" &amp; "%USERPROFILE%\Documents\GitHub\mrs-test-scripts\Headless Mode &amp; Sideloading\WalkAndUnGZ.bat" "%USERPROFILE%\AppData\Local\Temp\OnboardLogs"\RTDC4039\2017-03-18</v>
      </c>
      <c r="AF129" s="82" t="str">
        <f t="shared" si="35"/>
        <v>"C:\Program Files (x86)\AstroGrep\AstroGrep.exe" /e /r /s /spath="%USERPROFILE%\AppData\Local\Temp\OnboardLogs" /stypes="app*4039*20170318*" /stext=" 01:.+((SYSTEM_STATE.+slice.+state.+changed )|(ment ac)|(multiple cpu faults)|(system.+state.+changed )|(\[timeout)|(PRM\|1\|D)|(kpr)|(kdp)|(\|lc)|(penalty))"</v>
      </c>
      <c r="AG129" s="1" t="str">
        <f t="shared" si="36"/>
        <v>EC</v>
      </c>
      <c r="AH129" s="86" t="str">
        <f t="shared" si="37"/>
        <v>"%USERPROFILE%\Documents\GitHub\eaglep3\Utilities\RefineRTDCRunTimes.py" --tripid 216-17 --locoid 4039 --swversion DE.1.0.9.0 --startMP 204:233051 --initTime 2017-03-17T18:46:32 --startdatetime 2017-03-17T18:56:21 --delay 1 --endMP 204:134 --enddatetime 2017-03-17T19:36:41 --enforcementcount 0 &gt;&gt;C:\Users\stu\Documents\GitHub\eaglep3-reporting\EC\2017-03-17-refined-times.txt</v>
      </c>
      <c r="AI129" s="108" t="str">
        <f t="shared" si="38"/>
        <v>echo {"issue":{"subject":"","project_id":79,"tracker_id":40,"status_id":1,"priority_id":2,"assigned_to_id":23,"start_date":"2017-03-17","description":"","custom_fields":[{"id":1,"name":"Subdivision","value":"EC"},{"id":4,"name":"Milepost","value":"0.0134"},{"id":17,"name":"Train ID","value":"216-17"},{"id":16,"name":"Locomotive ID","value":"4039"},{"id":130,"name":"Impact","value":""},{"id":150,"name":"Time of Event (Mountain Time)","value":"19:36:41"},{"id":151,"name":"Denver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48"/>
      <c r="AK129" s="48"/>
      <c r="AL129" s="48"/>
      <c r="AM129" s="154" t="str">
        <f t="shared" si="39"/>
        <v>start /low /b %USERPROFILE%\Documents\GitHub\eaglep3\Utilities\DownloadLogsFromS3.py --loco 4039 --day 2017-03-17</v>
      </c>
      <c r="AN129" s="163" t="str">
        <f>"grep -SE -B400 ""CHR.+\|PRM\|1\|D.+(SWITCH|SIGNAL).+UNKNOWN"" "&amp;search_path&amp;"\RTDC"&amp;B129&amp;"\*"&amp;B129&amp;"*"&amp;TEXT(AVERAGE(F129,I129)-utc_offset/24,"YYYYMMDD")&amp;"*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"%USERPROFILE%\AppData\Local\Temp\OnboardLogs"\RTDC4039\*4039*20170318* | grep -SE "(Enforcement Action)|(\[TIMEOUT)|(CHR.+\|PRM\|1\|D.+(SWITCH|SIGNAL).+UNKNOWN)" - &gt;&gt; 2017-03-17-UncaughtWiMAX.txt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3" t="s">
        <v>798</v>
      </c>
      <c r="B130" s="7">
        <v>4020</v>
      </c>
      <c r="C130" s="21" t="s">
        <v>227</v>
      </c>
      <c r="D130" s="21" t="s">
        <v>911</v>
      </c>
      <c r="E130" s="13">
        <v>42811.75681712963</v>
      </c>
      <c r="F130" s="13">
        <v>42811.761076388888</v>
      </c>
      <c r="G130" s="7">
        <v>2</v>
      </c>
      <c r="H130" s="21" t="s">
        <v>912</v>
      </c>
      <c r="I130" s="13">
        <v>42811.785740740743</v>
      </c>
      <c r="J130" s="7">
        <v>0</v>
      </c>
      <c r="K130" s="98" t="str">
        <f t="shared" si="24"/>
        <v>4019/4020</v>
      </c>
      <c r="L130" s="21" t="str">
        <f>VLOOKUP(A130,'Trips&amp;Operators'!$C$1:$G$99999,5,FALSE)</f>
        <v>STAMBAUGH JAMES</v>
      </c>
      <c r="M130" s="6">
        <f t="shared" si="25"/>
        <v>2.4664351854880806E-2</v>
      </c>
      <c r="N130" s="7">
        <f t="shared" si="45"/>
        <v>35.516666671028361</v>
      </c>
      <c r="O130" s="7"/>
      <c r="P130" s="7"/>
      <c r="Q130" s="22"/>
      <c r="R130" s="22"/>
      <c r="S130" s="31">
        <f t="shared" si="44"/>
        <v>1</v>
      </c>
      <c r="T130" s="46" t="str">
        <f t="shared" si="26"/>
        <v>NorthBound</v>
      </c>
      <c r="U130" s="185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86" t="str">
        <f t="shared" si="27"/>
        <v>https://d0f6bd738d7f1b3e5a7ca70fe4ff75f0.us-east-1.aws.found.io/app/kibana#/discover/Steve-Slow-Train-Analysis-(2080s-and-2083s)?_g=(refreshInterval:(display:Off,pause:!f,section:0,value:0),time:(from:'2017-03-17T17:09:49-0600',mode:absolute,to:'2017-03-17T19:51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30" s="187" t="str">
        <f t="shared" si="28"/>
        <v>N</v>
      </c>
      <c r="X130" s="187">
        <f t="shared" si="43"/>
        <v>1</v>
      </c>
      <c r="Y130" s="62">
        <f t="shared" si="30"/>
        <v>4.8399999999999999E-2</v>
      </c>
      <c r="Z130" s="62">
        <f t="shared" si="31"/>
        <v>23.3415</v>
      </c>
      <c r="AA130" s="62">
        <f t="shared" si="32"/>
        <v>23.293099999999999</v>
      </c>
      <c r="AB130" s="59" t="e">
        <f>VLOOKUP(A130,Enforcements!$C$7:$K$13,8,0)</f>
        <v>#N/A</v>
      </c>
      <c r="AC130" s="55" t="e">
        <f>VLOOKUP(A130,Enforcements!$C$7:$E$13,3,0)</f>
        <v>#N/A</v>
      </c>
      <c r="AD130" s="56" t="str">
        <f t="shared" si="33"/>
        <v>0217-17</v>
      </c>
      <c r="AE130" s="85" t="str">
        <f t="shared" si="34"/>
        <v>aws s3 cp s3://rtdc.mdm.uploadarchive.raw/RTDC4020/ "%USERPROFILE%\AppData\Local\Temp\OnboardLogs"\RTDC4020\2017-03-17 --exclude "*" --recursive --include "*20170317*" &amp; "%USERPROFILE%\Documents\GitHub\mrs-test-scripts\Headless Mode &amp; Sideloading\WalkAndUnGZ.bat" "%USERPROFILE%\AppData\Local\Temp\OnboardLogs"\RTDC4020\2017-03-17 &amp; aws s3 cp s3://rtdc.mdm.uploadarchive.raw/RTDC4020/ "%USERPROFILE%\AppData\Local\Temp\OnboardLogs"\RTDC4020\2017-03-18 --exclude "*" --recursive --include "*20170318*" &amp; "%USERPROFILE%\Documents\GitHub\mrs-test-scripts\Headless Mode &amp; Sideloading\WalkAndUnGZ.bat" "%USERPROFILE%\AppData\Local\Temp\OnboardLogs"\RTDC4020\2017-03-18</v>
      </c>
      <c r="AF130" s="82" t="str">
        <f t="shared" si="35"/>
        <v>"C:\Program Files (x86)\AstroGrep\AstroGrep.exe" /e /r /s /spath="%USERPROFILE%\AppData\Local\Temp\OnboardLogs" /stypes="app*4020*20170318*" /stext=" 00:.+((SYSTEM_STATE.+slice.+state.+changed )|(ment ac)|(multiple cpu faults)|(system.+state.+changed )|(\[timeout)|(PRM\|1\|D)|(kpr)|(kdp)|(\|lc)|(penalty))"</v>
      </c>
      <c r="AG130" s="1" t="str">
        <f t="shared" si="36"/>
        <v>EC</v>
      </c>
      <c r="AH130" s="86" t="str">
        <f t="shared" si="37"/>
        <v>"%USERPROFILE%\Documents\GitHub\eaglep3\Utilities\RefineRTDCRunTimes.py" --tripid 217-17 --locoid 4020 --swversion DE.1.0.9.0 --startMP 204:484 --initTime 2017-03-17T18:09:49 --startdatetime 2017-03-17T18:15:57 --delay 2 --endMP 204:233415 --enddatetime 2017-03-17T18:51:28 --enforcementcount 0 &gt;&gt;C:\Users\stu\Documents\GitHub\eaglep3-reporting\EC\2017-03-17-refined-times.txt</v>
      </c>
      <c r="AI130" s="108" t="str">
        <f t="shared" si="38"/>
        <v>echo {"issue":{"subject":"","project_id":79,"tracker_id":40,"status_id":1,"priority_id":2,"assigned_to_id":23,"start_date":"2017-03-17","description":"","custom_fields":[{"id":1,"name":"Subdivision","value":"EC"},{"id":4,"name":"Milepost","value":"23.3415"},{"id":17,"name":"Train ID","value":"217-17"},{"id":16,"name":"Locomotive ID","value":"4020"},{"id":130,"name":"Impact","value":""},{"id":150,"name":"Time of Event (Mountain Time)","value":"18:51:28"},{"id":151,"name":"Denver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48"/>
      <c r="AK130" s="48"/>
      <c r="AL130" s="48"/>
      <c r="AM130" s="154" t="str">
        <f t="shared" si="39"/>
        <v>start /low /b %USERPROFILE%\Documents\GitHub\eaglep3\Utilities\DownloadLogsFromS3.py --loco 4020 --day 2017-03-17</v>
      </c>
      <c r="AN130" s="163" t="str">
        <f>"grep -SE -B400 ""CHR.+\|PRM\|1\|D.+(SWITCH|SIGNAL).+UNKNOWN"" "&amp;search_path&amp;"\RTDC"&amp;B130&amp;"\*"&amp;B130&amp;"*"&amp;TEXT(AVERAGE(F130,I130)-utc_offset/24,"YYYYMMDD")&amp;"*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"%USERPROFILE%\AppData\Local\Temp\OnboardLogs"\RTDC4020\*4020*20170318* | grep -SE "(Enforcement Action)|(\[TIMEOUT)|(CHR.+\|PRM\|1\|D.+(SWITCH|SIGNAL).+UNKNOWN)" - &gt;&gt; 2017-03-17-UncaughtWiMAX.txt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3" t="s">
        <v>807</v>
      </c>
      <c r="B131" s="7">
        <v>4019</v>
      </c>
      <c r="C131" s="21" t="s">
        <v>227</v>
      </c>
      <c r="D131" s="21" t="s">
        <v>913</v>
      </c>
      <c r="E131" s="13">
        <v>42811.787997685184</v>
      </c>
      <c r="F131" s="13">
        <v>42811.799803240741</v>
      </c>
      <c r="G131" s="7">
        <v>3</v>
      </c>
      <c r="H131" s="21" t="s">
        <v>479</v>
      </c>
      <c r="I131" s="13">
        <v>42811.825682870367</v>
      </c>
      <c r="J131" s="7">
        <v>0</v>
      </c>
      <c r="K131" s="98" t="str">
        <f t="shared" si="24"/>
        <v>4019/4020</v>
      </c>
      <c r="L131" s="21" t="str">
        <f>VLOOKUP(A131,'Trips&amp;Operators'!$C$1:$G$99999,5,FALSE)</f>
        <v>STAMBAUGH JAMES</v>
      </c>
      <c r="M131" s="6">
        <f t="shared" si="25"/>
        <v>2.5879629625706002E-2</v>
      </c>
      <c r="N131" s="7">
        <f t="shared" si="45"/>
        <v>37.266666661016643</v>
      </c>
      <c r="O131" s="7"/>
      <c r="P131" s="7"/>
      <c r="Q131" s="22"/>
      <c r="R131" s="22"/>
      <c r="S131" s="31">
        <f t="shared" si="44"/>
        <v>1</v>
      </c>
      <c r="T131" s="46" t="str">
        <f t="shared" si="26"/>
        <v>Southbound</v>
      </c>
      <c r="U131" s="185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86" t="str">
        <f t="shared" si="27"/>
        <v>https://d0f6bd738d7f1b3e5a7ca70fe4ff75f0.us-east-1.aws.found.io/app/kibana#/discover/Steve-Slow-Train-Analysis-(2080s-and-2083s)?_g=(refreshInterval:(display:Off,pause:!f,section:0,value:0),time:(from:'2017-03-17T17:54:43-0600',mode:absolute,to:'2017-03-17T20:48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31" s="187" t="str">
        <f t="shared" si="28"/>
        <v>N</v>
      </c>
      <c r="X131" s="187">
        <f t="shared" si="43"/>
        <v>1</v>
      </c>
      <c r="Y131" s="62">
        <f t="shared" si="30"/>
        <v>23.310400000000001</v>
      </c>
      <c r="Z131" s="62">
        <f t="shared" si="31"/>
        <v>1.4500000000000001E-2</v>
      </c>
      <c r="AA131" s="62">
        <f t="shared" si="32"/>
        <v>23.2959</v>
      </c>
      <c r="AB131" s="59" t="e">
        <f>VLOOKUP(A131,Enforcements!$C$7:$K$13,8,0)</f>
        <v>#N/A</v>
      </c>
      <c r="AC131" s="55" t="e">
        <f>VLOOKUP(A131,Enforcements!$C$7:$E$13,3,0)</f>
        <v>#N/A</v>
      </c>
      <c r="AD131" s="56" t="str">
        <f t="shared" si="33"/>
        <v>0218-17</v>
      </c>
      <c r="AE131" s="85" t="str">
        <f t="shared" si="34"/>
        <v>aws s3 cp s3://rtdc.mdm.uploadarchive.raw/RTDC4019/ "%USERPROFILE%\AppData\Local\Temp\OnboardLogs"\RTDC4019\2017-03-17 --exclude "*" --recursive --include "*20170317*" &amp; "%USERPROFILE%\Documents\GitHub\mrs-test-scripts\Headless Mode &amp; Sideloading\WalkAndUnGZ.bat" "%USERPROFILE%\AppData\Local\Temp\OnboardLogs"\RTDC4019\2017-03-17 &amp; aws s3 cp s3://rtdc.mdm.uploadarchive.raw/RTDC4019/ "%USERPROFILE%\AppData\Local\Temp\OnboardLogs"\RTDC4019\2017-03-18 --exclude "*" --recursive --include "*20170318*" &amp; "%USERPROFILE%\Documents\GitHub\mrs-test-scripts\Headless Mode &amp; Sideloading\WalkAndUnGZ.bat" "%USERPROFILE%\AppData\Local\Temp\OnboardLogs"\RTDC4019\2017-03-18</v>
      </c>
      <c r="AF131" s="82" t="str">
        <f t="shared" si="35"/>
        <v>"C:\Program Files (x86)\AstroGrep\AstroGrep.exe" /e /r /s /spath="%USERPROFILE%\AppData\Local\Temp\OnboardLogs" /stypes="app*4019*20170318*" /stext=" 01:.+((SYSTEM_STATE.+slice.+state.+changed )|(ment ac)|(multiple cpu faults)|(system.+state.+changed )|(\[timeout)|(PRM\|1\|D)|(kpr)|(kdp)|(\|lc)|(penalty))"</v>
      </c>
      <c r="AG131" s="1" t="str">
        <f t="shared" si="36"/>
        <v>EC</v>
      </c>
      <c r="AH131" s="86" t="str">
        <f t="shared" si="37"/>
        <v>"%USERPROFILE%\Documents\GitHub\eaglep3\Utilities\RefineRTDCRunTimes.py" --tripid 218-17 --locoid 4019 --swversion DE.1.0.9.0 --startMP 204:233104 --initTime 2017-03-17T18:54:43 --startdatetime 2017-03-17T19:11:43 --delay 3 --endMP 204:145 --enddatetime 2017-03-17T19:48:59 --enforcementcount 0 &gt;&gt;C:\Users\stu\Documents\GitHub\eaglep3-reporting\EC\2017-03-17-refined-times.txt</v>
      </c>
      <c r="AI131" s="108" t="str">
        <f t="shared" si="38"/>
        <v>echo {"issue":{"subject":"","project_id":79,"tracker_id":40,"status_id":1,"priority_id":2,"assigned_to_id":23,"start_date":"2017-03-17","description":"","custom_fields":[{"id":1,"name":"Subdivision","value":"EC"},{"id":4,"name":"Milepost","value":"0.0145"},{"id":17,"name":"Train ID","value":"218-17"},{"id":16,"name":"Locomotive ID","value":"4019"},{"id":130,"name":"Impact","value":""},{"id":150,"name":"Time of Event (Mountain Time)","value":"19:48:59"},{"id":151,"name":"Denver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48"/>
      <c r="AK131" s="48"/>
      <c r="AL131" s="48"/>
      <c r="AM131" s="154" t="str">
        <f t="shared" si="39"/>
        <v>start /low /b %USERPROFILE%\Documents\GitHub\eaglep3\Utilities\DownloadLogsFromS3.py --loco 4019 --day 2017-03-17</v>
      </c>
      <c r="AN131" s="163" t="str">
        <f>"grep -SE -B400 ""CHR.+\|PRM\|1\|D.+(SWITCH|SIGNAL).+UNKNOWN"" "&amp;search_path&amp;"\RTDC"&amp;B131&amp;"\*"&amp;B131&amp;"*"&amp;TEXT(AVERAGE(F131,I131)-utc_offset/24,"YYYYMMDD")&amp;"*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"%USERPROFILE%\AppData\Local\Temp\OnboardLogs"\RTDC4019\*4019*20170318* | grep -SE "(Enforcement Action)|(\[TIMEOUT)|(CHR.+\|PRM\|1\|D.+(SWITCH|SIGNAL).+UNKNOWN)" - &gt;&gt; 2017-03-17-UncaughtWiMAX.txt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3" t="s">
        <v>800</v>
      </c>
      <c r="B132" s="7">
        <v>4002</v>
      </c>
      <c r="C132" s="21" t="s">
        <v>227</v>
      </c>
      <c r="D132" s="21" t="s">
        <v>914</v>
      </c>
      <c r="E132" s="13">
        <v>42811.767974537041</v>
      </c>
      <c r="F132" s="13">
        <v>42811.770995370367</v>
      </c>
      <c r="G132" s="7">
        <v>2</v>
      </c>
      <c r="H132" s="21" t="s">
        <v>229</v>
      </c>
      <c r="I132" s="13">
        <v>42811.796979166669</v>
      </c>
      <c r="J132" s="7">
        <v>0</v>
      </c>
      <c r="K132" s="98" t="str">
        <f t="shared" si="24"/>
        <v>4001/4002</v>
      </c>
      <c r="L132" s="21" t="str">
        <f>VLOOKUP(A132,'Trips&amp;Operators'!$C$1:$G$99999,5,FALSE)</f>
        <v>SWANSON BRYCE</v>
      </c>
      <c r="M132" s="6">
        <f t="shared" si="25"/>
        <v>2.5983796302170958E-2</v>
      </c>
      <c r="N132" s="7">
        <f t="shared" si="45"/>
        <v>37.41666667512618</v>
      </c>
      <c r="O132" s="7"/>
      <c r="P132" s="7"/>
      <c r="Q132" s="22"/>
      <c r="R132" s="22"/>
      <c r="S132" s="31">
        <f t="shared" si="44"/>
        <v>1</v>
      </c>
      <c r="T132" s="46" t="str">
        <f t="shared" si="26"/>
        <v>NorthBound</v>
      </c>
      <c r="U132" s="185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86" t="str">
        <f t="shared" si="27"/>
        <v>https://d0f6bd738d7f1b3e5a7ca70fe4ff75f0.us-east-1.aws.found.io/app/kibana#/discover/Steve-Slow-Train-Analysis-(2080s-and-2083s)?_g=(refreshInterval:(display:Off,pause:!f,section:0,value:0),time:(from:'2017-03-17T17:25:53-0600',mode:absolute,to:'2017-03-17T20:07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32" s="187" t="str">
        <f t="shared" si="28"/>
        <v>N</v>
      </c>
      <c r="X132" s="187">
        <f t="shared" si="43"/>
        <v>1</v>
      </c>
      <c r="Y132" s="62">
        <f t="shared" si="30"/>
        <v>5.4600000000000003E-2</v>
      </c>
      <c r="Z132" s="62">
        <f t="shared" si="31"/>
        <v>23.329699999999999</v>
      </c>
      <c r="AA132" s="62">
        <f t="shared" si="32"/>
        <v>23.275099999999998</v>
      </c>
      <c r="AB132" s="59" t="e">
        <f>VLOOKUP(A132,Enforcements!$C$7:$K$13,8,0)</f>
        <v>#N/A</v>
      </c>
      <c r="AC132" s="55" t="e">
        <f>VLOOKUP(A132,Enforcements!$C$7:$E$13,3,0)</f>
        <v>#N/A</v>
      </c>
      <c r="AD132" s="56" t="str">
        <f t="shared" si="33"/>
        <v>0219-17</v>
      </c>
      <c r="AE132" s="85" t="str">
        <f t="shared" si="34"/>
        <v>aws s3 cp s3://rtdc.mdm.uploadarchive.raw/RTDC4002/ "%USERPROFILE%\AppData\Local\Temp\OnboardLogs"\RTDC4002\2017-03-17 --exclude "*" --recursive --include "*20170317*" &amp; "%USERPROFILE%\Documents\GitHub\mrs-test-scripts\Headless Mode &amp; Sideloading\WalkAndUnGZ.bat" "%USERPROFILE%\AppData\Local\Temp\OnboardLogs"\RTDC4002\2017-03-17 &amp; aws s3 cp s3://rtdc.mdm.uploadarchive.raw/RTDC4002/ "%USERPROFILE%\AppData\Local\Temp\OnboardLogs"\RTDC4002\2017-03-18 --exclude "*" --recursive --include "*20170318*" &amp; "%USERPROFILE%\Documents\GitHub\mrs-test-scripts\Headless Mode &amp; Sideloading\WalkAndUnGZ.bat" "%USERPROFILE%\AppData\Local\Temp\OnboardLogs"\RTDC4002\2017-03-18</v>
      </c>
      <c r="AF132" s="82" t="str">
        <f t="shared" si="35"/>
        <v>"C:\Program Files (x86)\AstroGrep\AstroGrep.exe" /e /r /s /spath="%USERPROFILE%\AppData\Local\Temp\OnboardLogs" /stypes="app*4002*20170318*" /stext=" 01:.+((SYSTEM_STATE.+slice.+state.+changed )|(ment ac)|(multiple cpu faults)|(system.+state.+changed )|(\[timeout)|(PRM\|1\|D)|(kpr)|(kdp)|(\|lc)|(penalty))"</v>
      </c>
      <c r="AG132" s="1" t="str">
        <f t="shared" si="36"/>
        <v>EC</v>
      </c>
      <c r="AH132" s="86" t="str">
        <f t="shared" si="37"/>
        <v>"%USERPROFILE%\Documents\GitHub\eaglep3\Utilities\RefineRTDCRunTimes.py" --tripid 219-17 --locoid 4002 --swversion DE.1.0.9.0 --startMP 204:546 --initTime 2017-03-17T18:25:53 --startdatetime 2017-03-17T18:30:14 --delay 2 --endMP 204:233297 --enddatetime 2017-03-17T19:07:39 --enforcementcount 0 &gt;&gt;C:\Users\stu\Documents\GitHub\eaglep3-reporting\EC\2017-03-17-refined-times.txt</v>
      </c>
      <c r="AI132" s="108" t="str">
        <f t="shared" si="38"/>
        <v>echo {"issue":{"subject":"","project_id":79,"tracker_id":40,"status_id":1,"priority_id":2,"assigned_to_id":23,"start_date":"2017-03-17","description":"","custom_fields":[{"id":1,"name":"Subdivision","value":"EC"},{"id":4,"name":"Milepost","value":"23.3297"},{"id":17,"name":"Train ID","value":"219-17"},{"id":16,"name":"Locomotive ID","value":"4002"},{"id":130,"name":"Impact","value":""},{"id":150,"name":"Time of Event (Mountain Time)","value":"19:07:39"},{"id":151,"name":"Denver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48"/>
      <c r="AK132" s="48"/>
      <c r="AL132" s="48"/>
      <c r="AM132" s="154" t="str">
        <f t="shared" si="39"/>
        <v>start /low /b %USERPROFILE%\Documents\GitHub\eaglep3\Utilities\DownloadLogsFromS3.py --loco 4002 --day 2017-03-17</v>
      </c>
      <c r="AN132" s="163" t="str">
        <f>"grep -SE -B400 ""CHR.+\|PRM\|1\|D.+(SWITCH|SIGNAL).+UNKNOWN"" "&amp;search_path&amp;"\RTDC"&amp;B132&amp;"\*"&amp;B132&amp;"*"&amp;TEXT(AVERAGE(F132,I132)-utc_offset/24,"YYYYMMDD")&amp;"*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"%USERPROFILE%\AppData\Local\Temp\OnboardLogs"\RTDC4002\*4002*20170318* | grep -SE "(Enforcement Action)|(\[TIMEOUT)|(CHR.+\|PRM\|1\|D.+(SWITCH|SIGNAL).+UNKNOWN)" - &gt;&gt; 2017-03-17-UncaughtWiMAX.txt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3" t="s">
        <v>810</v>
      </c>
      <c r="B133" s="7">
        <v>4001</v>
      </c>
      <c r="C133" s="21" t="s">
        <v>227</v>
      </c>
      <c r="D133" s="21" t="s">
        <v>373</v>
      </c>
      <c r="E133" s="13">
        <v>42811.800891203704</v>
      </c>
      <c r="F133" s="13">
        <v>42811.81</v>
      </c>
      <c r="G133" s="7">
        <v>1</v>
      </c>
      <c r="H133" s="21" t="s">
        <v>191</v>
      </c>
      <c r="I133" s="13">
        <v>42811.83902777778</v>
      </c>
      <c r="J133" s="7">
        <v>0</v>
      </c>
      <c r="K133" s="98" t="str">
        <f t="shared" si="24"/>
        <v>4001/4002</v>
      </c>
      <c r="L133" s="21" t="str">
        <f>VLOOKUP(A133,'Trips&amp;Operators'!$C$1:$G$99999,5,FALSE)</f>
        <v>SWANSON BRYCE</v>
      </c>
      <c r="M133" s="6">
        <f t="shared" si="25"/>
        <v>2.902777778217569E-2</v>
      </c>
      <c r="N133" s="7">
        <f t="shared" si="45"/>
        <v>41.800000006332994</v>
      </c>
      <c r="O133" s="7"/>
      <c r="P133" s="7"/>
      <c r="Q133" s="22"/>
      <c r="R133" s="22"/>
      <c r="S133" s="31">
        <f t="shared" si="44"/>
        <v>1</v>
      </c>
      <c r="T133" s="46" t="str">
        <f t="shared" si="26"/>
        <v>Southbound</v>
      </c>
      <c r="U133" s="185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86" t="str">
        <f t="shared" si="27"/>
        <v>https://d0f6bd738d7f1b3e5a7ca70fe4ff75f0.us-east-1.aws.found.io/app/kibana#/discover/Steve-Slow-Train-Analysis-(2080s-and-2083s)?_g=(refreshInterval:(display:Off,pause:!f,section:0,value:0),time:(from:'2017-03-17T18:13:17-0600',mode:absolute,to:'2017-03-17T21:08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33" s="187" t="str">
        <f t="shared" si="28"/>
        <v>N</v>
      </c>
      <c r="X133" s="187">
        <f t="shared" si="43"/>
        <v>1</v>
      </c>
      <c r="Y133" s="62">
        <f t="shared" si="30"/>
        <v>23.298200000000001</v>
      </c>
      <c r="Z133" s="62">
        <f t="shared" si="31"/>
        <v>1.4999999999999999E-2</v>
      </c>
      <c r="AA133" s="62">
        <f t="shared" si="32"/>
        <v>23.283200000000001</v>
      </c>
      <c r="AB133" s="59" t="e">
        <f>VLOOKUP(A133,Enforcements!$C$7:$K$13,8,0)</f>
        <v>#N/A</v>
      </c>
      <c r="AC133" s="55" t="e">
        <f>VLOOKUP(A133,Enforcements!$C$7:$E$13,3,0)</f>
        <v>#N/A</v>
      </c>
      <c r="AD133" s="56" t="str">
        <f t="shared" si="33"/>
        <v>0220-17</v>
      </c>
      <c r="AE133" s="85" t="str">
        <f t="shared" si="34"/>
        <v>aws s3 cp s3://rtdc.mdm.uploadarchive.raw/RTDC4001/ "%USERPROFILE%\AppData\Local\Temp\OnboardLogs"\RTDC4001\2017-03-17 --exclude "*" --recursive --include "*20170317*" &amp; "%USERPROFILE%\Documents\GitHub\mrs-test-scripts\Headless Mode &amp; Sideloading\WalkAndUnGZ.bat" "%USERPROFILE%\AppData\Local\Temp\OnboardLogs"\RTDC4001\2017-03-17 &amp; aws s3 cp s3://rtdc.mdm.uploadarchive.raw/RTDC4001/ "%USERPROFILE%\AppData\Local\Temp\OnboardLogs"\RTDC4001\2017-03-18 --exclude "*" --recursive --include "*20170318*" &amp; "%USERPROFILE%\Documents\GitHub\mrs-test-scripts\Headless Mode &amp; Sideloading\WalkAndUnGZ.bat" "%USERPROFILE%\AppData\Local\Temp\OnboardLogs"\RTDC4001\2017-03-18</v>
      </c>
      <c r="AF133" s="82" t="str">
        <f t="shared" si="35"/>
        <v>"C:\Program Files (x86)\AstroGrep\AstroGrep.exe" /e /r /s /spath="%USERPROFILE%\AppData\Local\Temp\OnboardLogs" /stypes="app*4001*20170318*" /stext=" 02:.+((SYSTEM_STATE.+slice.+state.+changed )|(ment ac)|(multiple cpu faults)|(system.+state.+changed )|(\[timeout)|(PRM\|1\|D)|(kpr)|(kdp)|(\|lc)|(penalty))"</v>
      </c>
      <c r="AG133" s="1" t="str">
        <f t="shared" si="36"/>
        <v>EC</v>
      </c>
      <c r="AH133" s="86" t="str">
        <f t="shared" si="37"/>
        <v>"%USERPROFILE%\Documents\GitHub\eaglep3\Utilities\RefineRTDCRunTimes.py" --tripid 220-17 --locoid 4001 --swversion DE.1.0.9.0 --startMP 204:232982 --initTime 2017-03-17T19:13:17 --startdatetime 2017-03-17T19:26:24 --delay 1 --endMP 204:150 --enddatetime 2017-03-17T20:08:12 --enforcementcount 0 &gt;&gt;C:\Users\stu\Documents\GitHub\eaglep3-reporting\EC\2017-03-17-refined-times.txt</v>
      </c>
      <c r="AI133" s="108" t="str">
        <f t="shared" si="38"/>
        <v>echo {"issue":{"subject":"","project_id":79,"tracker_id":40,"status_id":1,"priority_id":2,"assigned_to_id":23,"start_date":"2017-03-17","description":"","custom_fields":[{"id":1,"name":"Subdivision","value":"EC"},{"id":4,"name":"Milepost","value":"0.015"},{"id":17,"name":"Train ID","value":"220-17"},{"id":16,"name":"Locomotive ID","value":"4001"},{"id":130,"name":"Impact","value":""},{"id":150,"name":"Time of Event (Mountain Time)","value":"20:08:12"},{"id":151,"name":"Denver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48"/>
      <c r="AK133" s="48"/>
      <c r="AL133" s="48"/>
      <c r="AM133" s="154" t="str">
        <f t="shared" si="39"/>
        <v>start /low /b %USERPROFILE%\Documents\GitHub\eaglep3\Utilities\DownloadLogsFromS3.py --loco 4001 --day 2017-03-17</v>
      </c>
      <c r="AN133" s="163" t="str">
        <f>"grep -SE -B400 ""CHR.+\|PRM\|1\|D.+(SWITCH|SIGNAL).+UNKNOWN"" "&amp;search_path&amp;"\RTDC"&amp;B133&amp;"\*"&amp;B133&amp;"*"&amp;TEXT(AVERAGE(F133,I133)-utc_offset/24,"YYYYMMDD")&amp;"*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"%USERPROFILE%\AppData\Local\Temp\OnboardLogs"\RTDC4001\*4001*20170318* | grep -SE "(Enforcement Action)|(\[TIMEOUT)|(CHR.+\|PRM\|1\|D.+(SWITCH|SIGNAL).+UNKNOWN)" - &gt;&gt; 2017-03-17-UncaughtWiMAX.txt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3" t="s">
        <v>808</v>
      </c>
      <c r="B134" s="7">
        <v>4053</v>
      </c>
      <c r="C134" s="21" t="s">
        <v>227</v>
      </c>
      <c r="D134" s="21" t="s">
        <v>213</v>
      </c>
      <c r="E134" s="13">
        <v>42811.788356481484</v>
      </c>
      <c r="F134" s="13">
        <v>42811.791817129626</v>
      </c>
      <c r="G134" s="7">
        <v>2</v>
      </c>
      <c r="H134" s="21" t="s">
        <v>515</v>
      </c>
      <c r="I134" s="13">
        <v>42811.817361111112</v>
      </c>
      <c r="J134" s="7">
        <v>0</v>
      </c>
      <c r="K134" s="98" t="str">
        <f t="shared" si="24"/>
        <v>4053/4054</v>
      </c>
      <c r="L134" s="21" t="str">
        <f>VLOOKUP(A134,'Trips&amp;Operators'!$C$1:$G$99999,5,FALSE)</f>
        <v>BROWN JACOB</v>
      </c>
      <c r="M134" s="6">
        <f t="shared" si="25"/>
        <v>2.5543981486407574E-2</v>
      </c>
      <c r="N134" s="7">
        <f t="shared" si="45"/>
        <v>36.783333340426907</v>
      </c>
      <c r="O134" s="7"/>
      <c r="P134" s="7"/>
      <c r="Q134" s="22"/>
      <c r="R134" s="22"/>
      <c r="S134" s="31">
        <f t="shared" si="44"/>
        <v>1</v>
      </c>
      <c r="T134" s="46" t="str">
        <f t="shared" si="26"/>
        <v>NorthBound</v>
      </c>
      <c r="U134" s="185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86" t="str">
        <f t="shared" si="27"/>
        <v>https://d0f6bd738d7f1b3e5a7ca70fe4ff75f0.us-east-1.aws.found.io/app/kibana#/discover/Steve-Slow-Train-Analysis-(2080s-and-2083s)?_g=(refreshInterval:(display:Off,pause:!f,section:0,value:0),time:(from:'2017-03-17T17:55:14-0600',mode:absolute,to:'2017-03-17T20:37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34" s="187" t="str">
        <f t="shared" si="28"/>
        <v>N</v>
      </c>
      <c r="X134" s="187">
        <f t="shared" si="43"/>
        <v>1</v>
      </c>
      <c r="Y134" s="62">
        <f t="shared" si="30"/>
        <v>4.53E-2</v>
      </c>
      <c r="Z134" s="62">
        <f t="shared" si="31"/>
        <v>23.330400000000001</v>
      </c>
      <c r="AA134" s="62">
        <f t="shared" si="32"/>
        <v>23.2851</v>
      </c>
      <c r="AB134" s="59" t="e">
        <f>VLOOKUP(A134,Enforcements!$C$7:$K$13,8,0)</f>
        <v>#N/A</v>
      </c>
      <c r="AC134" s="55" t="e">
        <f>VLOOKUP(A134,Enforcements!$C$7:$E$13,3,0)</f>
        <v>#N/A</v>
      </c>
      <c r="AD134" s="56" t="str">
        <f t="shared" si="33"/>
        <v>0221-17</v>
      </c>
      <c r="AE134" s="85" t="str">
        <f t="shared" si="34"/>
        <v>aws s3 cp s3://rtdc.mdm.uploadarchive.raw/RTDC4053/ "%USERPROFILE%\AppData\Local\Temp\OnboardLogs"\RTDC4053\2017-03-17 --exclude "*" --recursive --include "*20170317*" &amp; "%USERPROFILE%\Documents\GitHub\mrs-test-scripts\Headless Mode &amp; Sideloading\WalkAndUnGZ.bat" "%USERPROFILE%\AppData\Local\Temp\OnboardLogs"\RTDC4053\2017-03-17 &amp; aws s3 cp s3://rtdc.mdm.uploadarchive.raw/RTDC4053/ "%USERPROFILE%\AppData\Local\Temp\OnboardLogs"\RTDC4053\2017-03-18 --exclude "*" --recursive --include "*20170318*" &amp; "%USERPROFILE%\Documents\GitHub\mrs-test-scripts\Headless Mode &amp; Sideloading\WalkAndUnGZ.bat" "%USERPROFILE%\AppData\Local\Temp\OnboardLogs"\RTDC4053\2017-03-18</v>
      </c>
      <c r="AF134" s="82" t="str">
        <f t="shared" si="35"/>
        <v>"C:\Program Files (x86)\AstroGrep\AstroGrep.exe" /e /r /s /spath="%USERPROFILE%\AppData\Local\Temp\OnboardLogs" /stypes="app*4053*20170318*" /stext=" 01:.+((SYSTEM_STATE.+slice.+state.+changed )|(ment ac)|(multiple cpu faults)|(system.+state.+changed )|(\[timeout)|(PRM\|1\|D)|(kpr)|(kdp)|(\|lc)|(penalty))"</v>
      </c>
      <c r="AG134" s="1" t="str">
        <f t="shared" si="36"/>
        <v>EC</v>
      </c>
      <c r="AH134" s="86" t="str">
        <f t="shared" si="37"/>
        <v>"%USERPROFILE%\Documents\GitHub\eaglep3\Utilities\RefineRTDCRunTimes.py" --tripid 221-17 --locoid 4053 --swversion DE.1.0.9.0 --startMP 204:453 --initTime 2017-03-17T18:55:14 --startdatetime 2017-03-17T19:00:13 --delay 2 --endMP 204:233304 --enddatetime 2017-03-17T19:37:00 --enforcementcount 0 &gt;&gt;C:\Users\stu\Documents\GitHub\eaglep3-reporting\EC\2017-03-17-refined-times.txt</v>
      </c>
      <c r="AI134" s="108" t="str">
        <f t="shared" si="38"/>
        <v>echo {"issue":{"subject":"","project_id":79,"tracker_id":40,"status_id":1,"priority_id":2,"assigned_to_id":23,"start_date":"2017-03-17","description":"","custom_fields":[{"id":1,"name":"Subdivision","value":"EC"},{"id":4,"name":"Milepost","value":"23.3304"},{"id":17,"name":"Train ID","value":"221-17"},{"id":16,"name":"Locomotive ID","value":"4053"},{"id":130,"name":"Impact","value":""},{"id":150,"name":"Time of Event (Mountain Time)","value":"19:37:00"},{"id":151,"name":"Denver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48"/>
      <c r="AK134" s="48"/>
      <c r="AL134" s="48"/>
      <c r="AM134" s="154" t="str">
        <f t="shared" si="39"/>
        <v>start /low /b %USERPROFILE%\Documents\GitHub\eaglep3\Utilities\DownloadLogsFromS3.py --loco 4053 --day 2017-03-17</v>
      </c>
      <c r="AN134" s="163" t="str">
        <f>"grep -SE -B400 ""CHR.+\|PRM\|1\|D.+(SWITCH|SIGNAL).+UNKNOWN"" "&amp;search_path&amp;"\RTDC"&amp;B134&amp;"\*"&amp;B134&amp;"*"&amp;TEXT(AVERAGE(F134,I134)-utc_offset/24,"YYYYMMDD")&amp;"*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"%USERPROFILE%\AppData\Local\Temp\OnboardLogs"\RTDC4053\*4053*20170318* | grep -SE "(Enforcement Action)|(\[TIMEOUT)|(CHR.+\|PRM\|1\|D.+(SWITCH|SIGNAL).+UNKNOWN)" - &gt;&gt; 2017-03-17-UncaughtWiMAX.txt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3" t="s">
        <v>816</v>
      </c>
      <c r="B135" s="7">
        <v>4054</v>
      </c>
      <c r="C135" s="21" t="s">
        <v>227</v>
      </c>
      <c r="D135" s="21" t="s">
        <v>915</v>
      </c>
      <c r="E135" s="13">
        <v>42811.829016203701</v>
      </c>
      <c r="F135" s="13">
        <v>42811.830694444441</v>
      </c>
      <c r="G135" s="7">
        <v>1</v>
      </c>
      <c r="H135" s="21" t="s">
        <v>236</v>
      </c>
      <c r="I135" s="13">
        <v>42811.860208333332</v>
      </c>
      <c r="J135" s="7">
        <v>0</v>
      </c>
      <c r="K135" s="98" t="str">
        <f t="shared" si="24"/>
        <v>4053/4054</v>
      </c>
      <c r="L135" s="21" t="str">
        <f>VLOOKUP(A135,'Trips&amp;Operators'!$C$1:$G$99999,5,FALSE)</f>
        <v>BROWN JACOB</v>
      </c>
      <c r="M135" s="6">
        <f t="shared" si="25"/>
        <v>2.9513888890505768E-2</v>
      </c>
      <c r="N135" s="7">
        <f t="shared" si="45"/>
        <v>42.500000002328306</v>
      </c>
      <c r="O135" s="7"/>
      <c r="P135" s="7"/>
      <c r="Q135" s="22"/>
      <c r="R135" s="22"/>
      <c r="S135" s="31">
        <f t="shared" si="44"/>
        <v>1</v>
      </c>
      <c r="T135" s="46" t="str">
        <f t="shared" si="26"/>
        <v>Southbound</v>
      </c>
      <c r="U135" s="185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86" t="str">
        <f t="shared" si="27"/>
        <v>https://d0f6bd738d7f1b3e5a7ca70fe4ff75f0.us-east-1.aws.found.io/app/kibana#/discover/Steve-Slow-Train-Analysis-(2080s-and-2083s)?_g=(refreshInterval:(display:Off,pause:!f,section:0,value:0),time:(from:'2017-03-17T18:53:47-0600',mode:absolute,to:'2017-03-17T21:38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35" s="187" t="str">
        <f t="shared" si="28"/>
        <v>N</v>
      </c>
      <c r="X135" s="187">
        <f t="shared" si="43"/>
        <v>1</v>
      </c>
      <c r="Y135" s="62">
        <f t="shared" si="30"/>
        <v>23.3002</v>
      </c>
      <c r="Z135" s="62">
        <f t="shared" si="31"/>
        <v>1.61E-2</v>
      </c>
      <c r="AA135" s="62">
        <f t="shared" si="32"/>
        <v>23.284099999999999</v>
      </c>
      <c r="AB135" s="59" t="e">
        <f>VLOOKUP(A135,Enforcements!$C$7:$K$13,8,0)</f>
        <v>#N/A</v>
      </c>
      <c r="AC135" s="55" t="e">
        <f>VLOOKUP(A135,Enforcements!$C$7:$E$13,3,0)</f>
        <v>#N/A</v>
      </c>
      <c r="AD135" s="56" t="str">
        <f t="shared" si="33"/>
        <v>0222-17</v>
      </c>
      <c r="AE135" s="85" t="str">
        <f t="shared" si="34"/>
        <v>aws s3 cp s3://rtdc.mdm.uploadarchive.raw/RTDC4054/ "%USERPROFILE%\AppData\Local\Temp\OnboardLogs"\RTDC4054\2017-03-17 --exclude "*" --recursive --include "*20170317*" &amp; "%USERPROFILE%\Documents\GitHub\mrs-test-scripts\Headless Mode &amp; Sideloading\WalkAndUnGZ.bat" "%USERPROFILE%\AppData\Local\Temp\OnboardLogs"\RTDC4054\2017-03-17 &amp; aws s3 cp s3://rtdc.mdm.uploadarchive.raw/RTDC4054/ "%USERPROFILE%\AppData\Local\Temp\OnboardLogs"\RTDC4054\2017-03-18 --exclude "*" --recursive --include "*20170318*" &amp; "%USERPROFILE%\Documents\GitHub\mrs-test-scripts\Headless Mode &amp; Sideloading\WalkAndUnGZ.bat" "%USERPROFILE%\AppData\Local\Temp\OnboardLogs"\RTDC4054\2017-03-18</v>
      </c>
      <c r="AF135" s="82" t="str">
        <f t="shared" si="35"/>
        <v>"C:\Program Files (x86)\AstroGrep\AstroGrep.exe" /e /r /s /spath="%USERPROFILE%\AppData\Local\Temp\OnboardLogs" /stypes="app*4054*20170318*" /stext=" 02:.+((SYSTEM_STATE.+slice.+state.+changed )|(ment ac)|(multiple cpu faults)|(system.+state.+changed )|(\[timeout)|(PRM\|1\|D)|(kpr)|(kdp)|(\|lc)|(penalty))"</v>
      </c>
      <c r="AG135" s="1" t="str">
        <f t="shared" si="36"/>
        <v>EC</v>
      </c>
      <c r="AH135" s="86" t="str">
        <f t="shared" si="37"/>
        <v>"%USERPROFILE%\Documents\GitHub\eaglep3\Utilities\RefineRTDCRunTimes.py" --tripid 222-17 --locoid 4054 --swversion DE.1.0.9.0 --startMP 204:233002 --initTime 2017-03-17T19:53:47 --startdatetime 2017-03-17T19:56:12 --delay 1 --endMP 204:161 --enddatetime 2017-03-17T20:38:42 --enforcementcount 0 &gt;&gt;C:\Users\stu\Documents\GitHub\eaglep3-reporting\EC\2017-03-17-refined-times.txt</v>
      </c>
      <c r="AI135" s="108" t="str">
        <f t="shared" si="38"/>
        <v>echo {"issue":{"subject":"","project_id":79,"tracker_id":40,"status_id":1,"priority_id":2,"assigned_to_id":23,"start_date":"2017-03-17","description":"","custom_fields":[{"id":1,"name":"Subdivision","value":"EC"},{"id":4,"name":"Milepost","value":"0.0161"},{"id":17,"name":"Train ID","value":"222-17"},{"id":16,"name":"Locomotive ID","value":"4054"},{"id":130,"name":"Impact","value":""},{"id":150,"name":"Time of Event (Mountain Time)","value":"20:38:42"},{"id":151,"name":"Denver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48"/>
      <c r="AK135" s="48"/>
      <c r="AL135" s="48"/>
      <c r="AM135" s="154" t="str">
        <f t="shared" si="39"/>
        <v>start /low /b %USERPROFILE%\Documents\GitHub\eaglep3\Utilities\DownloadLogsFromS3.py --loco 4054 --day 2017-03-17</v>
      </c>
      <c r="AN135" s="163" t="str">
        <f>"grep -SE -B400 ""CHR.+\|PRM\|1\|D.+(SWITCH|SIGNAL).+UNKNOWN"" "&amp;search_path&amp;"\RTDC"&amp;B135&amp;"\*"&amp;B135&amp;"*"&amp;TEXT(AVERAGE(F135,I135)-utc_offset/24,"YYYYMMDD")&amp;"*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"%USERPROFILE%\AppData\Local\Temp\OnboardLogs"\RTDC4054\*4054*20170318* | grep -SE "(Enforcement Action)|(\[TIMEOUT)|(CHR.+\|PRM\|1\|D.+(SWITCH|SIGNAL).+UNKNOWN)" - &gt;&gt; 2017-03-17-UncaughtWiMAX.txt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3" t="s">
        <v>812</v>
      </c>
      <c r="B136" s="7">
        <v>4016</v>
      </c>
      <c r="C136" s="21" t="s">
        <v>227</v>
      </c>
      <c r="D136" s="21" t="s">
        <v>233</v>
      </c>
      <c r="E136" s="13">
        <v>42811.808657407404</v>
      </c>
      <c r="F136" s="13">
        <v>42811.812939814816</v>
      </c>
      <c r="G136" s="7">
        <v>3</v>
      </c>
      <c r="H136" s="21" t="s">
        <v>916</v>
      </c>
      <c r="I136" s="13">
        <v>42811.839953703704</v>
      </c>
      <c r="J136" s="7">
        <v>0</v>
      </c>
      <c r="K136" s="98" t="str">
        <f t="shared" si="24"/>
        <v>4015/4016</v>
      </c>
      <c r="L136" s="21" t="str">
        <f>VLOOKUP(A136,'Trips&amp;Operators'!$C$1:$G$99999,5,FALSE)</f>
        <v>MENGES BRAD</v>
      </c>
      <c r="M136" s="6">
        <f t="shared" si="25"/>
        <v>2.7013888888177462E-2</v>
      </c>
      <c r="N136" s="7">
        <f t="shared" si="45"/>
        <v>38.899999998975545</v>
      </c>
      <c r="O136" s="7"/>
      <c r="P136" s="7"/>
      <c r="Q136" s="22"/>
      <c r="R136" s="22"/>
      <c r="S136" s="31">
        <f t="shared" si="44"/>
        <v>1</v>
      </c>
      <c r="T136" s="46" t="str">
        <f t="shared" si="26"/>
        <v>NorthBound</v>
      </c>
      <c r="U136" s="185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86" t="str">
        <f t="shared" si="27"/>
        <v>https://d0f6bd738d7f1b3e5a7ca70fe4ff75f0.us-east-1.aws.found.io/app/kibana#/discover/Steve-Slow-Train-Analysis-(2080s-and-2083s)?_g=(refreshInterval:(display:Off,pause:!f,section:0,value:0),time:(from:'2017-03-17T18:24:28-0600',mode:absolute,to:'2017-03-17T21:09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36" s="187" t="str">
        <f t="shared" si="28"/>
        <v>N</v>
      </c>
      <c r="X136" s="187">
        <f t="shared" si="43"/>
        <v>1</v>
      </c>
      <c r="Y136" s="62">
        <f t="shared" si="30"/>
        <v>4.6699999999999998E-2</v>
      </c>
      <c r="Z136" s="62">
        <f t="shared" si="31"/>
        <v>23.325299999999999</v>
      </c>
      <c r="AA136" s="62">
        <f t="shared" si="32"/>
        <v>23.278599999999997</v>
      </c>
      <c r="AB136" s="59" t="e">
        <f>VLOOKUP(A136,Enforcements!$C$7:$K$13,8,0)</f>
        <v>#N/A</v>
      </c>
      <c r="AC136" s="55" t="e">
        <f>VLOOKUP(A136,Enforcements!$C$7:$E$13,3,0)</f>
        <v>#N/A</v>
      </c>
      <c r="AD136" s="56" t="str">
        <f t="shared" si="33"/>
        <v>0223-17</v>
      </c>
      <c r="AE136" s="85" t="str">
        <f t="shared" si="34"/>
        <v>aws s3 cp s3://rtdc.mdm.uploadarchive.raw/RTDC4016/ "%USERPROFILE%\AppData\Local\Temp\OnboardLogs"\RTDC4016\2017-03-17 --exclude "*" --recursive --include "*20170317*" &amp; "%USERPROFILE%\Documents\GitHub\mrs-test-scripts\Headless Mode &amp; Sideloading\WalkAndUnGZ.bat" "%USERPROFILE%\AppData\Local\Temp\OnboardLogs"\RTDC4016\2017-03-17 &amp; aws s3 cp s3://rtdc.mdm.uploadarchive.raw/RTDC4016/ "%USERPROFILE%\AppData\Local\Temp\OnboardLogs"\RTDC4016\2017-03-18 --exclude "*" --recursive --include "*20170318*" &amp; "%USERPROFILE%\Documents\GitHub\mrs-test-scripts\Headless Mode &amp; Sideloading\WalkAndUnGZ.bat" "%USERPROFILE%\AppData\Local\Temp\OnboardLogs"\RTDC4016\2017-03-18</v>
      </c>
      <c r="AF136" s="82" t="str">
        <f t="shared" si="35"/>
        <v>"C:\Program Files (x86)\AstroGrep\AstroGrep.exe" /e /r /s /spath="%USERPROFILE%\AppData\Local\Temp\OnboardLogs" /stypes="app*4016*20170318*" /stext=" 02:.+((SYSTEM_STATE.+slice.+state.+changed )|(ment ac)|(multiple cpu faults)|(system.+state.+changed )|(\[timeout)|(PRM\|1\|D)|(kpr)|(kdp)|(\|lc)|(penalty))"</v>
      </c>
      <c r="AG136" s="1" t="str">
        <f t="shared" si="36"/>
        <v>EC</v>
      </c>
      <c r="AH136" s="86" t="str">
        <f t="shared" si="37"/>
        <v>"%USERPROFILE%\Documents\GitHub\eaglep3\Utilities\RefineRTDCRunTimes.py" --tripid 223-17 --locoid 4016 --swversion DE.1.0.9.0 --startMP 204:467 --initTime 2017-03-17T19:24:28 --startdatetime 2017-03-17T19:30:38 --delay 3 --endMP 204:233253 --enddatetime 2017-03-17T20:09:32 --enforcementcount 0 &gt;&gt;C:\Users\stu\Documents\GitHub\eaglep3-reporting\EC\2017-03-17-refined-times.txt</v>
      </c>
      <c r="AI136" s="108" t="str">
        <f t="shared" si="38"/>
        <v>echo {"issue":{"subject":"","project_id":79,"tracker_id":40,"status_id":1,"priority_id":2,"assigned_to_id":23,"start_date":"2017-03-17","description":"","custom_fields":[{"id":1,"name":"Subdivision","value":"EC"},{"id":4,"name":"Milepost","value":"23.3253"},{"id":17,"name":"Train ID","value":"223-17"},{"id":16,"name":"Locomotive ID","value":"4016"},{"id":130,"name":"Impact","value":""},{"id":150,"name":"Time of Event (Mountain Time)","value":"20:09:32"},{"id":151,"name":"Denver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48"/>
      <c r="AK136" s="48"/>
      <c r="AL136" s="48"/>
      <c r="AM136" s="154" t="str">
        <f t="shared" si="39"/>
        <v>start /low /b %USERPROFILE%\Documents\GitHub\eaglep3\Utilities\DownloadLogsFromS3.py --loco 4016 --day 2017-03-17</v>
      </c>
      <c r="AN136" s="163" t="str">
        <f>"grep -SE -B400 ""CHR.+\|PRM\|1\|D.+(SWITCH|SIGNAL).+UNKNOWN"" "&amp;search_path&amp;"\RTDC"&amp;B136&amp;"\*"&amp;B136&amp;"*"&amp;TEXT(AVERAGE(F136,I136)-utc_offset/24,"YYYYMMDD")&amp;"*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"%USERPROFILE%\AppData\Local\Temp\OnboardLogs"\RTDC4016\*4016*20170318* | grep -SE "(Enforcement Action)|(\[TIMEOUT)|(CHR.+\|PRM\|1\|D.+(SWITCH|SIGNAL).+UNKNOWN)" - &gt;&gt; 2017-03-17-UncaughtWiMAX.txt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3" t="s">
        <v>819</v>
      </c>
      <c r="B137" s="7">
        <v>4015</v>
      </c>
      <c r="C137" s="21" t="s">
        <v>227</v>
      </c>
      <c r="D137" s="21" t="s">
        <v>917</v>
      </c>
      <c r="E137" s="13">
        <v>42811.846655092595</v>
      </c>
      <c r="F137" s="13">
        <v>42811.851701388892</v>
      </c>
      <c r="G137" s="7">
        <v>3</v>
      </c>
      <c r="H137" s="21" t="s">
        <v>236</v>
      </c>
      <c r="I137" s="13">
        <v>42811.880659722221</v>
      </c>
      <c r="J137" s="7">
        <v>0</v>
      </c>
      <c r="K137" s="98" t="str">
        <f t="shared" si="24"/>
        <v>4015/4016</v>
      </c>
      <c r="L137" s="21" t="str">
        <f>VLOOKUP(A137,'Trips&amp;Operators'!$C$1:$G$99999,5,FALSE)</f>
        <v>MENGES BRAD</v>
      </c>
      <c r="M137" s="6">
        <f t="shared" si="25"/>
        <v>2.8958333328773733E-2</v>
      </c>
      <c r="N137" s="7">
        <f t="shared" si="45"/>
        <v>41.699999993434176</v>
      </c>
      <c r="O137" s="7"/>
      <c r="P137" s="7"/>
      <c r="Q137" s="22"/>
      <c r="R137" s="22"/>
      <c r="S137" s="31">
        <f t="shared" si="44"/>
        <v>1</v>
      </c>
      <c r="T137" s="46" t="str">
        <f t="shared" si="26"/>
        <v>Southbound</v>
      </c>
      <c r="U137" s="185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86" t="str">
        <f t="shared" si="27"/>
        <v>https://d0f6bd738d7f1b3e5a7ca70fe4ff75f0.us-east-1.aws.found.io/app/kibana#/discover/Steve-Slow-Train-Analysis-(2080s-and-2083s)?_g=(refreshInterval:(display:Off,pause:!f,section:0,value:0),time:(from:'2017-03-17T19:19:11-0600',mode:absolute,to:'2017-03-17T22:08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37" s="187" t="str">
        <f t="shared" si="28"/>
        <v>N</v>
      </c>
      <c r="X137" s="187">
        <f t="shared" si="43"/>
        <v>1</v>
      </c>
      <c r="Y137" s="62">
        <f t="shared" si="30"/>
        <v>23.294599999999999</v>
      </c>
      <c r="Z137" s="62">
        <f t="shared" si="31"/>
        <v>1.61E-2</v>
      </c>
      <c r="AA137" s="62">
        <f t="shared" si="32"/>
        <v>23.278499999999998</v>
      </c>
      <c r="AB137" s="59" t="e">
        <f>VLOOKUP(A137,Enforcements!$C$7:$K$13,8,0)</f>
        <v>#N/A</v>
      </c>
      <c r="AC137" s="55" t="e">
        <f>VLOOKUP(A137,Enforcements!$C$7:$E$13,3,0)</f>
        <v>#N/A</v>
      </c>
      <c r="AD137" s="56" t="str">
        <f t="shared" si="33"/>
        <v>0224-17</v>
      </c>
      <c r="AE137" s="85" t="str">
        <f t="shared" si="34"/>
        <v>aws s3 cp s3://rtdc.mdm.uploadarchive.raw/RTDC4015/ "%USERPROFILE%\AppData\Local\Temp\OnboardLogs"\RTDC4015\2017-03-17 --exclude "*" --recursive --include "*20170317*" &amp; "%USERPROFILE%\Documents\GitHub\mrs-test-scripts\Headless Mode &amp; Sideloading\WalkAndUnGZ.bat" "%USERPROFILE%\AppData\Local\Temp\OnboardLogs"\RTDC4015\2017-03-17 &amp; aws s3 cp s3://rtdc.mdm.uploadarchive.raw/RTDC4015/ "%USERPROFILE%\AppData\Local\Temp\OnboardLogs"\RTDC4015\2017-03-18 --exclude "*" --recursive --include "*20170318*" &amp; "%USERPROFILE%\Documents\GitHub\mrs-test-scripts\Headless Mode &amp; Sideloading\WalkAndUnGZ.bat" "%USERPROFILE%\AppData\Local\Temp\OnboardLogs"\RTDC4015\2017-03-18</v>
      </c>
      <c r="AF137" s="82" t="str">
        <f t="shared" si="35"/>
        <v>"C:\Program Files (x86)\AstroGrep\AstroGrep.exe" /e /r /s /spath="%USERPROFILE%\AppData\Local\Temp\OnboardLogs" /stypes="app*4015*20170318*" /stext=" 03:.+((SYSTEM_STATE.+slice.+state.+changed )|(ment ac)|(multiple cpu faults)|(system.+state.+changed )|(\[timeout)|(PRM\|1\|D)|(kpr)|(kdp)|(\|lc)|(penalty))"</v>
      </c>
      <c r="AG137" s="1" t="str">
        <f t="shared" si="36"/>
        <v>EC</v>
      </c>
      <c r="AH137" s="86" t="str">
        <f t="shared" si="37"/>
        <v>"%USERPROFILE%\Documents\GitHub\eaglep3\Utilities\RefineRTDCRunTimes.py" --tripid 224-17 --locoid 4015 --swversion DE.1.0.9.0 --startMP 204:232946 --initTime 2017-03-17T20:19:11 --startdatetime 2017-03-17T20:26:27 --delay 3 --endMP 204:161 --enddatetime 2017-03-17T21:08:09 --enforcementcount 0 &gt;&gt;C:\Users\stu\Documents\GitHub\eaglep3-reporting\EC\2017-03-17-refined-times.txt</v>
      </c>
      <c r="AI137" s="108" t="str">
        <f t="shared" si="38"/>
        <v>echo {"issue":{"subject":"","project_id":79,"tracker_id":40,"status_id":1,"priority_id":2,"assigned_to_id":23,"start_date":"2017-03-17","description":"","custom_fields":[{"id":1,"name":"Subdivision","value":"EC"},{"id":4,"name":"Milepost","value":"0.0161"},{"id":17,"name":"Train ID","value":"224-17"},{"id":16,"name":"Locomotive ID","value":"4015"},{"id":130,"name":"Impact","value":""},{"id":150,"name":"Time of Event (Mountain Time)","value":"21:08:09"},{"id":151,"name":"Denver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48"/>
      <c r="AK137" s="48"/>
      <c r="AL137" s="48"/>
      <c r="AM137" s="154" t="str">
        <f t="shared" si="39"/>
        <v>start /low /b %USERPROFILE%\Documents\GitHub\eaglep3\Utilities\DownloadLogsFromS3.py --loco 4015 --day 2017-03-17</v>
      </c>
      <c r="AN137" s="163" t="str">
        <f>"grep -SE -B400 ""CHR.+\|PRM\|1\|D.+(SWITCH|SIGNAL).+UNKNOWN"" "&amp;search_path&amp;"\RTDC"&amp;B137&amp;"\*"&amp;B137&amp;"*"&amp;TEXT(AVERAGE(F137,I137)-utc_offset/24,"YYYYMMDD")&amp;"*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"%USERPROFILE%\AppData\Local\Temp\OnboardLogs"\RTDC4015\*4015*20170318* | grep -SE "(Enforcement Action)|(\[TIMEOUT)|(CHR.+\|PRM\|1\|D.+(SWITCH|SIGNAL).+UNKNOWN)" - &gt;&gt; 2017-03-17-UncaughtWiMAX.txt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3" t="s">
        <v>815</v>
      </c>
      <c r="B138" s="7">
        <v>4020</v>
      </c>
      <c r="C138" s="21" t="s">
        <v>227</v>
      </c>
      <c r="D138" s="21" t="s">
        <v>891</v>
      </c>
      <c r="E138" s="13">
        <v>42811.82712962963</v>
      </c>
      <c r="F138" s="13">
        <v>42811.833634259259</v>
      </c>
      <c r="G138" s="7">
        <v>1</v>
      </c>
      <c r="H138" s="21" t="s">
        <v>894</v>
      </c>
      <c r="I138" s="13">
        <v>42811.858136574076</v>
      </c>
      <c r="J138" s="7">
        <v>0</v>
      </c>
      <c r="K138" s="98" t="str">
        <f t="shared" si="24"/>
        <v>4019/4020</v>
      </c>
      <c r="L138" s="21" t="str">
        <f>VLOOKUP(A138,'Trips&amp;Operators'!$C$1:$G$99999,5,FALSE)</f>
        <v>STAMBAUGH JAMES</v>
      </c>
      <c r="M138" s="6">
        <f t="shared" si="25"/>
        <v>2.4502314816345461E-2</v>
      </c>
      <c r="N138" s="7">
        <f t="shared" si="45"/>
        <v>35.283333335537463</v>
      </c>
      <c r="O138" s="7"/>
      <c r="P138" s="7"/>
      <c r="Q138" s="22"/>
      <c r="R138" s="22"/>
      <c r="S138" s="31">
        <f t="shared" si="44"/>
        <v>1</v>
      </c>
      <c r="T138" s="46" t="str">
        <f t="shared" si="26"/>
        <v>NorthBound</v>
      </c>
      <c r="U138" s="185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86" t="str">
        <f t="shared" si="27"/>
        <v>https://d0f6bd738d7f1b3e5a7ca70fe4ff75f0.us-east-1.aws.found.io/app/kibana#/discover/Steve-Slow-Train-Analysis-(2080s-and-2083s)?_g=(refreshInterval:(display:Off,pause:!f,section:0,value:0),time:(from:'2017-03-17T18:51:04-0600',mode:absolute,to:'2017-03-17T21:35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38" s="187" t="str">
        <f t="shared" si="28"/>
        <v>N</v>
      </c>
      <c r="X138" s="187">
        <f t="shared" si="43"/>
        <v>1</v>
      </c>
      <c r="Y138" s="62">
        <f t="shared" si="30"/>
        <v>4.3499999999999997E-2</v>
      </c>
      <c r="Z138" s="62">
        <f t="shared" si="31"/>
        <v>23.338899999999999</v>
      </c>
      <c r="AA138" s="62">
        <f t="shared" si="32"/>
        <v>23.295399999999997</v>
      </c>
      <c r="AB138" s="59" t="e">
        <f>VLOOKUP(A138,Enforcements!$C$7:$K$13,8,0)</f>
        <v>#N/A</v>
      </c>
      <c r="AC138" s="55" t="e">
        <f>VLOOKUP(A138,Enforcements!$C$7:$E$13,3,0)</f>
        <v>#N/A</v>
      </c>
      <c r="AD138" s="56" t="str">
        <f t="shared" si="33"/>
        <v>0225-17</v>
      </c>
      <c r="AE138" s="85" t="str">
        <f t="shared" si="34"/>
        <v>aws s3 cp s3://rtdc.mdm.uploadarchive.raw/RTDC4020/ "%USERPROFILE%\AppData\Local\Temp\OnboardLogs"\RTDC4020\2017-03-17 --exclude "*" --recursive --include "*20170317*" &amp; "%USERPROFILE%\Documents\GitHub\mrs-test-scripts\Headless Mode &amp; Sideloading\WalkAndUnGZ.bat" "%USERPROFILE%\AppData\Local\Temp\OnboardLogs"\RTDC4020\2017-03-17 &amp; aws s3 cp s3://rtdc.mdm.uploadarchive.raw/RTDC4020/ "%USERPROFILE%\AppData\Local\Temp\OnboardLogs"\RTDC4020\2017-03-18 --exclude "*" --recursive --include "*20170318*" &amp; "%USERPROFILE%\Documents\GitHub\mrs-test-scripts\Headless Mode &amp; Sideloading\WalkAndUnGZ.bat" "%USERPROFILE%\AppData\Local\Temp\OnboardLogs"\RTDC4020\2017-03-18</v>
      </c>
      <c r="AF138" s="82" t="str">
        <f t="shared" si="35"/>
        <v>"C:\Program Files (x86)\AstroGrep\AstroGrep.exe" /e /r /s /spath="%USERPROFILE%\AppData\Local\Temp\OnboardLogs" /stypes="app*4020*20170318*" /stext=" 02:.+((SYSTEM_STATE.+slice.+state.+changed )|(ment ac)|(multiple cpu faults)|(system.+state.+changed )|(\[timeout)|(PRM\|1\|D)|(kpr)|(kdp)|(\|lc)|(penalty))"</v>
      </c>
      <c r="AG138" s="1" t="str">
        <f t="shared" si="36"/>
        <v>EC</v>
      </c>
      <c r="AH138" s="86" t="str">
        <f t="shared" si="37"/>
        <v>"%USERPROFILE%\Documents\GitHub\eaglep3\Utilities\RefineRTDCRunTimes.py" --tripid 225-17 --locoid 4020 --swversion DE.1.0.9.0 --startMP 204:435 --initTime 2017-03-17T19:51:04 --startdatetime 2017-03-17T20:00:26 --delay 1 --endMP 204:233389 --enddatetime 2017-03-17T20:35:43 --enforcementcount 0 &gt;&gt;C:\Users\stu\Documents\GitHub\eaglep3-reporting\EC\2017-03-17-refined-times.txt</v>
      </c>
      <c r="AI138" s="108" t="str">
        <f t="shared" si="38"/>
        <v>echo {"issue":{"subject":"","project_id":79,"tracker_id":40,"status_id":1,"priority_id":2,"assigned_to_id":23,"start_date":"2017-03-17","description":"","custom_fields":[{"id":1,"name":"Subdivision","value":"EC"},{"id":4,"name":"Milepost","value":"23.3389"},{"id":17,"name":"Train ID","value":"225-17"},{"id":16,"name":"Locomotive ID","value":"4020"},{"id":130,"name":"Impact","value":""},{"id":150,"name":"Time of Event (Mountain Time)","value":"20:35:43"},{"id":151,"name":"Denver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48"/>
      <c r="AK138" s="48"/>
      <c r="AL138" s="48"/>
      <c r="AM138" s="154" t="str">
        <f t="shared" si="39"/>
        <v>start /low /b %USERPROFILE%\Documents\GitHub\eaglep3\Utilities\DownloadLogsFromS3.py --loco 4020 --day 2017-03-17</v>
      </c>
      <c r="AN138" s="163" t="str">
        <f>"grep -SE -B400 ""CHR.+\|PRM\|1\|D.+(SWITCH|SIGNAL).+UNKNOWN"" "&amp;search_path&amp;"\RTDC"&amp;B138&amp;"\*"&amp;B138&amp;"*"&amp;TEXT(AVERAGE(F138,I138)-utc_offset/24,"YYYYMMDD")&amp;"*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"%USERPROFILE%\AppData\Local\Temp\OnboardLogs"\RTDC4020\*4020*20170318* | grep -SE "(Enforcement Action)|(\[TIMEOUT)|(CHR.+\|PRM\|1\|D.+(SWITCH|SIGNAL).+UNKNOWN)" - &gt;&gt; 2017-03-17-UncaughtWiMAX.txt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3" t="s">
        <v>820</v>
      </c>
      <c r="B139" s="7">
        <v>4019</v>
      </c>
      <c r="C139" s="21" t="s">
        <v>227</v>
      </c>
      <c r="D139" s="21" t="s">
        <v>918</v>
      </c>
      <c r="E139" s="13">
        <v>42811.870127314818</v>
      </c>
      <c r="F139" s="13">
        <v>42811.872465277775</v>
      </c>
      <c r="G139" s="7">
        <v>0</v>
      </c>
      <c r="H139" s="21" t="s">
        <v>217</v>
      </c>
      <c r="I139" s="13">
        <v>42811.900011574071</v>
      </c>
      <c r="J139" s="7">
        <v>0</v>
      </c>
      <c r="K139" s="98" t="str">
        <f t="shared" si="24"/>
        <v>4019/4020</v>
      </c>
      <c r="L139" s="21" t="str">
        <f>VLOOKUP(A139,'Trips&amp;Operators'!$C$1:$G$99999,5,FALSE)</f>
        <v>STAMBAUGH JAMES</v>
      </c>
      <c r="M139" s="6">
        <f t="shared" si="25"/>
        <v>2.7546296296350192E-2</v>
      </c>
      <c r="N139" s="7">
        <f t="shared" si="45"/>
        <v>39.666666666744277</v>
      </c>
      <c r="O139" s="7"/>
      <c r="P139" s="7"/>
      <c r="Q139" s="22"/>
      <c r="R139" s="22"/>
      <c r="S139" s="31">
        <f t="shared" si="44"/>
        <v>1</v>
      </c>
      <c r="T139" s="46" t="str">
        <f t="shared" si="26"/>
        <v>Southbound</v>
      </c>
      <c r="U139" s="185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86" t="str">
        <f t="shared" si="27"/>
        <v>https://d0f6bd738d7f1b3e5a7ca70fe4ff75f0.us-east-1.aws.found.io/app/kibana#/discover/Steve-Slow-Train-Analysis-(2080s-and-2083s)?_g=(refreshInterval:(display:Off,pause:!f,section:0,value:0),time:(from:'2017-03-17T19:52:59-0600',mode:absolute,to:'2017-03-17T22:36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39" s="187" t="str">
        <f t="shared" si="28"/>
        <v>N</v>
      </c>
      <c r="X139" s="187">
        <f t="shared" si="43"/>
        <v>1</v>
      </c>
      <c r="Y139" s="62">
        <f t="shared" si="30"/>
        <v>23.307400000000001</v>
      </c>
      <c r="Z139" s="62">
        <f t="shared" si="31"/>
        <v>1.41E-2</v>
      </c>
      <c r="AA139" s="62">
        <f t="shared" si="32"/>
        <v>23.293300000000002</v>
      </c>
      <c r="AB139" s="59" t="e">
        <f>VLOOKUP(A139,Enforcements!$C$7:$K$13,8,0)</f>
        <v>#N/A</v>
      </c>
      <c r="AC139" s="55" t="e">
        <f>VLOOKUP(A139,Enforcements!$C$7:$E$13,3,0)</f>
        <v>#N/A</v>
      </c>
      <c r="AD139" s="56" t="str">
        <f t="shared" si="33"/>
        <v>0226-17</v>
      </c>
      <c r="AE139" s="85" t="str">
        <f t="shared" si="34"/>
        <v>aws s3 cp s3://rtdc.mdm.uploadarchive.raw/RTDC4019/ "%USERPROFILE%\AppData\Local\Temp\OnboardLogs"\RTDC4019\2017-03-17 --exclude "*" --recursive --include "*20170317*" &amp; "%USERPROFILE%\Documents\GitHub\mrs-test-scripts\Headless Mode &amp; Sideloading\WalkAndUnGZ.bat" "%USERPROFILE%\AppData\Local\Temp\OnboardLogs"\RTDC4019\2017-03-17 &amp; aws s3 cp s3://rtdc.mdm.uploadarchive.raw/RTDC4019/ "%USERPROFILE%\AppData\Local\Temp\OnboardLogs"\RTDC4019\2017-03-18 --exclude "*" --recursive --include "*20170318*" &amp; "%USERPROFILE%\Documents\GitHub\mrs-test-scripts\Headless Mode &amp; Sideloading\WalkAndUnGZ.bat" "%USERPROFILE%\AppData\Local\Temp\OnboardLogs"\RTDC4019\2017-03-18</v>
      </c>
      <c r="AF139" s="82" t="str">
        <f t="shared" si="35"/>
        <v>"C:\Program Files (x86)\AstroGrep\AstroGrep.exe" /e /r /s /spath="%USERPROFILE%\AppData\Local\Temp\OnboardLogs" /stypes="app*4019*20170318*" /stext=" 03:.+((SYSTEM_STATE.+slice.+state.+changed )|(ment ac)|(multiple cpu faults)|(system.+state.+changed )|(\[timeout)|(PRM\|1\|D)|(kpr)|(kdp)|(\|lc)|(penalty))"</v>
      </c>
      <c r="AG139" s="1" t="str">
        <f t="shared" si="36"/>
        <v>EC</v>
      </c>
      <c r="AH139" s="86" t="str">
        <f t="shared" si="37"/>
        <v>"%USERPROFILE%\Documents\GitHub\eaglep3\Utilities\RefineRTDCRunTimes.py" --tripid 226-17 --locoid 4019 --swversion DE.1.0.9.0 --startMP 204:233074 --initTime 2017-03-17T20:52:59 --startdatetime 2017-03-17T20:56:21 --delay 0 --endMP 204:141 --enddatetime 2017-03-17T21:36:01 --enforcementcount 0 &gt;&gt;C:\Users\stu\Documents\GitHub\eaglep3-reporting\EC\2017-03-17-refined-times.txt</v>
      </c>
      <c r="AI139" s="108" t="str">
        <f t="shared" si="38"/>
        <v>echo {"issue":{"subject":"","project_id":79,"tracker_id":40,"status_id":1,"priority_id":2,"assigned_to_id":23,"start_date":"2017-03-17","description":"","custom_fields":[{"id":1,"name":"Subdivision","value":"EC"},{"id":4,"name":"Milepost","value":"0.0141"},{"id":17,"name":"Train ID","value":"226-17"},{"id":16,"name":"Locomotive ID","value":"4019"},{"id":130,"name":"Impact","value":""},{"id":150,"name":"Time of Event (Mountain Time)","value":"21:36:01"},{"id":151,"name":"Denver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48"/>
      <c r="AK139" s="48"/>
      <c r="AL139" s="48"/>
      <c r="AM139" s="154" t="str">
        <f t="shared" si="39"/>
        <v>start /low /b %USERPROFILE%\Documents\GitHub\eaglep3\Utilities\DownloadLogsFromS3.py --loco 4019 --day 2017-03-17</v>
      </c>
      <c r="AN139" s="163" t="str">
        <f>"grep -SE -B400 ""CHR.+\|PRM\|1\|D.+(SWITCH|SIGNAL).+UNKNOWN"" "&amp;search_path&amp;"\RTDC"&amp;B139&amp;"\*"&amp;B139&amp;"*"&amp;TEXT(AVERAGE(F139,I139)-utc_offset/24,"YYYYMMDD")&amp;"*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"%USERPROFILE%\AppData\Local\Temp\OnboardLogs"\RTDC4019\*4019*20170318* | grep -SE "(Enforcement Action)|(\[TIMEOUT)|(CHR.+\|PRM\|1\|D.+(SWITCH|SIGNAL).+UNKNOWN)" - &gt;&gt; 2017-03-17-UncaughtWiMAX.txt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3" t="s">
        <v>818</v>
      </c>
      <c r="B140" s="7">
        <v>4002</v>
      </c>
      <c r="C140" s="21" t="s">
        <v>227</v>
      </c>
      <c r="D140" s="21" t="s">
        <v>218</v>
      </c>
      <c r="E140" s="13">
        <v>42811.841539351852</v>
      </c>
      <c r="F140" s="13">
        <v>42811.854502314818</v>
      </c>
      <c r="G140" s="7">
        <v>1</v>
      </c>
      <c r="H140" s="21" t="s">
        <v>919</v>
      </c>
      <c r="I140" s="13">
        <v>42811.880729166667</v>
      </c>
      <c r="J140" s="7">
        <v>0</v>
      </c>
      <c r="K140" s="98" t="str">
        <f t="shared" si="24"/>
        <v>4001/4002</v>
      </c>
      <c r="L140" s="21" t="str">
        <f>VLOOKUP(A140,'Trips&amp;Operators'!$C$1:$G$99999,5,FALSE)</f>
        <v>SWANSON BRYCE</v>
      </c>
      <c r="M140" s="6">
        <f t="shared" si="25"/>
        <v>2.622685184906004E-2</v>
      </c>
      <c r="N140" s="7">
        <f t="shared" si="45"/>
        <v>37.766666662646458</v>
      </c>
      <c r="O140" s="7"/>
      <c r="P140" s="7"/>
      <c r="Q140" s="22"/>
      <c r="R140" s="22"/>
      <c r="S140" s="31">
        <f t="shared" si="44"/>
        <v>1</v>
      </c>
      <c r="T140" s="46" t="str">
        <f t="shared" si="26"/>
        <v>NorthBound</v>
      </c>
      <c r="U140" s="185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86" t="str">
        <f t="shared" si="27"/>
        <v>https://d0f6bd738d7f1b3e5a7ca70fe4ff75f0.us-east-1.aws.found.io/app/kibana#/discover/Steve-Slow-Train-Analysis-(2080s-and-2083s)?_g=(refreshInterval:(display:Off,pause:!f,section:0,value:0),time:(from:'2017-03-17T19:11:49-0600',mode:absolute,to:'2017-03-17T22:08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40" s="187" t="str">
        <f t="shared" si="28"/>
        <v>N</v>
      </c>
      <c r="X140" s="187">
        <f t="shared" si="43"/>
        <v>1</v>
      </c>
      <c r="Y140" s="62">
        <f t="shared" si="30"/>
        <v>4.3999999999999997E-2</v>
      </c>
      <c r="Z140" s="62">
        <f t="shared" si="31"/>
        <v>23.325099999999999</v>
      </c>
      <c r="AA140" s="62">
        <f t="shared" si="32"/>
        <v>23.281099999999999</v>
      </c>
      <c r="AB140" s="59" t="e">
        <f>VLOOKUP(A140,Enforcements!$C$7:$K$13,8,0)</f>
        <v>#N/A</v>
      </c>
      <c r="AC140" s="55" t="e">
        <f>VLOOKUP(A140,Enforcements!$C$7:$E$13,3,0)</f>
        <v>#N/A</v>
      </c>
      <c r="AD140" s="56" t="str">
        <f t="shared" si="33"/>
        <v>0227-17</v>
      </c>
      <c r="AE140" s="85" t="str">
        <f t="shared" si="34"/>
        <v>aws s3 cp s3://rtdc.mdm.uploadarchive.raw/RTDC4002/ "%USERPROFILE%\AppData\Local\Temp\OnboardLogs"\RTDC4002\2017-03-17 --exclude "*" --recursive --include "*20170317*" &amp; "%USERPROFILE%\Documents\GitHub\mrs-test-scripts\Headless Mode &amp; Sideloading\WalkAndUnGZ.bat" "%USERPROFILE%\AppData\Local\Temp\OnboardLogs"\RTDC4002\2017-03-17 &amp; aws s3 cp s3://rtdc.mdm.uploadarchive.raw/RTDC4002/ "%USERPROFILE%\AppData\Local\Temp\OnboardLogs"\RTDC4002\2017-03-18 --exclude "*" --recursive --include "*20170318*" &amp; "%USERPROFILE%\Documents\GitHub\mrs-test-scripts\Headless Mode &amp; Sideloading\WalkAndUnGZ.bat" "%USERPROFILE%\AppData\Local\Temp\OnboardLogs"\RTDC4002\2017-03-18</v>
      </c>
      <c r="AF140" s="82" t="str">
        <f t="shared" si="35"/>
        <v>"C:\Program Files (x86)\AstroGrep\AstroGrep.exe" /e /r /s /spath="%USERPROFILE%\AppData\Local\Temp\OnboardLogs" /stypes="app*4002*20170318*" /stext=" 03:.+((SYSTEM_STATE.+slice.+state.+changed )|(ment ac)|(multiple cpu faults)|(system.+state.+changed )|(\[timeout)|(PRM\|1\|D)|(kpr)|(kdp)|(\|lc)|(penalty))"</v>
      </c>
      <c r="AG140" s="1" t="str">
        <f t="shared" si="36"/>
        <v>EC</v>
      </c>
      <c r="AH140" s="86" t="str">
        <f t="shared" si="37"/>
        <v>"%USERPROFILE%\Documents\GitHub\eaglep3\Utilities\RefineRTDCRunTimes.py" --tripid 227-17 --locoid 4002 --swversion DE.1.0.9.0 --startMP 204:440 --initTime 2017-03-17T20:11:49 --startdatetime 2017-03-17T20:30:29 --delay 1 --endMP 204:233251 --enddatetime 2017-03-17T21:08:15 --enforcementcount 0 &gt;&gt;C:\Users\stu\Documents\GitHub\eaglep3-reporting\EC\2017-03-17-refined-times.txt</v>
      </c>
      <c r="AI140" s="108" t="str">
        <f t="shared" si="38"/>
        <v>echo {"issue":{"subject":"","project_id":79,"tracker_id":40,"status_id":1,"priority_id":2,"assigned_to_id":23,"start_date":"2017-03-17","description":"","custom_fields":[{"id":1,"name":"Subdivision","value":"EC"},{"id":4,"name":"Milepost","value":"23.3251"},{"id":17,"name":"Train ID","value":"227-17"},{"id":16,"name":"Locomotive ID","value":"4002"},{"id":130,"name":"Impact","value":""},{"id":150,"name":"Time of Event (Mountain Time)","value":"21:08:15"},{"id":151,"name":"Denver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48"/>
      <c r="AK140" s="48"/>
      <c r="AL140" s="48"/>
      <c r="AM140" s="154" t="str">
        <f t="shared" si="39"/>
        <v>start /low /b %USERPROFILE%\Documents\GitHub\eaglep3\Utilities\DownloadLogsFromS3.py --loco 4002 --day 2017-03-17</v>
      </c>
      <c r="AN140" s="163" t="str">
        <f>"grep -SE -B400 ""CHR.+\|PRM\|1\|D.+(SWITCH|SIGNAL).+UNKNOWN"" "&amp;search_path&amp;"\RTDC"&amp;B140&amp;"\*"&amp;B140&amp;"*"&amp;TEXT(AVERAGE(F140,I140)-utc_offset/24,"YYYYMMDD")&amp;"*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"%USERPROFILE%\AppData\Local\Temp\OnboardLogs"\RTDC4002\*4002*20170318* | grep -SE "(Enforcement Action)|(\[TIMEOUT)|(CHR.+\|PRM\|1\|D.+(SWITCH|SIGNAL).+UNKNOWN)" - &gt;&gt; 2017-03-17-UncaughtWiMAX.txt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3" t="s">
        <v>822</v>
      </c>
      <c r="B141" s="7">
        <v>4001</v>
      </c>
      <c r="C141" s="21" t="s">
        <v>227</v>
      </c>
      <c r="D141" s="21" t="s">
        <v>478</v>
      </c>
      <c r="E141" s="13">
        <v>42811.885729166665</v>
      </c>
      <c r="F141" s="13">
        <v>42811.89335648148</v>
      </c>
      <c r="G141" s="7">
        <v>1</v>
      </c>
      <c r="H141" s="21" t="s">
        <v>191</v>
      </c>
      <c r="I141" s="13">
        <v>42811.922500000001</v>
      </c>
      <c r="J141" s="7">
        <v>0</v>
      </c>
      <c r="K141" s="98" t="str">
        <f t="shared" ref="K141:K204" si="46">IF(ISEVEN(B141),(B141-1)&amp;"/"&amp;B141,B141&amp;"/"&amp;(B141+1))</f>
        <v>4001/4002</v>
      </c>
      <c r="L141" s="21" t="str">
        <f>VLOOKUP(A141,'Trips&amp;Operators'!$C$1:$G$99999,5,FALSE)</f>
        <v>SWANSON BRYCE</v>
      </c>
      <c r="M141" s="6">
        <f t="shared" ref="M141:M204" si="47">I141-F141</f>
        <v>2.9143518520868383E-2</v>
      </c>
      <c r="N141" s="7">
        <f t="shared" si="45"/>
        <v>41.966666670050472</v>
      </c>
      <c r="O141" s="7"/>
      <c r="P141" s="7"/>
      <c r="Q141" s="22"/>
      <c r="R141" s="22"/>
      <c r="S141" s="31">
        <f t="shared" si="44"/>
        <v>1</v>
      </c>
      <c r="T141" s="46" t="str">
        <f t="shared" ref="T141:T204" si="48">IF(ISEVEN(LEFT(AD141,4)),"Southbound","NorthBound")</f>
        <v>Southbound</v>
      </c>
      <c r="U141" s="185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86" t="str">
        <f t="shared" ref="V141:V204" si="49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-03-17T20:15:27-0600',mode:absolute,to:'2017-03-17T23:08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41" s="187" t="str">
        <f t="shared" ref="W141:W204" si="50">IF(AA141&lt;IF(AG141="EC",23,5.65),"Y","N")</f>
        <v>N</v>
      </c>
      <c r="X141" s="187">
        <f t="shared" si="43"/>
        <v>1</v>
      </c>
      <c r="Y141" s="62">
        <f t="shared" ref="Y141:Y204" si="51">RIGHT(D141,LEN(D141)-4)/10000</f>
        <v>23.2957</v>
      </c>
      <c r="Z141" s="62">
        <f t="shared" ref="Z141:Z204" si="52">RIGHT(H141,LEN(H141)-4)/10000</f>
        <v>1.4999999999999999E-2</v>
      </c>
      <c r="AA141" s="62">
        <f t="shared" ref="AA141:AA204" si="53">ABS(Z141-Y141)</f>
        <v>23.2807</v>
      </c>
      <c r="AB141" s="59" t="e">
        <f>VLOOKUP(A141,Enforcements!$C$7:$K$13,8,0)</f>
        <v>#N/A</v>
      </c>
      <c r="AC141" s="55" t="e">
        <f>VLOOKUP(A141,Enforcements!$C$7:$E$13,3,0)</f>
        <v>#N/A</v>
      </c>
      <c r="AD141" s="56" t="str">
        <f t="shared" ref="AD141:AD204" si="54">IF(LEN(A141)=6,"0"&amp;A141,A141)</f>
        <v>0228-17</v>
      </c>
      <c r="AE141" s="85" t="str">
        <f t="shared" ref="AE141:AE204" si="55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s3://rtdc.mdm.uploadarchive.raw/RTDC4001/ "%USERPROFILE%\AppData\Local\Temp\OnboardLogs"\RTDC4001\2017-03-17 --exclude "*" --recursive --include "*20170317*" &amp; "%USERPROFILE%\Documents\GitHub\mrs-test-scripts\Headless Mode &amp; Sideloading\WalkAndUnGZ.bat" "%USERPROFILE%\AppData\Local\Temp\OnboardLogs"\RTDC4001\2017-03-17 &amp; aws s3 cp s3://rtdc.mdm.uploadarchive.raw/RTDC4001/ "%USERPROFILE%\AppData\Local\Temp\OnboardLogs"\RTDC4001\2017-03-18 --exclude "*" --recursive --include "*20170318*" &amp; "%USERPROFILE%\Documents\GitHub\mrs-test-scripts\Headless Mode &amp; Sideloading\WalkAndUnGZ.bat" "%USERPROFILE%\AppData\Local\Temp\OnboardLogs"\RTDC4001\2017-03-18</v>
      </c>
      <c r="AF141" s="82" t="str">
        <f t="shared" ref="AF141:AF204" si="56"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/stypes="app*4001*20170318*" /stext=" 04:.+((SYSTEM_STATE.+slice.+state.+changed )|(ment ac)|(multiple cpu faults)|(system.+state.+changed )|(\[timeout)|(PRM\|1\|D)|(kpr)|(kdp)|(\|lc)|(penalty))"</v>
      </c>
      <c r="AG141" s="1" t="str">
        <f t="shared" ref="AG141:AG204" si="57">IFERROR(IF(VALUE(LEFT(AD141,2))&lt;=2,"EC",IF(OR(VALUE(LEFT(AD141,2))=8,VALUE(LEFT(AD141,2))=18),"NW","Other")),"Other")</f>
        <v>EC</v>
      </c>
      <c r="AH141" s="86" t="str">
        <f t="shared" ref="AH141:AH201" si="58">refinertdcruntimes&amp;" --tripid "&amp;A141&amp;" --locoid "&amp;B141&amp;" --swversion "&amp;C141&amp;" --startMP "&amp;D141&amp;" --initTime "&amp;TEXT(E141,"yyyy-mm-ddTHH:MM:SS")&amp;" --startdatetime "&amp;TEXT(F141,"yyyy-mm-ddTHH:MM:SS")&amp;" --delay "&amp;G141&amp;" --endMP "&amp;H141&amp;" --enddatetime "&amp;TEXT(I141,"yyyy-mm-ddTHH:MM:SS")&amp;" --enforcementcount "&amp;J141&amp;IF(outputrefinedruntimes," &gt;&gt;"&amp;RefinedRTDCRunTimesOutputFile,"")</f>
        <v>"%USERPROFILE%\Documents\GitHub\eaglep3\Utilities\RefineRTDCRunTimes.py" --tripid 228-17 --locoid 4001 --swversion DE.1.0.9.0 --startMP 204:232957 --initTime 2017-03-17T21:15:27 --startdatetime 2017-03-17T21:26:26 --delay 1 --endMP 204:150 --enddatetime 2017-03-17T22:08:24 --enforcementcount 0 &gt;&gt;C:\Users\stu\Documents\GitHub\eaglep3-reporting\EC\2017-03-17-refined-times.txt</v>
      </c>
      <c r="AI141" s="108" t="str">
        <f t="shared" ref="AI141:AI201" si="59">"echo {""issue"":{""subject"":"""&amp;R141&amp;""",""project_id"":79,""tracker_id"":40,""status_id"":"&amp;redmine_status&amp;",""priority_id"":"&amp;redmine_priority&amp;",""assigned_to_id"":"&amp;redmine_assignee&amp;",""start_date"":"""&amp;TEXT(I141,"YYYY-mm-dd")&amp;""",""description"":"""&amp;AJ141&amp;""",""custom_fields"":[{""id"":1,""name"":""Subdivision"",""value"":"""&amp;AG141&amp;"""},{""id"":4,""name"":""Milepost"",""value"":"""&amp;Z141&amp;"""},{""id"":17,""name"":""Train ID"",""value"":"""&amp;A141&amp;"""},{""id"":16,""name"":""Locomotive ID"",""value"":"""&amp;B141&amp;"""},{""id"":130,""name"":""Impact"",""value"":"""&amp;AK141&amp;"""},{""id"":150,""name"":""Time of Event (Mountain Time)"",""value"":"""&amp;TEXT(I141,"hh:mm:ss")&amp;"""},{""id"":151,""name"":""Denver Issue ID"",""value"":"""&amp;"""},{""id"":178,""name"":""Operational Impact"",""value"":"""&amp;redmine_op_impact&amp;"""},{""id"":179,""name"":""Denver Segment Assigned"",""value"":"""&amp;AL141&amp;"""}]}}"&amp;"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{"issue":{"subject":"","project_id":79,"tracker_id":40,"status_id":1,"priority_id":2,"assigned_to_id":23,"start_date":"2017-03-17","description":"","custom_fields":[{"id":1,"name":"Subdivision","value":"EC"},{"id":4,"name":"Milepost","value":"0.015"},{"id":17,"name":"Train ID","value":"228-17"},{"id":16,"name":"Locomotive ID","value":"4001"},{"id":130,"name":"Impact","value":""},{"id":150,"name":"Time of Event (Mountain Time)","value":"22:08:24"},{"id":151,"name":"Denver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48"/>
      <c r="AK141" s="48"/>
      <c r="AL141" s="48"/>
      <c r="AM141" s="154" t="str">
        <f t="shared" ref="AM141:AM201" si="60">"start /low /b "&amp;dls3logs&amp;" --loco "&amp;B141&amp;" --day "&amp;TEXT(F141,"YYYY-MM-DD")</f>
        <v>start /low /b %USERPROFILE%\Documents\GitHub\eaglep3\Utilities\DownloadLogsFromS3.py --loco 4001 --day 2017-03-17</v>
      </c>
      <c r="AN141" s="163" t="str">
        <f>"grep -SE -B400 ""CHR.+\|PRM\|1\|D.+(SWITCH|SIGNAL).+UNKNOWN"" "&amp;search_path&amp;"\RTDC"&amp;B141&amp;"\*"&amp;B141&amp;"*"&amp;TEXT(AVERAGE(F141,I141)-utc_offset/24,"YYYYMMDD")&amp;"*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"%USERPROFILE%\AppData\Local\Temp\OnboardLogs"\RTDC4001\*4001*20170318* | grep -SE "(Enforcement Action)|(\[TIMEOUT)|(CHR.+\|PRM\|1\|D.+(SWITCH|SIGNAL).+UNKNOWN)" - &gt;&gt; 2017-03-17-UncaughtWiMAX.txt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3" t="s">
        <v>645</v>
      </c>
      <c r="B142" s="7">
        <v>4053</v>
      </c>
      <c r="C142" s="21" t="s">
        <v>227</v>
      </c>
      <c r="D142" s="21" t="s">
        <v>385</v>
      </c>
      <c r="E142" s="13">
        <v>42811.872002314813</v>
      </c>
      <c r="F142" s="13">
        <v>42811.875173611108</v>
      </c>
      <c r="G142" s="7">
        <v>1</v>
      </c>
      <c r="H142" s="21" t="s">
        <v>920</v>
      </c>
      <c r="I142" s="13">
        <v>42811.90115740741</v>
      </c>
      <c r="J142" s="7">
        <v>0</v>
      </c>
      <c r="K142" s="98" t="str">
        <f t="shared" si="46"/>
        <v>4053/4054</v>
      </c>
      <c r="L142" s="21" t="str">
        <f>VLOOKUP(A142,'Trips&amp;Operators'!$C$1:$G$99999,5,FALSE)</f>
        <v>BROWN JACOB</v>
      </c>
      <c r="M142" s="6">
        <f t="shared" si="47"/>
        <v>2.5983796302170958E-2</v>
      </c>
      <c r="N142" s="7">
        <f t="shared" si="45"/>
        <v>37.41666667512618</v>
      </c>
      <c r="O142" s="7"/>
      <c r="P142" s="7"/>
      <c r="Q142" s="22"/>
      <c r="R142" s="22"/>
      <c r="S142" s="31">
        <f t="shared" si="44"/>
        <v>1</v>
      </c>
      <c r="T142" s="46" t="str">
        <f t="shared" si="48"/>
        <v>NorthBound</v>
      </c>
      <c r="U142" s="185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86" t="str">
        <f t="shared" si="49"/>
        <v>https://d0f6bd738d7f1b3e5a7ca70fe4ff75f0.us-east-1.aws.found.io/app/kibana#/discover/Steve-Slow-Train-Analysis-(2080s-and-2083s)?_g=(refreshInterval:(display:Off,pause:!f,section:0,value:0),time:(from:'2017-03-17T19:55:41-0600',mode:absolute,to:'2017-03-17T22:37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42" s="187" t="str">
        <f t="shared" si="50"/>
        <v>N</v>
      </c>
      <c r="X142" s="187">
        <f t="shared" ref="X142:X170" si="61">VALUE(LEFT(AD142,4))-VALUE(LEFT(AD141,4))</f>
        <v>1</v>
      </c>
      <c r="Y142" s="62">
        <f t="shared" si="51"/>
        <v>4.7500000000000001E-2</v>
      </c>
      <c r="Z142" s="62">
        <f t="shared" si="52"/>
        <v>23.334900000000001</v>
      </c>
      <c r="AA142" s="62">
        <f t="shared" si="53"/>
        <v>23.287400000000002</v>
      </c>
      <c r="AB142" s="59" t="str">
        <f>VLOOKUP(A142,Enforcements!$C$7:$K$13,8,0)</f>
        <v>Bulletin (2)</v>
      </c>
      <c r="AC142" s="55" t="str">
        <f>VLOOKUP(A142,Enforcements!$C$7:$E$13,3,0)</f>
        <v>GRADE CROSSING</v>
      </c>
      <c r="AD142" s="56" t="str">
        <f t="shared" si="54"/>
        <v>0229-17</v>
      </c>
      <c r="AE142" s="85" t="str">
        <f t="shared" si="55"/>
        <v>aws s3 cp s3://rtdc.mdm.uploadarchive.raw/RTDC4053/ "%USERPROFILE%\AppData\Local\Temp\OnboardLogs"\RTDC4053\2017-03-17 --exclude "*" --recursive --include "*20170317*" &amp; "%USERPROFILE%\Documents\GitHub\mrs-test-scripts\Headless Mode &amp; Sideloading\WalkAndUnGZ.bat" "%USERPROFILE%\AppData\Local\Temp\OnboardLogs"\RTDC4053\2017-03-17 &amp; aws s3 cp s3://rtdc.mdm.uploadarchive.raw/RTDC4053/ "%USERPROFILE%\AppData\Local\Temp\OnboardLogs"\RTDC4053\2017-03-18 --exclude "*" --recursive --include "*20170318*" &amp; "%USERPROFILE%\Documents\GitHub\mrs-test-scripts\Headless Mode &amp; Sideloading\WalkAndUnGZ.bat" "%USERPROFILE%\AppData\Local\Temp\OnboardLogs"\RTDC4053\2017-03-18</v>
      </c>
      <c r="AF142" s="82" t="str">
        <f t="shared" si="56"/>
        <v>"C:\Program Files (x86)\AstroGrep\AstroGrep.exe" /e /r /s /spath="%USERPROFILE%\AppData\Local\Temp\OnboardLogs" /stypes="app*4053*20170318*" /stext=" 03:.+((SYSTEM_STATE.+slice.+state.+changed )|(ment ac)|(multiple cpu faults)|(system.+state.+changed )|(\[timeout)|(PRM\|1\|D)|(kpr)|(kdp)|(\|lc)|(penalty))"</v>
      </c>
      <c r="AG142" s="1" t="str">
        <f t="shared" si="57"/>
        <v>EC</v>
      </c>
      <c r="AH142" s="86" t="str">
        <f t="shared" si="58"/>
        <v>"%USERPROFILE%\Documents\GitHub\eaglep3\Utilities\RefineRTDCRunTimes.py" --tripid 229-17 --locoid 4053 --swversion DE.1.0.9.0 --startMP 204:475 --initTime 2017-03-17T20:55:41 --startdatetime 2017-03-17T21:00:15 --delay 1 --endMP 204:233349 --enddatetime 2017-03-17T21:37:40 --enforcementcount 0 &gt;&gt;C:\Users\stu\Documents\GitHub\eaglep3-reporting\EC\2017-03-17-refined-times.txt</v>
      </c>
      <c r="AI142" s="108" t="str">
        <f t="shared" si="59"/>
        <v>echo {"issue":{"subject":"","project_id":79,"tracker_id":40,"status_id":1,"priority_id":2,"assigned_to_id":23,"start_date":"2017-03-17","description":"","custom_fields":[{"id":1,"name":"Subdivision","value":"EC"},{"id":4,"name":"Milepost","value":"23.3349"},{"id":17,"name":"Train ID","value":"229-17"},{"id":16,"name":"Locomotive ID","value":"4053"},{"id":130,"name":"Impact","value":""},{"id":150,"name":"Time of Event (Mountain Time)","value":"21:37:40"},{"id":151,"name":"Denver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48"/>
      <c r="AK142" s="48"/>
      <c r="AL142" s="48"/>
      <c r="AM142" s="154" t="str">
        <f t="shared" si="60"/>
        <v>start /low /b %USERPROFILE%\Documents\GitHub\eaglep3\Utilities\DownloadLogsFromS3.py --loco 4053 --day 2017-03-17</v>
      </c>
      <c r="AN142" s="163" t="str">
        <f>"grep -SE -B400 ""CHR.+\|PRM\|1\|D.+(SWITCH|SIGNAL).+UNKNOWN"" "&amp;search_path&amp;"\RTDC"&amp;B142&amp;"\*"&amp;B142&amp;"*"&amp;TEXT(AVERAGE(F142,I142)-utc_offset/24,"YYYYMMDD")&amp;"*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"%USERPROFILE%\AppData\Local\Temp\OnboardLogs"\RTDC4053\*4053*20170318* | grep -SE "(Enforcement Action)|(\[TIMEOUT)|(CHR.+\|PRM\|1\|D.+(SWITCH|SIGNAL).+UNKNOWN)" - &gt;&gt; 2017-03-17-UncaughtWiMAX.txt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3" t="s">
        <v>826</v>
      </c>
      <c r="B143" s="7">
        <v>4054</v>
      </c>
      <c r="C143" s="21" t="s">
        <v>227</v>
      </c>
      <c r="D143" s="21" t="s">
        <v>921</v>
      </c>
      <c r="E143" s="13">
        <v>42811.912152777775</v>
      </c>
      <c r="F143" s="13">
        <v>42811.914027777777</v>
      </c>
      <c r="G143" s="7">
        <v>1</v>
      </c>
      <c r="H143" s="21" t="s">
        <v>421</v>
      </c>
      <c r="I143" s="13">
        <v>42811.94122685185</v>
      </c>
      <c r="J143" s="7">
        <v>0</v>
      </c>
      <c r="K143" s="98" t="str">
        <f t="shared" si="46"/>
        <v>4053/4054</v>
      </c>
      <c r="L143" s="21" t="str">
        <f>VLOOKUP(A143,'Trips&amp;Operators'!$C$1:$G$99999,5,FALSE)</f>
        <v>BROWN JACOB</v>
      </c>
      <c r="M143" s="6">
        <f t="shared" si="47"/>
        <v>2.7199074072996154E-2</v>
      </c>
      <c r="N143" s="7">
        <f t="shared" si="45"/>
        <v>39.166666665114462</v>
      </c>
      <c r="O143" s="7"/>
      <c r="P143" s="7"/>
      <c r="Q143" s="22"/>
      <c r="R143" s="22"/>
      <c r="S143" s="31">
        <f t="shared" si="44"/>
        <v>1</v>
      </c>
      <c r="T143" s="46" t="str">
        <f t="shared" si="48"/>
        <v>Southbound</v>
      </c>
      <c r="U143" s="185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86" t="str">
        <f t="shared" si="49"/>
        <v>https://d0f6bd738d7f1b3e5a7ca70fe4ff75f0.us-east-1.aws.found.io/app/kibana#/discover/Steve-Slow-Train-Analysis-(2080s-and-2083s)?_g=(refreshInterval:(display:Off,pause:!f,section:0,value:0),time:(from:'2017-03-17T20:53:30-0600',mode:absolute,to:'2017-03-17T23:35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43" s="187" t="str">
        <f t="shared" si="50"/>
        <v>N</v>
      </c>
      <c r="X143" s="187">
        <f t="shared" si="61"/>
        <v>1</v>
      </c>
      <c r="Y143" s="62">
        <f t="shared" si="51"/>
        <v>23.3017</v>
      </c>
      <c r="Z143" s="62">
        <f t="shared" si="52"/>
        <v>1.6500000000000001E-2</v>
      </c>
      <c r="AA143" s="62">
        <f t="shared" si="53"/>
        <v>23.2852</v>
      </c>
      <c r="AB143" s="59" t="e">
        <f>VLOOKUP(A143,Enforcements!$C$7:$K$13,8,0)</f>
        <v>#N/A</v>
      </c>
      <c r="AC143" s="55" t="e">
        <f>VLOOKUP(A143,Enforcements!$C$7:$E$13,3,0)</f>
        <v>#N/A</v>
      </c>
      <c r="AD143" s="56" t="str">
        <f t="shared" si="54"/>
        <v>0230-17</v>
      </c>
      <c r="AE143" s="85" t="str">
        <f t="shared" si="55"/>
        <v>aws s3 cp s3://rtdc.mdm.uploadarchive.raw/RTDC4054/ "%USERPROFILE%\AppData\Local\Temp\OnboardLogs"\RTDC4054\2017-03-17 --exclude "*" --recursive --include "*20170317*" &amp; "%USERPROFILE%\Documents\GitHub\mrs-test-scripts\Headless Mode &amp; Sideloading\WalkAndUnGZ.bat" "%USERPROFILE%\AppData\Local\Temp\OnboardLogs"\RTDC4054\2017-03-17 &amp; aws s3 cp s3://rtdc.mdm.uploadarchive.raw/RTDC4054/ "%USERPROFILE%\AppData\Local\Temp\OnboardLogs"\RTDC4054\2017-03-18 --exclude "*" --recursive --include "*20170318*" &amp; "%USERPROFILE%\Documents\GitHub\mrs-test-scripts\Headless Mode &amp; Sideloading\WalkAndUnGZ.bat" "%USERPROFILE%\AppData\Local\Temp\OnboardLogs"\RTDC4054\2017-03-18</v>
      </c>
      <c r="AF143" s="82" t="str">
        <f t="shared" si="56"/>
        <v>"C:\Program Files (x86)\AstroGrep\AstroGrep.exe" /e /r /s /spath="%USERPROFILE%\AppData\Local\Temp\OnboardLogs" /stypes="app*4054*20170318*" /stext=" 04:.+((SYSTEM_STATE.+slice.+state.+changed )|(ment ac)|(multiple cpu faults)|(system.+state.+changed )|(\[timeout)|(PRM\|1\|D)|(kpr)|(kdp)|(\|lc)|(penalty))"</v>
      </c>
      <c r="AG143" s="1" t="str">
        <f t="shared" si="57"/>
        <v>EC</v>
      </c>
      <c r="AH143" s="86" t="str">
        <f t="shared" si="58"/>
        <v>"%USERPROFILE%\Documents\GitHub\eaglep3\Utilities\RefineRTDCRunTimes.py" --tripid 230-17 --locoid 4054 --swversion DE.1.0.9.0 --startMP 204:233017 --initTime 2017-03-17T21:53:30 --startdatetime 2017-03-17T21:56:12 --delay 1 --endMP 204:165 --enddatetime 2017-03-17T22:35:22 --enforcementcount 0 &gt;&gt;C:\Users\stu\Documents\GitHub\eaglep3-reporting\EC\2017-03-17-refined-times.txt</v>
      </c>
      <c r="AI143" s="108" t="str">
        <f t="shared" si="59"/>
        <v>echo {"issue":{"subject":"","project_id":79,"tracker_id":40,"status_id":1,"priority_id":2,"assigned_to_id":23,"start_date":"2017-03-17","description":"","custom_fields":[{"id":1,"name":"Subdivision","value":"EC"},{"id":4,"name":"Milepost","value":"0.0165"},{"id":17,"name":"Train ID","value":"230-17"},{"id":16,"name":"Locomotive ID","value":"4054"},{"id":130,"name":"Impact","value":""},{"id":150,"name":"Time of Event (Mountain Time)","value":"22:35:22"},{"id":151,"name":"Denver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48"/>
      <c r="AK143" s="48"/>
      <c r="AL143" s="48"/>
      <c r="AM143" s="154" t="str">
        <f t="shared" si="60"/>
        <v>start /low /b %USERPROFILE%\Documents\GitHub\eaglep3\Utilities\DownloadLogsFromS3.py --loco 4054 --day 2017-03-17</v>
      </c>
      <c r="AN143" s="163" t="str">
        <f>"grep -SE -B400 ""CHR.+\|PRM\|1\|D.+(SWITCH|SIGNAL).+UNKNOWN"" "&amp;search_path&amp;"\RTDC"&amp;B143&amp;"\*"&amp;B143&amp;"*"&amp;TEXT(AVERAGE(F143,I143)-utc_offset/24,"YYYYMMDD")&amp;"*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"%USERPROFILE%\AppData\Local\Temp\OnboardLogs"\RTDC4054\*4054*20170318* | grep -SE "(Enforcement Action)|(\[TIMEOUT)|(CHR.+\|PRM\|1\|D.+(SWITCH|SIGNAL).+UNKNOWN)" - &gt;&gt; 2017-03-17-UncaughtWiMAX.txt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3" t="s">
        <v>823</v>
      </c>
      <c r="B144" s="7">
        <v>4016</v>
      </c>
      <c r="C144" s="21" t="s">
        <v>227</v>
      </c>
      <c r="D144" s="21" t="s">
        <v>582</v>
      </c>
      <c r="E144" s="13">
        <v>42811.893703703703</v>
      </c>
      <c r="F144" s="13">
        <v>42811.896064814813</v>
      </c>
      <c r="G144" s="7">
        <v>1</v>
      </c>
      <c r="H144" s="21" t="s">
        <v>237</v>
      </c>
      <c r="I144" s="13">
        <v>42811.921180555553</v>
      </c>
      <c r="J144" s="7">
        <v>0</v>
      </c>
      <c r="K144" s="98" t="str">
        <f t="shared" si="46"/>
        <v>4015/4016</v>
      </c>
      <c r="L144" s="21" t="str">
        <f>VLOOKUP(A144,'Trips&amp;Operators'!$C$1:$G$99999,5,FALSE)</f>
        <v>MENGES BRAD</v>
      </c>
      <c r="M144" s="6">
        <f t="shared" si="47"/>
        <v>2.5115740740147885E-2</v>
      </c>
      <c r="N144" s="7">
        <f t="shared" si="45"/>
        <v>36.166666665812954</v>
      </c>
      <c r="O144" s="7"/>
      <c r="P144" s="7"/>
      <c r="Q144" s="22"/>
      <c r="R144" s="22"/>
      <c r="S144" s="31">
        <f t="shared" si="44"/>
        <v>1</v>
      </c>
      <c r="T144" s="46" t="str">
        <f t="shared" si="48"/>
        <v>NorthBound</v>
      </c>
      <c r="U144" s="185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86" t="str">
        <f t="shared" si="49"/>
        <v>https://d0f6bd738d7f1b3e5a7ca70fe4ff75f0.us-east-1.aws.found.io/app/kibana#/discover/Steve-Slow-Train-Analysis-(2080s-and-2083s)?_g=(refreshInterval:(display:Off,pause:!f,section:0,value:0),time:(from:'2017-03-17T20:26:56-0600',mode:absolute,to:'2017-03-17T23:06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44" s="187" t="str">
        <f t="shared" si="50"/>
        <v>N</v>
      </c>
      <c r="X144" s="187">
        <f t="shared" si="61"/>
        <v>1</v>
      </c>
      <c r="Y144" s="62">
        <f t="shared" si="51"/>
        <v>4.7699999999999999E-2</v>
      </c>
      <c r="Z144" s="62">
        <f t="shared" si="52"/>
        <v>23.329499999999999</v>
      </c>
      <c r="AA144" s="62">
        <f t="shared" si="53"/>
        <v>23.2818</v>
      </c>
      <c r="AB144" s="59" t="e">
        <f>VLOOKUP(A144,Enforcements!$C$7:$K$13,8,0)</f>
        <v>#N/A</v>
      </c>
      <c r="AC144" s="55" t="e">
        <f>VLOOKUP(A144,Enforcements!$C$7:$E$13,3,0)</f>
        <v>#N/A</v>
      </c>
      <c r="AD144" s="56" t="str">
        <f t="shared" si="54"/>
        <v>0231-17</v>
      </c>
      <c r="AE144" s="85" t="str">
        <f t="shared" si="55"/>
        <v>aws s3 cp s3://rtdc.mdm.uploadarchive.raw/RTDC4016/ "%USERPROFILE%\AppData\Local\Temp\OnboardLogs"\RTDC4016\2017-03-17 --exclude "*" --recursive --include "*20170317*" &amp; "%USERPROFILE%\Documents\GitHub\mrs-test-scripts\Headless Mode &amp; Sideloading\WalkAndUnGZ.bat" "%USERPROFILE%\AppData\Local\Temp\OnboardLogs"\RTDC4016\2017-03-17 &amp; aws s3 cp s3://rtdc.mdm.uploadarchive.raw/RTDC4016/ "%USERPROFILE%\AppData\Local\Temp\OnboardLogs"\RTDC4016\2017-03-18 --exclude "*" --recursive --include "*20170318*" &amp; "%USERPROFILE%\Documents\GitHub\mrs-test-scripts\Headless Mode &amp; Sideloading\WalkAndUnGZ.bat" "%USERPROFILE%\AppData\Local\Temp\OnboardLogs"\RTDC4016\2017-03-18</v>
      </c>
      <c r="AF144" s="82" t="str">
        <f t="shared" si="56"/>
        <v>"C:\Program Files (x86)\AstroGrep\AstroGrep.exe" /e /r /s /spath="%USERPROFILE%\AppData\Local\Temp\OnboardLogs" /stypes="app*4016*20170318*" /stext=" 04:.+((SYSTEM_STATE.+slice.+state.+changed )|(ment ac)|(multiple cpu faults)|(system.+state.+changed )|(\[timeout)|(PRM\|1\|D)|(kpr)|(kdp)|(\|lc)|(penalty))"</v>
      </c>
      <c r="AG144" s="1" t="str">
        <f t="shared" si="57"/>
        <v>EC</v>
      </c>
      <c r="AH144" s="86" t="str">
        <f t="shared" si="58"/>
        <v>"%USERPROFILE%\Documents\GitHub\eaglep3\Utilities\RefineRTDCRunTimes.py" --tripid 231-17 --locoid 4016 --swversion DE.1.0.9.0 --startMP 204:477 --initTime 2017-03-17T21:26:56 --startdatetime 2017-03-17T21:30:20 --delay 1 --endMP 204:233295 --enddatetime 2017-03-17T22:06:30 --enforcementcount 0 &gt;&gt;C:\Users\stu\Documents\GitHub\eaglep3-reporting\EC\2017-03-17-refined-times.txt</v>
      </c>
      <c r="AI144" s="108" t="str">
        <f t="shared" si="59"/>
        <v>echo {"issue":{"subject":"","project_id":79,"tracker_id":40,"status_id":1,"priority_id":2,"assigned_to_id":23,"start_date":"2017-03-17","description":"","custom_fields":[{"id":1,"name":"Subdivision","value":"EC"},{"id":4,"name":"Milepost","value":"23.3295"},{"id":17,"name":"Train ID","value":"231-17"},{"id":16,"name":"Locomotive ID","value":"4016"},{"id":130,"name":"Impact","value":""},{"id":150,"name":"Time of Event (Mountain Time)","value":"22:06:30"},{"id":151,"name":"Denver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48"/>
      <c r="AK144" s="48"/>
      <c r="AL144" s="48"/>
      <c r="AM144" s="154" t="str">
        <f t="shared" si="60"/>
        <v>start /low /b %USERPROFILE%\Documents\GitHub\eaglep3\Utilities\DownloadLogsFromS3.py --loco 4016 --day 2017-03-17</v>
      </c>
      <c r="AN144" s="163" t="str">
        <f>"grep -SE -B400 ""CHR.+\|PRM\|1\|D.+(SWITCH|SIGNAL).+UNKNOWN"" "&amp;search_path&amp;"\RTDC"&amp;B144&amp;"\*"&amp;B144&amp;"*"&amp;TEXT(AVERAGE(F144,I144)-utc_offset/24,"YYYYMMDD")&amp;"*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"%USERPROFILE%\AppData\Local\Temp\OnboardLogs"\RTDC4016\*4016*20170318* | grep -SE "(Enforcement Action)|(\[TIMEOUT)|(CHR.+\|PRM\|1\|D.+(SWITCH|SIGNAL).+UNKNOWN)" - &gt;&gt; 2017-03-17-UncaughtWiMAX.txt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3" t="s">
        <v>828</v>
      </c>
      <c r="B145" s="7">
        <v>4015</v>
      </c>
      <c r="C145" s="21" t="s">
        <v>227</v>
      </c>
      <c r="D145" s="21" t="s">
        <v>238</v>
      </c>
      <c r="E145" s="13">
        <v>42811.931655092594</v>
      </c>
      <c r="F145" s="13">
        <v>42811.935347222221</v>
      </c>
      <c r="G145" s="7">
        <v>3</v>
      </c>
      <c r="H145" s="21" t="s">
        <v>907</v>
      </c>
      <c r="I145" s="13">
        <v>42811.964201388888</v>
      </c>
      <c r="J145" s="7">
        <v>0</v>
      </c>
      <c r="K145" s="98" t="str">
        <f t="shared" si="46"/>
        <v>4015/4016</v>
      </c>
      <c r="L145" s="21" t="str">
        <f>VLOOKUP(A145,'Trips&amp;Operators'!$C$1:$G$99999,5,FALSE)</f>
        <v>MENGES BRAD</v>
      </c>
      <c r="M145" s="6">
        <f t="shared" si="47"/>
        <v>2.8854166666860692E-2</v>
      </c>
      <c r="N145" s="7">
        <f t="shared" si="45"/>
        <v>41.550000000279397</v>
      </c>
      <c r="O145" s="7"/>
      <c r="P145" s="7"/>
      <c r="Q145" s="22"/>
      <c r="R145" s="22"/>
      <c r="S145" s="31">
        <f t="shared" si="44"/>
        <v>1</v>
      </c>
      <c r="T145" s="46" t="str">
        <f t="shared" si="48"/>
        <v>Southbound</v>
      </c>
      <c r="U145" s="185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86" t="str">
        <f t="shared" si="49"/>
        <v>https://d0f6bd738d7f1b3e5a7ca70fe4ff75f0.us-east-1.aws.found.io/app/kibana#/discover/Steve-Slow-Train-Analysis-(2080s-and-2083s)?_g=(refreshInterval:(display:Off,pause:!f,section:0,value:0),time:(from:'2017-03-17T21:21:35-0600',mode:absolute,to:'2017-03-18T00:08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45" s="187" t="str">
        <f t="shared" si="50"/>
        <v>N</v>
      </c>
      <c r="X145" s="187">
        <f t="shared" si="61"/>
        <v>1</v>
      </c>
      <c r="Y145" s="62">
        <f t="shared" si="51"/>
        <v>23.2971</v>
      </c>
      <c r="Z145" s="62">
        <f t="shared" si="52"/>
        <v>1.6E-2</v>
      </c>
      <c r="AA145" s="62">
        <f t="shared" si="53"/>
        <v>23.281100000000002</v>
      </c>
      <c r="AB145" s="59" t="e">
        <f>VLOOKUP(A145,Enforcements!$C$7:$K$13,8,0)</f>
        <v>#N/A</v>
      </c>
      <c r="AC145" s="55" t="e">
        <f>VLOOKUP(A145,Enforcements!$C$7:$E$13,3,0)</f>
        <v>#N/A</v>
      </c>
      <c r="AD145" s="56" t="str">
        <f t="shared" si="54"/>
        <v>0232-17</v>
      </c>
      <c r="AE145" s="85" t="str">
        <f t="shared" si="55"/>
        <v>aws s3 cp s3://rtdc.mdm.uploadarchive.raw/RTDC4015/ "%USERPROFILE%\AppData\Local\Temp\OnboardLogs"\RTDC4015\2017-03-17 --exclude "*" --recursive --include "*20170317*" &amp; "%USERPROFILE%\Documents\GitHub\mrs-test-scripts\Headless Mode &amp; Sideloading\WalkAndUnGZ.bat" "%USERPROFILE%\AppData\Local\Temp\OnboardLogs"\RTDC4015\2017-03-17 &amp; aws s3 cp s3://rtdc.mdm.uploadarchive.raw/RTDC4015/ "%USERPROFILE%\AppData\Local\Temp\OnboardLogs"\RTDC4015\2017-03-18 --exclude "*" --recursive --include "*20170318*" &amp; "%USERPROFILE%\Documents\GitHub\mrs-test-scripts\Headless Mode &amp; Sideloading\WalkAndUnGZ.bat" "%USERPROFILE%\AppData\Local\Temp\OnboardLogs"\RTDC4015\2017-03-18</v>
      </c>
      <c r="AF145" s="82" t="str">
        <f t="shared" si="56"/>
        <v>"C:\Program Files (x86)\AstroGrep\AstroGrep.exe" /e /r /s /spath="%USERPROFILE%\AppData\Local\Temp\OnboardLogs" /stypes="app*4015*20170318*" /stext=" 05:.+((SYSTEM_STATE.+slice.+state.+changed )|(ment ac)|(multiple cpu faults)|(system.+state.+changed )|(\[timeout)|(PRM\|1\|D)|(kpr)|(kdp)|(\|lc)|(penalty))"</v>
      </c>
      <c r="AG145" s="1" t="str">
        <f t="shared" si="57"/>
        <v>EC</v>
      </c>
      <c r="AH145" s="86" t="str">
        <f t="shared" si="58"/>
        <v>"%USERPROFILE%\Documents\GitHub\eaglep3\Utilities\RefineRTDCRunTimes.py" --tripid 232-17 --locoid 4015 --swversion DE.1.0.9.0 --startMP 204:232971 --initTime 2017-03-17T22:21:35 --startdatetime 2017-03-17T22:26:54 --delay 3 --endMP 204:160 --enddatetime 2017-03-17T23:08:27 --enforcementcount 0 &gt;&gt;C:\Users\stu\Documents\GitHub\eaglep3-reporting\EC\2017-03-17-refined-times.txt</v>
      </c>
      <c r="AI145" s="108" t="str">
        <f t="shared" si="59"/>
        <v>echo {"issue":{"subject":"","project_id":79,"tracker_id":40,"status_id":1,"priority_id":2,"assigned_to_id":23,"start_date":"2017-03-17","description":"","custom_fields":[{"id":1,"name":"Subdivision","value":"EC"},{"id":4,"name":"Milepost","value":"0.016"},{"id":17,"name":"Train ID","value":"232-17"},{"id":16,"name":"Locomotive ID","value":"4015"},{"id":130,"name":"Impact","value":""},{"id":150,"name":"Time of Event (Mountain Time)","value":"23:08:27"},{"id":151,"name":"Denver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48"/>
      <c r="AK145" s="48"/>
      <c r="AL145" s="48"/>
      <c r="AM145" s="154" t="str">
        <f t="shared" si="60"/>
        <v>start /low /b %USERPROFILE%\Documents\GitHub\eaglep3\Utilities\DownloadLogsFromS3.py --loco 4015 --day 2017-03-17</v>
      </c>
      <c r="AN145" s="163" t="str">
        <f>"grep -SE -B400 ""CHR.+\|PRM\|1\|D.+(SWITCH|SIGNAL).+UNKNOWN"" "&amp;search_path&amp;"\RTDC"&amp;B145&amp;"\*"&amp;B145&amp;"*"&amp;TEXT(AVERAGE(F145,I145)-utc_offset/24,"YYYYMMDD")&amp;"*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"%USERPROFILE%\AppData\Local\Temp\OnboardLogs"\RTDC4015\*4015*20170318* | grep -SE "(Enforcement Action)|(\[TIMEOUT)|(CHR.+\|PRM\|1\|D.+(SWITCH|SIGNAL).+UNKNOWN)" - &gt;&gt; 2017-03-17-UncaughtWiMAX.txt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3" t="s">
        <v>825</v>
      </c>
      <c r="B146" s="7">
        <v>4020</v>
      </c>
      <c r="C146" s="21" t="s">
        <v>227</v>
      </c>
      <c r="D146" s="21" t="s">
        <v>233</v>
      </c>
      <c r="E146" s="13">
        <v>42811.901655092595</v>
      </c>
      <c r="F146" s="13">
        <v>42811.916990740741</v>
      </c>
      <c r="G146" s="7">
        <v>1</v>
      </c>
      <c r="H146" s="21" t="s">
        <v>922</v>
      </c>
      <c r="I146" s="13">
        <v>42811.941851851851</v>
      </c>
      <c r="J146" s="7">
        <v>0</v>
      </c>
      <c r="K146" s="98" t="str">
        <f t="shared" si="46"/>
        <v>4019/4020</v>
      </c>
      <c r="L146" s="21" t="str">
        <f>VLOOKUP(A146,'Trips&amp;Operators'!$C$1:$G$99999,5,FALSE)</f>
        <v>STAMBAUGH JAMES</v>
      </c>
      <c r="M146" s="6">
        <f t="shared" si="47"/>
        <v>2.4861111109203193E-2</v>
      </c>
      <c r="N146" s="7">
        <f t="shared" si="45"/>
        <v>35.799999997252598</v>
      </c>
      <c r="O146" s="7"/>
      <c r="P146" s="7"/>
      <c r="Q146" s="22"/>
      <c r="R146" s="22"/>
      <c r="S146" s="31">
        <f t="shared" si="44"/>
        <v>1</v>
      </c>
      <c r="T146" s="46" t="str">
        <f t="shared" si="48"/>
        <v>NorthBound</v>
      </c>
      <c r="U146" s="185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86" t="str">
        <f t="shared" si="49"/>
        <v>https://d0f6bd738d7f1b3e5a7ca70fe4ff75f0.us-east-1.aws.found.io/app/kibana#/discover/Steve-Slow-Train-Analysis-(2080s-and-2083s)?_g=(refreshInterval:(display:Off,pause:!f,section:0,value:0),time:(from:'2017-03-17T20:38:23-0600',mode:absolute,to:'2017-03-17T23:36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46" s="187" t="str">
        <f t="shared" si="50"/>
        <v>N</v>
      </c>
      <c r="X146" s="187">
        <f t="shared" si="61"/>
        <v>1</v>
      </c>
      <c r="Y146" s="62">
        <f t="shared" si="51"/>
        <v>4.6699999999999998E-2</v>
      </c>
      <c r="Z146" s="62">
        <f t="shared" si="52"/>
        <v>23.337599999999998</v>
      </c>
      <c r="AA146" s="62">
        <f t="shared" si="53"/>
        <v>23.290899999999997</v>
      </c>
      <c r="AB146" s="59" t="e">
        <f>VLOOKUP(A146,Enforcements!$C$7:$K$13,8,0)</f>
        <v>#N/A</v>
      </c>
      <c r="AC146" s="55" t="e">
        <f>VLOOKUP(A146,Enforcements!$C$7:$E$13,3,0)</f>
        <v>#N/A</v>
      </c>
      <c r="AD146" s="56" t="str">
        <f t="shared" si="54"/>
        <v>0233-17</v>
      </c>
      <c r="AE146" s="85" t="str">
        <f t="shared" si="55"/>
        <v>aws s3 cp s3://rtdc.mdm.uploadarchive.raw/RTDC4020/ "%USERPROFILE%\AppData\Local\Temp\OnboardLogs"\RTDC4020\2017-03-17 --exclude "*" --recursive --include "*20170317*" &amp; "%USERPROFILE%\Documents\GitHub\mrs-test-scripts\Headless Mode &amp; Sideloading\WalkAndUnGZ.bat" "%USERPROFILE%\AppData\Local\Temp\OnboardLogs"\RTDC4020\2017-03-17 &amp; aws s3 cp s3://rtdc.mdm.uploadarchive.raw/RTDC4020/ "%USERPROFILE%\AppData\Local\Temp\OnboardLogs"\RTDC4020\2017-03-18 --exclude "*" --recursive --include "*20170318*" &amp; "%USERPROFILE%\Documents\GitHub\mrs-test-scripts\Headless Mode &amp; Sideloading\WalkAndUnGZ.bat" "%USERPROFILE%\AppData\Local\Temp\OnboardLogs"\RTDC4020\2017-03-18</v>
      </c>
      <c r="AF146" s="82" t="str">
        <f t="shared" si="56"/>
        <v>"C:\Program Files (x86)\AstroGrep\AstroGrep.exe" /e /r /s /spath="%USERPROFILE%\AppData\Local\Temp\OnboardLogs" /stypes="app*4020*20170318*" /stext=" 04:.+((SYSTEM_STATE.+slice.+state.+changed )|(ment ac)|(multiple cpu faults)|(system.+state.+changed )|(\[timeout)|(PRM\|1\|D)|(kpr)|(kdp)|(\|lc)|(penalty))"</v>
      </c>
      <c r="AG146" s="1" t="str">
        <f t="shared" si="57"/>
        <v>EC</v>
      </c>
      <c r="AH146" s="86" t="str">
        <f t="shared" si="58"/>
        <v>"%USERPROFILE%\Documents\GitHub\eaglep3\Utilities\RefineRTDCRunTimes.py" --tripid 233-17 --locoid 4020 --swversion DE.1.0.9.0 --startMP 204:467 --initTime 2017-03-17T21:38:23 --startdatetime 2017-03-17T22:00:28 --delay 1 --endMP 204:233376 --enddatetime 2017-03-17T22:36:16 --enforcementcount 0 &gt;&gt;C:\Users\stu\Documents\GitHub\eaglep3-reporting\EC\2017-03-17-refined-times.txt</v>
      </c>
      <c r="AI146" s="108" t="str">
        <f t="shared" si="59"/>
        <v>echo {"issue":{"subject":"","project_id":79,"tracker_id":40,"status_id":1,"priority_id":2,"assigned_to_id":23,"start_date":"2017-03-17","description":"","custom_fields":[{"id":1,"name":"Subdivision","value":"EC"},{"id":4,"name":"Milepost","value":"23.3376"},{"id":17,"name":"Train ID","value":"233-17"},{"id":16,"name":"Locomotive ID","value":"4020"},{"id":130,"name":"Impact","value":""},{"id":150,"name":"Time of Event (Mountain Time)","value":"22:36:16"},{"id":151,"name":"Denver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48"/>
      <c r="AK146" s="48"/>
      <c r="AL146" s="48"/>
      <c r="AM146" s="154" t="str">
        <f t="shared" si="60"/>
        <v>start /low /b %USERPROFILE%\Documents\GitHub\eaglep3\Utilities\DownloadLogsFromS3.py --loco 4020 --day 2017-03-17</v>
      </c>
      <c r="AN146" s="163" t="str">
        <f>"grep -SE -B400 ""CHR.+\|PRM\|1\|D.+(SWITCH|SIGNAL).+UNKNOWN"" "&amp;search_path&amp;"\RTDC"&amp;B146&amp;"\*"&amp;B146&amp;"*"&amp;TEXT(AVERAGE(F146,I146)-utc_offset/24,"YYYYMMDD")&amp;"*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"%USERPROFILE%\AppData\Local\Temp\OnboardLogs"\RTDC4020\*4020*20170318* | grep -SE "(Enforcement Action)|(\[TIMEOUT)|(CHR.+\|PRM\|1\|D.+(SWITCH|SIGNAL).+UNKNOWN)" - &gt;&gt; 2017-03-17-UncaughtWiMAX.txt</v>
      </c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33" t="s">
        <v>831</v>
      </c>
      <c r="B147" s="7">
        <v>4019</v>
      </c>
      <c r="C147" s="21" t="s">
        <v>227</v>
      </c>
      <c r="D147" s="21" t="s">
        <v>910</v>
      </c>
      <c r="E147" s="13">
        <v>42811.943564814814</v>
      </c>
      <c r="F147" s="13">
        <v>42811.956030092595</v>
      </c>
      <c r="G147" s="7">
        <v>7</v>
      </c>
      <c r="H147" s="21" t="s">
        <v>236</v>
      </c>
      <c r="I147" s="13">
        <v>42811.983495370368</v>
      </c>
      <c r="J147" s="7">
        <v>0</v>
      </c>
      <c r="K147" s="98" t="str">
        <f t="shared" si="46"/>
        <v>4019/4020</v>
      </c>
      <c r="L147" s="21" t="str">
        <f>VLOOKUP(A147,'Trips&amp;Operators'!$C$1:$G$99999,5,FALSE)</f>
        <v>STAMBAUGH JAMES</v>
      </c>
      <c r="M147" s="6">
        <f t="shared" si="47"/>
        <v>2.7465277773444541E-2</v>
      </c>
      <c r="N147" s="7">
        <f t="shared" si="45"/>
        <v>39.549999993760139</v>
      </c>
      <c r="O147" s="7"/>
      <c r="P147" s="7"/>
      <c r="Q147" s="22"/>
      <c r="R147" s="22"/>
      <c r="S147" s="31">
        <f t="shared" si="44"/>
        <v>1</v>
      </c>
      <c r="T147" s="46" t="str">
        <f t="shared" si="48"/>
        <v>Southbound</v>
      </c>
      <c r="U147" s="185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86" t="str">
        <f t="shared" si="49"/>
        <v>https://d0f6bd738d7f1b3e5a7ca70fe4ff75f0.us-east-1.aws.found.io/app/kibana#/discover/Steve-Slow-Train-Analysis-(2080s-and-2083s)?_g=(refreshInterval:(display:Off,pause:!f,section:0,value:0),time:(from:'2017-03-17T21:38:44-0600',mode:absolute,to:'2017-03-18T00:36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47" s="187" t="str">
        <f t="shared" si="50"/>
        <v>N</v>
      </c>
      <c r="X147" s="187">
        <f t="shared" si="61"/>
        <v>1</v>
      </c>
      <c r="Y147" s="62">
        <f t="shared" si="51"/>
        <v>23.305099999999999</v>
      </c>
      <c r="Z147" s="62">
        <f t="shared" si="52"/>
        <v>1.61E-2</v>
      </c>
      <c r="AA147" s="62">
        <f t="shared" si="53"/>
        <v>23.288999999999998</v>
      </c>
      <c r="AB147" s="59" t="e">
        <f>VLOOKUP(A147,Enforcements!$C$7:$K$13,8,0)</f>
        <v>#N/A</v>
      </c>
      <c r="AC147" s="55" t="e">
        <f>VLOOKUP(A147,Enforcements!$C$7:$E$13,3,0)</f>
        <v>#N/A</v>
      </c>
      <c r="AD147" s="56" t="str">
        <f t="shared" si="54"/>
        <v>0234-17</v>
      </c>
      <c r="AE147" s="85" t="str">
        <f t="shared" si="55"/>
        <v>aws s3 cp s3://rtdc.mdm.uploadarchive.raw/RTDC4019/ "%USERPROFILE%\AppData\Local\Temp\OnboardLogs"\RTDC4019\2017-03-17 --exclude "*" --recursive --include "*20170317*" &amp; "%USERPROFILE%\Documents\GitHub\mrs-test-scripts\Headless Mode &amp; Sideloading\WalkAndUnGZ.bat" "%USERPROFILE%\AppData\Local\Temp\OnboardLogs"\RTDC4019\2017-03-17 &amp; aws s3 cp s3://rtdc.mdm.uploadarchive.raw/RTDC4019/ "%USERPROFILE%\AppData\Local\Temp\OnboardLogs"\RTDC4019\2017-03-18 --exclude "*" --recursive --include "*20170318*" &amp; "%USERPROFILE%\Documents\GitHub\mrs-test-scripts\Headless Mode &amp; Sideloading\WalkAndUnGZ.bat" "%USERPROFILE%\AppData\Local\Temp\OnboardLogs"\RTDC4019\2017-03-18</v>
      </c>
      <c r="AF147" s="82" t="str">
        <f t="shared" si="56"/>
        <v>"C:\Program Files (x86)\AstroGrep\AstroGrep.exe" /e /r /s /spath="%USERPROFILE%\AppData\Local\Temp\OnboardLogs" /stypes="app*4019*20170318*" /stext=" 05:.+((SYSTEM_STATE.+slice.+state.+changed )|(ment ac)|(multiple cpu faults)|(system.+state.+changed )|(\[timeout)|(PRM\|1\|D)|(kpr)|(kdp)|(\|lc)|(penalty))"</v>
      </c>
      <c r="AG147" s="1" t="str">
        <f t="shared" si="57"/>
        <v>EC</v>
      </c>
      <c r="AH147" s="86" t="str">
        <f t="shared" si="58"/>
        <v>"%USERPROFILE%\Documents\GitHub\eaglep3\Utilities\RefineRTDCRunTimes.py" --tripid 234-17 --locoid 4019 --swversion DE.1.0.9.0 --startMP 204:233051 --initTime 2017-03-17T22:38:44 --startdatetime 2017-03-17T22:56:41 --delay 7 --endMP 204:161 --enddatetime 2017-03-17T23:36:14 --enforcementcount 0 &gt;&gt;C:\Users\stu\Documents\GitHub\eaglep3-reporting\EC\2017-03-17-refined-times.txt</v>
      </c>
      <c r="AI147" s="108" t="str">
        <f t="shared" si="59"/>
        <v>echo {"issue":{"subject":"","project_id":79,"tracker_id":40,"status_id":1,"priority_id":2,"assigned_to_id":23,"start_date":"2017-03-17","description":"","custom_fields":[{"id":1,"name":"Subdivision","value":"EC"},{"id":4,"name":"Milepost","value":"0.0161"},{"id":17,"name":"Train ID","value":"234-17"},{"id":16,"name":"Locomotive ID","value":"4019"},{"id":130,"name":"Impact","value":""},{"id":150,"name":"Time of Event (Mountain Time)","value":"23:36:14"},{"id":151,"name":"Denver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48"/>
      <c r="AK147" s="48"/>
      <c r="AL147" s="48"/>
      <c r="AM147" s="154" t="str">
        <f t="shared" si="60"/>
        <v>start /low /b %USERPROFILE%\Documents\GitHub\eaglep3\Utilities\DownloadLogsFromS3.py --loco 4019 --day 2017-03-17</v>
      </c>
      <c r="AN147" s="163" t="str">
        <f>"grep -SE -B400 ""CHR.+\|PRM\|1\|D.+(SWITCH|SIGNAL).+UNKNOWN"" "&amp;search_path&amp;"\RTDC"&amp;B147&amp;"\*"&amp;B147&amp;"*"&amp;TEXT(AVERAGE(F147,I147)-utc_offset/24,"YYYYMMDD")&amp;"*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"%USERPROFILE%\AppData\Local\Temp\OnboardLogs"\RTDC4019\*4019*20170318* | grep -SE "(Enforcement Action)|(\[TIMEOUT)|(CHR.+\|PRM\|1\|D.+(SWITCH|SIGNAL).+UNKNOWN)" - &gt;&gt; 2017-03-17-UncaughtWiMAX.txt</v>
      </c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33" t="s">
        <v>829</v>
      </c>
      <c r="B148" s="7">
        <v>4002</v>
      </c>
      <c r="C148" s="21" t="s">
        <v>227</v>
      </c>
      <c r="D148" s="21" t="s">
        <v>447</v>
      </c>
      <c r="E148" s="13">
        <v>42811.933576388888</v>
      </c>
      <c r="F148" s="13">
        <v>42811.937928240739</v>
      </c>
      <c r="G148" s="7">
        <v>1</v>
      </c>
      <c r="H148" s="21" t="s">
        <v>923</v>
      </c>
      <c r="I148" s="13">
        <v>42811.964270833334</v>
      </c>
      <c r="J148" s="7">
        <v>0</v>
      </c>
      <c r="K148" s="98" t="str">
        <f t="shared" si="46"/>
        <v>4001/4002</v>
      </c>
      <c r="L148" s="21" t="str">
        <f>VLOOKUP(A148,'Trips&amp;Operators'!$C$1:$G$99999,5,FALSE)</f>
        <v>SWANSON BRYCE</v>
      </c>
      <c r="M148" s="6">
        <f t="shared" si="47"/>
        <v>2.6342592595028691E-2</v>
      </c>
      <c r="N148" s="7">
        <f t="shared" si="45"/>
        <v>37.933333336841315</v>
      </c>
      <c r="O148" s="7"/>
      <c r="P148" s="7"/>
      <c r="Q148" s="22"/>
      <c r="R148" s="22"/>
      <c r="S148" s="31">
        <f t="shared" si="44"/>
        <v>1</v>
      </c>
      <c r="T148" s="46" t="str">
        <f t="shared" si="48"/>
        <v>NorthBound</v>
      </c>
      <c r="U148" s="185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86" t="str">
        <f t="shared" si="49"/>
        <v>https://d0f6bd738d7f1b3e5a7ca70fe4ff75f0.us-east-1.aws.found.io/app/kibana#/discover/Steve-Slow-Train-Analysis-(2080s-and-2083s)?_g=(refreshInterval:(display:Off,pause:!f,section:0,value:0),time:(from:'2017-03-17T21:24:21-0600',mode:absolute,to:'2017-03-18T00:08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48" s="187" t="str">
        <f t="shared" si="50"/>
        <v>N</v>
      </c>
      <c r="X148" s="187">
        <f t="shared" si="61"/>
        <v>1</v>
      </c>
      <c r="Y148" s="62">
        <f t="shared" si="51"/>
        <v>4.7100000000000003E-2</v>
      </c>
      <c r="Z148" s="62">
        <f t="shared" si="52"/>
        <v>23.326599999999999</v>
      </c>
      <c r="AA148" s="62">
        <f t="shared" si="53"/>
        <v>23.279499999999999</v>
      </c>
      <c r="AB148" s="59" t="e">
        <f>VLOOKUP(A148,Enforcements!$C$7:$K$13,8,0)</f>
        <v>#N/A</v>
      </c>
      <c r="AC148" s="55" t="e">
        <f>VLOOKUP(A148,Enforcements!$C$7:$E$13,3,0)</f>
        <v>#N/A</v>
      </c>
      <c r="AD148" s="56" t="str">
        <f t="shared" si="54"/>
        <v>0235-17</v>
      </c>
      <c r="AE148" s="85" t="str">
        <f t="shared" si="55"/>
        <v>aws s3 cp s3://rtdc.mdm.uploadarchive.raw/RTDC4002/ "%USERPROFILE%\AppData\Local\Temp\OnboardLogs"\RTDC4002\2017-03-17 --exclude "*" --recursive --include "*20170317*" &amp; "%USERPROFILE%\Documents\GitHub\mrs-test-scripts\Headless Mode &amp; Sideloading\WalkAndUnGZ.bat" "%USERPROFILE%\AppData\Local\Temp\OnboardLogs"\RTDC4002\2017-03-17 &amp; aws s3 cp s3://rtdc.mdm.uploadarchive.raw/RTDC4002/ "%USERPROFILE%\AppData\Local\Temp\OnboardLogs"\RTDC4002\2017-03-18 --exclude "*" --recursive --include "*20170318*" &amp; "%USERPROFILE%\Documents\GitHub\mrs-test-scripts\Headless Mode &amp; Sideloading\WalkAndUnGZ.bat" "%USERPROFILE%\AppData\Local\Temp\OnboardLogs"\RTDC4002\2017-03-18</v>
      </c>
      <c r="AF148" s="82" t="str">
        <f t="shared" si="56"/>
        <v>"C:\Program Files (x86)\AstroGrep\AstroGrep.exe" /e /r /s /spath="%USERPROFILE%\AppData\Local\Temp\OnboardLogs" /stypes="app*4002*20170318*" /stext=" 05:.+((SYSTEM_STATE.+slice.+state.+changed )|(ment ac)|(multiple cpu faults)|(system.+state.+changed )|(\[timeout)|(PRM\|1\|D)|(kpr)|(kdp)|(\|lc)|(penalty))"</v>
      </c>
      <c r="AG148" s="1" t="str">
        <f t="shared" si="57"/>
        <v>EC</v>
      </c>
      <c r="AH148" s="86" t="str">
        <f t="shared" si="58"/>
        <v>"%USERPROFILE%\Documents\GitHub\eaglep3\Utilities\RefineRTDCRunTimes.py" --tripid 235-17 --locoid 4002 --swversion DE.1.0.9.0 --startMP 204:471 --initTime 2017-03-17T22:24:21 --startdatetime 2017-03-17T22:30:37 --delay 1 --endMP 204:233266 --enddatetime 2017-03-17T23:08:33 --enforcementcount 0 &gt;&gt;C:\Users\stu\Documents\GitHub\eaglep3-reporting\EC\2017-03-17-refined-times.txt</v>
      </c>
      <c r="AI148" s="108" t="str">
        <f t="shared" si="59"/>
        <v>echo {"issue":{"subject":"","project_id":79,"tracker_id":40,"status_id":1,"priority_id":2,"assigned_to_id":23,"start_date":"2017-03-17","description":"","custom_fields":[{"id":1,"name":"Subdivision","value":"EC"},{"id":4,"name":"Milepost","value":"23.3266"},{"id":17,"name":"Train ID","value":"235-17"},{"id":16,"name":"Locomotive ID","value":"4002"},{"id":130,"name":"Impact","value":""},{"id":150,"name":"Time of Event (Mountain Time)","value":"23:08:33"},{"id":151,"name":"Denver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48"/>
      <c r="AK148" s="48"/>
      <c r="AL148" s="48"/>
      <c r="AM148" s="154" t="str">
        <f t="shared" si="60"/>
        <v>start /low /b %USERPROFILE%\Documents\GitHub\eaglep3\Utilities\DownloadLogsFromS3.py --loco 4002 --day 2017-03-17</v>
      </c>
      <c r="AN148" s="163" t="str">
        <f>"grep -SE -B400 ""CHR.+\|PRM\|1\|D.+(SWITCH|SIGNAL).+UNKNOWN"" "&amp;search_path&amp;"\RTDC"&amp;B148&amp;"\*"&amp;B148&amp;"*"&amp;TEXT(AVERAGE(F148,I148)-utc_offset/24,"YYYYMMDD")&amp;"*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"%USERPROFILE%\AppData\Local\Temp\OnboardLogs"\RTDC4002\*4002*20170318* | grep -SE "(Enforcement Action)|(\[TIMEOUT)|(CHR.+\|PRM\|1\|D.+(SWITCH|SIGNAL).+UNKNOWN)" - &gt;&gt; 2017-03-17-UncaughtWiMAX.txt</v>
      </c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25">
      <c r="A149" s="33" t="s">
        <v>835</v>
      </c>
      <c r="B149" s="7">
        <v>4001</v>
      </c>
      <c r="C149" s="21" t="s">
        <v>227</v>
      </c>
      <c r="D149" s="21" t="s">
        <v>446</v>
      </c>
      <c r="E149" s="13">
        <v>42811.971736111111</v>
      </c>
      <c r="F149" s="13">
        <v>42811.976793981485</v>
      </c>
      <c r="G149" s="7">
        <v>1</v>
      </c>
      <c r="H149" s="21" t="s">
        <v>479</v>
      </c>
      <c r="I149" s="13">
        <v>42812.005983796298</v>
      </c>
      <c r="J149" s="7">
        <v>0</v>
      </c>
      <c r="K149" s="98" t="str">
        <f t="shared" si="46"/>
        <v>4001/4002</v>
      </c>
      <c r="L149" s="21" t="str">
        <f>VLOOKUP(A149,'Trips&amp;Operators'!$C$1:$G$99999,5,FALSE)</f>
        <v>SWANSON BRYCE</v>
      </c>
      <c r="M149" s="6">
        <f t="shared" si="47"/>
        <v>2.9189814813435078E-2</v>
      </c>
      <c r="N149" s="7">
        <f t="shared" si="45"/>
        <v>42.033333331346512</v>
      </c>
      <c r="O149" s="7"/>
      <c r="P149" s="7"/>
      <c r="Q149" s="22"/>
      <c r="R149" s="22"/>
      <c r="S149" s="31">
        <f t="shared" si="44"/>
        <v>1</v>
      </c>
      <c r="T149" s="46" t="str">
        <f t="shared" si="48"/>
        <v>Southbound</v>
      </c>
      <c r="U149" s="185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86" t="str">
        <f t="shared" si="49"/>
        <v>https://d0f6bd738d7f1b3e5a7ca70fe4ff75f0.us-east-1.aws.found.io/app/kibana#/discover/Steve-Slow-Train-Analysis-(2080s-and-2083s)?_g=(refreshInterval:(display:Off,pause:!f,section:0,value:0),time:(from:'2017-03-17T22:19:18-0600',mode:absolute,to:'2017-03-18T01:08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49" s="187" t="str">
        <f t="shared" si="50"/>
        <v>N</v>
      </c>
      <c r="X149" s="187">
        <f t="shared" si="61"/>
        <v>1</v>
      </c>
      <c r="Y149" s="62">
        <f t="shared" si="51"/>
        <v>23.296500000000002</v>
      </c>
      <c r="Z149" s="62">
        <f t="shared" si="52"/>
        <v>1.4500000000000001E-2</v>
      </c>
      <c r="AA149" s="62">
        <f t="shared" si="53"/>
        <v>23.282</v>
      </c>
      <c r="AB149" s="59" t="e">
        <f>VLOOKUP(A149,Enforcements!$C$7:$K$13,8,0)</f>
        <v>#N/A</v>
      </c>
      <c r="AC149" s="55" t="e">
        <f>VLOOKUP(A149,Enforcements!$C$7:$E$13,3,0)</f>
        <v>#N/A</v>
      </c>
      <c r="AD149" s="56" t="str">
        <f t="shared" si="54"/>
        <v>0236-17</v>
      </c>
      <c r="AE149" s="85" t="str">
        <f t="shared" si="55"/>
        <v>aws s3 cp s3://rtdc.mdm.uploadarchive.raw/RTDC4001/ "%USERPROFILE%\AppData\Local\Temp\OnboardLogs"\RTDC4001\2017-03-17 --exclude "*" --recursive --include "*20170317*" &amp; "%USERPROFILE%\Documents\GitHub\mrs-test-scripts\Headless Mode &amp; Sideloading\WalkAndUnGZ.bat" "%USERPROFILE%\AppData\Local\Temp\OnboardLogs"\RTDC4001\2017-03-17 &amp; aws s3 cp s3://rtdc.mdm.uploadarchive.raw/RTDC4001/ "%USERPROFILE%\AppData\Local\Temp\OnboardLogs"\RTDC4001\2017-03-18 --exclude "*" --recursive --include "*20170318*" &amp; "%USERPROFILE%\Documents\GitHub\mrs-test-scripts\Headless Mode &amp; Sideloading\WalkAndUnGZ.bat" "%USERPROFILE%\AppData\Local\Temp\OnboardLogs"\RTDC4001\2017-03-18</v>
      </c>
      <c r="AF149" s="82" t="str">
        <f t="shared" si="56"/>
        <v>"C:\Program Files (x86)\AstroGrep\AstroGrep.exe" /e /r /s /spath="%USERPROFILE%\AppData\Local\Temp\OnboardLogs" /stypes="app*4001*20170318*" /stext=" 06:.+((SYSTEM_STATE.+slice.+state.+changed )|(ment ac)|(multiple cpu faults)|(system.+state.+changed )|(\[timeout)|(PRM\|1\|D)|(kpr)|(kdp)|(\|lc)|(penalty))"</v>
      </c>
      <c r="AG149" s="1" t="str">
        <f t="shared" si="57"/>
        <v>EC</v>
      </c>
      <c r="AH149" s="86" t="str">
        <f t="shared" si="58"/>
        <v>"%USERPROFILE%\Documents\GitHub\eaglep3\Utilities\RefineRTDCRunTimes.py" --tripid 236-17 --locoid 4001 --swversion DE.1.0.9.0 --startMP 204:232965 --initTime 2017-03-17T23:19:18 --startdatetime 2017-03-17T23:26:35 --delay 1 --endMP 204:145 --enddatetime 2017-03-18T00:08:37 --enforcementcount 0 &gt;&gt;C:\Users\stu\Documents\GitHub\eaglep3-reporting\EC\2017-03-17-refined-times.txt</v>
      </c>
      <c r="AI149" s="108" t="str">
        <f t="shared" si="59"/>
        <v>echo {"issue":{"subject":"","project_id":79,"tracker_id":40,"status_id":1,"priority_id":2,"assigned_to_id":23,"start_date":"2017-03-18","description":"","custom_fields":[{"id":1,"name":"Subdivision","value":"EC"},{"id":4,"name":"Milepost","value":"0.0145"},{"id":17,"name":"Train ID","value":"236-17"},{"id":16,"name":"Locomotive ID","value":"4001"},{"id":130,"name":"Impact","value":""},{"id":150,"name":"Time of Event (Mountain Time)","value":"00:08:37"},{"id":151,"name":"Denver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48"/>
      <c r="AK149" s="48"/>
      <c r="AL149" s="48"/>
      <c r="AM149" s="154" t="str">
        <f t="shared" si="60"/>
        <v>start /low /b %USERPROFILE%\Documents\GitHub\eaglep3\Utilities\DownloadLogsFromS3.py --loco 4001 --day 2017-03-17</v>
      </c>
      <c r="AN149" s="163" t="str">
        <f>"grep -SE -B400 ""CHR.+\|PRM\|1\|D.+(SWITCH|SIGNAL).+UNKNOWN"" "&amp;search_path&amp;"\RTDC"&amp;B149&amp;"\*"&amp;B149&amp;"*"&amp;TEXT(AVERAGE(F149,I149)-utc_offset/24,"YYYYMMDD")&amp;"*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"%USERPROFILE%\AppData\Local\Temp\OnboardLogs"\RTDC4001\*4001*20170318* | grep -SE "(Enforcement Action)|(\[TIMEOUT)|(CHR.+\|PRM\|1\|D.+(SWITCH|SIGNAL).+UNKNOWN)" - &gt;&gt; 2017-03-17-UncaughtWiMAX.txt</v>
      </c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x14ac:dyDescent="0.25">
      <c r="A150" s="33" t="s">
        <v>646</v>
      </c>
      <c r="B150" s="7">
        <v>4053</v>
      </c>
      <c r="C150" s="21" t="s">
        <v>227</v>
      </c>
      <c r="D150" s="21" t="s">
        <v>228</v>
      </c>
      <c r="E150" s="13">
        <v>42811.951111111113</v>
      </c>
      <c r="F150" s="13">
        <v>42811.958587962959</v>
      </c>
      <c r="G150" s="7">
        <v>1</v>
      </c>
      <c r="H150" s="21" t="s">
        <v>864</v>
      </c>
      <c r="I150" s="13">
        <v>42811.984085648146</v>
      </c>
      <c r="J150" s="7">
        <v>0</v>
      </c>
      <c r="K150" s="98" t="str">
        <f t="shared" si="46"/>
        <v>4053/4054</v>
      </c>
      <c r="L150" s="21" t="str">
        <f>VLOOKUP(A150,'Trips&amp;Operators'!$C$1:$G$99999,5,FALSE)</f>
        <v>BROWN JACOB</v>
      </c>
      <c r="M150" s="6">
        <f t="shared" si="47"/>
        <v>2.5497685186564922E-2</v>
      </c>
      <c r="N150" s="7">
        <f t="shared" si="45"/>
        <v>36.716666668653488</v>
      </c>
      <c r="O150" s="7"/>
      <c r="P150" s="7"/>
      <c r="Q150" s="22"/>
      <c r="R150" s="22"/>
      <c r="S150" s="31">
        <f t="shared" si="44"/>
        <v>1</v>
      </c>
      <c r="T150" s="46" t="str">
        <f t="shared" si="48"/>
        <v>NorthBound</v>
      </c>
      <c r="U150" s="185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86" t="str">
        <f t="shared" si="49"/>
        <v>https://d0f6bd738d7f1b3e5a7ca70fe4ff75f0.us-east-1.aws.found.io/app/kibana#/discover/Steve-Slow-Train-Analysis-(2080s-and-2083s)?_g=(refreshInterval:(display:Off,pause:!f,section:0,value:0),time:(from:'2017-03-17T21:49:36-0600',mode:absolute,to:'2017-03-18T00:37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50" s="187" t="str">
        <f t="shared" si="50"/>
        <v>N</v>
      </c>
      <c r="X150" s="187">
        <f t="shared" si="61"/>
        <v>1</v>
      </c>
      <c r="Y150" s="62">
        <f t="shared" si="51"/>
        <v>4.58E-2</v>
      </c>
      <c r="Z150" s="62">
        <f t="shared" si="52"/>
        <v>23.3325</v>
      </c>
      <c r="AA150" s="62">
        <f t="shared" si="53"/>
        <v>23.2867</v>
      </c>
      <c r="AB150" s="59" t="str">
        <f>VLOOKUP(A150,Enforcements!$C$7:$K$13,8,0)</f>
        <v>Bulletin (2)</v>
      </c>
      <c r="AC150" s="55" t="str">
        <f>VLOOKUP(A150,Enforcements!$C$7:$E$13,3,0)</f>
        <v>GRADE CROSSING</v>
      </c>
      <c r="AD150" s="56" t="str">
        <f t="shared" si="54"/>
        <v>0237-17</v>
      </c>
      <c r="AE150" s="85" t="str">
        <f t="shared" si="55"/>
        <v>aws s3 cp s3://rtdc.mdm.uploadarchive.raw/RTDC4053/ "%USERPROFILE%\AppData\Local\Temp\OnboardLogs"\RTDC4053\2017-03-17 --exclude "*" --recursive --include "*20170317*" &amp; "%USERPROFILE%\Documents\GitHub\mrs-test-scripts\Headless Mode &amp; Sideloading\WalkAndUnGZ.bat" "%USERPROFILE%\AppData\Local\Temp\OnboardLogs"\RTDC4053\2017-03-17 &amp; aws s3 cp s3://rtdc.mdm.uploadarchive.raw/RTDC4053/ "%USERPROFILE%\AppData\Local\Temp\OnboardLogs"\RTDC4053\2017-03-18 --exclude "*" --recursive --include "*20170318*" &amp; "%USERPROFILE%\Documents\GitHub\mrs-test-scripts\Headless Mode &amp; Sideloading\WalkAndUnGZ.bat" "%USERPROFILE%\AppData\Local\Temp\OnboardLogs"\RTDC4053\2017-03-18</v>
      </c>
      <c r="AF150" s="82" t="str">
        <f t="shared" si="56"/>
        <v>"C:\Program Files (x86)\AstroGrep\AstroGrep.exe" /e /r /s /spath="%USERPROFILE%\AppData\Local\Temp\OnboardLogs" /stypes="app*4053*20170318*" /stext=" 05:.+((SYSTEM_STATE.+slice.+state.+changed )|(ment ac)|(multiple cpu faults)|(system.+state.+changed )|(\[timeout)|(PRM\|1\|D)|(kpr)|(kdp)|(\|lc)|(penalty))"</v>
      </c>
      <c r="AG150" s="1" t="str">
        <f t="shared" si="57"/>
        <v>EC</v>
      </c>
      <c r="AH150" s="86" t="str">
        <f t="shared" si="58"/>
        <v>"%USERPROFILE%\Documents\GitHub\eaglep3\Utilities\RefineRTDCRunTimes.py" --tripid 237-17 --locoid 4053 --swversion DE.1.0.9.0 --startMP 204:458 --initTime 2017-03-17T22:49:36 --startdatetime 2017-03-17T23:00:22 --delay 1 --endMP 204:233325 --enddatetime 2017-03-17T23:37:05 --enforcementcount 0 &gt;&gt;C:\Users\stu\Documents\GitHub\eaglep3-reporting\EC\2017-03-17-refined-times.txt</v>
      </c>
      <c r="AI150" s="108" t="str">
        <f t="shared" si="59"/>
        <v>echo {"issue":{"subject":"","project_id":79,"tracker_id":40,"status_id":1,"priority_id":2,"assigned_to_id":23,"start_date":"2017-03-17","description":"","custom_fields":[{"id":1,"name":"Subdivision","value":"EC"},{"id":4,"name":"Milepost","value":"23.3325"},{"id":17,"name":"Train ID","value":"237-17"},{"id":16,"name":"Locomotive ID","value":"4053"},{"id":130,"name":"Impact","value":""},{"id":150,"name":"Time of Event (Mountain Time)","value":"23:37:05"},{"id":151,"name":"Denver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48"/>
      <c r="AK150" s="48"/>
      <c r="AL150" s="48"/>
      <c r="AM150" s="154" t="str">
        <f t="shared" si="60"/>
        <v>start /low /b %USERPROFILE%\Documents\GitHub\eaglep3\Utilities\DownloadLogsFromS3.py --loco 4053 --day 2017-03-17</v>
      </c>
      <c r="AN150" s="163" t="str">
        <f>"grep -SE -B400 ""CHR.+\|PRM\|1\|D.+(SWITCH|SIGNAL).+UNKNOWN"" "&amp;search_path&amp;"\RTDC"&amp;B150&amp;"\*"&amp;B150&amp;"*"&amp;TEXT(AVERAGE(F150,I150)-utc_offset/24,"YYYYMMDD")&amp;"*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"%USERPROFILE%\AppData\Local\Temp\OnboardLogs"\RTDC4053\*4053*20170318* | grep -SE "(Enforcement Action)|(\[TIMEOUT)|(CHR.+\|PRM\|1\|D.+(SWITCH|SIGNAL).+UNKNOWN)" - &gt;&gt; 2017-03-17-UncaughtWiMAX.txt</v>
      </c>
    </row>
    <row r="151" spans="1:91" s="20" customFormat="1" x14ac:dyDescent="0.25">
      <c r="A151" s="33" t="s">
        <v>838</v>
      </c>
      <c r="B151" s="7">
        <v>4054</v>
      </c>
      <c r="C151" s="21" t="s">
        <v>227</v>
      </c>
      <c r="D151" s="21" t="s">
        <v>519</v>
      </c>
      <c r="E151" s="13">
        <v>42811.993067129632</v>
      </c>
      <c r="F151" s="13">
        <v>42811.997372685182</v>
      </c>
      <c r="G151" s="7">
        <v>1</v>
      </c>
      <c r="H151" s="21" t="s">
        <v>217</v>
      </c>
      <c r="I151" s="13">
        <v>42812.026006944441</v>
      </c>
      <c r="J151" s="7">
        <v>0</v>
      </c>
      <c r="K151" s="98" t="str">
        <f t="shared" si="46"/>
        <v>4053/4054</v>
      </c>
      <c r="L151" s="21" t="str">
        <f>VLOOKUP(A151,'Trips&amp;Operators'!$C$1:$G$99999,5,FALSE)</f>
        <v>BROWN JACOB</v>
      </c>
      <c r="M151" s="6">
        <f t="shared" si="47"/>
        <v>2.8634259258979E-2</v>
      </c>
      <c r="N151" s="7">
        <f t="shared" si="45"/>
        <v>41.23333333292976</v>
      </c>
      <c r="O151" s="7"/>
      <c r="P151" s="7"/>
      <c r="Q151" s="22"/>
      <c r="R151" s="22"/>
      <c r="S151" s="31">
        <f t="shared" si="44"/>
        <v>1</v>
      </c>
      <c r="T151" s="46" t="str">
        <f t="shared" si="48"/>
        <v>Southbound</v>
      </c>
      <c r="U151" s="185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86" t="str">
        <f t="shared" si="49"/>
        <v>https://d0f6bd738d7f1b3e5a7ca70fe4ff75f0.us-east-1.aws.found.io/app/kibana#/discover/Steve-Slow-Train-Analysis-(2080s-and-2083s)?_g=(refreshInterval:(display:Off,pause:!f,section:0,value:0),time:(from:'2017-03-17T22:50:01-0600',mode:absolute,to:'2017-03-18T01:37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51" s="187" t="str">
        <f t="shared" si="50"/>
        <v>N</v>
      </c>
      <c r="X151" s="187">
        <f t="shared" si="61"/>
        <v>1</v>
      </c>
      <c r="Y151" s="62">
        <f t="shared" si="51"/>
        <v>23.301300000000001</v>
      </c>
      <c r="Z151" s="62">
        <f t="shared" si="52"/>
        <v>1.41E-2</v>
      </c>
      <c r="AA151" s="62">
        <f t="shared" si="53"/>
        <v>23.287200000000002</v>
      </c>
      <c r="AB151" s="59" t="e">
        <f>VLOOKUP(A151,Enforcements!$C$7:$K$13,8,0)</f>
        <v>#N/A</v>
      </c>
      <c r="AC151" s="55" t="e">
        <f>VLOOKUP(A151,Enforcements!$C$7:$E$13,3,0)</f>
        <v>#N/A</v>
      </c>
      <c r="AD151" s="56" t="str">
        <f t="shared" si="54"/>
        <v>0238-17</v>
      </c>
      <c r="AE151" s="85" t="str">
        <f t="shared" si="55"/>
        <v>aws s3 cp s3://rtdc.mdm.uploadarchive.raw/RTDC4054/ "%USERPROFILE%\AppData\Local\Temp\OnboardLogs"\RTDC4054\2017-03-17 --exclude "*" --recursive --include "*20170317*" &amp; "%USERPROFILE%\Documents\GitHub\mrs-test-scripts\Headless Mode &amp; Sideloading\WalkAndUnGZ.bat" "%USERPROFILE%\AppData\Local\Temp\OnboardLogs"\RTDC4054\2017-03-17 &amp; aws s3 cp s3://rtdc.mdm.uploadarchive.raw/RTDC4054/ "%USERPROFILE%\AppData\Local\Temp\OnboardLogs"\RTDC4054\2017-03-18 --exclude "*" --recursive --include "*20170318*" &amp; "%USERPROFILE%\Documents\GitHub\mrs-test-scripts\Headless Mode &amp; Sideloading\WalkAndUnGZ.bat" "%USERPROFILE%\AppData\Local\Temp\OnboardLogs"\RTDC4054\2017-03-18</v>
      </c>
      <c r="AF151" s="82" t="str">
        <f t="shared" si="56"/>
        <v>"C:\Program Files (x86)\AstroGrep\AstroGrep.exe" /e /r /s /spath="%USERPROFILE%\AppData\Local\Temp\OnboardLogs" /stypes="app*4054*20170318*" /stext=" 06:.+((SYSTEM_STATE.+slice.+state.+changed )|(ment ac)|(multiple cpu faults)|(system.+state.+changed )|(\[timeout)|(PRM\|1\|D)|(kpr)|(kdp)|(\|lc)|(penalty))"</v>
      </c>
      <c r="AG151" s="1" t="str">
        <f t="shared" si="57"/>
        <v>EC</v>
      </c>
      <c r="AH151" s="86" t="str">
        <f t="shared" si="58"/>
        <v>"%USERPROFILE%\Documents\GitHub\eaglep3\Utilities\RefineRTDCRunTimes.py" --tripid 238-17 --locoid 4054 --swversion DE.1.0.9.0 --startMP 204:233013 --initTime 2017-03-17T23:50:01 --startdatetime 2017-03-17T23:56:13 --delay 1 --endMP 204:141 --enddatetime 2017-03-18T00:37:27 --enforcementcount 0 &gt;&gt;C:\Users\stu\Documents\GitHub\eaglep3-reporting\EC\2017-03-17-refined-times.txt</v>
      </c>
      <c r="AI151" s="108" t="str">
        <f t="shared" si="59"/>
        <v>echo {"issue":{"subject":"","project_id":79,"tracker_id":40,"status_id":1,"priority_id":2,"assigned_to_id":23,"start_date":"2017-03-18","description":"","custom_fields":[{"id":1,"name":"Subdivision","value":"EC"},{"id":4,"name":"Milepost","value":"0.0141"},{"id":17,"name":"Train ID","value":"238-17"},{"id":16,"name":"Locomotive ID","value":"4054"},{"id":130,"name":"Impact","value":""},{"id":150,"name":"Time of Event (Mountain Time)","value":"00:37:27"},{"id":151,"name":"Denver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48"/>
      <c r="AK151" s="48"/>
      <c r="AL151" s="48"/>
      <c r="AM151" s="154" t="str">
        <f t="shared" si="60"/>
        <v>start /low /b %USERPROFILE%\Documents\GitHub\eaglep3\Utilities\DownloadLogsFromS3.py --loco 4054 --day 2017-03-17</v>
      </c>
      <c r="AN151" s="163" t="str">
        <f>"grep -SE -B400 ""CHR.+\|PRM\|1\|D.+(SWITCH|SIGNAL).+UNKNOWN"" "&amp;search_path&amp;"\RTDC"&amp;B151&amp;"\*"&amp;B151&amp;"*"&amp;TEXT(AVERAGE(F151,I151)-utc_offset/24,"YYYYMMDD")&amp;"*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"%USERPROFILE%\AppData\Local\Temp\OnboardLogs"\RTDC4054\*4054*20170318* | grep -SE "(Enforcement Action)|(\[TIMEOUT)|(CHR.+\|PRM\|1\|D.+(SWITCH|SIGNAL).+UNKNOWN)" - &gt;&gt; 2017-03-17-UncaughtWiMAX.txt</v>
      </c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0" customFormat="1" x14ac:dyDescent="0.25">
      <c r="A152" s="33" t="s">
        <v>836</v>
      </c>
      <c r="B152" s="7">
        <v>4016</v>
      </c>
      <c r="C152" s="21" t="s">
        <v>227</v>
      </c>
      <c r="D152" s="21" t="s">
        <v>417</v>
      </c>
      <c r="E152" s="13">
        <v>42811.972708333335</v>
      </c>
      <c r="F152" s="13">
        <v>42811.979641203703</v>
      </c>
      <c r="G152" s="7">
        <v>4</v>
      </c>
      <c r="H152" s="21" t="s">
        <v>562</v>
      </c>
      <c r="I152" s="13">
        <v>42812.007291666669</v>
      </c>
      <c r="J152" s="7">
        <v>0</v>
      </c>
      <c r="K152" s="98" t="str">
        <f t="shared" si="46"/>
        <v>4015/4016</v>
      </c>
      <c r="L152" s="21" t="str">
        <f>VLOOKUP(A152,'Trips&amp;Operators'!$C$1:$G$99999,5,FALSE)</f>
        <v>MENGES BRAD</v>
      </c>
      <c r="M152" s="6">
        <f t="shared" si="47"/>
        <v>2.7650462965539191E-2</v>
      </c>
      <c r="N152" s="7">
        <f t="shared" si="45"/>
        <v>39.816666670376435</v>
      </c>
      <c r="O152" s="7"/>
      <c r="P152" s="7"/>
      <c r="Q152" s="22"/>
      <c r="R152" s="22"/>
      <c r="S152" s="31">
        <f t="shared" si="44"/>
        <v>1</v>
      </c>
      <c r="T152" s="46" t="str">
        <f t="shared" si="48"/>
        <v>NorthBound</v>
      </c>
      <c r="U152" s="185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86" t="str">
        <f t="shared" si="49"/>
        <v>https://d0f6bd738d7f1b3e5a7ca70fe4ff75f0.us-east-1.aws.found.io/app/kibana#/discover/Steve-Slow-Train-Analysis-(2080s-and-2083s)?_g=(refreshInterval:(display:Off,pause:!f,section:0,value:0),time:(from:'2017-03-17T22:20:42-0600',mode:absolute,to:'2017-03-18T01:10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52" s="187" t="str">
        <f t="shared" si="50"/>
        <v>N</v>
      </c>
      <c r="X152" s="187">
        <f t="shared" si="61"/>
        <v>1</v>
      </c>
      <c r="Y152" s="62">
        <f t="shared" si="51"/>
        <v>4.6399999999999997E-2</v>
      </c>
      <c r="Z152" s="62">
        <f t="shared" si="52"/>
        <v>23.330100000000002</v>
      </c>
      <c r="AA152" s="62">
        <f t="shared" si="53"/>
        <v>23.283700000000003</v>
      </c>
      <c r="AB152" s="59" t="e">
        <f>VLOOKUP(A152,Enforcements!$C$7:$K$13,8,0)</f>
        <v>#N/A</v>
      </c>
      <c r="AC152" s="55" t="e">
        <f>VLOOKUP(A152,Enforcements!$C$7:$E$13,3,0)</f>
        <v>#N/A</v>
      </c>
      <c r="AD152" s="56" t="str">
        <f t="shared" si="54"/>
        <v>0239-17</v>
      </c>
      <c r="AE152" s="85" t="str">
        <f t="shared" si="55"/>
        <v>aws s3 cp s3://rtdc.mdm.uploadarchive.raw/RTDC4016/ "%USERPROFILE%\AppData\Local\Temp\OnboardLogs"\RTDC4016\2017-03-17 --exclude "*" --recursive --include "*20170317*" &amp; "%USERPROFILE%\Documents\GitHub\mrs-test-scripts\Headless Mode &amp; Sideloading\WalkAndUnGZ.bat" "%USERPROFILE%\AppData\Local\Temp\OnboardLogs"\RTDC4016\2017-03-17 &amp; aws s3 cp s3://rtdc.mdm.uploadarchive.raw/RTDC4016/ "%USERPROFILE%\AppData\Local\Temp\OnboardLogs"\RTDC4016\2017-03-18 --exclude "*" --recursive --include "*20170318*" &amp; "%USERPROFILE%\Documents\GitHub\mrs-test-scripts\Headless Mode &amp; Sideloading\WalkAndUnGZ.bat" "%USERPROFILE%\AppData\Local\Temp\OnboardLogs"\RTDC4016\2017-03-18</v>
      </c>
      <c r="AF152" s="82" t="str">
        <f t="shared" si="56"/>
        <v>"C:\Program Files (x86)\AstroGrep\AstroGrep.exe" /e /r /s /spath="%USERPROFILE%\AppData\Local\Temp\OnboardLogs" /stypes="app*4016*20170318*" /stext=" 06:.+((SYSTEM_STATE.+slice.+state.+changed )|(ment ac)|(multiple cpu faults)|(system.+state.+changed )|(\[timeout)|(PRM\|1\|D)|(kpr)|(kdp)|(\|lc)|(penalty))"</v>
      </c>
      <c r="AG152" s="1" t="str">
        <f t="shared" si="57"/>
        <v>EC</v>
      </c>
      <c r="AH152" s="86" t="str">
        <f t="shared" si="58"/>
        <v>"%USERPROFILE%\Documents\GitHub\eaglep3\Utilities\RefineRTDCRunTimes.py" --tripid 239-17 --locoid 4016 --swversion DE.1.0.9.0 --startMP 204:464 --initTime 2017-03-17T23:20:42 --startdatetime 2017-03-17T23:30:41 --delay 4 --endMP 204:233301 --enddatetime 2017-03-18T00:10:30 --enforcementcount 0 &gt;&gt;C:\Users\stu\Documents\GitHub\eaglep3-reporting\EC\2017-03-17-refined-times.txt</v>
      </c>
      <c r="AI152" s="108" t="str">
        <f t="shared" si="59"/>
        <v>echo {"issue":{"subject":"","project_id":79,"tracker_id":40,"status_id":1,"priority_id":2,"assigned_to_id":23,"start_date":"2017-03-18","description":"","custom_fields":[{"id":1,"name":"Subdivision","value":"EC"},{"id":4,"name":"Milepost","value":"23.3301"},{"id":17,"name":"Train ID","value":"239-17"},{"id":16,"name":"Locomotive ID","value":"4016"},{"id":130,"name":"Impact","value":""},{"id":150,"name":"Time of Event (Mountain Time)","value":"00:10:30"},{"id":151,"name":"Denver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48"/>
      <c r="AK152" s="48"/>
      <c r="AL152" s="48"/>
      <c r="AM152" s="154" t="str">
        <f t="shared" si="60"/>
        <v>start /low /b %USERPROFILE%\Documents\GitHub\eaglep3\Utilities\DownloadLogsFromS3.py --loco 4016 --day 2017-03-17</v>
      </c>
      <c r="AN152" s="163" t="str">
        <f>"grep -SE -B400 ""CHR.+\|PRM\|1\|D.+(SWITCH|SIGNAL).+UNKNOWN"" "&amp;search_path&amp;"\RTDC"&amp;B152&amp;"\*"&amp;B152&amp;"*"&amp;TEXT(AVERAGE(F152,I152)-utc_offset/24,"YYYYMMDD")&amp;"*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"%USERPROFILE%\AppData\Local\Temp\OnboardLogs"\RTDC4016\*4016*20170318* | grep -SE "(Enforcement Action)|(\[TIMEOUT)|(CHR.+\|PRM\|1\|D.+(SWITCH|SIGNAL).+UNKNOWN)" - &gt;&gt; 2017-03-17-UncaughtWiMAX.txt</v>
      </c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0" customFormat="1" x14ac:dyDescent="0.25">
      <c r="A153" s="33" t="s">
        <v>839</v>
      </c>
      <c r="B153" s="7">
        <v>4015</v>
      </c>
      <c r="C153" s="21" t="s">
        <v>227</v>
      </c>
      <c r="D153" s="21" t="s">
        <v>559</v>
      </c>
      <c r="E153" s="13">
        <v>42812.015509259261</v>
      </c>
      <c r="F153" s="13">
        <v>42812.018310185187</v>
      </c>
      <c r="G153" s="7">
        <v>1</v>
      </c>
      <c r="H153" s="21" t="s">
        <v>421</v>
      </c>
      <c r="I153" s="13">
        <v>42812.047824074078</v>
      </c>
      <c r="J153" s="7">
        <v>0</v>
      </c>
      <c r="K153" s="98" t="str">
        <f t="shared" si="46"/>
        <v>4015/4016</v>
      </c>
      <c r="L153" s="21" t="str">
        <f>VLOOKUP(A153,'Trips&amp;Operators'!$C$1:$G$99999,5,FALSE)</f>
        <v>MENGES BRAD</v>
      </c>
      <c r="M153" s="6">
        <f t="shared" si="47"/>
        <v>2.9513888890505768E-2</v>
      </c>
      <c r="N153" s="7">
        <f t="shared" si="45"/>
        <v>42.500000002328306</v>
      </c>
      <c r="O153" s="7"/>
      <c r="P153" s="7"/>
      <c r="Q153" s="22"/>
      <c r="R153" s="22"/>
      <c r="S153" s="31">
        <f t="shared" ref="S153:S184" si="62">SUM(U153:U153)/IF(AG153="EC",12,1)</f>
        <v>1</v>
      </c>
      <c r="T153" s="46" t="str">
        <f t="shared" si="48"/>
        <v>Southbound</v>
      </c>
      <c r="U153" s="185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86" t="str">
        <f t="shared" si="49"/>
        <v>https://d0f6bd738d7f1b3e5a7ca70fe4ff75f0.us-east-1.aws.found.io/app/kibana#/discover/Steve-Slow-Train-Analysis-(2080s-and-2083s)?_g=(refreshInterval:(display:Off,pause:!f,section:0,value:0),time:(from:'2017-03-17T23:22:20-0600',mode:absolute,to:'2017-03-18T02:08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53" s="187" t="str">
        <f t="shared" si="50"/>
        <v>N</v>
      </c>
      <c r="X153" s="187">
        <f t="shared" si="61"/>
        <v>1</v>
      </c>
      <c r="Y153" s="62">
        <f t="shared" si="51"/>
        <v>23.299199999999999</v>
      </c>
      <c r="Z153" s="62">
        <f t="shared" si="52"/>
        <v>1.6500000000000001E-2</v>
      </c>
      <c r="AA153" s="62">
        <f t="shared" si="53"/>
        <v>23.282699999999998</v>
      </c>
      <c r="AB153" s="59" t="e">
        <f>VLOOKUP(A153,Enforcements!$C$7:$K$13,8,0)</f>
        <v>#N/A</v>
      </c>
      <c r="AC153" s="55" t="e">
        <f>VLOOKUP(A153,Enforcements!$C$7:$E$13,3,0)</f>
        <v>#N/A</v>
      </c>
      <c r="AD153" s="56" t="str">
        <f t="shared" si="54"/>
        <v>0240-17</v>
      </c>
      <c r="AE153" s="85" t="str">
        <f t="shared" si="55"/>
        <v>aws s3 cp s3://rtdc.mdm.uploadarchive.raw/RTDC4015/ "%USERPROFILE%\AppData\Local\Temp\OnboardLogs"\RTDC4015\2017-03-18 --exclude "*" --recursive --include "*20170318*" &amp; "%USERPROFILE%\Documents\GitHub\mrs-test-scripts\Headless Mode &amp; Sideloading\WalkAndUnGZ.bat" "%USERPROFILE%\AppData\Local\Temp\OnboardLogs"\RTDC4015\2017-03-18 &amp; aws s3 cp s3://rtdc.mdm.uploadarchive.raw/RTDC4015/ "%USERPROFILE%\AppData\Local\Temp\OnboardLogs"\RTDC4015\2017-03-19 --exclude "*" --recursive --include "*20170319*" &amp; "%USERPROFILE%\Documents\GitHub\mrs-test-scripts\Headless Mode &amp; Sideloading\WalkAndUnGZ.bat" "%USERPROFILE%\AppData\Local\Temp\OnboardLogs"\RTDC4015\2017-03-19</v>
      </c>
      <c r="AF153" s="82" t="str">
        <f t="shared" si="56"/>
        <v>"C:\Program Files (x86)\AstroGrep\AstroGrep.exe" /e /r /s /spath="%USERPROFILE%\AppData\Local\Temp\OnboardLogs" /stypes="app*4015*20170318*" /stext=" 07:.+((SYSTEM_STATE.+slice.+state.+changed )|(ment ac)|(multiple cpu faults)|(system.+state.+changed )|(\[timeout)|(PRM\|1\|D)|(kpr)|(kdp)|(\|lc)|(penalty))"</v>
      </c>
      <c r="AG153" s="1" t="str">
        <f t="shared" si="57"/>
        <v>EC</v>
      </c>
      <c r="AH153" s="86" t="str">
        <f t="shared" si="58"/>
        <v>"%USERPROFILE%\Documents\GitHub\eaglep3\Utilities\RefineRTDCRunTimes.py" --tripid 240-17 --locoid 4015 --swversion DE.1.0.9.0 --startMP 204:232992 --initTime 2017-03-18T00:22:20 --startdatetime 2017-03-18T00:26:22 --delay 1 --endMP 204:165 --enddatetime 2017-03-18T01:08:52 --enforcementcount 0 &gt;&gt;C:\Users\stu\Documents\GitHub\eaglep3-reporting\EC\2017-03-17-refined-times.txt</v>
      </c>
      <c r="AI153" s="108" t="str">
        <f t="shared" si="59"/>
        <v>echo {"issue":{"subject":"","project_id":79,"tracker_id":40,"status_id":1,"priority_id":2,"assigned_to_id":23,"start_date":"2017-03-18","description":"","custom_fields":[{"id":1,"name":"Subdivision","value":"EC"},{"id":4,"name":"Milepost","value":"0.0165"},{"id":17,"name":"Train ID","value":"240-17"},{"id":16,"name":"Locomotive ID","value":"4015"},{"id":130,"name":"Impact","value":""},{"id":150,"name":"Time of Event (Mountain Time)","value":"01:08:52"},{"id":151,"name":"Denver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48"/>
      <c r="AK153" s="48"/>
      <c r="AL153" s="48"/>
      <c r="AM153" s="154" t="str">
        <f t="shared" si="60"/>
        <v>start /low /b %USERPROFILE%\Documents\GitHub\eaglep3\Utilities\DownloadLogsFromS3.py --loco 4015 --day 2017-03-18</v>
      </c>
      <c r="AN153" s="163" t="str">
        <f>"grep -SE -B400 ""CHR.+\|PRM\|1\|D.+(SWITCH|SIGNAL).+UNKNOWN"" "&amp;search_path&amp;"\RTDC"&amp;B153&amp;"\*"&amp;B153&amp;"*"&amp;TEXT(AVERAGE(F153,I153)-utc_offset/24,"YYYYMMDD")&amp;"*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"%USERPROFILE%\AppData\Local\Temp\OnboardLogs"\RTDC4015\*4015*20170318* | grep -SE "(Enforcement Action)|(\[TIMEOUT)|(CHR.+\|PRM\|1\|D.+(SWITCH|SIGNAL).+UNKNOWN)" - &gt;&gt; 2017-03-17-UncaughtWiMAX.txt</v>
      </c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0" customFormat="1" x14ac:dyDescent="0.25">
      <c r="A154" s="33" t="s">
        <v>837</v>
      </c>
      <c r="B154" s="7">
        <v>4020</v>
      </c>
      <c r="C154" s="21" t="s">
        <v>227</v>
      </c>
      <c r="D154" s="21" t="s">
        <v>859</v>
      </c>
      <c r="E154" s="13">
        <v>42811.985243055555</v>
      </c>
      <c r="F154" s="13">
        <v>42812.000405092593</v>
      </c>
      <c r="G154" s="7">
        <v>1</v>
      </c>
      <c r="H154" s="21" t="s">
        <v>924</v>
      </c>
      <c r="I154" s="13">
        <v>42812.025104166663</v>
      </c>
      <c r="J154" s="7">
        <v>0</v>
      </c>
      <c r="K154" s="98" t="str">
        <f t="shared" si="46"/>
        <v>4019/4020</v>
      </c>
      <c r="L154" s="21" t="str">
        <f>VLOOKUP(A154,'Trips&amp;Operators'!$C$1:$G$99999,5,FALSE)</f>
        <v>STAMBAUGH JAMES</v>
      </c>
      <c r="M154" s="6">
        <f t="shared" si="47"/>
        <v>2.4699074070667848E-2</v>
      </c>
      <c r="N154" s="7">
        <f t="shared" si="45"/>
        <v>35.566666661761701</v>
      </c>
      <c r="O154" s="7"/>
      <c r="P154" s="7"/>
      <c r="Q154" s="22"/>
      <c r="R154" s="22"/>
      <c r="S154" s="31">
        <f t="shared" si="62"/>
        <v>1</v>
      </c>
      <c r="T154" s="46" t="str">
        <f t="shared" si="48"/>
        <v>NorthBound</v>
      </c>
      <c r="U154" s="185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86" t="str">
        <f t="shared" si="49"/>
        <v>https://d0f6bd738d7f1b3e5a7ca70fe4ff75f0.us-east-1.aws.found.io/app/kibana#/discover/Steve-Slow-Train-Analysis-(2080s-and-2083s)?_g=(refreshInterval:(display:Off,pause:!f,section:0,value:0),time:(from:'2017-03-17T22:38:45-0600',mode:absolute,to:'2017-03-18T01:36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54" s="187" t="str">
        <f t="shared" si="50"/>
        <v>N</v>
      </c>
      <c r="X154" s="187">
        <f t="shared" si="61"/>
        <v>1</v>
      </c>
      <c r="Y154" s="62">
        <f t="shared" si="51"/>
        <v>4.2599999999999999E-2</v>
      </c>
      <c r="Z154" s="62">
        <f t="shared" si="52"/>
        <v>23.337199999999999</v>
      </c>
      <c r="AA154" s="62">
        <f t="shared" si="53"/>
        <v>23.294599999999999</v>
      </c>
      <c r="AB154" s="59" t="e">
        <f>VLOOKUP(A154,Enforcements!$C$7:$K$13,8,0)</f>
        <v>#N/A</v>
      </c>
      <c r="AC154" s="55" t="e">
        <f>VLOOKUP(A154,Enforcements!$C$7:$E$13,3,0)</f>
        <v>#N/A</v>
      </c>
      <c r="AD154" s="56" t="str">
        <f t="shared" si="54"/>
        <v>0241-17</v>
      </c>
      <c r="AE154" s="85" t="str">
        <f t="shared" si="55"/>
        <v>aws s3 cp s3://rtdc.mdm.uploadarchive.raw/RTDC4020/ "%USERPROFILE%\AppData\Local\Temp\OnboardLogs"\RTDC4020\2017-03-18 --exclude "*" --recursive --include "*20170318*" &amp; "%USERPROFILE%\Documents\GitHub\mrs-test-scripts\Headless Mode &amp; Sideloading\WalkAndUnGZ.bat" "%USERPROFILE%\AppData\Local\Temp\OnboardLogs"\RTDC4020\2017-03-18 &amp; aws s3 cp s3://rtdc.mdm.uploadarchive.raw/RTDC4020/ "%USERPROFILE%\AppData\Local\Temp\OnboardLogs"\RTDC4020\2017-03-19 --exclude "*" --recursive --include "*20170319*" &amp; "%USERPROFILE%\Documents\GitHub\mrs-test-scripts\Headless Mode &amp; Sideloading\WalkAndUnGZ.bat" "%USERPROFILE%\AppData\Local\Temp\OnboardLogs"\RTDC4020\2017-03-19</v>
      </c>
      <c r="AF154" s="82" t="str">
        <f t="shared" si="56"/>
        <v>"C:\Program Files (x86)\AstroGrep\AstroGrep.exe" /e /r /s /spath="%USERPROFILE%\AppData\Local\Temp\OnboardLogs" /stypes="app*4020*20170318*" /stext=" 06:.+((SYSTEM_STATE.+slice.+state.+changed )|(ment ac)|(multiple cpu faults)|(system.+state.+changed )|(\[timeout)|(PRM\|1\|D)|(kpr)|(kdp)|(\|lc)|(penalty))"</v>
      </c>
      <c r="AG154" s="1" t="str">
        <f t="shared" si="57"/>
        <v>EC</v>
      </c>
      <c r="AH154" s="86" t="str">
        <f t="shared" si="58"/>
        <v>"%USERPROFILE%\Documents\GitHub\eaglep3\Utilities\RefineRTDCRunTimes.py" --tripid 241-17 --locoid 4020 --swversion DE.1.0.9.0 --startMP 204:426 --initTime 2017-03-17T23:38:45 --startdatetime 2017-03-18T00:00:35 --delay 1 --endMP 204:233372 --enddatetime 2017-03-18T00:36:09 --enforcementcount 0 &gt;&gt;C:\Users\stu\Documents\GitHub\eaglep3-reporting\EC\2017-03-17-refined-times.txt</v>
      </c>
      <c r="AI154" s="108" t="str">
        <f t="shared" si="59"/>
        <v>echo {"issue":{"subject":"","project_id":79,"tracker_id":40,"status_id":1,"priority_id":2,"assigned_to_id":23,"start_date":"2017-03-18","description":"","custom_fields":[{"id":1,"name":"Subdivision","value":"EC"},{"id":4,"name":"Milepost","value":"23.3372"},{"id":17,"name":"Train ID","value":"241-17"},{"id":16,"name":"Locomotive ID","value":"4020"},{"id":130,"name":"Impact","value":""},{"id":150,"name":"Time of Event (Mountain Time)","value":"00:36:09"},{"id":151,"name":"Denver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48"/>
      <c r="AK154" s="48"/>
      <c r="AL154" s="48"/>
      <c r="AM154" s="154" t="str">
        <f t="shared" si="60"/>
        <v>start /low /b %USERPROFILE%\Documents\GitHub\eaglep3\Utilities\DownloadLogsFromS3.py --loco 4020 --day 2017-03-18</v>
      </c>
      <c r="AN154" s="163" t="str">
        <f>"grep -SE -B400 ""CHR.+\|PRM\|1\|D.+(SWITCH|SIGNAL).+UNKNOWN"" "&amp;search_path&amp;"\RTDC"&amp;B154&amp;"\*"&amp;B154&amp;"*"&amp;TEXT(AVERAGE(F154,I154)-utc_offset/24,"YYYYMMDD")&amp;"*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"%USERPROFILE%\AppData\Local\Temp\OnboardLogs"\RTDC4020\*4020*20170318* | grep -SE "(Enforcement Action)|(\[TIMEOUT)|(CHR.+\|PRM\|1\|D.+(SWITCH|SIGNAL).+UNKNOWN)" - &gt;&gt; 2017-03-17-UncaughtWiMAX.txt</v>
      </c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0" customFormat="1" x14ac:dyDescent="0.25">
      <c r="A155" s="33" t="s">
        <v>841</v>
      </c>
      <c r="B155" s="7">
        <v>4019</v>
      </c>
      <c r="C155" s="21" t="s">
        <v>227</v>
      </c>
      <c r="D155" s="21" t="s">
        <v>918</v>
      </c>
      <c r="E155" s="13">
        <v>42812.029085648152</v>
      </c>
      <c r="F155" s="13">
        <v>42812.039780092593</v>
      </c>
      <c r="G155" s="7">
        <v>2</v>
      </c>
      <c r="H155" s="21" t="s">
        <v>236</v>
      </c>
      <c r="I155" s="13">
        <v>42812.066180555557</v>
      </c>
      <c r="J155" s="7">
        <v>0</v>
      </c>
      <c r="K155" s="98" t="str">
        <f t="shared" si="46"/>
        <v>4019/4020</v>
      </c>
      <c r="L155" s="21" t="str">
        <f>VLOOKUP(A155,'Trips&amp;Operators'!$C$1:$G$99999,5,FALSE)</f>
        <v>STAMBAUGH JAMES</v>
      </c>
      <c r="M155" s="6">
        <f t="shared" si="47"/>
        <v>2.6400462964375038E-2</v>
      </c>
      <c r="N155" s="7">
        <f t="shared" si="45"/>
        <v>38.016666668700054</v>
      </c>
      <c r="O155" s="7"/>
      <c r="P155" s="7"/>
      <c r="Q155" s="22"/>
      <c r="R155" s="22"/>
      <c r="S155" s="31">
        <f t="shared" si="62"/>
        <v>1</v>
      </c>
      <c r="T155" s="46" t="str">
        <f t="shared" si="48"/>
        <v>Southbound</v>
      </c>
      <c r="U155" s="185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86" t="str">
        <f t="shared" si="49"/>
        <v>https://d0f6bd738d7f1b3e5a7ca70fe4ff75f0.us-east-1.aws.found.io/app/kibana#/discover/Steve-Slow-Train-Analysis-(2080s-and-2083s)?_g=(refreshInterval:(display:Off,pause:!f,section:0,value:0),time:(from:'2017-03-17T23:41:53-0600',mode:absolute,to:'2017-03-18T02:35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55" s="187" t="str">
        <f t="shared" si="50"/>
        <v>N</v>
      </c>
      <c r="X155" s="187">
        <f t="shared" si="61"/>
        <v>1</v>
      </c>
      <c r="Y155" s="62">
        <f t="shared" si="51"/>
        <v>23.307400000000001</v>
      </c>
      <c r="Z155" s="62">
        <f t="shared" si="52"/>
        <v>1.61E-2</v>
      </c>
      <c r="AA155" s="62">
        <f t="shared" si="53"/>
        <v>23.2913</v>
      </c>
      <c r="AB155" s="59" t="e">
        <f>VLOOKUP(A155,Enforcements!$C$7:$K$13,8,0)</f>
        <v>#N/A</v>
      </c>
      <c r="AC155" s="55" t="e">
        <f>VLOOKUP(A155,Enforcements!$C$7:$E$13,3,0)</f>
        <v>#N/A</v>
      </c>
      <c r="AD155" s="56" t="str">
        <f t="shared" si="54"/>
        <v>0242-17</v>
      </c>
      <c r="AE155" s="85" t="str">
        <f t="shared" si="55"/>
        <v>aws s3 cp s3://rtdc.mdm.uploadarchive.raw/RTDC4019/ "%USERPROFILE%\AppData\Local\Temp\OnboardLogs"\RTDC4019\2017-03-18 --exclude "*" --recursive --include "*20170318*" &amp; "%USERPROFILE%\Documents\GitHub\mrs-test-scripts\Headless Mode &amp; Sideloading\WalkAndUnGZ.bat" "%USERPROFILE%\AppData\Local\Temp\OnboardLogs"\RTDC4019\2017-03-18 &amp; aws s3 cp s3://rtdc.mdm.uploadarchive.raw/RTDC4019/ "%USERPROFILE%\AppData\Local\Temp\OnboardLogs"\RTDC4019\2017-03-19 --exclude "*" --recursive --include "*20170319*" &amp; "%USERPROFILE%\Documents\GitHub\mrs-test-scripts\Headless Mode &amp; Sideloading\WalkAndUnGZ.bat" "%USERPROFILE%\AppData\Local\Temp\OnboardLogs"\RTDC4019\2017-03-19</v>
      </c>
      <c r="AF155" s="82" t="str">
        <f t="shared" si="56"/>
        <v>"C:\Program Files (x86)\AstroGrep\AstroGrep.exe" /e /r /s /spath="%USERPROFILE%\AppData\Local\Temp\OnboardLogs" /stypes="app*4019*20170318*" /stext=" 07:.+((SYSTEM_STATE.+slice.+state.+changed )|(ment ac)|(multiple cpu faults)|(system.+state.+changed )|(\[timeout)|(PRM\|1\|D)|(kpr)|(kdp)|(\|lc)|(penalty))"</v>
      </c>
      <c r="AG155" s="1" t="str">
        <f t="shared" si="57"/>
        <v>EC</v>
      </c>
      <c r="AH155" s="86" t="str">
        <f t="shared" si="58"/>
        <v>"%USERPROFILE%\Documents\GitHub\eaglep3\Utilities\RefineRTDCRunTimes.py" --tripid 242-17 --locoid 4019 --swversion DE.1.0.9.0 --startMP 204:233074 --initTime 2017-03-18T00:41:53 --startdatetime 2017-03-18T00:57:17 --delay 2 --endMP 204:161 --enddatetime 2017-03-18T01:35:18 --enforcementcount 0 &gt;&gt;C:\Users\stu\Documents\GitHub\eaglep3-reporting\EC\2017-03-17-refined-times.txt</v>
      </c>
      <c r="AI155" s="108" t="str">
        <f t="shared" si="59"/>
        <v>echo {"issue":{"subject":"","project_id":79,"tracker_id":40,"status_id":1,"priority_id":2,"assigned_to_id":23,"start_date":"2017-03-18","description":"","custom_fields":[{"id":1,"name":"Subdivision","value":"EC"},{"id":4,"name":"Milepost","value":"0.0161"},{"id":17,"name":"Train ID","value":"242-17"},{"id":16,"name":"Locomotive ID","value":"4019"},{"id":130,"name":"Impact","value":""},{"id":150,"name":"Time of Event (Mountain Time)","value":"01:35:18"},{"id":151,"name":"Denver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48"/>
      <c r="AK155" s="48"/>
      <c r="AL155" s="48"/>
      <c r="AM155" s="154" t="str">
        <f t="shared" si="60"/>
        <v>start /low /b %USERPROFILE%\Documents\GitHub\eaglep3\Utilities\DownloadLogsFromS3.py --loco 4019 --day 2017-03-18</v>
      </c>
      <c r="AN155" s="163" t="str">
        <f>"grep -SE -B400 ""CHR.+\|PRM\|1\|D.+(SWITCH|SIGNAL).+UNKNOWN"" "&amp;search_path&amp;"\RTDC"&amp;B155&amp;"\*"&amp;B155&amp;"*"&amp;TEXT(AVERAGE(F155,I155)-utc_offset/24,"YYYYMMDD")&amp;"*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"%USERPROFILE%\AppData\Local\Temp\OnboardLogs"\RTDC4019\*4019*20170318* | grep -SE "(Enforcement Action)|(\[TIMEOUT)|(CHR.+\|PRM\|1\|D.+(SWITCH|SIGNAL).+UNKNOWN)" - &gt;&gt; 2017-03-17-UncaughtWiMAX.txt</v>
      </c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0" customFormat="1" x14ac:dyDescent="0.25">
      <c r="A156" s="33" t="s">
        <v>840</v>
      </c>
      <c r="B156" s="7">
        <v>4002</v>
      </c>
      <c r="C156" s="21" t="s">
        <v>227</v>
      </c>
      <c r="D156" s="21" t="s">
        <v>228</v>
      </c>
      <c r="E156" s="13">
        <v>42812.018703703703</v>
      </c>
      <c r="F156" s="13">
        <v>42812.021064814813</v>
      </c>
      <c r="G156" s="7">
        <v>1</v>
      </c>
      <c r="H156" s="21" t="s">
        <v>511</v>
      </c>
      <c r="I156" s="13">
        <v>42812.047361111108</v>
      </c>
      <c r="J156" s="7">
        <v>0</v>
      </c>
      <c r="K156" s="98" t="str">
        <f t="shared" si="46"/>
        <v>4001/4002</v>
      </c>
      <c r="L156" s="21" t="str">
        <f>VLOOKUP(A156,'Trips&amp;Operators'!$C$1:$G$99999,5,FALSE)</f>
        <v>SWANSON BRYCE</v>
      </c>
      <c r="M156" s="6">
        <f t="shared" si="47"/>
        <v>2.6296296295186039E-2</v>
      </c>
      <c r="N156" s="7">
        <f t="shared" si="45"/>
        <v>37.866666665067896</v>
      </c>
      <c r="O156" s="7"/>
      <c r="P156" s="7"/>
      <c r="Q156" s="22"/>
      <c r="R156" s="22"/>
      <c r="S156" s="31">
        <f t="shared" si="62"/>
        <v>1</v>
      </c>
      <c r="T156" s="46" t="str">
        <f t="shared" si="48"/>
        <v>NorthBound</v>
      </c>
      <c r="U156" s="185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86" t="str">
        <f t="shared" si="49"/>
        <v>https://d0f6bd738d7f1b3e5a7ca70fe4ff75f0.us-east-1.aws.found.io/app/kibana#/discover/Steve-Slow-Train-Analysis-(2080s-and-2083s)?_g=(refreshInterval:(display:Off,pause:!f,section:0,value:0),time:(from:'2017-03-17T23:26:56-0600',mode:absolute,to:'2017-03-18T02:08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56" s="187" t="str">
        <f t="shared" si="50"/>
        <v>N</v>
      </c>
      <c r="X156" s="187">
        <f t="shared" si="61"/>
        <v>1</v>
      </c>
      <c r="Y156" s="62">
        <f t="shared" si="51"/>
        <v>4.58E-2</v>
      </c>
      <c r="Z156" s="62">
        <f t="shared" si="52"/>
        <v>23.328399999999998</v>
      </c>
      <c r="AA156" s="62">
        <f t="shared" si="53"/>
        <v>23.282599999999999</v>
      </c>
      <c r="AB156" s="59" t="e">
        <f>VLOOKUP(A156,Enforcements!$C$7:$K$13,8,0)</f>
        <v>#N/A</v>
      </c>
      <c r="AC156" s="55" t="e">
        <f>VLOOKUP(A156,Enforcements!$C$7:$E$13,3,0)</f>
        <v>#N/A</v>
      </c>
      <c r="AD156" s="56" t="str">
        <f t="shared" si="54"/>
        <v>0243-17</v>
      </c>
      <c r="AE156" s="85" t="str">
        <f t="shared" si="55"/>
        <v>aws s3 cp s3://rtdc.mdm.uploadarchive.raw/RTDC4002/ "%USERPROFILE%\AppData\Local\Temp\OnboardLogs"\RTDC4002\2017-03-18 --exclude "*" --recursive --include "*20170318*" &amp; "%USERPROFILE%\Documents\GitHub\mrs-test-scripts\Headless Mode &amp; Sideloading\WalkAndUnGZ.bat" "%USERPROFILE%\AppData\Local\Temp\OnboardLogs"\RTDC4002\2017-03-18 &amp; aws s3 cp s3://rtdc.mdm.uploadarchive.raw/RTDC4002/ "%USERPROFILE%\AppData\Local\Temp\OnboardLogs"\RTDC4002\2017-03-19 --exclude "*" --recursive --include "*20170319*" &amp; "%USERPROFILE%\Documents\GitHub\mrs-test-scripts\Headless Mode &amp; Sideloading\WalkAndUnGZ.bat" "%USERPROFILE%\AppData\Local\Temp\OnboardLogs"\RTDC4002\2017-03-19</v>
      </c>
      <c r="AF156" s="82" t="str">
        <f t="shared" si="56"/>
        <v>"C:\Program Files (x86)\AstroGrep\AstroGrep.exe" /e /r /s /spath="%USERPROFILE%\AppData\Local\Temp\OnboardLogs" /stypes="app*4002*20170318*" /stext=" 07:.+((SYSTEM_STATE.+slice.+state.+changed )|(ment ac)|(multiple cpu faults)|(system.+state.+changed )|(\[timeout)|(PRM\|1\|D)|(kpr)|(kdp)|(\|lc)|(penalty))"</v>
      </c>
      <c r="AG156" s="1" t="str">
        <f t="shared" si="57"/>
        <v>EC</v>
      </c>
      <c r="AH156" s="86" t="str">
        <f t="shared" si="58"/>
        <v>"%USERPROFILE%\Documents\GitHub\eaglep3\Utilities\RefineRTDCRunTimes.py" --tripid 243-17 --locoid 4002 --swversion DE.1.0.9.0 --startMP 204:458 --initTime 2017-03-18T00:26:56 --startdatetime 2017-03-18T00:30:20 --delay 1 --endMP 204:233284 --enddatetime 2017-03-18T01:08:12 --enforcementcount 0 &gt;&gt;C:\Users\stu\Documents\GitHub\eaglep3-reporting\EC\2017-03-17-refined-times.txt</v>
      </c>
      <c r="AI156" s="108" t="str">
        <f t="shared" si="59"/>
        <v>echo {"issue":{"subject":"","project_id":79,"tracker_id":40,"status_id":1,"priority_id":2,"assigned_to_id":23,"start_date":"2017-03-18","description":"","custom_fields":[{"id":1,"name":"Subdivision","value":"EC"},{"id":4,"name":"Milepost","value":"23.3284"},{"id":17,"name":"Train ID","value":"243-17"},{"id":16,"name":"Locomotive ID","value":"4002"},{"id":130,"name":"Impact","value":""},{"id":150,"name":"Time of Event (Mountain Time)","value":"01:08:12"},{"id":151,"name":"Denver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48"/>
      <c r="AK156" s="48"/>
      <c r="AL156" s="48"/>
      <c r="AM156" s="154" t="str">
        <f t="shared" si="60"/>
        <v>start /low /b %USERPROFILE%\Documents\GitHub\eaglep3\Utilities\DownloadLogsFromS3.py --loco 4002 --day 2017-03-18</v>
      </c>
      <c r="AN156" s="163" t="str">
        <f>"grep -SE -B400 ""CHR.+\|PRM\|1\|D.+(SWITCH|SIGNAL).+UNKNOWN"" "&amp;search_path&amp;"\RTDC"&amp;B156&amp;"\*"&amp;B156&amp;"*"&amp;TEXT(AVERAGE(F156,I156)-utc_offset/24,"YYYYMMDD")&amp;"*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"%USERPROFILE%\AppData\Local\Temp\OnboardLogs"\RTDC4002\*4002*20170318* | grep -SE "(Enforcement Action)|(\[TIMEOUT)|(CHR.+\|PRM\|1\|D.+(SWITCH|SIGNAL).+UNKNOWN)" - &gt;&gt; 2017-03-17-UncaughtWiMAX.txt</v>
      </c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x14ac:dyDescent="0.25">
      <c r="A157" s="33" t="s">
        <v>844</v>
      </c>
      <c r="B157" s="7">
        <v>4001</v>
      </c>
      <c r="C157" s="21" t="s">
        <v>227</v>
      </c>
      <c r="D157" s="21" t="s">
        <v>925</v>
      </c>
      <c r="E157" s="13">
        <v>42812.054375</v>
      </c>
      <c r="F157" s="13">
        <v>42812.059895833336</v>
      </c>
      <c r="G157" s="7">
        <v>1</v>
      </c>
      <c r="H157" s="21" t="s">
        <v>574</v>
      </c>
      <c r="I157" s="13">
        <v>42812.088136574072</v>
      </c>
      <c r="J157" s="7">
        <v>0</v>
      </c>
      <c r="K157" s="98" t="str">
        <f t="shared" si="46"/>
        <v>4001/4002</v>
      </c>
      <c r="L157" s="21" t="str">
        <f>VLOOKUP(A157,'Trips&amp;Operators'!$C$1:$G$99999,5,FALSE)</f>
        <v>SWANSON BRYCE</v>
      </c>
      <c r="M157" s="6">
        <f t="shared" si="47"/>
        <v>2.824074073578231E-2</v>
      </c>
      <c r="N157" s="7">
        <f t="shared" si="45"/>
        <v>40.666666659526527</v>
      </c>
      <c r="O157" s="7"/>
      <c r="P157" s="7"/>
      <c r="Q157" s="22"/>
      <c r="R157" s="22"/>
      <c r="S157" s="31">
        <f t="shared" si="62"/>
        <v>1</v>
      </c>
      <c r="T157" s="46" t="str">
        <f t="shared" si="48"/>
        <v>Southbound</v>
      </c>
      <c r="U157" s="185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186" t="str">
        <f t="shared" si="49"/>
        <v>https://d0f6bd738d7f1b3e5a7ca70fe4ff75f0.us-east-1.aws.found.io/app/kibana#/discover/Steve-Slow-Train-Analysis-(2080s-and-2083s)?_g=(refreshInterval:(display:Off,pause:!f,section:0,value:0),time:(from:'2017-03-18T00:18:18-0600',mode:absolute,to:'2017-03-18T03:06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57" s="187" t="str">
        <f t="shared" si="50"/>
        <v>N</v>
      </c>
      <c r="X157" s="187">
        <f t="shared" si="61"/>
        <v>1</v>
      </c>
      <c r="Y157" s="62">
        <f t="shared" si="51"/>
        <v>23.2944</v>
      </c>
      <c r="Z157" s="62">
        <f t="shared" si="52"/>
        <v>1.78E-2</v>
      </c>
      <c r="AA157" s="62">
        <f t="shared" si="53"/>
        <v>23.276599999999998</v>
      </c>
      <c r="AB157" s="59" t="e">
        <f>VLOOKUP(A157,Enforcements!$C$7:$K$13,8,0)</f>
        <v>#N/A</v>
      </c>
      <c r="AC157" s="55" t="e">
        <f>VLOOKUP(A157,Enforcements!$C$7:$E$13,3,0)</f>
        <v>#N/A</v>
      </c>
      <c r="AD157" s="56" t="str">
        <f t="shared" si="54"/>
        <v>0244-17</v>
      </c>
      <c r="AE157" s="85" t="str">
        <f t="shared" si="55"/>
        <v>aws s3 cp s3://rtdc.mdm.uploadarchive.raw/RTDC4001/ "%USERPROFILE%\AppData\Local\Temp\OnboardLogs"\RTDC4001\2017-03-18 --exclude "*" --recursive --include "*20170318*" &amp; "%USERPROFILE%\Documents\GitHub\mrs-test-scripts\Headless Mode &amp; Sideloading\WalkAndUnGZ.bat" "%USERPROFILE%\AppData\Local\Temp\OnboardLogs"\RTDC4001\2017-03-18 &amp; aws s3 cp s3://rtdc.mdm.uploadarchive.raw/RTDC4001/ "%USERPROFILE%\AppData\Local\Temp\OnboardLogs"\RTDC4001\2017-03-19 --exclude "*" --recursive --include "*20170319*" &amp; "%USERPROFILE%\Documents\GitHub\mrs-test-scripts\Headless Mode &amp; Sideloading\WalkAndUnGZ.bat" "%USERPROFILE%\AppData\Local\Temp\OnboardLogs"\RTDC4001\2017-03-19</v>
      </c>
      <c r="AF157" s="82" t="str">
        <f t="shared" si="56"/>
        <v>"C:\Program Files (x86)\AstroGrep\AstroGrep.exe" /e /r /s /spath="%USERPROFILE%\AppData\Local\Temp\OnboardLogs" /stypes="app*4001*20170318*" /stext=" 08:.+((SYSTEM_STATE.+slice.+state.+changed )|(ment ac)|(multiple cpu faults)|(system.+state.+changed )|(\[timeout)|(PRM\|1\|D)|(kpr)|(kdp)|(\|lc)|(penalty))"</v>
      </c>
      <c r="AG157" s="1" t="str">
        <f t="shared" si="57"/>
        <v>EC</v>
      </c>
      <c r="AH157" s="86" t="str">
        <f t="shared" si="58"/>
        <v>"%USERPROFILE%\Documents\GitHub\eaglep3\Utilities\RefineRTDCRunTimes.py" --tripid 244-17 --locoid 4001 --swversion DE.1.0.9.0 --startMP 204:232944 --initTime 2017-03-18T01:18:18 --startdatetime 2017-03-18T01:26:15 --delay 1 --endMP 204:178 --enddatetime 2017-03-18T02:06:55 --enforcementcount 0 &gt;&gt;C:\Users\stu\Documents\GitHub\eaglep3-reporting\EC\2017-03-17-refined-times.txt</v>
      </c>
      <c r="AI157" s="108" t="str">
        <f t="shared" si="59"/>
        <v>echo {"issue":{"subject":"","project_id":79,"tracker_id":40,"status_id":1,"priority_id":2,"assigned_to_id":23,"start_date":"2017-03-18","description":"","custom_fields":[{"id":1,"name":"Subdivision","value":"EC"},{"id":4,"name":"Milepost","value":"0.0178"},{"id":17,"name":"Train ID","value":"244-17"},{"id":16,"name":"Locomotive ID","value":"4001"},{"id":130,"name":"Impact","value":""},{"id":150,"name":"Time of Event (Mountain Time)","value":"02:06:55"},{"id":151,"name":"Denver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48"/>
      <c r="AK157" s="48"/>
      <c r="AL157" s="48"/>
      <c r="AM157" s="154" t="str">
        <f t="shared" si="60"/>
        <v>start /low /b %USERPROFILE%\Documents\GitHub\eaglep3\Utilities\DownloadLogsFromS3.py --loco 4001 --day 2017-03-18</v>
      </c>
      <c r="AN157" s="163" t="str">
        <f>"grep -SE -B400 ""CHR.+\|PRM\|1\|D.+(SWITCH|SIGNAL).+UNKNOWN"" "&amp;search_path&amp;"\RTDC"&amp;B157&amp;"\*"&amp;B157&amp;"*"&amp;TEXT(AVERAGE(F157,I157)-utc_offset/24,"YYYYMMDD")&amp;"*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"%USERPROFILE%\AppData\Local\Temp\OnboardLogs"\RTDC4001\*4001*20170318* | grep -SE "(Enforcement Action)|(\[TIMEOUT)|(CHR.+\|PRM\|1\|D.+(SWITCH|SIGNAL).+UNKNOWN)" - &gt;&gt; 2017-03-17-UncaughtWiMAX.txt</v>
      </c>
    </row>
    <row r="158" spans="1:91" s="20" customFormat="1" x14ac:dyDescent="0.25">
      <c r="A158" s="33" t="s">
        <v>842</v>
      </c>
      <c r="B158" s="7">
        <v>4053</v>
      </c>
      <c r="C158" s="21" t="s">
        <v>227</v>
      </c>
      <c r="D158" s="21" t="s">
        <v>926</v>
      </c>
      <c r="E158" s="13">
        <v>42812.038622685184</v>
      </c>
      <c r="F158" s="13">
        <v>42812.04184027778</v>
      </c>
      <c r="G158" s="7">
        <v>2</v>
      </c>
      <c r="H158" s="21" t="s">
        <v>572</v>
      </c>
      <c r="I158" s="13">
        <v>42812.067361111112</v>
      </c>
      <c r="J158" s="7">
        <v>0</v>
      </c>
      <c r="K158" s="98" t="str">
        <f t="shared" si="46"/>
        <v>4053/4054</v>
      </c>
      <c r="L158" s="21" t="str">
        <f>VLOOKUP(A158,'Trips&amp;Operators'!$C$1:$G$99999,5,FALSE)</f>
        <v>BROWN JACOB</v>
      </c>
      <c r="M158" s="6">
        <f t="shared" si="47"/>
        <v>2.5520833332848269E-2</v>
      </c>
      <c r="N158" s="7">
        <f t="shared" si="45"/>
        <v>36.749999999301508</v>
      </c>
      <c r="O158" s="7"/>
      <c r="P158" s="7"/>
      <c r="Q158" s="22"/>
      <c r="R158" s="22"/>
      <c r="S158" s="31">
        <f t="shared" si="62"/>
        <v>1</v>
      </c>
      <c r="T158" s="46" t="str">
        <f t="shared" si="48"/>
        <v>NorthBound</v>
      </c>
      <c r="U158" s="185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186" t="str">
        <f t="shared" si="49"/>
        <v>https://d0f6bd738d7f1b3e5a7ca70fe4ff75f0.us-east-1.aws.found.io/app/kibana#/discover/Steve-Slow-Train-Analysis-(2080s-and-2083s)?_g=(refreshInterval:(display:Off,pause:!f,section:0,value:0),time:(from:'2017-03-17T23:55:37-0600',mode:absolute,to:'2017-03-18T02:37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58" s="187" t="str">
        <f t="shared" si="50"/>
        <v>N</v>
      </c>
      <c r="X158" s="187">
        <f t="shared" si="61"/>
        <v>1</v>
      </c>
      <c r="Y158" s="62">
        <f t="shared" si="51"/>
        <v>4.3299999999999998E-2</v>
      </c>
      <c r="Z158" s="62">
        <f t="shared" si="52"/>
        <v>23.333400000000001</v>
      </c>
      <c r="AA158" s="62">
        <f t="shared" si="53"/>
        <v>23.290100000000002</v>
      </c>
      <c r="AB158" s="59" t="e">
        <f>VLOOKUP(A158,Enforcements!$C$7:$K$13,8,0)</f>
        <v>#N/A</v>
      </c>
      <c r="AC158" s="55" t="e">
        <f>VLOOKUP(A158,Enforcements!$C$7:$E$13,3,0)</f>
        <v>#N/A</v>
      </c>
      <c r="AD158" s="56" t="str">
        <f t="shared" si="54"/>
        <v>0245-17</v>
      </c>
      <c r="AE158" s="85" t="str">
        <f t="shared" si="55"/>
        <v>aws s3 cp s3://rtdc.mdm.uploadarchive.raw/RTDC4053/ "%USERPROFILE%\AppData\Local\Temp\OnboardLogs"\RTDC4053\2017-03-18 --exclude "*" --recursive --include "*20170318*" &amp; "%USERPROFILE%\Documents\GitHub\mrs-test-scripts\Headless Mode &amp; Sideloading\WalkAndUnGZ.bat" "%USERPROFILE%\AppData\Local\Temp\OnboardLogs"\RTDC4053\2017-03-18 &amp; aws s3 cp s3://rtdc.mdm.uploadarchive.raw/RTDC4053/ "%USERPROFILE%\AppData\Local\Temp\OnboardLogs"\RTDC4053\2017-03-19 --exclude "*" --recursive --include "*20170319*" &amp; "%USERPROFILE%\Documents\GitHub\mrs-test-scripts\Headless Mode &amp; Sideloading\WalkAndUnGZ.bat" "%USERPROFILE%\AppData\Local\Temp\OnboardLogs"\RTDC4053\2017-03-19</v>
      </c>
      <c r="AF158" s="82" t="str">
        <f t="shared" si="56"/>
        <v>"C:\Program Files (x86)\AstroGrep\AstroGrep.exe" /e /r /s /spath="%USERPROFILE%\AppData\Local\Temp\OnboardLogs" /stypes="app*4053*20170318*" /stext=" 07:.+((SYSTEM_STATE.+slice.+state.+changed )|(ment ac)|(multiple cpu faults)|(system.+state.+changed )|(\[timeout)|(PRM\|1\|D)|(kpr)|(kdp)|(\|lc)|(penalty))"</v>
      </c>
      <c r="AG158" s="1" t="str">
        <f t="shared" si="57"/>
        <v>EC</v>
      </c>
      <c r="AH158" s="86" t="str">
        <f t="shared" si="58"/>
        <v>"%USERPROFILE%\Documents\GitHub\eaglep3\Utilities\RefineRTDCRunTimes.py" --tripid 245-17 --locoid 4053 --swversion DE.1.0.9.0 --startMP 204:433 --initTime 2017-03-18T00:55:37 --startdatetime 2017-03-18T01:00:15 --delay 2 --endMP 204:233334 --enddatetime 2017-03-18T01:37:00 --enforcementcount 0 &gt;&gt;C:\Users\stu\Documents\GitHub\eaglep3-reporting\EC\2017-03-17-refined-times.txt</v>
      </c>
      <c r="AI158" s="108" t="str">
        <f t="shared" si="59"/>
        <v>echo {"issue":{"subject":"","project_id":79,"tracker_id":40,"status_id":1,"priority_id":2,"assigned_to_id":23,"start_date":"2017-03-18","description":"","custom_fields":[{"id":1,"name":"Subdivision","value":"EC"},{"id":4,"name":"Milepost","value":"23.3334"},{"id":17,"name":"Train ID","value":"245-17"},{"id":16,"name":"Locomotive ID","value":"4053"},{"id":130,"name":"Impact","value":""},{"id":150,"name":"Time of Event (Mountain Time)","value":"01:37:00"},{"id":151,"name":"Denver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48"/>
      <c r="AK158" s="48"/>
      <c r="AL158" s="48"/>
      <c r="AM158" s="154" t="str">
        <f t="shared" si="60"/>
        <v>start /low /b %USERPROFILE%\Documents\GitHub\eaglep3\Utilities\DownloadLogsFromS3.py --loco 4053 --day 2017-03-18</v>
      </c>
      <c r="AN158" s="163" t="str">
        <f>"grep -SE -B400 ""CHR.+\|PRM\|1\|D.+(SWITCH|SIGNAL).+UNKNOWN"" "&amp;search_path&amp;"\RTDC"&amp;B158&amp;"\*"&amp;B158&amp;"*"&amp;TEXT(AVERAGE(F158,I158)-utc_offset/24,"YYYYMMDD")&amp;"*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"%USERPROFILE%\AppData\Local\Temp\OnboardLogs"\RTDC4053\*4053*20170318* | grep -SE "(Enforcement Action)|(\[TIMEOUT)|(CHR.+\|PRM\|1\|D.+(SWITCH|SIGNAL).+UNKNOWN)" - &gt;&gt; 2017-03-17-UncaughtWiMAX.txt</v>
      </c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0" customFormat="1" x14ac:dyDescent="0.25">
      <c r="A159" s="33" t="s">
        <v>846</v>
      </c>
      <c r="B159" s="7">
        <v>4054</v>
      </c>
      <c r="C159" s="21" t="s">
        <v>227</v>
      </c>
      <c r="D159" s="21" t="s">
        <v>569</v>
      </c>
      <c r="E159" s="13">
        <v>42812.076886574076</v>
      </c>
      <c r="F159" s="13">
        <v>42812.080949074072</v>
      </c>
      <c r="G159" s="7">
        <v>1</v>
      </c>
      <c r="H159" s="21" t="s">
        <v>219</v>
      </c>
      <c r="I159" s="13">
        <v>42812.108761574076</v>
      </c>
      <c r="J159" s="7">
        <v>0</v>
      </c>
      <c r="K159" s="98" t="str">
        <f t="shared" si="46"/>
        <v>4053/4054</v>
      </c>
      <c r="L159" s="21" t="str">
        <f>VLOOKUP(A159,'Trips&amp;Operators'!$C$1:$G$99999,5,FALSE)</f>
        <v>BROWN JACOB</v>
      </c>
      <c r="M159" s="6">
        <f t="shared" si="47"/>
        <v>2.7812500004074536E-2</v>
      </c>
      <c r="N159" s="7">
        <f t="shared" ref="N159:N190" si="63">24*60*SUM($M159:$M159)</f>
        <v>40.050000005867332</v>
      </c>
      <c r="O159" s="7"/>
      <c r="P159" s="7"/>
      <c r="Q159" s="22"/>
      <c r="R159" s="22"/>
      <c r="S159" s="31">
        <f t="shared" si="62"/>
        <v>1</v>
      </c>
      <c r="T159" s="46" t="str">
        <f t="shared" si="48"/>
        <v>Southbound</v>
      </c>
      <c r="U159" s="185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12</v>
      </c>
      <c r="V159" s="186" t="str">
        <f t="shared" si="49"/>
        <v>https://d0f6bd738d7f1b3e5a7ca70fe4ff75f0.us-east-1.aws.found.io/app/kibana#/discover/Steve-Slow-Train-Analysis-(2080s-and-2083s)?_g=(refreshInterval:(display:Off,pause:!f,section:0,value:0),time:(from:'2017-03-18T00:50:43-0600',mode:absolute,to:'2017-03-18T03:36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59" s="187" t="str">
        <f t="shared" si="50"/>
        <v>N</v>
      </c>
      <c r="X159" s="187">
        <f t="shared" si="61"/>
        <v>1</v>
      </c>
      <c r="Y159" s="62">
        <f t="shared" si="51"/>
        <v>23.300799999999999</v>
      </c>
      <c r="Z159" s="62">
        <f t="shared" si="52"/>
        <v>1.5599999999999999E-2</v>
      </c>
      <c r="AA159" s="62">
        <f t="shared" si="53"/>
        <v>23.2852</v>
      </c>
      <c r="AB159" s="59" t="e">
        <f>VLOOKUP(A159,Enforcements!$C$7:$K$13,8,0)</f>
        <v>#N/A</v>
      </c>
      <c r="AC159" s="55" t="e">
        <f>VLOOKUP(A159,Enforcements!$C$7:$E$13,3,0)</f>
        <v>#N/A</v>
      </c>
      <c r="AD159" s="56" t="str">
        <f t="shared" si="54"/>
        <v>0246-17</v>
      </c>
      <c r="AE159" s="85" t="str">
        <f t="shared" si="55"/>
        <v>aws s3 cp s3://rtdc.mdm.uploadarchive.raw/RTDC4054/ "%USERPROFILE%\AppData\Local\Temp\OnboardLogs"\RTDC4054\2017-03-18 --exclude "*" --recursive --include "*20170318*" &amp; "%USERPROFILE%\Documents\GitHub\mrs-test-scripts\Headless Mode &amp; Sideloading\WalkAndUnGZ.bat" "%USERPROFILE%\AppData\Local\Temp\OnboardLogs"\RTDC4054\2017-03-18 &amp; aws s3 cp s3://rtdc.mdm.uploadarchive.raw/RTDC4054/ "%USERPROFILE%\AppData\Local\Temp\OnboardLogs"\RTDC4054\2017-03-19 --exclude "*" --recursive --include "*20170319*" &amp; "%USERPROFILE%\Documents\GitHub\mrs-test-scripts\Headless Mode &amp; Sideloading\WalkAndUnGZ.bat" "%USERPROFILE%\AppData\Local\Temp\OnboardLogs"\RTDC4054\2017-03-19</v>
      </c>
      <c r="AF159" s="82" t="str">
        <f t="shared" si="56"/>
        <v>"C:\Program Files (x86)\AstroGrep\AstroGrep.exe" /e /r /s /spath="%USERPROFILE%\AppData\Local\Temp\OnboardLogs" /stypes="app*4054*20170318*" /stext=" 08:.+((SYSTEM_STATE.+slice.+state.+changed )|(ment ac)|(multiple cpu faults)|(system.+state.+changed )|(\[timeout)|(PRM\|1\|D)|(kpr)|(kdp)|(\|lc)|(penalty))"</v>
      </c>
      <c r="AG159" s="1" t="str">
        <f t="shared" si="57"/>
        <v>EC</v>
      </c>
      <c r="AH159" s="86" t="str">
        <f t="shared" si="58"/>
        <v>"%USERPROFILE%\Documents\GitHub\eaglep3\Utilities\RefineRTDCRunTimes.py" --tripid 246-17 --locoid 4054 --swversion DE.1.0.9.0 --startMP 204:233008 --initTime 2017-03-18T01:50:43 --startdatetime 2017-03-18T01:56:34 --delay 1 --endMP 204:156 --enddatetime 2017-03-18T02:36:37 --enforcementcount 0 &gt;&gt;C:\Users\stu\Documents\GitHub\eaglep3-reporting\EC\2017-03-17-refined-times.txt</v>
      </c>
      <c r="AI159" s="108" t="str">
        <f t="shared" si="59"/>
        <v>echo {"issue":{"subject":"","project_id":79,"tracker_id":40,"status_id":1,"priority_id":2,"assigned_to_id":23,"start_date":"2017-03-18","description":"","custom_fields":[{"id":1,"name":"Subdivision","value":"EC"},{"id":4,"name":"Milepost","value":"0.0156"},{"id":17,"name":"Train ID","value":"246-17"},{"id":16,"name":"Locomotive ID","value":"4054"},{"id":130,"name":"Impact","value":""},{"id":150,"name":"Time of Event (Mountain Time)","value":"02:36:37"},{"id":151,"name":"Denver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48"/>
      <c r="AK159" s="48"/>
      <c r="AL159" s="48"/>
      <c r="AM159" s="154" t="str">
        <f t="shared" si="60"/>
        <v>start /low /b %USERPROFILE%\Documents\GitHub\eaglep3\Utilities\DownloadLogsFromS3.py --loco 4054 --day 2017-03-18</v>
      </c>
      <c r="AN159" s="163" t="str">
        <f>"grep -SE -B400 ""CHR.+\|PRM\|1\|D.+(SWITCH|SIGNAL).+UNKNOWN"" "&amp;search_path&amp;"\RTDC"&amp;B159&amp;"\*"&amp;B159&amp;"*"&amp;TEXT(AVERAGE(F159,I159)-utc_offset/24,"YYYYMMDD")&amp;"*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"%USERPROFILE%\AppData\Local\Temp\OnboardLogs"\RTDC4054\*4054*20170318* | grep -SE "(Enforcement Action)|(\[TIMEOUT)|(CHR.+\|PRM\|1\|D.+(SWITCH|SIGNAL).+UNKNOWN)" - &gt;&gt; 2017-03-17-UncaughtWiMAX.txt</v>
      </c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0" customFormat="1" x14ac:dyDescent="0.25">
      <c r="A160" s="33" t="s">
        <v>663</v>
      </c>
      <c r="B160" s="7">
        <v>4013</v>
      </c>
      <c r="C160" s="21" t="s">
        <v>227</v>
      </c>
      <c r="D160" s="21" t="s">
        <v>942</v>
      </c>
      <c r="E160" s="13">
        <v>42811.209293981483</v>
      </c>
      <c r="F160" s="13">
        <v>42811.211111111108</v>
      </c>
      <c r="G160" s="7">
        <v>1</v>
      </c>
      <c r="H160" s="21" t="s">
        <v>943</v>
      </c>
      <c r="I160" s="13">
        <v>42811.225254629629</v>
      </c>
      <c r="J160" s="7">
        <v>0</v>
      </c>
      <c r="K160" s="98" t="str">
        <f t="shared" si="46"/>
        <v>4013/4014</v>
      </c>
      <c r="L160" s="21" t="str">
        <f>VLOOKUP(A160,'Trips&amp;Operators'!$C$1:$G$99999,5,FALSE)</f>
        <v>GEBRETEKLE DAGNEW</v>
      </c>
      <c r="M160" s="6">
        <f t="shared" si="47"/>
        <v>1.414351852145046E-2</v>
      </c>
      <c r="N160" s="7">
        <f t="shared" si="63"/>
        <v>20.366666670888662</v>
      </c>
      <c r="O160" s="7"/>
      <c r="P160" s="7"/>
      <c r="Q160" s="22"/>
      <c r="R160" s="22"/>
      <c r="S160" s="31">
        <f t="shared" si="62"/>
        <v>1</v>
      </c>
      <c r="T160" s="46" t="str">
        <f t="shared" si="48"/>
        <v>Southbound</v>
      </c>
      <c r="U160" s="185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186" t="str">
        <f t="shared" si="49"/>
        <v>https://d0f6bd738d7f1b3e5a7ca70fe4ff75f0.us-east-1.aws.found.io/app/kibana#/discover/Steve-Slow-Train-Analysis-(2080s-and-2083s)?_g=(refreshInterval:(display:Off,pause:!f,section:0,value:0),time:(from:'2017-03-17T04:01:23-0600',mode:absolute,to:'2017-03-17T06:24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60" s="187" t="str">
        <f t="shared" si="50"/>
        <v>N</v>
      </c>
      <c r="X160" s="187">
        <f t="shared" si="61"/>
        <v>554</v>
      </c>
      <c r="Y160" s="62">
        <f t="shared" si="51"/>
        <v>5.8672000000000004</v>
      </c>
      <c r="Z160" s="62">
        <f t="shared" si="52"/>
        <v>6.9199999999999998E-2</v>
      </c>
      <c r="AA160" s="62">
        <f t="shared" si="53"/>
        <v>5.798</v>
      </c>
      <c r="AB160" s="59" t="e">
        <f>VLOOKUP(A160,Enforcements!$C$7:$K$13,8,0)</f>
        <v>#N/A</v>
      </c>
      <c r="AC160" s="55" t="e">
        <f>VLOOKUP(A160,Enforcements!$C$7:$E$13,3,0)</f>
        <v>#N/A</v>
      </c>
      <c r="AD160" s="56" t="str">
        <f t="shared" si="54"/>
        <v>0800-17</v>
      </c>
      <c r="AE160" s="85" t="str">
        <f t="shared" si="55"/>
        <v>aws s3 cp s3://rtdc.mdm.uploadarchive.raw/RTDC4013/ "%USERPROFILE%\AppData\Local\Temp\OnboardLogs"\RTDC4013\2017-03-17 --exclude "*" --recursive --include "*20170317*" &amp; "%USERPROFILE%\Documents\GitHub\mrs-test-scripts\Headless Mode &amp; Sideloading\WalkAndUnGZ.bat" "%USERPROFILE%\AppData\Local\Temp\OnboardLogs"\RTDC4013\2017-03-17 &amp; aws s3 cp s3://rtdc.mdm.uploadarchive.raw/RTDC4013/ "%USERPROFILE%\AppData\Local\Temp\OnboardLogs"\RTDC4013\2017-03-18 --exclude "*" --recursive --include "*20170318*" &amp; "%USERPROFILE%\Documents\GitHub\mrs-test-scripts\Headless Mode &amp; Sideloading\WalkAndUnGZ.bat" "%USERPROFILE%\AppData\Local\Temp\OnboardLogs"\RTDC4013\2017-03-18</v>
      </c>
      <c r="AF160" s="82" t="str">
        <f t="shared" si="56"/>
        <v>"C:\Program Files (x86)\AstroGrep\AstroGrep.exe" /e /r /s /spath="%USERPROFILE%\AppData\Local\Temp\OnboardLogs" /stypes="app*4013*20170317*" /stext=" 11:.+((SYSTEM_STATE.+slice.+state.+changed )|(ment ac)|(multiple cpu faults)|(system.+state.+changed )|(\[timeout)|(PRM\|1\|D)|(kpr)|(kdp)|(\|lc)|(penalty))"</v>
      </c>
      <c r="AG160" s="1" t="str">
        <f t="shared" si="57"/>
        <v>NW</v>
      </c>
      <c r="AH160" s="86" t="str">
        <f t="shared" si="58"/>
        <v>"%USERPROFILE%\Documents\GitHub\eaglep3\Utilities\RefineRTDCRunTimes.py" --tripid 800-17 --locoid 4013 --swversion DE.1.0.9.0 --startMP 300:58672 --initTime 2017-03-17T05:01:23 --startdatetime 2017-03-17T05:04:00 --delay 1 --endMP 204:692 --enddatetime 2017-03-17T05:24:22 --enforcementcount 0 &gt;&gt;C:\Users\stu\Documents\GitHub\eaglep3-reporting\EC\2017-03-17-refined-times.txt</v>
      </c>
      <c r="AI160" s="108" t="str">
        <f t="shared" si="59"/>
        <v>echo {"issue":{"subject":"","project_id":79,"tracker_id":40,"status_id":1,"priority_id":2,"assigned_to_id":23,"start_date":"2017-03-17","description":"","custom_fields":[{"id":1,"name":"Subdivision","value":"NW"},{"id":4,"name":"Milepost","value":"0.0692"},{"id":17,"name":"Train ID","value":"800-17"},{"id":16,"name":"Locomotive ID","value":"4013"},{"id":130,"name":"Impact","value":""},{"id":150,"name":"Time of Event (Mountain Time)","value":"05:24:22"},{"id":151,"name":"Denver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48"/>
      <c r="AK160" s="48"/>
      <c r="AL160" s="48"/>
      <c r="AM160" s="154" t="str">
        <f t="shared" si="60"/>
        <v>start /low /b %USERPROFILE%\Documents\GitHub\eaglep3\Utilities\DownloadLogsFromS3.py --loco 4013 --day 2017-03-17</v>
      </c>
      <c r="AN160" s="163" t="str">
        <f>"grep -SE -B400 ""CHR.+\|PRM\|1\|D.+(SWITCH|SIGNAL).+UNKNOWN"" "&amp;search_path&amp;"\RTDC"&amp;B160&amp;"\*"&amp;B160&amp;"*"&amp;TEXT(AVERAGE(F160,I160)-utc_offset/24,"YYYYMMDD")&amp;"*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"%USERPROFILE%\AppData\Local\Temp\OnboardLogs"\RTDC4013\*4013*20170317* | grep -SE "(Enforcement Action)|(\[TIMEOUT)|(CHR.+\|PRM\|1\|D.+(SWITCH|SIGNAL).+UNKNOWN)" - &gt;&gt; 2017-03-17-UncaughtWiMAX.txt</v>
      </c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20" customFormat="1" x14ac:dyDescent="0.25">
      <c r="A161" s="33" t="s">
        <v>666</v>
      </c>
      <c r="B161" s="7">
        <v>4014</v>
      </c>
      <c r="C161" s="21" t="s">
        <v>227</v>
      </c>
      <c r="D161" s="21" t="s">
        <v>586</v>
      </c>
      <c r="E161" s="13">
        <v>42811.226875</v>
      </c>
      <c r="F161" s="13">
        <v>42811.243946759256</v>
      </c>
      <c r="G161" s="7">
        <v>1</v>
      </c>
      <c r="H161" s="21" t="s">
        <v>944</v>
      </c>
      <c r="I161" s="13">
        <v>42811.253217592595</v>
      </c>
      <c r="J161" s="7">
        <v>0</v>
      </c>
      <c r="K161" s="98" t="str">
        <f t="shared" si="46"/>
        <v>4013/4014</v>
      </c>
      <c r="L161" s="21" t="str">
        <f>VLOOKUP(A161,'Trips&amp;Operators'!$C$1:$G$99999,5,FALSE)</f>
        <v>GEBRETEKLE DAGNEW</v>
      </c>
      <c r="M161" s="6">
        <f t="shared" si="47"/>
        <v>9.2708333395421505E-3</v>
      </c>
      <c r="N161" s="7">
        <f t="shared" si="63"/>
        <v>13.350000008940697</v>
      </c>
      <c r="O161" s="7"/>
      <c r="P161" s="7"/>
      <c r="Q161" s="22"/>
      <c r="R161" s="22"/>
      <c r="S161" s="31">
        <f t="shared" si="62"/>
        <v>1</v>
      </c>
      <c r="T161" s="46" t="str">
        <f t="shared" si="48"/>
        <v>NorthBound</v>
      </c>
      <c r="U161" s="185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86" t="str">
        <f t="shared" si="49"/>
        <v>https://d0f6bd738d7f1b3e5a7ca70fe4ff75f0.us-east-1.aws.found.io/app/kibana#/discover/Steve-Slow-Train-Analysis-(2080s-and-2083s)?_g=(refreshInterval:(display:Off,pause:!f,section:0,value:0),time:(from:'2017-03-17T04:26:42-0600',mode:absolute,to:'2017-03-17T07:04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61" s="187" t="str">
        <f t="shared" si="50"/>
        <v>N</v>
      </c>
      <c r="X161" s="187">
        <f t="shared" si="61"/>
        <v>1</v>
      </c>
      <c r="Y161" s="62">
        <f t="shared" si="51"/>
        <v>9.74E-2</v>
      </c>
      <c r="Z161" s="62">
        <f t="shared" si="52"/>
        <v>5.9006999999999996</v>
      </c>
      <c r="AA161" s="62">
        <f t="shared" si="53"/>
        <v>5.8032999999999992</v>
      </c>
      <c r="AB161" s="59" t="e">
        <f>VLOOKUP(A161,Enforcements!$C$7:$K$13,8,0)</f>
        <v>#N/A</v>
      </c>
      <c r="AC161" s="55" t="e">
        <f>VLOOKUP(A161,Enforcements!$C$7:$E$13,3,0)</f>
        <v>#N/A</v>
      </c>
      <c r="AD161" s="56" t="str">
        <f t="shared" si="54"/>
        <v>0801-17</v>
      </c>
      <c r="AE161" s="85" t="str">
        <f t="shared" si="55"/>
        <v>aws s3 cp s3://rtdc.mdm.uploadarchive.raw/RTDC4014/ "%USERPROFILE%\AppData\Local\Temp\OnboardLogs"\RTDC4014\2017-03-17 --exclude "*" --recursive --include "*20170317*" &amp; "%USERPROFILE%\Documents\GitHub\mrs-test-scripts\Headless Mode &amp; Sideloading\WalkAndUnGZ.bat" "%USERPROFILE%\AppData\Local\Temp\OnboardLogs"\RTDC4014\2017-03-17 &amp; aws s3 cp s3://rtdc.mdm.uploadarchive.raw/RTDC4014/ "%USERPROFILE%\AppData\Local\Temp\OnboardLogs"\RTDC4014\2017-03-18 --exclude "*" --recursive --include "*20170318*" &amp; "%USERPROFILE%\Documents\GitHub\mrs-test-scripts\Headless Mode &amp; Sideloading\WalkAndUnGZ.bat" "%USERPROFILE%\AppData\Local\Temp\OnboardLogs"\RTDC4014\2017-03-18</v>
      </c>
      <c r="AF161" s="82" t="str">
        <f t="shared" si="56"/>
        <v>"C:\Program Files (x86)\AstroGrep\AstroGrep.exe" /e /r /s /spath="%USERPROFILE%\AppData\Local\Temp\OnboardLogs" /stypes="app*4014*20170317*" /stext=" 12:.+((SYSTEM_STATE.+slice.+state.+changed )|(ment ac)|(multiple cpu faults)|(system.+state.+changed )|(\[timeout)|(PRM\|1\|D)|(kpr)|(kdp)|(\|lc)|(penalty))"</v>
      </c>
      <c r="AG161" s="1" t="str">
        <f t="shared" si="57"/>
        <v>NW</v>
      </c>
      <c r="AH161" s="86" t="str">
        <f t="shared" si="58"/>
        <v>"%USERPROFILE%\Documents\GitHub\eaglep3\Utilities\RefineRTDCRunTimes.py" --tripid 801-17 --locoid 4014 --swversion DE.1.0.9.0 --startMP 204:974 --initTime 2017-03-17T05:26:42 --startdatetime 2017-03-17T05:51:17 --delay 1 --endMP 300:59007 --enddatetime 2017-03-17T06:04:38 --enforcementcount 0 &gt;&gt;C:\Users\stu\Documents\GitHub\eaglep3-reporting\EC\2017-03-17-refined-times.txt</v>
      </c>
      <c r="AI161" s="108" t="str">
        <f t="shared" si="59"/>
        <v>echo {"issue":{"subject":"","project_id":79,"tracker_id":40,"status_id":1,"priority_id":2,"assigned_to_id":23,"start_date":"2017-03-17","description":"","custom_fields":[{"id":1,"name":"Subdivision","value":"NW"},{"id":4,"name":"Milepost","value":"5.9007"},{"id":17,"name":"Train ID","value":"801-17"},{"id":16,"name":"Locomotive ID","value":"4014"},{"id":130,"name":"Impact","value":""},{"id":150,"name":"Time of Event (Mountain Time)","value":"06:04:38"},{"id":151,"name":"Denver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48"/>
      <c r="AK161" s="48"/>
      <c r="AL161" s="48"/>
      <c r="AM161" s="154" t="str">
        <f t="shared" si="60"/>
        <v>start /low /b %USERPROFILE%\Documents\GitHub\eaglep3\Utilities\DownloadLogsFromS3.py --loco 4014 --day 2017-03-17</v>
      </c>
      <c r="AN161" s="163" t="str">
        <f>"grep -SE -B400 ""CHR.+\|PRM\|1\|D.+(SWITCH|SIGNAL).+UNKNOWN"" "&amp;search_path&amp;"\RTDC"&amp;B161&amp;"\*"&amp;B161&amp;"*"&amp;TEXT(AVERAGE(F161,I161)-utc_offset/24,"YYYYMMDD")&amp;"*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"%USERPROFILE%\AppData\Local\Temp\OnboardLogs"\RTDC4014\*4014*20170317* | grep -SE "(Enforcement Action)|(\[TIMEOUT)|(CHR.+\|PRM\|1\|D.+(SWITCH|SIGNAL).+UNKNOWN)" - &gt;&gt; 2017-03-17-UncaughtWiMAX.txt</v>
      </c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x14ac:dyDescent="0.25">
      <c r="A162" s="33" t="s">
        <v>673</v>
      </c>
      <c r="B162" s="7">
        <v>4013</v>
      </c>
      <c r="C162" s="21" t="s">
        <v>227</v>
      </c>
      <c r="D162" s="21" t="s">
        <v>945</v>
      </c>
      <c r="E162" s="13">
        <v>42811.254548611112</v>
      </c>
      <c r="F162" s="13">
        <v>42811.25640046296</v>
      </c>
      <c r="G162" s="7">
        <v>1</v>
      </c>
      <c r="H162" s="21" t="s">
        <v>946</v>
      </c>
      <c r="I162" s="13">
        <v>42811.267442129632</v>
      </c>
      <c r="J162" s="7">
        <v>0</v>
      </c>
      <c r="K162" s="98" t="str">
        <f t="shared" si="46"/>
        <v>4013/4014</v>
      </c>
      <c r="L162" s="21" t="str">
        <f>VLOOKUP(A162,'Trips&amp;Operators'!$C$1:$G$99999,5,FALSE)</f>
        <v>GEBRETEKLE DAGNEW</v>
      </c>
      <c r="M162" s="6">
        <f t="shared" si="47"/>
        <v>1.1041666672099382E-2</v>
      </c>
      <c r="N162" s="7">
        <f t="shared" si="63"/>
        <v>15.90000000782311</v>
      </c>
      <c r="O162" s="7"/>
      <c r="P162" s="7"/>
      <c r="Q162" s="22"/>
      <c r="R162" s="22"/>
      <c r="S162" s="31">
        <f t="shared" si="62"/>
        <v>1</v>
      </c>
      <c r="T162" s="46" t="str">
        <f t="shared" si="48"/>
        <v>Southbound</v>
      </c>
      <c r="U162" s="185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86" t="str">
        <f t="shared" si="49"/>
        <v>https://d0f6bd738d7f1b3e5a7ca70fe4ff75f0.us-east-1.aws.found.io/app/kibana#/discover/Steve-Slow-Train-Analysis-(2080s-and-2083s)?_g=(refreshInterval:(display:Off,pause:!f,section:0,value:0),time:(from:'2017-03-17T05:06:33-0600',mode:absolute,to:'2017-03-17T07:25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62" s="187" t="str">
        <f t="shared" si="50"/>
        <v>N</v>
      </c>
      <c r="X162" s="187">
        <f t="shared" si="61"/>
        <v>1</v>
      </c>
      <c r="Y162" s="62">
        <f t="shared" si="51"/>
        <v>5.8686999999999996</v>
      </c>
      <c r="Z162" s="62">
        <f t="shared" si="52"/>
        <v>7.0599999999999996E-2</v>
      </c>
      <c r="AA162" s="62">
        <f t="shared" si="53"/>
        <v>5.7980999999999998</v>
      </c>
      <c r="AB162" s="59" t="e">
        <f>VLOOKUP(A162,Enforcements!$C$7:$K$13,8,0)</f>
        <v>#N/A</v>
      </c>
      <c r="AC162" s="55" t="e">
        <f>VLOOKUP(A162,Enforcements!$C$7:$E$13,3,0)</f>
        <v>#N/A</v>
      </c>
      <c r="AD162" s="56" t="str">
        <f t="shared" si="54"/>
        <v>0802-17</v>
      </c>
      <c r="AE162" s="85" t="str">
        <f t="shared" si="55"/>
        <v>aws s3 cp s3://rtdc.mdm.uploadarchive.raw/RTDC4013/ "%USERPROFILE%\AppData\Local\Temp\OnboardLogs"\RTDC4013\2017-03-17 --exclude "*" --recursive --include "*20170317*" &amp; "%USERPROFILE%\Documents\GitHub\mrs-test-scripts\Headless Mode &amp; Sideloading\WalkAndUnGZ.bat" "%USERPROFILE%\AppData\Local\Temp\OnboardLogs"\RTDC4013\2017-03-17 &amp; aws s3 cp s3://rtdc.mdm.uploadarchive.raw/RTDC4013/ "%USERPROFILE%\AppData\Local\Temp\OnboardLogs"\RTDC4013\2017-03-18 --exclude "*" --recursive --include "*20170318*" &amp; "%USERPROFILE%\Documents\GitHub\mrs-test-scripts\Headless Mode &amp; Sideloading\WalkAndUnGZ.bat" "%USERPROFILE%\AppData\Local\Temp\OnboardLogs"\RTDC4013\2017-03-18</v>
      </c>
      <c r="AF162" s="82" t="str">
        <f t="shared" si="56"/>
        <v>"C:\Program Files (x86)\AstroGrep\AstroGrep.exe" /e /r /s /spath="%USERPROFILE%\AppData\Local\Temp\OnboardLogs" /stypes="app*4013*20170317*" /stext=" 12:.+((SYSTEM_STATE.+slice.+state.+changed )|(ment ac)|(multiple cpu faults)|(system.+state.+changed )|(\[timeout)|(PRM\|1\|D)|(kpr)|(kdp)|(\|lc)|(penalty))"</v>
      </c>
      <c r="AG162" s="1" t="str">
        <f t="shared" si="57"/>
        <v>NW</v>
      </c>
      <c r="AH162" s="86" t="str">
        <f t="shared" si="58"/>
        <v>"%USERPROFILE%\Documents\GitHub\eaglep3\Utilities\RefineRTDCRunTimes.py" --tripid 802-17 --locoid 4013 --swversion DE.1.0.9.0 --startMP 300:58687 --initTime 2017-03-17T06:06:33 --startdatetime 2017-03-17T06:09:13 --delay 1 --endMP 204:706 --enddatetime 2017-03-17T06:25:07 --enforcementcount 0 &gt;&gt;C:\Users\stu\Documents\GitHub\eaglep3-reporting\EC\2017-03-17-refined-times.txt</v>
      </c>
      <c r="AI162" s="108" t="str">
        <f t="shared" si="59"/>
        <v>echo {"issue":{"subject":"","project_id":79,"tracker_id":40,"status_id":1,"priority_id":2,"assigned_to_id":23,"start_date":"2017-03-17","description":"","custom_fields":[{"id":1,"name":"Subdivision","value":"NW"},{"id":4,"name":"Milepost","value":"0.0706"},{"id":17,"name":"Train ID","value":"802-17"},{"id":16,"name":"Locomotive ID","value":"4013"},{"id":130,"name":"Impact","value":""},{"id":150,"name":"Time of Event (Mountain Time)","value":"06:25:07"},{"id":151,"name":"Denver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48"/>
      <c r="AK162" s="48"/>
      <c r="AL162" s="48"/>
      <c r="AM162" s="154" t="str">
        <f t="shared" si="60"/>
        <v>start /low /b %USERPROFILE%\Documents\GitHub\eaglep3\Utilities\DownloadLogsFromS3.py --loco 4013 --day 2017-03-17</v>
      </c>
      <c r="AN162" s="163" t="str">
        <f>"grep -SE -B400 ""CHR.+\|PRM\|1\|D.+(SWITCH|SIGNAL).+UNKNOWN"" "&amp;search_path&amp;"\RTDC"&amp;B162&amp;"\*"&amp;B162&amp;"*"&amp;TEXT(AVERAGE(F162,I162)-utc_offset/24,"YYYYMMDD")&amp;"*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"%USERPROFILE%\AppData\Local\Temp\OnboardLogs"\RTDC4013\*4013*20170317* | grep -SE "(Enforcement Action)|(\[TIMEOUT)|(CHR.+\|PRM\|1\|D.+(SWITCH|SIGNAL).+UNKNOWN)" - &gt;&gt; 2017-03-17-UncaughtWiMAX.txt</v>
      </c>
    </row>
    <row r="163" spans="1:91" x14ac:dyDescent="0.25">
      <c r="A163" s="33" t="s">
        <v>675</v>
      </c>
      <c r="B163" s="7">
        <v>4044</v>
      </c>
      <c r="C163" s="21" t="s">
        <v>227</v>
      </c>
      <c r="D163" s="21" t="s">
        <v>947</v>
      </c>
      <c r="E163" s="13">
        <v>42811.26226851852</v>
      </c>
      <c r="F163" s="13">
        <v>42811.264780092592</v>
      </c>
      <c r="G163" s="7">
        <v>1</v>
      </c>
      <c r="H163" s="21" t="s">
        <v>948</v>
      </c>
      <c r="I163" s="13">
        <v>42811.274398148147</v>
      </c>
      <c r="J163" s="7">
        <v>0</v>
      </c>
      <c r="K163" s="98" t="str">
        <f t="shared" si="46"/>
        <v>4043/4044</v>
      </c>
      <c r="L163" s="21" t="str">
        <f>VLOOKUP(A163,'Trips&amp;Operators'!$C$1:$G$99999,5,FALSE)</f>
        <v>SHOOK JOHN</v>
      </c>
      <c r="M163" s="6">
        <f t="shared" si="47"/>
        <v>9.6180555556202307E-3</v>
      </c>
      <c r="N163" s="7">
        <f t="shared" si="63"/>
        <v>13.850000000093132</v>
      </c>
      <c r="O163" s="7"/>
      <c r="P163" s="7"/>
      <c r="Q163" s="22"/>
      <c r="R163" s="22"/>
      <c r="S163" s="31">
        <f t="shared" si="62"/>
        <v>1</v>
      </c>
      <c r="T163" s="46" t="str">
        <f t="shared" si="48"/>
        <v>NorthBound</v>
      </c>
      <c r="U163" s="185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86" t="str">
        <f t="shared" si="49"/>
        <v>https://d0f6bd738d7f1b3e5a7ca70fe4ff75f0.us-east-1.aws.found.io/app/kibana#/discover/Steve-Slow-Train-Analysis-(2080s-and-2083s)?_g=(refreshInterval:(display:Off,pause:!f,section:0,value:0),time:(from:'2017-03-17T05:17:40-0600',mode:absolute,to:'2017-03-17T07:35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63" s="187" t="str">
        <f t="shared" si="50"/>
        <v>N</v>
      </c>
      <c r="X163" s="187">
        <f t="shared" si="61"/>
        <v>1</v>
      </c>
      <c r="Y163" s="62">
        <f t="shared" si="51"/>
        <v>0.10299999999999999</v>
      </c>
      <c r="Z163" s="62">
        <f t="shared" si="52"/>
        <v>5.8997000000000002</v>
      </c>
      <c r="AA163" s="62">
        <f t="shared" si="53"/>
        <v>5.7967000000000004</v>
      </c>
      <c r="AB163" s="59" t="e">
        <f>VLOOKUP(A163,Enforcements!$C$7:$K$13,8,0)</f>
        <v>#N/A</v>
      </c>
      <c r="AC163" s="55" t="e">
        <f>VLOOKUP(A163,Enforcements!$C$7:$E$13,3,0)</f>
        <v>#N/A</v>
      </c>
      <c r="AD163" s="56" t="str">
        <f t="shared" si="54"/>
        <v>0803-17</v>
      </c>
      <c r="AE163" s="85" t="str">
        <f t="shared" si="55"/>
        <v>aws s3 cp s3://rtdc.mdm.uploadarchive.raw/RTDC4044/ "%USERPROFILE%\AppData\Local\Temp\OnboardLogs"\RTDC4044\2017-03-17 --exclude "*" --recursive --include "*20170317*" &amp; "%USERPROFILE%\Documents\GitHub\mrs-test-scripts\Headless Mode &amp; Sideloading\WalkAndUnGZ.bat" "%USERPROFILE%\AppData\Local\Temp\OnboardLogs"\RTDC4044\2017-03-17 &amp; aws s3 cp s3://rtdc.mdm.uploadarchive.raw/RTDC4044/ "%USERPROFILE%\AppData\Local\Temp\OnboardLogs"\RTDC4044\2017-03-18 --exclude "*" --recursive --include "*20170318*" &amp; "%USERPROFILE%\Documents\GitHub\mrs-test-scripts\Headless Mode &amp; Sideloading\WalkAndUnGZ.bat" "%USERPROFILE%\AppData\Local\Temp\OnboardLogs"\RTDC4044\2017-03-18</v>
      </c>
      <c r="AF163" s="82" t="str">
        <f t="shared" si="56"/>
        <v>"C:\Program Files (x86)\AstroGrep\AstroGrep.exe" /e /r /s /spath="%USERPROFILE%\AppData\Local\Temp\OnboardLogs" /stypes="app*4044*20170317*" /stext=" 12:.+((SYSTEM_STATE.+slice.+state.+changed )|(ment ac)|(multiple cpu faults)|(system.+state.+changed )|(\[timeout)|(PRM\|1\|D)|(kpr)|(kdp)|(\|lc)|(penalty))"</v>
      </c>
      <c r="AG163" s="1" t="str">
        <f t="shared" si="57"/>
        <v>NW</v>
      </c>
      <c r="AH163" s="86" t="str">
        <f t="shared" si="58"/>
        <v>"%USERPROFILE%\Documents\GitHub\eaglep3\Utilities\RefineRTDCRunTimes.py" --tripid 803-17 --locoid 4044 --swversion DE.1.0.9.0 --startMP 204:1030 --initTime 2017-03-17T06:17:40 --startdatetime 2017-03-17T06:21:17 --delay 1 --endMP 300:58997 --enddatetime 2017-03-17T06:35:08 --enforcementcount 0 &gt;&gt;C:\Users\stu\Documents\GitHub\eaglep3-reporting\EC\2017-03-17-refined-times.txt</v>
      </c>
      <c r="AI163" s="108" t="str">
        <f t="shared" si="59"/>
        <v>echo {"issue":{"subject":"","project_id":79,"tracker_id":40,"status_id":1,"priority_id":2,"assigned_to_id":23,"start_date":"2017-03-17","description":"","custom_fields":[{"id":1,"name":"Subdivision","value":"NW"},{"id":4,"name":"Milepost","value":"5.8997"},{"id":17,"name":"Train ID","value":"803-17"},{"id":16,"name":"Locomotive ID","value":"4044"},{"id":130,"name":"Impact","value":""},{"id":150,"name":"Time of Event (Mountain Time)","value":"06:35:08"},{"id":151,"name":"Denver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48"/>
      <c r="AK163" s="48"/>
      <c r="AL163" s="48"/>
      <c r="AM163" s="154" t="str">
        <f t="shared" si="60"/>
        <v>start /low /b %USERPROFILE%\Documents\GitHub\eaglep3\Utilities\DownloadLogsFromS3.py --loco 4044 --day 2017-03-17</v>
      </c>
      <c r="AN163" s="163" t="str">
        <f>"grep -SE -B400 ""CHR.+\|PRM\|1\|D.+(SWITCH|SIGNAL).+UNKNOWN"" "&amp;search_path&amp;"\RTDC"&amp;B163&amp;"\*"&amp;B163&amp;"*"&amp;TEXT(AVERAGE(F163,I163)-utc_offset/24,"YYYYMMDD")&amp;"*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"%USERPROFILE%\AppData\Local\Temp\OnboardLogs"\RTDC4044\*4044*20170317* | grep -SE "(Enforcement Action)|(\[TIMEOUT)|(CHR.+\|PRM\|1\|D.+(SWITCH|SIGNAL).+UNKNOWN)" - &gt;&gt; 2017-03-17-UncaughtWiMAX.txt</v>
      </c>
    </row>
    <row r="164" spans="1:91" x14ac:dyDescent="0.25">
      <c r="A164" s="33" t="s">
        <v>679</v>
      </c>
      <c r="B164" s="7">
        <v>4043</v>
      </c>
      <c r="C164" s="21" t="s">
        <v>227</v>
      </c>
      <c r="D164" s="21" t="s">
        <v>949</v>
      </c>
      <c r="E164" s="13">
        <v>42811.275960648149</v>
      </c>
      <c r="F164" s="13">
        <v>42811.278391203705</v>
      </c>
      <c r="G164" s="7">
        <v>1</v>
      </c>
      <c r="H164" s="21" t="s">
        <v>950</v>
      </c>
      <c r="I164" s="13">
        <v>42811.288622685184</v>
      </c>
      <c r="J164" s="7">
        <v>0</v>
      </c>
      <c r="K164" s="98" t="str">
        <f t="shared" si="46"/>
        <v>4043/4044</v>
      </c>
      <c r="L164" s="21" t="str">
        <f>VLOOKUP(A164,'Trips&amp;Operators'!$C$1:$G$99999,5,FALSE)</f>
        <v>SHOOK JOHN</v>
      </c>
      <c r="M164" s="6">
        <f t="shared" si="47"/>
        <v>1.0231481479422655E-2</v>
      </c>
      <c r="N164" s="7">
        <f t="shared" si="63"/>
        <v>14.733333330368623</v>
      </c>
      <c r="O164" s="7"/>
      <c r="P164" s="7"/>
      <c r="Q164" s="22"/>
      <c r="R164" s="22"/>
      <c r="S164" s="31">
        <f t="shared" si="62"/>
        <v>1</v>
      </c>
      <c r="T164" s="46" t="str">
        <f t="shared" si="48"/>
        <v>Southbound</v>
      </c>
      <c r="U164" s="185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86" t="str">
        <f t="shared" si="49"/>
        <v>https://d0f6bd738d7f1b3e5a7ca70fe4ff75f0.us-east-1.aws.found.io/app/kibana#/discover/Steve-Slow-Train-Analysis-(2080s-and-2083s)?_g=(refreshInterval:(display:Off,pause:!f,section:0,value:0),time:(from:'2017-03-17T05:37:23-0600',mode:absolute,to:'2017-03-17T07:55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64" s="187" t="str">
        <f t="shared" si="50"/>
        <v>N</v>
      </c>
      <c r="X164" s="187">
        <f t="shared" si="61"/>
        <v>1</v>
      </c>
      <c r="Y164" s="62">
        <f t="shared" si="51"/>
        <v>5.8678999999999997</v>
      </c>
      <c r="Z164" s="62">
        <f t="shared" si="52"/>
        <v>7.3300000000000004E-2</v>
      </c>
      <c r="AA164" s="62">
        <f t="shared" si="53"/>
        <v>5.7946</v>
      </c>
      <c r="AB164" s="59" t="e">
        <f>VLOOKUP(A164,Enforcements!$C$7:$K$13,8,0)</f>
        <v>#N/A</v>
      </c>
      <c r="AC164" s="55" t="e">
        <f>VLOOKUP(A164,Enforcements!$C$7:$E$13,3,0)</f>
        <v>#N/A</v>
      </c>
      <c r="AD164" s="56" t="str">
        <f t="shared" si="54"/>
        <v>0804-17</v>
      </c>
      <c r="AE164" s="85" t="str">
        <f t="shared" si="55"/>
        <v>aws s3 cp s3://rtdc.mdm.uploadarchive.raw/RTDC4043/ "%USERPROFILE%\AppData\Local\Temp\OnboardLogs"\RTDC4043\2017-03-17 --exclude "*" --recursive --include "*20170317*" &amp; "%USERPROFILE%\Documents\GitHub\mrs-test-scripts\Headless Mode &amp; Sideloading\WalkAndUnGZ.bat" "%USERPROFILE%\AppData\Local\Temp\OnboardLogs"\RTDC4043\2017-03-17 &amp; aws s3 cp s3://rtdc.mdm.uploadarchive.raw/RTDC4043/ "%USERPROFILE%\AppData\Local\Temp\OnboardLogs"\RTDC4043\2017-03-18 --exclude "*" --recursive --include "*20170318*" &amp; "%USERPROFILE%\Documents\GitHub\mrs-test-scripts\Headless Mode &amp; Sideloading\WalkAndUnGZ.bat" "%USERPROFILE%\AppData\Local\Temp\OnboardLogs"\RTDC4043\2017-03-18</v>
      </c>
      <c r="AF164" s="82" t="str">
        <f t="shared" si="56"/>
        <v>"C:\Program Files (x86)\AstroGrep\AstroGrep.exe" /e /r /s /spath="%USERPROFILE%\AppData\Local\Temp\OnboardLogs" /stypes="app*4043*20170317*" /stext=" 12:.+((SYSTEM_STATE.+slice.+state.+changed )|(ment ac)|(multiple cpu faults)|(system.+state.+changed )|(\[timeout)|(PRM\|1\|D)|(kpr)|(kdp)|(\|lc)|(penalty))"</v>
      </c>
      <c r="AG164" s="1" t="str">
        <f t="shared" si="57"/>
        <v>NW</v>
      </c>
      <c r="AH164" s="86" t="str">
        <f t="shared" si="58"/>
        <v>"%USERPROFILE%\Documents\GitHub\eaglep3\Utilities\RefineRTDCRunTimes.py" --tripid 804-17 --locoid 4043 --swversion DE.1.0.9.0 --startMP 300:58679 --initTime 2017-03-17T06:37:23 --startdatetime 2017-03-17T06:40:53 --delay 1 --endMP 204:733 --enddatetime 2017-03-17T06:55:37 --enforcementcount 0 &gt;&gt;C:\Users\stu\Documents\GitHub\eaglep3-reporting\EC\2017-03-17-refined-times.txt</v>
      </c>
      <c r="AI164" s="108" t="str">
        <f t="shared" si="59"/>
        <v>echo {"issue":{"subject":"","project_id":79,"tracker_id":40,"status_id":1,"priority_id":2,"assigned_to_id":23,"start_date":"2017-03-17","description":"","custom_fields":[{"id":1,"name":"Subdivision","value":"NW"},{"id":4,"name":"Milepost","value":"0.0733"},{"id":17,"name":"Train ID","value":"804-17"},{"id":16,"name":"Locomotive ID","value":"4043"},{"id":130,"name":"Impact","value":""},{"id":150,"name":"Time of Event (Mountain Time)","value":"06:55:37"},{"id":151,"name":"Denver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48"/>
      <c r="AK164" s="48"/>
      <c r="AL164" s="48"/>
      <c r="AM164" s="154" t="str">
        <f t="shared" si="60"/>
        <v>start /low /b %USERPROFILE%\Documents\GitHub\eaglep3\Utilities\DownloadLogsFromS3.py --loco 4043 --day 2017-03-17</v>
      </c>
      <c r="AN164" s="163" t="str">
        <f>"grep -SE -B400 ""CHR.+\|PRM\|1\|D.+(SWITCH|SIGNAL).+UNKNOWN"" "&amp;search_path&amp;"\RTDC"&amp;B164&amp;"\*"&amp;B164&amp;"*"&amp;TEXT(AVERAGE(F164,I164)-utc_offset/24,"YYYYMMDD")&amp;"*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"%USERPROFILE%\AppData\Local\Temp\OnboardLogs"\RTDC4043\*4043*20170317* | grep -SE "(Enforcement Action)|(\[TIMEOUT)|(CHR.+\|PRM\|1\|D.+(SWITCH|SIGNAL).+UNKNOWN)" - &gt;&gt; 2017-03-17-UncaughtWiMAX.txt</v>
      </c>
    </row>
    <row r="165" spans="1:91" x14ac:dyDescent="0.25">
      <c r="A165" s="33" t="s">
        <v>677</v>
      </c>
      <c r="B165" s="7">
        <v>4014</v>
      </c>
      <c r="C165" s="21" t="s">
        <v>227</v>
      </c>
      <c r="D165" s="21" t="s">
        <v>951</v>
      </c>
      <c r="E165" s="13">
        <v>42811.268680555557</v>
      </c>
      <c r="F165" s="13">
        <v>42811.285613425927</v>
      </c>
      <c r="G165" s="7">
        <v>1</v>
      </c>
      <c r="H165" s="21" t="s">
        <v>598</v>
      </c>
      <c r="I165" s="13">
        <v>42811.294351851851</v>
      </c>
      <c r="J165" s="7">
        <v>0</v>
      </c>
      <c r="K165" s="98" t="str">
        <f t="shared" si="46"/>
        <v>4013/4014</v>
      </c>
      <c r="L165" s="21" t="str">
        <f>VLOOKUP(A165,'Trips&amp;Operators'!$C$1:$G$99999,5,FALSE)</f>
        <v>GEBRETEKLE DAGNEW</v>
      </c>
      <c r="M165" s="6">
        <f t="shared" si="47"/>
        <v>8.7384259240934625E-3</v>
      </c>
      <c r="N165" s="7">
        <f t="shared" si="63"/>
        <v>12.583333330694586</v>
      </c>
      <c r="O165" s="7"/>
      <c r="P165" s="7"/>
      <c r="Q165" s="22"/>
      <c r="R165" s="22"/>
      <c r="S165" s="31">
        <f t="shared" si="62"/>
        <v>1</v>
      </c>
      <c r="T165" s="46" t="str">
        <f t="shared" si="48"/>
        <v>NorthBound</v>
      </c>
      <c r="U165" s="185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86" t="str">
        <f t="shared" si="49"/>
        <v>https://d0f6bd738d7f1b3e5a7ca70fe4ff75f0.us-east-1.aws.found.io/app/kibana#/discover/Steve-Slow-Train-Analysis-(2080s-and-2083s)?_g=(refreshInterval:(display:Off,pause:!f,section:0,value:0),time:(from:'2017-03-17T05:26:54-0600',mode:absolute,to:'2017-03-17T08:03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65" s="187" t="str">
        <f t="shared" si="50"/>
        <v>N</v>
      </c>
      <c r="X165" s="187">
        <f t="shared" si="61"/>
        <v>1</v>
      </c>
      <c r="Y165" s="62">
        <f t="shared" si="51"/>
        <v>9.9900000000000003E-2</v>
      </c>
      <c r="Z165" s="62">
        <f t="shared" si="52"/>
        <v>5.8986000000000001</v>
      </c>
      <c r="AA165" s="62">
        <f t="shared" si="53"/>
        <v>5.7987000000000002</v>
      </c>
      <c r="AB165" s="59" t="e">
        <f>VLOOKUP(A165,Enforcements!$C$7:$K$13,8,0)</f>
        <v>#N/A</v>
      </c>
      <c r="AC165" s="55" t="e">
        <f>VLOOKUP(A165,Enforcements!$C$7:$E$13,3,0)</f>
        <v>#N/A</v>
      </c>
      <c r="AD165" s="56" t="str">
        <f t="shared" si="54"/>
        <v>0805-17</v>
      </c>
      <c r="AE165" s="85" t="str">
        <f t="shared" si="55"/>
        <v>aws s3 cp s3://rtdc.mdm.uploadarchive.raw/RTDC4014/ "%USERPROFILE%\AppData\Local\Temp\OnboardLogs"\RTDC4014\2017-03-17 --exclude "*" --recursive --include "*20170317*" &amp; "%USERPROFILE%\Documents\GitHub\mrs-test-scripts\Headless Mode &amp; Sideloading\WalkAndUnGZ.bat" "%USERPROFILE%\AppData\Local\Temp\OnboardLogs"\RTDC4014\2017-03-17 &amp; aws s3 cp s3://rtdc.mdm.uploadarchive.raw/RTDC4014/ "%USERPROFILE%\AppData\Local\Temp\OnboardLogs"\RTDC4014\2017-03-18 --exclude "*" --recursive --include "*20170318*" &amp; "%USERPROFILE%\Documents\GitHub\mrs-test-scripts\Headless Mode &amp; Sideloading\WalkAndUnGZ.bat" "%USERPROFILE%\AppData\Local\Temp\OnboardLogs"\RTDC4014\2017-03-18</v>
      </c>
      <c r="AF165" s="82" t="str">
        <f t="shared" si="56"/>
        <v>"C:\Program Files (x86)\AstroGrep\AstroGrep.exe" /e /r /s /spath="%USERPROFILE%\AppData\Local\Temp\OnboardLogs" /stypes="app*4014*20170317*" /stext=" 13:.+((SYSTEM_STATE.+slice.+state.+changed )|(ment ac)|(multiple cpu faults)|(system.+state.+changed )|(\[timeout)|(PRM\|1\|D)|(kpr)|(kdp)|(\|lc)|(penalty))"</v>
      </c>
      <c r="AG165" s="1" t="str">
        <f t="shared" si="57"/>
        <v>NW</v>
      </c>
      <c r="AH165" s="86" t="str">
        <f t="shared" si="58"/>
        <v>"%USERPROFILE%\Documents\GitHub\eaglep3\Utilities\RefineRTDCRunTimes.py" --tripid 805-17 --locoid 4014 --swversion DE.1.0.9.0 --startMP 204:999 --initTime 2017-03-17T06:26:54 --startdatetime 2017-03-17T06:51:17 --delay 1 --endMP 300:58986 --enddatetime 2017-03-17T07:03:52 --enforcementcount 0 &gt;&gt;C:\Users\stu\Documents\GitHub\eaglep3-reporting\EC\2017-03-17-refined-times.txt</v>
      </c>
      <c r="AI165" s="108" t="str">
        <f t="shared" si="59"/>
        <v>echo {"issue":{"subject":"","project_id":79,"tracker_id":40,"status_id":1,"priority_id":2,"assigned_to_id":23,"start_date":"2017-03-17","description":"","custom_fields":[{"id":1,"name":"Subdivision","value":"NW"},{"id":4,"name":"Milepost","value":"5.8986"},{"id":17,"name":"Train ID","value":"805-17"},{"id":16,"name":"Locomotive ID","value":"4014"},{"id":130,"name":"Impact","value":""},{"id":150,"name":"Time of Event (Mountain Time)","value":"07:03:52"},{"id":151,"name":"Denver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48"/>
      <c r="AK165" s="48"/>
      <c r="AL165" s="48"/>
      <c r="AM165" s="154" t="str">
        <f t="shared" si="60"/>
        <v>start /low /b %USERPROFILE%\Documents\GitHub\eaglep3\Utilities\DownloadLogsFromS3.py --loco 4014 --day 2017-03-17</v>
      </c>
      <c r="AN165" s="163" t="str">
        <f>"grep -SE -B400 ""CHR.+\|PRM\|1\|D.+(SWITCH|SIGNAL).+UNKNOWN"" "&amp;search_path&amp;"\RTDC"&amp;B165&amp;"\*"&amp;B165&amp;"*"&amp;TEXT(AVERAGE(F165,I165)-utc_offset/24,"YYYYMMDD")&amp;"*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"%USERPROFILE%\AppData\Local\Temp\OnboardLogs"\RTDC4014\*4014*20170317* | grep -SE "(Enforcement Action)|(\[TIMEOUT)|(CHR.+\|PRM\|1\|D.+(SWITCH|SIGNAL).+UNKNOWN)" - &gt;&gt; 2017-03-17-UncaughtWiMAX.txt</v>
      </c>
    </row>
    <row r="166" spans="1:91" x14ac:dyDescent="0.25">
      <c r="A166" s="33" t="s">
        <v>684</v>
      </c>
      <c r="B166" s="7">
        <v>4013</v>
      </c>
      <c r="C166" s="21" t="s">
        <v>227</v>
      </c>
      <c r="D166" s="21" t="s">
        <v>590</v>
      </c>
      <c r="E166" s="13">
        <v>42811.29583333333</v>
      </c>
      <c r="F166" s="13">
        <v>42811.297488425924</v>
      </c>
      <c r="G166" s="7">
        <v>1</v>
      </c>
      <c r="H166" s="21" t="s">
        <v>583</v>
      </c>
      <c r="I166" s="13">
        <v>42811.308993055558</v>
      </c>
      <c r="J166" s="7">
        <v>0</v>
      </c>
      <c r="K166" s="98" t="str">
        <f t="shared" si="46"/>
        <v>4013/4014</v>
      </c>
      <c r="L166" s="21" t="str">
        <f>VLOOKUP(A166,'Trips&amp;Operators'!$C$1:$G$99999,5,FALSE)</f>
        <v>GEBRETEKLE DAGNEW</v>
      </c>
      <c r="M166" s="6">
        <f t="shared" si="47"/>
        <v>1.1504629634146113E-2</v>
      </c>
      <c r="N166" s="7">
        <f t="shared" si="63"/>
        <v>16.566666673170403</v>
      </c>
      <c r="O166" s="7"/>
      <c r="P166" s="7"/>
      <c r="Q166" s="22"/>
      <c r="R166" s="22"/>
      <c r="S166" s="31">
        <f t="shared" si="62"/>
        <v>1</v>
      </c>
      <c r="T166" s="46" t="str">
        <f t="shared" si="48"/>
        <v>Southbound</v>
      </c>
      <c r="U166" s="185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86" t="str">
        <f t="shared" si="49"/>
        <v>https://d0f6bd738d7f1b3e5a7ca70fe4ff75f0.us-east-1.aws.found.io/app/kibana#/discover/Steve-Slow-Train-Analysis-(2080s-and-2083s)?_g=(refreshInterval:(display:Off,pause:!f,section:0,value:0),time:(from:'2017-03-17T06:06:00-0600',mode:absolute,to:'2017-03-17T08:24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66" s="187" t="str">
        <f t="shared" si="50"/>
        <v>N</v>
      </c>
      <c r="X166" s="187">
        <f t="shared" si="61"/>
        <v>1</v>
      </c>
      <c r="Y166" s="62">
        <f t="shared" si="51"/>
        <v>5.8677000000000001</v>
      </c>
      <c r="Z166" s="62">
        <f t="shared" si="52"/>
        <v>7.22E-2</v>
      </c>
      <c r="AA166" s="62">
        <f t="shared" si="53"/>
        <v>5.7955000000000005</v>
      </c>
      <c r="AB166" s="59" t="e">
        <f>VLOOKUP(A166,Enforcements!$C$7:$K$13,8,0)</f>
        <v>#N/A</v>
      </c>
      <c r="AC166" s="55" t="e">
        <f>VLOOKUP(A166,Enforcements!$C$7:$E$13,3,0)</f>
        <v>#N/A</v>
      </c>
      <c r="AD166" s="56" t="str">
        <f t="shared" si="54"/>
        <v>0806-17</v>
      </c>
      <c r="AE166" s="85" t="str">
        <f t="shared" si="55"/>
        <v>aws s3 cp s3://rtdc.mdm.uploadarchive.raw/RTDC4013/ "%USERPROFILE%\AppData\Local\Temp\OnboardLogs"\RTDC4013\2017-03-17 --exclude "*" --recursive --include "*20170317*" &amp; "%USERPROFILE%\Documents\GitHub\mrs-test-scripts\Headless Mode &amp; Sideloading\WalkAndUnGZ.bat" "%USERPROFILE%\AppData\Local\Temp\OnboardLogs"\RTDC4013\2017-03-17 &amp; aws s3 cp s3://rtdc.mdm.uploadarchive.raw/RTDC4013/ "%USERPROFILE%\AppData\Local\Temp\OnboardLogs"\RTDC4013\2017-03-18 --exclude "*" --recursive --include "*20170318*" &amp; "%USERPROFILE%\Documents\GitHub\mrs-test-scripts\Headless Mode &amp; Sideloading\WalkAndUnGZ.bat" "%USERPROFILE%\AppData\Local\Temp\OnboardLogs"\RTDC4013\2017-03-18</v>
      </c>
      <c r="AF166" s="82" t="str">
        <f t="shared" si="56"/>
        <v>"C:\Program Files (x86)\AstroGrep\AstroGrep.exe" /e /r /s /spath="%USERPROFILE%\AppData\Local\Temp\OnboardLogs" /stypes="app*4013*20170317*" /stext=" 13:.+((SYSTEM_STATE.+slice.+state.+changed )|(ment ac)|(multiple cpu faults)|(system.+state.+changed )|(\[timeout)|(PRM\|1\|D)|(kpr)|(kdp)|(\|lc)|(penalty))"</v>
      </c>
      <c r="AG166" s="1" t="str">
        <f t="shared" si="57"/>
        <v>NW</v>
      </c>
      <c r="AH166" s="86" t="str">
        <f t="shared" si="58"/>
        <v>"%USERPROFILE%\Documents\GitHub\eaglep3\Utilities\RefineRTDCRunTimes.py" --tripid 806-17 --locoid 4013 --swversion DE.1.0.9.0 --startMP 300:58677 --initTime 2017-03-17T07:06:00 --startdatetime 2017-03-17T07:08:23 --delay 1 --endMP 204:722 --enddatetime 2017-03-17T07:24:57 --enforcementcount 0 &gt;&gt;C:\Users\stu\Documents\GitHub\eaglep3-reporting\EC\2017-03-17-refined-times.txt</v>
      </c>
      <c r="AI166" s="108" t="str">
        <f t="shared" si="59"/>
        <v>echo {"issue":{"subject":"","project_id":79,"tracker_id":40,"status_id":1,"priority_id":2,"assigned_to_id":23,"start_date":"2017-03-17","description":"","custom_fields":[{"id":1,"name":"Subdivision","value":"NW"},{"id":4,"name":"Milepost","value":"0.0722"},{"id":17,"name":"Train ID","value":"806-17"},{"id":16,"name":"Locomotive ID","value":"4013"},{"id":130,"name":"Impact","value":""},{"id":150,"name":"Time of Event (Mountain Time)","value":"07:24:57"},{"id":151,"name":"Denver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48"/>
      <c r="AK166" s="48"/>
      <c r="AL166" s="48"/>
      <c r="AM166" s="154" t="str">
        <f t="shared" si="60"/>
        <v>start /low /b %USERPROFILE%\Documents\GitHub\eaglep3\Utilities\DownloadLogsFromS3.py --loco 4013 --day 2017-03-17</v>
      </c>
      <c r="AN166" s="163" t="str">
        <f>"grep -SE -B400 ""CHR.+\|PRM\|1\|D.+(SWITCH|SIGNAL).+UNKNOWN"" "&amp;search_path&amp;"\RTDC"&amp;B166&amp;"\*"&amp;B166&amp;"*"&amp;TEXT(AVERAGE(F166,I166)-utc_offset/24,"YYYYMMDD")&amp;"*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"%USERPROFILE%\AppData\Local\Temp\OnboardLogs"\RTDC4013\*4013*20170317* | grep -SE "(Enforcement Action)|(\[TIMEOUT)|(CHR.+\|PRM\|1\|D.+(SWITCH|SIGNAL).+UNKNOWN)" - &gt;&gt; 2017-03-17-UncaughtWiMAX.txt</v>
      </c>
    </row>
    <row r="167" spans="1:91" x14ac:dyDescent="0.25">
      <c r="A167" s="33" t="s">
        <v>683</v>
      </c>
      <c r="B167" s="7">
        <v>4044</v>
      </c>
      <c r="C167" s="21" t="s">
        <v>227</v>
      </c>
      <c r="D167" s="21" t="s">
        <v>952</v>
      </c>
      <c r="E167" s="13">
        <v>42811.290173611109</v>
      </c>
      <c r="F167" s="13">
        <v>42811.306435185186</v>
      </c>
      <c r="G167" s="7">
        <v>1</v>
      </c>
      <c r="H167" s="21" t="s">
        <v>953</v>
      </c>
      <c r="I167" s="13">
        <v>42811.315995370373</v>
      </c>
      <c r="J167" s="7">
        <v>0</v>
      </c>
      <c r="K167" s="98" t="str">
        <f t="shared" si="46"/>
        <v>4043/4044</v>
      </c>
      <c r="L167" s="21" t="str">
        <f>VLOOKUP(A167,'Trips&amp;Operators'!$C$1:$G$99999,5,FALSE)</f>
        <v>SHOOK JOHN</v>
      </c>
      <c r="M167" s="6">
        <f t="shared" si="47"/>
        <v>9.560185186273884E-3</v>
      </c>
      <c r="N167" s="7">
        <f t="shared" si="63"/>
        <v>13.766666668234393</v>
      </c>
      <c r="O167" s="7"/>
      <c r="P167" s="7"/>
      <c r="Q167" s="22"/>
      <c r="R167" s="22"/>
      <c r="S167" s="31">
        <f t="shared" si="62"/>
        <v>1</v>
      </c>
      <c r="T167" s="46" t="str">
        <f t="shared" si="48"/>
        <v>NorthBound</v>
      </c>
      <c r="U167" s="185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86" t="str">
        <f t="shared" si="49"/>
        <v>https://d0f6bd738d7f1b3e5a7ca70fe4ff75f0.us-east-1.aws.found.io/app/kibana#/discover/Steve-Slow-Train-Analysis-(2080s-and-2083s)?_g=(refreshInterval:(display:Off,pause:!f,section:0,value:0),time:(from:'2017-03-17T05:57:51-0600',mode:absolute,to:'2017-03-17T08:35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67" s="187" t="str">
        <f t="shared" si="50"/>
        <v>N</v>
      </c>
      <c r="X167" s="187">
        <f t="shared" si="61"/>
        <v>1</v>
      </c>
      <c r="Y167" s="62">
        <f t="shared" si="51"/>
        <v>0.1023</v>
      </c>
      <c r="Z167" s="62">
        <f t="shared" si="52"/>
        <v>5.8992000000000004</v>
      </c>
      <c r="AA167" s="62">
        <f t="shared" si="53"/>
        <v>5.7969000000000008</v>
      </c>
      <c r="AB167" s="59" t="e">
        <f>VLOOKUP(A167,Enforcements!$C$7:$K$13,8,0)</f>
        <v>#N/A</v>
      </c>
      <c r="AC167" s="55" t="e">
        <f>VLOOKUP(A167,Enforcements!$C$7:$E$13,3,0)</f>
        <v>#N/A</v>
      </c>
      <c r="AD167" s="56" t="str">
        <f t="shared" si="54"/>
        <v>0807-17</v>
      </c>
      <c r="AE167" s="85" t="str">
        <f t="shared" si="55"/>
        <v>aws s3 cp s3://rtdc.mdm.uploadarchive.raw/RTDC4044/ "%USERPROFILE%\AppData\Local\Temp\OnboardLogs"\RTDC4044\2017-03-17 --exclude "*" --recursive --include "*20170317*" &amp; "%USERPROFILE%\Documents\GitHub\mrs-test-scripts\Headless Mode &amp; Sideloading\WalkAndUnGZ.bat" "%USERPROFILE%\AppData\Local\Temp\OnboardLogs"\RTDC4044\2017-03-17 &amp; aws s3 cp s3://rtdc.mdm.uploadarchive.raw/RTDC4044/ "%USERPROFILE%\AppData\Local\Temp\OnboardLogs"\RTDC4044\2017-03-18 --exclude "*" --recursive --include "*20170318*" &amp; "%USERPROFILE%\Documents\GitHub\mrs-test-scripts\Headless Mode &amp; Sideloading\WalkAndUnGZ.bat" "%USERPROFILE%\AppData\Local\Temp\OnboardLogs"\RTDC4044\2017-03-18</v>
      </c>
      <c r="AF167" s="82" t="str">
        <f t="shared" si="56"/>
        <v>"C:\Program Files (x86)\AstroGrep\AstroGrep.exe" /e /r /s /spath="%USERPROFILE%\AppData\Local\Temp\OnboardLogs" /stypes="app*4044*20170317*" /stext=" 13:.+((SYSTEM_STATE.+slice.+state.+changed )|(ment ac)|(multiple cpu faults)|(system.+state.+changed )|(\[timeout)|(PRM\|1\|D)|(kpr)|(kdp)|(\|lc)|(penalty))"</v>
      </c>
      <c r="AG167" s="1" t="str">
        <f t="shared" si="57"/>
        <v>NW</v>
      </c>
      <c r="AH167" s="86" t="str">
        <f t="shared" si="58"/>
        <v>"%USERPROFILE%\Documents\GitHub\eaglep3\Utilities\RefineRTDCRunTimes.py" --tripid 807-17 --locoid 4044 --swversion DE.1.0.9.0 --startMP 204:1023 --initTime 2017-03-17T06:57:51 --startdatetime 2017-03-17T07:21:16 --delay 1 --endMP 300:58992 --enddatetime 2017-03-17T07:35:02 --enforcementcount 0 &gt;&gt;C:\Users\stu\Documents\GitHub\eaglep3-reporting\EC\2017-03-17-refined-times.txt</v>
      </c>
      <c r="AI167" s="108" t="str">
        <f t="shared" si="59"/>
        <v>echo {"issue":{"subject":"","project_id":79,"tracker_id":40,"status_id":1,"priority_id":2,"assigned_to_id":23,"start_date":"2017-03-17","description":"","custom_fields":[{"id":1,"name":"Subdivision","value":"NW"},{"id":4,"name":"Milepost","value":"5.8992"},{"id":17,"name":"Train ID","value":"807-17"},{"id":16,"name":"Locomotive ID","value":"4044"},{"id":130,"name":"Impact","value":""},{"id":150,"name":"Time of Event (Mountain Time)","value":"07:35:02"},{"id":151,"name":"Denver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48"/>
      <c r="AK167" s="48"/>
      <c r="AL167" s="48"/>
      <c r="AM167" s="154" t="str">
        <f t="shared" si="60"/>
        <v>start /low /b %USERPROFILE%\Documents\GitHub\eaglep3\Utilities\DownloadLogsFromS3.py --loco 4044 --day 2017-03-17</v>
      </c>
      <c r="AN167" s="163" t="str">
        <f>"grep -SE -B400 ""CHR.+\|PRM\|1\|D.+(SWITCH|SIGNAL).+UNKNOWN"" "&amp;search_path&amp;"\RTDC"&amp;B167&amp;"\*"&amp;B167&amp;"*"&amp;TEXT(AVERAGE(F167,I167)-utc_offset/24,"YYYYMMDD")&amp;"*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"%USERPROFILE%\AppData\Local\Temp\OnboardLogs"\RTDC4044\*4044*20170317* | grep -SE "(Enforcement Action)|(\[TIMEOUT)|(CHR.+\|PRM\|1\|D.+(SWITCH|SIGNAL).+UNKNOWN)" - &gt;&gt; 2017-03-17-UncaughtWiMAX.txt</v>
      </c>
    </row>
    <row r="168" spans="1:91" x14ac:dyDescent="0.25">
      <c r="A168" s="33" t="s">
        <v>691</v>
      </c>
      <c r="B168" s="7">
        <v>4043</v>
      </c>
      <c r="C168" s="21" t="s">
        <v>227</v>
      </c>
      <c r="D168" s="21" t="s">
        <v>588</v>
      </c>
      <c r="E168" s="13">
        <v>42811.317465277774</v>
      </c>
      <c r="F168" s="13">
        <v>42811.320243055554</v>
      </c>
      <c r="G168" s="7">
        <v>1</v>
      </c>
      <c r="H168" s="21" t="s">
        <v>563</v>
      </c>
      <c r="I168" s="13">
        <v>42811.330046296294</v>
      </c>
      <c r="J168" s="7">
        <v>0</v>
      </c>
      <c r="K168" s="98" t="str">
        <f t="shared" si="46"/>
        <v>4043/4044</v>
      </c>
      <c r="L168" s="21" t="str">
        <f>VLOOKUP(A168,'Trips&amp;Operators'!$C$1:$G$99999,5,FALSE)</f>
        <v>SHOOK JOHN</v>
      </c>
      <c r="M168" s="6">
        <f t="shared" si="47"/>
        <v>9.8032407404389232E-3</v>
      </c>
      <c r="N168" s="7">
        <f t="shared" si="63"/>
        <v>14.116666666232049</v>
      </c>
      <c r="O168" s="7"/>
      <c r="P168" s="7"/>
      <c r="Q168" s="22"/>
      <c r="R168" s="22"/>
      <c r="S168" s="31">
        <f t="shared" si="62"/>
        <v>1</v>
      </c>
      <c r="T168" s="46" t="str">
        <f t="shared" si="48"/>
        <v>Southbound</v>
      </c>
      <c r="U168" s="185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86" t="str">
        <f t="shared" si="49"/>
        <v>https://d0f6bd738d7f1b3e5a7ca70fe4ff75f0.us-east-1.aws.found.io/app/kibana#/discover/Steve-Slow-Train-Analysis-(2080s-and-2083s)?_g=(refreshInterval:(display:Off,pause:!f,section:0,value:0),time:(from:'2017-03-17T06:37:09-0600',mode:absolute,to:'2017-03-17T08:55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68" s="187" t="str">
        <f t="shared" si="50"/>
        <v>N</v>
      </c>
      <c r="X168" s="187">
        <f t="shared" si="61"/>
        <v>1</v>
      </c>
      <c r="Y168" s="62">
        <f t="shared" si="51"/>
        <v>5.8682999999999996</v>
      </c>
      <c r="Z168" s="62">
        <f t="shared" si="52"/>
        <v>7.4300000000000005E-2</v>
      </c>
      <c r="AA168" s="62">
        <f t="shared" si="53"/>
        <v>5.7939999999999996</v>
      </c>
      <c r="AB168" s="59" t="e">
        <f>VLOOKUP(A168,Enforcements!$C$7:$K$13,8,0)</f>
        <v>#N/A</v>
      </c>
      <c r="AC168" s="55" t="e">
        <f>VLOOKUP(A168,Enforcements!$C$7:$E$13,3,0)</f>
        <v>#N/A</v>
      </c>
      <c r="AD168" s="56" t="str">
        <f t="shared" si="54"/>
        <v>0808-17</v>
      </c>
      <c r="AE168" s="85" t="str">
        <f t="shared" si="55"/>
        <v>aws s3 cp s3://rtdc.mdm.uploadarchive.raw/RTDC4043/ "%USERPROFILE%\AppData\Local\Temp\OnboardLogs"\RTDC4043\2017-03-17 --exclude "*" --recursive --include "*20170317*" &amp; "%USERPROFILE%\Documents\GitHub\mrs-test-scripts\Headless Mode &amp; Sideloading\WalkAndUnGZ.bat" "%USERPROFILE%\AppData\Local\Temp\OnboardLogs"\RTDC4043\2017-03-17 &amp; aws s3 cp s3://rtdc.mdm.uploadarchive.raw/RTDC4043/ "%USERPROFILE%\AppData\Local\Temp\OnboardLogs"\RTDC4043\2017-03-18 --exclude "*" --recursive --include "*20170318*" &amp; "%USERPROFILE%\Documents\GitHub\mrs-test-scripts\Headless Mode &amp; Sideloading\WalkAndUnGZ.bat" "%USERPROFILE%\AppData\Local\Temp\OnboardLogs"\RTDC4043\2017-03-18</v>
      </c>
      <c r="AF168" s="82" t="str">
        <f t="shared" si="56"/>
        <v>"C:\Program Files (x86)\AstroGrep\AstroGrep.exe" /e /r /s /spath="%USERPROFILE%\AppData\Local\Temp\OnboardLogs" /stypes="app*4043*20170317*" /stext=" 13:.+((SYSTEM_STATE.+slice.+state.+changed )|(ment ac)|(multiple cpu faults)|(system.+state.+changed )|(\[timeout)|(PRM\|1\|D)|(kpr)|(kdp)|(\|lc)|(penalty))"</v>
      </c>
      <c r="AG168" s="1" t="str">
        <f t="shared" si="57"/>
        <v>NW</v>
      </c>
      <c r="AH168" s="86" t="str">
        <f t="shared" si="58"/>
        <v>"%USERPROFILE%\Documents\GitHub\eaglep3\Utilities\RefineRTDCRunTimes.py" --tripid 808-17 --locoid 4043 --swversion DE.1.0.9.0 --startMP 300:58683 --initTime 2017-03-17T07:37:09 --startdatetime 2017-03-17T07:41:09 --delay 1 --endMP 204:743 --enddatetime 2017-03-17T07:55:16 --enforcementcount 0 &gt;&gt;C:\Users\stu\Documents\GitHub\eaglep3-reporting\EC\2017-03-17-refined-times.txt</v>
      </c>
      <c r="AI168" s="108" t="str">
        <f t="shared" si="59"/>
        <v>echo {"issue":{"subject":"","project_id":79,"tracker_id":40,"status_id":1,"priority_id":2,"assigned_to_id":23,"start_date":"2017-03-17","description":"","custom_fields":[{"id":1,"name":"Subdivision","value":"NW"},{"id":4,"name":"Milepost","value":"0.0743"},{"id":17,"name":"Train ID","value":"808-17"},{"id":16,"name":"Locomotive ID","value":"4043"},{"id":130,"name":"Impact","value":""},{"id":150,"name":"Time of Event (Mountain Time)","value":"07:55:16"},{"id":151,"name":"Denver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48"/>
      <c r="AK168" s="48"/>
      <c r="AL168" s="48"/>
      <c r="AM168" s="154" t="str">
        <f t="shared" si="60"/>
        <v>start /low /b %USERPROFILE%\Documents\GitHub\eaglep3\Utilities\DownloadLogsFromS3.py --loco 4043 --day 2017-03-17</v>
      </c>
      <c r="AN168" s="163" t="str">
        <f>"grep -SE -B400 ""CHR.+\|PRM\|1\|D.+(SWITCH|SIGNAL).+UNKNOWN"" "&amp;search_path&amp;"\RTDC"&amp;B168&amp;"\*"&amp;B168&amp;"*"&amp;TEXT(AVERAGE(F168,I168)-utc_offset/24,"YYYYMMDD")&amp;"*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"%USERPROFILE%\AppData\Local\Temp\OnboardLogs"\RTDC4043\*4043*20170317* | grep -SE "(Enforcement Action)|(\[TIMEOUT)|(CHR.+\|PRM\|1\|D.+(SWITCH|SIGNAL).+UNKNOWN)" - &gt;&gt; 2017-03-17-UncaughtWiMAX.txt</v>
      </c>
    </row>
    <row r="169" spans="1:91" x14ac:dyDescent="0.25">
      <c r="A169" s="33" t="s">
        <v>689</v>
      </c>
      <c r="B169" s="7">
        <v>4014</v>
      </c>
      <c r="C169" s="21" t="s">
        <v>227</v>
      </c>
      <c r="D169" s="21" t="s">
        <v>954</v>
      </c>
      <c r="E169" s="13">
        <v>42811.310324074075</v>
      </c>
      <c r="F169" s="13">
        <v>42811.327314814815</v>
      </c>
      <c r="G169" s="7">
        <v>1</v>
      </c>
      <c r="H169" s="21" t="s">
        <v>600</v>
      </c>
      <c r="I169" s="13">
        <v>42811.336030092592</v>
      </c>
      <c r="J169" s="7">
        <v>0</v>
      </c>
      <c r="K169" s="98" t="str">
        <f t="shared" si="46"/>
        <v>4013/4014</v>
      </c>
      <c r="L169" s="21" t="str">
        <f>VLOOKUP(A169,'Trips&amp;Operators'!$C$1:$G$99999,5,FALSE)</f>
        <v>GEBRETEKLE DAGNEW</v>
      </c>
      <c r="M169" s="6">
        <f t="shared" si="47"/>
        <v>8.7152777778101154E-3</v>
      </c>
      <c r="N169" s="7">
        <f t="shared" si="63"/>
        <v>12.550000000046566</v>
      </c>
      <c r="O169" s="7"/>
      <c r="P169" s="7"/>
      <c r="Q169" s="22"/>
      <c r="R169" s="22"/>
      <c r="S169" s="31">
        <f t="shared" si="62"/>
        <v>1</v>
      </c>
      <c r="T169" s="46" t="str">
        <f t="shared" si="48"/>
        <v>NorthBound</v>
      </c>
      <c r="U169" s="185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86" t="str">
        <f t="shared" si="49"/>
        <v>https://d0f6bd738d7f1b3e5a7ca70fe4ff75f0.us-east-1.aws.found.io/app/kibana#/discover/Steve-Slow-Train-Analysis-(2080s-and-2083s)?_g=(refreshInterval:(display:Off,pause:!f,section:0,value:0),time:(from:'2017-03-17T06:26:52-0600',mode:absolute,to:'2017-03-17T09:03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69" s="187" t="str">
        <f t="shared" si="50"/>
        <v>N</v>
      </c>
      <c r="X169" s="187">
        <f t="shared" si="61"/>
        <v>1</v>
      </c>
      <c r="Y169" s="62">
        <f t="shared" si="51"/>
        <v>0.1007</v>
      </c>
      <c r="Z169" s="62">
        <f t="shared" si="52"/>
        <v>5.899</v>
      </c>
      <c r="AA169" s="62">
        <f t="shared" si="53"/>
        <v>5.7983000000000002</v>
      </c>
      <c r="AB169" s="59" t="e">
        <f>VLOOKUP(A169,Enforcements!$C$7:$K$13,8,0)</f>
        <v>#N/A</v>
      </c>
      <c r="AC169" s="55" t="e">
        <f>VLOOKUP(A169,Enforcements!$C$7:$E$13,3,0)</f>
        <v>#N/A</v>
      </c>
      <c r="AD169" s="56" t="str">
        <f t="shared" si="54"/>
        <v>0809-17</v>
      </c>
      <c r="AE169" s="85" t="str">
        <f t="shared" si="55"/>
        <v>aws s3 cp s3://rtdc.mdm.uploadarchive.raw/RTDC4014/ "%USERPROFILE%\AppData\Local\Temp\OnboardLogs"\RTDC4014\2017-03-17 --exclude "*" --recursive --include "*20170317*" &amp; "%USERPROFILE%\Documents\GitHub\mrs-test-scripts\Headless Mode &amp; Sideloading\WalkAndUnGZ.bat" "%USERPROFILE%\AppData\Local\Temp\OnboardLogs"\RTDC4014\2017-03-17 &amp; aws s3 cp s3://rtdc.mdm.uploadarchive.raw/RTDC4014/ "%USERPROFILE%\AppData\Local\Temp\OnboardLogs"\RTDC4014\2017-03-18 --exclude "*" --recursive --include "*20170318*" &amp; "%USERPROFILE%\Documents\GitHub\mrs-test-scripts\Headless Mode &amp; Sideloading\WalkAndUnGZ.bat" "%USERPROFILE%\AppData\Local\Temp\OnboardLogs"\RTDC4014\2017-03-18</v>
      </c>
      <c r="AF169" s="82" t="str">
        <f t="shared" si="56"/>
        <v>"C:\Program Files (x86)\AstroGrep\AstroGrep.exe" /e /r /s /spath="%USERPROFILE%\AppData\Local\Temp\OnboardLogs" /stypes="app*4014*20170317*" /stext=" 14:.+((SYSTEM_STATE.+slice.+state.+changed )|(ment ac)|(multiple cpu faults)|(system.+state.+changed )|(\[timeout)|(PRM\|1\|D)|(kpr)|(kdp)|(\|lc)|(penalty))"</v>
      </c>
      <c r="AG169" s="1" t="str">
        <f t="shared" si="57"/>
        <v>NW</v>
      </c>
      <c r="AH169" s="86" t="str">
        <f t="shared" si="58"/>
        <v>"%USERPROFILE%\Documents\GitHub\eaglep3\Utilities\RefineRTDCRunTimes.py" --tripid 809-17 --locoid 4014 --swversion DE.1.0.9.0 --startMP 204:1007 --initTime 2017-03-17T07:26:52 --startdatetime 2017-03-17T07:51:20 --delay 1 --endMP 300:58990 --enddatetime 2017-03-17T08:03:53 --enforcementcount 0 &gt;&gt;C:\Users\stu\Documents\GitHub\eaglep3-reporting\EC\2017-03-17-refined-times.txt</v>
      </c>
      <c r="AI169" s="108" t="str">
        <f t="shared" si="59"/>
        <v>echo {"issue":{"subject":"","project_id":79,"tracker_id":40,"status_id":1,"priority_id":2,"assigned_to_id":23,"start_date":"2017-03-17","description":"","custom_fields":[{"id":1,"name":"Subdivision","value":"NW"},{"id":4,"name":"Milepost","value":"5.899"},{"id":17,"name":"Train ID","value":"809-17"},{"id":16,"name":"Locomotive ID","value":"4014"},{"id":130,"name":"Impact","value":""},{"id":150,"name":"Time of Event (Mountain Time)","value":"08:03:53"},{"id":151,"name":"Denver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48"/>
      <c r="AK169" s="48"/>
      <c r="AL169" s="48"/>
      <c r="AM169" s="154" t="str">
        <f t="shared" si="60"/>
        <v>start /low /b %USERPROFILE%\Documents\GitHub\eaglep3\Utilities\DownloadLogsFromS3.py --loco 4014 --day 2017-03-17</v>
      </c>
      <c r="AN169" s="163" t="str">
        <f>"grep -SE -B400 ""CHR.+\|PRM\|1\|D.+(SWITCH|SIGNAL).+UNKNOWN"" "&amp;search_path&amp;"\RTDC"&amp;B169&amp;"\*"&amp;B169&amp;"*"&amp;TEXT(AVERAGE(F169,I169)-utc_offset/24,"YYYYMMDD")&amp;"*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"%USERPROFILE%\AppData\Local\Temp\OnboardLogs"\RTDC4014\*4014*20170317* | grep -SE "(Enforcement Action)|(\[TIMEOUT)|(CHR.+\|PRM\|1\|D.+(SWITCH|SIGNAL).+UNKNOWN)" - &gt;&gt; 2017-03-17-UncaughtWiMAX.txt</v>
      </c>
    </row>
    <row r="170" spans="1:91" s="20" customFormat="1" x14ac:dyDescent="0.25">
      <c r="A170" s="33" t="s">
        <v>697</v>
      </c>
      <c r="B170" s="7">
        <v>4013</v>
      </c>
      <c r="C170" s="21" t="s">
        <v>227</v>
      </c>
      <c r="D170" s="21" t="s">
        <v>955</v>
      </c>
      <c r="E170" s="13">
        <v>42811.337418981479</v>
      </c>
      <c r="F170" s="13">
        <v>42811.339259259257</v>
      </c>
      <c r="G170" s="7">
        <v>2</v>
      </c>
      <c r="H170" s="21" t="s">
        <v>928</v>
      </c>
      <c r="I170" s="13">
        <v>42811.350381944445</v>
      </c>
      <c r="J170" s="7">
        <v>0</v>
      </c>
      <c r="K170" s="98" t="str">
        <f t="shared" si="46"/>
        <v>4013/4014</v>
      </c>
      <c r="L170" s="21" t="str">
        <f>VLOOKUP(A170,'Trips&amp;Operators'!$C$1:$G$99999,5,FALSE)</f>
        <v>GEBRETEKLE DAGNEW</v>
      </c>
      <c r="M170" s="6">
        <f t="shared" si="47"/>
        <v>1.1122685187729076E-2</v>
      </c>
      <c r="N170" s="7">
        <f t="shared" si="63"/>
        <v>16.016666670329869</v>
      </c>
      <c r="O170" s="7"/>
      <c r="P170" s="7"/>
      <c r="Q170" s="22"/>
      <c r="R170" s="22"/>
      <c r="S170" s="31">
        <f t="shared" si="62"/>
        <v>1</v>
      </c>
      <c r="T170" s="46" t="str">
        <f t="shared" si="48"/>
        <v>Southbound</v>
      </c>
      <c r="U170" s="185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86" t="str">
        <f t="shared" si="49"/>
        <v>https://d0f6bd738d7f1b3e5a7ca70fe4ff75f0.us-east-1.aws.found.io/app/kibana#/discover/Steve-Slow-Train-Analysis-(2080s-and-2083s)?_g=(refreshInterval:(display:Off,pause:!f,section:0,value:0),time:(from:'2017-03-17T07:05:53-0600',mode:absolute,to:'2017-03-17T09:24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70" s="187" t="str">
        <f t="shared" si="50"/>
        <v>N</v>
      </c>
      <c r="X170" s="187">
        <f t="shared" si="61"/>
        <v>1</v>
      </c>
      <c r="Y170" s="62">
        <f t="shared" si="51"/>
        <v>5.8673000000000002</v>
      </c>
      <c r="Z170" s="62">
        <f t="shared" si="52"/>
        <v>1.1900000000000001E-2</v>
      </c>
      <c r="AA170" s="62">
        <f t="shared" si="53"/>
        <v>5.8554000000000004</v>
      </c>
      <c r="AB170" s="59" t="e">
        <f>VLOOKUP(A170,Enforcements!$C$7:$K$13,8,0)</f>
        <v>#N/A</v>
      </c>
      <c r="AC170" s="55" t="e">
        <f>VLOOKUP(A170,Enforcements!$C$7:$E$13,3,0)</f>
        <v>#N/A</v>
      </c>
      <c r="AD170" s="56" t="str">
        <f t="shared" si="54"/>
        <v>0810-17</v>
      </c>
      <c r="AE170" s="85" t="str">
        <f t="shared" si="55"/>
        <v>aws s3 cp s3://rtdc.mdm.uploadarchive.raw/RTDC4013/ "%USERPROFILE%\AppData\Local\Temp\OnboardLogs"\RTDC4013\2017-03-17 --exclude "*" --recursive --include "*20170317*" &amp; "%USERPROFILE%\Documents\GitHub\mrs-test-scripts\Headless Mode &amp; Sideloading\WalkAndUnGZ.bat" "%USERPROFILE%\AppData\Local\Temp\OnboardLogs"\RTDC4013\2017-03-17 &amp; aws s3 cp s3://rtdc.mdm.uploadarchive.raw/RTDC4013/ "%USERPROFILE%\AppData\Local\Temp\OnboardLogs"\RTDC4013\2017-03-18 --exclude "*" --recursive --include "*20170318*" &amp; "%USERPROFILE%\Documents\GitHub\mrs-test-scripts\Headless Mode &amp; Sideloading\WalkAndUnGZ.bat" "%USERPROFILE%\AppData\Local\Temp\OnboardLogs"\RTDC4013\2017-03-18</v>
      </c>
      <c r="AF170" s="82" t="str">
        <f t="shared" si="56"/>
        <v>"C:\Program Files (x86)\AstroGrep\AstroGrep.exe" /e /r /s /spath="%USERPROFILE%\AppData\Local\Temp\OnboardLogs" /stypes="app*4013*20170317*" /stext=" 14:.+((SYSTEM_STATE.+slice.+state.+changed )|(ment ac)|(multiple cpu faults)|(system.+state.+changed )|(\[timeout)|(PRM\|1\|D)|(kpr)|(kdp)|(\|lc)|(penalty))"</v>
      </c>
      <c r="AG170" s="1" t="str">
        <f t="shared" si="57"/>
        <v>NW</v>
      </c>
      <c r="AH170" s="86" t="str">
        <f t="shared" si="58"/>
        <v>"%USERPROFILE%\Documents\GitHub\eaglep3\Utilities\RefineRTDCRunTimes.py" --tripid 810-17 --locoid 4013 --swversion DE.1.0.9.0 --startMP 300:58673 --initTime 2017-03-17T08:05:53 --startdatetime 2017-03-17T08:08:32 --delay 2 --endMP 204:119 --enddatetime 2017-03-17T08:24:33 --enforcementcount 0 &gt;&gt;C:\Users\stu\Documents\GitHub\eaglep3-reporting\EC\2017-03-17-refined-times.txt</v>
      </c>
      <c r="AI170" s="108" t="str">
        <f t="shared" si="59"/>
        <v>echo {"issue":{"subject":"","project_id":79,"tracker_id":40,"status_id":1,"priority_id":2,"assigned_to_id":23,"start_date":"2017-03-17","description":"","custom_fields":[{"id":1,"name":"Subdivision","value":"NW"},{"id":4,"name":"Milepost","value":"0.0119"},{"id":17,"name":"Train ID","value":"810-17"},{"id":16,"name":"Locomotive ID","value":"4013"},{"id":130,"name":"Impact","value":""},{"id":150,"name":"Time of Event (Mountain Time)","value":"08:24:33"},{"id":151,"name":"Denver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48"/>
      <c r="AK170" s="48"/>
      <c r="AL170" s="48"/>
      <c r="AM170" s="154" t="str">
        <f t="shared" si="60"/>
        <v>start /low /b %USERPROFILE%\Documents\GitHub\eaglep3\Utilities\DownloadLogsFromS3.py --loco 4013 --day 2017-03-17</v>
      </c>
      <c r="AN170" s="163" t="str">
        <f>"grep -SE -B400 ""CHR.+\|PRM\|1\|D.+(SWITCH|SIGNAL).+UNKNOWN"" "&amp;search_path&amp;"\RTDC"&amp;B170&amp;"\*"&amp;B170&amp;"*"&amp;TEXT(AVERAGE(F170,I170)-utc_offset/24,"YYYYMMDD")&amp;"*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"%USERPROFILE%\AppData\Local\Temp\OnboardLogs"\RTDC4013\*4013*20170317* | grep -SE "(Enforcement Action)|(\[TIMEOUT)|(CHR.+\|PRM\|1\|D.+(SWITCH|SIGNAL).+UNKNOWN)" - &gt;&gt; 2017-03-17-UncaughtWiMAX.txt</v>
      </c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x14ac:dyDescent="0.25">
      <c r="A171" s="33" t="s">
        <v>695</v>
      </c>
      <c r="B171" s="7">
        <v>4014</v>
      </c>
      <c r="C171" s="21" t="s">
        <v>227</v>
      </c>
      <c r="D171" s="21" t="s">
        <v>956</v>
      </c>
      <c r="E171" s="13">
        <v>42811.353784722225</v>
      </c>
      <c r="F171" s="13">
        <v>42811.337025462963</v>
      </c>
      <c r="G171" s="7">
        <v>0</v>
      </c>
      <c r="H171" s="21" t="s">
        <v>598</v>
      </c>
      <c r="I171" s="13">
        <v>42811.364861111113</v>
      </c>
      <c r="J171" s="7">
        <v>0</v>
      </c>
      <c r="K171" s="98" t="str">
        <f t="shared" si="46"/>
        <v>4013/4014</v>
      </c>
      <c r="L171" s="21" t="str">
        <f>VLOOKUP(A171,'Trips&amp;Operators'!$C$1:$G$99999,5,FALSE)</f>
        <v>SHOOK JOHN</v>
      </c>
      <c r="M171" s="6">
        <f t="shared" si="47"/>
        <v>2.7835648150357883E-2</v>
      </c>
      <c r="N171" s="7">
        <f t="shared" si="63"/>
        <v>40.083333336515352</v>
      </c>
      <c r="O171" s="7"/>
      <c r="P171" s="7"/>
      <c r="Q171" s="22"/>
      <c r="R171" s="22" t="s">
        <v>1024</v>
      </c>
      <c r="S171" s="31">
        <f t="shared" si="62"/>
        <v>1</v>
      </c>
      <c r="T171" s="46" t="str">
        <f t="shared" si="48"/>
        <v>NorthBound</v>
      </c>
      <c r="U171" s="185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86" t="str">
        <f t="shared" si="49"/>
        <v>https://d0f6bd738d7f1b3e5a7ca70fe4ff75f0.us-east-1.aws.found.io/app/kibana#/discover/Steve-Slow-Train-Analysis-(2080s-and-2083s)?_g=(refreshInterval:(display:Off,pause:!f,section:0,value:0),time:(from:'2017-03-17T07:29:27-0600',mode:absolute,to:'2017-03-17T09:45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71" s="187" t="str">
        <f t="shared" si="50"/>
        <v>N</v>
      </c>
      <c r="X171" s="187">
        <f t="shared" ref="X171:X174" si="64">VALUE(LEFT(AD171,4))-VALUE(LEFT(AD170,4))</f>
        <v>1</v>
      </c>
      <c r="Y171" s="62">
        <f t="shared" si="51"/>
        <v>4.2799999999999998E-2</v>
      </c>
      <c r="Z171" s="62">
        <f t="shared" si="52"/>
        <v>5.8986000000000001</v>
      </c>
      <c r="AA171" s="62">
        <f t="shared" si="53"/>
        <v>5.8558000000000003</v>
      </c>
      <c r="AB171" s="59" t="e">
        <f>VLOOKUP(A171,Enforcements!$C$7:$K$13,8,0)</f>
        <v>#N/A</v>
      </c>
      <c r="AC171" s="55" t="e">
        <f>VLOOKUP(A171,Enforcements!$C$7:$E$13,3,0)</f>
        <v>#N/A</v>
      </c>
      <c r="AD171" s="56" t="str">
        <f t="shared" si="54"/>
        <v>0811-17</v>
      </c>
      <c r="AE171" s="85" t="str">
        <f t="shared" si="55"/>
        <v>aws s3 cp s3://rtdc.mdm.uploadarchive.raw/RTDC4014/ "%USERPROFILE%\AppData\Local\Temp\OnboardLogs"\RTDC4014\2017-03-17 --exclude "*" --recursive --include "*20170317*" &amp; "%USERPROFILE%\Documents\GitHub\mrs-test-scripts\Headless Mode &amp; Sideloading\WalkAndUnGZ.bat" "%USERPROFILE%\AppData\Local\Temp\OnboardLogs"\RTDC4014\2017-03-17 &amp; aws s3 cp s3://rtdc.mdm.uploadarchive.raw/RTDC4014/ "%USERPROFILE%\AppData\Local\Temp\OnboardLogs"\RTDC4014\2017-03-18 --exclude "*" --recursive --include "*20170318*" &amp; "%USERPROFILE%\Documents\GitHub\mrs-test-scripts\Headless Mode &amp; Sideloading\WalkAndUnGZ.bat" "%USERPROFILE%\AppData\Local\Temp\OnboardLogs"\RTDC4014\2017-03-18</v>
      </c>
      <c r="AF171" s="82" t="str">
        <f t="shared" si="56"/>
        <v>"C:\Program Files (x86)\AstroGrep\AstroGrep.exe" /e /r /s /spath="%USERPROFILE%\AppData\Local\Temp\OnboardLogs" /stypes="app*4014*20170317*" /stext=" 14:.+((SYSTEM_STATE.+slice.+state.+changed )|(ment ac)|(multiple cpu faults)|(system.+state.+changed )|(\[timeout)|(PRM\|1\|D)|(kpr)|(kdp)|(\|lc)|(penalty))"</v>
      </c>
      <c r="AG171" s="1" t="str">
        <f t="shared" si="57"/>
        <v>NW</v>
      </c>
      <c r="AH171" s="86" t="str">
        <f t="shared" si="58"/>
        <v>"%USERPROFILE%\Documents\GitHub\eaglep3\Utilities\RefineRTDCRunTimes.py" --tripid 811-17 --locoid 4014 --swversion DE.1.0.9.0 --startMP 204:428 --initTime 2017-03-17T08:29:27 --startdatetime 2017-03-17T08:05:19 --delay 0 --endMP 300:58986 --enddatetime 2017-03-17T08:45:24 --enforcementcount 0 &gt;&gt;C:\Users\stu\Documents\GitHub\eaglep3-reporting\EC\2017-03-17-refined-times.txt</v>
      </c>
      <c r="AI171" s="108" t="str">
        <f t="shared" si="59"/>
        <v>echo {"issue":{"subject":"Delayed by PA issue on RTDC4044","project_id":79,"tracker_id":40,"status_id":1,"priority_id":2,"assigned_to_id":23,"start_date":"2017-03-17","description":"","custom_fields":[{"id":1,"name":"Subdivision","value":"NW"},{"id":4,"name":"Milepost","value":"5.8986"},{"id":17,"name":"Train ID","value":"811-17"},{"id":16,"name":"Locomotive ID","value":"4014"},{"id":130,"name":"Impact","value":""},{"id":150,"name":"Time of Event (Mountain Time)","value":"08:45:24"},{"id":151,"name":"Denver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48"/>
      <c r="AK171" s="48"/>
      <c r="AL171" s="48"/>
      <c r="AM171" s="154" t="str">
        <f t="shared" si="60"/>
        <v>start /low /b %USERPROFILE%\Documents\GitHub\eaglep3\Utilities\DownloadLogsFromS3.py --loco 4014 --day 2017-03-17</v>
      </c>
      <c r="AN171" s="163" t="str">
        <f>"grep -SE -B400 ""CHR.+\|PRM\|1\|D.+(SWITCH|SIGNAL).+UNKNOWN"" "&amp;search_path&amp;"\RTDC"&amp;B171&amp;"\*"&amp;B171&amp;"*"&amp;TEXT(AVERAGE(F171,I171)-utc_offset/24,"YYYYMMDD")&amp;"*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"%USERPROFILE%\AppData\Local\Temp\OnboardLogs"\RTDC4014\*4014*20170317* | grep -SE "(Enforcement Action)|(\[TIMEOUT)|(CHR.+\|PRM\|1\|D.+(SWITCH|SIGNAL).+UNKNOWN)" - &gt;&gt; 2017-03-17-UncaughtWiMAX.txt</v>
      </c>
    </row>
    <row r="172" spans="1:91" x14ac:dyDescent="0.25">
      <c r="A172" s="33" t="s">
        <v>704</v>
      </c>
      <c r="B172" s="7">
        <v>4013</v>
      </c>
      <c r="C172" s="21" t="s">
        <v>227</v>
      </c>
      <c r="D172" s="21" t="s">
        <v>955</v>
      </c>
      <c r="E172" s="13">
        <v>42811.365995370368</v>
      </c>
      <c r="F172" s="13">
        <v>42811.36755787037</v>
      </c>
      <c r="G172" s="7">
        <v>1</v>
      </c>
      <c r="H172" s="21" t="s">
        <v>957</v>
      </c>
      <c r="I172" s="13">
        <v>42811.377002314817</v>
      </c>
      <c r="J172" s="7">
        <v>0</v>
      </c>
      <c r="K172" s="98" t="str">
        <f t="shared" si="46"/>
        <v>4013/4014</v>
      </c>
      <c r="L172" s="21" t="str">
        <f>VLOOKUP(A172,'Trips&amp;Operators'!$C$1:$G$99999,5,FALSE)</f>
        <v>SHOOK JOHN</v>
      </c>
      <c r="M172" s="6">
        <f t="shared" si="47"/>
        <v>9.4444444475811906E-3</v>
      </c>
      <c r="N172" s="7">
        <f t="shared" si="63"/>
        <v>13.600000004516914</v>
      </c>
      <c r="O172" s="7"/>
      <c r="P172" s="7"/>
      <c r="Q172" s="22"/>
      <c r="R172" s="22"/>
      <c r="S172" s="31">
        <f t="shared" si="62"/>
        <v>1</v>
      </c>
      <c r="T172" s="46" t="str">
        <f t="shared" si="48"/>
        <v>Southbound</v>
      </c>
      <c r="U172" s="185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86" t="str">
        <f t="shared" si="49"/>
        <v>https://d0f6bd738d7f1b3e5a7ca70fe4ff75f0.us-east-1.aws.found.io/app/kibana#/discover/Steve-Slow-Train-Analysis-(2080s-and-2083s)?_g=(refreshInterval:(display:Off,pause:!f,section:0,value:0),time:(from:'2017-03-17T07:47:02-0600',mode:absolute,to:'2017-03-17T10:02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72" s="187" t="str">
        <f t="shared" si="50"/>
        <v>N</v>
      </c>
      <c r="X172" s="187">
        <f t="shared" si="64"/>
        <v>1</v>
      </c>
      <c r="Y172" s="62">
        <f t="shared" si="51"/>
        <v>5.8673000000000002</v>
      </c>
      <c r="Z172" s="62">
        <f t="shared" si="52"/>
        <v>7.0099999999999996E-2</v>
      </c>
      <c r="AA172" s="62">
        <f t="shared" si="53"/>
        <v>5.7972000000000001</v>
      </c>
      <c r="AB172" s="59" t="e">
        <f>VLOOKUP(A172,Enforcements!$C$7:$K$13,8,0)</f>
        <v>#N/A</v>
      </c>
      <c r="AC172" s="55" t="e">
        <f>VLOOKUP(A172,Enforcements!$C$7:$E$13,3,0)</f>
        <v>#N/A</v>
      </c>
      <c r="AD172" s="56" t="str">
        <f t="shared" si="54"/>
        <v>0812-17</v>
      </c>
      <c r="AE172" s="85" t="str">
        <f t="shared" si="55"/>
        <v>aws s3 cp s3://rtdc.mdm.uploadarchive.raw/RTDC4013/ "%USERPROFILE%\AppData\Local\Temp\OnboardLogs"\RTDC4013\2017-03-17 --exclude "*" --recursive --include "*20170317*" &amp; "%USERPROFILE%\Documents\GitHub\mrs-test-scripts\Headless Mode &amp; Sideloading\WalkAndUnGZ.bat" "%USERPROFILE%\AppData\Local\Temp\OnboardLogs"\RTDC4013\2017-03-17 &amp; aws s3 cp s3://rtdc.mdm.uploadarchive.raw/RTDC4013/ "%USERPROFILE%\AppData\Local\Temp\OnboardLogs"\RTDC4013\2017-03-18 --exclude "*" --recursive --include "*20170318*" &amp; "%USERPROFILE%\Documents\GitHub\mrs-test-scripts\Headless Mode &amp; Sideloading\WalkAndUnGZ.bat" "%USERPROFILE%\AppData\Local\Temp\OnboardLogs"\RTDC4013\2017-03-18</v>
      </c>
      <c r="AF172" s="82" t="str">
        <f t="shared" si="56"/>
        <v>"C:\Program Files (x86)\AstroGrep\AstroGrep.exe" /e /r /s /spath="%USERPROFILE%\AppData\Local\Temp\OnboardLogs" /stypes="app*4013*20170317*" /stext=" 15:.+((SYSTEM_STATE.+slice.+state.+changed )|(ment ac)|(multiple cpu faults)|(system.+state.+changed )|(\[timeout)|(PRM\|1\|D)|(kpr)|(kdp)|(\|lc)|(penalty))"</v>
      </c>
      <c r="AG172" s="1" t="str">
        <f t="shared" si="57"/>
        <v>NW</v>
      </c>
      <c r="AH172" s="86" t="str">
        <f t="shared" si="58"/>
        <v>"%USERPROFILE%\Documents\GitHub\eaglep3\Utilities\RefineRTDCRunTimes.py" --tripid 812-17 --locoid 4013 --swversion DE.1.0.9.0 --startMP 300:58673 --initTime 2017-03-17T08:47:02 --startdatetime 2017-03-17T08:49:17 --delay 1 --endMP 204:701 --enddatetime 2017-03-17T09:02:53 --enforcementcount 0 &gt;&gt;C:\Users\stu\Documents\GitHub\eaglep3-reporting\EC\2017-03-17-refined-times.txt</v>
      </c>
      <c r="AI172" s="108" t="str">
        <f t="shared" si="59"/>
        <v>echo {"issue":{"subject":"","project_id":79,"tracker_id":40,"status_id":1,"priority_id":2,"assigned_to_id":23,"start_date":"2017-03-17","description":"","custom_fields":[{"id":1,"name":"Subdivision","value":"NW"},{"id":4,"name":"Milepost","value":"0.0701"},{"id":17,"name":"Train ID","value":"812-17"},{"id":16,"name":"Locomotive ID","value":"4013"},{"id":130,"name":"Impact","value":""},{"id":150,"name":"Time of Event (Mountain Time)","value":"09:02:53"},{"id":151,"name":"Denver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48"/>
      <c r="AK172" s="48"/>
      <c r="AL172" s="48"/>
      <c r="AM172" s="154" t="str">
        <f t="shared" si="60"/>
        <v>start /low /b %USERPROFILE%\Documents\GitHub\eaglep3\Utilities\DownloadLogsFromS3.py --loco 4013 --day 2017-03-17</v>
      </c>
      <c r="AN172" s="163" t="str">
        <f>"grep -SE -B400 ""CHR.+\|PRM\|1\|D.+(SWITCH|SIGNAL).+UNKNOWN"" "&amp;search_path&amp;"\RTDC"&amp;B172&amp;"\*"&amp;B172&amp;"*"&amp;TEXT(AVERAGE(F172,I172)-utc_offset/24,"YYYYMMDD")&amp;"*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"%USERPROFILE%\AppData\Local\Temp\OnboardLogs"\RTDC4013\*4013*20170317* | grep -SE "(Enforcement Action)|(\[TIMEOUT)|(CHR.+\|PRM\|1\|D.+(SWITCH|SIGNAL).+UNKNOWN)" - &gt;&gt; 2017-03-17-UncaughtWiMAX.txt</v>
      </c>
    </row>
    <row r="173" spans="1:91" x14ac:dyDescent="0.25">
      <c r="A173" s="33" t="s">
        <v>706</v>
      </c>
      <c r="B173" s="7">
        <v>4014</v>
      </c>
      <c r="C173" s="21" t="s">
        <v>227</v>
      </c>
      <c r="D173" s="21" t="s">
        <v>589</v>
      </c>
      <c r="E173" s="13">
        <v>42811.378425925926</v>
      </c>
      <c r="F173" s="13">
        <v>42811.389756944445</v>
      </c>
      <c r="G173" s="7">
        <v>1</v>
      </c>
      <c r="H173" s="21" t="s">
        <v>600</v>
      </c>
      <c r="I173" s="13">
        <v>42811.399050925924</v>
      </c>
      <c r="J173" s="7">
        <v>0</v>
      </c>
      <c r="K173" s="98" t="str">
        <f t="shared" si="46"/>
        <v>4013/4014</v>
      </c>
      <c r="L173" s="21" t="str">
        <f>VLOOKUP(A173,'Trips&amp;Operators'!$C$1:$G$99999,5,FALSE)</f>
        <v>SHOOK JOHN</v>
      </c>
      <c r="M173" s="6">
        <f t="shared" si="47"/>
        <v>9.29398147854954E-3</v>
      </c>
      <c r="N173" s="7">
        <f t="shared" si="63"/>
        <v>13.383333329111338</v>
      </c>
      <c r="O173" s="7"/>
      <c r="P173" s="7"/>
      <c r="Q173" s="22"/>
      <c r="R173" s="22"/>
      <c r="S173" s="31">
        <f t="shared" si="62"/>
        <v>1</v>
      </c>
      <c r="T173" s="46" t="str">
        <f t="shared" si="48"/>
        <v>NorthBound</v>
      </c>
      <c r="U173" s="185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86" t="str">
        <f t="shared" si="49"/>
        <v>https://d0f6bd738d7f1b3e5a7ca70fe4ff75f0.us-east-1.aws.found.io/app/kibana#/discover/Steve-Slow-Train-Analysis-(2080s-and-2083s)?_g=(refreshInterval:(display:Off,pause:!f,section:0,value:0),time:(from:'2017-03-17T08:04:56-0600',mode:absolute,to:'2017-03-17T10:34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73" s="187" t="str">
        <f t="shared" si="50"/>
        <v>N</v>
      </c>
      <c r="X173" s="187">
        <f t="shared" si="64"/>
        <v>1</v>
      </c>
      <c r="Y173" s="62">
        <f t="shared" si="51"/>
        <v>0.1028</v>
      </c>
      <c r="Z173" s="62">
        <f t="shared" si="52"/>
        <v>5.899</v>
      </c>
      <c r="AA173" s="62">
        <f t="shared" si="53"/>
        <v>5.7961999999999998</v>
      </c>
      <c r="AB173" s="59" t="e">
        <f>VLOOKUP(A173,Enforcements!$C$7:$K$13,8,0)</f>
        <v>#N/A</v>
      </c>
      <c r="AC173" s="55" t="e">
        <f>VLOOKUP(A173,Enforcements!$C$7:$E$13,3,0)</f>
        <v>#N/A</v>
      </c>
      <c r="AD173" s="56" t="str">
        <f t="shared" si="54"/>
        <v>0813-17</v>
      </c>
      <c r="AE173" s="85" t="str">
        <f t="shared" si="55"/>
        <v>aws s3 cp s3://rtdc.mdm.uploadarchive.raw/RTDC4014/ "%USERPROFILE%\AppData\Local\Temp\OnboardLogs"\RTDC4014\2017-03-17 --exclude "*" --recursive --include "*20170317*" &amp; "%USERPROFILE%\Documents\GitHub\mrs-test-scripts\Headless Mode &amp; Sideloading\WalkAndUnGZ.bat" "%USERPROFILE%\AppData\Local\Temp\OnboardLogs"\RTDC4014\2017-03-17 &amp; aws s3 cp s3://rtdc.mdm.uploadarchive.raw/RTDC4014/ "%USERPROFILE%\AppData\Local\Temp\OnboardLogs"\RTDC4014\2017-03-18 --exclude "*" --recursive --include "*20170318*" &amp; "%USERPROFILE%\Documents\GitHub\mrs-test-scripts\Headless Mode &amp; Sideloading\WalkAndUnGZ.bat" "%USERPROFILE%\AppData\Local\Temp\OnboardLogs"\RTDC4014\2017-03-18</v>
      </c>
      <c r="AF173" s="82" t="str">
        <f t="shared" si="56"/>
        <v>"C:\Program Files (x86)\AstroGrep\AstroGrep.exe" /e /r /s /spath="%USERPROFILE%\AppData\Local\Temp\OnboardLogs" /stypes="app*4014*20170317*" /stext=" 15:.+((SYSTEM_STATE.+slice.+state.+changed )|(ment ac)|(multiple cpu faults)|(system.+state.+changed )|(\[timeout)|(PRM\|1\|D)|(kpr)|(kdp)|(\|lc)|(penalty))"</v>
      </c>
      <c r="AG173" s="1" t="str">
        <f t="shared" si="57"/>
        <v>NW</v>
      </c>
      <c r="AH173" s="86" t="str">
        <f t="shared" si="58"/>
        <v>"%USERPROFILE%\Documents\GitHub\eaglep3\Utilities\RefineRTDCRunTimes.py" --tripid 813-17 --locoid 4014 --swversion DE.1.0.9.0 --startMP 204:1028 --initTime 2017-03-17T09:04:56 --startdatetime 2017-03-17T09:21:15 --delay 1 --endMP 300:58990 --enddatetime 2017-03-17T09:34:38 --enforcementcount 0 &gt;&gt;C:\Users\stu\Documents\GitHub\eaglep3-reporting\EC\2017-03-17-refined-times.txt</v>
      </c>
      <c r="AI173" s="108" t="str">
        <f t="shared" si="59"/>
        <v>echo {"issue":{"subject":"","project_id":79,"tracker_id":40,"status_id":1,"priority_id":2,"assigned_to_id":23,"start_date":"2017-03-17","description":"","custom_fields":[{"id":1,"name":"Subdivision","value":"NW"},{"id":4,"name":"Milepost","value":"5.899"},{"id":17,"name":"Train ID","value":"813-17"},{"id":16,"name":"Locomotive ID","value":"4014"},{"id":130,"name":"Impact","value":""},{"id":150,"name":"Time of Event (Mountain Time)","value":"09:34:38"},{"id":151,"name":"Denver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48"/>
      <c r="AK173" s="48"/>
      <c r="AL173" s="48"/>
      <c r="AM173" s="154" t="str">
        <f t="shared" si="60"/>
        <v>start /low /b %USERPROFILE%\Documents\GitHub\eaglep3\Utilities\DownloadLogsFromS3.py --loco 4014 --day 2017-03-17</v>
      </c>
      <c r="AN173" s="163" t="str">
        <f>"grep -SE -B400 ""CHR.+\|PRM\|1\|D.+(SWITCH|SIGNAL).+UNKNOWN"" "&amp;search_path&amp;"\RTDC"&amp;B173&amp;"\*"&amp;B173&amp;"*"&amp;TEXT(AVERAGE(F173,I173)-utc_offset/24,"YYYYMMDD")&amp;"*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"%USERPROFILE%\AppData\Local\Temp\OnboardLogs"\RTDC4014\*4014*20170317* | grep -SE "(Enforcement Action)|(\[TIMEOUT)|(CHR.+\|PRM\|1\|D.+(SWITCH|SIGNAL).+UNKNOWN)" - &gt;&gt; 2017-03-17-UncaughtWiMAX.txt</v>
      </c>
    </row>
    <row r="174" spans="1:91" s="20" customFormat="1" x14ac:dyDescent="0.25">
      <c r="A174" s="33" t="s">
        <v>712</v>
      </c>
      <c r="B174" s="7">
        <v>4013</v>
      </c>
      <c r="C174" s="21" t="s">
        <v>227</v>
      </c>
      <c r="D174" s="21" t="s">
        <v>590</v>
      </c>
      <c r="E174" s="13">
        <v>42811.400625000002</v>
      </c>
      <c r="F174" s="13">
        <v>42811.403344907405</v>
      </c>
      <c r="G174" s="7">
        <v>1</v>
      </c>
      <c r="H174" s="21" t="s">
        <v>958</v>
      </c>
      <c r="I174" s="13">
        <v>42811.413159722222</v>
      </c>
      <c r="J174" s="7">
        <v>0</v>
      </c>
      <c r="K174" s="98" t="str">
        <f t="shared" si="46"/>
        <v>4013/4014</v>
      </c>
      <c r="L174" s="21" t="str">
        <f>VLOOKUP(A174,'Trips&amp;Operators'!$C$1:$G$99999,5,FALSE)</f>
        <v>SHOOK JOHN</v>
      </c>
      <c r="M174" s="6">
        <f t="shared" si="47"/>
        <v>9.8148148172185756E-3</v>
      </c>
      <c r="N174" s="7">
        <f t="shared" si="63"/>
        <v>14.133333336794749</v>
      </c>
      <c r="O174" s="7"/>
      <c r="P174" s="7"/>
      <c r="Q174" s="22"/>
      <c r="R174" s="22"/>
      <c r="S174" s="31">
        <f t="shared" si="62"/>
        <v>1</v>
      </c>
      <c r="T174" s="46" t="str">
        <f t="shared" si="48"/>
        <v>Southbound</v>
      </c>
      <c r="U174" s="185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86" t="str">
        <f t="shared" si="49"/>
        <v>https://d0f6bd738d7f1b3e5a7ca70fe4ff75f0.us-east-1.aws.found.io/app/kibana#/discover/Steve-Slow-Train-Analysis-(2080s-and-2083s)?_g=(refreshInterval:(display:Off,pause:!f,section:0,value:0),time:(from:'2017-03-17T08:36:54-0600',mode:absolute,to:'2017-03-17T10:54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74" s="187" t="str">
        <f t="shared" si="50"/>
        <v>N</v>
      </c>
      <c r="X174" s="187">
        <f t="shared" si="64"/>
        <v>1</v>
      </c>
      <c r="Y174" s="62">
        <f t="shared" si="51"/>
        <v>5.8677000000000001</v>
      </c>
      <c r="Z174" s="62">
        <f t="shared" si="52"/>
        <v>7.4099999999999999E-2</v>
      </c>
      <c r="AA174" s="62">
        <f t="shared" si="53"/>
        <v>5.7936000000000005</v>
      </c>
      <c r="AB174" s="59" t="e">
        <f>VLOOKUP(A174,Enforcements!$C$7:$K$13,8,0)</f>
        <v>#N/A</v>
      </c>
      <c r="AC174" s="55" t="e">
        <f>VLOOKUP(A174,Enforcements!$C$7:$E$13,3,0)</f>
        <v>#N/A</v>
      </c>
      <c r="AD174" s="56" t="str">
        <f t="shared" si="54"/>
        <v>0814-17</v>
      </c>
      <c r="AE174" s="85" t="str">
        <f t="shared" si="55"/>
        <v>aws s3 cp s3://rtdc.mdm.uploadarchive.raw/RTDC4013/ "%USERPROFILE%\AppData\Local\Temp\OnboardLogs"\RTDC4013\2017-03-17 --exclude "*" --recursive --include "*20170317*" &amp; "%USERPROFILE%\Documents\GitHub\mrs-test-scripts\Headless Mode &amp; Sideloading\WalkAndUnGZ.bat" "%USERPROFILE%\AppData\Local\Temp\OnboardLogs"\RTDC4013\2017-03-17 &amp; aws s3 cp s3://rtdc.mdm.uploadarchive.raw/RTDC4013/ "%USERPROFILE%\AppData\Local\Temp\OnboardLogs"\RTDC4013\2017-03-18 --exclude "*" --recursive --include "*20170318*" &amp; "%USERPROFILE%\Documents\GitHub\mrs-test-scripts\Headless Mode &amp; Sideloading\WalkAndUnGZ.bat" "%USERPROFILE%\AppData\Local\Temp\OnboardLogs"\RTDC4013\2017-03-18</v>
      </c>
      <c r="AF174" s="82" t="str">
        <f t="shared" si="56"/>
        <v>"C:\Program Files (x86)\AstroGrep\AstroGrep.exe" /e /r /s /spath="%USERPROFILE%\AppData\Local\Temp\OnboardLogs" /stypes="app*4013*20170317*" /stext=" 15:.+((SYSTEM_STATE.+slice.+state.+changed )|(ment ac)|(multiple cpu faults)|(system.+state.+changed )|(\[timeout)|(PRM\|1\|D)|(kpr)|(kdp)|(\|lc)|(penalty))"</v>
      </c>
      <c r="AG174" s="1" t="str">
        <f t="shared" si="57"/>
        <v>NW</v>
      </c>
      <c r="AH174" s="86" t="str">
        <f t="shared" si="58"/>
        <v>"%USERPROFILE%\Documents\GitHub\eaglep3\Utilities\RefineRTDCRunTimes.py" --tripid 814-17 --locoid 4013 --swversion DE.1.0.9.0 --startMP 300:58677 --initTime 2017-03-17T09:36:54 --startdatetime 2017-03-17T09:40:49 --delay 1 --endMP 204:741 --enddatetime 2017-03-17T09:54:57 --enforcementcount 0 &gt;&gt;C:\Users\stu\Documents\GitHub\eaglep3-reporting\EC\2017-03-17-refined-times.txt</v>
      </c>
      <c r="AI174" s="108" t="str">
        <f t="shared" si="59"/>
        <v>echo {"issue":{"subject":"","project_id":79,"tracker_id":40,"status_id":1,"priority_id":2,"assigned_to_id":23,"start_date":"2017-03-17","description":"","custom_fields":[{"id":1,"name":"Subdivision","value":"NW"},{"id":4,"name":"Milepost","value":"0.0741"},{"id":17,"name":"Train ID","value":"814-17"},{"id":16,"name":"Locomotive ID","value":"4013"},{"id":130,"name":"Impact","value":""},{"id":150,"name":"Time of Event (Mountain Time)","value":"09:54:57"},{"id":151,"name":"Denver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48"/>
      <c r="AK174" s="48"/>
      <c r="AL174" s="48"/>
      <c r="AM174" s="154" t="str">
        <f t="shared" si="60"/>
        <v>start /low /b %USERPROFILE%\Documents\GitHub\eaglep3\Utilities\DownloadLogsFromS3.py --loco 4013 --day 2017-03-17</v>
      </c>
      <c r="AN174" s="163" t="str">
        <f>"grep -SE -B400 ""CHR.+\|PRM\|1\|D.+(SWITCH|SIGNAL).+UNKNOWN"" "&amp;search_path&amp;"\RTDC"&amp;B174&amp;"\*"&amp;B174&amp;"*"&amp;TEXT(AVERAGE(F174,I174)-utc_offset/24,"YYYYMMDD")&amp;"*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"%USERPROFILE%\AppData\Local\Temp\OnboardLogs"\RTDC4013\*4013*20170317* | grep -SE "(Enforcement Action)|(\[TIMEOUT)|(CHR.+\|PRM\|1\|D.+(SWITCH|SIGNAL).+UNKNOWN)" - &gt;&gt; 2017-03-17-UncaughtWiMAX.txt</v>
      </c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0" customFormat="1" x14ac:dyDescent="0.25">
      <c r="A175" s="33" t="s">
        <v>715</v>
      </c>
      <c r="B175" s="7">
        <v>4014</v>
      </c>
      <c r="C175" s="21" t="s">
        <v>227</v>
      </c>
      <c r="D175" s="21" t="s">
        <v>959</v>
      </c>
      <c r="E175" s="13">
        <v>42811.414699074077</v>
      </c>
      <c r="F175" s="13">
        <v>42811.431435185186</v>
      </c>
      <c r="G175" s="7">
        <v>1</v>
      </c>
      <c r="H175" s="21" t="s">
        <v>953</v>
      </c>
      <c r="I175" s="13">
        <v>42811.441134259258</v>
      </c>
      <c r="J175" s="7">
        <v>0</v>
      </c>
      <c r="K175" s="98" t="str">
        <f t="shared" si="46"/>
        <v>4013/4014</v>
      </c>
      <c r="L175" s="21" t="str">
        <f>VLOOKUP(A175,'Trips&amp;Operators'!$C$1:$G$99999,5,FALSE)</f>
        <v>SHOOK JOHN</v>
      </c>
      <c r="M175" s="6">
        <f t="shared" si="47"/>
        <v>9.6990740712499246E-3</v>
      </c>
      <c r="N175" s="7">
        <f t="shared" si="63"/>
        <v>13.966666662599891</v>
      </c>
      <c r="O175" s="7"/>
      <c r="P175" s="7"/>
      <c r="Q175" s="22"/>
      <c r="R175" s="22"/>
      <c r="S175" s="31">
        <f t="shared" si="62"/>
        <v>1</v>
      </c>
      <c r="T175" s="46" t="str">
        <f t="shared" si="48"/>
        <v>NorthBound</v>
      </c>
      <c r="U175" s="185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86" t="str">
        <f t="shared" si="49"/>
        <v>https://d0f6bd738d7f1b3e5a7ca70fe4ff75f0.us-east-1.aws.found.io/app/kibana#/discover/Steve-Slow-Train-Analysis-(2080s-and-2083s)?_g=(refreshInterval:(display:Off,pause:!f,section:0,value:0),time:(from:'2017-03-17T08:57:10-0600',mode:absolute,to:'2017-03-17T11:35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75" s="187" t="str">
        <f t="shared" si="50"/>
        <v>N</v>
      </c>
      <c r="X175" s="187">
        <f t="shared" ref="X175:X188" si="65">VALUE(LEFT(AD175,4))-VALUE(LEFT(AD174,4))</f>
        <v>1</v>
      </c>
      <c r="Y175" s="62">
        <f t="shared" si="51"/>
        <v>0.1018</v>
      </c>
      <c r="Z175" s="62">
        <f t="shared" si="52"/>
        <v>5.8992000000000004</v>
      </c>
      <c r="AA175" s="62">
        <f t="shared" si="53"/>
        <v>5.7974000000000006</v>
      </c>
      <c r="AB175" s="59" t="e">
        <f>VLOOKUP(A175,Enforcements!$C$7:$K$13,8,0)</f>
        <v>#N/A</v>
      </c>
      <c r="AC175" s="55" t="e">
        <f>VLOOKUP(A175,Enforcements!$C$7:$E$13,3,0)</f>
        <v>#N/A</v>
      </c>
      <c r="AD175" s="56" t="str">
        <f t="shared" si="54"/>
        <v>0815-17</v>
      </c>
      <c r="AE175" s="85" t="str">
        <f t="shared" si="55"/>
        <v>aws s3 cp s3://rtdc.mdm.uploadarchive.raw/RTDC4014/ "%USERPROFILE%\AppData\Local\Temp\OnboardLogs"\RTDC4014\2017-03-17 --exclude "*" --recursive --include "*20170317*" &amp; "%USERPROFILE%\Documents\GitHub\mrs-test-scripts\Headless Mode &amp; Sideloading\WalkAndUnGZ.bat" "%USERPROFILE%\AppData\Local\Temp\OnboardLogs"\RTDC4014\2017-03-17 &amp; aws s3 cp s3://rtdc.mdm.uploadarchive.raw/RTDC4014/ "%USERPROFILE%\AppData\Local\Temp\OnboardLogs"\RTDC4014\2017-03-18 --exclude "*" --recursive --include "*20170318*" &amp; "%USERPROFILE%\Documents\GitHub\mrs-test-scripts\Headless Mode &amp; Sideloading\WalkAndUnGZ.bat" "%USERPROFILE%\AppData\Local\Temp\OnboardLogs"\RTDC4014\2017-03-18</v>
      </c>
      <c r="AF175" s="82" t="str">
        <f t="shared" si="56"/>
        <v>"C:\Program Files (x86)\AstroGrep\AstroGrep.exe" /e /r /s /spath="%USERPROFILE%\AppData\Local\Temp\OnboardLogs" /stypes="app*4014*20170317*" /stext=" 16:.+((SYSTEM_STATE.+slice.+state.+changed )|(ment ac)|(multiple cpu faults)|(system.+state.+changed )|(\[timeout)|(PRM\|1\|D)|(kpr)|(kdp)|(\|lc)|(penalty))"</v>
      </c>
      <c r="AG175" s="1" t="str">
        <f t="shared" si="57"/>
        <v>NW</v>
      </c>
      <c r="AH175" s="86" t="str">
        <f t="shared" si="58"/>
        <v>"%USERPROFILE%\Documents\GitHub\eaglep3\Utilities\RefineRTDCRunTimes.py" --tripid 815-17 --locoid 4014 --swversion DE.1.0.9.0 --startMP 204:1018 --initTime 2017-03-17T09:57:10 --startdatetime 2017-03-17T10:21:16 --delay 1 --endMP 300:58992 --enddatetime 2017-03-17T10:35:14 --enforcementcount 0 &gt;&gt;C:\Users\stu\Documents\GitHub\eaglep3-reporting\EC\2017-03-17-refined-times.txt</v>
      </c>
      <c r="AI175" s="108" t="str">
        <f t="shared" si="59"/>
        <v>echo {"issue":{"subject":"","project_id":79,"tracker_id":40,"status_id":1,"priority_id":2,"assigned_to_id":23,"start_date":"2017-03-17","description":"","custom_fields":[{"id":1,"name":"Subdivision","value":"NW"},{"id":4,"name":"Milepost","value":"5.8992"},{"id":17,"name":"Train ID","value":"815-17"},{"id":16,"name":"Locomotive ID","value":"4014"},{"id":130,"name":"Impact","value":""},{"id":150,"name":"Time of Event (Mountain Time)","value":"10:35:14"},{"id":151,"name":"Denver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48"/>
      <c r="AK175" s="48"/>
      <c r="AL175" s="48"/>
      <c r="AM175" s="154" t="str">
        <f t="shared" si="60"/>
        <v>start /low /b %USERPROFILE%\Documents\GitHub\eaglep3\Utilities\DownloadLogsFromS3.py --loco 4014 --day 2017-03-17</v>
      </c>
      <c r="AN175" s="163" t="str">
        <f>"grep -SE -B400 ""CHR.+\|PRM\|1\|D.+(SWITCH|SIGNAL).+UNKNOWN"" "&amp;search_path&amp;"\RTDC"&amp;B175&amp;"\*"&amp;B175&amp;"*"&amp;TEXT(AVERAGE(F175,I175)-utc_offset/24,"YYYYMMDD")&amp;"*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"%USERPROFILE%\AppData\Local\Temp\OnboardLogs"\RTDC4014\*4014*20170317* | grep -SE "(Enforcement Action)|(\[TIMEOUT)|(CHR.+\|PRM\|1\|D.+(SWITCH|SIGNAL).+UNKNOWN)" - &gt;&gt; 2017-03-17-UncaughtWiMAX.txt</v>
      </c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s="20" customFormat="1" x14ac:dyDescent="0.25">
      <c r="A176" s="33" t="s">
        <v>722</v>
      </c>
      <c r="B176" s="7">
        <v>4013</v>
      </c>
      <c r="C176" s="21" t="s">
        <v>227</v>
      </c>
      <c r="D176" s="21" t="s">
        <v>960</v>
      </c>
      <c r="E176" s="13">
        <v>42811.442615740743</v>
      </c>
      <c r="F176" s="13">
        <v>42811.4450462963</v>
      </c>
      <c r="G176" s="7">
        <v>1</v>
      </c>
      <c r="H176" s="21" t="s">
        <v>858</v>
      </c>
      <c r="I176" s="13">
        <v>42811.45484953704</v>
      </c>
      <c r="J176" s="7">
        <v>0</v>
      </c>
      <c r="K176" s="98" t="str">
        <f t="shared" si="46"/>
        <v>4013/4014</v>
      </c>
      <c r="L176" s="21" t="str">
        <f>VLOOKUP(A176,'Trips&amp;Operators'!$C$1:$G$99999,5,FALSE)</f>
        <v>SHOOK JOHN</v>
      </c>
      <c r="M176" s="6">
        <f t="shared" si="47"/>
        <v>9.8032407404389232E-3</v>
      </c>
      <c r="N176" s="7">
        <f t="shared" si="63"/>
        <v>14.116666666232049</v>
      </c>
      <c r="O176" s="7"/>
      <c r="P176" s="7"/>
      <c r="Q176" s="22"/>
      <c r="R176" s="22"/>
      <c r="S176" s="31">
        <f t="shared" si="62"/>
        <v>1</v>
      </c>
      <c r="T176" s="46" t="str">
        <f t="shared" si="48"/>
        <v>Southbound</v>
      </c>
      <c r="U176" s="185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86" t="str">
        <f t="shared" si="49"/>
        <v>https://d0f6bd738d7f1b3e5a7ca70fe4ff75f0.us-east-1.aws.found.io/app/kibana#/discover/Steve-Slow-Train-Analysis-(2080s-and-2083s)?_g=(refreshInterval:(display:Off,pause:!f,section:0,value:0),time:(from:'2017-03-17T09:37:22-0600',mode:absolute,to:'2017-03-17T11:54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76" s="187" t="str">
        <f t="shared" si="50"/>
        <v>N</v>
      </c>
      <c r="X176" s="187">
        <f t="shared" si="65"/>
        <v>1</v>
      </c>
      <c r="Y176" s="62">
        <f t="shared" si="51"/>
        <v>5.867</v>
      </c>
      <c r="Z176" s="62">
        <f t="shared" si="52"/>
        <v>7.5200000000000003E-2</v>
      </c>
      <c r="AA176" s="62">
        <f t="shared" si="53"/>
        <v>5.7918000000000003</v>
      </c>
      <c r="AB176" s="59" t="e">
        <f>VLOOKUP(A176,Enforcements!$C$7:$K$13,8,0)</f>
        <v>#N/A</v>
      </c>
      <c r="AC176" s="55" t="e">
        <f>VLOOKUP(A176,Enforcements!$C$7:$E$13,3,0)</f>
        <v>#N/A</v>
      </c>
      <c r="AD176" s="56" t="str">
        <f t="shared" si="54"/>
        <v>0816-17</v>
      </c>
      <c r="AE176" s="85" t="str">
        <f t="shared" si="55"/>
        <v>aws s3 cp s3://rtdc.mdm.uploadarchive.raw/RTDC4013/ "%USERPROFILE%\AppData\Local\Temp\OnboardLogs"\RTDC4013\2017-03-17 --exclude "*" --recursive --include "*20170317*" &amp; "%USERPROFILE%\Documents\GitHub\mrs-test-scripts\Headless Mode &amp; Sideloading\WalkAndUnGZ.bat" "%USERPROFILE%\AppData\Local\Temp\OnboardLogs"\RTDC4013\2017-03-17 &amp; aws s3 cp s3://rtdc.mdm.uploadarchive.raw/RTDC4013/ "%USERPROFILE%\AppData\Local\Temp\OnboardLogs"\RTDC4013\2017-03-18 --exclude "*" --recursive --include "*20170318*" &amp; "%USERPROFILE%\Documents\GitHub\mrs-test-scripts\Headless Mode &amp; Sideloading\WalkAndUnGZ.bat" "%USERPROFILE%\AppData\Local\Temp\OnboardLogs"\RTDC4013\2017-03-18</v>
      </c>
      <c r="AF176" s="82" t="str">
        <f t="shared" si="56"/>
        <v>"C:\Program Files (x86)\AstroGrep\AstroGrep.exe" /e /r /s /spath="%USERPROFILE%\AppData\Local\Temp\OnboardLogs" /stypes="app*4013*20170317*" /stext=" 16:.+((SYSTEM_STATE.+slice.+state.+changed )|(ment ac)|(multiple cpu faults)|(system.+state.+changed )|(\[timeout)|(PRM\|1\|D)|(kpr)|(kdp)|(\|lc)|(penalty))"</v>
      </c>
      <c r="AG176" s="1" t="str">
        <f t="shared" si="57"/>
        <v>NW</v>
      </c>
      <c r="AH176" s="86" t="str">
        <f t="shared" si="58"/>
        <v>"%USERPROFILE%\Documents\GitHub\eaglep3\Utilities\RefineRTDCRunTimes.py" --tripid 816-17 --locoid 4013 --swversion DE.1.0.9.0 --startMP 300:58670 --initTime 2017-03-17T10:37:22 --startdatetime 2017-03-17T10:40:52 --delay 1 --endMP 204:752 --enddatetime 2017-03-17T10:54:59 --enforcementcount 0 &gt;&gt;C:\Users\stu\Documents\GitHub\eaglep3-reporting\EC\2017-03-17-refined-times.txt</v>
      </c>
      <c r="AI176" s="108" t="str">
        <f t="shared" si="59"/>
        <v>echo {"issue":{"subject":"","project_id":79,"tracker_id":40,"status_id":1,"priority_id":2,"assigned_to_id":23,"start_date":"2017-03-17","description":"","custom_fields":[{"id":1,"name":"Subdivision","value":"NW"},{"id":4,"name":"Milepost","value":"0.0752"},{"id":17,"name":"Train ID","value":"816-17"},{"id":16,"name":"Locomotive ID","value":"4013"},{"id":130,"name":"Impact","value":""},{"id":150,"name":"Time of Event (Mountain Time)","value":"10:54:59"},{"id":151,"name":"Denver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48"/>
      <c r="AK176" s="48"/>
      <c r="AL176" s="48"/>
      <c r="AM176" s="154" t="str">
        <f t="shared" si="60"/>
        <v>start /low /b %USERPROFILE%\Documents\GitHub\eaglep3\Utilities\DownloadLogsFromS3.py --loco 4013 --day 2017-03-17</v>
      </c>
      <c r="AN176" s="163" t="str">
        <f>"grep -SE -B400 ""CHR.+\|PRM\|1\|D.+(SWITCH|SIGNAL).+UNKNOWN"" "&amp;search_path&amp;"\RTDC"&amp;B176&amp;"\*"&amp;B176&amp;"*"&amp;TEXT(AVERAGE(F176,I176)-utc_offset/24,"YYYYMMDD")&amp;"*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"%USERPROFILE%\AppData\Local\Temp\OnboardLogs"\RTDC4013\*4013*20170317* | grep -SE "(Enforcement Action)|(\[TIMEOUT)|(CHR.+\|PRM\|1\|D.+(SWITCH|SIGNAL).+UNKNOWN)" - &gt;&gt; 2017-03-17-UncaughtWiMAX.txt</v>
      </c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x14ac:dyDescent="0.25">
      <c r="A177" s="33" t="s">
        <v>725</v>
      </c>
      <c r="B177" s="7">
        <v>4014</v>
      </c>
      <c r="C177" s="21" t="s">
        <v>227</v>
      </c>
      <c r="D177" s="21" t="s">
        <v>959</v>
      </c>
      <c r="E177" s="13">
        <v>42811.456886574073</v>
      </c>
      <c r="F177" s="13">
        <v>42811.473101851851</v>
      </c>
      <c r="G177" s="7">
        <v>1</v>
      </c>
      <c r="H177" s="21" t="s">
        <v>600</v>
      </c>
      <c r="I177" s="13">
        <v>42811.482546296298</v>
      </c>
      <c r="J177" s="7">
        <v>0</v>
      </c>
      <c r="K177" s="98" t="str">
        <f t="shared" si="46"/>
        <v>4013/4014</v>
      </c>
      <c r="L177" s="21" t="str">
        <f>VLOOKUP(A177,'Trips&amp;Operators'!$C$1:$G$99999,5,FALSE)</f>
        <v>SHOOK JOHN</v>
      </c>
      <c r="M177" s="6">
        <f t="shared" si="47"/>
        <v>9.4444444475811906E-3</v>
      </c>
      <c r="N177" s="7">
        <f t="shared" si="63"/>
        <v>13.600000004516914</v>
      </c>
      <c r="O177" s="7"/>
      <c r="P177" s="7"/>
      <c r="Q177" s="22"/>
      <c r="R177" s="22"/>
      <c r="S177" s="31">
        <f t="shared" si="62"/>
        <v>1</v>
      </c>
      <c r="T177" s="46" t="str">
        <f t="shared" si="48"/>
        <v>NorthBound</v>
      </c>
      <c r="U177" s="185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86" t="str">
        <f t="shared" si="49"/>
        <v>https://d0f6bd738d7f1b3e5a7ca70fe4ff75f0.us-east-1.aws.found.io/app/kibana#/discover/Steve-Slow-Train-Analysis-(2080s-and-2083s)?_g=(refreshInterval:(display:Off,pause:!f,section:0,value:0),time:(from:'2017-03-17T09:57:55-0600',mode:absolute,to:'2017-03-17T12:34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77" s="187" t="str">
        <f t="shared" si="50"/>
        <v>N</v>
      </c>
      <c r="X177" s="187">
        <f t="shared" si="65"/>
        <v>1</v>
      </c>
      <c r="Y177" s="62">
        <f t="shared" si="51"/>
        <v>0.1018</v>
      </c>
      <c r="Z177" s="62">
        <f t="shared" si="52"/>
        <v>5.899</v>
      </c>
      <c r="AA177" s="62">
        <f t="shared" si="53"/>
        <v>5.7972000000000001</v>
      </c>
      <c r="AB177" s="59" t="e">
        <f>VLOOKUP(A177,Enforcements!$C$7:$K$13,8,0)</f>
        <v>#N/A</v>
      </c>
      <c r="AC177" s="55" t="e">
        <f>VLOOKUP(A177,Enforcements!$C$7:$E$13,3,0)</f>
        <v>#N/A</v>
      </c>
      <c r="AD177" s="56" t="str">
        <f t="shared" si="54"/>
        <v>0817-17</v>
      </c>
      <c r="AE177" s="85" t="str">
        <f t="shared" si="55"/>
        <v>aws s3 cp s3://rtdc.mdm.uploadarchive.raw/RTDC4014/ "%USERPROFILE%\AppData\Local\Temp\OnboardLogs"\RTDC4014\2017-03-17 --exclude "*" --recursive --include "*20170317*" &amp; "%USERPROFILE%\Documents\GitHub\mrs-test-scripts\Headless Mode &amp; Sideloading\WalkAndUnGZ.bat" "%USERPROFILE%\AppData\Local\Temp\OnboardLogs"\RTDC4014\2017-03-17 &amp; aws s3 cp s3://rtdc.mdm.uploadarchive.raw/RTDC4014/ "%USERPROFILE%\AppData\Local\Temp\OnboardLogs"\RTDC4014\2017-03-18 --exclude "*" --recursive --include "*20170318*" &amp; "%USERPROFILE%\Documents\GitHub\mrs-test-scripts\Headless Mode &amp; Sideloading\WalkAndUnGZ.bat" "%USERPROFILE%\AppData\Local\Temp\OnboardLogs"\RTDC4014\2017-03-18</v>
      </c>
      <c r="AF177" s="82" t="str">
        <f t="shared" si="56"/>
        <v>"C:\Program Files (x86)\AstroGrep\AstroGrep.exe" /e /r /s /spath="%USERPROFILE%\AppData\Local\Temp\OnboardLogs" /stypes="app*4014*20170317*" /stext=" 17:.+((SYSTEM_STATE.+slice.+state.+changed )|(ment ac)|(multiple cpu faults)|(system.+state.+changed )|(\[timeout)|(PRM\|1\|D)|(kpr)|(kdp)|(\|lc)|(penalty))"</v>
      </c>
      <c r="AG177" s="1" t="str">
        <f t="shared" si="57"/>
        <v>NW</v>
      </c>
      <c r="AH177" s="86" t="str">
        <f t="shared" si="58"/>
        <v>"%USERPROFILE%\Documents\GitHub\eaglep3\Utilities\RefineRTDCRunTimes.py" --tripid 817-17 --locoid 4014 --swversion DE.1.0.9.0 --startMP 204:1018 --initTime 2017-03-17T10:57:55 --startdatetime 2017-03-17T11:21:16 --delay 1 --endMP 300:58990 --enddatetime 2017-03-17T11:34:52 --enforcementcount 0 &gt;&gt;C:\Users\stu\Documents\GitHub\eaglep3-reporting\EC\2017-03-17-refined-times.txt</v>
      </c>
      <c r="AI177" s="108" t="str">
        <f t="shared" si="59"/>
        <v>echo {"issue":{"subject":"","project_id":79,"tracker_id":40,"status_id":1,"priority_id":2,"assigned_to_id":23,"start_date":"2017-03-17","description":"","custom_fields":[{"id":1,"name":"Subdivision","value":"NW"},{"id":4,"name":"Milepost","value":"5.899"},{"id":17,"name":"Train ID","value":"817-17"},{"id":16,"name":"Locomotive ID","value":"4014"},{"id":130,"name":"Impact","value":""},{"id":150,"name":"Time of Event (Mountain Time)","value":"11:34:52"},{"id":151,"name":"Denver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48"/>
      <c r="AK177" s="48"/>
      <c r="AL177" s="48"/>
      <c r="AM177" s="154" t="str">
        <f t="shared" si="60"/>
        <v>start /low /b %USERPROFILE%\Documents\GitHub\eaglep3\Utilities\DownloadLogsFromS3.py --loco 4014 --day 2017-03-17</v>
      </c>
      <c r="AN177" s="163" t="str">
        <f>"grep -SE -B400 ""CHR.+\|PRM\|1\|D.+(SWITCH|SIGNAL).+UNKNOWN"" "&amp;search_path&amp;"\RTDC"&amp;B177&amp;"\*"&amp;B177&amp;"*"&amp;TEXT(AVERAGE(F177,I177)-utc_offset/24,"YYYYMMDD")&amp;"*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"%USERPROFILE%\AppData\Local\Temp\OnboardLogs"\RTDC4014\*4014*20170317* | grep -SE "(Enforcement Action)|(\[TIMEOUT)|(CHR.+\|PRM\|1\|D.+(SWITCH|SIGNAL).+UNKNOWN)" - &gt;&gt; 2017-03-17-UncaughtWiMAX.txt</v>
      </c>
    </row>
    <row r="178" spans="1:91" s="20" customFormat="1" x14ac:dyDescent="0.25">
      <c r="A178" s="33" t="s">
        <v>735</v>
      </c>
      <c r="B178" s="7">
        <v>4013</v>
      </c>
      <c r="C178" s="21" t="s">
        <v>227</v>
      </c>
      <c r="D178" s="21" t="s">
        <v>961</v>
      </c>
      <c r="E178" s="13">
        <v>42811.484189814815</v>
      </c>
      <c r="F178" s="13">
        <v>42811.486631944441</v>
      </c>
      <c r="G178" s="7">
        <v>1</v>
      </c>
      <c r="H178" s="21" t="s">
        <v>583</v>
      </c>
      <c r="I178" s="13">
        <v>42811.496458333335</v>
      </c>
      <c r="J178" s="7">
        <v>0</v>
      </c>
      <c r="K178" s="98" t="str">
        <f t="shared" si="46"/>
        <v>4013/4014</v>
      </c>
      <c r="L178" s="21" t="str">
        <f>VLOOKUP(A178,'Trips&amp;Operators'!$C$1:$G$99999,5,FALSE)</f>
        <v>SHOOK JOHN</v>
      </c>
      <c r="M178" s="6">
        <f t="shared" si="47"/>
        <v>9.826388893998228E-3</v>
      </c>
      <c r="N178" s="7">
        <f t="shared" si="63"/>
        <v>14.150000007357448</v>
      </c>
      <c r="O178" s="7"/>
      <c r="P178" s="7"/>
      <c r="Q178" s="22"/>
      <c r="R178" s="22"/>
      <c r="S178" s="31">
        <f t="shared" si="62"/>
        <v>1</v>
      </c>
      <c r="T178" s="46" t="str">
        <f t="shared" si="48"/>
        <v>Southbound</v>
      </c>
      <c r="U178" s="185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86" t="str">
        <f t="shared" si="49"/>
        <v>https://d0f6bd738d7f1b3e5a7ca70fe4ff75f0.us-east-1.aws.found.io/app/kibana#/discover/Steve-Slow-Train-Analysis-(2080s-and-2083s)?_g=(refreshInterval:(display:Off,pause:!f,section:0,value:0),time:(from:'2017-03-17T10:37:14-0600',mode:absolute,to:'2017-03-17T12:54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78" s="187" t="str">
        <f t="shared" si="50"/>
        <v>N</v>
      </c>
      <c r="X178" s="187">
        <f t="shared" si="65"/>
        <v>1</v>
      </c>
      <c r="Y178" s="62">
        <f t="shared" si="51"/>
        <v>5.8674999999999997</v>
      </c>
      <c r="Z178" s="62">
        <f t="shared" si="52"/>
        <v>7.22E-2</v>
      </c>
      <c r="AA178" s="62">
        <f t="shared" si="53"/>
        <v>5.7953000000000001</v>
      </c>
      <c r="AB178" s="59" t="e">
        <f>VLOOKUP(A178,Enforcements!$C$7:$K$13,8,0)</f>
        <v>#N/A</v>
      </c>
      <c r="AC178" s="55" t="e">
        <f>VLOOKUP(A178,Enforcements!$C$7:$E$13,3,0)</f>
        <v>#N/A</v>
      </c>
      <c r="AD178" s="56" t="str">
        <f t="shared" si="54"/>
        <v>0818-17</v>
      </c>
      <c r="AE178" s="85" t="str">
        <f t="shared" si="55"/>
        <v>aws s3 cp s3://rtdc.mdm.uploadarchive.raw/RTDC4013/ "%USERPROFILE%\AppData\Local\Temp\OnboardLogs"\RTDC4013\2017-03-17 --exclude "*" --recursive --include "*20170317*" &amp; "%USERPROFILE%\Documents\GitHub\mrs-test-scripts\Headless Mode &amp; Sideloading\WalkAndUnGZ.bat" "%USERPROFILE%\AppData\Local\Temp\OnboardLogs"\RTDC4013\2017-03-17 &amp; aws s3 cp s3://rtdc.mdm.uploadarchive.raw/RTDC4013/ "%USERPROFILE%\AppData\Local\Temp\OnboardLogs"\RTDC4013\2017-03-18 --exclude "*" --recursive --include "*20170318*" &amp; "%USERPROFILE%\Documents\GitHub\mrs-test-scripts\Headless Mode &amp; Sideloading\WalkAndUnGZ.bat" "%USERPROFILE%\AppData\Local\Temp\OnboardLogs"\RTDC4013\2017-03-18</v>
      </c>
      <c r="AF178" s="82" t="str">
        <f t="shared" si="56"/>
        <v>"C:\Program Files (x86)\AstroGrep\AstroGrep.exe" /e /r /s /spath="%USERPROFILE%\AppData\Local\Temp\OnboardLogs" /stypes="app*4013*20170317*" /stext=" 17:.+((SYSTEM_STATE.+slice.+state.+changed )|(ment ac)|(multiple cpu faults)|(system.+state.+changed )|(\[timeout)|(PRM\|1\|D)|(kpr)|(kdp)|(\|lc)|(penalty))"</v>
      </c>
      <c r="AG178" s="1" t="str">
        <f t="shared" si="57"/>
        <v>NW</v>
      </c>
      <c r="AH178" s="86" t="str">
        <f t="shared" si="58"/>
        <v>"%USERPROFILE%\Documents\GitHub\eaglep3\Utilities\RefineRTDCRunTimes.py" --tripid 818-17 --locoid 4013 --swversion DE.1.0.9.0 --startMP 300:58675 --initTime 2017-03-17T11:37:14 --startdatetime 2017-03-17T11:40:45 --delay 1 --endMP 204:722 --enddatetime 2017-03-17T11:54:54 --enforcementcount 0 &gt;&gt;C:\Users\stu\Documents\GitHub\eaglep3-reporting\EC\2017-03-17-refined-times.txt</v>
      </c>
      <c r="AI178" s="108" t="str">
        <f t="shared" si="59"/>
        <v>echo {"issue":{"subject":"","project_id":79,"tracker_id":40,"status_id":1,"priority_id":2,"assigned_to_id":23,"start_date":"2017-03-17","description":"","custom_fields":[{"id":1,"name":"Subdivision","value":"NW"},{"id":4,"name":"Milepost","value":"0.0722"},{"id":17,"name":"Train ID","value":"818-17"},{"id":16,"name":"Locomotive ID","value":"4013"},{"id":130,"name":"Impact","value":""},{"id":150,"name":"Time of Event (Mountain Time)","value":"11:54:54"},{"id":151,"name":"Denver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48"/>
      <c r="AK178" s="48"/>
      <c r="AL178" s="48"/>
      <c r="AM178" s="154" t="str">
        <f t="shared" si="60"/>
        <v>start /low /b %USERPROFILE%\Documents\GitHub\eaglep3\Utilities\DownloadLogsFromS3.py --loco 4013 --day 2017-03-17</v>
      </c>
      <c r="AN178" s="163" t="str">
        <f>"grep -SE -B400 ""CHR.+\|PRM\|1\|D.+(SWITCH|SIGNAL).+UNKNOWN"" "&amp;search_path&amp;"\RTDC"&amp;B178&amp;"\*"&amp;B178&amp;"*"&amp;TEXT(AVERAGE(F178,I178)-utc_offset/24,"YYYYMMDD")&amp;"*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"%USERPROFILE%\AppData\Local\Temp\OnboardLogs"\RTDC4013\*4013*20170317* | grep -SE "(Enforcement Action)|(\[TIMEOUT)|(CHR.+\|PRM\|1\|D.+(SWITCH|SIGNAL).+UNKNOWN)" - &gt;&gt; 2017-03-17-UncaughtWiMAX.txt</v>
      </c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x14ac:dyDescent="0.25">
      <c r="A179" s="33" t="s">
        <v>738</v>
      </c>
      <c r="B179" s="7">
        <v>4014</v>
      </c>
      <c r="C179" s="21" t="s">
        <v>227</v>
      </c>
      <c r="D179" s="21" t="s">
        <v>601</v>
      </c>
      <c r="E179" s="13">
        <v>42811.49800925926</v>
      </c>
      <c r="F179" s="13">
        <v>42811.514745370368</v>
      </c>
      <c r="G179" s="7">
        <v>1</v>
      </c>
      <c r="H179" s="21" t="s">
        <v>585</v>
      </c>
      <c r="I179" s="13">
        <v>42811.524247685185</v>
      </c>
      <c r="J179" s="7">
        <v>0</v>
      </c>
      <c r="K179" s="98" t="str">
        <f t="shared" si="46"/>
        <v>4013/4014</v>
      </c>
      <c r="L179" s="21" t="str">
        <f>VLOOKUP(A179,'Trips&amp;Operators'!$C$1:$G$99999,5,FALSE)</f>
        <v>SHOOK JOHN</v>
      </c>
      <c r="M179" s="6">
        <f t="shared" si="47"/>
        <v>9.5023148169275373E-3</v>
      </c>
      <c r="N179" s="7">
        <f t="shared" si="63"/>
        <v>13.683333336375654</v>
      </c>
      <c r="O179" s="7"/>
      <c r="P179" s="7"/>
      <c r="Q179" s="22"/>
      <c r="R179" s="22"/>
      <c r="S179" s="31">
        <f t="shared" si="62"/>
        <v>1</v>
      </c>
      <c r="T179" s="46" t="str">
        <f t="shared" si="48"/>
        <v>NorthBound</v>
      </c>
      <c r="U179" s="185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86" t="str">
        <f t="shared" si="49"/>
        <v>https://d0f6bd738d7f1b3e5a7ca70fe4ff75f0.us-east-1.aws.found.io/app/kibana#/discover/Steve-Slow-Train-Analysis-(2080s-and-2083s)?_g=(refreshInterval:(display:Off,pause:!f,section:0,value:0),time:(from:'2017-03-17T10:57:08-0600',mode:absolute,to:'2017-03-17T13:34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79" s="187" t="str">
        <f t="shared" si="50"/>
        <v>N</v>
      </c>
      <c r="X179" s="187">
        <f t="shared" si="65"/>
        <v>1</v>
      </c>
      <c r="Y179" s="62">
        <f t="shared" si="51"/>
        <v>0.10199999999999999</v>
      </c>
      <c r="Z179" s="62">
        <f t="shared" si="52"/>
        <v>5.8987999999999996</v>
      </c>
      <c r="AA179" s="62">
        <f t="shared" si="53"/>
        <v>5.7967999999999993</v>
      </c>
      <c r="AB179" s="59" t="e">
        <f>VLOOKUP(A179,Enforcements!$C$7:$K$13,8,0)</f>
        <v>#N/A</v>
      </c>
      <c r="AC179" s="55" t="e">
        <f>VLOOKUP(A179,Enforcements!$C$7:$E$13,3,0)</f>
        <v>#N/A</v>
      </c>
      <c r="AD179" s="56" t="str">
        <f t="shared" si="54"/>
        <v>0819-17</v>
      </c>
      <c r="AE179" s="85" t="str">
        <f t="shared" si="55"/>
        <v>aws s3 cp s3://rtdc.mdm.uploadarchive.raw/RTDC4014/ "%USERPROFILE%\AppData\Local\Temp\OnboardLogs"\RTDC4014\2017-03-17 --exclude "*" --recursive --include "*20170317*" &amp; "%USERPROFILE%\Documents\GitHub\mrs-test-scripts\Headless Mode &amp; Sideloading\WalkAndUnGZ.bat" "%USERPROFILE%\AppData\Local\Temp\OnboardLogs"\RTDC4014\2017-03-17 &amp; aws s3 cp s3://rtdc.mdm.uploadarchive.raw/RTDC4014/ "%USERPROFILE%\AppData\Local\Temp\OnboardLogs"\RTDC4014\2017-03-18 --exclude "*" --recursive --include "*20170318*" &amp; "%USERPROFILE%\Documents\GitHub\mrs-test-scripts\Headless Mode &amp; Sideloading\WalkAndUnGZ.bat" "%USERPROFILE%\AppData\Local\Temp\OnboardLogs"\RTDC4014\2017-03-18</v>
      </c>
      <c r="AF179" s="82" t="str">
        <f t="shared" si="56"/>
        <v>"C:\Program Files (x86)\AstroGrep\AstroGrep.exe" /e /r /s /spath="%USERPROFILE%\AppData\Local\Temp\OnboardLogs" /stypes="app*4014*20170317*" /stext=" 18:.+((SYSTEM_STATE.+slice.+state.+changed )|(ment ac)|(multiple cpu faults)|(system.+state.+changed )|(\[timeout)|(PRM\|1\|D)|(kpr)|(kdp)|(\|lc)|(penalty))"</v>
      </c>
      <c r="AG179" s="1" t="str">
        <f t="shared" si="57"/>
        <v>NW</v>
      </c>
      <c r="AH179" s="86" t="str">
        <f t="shared" si="58"/>
        <v>"%USERPROFILE%\Documents\GitHub\eaglep3\Utilities\RefineRTDCRunTimes.py" --tripid 819-17 --locoid 4014 --swversion DE.1.0.9.0 --startMP 204:1020 --initTime 2017-03-17T11:57:08 --startdatetime 2017-03-17T12:21:14 --delay 1 --endMP 300:58988 --enddatetime 2017-03-17T12:34:55 --enforcementcount 0 &gt;&gt;C:\Users\stu\Documents\GitHub\eaglep3-reporting\EC\2017-03-17-refined-times.txt</v>
      </c>
      <c r="AI179" s="108" t="str">
        <f t="shared" si="59"/>
        <v>echo {"issue":{"subject":"","project_id":79,"tracker_id":40,"status_id":1,"priority_id":2,"assigned_to_id":23,"start_date":"2017-03-17","description":"","custom_fields":[{"id":1,"name":"Subdivision","value":"NW"},{"id":4,"name":"Milepost","value":"5.8988"},{"id":17,"name":"Train ID","value":"819-17"},{"id":16,"name":"Locomotive ID","value":"4014"},{"id":130,"name":"Impact","value":""},{"id":150,"name":"Time of Event (Mountain Time)","value":"12:34:55"},{"id":151,"name":"Denver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48"/>
      <c r="AK179" s="48"/>
      <c r="AL179" s="48"/>
      <c r="AM179" s="154" t="str">
        <f t="shared" si="60"/>
        <v>start /low /b %USERPROFILE%\Documents\GitHub\eaglep3\Utilities\DownloadLogsFromS3.py --loco 4014 --day 2017-03-17</v>
      </c>
      <c r="AN179" s="163" t="str">
        <f>"grep -SE -B400 ""CHR.+\|PRM\|1\|D.+(SWITCH|SIGNAL).+UNKNOWN"" "&amp;search_path&amp;"\RTDC"&amp;B179&amp;"\*"&amp;B179&amp;"*"&amp;TEXT(AVERAGE(F179,I179)-utc_offset/24,"YYYYMMDD")&amp;"*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"%USERPROFILE%\AppData\Local\Temp\OnboardLogs"\RTDC4014\*4014*20170317* | grep -SE "(Enforcement Action)|(\[TIMEOUT)|(CHR.+\|PRM\|1\|D.+(SWITCH|SIGNAL).+UNKNOWN)" - &gt;&gt; 2017-03-17-UncaughtWiMAX.txt</v>
      </c>
    </row>
    <row r="180" spans="1:91" s="20" customFormat="1" x14ac:dyDescent="0.25">
      <c r="A180" s="33" t="s">
        <v>743</v>
      </c>
      <c r="B180" s="7">
        <v>4013</v>
      </c>
      <c r="C180" s="21" t="s">
        <v>227</v>
      </c>
      <c r="D180" s="21" t="s">
        <v>590</v>
      </c>
      <c r="E180" s="13">
        <v>42811.526365740741</v>
      </c>
      <c r="F180" s="13">
        <v>42811.528344907405</v>
      </c>
      <c r="G180" s="7">
        <v>1</v>
      </c>
      <c r="H180" s="21" t="s">
        <v>958</v>
      </c>
      <c r="I180" s="13">
        <v>42811.538124999999</v>
      </c>
      <c r="J180" s="7">
        <v>0</v>
      </c>
      <c r="K180" s="98" t="str">
        <f t="shared" si="46"/>
        <v>4013/4014</v>
      </c>
      <c r="L180" s="21" t="str">
        <f>VLOOKUP(A180,'Trips&amp;Operators'!$C$1:$G$99999,5,FALSE)</f>
        <v>SHOOK JOHN</v>
      </c>
      <c r="M180" s="6">
        <f t="shared" si="47"/>
        <v>9.7800925941555761E-3</v>
      </c>
      <c r="N180" s="7">
        <f t="shared" si="63"/>
        <v>14.08333333558403</v>
      </c>
      <c r="O180" s="7"/>
      <c r="P180" s="7"/>
      <c r="Q180" s="22"/>
      <c r="R180" s="22"/>
      <c r="S180" s="31">
        <f t="shared" si="62"/>
        <v>1</v>
      </c>
      <c r="T180" s="46" t="str">
        <f t="shared" si="48"/>
        <v>Southbound</v>
      </c>
      <c r="U180" s="185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86" t="str">
        <f t="shared" si="49"/>
        <v>https://d0f6bd738d7f1b3e5a7ca70fe4ff75f0.us-east-1.aws.found.io/app/kibana#/discover/Steve-Slow-Train-Analysis-(2080s-and-2083s)?_g=(refreshInterval:(display:Off,pause:!f,section:0,value:0),time:(from:'2017-03-17T11:37:58-0600',mode:absolute,to:'2017-03-17T13:54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80" s="187" t="str">
        <f t="shared" si="50"/>
        <v>N</v>
      </c>
      <c r="X180" s="187">
        <f t="shared" si="65"/>
        <v>1</v>
      </c>
      <c r="Y180" s="62">
        <f t="shared" si="51"/>
        <v>5.8677000000000001</v>
      </c>
      <c r="Z180" s="62">
        <f t="shared" si="52"/>
        <v>7.4099999999999999E-2</v>
      </c>
      <c r="AA180" s="62">
        <f t="shared" si="53"/>
        <v>5.7936000000000005</v>
      </c>
      <c r="AB180" s="59" t="e">
        <f>VLOOKUP(A180,Enforcements!$C$7:$K$13,8,0)</f>
        <v>#N/A</v>
      </c>
      <c r="AC180" s="55" t="e">
        <f>VLOOKUP(A180,Enforcements!$C$7:$E$13,3,0)</f>
        <v>#N/A</v>
      </c>
      <c r="AD180" s="56" t="str">
        <f t="shared" si="54"/>
        <v>0820-17</v>
      </c>
      <c r="AE180" s="85" t="str">
        <f t="shared" si="55"/>
        <v>aws s3 cp s3://rtdc.mdm.uploadarchive.raw/RTDC4013/ "%USERPROFILE%\AppData\Local\Temp\OnboardLogs"\RTDC4013\2017-03-17 --exclude "*" --recursive --include "*20170317*" &amp; "%USERPROFILE%\Documents\GitHub\mrs-test-scripts\Headless Mode &amp; Sideloading\WalkAndUnGZ.bat" "%USERPROFILE%\AppData\Local\Temp\OnboardLogs"\RTDC4013\2017-03-17 &amp; aws s3 cp s3://rtdc.mdm.uploadarchive.raw/RTDC4013/ "%USERPROFILE%\AppData\Local\Temp\OnboardLogs"\RTDC4013\2017-03-18 --exclude "*" --recursive --include "*20170318*" &amp; "%USERPROFILE%\Documents\GitHub\mrs-test-scripts\Headless Mode &amp; Sideloading\WalkAndUnGZ.bat" "%USERPROFILE%\AppData\Local\Temp\OnboardLogs"\RTDC4013\2017-03-18</v>
      </c>
      <c r="AF180" s="82" t="str">
        <f t="shared" si="56"/>
        <v>"C:\Program Files (x86)\AstroGrep\AstroGrep.exe" /e /r /s /spath="%USERPROFILE%\AppData\Local\Temp\OnboardLogs" /stypes="app*4013*20170317*" /stext=" 18:.+((SYSTEM_STATE.+slice.+state.+changed )|(ment ac)|(multiple cpu faults)|(system.+state.+changed )|(\[timeout)|(PRM\|1\|D)|(kpr)|(kdp)|(\|lc)|(penalty))"</v>
      </c>
      <c r="AG180" s="1" t="str">
        <f t="shared" si="57"/>
        <v>NW</v>
      </c>
      <c r="AH180" s="86" t="str">
        <f t="shared" si="58"/>
        <v>"%USERPROFILE%\Documents\GitHub\eaglep3\Utilities\RefineRTDCRunTimes.py" --tripid 820-17 --locoid 4013 --swversion DE.1.0.9.0 --startMP 300:58677 --initTime 2017-03-17T12:37:58 --startdatetime 2017-03-17T12:40:49 --delay 1 --endMP 204:741 --enddatetime 2017-03-17T12:54:54 --enforcementcount 0 &gt;&gt;C:\Users\stu\Documents\GitHub\eaglep3-reporting\EC\2017-03-17-refined-times.txt</v>
      </c>
      <c r="AI180" s="108" t="str">
        <f t="shared" si="59"/>
        <v>echo {"issue":{"subject":"","project_id":79,"tracker_id":40,"status_id":1,"priority_id":2,"assigned_to_id":23,"start_date":"2017-03-17","description":"","custom_fields":[{"id":1,"name":"Subdivision","value":"NW"},{"id":4,"name":"Milepost","value":"0.0741"},{"id":17,"name":"Train ID","value":"820-17"},{"id":16,"name":"Locomotive ID","value":"4013"},{"id":130,"name":"Impact","value":""},{"id":150,"name":"Time of Event (Mountain Time)","value":"12:54:54"},{"id":151,"name":"Denver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48"/>
      <c r="AK180" s="48"/>
      <c r="AL180" s="48"/>
      <c r="AM180" s="154" t="str">
        <f t="shared" si="60"/>
        <v>start /low /b %USERPROFILE%\Documents\GitHub\eaglep3\Utilities\DownloadLogsFromS3.py --loco 4013 --day 2017-03-17</v>
      </c>
      <c r="AN180" s="163" t="str">
        <f>"grep -SE -B400 ""CHR.+\|PRM\|1\|D.+(SWITCH|SIGNAL).+UNKNOWN"" "&amp;search_path&amp;"\RTDC"&amp;B180&amp;"\*"&amp;B180&amp;"*"&amp;TEXT(AVERAGE(F180,I180)-utc_offset/24,"YYYYMMDD")&amp;"*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"%USERPROFILE%\AppData\Local\Temp\OnboardLogs"\RTDC4013\*4013*20170317* | grep -SE "(Enforcement Action)|(\[TIMEOUT)|(CHR.+\|PRM\|1\|D.+(SWITCH|SIGNAL).+UNKNOWN)" - &gt;&gt; 2017-03-17-UncaughtWiMAX.txt</v>
      </c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x14ac:dyDescent="0.25">
      <c r="A181" s="33" t="s">
        <v>624</v>
      </c>
      <c r="B181" s="7">
        <v>4014</v>
      </c>
      <c r="C181" s="21" t="s">
        <v>227</v>
      </c>
      <c r="D181" s="21" t="s">
        <v>594</v>
      </c>
      <c r="E181" s="13">
        <v>42811.54482638889</v>
      </c>
      <c r="F181" s="13">
        <v>42811.556458333333</v>
      </c>
      <c r="G181" s="7">
        <v>1</v>
      </c>
      <c r="H181" s="21" t="s">
        <v>587</v>
      </c>
      <c r="I181" s="13">
        <v>42811.567407407405</v>
      </c>
      <c r="J181" s="7">
        <v>0</v>
      </c>
      <c r="K181" s="98" t="str">
        <f t="shared" si="46"/>
        <v>4013/4014</v>
      </c>
      <c r="L181" s="21" t="str">
        <f>VLOOKUP(A181,'Trips&amp;Operators'!$C$1:$G$99999,5,FALSE)</f>
        <v>FORTUNATO FRANK</v>
      </c>
      <c r="M181" s="6">
        <f t="shared" si="47"/>
        <v>1.0949074072414078E-2</v>
      </c>
      <c r="N181" s="7">
        <f t="shared" si="63"/>
        <v>15.766666664276272</v>
      </c>
      <c r="O181" s="7"/>
      <c r="P181" s="7"/>
      <c r="Q181" s="22"/>
      <c r="R181" s="22"/>
      <c r="S181" s="31">
        <f t="shared" si="62"/>
        <v>1</v>
      </c>
      <c r="T181" s="46" t="str">
        <f t="shared" si="48"/>
        <v>NorthBound</v>
      </c>
      <c r="U181" s="185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86" t="str">
        <f t="shared" si="49"/>
        <v>https://d0f6bd738d7f1b3e5a7ca70fe4ff75f0.us-east-1.aws.found.io/app/kibana#/discover/Steve-Slow-Train-Analysis-(2080s-and-2083s)?_g=(refreshInterval:(display:Off,pause:!f,section:0,value:0),time:(from:'2017-03-17T12:04:33-0600',mode:absolute,to:'2017-03-17T14:37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81" s="187" t="str">
        <f t="shared" si="50"/>
        <v>N</v>
      </c>
      <c r="X181" s="187">
        <f t="shared" si="65"/>
        <v>1</v>
      </c>
      <c r="Y181" s="62">
        <f t="shared" si="51"/>
        <v>0.10249999999999999</v>
      </c>
      <c r="Z181" s="62">
        <f t="shared" si="52"/>
        <v>5.8935000000000004</v>
      </c>
      <c r="AA181" s="62">
        <f t="shared" si="53"/>
        <v>5.7910000000000004</v>
      </c>
      <c r="AB181" s="59" t="e">
        <f>VLOOKUP(A181,Enforcements!$C$7:$K$13,8,0)</f>
        <v>#N/A</v>
      </c>
      <c r="AC181" s="55" t="e">
        <f>VLOOKUP(A181,Enforcements!$C$7:$E$13,3,0)</f>
        <v>#N/A</v>
      </c>
      <c r="AD181" s="56" t="str">
        <f t="shared" si="54"/>
        <v>0821-17</v>
      </c>
      <c r="AE181" s="85" t="str">
        <f t="shared" si="55"/>
        <v>aws s3 cp s3://rtdc.mdm.uploadarchive.raw/RTDC4014/ "%USERPROFILE%\AppData\Local\Temp\OnboardLogs"\RTDC4014\2017-03-17 --exclude "*" --recursive --include "*20170317*" &amp; "%USERPROFILE%\Documents\GitHub\mrs-test-scripts\Headless Mode &amp; Sideloading\WalkAndUnGZ.bat" "%USERPROFILE%\AppData\Local\Temp\OnboardLogs"\RTDC4014\2017-03-17 &amp; aws s3 cp s3://rtdc.mdm.uploadarchive.raw/RTDC4014/ "%USERPROFILE%\AppData\Local\Temp\OnboardLogs"\RTDC4014\2017-03-18 --exclude "*" --recursive --include "*20170318*" &amp; "%USERPROFILE%\Documents\GitHub\mrs-test-scripts\Headless Mode &amp; Sideloading\WalkAndUnGZ.bat" "%USERPROFILE%\AppData\Local\Temp\OnboardLogs"\RTDC4014\2017-03-18</v>
      </c>
      <c r="AF181" s="82" t="str">
        <f t="shared" si="56"/>
        <v>"C:\Program Files (x86)\AstroGrep\AstroGrep.exe" /e /r /s /spath="%USERPROFILE%\AppData\Local\Temp\OnboardLogs" /stypes="app*4014*20170317*" /stext=" 19:.+((SYSTEM_STATE.+slice.+state.+changed )|(ment ac)|(multiple cpu faults)|(system.+state.+changed )|(\[timeout)|(PRM\|1\|D)|(kpr)|(kdp)|(\|lc)|(penalty))"</v>
      </c>
      <c r="AG181" s="1" t="str">
        <f t="shared" si="57"/>
        <v>NW</v>
      </c>
      <c r="AH181" s="86" t="str">
        <f t="shared" si="58"/>
        <v>"%USERPROFILE%\Documents\GitHub\eaglep3\Utilities\RefineRTDCRunTimes.py" --tripid 821-17 --locoid 4014 --swversion DE.1.0.9.0 --startMP 204:1025 --initTime 2017-03-17T13:04:33 --startdatetime 2017-03-17T13:21:18 --delay 1 --endMP 300:58935 --enddatetime 2017-03-17T13:37:04 --enforcementcount 0 &gt;&gt;C:\Users\stu\Documents\GitHub\eaglep3-reporting\EC\2017-03-17-refined-times.txt</v>
      </c>
      <c r="AI181" s="108" t="str">
        <f t="shared" si="59"/>
        <v>echo {"issue":{"subject":"","project_id":79,"tracker_id":40,"status_id":1,"priority_id":2,"assigned_to_id":23,"start_date":"2017-03-17","description":"","custom_fields":[{"id":1,"name":"Subdivision","value":"NW"},{"id":4,"name":"Milepost","value":"5.8935"},{"id":17,"name":"Train ID","value":"821-17"},{"id":16,"name":"Locomotive ID","value":"4014"},{"id":130,"name":"Impact","value":""},{"id":150,"name":"Time of Event (Mountain Time)","value":"13:37:04"},{"id":151,"name":"Denver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48"/>
      <c r="AK181" s="48"/>
      <c r="AL181" s="48"/>
      <c r="AM181" s="154" t="str">
        <f t="shared" si="60"/>
        <v>start /low /b %USERPROFILE%\Documents\GitHub\eaglep3\Utilities\DownloadLogsFromS3.py --loco 4014 --day 2017-03-17</v>
      </c>
      <c r="AN181" s="163" t="str">
        <f>"grep -SE -B400 ""CHR.+\|PRM\|1\|D.+(SWITCH|SIGNAL).+UNKNOWN"" "&amp;search_path&amp;"\RTDC"&amp;B181&amp;"\*"&amp;B181&amp;"*"&amp;TEXT(AVERAGE(F181,I181)-utc_offset/24,"YYYYMMDD")&amp;"*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"%USERPROFILE%\AppData\Local\Temp\OnboardLogs"\RTDC4014\*4014*20170317* | grep -SE "(Enforcement Action)|(\[TIMEOUT)|(CHR.+\|PRM\|1\|D.+(SWITCH|SIGNAL).+UNKNOWN)" - &gt;&gt; 2017-03-17-UncaughtWiMAX.txt</v>
      </c>
    </row>
    <row r="182" spans="1:91" s="20" customFormat="1" x14ac:dyDescent="0.25">
      <c r="A182" s="33" t="s">
        <v>626</v>
      </c>
      <c r="B182" s="7">
        <v>4013</v>
      </c>
      <c r="C182" s="21" t="s">
        <v>227</v>
      </c>
      <c r="D182" s="21" t="s">
        <v>962</v>
      </c>
      <c r="E182" s="13">
        <v>42811.568368055552</v>
      </c>
      <c r="F182" s="13">
        <v>42811.570254629631</v>
      </c>
      <c r="G182" s="7">
        <v>1</v>
      </c>
      <c r="H182" s="21" t="s">
        <v>957</v>
      </c>
      <c r="I182" s="13">
        <v>42811.580196759256</v>
      </c>
      <c r="J182" s="7">
        <v>0</v>
      </c>
      <c r="K182" s="98" t="str">
        <f t="shared" si="46"/>
        <v>4013/4014</v>
      </c>
      <c r="L182" s="21" t="str">
        <f>VLOOKUP(A182,'Trips&amp;Operators'!$C$1:$G$99999,5,FALSE)</f>
        <v>FORTUNATO FRANK</v>
      </c>
      <c r="M182" s="6">
        <f t="shared" si="47"/>
        <v>9.9421296254149638E-3</v>
      </c>
      <c r="N182" s="7">
        <f t="shared" si="63"/>
        <v>14.316666660597548</v>
      </c>
      <c r="O182" s="7"/>
      <c r="P182" s="7"/>
      <c r="Q182" s="22"/>
      <c r="R182" s="22"/>
      <c r="S182" s="31">
        <f t="shared" si="62"/>
        <v>1</v>
      </c>
      <c r="T182" s="46" t="str">
        <f t="shared" si="48"/>
        <v>Southbound</v>
      </c>
      <c r="U182" s="185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86" t="str">
        <f t="shared" si="49"/>
        <v>https://d0f6bd738d7f1b3e5a7ca70fe4ff75f0.us-east-1.aws.found.io/app/kibana#/discover/Steve-Slow-Train-Analysis-(2080s-and-2083s)?_g=(refreshInterval:(display:Off,pause:!f,section:0,value:0),time:(from:'2017-03-17T12:38:27-0600',mode:absolute,to:'2017-03-17T14:55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82" s="187" t="str">
        <f t="shared" si="50"/>
        <v>N</v>
      </c>
      <c r="X182" s="187">
        <f t="shared" si="65"/>
        <v>1</v>
      </c>
      <c r="Y182" s="62">
        <f t="shared" si="51"/>
        <v>5.8615000000000004</v>
      </c>
      <c r="Z182" s="62">
        <f t="shared" si="52"/>
        <v>7.0099999999999996E-2</v>
      </c>
      <c r="AA182" s="62">
        <f t="shared" si="53"/>
        <v>5.7914000000000003</v>
      </c>
      <c r="AB182" s="59" t="e">
        <f>VLOOKUP(A182,Enforcements!$C$7:$K$13,8,0)</f>
        <v>#N/A</v>
      </c>
      <c r="AC182" s="55" t="e">
        <f>VLOOKUP(A182,Enforcements!$C$7:$E$13,3,0)</f>
        <v>#N/A</v>
      </c>
      <c r="AD182" s="56" t="str">
        <f t="shared" si="54"/>
        <v>0822-17</v>
      </c>
      <c r="AE182" s="85" t="str">
        <f t="shared" si="55"/>
        <v>aws s3 cp s3://rtdc.mdm.uploadarchive.raw/RTDC4013/ "%USERPROFILE%\AppData\Local\Temp\OnboardLogs"\RTDC4013\2017-03-17 --exclude "*" --recursive --include "*20170317*" &amp; "%USERPROFILE%\Documents\GitHub\mrs-test-scripts\Headless Mode &amp; Sideloading\WalkAndUnGZ.bat" "%USERPROFILE%\AppData\Local\Temp\OnboardLogs"\RTDC4013\2017-03-17 &amp; aws s3 cp s3://rtdc.mdm.uploadarchive.raw/RTDC4013/ "%USERPROFILE%\AppData\Local\Temp\OnboardLogs"\RTDC4013\2017-03-18 --exclude "*" --recursive --include "*20170318*" &amp; "%USERPROFILE%\Documents\GitHub\mrs-test-scripts\Headless Mode &amp; Sideloading\WalkAndUnGZ.bat" "%USERPROFILE%\AppData\Local\Temp\OnboardLogs"\RTDC4013\2017-03-18</v>
      </c>
      <c r="AF182" s="82" t="str">
        <f t="shared" si="56"/>
        <v>"C:\Program Files (x86)\AstroGrep\AstroGrep.exe" /e /r /s /spath="%USERPROFILE%\AppData\Local\Temp\OnboardLogs" /stypes="app*4013*20170317*" /stext=" 19:.+((SYSTEM_STATE.+slice.+state.+changed )|(ment ac)|(multiple cpu faults)|(system.+state.+changed )|(\[timeout)|(PRM\|1\|D)|(kpr)|(kdp)|(\|lc)|(penalty))"</v>
      </c>
      <c r="AG182" s="1" t="str">
        <f t="shared" si="57"/>
        <v>NW</v>
      </c>
      <c r="AH182" s="86" t="str">
        <f t="shared" si="58"/>
        <v>"%USERPROFILE%\Documents\GitHub\eaglep3\Utilities\RefineRTDCRunTimes.py" --tripid 822-17 --locoid 4013 --swversion DE.1.0.9.0 --startMP 300:58615 --initTime 2017-03-17T13:38:27 --startdatetime 2017-03-17T13:41:10 --delay 1 --endMP 204:701 --enddatetime 2017-03-17T13:55:29 --enforcementcount 0 &gt;&gt;C:\Users\stu\Documents\GitHub\eaglep3-reporting\EC\2017-03-17-refined-times.txt</v>
      </c>
      <c r="AI182" s="108" t="str">
        <f t="shared" si="59"/>
        <v>echo {"issue":{"subject":"","project_id":79,"tracker_id":40,"status_id":1,"priority_id":2,"assigned_to_id":23,"start_date":"2017-03-17","description":"","custom_fields":[{"id":1,"name":"Subdivision","value":"NW"},{"id":4,"name":"Milepost","value":"0.0701"},{"id":17,"name":"Train ID","value":"822-17"},{"id":16,"name":"Locomotive ID","value":"4013"},{"id":130,"name":"Impact","value":""},{"id":150,"name":"Time of Event (Mountain Time)","value":"13:55:29"},{"id":151,"name":"Denver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48"/>
      <c r="AK182" s="48"/>
      <c r="AL182" s="48"/>
      <c r="AM182" s="154" t="str">
        <f t="shared" si="60"/>
        <v>start /low /b %USERPROFILE%\Documents\GitHub\eaglep3\Utilities\DownloadLogsFromS3.py --loco 4013 --day 2017-03-17</v>
      </c>
      <c r="AN182" s="163" t="str">
        <f>"grep -SE -B400 ""CHR.+\|PRM\|1\|D.+(SWITCH|SIGNAL).+UNKNOWN"" "&amp;search_path&amp;"\RTDC"&amp;B182&amp;"\*"&amp;B182&amp;"*"&amp;TEXT(AVERAGE(F182,I182)-utc_offset/24,"YYYYMMDD")&amp;"*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"%USERPROFILE%\AppData\Local\Temp\OnboardLogs"\RTDC4013\*4013*20170317* | grep -SE "(Enforcement Action)|(\[TIMEOUT)|(CHR.+\|PRM\|1\|D.+(SWITCH|SIGNAL).+UNKNOWN)" - &gt;&gt; 2017-03-17-UncaughtWiMAX.txt</v>
      </c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x14ac:dyDescent="0.25">
      <c r="A183" s="33" t="s">
        <v>754</v>
      </c>
      <c r="B183" s="7">
        <v>4014</v>
      </c>
      <c r="C183" s="21" t="s">
        <v>227</v>
      </c>
      <c r="D183" s="21" t="s">
        <v>525</v>
      </c>
      <c r="E183" s="13">
        <v>42811.586284722223</v>
      </c>
      <c r="F183" s="13">
        <v>42811.598113425927</v>
      </c>
      <c r="G183" s="7">
        <v>1</v>
      </c>
      <c r="H183" s="21" t="s">
        <v>485</v>
      </c>
      <c r="I183" s="13">
        <v>42811.607881944445</v>
      </c>
      <c r="J183" s="7">
        <v>0</v>
      </c>
      <c r="K183" s="98" t="str">
        <f t="shared" si="46"/>
        <v>4013/4014</v>
      </c>
      <c r="L183" s="21" t="str">
        <f>VLOOKUP(A183,'Trips&amp;Operators'!$C$1:$G$99999,5,FALSE)</f>
        <v>FORTUNATO FRANK</v>
      </c>
      <c r="M183" s="6">
        <f t="shared" si="47"/>
        <v>9.7685185173759237E-3</v>
      </c>
      <c r="N183" s="7">
        <f t="shared" si="63"/>
        <v>14.06666666502133</v>
      </c>
      <c r="O183" s="7"/>
      <c r="P183" s="7"/>
      <c r="Q183" s="22"/>
      <c r="R183" s="22"/>
      <c r="S183" s="31">
        <f t="shared" si="62"/>
        <v>1</v>
      </c>
      <c r="T183" s="46" t="str">
        <f t="shared" si="48"/>
        <v>NorthBound</v>
      </c>
      <c r="U183" s="185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86" t="str">
        <f t="shared" si="49"/>
        <v>https://d0f6bd738d7f1b3e5a7ca70fe4ff75f0.us-east-1.aws.found.io/app/kibana#/discover/Steve-Slow-Train-Analysis-(2080s-and-2083s)?_g=(refreshInterval:(display:Off,pause:!f,section:0,value:0),time:(from:'2017-03-17T13:04:15-0600',mode:absolute,to:'2017-03-17T15:35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83" s="187" t="str">
        <f t="shared" si="50"/>
        <v>N</v>
      </c>
      <c r="X183" s="187">
        <f t="shared" si="65"/>
        <v>1</v>
      </c>
      <c r="Y183" s="62">
        <f t="shared" si="51"/>
        <v>9.8100000000000007E-2</v>
      </c>
      <c r="Z183" s="62">
        <f t="shared" si="52"/>
        <v>5.8940999999999999</v>
      </c>
      <c r="AA183" s="62">
        <f t="shared" si="53"/>
        <v>5.7960000000000003</v>
      </c>
      <c r="AB183" s="59" t="e">
        <f>VLOOKUP(A183,Enforcements!$C$7:$K$13,8,0)</f>
        <v>#N/A</v>
      </c>
      <c r="AC183" s="55" t="e">
        <f>VLOOKUP(A183,Enforcements!$C$7:$E$13,3,0)</f>
        <v>#N/A</v>
      </c>
      <c r="AD183" s="56" t="str">
        <f t="shared" si="54"/>
        <v>0823-17</v>
      </c>
      <c r="AE183" s="85" t="str">
        <f t="shared" si="55"/>
        <v>aws s3 cp s3://rtdc.mdm.uploadarchive.raw/RTDC4014/ "%USERPROFILE%\AppData\Local\Temp\OnboardLogs"\RTDC4014\2017-03-17 --exclude "*" --recursive --include "*20170317*" &amp; "%USERPROFILE%\Documents\GitHub\mrs-test-scripts\Headless Mode &amp; Sideloading\WalkAndUnGZ.bat" "%USERPROFILE%\AppData\Local\Temp\OnboardLogs"\RTDC4014\2017-03-17 &amp; aws s3 cp s3://rtdc.mdm.uploadarchive.raw/RTDC4014/ "%USERPROFILE%\AppData\Local\Temp\OnboardLogs"\RTDC4014\2017-03-18 --exclude "*" --recursive --include "*20170318*" &amp; "%USERPROFILE%\Documents\GitHub\mrs-test-scripts\Headless Mode &amp; Sideloading\WalkAndUnGZ.bat" "%USERPROFILE%\AppData\Local\Temp\OnboardLogs"\RTDC4014\2017-03-18</v>
      </c>
      <c r="AF183" s="82" t="str">
        <f t="shared" si="56"/>
        <v>"C:\Program Files (x86)\AstroGrep\AstroGrep.exe" /e /r /s /spath="%USERPROFILE%\AppData\Local\Temp\OnboardLogs" /stypes="app*4014*20170317*" /stext=" 20:.+((SYSTEM_STATE.+slice.+state.+changed )|(ment ac)|(multiple cpu faults)|(system.+state.+changed )|(\[timeout)|(PRM\|1\|D)|(kpr)|(kdp)|(\|lc)|(penalty))"</v>
      </c>
      <c r="AG183" s="1" t="str">
        <f t="shared" si="57"/>
        <v>NW</v>
      </c>
      <c r="AH183" s="86" t="str">
        <f t="shared" si="58"/>
        <v>"%USERPROFILE%\Documents\GitHub\eaglep3\Utilities\RefineRTDCRunTimes.py" --tripid 823-17 --locoid 4014 --swversion DE.1.0.9.0 --startMP 204:981 --initTime 2017-03-17T14:04:15 --startdatetime 2017-03-17T14:21:17 --delay 1 --endMP 300:58941 --enddatetime 2017-03-17T14:35:21 --enforcementcount 0 &gt;&gt;C:\Users\stu\Documents\GitHub\eaglep3-reporting\EC\2017-03-17-refined-times.txt</v>
      </c>
      <c r="AI183" s="108" t="str">
        <f t="shared" si="59"/>
        <v>echo {"issue":{"subject":"","project_id":79,"tracker_id":40,"status_id":1,"priority_id":2,"assigned_to_id":23,"start_date":"2017-03-17","description":"","custom_fields":[{"id":1,"name":"Subdivision","value":"NW"},{"id":4,"name":"Milepost","value":"5.8941"},{"id":17,"name":"Train ID","value":"823-17"},{"id":16,"name":"Locomotive ID","value":"4014"},{"id":130,"name":"Impact","value":""},{"id":150,"name":"Time of Event (Mountain Time)","value":"14:35:21"},{"id":151,"name":"Denver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48"/>
      <c r="AK183" s="48"/>
      <c r="AL183" s="48"/>
      <c r="AM183" s="154" t="str">
        <f t="shared" si="60"/>
        <v>start /low /b %USERPROFILE%\Documents\GitHub\eaglep3\Utilities\DownloadLogsFromS3.py --loco 4014 --day 2017-03-17</v>
      </c>
      <c r="AN183" s="163" t="str">
        <f>"grep -SE -B400 ""CHR.+\|PRM\|1\|D.+(SWITCH|SIGNAL).+UNKNOWN"" "&amp;search_path&amp;"\RTDC"&amp;B183&amp;"\*"&amp;B183&amp;"*"&amp;TEXT(AVERAGE(F183,I183)-utc_offset/24,"YYYYMMDD")&amp;"*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"%USERPROFILE%\AppData\Local\Temp\OnboardLogs"\RTDC4014\*4014*20170317* | grep -SE "(Enforcement Action)|(\[TIMEOUT)|(CHR.+\|PRM\|1\|D.+(SWITCH|SIGNAL).+UNKNOWN)" - &gt;&gt; 2017-03-17-UncaughtWiMAX.txt</v>
      </c>
    </row>
    <row r="184" spans="1:91" x14ac:dyDescent="0.25">
      <c r="A184" s="33" t="s">
        <v>630</v>
      </c>
      <c r="B184" s="7">
        <v>4013</v>
      </c>
      <c r="C184" s="21" t="s">
        <v>227</v>
      </c>
      <c r="D184" s="21" t="s">
        <v>527</v>
      </c>
      <c r="E184" s="13">
        <v>42811.609444444446</v>
      </c>
      <c r="F184" s="13">
        <v>42811.611064814817</v>
      </c>
      <c r="G184" s="7">
        <v>1</v>
      </c>
      <c r="H184" s="21" t="s">
        <v>963</v>
      </c>
      <c r="I184" s="13">
        <v>42811.622893518521</v>
      </c>
      <c r="J184" s="7">
        <v>0</v>
      </c>
      <c r="K184" s="98" t="str">
        <f t="shared" si="46"/>
        <v>4013/4014</v>
      </c>
      <c r="L184" s="21" t="str">
        <f>VLOOKUP(A184,'Trips&amp;Operators'!$C$1:$G$99999,5,FALSE)</f>
        <v>FORTUNATO FRANK</v>
      </c>
      <c r="M184" s="6">
        <f t="shared" si="47"/>
        <v>1.1828703703940846E-2</v>
      </c>
      <c r="N184" s="7">
        <f t="shared" si="63"/>
        <v>17.033333333674818</v>
      </c>
      <c r="O184" s="7"/>
      <c r="P184" s="7"/>
      <c r="Q184" s="22"/>
      <c r="R184" s="22"/>
      <c r="S184" s="31">
        <f t="shared" si="62"/>
        <v>1</v>
      </c>
      <c r="T184" s="46" t="str">
        <f t="shared" si="48"/>
        <v>Southbound</v>
      </c>
      <c r="U184" s="185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86" t="str">
        <f t="shared" si="49"/>
        <v>https://d0f6bd738d7f1b3e5a7ca70fe4ff75f0.us-east-1.aws.found.io/app/kibana#/discover/Steve-Slow-Train-Analysis-(2080s-and-2083s)?_g=(refreshInterval:(display:Off,pause:!f,section:0,value:0),time:(from:'2017-03-17T13:37:36-0600',mode:absolute,to:'2017-03-17T15:56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84" s="187" t="str">
        <f t="shared" si="50"/>
        <v>N</v>
      </c>
      <c r="X184" s="187">
        <f t="shared" si="65"/>
        <v>1</v>
      </c>
      <c r="Y184" s="62">
        <f t="shared" si="51"/>
        <v>5.8628</v>
      </c>
      <c r="Z184" s="62">
        <f t="shared" si="52"/>
        <v>7.3599999999999999E-2</v>
      </c>
      <c r="AA184" s="62">
        <f t="shared" si="53"/>
        <v>5.7892000000000001</v>
      </c>
      <c r="AB184" s="59" t="e">
        <f>VLOOKUP(A184,Enforcements!$C$7:$K$13,8,0)</f>
        <v>#N/A</v>
      </c>
      <c r="AC184" s="55" t="e">
        <f>VLOOKUP(A184,Enforcements!$C$7:$E$13,3,0)</f>
        <v>#N/A</v>
      </c>
      <c r="AD184" s="56" t="str">
        <f t="shared" si="54"/>
        <v>0824-17</v>
      </c>
      <c r="AE184" s="85" t="str">
        <f t="shared" si="55"/>
        <v>aws s3 cp s3://rtdc.mdm.uploadarchive.raw/RTDC4013/ "%USERPROFILE%\AppData\Local\Temp\OnboardLogs"\RTDC4013\2017-03-17 --exclude "*" --recursive --include "*20170317*" &amp; "%USERPROFILE%\Documents\GitHub\mrs-test-scripts\Headless Mode &amp; Sideloading\WalkAndUnGZ.bat" "%USERPROFILE%\AppData\Local\Temp\OnboardLogs"\RTDC4013\2017-03-17 &amp; aws s3 cp s3://rtdc.mdm.uploadarchive.raw/RTDC4013/ "%USERPROFILE%\AppData\Local\Temp\OnboardLogs"\RTDC4013\2017-03-18 --exclude "*" --recursive --include "*20170318*" &amp; "%USERPROFILE%\Documents\GitHub\mrs-test-scripts\Headless Mode &amp; Sideloading\WalkAndUnGZ.bat" "%USERPROFILE%\AppData\Local\Temp\OnboardLogs"\RTDC4013\2017-03-18</v>
      </c>
      <c r="AF184" s="82" t="str">
        <f t="shared" si="56"/>
        <v>"C:\Program Files (x86)\AstroGrep\AstroGrep.exe" /e /r /s /spath="%USERPROFILE%\AppData\Local\Temp\OnboardLogs" /stypes="app*4013*20170317*" /stext=" 20:.+((SYSTEM_STATE.+slice.+state.+changed )|(ment ac)|(multiple cpu faults)|(system.+state.+changed )|(\[timeout)|(PRM\|1\|D)|(kpr)|(kdp)|(\|lc)|(penalty))"</v>
      </c>
      <c r="AG184" s="1" t="str">
        <f t="shared" si="57"/>
        <v>NW</v>
      </c>
      <c r="AH184" s="86" t="str">
        <f t="shared" si="58"/>
        <v>"%USERPROFILE%\Documents\GitHub\eaglep3\Utilities\RefineRTDCRunTimes.py" --tripid 824-17 --locoid 4013 --swversion DE.1.0.9.0 --startMP 300:58628 --initTime 2017-03-17T14:37:36 --startdatetime 2017-03-17T14:39:56 --delay 1 --endMP 204:736 --enddatetime 2017-03-17T14:56:58 --enforcementcount 0 &gt;&gt;C:\Users\stu\Documents\GitHub\eaglep3-reporting\EC\2017-03-17-refined-times.txt</v>
      </c>
      <c r="AI184" s="108" t="str">
        <f t="shared" si="59"/>
        <v>echo {"issue":{"subject":"","project_id":79,"tracker_id":40,"status_id":1,"priority_id":2,"assigned_to_id":23,"start_date":"2017-03-17","description":"","custom_fields":[{"id":1,"name":"Subdivision","value":"NW"},{"id":4,"name":"Milepost","value":"0.0736"},{"id":17,"name":"Train ID","value":"824-17"},{"id":16,"name":"Locomotive ID","value":"4013"},{"id":130,"name":"Impact","value":""},{"id":150,"name":"Time of Event (Mountain Time)","value":"14:56:58"},{"id":151,"name":"Denver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48"/>
      <c r="AK184" s="48"/>
      <c r="AL184" s="48"/>
      <c r="AM184" s="154" t="str">
        <f t="shared" si="60"/>
        <v>start /low /b %USERPROFILE%\Documents\GitHub\eaglep3\Utilities\DownloadLogsFromS3.py --loco 4013 --day 2017-03-17</v>
      </c>
      <c r="AN184" s="163" t="str">
        <f>"grep -SE -B400 ""CHR.+\|PRM\|1\|D.+(SWITCH|SIGNAL).+UNKNOWN"" "&amp;search_path&amp;"\RTDC"&amp;B184&amp;"\*"&amp;B184&amp;"*"&amp;TEXT(AVERAGE(F184,I184)-utc_offset/24,"YYYYMMDD")&amp;"*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"%USERPROFILE%\AppData\Local\Temp\OnboardLogs"\RTDC4013\*4013*20170317* | grep -SE "(Enforcement Action)|(\[TIMEOUT)|(CHR.+\|PRM\|1\|D.+(SWITCH|SIGNAL).+UNKNOWN)" - &gt;&gt; 2017-03-17-UncaughtWiMAX.txt</v>
      </c>
    </row>
    <row r="185" spans="1:91" s="20" customFormat="1" x14ac:dyDescent="0.25">
      <c r="A185" s="33" t="s">
        <v>763</v>
      </c>
      <c r="B185" s="7">
        <v>4014</v>
      </c>
      <c r="C185" s="21" t="s">
        <v>227</v>
      </c>
      <c r="D185" s="21" t="s">
        <v>954</v>
      </c>
      <c r="E185" s="13">
        <v>42811.631597222222</v>
      </c>
      <c r="F185" s="13">
        <v>42811.639780092592</v>
      </c>
      <c r="G185" s="7">
        <v>1</v>
      </c>
      <c r="H185" s="21" t="s">
        <v>597</v>
      </c>
      <c r="I185" s="13">
        <v>42811.649293981478</v>
      </c>
      <c r="J185" s="7">
        <v>0</v>
      </c>
      <c r="K185" s="98" t="str">
        <f t="shared" si="46"/>
        <v>4013/4014</v>
      </c>
      <c r="L185" s="21" t="str">
        <f>VLOOKUP(A185,'Trips&amp;Operators'!$C$1:$G$99999,5,FALSE)</f>
        <v>FORTUNATO FRANK</v>
      </c>
      <c r="M185" s="6">
        <f t="shared" si="47"/>
        <v>9.5138888864312321E-3</v>
      </c>
      <c r="N185" s="7">
        <f t="shared" si="63"/>
        <v>13.699999996460974</v>
      </c>
      <c r="O185" s="7"/>
      <c r="P185" s="7"/>
      <c r="Q185" s="22"/>
      <c r="R185" s="22"/>
      <c r="S185" s="31">
        <f t="shared" ref="S185:S216" si="66">SUM(U185:U185)/IF(AG185="EC",12,1)</f>
        <v>1</v>
      </c>
      <c r="T185" s="46" t="str">
        <f t="shared" si="48"/>
        <v>NorthBound</v>
      </c>
      <c r="U185" s="185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86" t="str">
        <f t="shared" si="49"/>
        <v>https://d0f6bd738d7f1b3e5a7ca70fe4ff75f0.us-east-1.aws.found.io/app/kibana#/discover/Steve-Slow-Train-Analysis-(2080s-and-2083s)?_g=(refreshInterval:(display:Off,pause:!f,section:0,value:0),time:(from:'2017-03-17T14:09:30-0600',mode:absolute,to:'2017-03-17T16:34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85" s="187" t="str">
        <f t="shared" si="50"/>
        <v>N</v>
      </c>
      <c r="X185" s="187">
        <f t="shared" si="65"/>
        <v>1</v>
      </c>
      <c r="Y185" s="62">
        <f t="shared" si="51"/>
        <v>0.1007</v>
      </c>
      <c r="Z185" s="62">
        <f t="shared" si="52"/>
        <v>5.8963000000000001</v>
      </c>
      <c r="AA185" s="62">
        <f t="shared" si="53"/>
        <v>5.7956000000000003</v>
      </c>
      <c r="AB185" s="59" t="e">
        <f>VLOOKUP(A185,Enforcements!$C$7:$K$13,8,0)</f>
        <v>#N/A</v>
      </c>
      <c r="AC185" s="55" t="e">
        <f>VLOOKUP(A185,Enforcements!$C$7:$E$13,3,0)</f>
        <v>#N/A</v>
      </c>
      <c r="AD185" s="56" t="str">
        <f t="shared" si="54"/>
        <v>0825-17</v>
      </c>
      <c r="AE185" s="85" t="str">
        <f t="shared" si="55"/>
        <v>aws s3 cp s3://rtdc.mdm.uploadarchive.raw/RTDC4014/ "%USERPROFILE%\AppData\Local\Temp\OnboardLogs"\RTDC4014\2017-03-17 --exclude "*" --recursive --include "*20170317*" &amp; "%USERPROFILE%\Documents\GitHub\mrs-test-scripts\Headless Mode &amp; Sideloading\WalkAndUnGZ.bat" "%USERPROFILE%\AppData\Local\Temp\OnboardLogs"\RTDC4014\2017-03-17 &amp; aws s3 cp s3://rtdc.mdm.uploadarchive.raw/RTDC4014/ "%USERPROFILE%\AppData\Local\Temp\OnboardLogs"\RTDC4014\2017-03-18 --exclude "*" --recursive --include "*20170318*" &amp; "%USERPROFILE%\Documents\GitHub\mrs-test-scripts\Headless Mode &amp; Sideloading\WalkAndUnGZ.bat" "%USERPROFILE%\AppData\Local\Temp\OnboardLogs"\RTDC4014\2017-03-18</v>
      </c>
      <c r="AF185" s="82" t="str">
        <f t="shared" si="56"/>
        <v>"C:\Program Files (x86)\AstroGrep\AstroGrep.exe" /e /r /s /spath="%USERPROFILE%\AppData\Local\Temp\OnboardLogs" /stypes="app*4014*20170317*" /stext=" 21:.+((SYSTEM_STATE.+slice.+state.+changed )|(ment ac)|(multiple cpu faults)|(system.+state.+changed )|(\[timeout)|(PRM\|1\|D)|(kpr)|(kdp)|(\|lc)|(penalty))"</v>
      </c>
      <c r="AG185" s="1" t="str">
        <f t="shared" si="57"/>
        <v>NW</v>
      </c>
      <c r="AH185" s="86" t="str">
        <f t="shared" si="58"/>
        <v>"%USERPROFILE%\Documents\GitHub\eaglep3\Utilities\RefineRTDCRunTimes.py" --tripid 825-17 --locoid 4014 --swversion DE.1.0.9.0 --startMP 204:1007 --initTime 2017-03-17T15:09:30 --startdatetime 2017-03-17T15:21:17 --delay 1 --endMP 300:58963 --enddatetime 2017-03-17T15:34:59 --enforcementcount 0 &gt;&gt;C:\Users\stu\Documents\GitHub\eaglep3-reporting\EC\2017-03-17-refined-times.txt</v>
      </c>
      <c r="AI185" s="108" t="str">
        <f t="shared" si="59"/>
        <v>echo {"issue":{"subject":"","project_id":79,"tracker_id":40,"status_id":1,"priority_id":2,"assigned_to_id":23,"start_date":"2017-03-17","description":"","custom_fields":[{"id":1,"name":"Subdivision","value":"NW"},{"id":4,"name":"Milepost","value":"5.8963"},{"id":17,"name":"Train ID","value":"825-17"},{"id":16,"name":"Locomotive ID","value":"4014"},{"id":130,"name":"Impact","value":""},{"id":150,"name":"Time of Event (Mountain Time)","value":"15:34:59"},{"id":151,"name":"Denver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48"/>
      <c r="AK185" s="48"/>
      <c r="AL185" s="48"/>
      <c r="AM185" s="154" t="str">
        <f t="shared" si="60"/>
        <v>start /low /b %USERPROFILE%\Documents\GitHub\eaglep3\Utilities\DownloadLogsFromS3.py --loco 4014 --day 2017-03-17</v>
      </c>
      <c r="AN185" s="163" t="str">
        <f>"grep -SE -B400 ""CHR.+\|PRM\|1\|D.+(SWITCH|SIGNAL).+UNKNOWN"" "&amp;search_path&amp;"\RTDC"&amp;B185&amp;"\*"&amp;B185&amp;"*"&amp;TEXT(AVERAGE(F185,I185)-utc_offset/24,"YYYYMMDD")&amp;"*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"%USERPROFILE%\AppData\Local\Temp\OnboardLogs"\RTDC4014\*4014*20170317* | grep -SE "(Enforcement Action)|(\[TIMEOUT)|(CHR.+\|PRM\|1\|D.+(SWITCH|SIGNAL).+UNKNOWN)" - &gt;&gt; 2017-03-17-UncaughtWiMAX.txt</v>
      </c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x14ac:dyDescent="0.25">
      <c r="A186" s="33" t="s">
        <v>767</v>
      </c>
      <c r="B186" s="7">
        <v>4013</v>
      </c>
      <c r="C186" s="21" t="s">
        <v>227</v>
      </c>
      <c r="D186" s="21" t="s">
        <v>484</v>
      </c>
      <c r="E186" s="13">
        <v>42811.650787037041</v>
      </c>
      <c r="F186" s="13">
        <v>42811.652280092596</v>
      </c>
      <c r="G186" s="7">
        <v>1</v>
      </c>
      <c r="H186" s="21" t="s">
        <v>943</v>
      </c>
      <c r="I186" s="13">
        <v>42811.664143518516</v>
      </c>
      <c r="J186" s="7">
        <v>0</v>
      </c>
      <c r="K186" s="98" t="str">
        <f t="shared" si="46"/>
        <v>4013/4014</v>
      </c>
      <c r="L186" s="21" t="str">
        <f>VLOOKUP(A186,'Trips&amp;Operators'!$C$1:$G$99999,5,FALSE)</f>
        <v>FORTUNATO FRANK</v>
      </c>
      <c r="M186" s="6">
        <f t="shared" si="47"/>
        <v>1.1863425919727888E-2</v>
      </c>
      <c r="N186" s="7">
        <f t="shared" si="63"/>
        <v>17.083333324408159</v>
      </c>
      <c r="O186" s="7"/>
      <c r="P186" s="7"/>
      <c r="Q186" s="22"/>
      <c r="R186" s="22"/>
      <c r="S186" s="31">
        <f t="shared" si="66"/>
        <v>1</v>
      </c>
      <c r="T186" s="46" t="str">
        <f t="shared" si="48"/>
        <v>Southbound</v>
      </c>
      <c r="U186" s="185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86" t="str">
        <f t="shared" si="49"/>
        <v>https://d0f6bd738d7f1b3e5a7ca70fe4ff75f0.us-east-1.aws.found.io/app/kibana#/discover/Steve-Slow-Train-Analysis-(2080s-and-2083s)?_g=(refreshInterval:(display:Off,pause:!f,section:0,value:0),time:(from:'2017-03-17T14:37:08-0600',mode:absolute,to:'2017-03-17T16:56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86" s="187" t="str">
        <f t="shared" si="50"/>
        <v>N</v>
      </c>
      <c r="X186" s="187">
        <f t="shared" si="65"/>
        <v>1</v>
      </c>
      <c r="Y186" s="62">
        <f t="shared" si="51"/>
        <v>5.8635999999999999</v>
      </c>
      <c r="Z186" s="62">
        <f t="shared" si="52"/>
        <v>6.9199999999999998E-2</v>
      </c>
      <c r="AA186" s="62">
        <f t="shared" si="53"/>
        <v>5.7943999999999996</v>
      </c>
      <c r="AB186" s="59" t="e">
        <f>VLOOKUP(A186,Enforcements!$C$7:$K$13,8,0)</f>
        <v>#N/A</v>
      </c>
      <c r="AC186" s="55" t="e">
        <f>VLOOKUP(A186,Enforcements!$C$7:$E$13,3,0)</f>
        <v>#N/A</v>
      </c>
      <c r="AD186" s="56" t="str">
        <f t="shared" si="54"/>
        <v>0826-17</v>
      </c>
      <c r="AE186" s="85" t="str">
        <f t="shared" si="55"/>
        <v>aws s3 cp s3://rtdc.mdm.uploadarchive.raw/RTDC4013/ "%USERPROFILE%\AppData\Local\Temp\OnboardLogs"\RTDC4013\2017-03-17 --exclude "*" --recursive --include "*20170317*" &amp; "%USERPROFILE%\Documents\GitHub\mrs-test-scripts\Headless Mode &amp; Sideloading\WalkAndUnGZ.bat" "%USERPROFILE%\AppData\Local\Temp\OnboardLogs"\RTDC4013\2017-03-17 &amp; aws s3 cp s3://rtdc.mdm.uploadarchive.raw/RTDC4013/ "%USERPROFILE%\AppData\Local\Temp\OnboardLogs"\RTDC4013\2017-03-18 --exclude "*" --recursive --include "*20170318*" &amp; "%USERPROFILE%\Documents\GitHub\mrs-test-scripts\Headless Mode &amp; Sideloading\WalkAndUnGZ.bat" "%USERPROFILE%\AppData\Local\Temp\OnboardLogs"\RTDC4013\2017-03-18</v>
      </c>
      <c r="AF186" s="82" t="str">
        <f t="shared" si="56"/>
        <v>"C:\Program Files (x86)\AstroGrep\AstroGrep.exe" /e /r /s /spath="%USERPROFILE%\AppData\Local\Temp\OnboardLogs" /stypes="app*4013*20170317*" /stext=" 21:.+((SYSTEM_STATE.+slice.+state.+changed )|(ment ac)|(multiple cpu faults)|(system.+state.+changed )|(\[timeout)|(PRM\|1\|D)|(kpr)|(kdp)|(\|lc)|(penalty))"</v>
      </c>
      <c r="AG186" s="1" t="str">
        <f t="shared" si="57"/>
        <v>NW</v>
      </c>
      <c r="AH186" s="86" t="str">
        <f t="shared" si="58"/>
        <v>"%USERPROFILE%\Documents\GitHub\eaglep3\Utilities\RefineRTDCRunTimes.py" --tripid 826-17 --locoid 4013 --swversion DE.1.0.9.0 --startMP 300:58636 --initTime 2017-03-17T15:37:08 --startdatetime 2017-03-17T15:39:17 --delay 1 --endMP 204:692 --enddatetime 2017-03-17T15:56:22 --enforcementcount 0 &gt;&gt;C:\Users\stu\Documents\GitHub\eaglep3-reporting\EC\2017-03-17-refined-times.txt</v>
      </c>
      <c r="AI186" s="108" t="str">
        <f t="shared" si="59"/>
        <v>echo {"issue":{"subject":"","project_id":79,"tracker_id":40,"status_id":1,"priority_id":2,"assigned_to_id":23,"start_date":"2017-03-17","description":"","custom_fields":[{"id":1,"name":"Subdivision","value":"NW"},{"id":4,"name":"Milepost","value":"0.0692"},{"id":17,"name":"Train ID","value":"826-17"},{"id":16,"name":"Locomotive ID","value":"4013"},{"id":130,"name":"Impact","value":""},{"id":150,"name":"Time of Event (Mountain Time)","value":"15:56:22"},{"id":151,"name":"Denver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48"/>
      <c r="AK186" s="48"/>
      <c r="AL186" s="48"/>
      <c r="AM186" s="154" t="str">
        <f t="shared" si="60"/>
        <v>start /low /b %USERPROFILE%\Documents\GitHub\eaglep3\Utilities\DownloadLogsFromS3.py --loco 4013 --day 2017-03-17</v>
      </c>
      <c r="AN186" s="163" t="str">
        <f>"grep -SE -B400 ""CHR.+\|PRM\|1\|D.+(SWITCH|SIGNAL).+UNKNOWN"" "&amp;search_path&amp;"\RTDC"&amp;B186&amp;"\*"&amp;B186&amp;"*"&amp;TEXT(AVERAGE(F186,I186)-utc_offset/24,"YYYYMMDD")&amp;"*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"%USERPROFILE%\AppData\Local\Temp\OnboardLogs"\RTDC4013\*4013*20170317* | grep -SE "(Enforcement Action)|(\[TIMEOUT)|(CHR.+\|PRM\|1\|D.+(SWITCH|SIGNAL).+UNKNOWN)" - &gt;&gt; 2017-03-17-UncaughtWiMAX.txt</v>
      </c>
    </row>
    <row r="187" spans="1:91" s="20" customFormat="1" x14ac:dyDescent="0.25">
      <c r="A187" s="33" t="s">
        <v>635</v>
      </c>
      <c r="B187" s="7">
        <v>4044</v>
      </c>
      <c r="C187" s="21" t="s">
        <v>227</v>
      </c>
      <c r="D187" s="21" t="s">
        <v>964</v>
      </c>
      <c r="E187" s="13">
        <v>42811.652245370373</v>
      </c>
      <c r="F187" s="13">
        <v>42811.660960648151</v>
      </c>
      <c r="G187" s="7">
        <v>1</v>
      </c>
      <c r="H187" s="21" t="s">
        <v>965</v>
      </c>
      <c r="I187" s="13">
        <v>42811.670520833337</v>
      </c>
      <c r="J187" s="7">
        <v>0</v>
      </c>
      <c r="K187" s="98" t="str">
        <f t="shared" si="46"/>
        <v>4043/4044</v>
      </c>
      <c r="L187" s="21" t="str">
        <f>VLOOKUP(A187,'Trips&amp;Operators'!$C$1:$G$99999,5,FALSE)</f>
        <v>SMITH MICHAEL</v>
      </c>
      <c r="M187" s="6">
        <f t="shared" si="47"/>
        <v>9.560185186273884E-3</v>
      </c>
      <c r="N187" s="7">
        <f t="shared" si="63"/>
        <v>13.766666668234393</v>
      </c>
      <c r="O187" s="7"/>
      <c r="P187" s="7"/>
      <c r="Q187" s="22"/>
      <c r="R187" s="22"/>
      <c r="S187" s="31">
        <f t="shared" si="66"/>
        <v>1</v>
      </c>
      <c r="T187" s="46" t="str">
        <f t="shared" si="48"/>
        <v>NorthBound</v>
      </c>
      <c r="U187" s="185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86" t="str">
        <f t="shared" si="49"/>
        <v>https://d0f6bd738d7f1b3e5a7ca70fe4ff75f0.us-east-1.aws.found.io/app/kibana#/discover/Steve-Slow-Train-Analysis-(2080s-and-2083s)?_g=(refreshInterval:(display:Off,pause:!f,section:0,value:0),time:(from:'2017-03-17T14:39:14-0600',mode:absolute,to:'2017-03-17T17:05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87" s="187" t="str">
        <f t="shared" si="50"/>
        <v>N</v>
      </c>
      <c r="X187" s="187">
        <f t="shared" si="65"/>
        <v>1</v>
      </c>
      <c r="Y187" s="62">
        <f t="shared" si="51"/>
        <v>9.4399999999999998E-2</v>
      </c>
      <c r="Z187" s="62">
        <f t="shared" si="52"/>
        <v>5.8086000000000002</v>
      </c>
      <c r="AA187" s="62">
        <f t="shared" si="53"/>
        <v>5.7141999999999999</v>
      </c>
      <c r="AB187" s="59" t="e">
        <f>VLOOKUP(A187,Enforcements!$C$7:$K$13,8,0)</f>
        <v>#N/A</v>
      </c>
      <c r="AC187" s="55" t="e">
        <f>VLOOKUP(A187,Enforcements!$C$7:$E$13,3,0)</f>
        <v>#N/A</v>
      </c>
      <c r="AD187" s="56" t="str">
        <f t="shared" si="54"/>
        <v>0827-17</v>
      </c>
      <c r="AE187" s="85" t="str">
        <f t="shared" si="55"/>
        <v>aws s3 cp s3://rtdc.mdm.uploadarchive.raw/RTDC4044/ "%USERPROFILE%\AppData\Local\Temp\OnboardLogs"\RTDC4044\2017-03-17 --exclude "*" --recursive --include "*20170317*" &amp; "%USERPROFILE%\Documents\GitHub\mrs-test-scripts\Headless Mode &amp; Sideloading\WalkAndUnGZ.bat" "%USERPROFILE%\AppData\Local\Temp\OnboardLogs"\RTDC4044\2017-03-17 &amp; aws s3 cp s3://rtdc.mdm.uploadarchive.raw/RTDC4044/ "%USERPROFILE%\AppData\Local\Temp\OnboardLogs"\RTDC4044\2017-03-18 --exclude "*" --recursive --include "*20170318*" &amp; "%USERPROFILE%\Documents\GitHub\mrs-test-scripts\Headless Mode &amp; Sideloading\WalkAndUnGZ.bat" "%USERPROFILE%\AppData\Local\Temp\OnboardLogs"\RTDC4044\2017-03-18</v>
      </c>
      <c r="AF187" s="82" t="str">
        <f t="shared" si="56"/>
        <v>"C:\Program Files (x86)\AstroGrep\AstroGrep.exe" /e /r /s /spath="%USERPROFILE%\AppData\Local\Temp\OnboardLogs" /stypes="app*4044*20170317*" /stext=" 22:.+((SYSTEM_STATE.+slice.+state.+changed )|(ment ac)|(multiple cpu faults)|(system.+state.+changed )|(\[timeout)|(PRM\|1\|D)|(kpr)|(kdp)|(\|lc)|(penalty))"</v>
      </c>
      <c r="AG187" s="1" t="str">
        <f t="shared" si="57"/>
        <v>NW</v>
      </c>
      <c r="AH187" s="86" t="str">
        <f t="shared" si="58"/>
        <v>"%USERPROFILE%\Documents\GitHub\eaglep3\Utilities\RefineRTDCRunTimes.py" --tripid 827-17 --locoid 4044 --swversion DE.1.0.9.0 --startMP 204:944 --initTime 2017-03-17T15:39:14 --startdatetime 2017-03-17T15:51:47 --delay 1 --endMP 300:58086 --enddatetime 2017-03-17T16:05:33 --enforcementcount 0 &gt;&gt;C:\Users\stu\Documents\GitHub\eaglep3-reporting\EC\2017-03-17-refined-times.txt</v>
      </c>
      <c r="AI187" s="108" t="str">
        <f t="shared" si="59"/>
        <v>echo {"issue":{"subject":"","project_id":79,"tracker_id":40,"status_id":1,"priority_id":2,"assigned_to_id":23,"start_date":"2017-03-17","description":"","custom_fields":[{"id":1,"name":"Subdivision","value":"NW"},{"id":4,"name":"Milepost","value":"5.8086"},{"id":17,"name":"Train ID","value":"827-17"},{"id":16,"name":"Locomotive ID","value":"4044"},{"id":130,"name":"Impact","value":""},{"id":150,"name":"Time of Event (Mountain Time)","value":"16:05:33"},{"id":151,"name":"Denver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48"/>
      <c r="AK187" s="48"/>
      <c r="AL187" s="48"/>
      <c r="AM187" s="154" t="str">
        <f t="shared" si="60"/>
        <v>start /low /b %USERPROFILE%\Documents\GitHub\eaglep3\Utilities\DownloadLogsFromS3.py --loco 4044 --day 2017-03-17</v>
      </c>
      <c r="AN187" s="163" t="str">
        <f>"grep -SE -B400 ""CHR.+\|PRM\|1\|D.+(SWITCH|SIGNAL).+UNKNOWN"" "&amp;search_path&amp;"\RTDC"&amp;B187&amp;"\*"&amp;B187&amp;"*"&amp;TEXT(AVERAGE(F187,I187)-utc_offset/24,"YYYYMMDD")&amp;"*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"%USERPROFILE%\AppData\Local\Temp\OnboardLogs"\RTDC4044\*4044*20170317* | grep -SE "(Enforcement Action)|(\[TIMEOUT)|(CHR.+\|PRM\|1\|D.+(SWITCH|SIGNAL).+UNKNOWN)" - &gt;&gt; 2017-03-17-UncaughtWiMAX.txt</v>
      </c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:91" x14ac:dyDescent="0.25">
      <c r="A188" s="33" t="s">
        <v>638</v>
      </c>
      <c r="B188" s="7">
        <v>4043</v>
      </c>
      <c r="C188" s="21" t="s">
        <v>227</v>
      </c>
      <c r="D188" s="21" t="s">
        <v>966</v>
      </c>
      <c r="E188" s="13">
        <v>42811.675162037034</v>
      </c>
      <c r="F188" s="13">
        <v>42811.672222222223</v>
      </c>
      <c r="G188" s="7">
        <v>1</v>
      </c>
      <c r="H188" s="21" t="s">
        <v>604</v>
      </c>
      <c r="I188" s="13">
        <v>42811.687824074077</v>
      </c>
      <c r="J188" s="7">
        <v>0</v>
      </c>
      <c r="K188" s="98" t="str">
        <f t="shared" si="46"/>
        <v>4043/4044</v>
      </c>
      <c r="L188" s="21" t="str">
        <f>VLOOKUP(A188,'Trips&amp;Operators'!$C$1:$G$99999,5,FALSE)</f>
        <v>SMITH MICHAEL</v>
      </c>
      <c r="M188" s="6">
        <f t="shared" si="47"/>
        <v>1.5601851853716653E-2</v>
      </c>
      <c r="N188" s="7">
        <f t="shared" si="63"/>
        <v>22.46666666935198</v>
      </c>
      <c r="O188" s="7"/>
      <c r="P188" s="7"/>
      <c r="Q188" s="22"/>
      <c r="R188" s="22" t="s">
        <v>1025</v>
      </c>
      <c r="S188" s="31">
        <f t="shared" si="66"/>
        <v>1</v>
      </c>
      <c r="T188" s="46" t="str">
        <f t="shared" si="48"/>
        <v>Southbound</v>
      </c>
      <c r="U188" s="185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86" t="str">
        <f t="shared" si="49"/>
        <v>https://d0f6bd738d7f1b3e5a7ca70fe4ff75f0.us-east-1.aws.found.io/app/kibana#/discover/Steve-Slow-Train-Analysis-(2080s-and-2083s)?_g=(refreshInterval:(display:Off,pause:!f,section:0,value:0),time:(from:'2017-03-17T15:12:14-0600',mode:absolute,to:'2017-03-17T17:30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88" s="187" t="str">
        <f t="shared" si="50"/>
        <v>N</v>
      </c>
      <c r="X188" s="187">
        <f t="shared" si="65"/>
        <v>1</v>
      </c>
      <c r="Y188" s="62">
        <f t="shared" si="51"/>
        <v>5.7317999999999998</v>
      </c>
      <c r="Z188" s="62">
        <f t="shared" si="52"/>
        <v>6.7500000000000004E-2</v>
      </c>
      <c r="AA188" s="62">
        <f t="shared" si="53"/>
        <v>5.6642999999999999</v>
      </c>
      <c r="AB188" s="59" t="e">
        <f>VLOOKUP(A188,Enforcements!$C$7:$K$13,8,0)</f>
        <v>#N/A</v>
      </c>
      <c r="AC188" s="55" t="e">
        <f>VLOOKUP(A188,Enforcements!$C$7:$E$13,3,0)</f>
        <v>#N/A</v>
      </c>
      <c r="AD188" s="56" t="str">
        <f t="shared" si="54"/>
        <v>0828-17</v>
      </c>
      <c r="AE188" s="85" t="str">
        <f t="shared" si="55"/>
        <v>aws s3 cp s3://rtdc.mdm.uploadarchive.raw/RTDC4043/ "%USERPROFILE%\AppData\Local\Temp\OnboardLogs"\RTDC4043\2017-03-17 --exclude "*" --recursive --include "*20170317*" &amp; "%USERPROFILE%\Documents\GitHub\mrs-test-scripts\Headless Mode &amp; Sideloading\WalkAndUnGZ.bat" "%USERPROFILE%\AppData\Local\Temp\OnboardLogs"\RTDC4043\2017-03-17 &amp; aws s3 cp s3://rtdc.mdm.uploadarchive.raw/RTDC4043/ "%USERPROFILE%\AppData\Local\Temp\OnboardLogs"\RTDC4043\2017-03-18 --exclude "*" --recursive --include "*20170318*" &amp; "%USERPROFILE%\Documents\GitHub\mrs-test-scripts\Headless Mode &amp; Sideloading\WalkAndUnGZ.bat" "%USERPROFILE%\AppData\Local\Temp\OnboardLogs"\RTDC4043\2017-03-18</v>
      </c>
      <c r="AF188" s="82" t="str">
        <f t="shared" si="56"/>
        <v>"C:\Program Files (x86)\AstroGrep\AstroGrep.exe" /e /r /s /spath="%USERPROFILE%\AppData\Local\Temp\OnboardLogs" /stypes="app*4043*20170317*" /stext=" 22:.+((SYSTEM_STATE.+slice.+state.+changed )|(ment ac)|(multiple cpu faults)|(system.+state.+changed )|(\[timeout)|(PRM\|1\|D)|(kpr)|(kdp)|(\|lc)|(penalty))"</v>
      </c>
      <c r="AG188" s="1" t="str">
        <f t="shared" si="57"/>
        <v>NW</v>
      </c>
      <c r="AH188" s="86" t="str">
        <f t="shared" si="58"/>
        <v>"%USERPROFILE%\Documents\GitHub\eaglep3\Utilities\RefineRTDCRunTimes.py" --tripid 828-17 --locoid 4043 --swversion DE.1.0.9.0 --startMP 300:57318 --initTime 2017-03-17T16:12:14 --startdatetime 2017-03-17T16:08:00 --delay 1 --endMP 204:675 --enddatetime 2017-03-17T16:30:28 --enforcementcount 0 &gt;&gt;C:\Users\stu\Documents\GitHub\eaglep3-reporting\EC\2017-03-17-refined-times.txt</v>
      </c>
      <c r="AI188" s="108" t="str">
        <f t="shared" si="59"/>
        <v>echo {"issue":{"subject":"Delayed due to reverser handle in reverse/center","project_id":79,"tracker_id":40,"status_id":1,"priority_id":2,"assigned_to_id":23,"start_date":"2017-03-17","description":"","custom_fields":[{"id":1,"name":"Subdivision","value":"NW"},{"id":4,"name":"Milepost","value":"0.0675"},{"id":17,"name":"Train ID","value":"828-17"},{"id":16,"name":"Locomotive ID","value":"4043"},{"id":130,"name":"Impact","value":""},{"id":150,"name":"Time of Event (Mountain Time)","value":"16:30:28"},{"id":151,"name":"Denver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48"/>
      <c r="AK188" s="48"/>
      <c r="AL188" s="48"/>
      <c r="AM188" s="154" t="str">
        <f t="shared" si="60"/>
        <v>start /low /b %USERPROFILE%\Documents\GitHub\eaglep3\Utilities\DownloadLogsFromS3.py --loco 4043 --day 2017-03-17</v>
      </c>
      <c r="AN188" s="163" t="str">
        <f>"grep -SE -B400 ""CHR.+\|PRM\|1\|D.+(SWITCH|SIGNAL).+UNKNOWN"" "&amp;search_path&amp;"\RTDC"&amp;B188&amp;"\*"&amp;B188&amp;"*"&amp;TEXT(AVERAGE(F188,I188)-utc_offset/24,"YYYYMMDD")&amp;"*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"%USERPROFILE%\AppData\Local\Temp\OnboardLogs"\RTDC4043\*4043*20170317* | grep -SE "(Enforcement Action)|(\[TIMEOUT)|(CHR.+\|PRM\|1\|D.+(SWITCH|SIGNAL).+UNKNOWN)" - &gt;&gt; 2017-03-17-UncaughtWiMAX.txt</v>
      </c>
    </row>
    <row r="189" spans="1:91" x14ac:dyDescent="0.25">
      <c r="A189" s="33" t="s">
        <v>771</v>
      </c>
      <c r="B189" s="7">
        <v>4014</v>
      </c>
      <c r="C189" s="21" t="s">
        <v>227</v>
      </c>
      <c r="D189" s="21" t="s">
        <v>591</v>
      </c>
      <c r="E189" s="13">
        <v>42811.674201388887</v>
      </c>
      <c r="F189" s="13">
        <v>42811.681539351855</v>
      </c>
      <c r="G189" s="7">
        <v>1</v>
      </c>
      <c r="H189" s="21" t="s">
        <v>967</v>
      </c>
      <c r="I189" s="13">
        <v>42811.691874999997</v>
      </c>
      <c r="J189" s="7">
        <v>0</v>
      </c>
      <c r="K189" s="98" t="str">
        <f t="shared" si="46"/>
        <v>4013/4014</v>
      </c>
      <c r="L189" s="21" t="str">
        <f>VLOOKUP(A189,'Trips&amp;Operators'!$C$1:$G$99999,5,FALSE)</f>
        <v>FORTUNATO FRANK</v>
      </c>
      <c r="M189" s="6">
        <f t="shared" si="47"/>
        <v>1.0335648141335696E-2</v>
      </c>
      <c r="N189" s="7">
        <f t="shared" si="63"/>
        <v>14.883333323523402</v>
      </c>
      <c r="O189" s="7"/>
      <c r="P189" s="7"/>
      <c r="Q189" s="22"/>
      <c r="R189" s="22"/>
      <c r="S189" s="31">
        <f t="shared" si="66"/>
        <v>1</v>
      </c>
      <c r="T189" s="46" t="str">
        <f t="shared" si="48"/>
        <v>NorthBound</v>
      </c>
      <c r="U189" s="185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86" t="str">
        <f t="shared" si="49"/>
        <v>https://d0f6bd738d7f1b3e5a7ca70fe4ff75f0.us-east-1.aws.found.io/app/kibana#/discover/Steve-Slow-Train-Analysis-(2080s-and-2083s)?_g=(refreshInterval:(display:Off,pause:!f,section:0,value:0),time:(from:'2017-03-17T15:10:51-0600',mode:absolute,to:'2017-03-17T17:36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89" s="187" t="str">
        <f t="shared" si="50"/>
        <v>N</v>
      </c>
      <c r="X189" s="187">
        <f t="shared" ref="X189:X191" si="67">VALUE(LEFT(AD189,4))-VALUE(LEFT(AD188,4))</f>
        <v>1</v>
      </c>
      <c r="Y189" s="62">
        <f t="shared" si="51"/>
        <v>9.7100000000000006E-2</v>
      </c>
      <c r="Z189" s="62">
        <f t="shared" si="52"/>
        <v>5.8949999999999996</v>
      </c>
      <c r="AA189" s="62">
        <f t="shared" si="53"/>
        <v>5.7978999999999994</v>
      </c>
      <c r="AB189" s="59" t="e">
        <f>VLOOKUP(A189,Enforcements!$C$7:$K$13,8,0)</f>
        <v>#N/A</v>
      </c>
      <c r="AC189" s="55" t="e">
        <f>VLOOKUP(A189,Enforcements!$C$7:$E$13,3,0)</f>
        <v>#N/A</v>
      </c>
      <c r="AD189" s="56" t="str">
        <f t="shared" si="54"/>
        <v>0829-17</v>
      </c>
      <c r="AE189" s="85" t="str">
        <f t="shared" si="55"/>
        <v>aws s3 cp s3://rtdc.mdm.uploadarchive.raw/RTDC4014/ "%USERPROFILE%\AppData\Local\Temp\OnboardLogs"\RTDC4014\2017-03-17 --exclude "*" --recursive --include "*20170317*" &amp; "%USERPROFILE%\Documents\GitHub\mrs-test-scripts\Headless Mode &amp; Sideloading\WalkAndUnGZ.bat" "%USERPROFILE%\AppData\Local\Temp\OnboardLogs"\RTDC4014\2017-03-17 &amp; aws s3 cp s3://rtdc.mdm.uploadarchive.raw/RTDC4014/ "%USERPROFILE%\AppData\Local\Temp\OnboardLogs"\RTDC4014\2017-03-18 --exclude "*" --recursive --include "*20170318*" &amp; "%USERPROFILE%\Documents\GitHub\mrs-test-scripts\Headless Mode &amp; Sideloading\WalkAndUnGZ.bat" "%USERPROFILE%\AppData\Local\Temp\OnboardLogs"\RTDC4014\2017-03-18</v>
      </c>
      <c r="AF189" s="82" t="str">
        <f t="shared" si="56"/>
        <v>"C:\Program Files (x86)\AstroGrep\AstroGrep.exe" /e /r /s /spath="%USERPROFILE%\AppData\Local\Temp\OnboardLogs" /stypes="app*4014*20170317*" /stext=" 22:.+((SYSTEM_STATE.+slice.+state.+changed )|(ment ac)|(multiple cpu faults)|(system.+state.+changed )|(\[timeout)|(PRM\|1\|D)|(kpr)|(kdp)|(\|lc)|(penalty))"</v>
      </c>
      <c r="AG189" s="1" t="str">
        <f t="shared" si="57"/>
        <v>NW</v>
      </c>
      <c r="AH189" s="86" t="str">
        <f t="shared" si="58"/>
        <v>"%USERPROFILE%\Documents\GitHub\eaglep3\Utilities\RefineRTDCRunTimes.py" --tripid 829-17 --locoid 4014 --swversion DE.1.0.9.0 --startMP 204:971 --initTime 2017-03-17T16:10:51 --startdatetime 2017-03-17T16:21:25 --delay 1 --endMP 300:58950 --enddatetime 2017-03-17T16:36:18 --enforcementcount 0 &gt;&gt;C:\Users\stu\Documents\GitHub\eaglep3-reporting\EC\2017-03-17-refined-times.txt</v>
      </c>
      <c r="AI189" s="108" t="str">
        <f t="shared" si="59"/>
        <v>echo {"issue":{"subject":"","project_id":79,"tracker_id":40,"status_id":1,"priority_id":2,"assigned_to_id":23,"start_date":"2017-03-17","description":"","custom_fields":[{"id":1,"name":"Subdivision","value":"NW"},{"id":4,"name":"Milepost","value":"5.895"},{"id":17,"name":"Train ID","value":"829-17"},{"id":16,"name":"Locomotive ID","value":"4014"},{"id":130,"name":"Impact","value":""},{"id":150,"name":"Time of Event (Mountain Time)","value":"16:36:18"},{"id":151,"name":"Denver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48"/>
      <c r="AK189" s="48"/>
      <c r="AL189" s="48"/>
      <c r="AM189" s="154" t="str">
        <f t="shared" si="60"/>
        <v>start /low /b %USERPROFILE%\Documents\GitHub\eaglep3\Utilities\DownloadLogsFromS3.py --loco 4014 --day 2017-03-17</v>
      </c>
      <c r="AN189" s="163" t="str">
        <f>"grep -SE -B400 ""CHR.+\|PRM\|1\|D.+(SWITCH|SIGNAL).+UNKNOWN"" "&amp;search_path&amp;"\RTDC"&amp;B189&amp;"\*"&amp;B189&amp;"*"&amp;TEXT(AVERAGE(F189,I189)-utc_offset/24,"YYYYMMDD")&amp;"*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"%USERPROFILE%\AppData\Local\Temp\OnboardLogs"\RTDC4014\*4014*20170317* | grep -SE "(Enforcement Action)|(\[TIMEOUT)|(CHR.+\|PRM\|1\|D.+(SWITCH|SIGNAL).+UNKNOWN)" - &gt;&gt; 2017-03-17-UncaughtWiMAX.txt</v>
      </c>
    </row>
    <row r="190" spans="1:91" x14ac:dyDescent="0.25">
      <c r="A190" s="33" t="s">
        <v>776</v>
      </c>
      <c r="B190" s="7">
        <v>4013</v>
      </c>
      <c r="C190" s="21" t="s">
        <v>227</v>
      </c>
      <c r="D190" s="21" t="s">
        <v>602</v>
      </c>
      <c r="E190" s="13">
        <v>42811.693171296298</v>
      </c>
      <c r="F190" s="13">
        <v>42811.694641203707</v>
      </c>
      <c r="G190" s="7">
        <v>1</v>
      </c>
      <c r="H190" s="21" t="s">
        <v>592</v>
      </c>
      <c r="I190" s="13">
        <v>42811.705752314818</v>
      </c>
      <c r="J190" s="7">
        <v>0</v>
      </c>
      <c r="K190" s="98" t="str">
        <f t="shared" si="46"/>
        <v>4013/4014</v>
      </c>
      <c r="L190" s="21" t="str">
        <f>VLOOKUP(A190,'Trips&amp;Operators'!$C$1:$G$99999,5,FALSE)</f>
        <v>FORTUNATO FRANK</v>
      </c>
      <c r="M190" s="6">
        <f t="shared" si="47"/>
        <v>1.1111111110949423E-2</v>
      </c>
      <c r="N190" s="7">
        <f t="shared" si="63"/>
        <v>15.999999999767169</v>
      </c>
      <c r="O190" s="7"/>
      <c r="P190" s="7"/>
      <c r="Q190" s="22"/>
      <c r="R190" s="22"/>
      <c r="S190" s="31">
        <f t="shared" si="66"/>
        <v>1</v>
      </c>
      <c r="T190" s="46" t="str">
        <f t="shared" si="48"/>
        <v>Southbound</v>
      </c>
      <c r="U190" s="185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86" t="str">
        <f t="shared" si="49"/>
        <v>https://d0f6bd738d7f1b3e5a7ca70fe4ff75f0.us-east-1.aws.found.io/app/kibana#/discover/Steve-Slow-Train-Analysis-(2080s-and-2083s)?_g=(refreshInterval:(display:Off,pause:!f,section:0,value:0),time:(from:'2017-03-17T15:38:10-0600',mode:absolute,to:'2017-03-17T17:56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90" s="187" t="str">
        <f t="shared" si="50"/>
        <v>N</v>
      </c>
      <c r="X190" s="187">
        <f t="shared" si="67"/>
        <v>1</v>
      </c>
      <c r="Y190" s="62">
        <f t="shared" si="51"/>
        <v>5.8634000000000004</v>
      </c>
      <c r="Z190" s="62">
        <f t="shared" si="52"/>
        <v>6.9099999999999995E-2</v>
      </c>
      <c r="AA190" s="62">
        <f t="shared" si="53"/>
        <v>5.7943000000000007</v>
      </c>
      <c r="AB190" s="59" t="e">
        <f>VLOOKUP(A190,Enforcements!$C$7:$K$13,8,0)</f>
        <v>#N/A</v>
      </c>
      <c r="AC190" s="55" t="e">
        <f>VLOOKUP(A190,Enforcements!$C$7:$E$13,3,0)</f>
        <v>#N/A</v>
      </c>
      <c r="AD190" s="56" t="str">
        <f t="shared" si="54"/>
        <v>0830-17</v>
      </c>
      <c r="AE190" s="85" t="str">
        <f t="shared" si="55"/>
        <v>aws s3 cp s3://rtdc.mdm.uploadarchive.raw/RTDC4013/ "%USERPROFILE%\AppData\Local\Temp\OnboardLogs"\RTDC4013\2017-03-17 --exclude "*" --recursive --include "*20170317*" &amp; "%USERPROFILE%\Documents\GitHub\mrs-test-scripts\Headless Mode &amp; Sideloading\WalkAndUnGZ.bat" "%USERPROFILE%\AppData\Local\Temp\OnboardLogs"\RTDC4013\2017-03-17 &amp; aws s3 cp s3://rtdc.mdm.uploadarchive.raw/RTDC4013/ "%USERPROFILE%\AppData\Local\Temp\OnboardLogs"\RTDC4013\2017-03-18 --exclude "*" --recursive --include "*20170318*" &amp; "%USERPROFILE%\Documents\GitHub\mrs-test-scripts\Headless Mode &amp; Sideloading\WalkAndUnGZ.bat" "%USERPROFILE%\AppData\Local\Temp\OnboardLogs"\RTDC4013\2017-03-18</v>
      </c>
      <c r="AF190" s="82" t="str">
        <f t="shared" si="56"/>
        <v>"C:\Program Files (x86)\AstroGrep\AstroGrep.exe" /e /r /s /spath="%USERPROFILE%\AppData\Local\Temp\OnboardLogs" /stypes="app*4013*20170317*" /stext=" 22:.+((SYSTEM_STATE.+slice.+state.+changed )|(ment ac)|(multiple cpu faults)|(system.+state.+changed )|(\[timeout)|(PRM\|1\|D)|(kpr)|(kdp)|(\|lc)|(penalty))"</v>
      </c>
      <c r="AG190" s="1" t="str">
        <f t="shared" si="57"/>
        <v>NW</v>
      </c>
      <c r="AH190" s="86" t="str">
        <f t="shared" si="58"/>
        <v>"%USERPROFILE%\Documents\GitHub\eaglep3\Utilities\RefineRTDCRunTimes.py" --tripid 830-17 --locoid 4013 --swversion DE.1.0.9.0 --startMP 300:58634 --initTime 2017-03-17T16:38:10 --startdatetime 2017-03-17T16:40:17 --delay 1 --endMP 204:691 --enddatetime 2017-03-17T16:56:17 --enforcementcount 0 &gt;&gt;C:\Users\stu\Documents\GitHub\eaglep3-reporting\EC\2017-03-17-refined-times.txt</v>
      </c>
      <c r="AI190" s="108" t="str">
        <f t="shared" si="59"/>
        <v>echo {"issue":{"subject":"","project_id":79,"tracker_id":40,"status_id":1,"priority_id":2,"assigned_to_id":23,"start_date":"2017-03-17","description":"","custom_fields":[{"id":1,"name":"Subdivision","value":"NW"},{"id":4,"name":"Milepost","value":"0.0691"},{"id":17,"name":"Train ID","value":"830-17"},{"id":16,"name":"Locomotive ID","value":"4013"},{"id":130,"name":"Impact","value":""},{"id":150,"name":"Time of Event (Mountain Time)","value":"16:56:17"},{"id":151,"name":"Denver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48"/>
      <c r="AK190" s="48"/>
      <c r="AL190" s="48"/>
      <c r="AM190" s="154" t="str">
        <f t="shared" si="60"/>
        <v>start /low /b %USERPROFILE%\Documents\GitHub\eaglep3\Utilities\DownloadLogsFromS3.py --loco 4013 --day 2017-03-17</v>
      </c>
      <c r="AN190" s="163" t="str">
        <f>"grep -SE -B400 ""CHR.+\|PRM\|1\|D.+(SWITCH|SIGNAL).+UNKNOWN"" "&amp;search_path&amp;"\RTDC"&amp;B190&amp;"\*"&amp;B190&amp;"*"&amp;TEXT(AVERAGE(F190,I190)-utc_offset/24,"YYYYMMDD")&amp;"*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"%USERPROFILE%\AppData\Local\Temp\OnboardLogs"\RTDC4013\*4013*20170317* | grep -SE "(Enforcement Action)|(\[TIMEOUT)|(CHR.+\|PRM\|1\|D.+(SWITCH|SIGNAL).+UNKNOWN)" - &gt;&gt; 2017-03-17-UncaughtWiMAX.txt</v>
      </c>
    </row>
    <row r="191" spans="1:91" x14ac:dyDescent="0.25">
      <c r="A191" s="33" t="s">
        <v>775</v>
      </c>
      <c r="B191" s="7">
        <v>4044</v>
      </c>
      <c r="C191" s="21" t="s">
        <v>227</v>
      </c>
      <c r="D191" s="21" t="s">
        <v>968</v>
      </c>
      <c r="E191" s="13">
        <v>42811.691111111111</v>
      </c>
      <c r="F191" s="13">
        <v>42811.702361111114</v>
      </c>
      <c r="G191" s="7">
        <v>1</v>
      </c>
      <c r="H191" s="21" t="s">
        <v>969</v>
      </c>
      <c r="I191" s="13">
        <v>42811.712465277778</v>
      </c>
      <c r="J191" s="7">
        <v>0</v>
      </c>
      <c r="K191" s="98" t="str">
        <f t="shared" si="46"/>
        <v>4043/4044</v>
      </c>
      <c r="L191" s="21" t="str">
        <f>VLOOKUP(A191,'Trips&amp;Operators'!$C$1:$G$99999,5,FALSE)</f>
        <v>SMITH MICHAEL</v>
      </c>
      <c r="M191" s="6">
        <f t="shared" si="47"/>
        <v>1.0104166663950309E-2</v>
      </c>
      <c r="N191" s="7">
        <f t="shared" ref="N191:P223" si="68">24*60*SUM($M191:$M191)</f>
        <v>14.549999996088445</v>
      </c>
      <c r="O191" s="7"/>
      <c r="P191" s="7"/>
      <c r="Q191" s="22"/>
      <c r="R191" s="22"/>
      <c r="S191" s="31">
        <f t="shared" si="66"/>
        <v>1</v>
      </c>
      <c r="T191" s="46" t="str">
        <f t="shared" si="48"/>
        <v>NorthBound</v>
      </c>
      <c r="U191" s="185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86" t="str">
        <f t="shared" si="49"/>
        <v>https://d0f6bd738d7f1b3e5a7ca70fe4ff75f0.us-east-1.aws.found.io/app/kibana#/discover/Steve-Slow-Train-Analysis-(2080s-and-2083s)?_g=(refreshInterval:(display:Off,pause:!f,section:0,value:0),time:(from:'2017-03-17T15:35:12-0600',mode:absolute,to:'2017-03-17T18:05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91" s="187" t="str">
        <f t="shared" si="50"/>
        <v>N</v>
      </c>
      <c r="X191" s="187">
        <f t="shared" si="67"/>
        <v>1</v>
      </c>
      <c r="Y191" s="62">
        <f t="shared" si="51"/>
        <v>9.5500000000000002E-2</v>
      </c>
      <c r="Z191" s="62">
        <f t="shared" si="52"/>
        <v>5.8924000000000003</v>
      </c>
      <c r="AA191" s="62">
        <f t="shared" si="53"/>
        <v>5.7968999999999999</v>
      </c>
      <c r="AB191" s="59" t="e">
        <f>VLOOKUP(A191,Enforcements!$C$7:$K$13,8,0)</f>
        <v>#N/A</v>
      </c>
      <c r="AC191" s="55" t="e">
        <f>VLOOKUP(A191,Enforcements!$C$7:$E$13,3,0)</f>
        <v>#N/A</v>
      </c>
      <c r="AD191" s="56" t="str">
        <f t="shared" si="54"/>
        <v>0831-17</v>
      </c>
      <c r="AE191" s="85" t="str">
        <f t="shared" si="55"/>
        <v>aws s3 cp s3://rtdc.mdm.uploadarchive.raw/RTDC4044/ "%USERPROFILE%\AppData\Local\Temp\OnboardLogs"\RTDC4044\2017-03-17 --exclude "*" --recursive --include "*20170317*" &amp; "%USERPROFILE%\Documents\GitHub\mrs-test-scripts\Headless Mode &amp; Sideloading\WalkAndUnGZ.bat" "%USERPROFILE%\AppData\Local\Temp\OnboardLogs"\RTDC4044\2017-03-17 &amp; aws s3 cp s3://rtdc.mdm.uploadarchive.raw/RTDC4044/ "%USERPROFILE%\AppData\Local\Temp\OnboardLogs"\RTDC4044\2017-03-18 --exclude "*" --recursive --include "*20170318*" &amp; "%USERPROFILE%\Documents\GitHub\mrs-test-scripts\Headless Mode &amp; Sideloading\WalkAndUnGZ.bat" "%USERPROFILE%\AppData\Local\Temp\OnboardLogs"\RTDC4044\2017-03-18</v>
      </c>
      <c r="AF191" s="82" t="str">
        <f t="shared" si="56"/>
        <v>"C:\Program Files (x86)\AstroGrep\AstroGrep.exe" /e /r /s /spath="%USERPROFILE%\AppData\Local\Temp\OnboardLogs" /stypes="app*4044*20170317*" /stext=" 23:.+((SYSTEM_STATE.+slice.+state.+changed )|(ment ac)|(multiple cpu faults)|(system.+state.+changed )|(\[timeout)|(PRM\|1\|D)|(kpr)|(kdp)|(\|lc)|(penalty))"</v>
      </c>
      <c r="AG191" s="1" t="str">
        <f t="shared" si="57"/>
        <v>NW</v>
      </c>
      <c r="AH191" s="86" t="str">
        <f t="shared" si="58"/>
        <v>"%USERPROFILE%\Documents\GitHub\eaglep3\Utilities\RefineRTDCRunTimes.py" --tripid 831-17 --locoid 4044 --swversion DE.1.0.9.0 --startMP 204:955 --initTime 2017-03-17T16:35:12 --startdatetime 2017-03-17T16:51:24 --delay 1 --endMP 300:58924 --enddatetime 2017-03-17T17:05:57 --enforcementcount 0 &gt;&gt;C:\Users\stu\Documents\GitHub\eaglep3-reporting\EC\2017-03-17-refined-times.txt</v>
      </c>
      <c r="AI191" s="108" t="str">
        <f t="shared" si="59"/>
        <v>echo {"issue":{"subject":"","project_id":79,"tracker_id":40,"status_id":1,"priority_id":2,"assigned_to_id":23,"start_date":"2017-03-17","description":"","custom_fields":[{"id":1,"name":"Subdivision","value":"NW"},{"id":4,"name":"Milepost","value":"5.8924"},{"id":17,"name":"Train ID","value":"831-17"},{"id":16,"name":"Locomotive ID","value":"4044"},{"id":130,"name":"Impact","value":""},{"id":150,"name":"Time of Event (Mountain Time)","value":"17:05:57"},{"id":151,"name":"Denver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48"/>
      <c r="AK191" s="48"/>
      <c r="AL191" s="48"/>
      <c r="AM191" s="154" t="str">
        <f t="shared" si="60"/>
        <v>start /low /b %USERPROFILE%\Documents\GitHub\eaglep3\Utilities\DownloadLogsFromS3.py --loco 4044 --day 2017-03-17</v>
      </c>
      <c r="AN191" s="163" t="str">
        <f>"grep -SE -B400 ""CHR.+\|PRM\|1\|D.+(SWITCH|SIGNAL).+UNKNOWN"" "&amp;search_path&amp;"\RTDC"&amp;B191&amp;"\*"&amp;B191&amp;"*"&amp;TEXT(AVERAGE(F191,I191)-utc_offset/24,"YYYYMMDD")&amp;"*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"%USERPROFILE%\AppData\Local\Temp\OnboardLogs"\RTDC4044\*4044*20170317* | grep -SE "(Enforcement Action)|(\[TIMEOUT)|(CHR.+\|PRM\|1\|D.+(SWITCH|SIGNAL).+UNKNOWN)" - &gt;&gt; 2017-03-17-UncaughtWiMAX.txt</v>
      </c>
    </row>
    <row r="192" spans="1:91" x14ac:dyDescent="0.25">
      <c r="A192" s="33" t="s">
        <v>780</v>
      </c>
      <c r="B192" s="7">
        <v>4043</v>
      </c>
      <c r="C192" s="21" t="s">
        <v>227</v>
      </c>
      <c r="D192" s="21" t="s">
        <v>970</v>
      </c>
      <c r="E192" s="13">
        <v>42811.713449074072</v>
      </c>
      <c r="F192" s="13">
        <v>42811.714895833335</v>
      </c>
      <c r="G192" s="7">
        <v>1</v>
      </c>
      <c r="H192" s="21" t="s">
        <v>524</v>
      </c>
      <c r="I192" s="13">
        <v>42811.726064814815</v>
      </c>
      <c r="J192" s="7">
        <v>0</v>
      </c>
      <c r="K192" s="98" t="str">
        <f t="shared" si="46"/>
        <v>4043/4044</v>
      </c>
      <c r="L192" s="21" t="str">
        <f>VLOOKUP(A192,'Trips&amp;Operators'!$C$1:$G$99999,5,FALSE)</f>
        <v>SMITH MICHAEL</v>
      </c>
      <c r="M192" s="6">
        <f t="shared" si="47"/>
        <v>1.116898148029577E-2</v>
      </c>
      <c r="N192" s="7">
        <f t="shared" si="68"/>
        <v>16.083333331625909</v>
      </c>
      <c r="O192" s="7"/>
      <c r="P192" s="7"/>
      <c r="Q192" s="22"/>
      <c r="R192" s="22"/>
      <c r="S192" s="31">
        <f t="shared" si="66"/>
        <v>1</v>
      </c>
      <c r="T192" s="46" t="str">
        <f t="shared" si="48"/>
        <v>Southbound</v>
      </c>
      <c r="U192" s="185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86" t="str">
        <f t="shared" si="49"/>
        <v>https://d0f6bd738d7f1b3e5a7ca70fe4ff75f0.us-east-1.aws.found.io/app/kibana#/discover/Steve-Slow-Train-Analysis-(2080s-and-2083s)?_g=(refreshInterval:(display:Off,pause:!f,section:0,value:0),time:(from:'2017-03-17T16:07:22-0600',mode:absolute,to:'2017-03-17T18:25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92" s="187" t="str">
        <f t="shared" si="50"/>
        <v>N</v>
      </c>
      <c r="X192" s="187">
        <f>VALUE(LEFT(AD192,4))-VALUE(LEFT(AD191,4))</f>
        <v>1</v>
      </c>
      <c r="Y192" s="62">
        <f t="shared" si="51"/>
        <v>5.8609</v>
      </c>
      <c r="Z192" s="62">
        <f t="shared" si="52"/>
        <v>6.8900000000000003E-2</v>
      </c>
      <c r="AA192" s="62">
        <f t="shared" si="53"/>
        <v>5.7919999999999998</v>
      </c>
      <c r="AB192" s="59" t="e">
        <f>VLOOKUP(A192,Enforcements!$C$7:$K$13,8,0)</f>
        <v>#N/A</v>
      </c>
      <c r="AC192" s="55" t="e">
        <f>VLOOKUP(A192,Enforcements!$C$7:$E$13,3,0)</f>
        <v>#N/A</v>
      </c>
      <c r="AD192" s="56" t="str">
        <f t="shared" si="54"/>
        <v>0832-17</v>
      </c>
      <c r="AE192" s="85" t="str">
        <f t="shared" si="55"/>
        <v>aws s3 cp s3://rtdc.mdm.uploadarchive.raw/RTDC4043/ "%USERPROFILE%\AppData\Local\Temp\OnboardLogs"\RTDC4043\2017-03-17 --exclude "*" --recursive --include "*20170317*" &amp; "%USERPROFILE%\Documents\GitHub\mrs-test-scripts\Headless Mode &amp; Sideloading\WalkAndUnGZ.bat" "%USERPROFILE%\AppData\Local\Temp\OnboardLogs"\RTDC4043\2017-03-17 &amp; aws s3 cp s3://rtdc.mdm.uploadarchive.raw/RTDC4043/ "%USERPROFILE%\AppData\Local\Temp\OnboardLogs"\RTDC4043\2017-03-18 --exclude "*" --recursive --include "*20170318*" &amp; "%USERPROFILE%\Documents\GitHub\mrs-test-scripts\Headless Mode &amp; Sideloading\WalkAndUnGZ.bat" "%USERPROFILE%\AppData\Local\Temp\OnboardLogs"\RTDC4043\2017-03-18</v>
      </c>
      <c r="AF192" s="82" t="str">
        <f t="shared" si="56"/>
        <v>"C:\Program Files (x86)\AstroGrep\AstroGrep.exe" /e /r /s /spath="%USERPROFILE%\AppData\Local\Temp\OnboardLogs" /stypes="app*4043*20170317*" /stext=" 23:.+((SYSTEM_STATE.+slice.+state.+changed )|(ment ac)|(multiple cpu faults)|(system.+state.+changed )|(\[timeout)|(PRM\|1\|D)|(kpr)|(kdp)|(\|lc)|(penalty))"</v>
      </c>
      <c r="AG192" s="1" t="str">
        <f t="shared" si="57"/>
        <v>NW</v>
      </c>
      <c r="AH192" s="86" t="str">
        <f t="shared" si="58"/>
        <v>"%USERPROFILE%\Documents\GitHub\eaglep3\Utilities\RefineRTDCRunTimes.py" --tripid 832-17 --locoid 4043 --swversion DE.1.0.9.0 --startMP 300:58609 --initTime 2017-03-17T17:07:22 --startdatetime 2017-03-17T17:09:27 --delay 1 --endMP 204:689 --enddatetime 2017-03-17T17:25:32 --enforcementcount 0 &gt;&gt;C:\Users\stu\Documents\GitHub\eaglep3-reporting\EC\2017-03-17-refined-times.txt</v>
      </c>
      <c r="AI192" s="108" t="str">
        <f t="shared" si="59"/>
        <v>echo {"issue":{"subject":"","project_id":79,"tracker_id":40,"status_id":1,"priority_id":2,"assigned_to_id":23,"start_date":"2017-03-17","description":"","custom_fields":[{"id":1,"name":"Subdivision","value":"NW"},{"id":4,"name":"Milepost","value":"0.0689"},{"id":17,"name":"Train ID","value":"832-17"},{"id":16,"name":"Locomotive ID","value":"4043"},{"id":130,"name":"Impact","value":""},{"id":150,"name":"Time of Event (Mountain Time)","value":"17:25:32"},{"id":151,"name":"Denver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48"/>
      <c r="AK192" s="48"/>
      <c r="AL192" s="48"/>
      <c r="AM192" s="154" t="str">
        <f t="shared" si="60"/>
        <v>start /low /b %USERPROFILE%\Documents\GitHub\eaglep3\Utilities\DownloadLogsFromS3.py --loco 4043 --day 2017-03-17</v>
      </c>
      <c r="AN192" s="163" t="str">
        <f>"grep -SE -B400 ""CHR.+\|PRM\|1\|D.+(SWITCH|SIGNAL).+UNKNOWN"" "&amp;search_path&amp;"\RTDC"&amp;B192&amp;"\*"&amp;B192&amp;"*"&amp;TEXT(AVERAGE(F192,I192)-utc_offset/24,"YYYYMMDD")&amp;"*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"%USERPROFILE%\AppData\Local\Temp\OnboardLogs"\RTDC4043\*4043*20170317* | grep -SE "(Enforcement Action)|(\[TIMEOUT)|(CHR.+\|PRM\|1\|D.+(SWITCH|SIGNAL).+UNKNOWN)" - &gt;&gt; 2017-03-17-UncaughtWiMAX.txt</v>
      </c>
    </row>
    <row r="193" spans="1:40" x14ac:dyDescent="0.25">
      <c r="A193" s="33" t="s">
        <v>782</v>
      </c>
      <c r="B193" s="7">
        <v>4014</v>
      </c>
      <c r="C193" s="21" t="s">
        <v>227</v>
      </c>
      <c r="D193" s="21" t="s">
        <v>971</v>
      </c>
      <c r="E193" s="13">
        <v>42811.717094907406</v>
      </c>
      <c r="F193" s="13">
        <v>42811.723136574074</v>
      </c>
      <c r="G193" s="7">
        <v>1</v>
      </c>
      <c r="H193" s="21" t="s">
        <v>972</v>
      </c>
      <c r="I193" s="13">
        <v>42811.733842592592</v>
      </c>
      <c r="J193" s="7">
        <v>0</v>
      </c>
      <c r="K193" s="98" t="str">
        <f t="shared" si="46"/>
        <v>4013/4014</v>
      </c>
      <c r="L193" s="21" t="str">
        <f>VLOOKUP(A193,'Trips&amp;Operators'!$C$1:$G$99999,5,FALSE)</f>
        <v>FORTUNATO FRANK</v>
      </c>
      <c r="M193" s="6">
        <f t="shared" si="47"/>
        <v>1.0706018518249039E-2</v>
      </c>
      <c r="N193" s="7">
        <f t="shared" si="68"/>
        <v>15.416666666278616</v>
      </c>
      <c r="O193" s="7"/>
      <c r="P193" s="7"/>
      <c r="Q193" s="22"/>
      <c r="R193" s="22"/>
      <c r="S193" s="31">
        <f t="shared" si="66"/>
        <v>1</v>
      </c>
      <c r="T193" s="46" t="str">
        <f t="shared" si="48"/>
        <v>NorthBound</v>
      </c>
      <c r="U193" s="185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86" t="str">
        <f t="shared" si="49"/>
        <v>https://d0f6bd738d7f1b3e5a7ca70fe4ff75f0.us-east-1.aws.found.io/app/kibana#/discover/Steve-Slow-Train-Analysis-(2080s-and-2083s)?_g=(refreshInterval:(display:Off,pause:!f,section:0,value:0),time:(from:'2017-03-17T16:12:37-0600',mode:absolute,to:'2017-03-17T18:36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93" s="187" t="str">
        <f t="shared" si="50"/>
        <v>N</v>
      </c>
      <c r="X193" s="187">
        <f>VALUE(LEFT(AD193,4))-VALUE(LEFT(AD192,4))</f>
        <v>1</v>
      </c>
      <c r="Y193" s="62">
        <f t="shared" si="51"/>
        <v>9.8299999999999998E-2</v>
      </c>
      <c r="Z193" s="62">
        <f t="shared" si="52"/>
        <v>5.8952</v>
      </c>
      <c r="AA193" s="62">
        <f t="shared" si="53"/>
        <v>5.7968999999999999</v>
      </c>
      <c r="AB193" s="59" t="e">
        <f>VLOOKUP(A193,Enforcements!$C$7:$K$13,8,0)</f>
        <v>#N/A</v>
      </c>
      <c r="AC193" s="55" t="e">
        <f>VLOOKUP(A193,Enforcements!$C$7:$E$13,3,0)</f>
        <v>#N/A</v>
      </c>
      <c r="AD193" s="56" t="str">
        <f t="shared" si="54"/>
        <v>0833-17</v>
      </c>
      <c r="AE193" s="85" t="str">
        <f t="shared" si="55"/>
        <v>aws s3 cp s3://rtdc.mdm.uploadarchive.raw/RTDC4014/ "%USERPROFILE%\AppData\Local\Temp\OnboardLogs"\RTDC4014\2017-03-17 --exclude "*" --recursive --include "*20170317*" &amp; "%USERPROFILE%\Documents\GitHub\mrs-test-scripts\Headless Mode &amp; Sideloading\WalkAndUnGZ.bat" "%USERPROFILE%\AppData\Local\Temp\OnboardLogs"\RTDC4014\2017-03-17 &amp; aws s3 cp s3://rtdc.mdm.uploadarchive.raw/RTDC4014/ "%USERPROFILE%\AppData\Local\Temp\OnboardLogs"\RTDC4014\2017-03-18 --exclude "*" --recursive --include "*20170318*" &amp; "%USERPROFILE%\Documents\GitHub\mrs-test-scripts\Headless Mode &amp; Sideloading\WalkAndUnGZ.bat" "%USERPROFILE%\AppData\Local\Temp\OnboardLogs"\RTDC4014\2017-03-18</v>
      </c>
      <c r="AF193" s="82" t="str">
        <f t="shared" si="56"/>
        <v>"C:\Program Files (x86)\AstroGrep\AstroGrep.exe" /e /r /s /spath="%USERPROFILE%\AppData\Local\Temp\OnboardLogs" /stypes="app*4014*20170317*" /stext=" 23:.+((SYSTEM_STATE.+slice.+state.+changed )|(ment ac)|(multiple cpu faults)|(system.+state.+changed )|(\[timeout)|(PRM\|1\|D)|(kpr)|(kdp)|(\|lc)|(penalty))"</v>
      </c>
      <c r="AG193" s="1" t="str">
        <f t="shared" si="57"/>
        <v>NW</v>
      </c>
      <c r="AH193" s="86" t="str">
        <f t="shared" si="58"/>
        <v>"%USERPROFILE%\Documents\GitHub\eaglep3\Utilities\RefineRTDCRunTimes.py" --tripid 833-17 --locoid 4014 --swversion DE.1.0.9.0 --startMP 204:983 --initTime 2017-03-17T17:12:37 --startdatetime 2017-03-17T17:21:19 --delay 1 --endMP 300:58952 --enddatetime 2017-03-17T17:36:44 --enforcementcount 0 &gt;&gt;C:\Users\stu\Documents\GitHub\eaglep3-reporting\EC\2017-03-17-refined-times.txt</v>
      </c>
      <c r="AI193" s="108" t="str">
        <f t="shared" si="59"/>
        <v>echo {"issue":{"subject":"","project_id":79,"tracker_id":40,"status_id":1,"priority_id":2,"assigned_to_id":23,"start_date":"2017-03-17","description":"","custom_fields":[{"id":1,"name":"Subdivision","value":"NW"},{"id":4,"name":"Milepost","value":"5.8952"},{"id":17,"name":"Train ID","value":"833-17"},{"id":16,"name":"Locomotive ID","value":"4014"},{"id":130,"name":"Impact","value":""},{"id":150,"name":"Time of Event (Mountain Time)","value":"17:36:44"},{"id":151,"name":"Denver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48"/>
      <c r="AK193" s="48"/>
      <c r="AL193" s="48"/>
      <c r="AM193" s="154" t="str">
        <f t="shared" si="60"/>
        <v>start /low /b %USERPROFILE%\Documents\GitHub\eaglep3\Utilities\DownloadLogsFromS3.py --loco 4014 --day 2017-03-17</v>
      </c>
      <c r="AN193" s="163" t="str">
        <f>"grep -SE -B400 ""CHR.+\|PRM\|1\|D.+(SWITCH|SIGNAL).+UNKNOWN"" "&amp;search_path&amp;"\RTDC"&amp;B193&amp;"\*"&amp;B193&amp;"*"&amp;TEXT(AVERAGE(F193,I193)-utc_offset/24,"YYYYMMDD")&amp;"*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"%USERPROFILE%\AppData\Local\Temp\OnboardLogs"\RTDC4014\*4014*20170317* | grep -SE "(Enforcement Action)|(\[TIMEOUT)|(CHR.+\|PRM\|1\|D.+(SWITCH|SIGNAL).+UNKNOWN)" - &gt;&gt; 2017-03-17-UncaughtWiMAX.txt</v>
      </c>
    </row>
    <row r="194" spans="1:40" x14ac:dyDescent="0.25">
      <c r="A194" s="33" t="s">
        <v>787</v>
      </c>
      <c r="B194" s="7">
        <v>4013</v>
      </c>
      <c r="C194" s="21" t="s">
        <v>227</v>
      </c>
      <c r="D194" s="21" t="s">
        <v>526</v>
      </c>
      <c r="E194" s="13">
        <v>42811.734907407408</v>
      </c>
      <c r="F194" s="13">
        <v>42811.736284722225</v>
      </c>
      <c r="G194" s="7">
        <v>1</v>
      </c>
      <c r="H194" s="21" t="s">
        <v>973</v>
      </c>
      <c r="I194" s="13">
        <v>42811.747384259259</v>
      </c>
      <c r="J194" s="7">
        <v>0</v>
      </c>
      <c r="K194" s="98" t="str">
        <f t="shared" si="46"/>
        <v>4013/4014</v>
      </c>
      <c r="L194" s="21" t="str">
        <f>VLOOKUP(A194,'Trips&amp;Operators'!$C$1:$G$99999,5,FALSE)</f>
        <v>FORTUNATO FRANK</v>
      </c>
      <c r="M194" s="6">
        <f t="shared" si="47"/>
        <v>1.1099537034169771E-2</v>
      </c>
      <c r="N194" s="7">
        <f t="shared" si="68"/>
        <v>15.98333332920447</v>
      </c>
      <c r="O194" s="7"/>
      <c r="P194" s="7"/>
      <c r="Q194" s="22"/>
      <c r="R194" s="22"/>
      <c r="S194" s="31">
        <f t="shared" si="66"/>
        <v>1</v>
      </c>
      <c r="T194" s="46" t="str">
        <f t="shared" si="48"/>
        <v>Southbound</v>
      </c>
      <c r="U194" s="185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86" t="str">
        <f t="shared" si="49"/>
        <v>https://d0f6bd738d7f1b3e5a7ca70fe4ff75f0.us-east-1.aws.found.io/app/kibana#/discover/Steve-Slow-Train-Analysis-(2080s-and-2083s)?_g=(refreshInterval:(display:Off,pause:!f,section:0,value:0),time:(from:'2017-03-17T16:38:16-0600',mode:absolute,to:'2017-03-17T18:56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94" s="187" t="str">
        <f t="shared" si="50"/>
        <v>N</v>
      </c>
      <c r="X194" s="187">
        <f>VALUE(LEFT(AD194,4))-VALUE(LEFT(AD193,4))</f>
        <v>1</v>
      </c>
      <c r="Y194" s="62">
        <f t="shared" si="51"/>
        <v>5.8630000000000004</v>
      </c>
      <c r="Z194" s="62">
        <f t="shared" si="52"/>
        <v>7.0499999999999993E-2</v>
      </c>
      <c r="AA194" s="62">
        <f t="shared" si="53"/>
        <v>5.7925000000000004</v>
      </c>
      <c r="AB194" s="59" t="e">
        <f>VLOOKUP(A194,Enforcements!$C$7:$K$13,8,0)</f>
        <v>#N/A</v>
      </c>
      <c r="AC194" s="55" t="e">
        <f>VLOOKUP(A194,Enforcements!$C$7:$E$13,3,0)</f>
        <v>#N/A</v>
      </c>
      <c r="AD194" s="56" t="str">
        <f t="shared" si="54"/>
        <v>0834-17</v>
      </c>
      <c r="AE194" s="85" t="str">
        <f t="shared" si="55"/>
        <v>aws s3 cp s3://rtdc.mdm.uploadarchive.raw/RTDC4013/ "%USERPROFILE%\AppData\Local\Temp\OnboardLogs"\RTDC4013\2017-03-17 --exclude "*" --recursive --include "*20170317*" &amp; "%USERPROFILE%\Documents\GitHub\mrs-test-scripts\Headless Mode &amp; Sideloading\WalkAndUnGZ.bat" "%USERPROFILE%\AppData\Local\Temp\OnboardLogs"\RTDC4013\2017-03-17 &amp; aws s3 cp s3://rtdc.mdm.uploadarchive.raw/RTDC4013/ "%USERPROFILE%\AppData\Local\Temp\OnboardLogs"\RTDC4013\2017-03-18 --exclude "*" --recursive --include "*20170318*" &amp; "%USERPROFILE%\Documents\GitHub\mrs-test-scripts\Headless Mode &amp; Sideloading\WalkAndUnGZ.bat" "%USERPROFILE%\AppData\Local\Temp\OnboardLogs"\RTDC4013\2017-03-18</v>
      </c>
      <c r="AF194" s="82" t="str">
        <f t="shared" si="56"/>
        <v>"C:\Program Files (x86)\AstroGrep\AstroGrep.exe" /e /r /s /spath="%USERPROFILE%\AppData\Local\Temp\OnboardLogs" /stypes="app*4013*20170317*" /stext=" 23:.+((SYSTEM_STATE.+slice.+state.+changed )|(ment ac)|(multiple cpu faults)|(system.+state.+changed )|(\[timeout)|(PRM\|1\|D)|(kpr)|(kdp)|(\|lc)|(penalty))"</v>
      </c>
      <c r="AG194" s="1" t="str">
        <f t="shared" si="57"/>
        <v>NW</v>
      </c>
      <c r="AH194" s="86" t="str">
        <f t="shared" si="58"/>
        <v>"%USERPROFILE%\Documents\GitHub\eaglep3\Utilities\RefineRTDCRunTimes.py" --tripid 834-17 --locoid 4013 --swversion DE.1.0.9.0 --startMP 300:58630 --initTime 2017-03-17T17:38:16 --startdatetime 2017-03-17T17:40:15 --delay 1 --endMP 204:705 --enddatetime 2017-03-17T17:56:14 --enforcementcount 0 &gt;&gt;C:\Users\stu\Documents\GitHub\eaglep3-reporting\EC\2017-03-17-refined-times.txt</v>
      </c>
      <c r="AI194" s="108" t="str">
        <f t="shared" si="59"/>
        <v>echo {"issue":{"subject":"","project_id":79,"tracker_id":40,"status_id":1,"priority_id":2,"assigned_to_id":23,"start_date":"2017-03-17","description":"","custom_fields":[{"id":1,"name":"Subdivision","value":"NW"},{"id":4,"name":"Milepost","value":"0.0705"},{"id":17,"name":"Train ID","value":"834-17"},{"id":16,"name":"Locomotive ID","value":"4013"},{"id":130,"name":"Impact","value":""},{"id":150,"name":"Time of Event (Mountain Time)","value":"17:56:14"},{"id":151,"name":"Denver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48"/>
      <c r="AK194" s="48"/>
      <c r="AL194" s="48"/>
      <c r="AM194" s="154" t="str">
        <f t="shared" si="60"/>
        <v>start /low /b %USERPROFILE%\Documents\GitHub\eaglep3\Utilities\DownloadLogsFromS3.py --loco 4013 --day 2017-03-17</v>
      </c>
      <c r="AN194" s="163" t="str">
        <f>"grep -SE -B400 ""CHR.+\|PRM\|1\|D.+(SWITCH|SIGNAL).+UNKNOWN"" "&amp;search_path&amp;"\RTDC"&amp;B194&amp;"\*"&amp;B194&amp;"*"&amp;TEXT(AVERAGE(F194,I194)-utc_offset/24,"YYYYMMDD")&amp;"*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"%USERPROFILE%\AppData\Local\Temp\OnboardLogs"\RTDC4013\*4013*20170317* | grep -SE "(Enforcement Action)|(\[TIMEOUT)|(CHR.+\|PRM\|1\|D.+(SWITCH|SIGNAL).+UNKNOWN)" - &gt;&gt; 2017-03-17-UncaughtWiMAX.txt</v>
      </c>
    </row>
    <row r="195" spans="1:40" x14ac:dyDescent="0.25">
      <c r="A195" s="33" t="s">
        <v>785</v>
      </c>
      <c r="B195" s="7">
        <v>4044</v>
      </c>
      <c r="C195" s="21" t="s">
        <v>227</v>
      </c>
      <c r="D195" s="21" t="s">
        <v>591</v>
      </c>
      <c r="E195" s="13">
        <v>42811.73064814815</v>
      </c>
      <c r="F195" s="13">
        <v>42811.743969907409</v>
      </c>
      <c r="G195" s="7">
        <v>1</v>
      </c>
      <c r="H195" s="21" t="s">
        <v>436</v>
      </c>
      <c r="I195" s="13">
        <v>42811.753518518519</v>
      </c>
      <c r="J195" s="7">
        <v>0</v>
      </c>
      <c r="K195" s="98" t="str">
        <f t="shared" si="46"/>
        <v>4043/4044</v>
      </c>
      <c r="L195" s="21" t="str">
        <f>VLOOKUP(A195,'Trips&amp;Operators'!$C$1:$G$99999,5,FALSE)</f>
        <v>SMITH MICHAEL</v>
      </c>
      <c r="M195" s="6">
        <f t="shared" si="47"/>
        <v>9.5486111094942316E-3</v>
      </c>
      <c r="N195" s="7">
        <f t="shared" si="68"/>
        <v>13.749999997671694</v>
      </c>
      <c r="O195" s="7"/>
      <c r="P195" s="7"/>
      <c r="Q195" s="22"/>
      <c r="R195" s="22"/>
      <c r="S195" s="31">
        <f t="shared" si="66"/>
        <v>1</v>
      </c>
      <c r="T195" s="46" t="str">
        <f t="shared" si="48"/>
        <v>NorthBound</v>
      </c>
      <c r="U195" s="185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86" t="str">
        <f t="shared" si="49"/>
        <v>https://d0f6bd738d7f1b3e5a7ca70fe4ff75f0.us-east-1.aws.found.io/app/kibana#/discover/Steve-Slow-Train-Analysis-(2080s-and-2083s)?_g=(refreshInterval:(display:Off,pause:!f,section:0,value:0),time:(from:'2017-03-17T16:32:08-0600',mode:absolute,to:'2017-03-17T19:05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95" s="187" t="str">
        <f t="shared" si="50"/>
        <v>N</v>
      </c>
      <c r="X195" s="187">
        <f>VALUE(LEFT(AD195,4))-VALUE(LEFT(AD194,4))</f>
        <v>1</v>
      </c>
      <c r="Y195" s="62">
        <f t="shared" si="51"/>
        <v>9.7100000000000006E-2</v>
      </c>
      <c r="Z195" s="62">
        <f t="shared" si="52"/>
        <v>5.8939000000000004</v>
      </c>
      <c r="AA195" s="62">
        <f t="shared" si="53"/>
        <v>5.7968000000000002</v>
      </c>
      <c r="AB195" s="59" t="e">
        <f>VLOOKUP(A195,Enforcements!$C$7:$K$13,8,0)</f>
        <v>#N/A</v>
      </c>
      <c r="AC195" s="55" t="e">
        <f>VLOOKUP(A195,Enforcements!$C$7:$E$13,3,0)</f>
        <v>#N/A</v>
      </c>
      <c r="AD195" s="56" t="str">
        <f t="shared" si="54"/>
        <v>0835-17</v>
      </c>
      <c r="AE195" s="85" t="str">
        <f t="shared" si="55"/>
        <v>aws s3 cp s3://rtdc.mdm.uploadarchive.raw/RTDC4044/ "%USERPROFILE%\AppData\Local\Temp\OnboardLogs"\RTDC4044\2017-03-17 --exclude "*" --recursive --include "*20170317*" &amp; "%USERPROFILE%\Documents\GitHub\mrs-test-scripts\Headless Mode &amp; Sideloading\WalkAndUnGZ.bat" "%USERPROFILE%\AppData\Local\Temp\OnboardLogs"\RTDC4044\2017-03-17 &amp; aws s3 cp s3://rtdc.mdm.uploadarchive.raw/RTDC4044/ "%USERPROFILE%\AppData\Local\Temp\OnboardLogs"\RTDC4044\2017-03-18 --exclude "*" --recursive --include "*20170318*" &amp; "%USERPROFILE%\Documents\GitHub\mrs-test-scripts\Headless Mode &amp; Sideloading\WalkAndUnGZ.bat" "%USERPROFILE%\AppData\Local\Temp\OnboardLogs"\RTDC4044\2017-03-18</v>
      </c>
      <c r="AF195" s="82" t="str">
        <f t="shared" si="56"/>
        <v>"C:\Program Files (x86)\AstroGrep\AstroGrep.exe" /e /r /s /spath="%USERPROFILE%\AppData\Local\Temp\OnboardLogs" /stypes="app*4044*20170318*" /stext=" 00:.+((SYSTEM_STATE.+slice.+state.+changed )|(ment ac)|(multiple cpu faults)|(system.+state.+changed )|(\[timeout)|(PRM\|1\|D)|(kpr)|(kdp)|(\|lc)|(penalty))"</v>
      </c>
      <c r="AG195" s="1" t="str">
        <f t="shared" si="57"/>
        <v>NW</v>
      </c>
      <c r="AH195" s="86" t="str">
        <f t="shared" si="58"/>
        <v>"%USERPROFILE%\Documents\GitHub\eaglep3\Utilities\RefineRTDCRunTimes.py" --tripid 835-17 --locoid 4044 --swversion DE.1.0.9.0 --startMP 204:971 --initTime 2017-03-17T17:32:08 --startdatetime 2017-03-17T17:51:19 --delay 1 --endMP 300:58939 --enddatetime 2017-03-17T18:05:04 --enforcementcount 0 &gt;&gt;C:\Users\stu\Documents\GitHub\eaglep3-reporting\EC\2017-03-17-refined-times.txt</v>
      </c>
      <c r="AI195" s="108" t="str">
        <f t="shared" si="59"/>
        <v>echo {"issue":{"subject":"","project_id":79,"tracker_id":40,"status_id":1,"priority_id":2,"assigned_to_id":23,"start_date":"2017-03-17","description":"","custom_fields":[{"id":1,"name":"Subdivision","value":"NW"},{"id":4,"name":"Milepost","value":"5.8939"},{"id":17,"name":"Train ID","value":"835-17"},{"id":16,"name":"Locomotive ID","value":"4044"},{"id":130,"name":"Impact","value":""},{"id":150,"name":"Time of Event (Mountain Time)","value":"18:05:04"},{"id":151,"name":"Denver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48"/>
      <c r="AK195" s="48"/>
      <c r="AL195" s="48"/>
      <c r="AM195" s="154" t="str">
        <f t="shared" si="60"/>
        <v>start /low /b %USERPROFILE%\Documents\GitHub\eaglep3\Utilities\DownloadLogsFromS3.py --loco 4044 --day 2017-03-17</v>
      </c>
      <c r="AN195" s="163" t="str">
        <f>"grep -SE -B400 ""CHR.+\|PRM\|1\|D.+(SWITCH|SIGNAL).+UNKNOWN"" "&amp;search_path&amp;"\RTDC"&amp;B195&amp;"\*"&amp;B195&amp;"*"&amp;TEXT(AVERAGE(F195,I195)-utc_offset/24,"YYYYMMDD")&amp;"*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"%USERPROFILE%\AppData\Local\Temp\OnboardLogs"\RTDC4044\*4044*20170317* | grep -SE "(Enforcement Action)|(\[TIMEOUT)|(CHR.+\|PRM\|1\|D.+(SWITCH|SIGNAL).+UNKNOWN)" - &gt;&gt; 2017-03-17-UncaughtWiMAX.txt</v>
      </c>
    </row>
    <row r="196" spans="1:40" x14ac:dyDescent="0.25">
      <c r="A196" s="33" t="s">
        <v>795</v>
      </c>
      <c r="B196" s="7">
        <v>4043</v>
      </c>
      <c r="C196" s="21" t="s">
        <v>227</v>
      </c>
      <c r="D196" s="21" t="s">
        <v>602</v>
      </c>
      <c r="E196" s="13">
        <v>42811.754571759258</v>
      </c>
      <c r="F196" s="13">
        <v>42811.755972222221</v>
      </c>
      <c r="G196" s="7">
        <v>1</v>
      </c>
      <c r="H196" s="21" t="s">
        <v>974</v>
      </c>
      <c r="I196" s="13">
        <v>42811.768263888887</v>
      </c>
      <c r="J196" s="7">
        <v>0</v>
      </c>
      <c r="K196" s="98" t="str">
        <f t="shared" si="46"/>
        <v>4043/4044</v>
      </c>
      <c r="L196" s="21" t="str">
        <f>VLOOKUP(A196,'Trips&amp;Operators'!$C$1:$G$99999,5,FALSE)</f>
        <v>SMITH MICHAEL</v>
      </c>
      <c r="M196" s="6">
        <f t="shared" si="47"/>
        <v>1.2291666665987577E-2</v>
      </c>
      <c r="N196" s="7">
        <f t="shared" si="68"/>
        <v>17.699999999022111</v>
      </c>
      <c r="O196" s="7"/>
      <c r="P196" s="7"/>
      <c r="Q196" s="22"/>
      <c r="R196" s="22"/>
      <c r="S196" s="31">
        <f t="shared" si="66"/>
        <v>1</v>
      </c>
      <c r="T196" s="46" t="str">
        <f t="shared" si="48"/>
        <v>Southbound</v>
      </c>
      <c r="U196" s="185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86" t="str">
        <f t="shared" si="49"/>
        <v>https://d0f6bd738d7f1b3e5a7ca70fe4ff75f0.us-east-1.aws.found.io/app/kibana#/discover/Steve-Slow-Train-Analysis-(2080s-and-2083s)?_g=(refreshInterval:(display:Off,pause:!f,section:0,value:0),time:(from:'2017-03-17T17:06:35-0600',mode:absolute,to:'2017-03-17T19:26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96" s="187" t="str">
        <f t="shared" si="50"/>
        <v>N</v>
      </c>
      <c r="X196" s="187">
        <f>VALUE(LEFT(AD196,4))-VALUE(LEFT(AD195,4))</f>
        <v>1</v>
      </c>
      <c r="Y196" s="62">
        <f t="shared" si="51"/>
        <v>5.8634000000000004</v>
      </c>
      <c r="Z196" s="62">
        <f t="shared" si="52"/>
        <v>6.8400000000000002E-2</v>
      </c>
      <c r="AA196" s="62">
        <f t="shared" si="53"/>
        <v>5.7950000000000008</v>
      </c>
      <c r="AB196" s="59" t="e">
        <f>VLOOKUP(A196,Enforcements!$C$7:$K$13,8,0)</f>
        <v>#N/A</v>
      </c>
      <c r="AC196" s="55" t="e">
        <f>VLOOKUP(A196,Enforcements!$C$7:$E$13,3,0)</f>
        <v>#N/A</v>
      </c>
      <c r="AD196" s="56" t="str">
        <f t="shared" si="54"/>
        <v>0836-17</v>
      </c>
      <c r="AE196" s="85" t="str">
        <f t="shared" si="55"/>
        <v>aws s3 cp s3://rtdc.mdm.uploadarchive.raw/RTDC4043/ "%USERPROFILE%\AppData\Local\Temp\OnboardLogs"\RTDC4043\2017-03-17 --exclude "*" --recursive --include "*20170317*" &amp; "%USERPROFILE%\Documents\GitHub\mrs-test-scripts\Headless Mode &amp; Sideloading\WalkAndUnGZ.bat" "%USERPROFILE%\AppData\Local\Temp\OnboardLogs"\RTDC4043\2017-03-17 &amp; aws s3 cp s3://rtdc.mdm.uploadarchive.raw/RTDC4043/ "%USERPROFILE%\AppData\Local\Temp\OnboardLogs"\RTDC4043\2017-03-18 --exclude "*" --recursive --include "*20170318*" &amp; "%USERPROFILE%\Documents\GitHub\mrs-test-scripts\Headless Mode &amp; Sideloading\WalkAndUnGZ.bat" "%USERPROFILE%\AppData\Local\Temp\OnboardLogs"\RTDC4043\2017-03-18</v>
      </c>
      <c r="AF196" s="82" t="str">
        <f t="shared" si="56"/>
        <v>"C:\Program Files (x86)\AstroGrep\AstroGrep.exe" /e /r /s /spath="%USERPROFILE%\AppData\Local\Temp\OnboardLogs" /stypes="app*4043*20170318*" /stext=" 00:.+((SYSTEM_STATE.+slice.+state.+changed )|(ment ac)|(multiple cpu faults)|(system.+state.+changed )|(\[timeout)|(PRM\|1\|D)|(kpr)|(kdp)|(\|lc)|(penalty))"</v>
      </c>
      <c r="AG196" s="1" t="str">
        <f t="shared" si="57"/>
        <v>NW</v>
      </c>
      <c r="AH196" s="86" t="str">
        <f t="shared" si="58"/>
        <v>"%USERPROFILE%\Documents\GitHub\eaglep3\Utilities\RefineRTDCRunTimes.py" --tripid 836-17 --locoid 4043 --swversion DE.1.0.9.0 --startMP 300:58634 --initTime 2017-03-17T18:06:35 --startdatetime 2017-03-17T18:08:36 --delay 1 --endMP 204:684 --enddatetime 2017-03-17T18:26:18 --enforcementcount 0 &gt;&gt;C:\Users\stu\Documents\GitHub\eaglep3-reporting\EC\2017-03-17-refined-times.txt</v>
      </c>
      <c r="AI196" s="108" t="str">
        <f t="shared" si="59"/>
        <v>echo {"issue":{"subject":"","project_id":79,"tracker_id":40,"status_id":1,"priority_id":2,"assigned_to_id":23,"start_date":"2017-03-17","description":"","custom_fields":[{"id":1,"name":"Subdivision","value":"NW"},{"id":4,"name":"Milepost","value":"0.0684"},{"id":17,"name":"Train ID","value":"836-17"},{"id":16,"name":"Locomotive ID","value":"4043"},{"id":130,"name":"Impact","value":""},{"id":150,"name":"Time of Event (Mountain Time)","value":"18:26:18"},{"id":151,"name":"Denver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48"/>
      <c r="AK196" s="48"/>
      <c r="AL196" s="48"/>
      <c r="AM196" s="154" t="str">
        <f t="shared" si="60"/>
        <v>start /low /b %USERPROFILE%\Documents\GitHub\eaglep3\Utilities\DownloadLogsFromS3.py --loco 4043 --day 2017-03-17</v>
      </c>
      <c r="AN196" s="163" t="str">
        <f>"grep -SE -B400 ""CHR.+\|PRM\|1\|D.+(SWITCH|SIGNAL).+UNKNOWN"" "&amp;search_path&amp;"\RTDC"&amp;B196&amp;"\*"&amp;B196&amp;"*"&amp;TEXT(AVERAGE(F196,I196)-utc_offset/24,"YYYYMMDD")&amp;"*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"%USERPROFILE%\AppData\Local\Temp\OnboardLogs"\RTDC4043\*4043*20170318* | grep -SE "(Enforcement Action)|(\[TIMEOUT)|(CHR.+\|PRM\|1\|D.+(SWITCH|SIGNAL).+UNKNOWN)" - &gt;&gt; 2017-03-17-UncaughtWiMAX.txt</v>
      </c>
    </row>
    <row r="197" spans="1:40" x14ac:dyDescent="0.25">
      <c r="A197" s="33" t="s">
        <v>796</v>
      </c>
      <c r="B197" s="7">
        <v>4014</v>
      </c>
      <c r="C197" s="21" t="s">
        <v>227</v>
      </c>
      <c r="D197" s="21" t="s">
        <v>975</v>
      </c>
      <c r="E197" s="13">
        <v>42811.756620370368</v>
      </c>
      <c r="F197" s="13">
        <v>42811.764780092592</v>
      </c>
      <c r="G197" s="7">
        <v>1</v>
      </c>
      <c r="H197" s="21" t="s">
        <v>976</v>
      </c>
      <c r="I197" s="13">
        <v>42811.774305555555</v>
      </c>
      <c r="J197" s="7">
        <v>0</v>
      </c>
      <c r="K197" s="98" t="str">
        <f t="shared" si="46"/>
        <v>4013/4014</v>
      </c>
      <c r="L197" s="21" t="str">
        <f>VLOOKUP(A197,'Trips&amp;Operators'!$C$1:$G$99999,5,FALSE)</f>
        <v>FORTUNATO FRANK</v>
      </c>
      <c r="M197" s="6">
        <f t="shared" si="47"/>
        <v>9.5254629632108845E-3</v>
      </c>
      <c r="N197" s="7">
        <f t="shared" si="68"/>
        <v>13.716666667023674</v>
      </c>
      <c r="O197" s="7"/>
      <c r="P197" s="7"/>
      <c r="Q197" s="22"/>
      <c r="R197" s="22"/>
      <c r="S197" s="31">
        <f t="shared" si="66"/>
        <v>1</v>
      </c>
      <c r="T197" s="46" t="str">
        <f t="shared" si="48"/>
        <v>NorthBound</v>
      </c>
      <c r="U197" s="185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86" t="str">
        <f t="shared" si="49"/>
        <v>https://d0f6bd738d7f1b3e5a7ca70fe4ff75f0.us-east-1.aws.found.io/app/kibana#/discover/Steve-Slow-Train-Analysis-(2080s-and-2083s)?_g=(refreshInterval:(display:Off,pause:!f,section:0,value:0),time:(from:'2017-03-17T17:09:32-0600',mode:absolute,to:'2017-03-17T19:35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97" s="187" t="str">
        <f t="shared" si="50"/>
        <v>N</v>
      </c>
      <c r="X197" s="187">
        <f t="shared" ref="X197:X202" si="69">VALUE(LEFT(AD197,4))-VALUE(LEFT(AD196,4))</f>
        <v>1</v>
      </c>
      <c r="Y197" s="62">
        <f t="shared" si="51"/>
        <v>9.9199999999999997E-2</v>
      </c>
      <c r="Z197" s="62">
        <f t="shared" si="52"/>
        <v>5.8968999999999996</v>
      </c>
      <c r="AA197" s="62">
        <f t="shared" si="53"/>
        <v>5.7976999999999999</v>
      </c>
      <c r="AB197" s="59" t="e">
        <f>VLOOKUP(A197,Enforcements!$C$7:$K$13,8,0)</f>
        <v>#N/A</v>
      </c>
      <c r="AC197" s="55" t="e">
        <f>VLOOKUP(A197,Enforcements!$C$7:$E$13,3,0)</f>
        <v>#N/A</v>
      </c>
      <c r="AD197" s="56" t="str">
        <f t="shared" si="54"/>
        <v>0837-17</v>
      </c>
      <c r="AE197" s="85" t="str">
        <f t="shared" si="55"/>
        <v>aws s3 cp s3://rtdc.mdm.uploadarchive.raw/RTDC4014/ "%USERPROFILE%\AppData\Local\Temp\OnboardLogs"\RTDC4014\2017-03-17 --exclude "*" --recursive --include "*20170317*" &amp; "%USERPROFILE%\Documents\GitHub\mrs-test-scripts\Headless Mode &amp; Sideloading\WalkAndUnGZ.bat" "%USERPROFILE%\AppData\Local\Temp\OnboardLogs"\RTDC4014\2017-03-17 &amp; aws s3 cp s3://rtdc.mdm.uploadarchive.raw/RTDC4014/ "%USERPROFILE%\AppData\Local\Temp\OnboardLogs"\RTDC4014\2017-03-18 --exclude "*" --recursive --include "*20170318*" &amp; "%USERPROFILE%\Documents\GitHub\mrs-test-scripts\Headless Mode &amp; Sideloading\WalkAndUnGZ.bat" "%USERPROFILE%\AppData\Local\Temp\OnboardLogs"\RTDC4014\2017-03-18</v>
      </c>
      <c r="AF197" s="82" t="str">
        <f t="shared" si="56"/>
        <v>"C:\Program Files (x86)\AstroGrep\AstroGrep.exe" /e /r /s /spath="%USERPROFILE%\AppData\Local\Temp\OnboardLogs" /stypes="app*4014*20170318*" /stext=" 00:.+((SYSTEM_STATE.+slice.+state.+changed )|(ment ac)|(multiple cpu faults)|(system.+state.+changed )|(\[timeout)|(PRM\|1\|D)|(kpr)|(kdp)|(\|lc)|(penalty))"</v>
      </c>
      <c r="AG197" s="1" t="str">
        <f t="shared" si="57"/>
        <v>NW</v>
      </c>
      <c r="AH197" s="86" t="str">
        <f t="shared" si="58"/>
        <v>"%USERPROFILE%\Documents\GitHub\eaglep3\Utilities\RefineRTDCRunTimes.py" --tripid 837-17 --locoid 4014 --swversion DE.1.0.9.0 --startMP 204:992 --initTime 2017-03-17T18:09:32 --startdatetime 2017-03-17T18:21:17 --delay 1 --endMP 300:58969 --enddatetime 2017-03-17T18:35:00 --enforcementcount 0 &gt;&gt;C:\Users\stu\Documents\GitHub\eaglep3-reporting\EC\2017-03-17-refined-times.txt</v>
      </c>
      <c r="AI197" s="108" t="str">
        <f t="shared" si="59"/>
        <v>echo {"issue":{"subject":"","project_id":79,"tracker_id":40,"status_id":1,"priority_id":2,"assigned_to_id":23,"start_date":"2017-03-17","description":"","custom_fields":[{"id":1,"name":"Subdivision","value":"NW"},{"id":4,"name":"Milepost","value":"5.8969"},{"id":17,"name":"Train ID","value":"837-17"},{"id":16,"name":"Locomotive ID","value":"4014"},{"id":130,"name":"Impact","value":""},{"id":150,"name":"Time of Event (Mountain Time)","value":"18:35:00"},{"id":151,"name":"Denver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48"/>
      <c r="AK197" s="48"/>
      <c r="AL197" s="48"/>
      <c r="AM197" s="154" t="str">
        <f t="shared" si="60"/>
        <v>start /low /b %USERPROFILE%\Documents\GitHub\eaglep3\Utilities\DownloadLogsFromS3.py --loco 4014 --day 2017-03-17</v>
      </c>
      <c r="AN197" s="163" t="str">
        <f>"grep -SE -B400 ""CHR.+\|PRM\|1\|D.+(SWITCH|SIGNAL).+UNKNOWN"" "&amp;search_path&amp;"\RTDC"&amp;B197&amp;"\*"&amp;B197&amp;"*"&amp;TEXT(AVERAGE(F197,I197)-utc_offset/24,"YYYYMMDD")&amp;"*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"%USERPROFILE%\AppData\Local\Temp\OnboardLogs"\RTDC4014\*4014*20170318* | grep -SE "(Enforcement Action)|(\[TIMEOUT)|(CHR.+\|PRM\|1\|D.+(SWITCH|SIGNAL).+UNKNOWN)" - &gt;&gt; 2017-03-17-UncaughtWiMAX.txt</v>
      </c>
    </row>
    <row r="198" spans="1:40" x14ac:dyDescent="0.25">
      <c r="A198" s="33" t="s">
        <v>804</v>
      </c>
      <c r="B198" s="7">
        <v>4013</v>
      </c>
      <c r="C198" s="21" t="s">
        <v>227</v>
      </c>
      <c r="D198" s="21" t="s">
        <v>977</v>
      </c>
      <c r="E198" s="13">
        <v>42811.778240740743</v>
      </c>
      <c r="F198" s="13">
        <v>42811.780057870368</v>
      </c>
      <c r="G198" s="7">
        <v>1</v>
      </c>
      <c r="H198" s="21" t="s">
        <v>978</v>
      </c>
      <c r="I198" s="13">
        <v>42811.790405092594</v>
      </c>
      <c r="J198" s="7">
        <v>0</v>
      </c>
      <c r="K198" s="98" t="str">
        <f t="shared" si="46"/>
        <v>4013/4014</v>
      </c>
      <c r="L198" s="21" t="str">
        <f>VLOOKUP(A198,'Trips&amp;Operators'!$C$1:$G$99999,5,FALSE)</f>
        <v>FORTUNATO FRANK</v>
      </c>
      <c r="M198" s="6">
        <f t="shared" si="47"/>
        <v>1.0347222225391306E-2</v>
      </c>
      <c r="N198" s="7">
        <f t="shared" si="68"/>
        <v>14.900000004563481</v>
      </c>
      <c r="O198" s="7"/>
      <c r="P198" s="7"/>
      <c r="Q198" s="22"/>
      <c r="R198" s="22"/>
      <c r="S198" s="31">
        <f t="shared" si="66"/>
        <v>1</v>
      </c>
      <c r="T198" s="46" t="str">
        <f t="shared" si="48"/>
        <v>Southbound</v>
      </c>
      <c r="U198" s="185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86" t="str">
        <f t="shared" si="49"/>
        <v>https://d0f6bd738d7f1b3e5a7ca70fe4ff75f0.us-east-1.aws.found.io/app/kibana#/discover/Steve-Slow-Train-Analysis-(2080s-and-2083s)?_g=(refreshInterval:(display:Off,pause:!f,section:0,value:0),time:(from:'2017-03-17T17:40:40-0600',mode:absolute,to:'2017-03-17T19:58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98" s="187" t="str">
        <f t="shared" si="50"/>
        <v>N</v>
      </c>
      <c r="X198" s="187">
        <f t="shared" si="69"/>
        <v>1</v>
      </c>
      <c r="Y198" s="62">
        <f t="shared" si="51"/>
        <v>5.7340999999999998</v>
      </c>
      <c r="Z198" s="62">
        <f t="shared" si="52"/>
        <v>6.9800000000000001E-2</v>
      </c>
      <c r="AA198" s="62">
        <f t="shared" si="53"/>
        <v>5.6642999999999999</v>
      </c>
      <c r="AB198" s="59" t="e">
        <f>VLOOKUP(A198,Enforcements!$C$7:$K$13,8,0)</f>
        <v>#N/A</v>
      </c>
      <c r="AC198" s="55" t="e">
        <f>VLOOKUP(A198,Enforcements!$C$7:$E$13,3,0)</f>
        <v>#N/A</v>
      </c>
      <c r="AD198" s="56" t="str">
        <f t="shared" si="54"/>
        <v>0838-17</v>
      </c>
      <c r="AE198" s="85" t="str">
        <f t="shared" si="55"/>
        <v>aws s3 cp s3://rtdc.mdm.uploadarchive.raw/RTDC4013/ "%USERPROFILE%\AppData\Local\Temp\OnboardLogs"\RTDC4013\2017-03-17 --exclude "*" --recursive --include "*20170317*" &amp; "%USERPROFILE%\Documents\GitHub\mrs-test-scripts\Headless Mode &amp; Sideloading\WalkAndUnGZ.bat" "%USERPROFILE%\AppData\Local\Temp\OnboardLogs"\RTDC4013\2017-03-17 &amp; aws s3 cp s3://rtdc.mdm.uploadarchive.raw/RTDC4013/ "%USERPROFILE%\AppData\Local\Temp\OnboardLogs"\RTDC4013\2017-03-18 --exclude "*" --recursive --include "*20170318*" &amp; "%USERPROFILE%\Documents\GitHub\mrs-test-scripts\Headless Mode &amp; Sideloading\WalkAndUnGZ.bat" "%USERPROFILE%\AppData\Local\Temp\OnboardLogs"\RTDC4013\2017-03-18</v>
      </c>
      <c r="AF198" s="82" t="str">
        <f t="shared" si="56"/>
        <v>"C:\Program Files (x86)\AstroGrep\AstroGrep.exe" /e /r /s /spath="%USERPROFILE%\AppData\Local\Temp\OnboardLogs" /stypes="app*4013*20170318*" /stext=" 00:.+((SYSTEM_STATE.+slice.+state.+changed )|(ment ac)|(multiple cpu faults)|(system.+state.+changed )|(\[timeout)|(PRM\|1\|D)|(kpr)|(kdp)|(\|lc)|(penalty))"</v>
      </c>
      <c r="AG198" s="1" t="str">
        <f t="shared" si="57"/>
        <v>NW</v>
      </c>
      <c r="AH198" s="86" t="str">
        <f t="shared" si="58"/>
        <v>"%USERPROFILE%\Documents\GitHub\eaglep3\Utilities\RefineRTDCRunTimes.py" --tripid 838-17 --locoid 4013 --swversion DE.1.0.9.0 --startMP 300:57341 --initTime 2017-03-17T18:40:40 --startdatetime 2017-03-17T18:43:17 --delay 1 --endMP 204:698 --enddatetime 2017-03-17T18:58:11 --enforcementcount 0 &gt;&gt;C:\Users\stu\Documents\GitHub\eaglep3-reporting\EC\2017-03-17-refined-times.txt</v>
      </c>
      <c r="AI198" s="108" t="str">
        <f t="shared" si="59"/>
        <v>echo {"issue":{"subject":"","project_id":79,"tracker_id":40,"status_id":1,"priority_id":2,"assigned_to_id":23,"start_date":"2017-03-17","description":"","custom_fields":[{"id":1,"name":"Subdivision","value":"NW"},{"id":4,"name":"Milepost","value":"0.0698"},{"id":17,"name":"Train ID","value":"838-17"},{"id":16,"name":"Locomotive ID","value":"4013"},{"id":130,"name":"Impact","value":""},{"id":150,"name":"Time of Event (Mountain Time)","value":"18:58:11"},{"id":151,"name":"Denver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48"/>
      <c r="AK198" s="48"/>
      <c r="AL198" s="48"/>
      <c r="AM198" s="154" t="str">
        <f t="shared" si="60"/>
        <v>start /low /b %USERPROFILE%\Documents\GitHub\eaglep3\Utilities\DownloadLogsFromS3.py --loco 4013 --day 2017-03-17</v>
      </c>
      <c r="AN198" s="163" t="str">
        <f>"grep -SE -B400 ""CHR.+\|PRM\|1\|D.+(SWITCH|SIGNAL).+UNKNOWN"" "&amp;search_path&amp;"\RTDC"&amp;B198&amp;"\*"&amp;B198&amp;"*"&amp;TEXT(AVERAGE(F198,I198)-utc_offset/24,"YYYYMMDD")&amp;"*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"%USERPROFILE%\AppData\Local\Temp\OnboardLogs"\RTDC4013\*4013*20170318* | grep -SE "(Enforcement Action)|(\[TIMEOUT)|(CHR.+\|PRM\|1\|D.+(SWITCH|SIGNAL).+UNKNOWN)" - &gt;&gt; 2017-03-17-UncaughtWiMAX.txt</v>
      </c>
    </row>
    <row r="199" spans="1:40" x14ac:dyDescent="0.25">
      <c r="A199" s="33" t="s">
        <v>801</v>
      </c>
      <c r="B199" s="7">
        <v>4044</v>
      </c>
      <c r="C199" s="21" t="s">
        <v>227</v>
      </c>
      <c r="D199" s="21" t="s">
        <v>596</v>
      </c>
      <c r="E199" s="13">
        <v>42811.770057870373</v>
      </c>
      <c r="F199" s="13">
        <v>42811.785601851851</v>
      </c>
      <c r="G199" s="7">
        <v>1</v>
      </c>
      <c r="H199" s="21" t="s">
        <v>593</v>
      </c>
      <c r="I199" s="13">
        <v>42811.795474537037</v>
      </c>
      <c r="J199" s="7">
        <v>0</v>
      </c>
      <c r="K199" s="98" t="str">
        <f t="shared" si="46"/>
        <v>4043/4044</v>
      </c>
      <c r="L199" s="21" t="str">
        <f>VLOOKUP(A199,'Trips&amp;Operators'!$C$1:$G$99999,5,FALSE)</f>
        <v>SMITH MICHAEL</v>
      </c>
      <c r="M199" s="6">
        <f t="shared" si="47"/>
        <v>9.8726851865649223E-3</v>
      </c>
      <c r="N199" s="7">
        <f t="shared" si="68"/>
        <v>14.216666668653488</v>
      </c>
      <c r="O199" s="7"/>
      <c r="P199" s="7"/>
      <c r="Q199" s="22"/>
      <c r="R199" s="22"/>
      <c r="S199" s="31">
        <f t="shared" si="66"/>
        <v>1</v>
      </c>
      <c r="T199" s="46" t="str">
        <f t="shared" si="48"/>
        <v>NorthBound</v>
      </c>
      <c r="U199" s="185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86" t="str">
        <f t="shared" si="49"/>
        <v>https://d0f6bd738d7f1b3e5a7ca70fe4ff75f0.us-east-1.aws.found.io/app/kibana#/discover/Steve-Slow-Train-Analysis-(2080s-and-2083s)?_g=(refreshInterval:(display:Off,pause:!f,section:0,value:0),time:(from:'2017-03-17T17:28:53-0600',mode:absolute,to:'2017-03-17T20:05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99" s="187" t="str">
        <f t="shared" si="50"/>
        <v>N</v>
      </c>
      <c r="X199" s="187">
        <f t="shared" si="69"/>
        <v>1</v>
      </c>
      <c r="Y199" s="62">
        <f t="shared" si="51"/>
        <v>9.6699999999999994E-2</v>
      </c>
      <c r="Z199" s="62">
        <f t="shared" si="52"/>
        <v>5.8925999999999998</v>
      </c>
      <c r="AA199" s="62">
        <f t="shared" si="53"/>
        <v>5.7958999999999996</v>
      </c>
      <c r="AB199" s="59" t="e">
        <f>VLOOKUP(A199,Enforcements!$C$7:$K$13,8,0)</f>
        <v>#N/A</v>
      </c>
      <c r="AC199" s="55" t="e">
        <f>VLOOKUP(A199,Enforcements!$C$7:$E$13,3,0)</f>
        <v>#N/A</v>
      </c>
      <c r="AD199" s="56" t="str">
        <f t="shared" si="54"/>
        <v>0839-17</v>
      </c>
      <c r="AE199" s="85" t="str">
        <f t="shared" si="55"/>
        <v>aws s3 cp s3://rtdc.mdm.uploadarchive.raw/RTDC4044/ "%USERPROFILE%\AppData\Local\Temp\OnboardLogs"\RTDC4044\2017-03-17 --exclude "*" --recursive --include "*20170317*" &amp; "%USERPROFILE%\Documents\GitHub\mrs-test-scripts\Headless Mode &amp; Sideloading\WalkAndUnGZ.bat" "%USERPROFILE%\AppData\Local\Temp\OnboardLogs"\RTDC4044\2017-03-17 &amp; aws s3 cp s3://rtdc.mdm.uploadarchive.raw/RTDC4044/ "%USERPROFILE%\AppData\Local\Temp\OnboardLogs"\RTDC4044\2017-03-18 --exclude "*" --recursive --include "*20170318*" &amp; "%USERPROFILE%\Documents\GitHub\mrs-test-scripts\Headless Mode &amp; Sideloading\WalkAndUnGZ.bat" "%USERPROFILE%\AppData\Local\Temp\OnboardLogs"\RTDC4044\2017-03-18</v>
      </c>
      <c r="AF199" s="82" t="str">
        <f t="shared" si="56"/>
        <v>"C:\Program Files (x86)\AstroGrep\AstroGrep.exe" /e /r /s /spath="%USERPROFILE%\AppData\Local\Temp\OnboardLogs" /stypes="app*4044*20170318*" /stext=" 01:.+((SYSTEM_STATE.+slice.+state.+changed )|(ment ac)|(multiple cpu faults)|(system.+state.+changed )|(\[timeout)|(PRM\|1\|D)|(kpr)|(kdp)|(\|lc)|(penalty))"</v>
      </c>
      <c r="AG199" s="1" t="str">
        <f t="shared" si="57"/>
        <v>NW</v>
      </c>
      <c r="AH199" s="86" t="str">
        <f t="shared" si="58"/>
        <v>"%USERPROFILE%\Documents\GitHub\eaglep3\Utilities\RefineRTDCRunTimes.py" --tripid 839-17 --locoid 4044 --swversion DE.1.0.9.0 --startMP 204:967 --initTime 2017-03-17T18:28:53 --startdatetime 2017-03-17T18:51:16 --delay 1 --endMP 300:58926 --enddatetime 2017-03-17T19:05:29 --enforcementcount 0 &gt;&gt;C:\Users\stu\Documents\GitHub\eaglep3-reporting\EC\2017-03-17-refined-times.txt</v>
      </c>
      <c r="AI199" s="108" t="str">
        <f t="shared" si="59"/>
        <v>echo {"issue":{"subject":"","project_id":79,"tracker_id":40,"status_id":1,"priority_id":2,"assigned_to_id":23,"start_date":"2017-03-17","description":"","custom_fields":[{"id":1,"name":"Subdivision","value":"NW"},{"id":4,"name":"Milepost","value":"5.8926"},{"id":17,"name":"Train ID","value":"839-17"},{"id":16,"name":"Locomotive ID","value":"4044"},{"id":130,"name":"Impact","value":""},{"id":150,"name":"Time of Event (Mountain Time)","value":"19:05:29"},{"id":151,"name":"Denver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48"/>
      <c r="AK199" s="48"/>
      <c r="AL199" s="48"/>
      <c r="AM199" s="154" t="str">
        <f t="shared" si="60"/>
        <v>start /low /b %USERPROFILE%\Documents\GitHub\eaglep3\Utilities\DownloadLogsFromS3.py --loco 4044 --day 2017-03-17</v>
      </c>
      <c r="AN199" s="163" t="str">
        <f>"grep -SE -B400 ""CHR.+\|PRM\|1\|D.+(SWITCH|SIGNAL).+UNKNOWN"" "&amp;search_path&amp;"\RTDC"&amp;B199&amp;"\*"&amp;B199&amp;"*"&amp;TEXT(AVERAGE(F199,I199)-utc_offset/24,"YYYYMMDD")&amp;"*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"%USERPROFILE%\AppData\Local\Temp\OnboardLogs"\RTDC4044\*4044*20170318* | grep -SE "(Enforcement Action)|(\[TIMEOUT)|(CHR.+\|PRM\|1\|D.+(SWITCH|SIGNAL).+UNKNOWN)" - &gt;&gt; 2017-03-17-UncaughtWiMAX.txt</v>
      </c>
    </row>
    <row r="200" spans="1:40" x14ac:dyDescent="0.25">
      <c r="A200" s="33" t="s">
        <v>813</v>
      </c>
      <c r="B200" s="7">
        <v>4013</v>
      </c>
      <c r="C200" s="21" t="s">
        <v>227</v>
      </c>
      <c r="D200" s="21" t="s">
        <v>526</v>
      </c>
      <c r="E200" s="13">
        <v>42811.817939814813</v>
      </c>
      <c r="F200" s="13">
        <v>42811.819421296299</v>
      </c>
      <c r="G200" s="7">
        <v>1</v>
      </c>
      <c r="H200" s="21" t="s">
        <v>979</v>
      </c>
      <c r="I200" s="13">
        <v>42811.83148148148</v>
      </c>
      <c r="J200" s="7">
        <v>0</v>
      </c>
      <c r="K200" s="98" t="str">
        <f t="shared" si="46"/>
        <v>4013/4014</v>
      </c>
      <c r="L200" s="21" t="str">
        <f>VLOOKUP(A200,'Trips&amp;Operators'!$C$1:$G$99999,5,FALSE)</f>
        <v>FORTUNATO FRANK</v>
      </c>
      <c r="M200" s="6">
        <f t="shared" si="47"/>
        <v>1.2060185181326233E-2</v>
      </c>
      <c r="N200" s="7">
        <f t="shared" si="68"/>
        <v>17.366666661109775</v>
      </c>
      <c r="O200" s="7"/>
      <c r="P200" s="7"/>
      <c r="Q200" s="22"/>
      <c r="R200" s="22"/>
      <c r="S200" s="31">
        <f t="shared" si="66"/>
        <v>1</v>
      </c>
      <c r="T200" s="46" t="str">
        <f t="shared" si="48"/>
        <v>Southbound</v>
      </c>
      <c r="U200" s="185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86" t="str">
        <f t="shared" si="49"/>
        <v>https://d0f6bd738d7f1b3e5a7ca70fe4ff75f0.us-east-1.aws.found.io/app/kibana#/discover/Steve-Slow-Train-Analysis-(2080s-and-2083s)?_g=(refreshInterval:(display:Off,pause:!f,section:0,value:0),time:(from:'2017-03-17T18:37:50-0600',mode:absolute,to:'2017-03-17T20:57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00" s="187" t="str">
        <f t="shared" si="50"/>
        <v>N</v>
      </c>
      <c r="X200" s="187">
        <f t="shared" si="69"/>
        <v>1</v>
      </c>
      <c r="Y200" s="62">
        <f t="shared" si="51"/>
        <v>5.8630000000000004</v>
      </c>
      <c r="Z200" s="62">
        <f t="shared" si="52"/>
        <v>6.9400000000000003E-2</v>
      </c>
      <c r="AA200" s="62">
        <f t="shared" si="53"/>
        <v>5.7936000000000005</v>
      </c>
      <c r="AB200" s="59" t="e">
        <f>VLOOKUP(A200,Enforcements!$C$7:$K$13,8,0)</f>
        <v>#N/A</v>
      </c>
      <c r="AC200" s="55" t="e">
        <f>VLOOKUP(A200,Enforcements!$C$7:$E$13,3,0)</f>
        <v>#N/A</v>
      </c>
      <c r="AD200" s="56" t="str">
        <f t="shared" si="54"/>
        <v>0840-17</v>
      </c>
      <c r="AE200" s="85" t="str">
        <f t="shared" si="55"/>
        <v>aws s3 cp s3://rtdc.mdm.uploadarchive.raw/RTDC4013/ "%USERPROFILE%\AppData\Local\Temp\OnboardLogs"\RTDC4013\2017-03-17 --exclude "*" --recursive --include "*20170317*" &amp; "%USERPROFILE%\Documents\GitHub\mrs-test-scripts\Headless Mode &amp; Sideloading\WalkAndUnGZ.bat" "%USERPROFILE%\AppData\Local\Temp\OnboardLogs"\RTDC4013\2017-03-17 &amp; aws s3 cp s3://rtdc.mdm.uploadarchive.raw/RTDC4013/ "%USERPROFILE%\AppData\Local\Temp\OnboardLogs"\RTDC4013\2017-03-18 --exclude "*" --recursive --include "*20170318*" &amp; "%USERPROFILE%\Documents\GitHub\mrs-test-scripts\Headless Mode &amp; Sideloading\WalkAndUnGZ.bat" "%USERPROFILE%\AppData\Local\Temp\OnboardLogs"\RTDC4013\2017-03-18</v>
      </c>
      <c r="AF200" s="82" t="str">
        <f t="shared" si="56"/>
        <v>"C:\Program Files (x86)\AstroGrep\AstroGrep.exe" /e /r /s /spath="%USERPROFILE%\AppData\Local\Temp\OnboardLogs" /stypes="app*4013*20170318*" /stext=" 01:.+((SYSTEM_STATE.+slice.+state.+changed )|(ment ac)|(multiple cpu faults)|(system.+state.+changed )|(\[timeout)|(PRM\|1\|D)|(kpr)|(kdp)|(\|lc)|(penalty))"</v>
      </c>
      <c r="AG200" s="1" t="str">
        <f t="shared" si="57"/>
        <v>NW</v>
      </c>
      <c r="AH200" s="86" t="str">
        <f t="shared" si="58"/>
        <v>"%USERPROFILE%\Documents\GitHub\eaglep3\Utilities\RefineRTDCRunTimes.py" --tripid 840-17 --locoid 4013 --swversion DE.1.0.9.0 --startMP 300:58630 --initTime 2017-03-17T19:37:50 --startdatetime 2017-03-17T19:39:58 --delay 1 --endMP 204:694 --enddatetime 2017-03-17T19:57:20 --enforcementcount 0 &gt;&gt;C:\Users\stu\Documents\GitHub\eaglep3-reporting\EC\2017-03-17-refined-times.txt</v>
      </c>
      <c r="AI200" s="108" t="str">
        <f t="shared" si="59"/>
        <v>echo {"issue":{"subject":"","project_id":79,"tracker_id":40,"status_id":1,"priority_id":2,"assigned_to_id":23,"start_date":"2017-03-17","description":"","custom_fields":[{"id":1,"name":"Subdivision","value":"NW"},{"id":4,"name":"Milepost","value":"0.0694"},{"id":17,"name":"Train ID","value":"840-17"},{"id":16,"name":"Locomotive ID","value":"4013"},{"id":130,"name":"Impact","value":""},{"id":150,"name":"Time of Event (Mountain Time)","value":"19:57:20"},{"id":151,"name":"Denver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48"/>
      <c r="AK200" s="48"/>
      <c r="AL200" s="48"/>
      <c r="AM200" s="154" t="str">
        <f t="shared" si="60"/>
        <v>start /low /b %USERPROFILE%\Documents\GitHub\eaglep3\Utilities\DownloadLogsFromS3.py --loco 4013 --day 2017-03-17</v>
      </c>
      <c r="AN200" s="163" t="str">
        <f>"grep -SE -B400 ""CHR.+\|PRM\|1\|D.+(SWITCH|SIGNAL).+UNKNOWN"" "&amp;search_path&amp;"\RTDC"&amp;B200&amp;"\*"&amp;B200&amp;"*"&amp;TEXT(AVERAGE(F200,I200)-utc_offset/24,"YYYYMMDD")&amp;"*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"%USERPROFILE%\AppData\Local\Temp\OnboardLogs"\RTDC4013\*4013*20170318* | grep -SE "(Enforcement Action)|(\[TIMEOUT)|(CHR.+\|PRM\|1\|D.+(SWITCH|SIGNAL).+UNKNOWN)" - &gt;&gt; 2017-03-17-UncaughtWiMAX.txt</v>
      </c>
    </row>
    <row r="201" spans="1:40" x14ac:dyDescent="0.25">
      <c r="A201" s="33" t="s">
        <v>811</v>
      </c>
      <c r="B201" s="7">
        <v>4014</v>
      </c>
      <c r="C201" s="21" t="s">
        <v>227</v>
      </c>
      <c r="D201" s="21" t="s">
        <v>971</v>
      </c>
      <c r="E201" s="13">
        <v>42811.803263888891</v>
      </c>
      <c r="F201" s="13">
        <v>42811.806446759256</v>
      </c>
      <c r="G201" s="7">
        <v>1</v>
      </c>
      <c r="H201" s="21" t="s">
        <v>980</v>
      </c>
      <c r="I201" s="13">
        <v>42811.816840277781</v>
      </c>
      <c r="J201" s="7">
        <v>0</v>
      </c>
      <c r="K201" s="98" t="str">
        <f t="shared" si="46"/>
        <v>4013/4014</v>
      </c>
      <c r="L201" s="21" t="str">
        <f>VLOOKUP(A201,'Trips&amp;Operators'!$C$1:$G$99999,5,FALSE)</f>
        <v>FORTUNATO FRANK</v>
      </c>
      <c r="M201" s="6">
        <f t="shared" si="47"/>
        <v>1.0393518525233958E-2</v>
      </c>
      <c r="N201" s="7">
        <f t="shared" si="68"/>
        <v>14.966666676336899</v>
      </c>
      <c r="O201" s="7"/>
      <c r="P201" s="7"/>
      <c r="Q201" s="22"/>
      <c r="R201" s="22"/>
      <c r="S201" s="31">
        <f t="shared" si="66"/>
        <v>1</v>
      </c>
      <c r="T201" s="46" t="str">
        <f t="shared" si="48"/>
        <v>NorthBound</v>
      </c>
      <c r="U201" s="185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86" t="str">
        <f t="shared" si="49"/>
        <v>https://d0f6bd738d7f1b3e5a7ca70fe4ff75f0.us-east-1.aws.found.io/app/kibana#/discover/Steve-Slow-Train-Analysis-(2080s-and-2083s)?_g=(refreshInterval:(display:Off,pause:!f,section:0,value:0),time:(from:'2017-03-17T18:16:42-0600',mode:absolute,to:'2017-03-17T20:36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01" s="187" t="str">
        <f t="shared" si="50"/>
        <v>N</v>
      </c>
      <c r="X201" s="187">
        <f t="shared" si="69"/>
        <v>1</v>
      </c>
      <c r="Y201" s="62">
        <f t="shared" si="51"/>
        <v>9.8299999999999998E-2</v>
      </c>
      <c r="Z201" s="62">
        <f t="shared" si="52"/>
        <v>5.8944000000000001</v>
      </c>
      <c r="AA201" s="62">
        <f t="shared" si="53"/>
        <v>5.7961</v>
      </c>
      <c r="AB201" s="59" t="e">
        <f>VLOOKUP(A201,Enforcements!$C$7:$K$13,8,0)</f>
        <v>#N/A</v>
      </c>
      <c r="AC201" s="55" t="e">
        <f>VLOOKUP(A201,Enforcements!$C$7:$E$13,3,0)</f>
        <v>#N/A</v>
      </c>
      <c r="AD201" s="56" t="str">
        <f t="shared" si="54"/>
        <v>0841-17</v>
      </c>
      <c r="AE201" s="85" t="str">
        <f t="shared" si="55"/>
        <v>aws s3 cp s3://rtdc.mdm.uploadarchive.raw/RTDC4014/ "%USERPROFILE%\AppData\Local\Temp\OnboardLogs"\RTDC4014\2017-03-17 --exclude "*" --recursive --include "*20170317*" &amp; "%USERPROFILE%\Documents\GitHub\mrs-test-scripts\Headless Mode &amp; Sideloading\WalkAndUnGZ.bat" "%USERPROFILE%\AppData\Local\Temp\OnboardLogs"\RTDC4014\2017-03-17 &amp; aws s3 cp s3://rtdc.mdm.uploadarchive.raw/RTDC4014/ "%USERPROFILE%\AppData\Local\Temp\OnboardLogs"\RTDC4014\2017-03-18 --exclude "*" --recursive --include "*20170318*" &amp; "%USERPROFILE%\Documents\GitHub\mrs-test-scripts\Headless Mode &amp; Sideloading\WalkAndUnGZ.bat" "%USERPROFILE%\AppData\Local\Temp\OnboardLogs"\RTDC4014\2017-03-18</v>
      </c>
      <c r="AF201" s="82" t="str">
        <f t="shared" si="56"/>
        <v>"C:\Program Files (x86)\AstroGrep\AstroGrep.exe" /e /r /s /spath="%USERPROFILE%\AppData\Local\Temp\OnboardLogs" /stypes="app*4014*20170318*" /stext=" 01:.+((SYSTEM_STATE.+slice.+state.+changed )|(ment ac)|(multiple cpu faults)|(system.+state.+changed )|(\[timeout)|(PRM\|1\|D)|(kpr)|(kdp)|(\|lc)|(penalty))"</v>
      </c>
      <c r="AG201" s="1" t="str">
        <f t="shared" si="57"/>
        <v>NW</v>
      </c>
      <c r="AH201" s="86" t="str">
        <f t="shared" si="58"/>
        <v>"%USERPROFILE%\Documents\GitHub\eaglep3\Utilities\RefineRTDCRunTimes.py" --tripid 841-17 --locoid 4014 --swversion DE.1.0.9.0 --startMP 204:983 --initTime 2017-03-17T19:16:42 --startdatetime 2017-03-17T19:21:17 --delay 1 --endMP 300:58944 --enddatetime 2017-03-17T19:36:15 --enforcementcount 0 &gt;&gt;C:\Users\stu\Documents\GitHub\eaglep3-reporting\EC\2017-03-17-refined-times.txt</v>
      </c>
      <c r="AI201" s="108" t="str">
        <f t="shared" si="59"/>
        <v>echo {"issue":{"subject":"","project_id":79,"tracker_id":40,"status_id":1,"priority_id":2,"assigned_to_id":23,"start_date":"2017-03-17","description":"","custom_fields":[{"id":1,"name":"Subdivision","value":"NW"},{"id":4,"name":"Milepost","value":"5.8944"},{"id":17,"name":"Train ID","value":"841-17"},{"id":16,"name":"Locomotive ID","value":"4014"},{"id":130,"name":"Impact","value":""},{"id":150,"name":"Time of Event (Mountain Time)","value":"19:36:15"},{"id":151,"name":"Denver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48"/>
      <c r="AK201" s="48"/>
      <c r="AL201" s="48"/>
      <c r="AM201" s="154" t="str">
        <f t="shared" si="60"/>
        <v>start /low /b %USERPROFILE%\Documents\GitHub\eaglep3\Utilities\DownloadLogsFromS3.py --loco 4014 --day 2017-03-17</v>
      </c>
      <c r="AN201" s="163" t="str">
        <f>"grep -SE -B400 ""CHR.+\|PRM\|1\|D.+(SWITCH|SIGNAL).+UNKNOWN"" "&amp;search_path&amp;"\RTDC"&amp;B201&amp;"\*"&amp;B201&amp;"*"&amp;TEXT(AVERAGE(F201,I201)-utc_offset/24,"YYYYMMDD")&amp;"*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"%USERPROFILE%\AppData\Local\Temp\OnboardLogs"\RTDC4014\*4014*20170318* | grep -SE "(Enforcement Action)|(\[TIMEOUT)|(CHR.+\|PRM\|1\|D.+(SWITCH|SIGNAL).+UNKNOWN)" - &gt;&gt; 2017-03-17-UncaughtWiMAX.txt</v>
      </c>
    </row>
    <row r="202" spans="1:40" x14ac:dyDescent="0.25">
      <c r="A202" s="33" t="s">
        <v>644</v>
      </c>
      <c r="B202" s="7">
        <v>4013</v>
      </c>
      <c r="C202" s="21" t="s">
        <v>227</v>
      </c>
      <c r="D202" s="21" t="s">
        <v>595</v>
      </c>
      <c r="E202" s="13">
        <v>42811.860208333332</v>
      </c>
      <c r="F202" s="13">
        <v>42811.862581018519</v>
      </c>
      <c r="G202" s="7">
        <v>1</v>
      </c>
      <c r="H202" s="21" t="s">
        <v>978</v>
      </c>
      <c r="I202" s="13">
        <v>42811.872627314813</v>
      </c>
      <c r="J202" s="7">
        <v>0</v>
      </c>
      <c r="K202" s="98" t="str">
        <f t="shared" si="46"/>
        <v>4013/4014</v>
      </c>
      <c r="L202" s="21" t="str">
        <f>VLOOKUP(A202,'Trips&amp;Operators'!$C$1:$G$99999,5,FALSE)</f>
        <v>FORTUNATO FRANK</v>
      </c>
      <c r="M202" s="6">
        <f t="shared" si="47"/>
        <v>1.0046296294603962E-2</v>
      </c>
      <c r="N202" s="7">
        <f t="shared" si="68"/>
        <v>14.466666664229706</v>
      </c>
      <c r="O202" s="7"/>
      <c r="P202" s="7"/>
      <c r="Q202" s="22"/>
      <c r="R202" s="22"/>
      <c r="S202" s="31">
        <f t="shared" si="66"/>
        <v>1</v>
      </c>
      <c r="T202" s="46" t="str">
        <f t="shared" si="48"/>
        <v>Southbound</v>
      </c>
      <c r="U202" s="185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86" t="str">
        <f t="shared" si="49"/>
        <v>https://d0f6bd738d7f1b3e5a7ca70fe4ff75f0.us-east-1.aws.found.io/app/kibana#/discover/Steve-Slow-Train-Analysis-(2080s-and-2083s)?_g=(refreshInterval:(display:Off,pause:!f,section:0,value:0),time:(from:'2017-03-17T19:38:42-0600',mode:absolute,to:'2017-03-17T21:56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02" s="187" t="str">
        <f t="shared" si="50"/>
        <v>N</v>
      </c>
      <c r="X202" s="187">
        <f t="shared" si="69"/>
        <v>1</v>
      </c>
      <c r="Y202" s="62">
        <f t="shared" si="51"/>
        <v>5.8625999999999996</v>
      </c>
      <c r="Z202" s="62">
        <f t="shared" si="52"/>
        <v>6.9800000000000001E-2</v>
      </c>
      <c r="AA202" s="62">
        <f t="shared" si="53"/>
        <v>5.7927999999999997</v>
      </c>
      <c r="AB202" s="59" t="e">
        <f>VLOOKUP(A202,Enforcements!$C$7:$K$13,8,0)</f>
        <v>#N/A</v>
      </c>
      <c r="AC202" s="55" t="e">
        <f>VLOOKUP(A202,Enforcements!$C$7:$E$13,3,0)</f>
        <v>#N/A</v>
      </c>
      <c r="AD202" s="56" t="str">
        <f t="shared" si="54"/>
        <v>0842-17</v>
      </c>
      <c r="AE202" s="85" t="str">
        <f t="shared" si="55"/>
        <v>aws s3 cp s3://rtdc.mdm.uploadarchive.raw/RTDC4013/ "%USERPROFILE%\AppData\Local\Temp\OnboardLogs"\RTDC4013\2017-03-17 --exclude "*" --recursive --include "*20170317*" &amp; "%USERPROFILE%\Documents\GitHub\mrs-test-scripts\Headless Mode &amp; Sideloading\WalkAndUnGZ.bat" "%USERPROFILE%\AppData\Local\Temp\OnboardLogs"\RTDC4013\2017-03-17 &amp; aws s3 cp s3://rtdc.mdm.uploadarchive.raw/RTDC4013/ "%USERPROFILE%\AppData\Local\Temp\OnboardLogs"\RTDC4013\2017-03-18 --exclude "*" --recursive --include "*20170318*" &amp; "%USERPROFILE%\Documents\GitHub\mrs-test-scripts\Headless Mode &amp; Sideloading\WalkAndUnGZ.bat" "%USERPROFILE%\AppData\Local\Temp\OnboardLogs"\RTDC4013\2017-03-18</v>
      </c>
      <c r="AF202" s="82" t="str">
        <f t="shared" si="56"/>
        <v>"C:\Program Files (x86)\AstroGrep\AstroGrep.exe" /e /r /s /spath="%USERPROFILE%\AppData\Local\Temp\OnboardLogs" /stypes="app*4013*20170318*" /stext=" 02:.+((SYSTEM_STATE.+slice.+state.+changed )|(ment ac)|(multiple cpu faults)|(system.+state.+changed )|(\[timeout)|(PRM\|1\|D)|(kpr)|(kdp)|(\|lc)|(penalty))"</v>
      </c>
      <c r="AG202" s="1" t="str">
        <f t="shared" si="57"/>
        <v>NW</v>
      </c>
      <c r="AH202" s="86" t="str">
        <f t="shared" ref="AH202:AH234" si="70">refinertdcruntimes&amp;" --tripid "&amp;A202&amp;" --locoid "&amp;B202&amp;" --swversion "&amp;C202&amp;" --startMP "&amp;D202&amp;" --initTime "&amp;TEXT(E202,"yyyy-mm-ddTHH:MM:SS")&amp;" --startdatetime "&amp;TEXT(F202,"yyyy-mm-ddTHH:MM:SS")&amp;" --delay "&amp;G202&amp;" --endMP "&amp;H202&amp;" --enddatetime "&amp;TEXT(I202,"yyyy-mm-ddTHH:MM:SS")&amp;" --enforcementcount "&amp;J202&amp;IF(outputrefinedruntimes," &gt;&gt;"&amp;RefinedRTDCRunTimesOutputFile,"")</f>
        <v>"%USERPROFILE%\Documents\GitHub\eaglep3\Utilities\RefineRTDCRunTimes.py" --tripid 842-17 --locoid 4013 --swversion DE.1.0.9.0 --startMP 300:58626 --initTime 2017-03-17T20:38:42 --startdatetime 2017-03-17T20:42:07 --delay 1 --endMP 204:698 --enddatetime 2017-03-17T20:56:35 --enforcementcount 0 &gt;&gt;C:\Users\stu\Documents\GitHub\eaglep3-reporting\EC\2017-03-17-refined-times.txt</v>
      </c>
      <c r="AI202" s="108" t="str">
        <f t="shared" ref="AI202:AI234" si="71">"echo {""issue"":{""subject"":"""&amp;R202&amp;""",""project_id"":79,""tracker_id"":40,""status_id"":"&amp;redmine_status&amp;",""priority_id"":"&amp;redmine_priority&amp;",""assigned_to_id"":"&amp;redmine_assignee&amp;",""start_date"":"""&amp;TEXT(I202,"YYYY-mm-dd")&amp;""",""description"":"""&amp;AJ202&amp;""",""custom_fields"":[{""id"":1,""name"":""Subdivision"",""value"":"""&amp;AG202&amp;"""},{""id"":4,""name"":""Milepost"",""value"":"""&amp;Z202&amp;"""},{""id"":17,""name"":""Train ID"",""value"":"""&amp;A202&amp;"""},{""id"":16,""name"":""Locomotive ID"",""value"":"""&amp;B202&amp;"""},{""id"":130,""name"":""Impact"",""value"":"""&amp;AK202&amp;"""},{""id"":150,""name"":""Time of Event (Mountain Time)"",""value"":"""&amp;TEXT(I202,"hh:mm:ss")&amp;"""},{""id"":151,""name"":""Denver Issue ID"",""value"":"""&amp;"""},{""id"":178,""name"":""Operational Impact"",""value"":"""&amp;redmine_op_impact&amp;"""},{""id"":179,""name"":""Denver Segment Assigned"",""value"":"""&amp;AL202&amp;"""}]}}"&amp;"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{"issue":{"subject":"","project_id":79,"tracker_id":40,"status_id":1,"priority_id":2,"assigned_to_id":23,"start_date":"2017-03-17","description":"","custom_fields":[{"id":1,"name":"Subdivision","value":"NW"},{"id":4,"name":"Milepost","value":"0.0698"},{"id":17,"name":"Train ID","value":"842-17"},{"id":16,"name":"Locomotive ID","value":"4013"},{"id":130,"name":"Impact","value":""},{"id":150,"name":"Time of Event (Mountain Time)","value":"20:56:35"},{"id":151,"name":"Denver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48"/>
      <c r="AK202" s="48"/>
      <c r="AL202" s="48"/>
      <c r="AM202" s="154" t="str">
        <f t="shared" ref="AM202:AM234" si="72">"start /low /b "&amp;dls3logs&amp;" --loco "&amp;B202&amp;" --day "&amp;TEXT(F202,"YYYY-MM-DD")</f>
        <v>start /low /b %USERPROFILE%\Documents\GitHub\eaglep3\Utilities\DownloadLogsFromS3.py --loco 4013 --day 2017-03-17</v>
      </c>
      <c r="AN202" s="163" t="str">
        <f>"grep -SE -B400 ""CHR.+\|PRM\|1\|D.+(SWITCH|SIGNAL).+UNKNOWN"" "&amp;search_path&amp;"\RTDC"&amp;B202&amp;"\*"&amp;B202&amp;"*"&amp;TEXT(AVERAGE(F202,I202)-utc_offset/24,"YYYYMMDD")&amp;"*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"%USERPROFILE%\AppData\Local\Temp\OnboardLogs"\RTDC4013\*4013*20170318* | grep -SE "(Enforcement Action)|(\[TIMEOUT)|(CHR.+\|PRM\|1\|D.+(SWITCH|SIGNAL).+UNKNOWN)" - &gt;&gt; 2017-03-17-UncaughtWiMAX.txt</v>
      </c>
    </row>
    <row r="203" spans="1:40" x14ac:dyDescent="0.25">
      <c r="A203" s="33" t="s">
        <v>817</v>
      </c>
      <c r="B203" s="7">
        <v>4014</v>
      </c>
      <c r="C203" s="21" t="s">
        <v>227</v>
      </c>
      <c r="D203" s="21" t="s">
        <v>981</v>
      </c>
      <c r="E203" s="13">
        <v>42811.834479166668</v>
      </c>
      <c r="F203" s="13">
        <v>42811.848113425927</v>
      </c>
      <c r="G203" s="7">
        <v>1</v>
      </c>
      <c r="H203" s="21" t="s">
        <v>982</v>
      </c>
      <c r="I203" s="13">
        <v>42811.858738425923</v>
      </c>
      <c r="J203" s="7">
        <v>0</v>
      </c>
      <c r="K203" s="98" t="str">
        <f t="shared" si="46"/>
        <v>4013/4014</v>
      </c>
      <c r="L203" s="21" t="str">
        <f>VLOOKUP(A203,'Trips&amp;Operators'!$C$1:$G$99999,5,FALSE)</f>
        <v>FORTUNATO FRANK</v>
      </c>
      <c r="M203" s="6">
        <f t="shared" si="47"/>
        <v>1.0624999995343387E-2</v>
      </c>
      <c r="N203" s="7">
        <f t="shared" si="68"/>
        <v>15.299999993294477</v>
      </c>
      <c r="O203" s="7"/>
      <c r="P203" s="7"/>
      <c r="Q203" s="22"/>
      <c r="R203" s="22"/>
      <c r="S203" s="31">
        <f t="shared" si="66"/>
        <v>1</v>
      </c>
      <c r="T203" s="46" t="str">
        <f t="shared" si="48"/>
        <v>NorthBound</v>
      </c>
      <c r="U203" s="185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86" t="str">
        <f t="shared" si="49"/>
        <v>https://d0f6bd738d7f1b3e5a7ca70fe4ff75f0.us-east-1.aws.found.io/app/kibana#/discover/Steve-Slow-Train-Analysis-(2080s-and-2083s)?_g=(refreshInterval:(display:Off,pause:!f,section:0,value:0),time:(from:'2017-03-17T19:01:39-0600',mode:absolute,to:'2017-03-17T21:36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03" s="187" t="str">
        <f t="shared" si="50"/>
        <v>N</v>
      </c>
      <c r="X203" s="187">
        <f t="shared" ref="X203:X234" si="73">VALUE(LEFT(AD203,4))-VALUE(LEFT(AD202,4))</f>
        <v>1</v>
      </c>
      <c r="Y203" s="62">
        <f t="shared" si="51"/>
        <v>9.69E-2</v>
      </c>
      <c r="Z203" s="62">
        <f t="shared" si="52"/>
        <v>5.8933</v>
      </c>
      <c r="AA203" s="62">
        <f t="shared" si="53"/>
        <v>5.7964000000000002</v>
      </c>
      <c r="AB203" s="59" t="e">
        <f>VLOOKUP(A203,Enforcements!$C$7:$K$13,8,0)</f>
        <v>#N/A</v>
      </c>
      <c r="AC203" s="55" t="e">
        <f>VLOOKUP(A203,Enforcements!$C$7:$E$13,3,0)</f>
        <v>#N/A</v>
      </c>
      <c r="AD203" s="56" t="str">
        <f t="shared" si="54"/>
        <v>0843-17</v>
      </c>
      <c r="AE203" s="85" t="str">
        <f t="shared" si="55"/>
        <v>aws s3 cp s3://rtdc.mdm.uploadarchive.raw/RTDC4014/ "%USERPROFILE%\AppData\Local\Temp\OnboardLogs"\RTDC4014\2017-03-17 --exclude "*" --recursive --include "*20170317*" &amp; "%USERPROFILE%\Documents\GitHub\mrs-test-scripts\Headless Mode &amp; Sideloading\WalkAndUnGZ.bat" "%USERPROFILE%\AppData\Local\Temp\OnboardLogs"\RTDC4014\2017-03-17 &amp; aws s3 cp s3://rtdc.mdm.uploadarchive.raw/RTDC4014/ "%USERPROFILE%\AppData\Local\Temp\OnboardLogs"\RTDC4014\2017-03-18 --exclude "*" --recursive --include "*20170318*" &amp; "%USERPROFILE%\Documents\GitHub\mrs-test-scripts\Headless Mode &amp; Sideloading\WalkAndUnGZ.bat" "%USERPROFILE%\AppData\Local\Temp\OnboardLogs"\RTDC4014\2017-03-18</v>
      </c>
      <c r="AF203" s="82" t="str">
        <f t="shared" si="56"/>
        <v>"C:\Program Files (x86)\AstroGrep\AstroGrep.exe" /e /r /s /spath="%USERPROFILE%\AppData\Local\Temp\OnboardLogs" /stypes="app*4014*20170318*" /stext=" 02:.+((SYSTEM_STATE.+slice.+state.+changed )|(ment ac)|(multiple cpu faults)|(system.+state.+changed )|(\[timeout)|(PRM\|1\|D)|(kpr)|(kdp)|(\|lc)|(penalty))"</v>
      </c>
      <c r="AG203" s="1" t="str">
        <f t="shared" si="57"/>
        <v>NW</v>
      </c>
      <c r="AH203" s="86" t="str">
        <f t="shared" si="70"/>
        <v>"%USERPROFILE%\Documents\GitHub\eaglep3\Utilities\RefineRTDCRunTimes.py" --tripid 843-17 --locoid 4014 --swversion DE.1.0.9.0 --startMP 204:969 --initTime 2017-03-17T20:01:39 --startdatetime 2017-03-17T20:21:17 --delay 1 --endMP 300:58933 --enddatetime 2017-03-17T20:36:35 --enforcementcount 0 &gt;&gt;C:\Users\stu\Documents\GitHub\eaglep3-reporting\EC\2017-03-17-refined-times.txt</v>
      </c>
      <c r="AI203" s="108" t="str">
        <f t="shared" si="71"/>
        <v>echo {"issue":{"subject":"","project_id":79,"tracker_id":40,"status_id":1,"priority_id":2,"assigned_to_id":23,"start_date":"2017-03-17","description":"","custom_fields":[{"id":1,"name":"Subdivision","value":"NW"},{"id":4,"name":"Milepost","value":"5.8933"},{"id":17,"name":"Train ID","value":"843-17"},{"id":16,"name":"Locomotive ID","value":"4014"},{"id":130,"name":"Impact","value":""},{"id":150,"name":"Time of Event (Mountain Time)","value":"20:36:35"},{"id":151,"name":"Denver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48"/>
      <c r="AK203" s="48"/>
      <c r="AL203" s="48"/>
      <c r="AM203" s="154" t="str">
        <f t="shared" si="72"/>
        <v>start /low /b %USERPROFILE%\Documents\GitHub\eaglep3\Utilities\DownloadLogsFromS3.py --loco 4014 --day 2017-03-17</v>
      </c>
      <c r="AN203" s="163" t="str">
        <f>"grep -SE -B400 ""CHR.+\|PRM\|1\|D.+(SWITCH|SIGNAL).+UNKNOWN"" "&amp;search_path&amp;"\RTDC"&amp;B203&amp;"\*"&amp;B203&amp;"*"&amp;TEXT(AVERAGE(F203,I203)-utc_offset/24,"YYYYMMDD")&amp;"*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"%USERPROFILE%\AppData\Local\Temp\OnboardLogs"\RTDC4014\*4014*20170318* | grep -SE "(Enforcement Action)|(\[TIMEOUT)|(CHR.+\|PRM\|1\|D.+(SWITCH|SIGNAL).+UNKNOWN)" - &gt;&gt; 2017-03-17-UncaughtWiMAX.txt</v>
      </c>
    </row>
    <row r="204" spans="1:40" x14ac:dyDescent="0.25">
      <c r="A204" s="33" t="s">
        <v>824</v>
      </c>
      <c r="B204" s="7">
        <v>4013</v>
      </c>
      <c r="C204" s="21" t="s">
        <v>227</v>
      </c>
      <c r="D204" s="21" t="s">
        <v>983</v>
      </c>
      <c r="E204" s="13">
        <v>42811.901099537034</v>
      </c>
      <c r="F204" s="13">
        <v>42811.902905092589</v>
      </c>
      <c r="G204" s="7">
        <v>1</v>
      </c>
      <c r="H204" s="21" t="s">
        <v>984</v>
      </c>
      <c r="I204" s="13">
        <v>42811.913182870368</v>
      </c>
      <c r="J204" s="7">
        <v>0</v>
      </c>
      <c r="K204" s="98" t="str">
        <f t="shared" si="46"/>
        <v>4013/4014</v>
      </c>
      <c r="L204" s="21" t="str">
        <f>VLOOKUP(A204,'Trips&amp;Operators'!$C$1:$G$99999,5,FALSE)</f>
        <v>SAFIEF AEIMEN</v>
      </c>
      <c r="M204" s="6">
        <f t="shared" si="47"/>
        <v>1.0277777779265307E-2</v>
      </c>
      <c r="N204" s="7">
        <f t="shared" si="68"/>
        <v>14.800000002142042</v>
      </c>
      <c r="O204" s="7"/>
      <c r="P204" s="7"/>
      <c r="Q204" s="22"/>
      <c r="R204" s="22"/>
      <c r="S204" s="31">
        <f t="shared" si="66"/>
        <v>1</v>
      </c>
      <c r="T204" s="46" t="str">
        <f t="shared" si="48"/>
        <v>Southbound</v>
      </c>
      <c r="U204" s="185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86" t="str">
        <f t="shared" si="49"/>
        <v>https://d0f6bd738d7f1b3e5a7ca70fe4ff75f0.us-east-1.aws.found.io/app/kibana#/discover/Steve-Slow-Train-Analysis-(2080s-and-2083s)?_g=(refreshInterval:(display:Off,pause:!f,section:0,value:0),time:(from:'2017-03-17T20:37:35-0600',mode:absolute,to:'2017-03-17T22:54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04" s="187" t="str">
        <f t="shared" si="50"/>
        <v>N</v>
      </c>
      <c r="X204" s="187">
        <f t="shared" si="73"/>
        <v>1</v>
      </c>
      <c r="Y204" s="62">
        <f t="shared" si="51"/>
        <v>5.8597999999999999</v>
      </c>
      <c r="Z204" s="62">
        <f t="shared" si="52"/>
        <v>7.0999999999999994E-2</v>
      </c>
      <c r="AA204" s="62">
        <f t="shared" si="53"/>
        <v>5.7888000000000002</v>
      </c>
      <c r="AB204" s="59" t="e">
        <f>VLOOKUP(A204,Enforcements!$C$7:$K$13,8,0)</f>
        <v>#N/A</v>
      </c>
      <c r="AC204" s="55" t="e">
        <f>VLOOKUP(A204,Enforcements!$C$7:$E$13,3,0)</f>
        <v>#N/A</v>
      </c>
      <c r="AD204" s="56" t="str">
        <f t="shared" si="54"/>
        <v>0844-17</v>
      </c>
      <c r="AE204" s="85" t="str">
        <f t="shared" si="55"/>
        <v>aws s3 cp s3://rtdc.mdm.uploadarchive.raw/RTDC4013/ "%USERPROFILE%\AppData\Local\Temp\OnboardLogs"\RTDC4013\2017-03-17 --exclude "*" --recursive --include "*20170317*" &amp; "%USERPROFILE%\Documents\GitHub\mrs-test-scripts\Headless Mode &amp; Sideloading\WalkAndUnGZ.bat" "%USERPROFILE%\AppData\Local\Temp\OnboardLogs"\RTDC4013\2017-03-17 &amp; aws s3 cp s3://rtdc.mdm.uploadarchive.raw/RTDC4013/ "%USERPROFILE%\AppData\Local\Temp\OnboardLogs"\RTDC4013\2017-03-18 --exclude "*" --recursive --include "*20170318*" &amp; "%USERPROFILE%\Documents\GitHub\mrs-test-scripts\Headless Mode &amp; Sideloading\WalkAndUnGZ.bat" "%USERPROFILE%\AppData\Local\Temp\OnboardLogs"\RTDC4013\2017-03-18</v>
      </c>
      <c r="AF204" s="82" t="str">
        <f t="shared" si="56"/>
        <v>"C:\Program Files (x86)\AstroGrep\AstroGrep.exe" /e /r /s /spath="%USERPROFILE%\AppData\Local\Temp\OnboardLogs" /stypes="app*4013*20170318*" /stext=" 03:.+((SYSTEM_STATE.+slice.+state.+changed )|(ment ac)|(multiple cpu faults)|(system.+state.+changed )|(\[timeout)|(PRM\|1\|D)|(kpr)|(kdp)|(\|lc)|(penalty))"</v>
      </c>
      <c r="AG204" s="1" t="str">
        <f t="shared" si="57"/>
        <v>NW</v>
      </c>
      <c r="AH204" s="86" t="str">
        <f t="shared" si="70"/>
        <v>"%USERPROFILE%\Documents\GitHub\eaglep3\Utilities\RefineRTDCRunTimes.py" --tripid 844-17 --locoid 4013 --swversion DE.1.0.9.0 --startMP 300:58598 --initTime 2017-03-17T21:37:35 --startdatetime 2017-03-17T21:40:11 --delay 1 --endMP 204:710 --enddatetime 2017-03-17T21:54:59 --enforcementcount 0 &gt;&gt;C:\Users\stu\Documents\GitHub\eaglep3-reporting\EC\2017-03-17-refined-times.txt</v>
      </c>
      <c r="AI204" s="108" t="str">
        <f t="shared" si="71"/>
        <v>echo {"issue":{"subject":"","project_id":79,"tracker_id":40,"status_id":1,"priority_id":2,"assigned_to_id":23,"start_date":"2017-03-17","description":"","custom_fields":[{"id":1,"name":"Subdivision","value":"NW"},{"id":4,"name":"Milepost","value":"0.071"},{"id":17,"name":"Train ID","value":"844-17"},{"id":16,"name":"Locomotive ID","value":"4013"},{"id":130,"name":"Impact","value":""},{"id":150,"name":"Time of Event (Mountain Time)","value":"21:54:59"},{"id":151,"name":"Denver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48"/>
      <c r="AK204" s="48"/>
      <c r="AL204" s="48"/>
      <c r="AM204" s="154" t="str">
        <f t="shared" si="72"/>
        <v>start /low /b %USERPROFILE%\Documents\GitHub\eaglep3\Utilities\DownloadLogsFromS3.py --loco 4013 --day 2017-03-17</v>
      </c>
      <c r="AN204" s="163" t="str">
        <f>"grep -SE -B400 ""CHR.+\|PRM\|1\|D.+(SWITCH|SIGNAL).+UNKNOWN"" "&amp;search_path&amp;"\RTDC"&amp;B204&amp;"\*"&amp;B204&amp;"*"&amp;TEXT(AVERAGE(F204,I204)-utc_offset/24,"YYYYMMDD")&amp;"*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"%USERPROFILE%\AppData\Local\Temp\OnboardLogs"\RTDC4013\*4013*20170318* | grep -SE "(Enforcement Action)|(\[TIMEOUT)|(CHR.+\|PRM\|1\|D.+(SWITCH|SIGNAL).+UNKNOWN)" - &gt;&gt; 2017-03-17-UncaughtWiMAX.txt</v>
      </c>
    </row>
    <row r="205" spans="1:40" x14ac:dyDescent="0.25">
      <c r="A205" s="33" t="s">
        <v>821</v>
      </c>
      <c r="B205" s="7">
        <v>4014</v>
      </c>
      <c r="C205" s="21" t="s">
        <v>227</v>
      </c>
      <c r="D205" s="21" t="s">
        <v>985</v>
      </c>
      <c r="E205" s="13">
        <v>42811.878854166665</v>
      </c>
      <c r="F205" s="13">
        <v>42811.889791666668</v>
      </c>
      <c r="G205" s="7">
        <v>2</v>
      </c>
      <c r="H205" s="21" t="s">
        <v>986</v>
      </c>
      <c r="I205" s="13">
        <v>42811.899826388886</v>
      </c>
      <c r="J205" s="7">
        <v>0</v>
      </c>
      <c r="K205" s="98" t="str">
        <f t="shared" ref="K205:K234" si="74">IF(ISEVEN(B205),(B205-1)&amp;"/"&amp;B205,B205&amp;"/"&amp;(B205+1))</f>
        <v>4013/4014</v>
      </c>
      <c r="L205" s="21" t="str">
        <f>VLOOKUP(A205,'Trips&amp;Operators'!$C$1:$G$99999,5,FALSE)</f>
        <v>SAFIEF AEIMEN</v>
      </c>
      <c r="M205" s="6">
        <f t="shared" ref="M205:M234" si="75">I205-F205</f>
        <v>1.003472221782431E-2</v>
      </c>
      <c r="N205" s="7">
        <f t="shared" si="68"/>
        <v>14.449999993667006</v>
      </c>
      <c r="O205" s="7"/>
      <c r="P205" s="7"/>
      <c r="Q205" s="22"/>
      <c r="R205" s="22"/>
      <c r="S205" s="31">
        <f t="shared" si="66"/>
        <v>1</v>
      </c>
      <c r="T205" s="46" t="str">
        <f t="shared" ref="T205:T234" si="76">IF(ISEVEN(LEFT(AD205,4)),"Southbound","NorthBound")</f>
        <v>NorthBound</v>
      </c>
      <c r="U205" s="185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86" t="str">
        <f t="shared" ref="V205:V234" si="77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-03-17T20:05:33-0600',mode:absolute,to:'2017-03-17T22:35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05" s="187" t="str">
        <f t="shared" ref="W205:W234" si="78">IF(AA205&lt;IF(AG205="EC",23,5.65),"Y","N")</f>
        <v>N</v>
      </c>
      <c r="X205" s="187">
        <f t="shared" si="73"/>
        <v>1</v>
      </c>
      <c r="Y205" s="62">
        <f t="shared" ref="Y205:Y234" si="79">RIGHT(D205,LEN(D205)-4)/10000</f>
        <v>9.9000000000000005E-2</v>
      </c>
      <c r="Z205" s="62">
        <f t="shared" ref="Z205:Z234" si="80">RIGHT(H205,LEN(H205)-4)/10000</f>
        <v>5.8917999999999999</v>
      </c>
      <c r="AA205" s="62">
        <f t="shared" ref="AA205:AA234" si="81">ABS(Z205-Y205)</f>
        <v>5.7927999999999997</v>
      </c>
      <c r="AB205" s="59" t="e">
        <f>VLOOKUP(A205,Enforcements!$C$7:$K$13,8,0)</f>
        <v>#N/A</v>
      </c>
      <c r="AC205" s="55" t="e">
        <f>VLOOKUP(A205,Enforcements!$C$7:$E$13,3,0)</f>
        <v>#N/A</v>
      </c>
      <c r="AD205" s="56" t="str">
        <f t="shared" ref="AD205:AD234" si="82">IF(LEN(A205)=6,"0"&amp;A205,A205)</f>
        <v>0845-17</v>
      </c>
      <c r="AE205" s="85" t="str">
        <f t="shared" ref="AE205:AE234" si="83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s3://rtdc.mdm.uploadarchive.raw/RTDC4014/ "%USERPROFILE%\AppData\Local\Temp\OnboardLogs"\RTDC4014\2017-03-17 --exclude "*" --recursive --include "*20170317*" &amp; "%USERPROFILE%\Documents\GitHub\mrs-test-scripts\Headless Mode &amp; Sideloading\WalkAndUnGZ.bat" "%USERPROFILE%\AppData\Local\Temp\OnboardLogs"\RTDC4014\2017-03-17 &amp; aws s3 cp s3://rtdc.mdm.uploadarchive.raw/RTDC4014/ "%USERPROFILE%\AppData\Local\Temp\OnboardLogs"\RTDC4014\2017-03-18 --exclude "*" --recursive --include "*20170318*" &amp; "%USERPROFILE%\Documents\GitHub\mrs-test-scripts\Headless Mode &amp; Sideloading\WalkAndUnGZ.bat" "%USERPROFILE%\AppData\Local\Temp\OnboardLogs"\RTDC4014\2017-03-18</v>
      </c>
      <c r="AF205" s="82" t="str">
        <f t="shared" ref="AF205:AF234" si="84"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/stypes="app*4014*20170318*" /stext=" 03:.+((SYSTEM_STATE.+slice.+state.+changed )|(ment ac)|(multiple cpu faults)|(system.+state.+changed )|(\[timeout)|(PRM\|1\|D)|(kpr)|(kdp)|(\|lc)|(penalty))"</v>
      </c>
      <c r="AG205" s="1" t="str">
        <f t="shared" ref="AG205:AG234" si="85">IFERROR(IF(VALUE(LEFT(AD205,2))&lt;=2,"EC",IF(OR(VALUE(LEFT(AD205,2))=8,VALUE(LEFT(AD205,2))=18),"NW","Other")),"Other")</f>
        <v>NW</v>
      </c>
      <c r="AH205" s="86" t="str">
        <f t="shared" si="70"/>
        <v>"%USERPROFILE%\Documents\GitHub\eaglep3\Utilities\RefineRTDCRunTimes.py" --tripid 845-17 --locoid 4014 --swversion DE.1.0.9.0 --startMP 204:990 --initTime 2017-03-17T21:05:33 --startdatetime 2017-03-17T21:21:18 --delay 2 --endMP 300:58918 --enddatetime 2017-03-17T21:35:45 --enforcementcount 0 &gt;&gt;C:\Users\stu\Documents\GitHub\eaglep3-reporting\EC\2017-03-17-refined-times.txt</v>
      </c>
      <c r="AI205" s="108" t="str">
        <f t="shared" si="71"/>
        <v>echo {"issue":{"subject":"","project_id":79,"tracker_id":40,"status_id":1,"priority_id":2,"assigned_to_id":23,"start_date":"2017-03-17","description":"","custom_fields":[{"id":1,"name":"Subdivision","value":"NW"},{"id":4,"name":"Milepost","value":"5.8918"},{"id":17,"name":"Train ID","value":"845-17"},{"id":16,"name":"Locomotive ID","value":"4014"},{"id":130,"name":"Impact","value":""},{"id":150,"name":"Time of Event (Mountain Time)","value":"21:35:45"},{"id":151,"name":"Denver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48"/>
      <c r="AK205" s="48"/>
      <c r="AL205" s="48"/>
      <c r="AM205" s="154" t="str">
        <f t="shared" si="72"/>
        <v>start /low /b %USERPROFILE%\Documents\GitHub\eaglep3\Utilities\DownloadLogsFromS3.py --loco 4014 --day 2017-03-17</v>
      </c>
      <c r="AN205" s="163" t="str">
        <f>"grep -SE -B400 ""CHR.+\|PRM\|1\|D.+(SWITCH|SIGNAL).+UNKNOWN"" "&amp;search_path&amp;"\RTDC"&amp;B205&amp;"\*"&amp;B205&amp;"*"&amp;TEXT(AVERAGE(F205,I205)-utc_offset/24,"YYYYMMDD")&amp;"*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"%USERPROFILE%\AppData\Local\Temp\OnboardLogs"\RTDC4014\*4014*20170318* | grep -SE "(Enforcement Action)|(\[TIMEOUT)|(CHR.+\|PRM\|1\|D.+(SWITCH|SIGNAL).+UNKNOWN)" - &gt;&gt; 2017-03-17-UncaughtWiMAX.txt</v>
      </c>
    </row>
    <row r="206" spans="1:40" x14ac:dyDescent="0.25">
      <c r="A206" s="33" t="s">
        <v>827</v>
      </c>
      <c r="B206" s="7">
        <v>4014</v>
      </c>
      <c r="C206" s="21" t="s">
        <v>227</v>
      </c>
      <c r="D206" s="21" t="s">
        <v>591</v>
      </c>
      <c r="E206" s="13">
        <v>42811.924317129633</v>
      </c>
      <c r="F206" s="13">
        <v>42811.931446759256</v>
      </c>
      <c r="G206" s="7">
        <v>2</v>
      </c>
      <c r="H206" s="21" t="s">
        <v>599</v>
      </c>
      <c r="I206" s="13">
        <v>42811.94222222222</v>
      </c>
      <c r="J206" s="7">
        <v>0</v>
      </c>
      <c r="K206" s="98" t="str">
        <f t="shared" si="74"/>
        <v>4013/4014</v>
      </c>
      <c r="L206" s="21" t="str">
        <f>VLOOKUP(A206,'Trips&amp;Operators'!$C$1:$G$99999,5,FALSE)</f>
        <v>PERKINS DARREN</v>
      </c>
      <c r="M206" s="6">
        <f t="shared" si="75"/>
        <v>1.0775462964375038E-2</v>
      </c>
      <c r="N206" s="7">
        <f t="shared" si="68"/>
        <v>15.516666668700054</v>
      </c>
      <c r="O206" s="7"/>
      <c r="P206" s="7"/>
      <c r="Q206" s="22"/>
      <c r="R206" s="22"/>
      <c r="S206" s="31">
        <f t="shared" si="66"/>
        <v>1</v>
      </c>
      <c r="T206" s="46" t="str">
        <f t="shared" si="76"/>
        <v>NorthBound</v>
      </c>
      <c r="U206" s="185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86" t="str">
        <f t="shared" si="77"/>
        <v>https://d0f6bd738d7f1b3e5a7ca70fe4ff75f0.us-east-1.aws.found.io/app/kibana#/discover/Steve-Slow-Train-Analysis-(2080s-and-2083s)?_g=(refreshInterval:(display:Off,pause:!f,section:0,value:0),time:(from:'2017-03-17T21:11:01-0600',mode:absolute,to:'2017-03-17T23:36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06" s="187" t="str">
        <f t="shared" si="78"/>
        <v>N</v>
      </c>
      <c r="X206" s="187">
        <f t="shared" si="73"/>
        <v>2</v>
      </c>
      <c r="Y206" s="62">
        <f t="shared" si="79"/>
        <v>9.7100000000000006E-2</v>
      </c>
      <c r="Z206" s="62">
        <f t="shared" si="80"/>
        <v>5.8930999999999996</v>
      </c>
      <c r="AA206" s="62">
        <f t="shared" si="81"/>
        <v>5.7959999999999994</v>
      </c>
      <c r="AB206" s="59" t="e">
        <f>VLOOKUP(A206,Enforcements!$C$7:$K$13,8,0)</f>
        <v>#N/A</v>
      </c>
      <c r="AC206" s="55" t="e">
        <f>VLOOKUP(A206,Enforcements!$C$7:$E$13,3,0)</f>
        <v>#N/A</v>
      </c>
      <c r="AD206" s="56" t="str">
        <f t="shared" si="82"/>
        <v>0847-17</v>
      </c>
      <c r="AE206" s="85" t="str">
        <f t="shared" si="83"/>
        <v>aws s3 cp s3://rtdc.mdm.uploadarchive.raw/RTDC4014/ "%USERPROFILE%\AppData\Local\Temp\OnboardLogs"\RTDC4014\2017-03-17 --exclude "*" --recursive --include "*20170317*" &amp; "%USERPROFILE%\Documents\GitHub\mrs-test-scripts\Headless Mode &amp; Sideloading\WalkAndUnGZ.bat" "%USERPROFILE%\AppData\Local\Temp\OnboardLogs"\RTDC4014\2017-03-17 &amp; aws s3 cp s3://rtdc.mdm.uploadarchive.raw/RTDC4014/ "%USERPROFILE%\AppData\Local\Temp\OnboardLogs"\RTDC4014\2017-03-18 --exclude "*" --recursive --include "*20170318*" &amp; "%USERPROFILE%\Documents\GitHub\mrs-test-scripts\Headless Mode &amp; Sideloading\WalkAndUnGZ.bat" "%USERPROFILE%\AppData\Local\Temp\OnboardLogs"\RTDC4014\2017-03-18</v>
      </c>
      <c r="AF206" s="82" t="str">
        <f t="shared" si="84"/>
        <v>"C:\Program Files (x86)\AstroGrep\AstroGrep.exe" /e /r /s /spath="%USERPROFILE%\AppData\Local\Temp\OnboardLogs" /stypes="app*4014*20170318*" /stext=" 04:.+((SYSTEM_STATE.+slice.+state.+changed )|(ment ac)|(multiple cpu faults)|(system.+state.+changed )|(\[timeout)|(PRM\|1\|D)|(kpr)|(kdp)|(\|lc)|(penalty))"</v>
      </c>
      <c r="AG206" s="1" t="str">
        <f t="shared" si="85"/>
        <v>NW</v>
      </c>
      <c r="AH206" s="86" t="str">
        <f t="shared" si="70"/>
        <v>"%USERPROFILE%\Documents\GitHub\eaglep3\Utilities\RefineRTDCRunTimes.py" --tripid 847-17 --locoid 4014 --swversion DE.1.0.9.0 --startMP 204:971 --initTime 2017-03-17T22:11:01 --startdatetime 2017-03-17T22:21:17 --delay 2 --endMP 300:58931 --enddatetime 2017-03-17T22:36:48 --enforcementcount 0 &gt;&gt;C:\Users\stu\Documents\GitHub\eaglep3-reporting\EC\2017-03-17-refined-times.txt</v>
      </c>
      <c r="AI206" s="108" t="str">
        <f t="shared" si="71"/>
        <v>echo {"issue":{"subject":"","project_id":79,"tracker_id":40,"status_id":1,"priority_id":2,"assigned_to_id":23,"start_date":"2017-03-17","description":"","custom_fields":[{"id":1,"name":"Subdivision","value":"NW"},{"id":4,"name":"Milepost","value":"5.8931"},{"id":17,"name":"Train ID","value":"847-17"},{"id":16,"name":"Locomotive ID","value":"4014"},{"id":130,"name":"Impact","value":""},{"id":150,"name":"Time of Event (Mountain Time)","value":"22:36:48"},{"id":151,"name":"Denver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48"/>
      <c r="AK206" s="48"/>
      <c r="AL206" s="48"/>
      <c r="AM206" s="154" t="str">
        <f t="shared" si="72"/>
        <v>start /low /b %USERPROFILE%\Documents\GitHub\eaglep3\Utilities\DownloadLogsFromS3.py --loco 4014 --day 2017-03-17</v>
      </c>
      <c r="AN206" s="163" t="str">
        <f>"grep -SE -B400 ""CHR.+\|PRM\|1\|D.+(SWITCH|SIGNAL).+UNKNOWN"" "&amp;search_path&amp;"\RTDC"&amp;B206&amp;"\*"&amp;B206&amp;"*"&amp;TEXT(AVERAGE(F206,I206)-utc_offset/24,"YYYYMMDD")&amp;"*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"%USERPROFILE%\AppData\Local\Temp\OnboardLogs"\RTDC4014\*4014*20170318* | grep -SE "(Enforcement Action)|(\[TIMEOUT)|(CHR.+\|PRM\|1\|D.+(SWITCH|SIGNAL).+UNKNOWN)" - &gt;&gt; 2017-03-17-UncaughtWiMAX.txt</v>
      </c>
    </row>
    <row r="207" spans="1:40" x14ac:dyDescent="0.25">
      <c r="A207" s="33" t="s">
        <v>648</v>
      </c>
      <c r="B207" s="7">
        <v>4012</v>
      </c>
      <c r="C207" s="21" t="s">
        <v>227</v>
      </c>
      <c r="D207" s="21" t="s">
        <v>927</v>
      </c>
      <c r="E207" s="13">
        <v>42811.114479166667</v>
      </c>
      <c r="F207" s="13">
        <v>42811.118622685186</v>
      </c>
      <c r="G207" s="7">
        <v>5</v>
      </c>
      <c r="H207" s="21" t="s">
        <v>928</v>
      </c>
      <c r="I207" s="13">
        <v>42811.125925925924</v>
      </c>
      <c r="J207" s="7">
        <v>0</v>
      </c>
      <c r="K207" s="98" t="str">
        <f t="shared" si="74"/>
        <v>4011/4012</v>
      </c>
      <c r="L207" s="21" t="str">
        <f>VLOOKUP(A207,'Trips&amp;Operators'!$C$1:$G$99999,5,FALSE)</f>
        <v>BADERTSCHER DIANE</v>
      </c>
      <c r="M207" s="6">
        <f t="shared" si="75"/>
        <v>7.3032407381106168E-3</v>
      </c>
      <c r="N207" s="7">
        <f t="shared" si="68"/>
        <v>10.516666662879288</v>
      </c>
      <c r="O207" s="7"/>
      <c r="P207" s="7"/>
      <c r="Q207" s="22"/>
      <c r="R207" s="22"/>
      <c r="S207" s="31">
        <f t="shared" si="66"/>
        <v>1</v>
      </c>
      <c r="T207" s="46" t="str">
        <f t="shared" si="76"/>
        <v>Southbound</v>
      </c>
      <c r="U207" s="185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186" t="str">
        <f t="shared" si="77"/>
        <v>https://d0f6bd738d7f1b3e5a7ca70fe4ff75f0.us-east-1.aws.found.io/app/kibana#/discover/Steve-Slow-Train-Analysis-(2080s-and-2083s)?_g=(refreshInterval:(display:Off,pause:!f,section:0,value:0),time:(from:'2017-03-17T01:44:51-0600',mode:absolute,to:'2017-03-17T04:01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07" s="187" t="str">
        <f t="shared" si="78"/>
        <v>Y</v>
      </c>
      <c r="X207" s="187">
        <f t="shared" si="73"/>
        <v>-545</v>
      </c>
      <c r="Y207" s="62">
        <f t="shared" si="79"/>
        <v>2.3159999999999998</v>
      </c>
      <c r="Z207" s="62">
        <f t="shared" si="80"/>
        <v>1.1900000000000001E-2</v>
      </c>
      <c r="AA207" s="62">
        <f t="shared" si="81"/>
        <v>2.3041</v>
      </c>
      <c r="AB207" s="59" t="e">
        <f>VLOOKUP(A207,Enforcements!$C$7:$K$13,8,0)</f>
        <v>#N/A</v>
      </c>
      <c r="AC207" s="55" t="e">
        <f>VLOOKUP(A207,Enforcements!$C$7:$E$13,3,0)</f>
        <v>#N/A</v>
      </c>
      <c r="AD207" s="56" t="str">
        <f t="shared" si="82"/>
        <v>0302-17</v>
      </c>
      <c r="AE207" s="85" t="str">
        <f t="shared" si="83"/>
        <v>aws s3 cp s3://rtdc.mdm.uploadarchive.raw/RTDC4012/ "%USERPROFILE%\AppData\Local\Temp\OnboardLogs"\RTDC4012\2017-03-17 --exclude "*" --recursive --include "*20170317*" &amp; "%USERPROFILE%\Documents\GitHub\mrs-test-scripts\Headless Mode &amp; Sideloading\WalkAndUnGZ.bat" "%USERPROFILE%\AppData\Local\Temp\OnboardLogs"\RTDC4012\2017-03-17 &amp; aws s3 cp s3://rtdc.mdm.uploadarchive.raw/RTDC4012/ "%USERPROFILE%\AppData\Local\Temp\OnboardLogs"\RTDC4012\2017-03-18 --exclude "*" --recursive --include "*20170318*" &amp; "%USERPROFILE%\Documents\GitHub\mrs-test-scripts\Headless Mode &amp; Sideloading\WalkAndUnGZ.bat" "%USERPROFILE%\AppData\Local\Temp\OnboardLogs"\RTDC4012\2017-03-18</v>
      </c>
      <c r="AF207" s="82" t="str">
        <f t="shared" si="84"/>
        <v>"C:\Program Files (x86)\AstroGrep\AstroGrep.exe" /e /r /s /spath="%USERPROFILE%\AppData\Local\Temp\OnboardLogs" /stypes="app*4012*20170317*" /stext=" 09:.+((SYSTEM_STATE.+slice.+state.+changed )|(ment ac)|(multiple cpu faults)|(system.+state.+changed )|(\[timeout)|(PRM\|1\|D)|(kpr)|(kdp)|(\|lc)|(penalty))"</v>
      </c>
      <c r="AG207" s="1" t="str">
        <f t="shared" si="85"/>
        <v>Other</v>
      </c>
      <c r="AH207" s="86" t="str">
        <f t="shared" si="70"/>
        <v>"%USERPROFILE%\Documents\GitHub\eaglep3\Utilities\RefineRTDCRunTimes.py" --tripid 302-17 --locoid 4012 --swversion DE.1.0.9.0 --startMP 300:23160 --initTime 2017-03-17T02:44:51 --startdatetime 2017-03-17T02:50:49 --delay 5 --endMP 204:119 --enddatetime 2017-03-17T03:01:20 --enforcementcount 0 &gt;&gt;C:\Users\stu\Documents\GitHub\eaglep3-reporting\EC\2017-03-17-refined-times.txt</v>
      </c>
      <c r="AI207" s="108" t="str">
        <f t="shared" si="71"/>
        <v>echo {"issue":{"subject":"","project_id":79,"tracker_id":40,"status_id":1,"priority_id":2,"assigned_to_id":23,"start_date":"2017-03-17","description":"","custom_fields":[{"id":1,"name":"Subdivision","value":"Other"},{"id":4,"name":"Milepost","value":"0.0119"},{"id":17,"name":"Train ID","value":"302-17"},{"id":16,"name":"Locomotive ID","value":"4012"},{"id":130,"name":"Impact","value":""},{"id":150,"name":"Time of Event (Mountain Time)","value":"03:01:20"},{"id":151,"name":"Denver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48"/>
      <c r="AK207" s="48"/>
      <c r="AL207" s="48"/>
      <c r="AM207" s="154" t="str">
        <f t="shared" si="72"/>
        <v>start /low /b %USERPROFILE%\Documents\GitHub\eaglep3\Utilities\DownloadLogsFromS3.py --loco 4012 --day 2017-03-17</v>
      </c>
      <c r="AN207" s="163" t="str">
        <f>"grep -SE -B400 ""CHR.+\|PRM\|1\|D.+(SWITCH|SIGNAL).+UNKNOWN"" "&amp;search_path&amp;"\RTDC"&amp;B207&amp;"\*"&amp;B207&amp;"*"&amp;TEXT(AVERAGE(F207,I207)-utc_offset/24,"YYYYMMDD")&amp;"*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"%USERPROFILE%\AppData\Local\Temp\OnboardLogs"\RTDC4012\*4012*20170317* | grep -SE "(Enforcement Action)|(\[TIMEOUT)|(CHR.+\|PRM\|1\|D.+(SWITCH|SIGNAL).+UNKNOWN)" - &gt;&gt; 2017-03-17-UncaughtWiMAX.txt</v>
      </c>
    </row>
    <row r="208" spans="1:40" x14ac:dyDescent="0.25">
      <c r="A208" s="33" t="s">
        <v>805</v>
      </c>
      <c r="B208" s="7">
        <v>4042</v>
      </c>
      <c r="C208" s="21" t="s">
        <v>227</v>
      </c>
      <c r="D208" s="21" t="s">
        <v>222</v>
      </c>
      <c r="E208" s="13">
        <v>42811.779490740744</v>
      </c>
      <c r="F208" s="13">
        <v>42811.781006944446</v>
      </c>
      <c r="G208" s="7">
        <v>1</v>
      </c>
      <c r="H208" s="21" t="s">
        <v>929</v>
      </c>
      <c r="I208" s="13">
        <v>42811.794988425929</v>
      </c>
      <c r="J208" s="7">
        <v>0</v>
      </c>
      <c r="K208" s="98" t="str">
        <f t="shared" si="74"/>
        <v>4041/4042</v>
      </c>
      <c r="L208" s="21" t="str">
        <f>VLOOKUP(A208,'Trips&amp;Operators'!$C$1:$G$99999,5,FALSE)</f>
        <v>ARVIDSON DANIEL</v>
      </c>
      <c r="M208" s="6">
        <f t="shared" si="75"/>
        <v>1.3981481482915115E-2</v>
      </c>
      <c r="N208" s="7">
        <f t="shared" si="68"/>
        <v>20.133333335397765</v>
      </c>
      <c r="O208" s="7"/>
      <c r="P208" s="7"/>
      <c r="Q208" s="22"/>
      <c r="R208" s="22"/>
      <c r="S208" s="31">
        <f t="shared" si="66"/>
        <v>1</v>
      </c>
      <c r="T208" s="46" t="str">
        <f t="shared" si="76"/>
        <v>NorthBound</v>
      </c>
      <c r="U208" s="185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186" t="str">
        <f t="shared" si="77"/>
        <v>https://d0f6bd738d7f1b3e5a7ca70fe4ff75f0.us-east-1.aws.found.io/app/kibana#/discover/Steve-Slow-Train-Analysis-(2080s-and-2083s)?_g=(refreshInterval:(display:Off,pause:!f,section:0,value:0),time:(from:'2017-03-17T17:42:28-0600',mode:absolute,to:'2017-03-17T20:04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08" s="187" t="str">
        <f t="shared" si="78"/>
        <v>Y</v>
      </c>
      <c r="X208" s="187">
        <f t="shared" si="73"/>
        <v>1</v>
      </c>
      <c r="Y208" s="62">
        <f t="shared" si="79"/>
        <v>4.6600000000000003E-2</v>
      </c>
      <c r="Z208" s="62">
        <f t="shared" si="80"/>
        <v>2.3111000000000002</v>
      </c>
      <c r="AA208" s="62">
        <f t="shared" si="81"/>
        <v>2.2645</v>
      </c>
      <c r="AB208" s="59" t="e">
        <f>VLOOKUP(A208,Enforcements!$C$7:$K$13,8,0)</f>
        <v>#N/A</v>
      </c>
      <c r="AC208" s="55" t="e">
        <f>VLOOKUP(A208,Enforcements!$C$7:$E$13,3,0)</f>
        <v>#N/A</v>
      </c>
      <c r="AD208" s="56" t="str">
        <f t="shared" si="82"/>
        <v>0303-17</v>
      </c>
      <c r="AE208" s="85" t="str">
        <f t="shared" si="83"/>
        <v>aws s3 cp s3://rtdc.mdm.uploadarchive.raw/RTDC4042/ "%USERPROFILE%\AppData\Local\Temp\OnboardLogs"\RTDC4042\2017-03-17 --exclude "*" --recursive --include "*20170317*" &amp; "%USERPROFILE%\Documents\GitHub\mrs-test-scripts\Headless Mode &amp; Sideloading\WalkAndUnGZ.bat" "%USERPROFILE%\AppData\Local\Temp\OnboardLogs"\RTDC4042\2017-03-17 &amp; aws s3 cp s3://rtdc.mdm.uploadarchive.raw/RTDC4042/ "%USERPROFILE%\AppData\Local\Temp\OnboardLogs"\RTDC4042\2017-03-18 --exclude "*" --recursive --include "*20170318*" &amp; "%USERPROFILE%\Documents\GitHub\mrs-test-scripts\Headless Mode &amp; Sideloading\WalkAndUnGZ.bat" "%USERPROFILE%\AppData\Local\Temp\OnboardLogs"\RTDC4042\2017-03-18</v>
      </c>
      <c r="AF208" s="82" t="str">
        <f t="shared" si="84"/>
        <v>"C:\Program Files (x86)\AstroGrep\AstroGrep.exe" /e /r /s /spath="%USERPROFILE%\AppData\Local\Temp\OnboardLogs" /stypes="app*4042*20170318*" /stext=" 01:.+((SYSTEM_STATE.+slice.+state.+changed )|(ment ac)|(multiple cpu faults)|(system.+state.+changed )|(\[timeout)|(PRM\|1\|D)|(kpr)|(kdp)|(\|lc)|(penalty))"</v>
      </c>
      <c r="AG208" s="1" t="str">
        <f t="shared" si="85"/>
        <v>Other</v>
      </c>
      <c r="AH208" s="86" t="str">
        <f t="shared" si="70"/>
        <v>"%USERPROFILE%\Documents\GitHub\eaglep3\Utilities\RefineRTDCRunTimes.py" --tripid 303-17 --locoid 4042 --swversion DE.1.0.9.0 --startMP 204:466 --initTime 2017-03-17T18:42:28 --startdatetime 2017-03-17T18:44:39 --delay 1 --endMP 300:23111 --enddatetime 2017-03-17T19:04:47 --enforcementcount 0 &gt;&gt;C:\Users\stu\Documents\GitHub\eaglep3-reporting\EC\2017-03-17-refined-times.txt</v>
      </c>
      <c r="AI208" s="108" t="str">
        <f t="shared" si="71"/>
        <v>echo {"issue":{"subject":"","project_id":79,"tracker_id":40,"status_id":1,"priority_id":2,"assigned_to_id":23,"start_date":"2017-03-17","description":"","custom_fields":[{"id":1,"name":"Subdivision","value":"Other"},{"id":4,"name":"Milepost","value":"2.3111"},{"id":17,"name":"Train ID","value":"303-17"},{"id":16,"name":"Locomotive ID","value":"4042"},{"id":130,"name":"Impact","value":""},{"id":150,"name":"Time of Event (Mountain Time)","value":"19:04:47"},{"id":151,"name":"Denver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48"/>
      <c r="AK208" s="48"/>
      <c r="AL208" s="48"/>
      <c r="AM208" s="154" t="str">
        <f t="shared" si="72"/>
        <v>start /low /b %USERPROFILE%\Documents\GitHub\eaglep3\Utilities\DownloadLogsFromS3.py --loco 4042 --day 2017-03-17</v>
      </c>
      <c r="AN208" s="163" t="str">
        <f>"grep -SE -B400 ""CHR.+\|PRM\|1\|D.+(SWITCH|SIGNAL).+UNKNOWN"" "&amp;search_path&amp;"\RTDC"&amp;B208&amp;"\*"&amp;B208&amp;"*"&amp;TEXT(AVERAGE(F208,I208)-utc_offset/24,"YYYYMMDD")&amp;"*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"%USERPROFILE%\AppData\Local\Temp\OnboardLogs"\RTDC4042\*4042*20170318* | grep -SE "(Enforcement Action)|(\[TIMEOUT)|(CHR.+\|PRM\|1\|D.+(SWITCH|SIGNAL).+UNKNOWN)" - &gt;&gt; 2017-03-17-UncaughtWiMAX.txt</v>
      </c>
    </row>
    <row r="209" spans="1:40" x14ac:dyDescent="0.25">
      <c r="A209" s="33" t="s">
        <v>650</v>
      </c>
      <c r="B209" s="7">
        <v>4039</v>
      </c>
      <c r="C209" s="21" t="s">
        <v>227</v>
      </c>
      <c r="D209" s="21" t="s">
        <v>930</v>
      </c>
      <c r="E209" s="13">
        <v>42811.138958333337</v>
      </c>
      <c r="F209" s="13">
        <v>42811.142442129632</v>
      </c>
      <c r="G209" s="7">
        <v>4</v>
      </c>
      <c r="H209" s="21" t="s">
        <v>236</v>
      </c>
      <c r="I209" s="13">
        <v>42811.149317129632</v>
      </c>
      <c r="J209" s="7">
        <v>0</v>
      </c>
      <c r="K209" s="98" t="str">
        <f t="shared" si="74"/>
        <v>4039/4040</v>
      </c>
      <c r="L209" s="21" t="str">
        <f>VLOOKUP(A209,'Trips&amp;Operators'!$C$1:$G$99999,5,FALSE)</f>
        <v>YANAI IAN</v>
      </c>
      <c r="M209" s="6">
        <f t="shared" si="75"/>
        <v>6.8749999991268851E-3</v>
      </c>
      <c r="N209" s="7">
        <f t="shared" si="68"/>
        <v>9.8999999987427145</v>
      </c>
      <c r="O209" s="7"/>
      <c r="P209" s="7"/>
      <c r="Q209" s="22"/>
      <c r="R209" s="22"/>
      <c r="S209" s="31">
        <f t="shared" si="66"/>
        <v>1</v>
      </c>
      <c r="T209" s="46" t="str">
        <f t="shared" si="76"/>
        <v>Southbound</v>
      </c>
      <c r="U209" s="185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186" t="str">
        <f t="shared" si="77"/>
        <v>https://d0f6bd738d7f1b3e5a7ca70fe4ff75f0.us-east-1.aws.found.io/app/kibana#/discover/Steve-Slow-Train-Analysis-(2080s-and-2083s)?_g=(refreshInterval:(display:Off,pause:!f,section:0,value:0),time:(from:'2017-03-17T02:20:06-0600',mode:absolute,to:'2017-03-17T04:35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09" s="187" t="str">
        <f t="shared" si="78"/>
        <v>Y</v>
      </c>
      <c r="X209" s="187">
        <f t="shared" si="73"/>
        <v>1</v>
      </c>
      <c r="Y209" s="62">
        <f t="shared" si="79"/>
        <v>2.3031000000000001</v>
      </c>
      <c r="Z209" s="62">
        <f t="shared" si="80"/>
        <v>1.61E-2</v>
      </c>
      <c r="AA209" s="62">
        <f t="shared" si="81"/>
        <v>2.2870000000000004</v>
      </c>
      <c r="AB209" s="59" t="e">
        <f>VLOOKUP(A209,Enforcements!$C$7:$K$13,8,0)</f>
        <v>#N/A</v>
      </c>
      <c r="AC209" s="55" t="e">
        <f>VLOOKUP(A209,Enforcements!$C$7:$E$13,3,0)</f>
        <v>#N/A</v>
      </c>
      <c r="AD209" s="56" t="str">
        <f t="shared" si="82"/>
        <v>0304-17</v>
      </c>
      <c r="AE209" s="85" t="str">
        <f t="shared" si="83"/>
        <v>aws s3 cp s3://rtdc.mdm.uploadarchive.raw/RTDC4039/ "%USERPROFILE%\AppData\Local\Temp\OnboardLogs"\RTDC4039\2017-03-17 --exclude "*" --recursive --include "*20170317*" &amp; "%USERPROFILE%\Documents\GitHub\mrs-test-scripts\Headless Mode &amp; Sideloading\WalkAndUnGZ.bat" "%USERPROFILE%\AppData\Local\Temp\OnboardLogs"\RTDC4039\2017-03-17 &amp; aws s3 cp s3://rtdc.mdm.uploadarchive.raw/RTDC4039/ "%USERPROFILE%\AppData\Local\Temp\OnboardLogs"\RTDC4039\2017-03-18 --exclude "*" --recursive --include "*20170318*" &amp; "%USERPROFILE%\Documents\GitHub\mrs-test-scripts\Headless Mode &amp; Sideloading\WalkAndUnGZ.bat" "%USERPROFILE%\AppData\Local\Temp\OnboardLogs"\RTDC4039\2017-03-18</v>
      </c>
      <c r="AF209" s="82" t="str">
        <f t="shared" si="84"/>
        <v>"C:\Program Files (x86)\AstroGrep\AstroGrep.exe" /e /r /s /spath="%USERPROFILE%\AppData\Local\Temp\OnboardLogs" /stypes="app*4039*20170317*" /stext=" 09:.+((SYSTEM_STATE.+slice.+state.+changed )|(ment ac)|(multiple cpu faults)|(system.+state.+changed )|(\[timeout)|(PRM\|1\|D)|(kpr)|(kdp)|(\|lc)|(penalty))"</v>
      </c>
      <c r="AG209" s="1" t="str">
        <f t="shared" si="85"/>
        <v>Other</v>
      </c>
      <c r="AH209" s="86" t="str">
        <f t="shared" si="70"/>
        <v>"%USERPROFILE%\Documents\GitHub\eaglep3\Utilities\RefineRTDCRunTimes.py" --tripid 304-17 --locoid 4039 --swversion DE.1.0.9.0 --startMP 300:23031 --initTime 2017-03-17T03:20:06 --startdatetime 2017-03-17T03:25:07 --delay 4 --endMP 204:161 --enddatetime 2017-03-17T03:35:01 --enforcementcount 0 &gt;&gt;C:\Users\stu\Documents\GitHub\eaglep3-reporting\EC\2017-03-17-refined-times.txt</v>
      </c>
      <c r="AI209" s="108" t="str">
        <f t="shared" si="71"/>
        <v>echo {"issue":{"subject":"","project_id":79,"tracker_id":40,"status_id":1,"priority_id":2,"assigned_to_id":23,"start_date":"2017-03-17","description":"","custom_fields":[{"id":1,"name":"Subdivision","value":"Other"},{"id":4,"name":"Milepost","value":"0.0161"},{"id":17,"name":"Train ID","value":"304-17"},{"id":16,"name":"Locomotive ID","value":"4039"},{"id":130,"name":"Impact","value":""},{"id":150,"name":"Time of Event (Mountain Time)","value":"03:35:01"},{"id":151,"name":"Denver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48"/>
      <c r="AK209" s="48"/>
      <c r="AL209" s="48"/>
      <c r="AM209" s="154" t="str">
        <f t="shared" si="72"/>
        <v>start /low /b %USERPROFILE%\Documents\GitHub\eaglep3\Utilities\DownloadLogsFromS3.py --loco 4039 --day 2017-03-17</v>
      </c>
      <c r="AN209" s="163" t="str">
        <f>"grep -SE -B400 ""CHR.+\|PRM\|1\|D.+(SWITCH|SIGNAL).+UNKNOWN"" "&amp;search_path&amp;"\RTDC"&amp;B209&amp;"\*"&amp;B209&amp;"*"&amp;TEXT(AVERAGE(F209,I209)-utc_offset/24,"YYYYMMDD")&amp;"*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"%USERPROFILE%\AppData\Local\Temp\OnboardLogs"\RTDC4039\*4039*20170317* | grep -SE "(Enforcement Action)|(\[TIMEOUT)|(CHR.+\|PRM\|1\|D.+(SWITCH|SIGNAL).+UNKNOWN)" - &gt;&gt; 2017-03-17-UncaughtWiMAX.txt</v>
      </c>
    </row>
    <row r="210" spans="1:40" x14ac:dyDescent="0.25">
      <c r="A210" s="33" t="s">
        <v>809</v>
      </c>
      <c r="B210" s="7">
        <v>4011</v>
      </c>
      <c r="C210" s="21" t="s">
        <v>227</v>
      </c>
      <c r="D210" s="21" t="s">
        <v>210</v>
      </c>
      <c r="E210" s="13">
        <v>42811.798935185187</v>
      </c>
      <c r="F210" s="13">
        <v>42811.802395833336</v>
      </c>
      <c r="G210" s="7">
        <v>1</v>
      </c>
      <c r="H210" s="21" t="s">
        <v>931</v>
      </c>
      <c r="I210" s="13">
        <v>42811.808981481481</v>
      </c>
      <c r="J210" s="7">
        <v>0</v>
      </c>
      <c r="K210" s="98" t="str">
        <f t="shared" si="74"/>
        <v>4011/4012</v>
      </c>
      <c r="L210" s="21" t="str">
        <f>VLOOKUP(A210,'Trips&amp;Operators'!$C$1:$G$99999,5,FALSE)</f>
        <v>LOPES KIMBERLY</v>
      </c>
      <c r="M210" s="6">
        <f t="shared" si="75"/>
        <v>6.5856481451191939E-3</v>
      </c>
      <c r="N210" s="7">
        <f t="shared" si="68"/>
        <v>9.4833333289716393</v>
      </c>
      <c r="O210" s="7"/>
      <c r="P210" s="7"/>
      <c r="Q210" s="22"/>
      <c r="R210" s="22"/>
      <c r="S210" s="31">
        <f t="shared" si="66"/>
        <v>1</v>
      </c>
      <c r="T210" s="46" t="str">
        <f t="shared" si="76"/>
        <v>NorthBound</v>
      </c>
      <c r="U210" s="185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186" t="str">
        <f t="shared" si="77"/>
        <v>https://d0f6bd738d7f1b3e5a7ca70fe4ff75f0.us-east-1.aws.found.io/app/kibana#/discover/Steve-Slow-Train-Analysis-(2080s-and-2083s)?_g=(refreshInterval:(display:Off,pause:!f,section:0,value:0),time:(from:'2017-03-17T18:10:28-0600',mode:absolute,to:'2017-03-17T20:24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10" s="187" t="str">
        <f t="shared" si="78"/>
        <v>Y</v>
      </c>
      <c r="X210" s="187">
        <f t="shared" si="73"/>
        <v>1</v>
      </c>
      <c r="Y210" s="62">
        <f t="shared" si="79"/>
        <v>4.5999999999999999E-2</v>
      </c>
      <c r="Z210" s="62">
        <f t="shared" si="80"/>
        <v>2.331</v>
      </c>
      <c r="AA210" s="62">
        <f t="shared" si="81"/>
        <v>2.2850000000000001</v>
      </c>
      <c r="AB210" s="59" t="e">
        <f>VLOOKUP(A210,Enforcements!$C$7:$K$13,8,0)</f>
        <v>#N/A</v>
      </c>
      <c r="AC210" s="55" t="e">
        <f>VLOOKUP(A210,Enforcements!$C$7:$E$13,3,0)</f>
        <v>#N/A</v>
      </c>
      <c r="AD210" s="56" t="str">
        <f t="shared" si="82"/>
        <v>0305-17</v>
      </c>
      <c r="AE210" s="85" t="str">
        <f t="shared" si="83"/>
        <v>aws s3 cp s3://rtdc.mdm.uploadarchive.raw/RTDC4011/ "%USERPROFILE%\AppData\Local\Temp\OnboardLogs"\RTDC4011\2017-03-17 --exclude "*" --recursive --include "*20170317*" &amp; "%USERPROFILE%\Documents\GitHub\mrs-test-scripts\Headless Mode &amp; Sideloading\WalkAndUnGZ.bat" "%USERPROFILE%\AppData\Local\Temp\OnboardLogs"\RTDC4011\2017-03-17 &amp; aws s3 cp s3://rtdc.mdm.uploadarchive.raw/RTDC4011/ "%USERPROFILE%\AppData\Local\Temp\OnboardLogs"\RTDC4011\2017-03-18 --exclude "*" --recursive --include "*20170318*" &amp; "%USERPROFILE%\Documents\GitHub\mrs-test-scripts\Headless Mode &amp; Sideloading\WalkAndUnGZ.bat" "%USERPROFILE%\AppData\Local\Temp\OnboardLogs"\RTDC4011\2017-03-18</v>
      </c>
      <c r="AF210" s="82" t="str">
        <f t="shared" si="84"/>
        <v>"C:\Program Files (x86)\AstroGrep\AstroGrep.exe" /e /r /s /spath="%USERPROFILE%\AppData\Local\Temp\OnboardLogs" /stypes="app*4011*20170318*" /stext=" 01:.+((SYSTEM_STATE.+slice.+state.+changed )|(ment ac)|(multiple cpu faults)|(system.+state.+changed )|(\[timeout)|(PRM\|1\|D)|(kpr)|(kdp)|(\|lc)|(penalty))"</v>
      </c>
      <c r="AG210" s="1" t="str">
        <f t="shared" si="85"/>
        <v>Other</v>
      </c>
      <c r="AH210" s="86" t="str">
        <f t="shared" si="70"/>
        <v>"%USERPROFILE%\Documents\GitHub\eaglep3\Utilities\RefineRTDCRunTimes.py" --tripid 305-17 --locoid 4011 --swversion DE.1.0.9.0 --startMP 204:460 --initTime 2017-03-17T19:10:28 --startdatetime 2017-03-17T19:15:27 --delay 1 --endMP 300:23310 --enddatetime 2017-03-17T19:24:56 --enforcementcount 0 &gt;&gt;C:\Users\stu\Documents\GitHub\eaglep3-reporting\EC\2017-03-17-refined-times.txt</v>
      </c>
      <c r="AI210" s="108" t="str">
        <f t="shared" si="71"/>
        <v>echo {"issue":{"subject":"","project_id":79,"tracker_id":40,"status_id":1,"priority_id":2,"assigned_to_id":23,"start_date":"2017-03-17","description":"","custom_fields":[{"id":1,"name":"Subdivision","value":"Other"},{"id":4,"name":"Milepost","value":"2.331"},{"id":17,"name":"Train ID","value":"305-17"},{"id":16,"name":"Locomotive ID","value":"4011"},{"id":130,"name":"Impact","value":""},{"id":150,"name":"Time of Event (Mountain Time)","value":"19:24:56"},{"id":151,"name":"Denver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48"/>
      <c r="AK210" s="48"/>
      <c r="AL210" s="48"/>
      <c r="AM210" s="154" t="str">
        <f t="shared" si="72"/>
        <v>start /low /b %USERPROFILE%\Documents\GitHub\eaglep3\Utilities\DownloadLogsFromS3.py --loco 4011 --day 2017-03-17</v>
      </c>
      <c r="AN210" s="163" t="str">
        <f>"grep -SE -B400 ""CHR.+\|PRM\|1\|D.+(SWITCH|SIGNAL).+UNKNOWN"" "&amp;search_path&amp;"\RTDC"&amp;B210&amp;"\*"&amp;B210&amp;"*"&amp;TEXT(AVERAGE(F210,I210)-utc_offset/24,"YYYYMMDD")&amp;"*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"%USERPROFILE%\AppData\Local\Temp\OnboardLogs"\RTDC4011\*4011*20170318* | grep -SE "(Enforcement Action)|(\[TIMEOUT)|(CHR.+\|PRM\|1\|D.+(SWITCH|SIGNAL).+UNKNOWN)" - &gt;&gt; 2017-03-17-UncaughtWiMAX.txt</v>
      </c>
    </row>
    <row r="211" spans="1:40" x14ac:dyDescent="0.25">
      <c r="A211" s="33" t="s">
        <v>814</v>
      </c>
      <c r="B211" s="7">
        <v>4040</v>
      </c>
      <c r="C211" s="21" t="s">
        <v>227</v>
      </c>
      <c r="D211" s="21" t="s">
        <v>221</v>
      </c>
      <c r="E211" s="13">
        <v>42811.819363425922</v>
      </c>
      <c r="F211" s="13">
        <v>42811.820891203701</v>
      </c>
      <c r="G211" s="7">
        <v>1</v>
      </c>
      <c r="H211" s="21" t="s">
        <v>931</v>
      </c>
      <c r="I211" s="13">
        <v>42811.828229166669</v>
      </c>
      <c r="J211" s="7">
        <v>0</v>
      </c>
      <c r="K211" s="98" t="str">
        <f t="shared" si="74"/>
        <v>4039/4040</v>
      </c>
      <c r="L211" s="21" t="str">
        <f>VLOOKUP(A211,'Trips&amp;Operators'!$C$1:$G$99999,5,FALSE)</f>
        <v>WHITED DUSTIN</v>
      </c>
      <c r="M211" s="6">
        <f t="shared" si="75"/>
        <v>7.337962968449574E-3</v>
      </c>
      <c r="N211" s="7">
        <f t="shared" si="68"/>
        <v>10.566666674567387</v>
      </c>
      <c r="O211" s="7"/>
      <c r="P211" s="7"/>
      <c r="Q211" s="22"/>
      <c r="R211" s="22"/>
      <c r="S211" s="31">
        <f t="shared" si="66"/>
        <v>1</v>
      </c>
      <c r="T211" s="46" t="str">
        <f t="shared" si="76"/>
        <v>NorthBound</v>
      </c>
      <c r="U211" s="185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186" t="str">
        <f t="shared" si="77"/>
        <v>https://d0f6bd738d7f1b3e5a7ca70fe4ff75f0.us-east-1.aws.found.io/app/kibana#/discover/Steve-Slow-Train-Analysis-(2080s-and-2083s)?_g=(refreshInterval:(display:Off,pause:!f,section:0,value:0),time:(from:'2017-03-17T18:39:53-0600',mode:absolute,to:'2017-03-17T20:52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11" s="187" t="str">
        <f t="shared" si="78"/>
        <v>Y</v>
      </c>
      <c r="X211" s="187">
        <f t="shared" si="73"/>
        <v>2</v>
      </c>
      <c r="Y211" s="62">
        <f t="shared" si="79"/>
        <v>4.4699999999999997E-2</v>
      </c>
      <c r="Z211" s="62">
        <f t="shared" si="80"/>
        <v>2.331</v>
      </c>
      <c r="AA211" s="62">
        <f t="shared" si="81"/>
        <v>2.2862999999999998</v>
      </c>
      <c r="AB211" s="59" t="e">
        <f>VLOOKUP(A211,Enforcements!$C$7:$K$13,8,0)</f>
        <v>#N/A</v>
      </c>
      <c r="AC211" s="55" t="e">
        <f>VLOOKUP(A211,Enforcements!$C$7:$E$13,3,0)</f>
        <v>#N/A</v>
      </c>
      <c r="AD211" s="56" t="str">
        <f t="shared" si="82"/>
        <v>0307-17</v>
      </c>
      <c r="AE211" s="85" t="str">
        <f t="shared" si="83"/>
        <v>aws s3 cp s3://rtdc.mdm.uploadarchive.raw/RTDC4040/ "%USERPROFILE%\AppData\Local\Temp\OnboardLogs"\RTDC4040\2017-03-17 --exclude "*" --recursive --include "*20170317*" &amp; "%USERPROFILE%\Documents\GitHub\mrs-test-scripts\Headless Mode &amp; Sideloading\WalkAndUnGZ.bat" "%USERPROFILE%\AppData\Local\Temp\OnboardLogs"\RTDC4040\2017-03-17 &amp; aws s3 cp s3://rtdc.mdm.uploadarchive.raw/RTDC4040/ "%USERPROFILE%\AppData\Local\Temp\OnboardLogs"\RTDC4040\2017-03-18 --exclude "*" --recursive --include "*20170318*" &amp; "%USERPROFILE%\Documents\GitHub\mrs-test-scripts\Headless Mode &amp; Sideloading\WalkAndUnGZ.bat" "%USERPROFILE%\AppData\Local\Temp\OnboardLogs"\RTDC4040\2017-03-18</v>
      </c>
      <c r="AF211" s="82" t="str">
        <f t="shared" si="84"/>
        <v>"C:\Program Files (x86)\AstroGrep\AstroGrep.exe" /e /r /s /spath="%USERPROFILE%\AppData\Local\Temp\OnboardLogs" /stypes="app*4040*20170318*" /stext=" 01:.+((SYSTEM_STATE.+slice.+state.+changed )|(ment ac)|(multiple cpu faults)|(system.+state.+changed )|(\[timeout)|(PRM\|1\|D)|(kpr)|(kdp)|(\|lc)|(penalty))"</v>
      </c>
      <c r="AG211" s="1" t="str">
        <f t="shared" si="85"/>
        <v>Other</v>
      </c>
      <c r="AH211" s="86" t="str">
        <f t="shared" si="70"/>
        <v>"%USERPROFILE%\Documents\GitHub\eaglep3\Utilities\RefineRTDCRunTimes.py" --tripid 307-17 --locoid 4040 --swversion DE.1.0.9.0 --startMP 204:447 --initTime 2017-03-17T19:39:53 --startdatetime 2017-03-17T19:42:05 --delay 1 --endMP 300:23310 --enddatetime 2017-03-17T19:52:39 --enforcementcount 0 &gt;&gt;C:\Users\stu\Documents\GitHub\eaglep3-reporting\EC\2017-03-17-refined-times.txt</v>
      </c>
      <c r="AI211" s="108" t="str">
        <f t="shared" si="71"/>
        <v>echo {"issue":{"subject":"","project_id":79,"tracker_id":40,"status_id":1,"priority_id":2,"assigned_to_id":23,"start_date":"2017-03-17","description":"","custom_fields":[{"id":1,"name":"Subdivision","value":"Other"},{"id":4,"name":"Milepost","value":"2.331"},{"id":17,"name":"Train ID","value":"307-17"},{"id":16,"name":"Locomotive ID","value":"4040"},{"id":130,"name":"Impact","value":""},{"id":150,"name":"Time of Event (Mountain Time)","value":"19:52:39"},{"id":151,"name":"Denver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48"/>
      <c r="AK211" s="48"/>
      <c r="AL211" s="48"/>
      <c r="AM211" s="154" t="str">
        <f t="shared" si="72"/>
        <v>start /low /b %USERPROFILE%\Documents\GitHub\eaglep3\Utilities\DownloadLogsFromS3.py --loco 4040 --day 2017-03-17</v>
      </c>
      <c r="AN211" s="163" t="str">
        <f>"grep -SE -B400 ""CHR.+\|PRM\|1\|D.+(SWITCH|SIGNAL).+UNKNOWN"" "&amp;search_path&amp;"\RTDC"&amp;B211&amp;"\*"&amp;B211&amp;"*"&amp;TEXT(AVERAGE(F211,I211)-utc_offset/24,"YYYYMMDD")&amp;"*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"%USERPROFILE%\AppData\Local\Temp\OnboardLogs"\RTDC4040\*4040*20170318* | grep -SE "(Enforcement Action)|(\[TIMEOUT)|(CHR.+\|PRM\|1\|D.+(SWITCH|SIGNAL).+UNKNOWN)" - &gt;&gt; 2017-03-17-UncaughtWiMAX.txt</v>
      </c>
    </row>
    <row r="212" spans="1:40" x14ac:dyDescent="0.25">
      <c r="A212" s="33" t="s">
        <v>653</v>
      </c>
      <c r="B212" s="7">
        <v>4001</v>
      </c>
      <c r="C212" s="21" t="s">
        <v>227</v>
      </c>
      <c r="D212" s="21" t="s">
        <v>932</v>
      </c>
      <c r="E212" s="13">
        <v>42811.172858796293</v>
      </c>
      <c r="F212" s="13">
        <v>42811.17864583333</v>
      </c>
      <c r="G212" s="7">
        <v>8</v>
      </c>
      <c r="H212" s="21" t="s">
        <v>191</v>
      </c>
      <c r="I212" s="13">
        <v>42811.185266203705</v>
      </c>
      <c r="J212" s="7">
        <v>0</v>
      </c>
      <c r="K212" s="98" t="str">
        <f t="shared" si="74"/>
        <v>4001/4002</v>
      </c>
      <c r="L212" s="21" t="str">
        <f>VLOOKUP(A212,'Trips&amp;Operators'!$C$1:$G$99999,5,FALSE)</f>
        <v>STARKS ANGELINA</v>
      </c>
      <c r="M212" s="6">
        <f t="shared" si="75"/>
        <v>6.6203703754581511E-3</v>
      </c>
      <c r="N212" s="7">
        <f t="shared" si="68"/>
        <v>9.5333333406597376</v>
      </c>
      <c r="O212" s="7"/>
      <c r="P212" s="7"/>
      <c r="Q212" s="22"/>
      <c r="R212" s="22"/>
      <c r="S212" s="31">
        <f t="shared" si="66"/>
        <v>1</v>
      </c>
      <c r="T212" s="46" t="str">
        <f t="shared" si="76"/>
        <v>Southbound</v>
      </c>
      <c r="U212" s="185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186" t="str">
        <f t="shared" si="77"/>
        <v>https://d0f6bd738d7f1b3e5a7ca70fe4ff75f0.us-east-1.aws.found.io/app/kibana#/discover/Steve-Slow-Train-Analysis-(2080s-and-2083s)?_g=(refreshInterval:(display:Off,pause:!f,section:0,value:0),time:(from:'2017-03-17T03:08:55-0600',mode:absolute,to:'2017-03-17T05:26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12" s="187" t="str">
        <f t="shared" si="78"/>
        <v>Y</v>
      </c>
      <c r="X212" s="187">
        <f t="shared" si="73"/>
        <v>1</v>
      </c>
      <c r="Y212" s="62">
        <f t="shared" si="79"/>
        <v>2.3347000000000002</v>
      </c>
      <c r="Z212" s="62">
        <f t="shared" si="80"/>
        <v>1.4999999999999999E-2</v>
      </c>
      <c r="AA212" s="62">
        <f t="shared" si="81"/>
        <v>2.3197000000000001</v>
      </c>
      <c r="AB212" s="59" t="e">
        <f>VLOOKUP(A212,Enforcements!$C$7:$K$13,8,0)</f>
        <v>#N/A</v>
      </c>
      <c r="AC212" s="55" t="e">
        <f>VLOOKUP(A212,Enforcements!$C$7:$E$13,3,0)</f>
        <v>#N/A</v>
      </c>
      <c r="AD212" s="56" t="str">
        <f t="shared" si="82"/>
        <v>0308-17</v>
      </c>
      <c r="AE212" s="85" t="str">
        <f t="shared" si="83"/>
        <v>aws s3 cp s3://rtdc.mdm.uploadarchive.raw/RTDC4001/ "%USERPROFILE%\AppData\Local\Temp\OnboardLogs"\RTDC4001\2017-03-17 --exclude "*" --recursive --include "*20170317*" &amp; "%USERPROFILE%\Documents\GitHub\mrs-test-scripts\Headless Mode &amp; Sideloading\WalkAndUnGZ.bat" "%USERPROFILE%\AppData\Local\Temp\OnboardLogs"\RTDC4001\2017-03-17 &amp; aws s3 cp s3://rtdc.mdm.uploadarchive.raw/RTDC4001/ "%USERPROFILE%\AppData\Local\Temp\OnboardLogs"\RTDC4001\2017-03-18 --exclude "*" --recursive --include "*20170318*" &amp; "%USERPROFILE%\Documents\GitHub\mrs-test-scripts\Headless Mode &amp; Sideloading\WalkAndUnGZ.bat" "%USERPROFILE%\AppData\Local\Temp\OnboardLogs"\RTDC4001\2017-03-18</v>
      </c>
      <c r="AF212" s="82" t="str">
        <f t="shared" si="84"/>
        <v>"C:\Program Files (x86)\AstroGrep\AstroGrep.exe" /e /r /s /spath="%USERPROFILE%\AppData\Local\Temp\OnboardLogs" /stypes="app*4001*20170317*" /stext=" 10:.+((SYSTEM_STATE.+slice.+state.+changed )|(ment ac)|(multiple cpu faults)|(system.+state.+changed )|(\[timeout)|(PRM\|1\|D)|(kpr)|(kdp)|(\|lc)|(penalty))"</v>
      </c>
      <c r="AG212" s="1" t="str">
        <f t="shared" si="85"/>
        <v>Other</v>
      </c>
      <c r="AH212" s="86" t="str">
        <f t="shared" si="70"/>
        <v>"%USERPROFILE%\Documents\GitHub\eaglep3\Utilities\RefineRTDCRunTimes.py" --tripid 308-17 --locoid 4001 --swversion DE.1.0.9.0 --startMP 300:23347 --initTime 2017-03-17T04:08:55 --startdatetime 2017-03-17T04:17:15 --delay 8 --endMP 204:150 --enddatetime 2017-03-17T04:26:47 --enforcementcount 0 &gt;&gt;C:\Users\stu\Documents\GitHub\eaglep3-reporting\EC\2017-03-17-refined-times.txt</v>
      </c>
      <c r="AI212" s="108" t="str">
        <f t="shared" si="71"/>
        <v>echo {"issue":{"subject":"","project_id":79,"tracker_id":40,"status_id":1,"priority_id":2,"assigned_to_id":23,"start_date":"2017-03-17","description":"","custom_fields":[{"id":1,"name":"Subdivision","value":"Other"},{"id":4,"name":"Milepost","value":"0.015"},{"id":17,"name":"Train ID","value":"308-17"},{"id":16,"name":"Locomotive ID","value":"4001"},{"id":130,"name":"Impact","value":""},{"id":150,"name":"Time of Event (Mountain Time)","value":"04:26:47"},{"id":151,"name":"Denver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48"/>
      <c r="AK212" s="48"/>
      <c r="AL212" s="48"/>
      <c r="AM212" s="154" t="str">
        <f t="shared" si="72"/>
        <v>start /low /b %USERPROFILE%\Documents\GitHub\eaglep3\Utilities\DownloadLogsFromS3.py --loco 4001 --day 2017-03-17</v>
      </c>
      <c r="AN212" s="163" t="str">
        <f>"grep -SE -B400 ""CHR.+\|PRM\|1\|D.+(SWITCH|SIGNAL).+UNKNOWN"" "&amp;search_path&amp;"\RTDC"&amp;B212&amp;"\*"&amp;B212&amp;"*"&amp;TEXT(AVERAGE(F212,I212)-utc_offset/24,"YYYYMMDD")&amp;"*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"%USERPROFILE%\AppData\Local\Temp\OnboardLogs"\RTDC4001\*4001*20170317* | grep -SE "(Enforcement Action)|(\[TIMEOUT)|(CHR.+\|PRM\|1\|D.+(SWITCH|SIGNAL).+UNKNOWN)" - &gt;&gt; 2017-03-17-UncaughtWiMAX.txt</v>
      </c>
    </row>
    <row r="213" spans="1:40" x14ac:dyDescent="0.25">
      <c r="A213" s="33" t="s">
        <v>843</v>
      </c>
      <c r="B213" s="7">
        <v>4016</v>
      </c>
      <c r="C213" s="21" t="s">
        <v>227</v>
      </c>
      <c r="D213" s="21" t="s">
        <v>417</v>
      </c>
      <c r="E213" s="13">
        <v>42812.049560185187</v>
      </c>
      <c r="F213" s="13">
        <v>42812.051446759258</v>
      </c>
      <c r="G213" s="7">
        <v>1</v>
      </c>
      <c r="H213" s="21" t="s">
        <v>448</v>
      </c>
      <c r="I213" s="13">
        <v>42812.062222222223</v>
      </c>
      <c r="J213" s="7">
        <v>0</v>
      </c>
      <c r="K213" s="98" t="str">
        <f t="shared" si="74"/>
        <v>4015/4016</v>
      </c>
      <c r="L213" s="21" t="str">
        <f>VLOOKUP(A213,'Trips&amp;Operators'!$C$1:$G$99999,5,FALSE)</f>
        <v>MENGES BRAD</v>
      </c>
      <c r="M213" s="6">
        <f t="shared" si="75"/>
        <v>1.0775462964375038E-2</v>
      </c>
      <c r="N213" s="7">
        <f t="shared" si="68"/>
        <v>15.516666668700054</v>
      </c>
      <c r="O213" s="7"/>
      <c r="P213" s="7"/>
      <c r="Q213" s="22"/>
      <c r="R213" s="22"/>
      <c r="S213" s="31">
        <f t="shared" si="66"/>
        <v>1</v>
      </c>
      <c r="T213" s="46" t="str">
        <f t="shared" si="76"/>
        <v>NorthBound</v>
      </c>
      <c r="U213" s="185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186" t="str">
        <f t="shared" si="77"/>
        <v>https://d0f6bd738d7f1b3e5a7ca70fe4ff75f0.us-east-1.aws.found.io/app/kibana#/discover/Steve-Slow-Train-Analysis-(2080s-and-2083s)?_g=(refreshInterval:(display:Off,pause:!f,section:0,value:0),time:(from:'2017-03-18T00:11:22-0600',mode:absolute,to:'2017-03-18T02:29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13" s="187" t="str">
        <f t="shared" si="78"/>
        <v>Y</v>
      </c>
      <c r="X213" s="187">
        <f t="shared" si="73"/>
        <v>1</v>
      </c>
      <c r="Y213" s="62">
        <f t="shared" si="79"/>
        <v>4.6399999999999997E-2</v>
      </c>
      <c r="Z213" s="62">
        <f t="shared" si="80"/>
        <v>2.3304</v>
      </c>
      <c r="AA213" s="62">
        <f t="shared" si="81"/>
        <v>2.2839999999999998</v>
      </c>
      <c r="AB213" s="59" t="e">
        <f>VLOOKUP(A213,Enforcements!$C$7:$K$13,8,0)</f>
        <v>#N/A</v>
      </c>
      <c r="AC213" s="55" t="e">
        <f>VLOOKUP(A213,Enforcements!$C$7:$E$13,3,0)</f>
        <v>#N/A</v>
      </c>
      <c r="AD213" s="56" t="str">
        <f t="shared" si="82"/>
        <v>0309-17</v>
      </c>
      <c r="AE213" s="85" t="str">
        <f t="shared" si="83"/>
        <v>aws s3 cp s3://rtdc.mdm.uploadarchive.raw/RTDC4016/ "%USERPROFILE%\AppData\Local\Temp\OnboardLogs"\RTDC4016\2017-03-18 --exclude "*" --recursive --include "*20170318*" &amp; "%USERPROFILE%\Documents\GitHub\mrs-test-scripts\Headless Mode &amp; Sideloading\WalkAndUnGZ.bat" "%USERPROFILE%\AppData\Local\Temp\OnboardLogs"\RTDC4016\2017-03-18 &amp; aws s3 cp s3://rtdc.mdm.uploadarchive.raw/RTDC4016/ "%USERPROFILE%\AppData\Local\Temp\OnboardLogs"\RTDC4016\2017-03-19 --exclude "*" --recursive --include "*20170319*" &amp; "%USERPROFILE%\Documents\GitHub\mrs-test-scripts\Headless Mode &amp; Sideloading\WalkAndUnGZ.bat" "%USERPROFILE%\AppData\Local\Temp\OnboardLogs"\RTDC4016\2017-03-19</v>
      </c>
      <c r="AF213" s="82" t="str">
        <f t="shared" si="84"/>
        <v>"C:\Program Files (x86)\AstroGrep\AstroGrep.exe" /e /r /s /spath="%USERPROFILE%\AppData\Local\Temp\OnboardLogs" /stypes="app*4016*20170318*" /stext=" 07:.+((SYSTEM_STATE.+slice.+state.+changed )|(ment ac)|(multiple cpu faults)|(system.+state.+changed )|(\[timeout)|(PRM\|1\|D)|(kpr)|(kdp)|(\|lc)|(penalty))"</v>
      </c>
      <c r="AG213" s="1" t="str">
        <f t="shared" si="85"/>
        <v>Other</v>
      </c>
      <c r="AH213" s="86" t="str">
        <f t="shared" si="70"/>
        <v>"%USERPROFILE%\Documents\GitHub\eaglep3\Utilities\RefineRTDCRunTimes.py" --tripid 309-17 --locoid 4016 --swversion DE.1.0.9.0 --startMP 204:464 --initTime 2017-03-18T01:11:22 --startdatetime 2017-03-18T01:14:05 --delay 1 --endMP 300:23304 --enddatetime 2017-03-18T01:29:36 --enforcementcount 0 &gt;&gt;C:\Users\stu\Documents\GitHub\eaglep3-reporting\EC\2017-03-17-refined-times.txt</v>
      </c>
      <c r="AI213" s="108" t="str">
        <f t="shared" si="71"/>
        <v>echo {"issue":{"subject":"","project_id":79,"tracker_id":40,"status_id":1,"priority_id":2,"assigned_to_id":23,"start_date":"2017-03-18","description":"","custom_fields":[{"id":1,"name":"Subdivision","value":"Other"},{"id":4,"name":"Milepost","value":"2.3304"},{"id":17,"name":"Train ID","value":"309-17"},{"id":16,"name":"Locomotive ID","value":"4016"},{"id":130,"name":"Impact","value":""},{"id":150,"name":"Time of Event (Mountain Time)","value":"01:29:36"},{"id":151,"name":"Denver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48"/>
      <c r="AK213" s="48"/>
      <c r="AL213" s="48"/>
      <c r="AM213" s="154" t="str">
        <f t="shared" si="72"/>
        <v>start /low /b %USERPROFILE%\Documents\GitHub\eaglep3\Utilities\DownloadLogsFromS3.py --loco 4016 --day 2017-03-18</v>
      </c>
      <c r="AN213" s="163" t="str">
        <f>"grep -SE -B400 ""CHR.+\|PRM\|1\|D.+(SWITCH|SIGNAL).+UNKNOWN"" "&amp;search_path&amp;"\RTDC"&amp;B213&amp;"\*"&amp;B213&amp;"*"&amp;TEXT(AVERAGE(F213,I213)-utc_offset/24,"YYYYMMDD")&amp;"*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"%USERPROFILE%\AppData\Local\Temp\OnboardLogs"\RTDC4016\*4016*20170318* | grep -SE "(Enforcement Action)|(\[TIMEOUT)|(CHR.+\|PRM\|1\|D.+(SWITCH|SIGNAL).+UNKNOWN)" - &gt;&gt; 2017-03-17-UncaughtWiMAX.txt</v>
      </c>
    </row>
    <row r="214" spans="1:40" x14ac:dyDescent="0.25">
      <c r="A214" s="33" t="s">
        <v>657</v>
      </c>
      <c r="B214" s="7">
        <v>4017</v>
      </c>
      <c r="C214" s="21" t="s">
        <v>227</v>
      </c>
      <c r="D214" s="21" t="s">
        <v>933</v>
      </c>
      <c r="E214" s="13">
        <v>42811.188217592593</v>
      </c>
      <c r="F214" s="13">
        <v>42811.190925925926</v>
      </c>
      <c r="G214" s="7">
        <v>3</v>
      </c>
      <c r="H214" s="21" t="s">
        <v>184</v>
      </c>
      <c r="I214" s="13">
        <v>42811.196145833332</v>
      </c>
      <c r="J214" s="7">
        <v>0</v>
      </c>
      <c r="K214" s="98" t="str">
        <f t="shared" si="74"/>
        <v>4017/4018</v>
      </c>
      <c r="L214" s="21" t="str">
        <f>VLOOKUP(A214,'Trips&amp;Operators'!$C$1:$G$99999,5,FALSE)</f>
        <v>LOZA FIDEL</v>
      </c>
      <c r="M214" s="6">
        <f t="shared" si="75"/>
        <v>5.2199074052623473E-3</v>
      </c>
      <c r="N214" s="7">
        <f t="shared" si="68"/>
        <v>7.5166666635777801</v>
      </c>
      <c r="O214" s="7"/>
      <c r="P214" s="7"/>
      <c r="Q214" s="22"/>
      <c r="R214" s="22"/>
      <c r="S214" s="31">
        <f t="shared" si="66"/>
        <v>1</v>
      </c>
      <c r="T214" s="46" t="str">
        <f t="shared" si="76"/>
        <v>Southbound</v>
      </c>
      <c r="U214" s="185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186" t="str">
        <f t="shared" si="77"/>
        <v>https://d0f6bd738d7f1b3e5a7ca70fe4ff75f0.us-east-1.aws.found.io/app/kibana#/discover/Steve-Slow-Train-Analysis-(2080s-and-2083s)?_g=(refreshInterval:(display:Off,pause:!f,section:0,value:0),time:(from:'2017-03-17T03:31:02-0600',mode:absolute,to:'2017-03-17T05:42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14" s="187" t="str">
        <f t="shared" si="78"/>
        <v>Y</v>
      </c>
      <c r="X214" s="187">
        <f t="shared" si="73"/>
        <v>1</v>
      </c>
      <c r="Y214" s="62">
        <f t="shared" si="79"/>
        <v>2.3521000000000001</v>
      </c>
      <c r="Z214" s="62">
        <f t="shared" si="80"/>
        <v>1.49E-2</v>
      </c>
      <c r="AA214" s="62">
        <f t="shared" si="81"/>
        <v>2.3372000000000002</v>
      </c>
      <c r="AB214" s="59" t="e">
        <f>VLOOKUP(A214,Enforcements!$C$7:$K$13,8,0)</f>
        <v>#N/A</v>
      </c>
      <c r="AC214" s="55" t="e">
        <f>VLOOKUP(A214,Enforcements!$C$7:$E$13,3,0)</f>
        <v>#N/A</v>
      </c>
      <c r="AD214" s="56" t="str">
        <f t="shared" si="82"/>
        <v>0310-17</v>
      </c>
      <c r="AE214" s="85" t="str">
        <f t="shared" si="83"/>
        <v>aws s3 cp s3://rtdc.mdm.uploadarchive.raw/RTDC4017/ "%USERPROFILE%\AppData\Local\Temp\OnboardLogs"\RTDC4017\2017-03-17 --exclude "*" --recursive --include "*20170317*" &amp; "%USERPROFILE%\Documents\GitHub\mrs-test-scripts\Headless Mode &amp; Sideloading\WalkAndUnGZ.bat" "%USERPROFILE%\AppData\Local\Temp\OnboardLogs"\RTDC4017\2017-03-17 &amp; aws s3 cp s3://rtdc.mdm.uploadarchive.raw/RTDC4017/ "%USERPROFILE%\AppData\Local\Temp\OnboardLogs"\RTDC4017\2017-03-18 --exclude "*" --recursive --include "*20170318*" &amp; "%USERPROFILE%\Documents\GitHub\mrs-test-scripts\Headless Mode &amp; Sideloading\WalkAndUnGZ.bat" "%USERPROFILE%\AppData\Local\Temp\OnboardLogs"\RTDC4017\2017-03-18</v>
      </c>
      <c r="AF214" s="82" t="str">
        <f t="shared" si="84"/>
        <v>"C:\Program Files (x86)\AstroGrep\AstroGrep.exe" /e /r /s /spath="%USERPROFILE%\AppData\Local\Temp\OnboardLogs" /stypes="app*4017*20170317*" /stext=" 10:.+((SYSTEM_STATE.+slice.+state.+changed )|(ment ac)|(multiple cpu faults)|(system.+state.+changed )|(\[timeout)|(PRM\|1\|D)|(kpr)|(kdp)|(\|lc)|(penalty))"</v>
      </c>
      <c r="AG214" s="1" t="str">
        <f t="shared" si="85"/>
        <v>Other</v>
      </c>
      <c r="AH214" s="86" t="str">
        <f t="shared" si="70"/>
        <v>"%USERPROFILE%\Documents\GitHub\eaglep3\Utilities\RefineRTDCRunTimes.py" --tripid 310-17 --locoid 4017 --swversion DE.1.0.9.0 --startMP 300:23521 --initTime 2017-03-17T04:31:02 --startdatetime 2017-03-17T04:34:56 --delay 3 --endMP 204:149 --enddatetime 2017-03-17T04:42:27 --enforcementcount 0 &gt;&gt;C:\Users\stu\Documents\GitHub\eaglep3-reporting\EC\2017-03-17-refined-times.txt</v>
      </c>
      <c r="AI214" s="108" t="str">
        <f t="shared" si="71"/>
        <v>echo {"issue":{"subject":"","project_id":79,"tracker_id":40,"status_id":1,"priority_id":2,"assigned_to_id":23,"start_date":"2017-03-17","description":"","custom_fields":[{"id":1,"name":"Subdivision","value":"Other"},{"id":4,"name":"Milepost","value":"0.0149"},{"id":17,"name":"Train ID","value":"310-17"},{"id":16,"name":"Locomotive ID","value":"4017"},{"id":130,"name":"Impact","value":""},{"id":150,"name":"Time of Event (Mountain Time)","value":"04:42:27"},{"id":151,"name":"Denver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48"/>
      <c r="AK214" s="48"/>
      <c r="AL214" s="48"/>
      <c r="AM214" s="154" t="str">
        <f t="shared" si="72"/>
        <v>start /low /b %USERPROFILE%\Documents\GitHub\eaglep3\Utilities\DownloadLogsFromS3.py --loco 4017 --day 2017-03-17</v>
      </c>
      <c r="AN214" s="163" t="str">
        <f>"grep -SE -B400 ""CHR.+\|PRM\|1\|D.+(SWITCH|SIGNAL).+UNKNOWN"" "&amp;search_path&amp;"\RTDC"&amp;B214&amp;"\*"&amp;B214&amp;"*"&amp;TEXT(AVERAGE(F214,I214)-utc_offset/24,"YYYYMMDD")&amp;"*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"%USERPROFILE%\AppData\Local\Temp\OnboardLogs"\RTDC4017\*4017*20170317* | grep -SE "(Enforcement Action)|(\[TIMEOUT)|(CHR.+\|PRM\|1\|D.+(SWITCH|SIGNAL).+UNKNOWN)" - &gt;&gt; 2017-03-17-UncaughtWiMAX.txt</v>
      </c>
    </row>
    <row r="215" spans="1:40" x14ac:dyDescent="0.25">
      <c r="A215" s="33" t="s">
        <v>555</v>
      </c>
      <c r="B215" s="7">
        <v>4025</v>
      </c>
      <c r="C215" s="21" t="s">
        <v>227</v>
      </c>
      <c r="D215" s="21" t="s">
        <v>235</v>
      </c>
      <c r="E215" s="13">
        <v>42811.089629629627</v>
      </c>
      <c r="F215" s="13">
        <v>42811.092222222222</v>
      </c>
      <c r="G215" s="7">
        <v>1</v>
      </c>
      <c r="H215" s="21" t="s">
        <v>424</v>
      </c>
      <c r="I215" s="13">
        <v>42811.099108796298</v>
      </c>
      <c r="J215" s="7">
        <v>0</v>
      </c>
      <c r="K215" s="98" t="str">
        <f t="shared" si="74"/>
        <v>4025/4026</v>
      </c>
      <c r="L215" s="21" t="str">
        <f>VLOOKUP(A215,'Trips&amp;Operators'!$C$1:$G$99999,5,FALSE)</f>
        <v>SWANSON BRYCE</v>
      </c>
      <c r="M215" s="6">
        <f t="shared" si="75"/>
        <v>6.8865740759065375E-3</v>
      </c>
      <c r="N215" s="7">
        <f t="shared" si="68"/>
        <v>9.916666669305414</v>
      </c>
      <c r="O215" s="7"/>
      <c r="P215" s="7"/>
      <c r="Q215" s="22"/>
      <c r="R215" s="22"/>
      <c r="S215" s="31">
        <f t="shared" si="66"/>
        <v>1</v>
      </c>
      <c r="T215" s="46" t="str">
        <f t="shared" si="76"/>
        <v>NorthBound</v>
      </c>
      <c r="U215" s="185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186" t="str">
        <f t="shared" si="77"/>
        <v>https://d0f6bd738d7f1b3e5a7ca70fe4ff75f0.us-east-1.aws.found.io/app/kibana#/discover/Steve-Slow-Train-Analysis-(2080s-and-2083s)?_g=(refreshInterval:(display:Off,pause:!f,section:0,value:0),time:(from:'2017-03-17T01:09:04-0600',mode:absolute,to:'2017-03-17T03:22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15" s="187" t="str">
        <f t="shared" si="78"/>
        <v>Y</v>
      </c>
      <c r="X215" s="187">
        <f t="shared" si="73"/>
        <v>3</v>
      </c>
      <c r="Y215" s="62">
        <f t="shared" si="79"/>
        <v>4.4200000000000003E-2</v>
      </c>
      <c r="Z215" s="62">
        <f t="shared" si="80"/>
        <v>2.3346</v>
      </c>
      <c r="AA215" s="62">
        <f t="shared" si="81"/>
        <v>2.2904</v>
      </c>
      <c r="AB215" s="59" t="e">
        <f>VLOOKUP(A215,Enforcements!$C$7:$K$13,8,0)</f>
        <v>#N/A</v>
      </c>
      <c r="AC215" s="55" t="e">
        <f>VLOOKUP(A215,Enforcements!$C$7:$E$13,3,0)</f>
        <v>#N/A</v>
      </c>
      <c r="AD215" s="56" t="str">
        <f t="shared" si="82"/>
        <v>0313-16</v>
      </c>
      <c r="AE215" s="85" t="str">
        <f t="shared" si="83"/>
        <v>aws s3 cp s3://rtdc.mdm.uploadarchive.raw/RTDC4025/ "%USERPROFILE%\AppData\Local\Temp\OnboardLogs"\RTDC4025\2017-03-17 --exclude "*" --recursive --include "*20170317*" &amp; "%USERPROFILE%\Documents\GitHub\mrs-test-scripts\Headless Mode &amp; Sideloading\WalkAndUnGZ.bat" "%USERPROFILE%\AppData\Local\Temp\OnboardLogs"\RTDC4025\2017-03-17 &amp; aws s3 cp s3://rtdc.mdm.uploadarchive.raw/RTDC4025/ "%USERPROFILE%\AppData\Local\Temp\OnboardLogs"\RTDC4025\2017-03-18 --exclude "*" --recursive --include "*20170318*" &amp; "%USERPROFILE%\Documents\GitHub\mrs-test-scripts\Headless Mode &amp; Sideloading\WalkAndUnGZ.bat" "%USERPROFILE%\AppData\Local\Temp\OnboardLogs"\RTDC4025\2017-03-18</v>
      </c>
      <c r="AF215" s="82" t="str">
        <f t="shared" si="84"/>
        <v>"C:\Program Files (x86)\AstroGrep\AstroGrep.exe" /e /r /s /spath="%USERPROFILE%\AppData\Local\Temp\OnboardLogs" /stypes="app*4025*20170317*" /stext=" 08:.+((SYSTEM_STATE.+slice.+state.+changed )|(ment ac)|(multiple cpu faults)|(system.+state.+changed )|(\[timeout)|(PRM\|1\|D)|(kpr)|(kdp)|(\|lc)|(penalty))"</v>
      </c>
      <c r="AG215" s="1" t="str">
        <f t="shared" si="85"/>
        <v>Other</v>
      </c>
      <c r="AH215" s="86" t="str">
        <f t="shared" si="70"/>
        <v>"%USERPROFILE%\Documents\GitHub\eaglep3\Utilities\RefineRTDCRunTimes.py" --tripid 313-16 --locoid 4025 --swversion DE.1.0.9.0 --startMP 204:442 --initTime 2017-03-17T02:09:04 --startdatetime 2017-03-17T02:12:48 --delay 1 --endMP 300:23346 --enddatetime 2017-03-17T02:22:43 --enforcementcount 0 &gt;&gt;C:\Users\stu\Documents\GitHub\eaglep3-reporting\EC\2017-03-17-refined-times.txt</v>
      </c>
      <c r="AI215" s="108" t="str">
        <f t="shared" si="71"/>
        <v>echo {"issue":{"subject":"","project_id":79,"tracker_id":40,"status_id":1,"priority_id":2,"assigned_to_id":23,"start_date":"2017-03-17","description":"","custom_fields":[{"id":1,"name":"Subdivision","value":"Other"},{"id":4,"name":"Milepost","value":"2.3346"},{"id":17,"name":"Train ID","value":"313-16"},{"id":16,"name":"Locomotive ID","value":"4025"},{"id":130,"name":"Impact","value":""},{"id":150,"name":"Time of Event (Mountain Time)","value":"02:22:43"},{"id":151,"name":"Denver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48"/>
      <c r="AK215" s="48"/>
      <c r="AL215" s="48"/>
      <c r="AM215" s="154" t="str">
        <f t="shared" si="72"/>
        <v>start /low /b %USERPROFILE%\Documents\GitHub\eaglep3\Utilities\DownloadLogsFromS3.py --loco 4025 --day 2017-03-17</v>
      </c>
      <c r="AN215" s="163" t="str">
        <f>"grep -SE -B400 ""CHR.+\|PRM\|1\|D.+(SWITCH|SIGNAL).+UNKNOWN"" "&amp;search_path&amp;"\RTDC"&amp;B215&amp;"\*"&amp;B215&amp;"*"&amp;TEXT(AVERAGE(F215,I215)-utc_offset/24,"YYYYMMDD")&amp;"*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"%USERPROFILE%\AppData\Local\Temp\OnboardLogs"\RTDC4025\*4025*20170317* | grep -SE "(Enforcement Action)|(\[TIMEOUT)|(CHR.+\|PRM\|1\|D.+(SWITCH|SIGNAL).+UNKNOWN)" - &gt;&gt; 2017-03-17-UncaughtWiMAX.txt</v>
      </c>
    </row>
    <row r="216" spans="1:40" x14ac:dyDescent="0.25">
      <c r="A216" s="33" t="s">
        <v>847</v>
      </c>
      <c r="B216" s="7">
        <v>4002</v>
      </c>
      <c r="C216" s="21" t="s">
        <v>227</v>
      </c>
      <c r="D216" s="21" t="s">
        <v>934</v>
      </c>
      <c r="E216" s="13">
        <v>42812.092465277776</v>
      </c>
      <c r="F216" s="13">
        <v>42812.094456018516</v>
      </c>
      <c r="G216" s="7">
        <v>1</v>
      </c>
      <c r="H216" s="21" t="s">
        <v>424</v>
      </c>
      <c r="I216" s="13">
        <v>42812.102025462962</v>
      </c>
      <c r="J216" s="7">
        <v>0</v>
      </c>
      <c r="K216" s="98" t="str">
        <f t="shared" si="74"/>
        <v>4001/4002</v>
      </c>
      <c r="L216" s="21" t="str">
        <f>VLOOKUP(A216,'Trips&amp;Operators'!$C$1:$G$99999,5,FALSE)</f>
        <v>SWANSON BRYCE</v>
      </c>
      <c r="M216" s="6">
        <f t="shared" si="75"/>
        <v>7.5694444458349608E-3</v>
      </c>
      <c r="N216" s="7">
        <f t="shared" si="68"/>
        <v>10.900000002002344</v>
      </c>
      <c r="O216" s="7"/>
      <c r="P216" s="7"/>
      <c r="Q216" s="22"/>
      <c r="R216" s="22"/>
      <c r="S216" s="31">
        <f t="shared" si="66"/>
        <v>1</v>
      </c>
      <c r="T216" s="46" t="str">
        <f t="shared" si="76"/>
        <v>NorthBound</v>
      </c>
      <c r="U216" s="185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186" t="str">
        <f t="shared" si="77"/>
        <v>https://d0f6bd738d7f1b3e5a7ca70fe4ff75f0.us-east-1.aws.found.io/app/kibana#/discover/Steve-Slow-Train-Analysis-(2080s-and-2083s)?_g=(refreshInterval:(display:Off,pause:!f,section:0,value:0),time:(from:'2017-03-18T01:13:09-0600',mode:absolute,to:'2017-03-18T03:26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16" s="187" t="str">
        <f t="shared" si="78"/>
        <v>Y</v>
      </c>
      <c r="X216" s="187">
        <f t="shared" si="73"/>
        <v>0</v>
      </c>
      <c r="Y216" s="62">
        <f t="shared" si="79"/>
        <v>4.8899999999999999E-2</v>
      </c>
      <c r="Z216" s="62">
        <f t="shared" si="80"/>
        <v>2.3346</v>
      </c>
      <c r="AA216" s="62">
        <f t="shared" si="81"/>
        <v>2.2856999999999998</v>
      </c>
      <c r="AB216" s="59" t="e">
        <f>VLOOKUP(A216,Enforcements!$C$7:$K$13,8,0)</f>
        <v>#N/A</v>
      </c>
      <c r="AC216" s="55" t="e">
        <f>VLOOKUP(A216,Enforcements!$C$7:$E$13,3,0)</f>
        <v>#N/A</v>
      </c>
      <c r="AD216" s="56" t="str">
        <f t="shared" si="82"/>
        <v>0313-17</v>
      </c>
      <c r="AE216" s="85" t="str">
        <f t="shared" si="83"/>
        <v>aws s3 cp s3://rtdc.mdm.uploadarchive.raw/RTDC4002/ "%USERPROFILE%\AppData\Local\Temp\OnboardLogs"\RTDC4002\2017-03-18 --exclude "*" --recursive --include "*20170318*" &amp; "%USERPROFILE%\Documents\GitHub\mrs-test-scripts\Headless Mode &amp; Sideloading\WalkAndUnGZ.bat" "%USERPROFILE%\AppData\Local\Temp\OnboardLogs"\RTDC4002\2017-03-18 &amp; aws s3 cp s3://rtdc.mdm.uploadarchive.raw/RTDC4002/ "%USERPROFILE%\AppData\Local\Temp\OnboardLogs"\RTDC4002\2017-03-19 --exclude "*" --recursive --include "*20170319*" &amp; "%USERPROFILE%\Documents\GitHub\mrs-test-scripts\Headless Mode &amp; Sideloading\WalkAndUnGZ.bat" "%USERPROFILE%\AppData\Local\Temp\OnboardLogs"\RTDC4002\2017-03-19</v>
      </c>
      <c r="AF216" s="82" t="str">
        <f t="shared" si="84"/>
        <v>"C:\Program Files (x86)\AstroGrep\AstroGrep.exe" /e /r /s /spath="%USERPROFILE%\AppData\Local\Temp\OnboardLogs" /stypes="app*4002*20170318*" /stext=" 08:.+((SYSTEM_STATE.+slice.+state.+changed )|(ment ac)|(multiple cpu faults)|(system.+state.+changed )|(\[timeout)|(PRM\|1\|D)|(kpr)|(kdp)|(\|lc)|(penalty))"</v>
      </c>
      <c r="AG216" s="1" t="str">
        <f t="shared" si="85"/>
        <v>Other</v>
      </c>
      <c r="AH216" s="86" t="str">
        <f t="shared" si="70"/>
        <v>"%USERPROFILE%\Documents\GitHub\eaglep3\Utilities\RefineRTDCRunTimes.py" --tripid 313-17 --locoid 4002 --swversion DE.1.0.9.0 --startMP 204:489 --initTime 2017-03-18T02:13:09 --startdatetime 2017-03-18T02:16:01 --delay 1 --endMP 300:23346 --enddatetime 2017-03-18T02:26:55 --enforcementcount 0 &gt;&gt;C:\Users\stu\Documents\GitHub\eaglep3-reporting\EC\2017-03-17-refined-times.txt</v>
      </c>
      <c r="AI216" s="108" t="str">
        <f t="shared" si="71"/>
        <v>echo {"issue":{"subject":"","project_id":79,"tracker_id":40,"status_id":1,"priority_id":2,"assigned_to_id":23,"start_date":"2017-03-18","description":"","custom_fields":[{"id":1,"name":"Subdivision","value":"Other"},{"id":4,"name":"Milepost","value":"2.3346"},{"id":17,"name":"Train ID","value":"313-17"},{"id":16,"name":"Locomotive ID","value":"4002"},{"id":130,"name":"Impact","value":""},{"id":150,"name":"Time of Event (Mountain Time)","value":"02:26:55"},{"id":151,"name":"Denver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48"/>
      <c r="AK216" s="48"/>
      <c r="AL216" s="48"/>
      <c r="AM216" s="154" t="str">
        <f t="shared" si="72"/>
        <v>start /low /b %USERPROFILE%\Documents\GitHub\eaglep3\Utilities\DownloadLogsFromS3.py --loco 4002 --day 2017-03-18</v>
      </c>
      <c r="AN216" s="163" t="str">
        <f>"grep -SE -B400 ""CHR.+\|PRM\|1\|D.+(SWITCH|SIGNAL).+UNKNOWN"" "&amp;search_path&amp;"\RTDC"&amp;B216&amp;"\*"&amp;B216&amp;"*"&amp;TEXT(AVERAGE(F216,I216)-utc_offset/24,"YYYYMMDD")&amp;"*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"%USERPROFILE%\AppData\Local\Temp\OnboardLogs"\RTDC4002\*4002*20170318* | grep -SE "(Enforcement Action)|(\[TIMEOUT)|(CHR.+\|PRM\|1\|D.+(SWITCH|SIGNAL).+UNKNOWN)" - &gt;&gt; 2017-03-17-UncaughtWiMAX.txt</v>
      </c>
    </row>
    <row r="217" spans="1:40" s="20" customFormat="1" x14ac:dyDescent="0.25">
      <c r="A217" s="33" t="s">
        <v>1032</v>
      </c>
      <c r="B217" s="7">
        <v>4053</v>
      </c>
      <c r="C217" s="21" t="s">
        <v>227</v>
      </c>
      <c r="D217" s="21" t="s">
        <v>934</v>
      </c>
      <c r="E217" s="13">
        <v>42812.092465277776</v>
      </c>
      <c r="F217" s="13">
        <v>42812.114479166667</v>
      </c>
      <c r="G217" s="7">
        <v>1</v>
      </c>
      <c r="H217" s="21" t="s">
        <v>424</v>
      </c>
      <c r="I217" s="13">
        <v>42812.116319444445</v>
      </c>
      <c r="J217" s="7">
        <v>0</v>
      </c>
      <c r="K217" s="98" t="str">
        <f t="shared" ref="K217" si="86">IF(ISEVEN(B217),(B217-1)&amp;"/"&amp;B217,B217&amp;"/"&amp;(B217+1))</f>
        <v>4053/4054</v>
      </c>
      <c r="L217" s="21" t="e">
        <f>VLOOKUP(A217,'Trips&amp;Operators'!$C$1:$G$99999,5,FALSE)</f>
        <v>#N/A</v>
      </c>
      <c r="M217" s="6">
        <f t="shared" ref="M217" si="87">I217-F217</f>
        <v>1.8402777786832303E-3</v>
      </c>
      <c r="N217" s="7"/>
      <c r="O217" s="7"/>
      <c r="P217" s="7">
        <f t="shared" si="68"/>
        <v>2.6500000013038516</v>
      </c>
      <c r="Q217" s="22"/>
      <c r="R217" s="22" t="s">
        <v>438</v>
      </c>
      <c r="S217" s="31">
        <f t="shared" ref="S217" si="88">SUM(U217:U217)/IF(AG217="EC",12,1)</f>
        <v>1</v>
      </c>
      <c r="T217" s="46" t="str">
        <f t="shared" ref="T217" si="89">IF(ISEVEN(LEFT(AD217,4)),"Southbound","NorthBound")</f>
        <v>NorthBound</v>
      </c>
      <c r="U217" s="185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186" t="str">
        <f t="shared" ref="V217" si="90">"https://d0f6bd738d7f1b3e5a7ca70fe4ff75f0.us-east-1.aws.found.io/app/kibana#/discover/Steve-Slow-Train-Analysis-(2080s-and-2083s)?_g="&amp;"(refreshInterval:(display:Off,pause:!f,section:0,value:0),time:(from:'"&amp;TEXT(E217-1/24,"yyyy-MM-DDThh:mm:ss")&amp;utc_offset&amp;"00"&amp;"',mode:absolute,to:'"&amp;TEXT(I217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217&amp;"%22')),sort:!(Time.ISO8601,asc))"</f>
        <v>https://d0f6bd738d7f1b3e5a7ca70fe4ff75f0.us-east-1.aws.found.io/app/kibana#/discover/Steve-Slow-Train-Analysis-(2080s-and-2083s)?_g=(refreshInterval:(display:Off,pause:!f,section:0,value:0),time:(from:'2017-03-18T01:13:09-0600',mode:absolute,to:'2017-03-18T03:47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17" s="187" t="str">
        <f t="shared" ref="W217" si="91">IF(AA217&lt;IF(AG217="EC",23,5.65),"Y","N")</f>
        <v>Y</v>
      </c>
      <c r="X217" s="187">
        <f t="shared" ref="X217" si="92">VALUE(LEFT(AD217,4))-VALUE(LEFT(AD216,4))</f>
        <v>2</v>
      </c>
      <c r="Y217" s="62">
        <f t="shared" ref="Y217" si="93">RIGHT(D217,LEN(D217)-4)/10000</f>
        <v>4.8899999999999999E-2</v>
      </c>
      <c r="Z217" s="62">
        <f t="shared" ref="Z217" si="94">RIGHT(H217,LEN(H217)-4)/10000</f>
        <v>2.3346</v>
      </c>
      <c r="AA217" s="62">
        <f t="shared" ref="AA217" si="95">ABS(Z217-Y217)</f>
        <v>2.2856999999999998</v>
      </c>
      <c r="AB217" s="59" t="e">
        <f>VLOOKUP(A217,Enforcements!$C$7:$K$13,8,0)</f>
        <v>#N/A</v>
      </c>
      <c r="AC217" s="55" t="e">
        <f>VLOOKUP(A217,Enforcements!$C$7:$E$13,3,0)</f>
        <v>#N/A</v>
      </c>
      <c r="AD217" s="56" t="str">
        <f t="shared" ref="AD217" si="96">IF(LEN(A217)=6,"0"&amp;A217,A217)</f>
        <v>0315-17</v>
      </c>
      <c r="AE217" s="85" t="str">
        <f t="shared" ref="AE217" si="97">"aws s3 cp "&amp;s3_bucket&amp;"/RTDC"&amp;B217&amp;"/ "&amp;search_path&amp;"\RTDC"&amp;B217&amp;"\"&amp;TEXT(F217,"YYYY-MM-DD")&amp;" --exclude ""*"" --recursive --include ""*"&amp;TEXT(F217,"YYYYMMDD")&amp;"*"" &amp; """&amp;walkandungz&amp;""" "&amp;search_path&amp;"\RTDC"&amp;B217&amp;"\"&amp;TEXT(F217,"YYYY-MM-DD")
&amp;" &amp; "&amp;"aws s3 cp "&amp;s3_bucket&amp;"/RTDC"&amp;B217&amp;"/ "&amp;search_path&amp;"\RTDC"&amp;B217&amp;"\"&amp;TEXT(F217+1,"YYYY-MM-DD")&amp;" --exclude ""*"" --recursive --include ""*"&amp;TEXT(F217+1,"YYYYMMDD")&amp;"*"" &amp; """&amp;walkandungz&amp;""" "&amp;search_path&amp;"\RTDC"&amp;B217&amp;"\"&amp;TEXT(F217+1,"YYYY-MM-DD")</f>
        <v>aws s3 cp s3://rtdc.mdm.uploadarchive.raw/RTDC4053/ "%USERPROFILE%\AppData\Local\Temp\OnboardLogs"\RTDC4053\2017-03-18 --exclude "*" --recursive --include "*20170318*" &amp; "%USERPROFILE%\Documents\GitHub\mrs-test-scripts\Headless Mode &amp; Sideloading\WalkAndUnGZ.bat" "%USERPROFILE%\AppData\Local\Temp\OnboardLogs"\RTDC4053\2017-03-18 &amp; aws s3 cp s3://rtdc.mdm.uploadarchive.raw/RTDC4053/ "%USERPROFILE%\AppData\Local\Temp\OnboardLogs"\RTDC4053\2017-03-19 --exclude "*" --recursive --include "*20170319*" &amp; "%USERPROFILE%\Documents\GitHub\mrs-test-scripts\Headless Mode &amp; Sideloading\WalkAndUnGZ.bat" "%USERPROFILE%\AppData\Local\Temp\OnboardLogs"\RTDC4053\2017-03-19</v>
      </c>
      <c r="AF217" s="82" t="str">
        <f t="shared" ref="AF217" si="98">astrogrep_path&amp;" /e /r /s /spath="&amp;search_path&amp;" /stypes=""app*"&amp;B217&amp;"*"&amp;TEXT(I217-utc_offset/24,"YYYYMMDD")&amp;"*"" /stext="" "&amp;TEXT(I217-utc_offset/24,"HH")&amp;search_regexp&amp;""""</f>
        <v>"C:\Program Files (x86)\AstroGrep\AstroGrep.exe" /e /r /s /spath="%USERPROFILE%\AppData\Local\Temp\OnboardLogs" /stypes="app*4053*20170318*" /stext=" 08:.+((SYSTEM_STATE.+slice.+state.+changed )|(ment ac)|(multiple cpu faults)|(system.+state.+changed )|(\[timeout)|(PRM\|1\|D)|(kpr)|(kdp)|(\|lc)|(penalty))"</v>
      </c>
      <c r="AG217" s="1" t="str">
        <f t="shared" ref="AG217" si="99">IFERROR(IF(VALUE(LEFT(AD217,2))&lt;=2,"EC",IF(OR(VALUE(LEFT(AD217,2))=8,VALUE(LEFT(AD217,2))=18),"NW","Other")),"Other")</f>
        <v>Other</v>
      </c>
      <c r="AH217" s="86" t="str">
        <f t="shared" ref="AH217" si="100">refinertdcruntimes&amp;" --tripid "&amp;A217&amp;" --locoid "&amp;B217&amp;" --swversion "&amp;C217&amp;" --startMP "&amp;D217&amp;" --initTime "&amp;TEXT(E217,"yyyy-mm-ddTHH:MM:SS")&amp;" --startdatetime "&amp;TEXT(F217,"yyyy-mm-ddTHH:MM:SS")&amp;" --delay "&amp;G217&amp;" --endMP "&amp;H217&amp;" --enddatetime "&amp;TEXT(I217,"yyyy-mm-ddTHH:MM:SS")&amp;" --enforcementcount "&amp;J217&amp;IF(outputrefinedruntimes," &gt;&gt;"&amp;RefinedRTDCRunTimesOutputFile,"")</f>
        <v>"%USERPROFILE%\Documents\GitHub\eaglep3\Utilities\RefineRTDCRunTimes.py" --tripid 315-17 --locoid 4053 --swversion DE.1.0.9.0 --startMP 204:489 --initTime 2017-03-18T02:13:09 --startdatetime 2017-03-18T02:44:51 --delay 1 --endMP 300:23346 --enddatetime 2017-03-18T02:47:30 --enforcementcount 0 &gt;&gt;C:\Users\stu\Documents\GitHub\eaglep3-reporting\EC\2017-03-17-refined-times.txt</v>
      </c>
      <c r="AI217" s="108" t="str">
        <f t="shared" ref="AI217" si="101">"echo {""issue"":{""subject"":"""&amp;R217&amp;""",""project_id"":79,""tracker_id"":40,""status_id"":"&amp;redmine_status&amp;",""priority_id"":"&amp;redmine_priority&amp;",""assigned_to_id"":"&amp;redmine_assignee&amp;",""start_date"":"""&amp;TEXT(I217,"YYYY-mm-dd")&amp;""",""description"":"""&amp;AJ217&amp;""",""custom_fields"":[{""id"":1,""name"":""Subdivision"",""value"":"""&amp;AG217&amp;"""},{""id"":4,""name"":""Milepost"",""value"":"""&amp;Z217&amp;"""},{""id"":17,""name"":""Train ID"",""value"":"""&amp;A217&amp;"""},{""id"":16,""name"":""Locomotive ID"",""value"":"""&amp;B217&amp;"""},{""id"":130,""name"":""Impact"",""value"":"""&amp;AK217&amp;"""},{""id"":150,""name"":""Time of Event (Mountain Time)"",""value"":"""&amp;TEXT(I217,"hh:mm:ss")&amp;"""},{""id"":151,""name"":""Denver Issue ID"",""value"":"""&amp;"""},{""id"":178,""name"":""Operational Impact"",""value"":"""&amp;redmine_op_impact&amp;"""},{""id"":179,""name"":""Denver Segment Assigned"",""value"":"""&amp;AL217&amp;"""}]}}"&amp;" | curl -X POST -H ""Content-Type: application/json"" -H ""X-Redmine-API-Key: "&amp;redm_api_key&amp;""" "&amp;redm_url&amp;" --data @-"</f>
        <v>echo {"issue":{"subject":"Onboard in-route failure","project_id":79,"tracker_id":40,"status_id":1,"priority_id":2,"assigned_to_id":23,"start_date":"2017-03-18","description":"","custom_fields":[{"id":1,"name":"Subdivision","value":"Other"},{"id":4,"name":"Milepost","value":"2.3346"},{"id":17,"name":"Train ID","value":"315-17"},{"id":16,"name":"Locomotive ID","value":"4053"},{"id":130,"name":"Impact","value":""},{"id":150,"name":"Time of Event (Mountain Time)","value":"02:47:30"},{"id":151,"name":"Denver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48"/>
      <c r="AK217" s="48"/>
      <c r="AL217" s="48"/>
      <c r="AM217" s="154" t="str">
        <f t="shared" ref="AM217" si="102">"start /low /b "&amp;dls3logs&amp;" --loco "&amp;B217&amp;" --day "&amp;TEXT(F217,"YYYY-MM-DD")</f>
        <v>start /low /b %USERPROFILE%\Documents\GitHub\eaglep3\Utilities\DownloadLogsFromS3.py --loco 4053 --day 2017-03-18</v>
      </c>
      <c r="AN217" s="163" t="str">
        <f>"grep -SE -B400 ""CHR.+\|PRM\|1\|D.+(SWITCH|SIGNAL).+UNKNOWN"" "&amp;search_path&amp;"\RTDC"&amp;B217&amp;"\*"&amp;B217&amp;"*"&amp;TEXT(AVERAGE(F217,I217)-utc_offset/24,"YYYYMMDD")&amp;"*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"%USERPROFILE%\AppData\Local\Temp\OnboardLogs"\RTDC4053\*4053*20170318* | grep -SE "(Enforcement Action)|(\[TIMEOUT)|(CHR.+\|PRM\|1\|D.+(SWITCH|SIGNAL).+UNKNOWN)" - &gt;&gt; 2017-03-17-UncaughtWiMAX.txt</v>
      </c>
    </row>
    <row r="218" spans="1:40" x14ac:dyDescent="0.25">
      <c r="A218" s="33" t="s">
        <v>659</v>
      </c>
      <c r="B218" s="7">
        <v>4014</v>
      </c>
      <c r="C218" s="21" t="s">
        <v>227</v>
      </c>
      <c r="D218" s="21" t="s">
        <v>998</v>
      </c>
      <c r="E218" s="13">
        <v>42811.198553240742</v>
      </c>
      <c r="F218" s="13">
        <v>42811.202743055554</v>
      </c>
      <c r="G218" s="7">
        <v>5</v>
      </c>
      <c r="H218" s="21" t="s">
        <v>598</v>
      </c>
      <c r="I218" s="13">
        <v>42811.207858796297</v>
      </c>
      <c r="J218" s="7">
        <v>0</v>
      </c>
      <c r="K218" s="98" t="str">
        <f t="shared" si="74"/>
        <v>4013/4014</v>
      </c>
      <c r="L218" s="21" t="str">
        <f>VLOOKUP(A218,'Trips&amp;Operators'!$C$1:$G$99999,5,FALSE)</f>
        <v>GEBRETEKLE DAGNEW</v>
      </c>
      <c r="M218" s="6">
        <f t="shared" si="75"/>
        <v>5.1157407433493063E-3</v>
      </c>
      <c r="N218" s="7">
        <f t="shared" si="68"/>
        <v>7.3666666704230011</v>
      </c>
      <c r="O218" s="7"/>
      <c r="P218" s="7"/>
      <c r="Q218" s="22"/>
      <c r="R218" s="22"/>
      <c r="S218" s="31">
        <f t="shared" ref="S218:S234" si="103">SUM(U218:U218)/IF(AG218="EC",12,1)</f>
        <v>0</v>
      </c>
      <c r="T218" s="46" t="str">
        <f t="shared" si="76"/>
        <v>NorthBound</v>
      </c>
      <c r="U218" s="185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0</v>
      </c>
      <c r="V218" s="186" t="str">
        <f t="shared" si="77"/>
        <v>https://d0f6bd738d7f1b3e5a7ca70fe4ff75f0.us-east-1.aws.found.io/app/kibana#/discover/Steve-Slow-Train-Analysis-(2080s-and-2083s)?_g=(refreshInterval:(display:Off,pause:!f,section:0,value:0),time:(from:'2017-03-17T03:45:55-0600',mode:absolute,to:'2017-03-17T05:59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18" s="187" t="str">
        <f t="shared" si="78"/>
        <v>Y</v>
      </c>
      <c r="X218" s="187">
        <f>VALUE(LEFT(AD218,4))-VALUE(LEFT(AD216,4))</f>
        <v>588</v>
      </c>
      <c r="Y218" s="62">
        <f t="shared" si="79"/>
        <v>2.9632999999999998</v>
      </c>
      <c r="Z218" s="62">
        <f t="shared" si="80"/>
        <v>5.8986000000000001</v>
      </c>
      <c r="AA218" s="62">
        <f t="shared" si="81"/>
        <v>2.9353000000000002</v>
      </c>
      <c r="AB218" s="59" t="e">
        <f>VLOOKUP(A218,Enforcements!$C$7:$K$13,8,0)</f>
        <v>#N/A</v>
      </c>
      <c r="AC218" s="55" t="e">
        <f>VLOOKUP(A218,Enforcements!$C$7:$E$13,3,0)</f>
        <v>#N/A</v>
      </c>
      <c r="AD218" s="56" t="str">
        <f t="shared" si="82"/>
        <v>0901-17</v>
      </c>
      <c r="AE218" s="85" t="str">
        <f t="shared" si="83"/>
        <v>aws s3 cp s3://rtdc.mdm.uploadarchive.raw/RTDC4014/ "%USERPROFILE%\AppData\Local\Temp\OnboardLogs"\RTDC4014\2017-03-17 --exclude "*" --recursive --include "*20170317*" &amp; "%USERPROFILE%\Documents\GitHub\mrs-test-scripts\Headless Mode &amp; Sideloading\WalkAndUnGZ.bat" "%USERPROFILE%\AppData\Local\Temp\OnboardLogs"\RTDC4014\2017-03-17 &amp; aws s3 cp s3://rtdc.mdm.uploadarchive.raw/RTDC4014/ "%USERPROFILE%\AppData\Local\Temp\OnboardLogs"\RTDC4014\2017-03-18 --exclude "*" --recursive --include "*20170318*" &amp; "%USERPROFILE%\Documents\GitHub\mrs-test-scripts\Headless Mode &amp; Sideloading\WalkAndUnGZ.bat" "%USERPROFILE%\AppData\Local\Temp\OnboardLogs"\RTDC4014\2017-03-18</v>
      </c>
      <c r="AF218" s="82" t="str">
        <f t="shared" si="84"/>
        <v>"C:\Program Files (x86)\AstroGrep\AstroGrep.exe" /e /r /s /spath="%USERPROFILE%\AppData\Local\Temp\OnboardLogs" /stypes="app*4014*20170317*" /stext=" 10:.+((SYSTEM_STATE.+slice.+state.+changed )|(ment ac)|(multiple cpu faults)|(system.+state.+changed )|(\[timeout)|(PRM\|1\|D)|(kpr)|(kdp)|(\|lc)|(penalty))"</v>
      </c>
      <c r="AG218" s="1" t="str">
        <f t="shared" si="85"/>
        <v>Other</v>
      </c>
      <c r="AH218" s="86" t="str">
        <f t="shared" si="70"/>
        <v>"%USERPROFILE%\Documents\GitHub\eaglep3\Utilities\RefineRTDCRunTimes.py" --tripid 901-17 --locoid 4014 --swversion DE.1.0.9.0 --startMP 300:29633 --initTime 2017-03-17T04:45:55 --startdatetime 2017-03-17T04:51:57 --delay 5 --endMP 300:58986 --enddatetime 2017-03-17T04:59:19 --enforcementcount 0 &gt;&gt;C:\Users\stu\Documents\GitHub\eaglep3-reporting\EC\2017-03-17-refined-times.txt</v>
      </c>
      <c r="AI218" s="108" t="str">
        <f t="shared" si="71"/>
        <v>echo {"issue":{"subject":"","project_id":79,"tracker_id":40,"status_id":1,"priority_id":2,"assigned_to_id":23,"start_date":"2017-03-17","description":"","custom_fields":[{"id":1,"name":"Subdivision","value":"Other"},{"id":4,"name":"Milepost","value":"5.8986"},{"id":17,"name":"Train ID","value":"901-17"},{"id":16,"name":"Locomotive ID","value":"4014"},{"id":130,"name":"Impact","value":""},{"id":150,"name":"Time of Event (Mountain Time)","value":"04:59:19"},{"id":151,"name":"Denver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48"/>
      <c r="AK218" s="48"/>
      <c r="AL218" s="48"/>
      <c r="AM218" s="154" t="str">
        <f t="shared" si="72"/>
        <v>start /low /b %USERPROFILE%\Documents\GitHub\eaglep3\Utilities\DownloadLogsFromS3.py --loco 4014 --day 2017-03-17</v>
      </c>
      <c r="AN218" s="163" t="str">
        <f>"grep -SE -B400 ""CHR.+\|PRM\|1\|D.+(SWITCH|SIGNAL).+UNKNOWN"" "&amp;search_path&amp;"\RTDC"&amp;B218&amp;"\*"&amp;B218&amp;"*"&amp;TEXT(AVERAGE(F218,I218)-utc_offset/24,"YYYYMMDD")&amp;"*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"%USERPROFILE%\AppData\Local\Temp\OnboardLogs"\RTDC4014\*4014*20170317* | grep -SE "(Enforcement Action)|(\[TIMEOUT)|(CHR.+\|PRM\|1\|D.+(SWITCH|SIGNAL).+UNKNOWN)" - &gt;&gt; 2017-03-17-UncaughtWiMAX.txt</v>
      </c>
    </row>
    <row r="219" spans="1:40" x14ac:dyDescent="0.25">
      <c r="A219" s="33" t="s">
        <v>669</v>
      </c>
      <c r="B219" s="7">
        <v>4043</v>
      </c>
      <c r="C219" s="21" t="s">
        <v>227</v>
      </c>
      <c r="D219" s="21" t="s">
        <v>999</v>
      </c>
      <c r="E219" s="13">
        <v>42811.244664351849</v>
      </c>
      <c r="F219" s="13">
        <v>42811.255046296297</v>
      </c>
      <c r="G219" s="7">
        <v>14</v>
      </c>
      <c r="H219" s="21" t="s">
        <v>1000</v>
      </c>
      <c r="I219" s="13">
        <v>42811.260289351849</v>
      </c>
      <c r="J219" s="7">
        <v>0</v>
      </c>
      <c r="K219" s="98" t="str">
        <f t="shared" si="74"/>
        <v>4043/4044</v>
      </c>
      <c r="L219" s="21" t="str">
        <f>VLOOKUP(A219,'Trips&amp;Operators'!$C$1:$G$99999,5,FALSE)</f>
        <v>SHOOK JOHN</v>
      </c>
      <c r="M219" s="6">
        <f t="shared" si="75"/>
        <v>5.2430555515456945E-3</v>
      </c>
      <c r="N219" s="7">
        <f t="shared" si="68"/>
        <v>7.5499999942258</v>
      </c>
      <c r="O219" s="7"/>
      <c r="P219" s="7"/>
      <c r="Q219" s="22"/>
      <c r="R219" s="22"/>
      <c r="S219" s="31">
        <f t="shared" si="103"/>
        <v>1</v>
      </c>
      <c r="T219" s="46" t="str">
        <f t="shared" si="76"/>
        <v>Southbound</v>
      </c>
      <c r="U219" s="185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186" t="str">
        <f t="shared" si="77"/>
        <v>https://d0f6bd738d7f1b3e5a7ca70fe4ff75f0.us-east-1.aws.found.io/app/kibana#/discover/Steve-Slow-Train-Analysis-(2080s-and-2083s)?_g=(refreshInterval:(display:Off,pause:!f,section:0,value:0),time:(from:'2017-03-17T04:52:19-0600',mode:absolute,to:'2017-03-17T07:14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19" s="187" t="str">
        <f t="shared" si="78"/>
        <v>Y</v>
      </c>
      <c r="X219" s="187">
        <f t="shared" si="73"/>
        <v>1</v>
      </c>
      <c r="Y219" s="62">
        <f t="shared" si="79"/>
        <v>2.2768000000000002</v>
      </c>
      <c r="Z219" s="62">
        <f t="shared" si="80"/>
        <v>7.3999999999999996E-2</v>
      </c>
      <c r="AA219" s="62">
        <f t="shared" si="81"/>
        <v>2.2028000000000003</v>
      </c>
      <c r="AB219" s="59" t="e">
        <f>VLOOKUP(A219,Enforcements!$C$7:$K$13,8,0)</f>
        <v>#N/A</v>
      </c>
      <c r="AC219" s="55" t="e">
        <f>VLOOKUP(A219,Enforcements!$C$7:$E$13,3,0)</f>
        <v>#N/A</v>
      </c>
      <c r="AD219" s="56" t="str">
        <f t="shared" si="82"/>
        <v>0902-17</v>
      </c>
      <c r="AE219" s="85" t="str">
        <f t="shared" si="83"/>
        <v>aws s3 cp s3://rtdc.mdm.uploadarchive.raw/RTDC4043/ "%USERPROFILE%\AppData\Local\Temp\OnboardLogs"\RTDC4043\2017-03-17 --exclude "*" --recursive --include "*20170317*" &amp; "%USERPROFILE%\Documents\GitHub\mrs-test-scripts\Headless Mode &amp; Sideloading\WalkAndUnGZ.bat" "%USERPROFILE%\AppData\Local\Temp\OnboardLogs"\RTDC4043\2017-03-17 &amp; aws s3 cp s3://rtdc.mdm.uploadarchive.raw/RTDC4043/ "%USERPROFILE%\AppData\Local\Temp\OnboardLogs"\RTDC4043\2017-03-18 --exclude "*" --recursive --include "*20170318*" &amp; "%USERPROFILE%\Documents\GitHub\mrs-test-scripts\Headless Mode &amp; Sideloading\WalkAndUnGZ.bat" "%USERPROFILE%\AppData\Local\Temp\OnboardLogs"\RTDC4043\2017-03-18</v>
      </c>
      <c r="AF219" s="82" t="str">
        <f t="shared" si="84"/>
        <v>"C:\Program Files (x86)\AstroGrep\AstroGrep.exe" /e /r /s /spath="%USERPROFILE%\AppData\Local\Temp\OnboardLogs" /stypes="app*4043*20170317*" /stext=" 12:.+((SYSTEM_STATE.+slice.+state.+changed )|(ment ac)|(multiple cpu faults)|(system.+state.+changed )|(\[timeout)|(PRM\|1\|D)|(kpr)|(kdp)|(\|lc)|(penalty))"</v>
      </c>
      <c r="AG219" s="1" t="str">
        <f t="shared" si="85"/>
        <v>Other</v>
      </c>
      <c r="AH219" s="86" t="str">
        <f t="shared" si="70"/>
        <v>"%USERPROFILE%\Documents\GitHub\eaglep3\Utilities\RefineRTDCRunTimes.py" --tripid 902-17 --locoid 4043 --swversion DE.1.0.9.0 --startMP 300:22768 --initTime 2017-03-17T05:52:19 --startdatetime 2017-03-17T06:07:16 --delay 14 --endMP 204:740 --enddatetime 2017-03-17T06:14:49 --enforcementcount 0 &gt;&gt;C:\Users\stu\Documents\GitHub\eaglep3-reporting\EC\2017-03-17-refined-times.txt</v>
      </c>
      <c r="AI219" s="108" t="str">
        <f t="shared" si="71"/>
        <v>echo {"issue":{"subject":"","project_id":79,"tracker_id":40,"status_id":1,"priority_id":2,"assigned_to_id":23,"start_date":"2017-03-17","description":"","custom_fields":[{"id":1,"name":"Subdivision","value":"Other"},{"id":4,"name":"Milepost","value":"0.074"},{"id":17,"name":"Train ID","value":"902-17"},{"id":16,"name":"Locomotive ID","value":"4043"},{"id":130,"name":"Impact","value":""},{"id":150,"name":"Time of Event (Mountain Time)","value":"06:14:49"},{"id":151,"name":"Denver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48"/>
      <c r="AK219" s="48"/>
      <c r="AL219" s="48"/>
      <c r="AM219" s="154" t="str">
        <f t="shared" si="72"/>
        <v>start /low /b %USERPROFILE%\Documents\GitHub\eaglep3\Utilities\DownloadLogsFromS3.py --loco 4043 --day 2017-03-17</v>
      </c>
      <c r="AN219" s="163" t="str">
        <f>"grep -SE -B400 ""CHR.+\|PRM\|1\|D.+(SWITCH|SIGNAL).+UNKNOWN"" "&amp;search_path&amp;"\RTDC"&amp;B219&amp;"\*"&amp;B219&amp;"*"&amp;TEXT(AVERAGE(F219,I219)-utc_offset/24,"YYYYMMDD")&amp;"*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"%USERPROFILE%\AppData\Local\Temp\OnboardLogs"\RTDC4043\*4043*20170317* | grep -SE "(Enforcement Action)|(\[TIMEOUT)|(CHR.+\|PRM\|1\|D.+(SWITCH|SIGNAL).+UNKNOWN)" - &gt;&gt; 2017-03-17-UncaughtWiMAX.txt</v>
      </c>
    </row>
    <row r="220" spans="1:40" x14ac:dyDescent="0.25">
      <c r="A220" s="33" t="s">
        <v>701</v>
      </c>
      <c r="B220" s="7">
        <v>4044</v>
      </c>
      <c r="C220" s="21" t="s">
        <v>227</v>
      </c>
      <c r="D220" s="21" t="s">
        <v>594</v>
      </c>
      <c r="E220" s="13">
        <v>42811.354224537034</v>
      </c>
      <c r="F220" s="13">
        <v>42811.357164351852</v>
      </c>
      <c r="G220" s="7">
        <v>3</v>
      </c>
      <c r="H220" s="21" t="s">
        <v>1001</v>
      </c>
      <c r="I220" s="13">
        <v>42811.364131944443</v>
      </c>
      <c r="J220" s="7">
        <v>0</v>
      </c>
      <c r="K220" s="98" t="str">
        <f t="shared" si="74"/>
        <v>4043/4044</v>
      </c>
      <c r="L220" s="21" t="str">
        <f>VLOOKUP(A220,'Trips&amp;Operators'!$C$1:$G$99999,5,FALSE)</f>
        <v>GEBRETEKLE DAGNEW</v>
      </c>
      <c r="M220" s="6">
        <f t="shared" si="75"/>
        <v>6.9675925915362313E-3</v>
      </c>
      <c r="N220" s="7">
        <f t="shared" si="68"/>
        <v>10.033333331812173</v>
      </c>
      <c r="O220" s="7"/>
      <c r="P220" s="7"/>
      <c r="Q220" s="22"/>
      <c r="R220" s="22"/>
      <c r="S220" s="31">
        <f t="shared" si="103"/>
        <v>1</v>
      </c>
      <c r="T220" s="46" t="str">
        <f t="shared" si="76"/>
        <v>NorthBound</v>
      </c>
      <c r="U220" s="185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186" t="str">
        <f t="shared" si="77"/>
        <v>https://d0f6bd738d7f1b3e5a7ca70fe4ff75f0.us-east-1.aws.found.io/app/kibana#/discover/Steve-Slow-Train-Analysis-(2080s-and-2083s)?_g=(refreshInterval:(display:Off,pause:!f,section:0,value:0),time:(from:'2017-03-17T07:30:05-0600',mode:absolute,to:'2017-03-17T09:44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20" s="187" t="str">
        <f t="shared" si="78"/>
        <v>Y</v>
      </c>
      <c r="X220" s="187">
        <f t="shared" si="73"/>
        <v>1</v>
      </c>
      <c r="Y220" s="62">
        <f t="shared" si="79"/>
        <v>0.10249999999999999</v>
      </c>
      <c r="Z220" s="62">
        <f t="shared" si="80"/>
        <v>2.4239000000000002</v>
      </c>
      <c r="AA220" s="62">
        <f t="shared" si="81"/>
        <v>2.3214000000000001</v>
      </c>
      <c r="AB220" s="59" t="e">
        <f>VLOOKUP(A220,Enforcements!$C$7:$K$13,8,0)</f>
        <v>#N/A</v>
      </c>
      <c r="AC220" s="55" t="e">
        <f>VLOOKUP(A220,Enforcements!$C$7:$E$13,3,0)</f>
        <v>#N/A</v>
      </c>
      <c r="AD220" s="56" t="str">
        <f t="shared" si="82"/>
        <v>0903-17</v>
      </c>
      <c r="AE220" s="85" t="str">
        <f t="shared" si="83"/>
        <v>aws s3 cp s3://rtdc.mdm.uploadarchive.raw/RTDC4044/ "%USERPROFILE%\AppData\Local\Temp\OnboardLogs"\RTDC4044\2017-03-17 --exclude "*" --recursive --include "*20170317*" &amp; "%USERPROFILE%\Documents\GitHub\mrs-test-scripts\Headless Mode &amp; Sideloading\WalkAndUnGZ.bat" "%USERPROFILE%\AppData\Local\Temp\OnboardLogs"\RTDC4044\2017-03-17 &amp; aws s3 cp s3://rtdc.mdm.uploadarchive.raw/RTDC4044/ "%USERPROFILE%\AppData\Local\Temp\OnboardLogs"\RTDC4044\2017-03-18 --exclude "*" --recursive --include "*20170318*" &amp; "%USERPROFILE%\Documents\GitHub\mrs-test-scripts\Headless Mode &amp; Sideloading\WalkAndUnGZ.bat" "%USERPROFILE%\AppData\Local\Temp\OnboardLogs"\RTDC4044\2017-03-18</v>
      </c>
      <c r="AF220" s="82" t="str">
        <f t="shared" si="84"/>
        <v>"C:\Program Files (x86)\AstroGrep\AstroGrep.exe" /e /r /s /spath="%USERPROFILE%\AppData\Local\Temp\OnboardLogs" /stypes="app*4044*20170317*" /stext=" 14:.+((SYSTEM_STATE.+slice.+state.+changed )|(ment ac)|(multiple cpu faults)|(system.+state.+changed )|(\[timeout)|(PRM\|1\|D)|(kpr)|(kdp)|(\|lc)|(penalty))"</v>
      </c>
      <c r="AG220" s="1" t="str">
        <f t="shared" si="85"/>
        <v>Other</v>
      </c>
      <c r="AH220" s="86" t="str">
        <f t="shared" si="70"/>
        <v>"%USERPROFILE%\Documents\GitHub\eaglep3\Utilities\RefineRTDCRunTimes.py" --tripid 903-17 --locoid 4044 --swversion DE.1.0.9.0 --startMP 204:1025 --initTime 2017-03-17T08:30:05 --startdatetime 2017-03-17T08:34:19 --delay 3 --endMP 300:24239 --enddatetime 2017-03-17T08:44:21 --enforcementcount 0 &gt;&gt;C:\Users\stu\Documents\GitHub\eaglep3-reporting\EC\2017-03-17-refined-times.txt</v>
      </c>
      <c r="AI220" s="108" t="str">
        <f t="shared" si="71"/>
        <v>echo {"issue":{"subject":"","project_id":79,"tracker_id":40,"status_id":1,"priority_id":2,"assigned_to_id":23,"start_date":"2017-03-17","description":"","custom_fields":[{"id":1,"name":"Subdivision","value":"Other"},{"id":4,"name":"Milepost","value":"2.4239"},{"id":17,"name":"Train ID","value":"903-17"},{"id":16,"name":"Locomotive ID","value":"4044"},{"id":130,"name":"Impact","value":""},{"id":150,"name":"Time of Event (Mountain Time)","value":"08:44:21"},{"id":151,"name":"Denver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48"/>
      <c r="AK220" s="48"/>
      <c r="AL220" s="48"/>
      <c r="AM220" s="154" t="str">
        <f t="shared" si="72"/>
        <v>start /low /b %USERPROFILE%\Documents\GitHub\eaglep3\Utilities\DownloadLogsFromS3.py --loco 4044 --day 2017-03-17</v>
      </c>
      <c r="AN220" s="163" t="str">
        <f>"grep -SE -B400 ""CHR.+\|PRM\|1\|D.+(SWITCH|SIGNAL).+UNKNOWN"" "&amp;search_path&amp;"\RTDC"&amp;B220&amp;"\*"&amp;B220&amp;"*"&amp;TEXT(AVERAGE(F220,I220)-utc_offset/24,"YYYYMMDD")&amp;"*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"%USERPROFILE%\AppData\Local\Temp\OnboardLogs"\RTDC4044\*4044*20170317* | grep -SE "(Enforcement Action)|(\[TIMEOUT)|(CHR.+\|PRM\|1\|D.+(SWITCH|SIGNAL).+UNKNOWN)" - &gt;&gt; 2017-03-17-UncaughtWiMAX.txt</v>
      </c>
    </row>
    <row r="221" spans="1:40" x14ac:dyDescent="0.25">
      <c r="A221" s="33" t="s">
        <v>764</v>
      </c>
      <c r="B221" s="7">
        <v>4043</v>
      </c>
      <c r="C221" s="21" t="s">
        <v>227</v>
      </c>
      <c r="D221" s="21" t="s">
        <v>1002</v>
      </c>
      <c r="E221" s="13">
        <v>42811.642754629633</v>
      </c>
      <c r="F221" s="13">
        <v>42811.644826388889</v>
      </c>
      <c r="G221" s="7">
        <v>2</v>
      </c>
      <c r="H221" s="21" t="s">
        <v>604</v>
      </c>
      <c r="I221" s="13">
        <v>42811.650057870371</v>
      </c>
      <c r="J221" s="7">
        <v>0</v>
      </c>
      <c r="K221" s="98" t="str">
        <f t="shared" si="74"/>
        <v>4043/4044</v>
      </c>
      <c r="L221" s="21" t="str">
        <f>VLOOKUP(A221,'Trips&amp;Operators'!$C$1:$G$99999,5,FALSE)</f>
        <v>SMITH MICHAEL</v>
      </c>
      <c r="M221" s="6">
        <f t="shared" si="75"/>
        <v>5.2314814820419997E-3</v>
      </c>
      <c r="N221" s="7">
        <f t="shared" si="68"/>
        <v>7.5333333341404796</v>
      </c>
      <c r="O221" s="7"/>
      <c r="P221" s="7"/>
      <c r="Q221" s="22"/>
      <c r="R221" s="22"/>
      <c r="S221" s="31">
        <f t="shared" si="103"/>
        <v>1</v>
      </c>
      <c r="T221" s="46" t="str">
        <f t="shared" si="76"/>
        <v>Southbound</v>
      </c>
      <c r="U221" s="185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1</v>
      </c>
      <c r="V221" s="186" t="str">
        <f t="shared" si="77"/>
        <v>https://d0f6bd738d7f1b3e5a7ca70fe4ff75f0.us-east-1.aws.found.io/app/kibana#/discover/Steve-Slow-Train-Analysis-(2080s-and-2083s)?_g=(refreshInterval:(display:Off,pause:!f,section:0,value:0),time:(from:'2017-03-17T14:25:34-0600',mode:absolute,to:'2017-03-17T16:36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21" s="187" t="str">
        <f t="shared" si="78"/>
        <v>Y</v>
      </c>
      <c r="X221" s="187">
        <f t="shared" si="73"/>
        <v>1</v>
      </c>
      <c r="Y221" s="62">
        <f t="shared" si="79"/>
        <v>2.3466</v>
      </c>
      <c r="Z221" s="62">
        <f t="shared" si="80"/>
        <v>6.7500000000000004E-2</v>
      </c>
      <c r="AA221" s="62">
        <f t="shared" si="81"/>
        <v>2.2791000000000001</v>
      </c>
      <c r="AB221" s="59" t="e">
        <f>VLOOKUP(A221,Enforcements!$C$7:$K$13,8,0)</f>
        <v>#N/A</v>
      </c>
      <c r="AC221" s="55" t="e">
        <f>VLOOKUP(A221,Enforcements!$C$7:$E$13,3,0)</f>
        <v>#N/A</v>
      </c>
      <c r="AD221" s="56" t="str">
        <f t="shared" si="82"/>
        <v>0904-17</v>
      </c>
      <c r="AE221" s="85" t="str">
        <f t="shared" si="83"/>
        <v>aws s3 cp s3://rtdc.mdm.uploadarchive.raw/RTDC4043/ "%USERPROFILE%\AppData\Local\Temp\OnboardLogs"\RTDC4043\2017-03-17 --exclude "*" --recursive --include "*20170317*" &amp; "%USERPROFILE%\Documents\GitHub\mrs-test-scripts\Headless Mode &amp; Sideloading\WalkAndUnGZ.bat" "%USERPROFILE%\AppData\Local\Temp\OnboardLogs"\RTDC4043\2017-03-17 &amp; aws s3 cp s3://rtdc.mdm.uploadarchive.raw/RTDC4043/ "%USERPROFILE%\AppData\Local\Temp\OnboardLogs"\RTDC4043\2017-03-18 --exclude "*" --recursive --include "*20170318*" &amp; "%USERPROFILE%\Documents\GitHub\mrs-test-scripts\Headless Mode &amp; Sideloading\WalkAndUnGZ.bat" "%USERPROFILE%\AppData\Local\Temp\OnboardLogs"\RTDC4043\2017-03-18</v>
      </c>
      <c r="AF221" s="82" t="str">
        <f t="shared" si="84"/>
        <v>"C:\Program Files (x86)\AstroGrep\AstroGrep.exe" /e /r /s /spath="%USERPROFILE%\AppData\Local\Temp\OnboardLogs" /stypes="app*4043*20170317*" /stext=" 21:.+((SYSTEM_STATE.+slice.+state.+changed )|(ment ac)|(multiple cpu faults)|(system.+state.+changed )|(\[timeout)|(PRM\|1\|D)|(kpr)|(kdp)|(\|lc)|(penalty))"</v>
      </c>
      <c r="AG221" s="1" t="str">
        <f t="shared" si="85"/>
        <v>Other</v>
      </c>
      <c r="AH221" s="86" t="str">
        <f t="shared" si="70"/>
        <v>"%USERPROFILE%\Documents\GitHub\eaglep3\Utilities\RefineRTDCRunTimes.py" --tripid 904-17 --locoid 4043 --swversion DE.1.0.9.0 --startMP 300:23466 --initTime 2017-03-17T15:25:34 --startdatetime 2017-03-17T15:28:33 --delay 2 --endMP 204:675 --enddatetime 2017-03-17T15:36:05 --enforcementcount 0 &gt;&gt;C:\Users\stu\Documents\GitHub\eaglep3-reporting\EC\2017-03-17-refined-times.txt</v>
      </c>
      <c r="AI221" s="108" t="str">
        <f t="shared" si="71"/>
        <v>echo {"issue":{"subject":"","project_id":79,"tracker_id":40,"status_id":1,"priority_id":2,"assigned_to_id":23,"start_date":"2017-03-17","description":"","custom_fields":[{"id":1,"name":"Subdivision","value":"Other"},{"id":4,"name":"Milepost","value":"0.0675"},{"id":17,"name":"Train ID","value":"904-17"},{"id":16,"name":"Locomotive ID","value":"4043"},{"id":130,"name":"Impact","value":""},{"id":150,"name":"Time of Event (Mountain Time)","value":"15:36:05"},{"id":151,"name":"Denver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48"/>
      <c r="AK221" s="48"/>
      <c r="AL221" s="48"/>
      <c r="AM221" s="154" t="str">
        <f t="shared" si="72"/>
        <v>start /low /b %USERPROFILE%\Documents\GitHub\eaglep3\Utilities\DownloadLogsFromS3.py --loco 4043 --day 2017-03-17</v>
      </c>
      <c r="AN221" s="163" t="str">
        <f>"grep -SE -B400 ""CHR.+\|PRM\|1\|D.+(SWITCH|SIGNAL).+UNKNOWN"" "&amp;search_path&amp;"\RTDC"&amp;B221&amp;"\*"&amp;B221&amp;"*"&amp;TEXT(AVERAGE(F221,I221)-utc_offset/24,"YYYYMMDD")&amp;"*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"%USERPROFILE%\AppData\Local\Temp\OnboardLogs"\RTDC4043\*4043*20170317* | grep -SE "(Enforcement Action)|(\[TIMEOUT)|(CHR.+\|PRM\|1\|D.+(SWITCH|SIGNAL).+UNKNOWN)" - &gt;&gt; 2017-03-17-UncaughtWiMAX.txt</v>
      </c>
    </row>
    <row r="222" spans="1:40" x14ac:dyDescent="0.25">
      <c r="A222" s="33" t="s">
        <v>643</v>
      </c>
      <c r="B222" s="7">
        <v>4043</v>
      </c>
      <c r="C222" s="21" t="s">
        <v>227</v>
      </c>
      <c r="D222" s="21" t="s">
        <v>1003</v>
      </c>
      <c r="E222" s="13">
        <v>42811.796527777777</v>
      </c>
      <c r="F222" s="13">
        <v>42811.797951388886</v>
      </c>
      <c r="G222" s="7">
        <v>1</v>
      </c>
      <c r="H222" s="21" t="s">
        <v>1004</v>
      </c>
      <c r="I222" s="13">
        <v>42811.80541666667</v>
      </c>
      <c r="J222" s="7">
        <v>0</v>
      </c>
      <c r="K222" s="98" t="str">
        <f t="shared" si="74"/>
        <v>4043/4044</v>
      </c>
      <c r="L222" s="21" t="str">
        <f>VLOOKUP(A222,'Trips&amp;Operators'!$C$1:$G$99999,5,FALSE)</f>
        <v>SMITH MICHAEL</v>
      </c>
      <c r="M222" s="6">
        <f t="shared" si="75"/>
        <v>7.4652777839219198E-3</v>
      </c>
      <c r="N222" s="7">
        <f t="shared" si="68"/>
        <v>10.750000008847564</v>
      </c>
      <c r="O222" s="7"/>
      <c r="P222" s="7"/>
      <c r="Q222" s="22"/>
      <c r="R222" s="22"/>
      <c r="S222" s="31">
        <f t="shared" si="103"/>
        <v>0</v>
      </c>
      <c r="T222" s="46" t="str">
        <f t="shared" si="76"/>
        <v>Southbound</v>
      </c>
      <c r="U222" s="185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186" t="str">
        <f t="shared" si="77"/>
        <v>https://d0f6bd738d7f1b3e5a7ca70fe4ff75f0.us-east-1.aws.found.io/app/kibana#/discover/Steve-Slow-Train-Analysis-(2080s-and-2083s)?_g=(refreshInterval:(display:Off,pause:!f,section:0,value:0),time:(from:'2017-03-17T18:07:00-0600',mode:absolute,to:'2017-03-17T20:19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22" s="187" t="str">
        <f t="shared" si="78"/>
        <v>Y</v>
      </c>
      <c r="X222" s="187">
        <f t="shared" si="73"/>
        <v>2</v>
      </c>
      <c r="Y222" s="62">
        <f t="shared" si="79"/>
        <v>5.8613</v>
      </c>
      <c r="Z222" s="62">
        <f t="shared" si="80"/>
        <v>2.8788999999999998</v>
      </c>
      <c r="AA222" s="62">
        <f t="shared" si="81"/>
        <v>2.9824000000000002</v>
      </c>
      <c r="AB222" s="59" t="e">
        <f>VLOOKUP(A222,Enforcements!$C$7:$K$13,8,0)</f>
        <v>#N/A</v>
      </c>
      <c r="AC222" s="55" t="e">
        <f>VLOOKUP(A222,Enforcements!$C$7:$E$13,3,0)</f>
        <v>#N/A</v>
      </c>
      <c r="AD222" s="56" t="str">
        <f t="shared" si="82"/>
        <v>0906-17</v>
      </c>
      <c r="AE222" s="85" t="str">
        <f t="shared" si="83"/>
        <v>aws s3 cp s3://rtdc.mdm.uploadarchive.raw/RTDC4043/ "%USERPROFILE%\AppData\Local\Temp\OnboardLogs"\RTDC4043\2017-03-17 --exclude "*" --recursive --include "*20170317*" &amp; "%USERPROFILE%\Documents\GitHub\mrs-test-scripts\Headless Mode &amp; Sideloading\WalkAndUnGZ.bat" "%USERPROFILE%\AppData\Local\Temp\OnboardLogs"\RTDC4043\2017-03-17 &amp; aws s3 cp s3://rtdc.mdm.uploadarchive.raw/RTDC4043/ "%USERPROFILE%\AppData\Local\Temp\OnboardLogs"\RTDC4043\2017-03-18 --exclude "*" --recursive --include "*20170318*" &amp; "%USERPROFILE%\Documents\GitHub\mrs-test-scripts\Headless Mode &amp; Sideloading\WalkAndUnGZ.bat" "%USERPROFILE%\AppData\Local\Temp\OnboardLogs"\RTDC4043\2017-03-18</v>
      </c>
      <c r="AF222" s="82" t="str">
        <f t="shared" si="84"/>
        <v>"C:\Program Files (x86)\AstroGrep\AstroGrep.exe" /e /r /s /spath="%USERPROFILE%\AppData\Local\Temp\OnboardLogs" /stypes="app*4043*20170318*" /stext=" 01:.+((SYSTEM_STATE.+slice.+state.+changed )|(ment ac)|(multiple cpu faults)|(system.+state.+changed )|(\[timeout)|(PRM\|1\|D)|(kpr)|(kdp)|(\|lc)|(penalty))"</v>
      </c>
      <c r="AG222" s="1" t="str">
        <f t="shared" si="85"/>
        <v>Other</v>
      </c>
      <c r="AH222" s="86" t="str">
        <f t="shared" si="70"/>
        <v>"%USERPROFILE%\Documents\GitHub\eaglep3\Utilities\RefineRTDCRunTimes.py" --tripid 906-17 --locoid 4043 --swversion DE.1.0.9.0 --startMP 300:58613 --initTime 2017-03-17T19:07:00 --startdatetime 2017-03-17T19:09:03 --delay 1 --endMP 300:28789 --enddatetime 2017-03-17T19:19:48 --enforcementcount 0 &gt;&gt;C:\Users\stu\Documents\GitHub\eaglep3-reporting\EC\2017-03-17-refined-times.txt</v>
      </c>
      <c r="AI222" s="108" t="str">
        <f t="shared" si="71"/>
        <v>echo {"issue":{"subject":"","project_id":79,"tracker_id":40,"status_id":1,"priority_id":2,"assigned_to_id":23,"start_date":"2017-03-17","description":"","custom_fields":[{"id":1,"name":"Subdivision","value":"Other"},{"id":4,"name":"Milepost","value":"2.8789"},{"id":17,"name":"Train ID","value":"906-17"},{"id":16,"name":"Locomotive ID","value":"4043"},{"id":130,"name":"Impact","value":""},{"id":150,"name":"Time of Event (Mountain Time)","value":"19:19:48"},{"id":151,"name":"Denver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48"/>
      <c r="AK222" s="48"/>
      <c r="AL222" s="48"/>
      <c r="AM222" s="154" t="str">
        <f t="shared" si="72"/>
        <v>start /low /b %USERPROFILE%\Documents\GitHub\eaglep3\Utilities\DownloadLogsFromS3.py --loco 4043 --day 2017-03-17</v>
      </c>
      <c r="AN222" s="163" t="str">
        <f>"grep -SE -B400 ""CHR.+\|PRM\|1\|D.+(SWITCH|SIGNAL).+UNKNOWN"" "&amp;search_path&amp;"\RTDC"&amp;B222&amp;"\*"&amp;B222&amp;"*"&amp;TEXT(AVERAGE(F222,I222)-utc_offset/24,"YYYYMMDD")&amp;"*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"%USERPROFILE%\AppData\Local\Temp\OnboardLogs"\RTDC4043\*4043*20170318* | grep -SE "(Enforcement Action)|(\[TIMEOUT)|(CHR.+\|PRM\|1\|D.+(SWITCH|SIGNAL).+UNKNOWN)" - &gt;&gt; 2017-03-17-UncaughtWiMAX.txt</v>
      </c>
    </row>
    <row r="223" spans="1:40" x14ac:dyDescent="0.25">
      <c r="A223" s="33" t="s">
        <v>830</v>
      </c>
      <c r="B223" s="7">
        <v>4013</v>
      </c>
      <c r="C223" s="21" t="s">
        <v>227</v>
      </c>
      <c r="D223" s="21" t="s">
        <v>962</v>
      </c>
      <c r="E223" s="13">
        <v>42811.943657407406</v>
      </c>
      <c r="F223" s="13">
        <v>25568.708333333332</v>
      </c>
      <c r="G223" s="7">
        <v>1</v>
      </c>
      <c r="H223" s="21" t="s">
        <v>1005</v>
      </c>
      <c r="I223" s="13">
        <v>25568.708333333332</v>
      </c>
      <c r="J223" s="7">
        <v>0</v>
      </c>
      <c r="K223" s="98" t="str">
        <f t="shared" si="74"/>
        <v>4013/4014</v>
      </c>
      <c r="L223" s="21" t="str">
        <f>VLOOKUP(A223,'Trips&amp;Operators'!$C$1:$G$99999,5,FALSE)</f>
        <v>PERKINS DARREN</v>
      </c>
      <c r="M223" s="6">
        <f t="shared" si="75"/>
        <v>0</v>
      </c>
      <c r="N223" s="7">
        <f t="shared" si="68"/>
        <v>0</v>
      </c>
      <c r="O223" s="7"/>
      <c r="P223" s="7"/>
      <c r="Q223" s="22"/>
      <c r="R223" s="22"/>
      <c r="S223" s="31">
        <f t="shared" si="103"/>
        <v>0</v>
      </c>
      <c r="T223" s="46" t="str">
        <f t="shared" si="76"/>
        <v>Southbound</v>
      </c>
      <c r="U223" s="185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186" t="str">
        <f t="shared" si="77"/>
        <v>https://d0f6bd738d7f1b3e5a7ca70fe4ff75f0.us-east-1.aws.found.io/app/kibana#/discover/Steve-Slow-Train-Analysis-(2080s-and-2083s)?_g=(refreshInterval:(display:Off,pause:!f,section:0,value:0),time:(from:'2017-03-17T21:38:52-0600',mode:absolute,to:'1969-12-31T18:00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23" s="187" t="str">
        <f t="shared" si="78"/>
        <v>Y</v>
      </c>
      <c r="X223" s="187">
        <f t="shared" si="73"/>
        <v>2</v>
      </c>
      <c r="Y223" s="62">
        <f t="shared" si="79"/>
        <v>5.8615000000000004</v>
      </c>
      <c r="Z223" s="62">
        <f t="shared" si="80"/>
        <v>2.1457999999999999</v>
      </c>
      <c r="AA223" s="62">
        <f t="shared" si="81"/>
        <v>3.7157000000000004</v>
      </c>
      <c r="AB223" s="59" t="e">
        <f>VLOOKUP(A223,Enforcements!$C$7:$K$13,8,0)</f>
        <v>#N/A</v>
      </c>
      <c r="AC223" s="55" t="e">
        <f>VLOOKUP(A223,Enforcements!$C$7:$E$13,3,0)</f>
        <v>#N/A</v>
      </c>
      <c r="AD223" s="56" t="str">
        <f t="shared" si="82"/>
        <v>0908-17</v>
      </c>
      <c r="AE223" s="85" t="str">
        <f t="shared" si="83"/>
        <v>aws s3 cp s3://rtdc.mdm.uploadarchive.raw/RTDC4013/ "%USERPROFILE%\AppData\Local\Temp\OnboardLogs"\RTDC4013\1969-12-31 --exclude "*" --recursive --include "*19691231*" &amp; "%USERPROFILE%\Documents\GitHub\mrs-test-scripts\Headless Mode &amp; Sideloading\WalkAndUnGZ.bat" "%USERPROFILE%\AppData\Local\Temp\OnboardLogs"\RTDC4013\1969-12-31 &amp; aws s3 cp s3://rtdc.mdm.uploadarchive.raw/RTDC4013/ "%USERPROFILE%\AppData\Local\Temp\OnboardLogs"\RTDC4013\1970-01-01 --exclude "*" --recursive --include "*19700101*" &amp; "%USERPROFILE%\Documents\GitHub\mrs-test-scripts\Headless Mode &amp; Sideloading\WalkAndUnGZ.bat" "%USERPROFILE%\AppData\Local\Temp\OnboardLogs"\RTDC4013\1970-01-01</v>
      </c>
      <c r="AF223" s="82" t="str">
        <f t="shared" si="84"/>
        <v>"C:\Program Files (x86)\AstroGrep\AstroGrep.exe" /e /r /s /spath="%USERPROFILE%\AppData\Local\Temp\OnboardLogs" /stypes="app*4013*19691231*" /stext=" 23:.+((SYSTEM_STATE.+slice.+state.+changed )|(ment ac)|(multiple cpu faults)|(system.+state.+changed )|(\[timeout)|(PRM\|1\|D)|(kpr)|(kdp)|(\|lc)|(penalty))"</v>
      </c>
      <c r="AG223" s="1" t="str">
        <f t="shared" si="85"/>
        <v>Other</v>
      </c>
      <c r="AH223" s="86" t="str">
        <f t="shared" si="70"/>
        <v>"%USERPROFILE%\Documents\GitHub\eaglep3\Utilities\RefineRTDCRunTimes.py" --tripid 908-17 --locoid 4013 --swversion DE.1.0.9.0 --startMP 300:58615 --initTime 2017-03-17T22:38:52 --startdatetime 1969-12-31T17:00:00 --delay 1 --endMP 300:21458 --enddatetime 1969-12-31T17:00:00 --enforcementcount 0 &gt;&gt;C:\Users\stu\Documents\GitHub\eaglep3-reporting\EC\2017-03-17-refined-times.txt</v>
      </c>
      <c r="AI223" s="108" t="str">
        <f t="shared" si="71"/>
        <v>echo {"issue":{"subject":"","project_id":79,"tracker_id":40,"status_id":1,"priority_id":2,"assigned_to_id":23,"start_date":"1969-12-31","description":"","custom_fields":[{"id":1,"name":"Subdivision","value":"Other"},{"id":4,"name":"Milepost","value":"2.1458"},{"id":17,"name":"Train ID","value":"908-17"},{"id":16,"name":"Locomotive ID","value":"4013"},{"id":130,"name":"Impact","value":""},{"id":150,"name":"Time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48"/>
      <c r="AK223" s="48"/>
      <c r="AL223" s="48"/>
      <c r="AM223" s="154" t="str">
        <f t="shared" si="72"/>
        <v>start /low /b %USERPROFILE%\Documents\GitHub\eaglep3\Utilities\DownloadLogsFromS3.py --loco 4013 --day 1969-12-31</v>
      </c>
      <c r="AN223" s="163" t="str">
        <f>"grep -SE -B400 ""CHR.+\|PRM\|1\|D.+(SWITCH|SIGNAL).+UNKNOWN"" "&amp;search_path&amp;"\RTDC"&amp;B223&amp;"\*"&amp;B223&amp;"*"&amp;TEXT(AVERAGE(F223,I223)-utc_offset/24,"YYYYMMDD")&amp;"*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"%USERPROFILE%\AppData\Local\Temp\OnboardLogs"\RTDC4013\*4013*19691231* | grep -SE "(Enforcement Action)|(\[TIMEOUT)|(CHR.+\|PRM\|1\|D.+(SWITCH|SIGNAL).+UNKNOWN)" - &gt;&gt; 2017-03-17-UncaughtWiMAX.txt</v>
      </c>
    </row>
    <row r="224" spans="1:40" x14ac:dyDescent="0.25">
      <c r="A224" s="33" t="s">
        <v>718</v>
      </c>
      <c r="B224" s="7">
        <v>4023</v>
      </c>
      <c r="C224" s="21" t="s">
        <v>227</v>
      </c>
      <c r="D224" s="21" t="s">
        <v>935</v>
      </c>
      <c r="E224" s="13">
        <v>42811.430243055554</v>
      </c>
      <c r="F224" s="13">
        <v>42811.433865740742</v>
      </c>
      <c r="G224" s="7">
        <v>5</v>
      </c>
      <c r="H224" s="21" t="s">
        <v>603</v>
      </c>
      <c r="I224" s="13">
        <v>42811.439386574071</v>
      </c>
      <c r="J224" s="7">
        <v>0</v>
      </c>
      <c r="K224" s="98" t="str">
        <f t="shared" si="74"/>
        <v>4023/4024</v>
      </c>
      <c r="L224" s="21" t="str">
        <f>VLOOKUP(A224,'Trips&amp;Operators'!$C$1:$G$99999,5,FALSE)</f>
        <v>DE LA ROSA ALEX</v>
      </c>
      <c r="M224" s="6">
        <f t="shared" si="75"/>
        <v>5.5208333287737332E-3</v>
      </c>
      <c r="N224" s="7">
        <f t="shared" ref="N224:P234" si="104">24*60*SUM($M224:$M224)</f>
        <v>7.9499999934341758</v>
      </c>
      <c r="O224" s="7"/>
      <c r="P224" s="7"/>
      <c r="Q224" s="22"/>
      <c r="R224" s="22"/>
      <c r="S224" s="31">
        <f t="shared" si="103"/>
        <v>0</v>
      </c>
      <c r="T224" s="46" t="e">
        <f t="shared" si="76"/>
        <v>#VALUE!</v>
      </c>
      <c r="U224" s="185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186" t="str">
        <f t="shared" si="77"/>
        <v>https://d0f6bd738d7f1b3e5a7ca70fe4ff75f0.us-east-1.aws.found.io/app/kibana#/discover/Steve-Slow-Train-Analysis-(2080s-and-2083s)?_g=(refreshInterval:(display:Off,pause:!f,section:0,value:0),time:(from:'2017-03-17T09:19:33-0600',mode:absolute,to:'2017-03-17T11:32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24" s="187" t="str">
        <f t="shared" si="78"/>
        <v>Y</v>
      </c>
      <c r="X224" s="187" t="e">
        <f t="shared" si="73"/>
        <v>#VALUE!</v>
      </c>
      <c r="Y224" s="62">
        <f t="shared" si="79"/>
        <v>2.3565</v>
      </c>
      <c r="Z224" s="62">
        <f t="shared" si="80"/>
        <v>1.4800000000000001E-2</v>
      </c>
      <c r="AA224" s="62">
        <f t="shared" si="81"/>
        <v>2.3416999999999999</v>
      </c>
      <c r="AB224" s="59" t="e">
        <f>VLOOKUP(A224,Enforcements!$C$7:$K$13,8,0)</f>
        <v>#N/A</v>
      </c>
      <c r="AC224" s="55" t="e">
        <f>VLOOKUP(A224,Enforcements!$C$7:$E$13,3,0)</f>
        <v>#N/A</v>
      </c>
      <c r="AD224" s="56" t="str">
        <f t="shared" si="82"/>
        <v>50-17</v>
      </c>
      <c r="AE224" s="85" t="str">
        <f t="shared" si="83"/>
        <v>aws s3 cp s3://rtdc.mdm.uploadarchive.raw/RTDC4023/ "%USERPROFILE%\AppData\Local\Temp\OnboardLogs"\RTDC4023\2017-03-17 --exclude "*" --recursive --include "*20170317*" &amp; "%USERPROFILE%\Documents\GitHub\mrs-test-scripts\Headless Mode &amp; Sideloading\WalkAndUnGZ.bat" "%USERPROFILE%\AppData\Local\Temp\OnboardLogs"\RTDC4023\2017-03-17 &amp; aws s3 cp s3://rtdc.mdm.uploadarchive.raw/RTDC4023/ "%USERPROFILE%\AppData\Local\Temp\OnboardLogs"\RTDC4023\2017-03-18 --exclude "*" --recursive --include "*20170318*" &amp; "%USERPROFILE%\Documents\GitHub\mrs-test-scripts\Headless Mode &amp; Sideloading\WalkAndUnGZ.bat" "%USERPROFILE%\AppData\Local\Temp\OnboardLogs"\RTDC4023\2017-03-18</v>
      </c>
      <c r="AF224" s="82" t="str">
        <f t="shared" si="84"/>
        <v>"C:\Program Files (x86)\AstroGrep\AstroGrep.exe" /e /r /s /spath="%USERPROFILE%\AppData\Local\Temp\OnboardLogs" /stypes="app*4023*20170317*" /stext=" 16:.+((SYSTEM_STATE.+slice.+state.+changed )|(ment ac)|(multiple cpu faults)|(system.+state.+changed )|(\[timeout)|(PRM\|1\|D)|(kpr)|(kdp)|(\|lc)|(penalty))"</v>
      </c>
      <c r="AG224" s="1" t="str">
        <f t="shared" si="85"/>
        <v>Other</v>
      </c>
      <c r="AH224" s="86" t="str">
        <f t="shared" si="70"/>
        <v>"%USERPROFILE%\Documents\GitHub\eaglep3\Utilities\RefineRTDCRunTimes.py" --tripid 50-17 --locoid 4023 --swversion DE.1.0.9.0 --startMP 300:23565 --initTime 2017-03-17T10:19:33 --startdatetime 2017-03-17T10:24:46 --delay 5 --endMP 204:148 --enddatetime 2017-03-17T10:32:43 --enforcementcount 0 &gt;&gt;C:\Users\stu\Documents\GitHub\eaglep3-reporting\EC\2017-03-17-refined-times.txt</v>
      </c>
      <c r="AI224" s="108" t="str">
        <f t="shared" si="71"/>
        <v>echo {"issue":{"subject":"","project_id":79,"tracker_id":40,"status_id":1,"priority_id":2,"assigned_to_id":23,"start_date":"2017-03-17","description":"","custom_fields":[{"id":1,"name":"Subdivision","value":"Other"},{"id":4,"name":"Milepost","value":"0.0148"},{"id":17,"name":"Train ID","value":"50-17"},{"id":16,"name":"Locomotive ID","value":"4023"},{"id":130,"name":"Impact","value":""},{"id":150,"name":"Time of Event (Mountain Time)","value":"10:32:43"},{"id":151,"name":"Denver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48"/>
      <c r="AK224" s="48"/>
      <c r="AL224" s="48"/>
      <c r="AM224" s="154" t="str">
        <f t="shared" si="72"/>
        <v>start /low /b %USERPROFILE%\Documents\GitHub\eaglep3\Utilities\DownloadLogsFromS3.py --loco 4023 --day 2017-03-17</v>
      </c>
      <c r="AN224" s="163" t="str">
        <f>"grep -SE -B400 ""CHR.+\|PRM\|1\|D.+(SWITCH|SIGNAL).+UNKNOWN"" "&amp;search_path&amp;"\RTDC"&amp;B224&amp;"\*"&amp;B224&amp;"*"&amp;TEXT(AVERAGE(F224,I224)-utc_offset/24,"YYYYMMDD")&amp;"*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"%USERPROFILE%\AppData\Local\Temp\OnboardLogs"\RTDC4023\*4023*20170317* | grep -SE "(Enforcement Action)|(\[TIMEOUT)|(CHR.+\|PRM\|1\|D.+(SWITCH|SIGNAL).+UNKNOWN)" - &gt;&gt; 2017-03-17-UncaughtWiMAX.txt</v>
      </c>
    </row>
    <row r="225" spans="1:40" x14ac:dyDescent="0.25">
      <c r="A225" s="33" t="s">
        <v>642</v>
      </c>
      <c r="B225" s="7">
        <v>4018</v>
      </c>
      <c r="C225" s="21" t="s">
        <v>227</v>
      </c>
      <c r="D225" s="21" t="s">
        <v>936</v>
      </c>
      <c r="E225" s="13">
        <v>42811.742164351854</v>
      </c>
      <c r="F225" s="13">
        <v>42811.76829861111</v>
      </c>
      <c r="G225" s="7">
        <v>1</v>
      </c>
      <c r="H225" s="21" t="s">
        <v>937</v>
      </c>
      <c r="I225" s="13">
        <v>42811.76840277778</v>
      </c>
      <c r="J225" s="7">
        <v>0</v>
      </c>
      <c r="K225" s="98" t="str">
        <f t="shared" si="74"/>
        <v>4017/4018</v>
      </c>
      <c r="L225" s="21" t="str">
        <f>VLOOKUP(A225,'Trips&amp;Operators'!$C$1:$G$99999,5,FALSE)</f>
        <v>BRANDNER MELINDA</v>
      </c>
      <c r="M225" s="6">
        <f t="shared" si="75"/>
        <v>1.0416666918899864E-4</v>
      </c>
      <c r="N225" s="7"/>
      <c r="O225" s="7"/>
      <c r="P225" s="7">
        <f t="shared" si="104"/>
        <v>0.15000000363215804</v>
      </c>
      <c r="Q225" s="22"/>
      <c r="R225" s="22" t="s">
        <v>1031</v>
      </c>
      <c r="S225" s="31">
        <f t="shared" si="103"/>
        <v>0</v>
      </c>
      <c r="T225" s="46" t="e">
        <f t="shared" si="76"/>
        <v>#VALUE!</v>
      </c>
      <c r="U225" s="185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186" t="str">
        <f t="shared" si="77"/>
        <v>https://d0f6bd738d7f1b3e5a7ca70fe4ff75f0.us-east-1.aws.found.io/app/kibana#/discover/Steve-Slow-Train-Analysis-(2080s-and-2083s)?_g=(refreshInterval:(display:Off,pause:!f,section:0,value:0),time:(from:'2017-03-17T16:48:43-0600',mode:absolute,to:'2017-03-17T19:26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25" s="187" t="str">
        <f t="shared" si="78"/>
        <v>Y</v>
      </c>
      <c r="X225" s="187" t="e">
        <f t="shared" si="73"/>
        <v>#VALUE!</v>
      </c>
      <c r="Y225" s="62">
        <f t="shared" si="79"/>
        <v>0.14710000000000001</v>
      </c>
      <c r="Z225" s="62">
        <f t="shared" si="80"/>
        <v>0.1784</v>
      </c>
      <c r="AA225" s="62">
        <f t="shared" si="81"/>
        <v>3.1299999999999994E-2</v>
      </c>
      <c r="AB225" s="59" t="e">
        <f>VLOOKUP(A225,Enforcements!$C$7:$K$13,8,0)</f>
        <v>#N/A</v>
      </c>
      <c r="AC225" s="55" t="e">
        <f>VLOOKUP(A225,Enforcements!$C$7:$E$13,3,0)</f>
        <v>#N/A</v>
      </c>
      <c r="AD225" s="56" t="str">
        <f t="shared" si="82"/>
        <v>55-17</v>
      </c>
      <c r="AE225" s="85" t="str">
        <f t="shared" si="83"/>
        <v>aws s3 cp s3://rtdc.mdm.uploadarchive.raw/RTDC4018/ "%USERPROFILE%\AppData\Local\Temp\OnboardLogs"\RTDC4018\2017-03-17 --exclude "*" --recursive --include "*20170317*" &amp; "%USERPROFILE%\Documents\GitHub\mrs-test-scripts\Headless Mode &amp; Sideloading\WalkAndUnGZ.bat" "%USERPROFILE%\AppData\Local\Temp\OnboardLogs"\RTDC4018\2017-03-17 &amp; aws s3 cp s3://rtdc.mdm.uploadarchive.raw/RTDC4018/ "%USERPROFILE%\AppData\Local\Temp\OnboardLogs"\RTDC4018\2017-03-18 --exclude "*" --recursive --include "*20170318*" &amp; "%USERPROFILE%\Documents\GitHub\mrs-test-scripts\Headless Mode &amp; Sideloading\WalkAndUnGZ.bat" "%USERPROFILE%\AppData\Local\Temp\OnboardLogs"\RTDC4018\2017-03-18</v>
      </c>
      <c r="AF225" s="82" t="str">
        <f t="shared" si="84"/>
        <v>"C:\Program Files (x86)\AstroGrep\AstroGrep.exe" /e /r /s /spath="%USERPROFILE%\AppData\Local\Temp\OnboardLogs" /stypes="app*4018*20170318*" /stext=" 00:.+((SYSTEM_STATE.+slice.+state.+changed )|(ment ac)|(multiple cpu faults)|(system.+state.+changed )|(\[timeout)|(PRM\|1\|D)|(kpr)|(kdp)|(\|lc)|(penalty))"</v>
      </c>
      <c r="AG225" s="1" t="str">
        <f t="shared" si="85"/>
        <v>Other</v>
      </c>
      <c r="AH225" s="86" t="str">
        <f t="shared" si="70"/>
        <v>"%USERPROFILE%\Documents\GitHub\eaglep3\Utilities\RefineRTDCRunTimes.py" --tripid 55-17 --locoid 4018 --swversion DE.1.0.9.0 --startMP 204:1471 --initTime 2017-03-17T17:48:43 --startdatetime 2017-03-17T18:26:21 --delay 1 --endMP 204:1784 --enddatetime 2017-03-17T18:26:30 --enforcementcount 0 &gt;&gt;C:\Users\stu\Documents\GitHub\eaglep3-reporting\EC\2017-03-17-refined-times.txt</v>
      </c>
      <c r="AI225" s="108" t="str">
        <f t="shared" si="71"/>
        <v>echo {"issue":{"subject":"Main 3 departure","project_id":79,"tracker_id":40,"status_id":1,"priority_id":2,"assigned_to_id":23,"start_date":"2017-03-17","description":"","custom_fields":[{"id":1,"name":"Subdivision","value":"Other"},{"id":4,"name":"Milepost","value":"0.1784"},{"id":17,"name":"Train ID","value":"55-17"},{"id":16,"name":"Locomotive ID","value":"4018"},{"id":130,"name":"Impact","value":""},{"id":150,"name":"Time of Event (Mountain Time)","value":"18:26:30"},{"id":151,"name":"Denver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48"/>
      <c r="AK225" s="48"/>
      <c r="AL225" s="48"/>
      <c r="AM225" s="154" t="str">
        <f t="shared" si="72"/>
        <v>start /low /b %USERPROFILE%\Documents\GitHub\eaglep3\Utilities\DownloadLogsFromS3.py --loco 4018 --day 2017-03-17</v>
      </c>
      <c r="AN225" s="163" t="str">
        <f>"grep -SE -B400 ""CHR.+\|PRM\|1\|D.+(SWITCH|SIGNAL).+UNKNOWN"" "&amp;search_path&amp;"\RTDC"&amp;B225&amp;"\*"&amp;B225&amp;"*"&amp;TEXT(AVERAGE(F225,I225)-utc_offset/24,"YYYYMMDD")&amp;"*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"%USERPROFILE%\AppData\Local\Temp\OnboardLogs"\RTDC4018\*4018*20170318* | grep -SE "(Enforcement Action)|(\[TIMEOUT)|(CHR.+\|PRM\|1\|D.+(SWITCH|SIGNAL).+UNKNOWN)" - &gt;&gt; 2017-03-17-UncaughtWiMAX.txt</v>
      </c>
    </row>
    <row r="226" spans="1:40" x14ac:dyDescent="0.25">
      <c r="A226" s="33" t="s">
        <v>794</v>
      </c>
      <c r="B226" s="7">
        <v>4023</v>
      </c>
      <c r="C226" s="21" t="s">
        <v>227</v>
      </c>
      <c r="D226" s="21" t="s">
        <v>938</v>
      </c>
      <c r="E226" s="13">
        <v>42811.749861111108</v>
      </c>
      <c r="F226" s="13">
        <v>42811.754236111112</v>
      </c>
      <c r="G226" s="7">
        <v>6</v>
      </c>
      <c r="H226" s="21" t="s">
        <v>928</v>
      </c>
      <c r="I226" s="13">
        <v>42811.760231481479</v>
      </c>
      <c r="J226" s="7">
        <v>0</v>
      </c>
      <c r="K226" s="98" t="str">
        <f t="shared" si="74"/>
        <v>4023/4024</v>
      </c>
      <c r="L226" s="21" t="str">
        <f>VLOOKUP(A226,'Trips&amp;Operators'!$C$1:$G$99999,5,FALSE)</f>
        <v>SWANSON BRYCE</v>
      </c>
      <c r="M226" s="6">
        <f t="shared" si="75"/>
        <v>5.9953703676001169E-3</v>
      </c>
      <c r="N226" s="7">
        <f t="shared" si="104"/>
        <v>8.6333333293441683</v>
      </c>
      <c r="O226" s="7"/>
      <c r="P226" s="7"/>
      <c r="Q226" s="22"/>
      <c r="R226" s="22"/>
      <c r="S226" s="31">
        <f t="shared" si="103"/>
        <v>0</v>
      </c>
      <c r="T226" s="46" t="e">
        <f t="shared" si="76"/>
        <v>#VALUE!</v>
      </c>
      <c r="U226" s="185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186" t="str">
        <f t="shared" si="77"/>
        <v>https://d0f6bd738d7f1b3e5a7ca70fe4ff75f0.us-east-1.aws.found.io/app/kibana#/discover/Steve-Slow-Train-Analysis-(2080s-and-2083s)?_g=(refreshInterval:(display:Off,pause:!f,section:0,value:0),time:(from:'2017-03-17T16:59:48-0600',mode:absolute,to:'2017-03-17T19:14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26" s="187" t="str">
        <f t="shared" si="78"/>
        <v>Y</v>
      </c>
      <c r="X226" s="187" t="e">
        <f t="shared" si="73"/>
        <v>#VALUE!</v>
      </c>
      <c r="Y226" s="62">
        <f t="shared" si="79"/>
        <v>2.3374999999999999</v>
      </c>
      <c r="Z226" s="62">
        <f t="shared" si="80"/>
        <v>1.1900000000000001E-2</v>
      </c>
      <c r="AA226" s="62">
        <f t="shared" si="81"/>
        <v>2.3256000000000001</v>
      </c>
      <c r="AB226" s="59" t="e">
        <f>VLOOKUP(A226,Enforcements!$C$7:$K$13,8,0)</f>
        <v>#N/A</v>
      </c>
      <c r="AC226" s="55" t="e">
        <f>VLOOKUP(A226,Enforcements!$C$7:$E$13,3,0)</f>
        <v>#N/A</v>
      </c>
      <c r="AD226" s="56" t="str">
        <f t="shared" si="82"/>
        <v>70-17</v>
      </c>
      <c r="AE226" s="85" t="str">
        <f t="shared" si="83"/>
        <v>aws s3 cp s3://rtdc.mdm.uploadarchive.raw/RTDC4023/ "%USERPROFILE%\AppData\Local\Temp\OnboardLogs"\RTDC4023\2017-03-17 --exclude "*" --recursive --include "*20170317*" &amp; "%USERPROFILE%\Documents\GitHub\mrs-test-scripts\Headless Mode &amp; Sideloading\WalkAndUnGZ.bat" "%USERPROFILE%\AppData\Local\Temp\OnboardLogs"\RTDC4023\2017-03-17 &amp; aws s3 cp s3://rtdc.mdm.uploadarchive.raw/RTDC4023/ "%USERPROFILE%\AppData\Local\Temp\OnboardLogs"\RTDC4023\2017-03-18 --exclude "*" --recursive --include "*20170318*" &amp; "%USERPROFILE%\Documents\GitHub\mrs-test-scripts\Headless Mode &amp; Sideloading\WalkAndUnGZ.bat" "%USERPROFILE%\AppData\Local\Temp\OnboardLogs"\RTDC4023\2017-03-18</v>
      </c>
      <c r="AF226" s="82" t="str">
        <f t="shared" si="84"/>
        <v>"C:\Program Files (x86)\AstroGrep\AstroGrep.exe" /e /r /s /spath="%USERPROFILE%\AppData\Local\Temp\OnboardLogs" /stypes="app*4023*20170318*" /stext=" 00:.+((SYSTEM_STATE.+slice.+state.+changed )|(ment ac)|(multiple cpu faults)|(system.+state.+changed )|(\[timeout)|(PRM\|1\|D)|(kpr)|(kdp)|(\|lc)|(penalty))"</v>
      </c>
      <c r="AG226" s="1" t="str">
        <f t="shared" si="85"/>
        <v>Other</v>
      </c>
      <c r="AH226" s="86" t="str">
        <f t="shared" si="70"/>
        <v>"%USERPROFILE%\Documents\GitHub\eaglep3\Utilities\RefineRTDCRunTimes.py" --tripid 70-17 --locoid 4023 --swversion DE.1.0.9.0 --startMP 300:23375 --initTime 2017-03-17T17:59:48 --startdatetime 2017-03-17T18:06:06 --delay 6 --endMP 204:119 --enddatetime 2017-03-17T18:14:44 --enforcementcount 0 &gt;&gt;C:\Users\stu\Documents\GitHub\eaglep3-reporting\EC\2017-03-17-refined-times.txt</v>
      </c>
      <c r="AI226" s="108" t="str">
        <f t="shared" si="71"/>
        <v>echo {"issue":{"subject":"","project_id":79,"tracker_id":40,"status_id":1,"priority_id":2,"assigned_to_id":23,"start_date":"2017-03-17","description":"","custom_fields":[{"id":1,"name":"Subdivision","value":"Other"},{"id":4,"name":"Milepost","value":"0.0119"},{"id":17,"name":"Train ID","value":"70-17"},{"id":16,"name":"Locomotive ID","value":"4023"},{"id":130,"name":"Impact","value":""},{"id":150,"name":"Time of Event (Mountain Time)","value":"18:14:44"},{"id":151,"name":"Denver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48"/>
      <c r="AK226" s="48"/>
      <c r="AL226" s="48"/>
      <c r="AM226" s="154" t="str">
        <f t="shared" si="72"/>
        <v>start /low /b %USERPROFILE%\Documents\GitHub\eaglep3\Utilities\DownloadLogsFromS3.py --loco 4023 --day 2017-03-17</v>
      </c>
      <c r="AN226" s="163" t="str">
        <f>"grep -SE -B400 ""CHR.+\|PRM\|1\|D.+(SWITCH|SIGNAL).+UNKNOWN"" "&amp;search_path&amp;"\RTDC"&amp;B226&amp;"\*"&amp;B226&amp;"*"&amp;TEXT(AVERAGE(F226,I226)-utc_offset/24,"YYYYMMDD")&amp;"*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"%USERPROFILE%\AppData\Local\Temp\OnboardLogs"\RTDC4023\*4023*20170318* | grep -SE "(Enforcement Action)|(\[TIMEOUT)|(CHR.+\|PRM\|1\|D.+(SWITCH|SIGNAL).+UNKNOWN)" - &gt;&gt; 2017-03-17-UncaughtWiMAX.txt</v>
      </c>
    </row>
    <row r="227" spans="1:40" x14ac:dyDescent="0.25">
      <c r="A227" s="33" t="s">
        <v>803</v>
      </c>
      <c r="B227" s="7">
        <v>4024</v>
      </c>
      <c r="C227" s="21" t="s">
        <v>227</v>
      </c>
      <c r="D227" s="21" t="s">
        <v>939</v>
      </c>
      <c r="E227" s="13">
        <v>42811.774027777778</v>
      </c>
      <c r="F227" s="13">
        <v>42811.776331018518</v>
      </c>
      <c r="G227" s="7">
        <v>1</v>
      </c>
      <c r="H227" s="21" t="s">
        <v>483</v>
      </c>
      <c r="I227" s="13">
        <v>42811.783460648148</v>
      </c>
      <c r="J227" s="7">
        <v>0</v>
      </c>
      <c r="K227" s="98" t="str">
        <f t="shared" si="74"/>
        <v>4023/4024</v>
      </c>
      <c r="L227" s="21" t="str">
        <f>VLOOKUP(A227,'Trips&amp;Operators'!$C$1:$G$99999,5,FALSE)</f>
        <v>CLARK KATHLEEN</v>
      </c>
      <c r="M227" s="6">
        <f t="shared" si="75"/>
        <v>7.1296296300715767E-3</v>
      </c>
      <c r="N227" s="7">
        <f t="shared" si="104"/>
        <v>10.26666666730307</v>
      </c>
      <c r="O227" s="7"/>
      <c r="P227" s="7"/>
      <c r="Q227" s="22"/>
      <c r="R227" s="22"/>
      <c r="S227" s="31">
        <f t="shared" si="103"/>
        <v>0</v>
      </c>
      <c r="T227" s="46" t="e">
        <f t="shared" si="76"/>
        <v>#VALUE!</v>
      </c>
      <c r="U227" s="185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186" t="str">
        <f t="shared" si="77"/>
        <v>https://d0f6bd738d7f1b3e5a7ca70fe4ff75f0.us-east-1.aws.found.io/app/kibana#/discover/Steve-Slow-Train-Analysis-(2080s-and-2083s)?_g=(refreshInterval:(display:Off,pause:!f,section:0,value:0),time:(from:'2017-03-17T17:34:36-0600',mode:absolute,to:'2017-03-17T19:48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27" s="187" t="str">
        <f t="shared" si="78"/>
        <v>Y</v>
      </c>
      <c r="X227" s="187" t="e">
        <f t="shared" si="73"/>
        <v>#VALUE!</v>
      </c>
      <c r="Y227" s="62">
        <f t="shared" si="79"/>
        <v>4.19E-2</v>
      </c>
      <c r="Z227" s="62">
        <f t="shared" si="80"/>
        <v>2.3308</v>
      </c>
      <c r="AA227" s="62">
        <f t="shared" si="81"/>
        <v>2.2888999999999999</v>
      </c>
      <c r="AB227" s="59" t="e">
        <f>VLOOKUP(A227,Enforcements!$C$7:$K$13,8,0)</f>
        <v>#N/A</v>
      </c>
      <c r="AC227" s="55" t="e">
        <f>VLOOKUP(A227,Enforcements!$C$7:$E$13,3,0)</f>
        <v>#N/A</v>
      </c>
      <c r="AD227" s="56" t="str">
        <f t="shared" si="82"/>
        <v>71-17</v>
      </c>
      <c r="AE227" s="85" t="str">
        <f t="shared" si="83"/>
        <v>aws s3 cp s3://rtdc.mdm.uploadarchive.raw/RTDC4024/ "%USERPROFILE%\AppData\Local\Temp\OnboardLogs"\RTDC4024\2017-03-17 --exclude "*" --recursive --include "*20170317*" &amp; "%USERPROFILE%\Documents\GitHub\mrs-test-scripts\Headless Mode &amp; Sideloading\WalkAndUnGZ.bat" "%USERPROFILE%\AppData\Local\Temp\OnboardLogs"\RTDC4024\2017-03-17 &amp; aws s3 cp s3://rtdc.mdm.uploadarchive.raw/RTDC4024/ "%USERPROFILE%\AppData\Local\Temp\OnboardLogs"\RTDC4024\2017-03-18 --exclude "*" --recursive --include "*20170318*" &amp; "%USERPROFILE%\Documents\GitHub\mrs-test-scripts\Headless Mode &amp; Sideloading\WalkAndUnGZ.bat" "%USERPROFILE%\AppData\Local\Temp\OnboardLogs"\RTDC4024\2017-03-18</v>
      </c>
      <c r="AF227" s="82" t="str">
        <f t="shared" si="84"/>
        <v>"C:\Program Files (x86)\AstroGrep\AstroGrep.exe" /e /r /s /spath="%USERPROFILE%\AppData\Local\Temp\OnboardLogs" /stypes="app*4024*20170318*" /stext=" 00:.+((SYSTEM_STATE.+slice.+state.+changed )|(ment ac)|(multiple cpu faults)|(system.+state.+changed )|(\[timeout)|(PRM\|1\|D)|(kpr)|(kdp)|(\|lc)|(penalty))"</v>
      </c>
      <c r="AG227" s="1" t="str">
        <f t="shared" si="85"/>
        <v>Other</v>
      </c>
      <c r="AH227" s="86" t="str">
        <f t="shared" si="70"/>
        <v>"%USERPROFILE%\Documents\GitHub\eaglep3\Utilities\RefineRTDCRunTimes.py" --tripid 71-17 --locoid 4024 --swversion DE.1.0.9.0 --startMP 204:419 --initTime 2017-03-17T18:34:36 --startdatetime 2017-03-17T18:37:55 --delay 1 --endMP 300:23308 --enddatetime 2017-03-17T18:48:11 --enforcementcount 0 &gt;&gt;C:\Users\stu\Documents\GitHub\eaglep3-reporting\EC\2017-03-17-refined-times.txt</v>
      </c>
      <c r="AI227" s="108" t="str">
        <f t="shared" si="71"/>
        <v>echo {"issue":{"subject":"","project_id":79,"tracker_id":40,"status_id":1,"priority_id":2,"assigned_to_id":23,"start_date":"2017-03-17","description":"","custom_fields":[{"id":1,"name":"Subdivision","value":"Other"},{"id":4,"name":"Milepost","value":"2.3308"},{"id":17,"name":"Train ID","value":"71-17"},{"id":16,"name":"Locomotive ID","value":"4024"},{"id":130,"name":"Impact","value":""},{"id":150,"name":"Time of Event (Mountain Time)","value":"18:48:11"},{"id":151,"name":"Denver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48"/>
      <c r="AK227" s="48"/>
      <c r="AL227" s="48"/>
      <c r="AM227" s="154" t="str">
        <f t="shared" si="72"/>
        <v>start /low /b %USERPROFILE%\Documents\GitHub\eaglep3\Utilities\DownloadLogsFromS3.py --loco 4024 --day 2017-03-17</v>
      </c>
      <c r="AN227" s="163" t="str">
        <f>"grep -SE -B400 ""CHR.+\|PRM\|1\|D.+(SWITCH|SIGNAL).+UNKNOWN"" "&amp;search_path&amp;"\RTDC"&amp;B227&amp;"\*"&amp;B227&amp;"*"&amp;TEXT(AVERAGE(F227,I227)-utc_offset/24,"YYYYMMDD")&amp;"*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"%USERPROFILE%\AppData\Local\Temp\OnboardLogs"\RTDC4024\*4024*20170318* | grep -SE "(Enforcement Action)|(\[TIMEOUT)|(CHR.+\|PRM\|1\|D.+(SWITCH|SIGNAL).+UNKNOWN)" - &gt;&gt; 2017-03-17-UncaughtWiMAX.txt</v>
      </c>
    </row>
    <row r="228" spans="1:40" x14ac:dyDescent="0.25">
      <c r="A228" s="33" t="s">
        <v>790</v>
      </c>
      <c r="B228" s="7">
        <v>4045</v>
      </c>
      <c r="C228" s="21" t="s">
        <v>227</v>
      </c>
      <c r="D228" s="21" t="s">
        <v>940</v>
      </c>
      <c r="E228" s="13">
        <v>42811.745740740742</v>
      </c>
      <c r="F228" s="13">
        <v>42811.748229166667</v>
      </c>
      <c r="G228" s="7">
        <v>3</v>
      </c>
      <c r="H228" s="21" t="s">
        <v>941</v>
      </c>
      <c r="I228" s="13">
        <v>42811.753564814811</v>
      </c>
      <c r="J228" s="7">
        <v>0</v>
      </c>
      <c r="K228" s="98" t="str">
        <f t="shared" si="74"/>
        <v>4045/4046</v>
      </c>
      <c r="L228" s="21" t="str">
        <f>VLOOKUP(A228,'Trips&amp;Operators'!$C$1:$G$99999,5,FALSE)</f>
        <v>SAFIEF AEIMEN</v>
      </c>
      <c r="M228" s="6">
        <f t="shared" si="75"/>
        <v>5.3356481439550407E-3</v>
      </c>
      <c r="N228" s="7">
        <f t="shared" si="104"/>
        <v>7.6833333272952586</v>
      </c>
      <c r="O228" s="7"/>
      <c r="P228" s="7"/>
      <c r="Q228" s="22"/>
      <c r="R228" s="22"/>
      <c r="S228" s="31">
        <f t="shared" si="103"/>
        <v>0</v>
      </c>
      <c r="T228" s="46" t="e">
        <f t="shared" si="76"/>
        <v>#VALUE!</v>
      </c>
      <c r="U228" s="185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186" t="str">
        <f t="shared" si="77"/>
        <v>https://d0f6bd738d7f1b3e5a7ca70fe4ff75f0.us-east-1.aws.found.io/app/kibana#/discover/Steve-Slow-Train-Analysis-(2080s-and-2083s)?_g=(refreshInterval:(display:Off,pause:!f,section:0,value:0),time:(from:'2017-03-17T16:53:52-0600',mode:absolute,to:'2017-03-17T19:05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28" s="187" t="str">
        <f t="shared" si="78"/>
        <v>Y</v>
      </c>
      <c r="X228" s="187" t="e">
        <f t="shared" si="73"/>
        <v>#VALUE!</v>
      </c>
      <c r="Y228" s="62">
        <f t="shared" si="79"/>
        <v>2.2132000000000001</v>
      </c>
      <c r="Z228" s="62">
        <f t="shared" si="80"/>
        <v>9.1499999999999998E-2</v>
      </c>
      <c r="AA228" s="62">
        <f t="shared" si="81"/>
        <v>2.1217000000000001</v>
      </c>
      <c r="AB228" s="59" t="e">
        <f>VLOOKUP(A228,Enforcements!$C$7:$K$13,8,0)</f>
        <v>#N/A</v>
      </c>
      <c r="AC228" s="55" t="e">
        <f>VLOOKUP(A228,Enforcements!$C$7:$E$13,3,0)</f>
        <v>#N/A</v>
      </c>
      <c r="AD228" s="56" t="str">
        <f t="shared" si="82"/>
        <v>74-17</v>
      </c>
      <c r="AE228" s="85" t="str">
        <f t="shared" si="83"/>
        <v>aws s3 cp s3://rtdc.mdm.uploadarchive.raw/RTDC4045/ "%USERPROFILE%\AppData\Local\Temp\OnboardLogs"\RTDC4045\2017-03-17 --exclude "*" --recursive --include "*20170317*" &amp; "%USERPROFILE%\Documents\GitHub\mrs-test-scripts\Headless Mode &amp; Sideloading\WalkAndUnGZ.bat" "%USERPROFILE%\AppData\Local\Temp\OnboardLogs"\RTDC4045\2017-03-17 &amp; aws s3 cp s3://rtdc.mdm.uploadarchive.raw/RTDC4045/ "%USERPROFILE%\AppData\Local\Temp\OnboardLogs"\RTDC4045\2017-03-18 --exclude "*" --recursive --include "*20170318*" &amp; "%USERPROFILE%\Documents\GitHub\mrs-test-scripts\Headless Mode &amp; Sideloading\WalkAndUnGZ.bat" "%USERPROFILE%\AppData\Local\Temp\OnboardLogs"\RTDC4045\2017-03-18</v>
      </c>
      <c r="AF228" s="82" t="str">
        <f t="shared" si="84"/>
        <v>"C:\Program Files (x86)\AstroGrep\AstroGrep.exe" /e /r /s /spath="%USERPROFILE%\AppData\Local\Temp\OnboardLogs" /stypes="app*4045*20170318*" /stext=" 00:.+((SYSTEM_STATE.+slice.+state.+changed )|(ment ac)|(multiple cpu faults)|(system.+state.+changed )|(\[timeout)|(PRM\|1\|D)|(kpr)|(kdp)|(\|lc)|(penalty))"</v>
      </c>
      <c r="AG228" s="1" t="str">
        <f t="shared" si="85"/>
        <v>Other</v>
      </c>
      <c r="AH228" s="86" t="str">
        <f t="shared" si="70"/>
        <v>"%USERPROFILE%\Documents\GitHub\eaglep3\Utilities\RefineRTDCRunTimes.py" --tripid 74-17 --locoid 4045 --swversion DE.1.0.9.0 --startMP 300:22132 --initTime 2017-03-17T17:53:52 --startdatetime 2017-03-17T17:57:27 --delay 3 --endMP 204:915 --enddatetime 2017-03-17T18:05:08 --enforcementcount 0 &gt;&gt;C:\Users\stu\Documents\GitHub\eaglep3-reporting\EC\2017-03-17-refined-times.txt</v>
      </c>
      <c r="AI228" s="108" t="str">
        <f t="shared" si="71"/>
        <v>echo {"issue":{"subject":"","project_id":79,"tracker_id":40,"status_id":1,"priority_id":2,"assigned_to_id":23,"start_date":"2017-03-17","description":"","custom_fields":[{"id":1,"name":"Subdivision","value":"Other"},{"id":4,"name":"Milepost","value":"0.0915"},{"id":17,"name":"Train ID","value":"74-17"},{"id":16,"name":"Locomotive ID","value":"4045"},{"id":130,"name":"Impact","value":""},{"id":150,"name":"Time of Event (Mountain Time)","value":"18:05:08"},{"id":151,"name":"Denver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48"/>
      <c r="AK228" s="48"/>
      <c r="AL228" s="48"/>
      <c r="AM228" s="154" t="str">
        <f t="shared" si="72"/>
        <v>start /low /b %USERPROFILE%\Documents\GitHub\eaglep3\Utilities\DownloadLogsFromS3.py --loco 4045 --day 2017-03-17</v>
      </c>
      <c r="AN228" s="163" t="str">
        <f>"grep -SE -B400 ""CHR.+\|PRM\|1\|D.+(SWITCH|SIGNAL).+UNKNOWN"" "&amp;search_path&amp;"\RTDC"&amp;B228&amp;"\*"&amp;B228&amp;"*"&amp;TEXT(AVERAGE(F228,I228)-utc_offset/24,"YYYYMMDD")&amp;"*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"%USERPROFILE%\AppData\Local\Temp\OnboardLogs"\RTDC4045\*4045*20170318* | grep -SE "(Enforcement Action)|(\[TIMEOUT)|(CHR.+\|PRM\|1\|D.+(SWITCH|SIGNAL).+UNKNOWN)" - &gt;&gt; 2017-03-17-UncaughtWiMAX.txt</v>
      </c>
    </row>
    <row r="229" spans="1:40" x14ac:dyDescent="0.25">
      <c r="A229" s="33" t="s">
        <v>832</v>
      </c>
      <c r="B229" s="7">
        <v>4045</v>
      </c>
      <c r="C229" s="21" t="s">
        <v>227</v>
      </c>
      <c r="D229" s="21" t="s">
        <v>987</v>
      </c>
      <c r="E229" s="13">
        <v>42812.080752314818</v>
      </c>
      <c r="F229" s="13">
        <v>42812.114212962966</v>
      </c>
      <c r="G229" s="7">
        <v>1</v>
      </c>
      <c r="H229" s="21" t="s">
        <v>988</v>
      </c>
      <c r="I229" s="13">
        <v>42812.120856481481</v>
      </c>
      <c r="J229" s="7">
        <v>0</v>
      </c>
      <c r="K229" s="98" t="str">
        <f t="shared" si="74"/>
        <v>4045/4046</v>
      </c>
      <c r="L229" s="21" t="str">
        <f>VLOOKUP(A229,'Trips&amp;Operators'!$C$1:$G$99999,5,FALSE)</f>
        <v>MAGEE KENYA</v>
      </c>
      <c r="M229" s="6">
        <f t="shared" si="75"/>
        <v>6.6435185144655406E-3</v>
      </c>
      <c r="N229" s="7">
        <f t="shared" si="104"/>
        <v>9.5666666608303785</v>
      </c>
      <c r="O229" s="7"/>
      <c r="P229" s="7"/>
      <c r="Q229" s="22"/>
      <c r="R229" s="22"/>
      <c r="S229" s="31">
        <f t="shared" si="103"/>
        <v>0</v>
      </c>
      <c r="T229" s="46" t="e">
        <f t="shared" si="76"/>
        <v>#VALUE!</v>
      </c>
      <c r="U229" s="185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186" t="str">
        <f t="shared" si="77"/>
        <v>https://d0f6bd738d7f1b3e5a7ca70fe4ff75f0.us-east-1.aws.found.io/app/kibana#/discover/Steve-Slow-Train-Analysis-(2080s-and-2083s)?_g=(refreshInterval:(display:Off,pause:!f,section:0,value:0),time:(from:'2017-03-18T00:56:17-0600',mode:absolute,to:'2017-03-18T03:54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29" s="187" t="str">
        <f t="shared" si="78"/>
        <v>N</v>
      </c>
      <c r="X229" s="187" t="e">
        <f t="shared" si="73"/>
        <v>#VALUE!</v>
      </c>
      <c r="Y229" s="62">
        <f t="shared" si="79"/>
        <v>10.7189</v>
      </c>
      <c r="Z229" s="62">
        <f t="shared" si="80"/>
        <v>1.0214000000000001</v>
      </c>
      <c r="AA229" s="62">
        <f t="shared" si="81"/>
        <v>9.6974999999999998</v>
      </c>
      <c r="AB229" s="59" t="e">
        <f>VLOOKUP(A229,Enforcements!$C$7:$K$13,8,0)</f>
        <v>#N/A</v>
      </c>
      <c r="AC229" s="55" t="e">
        <f>VLOOKUP(A229,Enforcements!$C$7:$E$13,3,0)</f>
        <v>#N/A</v>
      </c>
      <c r="AD229" s="56" t="str">
        <f t="shared" si="82"/>
        <v>88-17</v>
      </c>
      <c r="AE229" s="85" t="str">
        <f t="shared" si="83"/>
        <v>aws s3 cp s3://rtdc.mdm.uploadarchive.raw/RTDC4045/ "%USERPROFILE%\AppData\Local\Temp\OnboardLogs"\RTDC4045\2017-03-18 --exclude "*" --recursive --include "*20170318*" &amp; "%USERPROFILE%\Documents\GitHub\mrs-test-scripts\Headless Mode &amp; Sideloading\WalkAndUnGZ.bat" "%USERPROFILE%\AppData\Local\Temp\OnboardLogs"\RTDC4045\2017-03-18 &amp; aws s3 cp s3://rtdc.mdm.uploadarchive.raw/RTDC4045/ "%USERPROFILE%\AppData\Local\Temp\OnboardLogs"\RTDC4045\2017-03-19 --exclude "*" --recursive --include "*20170319*" &amp; "%USERPROFILE%\Documents\GitHub\mrs-test-scripts\Headless Mode &amp; Sideloading\WalkAndUnGZ.bat" "%USERPROFILE%\AppData\Local\Temp\OnboardLogs"\RTDC4045\2017-03-19</v>
      </c>
      <c r="AF229" s="82" t="str">
        <f t="shared" si="84"/>
        <v>"C:\Program Files (x86)\AstroGrep\AstroGrep.exe" /e /r /s /spath="%USERPROFILE%\AppData\Local\Temp\OnboardLogs" /stypes="app*4045*20170318*" /stext=" 08:.+((SYSTEM_STATE.+slice.+state.+changed )|(ment ac)|(multiple cpu faults)|(system.+state.+changed )|(\[timeout)|(PRM\|1\|D)|(kpr)|(kdp)|(\|lc)|(penalty))"</v>
      </c>
      <c r="AG229" s="1" t="str">
        <f t="shared" si="85"/>
        <v>Other</v>
      </c>
      <c r="AH229" s="86" t="str">
        <f t="shared" si="70"/>
        <v>"%USERPROFILE%\Documents\GitHub\eaglep3\Utilities\RefineRTDCRunTimes.py" --tripid 88-17 --locoid 4045 --swversion DE.1.0.9.0 --startMP 204:107189 --initTime 2017-03-18T01:56:17 --startdatetime 2017-03-18T02:44:28 --delay 1 --endMP 204:10214 --enddatetime 2017-03-18T02:54:02 --enforcementcount 0 &gt;&gt;C:\Users\stu\Documents\GitHub\eaglep3-reporting\EC\2017-03-17-refined-times.txt</v>
      </c>
      <c r="AI229" s="108" t="str">
        <f t="shared" si="71"/>
        <v>echo {"issue":{"subject":"","project_id":79,"tracker_id":40,"status_id":1,"priority_id":2,"assigned_to_id":23,"start_date":"2017-03-18","description":"","custom_fields":[{"id":1,"name":"Subdivision","value":"Other"},{"id":4,"name":"Milepost","value":"1.0214"},{"id":17,"name":"Train ID","value":"88-17"},{"id":16,"name":"Locomotive ID","value":"4045"},{"id":130,"name":"Impact","value":""},{"id":150,"name":"Time of Event (Mountain Time)","value":"02:54:02"},{"id":151,"name":"Denver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9" s="48"/>
      <c r="AK229" s="48"/>
      <c r="AL229" s="48"/>
      <c r="AM229" s="154" t="str">
        <f t="shared" si="72"/>
        <v>start /low /b %USERPROFILE%\Documents\GitHub\eaglep3\Utilities\DownloadLogsFromS3.py --loco 4045 --day 2017-03-18</v>
      </c>
      <c r="AN229" s="163" t="str">
        <f>"grep -SE -B400 ""CHR.+\|PRM\|1\|D.+(SWITCH|SIGNAL).+UNKNOWN"" "&amp;search_path&amp;"\RTDC"&amp;B229&amp;"\*"&amp;B229&amp;"*"&amp;TEXT(AVERAGE(F229,I229)-utc_offset/24,"YYYYMMDD")&amp;"*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"%USERPROFILE%\AppData\Local\Temp\OnboardLogs"\RTDC4045\*4045*20170318* | grep -SE "(Enforcement Action)|(\[TIMEOUT)|(CHR.+\|PRM\|1\|D.+(SWITCH|SIGNAL).+UNKNOWN)" - &gt;&gt; 2017-03-17-UncaughtWiMAX.txt</v>
      </c>
    </row>
    <row r="230" spans="1:40" x14ac:dyDescent="0.25">
      <c r="A230" s="33" t="s">
        <v>832</v>
      </c>
      <c r="B230" s="7">
        <v>4045</v>
      </c>
      <c r="C230" s="21" t="s">
        <v>227</v>
      </c>
      <c r="D230" s="21" t="s">
        <v>989</v>
      </c>
      <c r="E230" s="13">
        <v>42812.11309027778</v>
      </c>
      <c r="F230" s="13">
        <v>42812.141238425924</v>
      </c>
      <c r="G230" s="7">
        <v>1</v>
      </c>
      <c r="H230" s="21" t="s">
        <v>990</v>
      </c>
      <c r="I230" s="13">
        <v>42812.142268518517</v>
      </c>
      <c r="J230" s="7">
        <v>0</v>
      </c>
      <c r="K230" s="98" t="str">
        <f t="shared" si="74"/>
        <v>4045/4046</v>
      </c>
      <c r="L230" s="21" t="str">
        <f>VLOOKUP(A230,'Trips&amp;Operators'!$C$1:$G$99999,5,FALSE)</f>
        <v>MAGEE KENYA</v>
      </c>
      <c r="M230" s="6">
        <f t="shared" si="75"/>
        <v>1.0300925932824612E-3</v>
      </c>
      <c r="N230" s="7">
        <f t="shared" si="104"/>
        <v>1.4833333343267441</v>
      </c>
      <c r="O230" s="7"/>
      <c r="P230" s="7"/>
      <c r="Q230" s="22"/>
      <c r="R230" s="22"/>
      <c r="S230" s="31">
        <f t="shared" si="103"/>
        <v>0</v>
      </c>
      <c r="T230" s="46" t="e">
        <f t="shared" si="76"/>
        <v>#VALUE!</v>
      </c>
      <c r="U230" s="185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186" t="str">
        <f t="shared" si="77"/>
        <v>https://d0f6bd738d7f1b3e5a7ca70fe4ff75f0.us-east-1.aws.found.io/app/kibana#/discover/Steve-Slow-Train-Analysis-(2080s-and-2083s)?_g=(refreshInterval:(display:Off,pause:!f,section:0,value:0),time:(from:'2017-03-18T01:42:51-0600',mode:absolute,to:'2017-03-18T04:24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30" s="187" t="str">
        <f t="shared" si="78"/>
        <v>Y</v>
      </c>
      <c r="X230" s="187" t="e">
        <f t="shared" si="73"/>
        <v>#VALUE!</v>
      </c>
      <c r="Y230" s="62">
        <f t="shared" si="79"/>
        <v>11.5914</v>
      </c>
      <c r="Z230" s="62">
        <f t="shared" si="80"/>
        <v>6.4141000000000004</v>
      </c>
      <c r="AA230" s="62">
        <f t="shared" si="81"/>
        <v>5.1772999999999998</v>
      </c>
      <c r="AB230" s="59" t="e">
        <f>VLOOKUP(A230,Enforcements!$C$7:$K$13,8,0)</f>
        <v>#N/A</v>
      </c>
      <c r="AC230" s="55" t="e">
        <f>VLOOKUP(A230,Enforcements!$C$7:$E$13,3,0)</f>
        <v>#N/A</v>
      </c>
      <c r="AD230" s="56" t="str">
        <f t="shared" si="82"/>
        <v>88-17</v>
      </c>
      <c r="AE230" s="85" t="str">
        <f t="shared" si="83"/>
        <v>aws s3 cp s3://rtdc.mdm.uploadarchive.raw/RTDC4045/ "%USERPROFILE%\AppData\Local\Temp\OnboardLogs"\RTDC4045\2017-03-18 --exclude "*" --recursive --include "*20170318*" &amp; "%USERPROFILE%\Documents\GitHub\mrs-test-scripts\Headless Mode &amp; Sideloading\WalkAndUnGZ.bat" "%USERPROFILE%\AppData\Local\Temp\OnboardLogs"\RTDC4045\2017-03-18 &amp; aws s3 cp s3://rtdc.mdm.uploadarchive.raw/RTDC4045/ "%USERPROFILE%\AppData\Local\Temp\OnboardLogs"\RTDC4045\2017-03-19 --exclude "*" --recursive --include "*20170319*" &amp; "%USERPROFILE%\Documents\GitHub\mrs-test-scripts\Headless Mode &amp; Sideloading\WalkAndUnGZ.bat" "%USERPROFILE%\AppData\Local\Temp\OnboardLogs"\RTDC4045\2017-03-19</v>
      </c>
      <c r="AF230" s="82" t="str">
        <f t="shared" si="84"/>
        <v>"C:\Program Files (x86)\AstroGrep\AstroGrep.exe" /e /r /s /spath="%USERPROFILE%\AppData\Local\Temp\OnboardLogs" /stypes="app*4045*20170318*" /stext=" 09:.+((SYSTEM_STATE.+slice.+state.+changed )|(ment ac)|(multiple cpu faults)|(system.+state.+changed )|(\[timeout)|(PRM\|1\|D)|(kpr)|(kdp)|(\|lc)|(penalty))"</v>
      </c>
      <c r="AG230" s="1" t="str">
        <f t="shared" si="85"/>
        <v>Other</v>
      </c>
      <c r="AH230" s="86" t="str">
        <f t="shared" si="70"/>
        <v>"%USERPROFILE%\Documents\GitHub\eaglep3\Utilities\RefineRTDCRunTimes.py" --tripid 88-17 --locoid 4045 --swversion DE.1.0.9.0 --startMP 204:115914 --initTime 2017-03-18T02:42:51 --startdatetime 2017-03-18T03:23:23 --delay 1 --endMP 204:64141 --enddatetime 2017-03-18T03:24:52 --enforcementcount 0 &gt;&gt;C:\Users\stu\Documents\GitHub\eaglep3-reporting\EC\2017-03-17-refined-times.txt</v>
      </c>
      <c r="AI230" s="108" t="str">
        <f t="shared" si="71"/>
        <v>echo {"issue":{"subject":"","project_id":79,"tracker_id":40,"status_id":1,"priority_id":2,"assigned_to_id":23,"start_date":"2017-03-18","description":"","custom_fields":[{"id":1,"name":"Subdivision","value":"Other"},{"id":4,"name":"Milepost","value":"6.4141"},{"id":17,"name":"Train ID","value":"88-17"},{"id":16,"name":"Locomotive ID","value":"4045"},{"id":130,"name":"Impact","value":""},{"id":150,"name":"Time of Event (Mountain Time)","value":"03:24:52"},{"id":151,"name":"Denver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0" s="48"/>
      <c r="AK230" s="48"/>
      <c r="AL230" s="48"/>
      <c r="AM230" s="154" t="str">
        <f t="shared" si="72"/>
        <v>start /low /b %USERPROFILE%\Documents\GitHub\eaglep3\Utilities\DownloadLogsFromS3.py --loco 4045 --day 2017-03-18</v>
      </c>
      <c r="AN230" s="163" t="str">
        <f>"grep -SE -B400 ""CHR.+\|PRM\|1\|D.+(SWITCH|SIGNAL).+UNKNOWN"" "&amp;search_path&amp;"\RTDC"&amp;B230&amp;"\*"&amp;B230&amp;"*"&amp;TEXT(AVERAGE(F230,I230)-utc_offset/24,"YYYYMMDD")&amp;"*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"%USERPROFILE%\AppData\Local\Temp\OnboardLogs"\RTDC4045\*4045*20170318* | grep -SE "(Enforcement Action)|(\[TIMEOUT)|(CHR.+\|PRM\|1\|D.+(SWITCH|SIGNAL).+UNKNOWN)" - &gt;&gt; 2017-03-17-UncaughtWiMAX.txt</v>
      </c>
    </row>
    <row r="231" spans="1:40" x14ac:dyDescent="0.25">
      <c r="A231" s="33" t="s">
        <v>832</v>
      </c>
      <c r="B231" s="7">
        <v>4045</v>
      </c>
      <c r="C231" s="21" t="s">
        <v>227</v>
      </c>
      <c r="D231" s="21" t="s">
        <v>991</v>
      </c>
      <c r="E231" s="13">
        <v>42812.026909722219</v>
      </c>
      <c r="F231" s="13">
        <v>42812.081921296296</v>
      </c>
      <c r="G231" s="7">
        <v>1</v>
      </c>
      <c r="H231" s="21" t="s">
        <v>992</v>
      </c>
      <c r="I231" s="13">
        <v>42812.095335648148</v>
      </c>
      <c r="J231" s="7">
        <v>0</v>
      </c>
      <c r="K231" s="98" t="str">
        <f t="shared" si="74"/>
        <v>4045/4046</v>
      </c>
      <c r="L231" s="21" t="str">
        <f>VLOOKUP(A231,'Trips&amp;Operators'!$C$1:$G$99999,5,FALSE)</f>
        <v>MAGEE KENYA</v>
      </c>
      <c r="M231" s="6">
        <f t="shared" si="75"/>
        <v>1.3414351851679385E-2</v>
      </c>
      <c r="N231" s="7">
        <f t="shared" si="104"/>
        <v>19.316666666418314</v>
      </c>
      <c r="O231" s="7"/>
      <c r="P231" s="7"/>
      <c r="Q231" s="22"/>
      <c r="R231" s="22"/>
      <c r="S231" s="31">
        <f t="shared" si="103"/>
        <v>0</v>
      </c>
      <c r="T231" s="46" t="e">
        <f t="shared" si="76"/>
        <v>#VALUE!</v>
      </c>
      <c r="U231" s="185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186" t="str">
        <f t="shared" si="77"/>
        <v>https://d0f6bd738d7f1b3e5a7ca70fe4ff75f0.us-east-1.aws.found.io/app/kibana#/discover/Steve-Slow-Train-Analysis-(2080s-and-2083s)?_g=(refreshInterval:(display:Off,pause:!f,section:0,value:0),time:(from:'2017-03-17T23:38:45-0600',mode:absolute,to:'2017-03-18T03:17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31" s="187" t="str">
        <f t="shared" si="78"/>
        <v>N</v>
      </c>
      <c r="X231" s="187" t="e">
        <f t="shared" si="73"/>
        <v>#VALUE!</v>
      </c>
      <c r="Y231" s="62">
        <f t="shared" si="79"/>
        <v>12.8005</v>
      </c>
      <c r="Z231" s="62">
        <f t="shared" si="80"/>
        <v>1.0109999999999999</v>
      </c>
      <c r="AA231" s="62">
        <f t="shared" si="81"/>
        <v>11.7895</v>
      </c>
      <c r="AB231" s="59" t="e">
        <f>VLOOKUP(A231,Enforcements!$C$7:$K$13,8,0)</f>
        <v>#N/A</v>
      </c>
      <c r="AC231" s="55" t="e">
        <f>VLOOKUP(A231,Enforcements!$C$7:$E$13,3,0)</f>
        <v>#N/A</v>
      </c>
      <c r="AD231" s="56" t="str">
        <f t="shared" si="82"/>
        <v>88-17</v>
      </c>
      <c r="AE231" s="85" t="str">
        <f t="shared" si="83"/>
        <v>aws s3 cp s3://rtdc.mdm.uploadarchive.raw/RTDC4045/ "%USERPROFILE%\AppData\Local\Temp\OnboardLogs"\RTDC4045\2017-03-18 --exclude "*" --recursive --include "*20170318*" &amp; "%USERPROFILE%\Documents\GitHub\mrs-test-scripts\Headless Mode &amp; Sideloading\WalkAndUnGZ.bat" "%USERPROFILE%\AppData\Local\Temp\OnboardLogs"\RTDC4045\2017-03-18 &amp; aws s3 cp s3://rtdc.mdm.uploadarchive.raw/RTDC4045/ "%USERPROFILE%\AppData\Local\Temp\OnboardLogs"\RTDC4045\2017-03-19 --exclude "*" --recursive --include "*20170319*" &amp; "%USERPROFILE%\Documents\GitHub\mrs-test-scripts\Headless Mode &amp; Sideloading\WalkAndUnGZ.bat" "%USERPROFILE%\AppData\Local\Temp\OnboardLogs"\RTDC4045\2017-03-19</v>
      </c>
      <c r="AF231" s="82" t="str">
        <f t="shared" si="84"/>
        <v>"C:\Program Files (x86)\AstroGrep\AstroGrep.exe" /e /r /s /spath="%USERPROFILE%\AppData\Local\Temp\OnboardLogs" /stypes="app*4045*20170318*" /stext=" 08:.+((SYSTEM_STATE.+slice.+state.+changed )|(ment ac)|(multiple cpu faults)|(system.+state.+changed )|(\[timeout)|(PRM\|1\|D)|(kpr)|(kdp)|(\|lc)|(penalty))"</v>
      </c>
      <c r="AG231" s="1" t="str">
        <f t="shared" si="85"/>
        <v>Other</v>
      </c>
      <c r="AH231" s="86" t="str">
        <f t="shared" si="70"/>
        <v>"%USERPROFILE%\Documents\GitHub\eaglep3\Utilities\RefineRTDCRunTimes.py" --tripid 88-17 --locoid 4045 --swversion DE.1.0.9.0 --startMP 204:128005 --initTime 2017-03-18T00:38:45 --startdatetime 2017-03-18T01:57:58 --delay 1 --endMP 204:10110 --enddatetime 2017-03-18T02:17:17 --enforcementcount 0 &gt;&gt;C:\Users\stu\Documents\GitHub\eaglep3-reporting\EC\2017-03-17-refined-times.txt</v>
      </c>
      <c r="AI231" s="108" t="str">
        <f t="shared" si="71"/>
        <v>echo {"issue":{"subject":"","project_id":79,"tracker_id":40,"status_id":1,"priority_id":2,"assigned_to_id":23,"start_date":"2017-03-18","description":"","custom_fields":[{"id":1,"name":"Subdivision","value":"Other"},{"id":4,"name":"Milepost","value":"1.011"},{"id":17,"name":"Train ID","value":"88-17"},{"id":16,"name":"Locomotive ID","value":"4045"},{"id":130,"name":"Impact","value":""},{"id":150,"name":"Time of Event (Mountain Time)","value":"02:17:17"},{"id":151,"name":"Denver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1" s="48"/>
      <c r="AK231" s="48"/>
      <c r="AL231" s="48"/>
      <c r="AM231" s="154" t="str">
        <f t="shared" si="72"/>
        <v>start /low /b %USERPROFILE%\Documents\GitHub\eaglep3\Utilities\DownloadLogsFromS3.py --loco 4045 --day 2017-03-18</v>
      </c>
      <c r="AN231" s="163" t="str">
        <f>"grep -SE -B400 ""CHR.+\|PRM\|1\|D.+(SWITCH|SIGNAL).+UNKNOWN"" "&amp;search_path&amp;"\RTDC"&amp;B231&amp;"\*"&amp;B231&amp;"*"&amp;TEXT(AVERAGE(F231,I231)-utc_offset/24,"YYYYMMDD")&amp;"*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"%USERPROFILE%\AppData\Local\Temp\OnboardLogs"\RTDC4045\*4045*20170318* | grep -SE "(Enforcement Action)|(\[TIMEOUT)|(CHR.+\|PRM\|1\|D.+(SWITCH|SIGNAL).+UNKNOWN)" - &gt;&gt; 2017-03-17-UncaughtWiMAX.txt</v>
      </c>
    </row>
    <row r="232" spans="1:40" x14ac:dyDescent="0.25">
      <c r="A232" s="33" t="s">
        <v>832</v>
      </c>
      <c r="B232" s="7">
        <v>4046</v>
      </c>
      <c r="C232" s="21" t="s">
        <v>227</v>
      </c>
      <c r="D232" s="21" t="s">
        <v>993</v>
      </c>
      <c r="E232" s="13">
        <v>42812.062268518515</v>
      </c>
      <c r="F232" s="13">
        <v>42812.097627314812</v>
      </c>
      <c r="G232" s="7">
        <v>1</v>
      </c>
      <c r="H232" s="21" t="s">
        <v>994</v>
      </c>
      <c r="I232" s="13">
        <v>42812.11210648148</v>
      </c>
      <c r="J232" s="7">
        <v>0</v>
      </c>
      <c r="K232" s="98" t="str">
        <f t="shared" si="74"/>
        <v>4045/4046</v>
      </c>
      <c r="L232" s="21" t="str">
        <f>VLOOKUP(A232,'Trips&amp;Operators'!$C$1:$G$99999,5,FALSE)</f>
        <v>MAGEE KENYA</v>
      </c>
      <c r="M232" s="6">
        <f t="shared" si="75"/>
        <v>1.4479166668024845E-2</v>
      </c>
      <c r="N232" s="7">
        <f t="shared" si="104"/>
        <v>20.850000001955777</v>
      </c>
      <c r="O232" s="7"/>
      <c r="P232" s="7"/>
      <c r="Q232" s="22"/>
      <c r="R232" s="22"/>
      <c r="S232" s="31">
        <f t="shared" si="103"/>
        <v>0</v>
      </c>
      <c r="T232" s="46" t="e">
        <f t="shared" si="76"/>
        <v>#VALUE!</v>
      </c>
      <c r="U232" s="185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0</v>
      </c>
      <c r="V232" s="186" t="str">
        <f t="shared" si="77"/>
        <v>https://d0f6bd738d7f1b3e5a7ca70fe4ff75f0.us-east-1.aws.found.io/app/kibana#/discover/Steve-Slow-Train-Analysis-(2080s-and-2083s)?_g=(refreshInterval:(display:Off,pause:!f,section:0,value:0),time:(from:'2017-03-18T00:29:40-0600',mode:absolute,to:'2017-03-18T03:41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32" s="187" t="str">
        <f t="shared" si="78"/>
        <v>N</v>
      </c>
      <c r="X232" s="187" t="e">
        <f t="shared" si="73"/>
        <v>#VALUE!</v>
      </c>
      <c r="Y232" s="62">
        <f t="shared" si="79"/>
        <v>1.0354000000000001</v>
      </c>
      <c r="Z232" s="62">
        <f t="shared" si="80"/>
        <v>10.751899999999999</v>
      </c>
      <c r="AA232" s="62">
        <f t="shared" si="81"/>
        <v>9.7164999999999999</v>
      </c>
      <c r="AB232" s="59" t="e">
        <f>VLOOKUP(A232,Enforcements!$C$7:$K$13,8,0)</f>
        <v>#N/A</v>
      </c>
      <c r="AC232" s="55" t="e">
        <f>VLOOKUP(A232,Enforcements!$C$7:$E$13,3,0)</f>
        <v>#N/A</v>
      </c>
      <c r="AD232" s="56" t="str">
        <f t="shared" si="82"/>
        <v>88-17</v>
      </c>
      <c r="AE232" s="85" t="str">
        <f t="shared" si="83"/>
        <v>aws s3 cp s3://rtdc.mdm.uploadarchive.raw/RTDC4046/ "%USERPROFILE%\AppData\Local\Temp\OnboardLogs"\RTDC4046\2017-03-18 --exclude "*" --recursive --include "*20170318*" &amp; "%USERPROFILE%\Documents\GitHub\mrs-test-scripts\Headless Mode &amp; Sideloading\WalkAndUnGZ.bat" "%USERPROFILE%\AppData\Local\Temp\OnboardLogs"\RTDC4046\2017-03-18 &amp; aws s3 cp s3://rtdc.mdm.uploadarchive.raw/RTDC4046/ "%USERPROFILE%\AppData\Local\Temp\OnboardLogs"\RTDC4046\2017-03-19 --exclude "*" --recursive --include "*20170319*" &amp; "%USERPROFILE%\Documents\GitHub\mrs-test-scripts\Headless Mode &amp; Sideloading\WalkAndUnGZ.bat" "%USERPROFILE%\AppData\Local\Temp\OnboardLogs"\RTDC4046\2017-03-19</v>
      </c>
      <c r="AF232" s="82" t="str">
        <f t="shared" si="84"/>
        <v>"C:\Program Files (x86)\AstroGrep\AstroGrep.exe" /e /r /s /spath="%USERPROFILE%\AppData\Local\Temp\OnboardLogs" /stypes="app*4046*20170318*" /stext=" 08:.+((SYSTEM_STATE.+slice.+state.+changed )|(ment ac)|(multiple cpu faults)|(system.+state.+changed )|(\[timeout)|(PRM\|1\|D)|(kpr)|(kdp)|(\|lc)|(penalty))"</v>
      </c>
      <c r="AG232" s="1" t="str">
        <f t="shared" si="85"/>
        <v>Other</v>
      </c>
      <c r="AH232" s="86" t="str">
        <f t="shared" si="70"/>
        <v>"%USERPROFILE%\Documents\GitHub\eaglep3\Utilities\RefineRTDCRunTimes.py" --tripid 88-17 --locoid 4046 --swversion DE.1.0.9.0 --startMP 204:10354 --initTime 2017-03-18T01:29:40 --startdatetime 2017-03-18T02:20:35 --delay 1 --endMP 204:107519 --enddatetime 2017-03-18T02:41:26 --enforcementcount 0 &gt;&gt;C:\Users\stu\Documents\GitHub\eaglep3-reporting\EC\2017-03-17-refined-times.txt</v>
      </c>
      <c r="AI232" s="108" t="str">
        <f t="shared" si="71"/>
        <v>echo {"issue":{"subject":"","project_id":79,"tracker_id":40,"status_id":1,"priority_id":2,"assigned_to_id":23,"start_date":"2017-03-18","description":"","custom_fields":[{"id":1,"name":"Subdivision","value":"Other"},{"id":4,"name":"Milepost","value":"10.7519"},{"id":17,"name":"Train ID","value":"88-17"},{"id":16,"name":"Locomotive ID","value":"4046"},{"id":130,"name":"Impact","value":""},{"id":150,"name":"Time of Event (Mountain Time)","value":"02:41:26"},{"id":151,"name":"Denver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2" s="48"/>
      <c r="AK232" s="48"/>
      <c r="AL232" s="48"/>
      <c r="AM232" s="154" t="str">
        <f t="shared" si="72"/>
        <v>start /low /b %USERPROFILE%\Documents\GitHub\eaglep3\Utilities\DownloadLogsFromS3.py --loco 4046 --day 2017-03-18</v>
      </c>
      <c r="AN232" s="163" t="str">
        <f>"grep -SE -B400 ""CHR.+\|PRM\|1\|D.+(SWITCH|SIGNAL).+UNKNOWN"" "&amp;search_path&amp;"\RTDC"&amp;B232&amp;"\*"&amp;B232&amp;"*"&amp;TEXT(AVERAGE(F232,I232)-utc_offset/24,"YYYYMMDD")&amp;"*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"%USERPROFILE%\AppData\Local\Temp\OnboardLogs"\RTDC4046\*4046*20170318* | grep -SE "(Enforcement Action)|(\[TIMEOUT)|(CHR.+\|PRM\|1\|D.+(SWITCH|SIGNAL).+UNKNOWN)" - &gt;&gt; 2017-03-17-UncaughtWiMAX.txt</v>
      </c>
    </row>
    <row r="233" spans="1:40" x14ac:dyDescent="0.25">
      <c r="A233" s="33" t="s">
        <v>832</v>
      </c>
      <c r="B233" s="7">
        <v>4046</v>
      </c>
      <c r="C233" s="21" t="s">
        <v>227</v>
      </c>
      <c r="D233" s="21" t="s">
        <v>995</v>
      </c>
      <c r="E233" s="13">
        <v>42812.096215277779</v>
      </c>
      <c r="F233" s="13">
        <v>42812.124097222222</v>
      </c>
      <c r="G233" s="7">
        <v>1</v>
      </c>
      <c r="H233" s="21" t="s">
        <v>996</v>
      </c>
      <c r="I233" s="13">
        <v>42812.136307870373</v>
      </c>
      <c r="J233" s="7">
        <v>0</v>
      </c>
      <c r="K233" s="98" t="str">
        <f t="shared" si="74"/>
        <v>4045/4046</v>
      </c>
      <c r="L233" s="21" t="str">
        <f>VLOOKUP(A233,'Trips&amp;Operators'!$C$1:$G$99999,5,FALSE)</f>
        <v>MAGEE KENYA</v>
      </c>
      <c r="M233" s="6">
        <f t="shared" si="75"/>
        <v>1.2210648150357883E-2</v>
      </c>
      <c r="N233" s="7">
        <f t="shared" si="104"/>
        <v>17.583333336515352</v>
      </c>
      <c r="O233" s="7"/>
      <c r="P233" s="7"/>
      <c r="Q233" s="22"/>
      <c r="R233" s="22"/>
      <c r="S233" s="31">
        <f t="shared" si="103"/>
        <v>0</v>
      </c>
      <c r="T233" s="46" t="e">
        <f t="shared" si="76"/>
        <v>#VALUE!</v>
      </c>
      <c r="U233" s="185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0</v>
      </c>
      <c r="V233" s="186" t="str">
        <f t="shared" si="77"/>
        <v>https://d0f6bd738d7f1b3e5a7ca70fe4ff75f0.us-east-1.aws.found.io/app/kibana#/discover/Steve-Slow-Train-Analysis-(2080s-and-2083s)?_g=(refreshInterval:(display:Off,pause:!f,section:0,value:0),time:(from:'2017-03-18T01:18:33-0600',mode:absolute,to:'2017-03-18T04:16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33" s="187" t="str">
        <f t="shared" si="78"/>
        <v>N</v>
      </c>
      <c r="X233" s="187" t="e">
        <f t="shared" si="73"/>
        <v>#VALUE!</v>
      </c>
      <c r="Y233" s="62">
        <f t="shared" si="79"/>
        <v>1.0444</v>
      </c>
      <c r="Z233" s="62">
        <f t="shared" si="80"/>
        <v>11.624000000000001</v>
      </c>
      <c r="AA233" s="62">
        <f t="shared" si="81"/>
        <v>10.579600000000001</v>
      </c>
      <c r="AB233" s="59" t="e">
        <f>VLOOKUP(A233,Enforcements!$C$7:$K$13,8,0)</f>
        <v>#N/A</v>
      </c>
      <c r="AC233" s="55" t="e">
        <f>VLOOKUP(A233,Enforcements!$C$7:$E$13,3,0)</f>
        <v>#N/A</v>
      </c>
      <c r="AD233" s="56" t="str">
        <f t="shared" si="82"/>
        <v>88-17</v>
      </c>
      <c r="AE233" s="85" t="str">
        <f t="shared" si="83"/>
        <v>aws s3 cp s3://rtdc.mdm.uploadarchive.raw/RTDC4046/ "%USERPROFILE%\AppData\Local\Temp\OnboardLogs"\RTDC4046\2017-03-18 --exclude "*" --recursive --include "*20170318*" &amp; "%USERPROFILE%\Documents\GitHub\mrs-test-scripts\Headless Mode &amp; Sideloading\WalkAndUnGZ.bat" "%USERPROFILE%\AppData\Local\Temp\OnboardLogs"\RTDC4046\2017-03-18 &amp; aws s3 cp s3://rtdc.mdm.uploadarchive.raw/RTDC4046/ "%USERPROFILE%\AppData\Local\Temp\OnboardLogs"\RTDC4046\2017-03-19 --exclude "*" --recursive --include "*20170319*" &amp; "%USERPROFILE%\Documents\GitHub\mrs-test-scripts\Headless Mode &amp; Sideloading\WalkAndUnGZ.bat" "%USERPROFILE%\AppData\Local\Temp\OnboardLogs"\RTDC4046\2017-03-19</v>
      </c>
      <c r="AF233" s="82" t="str">
        <f t="shared" si="84"/>
        <v>"C:\Program Files (x86)\AstroGrep\AstroGrep.exe" /e /r /s /spath="%USERPROFILE%\AppData\Local\Temp\OnboardLogs" /stypes="app*4046*20170318*" /stext=" 09:.+((SYSTEM_STATE.+slice.+state.+changed )|(ment ac)|(multiple cpu faults)|(system.+state.+changed )|(\[timeout)|(PRM\|1\|D)|(kpr)|(kdp)|(\|lc)|(penalty))"</v>
      </c>
      <c r="AG233" s="1" t="str">
        <f t="shared" si="85"/>
        <v>Other</v>
      </c>
      <c r="AH233" s="86" t="str">
        <f t="shared" si="70"/>
        <v>"%USERPROFILE%\Documents\GitHub\eaglep3\Utilities\RefineRTDCRunTimes.py" --tripid 88-17 --locoid 4046 --swversion DE.1.0.9.0 --startMP 204:10444 --initTime 2017-03-18T02:18:33 --startdatetime 2017-03-18T02:58:42 --delay 1 --endMP 204:116240 --enddatetime 2017-03-18T03:16:17 --enforcementcount 0 &gt;&gt;C:\Users\stu\Documents\GitHub\eaglep3-reporting\EC\2017-03-17-refined-times.txt</v>
      </c>
      <c r="AI233" s="108" t="str">
        <f t="shared" si="71"/>
        <v>echo {"issue":{"subject":"","project_id":79,"tracker_id":40,"status_id":1,"priority_id":2,"assigned_to_id":23,"start_date":"2017-03-18","description":"","custom_fields":[{"id":1,"name":"Subdivision","value":"Other"},{"id":4,"name":"Milepost","value":"11.624"},{"id":17,"name":"Train ID","value":"88-17"},{"id":16,"name":"Locomotive ID","value":"4046"},{"id":130,"name":"Impact","value":""},{"id":150,"name":"Time of Event (Mountain Time)","value":"03:16:17"},{"id":151,"name":"Denver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3" s="48"/>
      <c r="AK233" s="48"/>
      <c r="AL233" s="48"/>
      <c r="AM233" s="154" t="str">
        <f t="shared" si="72"/>
        <v>start /low /b %USERPROFILE%\Documents\GitHub\eaglep3\Utilities\DownloadLogsFromS3.py --loco 4046 --day 2017-03-18</v>
      </c>
      <c r="AN233" s="163" t="str">
        <f>"grep -SE -B400 ""CHR.+\|PRM\|1\|D.+(SWITCH|SIGNAL).+UNKNOWN"" "&amp;search_path&amp;"\RTDC"&amp;B233&amp;"\*"&amp;B233&amp;"*"&amp;TEXT(AVERAGE(F233,I233)-utc_offset/24,"YYYYMMDD")&amp;"*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"%USERPROFILE%\AppData\Local\Temp\OnboardLogs"\RTDC4046\*4046*20170318* | grep -SE "(Enforcement Action)|(\[TIMEOUT)|(CHR.+\|PRM\|1\|D.+(SWITCH|SIGNAL).+UNKNOWN)" - &gt;&gt; 2017-03-17-UncaughtWiMAX.txt</v>
      </c>
    </row>
    <row r="234" spans="1:40" x14ac:dyDescent="0.25">
      <c r="A234" s="33" t="s">
        <v>832</v>
      </c>
      <c r="B234" s="7">
        <v>4046</v>
      </c>
      <c r="C234" s="21" t="s">
        <v>227</v>
      </c>
      <c r="D234" s="21" t="s">
        <v>997</v>
      </c>
      <c r="E234" s="13">
        <v>42811.948333333334</v>
      </c>
      <c r="F234" s="13">
        <v>42812.031261574077</v>
      </c>
      <c r="G234" s="7">
        <v>3</v>
      </c>
      <c r="H234" s="21" t="s">
        <v>584</v>
      </c>
      <c r="I234" s="13">
        <v>42812.061273148145</v>
      </c>
      <c r="J234" s="7">
        <v>0</v>
      </c>
      <c r="K234" s="98" t="str">
        <f t="shared" si="74"/>
        <v>4045/4046</v>
      </c>
      <c r="L234" s="21" t="str">
        <f>VLOOKUP(A234,'Trips&amp;Operators'!$C$1:$G$99999,5,FALSE)</f>
        <v>MAGEE KENYA</v>
      </c>
      <c r="M234" s="6">
        <f t="shared" si="75"/>
        <v>3.0011574068339542E-2</v>
      </c>
      <c r="N234" s="7">
        <f t="shared" si="104"/>
        <v>43.21666665840894</v>
      </c>
      <c r="O234" s="7"/>
      <c r="P234" s="7"/>
      <c r="Q234" s="22"/>
      <c r="R234" s="22"/>
      <c r="S234" s="31">
        <f t="shared" si="103"/>
        <v>0</v>
      </c>
      <c r="T234" s="46" t="e">
        <f t="shared" si="76"/>
        <v>#VALUE!</v>
      </c>
      <c r="U234" s="185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0</v>
      </c>
      <c r="V234" s="186" t="str">
        <f t="shared" si="77"/>
        <v>https://d0f6bd738d7f1b3e5a7ca70fe4ff75f0.us-east-1.aws.found.io/app/kibana#/discover/Steve-Slow-Train-Analysis-(2080s-and-2083s)?_g=(refreshInterval:(display:Off,pause:!f,section:0,value:0),time:(from:'2017-03-17T21:45:36-0600',mode:absolute,to:'2017-03-18T02:28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34" s="187" t="str">
        <f t="shared" si="78"/>
        <v>N</v>
      </c>
      <c r="X234" s="187" t="e">
        <f t="shared" si="73"/>
        <v>#VALUE!</v>
      </c>
      <c r="Y234" s="62">
        <f t="shared" si="79"/>
        <v>0.11650000000000001</v>
      </c>
      <c r="Z234" s="62">
        <f t="shared" si="80"/>
        <v>12.827199999999999</v>
      </c>
      <c r="AA234" s="62">
        <f t="shared" si="81"/>
        <v>12.710699999999999</v>
      </c>
      <c r="AB234" s="59" t="e">
        <f>VLOOKUP(A234,Enforcements!$C$7:$K$13,8,0)</f>
        <v>#N/A</v>
      </c>
      <c r="AC234" s="55" t="e">
        <f>VLOOKUP(A234,Enforcements!$C$7:$E$13,3,0)</f>
        <v>#N/A</v>
      </c>
      <c r="AD234" s="56" t="str">
        <f t="shared" si="82"/>
        <v>88-17</v>
      </c>
      <c r="AE234" s="85" t="str">
        <f t="shared" si="83"/>
        <v>aws s3 cp s3://rtdc.mdm.uploadarchive.raw/RTDC4046/ "%USERPROFILE%\AppData\Local\Temp\OnboardLogs"\RTDC4046\2017-03-18 --exclude "*" --recursive --include "*20170318*" &amp; "%USERPROFILE%\Documents\GitHub\mrs-test-scripts\Headless Mode &amp; Sideloading\WalkAndUnGZ.bat" "%USERPROFILE%\AppData\Local\Temp\OnboardLogs"\RTDC4046\2017-03-18 &amp; aws s3 cp s3://rtdc.mdm.uploadarchive.raw/RTDC4046/ "%USERPROFILE%\AppData\Local\Temp\OnboardLogs"\RTDC4046\2017-03-19 --exclude "*" --recursive --include "*20170319*" &amp; "%USERPROFILE%\Documents\GitHub\mrs-test-scripts\Headless Mode &amp; Sideloading\WalkAndUnGZ.bat" "%USERPROFILE%\AppData\Local\Temp\OnboardLogs"\RTDC4046\2017-03-19</v>
      </c>
      <c r="AF234" s="82" t="str">
        <f t="shared" si="84"/>
        <v>"C:\Program Files (x86)\AstroGrep\AstroGrep.exe" /e /r /s /spath="%USERPROFILE%\AppData\Local\Temp\OnboardLogs" /stypes="app*4046*20170318*" /stext=" 07:.+((SYSTEM_STATE.+slice.+state.+changed )|(ment ac)|(multiple cpu faults)|(system.+state.+changed )|(\[timeout)|(PRM\|1\|D)|(kpr)|(kdp)|(\|lc)|(penalty))"</v>
      </c>
      <c r="AG234" s="1" t="str">
        <f t="shared" si="85"/>
        <v>Other</v>
      </c>
      <c r="AH234" s="86" t="str">
        <f t="shared" si="70"/>
        <v>"%USERPROFILE%\Documents\GitHub\eaglep3\Utilities\RefineRTDCRunTimes.py" --tripid 88-17 --locoid 4046 --swversion DE.1.0.9.0 --startMP 204:1165 --initTime 2017-03-17T22:45:36 --startdatetime 2017-03-18T00:45:01 --delay 3 --endMP 204:128272 --enddatetime 2017-03-18T01:28:14 --enforcementcount 0 &gt;&gt;C:\Users\stu\Documents\GitHub\eaglep3-reporting\EC\2017-03-17-refined-times.txt</v>
      </c>
      <c r="AI234" s="108" t="str">
        <f t="shared" si="71"/>
        <v>echo {"issue":{"subject":"","project_id":79,"tracker_id":40,"status_id":1,"priority_id":2,"assigned_to_id":23,"start_date":"2017-03-18","description":"","custom_fields":[{"id":1,"name":"Subdivision","value":"Other"},{"id":4,"name":"Milepost","value":"12.8272"},{"id":17,"name":"Train ID","value":"88-17"},{"id":16,"name":"Locomotive ID","value":"4046"},{"id":130,"name":"Impact","value":""},{"id":150,"name":"Time of Event (Mountain Time)","value":"01:28:14"},{"id":151,"name":"Denver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4" s="48"/>
      <c r="AK234" s="48"/>
      <c r="AL234" s="48"/>
      <c r="AM234" s="154" t="str">
        <f t="shared" si="72"/>
        <v>start /low /b %USERPROFILE%\Documents\GitHub\eaglep3\Utilities\DownloadLogsFromS3.py --loco 4046 --day 2017-03-18</v>
      </c>
      <c r="AN234" s="163" t="str">
        <f>"grep -SE -B400 ""CHR.+\|PRM\|1\|D.+(SWITCH|SIGNAL).+UNKNOWN"" "&amp;search_path&amp;"\RTDC"&amp;B234&amp;"\*"&amp;B234&amp;"*"&amp;TEXT(AVERAGE(F234,I234)-utc_offset/24,"YYYYMMDD")&amp;"*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"%USERPROFILE%\AppData\Local\Temp\OnboardLogs"\RTDC4046\*4046*20170318* | grep -SE "(Enforcement Action)|(\[TIMEOUT)|(CHR.+\|PRM\|1\|D.+(SWITCH|SIGNAL).+UNKNOWN)" - &gt;&gt; 2017-03-17-UncaughtWiMAX.txt</v>
      </c>
    </row>
    <row r="235" spans="1:40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S235"/>
      <c r="U235"/>
      <c r="V235"/>
      <c r="W235"/>
      <c r="X235"/>
      <c r="Y235"/>
      <c r="Z235"/>
      <c r="AA235"/>
      <c r="AB235"/>
      <c r="AC235"/>
      <c r="AD235"/>
      <c r="AE235"/>
      <c r="AF235"/>
      <c r="AH235"/>
      <c r="AI235"/>
      <c r="AM235"/>
    </row>
    <row r="236" spans="1:40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S236"/>
      <c r="U236"/>
      <c r="V236"/>
      <c r="W236"/>
      <c r="X236"/>
      <c r="Y236"/>
      <c r="Z236"/>
      <c r="AA236"/>
      <c r="AB236"/>
      <c r="AC236"/>
      <c r="AD236"/>
      <c r="AE236"/>
      <c r="AF236"/>
      <c r="AH236"/>
      <c r="AI236"/>
      <c r="AM236"/>
    </row>
    <row r="237" spans="1:40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S237"/>
      <c r="U237"/>
      <c r="V237"/>
      <c r="W237"/>
      <c r="X237"/>
      <c r="Y237"/>
      <c r="Z237"/>
      <c r="AA237"/>
      <c r="AB237"/>
      <c r="AC237"/>
      <c r="AD237"/>
      <c r="AE237"/>
      <c r="AF237"/>
      <c r="AH237"/>
      <c r="AI237"/>
      <c r="AM237"/>
    </row>
    <row r="238" spans="1:40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S238"/>
      <c r="U238"/>
      <c r="V238"/>
      <c r="W238"/>
      <c r="X238"/>
      <c r="Y238"/>
      <c r="Z238"/>
      <c r="AA238"/>
      <c r="AB238"/>
      <c r="AC238"/>
      <c r="AD238"/>
      <c r="AE238"/>
      <c r="AF238"/>
      <c r="AH238"/>
      <c r="AI238"/>
      <c r="AM238"/>
    </row>
    <row r="239" spans="1:40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S239"/>
      <c r="U239"/>
      <c r="V239"/>
      <c r="W239"/>
      <c r="X239"/>
      <c r="Y239"/>
      <c r="Z239"/>
      <c r="AA239"/>
      <c r="AB239"/>
      <c r="AC239"/>
      <c r="AD239"/>
      <c r="AE239"/>
      <c r="AF239"/>
      <c r="AH239"/>
      <c r="AI239"/>
      <c r="AM239"/>
    </row>
    <row r="240" spans="1:40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S240"/>
      <c r="U240"/>
      <c r="V240"/>
      <c r="W240"/>
      <c r="X240"/>
      <c r="Y240"/>
      <c r="Z240"/>
      <c r="AA240"/>
      <c r="AB240"/>
      <c r="AC240"/>
      <c r="AD240"/>
      <c r="AE240"/>
      <c r="AF240"/>
      <c r="AH240"/>
      <c r="AI240"/>
      <c r="AM240"/>
    </row>
    <row r="241" spans="1:39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S241"/>
      <c r="U241"/>
      <c r="V241"/>
      <c r="W241"/>
      <c r="X241"/>
      <c r="Y241"/>
      <c r="Z241"/>
      <c r="AA241"/>
      <c r="AB241"/>
      <c r="AC241"/>
      <c r="AD241"/>
      <c r="AE241"/>
      <c r="AF241"/>
      <c r="AH241"/>
      <c r="AI241"/>
      <c r="AM241"/>
    </row>
    <row r="242" spans="1:39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S242"/>
      <c r="U242"/>
      <c r="V242"/>
      <c r="W242"/>
      <c r="X242"/>
      <c r="Y242"/>
      <c r="Z242"/>
      <c r="AA242"/>
      <c r="AB242"/>
      <c r="AC242"/>
      <c r="AD242"/>
      <c r="AE242"/>
      <c r="AF242"/>
      <c r="AH242"/>
      <c r="AI242"/>
      <c r="AM242"/>
    </row>
    <row r="243" spans="1:39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S243"/>
      <c r="U243"/>
      <c r="V243"/>
      <c r="W243"/>
      <c r="X243"/>
      <c r="Y243"/>
      <c r="Z243"/>
      <c r="AA243"/>
      <c r="AB243"/>
      <c r="AC243"/>
      <c r="AD243"/>
      <c r="AE243"/>
      <c r="AF243"/>
      <c r="AH243"/>
      <c r="AI243"/>
      <c r="AM243"/>
    </row>
    <row r="244" spans="1:39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S244"/>
      <c r="U244"/>
      <c r="V244"/>
      <c r="W244"/>
      <c r="X244"/>
      <c r="Y244"/>
      <c r="Z244"/>
      <c r="AA244"/>
      <c r="AB244"/>
      <c r="AC244"/>
      <c r="AD244"/>
      <c r="AE244"/>
      <c r="AF244"/>
      <c r="AH244"/>
      <c r="AI244"/>
      <c r="AM244"/>
    </row>
    <row r="245" spans="1:39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S245"/>
      <c r="U245"/>
      <c r="V245"/>
      <c r="W245"/>
      <c r="X245"/>
      <c r="Y245"/>
      <c r="Z245"/>
      <c r="AA245"/>
      <c r="AB245"/>
      <c r="AC245"/>
      <c r="AD245"/>
      <c r="AE245"/>
      <c r="AF245"/>
      <c r="AH245"/>
      <c r="AI245"/>
      <c r="AM245"/>
    </row>
    <row r="246" spans="1:39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S246"/>
      <c r="U246"/>
      <c r="V246"/>
      <c r="W246"/>
      <c r="X246"/>
      <c r="Y246"/>
      <c r="Z246"/>
      <c r="AA246"/>
      <c r="AB246"/>
      <c r="AC246"/>
      <c r="AD246"/>
      <c r="AE246"/>
      <c r="AF246"/>
      <c r="AH246"/>
      <c r="AI246"/>
      <c r="AM246"/>
    </row>
    <row r="247" spans="1:39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S247"/>
      <c r="U247"/>
      <c r="V247"/>
      <c r="W247"/>
      <c r="X247"/>
      <c r="Y247"/>
      <c r="Z247"/>
      <c r="AA247"/>
      <c r="AB247"/>
      <c r="AC247"/>
      <c r="AD247"/>
      <c r="AE247"/>
      <c r="AF247"/>
      <c r="AH247"/>
      <c r="AI247"/>
      <c r="AM247"/>
    </row>
    <row r="248" spans="1:39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S248"/>
      <c r="U248"/>
      <c r="V248"/>
      <c r="W248"/>
      <c r="X248"/>
      <c r="Y248"/>
      <c r="Z248"/>
      <c r="AA248"/>
      <c r="AB248"/>
      <c r="AC248"/>
      <c r="AD248"/>
      <c r="AE248"/>
      <c r="AF248"/>
      <c r="AH248"/>
      <c r="AI248"/>
      <c r="AM248"/>
    </row>
    <row r="249" spans="1:39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S249"/>
      <c r="U249"/>
      <c r="V249"/>
      <c r="W249"/>
      <c r="X249"/>
      <c r="Y249"/>
      <c r="Z249"/>
      <c r="AA249"/>
      <c r="AB249"/>
      <c r="AC249"/>
      <c r="AD249"/>
      <c r="AE249"/>
      <c r="AF249"/>
      <c r="AH249"/>
      <c r="AI249"/>
      <c r="AM249"/>
    </row>
    <row r="250" spans="1:39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S250"/>
      <c r="U250"/>
      <c r="V250"/>
      <c r="W250"/>
      <c r="X250"/>
      <c r="Y250"/>
      <c r="Z250"/>
      <c r="AA250"/>
      <c r="AB250"/>
      <c r="AC250"/>
      <c r="AD250"/>
      <c r="AE250"/>
      <c r="AF250"/>
      <c r="AH250"/>
      <c r="AI250"/>
      <c r="AM250"/>
    </row>
    <row r="251" spans="1:39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S251"/>
      <c r="U251"/>
      <c r="V251"/>
      <c r="W251"/>
      <c r="X251"/>
      <c r="Y251"/>
      <c r="Z251"/>
      <c r="AA251"/>
      <c r="AB251"/>
      <c r="AC251"/>
      <c r="AD251"/>
      <c r="AE251"/>
      <c r="AF251"/>
      <c r="AH251"/>
      <c r="AI251"/>
      <c r="AM251"/>
    </row>
    <row r="252" spans="1:39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S252"/>
      <c r="U252"/>
      <c r="V252"/>
      <c r="W252"/>
      <c r="X252"/>
      <c r="Y252"/>
      <c r="Z252"/>
      <c r="AA252"/>
      <c r="AB252"/>
      <c r="AC252"/>
      <c r="AD252"/>
      <c r="AE252"/>
      <c r="AF252"/>
      <c r="AH252"/>
      <c r="AI252"/>
      <c r="AM252"/>
    </row>
    <row r="253" spans="1:39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S253"/>
      <c r="U253"/>
      <c r="V253"/>
      <c r="W253"/>
      <c r="X253"/>
      <c r="Y253"/>
      <c r="Z253"/>
      <c r="AA253"/>
      <c r="AB253"/>
      <c r="AC253"/>
      <c r="AD253"/>
      <c r="AE253"/>
      <c r="AF253"/>
      <c r="AH253"/>
      <c r="AI253"/>
      <c r="AM253"/>
    </row>
    <row r="254" spans="1:39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S254"/>
      <c r="U254"/>
      <c r="V254"/>
      <c r="W254"/>
      <c r="X254"/>
      <c r="Y254"/>
      <c r="Z254"/>
      <c r="AA254"/>
      <c r="AB254"/>
      <c r="AC254"/>
      <c r="AD254"/>
      <c r="AE254"/>
      <c r="AF254"/>
      <c r="AH254"/>
      <c r="AI254"/>
      <c r="AM254"/>
    </row>
    <row r="255" spans="1:39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S255"/>
      <c r="U255"/>
      <c r="V255"/>
      <c r="W255"/>
      <c r="X255"/>
      <c r="Y255"/>
      <c r="Z255"/>
      <c r="AA255"/>
      <c r="AB255"/>
      <c r="AC255"/>
      <c r="AD255"/>
      <c r="AE255"/>
      <c r="AF255"/>
      <c r="AH255"/>
      <c r="AI255"/>
      <c r="AM255"/>
    </row>
    <row r="256" spans="1:39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S256"/>
      <c r="U256"/>
      <c r="V256"/>
      <c r="W256"/>
      <c r="X256"/>
      <c r="Y256"/>
      <c r="Z256"/>
      <c r="AA256"/>
      <c r="AB256"/>
      <c r="AC256"/>
      <c r="AD256"/>
      <c r="AE256"/>
      <c r="AF256"/>
      <c r="AH256"/>
      <c r="AI256"/>
      <c r="AM256"/>
    </row>
    <row r="257" spans="1:39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S257"/>
      <c r="U257"/>
      <c r="V257"/>
      <c r="W257"/>
      <c r="X257"/>
      <c r="Y257"/>
      <c r="Z257"/>
      <c r="AA257"/>
      <c r="AB257"/>
      <c r="AC257"/>
      <c r="AD257"/>
      <c r="AE257"/>
      <c r="AF257"/>
      <c r="AH257"/>
      <c r="AI257"/>
      <c r="AM257"/>
    </row>
    <row r="258" spans="1:39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S258"/>
      <c r="U258"/>
      <c r="V258"/>
      <c r="W258"/>
      <c r="X258"/>
      <c r="Y258"/>
      <c r="Z258"/>
      <c r="AA258"/>
      <c r="AB258"/>
      <c r="AC258"/>
      <c r="AD258"/>
      <c r="AE258"/>
      <c r="AF258"/>
      <c r="AH258"/>
      <c r="AI258"/>
      <c r="AM258"/>
    </row>
    <row r="259" spans="1:39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S259"/>
      <c r="U259"/>
      <c r="V259"/>
      <c r="W259"/>
      <c r="X259"/>
      <c r="Y259"/>
      <c r="Z259"/>
      <c r="AA259"/>
      <c r="AB259"/>
      <c r="AC259"/>
      <c r="AD259"/>
      <c r="AE259"/>
      <c r="AF259"/>
      <c r="AH259"/>
      <c r="AI259"/>
      <c r="AM259"/>
    </row>
    <row r="260" spans="1:39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S260"/>
      <c r="U260"/>
      <c r="V260"/>
      <c r="W260"/>
      <c r="X260"/>
      <c r="Y260"/>
      <c r="Z260"/>
      <c r="AA260"/>
      <c r="AB260"/>
      <c r="AC260"/>
      <c r="AD260"/>
      <c r="AE260"/>
      <c r="AF260"/>
      <c r="AH260"/>
      <c r="AI260"/>
      <c r="AM260"/>
    </row>
    <row r="261" spans="1:39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S261"/>
      <c r="U261"/>
      <c r="V261"/>
      <c r="W261"/>
      <c r="X261"/>
      <c r="Y261"/>
      <c r="Z261"/>
      <c r="AA261"/>
      <c r="AB261"/>
      <c r="AC261"/>
      <c r="AD261"/>
      <c r="AE261"/>
      <c r="AF261"/>
      <c r="AH261"/>
      <c r="AI261"/>
      <c r="AM261"/>
    </row>
    <row r="262" spans="1:39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S262"/>
      <c r="U262"/>
      <c r="V262"/>
      <c r="W262"/>
      <c r="X262"/>
      <c r="Y262"/>
      <c r="Z262"/>
      <c r="AA262"/>
      <c r="AB262"/>
      <c r="AC262"/>
      <c r="AD262"/>
      <c r="AE262"/>
      <c r="AF262"/>
      <c r="AH262"/>
      <c r="AI262"/>
      <c r="AM262"/>
    </row>
    <row r="263" spans="1:39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S263"/>
      <c r="U263"/>
      <c r="V263"/>
      <c r="W263"/>
      <c r="X263"/>
      <c r="Y263"/>
      <c r="Z263"/>
      <c r="AA263"/>
      <c r="AB263"/>
      <c r="AC263"/>
      <c r="AD263"/>
      <c r="AE263"/>
      <c r="AF263"/>
      <c r="AH263"/>
      <c r="AI263"/>
      <c r="AM263"/>
    </row>
    <row r="264" spans="1:39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S264"/>
      <c r="U264"/>
      <c r="V264"/>
      <c r="W264"/>
      <c r="X264"/>
      <c r="Y264"/>
      <c r="Z264"/>
      <c r="AA264"/>
      <c r="AB264"/>
      <c r="AC264"/>
      <c r="AD264"/>
      <c r="AE264"/>
      <c r="AF264"/>
      <c r="AH264"/>
      <c r="AI264"/>
      <c r="AM264"/>
    </row>
    <row r="265" spans="1:39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S265"/>
      <c r="U265"/>
      <c r="V265"/>
      <c r="W265"/>
      <c r="X265"/>
      <c r="Y265"/>
      <c r="Z265"/>
      <c r="AA265"/>
      <c r="AB265"/>
      <c r="AC265"/>
      <c r="AD265"/>
      <c r="AE265"/>
      <c r="AF265"/>
      <c r="AH265"/>
      <c r="AI265"/>
      <c r="AM265"/>
    </row>
    <row r="266" spans="1:39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S266"/>
      <c r="U266"/>
      <c r="V266"/>
      <c r="W266"/>
      <c r="X266"/>
      <c r="Y266"/>
      <c r="Z266"/>
      <c r="AA266"/>
      <c r="AB266"/>
      <c r="AC266"/>
      <c r="AD266"/>
      <c r="AE266"/>
      <c r="AF266"/>
      <c r="AH266"/>
      <c r="AI266"/>
      <c r="AM266"/>
    </row>
    <row r="267" spans="1:39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S267"/>
      <c r="U267"/>
      <c r="V267"/>
      <c r="W267"/>
      <c r="X267"/>
      <c r="Y267"/>
      <c r="Z267"/>
      <c r="AA267"/>
      <c r="AB267"/>
      <c r="AC267"/>
      <c r="AD267"/>
      <c r="AE267"/>
      <c r="AF267"/>
      <c r="AH267"/>
      <c r="AI267"/>
      <c r="AM267"/>
    </row>
    <row r="268" spans="1:39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S268"/>
      <c r="U268"/>
      <c r="V268"/>
      <c r="W268"/>
      <c r="X268"/>
      <c r="Y268"/>
      <c r="Z268"/>
      <c r="AA268"/>
      <c r="AB268"/>
      <c r="AC268"/>
      <c r="AD268"/>
      <c r="AE268"/>
      <c r="AF268"/>
      <c r="AH268"/>
      <c r="AI268"/>
      <c r="AM268"/>
    </row>
    <row r="269" spans="1:39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S269"/>
      <c r="U269"/>
      <c r="V269"/>
      <c r="W269"/>
      <c r="X269"/>
      <c r="Y269"/>
      <c r="Z269"/>
      <c r="AA269"/>
      <c r="AB269"/>
      <c r="AC269"/>
      <c r="AD269"/>
      <c r="AE269"/>
      <c r="AF269"/>
      <c r="AH269"/>
      <c r="AI269"/>
      <c r="AM269"/>
    </row>
    <row r="270" spans="1:39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S270"/>
      <c r="U270"/>
      <c r="V270"/>
      <c r="W270"/>
      <c r="X270"/>
      <c r="Y270"/>
      <c r="Z270"/>
      <c r="AA270"/>
      <c r="AB270"/>
      <c r="AC270"/>
      <c r="AD270"/>
      <c r="AE270"/>
      <c r="AF270"/>
      <c r="AH270"/>
      <c r="AI270"/>
      <c r="AM270"/>
    </row>
    <row r="271" spans="1:39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S271"/>
      <c r="U271"/>
      <c r="V271"/>
      <c r="W271"/>
      <c r="X271"/>
      <c r="Y271"/>
      <c r="Z271"/>
      <c r="AA271"/>
      <c r="AB271"/>
      <c r="AC271"/>
      <c r="AD271"/>
      <c r="AE271"/>
      <c r="AF271"/>
      <c r="AH271"/>
      <c r="AI271"/>
      <c r="AM271"/>
    </row>
    <row r="272" spans="1:39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S272"/>
      <c r="U272"/>
      <c r="V272"/>
      <c r="W272"/>
      <c r="X272"/>
      <c r="Y272"/>
      <c r="Z272"/>
      <c r="AA272"/>
      <c r="AB272"/>
      <c r="AC272"/>
      <c r="AD272"/>
      <c r="AE272"/>
      <c r="AF272"/>
      <c r="AH272"/>
      <c r="AI272"/>
      <c r="AM272"/>
    </row>
    <row r="273" spans="1:39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S273"/>
      <c r="U273"/>
      <c r="V273"/>
      <c r="W273"/>
      <c r="X273"/>
      <c r="Y273"/>
      <c r="Z273"/>
      <c r="AA273"/>
      <c r="AB273"/>
      <c r="AC273"/>
      <c r="AD273"/>
      <c r="AE273"/>
      <c r="AF273"/>
      <c r="AH273"/>
      <c r="AI273"/>
      <c r="AM273"/>
    </row>
    <row r="274" spans="1:39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S274"/>
      <c r="U274"/>
      <c r="V274"/>
      <c r="W274"/>
      <c r="X274"/>
      <c r="Y274"/>
      <c r="Z274"/>
      <c r="AA274"/>
      <c r="AB274"/>
      <c r="AC274"/>
      <c r="AD274"/>
      <c r="AE274"/>
      <c r="AF274"/>
      <c r="AH274"/>
      <c r="AI274"/>
      <c r="AM274"/>
    </row>
    <row r="275" spans="1:39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S275"/>
      <c r="U275"/>
      <c r="V275"/>
      <c r="W275"/>
      <c r="X275"/>
      <c r="Y275"/>
      <c r="Z275"/>
      <c r="AA275"/>
      <c r="AB275"/>
      <c r="AC275"/>
      <c r="AD275"/>
      <c r="AE275"/>
      <c r="AF275"/>
      <c r="AH275"/>
      <c r="AI275"/>
      <c r="AM275"/>
    </row>
    <row r="276" spans="1:39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S276"/>
      <c r="U276"/>
      <c r="V276"/>
      <c r="W276"/>
      <c r="X276"/>
      <c r="Y276"/>
      <c r="Z276"/>
      <c r="AA276"/>
      <c r="AB276"/>
      <c r="AC276"/>
      <c r="AD276"/>
      <c r="AE276"/>
      <c r="AF276"/>
      <c r="AH276"/>
      <c r="AI276"/>
      <c r="AM276"/>
    </row>
    <row r="277" spans="1:39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S277"/>
      <c r="U277"/>
      <c r="V277"/>
      <c r="W277"/>
      <c r="X277"/>
      <c r="Y277"/>
      <c r="Z277"/>
      <c r="AA277"/>
      <c r="AB277"/>
      <c r="AC277"/>
      <c r="AD277"/>
      <c r="AE277"/>
      <c r="AF277"/>
      <c r="AH277"/>
      <c r="AI277"/>
      <c r="AM277"/>
    </row>
  </sheetData>
  <autoFilter ref="A12:AG271">
    <sortState ref="A13:AG274">
      <sortCondition ref="AG13:AG237"/>
      <sortCondition ref="AD13:AD237"/>
    </sortState>
  </autoFilter>
  <sortState ref="A13:AH200">
    <sortCondition ref="AG13:AG200"/>
    <sortCondition ref="AD13:AD200"/>
  </sortState>
  <mergeCells count="1">
    <mergeCell ref="A11:P11"/>
  </mergeCells>
  <conditionalFormatting sqref="W11:W12 W278:X1048576 W13:X234">
    <cfRule type="cellIs" dxfId="10" priority="370" operator="equal">
      <formula>"Y"</formula>
    </cfRule>
  </conditionalFormatting>
  <conditionalFormatting sqref="X278:X1048576 X13:X234">
    <cfRule type="cellIs" dxfId="9" priority="353" operator="greaterThan">
      <formula>1</formula>
    </cfRule>
  </conditionalFormatting>
  <conditionalFormatting sqref="X278:X1048576 X12:X234">
    <cfRule type="cellIs" dxfId="8" priority="350" operator="equal">
      <formula>0</formula>
    </cfRule>
  </conditionalFormatting>
  <conditionalFormatting sqref="A13:S234">
    <cfRule type="expression" dxfId="7" priority="344" stopIfTrue="1">
      <formula>$P13&gt;0</formula>
    </cfRule>
    <cfRule type="expression" dxfId="6" priority="345" stopIfTrue="1">
      <formula>$O13&gt;0</formula>
    </cfRule>
  </conditionalFormatting>
  <pageMargins left="0.7" right="0.7" top="0.75" bottom="0.75" header="0.3" footer="0.3"/>
  <pageSetup scale="17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46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A13:S234</xm:sqref>
        </x14:conditionalFormatting>
        <x14:conditionalFormatting xmlns:xm="http://schemas.microsoft.com/office/excel/2006/main">
          <x14:cfRule type="expression" priority="29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A13:S234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AK13:AK234</xm:sqref>
        </x14:dataValidation>
        <x14:dataValidation type="list" allowBlank="1" showInputMessage="1" showErrorMessage="1">
          <x14:formula1>
            <xm:f>'Redmine List Values'!$C$2:$C$15</xm:f>
          </x14:formula1>
          <xm:sqref>AL13:AL234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63"/>
  <sheetViews>
    <sheetView topLeftCell="A2" workbookViewId="0">
      <selection activeCell="I18" sqref="I18"/>
    </sheetView>
  </sheetViews>
  <sheetFormatPr defaultRowHeight="15" x14ac:dyDescent="0.25"/>
  <cols>
    <col min="1" max="1" width="18.28515625" style="8" bestFit="1" customWidth="1"/>
    <col min="2" max="2" width="15" customWidth="1"/>
    <col min="3" max="3" width="8.28515625" customWidth="1"/>
    <col min="4" max="4" width="13.140625" style="125" customWidth="1"/>
    <col min="5" max="5" width="14.85546875" style="125" customWidth="1"/>
    <col min="6" max="6" width="5.7109375" style="125" customWidth="1"/>
    <col min="7" max="7" width="5.85546875" style="125" customWidth="1"/>
    <col min="8" max="8" width="7.85546875" style="125" customWidth="1"/>
    <col min="9" max="9" width="9" style="125" customWidth="1"/>
    <col min="10" max="10" width="11.5703125" style="125" hidden="1" customWidth="1"/>
    <col min="11" max="11" width="9.140625" style="125" customWidth="1"/>
    <col min="12" max="12" width="7.85546875" style="125" customWidth="1"/>
    <col min="13" max="13" width="7.85546875" style="2" customWidth="1"/>
    <col min="14" max="14" width="12.28515625" style="124" customWidth="1"/>
    <col min="15" max="15" width="5.140625" style="168" customWidth="1"/>
    <col min="16" max="16" width="30.28515625" style="125" customWidth="1"/>
    <col min="17" max="17" width="5" hidden="1" customWidth="1"/>
    <col min="18" max="18" width="5.5703125" style="83" customWidth="1"/>
    <col min="19" max="19" width="5.5703125" style="90" customWidth="1"/>
    <col min="20" max="20" width="6" style="80" customWidth="1"/>
    <col min="21" max="21" width="5.140625" customWidth="1"/>
    <col min="22" max="22" width="18.5703125" style="44" customWidth="1"/>
    <col min="23" max="23" width="5.28515625" customWidth="1"/>
    <col min="24" max="24" width="6.7109375" hidden="1" customWidth="1"/>
    <col min="25" max="26" width="5" customWidth="1"/>
    <col min="27" max="27" width="5.28515625" customWidth="1"/>
    <col min="28" max="28" width="5.5703125" customWidth="1"/>
    <col min="29" max="29" width="5.28515625" style="127" customWidth="1"/>
    <col min="30" max="30" width="6.7109375" customWidth="1"/>
    <col min="31" max="31" width="9.140625" style="154"/>
  </cols>
  <sheetData>
    <row r="1" spans="1:32" s="20" customFormat="1" ht="15.75" hidden="1" thickBot="1" x14ac:dyDescent="0.3">
      <c r="A1" s="8"/>
      <c r="D1" s="125"/>
      <c r="E1" s="125"/>
      <c r="F1" s="125"/>
      <c r="G1" s="125"/>
      <c r="H1" s="125"/>
      <c r="I1" s="125"/>
      <c r="J1" s="125"/>
      <c r="K1" s="125"/>
      <c r="L1" s="125"/>
      <c r="M1" s="2"/>
      <c r="N1" s="124"/>
      <c r="O1" s="168"/>
      <c r="P1" s="125"/>
      <c r="R1" s="83"/>
      <c r="S1" s="90"/>
      <c r="T1" s="80"/>
      <c r="V1" s="44"/>
      <c r="AC1" s="127"/>
      <c r="AE1" s="154"/>
    </row>
    <row r="2" spans="1:32" s="20" customFormat="1" x14ac:dyDescent="0.25">
      <c r="A2" s="168"/>
      <c r="D2" s="125"/>
      <c r="E2" s="125"/>
      <c r="F2" s="125"/>
      <c r="G2" s="125"/>
      <c r="H2" s="125"/>
      <c r="I2" s="125"/>
      <c r="J2" s="125"/>
      <c r="K2" s="125"/>
      <c r="L2" s="136" t="s">
        <v>80</v>
      </c>
      <c r="M2" s="120"/>
      <c r="N2" s="137"/>
      <c r="O2" s="191">
        <f>COUNTIF($O$7:$O$309,"=Y")</f>
        <v>1</v>
      </c>
      <c r="P2" s="122"/>
      <c r="R2" s="83"/>
      <c r="S2" s="90"/>
      <c r="T2" s="80"/>
      <c r="V2" s="44"/>
      <c r="AC2" s="128"/>
      <c r="AE2" s="154"/>
    </row>
    <row r="3" spans="1:32" s="20" customFormat="1" ht="15.75" thickBot="1" x14ac:dyDescent="0.3">
      <c r="A3" s="8"/>
      <c r="D3" s="125"/>
      <c r="E3" s="125"/>
      <c r="F3" s="125"/>
      <c r="G3" s="125"/>
      <c r="H3" s="125"/>
      <c r="I3" s="125"/>
      <c r="J3" s="125"/>
      <c r="K3" s="125"/>
      <c r="L3" s="138" t="s">
        <v>81</v>
      </c>
      <c r="M3" s="121"/>
      <c r="N3" s="139"/>
      <c r="O3" s="192">
        <f>COUNTA($O$7:$O$309)-O2</f>
        <v>42</v>
      </c>
      <c r="P3" s="122"/>
      <c r="R3" s="83"/>
      <c r="S3" s="90"/>
      <c r="T3" s="80"/>
      <c r="V3" s="44"/>
      <c r="AC3" s="128"/>
      <c r="AE3" s="154"/>
    </row>
    <row r="4" spans="1:32" s="20" customFormat="1" x14ac:dyDescent="0.25">
      <c r="A4" s="8"/>
      <c r="D4" s="125"/>
      <c r="E4" s="125"/>
      <c r="F4" s="125"/>
      <c r="G4" s="125"/>
      <c r="H4" s="125"/>
      <c r="I4" s="125"/>
      <c r="J4" s="125"/>
      <c r="K4" s="125"/>
      <c r="L4" s="125"/>
      <c r="M4" s="2"/>
      <c r="N4" s="124"/>
      <c r="O4" s="168"/>
      <c r="P4" s="125"/>
      <c r="R4" s="83"/>
      <c r="S4" s="90"/>
      <c r="T4" s="80"/>
      <c r="V4" s="44"/>
      <c r="AC4" s="128"/>
      <c r="AE4" s="154"/>
    </row>
    <row r="5" spans="1:32" s="10" customFormat="1" ht="15" customHeight="1" x14ac:dyDescent="0.25">
      <c r="A5" s="220" t="str">
        <f>"Eagle P3 Braking Events - "&amp;TEXT(Variables!$A$2,"YYYY-mm-dd")</f>
        <v>Eagle P3 Braking Events - 2017-03-17</v>
      </c>
      <c r="B5" s="220"/>
      <c r="C5" s="220"/>
      <c r="D5" s="220"/>
      <c r="E5" s="220"/>
      <c r="F5" s="220"/>
      <c r="G5" s="220"/>
      <c r="H5" s="220"/>
      <c r="I5" s="220"/>
      <c r="J5" s="220"/>
      <c r="K5" s="220"/>
      <c r="L5" s="220"/>
      <c r="M5" s="220"/>
      <c r="N5" s="220"/>
      <c r="O5" s="220"/>
      <c r="P5" s="140"/>
      <c r="R5" s="88"/>
      <c r="S5" s="91"/>
      <c r="T5" s="93"/>
      <c r="V5" s="45"/>
      <c r="AC5" s="129"/>
      <c r="AE5" s="156"/>
    </row>
    <row r="6" spans="1:32" s="119" customFormat="1" ht="69.75" customHeight="1" x14ac:dyDescent="0.2">
      <c r="A6" s="109" t="s">
        <v>38</v>
      </c>
      <c r="B6" s="110" t="s">
        <v>37</v>
      </c>
      <c r="C6" s="110" t="s">
        <v>36</v>
      </c>
      <c r="D6" s="126" t="s">
        <v>35</v>
      </c>
      <c r="E6" s="126" t="s">
        <v>34</v>
      </c>
      <c r="F6" s="126" t="s">
        <v>33</v>
      </c>
      <c r="G6" s="126" t="s">
        <v>32</v>
      </c>
      <c r="H6" s="126" t="s">
        <v>31</v>
      </c>
      <c r="I6" s="126" t="s">
        <v>153</v>
      </c>
      <c r="J6" s="126" t="s">
        <v>30</v>
      </c>
      <c r="K6" s="126" t="s">
        <v>29</v>
      </c>
      <c r="L6" s="126" t="s">
        <v>28</v>
      </c>
      <c r="M6" s="111" t="s">
        <v>154</v>
      </c>
      <c r="N6" s="141" t="s">
        <v>47</v>
      </c>
      <c r="O6" s="193" t="s">
        <v>27</v>
      </c>
      <c r="P6" s="126" t="s">
        <v>24</v>
      </c>
      <c r="Q6" s="112"/>
      <c r="R6" s="113" t="s">
        <v>89</v>
      </c>
      <c r="S6" s="114" t="s">
        <v>55</v>
      </c>
      <c r="T6" s="115" t="s">
        <v>88</v>
      </c>
      <c r="U6" s="110" t="s">
        <v>83</v>
      </c>
      <c r="V6" s="116" t="s">
        <v>84</v>
      </c>
      <c r="W6" s="112" t="s">
        <v>96</v>
      </c>
      <c r="X6" s="112" t="s">
        <v>97</v>
      </c>
      <c r="Y6" s="117" t="s">
        <v>147</v>
      </c>
      <c r="Z6" s="118" t="s">
        <v>148</v>
      </c>
      <c r="AA6" s="118" t="s">
        <v>121</v>
      </c>
      <c r="AB6" s="118" t="s">
        <v>149</v>
      </c>
      <c r="AC6" s="130" t="s">
        <v>173</v>
      </c>
      <c r="AD6" s="119" t="s">
        <v>192</v>
      </c>
      <c r="AE6" s="155" t="s">
        <v>203</v>
      </c>
    </row>
    <row r="7" spans="1:32" s="1" customFormat="1" x14ac:dyDescent="0.25">
      <c r="A7" s="32">
        <v>42811.577592592592</v>
      </c>
      <c r="B7" s="30" t="s">
        <v>426</v>
      </c>
      <c r="C7" s="30" t="s">
        <v>625</v>
      </c>
      <c r="D7" s="30" t="s">
        <v>49</v>
      </c>
      <c r="E7" s="30" t="s">
        <v>193</v>
      </c>
      <c r="F7" s="43">
        <v>0</v>
      </c>
      <c r="G7" s="43">
        <v>203</v>
      </c>
      <c r="H7" s="43">
        <v>26933</v>
      </c>
      <c r="I7" s="43">
        <v>27184</v>
      </c>
      <c r="J7" s="30" t="s">
        <v>194</v>
      </c>
      <c r="K7" s="43">
        <v>27053</v>
      </c>
      <c r="L7" s="143" t="s">
        <v>50</v>
      </c>
      <c r="M7" s="144">
        <f t="shared" ref="M7:M49" si="0">CONVERT((I7-K7)/10000,"mi","ft")*IF(L7="Increasing Mileposts (1)",-1,1)</f>
        <v>-69.168000000000006</v>
      </c>
      <c r="N7" s="145" t="str">
        <f>VLOOKUP(C7,'Trips&amp;Operators'!$C$1:$G$99999,5,FALSE)</f>
        <v>HELVIE ADAM</v>
      </c>
      <c r="O7" s="194" t="s">
        <v>185</v>
      </c>
      <c r="P7" s="146" t="s">
        <v>528</v>
      </c>
      <c r="Q7" s="30"/>
      <c r="R7" s="89" t="str">
        <f>IF(VLOOKUP(C7,'Train Runs'!$A$13:$AE$9947,1,1)=C7,VLOOKUP(C7,'Train Runs'!$A$13:$AE$9947,31,1),NA())</f>
        <v>aws s3 cp s3://rtdc.mdm.uploadarchive.raw/RTDC4053/ "%USERPROFILE%\AppData\Local\Temp\OnboardLogs"\RTDC4053\2017-03-17 --exclude "*" --recursive --include "*20170317*" &amp; "%USERPROFILE%\Documents\GitHub\mrs-test-scripts\Headless Mode &amp; Sideloading\WalkAndUnGZ.bat" "%USERPROFILE%\AppData\Local\Temp\OnboardLogs"\RTDC4053\2017-03-17 &amp; aws s3 cp s3://rtdc.mdm.uploadarchive.raw/RTDC4053/ "%USERPROFILE%\AppData\Local\Temp\OnboardLogs"\RTDC4053\2017-03-18 --exclude "*" --recursive --include "*20170318*" &amp; "%USERPROFILE%\Documents\GitHub\mrs-test-scripts\Headless Mode &amp; Sideloading\WalkAndUnGZ.bat" "%USERPROFILE%\AppData\Local\Temp\OnboardLogs"\RTDC4053\2017-03-18</v>
      </c>
      <c r="S7" s="92" t="str">
        <f>VLOOKUP(C7,'Train Runs'!$A$13:$AE$9947,22,0)</f>
        <v>https://d0f6bd738d7f1b3e5a7ca70fe4ff75f0.us-east-1.aws.found.io/app/kibana#/discover/Steve-Slow-Train-Analysis-(2080s-and-2083s)?_g=(refreshInterval:(display:Off,pause:!f,section:0,value:0),time:(from:'2017-03-17T12:41:40-0600',mode:absolute,to:'2017-03-17T15:20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7" s="94" t="str">
        <f t="shared" ref="T7:T49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/stypes="*4053*201703171*" /stext=" 19:.+((SYSTEM_STATE.+slice.+state.+changed )|(ment ac)|(multiple cpu faults)|(system.+state.+changed )|(\[timeout)|(PRM\|1\|D)|(kpr)|(kdp)|(\|lc)|(penalty))"</v>
      </c>
      <c r="U7" s="9" t="str">
        <f t="shared" ref="U7:U49" si="2">MID(B7,13,4)</f>
        <v>4053</v>
      </c>
      <c r="V7" s="32">
        <f t="shared" ref="V7:V49" si="3">A7-utc_offset/24</f>
        <v>42811.827592592592</v>
      </c>
      <c r="W7" s="46" t="str">
        <f t="shared" ref="W7:W49" si="4">IFERROR(IF(VALUE(LEFT(IF(LEN(C7)=6,"0"&amp;C7,C7),2))&lt;=2,"EC",IF(OR(VALUE(LEFT(IF(LEN(C7)=6,"0"&amp;C7,C7),2))=8,VALUE(LEFT(IF(LEN(C7)=6,"0"&amp;C7,C7),2))=18),"NW","Other")),"Other")</f>
        <v>EC</v>
      </c>
      <c r="X7" s="46" t="str">
        <f t="shared" ref="X7:X49" si="5">IF(AND(E7="TRACK WARRANT AUTHORITY",G7&lt;10),"OMIT","KEEP")</f>
        <v>KEEP</v>
      </c>
      <c r="Y7" s="108" t="str">
        <f t="shared" ref="Y7:Y49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arrival","project_id":79,"tracker_id":40,"status_id":1,"priority_id":2,"assigned_to_id":23,"start_date":"2017-03-17","description":"","custom_fields":[{"id":1,"name":"Subdivision","value":"EC"},{"id":4,"name":"Milepost","value":"2.7053"},{"id":17,"name":"Train ID","value":"181-17"},{"id":16,"name":"Locomotive ID","value":"4053"},{"id":130,"name":"Impact","value":""},{"id":150,"name":"Time of Event (Mountain Time)","value":"13:51:44"},{"id":151,"name":"Denver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48"/>
      <c r="AA7" s="48"/>
      <c r="AB7" s="48"/>
      <c r="AC7" s="127" t="str">
        <f t="shared" ref="AC7:AC49" si="7">"grep -hSE -A400 ""Enforcement Action"" "&amp;search_path&amp;"\RTDC"&amp;U7&amp;"\*"&amp;U7&amp;"*"&amp;TEXT(A7-utc_offset/24,"YYYYMMDD")&amp;LEFT(TEXT(A7-utc_offset/24,"HH"),1)&amp;"* | grep -SE ""((Enforcement Ac)|(PRM))"" -"</f>
        <v>grep -hSE -A400 "Enforcement Action" "%USERPROFILE%\AppData\Local\Temp\OnboardLogs"\RTDC4053\*4053*201703171* | grep -SE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"%USERPROFILE%\AppData\Local\Temp\OnboardLogs"\RTDC4053\*4053*201703171* &gt;&gt; 2017-03-17-SliceDisagreementCheck.txt</v>
      </c>
      <c r="AE7" s="157" t="str">
        <f t="shared" ref="AE7:AE49" si="8">"start /low /b "&amp;dls3logs&amp;" --loco "&amp;U7&amp;" --day "&amp;TEXT(V7,"YYYY-MM-DD")</f>
        <v>start /low /b %USERPROFILE%\Documents\GitHub\eaglep3\Utilities\DownloadLogsFromS3.py --loco 4053 --day 2017-03-17</v>
      </c>
    </row>
    <row r="8" spans="1:32" s="1" customFormat="1" x14ac:dyDescent="0.25">
      <c r="A8" s="32">
        <v>42811.879583333335</v>
      </c>
      <c r="B8" s="30" t="s">
        <v>426</v>
      </c>
      <c r="C8" s="30" t="s">
        <v>645</v>
      </c>
      <c r="D8" s="30" t="s">
        <v>49</v>
      </c>
      <c r="E8" s="30" t="s">
        <v>193</v>
      </c>
      <c r="F8" s="43">
        <v>0</v>
      </c>
      <c r="G8" s="43">
        <v>227</v>
      </c>
      <c r="H8" s="43">
        <v>26966</v>
      </c>
      <c r="I8" s="43">
        <v>27319</v>
      </c>
      <c r="J8" s="30" t="s">
        <v>194</v>
      </c>
      <c r="K8" s="43">
        <v>27053</v>
      </c>
      <c r="L8" s="143" t="s">
        <v>50</v>
      </c>
      <c r="M8" s="144">
        <f t="shared" si="0"/>
        <v>-140.44800000000001</v>
      </c>
      <c r="N8" s="145" t="str">
        <f>VLOOKUP(C8,'Trips&amp;Operators'!$C$1:$G$99999,5,FALSE)</f>
        <v>BROWN JACOB</v>
      </c>
      <c r="O8" s="194" t="s">
        <v>185</v>
      </c>
      <c r="P8" s="146" t="s">
        <v>528</v>
      </c>
      <c r="Q8" s="30"/>
      <c r="R8" s="89" t="str">
        <f>IF(VLOOKUP(C8,'Train Runs'!$A$13:$AE$9947,1,1)=C8,VLOOKUP(C8,'Train Runs'!$A$13:$AE$9947,31,1),NA())</f>
        <v>aws s3 cp s3://rtdc.mdm.uploadarchive.raw/RTDC4053/ "%USERPROFILE%\AppData\Local\Temp\OnboardLogs"\RTDC4053\2017-03-17 --exclude "*" --recursive --include "*20170317*" &amp; "%USERPROFILE%\Documents\GitHub\mrs-test-scripts\Headless Mode &amp; Sideloading\WalkAndUnGZ.bat" "%USERPROFILE%\AppData\Local\Temp\OnboardLogs"\RTDC4053\2017-03-17 &amp; aws s3 cp s3://rtdc.mdm.uploadarchive.raw/RTDC4053/ "%USERPROFILE%\AppData\Local\Temp\OnboardLogs"\RTDC4053\2017-03-18 --exclude "*" --recursive --include "*20170318*" &amp; "%USERPROFILE%\Documents\GitHub\mrs-test-scripts\Headless Mode &amp; Sideloading\WalkAndUnGZ.bat" "%USERPROFILE%\AppData\Local\Temp\OnboardLogs"\RTDC4053\2017-03-18</v>
      </c>
      <c r="S8" s="92" t="str">
        <f>VLOOKUP(C8,'Train Runs'!$A$13:$AE$9947,22,0)</f>
        <v>https://d0f6bd738d7f1b3e5a7ca70fe4ff75f0.us-east-1.aws.found.io/app/kibana#/discover/Steve-Slow-Train-Analysis-(2080s-and-2083s)?_g=(refreshInterval:(display:Off,pause:!f,section:0,value:0),time:(from:'2017-03-17T19:55:41-0600',mode:absolute,to:'2017-03-17T22:37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8" s="94" t="str">
        <f t="shared" si="1"/>
        <v>"C:\Program Files (x86)\AstroGrep\AstroGrep.exe" /e /r /s /spath="%USERPROFILE%\AppData\Local\Temp\OnboardLogs" /stypes="*4053*201703180*" /stext=" 03:.+((SYSTEM_STATE.+slice.+state.+changed )|(ment ac)|(multiple cpu faults)|(system.+state.+changed )|(\[timeout)|(PRM\|1\|D)|(kpr)|(kdp)|(\|lc)|(penalty))"</v>
      </c>
      <c r="U8" s="9" t="str">
        <f t="shared" si="2"/>
        <v>4053</v>
      </c>
      <c r="V8" s="32">
        <f t="shared" si="3"/>
        <v>42812.129583333335</v>
      </c>
      <c r="W8" s="46" t="str">
        <f t="shared" si="4"/>
        <v>EC</v>
      </c>
      <c r="X8" s="46" t="str">
        <f t="shared" si="5"/>
        <v>KEEP</v>
      </c>
      <c r="Y8" s="108" t="str">
        <f t="shared" si="6"/>
        <v>echo {"issue":{"subject":"Early arrival","project_id":79,"tracker_id":40,"status_id":1,"priority_id":2,"assigned_to_id":23,"start_date":"2017-03-17","description":"","custom_fields":[{"id":1,"name":"Subdivision","value":"EC"},{"id":4,"name":"Milepost","value":"2.7053"},{"id":17,"name":"Train ID","value":"229-17"},{"id":16,"name":"Locomotive ID","value":"4053"},{"id":130,"name":"Impact","value":""},{"id":150,"name":"Time of Event (Mountain Time)","value":"21:06:36"},{"id":151,"name":"Denver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48"/>
      <c r="AA8" s="48"/>
      <c r="AB8" s="48"/>
      <c r="AC8" s="127" t="str">
        <f t="shared" si="7"/>
        <v>grep -hSE -A400 "Enforcement Action" "%USERPROFILE%\AppData\Local\Temp\OnboardLogs"\RTDC4053\*4053*201703180* | grep -SE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"%USERPROFILE%\AppData\Local\Temp\OnboardLogs"\RTDC4053\*4053*201703180* &gt;&gt; 2017-03-17-SliceDisagreementCheck.txt</v>
      </c>
      <c r="AE8" s="157" t="str">
        <f t="shared" si="8"/>
        <v>start /low /b %USERPROFILE%\Documents\GitHub\eaglep3\Utilities\DownloadLogsFromS3.py --loco 4053 --day 2017-03-18</v>
      </c>
    </row>
    <row r="9" spans="1:32" s="1" customFormat="1" x14ac:dyDescent="0.25">
      <c r="A9" s="32">
        <v>42811.962997685187</v>
      </c>
      <c r="B9" s="30" t="s">
        <v>426</v>
      </c>
      <c r="C9" s="30" t="s">
        <v>646</v>
      </c>
      <c r="D9" s="30" t="s">
        <v>49</v>
      </c>
      <c r="E9" s="30" t="s">
        <v>193</v>
      </c>
      <c r="F9" s="43">
        <v>0</v>
      </c>
      <c r="G9" s="43">
        <v>250</v>
      </c>
      <c r="H9" s="43">
        <v>26731</v>
      </c>
      <c r="I9" s="43">
        <v>27173</v>
      </c>
      <c r="J9" s="30" t="s">
        <v>194</v>
      </c>
      <c r="K9" s="43">
        <v>27053</v>
      </c>
      <c r="L9" s="143" t="s">
        <v>50</v>
      </c>
      <c r="M9" s="144">
        <f t="shared" si="0"/>
        <v>-63.36</v>
      </c>
      <c r="N9" s="145" t="str">
        <f>VLOOKUP(C9,'Trips&amp;Operators'!$C$1:$G$99999,5,FALSE)</f>
        <v>BROWN JACOB</v>
      </c>
      <c r="O9" s="194" t="s">
        <v>185</v>
      </c>
      <c r="P9" s="146" t="s">
        <v>528</v>
      </c>
      <c r="Q9" s="30"/>
      <c r="R9" s="89" t="str">
        <f>IF(VLOOKUP(C9,'Train Runs'!$A$13:$AE$9947,1,1)=C9,VLOOKUP(C9,'Train Runs'!$A$13:$AE$9947,31,1),NA())</f>
        <v>aws s3 cp s3://rtdc.mdm.uploadarchive.raw/RTDC4053/ "%USERPROFILE%\AppData\Local\Temp\OnboardLogs"\RTDC4053\2017-03-17 --exclude "*" --recursive --include "*20170317*" &amp; "%USERPROFILE%\Documents\GitHub\mrs-test-scripts\Headless Mode &amp; Sideloading\WalkAndUnGZ.bat" "%USERPROFILE%\AppData\Local\Temp\OnboardLogs"\RTDC4053\2017-03-17 &amp; aws s3 cp s3://rtdc.mdm.uploadarchive.raw/RTDC4053/ "%USERPROFILE%\AppData\Local\Temp\OnboardLogs"\RTDC4053\2017-03-18 --exclude "*" --recursive --include "*20170318*" &amp; "%USERPROFILE%\Documents\GitHub\mrs-test-scripts\Headless Mode &amp; Sideloading\WalkAndUnGZ.bat" "%USERPROFILE%\AppData\Local\Temp\OnboardLogs"\RTDC4053\2017-03-18</v>
      </c>
      <c r="S9" s="92" t="str">
        <f>VLOOKUP(C9,'Train Runs'!$A$13:$AE$9947,22,0)</f>
        <v>https://d0f6bd738d7f1b3e5a7ca70fe4ff75f0.us-east-1.aws.found.io/app/kibana#/discover/Steve-Slow-Train-Analysis-(2080s-and-2083s)?_g=(refreshInterval:(display:Off,pause:!f,section:0,value:0),time:(from:'2017-03-17T21:49:36-0600',mode:absolute,to:'2017-03-18T00:37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9" s="94" t="str">
        <f t="shared" si="1"/>
        <v>"C:\Program Files (x86)\AstroGrep\AstroGrep.exe" /e /r /s /spath="%USERPROFILE%\AppData\Local\Temp\OnboardLogs" /stypes="*4053*201703180*" /stext=" 05:.+((SYSTEM_STATE.+slice.+state.+changed )|(ment ac)|(multiple cpu faults)|(system.+state.+changed )|(\[timeout)|(PRM\|1\|D)|(kpr)|(kdp)|(\|lc)|(penalty))"</v>
      </c>
      <c r="U9" s="9" t="str">
        <f t="shared" si="2"/>
        <v>4053</v>
      </c>
      <c r="V9" s="32">
        <f t="shared" si="3"/>
        <v>42812.212997685187</v>
      </c>
      <c r="W9" s="46" t="str">
        <f t="shared" si="4"/>
        <v>EC</v>
      </c>
      <c r="X9" s="46" t="str">
        <f t="shared" si="5"/>
        <v>KEEP</v>
      </c>
      <c r="Y9" s="108" t="str">
        <f t="shared" si="6"/>
        <v>echo {"issue":{"subject":"Early arrival","project_id":79,"tracker_id":40,"status_id":1,"priority_id":2,"assigned_to_id":23,"start_date":"2017-03-17","description":"","custom_fields":[{"id":1,"name":"Subdivision","value":"EC"},{"id":4,"name":"Milepost","value":"2.7053"},{"id":17,"name":"Train ID","value":"237-17"},{"id":16,"name":"Locomotive ID","value":"4053"},{"id":130,"name":"Impact","value":""},{"id":150,"name":"Time of Event (Mountain Time)","value":"23:06:43"},{"id":151,"name":"Denver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48"/>
      <c r="AA9" s="48"/>
      <c r="AB9" s="48"/>
      <c r="AC9" s="127" t="str">
        <f t="shared" si="7"/>
        <v>grep -hSE -A400 "Enforcement Action" "%USERPROFILE%\AppData\Local\Temp\OnboardLogs"\RTDC4053\*4053*201703180* | grep -SE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"%USERPROFILE%\AppData\Local\Temp\OnboardLogs"\RTDC4053\*4053*201703180* &gt;&gt; 2017-03-17-SliceDisagreementCheck.txt</v>
      </c>
      <c r="AE9" s="157" t="str">
        <f t="shared" si="8"/>
        <v>start /low /b %USERPROFILE%\Documents\GitHub\eaglep3\Utilities\DownloadLogsFromS3.py --loco 4053 --day 2017-03-18</v>
      </c>
    </row>
    <row r="10" spans="1:32" s="1" customFormat="1" x14ac:dyDescent="0.25">
      <c r="A10" s="32">
        <v>42811.292650462965</v>
      </c>
      <c r="B10" s="30" t="s">
        <v>614</v>
      </c>
      <c r="C10" s="30" t="s">
        <v>615</v>
      </c>
      <c r="D10" s="30" t="s">
        <v>98</v>
      </c>
      <c r="E10" s="30" t="s">
        <v>193</v>
      </c>
      <c r="F10" s="43">
        <v>190</v>
      </c>
      <c r="G10" s="43">
        <v>241</v>
      </c>
      <c r="H10" s="43">
        <v>27212</v>
      </c>
      <c r="I10" s="43">
        <v>26670</v>
      </c>
      <c r="J10" s="30" t="s">
        <v>194</v>
      </c>
      <c r="K10" s="43">
        <v>27350</v>
      </c>
      <c r="L10" s="143" t="s">
        <v>51</v>
      </c>
      <c r="M10" s="144">
        <f t="shared" si="0"/>
        <v>-359.04</v>
      </c>
      <c r="N10" s="145" t="str">
        <f>VLOOKUP(C10,'Trips&amp;Operators'!$C$1:$G$99999,5,FALSE)</f>
        <v>SULLIVAN BRANDON</v>
      </c>
      <c r="O10" s="194" t="s">
        <v>185</v>
      </c>
      <c r="P10" s="146" t="s">
        <v>528</v>
      </c>
      <c r="Q10" s="30"/>
      <c r="R10" s="89" t="str">
        <f>IF(VLOOKUP(C10,'Train Runs'!$A$13:$AE$9947,1,1)=C10,VLOOKUP(C10,'Train Runs'!$A$13:$AE$9947,31,1),NA())</f>
        <v>aws s3 cp s3://rtdc.mdm.uploadarchive.raw/RTDC4041/ "%USERPROFILE%\AppData\Local\Temp\OnboardLogs"\RTDC4041\2017-03-17 --exclude "*" --recursive --include "*20170317*" &amp; "%USERPROFILE%\Documents\GitHub\mrs-test-scripts\Headless Mode &amp; Sideloading\WalkAndUnGZ.bat" "%USERPROFILE%\AppData\Local\Temp\OnboardLogs"\RTDC4041\2017-03-17 &amp; aws s3 cp s3://rtdc.mdm.uploadarchive.raw/RTDC4041/ "%USERPROFILE%\AppData\Local\Temp\OnboardLogs"\RTDC4041\2017-03-18 --exclude "*" --recursive --include "*20170318*" &amp; "%USERPROFILE%\Documents\GitHub\mrs-test-scripts\Headless Mode &amp; Sideloading\WalkAndUnGZ.bat" "%USERPROFILE%\AppData\Local\Temp\OnboardLogs"\RTDC4041\2017-03-18</v>
      </c>
      <c r="S10" s="92" t="str">
        <f>VLOOKUP(C10,'Train Runs'!$A$13:$AE$9947,22,0)</f>
        <v>https://d0f6bd738d7f1b3e5a7ca70fe4ff75f0.us-east-1.aws.found.io/app/kibana#/discover/Steve-Slow-Train-Analysis-(2080s-and-2083s)?_g=(refreshInterval:(display:Off,pause:!f,section:0,value:0),time:(from:'2017-03-17T05:20:17-0600',mode:absolute,to:'2017-03-17T08:09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10" s="94" t="str">
        <f t="shared" si="1"/>
        <v>"C:\Program Files (x86)\AstroGrep\AstroGrep.exe" /e /r /s /spath="%USERPROFILE%\AppData\Local\Temp\OnboardLogs" /stypes="*4041*201703171*" /stext=" 13:.+((SYSTEM_STATE.+slice.+state.+changed )|(ment ac)|(multiple cpu faults)|(system.+state.+changed )|(\[timeout)|(PRM\|1\|D)|(kpr)|(kdp)|(\|lc)|(penalty))"</v>
      </c>
      <c r="U10" s="9" t="str">
        <f t="shared" si="2"/>
        <v>4041</v>
      </c>
      <c r="V10" s="32">
        <f t="shared" si="3"/>
        <v>42811.542650462965</v>
      </c>
      <c r="W10" s="46" t="str">
        <f t="shared" si="4"/>
        <v>EC</v>
      </c>
      <c r="X10" s="46" t="str">
        <f t="shared" si="5"/>
        <v>KEEP</v>
      </c>
      <c r="Y10" s="108" t="str">
        <f t="shared" si="6"/>
        <v>echo {"issue":{"subject":"Early arrival","project_id":79,"tracker_id":40,"status_id":1,"priority_id":2,"assigned_to_id":23,"start_date":"2017-03-17","description":"","custom_fields":[{"id":1,"name":"Subdivision","value":"EC"},{"id":4,"name":"Milepost","value":"2.735"},{"id":17,"name":"Train ID","value":"116-17"},{"id":16,"name":"Locomotive ID","value":"4041"},{"id":130,"name":"Impact","value":""},{"id":150,"name":"Time of Event (Mountain Time)","value":"07:01:25"},{"id":151,"name":"Denver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48"/>
      <c r="AA10" s="48"/>
      <c r="AB10" s="48"/>
      <c r="AC10" s="127" t="str">
        <f t="shared" si="7"/>
        <v>grep -hSE -A400 "Enforcement Action" "%USERPROFILE%\AppData\Local\Temp\OnboardLogs"\RTDC4041\*4041*201703171* | grep -SE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"%USERPROFILE%\AppData\Local\Temp\OnboardLogs"\RTDC4041\*4041*201703171* &gt;&gt; 2017-03-17-SliceDisagreementCheck.txt</v>
      </c>
      <c r="AE10" s="157" t="str">
        <f t="shared" si="8"/>
        <v>start /low /b %USERPROFILE%\Documents\GitHub\eaglep3\Utilities\DownloadLogsFromS3.py --loco 4041 --day 2017-03-17</v>
      </c>
    </row>
    <row r="11" spans="1:32" s="1" customFormat="1" x14ac:dyDescent="0.25">
      <c r="A11" s="32">
        <v>42811.469687500001</v>
      </c>
      <c r="B11" s="30" t="s">
        <v>488</v>
      </c>
      <c r="C11" s="30" t="s">
        <v>620</v>
      </c>
      <c r="D11" s="30" t="s">
        <v>49</v>
      </c>
      <c r="E11" s="30" t="s">
        <v>193</v>
      </c>
      <c r="F11" s="43">
        <v>0</v>
      </c>
      <c r="G11" s="43">
        <v>36</v>
      </c>
      <c r="H11" s="43">
        <v>27384</v>
      </c>
      <c r="I11" s="43">
        <v>27295</v>
      </c>
      <c r="J11" s="30" t="s">
        <v>194</v>
      </c>
      <c r="K11" s="43">
        <v>27350</v>
      </c>
      <c r="L11" s="143" t="s">
        <v>51</v>
      </c>
      <c r="M11" s="144">
        <f t="shared" si="0"/>
        <v>-29.04</v>
      </c>
      <c r="N11" s="145" t="str">
        <f>VLOOKUP(C11,'Trips&amp;Operators'!$C$1:$G$99999,5,FALSE)</f>
        <v>STARKS ANGELINA</v>
      </c>
      <c r="O11" s="194" t="s">
        <v>185</v>
      </c>
      <c r="P11" s="146" t="s">
        <v>528</v>
      </c>
      <c r="Q11" s="30"/>
      <c r="R11" s="89" t="str">
        <f>IF(VLOOKUP(C11,'Train Runs'!$A$13:$AE$9947,1,1)=C11,VLOOKUP(C11,'Train Runs'!$A$13:$AE$9947,31,1),NA())</f>
        <v>aws s3 cp s3://rtdc.mdm.uploadarchive.raw/RTDC4001/ "%USERPROFILE%\AppData\Local\Temp\OnboardLogs"\RTDC4001\2017-03-17 --exclude "*" --recursive --include "*20170317*" &amp; "%USERPROFILE%\Documents\GitHub\mrs-test-scripts\Headless Mode &amp; Sideloading\WalkAndUnGZ.bat" "%USERPROFILE%\AppData\Local\Temp\OnboardLogs"\RTDC4001\2017-03-17 &amp; aws s3 cp s3://rtdc.mdm.uploadarchive.raw/RTDC4001/ "%USERPROFILE%\AppData\Local\Temp\OnboardLogs"\RTDC4001\2017-03-18 --exclude "*" --recursive --include "*20170318*" &amp; "%USERPROFILE%\Documents\GitHub\mrs-test-scripts\Headless Mode &amp; Sideloading\WalkAndUnGZ.bat" "%USERPROFILE%\AppData\Local\Temp\OnboardLogs"\RTDC4001\2017-03-18</v>
      </c>
      <c r="S11" s="92" t="str">
        <f>VLOOKUP(C11,'Train Runs'!$A$13:$AE$9947,22,0)</f>
        <v>https://d0f6bd738d7f1b3e5a7ca70fe4ff75f0.us-east-1.aws.found.io/app/kibana#/discover/Steve-Slow-Train-Analysis-(2080s-and-2083s)?_g=(refreshInterval:(display:Off,pause:!f,section:0,value:0),time:(from:'2017-03-17T09:39:12-0600',mode:absolute,to:'2017-03-17T12:25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11" s="94" t="str">
        <f t="shared" si="1"/>
        <v>"C:\Program Files (x86)\AstroGrep\AstroGrep.exe" /e /r /s /spath="%USERPROFILE%\AppData\Local\Temp\OnboardLogs" /stypes="*4001*201703171*" /stext=" 17:.+((SYSTEM_STATE.+slice.+state.+changed )|(ment ac)|(multiple cpu faults)|(system.+state.+changed )|(\[timeout)|(PRM\|1\|D)|(kpr)|(kdp)|(\|lc)|(penalty))"</v>
      </c>
      <c r="U11" s="9" t="str">
        <f t="shared" si="2"/>
        <v>4001</v>
      </c>
      <c r="V11" s="32">
        <f t="shared" si="3"/>
        <v>42811.719687500001</v>
      </c>
      <c r="W11" s="46" t="str">
        <f t="shared" si="4"/>
        <v>EC</v>
      </c>
      <c r="X11" s="46" t="str">
        <f t="shared" si="5"/>
        <v>KEEP</v>
      </c>
      <c r="Y11" s="108" t="str">
        <f t="shared" si="6"/>
        <v>echo {"issue":{"subject":"Early arrival","project_id":79,"tracker_id":40,"status_id":1,"priority_id":2,"assigned_to_id":23,"start_date":"2017-03-17","description":"","custom_fields":[{"id":1,"name":"Subdivision","value":"EC"},{"id":4,"name":"Milepost","value":"2.735"},{"id":17,"name":"Train ID","value":"150-17"},{"id":16,"name":"Locomotive ID","value":"4001"},{"id":130,"name":"Impact","value":""},{"id":150,"name":"Time of Event (Mountain Time)","value":"11:16:21"},{"id":151,"name":"Denver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48"/>
      <c r="AA11" s="48"/>
      <c r="AB11" s="48"/>
      <c r="AC11" s="127" t="str">
        <f t="shared" si="7"/>
        <v>grep -hSE -A400 "Enforcement Action" "%USERPROFILE%\AppData\Local\Temp\OnboardLogs"\RTDC4001\*4001*201703171* | grep -SE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"%USERPROFILE%\AppData\Local\Temp\OnboardLogs"\RTDC4001\*4001*201703171* &gt;&gt; 2017-03-17-SliceDisagreementCheck.txt</v>
      </c>
      <c r="AE11" s="157" t="str">
        <f t="shared" si="8"/>
        <v>start /low /b %USERPROFILE%\Documents\GitHub\eaglep3\Utilities\DownloadLogsFromS3.py --loco 4001 --day 2017-03-17</v>
      </c>
    </row>
    <row r="12" spans="1:32" s="1" customFormat="1" x14ac:dyDescent="0.25">
      <c r="A12" s="32">
        <v>42811.469224537039</v>
      </c>
      <c r="B12" s="30" t="s">
        <v>488</v>
      </c>
      <c r="C12" s="30" t="s">
        <v>620</v>
      </c>
      <c r="D12" s="30" t="s">
        <v>49</v>
      </c>
      <c r="E12" s="30" t="s">
        <v>193</v>
      </c>
      <c r="F12" s="43">
        <v>90</v>
      </c>
      <c r="G12" s="43">
        <v>166</v>
      </c>
      <c r="H12" s="43">
        <v>27554</v>
      </c>
      <c r="I12" s="43">
        <v>27383</v>
      </c>
      <c r="J12" s="30" t="s">
        <v>194</v>
      </c>
      <c r="K12" s="43">
        <v>27350</v>
      </c>
      <c r="L12" s="143" t="s">
        <v>51</v>
      </c>
      <c r="M12" s="144">
        <f t="shared" si="0"/>
        <v>17.423999999999999</v>
      </c>
      <c r="N12" s="145" t="str">
        <f>VLOOKUP(C12,'Trips&amp;Operators'!$C$1:$G$99999,5,FALSE)</f>
        <v>STARKS ANGELINA</v>
      </c>
      <c r="O12" s="194" t="s">
        <v>185</v>
      </c>
      <c r="P12" s="146" t="s">
        <v>528</v>
      </c>
      <c r="Q12" s="30"/>
      <c r="R12" s="89" t="str">
        <f>IF(VLOOKUP(C12,'Train Runs'!$A$13:$AE$9947,1,1)=C12,VLOOKUP(C12,'Train Runs'!$A$13:$AE$9947,31,1),NA())</f>
        <v>aws s3 cp s3://rtdc.mdm.uploadarchive.raw/RTDC4001/ "%USERPROFILE%\AppData\Local\Temp\OnboardLogs"\RTDC4001\2017-03-17 --exclude "*" --recursive --include "*20170317*" &amp; "%USERPROFILE%\Documents\GitHub\mrs-test-scripts\Headless Mode &amp; Sideloading\WalkAndUnGZ.bat" "%USERPROFILE%\AppData\Local\Temp\OnboardLogs"\RTDC4001\2017-03-17 &amp; aws s3 cp s3://rtdc.mdm.uploadarchive.raw/RTDC4001/ "%USERPROFILE%\AppData\Local\Temp\OnboardLogs"\RTDC4001\2017-03-18 --exclude "*" --recursive --include "*20170318*" &amp; "%USERPROFILE%\Documents\GitHub\mrs-test-scripts\Headless Mode &amp; Sideloading\WalkAndUnGZ.bat" "%USERPROFILE%\AppData\Local\Temp\OnboardLogs"\RTDC4001\2017-03-18</v>
      </c>
      <c r="S12" s="92" t="str">
        <f>VLOOKUP(C12,'Train Runs'!$A$13:$AE$9947,22,0)</f>
        <v>https://d0f6bd738d7f1b3e5a7ca70fe4ff75f0.us-east-1.aws.found.io/app/kibana#/discover/Steve-Slow-Train-Analysis-(2080s-and-2083s)?_g=(refreshInterval:(display:Off,pause:!f,section:0,value:0),time:(from:'2017-03-17T09:39:12-0600',mode:absolute,to:'2017-03-17T12:25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12" s="94" t="str">
        <f t="shared" si="1"/>
        <v>"C:\Program Files (x86)\AstroGrep\AstroGrep.exe" /e /r /s /spath="%USERPROFILE%\AppData\Local\Temp\OnboardLogs" /stypes="*4001*201703171*" /stext=" 17:.+((SYSTEM_STATE.+slice.+state.+changed )|(ment ac)|(multiple cpu faults)|(system.+state.+changed )|(\[timeout)|(PRM\|1\|D)|(kpr)|(kdp)|(\|lc)|(penalty))"</v>
      </c>
      <c r="U12" s="9" t="str">
        <f t="shared" si="2"/>
        <v>4001</v>
      </c>
      <c r="V12" s="32">
        <f t="shared" si="3"/>
        <v>42811.719224537039</v>
      </c>
      <c r="W12" s="46" t="str">
        <f t="shared" si="4"/>
        <v>EC</v>
      </c>
      <c r="X12" s="46" t="str">
        <f t="shared" si="5"/>
        <v>KEEP</v>
      </c>
      <c r="Y12" s="108" t="str">
        <f t="shared" si="6"/>
        <v>echo {"issue":{"subject":"Early arrival","project_id":79,"tracker_id":40,"status_id":1,"priority_id":2,"assigned_to_id":23,"start_date":"2017-03-17","description":"","custom_fields":[{"id":1,"name":"Subdivision","value":"EC"},{"id":4,"name":"Milepost","value":"2.735"},{"id":17,"name":"Train ID","value":"150-17"},{"id":16,"name":"Locomotive ID","value":"4001"},{"id":130,"name":"Impact","value":""},{"id":150,"name":"Time of Event (Mountain Time)","value":"11:15:41"},{"id":151,"name":"Denver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48"/>
      <c r="AA12" s="48"/>
      <c r="AB12" s="48"/>
      <c r="AC12" s="127" t="str">
        <f t="shared" si="7"/>
        <v>grep -hSE -A400 "Enforcement Action" "%USERPROFILE%\AppData\Local\Temp\OnboardLogs"\RTDC4001\*4001*201703171* | grep -SE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"%USERPROFILE%\AppData\Local\Temp\OnboardLogs"\RTDC4001\*4001*201703171* &gt;&gt; 2017-03-17-SliceDisagreementCheck.txt</v>
      </c>
      <c r="AE12" s="157" t="str">
        <f t="shared" si="8"/>
        <v>start /low /b %USERPROFILE%\Documents\GitHub\eaglep3\Utilities\DownloadLogsFromS3.py --loco 4001 --day 2017-03-17</v>
      </c>
    </row>
    <row r="13" spans="1:32" s="1" customFormat="1" x14ac:dyDescent="0.25">
      <c r="A13" s="32">
        <v>42811.235543981478</v>
      </c>
      <c r="B13" s="30" t="s">
        <v>611</v>
      </c>
      <c r="C13" s="30" t="s">
        <v>612</v>
      </c>
      <c r="D13" s="30" t="s">
        <v>98</v>
      </c>
      <c r="E13" s="30" t="s">
        <v>193</v>
      </c>
      <c r="F13" s="43">
        <v>0</v>
      </c>
      <c r="G13" s="43">
        <v>117</v>
      </c>
      <c r="H13" s="43">
        <v>30832</v>
      </c>
      <c r="I13" s="43">
        <v>30918</v>
      </c>
      <c r="J13" s="30" t="s">
        <v>194</v>
      </c>
      <c r="K13" s="43">
        <v>30830</v>
      </c>
      <c r="L13" s="143" t="s">
        <v>50</v>
      </c>
      <c r="M13" s="144">
        <f t="shared" si="0"/>
        <v>-46.463999999999999</v>
      </c>
      <c r="N13" s="145" t="str">
        <f>VLOOKUP(C13,'Trips&amp;Operators'!$C$1:$G$99999,5,FALSE)</f>
        <v>SULLIVAN BRANDON</v>
      </c>
      <c r="O13" s="194" t="s">
        <v>185</v>
      </c>
      <c r="P13" s="146" t="s">
        <v>528</v>
      </c>
      <c r="Q13" s="30"/>
      <c r="R13" s="89" t="str">
        <f>IF(VLOOKUP(C13,'Train Runs'!$A$13:$AE$9947,1,1)=C13,VLOOKUP(C13,'Train Runs'!$A$13:$AE$9947,31,1),NA())</f>
        <v>aws s3 cp s3://rtdc.mdm.uploadarchive.raw/RTDC4042/ "%USERPROFILE%\AppData\Local\Temp\OnboardLogs"\RTDC4042\2017-03-17 --exclude "*" --recursive --include "*20170317*" &amp; "%USERPROFILE%\Documents\GitHub\mrs-test-scripts\Headless Mode &amp; Sideloading\WalkAndUnGZ.bat" "%USERPROFILE%\AppData\Local\Temp\OnboardLogs"\RTDC4042\2017-03-17 &amp; aws s3 cp s3://rtdc.mdm.uploadarchive.raw/RTDC4042/ "%USERPROFILE%\AppData\Local\Temp\OnboardLogs"\RTDC4042\2017-03-18 --exclude "*" --recursive --include "*20170318*" &amp; "%USERPROFILE%\Documents\GitHub\mrs-test-scripts\Headless Mode &amp; Sideloading\WalkAndUnGZ.bat" "%USERPROFILE%\AppData\Local\Temp\OnboardLogs"\RTDC4042\2017-03-18</v>
      </c>
      <c r="S13" s="92" t="str">
        <f>VLOOKUP(C13,'Train Runs'!$A$13:$AE$9947,22,0)</f>
        <v>https://d0f6bd738d7f1b3e5a7ca70fe4ff75f0.us-east-1.aws.found.io/app/kibana#/discover/Steve-Slow-Train-Analysis-(2080s-and-2083s)?_g=(refreshInterval:(display:Off,pause:!f,section:0,value:0),time:(from:'2017-03-17T04:27:18-0600',mode:absolute,to:'2017-03-17T07:10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13" s="94" t="str">
        <f t="shared" si="1"/>
        <v>"C:\Program Files (x86)\AstroGrep\AstroGrep.exe" /e /r /s /spath="%USERPROFILE%\AppData\Local\Temp\OnboardLogs" /stypes="*4042*201703171*" /stext=" 11:.+((SYSTEM_STATE.+slice.+state.+changed )|(ment ac)|(multiple cpu faults)|(system.+state.+changed )|(\[timeout)|(PRM\|1\|D)|(kpr)|(kdp)|(\|lc)|(penalty))"</v>
      </c>
      <c r="U13" s="9" t="str">
        <f t="shared" si="2"/>
        <v>4042</v>
      </c>
      <c r="V13" s="32">
        <f t="shared" si="3"/>
        <v>42811.485543981478</v>
      </c>
      <c r="W13" s="46" t="str">
        <f t="shared" si="4"/>
        <v>EC</v>
      </c>
      <c r="X13" s="46" t="str">
        <f t="shared" si="5"/>
        <v>KEEP</v>
      </c>
      <c r="Y13" s="108" t="str">
        <f t="shared" si="6"/>
        <v>echo {"issue":{"subject":"Early arrival","project_id":79,"tracker_id":40,"status_id":1,"priority_id":2,"assigned_to_id":23,"start_date":"2017-03-17","description":"","custom_fields":[{"id":1,"name":"Subdivision","value":"EC"},{"id":4,"name":"Milepost","value":"3.083"},{"id":17,"name":"Train ID","value":"115-17"},{"id":16,"name":"Locomotive ID","value":"4042"},{"id":130,"name":"Impact","value":""},{"id":150,"name":"Time of Event (Mountain Time)","value":"05:39:11"},{"id":151,"name":"Denver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48"/>
      <c r="AA13" s="48"/>
      <c r="AB13" s="48"/>
      <c r="AC13" s="127" t="str">
        <f t="shared" si="7"/>
        <v>grep -hSE -A400 "Enforcement Action" "%USERPROFILE%\AppData\Local\Temp\OnboardLogs"\RTDC4042\*4042*201703171* | grep -SE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"%USERPROFILE%\AppData\Local\Temp\OnboardLogs"\RTDC4042\*4042*201703171* &gt;&gt; 2017-03-17-SliceDisagreementCheck.txt</v>
      </c>
      <c r="AE13" s="157" t="str">
        <f t="shared" si="8"/>
        <v>start /low /b %USERPROFILE%\Documents\GitHub\eaglep3\Utilities\DownloadLogsFromS3.py --loco 4042 --day 2017-03-17</v>
      </c>
    </row>
    <row r="14" spans="1:32" x14ac:dyDescent="0.25">
      <c r="A14" s="32">
        <v>42811.590868055559</v>
      </c>
      <c r="B14" s="30" t="s">
        <v>627</v>
      </c>
      <c r="C14" s="30" t="s">
        <v>628</v>
      </c>
      <c r="D14" s="30" t="s">
        <v>98</v>
      </c>
      <c r="E14" s="30" t="s">
        <v>193</v>
      </c>
      <c r="F14" s="43">
        <v>140</v>
      </c>
      <c r="G14" s="43">
        <v>201</v>
      </c>
      <c r="H14" s="43">
        <v>30950</v>
      </c>
      <c r="I14" s="43">
        <v>31373</v>
      </c>
      <c r="J14" s="30" t="s">
        <v>194</v>
      </c>
      <c r="K14" s="43">
        <v>30830</v>
      </c>
      <c r="L14" s="143" t="s">
        <v>50</v>
      </c>
      <c r="M14" s="144">
        <f t="shared" si="0"/>
        <v>-286.70400000000001</v>
      </c>
      <c r="N14" s="145" t="str">
        <f>VLOOKUP(C14,'Trips&amp;Operators'!$C$1:$G$99999,5,FALSE)</f>
        <v>LOPES KIMBERLY</v>
      </c>
      <c r="O14" s="194" t="s">
        <v>185</v>
      </c>
      <c r="P14" s="146" t="s">
        <v>528</v>
      </c>
      <c r="Q14" s="30"/>
      <c r="R14" s="89" t="str">
        <f>IF(VLOOKUP(C14,'Train Runs'!$A$13:$AE$9947,1,1)=C14,VLOOKUP(C14,'Train Runs'!$A$13:$AE$9947,31,1),NA())</f>
        <v>aws s3 cp s3://rtdc.mdm.uploadarchive.raw/RTDC4011/ "%USERPROFILE%\AppData\Local\Temp\OnboardLogs"\RTDC4011\2017-03-17 --exclude "*" --recursive --include "*20170317*" &amp; "%USERPROFILE%\Documents\GitHub\mrs-test-scripts\Headless Mode &amp; Sideloading\WalkAndUnGZ.bat" "%USERPROFILE%\AppData\Local\Temp\OnboardLogs"\RTDC4011\2017-03-17 &amp; aws s3 cp s3://rtdc.mdm.uploadarchive.raw/RTDC4011/ "%USERPROFILE%\AppData\Local\Temp\OnboardLogs"\RTDC4011\2017-03-18 --exclude "*" --recursive --include "*20170318*" &amp; "%USERPROFILE%\Documents\GitHub\mrs-test-scripts\Headless Mode &amp; Sideloading\WalkAndUnGZ.bat" "%USERPROFILE%\AppData\Local\Temp\OnboardLogs"\RTDC4011\2017-03-18</v>
      </c>
      <c r="S14" s="92" t="str">
        <f>VLOOKUP(C14,'Train Runs'!$A$13:$AE$9947,22,0)</f>
        <v>https://d0f6bd738d7f1b3e5a7ca70fe4ff75f0.us-east-1.aws.found.io/app/kibana#/discover/Steve-Slow-Train-Analysis-(2080s-and-2083s)?_g=(refreshInterval:(display:Off,pause:!f,section:0,value:0),time:(from:'2017-03-17T12:52:14-0600',mode:absolute,to:'2017-03-17T15:40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14" s="94" t="str">
        <f t="shared" si="1"/>
        <v>"C:\Program Files (x86)\AstroGrep\AstroGrep.exe" /e /r /s /spath="%USERPROFILE%\AppData\Local\Temp\OnboardLogs" /stypes="*4011*201703172*" /stext=" 20:.+((SYSTEM_STATE.+slice.+state.+changed )|(ment ac)|(multiple cpu faults)|(system.+state.+changed )|(\[timeout)|(PRM\|1\|D)|(kpr)|(kdp)|(\|lc)|(penalty))"</v>
      </c>
      <c r="U14" s="9" t="str">
        <f t="shared" si="2"/>
        <v>4011</v>
      </c>
      <c r="V14" s="32">
        <f t="shared" si="3"/>
        <v>42811.840868055559</v>
      </c>
      <c r="W14" s="46" t="str">
        <f t="shared" si="4"/>
        <v>EC</v>
      </c>
      <c r="X14" s="46" t="str">
        <f t="shared" si="5"/>
        <v>KEEP</v>
      </c>
      <c r="Y14" s="108" t="str">
        <f t="shared" si="6"/>
        <v>echo {"issue":{"subject":"Early arrival","project_id":79,"tracker_id":40,"status_id":1,"priority_id":2,"assigned_to_id":23,"start_date":"2017-03-17","description":"","custom_fields":[{"id":1,"name":"Subdivision","value":"EC"},{"id":4,"name":"Milepost","value":"3.083"},{"id":17,"name":"Train ID","value":"183-17"},{"id":16,"name":"Locomotive ID","value":"4011"},{"id":130,"name":"Impact","value":""},{"id":150,"name":"Time of Event (Mountain Time)","value":"14:10:51"},{"id":151,"name":"Denver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48"/>
      <c r="AA14" s="48"/>
      <c r="AB14" s="48"/>
      <c r="AC14" s="127" t="str">
        <f t="shared" si="7"/>
        <v>grep -hSE -A400 "Enforcement Action" "%USERPROFILE%\AppData\Local\Temp\OnboardLogs"\RTDC4011\*4011*201703172* | grep -SE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"%USERPROFILE%\AppData\Local\Temp\OnboardLogs"\RTDC4011\*4011*201703172* &gt;&gt; 2017-03-17-SliceDisagreementCheck.txt</v>
      </c>
      <c r="AE14" s="157" t="str">
        <f t="shared" si="8"/>
        <v>start /low /b %USERPROFILE%\Documents\GitHub\eaglep3\Utilities\DownloadLogsFromS3.py --loco 4011 --day 2017-03-17</v>
      </c>
      <c r="AF14" s="1"/>
    </row>
    <row r="15" spans="1:32" x14ac:dyDescent="0.25">
      <c r="A15" s="32">
        <v>42811.185717592591</v>
      </c>
      <c r="B15" s="30" t="s">
        <v>239</v>
      </c>
      <c r="C15" s="30" t="s">
        <v>610</v>
      </c>
      <c r="D15" s="30" t="s">
        <v>49</v>
      </c>
      <c r="E15" s="30" t="s">
        <v>193</v>
      </c>
      <c r="F15" s="43">
        <v>420</v>
      </c>
      <c r="G15" s="43">
        <v>483</v>
      </c>
      <c r="H15" s="43">
        <v>46752</v>
      </c>
      <c r="I15" s="43">
        <v>48353</v>
      </c>
      <c r="J15" s="30" t="s">
        <v>194</v>
      </c>
      <c r="K15" s="43">
        <v>47866</v>
      </c>
      <c r="L15" s="143" t="s">
        <v>50</v>
      </c>
      <c r="M15" s="144">
        <f t="shared" si="0"/>
        <v>-257.13600000000002</v>
      </c>
      <c r="N15" s="145" t="str">
        <f>VLOOKUP(C15,'Trips&amp;Operators'!$C$1:$G$99999,5,FALSE)</f>
        <v>SPECTOR MICHAEL</v>
      </c>
      <c r="O15" s="194" t="s">
        <v>185</v>
      </c>
      <c r="P15" s="146" t="s">
        <v>528</v>
      </c>
      <c r="Q15" s="30"/>
      <c r="R15" s="89" t="str">
        <f>IF(VLOOKUP(C15,'Train Runs'!$A$13:$AE$9947,1,1)=C15,VLOOKUP(C15,'Train Runs'!$A$13:$AE$9947,31,1),NA())</f>
        <v>aws s3 cp s3://rtdc.mdm.uploadarchive.raw/RTDC4020/ "%USERPROFILE%\AppData\Local\Temp\OnboardLogs"\RTDC4020\2017-03-17 --exclude "*" --recursive --include "*20170317*" &amp; "%USERPROFILE%\Documents\GitHub\mrs-test-scripts\Headless Mode &amp; Sideloading\WalkAndUnGZ.bat" "%USERPROFILE%\AppData\Local\Temp\OnboardLogs"\RTDC4020\2017-03-17 &amp; aws s3 cp s3://rtdc.mdm.uploadarchive.raw/RTDC4020/ "%USERPROFILE%\AppData\Local\Temp\OnboardLogs"\RTDC4020\2017-03-18 --exclude "*" --recursive --include "*20170318*" &amp; "%USERPROFILE%\Documents\GitHub\mrs-test-scripts\Headless Mode &amp; Sideloading\WalkAndUnGZ.bat" "%USERPROFILE%\AppData\Local\Temp\OnboardLogs"\RTDC4020\2017-03-18</v>
      </c>
      <c r="S15" s="92" t="str">
        <f>VLOOKUP(C15,'Train Runs'!$A$13:$AE$9947,22,0)</f>
        <v>https://d0f6bd738d7f1b3e5a7ca70fe4ff75f0.us-east-1.aws.found.io/app/kibana#/discover/Steve-Slow-Train-Analysis-(2080s-and-2083s)?_g=(refreshInterval:(display:Off,pause:!f,section:0,value:0),time:(from:'2017-03-17T03:11:27-0600',mode:absolute,to:'2017-03-17T05:53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15" s="94" t="str">
        <f t="shared" si="1"/>
        <v>"C:\Program Files (x86)\AstroGrep\AstroGrep.exe" /e /r /s /spath="%USERPROFILE%\AppData\Local\Temp\OnboardLogs" /stypes="*4020*201703171*" /stext=" 10:.+((SYSTEM_STATE.+slice.+state.+changed )|(ment ac)|(multiple cpu faults)|(system.+state.+changed )|(\[timeout)|(PRM\|1\|D)|(kpr)|(kdp)|(\|lc)|(penalty))"</v>
      </c>
      <c r="U15" s="9" t="str">
        <f t="shared" si="2"/>
        <v>4020</v>
      </c>
      <c r="V15" s="32">
        <f t="shared" si="3"/>
        <v>42811.435717592591</v>
      </c>
      <c r="W15" s="46" t="str">
        <f t="shared" si="4"/>
        <v>EC</v>
      </c>
      <c r="X15" s="46" t="str">
        <f t="shared" si="5"/>
        <v>KEEP</v>
      </c>
      <c r="Y15" s="108" t="str">
        <f t="shared" si="6"/>
        <v>echo {"issue":{"subject":"Early arrival","project_id":79,"tracker_id":40,"status_id":1,"priority_id":2,"assigned_to_id":23,"start_date":"2017-03-17","description":"","custom_fields":[{"id":1,"name":"Subdivision","value":"EC"},{"id":4,"name":"Milepost","value":"4.7866"},{"id":17,"name":"Train ID","value":"105-17"},{"id":16,"name":"Locomotive ID","value":"4020"},{"id":130,"name":"Impact","value":""},{"id":150,"name":"Time of Event (Mountain Time)","value":"04:27:26"},{"id":151,"name":"Denver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48"/>
      <c r="AA15" s="48"/>
      <c r="AB15" s="48"/>
      <c r="AC15" s="127" t="str">
        <f t="shared" si="7"/>
        <v>grep -hSE -A400 "Enforcement Action" "%USERPROFILE%\AppData\Local\Temp\OnboardLogs"\RTDC4020\*4020*201703171* | grep -SE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"%USERPROFILE%\AppData\Local\Temp\OnboardLogs"\RTDC4020\*4020*201703171* &gt;&gt; 2017-03-17-SliceDisagreementCheck.txt</v>
      </c>
      <c r="AE15" s="157" t="str">
        <f t="shared" si="8"/>
        <v>start /low /b %USERPROFILE%\Documents\GitHub\eaglep3\Utilities\DownloadLogsFromS3.py --loco 4020 --day 2017-03-17</v>
      </c>
      <c r="AF15" s="1"/>
    </row>
    <row r="16" spans="1:32" x14ac:dyDescent="0.25">
      <c r="A16" s="32">
        <v>42811.465648148151</v>
      </c>
      <c r="B16" s="30" t="s">
        <v>488</v>
      </c>
      <c r="C16" s="30" t="s">
        <v>620</v>
      </c>
      <c r="D16" s="30" t="s">
        <v>49</v>
      </c>
      <c r="E16" s="30" t="s">
        <v>193</v>
      </c>
      <c r="F16" s="43">
        <v>450</v>
      </c>
      <c r="G16" s="43">
        <v>518</v>
      </c>
      <c r="H16" s="43">
        <v>49171</v>
      </c>
      <c r="I16" s="43">
        <v>47595</v>
      </c>
      <c r="J16" s="30" t="s">
        <v>194</v>
      </c>
      <c r="K16" s="43">
        <v>48048</v>
      </c>
      <c r="L16" s="143" t="s">
        <v>51</v>
      </c>
      <c r="M16" s="144">
        <f t="shared" si="0"/>
        <v>-239.184</v>
      </c>
      <c r="N16" s="145" t="str">
        <f>VLOOKUP(C16,'Trips&amp;Operators'!$C$1:$G$99999,5,FALSE)</f>
        <v>STARKS ANGELINA</v>
      </c>
      <c r="O16" s="194" t="s">
        <v>185</v>
      </c>
      <c r="P16" s="146" t="s">
        <v>528</v>
      </c>
      <c r="Q16" s="30"/>
      <c r="R16" s="89" t="str">
        <f>IF(VLOOKUP(C16,'Train Runs'!$A$13:$AE$9947,1,1)=C16,VLOOKUP(C16,'Train Runs'!$A$13:$AE$9947,31,1),NA())</f>
        <v>aws s3 cp s3://rtdc.mdm.uploadarchive.raw/RTDC4001/ "%USERPROFILE%\AppData\Local\Temp\OnboardLogs"\RTDC4001\2017-03-17 --exclude "*" --recursive --include "*20170317*" &amp; "%USERPROFILE%\Documents\GitHub\mrs-test-scripts\Headless Mode &amp; Sideloading\WalkAndUnGZ.bat" "%USERPROFILE%\AppData\Local\Temp\OnboardLogs"\RTDC4001\2017-03-17 &amp; aws s3 cp s3://rtdc.mdm.uploadarchive.raw/RTDC4001/ "%USERPROFILE%\AppData\Local\Temp\OnboardLogs"\RTDC4001\2017-03-18 --exclude "*" --recursive --include "*20170318*" &amp; "%USERPROFILE%\Documents\GitHub\mrs-test-scripts\Headless Mode &amp; Sideloading\WalkAndUnGZ.bat" "%USERPROFILE%\AppData\Local\Temp\OnboardLogs"\RTDC4001\2017-03-18</v>
      </c>
      <c r="S16" s="92" t="str">
        <f>VLOOKUP(C16,'Train Runs'!$A$13:$AE$9947,22,0)</f>
        <v>https://d0f6bd738d7f1b3e5a7ca70fe4ff75f0.us-east-1.aws.found.io/app/kibana#/discover/Steve-Slow-Train-Analysis-(2080s-and-2083s)?_g=(refreshInterval:(display:Off,pause:!f,section:0,value:0),time:(from:'2017-03-17T09:39:12-0600',mode:absolute,to:'2017-03-17T12:25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16" s="94" t="str">
        <f t="shared" si="1"/>
        <v>"C:\Program Files (x86)\AstroGrep\AstroGrep.exe" /e /r /s /spath="%USERPROFILE%\AppData\Local\Temp\OnboardLogs" /stypes="*4001*201703171*" /stext=" 17:.+((SYSTEM_STATE.+slice.+state.+changed )|(ment ac)|(multiple cpu faults)|(system.+state.+changed )|(\[timeout)|(PRM\|1\|D)|(kpr)|(kdp)|(\|lc)|(penalty))"</v>
      </c>
      <c r="U16" s="9" t="str">
        <f t="shared" si="2"/>
        <v>4001</v>
      </c>
      <c r="V16" s="32">
        <f t="shared" si="3"/>
        <v>42811.715648148151</v>
      </c>
      <c r="W16" s="46" t="str">
        <f t="shared" si="4"/>
        <v>EC</v>
      </c>
      <c r="X16" s="46" t="str">
        <f t="shared" si="5"/>
        <v>KEEP</v>
      </c>
      <c r="Y16" s="108" t="str">
        <f t="shared" si="6"/>
        <v>echo {"issue":{"subject":"Early arrival","project_id":79,"tracker_id":40,"status_id":1,"priority_id":2,"assigned_to_id":23,"start_date":"2017-03-17","description":"","custom_fields":[{"id":1,"name":"Subdivision","value":"EC"},{"id":4,"name":"Milepost","value":"4.8048"},{"id":17,"name":"Train ID","value":"150-17"},{"id":16,"name":"Locomotive ID","value":"4001"},{"id":130,"name":"Impact","value":""},{"id":150,"name":"Time of Event (Mountain Time)","value":"11:10:32"},{"id":151,"name":"Denver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48"/>
      <c r="AA16" s="48"/>
      <c r="AB16" s="48"/>
      <c r="AC16" s="127" t="str">
        <f t="shared" si="7"/>
        <v>grep -hSE -A400 "Enforcement Action" "%USERPROFILE%\AppData\Local\Temp\OnboardLogs"\RTDC4001\*4001*201703171* | grep -SE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"%USERPROFILE%\AppData\Local\Temp\OnboardLogs"\RTDC4001\*4001*201703171* &gt;&gt; 2017-03-17-SliceDisagreementCheck.txt</v>
      </c>
      <c r="AE16" s="157" t="str">
        <f t="shared" si="8"/>
        <v>start /low /b %USERPROFILE%\Documents\GitHub\eaglep3\Utilities\DownloadLogsFromS3.py --loco 4001 --day 2017-03-17</v>
      </c>
      <c r="AF16" s="1"/>
    </row>
    <row r="17" spans="1:32" x14ac:dyDescent="0.25">
      <c r="A17" s="32">
        <v>42811.391168981485</v>
      </c>
      <c r="B17" s="30" t="s">
        <v>488</v>
      </c>
      <c r="C17" s="30" t="s">
        <v>616</v>
      </c>
      <c r="D17" s="30" t="s">
        <v>49</v>
      </c>
      <c r="E17" s="30" t="s">
        <v>193</v>
      </c>
      <c r="F17" s="43">
        <v>430</v>
      </c>
      <c r="G17" s="43">
        <v>577</v>
      </c>
      <c r="H17" s="43">
        <v>55710</v>
      </c>
      <c r="I17" s="43">
        <v>53599</v>
      </c>
      <c r="J17" s="30" t="s">
        <v>194</v>
      </c>
      <c r="K17" s="43">
        <v>53277</v>
      </c>
      <c r="L17" s="143" t="s">
        <v>51</v>
      </c>
      <c r="M17" s="144">
        <f t="shared" si="0"/>
        <v>170.01599999999999</v>
      </c>
      <c r="N17" s="145" t="str">
        <f>VLOOKUP(C17,'Trips&amp;Operators'!$C$1:$G$99999,5,FALSE)</f>
        <v>STARKS ANGELINA</v>
      </c>
      <c r="O17" s="194" t="s">
        <v>185</v>
      </c>
      <c r="P17" s="146" t="s">
        <v>528</v>
      </c>
      <c r="Q17" s="30"/>
      <c r="R17" s="89" t="str">
        <f>IF(VLOOKUP(C17,'Train Runs'!$A$13:$AE$9947,1,1)=C17,VLOOKUP(C17,'Train Runs'!$A$13:$AE$9947,31,1),NA())</f>
        <v>aws s3 cp s3://rtdc.mdm.uploadarchive.raw/RTDC4001/ "%USERPROFILE%\AppData\Local\Temp\OnboardLogs"\RTDC4001\2017-03-17 --exclude "*" --recursive --include "*20170317*" &amp; "%USERPROFILE%\Documents\GitHub\mrs-test-scripts\Headless Mode &amp; Sideloading\WalkAndUnGZ.bat" "%USERPROFILE%\AppData\Local\Temp\OnboardLogs"\RTDC4001\2017-03-17 &amp; aws s3 cp s3://rtdc.mdm.uploadarchive.raw/RTDC4001/ "%USERPROFILE%\AppData\Local\Temp\OnboardLogs"\RTDC4001\2017-03-18 --exclude "*" --recursive --include "*20170318*" &amp; "%USERPROFILE%\Documents\GitHub\mrs-test-scripts\Headless Mode &amp; Sideloading\WalkAndUnGZ.bat" "%USERPROFILE%\AppData\Local\Temp\OnboardLogs"\RTDC4001\2017-03-18</v>
      </c>
      <c r="S17" s="92" t="str">
        <f>VLOOKUP(C17,'Train Runs'!$A$13:$AE$9947,22,0)</f>
        <v>https://d0f6bd738d7f1b3e5a7ca70fe4ff75f0.us-east-1.aws.found.io/app/kibana#/discover/Steve-Slow-Train-Analysis-(2080s-and-2083s)?_g=(refreshInterval:(display:Off,pause:!f,section:0,value:0),time:(from:'2017-03-17T07:54:20-0600',mode:absolute,to:'2017-03-17T10:37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17" s="94" t="str">
        <f t="shared" si="1"/>
        <v>"C:\Program Files (x86)\AstroGrep\AstroGrep.exe" /e /r /s /spath="%USERPROFILE%\AppData\Local\Temp\OnboardLogs" /stypes="*4001*201703171*" /stext=" 15:.+((SYSTEM_STATE.+slice.+state.+changed )|(ment ac)|(multiple cpu faults)|(system.+state.+changed )|(\[timeout)|(PRM\|1\|D)|(kpr)|(kdp)|(\|lc)|(penalty))"</v>
      </c>
      <c r="U17" s="9" t="str">
        <f t="shared" si="2"/>
        <v>4001</v>
      </c>
      <c r="V17" s="32">
        <f t="shared" si="3"/>
        <v>42811.641168981485</v>
      </c>
      <c r="W17" s="46" t="str">
        <f t="shared" si="4"/>
        <v>EC</v>
      </c>
      <c r="X17" s="46" t="str">
        <f t="shared" si="5"/>
        <v>KEEP</v>
      </c>
      <c r="Y17" s="108" t="str">
        <f t="shared" si="6"/>
        <v>echo {"issue":{"subject":"Early arrival","project_id":79,"tracker_id":40,"status_id":1,"priority_id":2,"assigned_to_id":23,"start_date":"2017-03-17","description":"","custom_fields":[{"id":1,"name":"Subdivision","value":"EC"},{"id":4,"name":"Milepost","value":"5.3277"},{"id":17,"name":"Train ID","value":"136-17"},{"id":16,"name":"Locomotive ID","value":"4001"},{"id":130,"name":"Impact","value":""},{"id":150,"name":"Time of Event (Mountain Time)","value":"09:23:17"},{"id":151,"name":"Denver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48"/>
      <c r="AA17" s="48"/>
      <c r="AB17" s="48"/>
      <c r="AC17" s="127" t="str">
        <f t="shared" si="7"/>
        <v>grep -hSE -A400 "Enforcement Action" "%USERPROFILE%\AppData\Local\Temp\OnboardLogs"\RTDC4001\*4001*201703171* | grep -SE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"%USERPROFILE%\AppData\Local\Temp\OnboardLogs"\RTDC4001\*4001*201703171* &gt;&gt; 2017-03-17-SliceDisagreementCheck.txt</v>
      </c>
      <c r="AE17" s="157" t="str">
        <f t="shared" si="8"/>
        <v>start /low /b %USERPROFILE%\Documents\GitHub\eaglep3\Utilities\DownloadLogsFromS3.py --loco 4001 --day 2017-03-17</v>
      </c>
      <c r="AF17" s="1"/>
    </row>
    <row r="18" spans="1:32" ht="15" customHeight="1" x14ac:dyDescent="0.25">
      <c r="A18" s="32">
        <v>42811.43644675926</v>
      </c>
      <c r="B18" s="30" t="s">
        <v>614</v>
      </c>
      <c r="C18" s="30" t="s">
        <v>618</v>
      </c>
      <c r="D18" s="30" t="s">
        <v>49</v>
      </c>
      <c r="E18" s="30" t="s">
        <v>193</v>
      </c>
      <c r="F18" s="43">
        <v>440</v>
      </c>
      <c r="G18" s="43">
        <v>526</v>
      </c>
      <c r="H18" s="43">
        <v>59190</v>
      </c>
      <c r="I18" s="43">
        <v>57241</v>
      </c>
      <c r="J18" s="30" t="s">
        <v>194</v>
      </c>
      <c r="K18" s="43">
        <v>58301</v>
      </c>
      <c r="L18" s="143" t="s">
        <v>51</v>
      </c>
      <c r="M18" s="144">
        <f t="shared" si="0"/>
        <v>-559.67999999999995</v>
      </c>
      <c r="N18" s="145" t="str">
        <f>VLOOKUP(C18,'Trips&amp;Operators'!$C$1:$G$99999,5,FALSE)</f>
        <v>SULLIVAN BRANDON</v>
      </c>
      <c r="O18" s="194" t="s">
        <v>185</v>
      </c>
      <c r="P18" s="146" t="s">
        <v>528</v>
      </c>
      <c r="Q18" s="30"/>
      <c r="R18" s="89" t="str">
        <f>IF(VLOOKUP(C18,'Train Runs'!$A$13:$AE$9947,1,1)=C18,VLOOKUP(C18,'Train Runs'!$A$13:$AE$9947,31,1),NA())</f>
        <v>aws s3 cp s3://rtdc.mdm.uploadarchive.raw/RTDC4041/ "%USERPROFILE%\AppData\Local\Temp\OnboardLogs"\RTDC4041\2017-03-17 --exclude "*" --recursive --include "*20170317*" &amp; "%USERPROFILE%\Documents\GitHub\mrs-test-scripts\Headless Mode &amp; Sideloading\WalkAndUnGZ.bat" "%USERPROFILE%\AppData\Local\Temp\OnboardLogs"\RTDC4041\2017-03-17 &amp; aws s3 cp s3://rtdc.mdm.uploadarchive.raw/RTDC4041/ "%USERPROFILE%\AppData\Local\Temp\OnboardLogs"\RTDC4041\2017-03-18 --exclude "*" --recursive --include "*20170318*" &amp; "%USERPROFILE%\Documents\GitHub\mrs-test-scripts\Headless Mode &amp; Sideloading\WalkAndUnGZ.bat" "%USERPROFILE%\AppData\Local\Temp\OnboardLogs"\RTDC4041\2017-03-18</v>
      </c>
      <c r="S18" s="92" t="str">
        <f>VLOOKUP(C18,'Train Runs'!$A$13:$AE$9947,22,0)</f>
        <v>https://d0f6bd738d7f1b3e5a7ca70fe4ff75f0.us-east-1.aws.found.io/app/kibana#/discover/Steve-Slow-Train-Analysis-(2080s-and-2083s)?_g=(refreshInterval:(display:Off,pause:!f,section:0,value:0),time:(from:'2017-03-17T08:46:35-0600',mode:absolute,to:'2017-03-17T11:43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18" s="94" t="str">
        <f t="shared" si="1"/>
        <v>"C:\Program Files (x86)\AstroGrep\AstroGrep.exe" /e /r /s /spath="%USERPROFILE%\AppData\Local\Temp\OnboardLogs" /stypes="*4041*201703171*" /stext=" 16:.+((SYSTEM_STATE.+slice.+state.+changed )|(ment ac)|(multiple cpu faults)|(system.+state.+changed )|(\[timeout)|(PRM\|1\|D)|(kpr)|(kdp)|(\|lc)|(penalty))"</v>
      </c>
      <c r="U18" s="9" t="str">
        <f t="shared" si="2"/>
        <v>4041</v>
      </c>
      <c r="V18" s="32">
        <f t="shared" si="3"/>
        <v>42811.68644675926</v>
      </c>
      <c r="W18" s="46" t="str">
        <f t="shared" si="4"/>
        <v>EC</v>
      </c>
      <c r="X18" s="46" t="str">
        <f t="shared" si="5"/>
        <v>KEEP</v>
      </c>
      <c r="Y18" s="108" t="str">
        <f t="shared" si="6"/>
        <v>echo {"issue":{"subject":"Early arrival","project_id":79,"tracker_id":40,"status_id":1,"priority_id":2,"assigned_to_id":23,"start_date":"2017-03-17","description":"","custom_fields":[{"id":1,"name":"Subdivision","value":"EC"},{"id":4,"name":"Milepost","value":"5.8301"},{"id":17,"name":"Train ID","value":"144-17"},{"id":16,"name":"Locomotive ID","value":"4041"},{"id":130,"name":"Impact","value":""},{"id":150,"name":"Time of Event (Mountain Time)","value":"10:28:29"},{"id":151,"name":"Denver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48"/>
      <c r="AA18" s="48"/>
      <c r="AB18" s="48"/>
      <c r="AC18" s="127" t="str">
        <f t="shared" si="7"/>
        <v>grep -hSE -A400 "Enforcement Action" "%USERPROFILE%\AppData\Local\Temp\OnboardLogs"\RTDC4041\*4041*201703171* | grep -SE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"%USERPROFILE%\AppData\Local\Temp\OnboardLogs"\RTDC4041\*4041*201703171* &gt;&gt; 2017-03-17-SliceDisagreementCheck.txt</v>
      </c>
      <c r="AE18" s="157" t="str">
        <f t="shared" si="8"/>
        <v>start /low /b %USERPROFILE%\Documents\GitHub\eaglep3\Utilities\DownloadLogsFromS3.py --loco 4041 --day 2017-03-17</v>
      </c>
      <c r="AF18" s="1"/>
    </row>
    <row r="19" spans="1:32" x14ac:dyDescent="0.25">
      <c r="A19" s="32">
        <v>42811.453680555554</v>
      </c>
      <c r="B19" s="30" t="s">
        <v>372</v>
      </c>
      <c r="C19" s="30" t="s">
        <v>619</v>
      </c>
      <c r="D19" s="30" t="s">
        <v>49</v>
      </c>
      <c r="E19" s="30" t="s">
        <v>193</v>
      </c>
      <c r="F19" s="43">
        <v>390</v>
      </c>
      <c r="G19" s="43">
        <v>489</v>
      </c>
      <c r="H19" s="43">
        <v>59495</v>
      </c>
      <c r="I19" s="43">
        <v>57741</v>
      </c>
      <c r="J19" s="30" t="s">
        <v>194</v>
      </c>
      <c r="K19" s="43">
        <v>58301</v>
      </c>
      <c r="L19" s="143" t="s">
        <v>51</v>
      </c>
      <c r="M19" s="144">
        <f t="shared" si="0"/>
        <v>-295.68</v>
      </c>
      <c r="N19" s="145" t="str">
        <f>VLOOKUP(C19,'Trips&amp;Operators'!$C$1:$G$99999,5,FALSE)</f>
        <v>ROBINSON KADDIBA</v>
      </c>
      <c r="O19" s="194" t="s">
        <v>185</v>
      </c>
      <c r="P19" s="146" t="s">
        <v>528</v>
      </c>
      <c r="Q19" s="30"/>
      <c r="R19" s="89" t="str">
        <f>IF(VLOOKUP(C19,'Train Runs'!$A$13:$AE$9947,1,1)=C19,VLOOKUP(C19,'Train Runs'!$A$13:$AE$9947,31,1),NA())</f>
        <v>aws s3 cp s3://rtdc.mdm.uploadarchive.raw/RTDC4019/ "%USERPROFILE%\AppData\Local\Temp\OnboardLogs"\RTDC4019\2017-03-17 --exclude "*" --recursive --include "*20170317*" &amp; "%USERPROFILE%\Documents\GitHub\mrs-test-scripts\Headless Mode &amp; Sideloading\WalkAndUnGZ.bat" "%USERPROFILE%\AppData\Local\Temp\OnboardLogs"\RTDC4019\2017-03-17 &amp; aws s3 cp s3://rtdc.mdm.uploadarchive.raw/RTDC4019/ "%USERPROFILE%\AppData\Local\Temp\OnboardLogs"\RTDC4019\2017-03-18 --exclude "*" --recursive --include "*20170318*" &amp; "%USERPROFILE%\Documents\GitHub\mrs-test-scripts\Headless Mode &amp; Sideloading\WalkAndUnGZ.bat" "%USERPROFILE%\AppData\Local\Temp\OnboardLogs"\RTDC4019\2017-03-18</v>
      </c>
      <c r="S19" s="92" t="str">
        <f>VLOOKUP(C19,'Train Runs'!$A$13:$AE$9947,22,0)</f>
        <v>https://d0f6bd738d7f1b3e5a7ca70fe4ff75f0.us-east-1.aws.found.io/app/kibana#/discover/Steve-Slow-Train-Analysis-(2080s-and-2083s)?_g=(refreshInterval:(display:Off,pause:!f,section:0,value:0),time:(from:'2017-03-17T09:20:02-0600',mode:absolute,to:'2017-03-17T12:09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19" s="94" t="str">
        <f t="shared" si="1"/>
        <v>"C:\Program Files (x86)\AstroGrep\AstroGrep.exe" /e /r /s /spath="%USERPROFILE%\AppData\Local\Temp\OnboardLogs" /stypes="*4019*201703171*" /stext=" 16:.+((SYSTEM_STATE.+slice.+state.+changed )|(ment ac)|(multiple cpu faults)|(system.+state.+changed )|(\[timeout)|(PRM\|1\|D)|(kpr)|(kdp)|(\|lc)|(penalty))"</v>
      </c>
      <c r="U19" s="9" t="str">
        <f t="shared" si="2"/>
        <v>4019</v>
      </c>
      <c r="V19" s="32">
        <f t="shared" si="3"/>
        <v>42811.703680555554</v>
      </c>
      <c r="W19" s="46" t="str">
        <f t="shared" si="4"/>
        <v>EC</v>
      </c>
      <c r="X19" s="46" t="str">
        <f t="shared" si="5"/>
        <v>KEEP</v>
      </c>
      <c r="Y19" s="108" t="str">
        <f t="shared" si="6"/>
        <v>echo {"issue":{"subject":"Early arrival","project_id":79,"tracker_id":40,"status_id":1,"priority_id":2,"assigned_to_id":23,"start_date":"2017-03-17","description":"","custom_fields":[{"id":1,"name":"Subdivision","value":"EC"},{"id":4,"name":"Milepost","value":"5.8301"},{"id":17,"name":"Train ID","value":"148-17"},{"id":16,"name":"Locomotive ID","value":"4019"},{"id":130,"name":"Impact","value":""},{"id":150,"name":"Time of Event (Mountain Time)","value":"10:53:18"},{"id":151,"name":"Denver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48"/>
      <c r="AA19" s="48"/>
      <c r="AB19" s="48"/>
      <c r="AC19" s="127" t="str">
        <f t="shared" si="7"/>
        <v>grep -hSE -A400 "Enforcement Action" "%USERPROFILE%\AppData\Local\Temp\OnboardLogs"\RTDC4019\*4019*201703171* | grep -SE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"%USERPROFILE%\AppData\Local\Temp\OnboardLogs"\RTDC4019\*4019*201703171* &gt;&gt; 2017-03-17-SliceDisagreementCheck.txt</v>
      </c>
      <c r="AE19" s="157" t="str">
        <f t="shared" si="8"/>
        <v>start /low /b %USERPROFILE%\Documents\GitHub\eaglep3\Utilities\DownloadLogsFromS3.py --loco 4019 --day 2017-03-17</v>
      </c>
      <c r="AF19" s="1"/>
    </row>
    <row r="20" spans="1:32" x14ac:dyDescent="0.25">
      <c r="A20" s="32">
        <v>42811.415902777779</v>
      </c>
      <c r="B20" s="30" t="s">
        <v>492</v>
      </c>
      <c r="C20" s="30" t="s">
        <v>617</v>
      </c>
      <c r="D20" s="30" t="s">
        <v>49</v>
      </c>
      <c r="E20" s="30" t="s">
        <v>193</v>
      </c>
      <c r="F20" s="43">
        <v>380</v>
      </c>
      <c r="G20" s="43">
        <v>445</v>
      </c>
      <c r="H20" s="43">
        <v>62049</v>
      </c>
      <c r="I20" s="43">
        <v>63226</v>
      </c>
      <c r="J20" s="30" t="s">
        <v>194</v>
      </c>
      <c r="K20" s="43">
        <v>63069</v>
      </c>
      <c r="L20" s="143" t="s">
        <v>50</v>
      </c>
      <c r="M20" s="144">
        <f t="shared" si="0"/>
        <v>-82.895999999999987</v>
      </c>
      <c r="N20" s="145" t="str">
        <f>VLOOKUP(C20,'Trips&amp;Operators'!$C$1:$G$99999,5,FALSE)</f>
        <v>STARKS ANGELINA</v>
      </c>
      <c r="O20" s="194" t="s">
        <v>185</v>
      </c>
      <c r="P20" s="146" t="s">
        <v>528</v>
      </c>
      <c r="Q20" s="30"/>
      <c r="R20" s="89" t="str">
        <f>IF(VLOOKUP(C20,'Train Runs'!$A$13:$AE$9947,1,1)=C20,VLOOKUP(C20,'Train Runs'!$A$13:$AE$9947,31,1),NA())</f>
        <v>aws s3 cp s3://rtdc.mdm.uploadarchive.raw/RTDC4002/ "%USERPROFILE%\AppData\Local\Temp\OnboardLogs"\RTDC4002\2017-03-17 --exclude "*" --recursive --include "*20170317*" &amp; "%USERPROFILE%\Documents\GitHub\mrs-test-scripts\Headless Mode &amp; Sideloading\WalkAndUnGZ.bat" "%USERPROFILE%\AppData\Local\Temp\OnboardLogs"\RTDC4002\2017-03-17 &amp; aws s3 cp s3://rtdc.mdm.uploadarchive.raw/RTDC4002/ "%USERPROFILE%\AppData\Local\Temp\OnboardLogs"\RTDC4002\2017-03-18 --exclude "*" --recursive --include "*20170318*" &amp; "%USERPROFILE%\Documents\GitHub\mrs-test-scripts\Headless Mode &amp; Sideloading\WalkAndUnGZ.bat" "%USERPROFILE%\AppData\Local\Temp\OnboardLogs"\RTDC4002\2017-03-18</v>
      </c>
      <c r="S20" s="92" t="str">
        <f>VLOOKUP(C20,'Train Runs'!$A$13:$AE$9947,22,0)</f>
        <v>https://d0f6bd738d7f1b3e5a7ca70fe4ff75f0.us-east-1.aws.found.io/app/kibana#/discover/Steve-Slow-Train-Analysis-(2080s-and-2083s)?_g=(refreshInterval:(display:Off,pause:!f,section:0,value:0),time:(from:'2017-03-17T08:41:33-0600',mode:absolute,to:'2017-03-17T11:07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T20" s="94" t="str">
        <f t="shared" si="1"/>
        <v>"C:\Program Files (x86)\AstroGrep\AstroGrep.exe" /e /r /s /spath="%USERPROFILE%\AppData\Local\Temp\OnboardLogs" /stypes="*4002*201703171*" /stext=" 15:.+((SYSTEM_STATE.+slice.+state.+changed )|(ment ac)|(multiple cpu faults)|(system.+state.+changed )|(\[timeout)|(PRM\|1\|D)|(kpr)|(kdp)|(\|lc)|(penalty))"</v>
      </c>
      <c r="U20" s="9" t="str">
        <f t="shared" si="2"/>
        <v>4002</v>
      </c>
      <c r="V20" s="32">
        <f t="shared" si="3"/>
        <v>42811.665902777779</v>
      </c>
      <c r="W20" s="46" t="str">
        <f t="shared" si="4"/>
        <v>EC</v>
      </c>
      <c r="X20" s="46" t="str">
        <f t="shared" si="5"/>
        <v>KEEP</v>
      </c>
      <c r="Y20" s="108" t="str">
        <f t="shared" si="6"/>
        <v>echo {"issue":{"subject":"Early arrival","project_id":79,"tracker_id":40,"status_id":1,"priority_id":2,"assigned_to_id":23,"start_date":"2017-03-17","description":"","custom_fields":[{"id":1,"name":"Subdivision","value":"EC"},{"id":4,"name":"Milepost","value":"6.3069"},{"id":17,"name":"Train ID","value":"149-17"},{"id":16,"name":"Locomotive ID","value":"4002"},{"id":130,"name":"Impact","value":""},{"id":150,"name":"Time of Event (Mountain Time)","value":"09:58:54"},{"id":151,"name":"Denver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48"/>
      <c r="AA20" s="48"/>
      <c r="AB20" s="48"/>
      <c r="AC20" s="127" t="str">
        <f t="shared" si="7"/>
        <v>grep -hSE -A400 "Enforcement Action" "%USERPROFILE%\AppData\Local\Temp\OnboardLogs"\RTDC4002\*4002*201703171* | grep -SE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"%USERPROFILE%\AppData\Local\Temp\OnboardLogs"\RTDC4002\*4002*201703171* &gt;&gt; 2017-03-17-SliceDisagreementCheck.txt</v>
      </c>
      <c r="AE20" s="157" t="str">
        <f t="shared" si="8"/>
        <v>start /low /b %USERPROFILE%\Documents\GitHub\eaglep3\Utilities\DownloadLogsFromS3.py --loco 4002 --day 2017-03-17</v>
      </c>
      <c r="AF20" s="1"/>
    </row>
    <row r="21" spans="1:32" x14ac:dyDescent="0.25">
      <c r="A21" s="32">
        <v>42811.595104166663</v>
      </c>
      <c r="B21" s="30" t="s">
        <v>627</v>
      </c>
      <c r="C21" s="30" t="s">
        <v>628</v>
      </c>
      <c r="D21" s="30" t="s">
        <v>49</v>
      </c>
      <c r="E21" s="30" t="s">
        <v>193</v>
      </c>
      <c r="F21" s="43">
        <v>0</v>
      </c>
      <c r="G21" s="43">
        <v>476</v>
      </c>
      <c r="H21" s="43">
        <v>62616</v>
      </c>
      <c r="I21" s="43">
        <v>63827</v>
      </c>
      <c r="J21" s="30" t="s">
        <v>194</v>
      </c>
      <c r="K21" s="43">
        <v>63069</v>
      </c>
      <c r="L21" s="143" t="s">
        <v>50</v>
      </c>
      <c r="M21" s="144">
        <f t="shared" si="0"/>
        <v>-400.22399999999999</v>
      </c>
      <c r="N21" s="145" t="str">
        <f>VLOOKUP(C21,'Trips&amp;Operators'!$C$1:$G$99999,5,FALSE)</f>
        <v>LOPES KIMBERLY</v>
      </c>
      <c r="O21" s="194" t="s">
        <v>185</v>
      </c>
      <c r="P21" s="146" t="s">
        <v>528</v>
      </c>
      <c r="Q21" s="30"/>
      <c r="R21" s="89" t="str">
        <f>IF(VLOOKUP(C21,'Train Runs'!$A$13:$AE$9947,1,1)=C21,VLOOKUP(C21,'Train Runs'!$A$13:$AE$9947,31,1),NA())</f>
        <v>aws s3 cp s3://rtdc.mdm.uploadarchive.raw/RTDC4011/ "%USERPROFILE%\AppData\Local\Temp\OnboardLogs"\RTDC4011\2017-03-17 --exclude "*" --recursive --include "*20170317*" &amp; "%USERPROFILE%\Documents\GitHub\mrs-test-scripts\Headless Mode &amp; Sideloading\WalkAndUnGZ.bat" "%USERPROFILE%\AppData\Local\Temp\OnboardLogs"\RTDC4011\2017-03-17 &amp; aws s3 cp s3://rtdc.mdm.uploadarchive.raw/RTDC4011/ "%USERPROFILE%\AppData\Local\Temp\OnboardLogs"\RTDC4011\2017-03-18 --exclude "*" --recursive --include "*20170318*" &amp; "%USERPROFILE%\Documents\GitHub\mrs-test-scripts\Headless Mode &amp; Sideloading\WalkAndUnGZ.bat" "%USERPROFILE%\AppData\Local\Temp\OnboardLogs"\RTDC4011\2017-03-18</v>
      </c>
      <c r="S21" s="92" t="str">
        <f>VLOOKUP(C21,'Train Runs'!$A$13:$AE$9947,22,0)</f>
        <v>https://d0f6bd738d7f1b3e5a7ca70fe4ff75f0.us-east-1.aws.found.io/app/kibana#/discover/Steve-Slow-Train-Analysis-(2080s-and-2083s)?_g=(refreshInterval:(display:Off,pause:!f,section:0,value:0),time:(from:'2017-03-17T12:52:14-0600',mode:absolute,to:'2017-03-17T15:40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21" s="94" t="str">
        <f t="shared" si="1"/>
        <v>"C:\Program Files (x86)\AstroGrep\AstroGrep.exe" /e /r /s /spath="%USERPROFILE%\AppData\Local\Temp\OnboardLogs" /stypes="*4011*201703172*" /stext=" 20:.+((SYSTEM_STATE.+slice.+state.+changed )|(ment ac)|(multiple cpu faults)|(system.+state.+changed )|(\[timeout)|(PRM\|1\|D)|(kpr)|(kdp)|(\|lc)|(penalty))"</v>
      </c>
      <c r="U21" s="9" t="str">
        <f t="shared" si="2"/>
        <v>4011</v>
      </c>
      <c r="V21" s="32">
        <f t="shared" si="3"/>
        <v>42811.845104166663</v>
      </c>
      <c r="W21" s="46" t="str">
        <f t="shared" si="4"/>
        <v>EC</v>
      </c>
      <c r="X21" s="46" t="str">
        <f t="shared" si="5"/>
        <v>KEEP</v>
      </c>
      <c r="Y21" s="108" t="str">
        <f t="shared" si="6"/>
        <v>echo {"issue":{"subject":"Early arrival","project_id":79,"tracker_id":40,"status_id":1,"priority_id":2,"assigned_to_id":23,"start_date":"2017-03-17","description":"","custom_fields":[{"id":1,"name":"Subdivision","value":"EC"},{"id":4,"name":"Milepost","value":"6.3069"},{"id":17,"name":"Train ID","value":"183-17"},{"id":16,"name":"Locomotive ID","value":"4011"},{"id":130,"name":"Impact","value":""},{"id":150,"name":"Time of Event (Mountain Time)","value":"14:16:57"},{"id":151,"name":"Denver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48"/>
      <c r="AA21" s="48"/>
      <c r="AB21" s="48"/>
      <c r="AC21" s="127" t="str">
        <f t="shared" si="7"/>
        <v>grep -hSE -A400 "Enforcement Action" "%USERPROFILE%\AppData\Local\Temp\OnboardLogs"\RTDC4011\*4011*201703172* | grep -SE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"%USERPROFILE%\AppData\Local\Temp\OnboardLogs"\RTDC4011\*4011*201703172* &gt;&gt; 2017-03-17-SliceDisagreementCheck.txt</v>
      </c>
      <c r="AE21" s="157" t="str">
        <f t="shared" si="8"/>
        <v>start /low /b %USERPROFILE%\Documents\GitHub\eaglep3\Utilities\DownloadLogsFromS3.py --loco 4011 --day 2017-03-17</v>
      </c>
      <c r="AF21" s="1"/>
    </row>
    <row r="22" spans="1:32" x14ac:dyDescent="0.25">
      <c r="A22" s="32">
        <v>42811.24422453704</v>
      </c>
      <c r="B22" s="30" t="s">
        <v>488</v>
      </c>
      <c r="C22" s="30" t="s">
        <v>613</v>
      </c>
      <c r="D22" s="30" t="s">
        <v>98</v>
      </c>
      <c r="E22" s="30" t="s">
        <v>193</v>
      </c>
      <c r="F22" s="43">
        <v>90</v>
      </c>
      <c r="G22" s="43">
        <v>150</v>
      </c>
      <c r="H22" s="43">
        <v>63161</v>
      </c>
      <c r="I22" s="43">
        <v>62948</v>
      </c>
      <c r="J22" s="30" t="s">
        <v>194</v>
      </c>
      <c r="K22" s="43">
        <v>63309</v>
      </c>
      <c r="L22" s="143" t="s">
        <v>51</v>
      </c>
      <c r="M22" s="144">
        <f t="shared" si="0"/>
        <v>-190.608</v>
      </c>
      <c r="N22" s="145" t="str">
        <f>VLOOKUP(C22,'Trips&amp;Operators'!$C$1:$G$99999,5,FALSE)</f>
        <v>STARKS ANGELINA</v>
      </c>
      <c r="O22" s="194" t="s">
        <v>185</v>
      </c>
      <c r="P22" s="146" t="s">
        <v>528</v>
      </c>
      <c r="Q22" s="30"/>
      <c r="R22" s="89" t="str">
        <f>IF(VLOOKUP(C22,'Train Runs'!$A$13:$AE$9947,1,1)=C22,VLOOKUP(C22,'Train Runs'!$A$13:$AE$9947,31,1),NA())</f>
        <v>aws s3 cp s3://rtdc.mdm.uploadarchive.raw/RTDC4001/ "%USERPROFILE%\AppData\Local\Temp\OnboardLogs"\RTDC4001\2017-03-17 --exclude "*" --recursive --include "*20170317*" &amp; "%USERPROFILE%\Documents\GitHub\mrs-test-scripts\Headless Mode &amp; Sideloading\WalkAndUnGZ.bat" "%USERPROFILE%\AppData\Local\Temp\OnboardLogs"\RTDC4001\2017-03-17 &amp; aws s3 cp s3://rtdc.mdm.uploadarchive.raw/RTDC4001/ "%USERPROFILE%\AppData\Local\Temp\OnboardLogs"\RTDC4001\2017-03-18 --exclude "*" --recursive --include "*20170318*" &amp; "%USERPROFILE%\Documents\GitHub\mrs-test-scripts\Headless Mode &amp; Sideloading\WalkAndUnGZ.bat" "%USERPROFILE%\AppData\Local\Temp\OnboardLogs"\RTDC4001\2017-03-18</v>
      </c>
      <c r="S22" s="92" t="str">
        <f>VLOOKUP(C22,'Train Runs'!$A$13:$AE$9947,22,0)</f>
        <v>https://d0f6bd738d7f1b3e5a7ca70fe4ff75f0.us-east-1.aws.found.io/app/kibana#/discover/Steve-Slow-Train-Analysis-(2080s-and-2083s)?_g=(refreshInterval:(display:Off,pause:!f,section:0,value:0),time:(from:'2017-03-17T04:23:35-0600',mode:absolute,to:'2017-03-17T07:06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22" s="94" t="str">
        <f t="shared" si="1"/>
        <v>"C:\Program Files (x86)\AstroGrep\AstroGrep.exe" /e /r /s /spath="%USERPROFILE%\AppData\Local\Temp\OnboardLogs" /stypes="*4001*201703171*" /stext=" 11:.+((SYSTEM_STATE.+slice.+state.+changed )|(ment ac)|(multiple cpu faults)|(system.+state.+changed )|(\[timeout)|(PRM\|1\|D)|(kpr)|(kdp)|(\|lc)|(penalty))"</v>
      </c>
      <c r="U22" s="9" t="str">
        <f t="shared" si="2"/>
        <v>4001</v>
      </c>
      <c r="V22" s="32">
        <f t="shared" si="3"/>
        <v>42811.49422453704</v>
      </c>
      <c r="W22" s="46" t="str">
        <f t="shared" si="4"/>
        <v>EC</v>
      </c>
      <c r="X22" s="46" t="str">
        <f t="shared" si="5"/>
        <v>KEEP</v>
      </c>
      <c r="Y22" s="108" t="str">
        <f t="shared" si="6"/>
        <v>echo {"issue":{"subject":"Early arrival","project_id":79,"tracker_id":40,"status_id":1,"priority_id":2,"assigned_to_id":23,"start_date":"2017-03-17","description":"","custom_fields":[{"id":1,"name":"Subdivision","value":"EC"},{"id":4,"name":"Milepost","value":"6.3309"},{"id":17,"name":"Train ID","value":"108-17"},{"id":16,"name":"Locomotive ID","value":"4001"},{"id":130,"name":"Impact","value":""},{"id":150,"name":"Time of Event (Mountain Time)","value":"05:51:41"},{"id":151,"name":"Denver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48"/>
      <c r="AA22" s="48"/>
      <c r="AB22" s="48"/>
      <c r="AC22" s="127" t="str">
        <f t="shared" si="7"/>
        <v>grep -hSE -A400 "Enforcement Action" "%USERPROFILE%\AppData\Local\Temp\OnboardLogs"\RTDC4001\*4001*201703171* | grep -SE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"%USERPROFILE%\AppData\Local\Temp\OnboardLogs"\RTDC4001\*4001*201703171* &gt;&gt; 2017-03-17-SliceDisagreementCheck.txt</v>
      </c>
      <c r="AE22" s="157" t="str">
        <f t="shared" si="8"/>
        <v>start /low /b %USERPROFILE%\Documents\GitHub\eaglep3\Utilities\DownloadLogsFromS3.py --loco 4001 --day 2017-03-17</v>
      </c>
      <c r="AF22" s="1"/>
    </row>
    <row r="23" spans="1:32" x14ac:dyDescent="0.25">
      <c r="A23" s="32">
        <v>42811.287037037036</v>
      </c>
      <c r="B23" s="30" t="s">
        <v>614</v>
      </c>
      <c r="C23" s="30" t="s">
        <v>615</v>
      </c>
      <c r="D23" s="30" t="s">
        <v>49</v>
      </c>
      <c r="E23" s="30" t="s">
        <v>193</v>
      </c>
      <c r="F23" s="43">
        <v>160</v>
      </c>
      <c r="G23" s="43">
        <v>214</v>
      </c>
      <c r="H23" s="43">
        <v>63613</v>
      </c>
      <c r="I23" s="43">
        <v>63265</v>
      </c>
      <c r="J23" s="30" t="s">
        <v>194</v>
      </c>
      <c r="K23" s="43">
        <v>63309</v>
      </c>
      <c r="L23" s="143" t="s">
        <v>51</v>
      </c>
      <c r="M23" s="144">
        <f t="shared" si="0"/>
        <v>-23.231999999999999</v>
      </c>
      <c r="N23" s="145" t="str">
        <f>VLOOKUP(C23,'Trips&amp;Operators'!$C$1:$G$99999,5,FALSE)</f>
        <v>SULLIVAN BRANDON</v>
      </c>
      <c r="O23" s="194" t="s">
        <v>185</v>
      </c>
      <c r="P23" s="146" t="s">
        <v>528</v>
      </c>
      <c r="Q23" s="30"/>
      <c r="R23" s="89" t="str">
        <f>IF(VLOOKUP(C23,'Train Runs'!$A$13:$AE$9947,1,1)=C23,VLOOKUP(C23,'Train Runs'!$A$13:$AE$9947,31,1),NA())</f>
        <v>aws s3 cp s3://rtdc.mdm.uploadarchive.raw/RTDC4041/ "%USERPROFILE%\AppData\Local\Temp\OnboardLogs"\RTDC4041\2017-03-17 --exclude "*" --recursive --include "*20170317*" &amp; "%USERPROFILE%\Documents\GitHub\mrs-test-scripts\Headless Mode &amp; Sideloading\WalkAndUnGZ.bat" "%USERPROFILE%\AppData\Local\Temp\OnboardLogs"\RTDC4041\2017-03-17 &amp; aws s3 cp s3://rtdc.mdm.uploadarchive.raw/RTDC4041/ "%USERPROFILE%\AppData\Local\Temp\OnboardLogs"\RTDC4041\2017-03-18 --exclude "*" --recursive --include "*20170318*" &amp; "%USERPROFILE%\Documents\GitHub\mrs-test-scripts\Headless Mode &amp; Sideloading\WalkAndUnGZ.bat" "%USERPROFILE%\AppData\Local\Temp\OnboardLogs"\RTDC4041\2017-03-18</v>
      </c>
      <c r="S23" s="92" t="str">
        <f>VLOOKUP(C23,'Train Runs'!$A$13:$AE$9947,22,0)</f>
        <v>https://d0f6bd738d7f1b3e5a7ca70fe4ff75f0.us-east-1.aws.found.io/app/kibana#/discover/Steve-Slow-Train-Analysis-(2080s-and-2083s)?_g=(refreshInterval:(display:Off,pause:!f,section:0,value:0),time:(from:'2017-03-17T05:20:17-0600',mode:absolute,to:'2017-03-17T08:09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23" s="94" t="str">
        <f t="shared" si="1"/>
        <v>"C:\Program Files (x86)\AstroGrep\AstroGrep.exe" /e /r /s /spath="%USERPROFILE%\AppData\Local\Temp\OnboardLogs" /stypes="*4041*201703171*" /stext=" 12:.+((SYSTEM_STATE.+slice.+state.+changed )|(ment ac)|(multiple cpu faults)|(system.+state.+changed )|(\[timeout)|(PRM\|1\|D)|(kpr)|(kdp)|(\|lc)|(penalty))"</v>
      </c>
      <c r="U23" s="9" t="str">
        <f t="shared" si="2"/>
        <v>4041</v>
      </c>
      <c r="V23" s="32">
        <f t="shared" si="3"/>
        <v>42811.537037037036</v>
      </c>
      <c r="W23" s="46" t="str">
        <f t="shared" si="4"/>
        <v>EC</v>
      </c>
      <c r="X23" s="46" t="str">
        <f t="shared" si="5"/>
        <v>KEEP</v>
      </c>
      <c r="Y23" s="108" t="str">
        <f t="shared" si="6"/>
        <v>echo {"issue":{"subject":"Early arrival","project_id":79,"tracker_id":40,"status_id":1,"priority_id":2,"assigned_to_id":23,"start_date":"2017-03-17","description":"","custom_fields":[{"id":1,"name":"Subdivision","value":"EC"},{"id":4,"name":"Milepost","value":"6.3309"},{"id":17,"name":"Train ID","value":"116-17"},{"id":16,"name":"Locomotive ID","value":"4041"},{"id":130,"name":"Impact","value":""},{"id":150,"name":"Time of Event (Mountain Time)","value":"06:53:20"},{"id":151,"name":"Denver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48"/>
      <c r="AA23" s="48"/>
      <c r="AB23" s="48"/>
      <c r="AC23" s="127" t="str">
        <f t="shared" si="7"/>
        <v>grep -hSE -A400 "Enforcement Action" "%USERPROFILE%\AppData\Local\Temp\OnboardLogs"\RTDC4041\*4041*201703171* | grep -SE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"%USERPROFILE%\AppData\Local\Temp\OnboardLogs"\RTDC4041\*4041*201703171* &gt;&gt; 2017-03-17-SliceDisagreementCheck.txt</v>
      </c>
      <c r="AE23" s="157" t="str">
        <f t="shared" si="8"/>
        <v>start /low /b %USERPROFILE%\Documents\GitHub\eaglep3\Utilities\DownloadLogsFromS3.py --loco 4041 --day 2017-03-17</v>
      </c>
      <c r="AF23" s="1"/>
    </row>
    <row r="24" spans="1:32" x14ac:dyDescent="0.25">
      <c r="A24" s="32">
        <v>42811.648287037038</v>
      </c>
      <c r="B24" s="30" t="s">
        <v>529</v>
      </c>
      <c r="C24" s="30" t="s">
        <v>633</v>
      </c>
      <c r="D24" s="30" t="s">
        <v>49</v>
      </c>
      <c r="E24" s="30" t="s">
        <v>193</v>
      </c>
      <c r="F24" s="43">
        <v>0</v>
      </c>
      <c r="G24" s="43">
        <v>226</v>
      </c>
      <c r="H24" s="43">
        <v>77536</v>
      </c>
      <c r="I24" s="43">
        <v>77859</v>
      </c>
      <c r="J24" s="30" t="s">
        <v>194</v>
      </c>
      <c r="K24" s="43">
        <v>78349</v>
      </c>
      <c r="L24" s="143" t="s">
        <v>50</v>
      </c>
      <c r="M24" s="144">
        <f t="shared" si="0"/>
        <v>258.72000000000003</v>
      </c>
      <c r="N24" s="145" t="str">
        <f>VLOOKUP(C24,'Trips&amp;Operators'!$C$1:$G$99999,5,FALSE)</f>
        <v>BRUDER RICHARD</v>
      </c>
      <c r="O24" s="194" t="s">
        <v>185</v>
      </c>
      <c r="P24" s="146" t="s">
        <v>1026</v>
      </c>
      <c r="Q24" s="30"/>
      <c r="R24" s="89" t="str">
        <f>IF(VLOOKUP(C24,'Train Runs'!$A$13:$AE$9947,1,1)=C24,VLOOKUP(C24,'Train Runs'!$A$13:$AE$9947,31,1),NA())</f>
        <v>aws s3 cp s3://rtdc.mdm.uploadarchive.raw/RTDC4018/ "%USERPROFILE%\AppData\Local\Temp\OnboardLogs"\RTDC4018\2017-03-17 --exclude "*" --recursive --include "*20170317*" &amp; "%USERPROFILE%\Documents\GitHub\mrs-test-scripts\Headless Mode &amp; Sideloading\WalkAndUnGZ.bat" "%USERPROFILE%\AppData\Local\Temp\OnboardLogs"\RTDC4018\2017-03-17 &amp; aws s3 cp s3://rtdc.mdm.uploadarchive.raw/RTDC4018/ "%USERPROFILE%\AppData\Local\Temp\OnboardLogs"\RTDC4018\2017-03-18 --exclude "*" --recursive --include "*20170318*" &amp; "%USERPROFILE%\Documents\GitHub\mrs-test-scripts\Headless Mode &amp; Sideloading\WalkAndUnGZ.bat" "%USERPROFILE%\AppData\Local\Temp\OnboardLogs"\RTDC4018\2017-03-18</v>
      </c>
      <c r="S24" s="92" t="str">
        <f>VLOOKUP(C24,'Train Runs'!$A$13:$AE$9947,22,0)</f>
        <v>https://d0f6bd738d7f1b3e5a7ca70fe4ff75f0.us-east-1.aws.found.io/app/kibana#/discover/Steve-Slow-Train-Analysis-(2080s-and-2083s)?_g=(refreshInterval:(display:Off,pause:!f,section:0,value:0),time:(from:'2017-03-17T14:12:23-0600',mode:absolute,to:'2017-03-17T16:56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24" s="94" t="str">
        <f t="shared" si="1"/>
        <v>"C:\Program Files (x86)\AstroGrep\AstroGrep.exe" /e /r /s /spath="%USERPROFILE%\AppData\Local\Temp\OnboardLogs" /stypes="*4018*201703172*" /stext=" 21:.+((SYSTEM_STATE.+slice.+state.+changed )|(ment ac)|(multiple cpu faults)|(system.+state.+changed )|(\[timeout)|(PRM\|1\|D)|(kpr)|(kdp)|(\|lc)|(penalty))"</v>
      </c>
      <c r="U24" s="9" t="str">
        <f t="shared" si="2"/>
        <v>4018</v>
      </c>
      <c r="V24" s="32">
        <f t="shared" si="3"/>
        <v>42811.898287037038</v>
      </c>
      <c r="W24" s="46" t="str">
        <f t="shared" si="4"/>
        <v>EC</v>
      </c>
      <c r="X24" s="46" t="str">
        <f t="shared" si="5"/>
        <v>KEEP</v>
      </c>
      <c r="Y24" s="108" t="str">
        <f t="shared" si="6"/>
        <v>echo {"issue":{"subject":"Form C","project_id":79,"tracker_id":40,"status_id":1,"priority_id":2,"assigned_to_id":23,"start_date":"2017-03-17","description":"","custom_fields":[{"id":1,"name":"Subdivision","value":"EC"},{"id":4,"name":"Milepost","value":"7.8349"},{"id":17,"name":"Train ID","value":"193-17"},{"id":16,"name":"Locomotive ID","value":"4018"},{"id":130,"name":"Impact","value":""},{"id":150,"name":"Time of Event (Mountain Time)","value":"15:33:32"},{"id":151,"name":"Denver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48"/>
      <c r="AA24" s="48"/>
      <c r="AB24" s="48"/>
      <c r="AC24" s="127" t="str">
        <f t="shared" si="7"/>
        <v>grep -hSE -A400 "Enforcement Action" "%USERPROFILE%\AppData\Local\Temp\OnboardLogs"\RTDC4018\*4018*201703172* | grep -SE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"%USERPROFILE%\AppData\Local\Temp\OnboardLogs"\RTDC4018\*4018*201703172* &gt;&gt; 2017-03-17-SliceDisagreementCheck.txt</v>
      </c>
      <c r="AE24" s="157" t="str">
        <f t="shared" si="8"/>
        <v>start /low /b %USERPROFILE%\Documents\GitHub\eaglep3\Utilities\DownloadLogsFromS3.py --loco 4018 --day 2017-03-17</v>
      </c>
      <c r="AF24" s="1"/>
    </row>
    <row r="25" spans="1:32" x14ac:dyDescent="0.25">
      <c r="A25" s="32">
        <v>42811.460300925923</v>
      </c>
      <c r="B25" s="30" t="s">
        <v>488</v>
      </c>
      <c r="C25" s="30" t="s">
        <v>620</v>
      </c>
      <c r="D25" s="30" t="s">
        <v>49</v>
      </c>
      <c r="E25" s="30" t="s">
        <v>193</v>
      </c>
      <c r="F25" s="43">
        <v>290</v>
      </c>
      <c r="G25" s="43">
        <v>480</v>
      </c>
      <c r="H25" s="43">
        <v>80051</v>
      </c>
      <c r="I25" s="43">
        <v>78677</v>
      </c>
      <c r="J25" s="30" t="s">
        <v>194</v>
      </c>
      <c r="K25" s="43">
        <v>78469</v>
      </c>
      <c r="L25" s="143" t="s">
        <v>51</v>
      </c>
      <c r="M25" s="144">
        <f t="shared" si="0"/>
        <v>109.824</v>
      </c>
      <c r="N25" s="145" t="str">
        <f>VLOOKUP(C25,'Trips&amp;Operators'!$C$1:$G$99999,5,FALSE)</f>
        <v>STARKS ANGELINA</v>
      </c>
      <c r="O25" s="194" t="s">
        <v>185</v>
      </c>
      <c r="P25" s="146" t="s">
        <v>528</v>
      </c>
      <c r="Q25" s="30"/>
      <c r="R25" s="89" t="str">
        <f>IF(VLOOKUP(C25,'Train Runs'!$A$13:$AE$9947,1,1)=C25,VLOOKUP(C25,'Train Runs'!$A$13:$AE$9947,31,1),NA())</f>
        <v>aws s3 cp s3://rtdc.mdm.uploadarchive.raw/RTDC4001/ "%USERPROFILE%\AppData\Local\Temp\OnboardLogs"\RTDC4001\2017-03-17 --exclude "*" --recursive --include "*20170317*" &amp; "%USERPROFILE%\Documents\GitHub\mrs-test-scripts\Headless Mode &amp; Sideloading\WalkAndUnGZ.bat" "%USERPROFILE%\AppData\Local\Temp\OnboardLogs"\RTDC4001\2017-03-17 &amp; aws s3 cp s3://rtdc.mdm.uploadarchive.raw/RTDC4001/ "%USERPROFILE%\AppData\Local\Temp\OnboardLogs"\RTDC4001\2017-03-18 --exclude "*" --recursive --include "*20170318*" &amp; "%USERPROFILE%\Documents\GitHub\mrs-test-scripts\Headless Mode &amp; Sideloading\WalkAndUnGZ.bat" "%USERPROFILE%\AppData\Local\Temp\OnboardLogs"\RTDC4001\2017-03-18</v>
      </c>
      <c r="S25" s="92" t="str">
        <f>VLOOKUP(C25,'Train Runs'!$A$13:$AE$9947,22,0)</f>
        <v>https://d0f6bd738d7f1b3e5a7ca70fe4ff75f0.us-east-1.aws.found.io/app/kibana#/discover/Steve-Slow-Train-Analysis-(2080s-and-2083s)?_g=(refreshInterval:(display:Off,pause:!f,section:0,value:0),time:(from:'2017-03-17T09:39:12-0600',mode:absolute,to:'2017-03-17T12:25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25" s="94" t="str">
        <f t="shared" si="1"/>
        <v>"C:\Program Files (x86)\AstroGrep\AstroGrep.exe" /e /r /s /spath="%USERPROFILE%\AppData\Local\Temp\OnboardLogs" /stypes="*4001*201703171*" /stext=" 17:.+((SYSTEM_STATE.+slice.+state.+changed )|(ment ac)|(multiple cpu faults)|(system.+state.+changed )|(\[timeout)|(PRM\|1\|D)|(kpr)|(kdp)|(\|lc)|(penalty))"</v>
      </c>
      <c r="U25" s="9" t="str">
        <f t="shared" si="2"/>
        <v>4001</v>
      </c>
      <c r="V25" s="32">
        <f t="shared" si="3"/>
        <v>42811.710300925923</v>
      </c>
      <c r="W25" s="46" t="str">
        <f t="shared" si="4"/>
        <v>EC</v>
      </c>
      <c r="X25" s="46" t="str">
        <f t="shared" si="5"/>
        <v>KEEP</v>
      </c>
      <c r="Y25" s="108" t="str">
        <f t="shared" si="6"/>
        <v>echo {"issue":{"subject":"Early arrival","project_id":79,"tracker_id":40,"status_id":1,"priority_id":2,"assigned_to_id":23,"start_date":"2017-03-17","description":"","custom_fields":[{"id":1,"name":"Subdivision","value":"EC"},{"id":4,"name":"Milepost","value":"7.8469"},{"id":17,"name":"Train ID","value":"150-17"},{"id":16,"name":"Locomotive ID","value":"4001"},{"id":130,"name":"Impact","value":""},{"id":150,"name":"Time of Event (Mountain Time)","value":"11:02:50"},{"id":151,"name":"Denver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48"/>
      <c r="AA25" s="48"/>
      <c r="AB25" s="48"/>
      <c r="AC25" s="127" t="str">
        <f t="shared" si="7"/>
        <v>grep -hSE -A400 "Enforcement Action" "%USERPROFILE%\AppData\Local\Temp\OnboardLogs"\RTDC4001\*4001*201703171* | grep -SE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"%USERPROFILE%\AppData\Local\Temp\OnboardLogs"\RTDC4001\*4001*201703171* &gt;&gt; 2017-03-17-SliceDisagreementCheck.txt</v>
      </c>
      <c r="AE25" s="157" t="str">
        <f t="shared" si="8"/>
        <v>start /low /b %USERPROFILE%\Documents\GitHub\eaglep3\Utilities\DownloadLogsFromS3.py --loco 4001 --day 2017-03-17</v>
      </c>
      <c r="AF25" s="1"/>
    </row>
    <row r="26" spans="1:32" x14ac:dyDescent="0.25">
      <c r="A26" s="32">
        <v>42811.462337962963</v>
      </c>
      <c r="B26" s="30" t="s">
        <v>414</v>
      </c>
      <c r="C26" s="30" t="s">
        <v>621</v>
      </c>
      <c r="D26" s="30" t="s">
        <v>98</v>
      </c>
      <c r="E26" s="30" t="s">
        <v>223</v>
      </c>
      <c r="F26" s="43">
        <v>300</v>
      </c>
      <c r="G26" s="43">
        <v>353</v>
      </c>
      <c r="H26" s="43">
        <v>20532</v>
      </c>
      <c r="I26" s="43">
        <v>21792</v>
      </c>
      <c r="J26" s="30" t="s">
        <v>224</v>
      </c>
      <c r="K26" s="43">
        <v>20338</v>
      </c>
      <c r="L26" s="143" t="s">
        <v>50</v>
      </c>
      <c r="M26" s="144">
        <f t="shared" si="0"/>
        <v>-767.71199999999999</v>
      </c>
      <c r="N26" s="145" t="str">
        <f>VLOOKUP(C26,'Trips&amp;Operators'!$C$1:$G$99999,5,FALSE)</f>
        <v>STEWART MICHAEL</v>
      </c>
      <c r="O26" s="194" t="s">
        <v>185</v>
      </c>
      <c r="P26" s="146"/>
      <c r="Q26" s="30"/>
      <c r="R26" s="89" t="str">
        <f>IF(VLOOKUP(C26,'Train Runs'!$A$13:$AE$9947,1,1)=C26,VLOOKUP(C26,'Train Runs'!$A$13:$AE$9947,31,1),NA())</f>
        <v>aws s3 cp s3://rtdc.mdm.uploadarchive.raw/RTDC4040/ "%USERPROFILE%\AppData\Local\Temp\OnboardLogs"\RTDC4040\2017-03-17 --exclude "*" --recursive --include "*20170317*" &amp; "%USERPROFILE%\Documents\GitHub\mrs-test-scripts\Headless Mode &amp; Sideloading\WalkAndUnGZ.bat" "%USERPROFILE%\AppData\Local\Temp\OnboardLogs"\RTDC4040\2017-03-17 &amp; aws s3 cp s3://rtdc.mdm.uploadarchive.raw/RTDC4040/ "%USERPROFILE%\AppData\Local\Temp\OnboardLogs"\RTDC4040\2017-03-18 --exclude "*" --recursive --include "*20170318*" &amp; "%USERPROFILE%\Documents\GitHub\mrs-test-scripts\Headless Mode &amp; Sideloading\WalkAndUnGZ.bat" "%USERPROFILE%\AppData\Local\Temp\OnboardLogs"\RTDC4040\2017-03-18</v>
      </c>
      <c r="S26" s="92" t="str">
        <f>VLOOKUP(C26,'Train Runs'!$A$13:$AE$9947,22,0)</f>
        <v>https://d0f6bd738d7f1b3e5a7ca70fe4ff75f0.us-east-1.aws.found.io/app/kibana#/discover/Steve-Slow-Train-Analysis-(2080s-and-2083s)?_g=(refreshInterval:(display:Off,pause:!f,section:0,value:0),time:(from:'2017-03-17T09:52:19-0600',mode:absolute,to:'2017-03-17T12:36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T26" s="94" t="str">
        <f t="shared" si="1"/>
        <v>"C:\Program Files (x86)\AstroGrep\AstroGrep.exe" /e /r /s /spath="%USERPROFILE%\AppData\Local\Temp\OnboardLogs" /stypes="*4040*201703171*" /stext=" 17:.+((SYSTEM_STATE.+slice.+state.+changed )|(ment ac)|(multiple cpu faults)|(system.+state.+changed )|(\[timeout)|(PRM\|1\|D)|(kpr)|(kdp)|(\|lc)|(penalty))"</v>
      </c>
      <c r="U26" s="9" t="str">
        <f t="shared" si="2"/>
        <v>4040</v>
      </c>
      <c r="V26" s="32">
        <f t="shared" si="3"/>
        <v>42811.712337962963</v>
      </c>
      <c r="W26" s="46" t="str">
        <f t="shared" si="4"/>
        <v>EC</v>
      </c>
      <c r="X26" s="46" t="str">
        <f t="shared" si="5"/>
        <v>KEEP</v>
      </c>
      <c r="Y26" s="108" t="str">
        <f t="shared" si="6"/>
        <v>echo {"issue":{"subject":"","project_id":79,"tracker_id":40,"status_id":1,"priority_id":2,"assigned_to_id":23,"start_date":"2017-03-17","description":"","custom_fields":[{"id":1,"name":"Subdivision","value":"EC"},{"id":4,"name":"Milepost","value":"2.0338"},{"id":17,"name":"Train ID","value":"159-17"},{"id":16,"name":"Locomotive ID","value":"4040"},{"id":130,"name":"Impact","value":""},{"id":150,"name":"Time of Event (Mountain Time)","value":"11:05:46"},{"id":151,"name":"Denver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48"/>
      <c r="AA26" s="48"/>
      <c r="AB26" s="48"/>
      <c r="AC26" s="127" t="str">
        <f t="shared" si="7"/>
        <v>grep -hSE -A400 "Enforcement Action" "%USERPROFILE%\AppData\Local\Temp\OnboardLogs"\RTDC4040\*4040*201703171* | grep -SE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"%USERPROFILE%\AppData\Local\Temp\OnboardLogs"\RTDC4040\*4040*201703171* &gt;&gt; 2017-03-17-SliceDisagreementCheck.txt</v>
      </c>
      <c r="AE26" s="157" t="str">
        <f t="shared" si="8"/>
        <v>start /low /b %USERPROFILE%\Documents\GitHub\eaglep3\Utilities\DownloadLogsFromS3.py --loco 4040 --day 2017-03-17</v>
      </c>
      <c r="AF26" s="1"/>
    </row>
    <row r="27" spans="1:32" x14ac:dyDescent="0.25">
      <c r="A27" s="32">
        <v>42811.684351851851</v>
      </c>
      <c r="B27" s="30" t="s">
        <v>530</v>
      </c>
      <c r="C27" s="30" t="s">
        <v>639</v>
      </c>
      <c r="D27" s="30" t="s">
        <v>98</v>
      </c>
      <c r="E27" s="30" t="s">
        <v>223</v>
      </c>
      <c r="F27" s="43">
        <v>700</v>
      </c>
      <c r="G27" s="43">
        <v>750</v>
      </c>
      <c r="H27" s="43">
        <v>179696</v>
      </c>
      <c r="I27" s="43">
        <v>176271</v>
      </c>
      <c r="J27" s="30" t="s">
        <v>224</v>
      </c>
      <c r="K27" s="43">
        <v>183829</v>
      </c>
      <c r="L27" s="143" t="s">
        <v>51</v>
      </c>
      <c r="M27" s="144">
        <f t="shared" si="0"/>
        <v>-3990.6239999999998</v>
      </c>
      <c r="N27" s="145" t="str">
        <f>VLOOKUP(C27,'Trips&amp;Operators'!$C$1:$G$99999,5,FALSE)</f>
        <v>BRUDER RICHARD</v>
      </c>
      <c r="O27" s="194" t="s">
        <v>185</v>
      </c>
      <c r="P27" s="146"/>
      <c r="Q27" s="30"/>
      <c r="R27" s="89" t="str">
        <f>IF(VLOOKUP(C27,'Train Runs'!$A$13:$AE$9947,1,1)=C27,VLOOKUP(C27,'Train Runs'!$A$13:$AE$9947,31,1),NA())</f>
        <v>aws s3 cp s3://rtdc.mdm.uploadarchive.raw/RTDC4017/ "%USERPROFILE%\AppData\Local\Temp\OnboardLogs"\RTDC4017\2017-03-17 --exclude "*" --recursive --include "*20170317*" &amp; "%USERPROFILE%\Documents\GitHub\mrs-test-scripts\Headless Mode &amp; Sideloading\WalkAndUnGZ.bat" "%USERPROFILE%\AppData\Local\Temp\OnboardLogs"\RTDC4017\2017-03-17 &amp; aws s3 cp s3://rtdc.mdm.uploadarchive.raw/RTDC4017/ "%USERPROFILE%\AppData\Local\Temp\OnboardLogs"\RTDC4017\2017-03-18 --exclude "*" --recursive --include "*20170318*" &amp; "%USERPROFILE%\Documents\GitHub\mrs-test-scripts\Headless Mode &amp; Sideloading\WalkAndUnGZ.bat" "%USERPROFILE%\AppData\Local\Temp\OnboardLogs"\RTDC4017\2017-03-18</v>
      </c>
      <c r="S27" s="92" t="str">
        <f>VLOOKUP(C27,'Train Runs'!$A$13:$AE$9947,22,0)</f>
        <v>https://d0f6bd738d7f1b3e5a7ca70fe4ff75f0.us-east-1.aws.found.io/app/kibana#/discover/Steve-Slow-Train-Analysis-(2080s-and-2083s)?_g=(refreshInterval:(display:Off,pause:!f,section:0,value:0),time:(from:'2017-03-17T15:03:33-0600',mode:absolute,to:'2017-03-17T18:04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27" s="94" t="str">
        <f t="shared" si="1"/>
        <v>"C:\Program Files (x86)\AstroGrep\AstroGrep.exe" /e /r /s /spath="%USERPROFILE%\AppData\Local\Temp\OnboardLogs" /stypes="*4017*201703172*" /stext=" 22:.+((SYSTEM_STATE.+slice.+state.+changed )|(ment ac)|(multiple cpu faults)|(system.+state.+changed )|(\[timeout)|(PRM\|1\|D)|(kpr)|(kdp)|(\|lc)|(penalty))"</v>
      </c>
      <c r="U27" s="9" t="str">
        <f t="shared" si="2"/>
        <v>4017</v>
      </c>
      <c r="V27" s="32">
        <f t="shared" si="3"/>
        <v>42811.934351851851</v>
      </c>
      <c r="W27" s="46" t="str">
        <f t="shared" si="4"/>
        <v>EC</v>
      </c>
      <c r="X27" s="46" t="str">
        <f t="shared" si="5"/>
        <v>KEEP</v>
      </c>
      <c r="Y27" s="108" t="str">
        <f t="shared" si="6"/>
        <v>echo {"issue":{"subject":"","project_id":79,"tracker_id":40,"status_id":1,"priority_id":2,"assigned_to_id":23,"start_date":"2017-03-17","description":"","custom_fields":[{"id":1,"name":"Subdivision","value":"EC"},{"id":4,"name":"Milepost","value":"18.3829"},{"id":17,"name":"Train ID","value":"194-17"},{"id":16,"name":"Locomotive ID","value":"4017"},{"id":130,"name":"Impact","value":""},{"id":150,"name":"Time of Event (Mountain Time)","value":"16:25:28"},{"id":151,"name":"Denver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48"/>
      <c r="AA27" s="48"/>
      <c r="AB27" s="48"/>
      <c r="AC27" s="127" t="str">
        <f t="shared" si="7"/>
        <v>grep -hSE -A400 "Enforcement Action" "%USERPROFILE%\AppData\Local\Temp\OnboardLogs"\RTDC4017\*4017*201703172* | grep -SE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"%USERPROFILE%\AppData\Local\Temp\OnboardLogs"\RTDC4017\*4017*201703172* &gt;&gt; 2017-03-17-SliceDisagreementCheck.txt</v>
      </c>
      <c r="AE27" s="157" t="str">
        <f t="shared" si="8"/>
        <v>start /low /b %USERPROFILE%\Documents\GitHub\eaglep3\Utilities\DownloadLogsFromS3.py --loco 4017 --day 2017-03-17</v>
      </c>
      <c r="AF27" s="1"/>
    </row>
    <row r="28" spans="1:32" x14ac:dyDescent="0.25">
      <c r="A28" s="32">
        <v>42811.270532407405</v>
      </c>
      <c r="B28" s="30" t="s">
        <v>614</v>
      </c>
      <c r="C28" s="30" t="s">
        <v>615</v>
      </c>
      <c r="D28" s="30" t="s">
        <v>98</v>
      </c>
      <c r="E28" s="30" t="s">
        <v>223</v>
      </c>
      <c r="F28" s="43">
        <v>350</v>
      </c>
      <c r="G28" s="43">
        <v>402</v>
      </c>
      <c r="H28" s="43">
        <v>224546</v>
      </c>
      <c r="I28" s="43">
        <v>222963</v>
      </c>
      <c r="J28" s="30" t="s">
        <v>224</v>
      </c>
      <c r="K28" s="43">
        <v>228668</v>
      </c>
      <c r="L28" s="143" t="s">
        <v>51</v>
      </c>
      <c r="M28" s="144">
        <f t="shared" si="0"/>
        <v>-3012.24</v>
      </c>
      <c r="N28" s="145" t="str">
        <f>VLOOKUP(C28,'Trips&amp;Operators'!$C$1:$G$99999,5,FALSE)</f>
        <v>SULLIVAN BRANDON</v>
      </c>
      <c r="O28" s="194" t="s">
        <v>185</v>
      </c>
      <c r="P28" s="146"/>
      <c r="Q28" s="30"/>
      <c r="R28" s="89" t="str">
        <f>IF(VLOOKUP(C28,'Train Runs'!$A$13:$AE$9947,1,1)=C28,VLOOKUP(C28,'Train Runs'!$A$13:$AE$9947,31,1),NA())</f>
        <v>aws s3 cp s3://rtdc.mdm.uploadarchive.raw/RTDC4041/ "%USERPROFILE%\AppData\Local\Temp\OnboardLogs"\RTDC4041\2017-03-17 --exclude "*" --recursive --include "*20170317*" &amp; "%USERPROFILE%\Documents\GitHub\mrs-test-scripts\Headless Mode &amp; Sideloading\WalkAndUnGZ.bat" "%USERPROFILE%\AppData\Local\Temp\OnboardLogs"\RTDC4041\2017-03-17 &amp; aws s3 cp s3://rtdc.mdm.uploadarchive.raw/RTDC4041/ "%USERPROFILE%\AppData\Local\Temp\OnboardLogs"\RTDC4041\2017-03-18 --exclude "*" --recursive --include "*20170318*" &amp; "%USERPROFILE%\Documents\GitHub\mrs-test-scripts\Headless Mode &amp; Sideloading\WalkAndUnGZ.bat" "%USERPROFILE%\AppData\Local\Temp\OnboardLogs"\RTDC4041\2017-03-18</v>
      </c>
      <c r="S28" s="92" t="str">
        <f>VLOOKUP(C28,'Train Runs'!$A$13:$AE$9947,22,0)</f>
        <v>https://d0f6bd738d7f1b3e5a7ca70fe4ff75f0.us-east-1.aws.found.io/app/kibana#/discover/Steve-Slow-Train-Analysis-(2080s-and-2083s)?_g=(refreshInterval:(display:Off,pause:!f,section:0,value:0),time:(from:'2017-03-17T05:20:17-0600',mode:absolute,to:'2017-03-17T08:09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28" s="94" t="str">
        <f t="shared" si="1"/>
        <v>"C:\Program Files (x86)\AstroGrep\AstroGrep.exe" /e /r /s /spath="%USERPROFILE%\AppData\Local\Temp\OnboardLogs" /stypes="*4041*201703171*" /stext=" 12:.+((SYSTEM_STATE.+slice.+state.+changed )|(ment ac)|(multiple cpu faults)|(system.+state.+changed )|(\[timeout)|(PRM\|1\|D)|(kpr)|(kdp)|(\|lc)|(penalty))"</v>
      </c>
      <c r="U28" s="9" t="str">
        <f t="shared" si="2"/>
        <v>4041</v>
      </c>
      <c r="V28" s="32">
        <f t="shared" si="3"/>
        <v>42811.520532407405</v>
      </c>
      <c r="W28" s="46" t="str">
        <f t="shared" si="4"/>
        <v>EC</v>
      </c>
      <c r="X28" s="46" t="str">
        <f t="shared" si="5"/>
        <v>KEEP</v>
      </c>
      <c r="Y28" s="108" t="str">
        <f t="shared" si="6"/>
        <v>echo {"issue":{"subject":"","project_id":79,"tracker_id":40,"status_id":1,"priority_id":2,"assigned_to_id":23,"start_date":"2017-03-17","description":"","custom_fields":[{"id":1,"name":"Subdivision","value":"EC"},{"id":4,"name":"Milepost","value":"22.8668"},{"id":17,"name":"Train ID","value":"116-17"},{"id":16,"name":"Locomotive ID","value":"4041"},{"id":130,"name":"Impact","value":""},{"id":150,"name":"Time of Event (Mountain Time)","value":"06:29:34"},{"id":151,"name":"Denver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48"/>
      <c r="AA28" s="48"/>
      <c r="AB28" s="48"/>
      <c r="AC28" s="127" t="str">
        <f t="shared" si="7"/>
        <v>grep -hSE -A400 "Enforcement Action" "%USERPROFILE%\AppData\Local\Temp\OnboardLogs"\RTDC4041\*4041*201703171* | grep -SE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"%USERPROFILE%\AppData\Local\Temp\OnboardLogs"\RTDC4041\*4041*201703171* &gt;&gt; 2017-03-17-SliceDisagreementCheck.txt</v>
      </c>
      <c r="AE28" s="157" t="str">
        <f t="shared" si="8"/>
        <v>start /low /b %USERPROFILE%\Documents\GitHub\eaglep3\Utilities\DownloadLogsFromS3.py --loco 4041 --day 2017-03-17</v>
      </c>
      <c r="AF28" s="1"/>
    </row>
    <row r="29" spans="1:32" x14ac:dyDescent="0.25">
      <c r="A29" s="32">
        <v>42811.494525462964</v>
      </c>
      <c r="B29" s="30" t="s">
        <v>529</v>
      </c>
      <c r="C29" s="30" t="s">
        <v>622</v>
      </c>
      <c r="D29" s="30" t="s">
        <v>98</v>
      </c>
      <c r="E29" s="30" t="s">
        <v>378</v>
      </c>
      <c r="F29" s="43">
        <v>0</v>
      </c>
      <c r="G29" s="43">
        <v>123</v>
      </c>
      <c r="H29" s="43">
        <v>28086</v>
      </c>
      <c r="I29" s="43">
        <v>28571</v>
      </c>
      <c r="J29" s="30" t="s">
        <v>379</v>
      </c>
      <c r="K29" s="43">
        <v>28054</v>
      </c>
      <c r="L29" s="143" t="s">
        <v>50</v>
      </c>
      <c r="M29" s="144">
        <f t="shared" si="0"/>
        <v>-272.976</v>
      </c>
      <c r="N29" s="145" t="str">
        <f>VLOOKUP(C29,'Trips&amp;Operators'!$C$1:$G$99999,5,FALSE)</f>
        <v>BRUDER RICHARD</v>
      </c>
      <c r="O29" s="194" t="s">
        <v>381</v>
      </c>
      <c r="P29" s="146" t="s">
        <v>1027</v>
      </c>
      <c r="Q29" s="30"/>
      <c r="R29" s="89" t="str">
        <f>IF(VLOOKUP(C29,'Train Runs'!$A$13:$AE$9947,1,1)=C29,VLOOKUP(C29,'Train Runs'!$A$13:$AE$9947,31,1),NA())</f>
        <v>aws s3 cp s3://rtdc.mdm.uploadarchive.raw/RTDC4018/ "%USERPROFILE%\AppData\Local\Temp\OnboardLogs"\RTDC4018\2017-03-17 --exclude "*" --recursive --include "*20170317*" &amp; "%USERPROFILE%\Documents\GitHub\mrs-test-scripts\Headless Mode &amp; Sideloading\WalkAndUnGZ.bat" "%USERPROFILE%\AppData\Local\Temp\OnboardLogs"\RTDC4018\2017-03-17 &amp; aws s3 cp s3://rtdc.mdm.uploadarchive.raw/RTDC4018/ "%USERPROFILE%\AppData\Local\Temp\OnboardLogs"\RTDC4018\2017-03-18 --exclude "*" --recursive --include "*20170318*" &amp; "%USERPROFILE%\Documents\GitHub\mrs-test-scripts\Headless Mode &amp; Sideloading\WalkAndUnGZ.bat" "%USERPROFILE%\AppData\Local\Temp\OnboardLogs"\RTDC4018\2017-03-18</v>
      </c>
      <c r="S29" s="92" t="str">
        <f>VLOOKUP(C29,'Train Runs'!$A$13:$AE$9947,22,0)</f>
        <v>https://d0f6bd738d7f1b3e5a7ca70fe4ff75f0.us-east-1.aws.found.io/app/kibana#/discover/Steve-Slow-Train-Analysis-(2080s-and-2083s)?_g=(refreshInterval:(display:Off,pause:!f,section:0,value:0),time:(from:'2017-03-17T10:41:10-0600',mode:absolute,to:'2017-03-17T13:22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29" s="94" t="str">
        <f t="shared" si="1"/>
        <v>"C:\Program Files (x86)\AstroGrep\AstroGrep.exe" /e /r /s /spath="%USERPROFILE%\AppData\Local\Temp\OnboardLogs" /stypes="*4018*201703171*" /stext=" 17:.+((SYSTEM_STATE.+slice.+state.+changed )|(ment ac)|(multiple cpu faults)|(system.+state.+changed )|(\[timeout)|(PRM\|1\|D)|(kpr)|(kdp)|(\|lc)|(penalty))"</v>
      </c>
      <c r="U29" s="9" t="str">
        <f t="shared" si="2"/>
        <v>4018</v>
      </c>
      <c r="V29" s="32">
        <f t="shared" si="3"/>
        <v>42811.744525462964</v>
      </c>
      <c r="W29" s="46" t="str">
        <f t="shared" si="4"/>
        <v>EC</v>
      </c>
      <c r="X29" s="46" t="str">
        <f t="shared" si="5"/>
        <v>KEEP</v>
      </c>
      <c r="Y29" s="108" t="str">
        <f t="shared" si="6"/>
        <v>echo {"issue":{"subject":"Premature downgrade at EC0286RH 21-1T 1N","project_id":79,"tracker_id":40,"status_id":1,"priority_id":2,"assigned_to_id":23,"start_date":"2017-03-17","description":"At 17:51:55, we have what seems like a premature downgrade at EC0286RH 21-1T 1N. Do logs tell of anything unusual at the time?","custom_fields":[{"id":1,"name":"Subdivision","value":"EC"},{"id":4,"name":"Milepost","value":"2.8054"},{"id":17,"name":"Train ID","value":"165-17"},{"id":16,"name":"Locomotive ID","value":"4018"},{"id":130,"name":"Impact","value":"Enforcement"},{"id":150,"name":"Time of Event (Mountain Time)","value":"11:52:07"},{"id":151,"name":"Denver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Z29" s="48" t="s">
        <v>1028</v>
      </c>
      <c r="AA29" s="48" t="s">
        <v>124</v>
      </c>
      <c r="AB29" s="48" t="s">
        <v>129</v>
      </c>
      <c r="AC29" s="127" t="str">
        <f t="shared" si="7"/>
        <v>grep -hSE -A400 "Enforcement Action" "%USERPROFILE%\AppData\Local\Temp\OnboardLogs"\RTDC4018\*4018*201703171* | grep -SE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"%USERPROFILE%\AppData\Local\Temp\OnboardLogs"\RTDC4018\*4018*201703171* &gt;&gt; 2017-03-17-SliceDisagreementCheck.txt</v>
      </c>
      <c r="AE29" s="157" t="str">
        <f t="shared" si="8"/>
        <v>start /low /b %USERPROFILE%\Documents\GitHub\eaglep3\Utilities\DownloadLogsFromS3.py --loco 4018 --day 2017-03-17</v>
      </c>
      <c r="AF29" s="1"/>
    </row>
    <row r="30" spans="1:32" x14ac:dyDescent="0.25">
      <c r="A30" s="32">
        <v>42811.496307870373</v>
      </c>
      <c r="B30" s="30" t="s">
        <v>529</v>
      </c>
      <c r="C30" s="30" t="s">
        <v>622</v>
      </c>
      <c r="D30" s="30" t="s">
        <v>98</v>
      </c>
      <c r="E30" s="30" t="s">
        <v>378</v>
      </c>
      <c r="F30" s="43">
        <v>200</v>
      </c>
      <c r="G30" s="43">
        <v>254</v>
      </c>
      <c r="H30" s="43">
        <v>34211</v>
      </c>
      <c r="I30" s="43">
        <v>34695</v>
      </c>
      <c r="J30" s="30" t="s">
        <v>379</v>
      </c>
      <c r="K30" s="43">
        <v>28054</v>
      </c>
      <c r="L30" s="143" t="s">
        <v>50</v>
      </c>
      <c r="M30" s="144">
        <f t="shared" si="0"/>
        <v>-3506.4479999999999</v>
      </c>
      <c r="N30" s="145" t="str">
        <f>VLOOKUP(C30,'Trips&amp;Operators'!$C$1:$G$99999,5,FALSE)</f>
        <v>BRUDER RICHARD</v>
      </c>
      <c r="O30" s="194" t="s">
        <v>185</v>
      </c>
      <c r="P30" s="146" t="s">
        <v>1029</v>
      </c>
      <c r="Q30" s="30"/>
      <c r="R30" s="89" t="str">
        <f>IF(VLOOKUP(C30,'Train Runs'!$A$13:$AE$9947,1,1)=C30,VLOOKUP(C30,'Train Runs'!$A$13:$AE$9947,31,1),NA())</f>
        <v>aws s3 cp s3://rtdc.mdm.uploadarchive.raw/RTDC4018/ "%USERPROFILE%\AppData\Local\Temp\OnboardLogs"\RTDC4018\2017-03-17 --exclude "*" --recursive --include "*20170317*" &amp; "%USERPROFILE%\Documents\GitHub\mrs-test-scripts\Headless Mode &amp; Sideloading\WalkAndUnGZ.bat" "%USERPROFILE%\AppData\Local\Temp\OnboardLogs"\RTDC4018\2017-03-17 &amp; aws s3 cp s3://rtdc.mdm.uploadarchive.raw/RTDC4018/ "%USERPROFILE%\AppData\Local\Temp\OnboardLogs"\RTDC4018\2017-03-18 --exclude "*" --recursive --include "*20170318*" &amp; "%USERPROFILE%\Documents\GitHub\mrs-test-scripts\Headless Mode &amp; Sideloading\WalkAndUnGZ.bat" "%USERPROFILE%\AppData\Local\Temp\OnboardLogs"\RTDC4018\2017-03-18</v>
      </c>
      <c r="S30" s="92" t="str">
        <f>VLOOKUP(C30,'Train Runs'!$A$13:$AE$9947,22,0)</f>
        <v>https://d0f6bd738d7f1b3e5a7ca70fe4ff75f0.us-east-1.aws.found.io/app/kibana#/discover/Steve-Slow-Train-Analysis-(2080s-and-2083s)?_g=(refreshInterval:(display:Off,pause:!f,section:0,value:0),time:(from:'2017-03-17T10:41:10-0600',mode:absolute,to:'2017-03-17T13:22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30" s="94" t="str">
        <f t="shared" si="1"/>
        <v>"C:\Program Files (x86)\AstroGrep\AstroGrep.exe" /e /r /s /spath="%USERPROFILE%\AppData\Local\Temp\OnboardLogs" /stypes="*4018*201703171*" /stext=" 17:.+((SYSTEM_STATE.+slice.+state.+changed )|(ment ac)|(multiple cpu faults)|(system.+state.+changed )|(\[timeout)|(PRM\|1\|D)|(kpr)|(kdp)|(\|lc)|(penalty))"</v>
      </c>
      <c r="U30" s="9" t="str">
        <f t="shared" si="2"/>
        <v>4018</v>
      </c>
      <c r="V30" s="32">
        <f t="shared" si="3"/>
        <v>42811.746307870373</v>
      </c>
      <c r="W30" s="46" t="str">
        <f t="shared" si="4"/>
        <v>EC</v>
      </c>
      <c r="X30" s="46" t="str">
        <f t="shared" si="5"/>
        <v>KEEP</v>
      </c>
      <c r="Y30" s="108" t="str">
        <f t="shared" si="6"/>
        <v>echo {"issue":{"subject":"Overspeed","project_id":79,"tracker_id":40,"status_id":1,"priority_id":2,"assigned_to_id":23,"start_date":"2017-03-17","description":"","custom_fields":[{"id":1,"name":"Subdivision","value":"EC"},{"id":4,"name":"Milepost","value":"2.8054"},{"id":17,"name":"Train ID","value":"165-17"},{"id":16,"name":"Locomotive ID","value":"4018"},{"id":130,"name":"Impact","value":""},{"id":150,"name":"Time of Event (Mountain Time)","value":"11:54:41"},{"id":151,"name":"Denver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48"/>
      <c r="AA30" s="48"/>
      <c r="AB30" s="48"/>
      <c r="AC30" s="127" t="str">
        <f t="shared" si="7"/>
        <v>grep -hSE -A400 "Enforcement Action" "%USERPROFILE%\AppData\Local\Temp\OnboardLogs"\RTDC4018\*4018*201703171* | grep -SE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"%USERPROFILE%\AppData\Local\Temp\OnboardLogs"\RTDC4018\*4018*201703171* &gt;&gt; 2017-03-17-SliceDisagreementCheck.txt</v>
      </c>
      <c r="AE30" s="157" t="str">
        <f t="shared" si="8"/>
        <v>start /low /b %USERPROFILE%\Documents\GitHub\eaglep3\Utilities\DownloadLogsFromS3.py --loco 4018 --day 2017-03-17</v>
      </c>
      <c r="AF30" s="1"/>
    </row>
    <row r="31" spans="1:32" x14ac:dyDescent="0.25">
      <c r="A31" s="32">
        <v>42811.645405092589</v>
      </c>
      <c r="B31" s="30" t="s">
        <v>631</v>
      </c>
      <c r="C31" s="30" t="s">
        <v>632</v>
      </c>
      <c r="D31" s="30" t="s">
        <v>49</v>
      </c>
      <c r="E31" s="30" t="s">
        <v>378</v>
      </c>
      <c r="F31" s="43">
        <v>0</v>
      </c>
      <c r="G31" s="43">
        <v>145</v>
      </c>
      <c r="H31" s="43">
        <v>128060</v>
      </c>
      <c r="I31" s="43">
        <v>127938</v>
      </c>
      <c r="J31" s="30" t="s">
        <v>379</v>
      </c>
      <c r="K31" s="43">
        <v>127587</v>
      </c>
      <c r="L31" s="143" t="s">
        <v>51</v>
      </c>
      <c r="M31" s="144">
        <f t="shared" si="0"/>
        <v>185.328</v>
      </c>
      <c r="N31" s="145" t="str">
        <f>VLOOKUP(C31,'Trips&amp;Operators'!$C$1:$G$99999,5,FALSE)</f>
        <v>DELGADO DIANAH</v>
      </c>
      <c r="O31" s="194" t="s">
        <v>185</v>
      </c>
      <c r="P31" s="146" t="s">
        <v>1030</v>
      </c>
      <c r="Q31" s="30"/>
      <c r="R31" s="89" t="str">
        <f>IF(VLOOKUP(C31,'Train Runs'!$A$13:$AE$9947,1,1)=C31,VLOOKUP(C31,'Train Runs'!$A$13:$AE$9947,31,1),NA())</f>
        <v>aws s3 cp s3://rtdc.mdm.uploadarchive.raw/RTDC4015/ "%USERPROFILE%\AppData\Local\Temp\OnboardLogs"\RTDC4015\2017-03-17 --exclude "*" --recursive --include "*20170317*" &amp; "%USERPROFILE%\Documents\GitHub\mrs-test-scripts\Headless Mode &amp; Sideloading\WalkAndUnGZ.bat" "%USERPROFILE%\AppData\Local\Temp\OnboardLogs"\RTDC4015\2017-03-17 &amp; aws s3 cp s3://rtdc.mdm.uploadarchive.raw/RTDC4015/ "%USERPROFILE%\AppData\Local\Temp\OnboardLogs"\RTDC4015\2017-03-18 --exclude "*" --recursive --include "*20170318*" &amp; "%USERPROFILE%\Documents\GitHub\mrs-test-scripts\Headless Mode &amp; Sideloading\WalkAndUnGZ.bat" "%USERPROFILE%\AppData\Local\Temp\OnboardLogs"\RTDC4015\2017-03-18</v>
      </c>
      <c r="S31" s="92" t="str">
        <f>VLOOKUP(C31,'Train Runs'!$A$13:$AE$9947,22,0)</f>
        <v>https://d0f6bd738d7f1b3e5a7ca70fe4ff75f0.us-east-1.aws.found.io/app/kibana#/discover/Steve-Slow-Train-Analysis-(2080s-and-2083s)?_g=(refreshInterval:(display:Off,pause:!f,section:0,value:0),time:(from:'2017-03-17T13:59:48-0600',mode:absolute,to:'2017-03-17T16:59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31" s="94" t="str">
        <f t="shared" si="1"/>
        <v>"C:\Program Files (x86)\AstroGrep\AstroGrep.exe" /e /r /s /spath="%USERPROFILE%\AppData\Local\Temp\OnboardLogs" /stypes="*4015*201703172*" /stext=" 21:.+((SYSTEM_STATE.+slice.+state.+changed )|(ment ac)|(multiple cpu faults)|(system.+state.+changed )|(\[timeout)|(PRM\|1\|D)|(kpr)|(kdp)|(\|lc)|(penalty))"</v>
      </c>
      <c r="U31" s="9" t="str">
        <f t="shared" si="2"/>
        <v>4015</v>
      </c>
      <c r="V31" s="32">
        <f t="shared" si="3"/>
        <v>42811.895405092589</v>
      </c>
      <c r="W31" s="46" t="str">
        <f t="shared" si="4"/>
        <v>EC</v>
      </c>
      <c r="X31" s="46" t="str">
        <f t="shared" si="5"/>
        <v>KEEP</v>
      </c>
      <c r="Y31" s="108" t="str">
        <f t="shared" si="6"/>
        <v>echo {"issue":{"subject":"40th 4S STOP","project_id":79,"tracker_id":40,"status_id":1,"priority_id":2,"assigned_to_id":23,"start_date":"2017-03-17","description":"","custom_fields":[{"id":1,"name":"Subdivision","value":"EC"},{"id":4,"name":"Milepost","value":"12.7587"},{"id":17,"name":"Train ID","value":"186-17"},{"id":16,"name":"Locomotive ID","value":"4015"},{"id":130,"name":"Impact","value":""},{"id":150,"name":"Time of Event (Mountain Time)","value":"15:29:23"},{"id":151,"name":"Denver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48"/>
      <c r="AA31" s="48"/>
      <c r="AB31" s="48"/>
      <c r="AC31" s="127" t="str">
        <f t="shared" si="7"/>
        <v>grep -hSE -A400 "Enforcement Action" "%USERPROFILE%\AppData\Local\Temp\OnboardLogs"\RTDC4015\*4015*201703172* | grep -SE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"%USERPROFILE%\AppData\Local\Temp\OnboardLogs"\RTDC4015\*4015*201703172* &gt;&gt; 2017-03-17-SliceDisagreementCheck.txt</v>
      </c>
      <c r="AE31" s="157" t="str">
        <f t="shared" si="8"/>
        <v>start /low /b %USERPROFILE%\Documents\GitHub\eaglep3\Utilities\DownloadLogsFromS3.py --loco 4015 --day 2017-03-17</v>
      </c>
      <c r="AF31" s="1"/>
    </row>
    <row r="32" spans="1:32" x14ac:dyDescent="0.25">
      <c r="A32" s="32">
        <v>42811.545740740738</v>
      </c>
      <c r="B32" s="30" t="s">
        <v>488</v>
      </c>
      <c r="C32" s="30" t="s">
        <v>623</v>
      </c>
      <c r="D32" s="30" t="s">
        <v>49</v>
      </c>
      <c r="E32" s="30" t="s">
        <v>186</v>
      </c>
      <c r="F32" s="43">
        <v>0</v>
      </c>
      <c r="G32" s="43">
        <v>57</v>
      </c>
      <c r="H32" s="43">
        <v>196</v>
      </c>
      <c r="I32" s="43">
        <v>141</v>
      </c>
      <c r="J32" s="30" t="s">
        <v>187</v>
      </c>
      <c r="K32" s="43">
        <v>1</v>
      </c>
      <c r="L32" s="143" t="s">
        <v>51</v>
      </c>
      <c r="M32" s="144">
        <f t="shared" si="0"/>
        <v>73.92</v>
      </c>
      <c r="N32" s="145" t="str">
        <f>VLOOKUP(C32,'Trips&amp;Operators'!$C$1:$G$99999,5,FALSE)</f>
        <v>CLARK KATHLEEN</v>
      </c>
      <c r="O32" s="194" t="s">
        <v>185</v>
      </c>
      <c r="P32" s="146"/>
      <c r="Q32" s="30"/>
      <c r="R32" s="89" t="str">
        <f>IF(VLOOKUP(C32,'Train Runs'!$A$13:$AE$9947,1,1)=C32,VLOOKUP(C32,'Train Runs'!$A$13:$AE$9947,31,1),NA())</f>
        <v>aws s3 cp s3://rtdc.mdm.uploadarchive.raw/RTDC4001/ "%USERPROFILE%\AppData\Local\Temp\OnboardLogs"\RTDC4001\2017-03-17 --exclude "*" --recursive --include "*20170317*" &amp; "%USERPROFILE%\Documents\GitHub\mrs-test-scripts\Headless Mode &amp; Sideloading\WalkAndUnGZ.bat" "%USERPROFILE%\AppData\Local\Temp\OnboardLogs"\RTDC4001\2017-03-17 &amp; aws s3 cp s3://rtdc.mdm.uploadarchive.raw/RTDC4001/ "%USERPROFILE%\AppData\Local\Temp\OnboardLogs"\RTDC4001\2017-03-18 --exclude "*" --recursive --include "*20170318*" &amp; "%USERPROFILE%\Documents\GitHub\mrs-test-scripts\Headless Mode &amp; Sideloading\WalkAndUnGZ.bat" "%USERPROFILE%\AppData\Local\Temp\OnboardLogs"\RTDC4001\2017-03-18</v>
      </c>
      <c r="S32" s="92" t="str">
        <f>VLOOKUP(C32,'Train Runs'!$A$13:$AE$9947,22,0)</f>
        <v>https://d0f6bd738d7f1b3e5a7ca70fe4ff75f0.us-east-1.aws.found.io/app/kibana#/discover/Steve-Slow-Train-Analysis-(2080s-and-2083s)?_g=(refreshInterval:(display:Off,pause:!f,section:0,value:0),time:(from:'2017-03-17T11:17:42-0600',mode:absolute,to:'2017-03-17T14:05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32" s="94" t="str">
        <f t="shared" si="1"/>
        <v>"C:\Program Files (x86)\AstroGrep\AstroGrep.exe" /e /r /s /spath="%USERPROFILE%\AppData\Local\Temp\OnboardLogs" /stypes="*4001*201703171*" /stext=" 19:.+((SYSTEM_STATE.+slice.+state.+changed )|(ment ac)|(multiple cpu faults)|(system.+state.+changed )|(\[timeout)|(PRM\|1\|D)|(kpr)|(kdp)|(\|lc)|(penalty))"</v>
      </c>
      <c r="U32" s="9" t="str">
        <f t="shared" si="2"/>
        <v>4001</v>
      </c>
      <c r="V32" s="32">
        <f t="shared" si="3"/>
        <v>42811.795740740738</v>
      </c>
      <c r="W32" s="46" t="str">
        <f t="shared" si="4"/>
        <v>EC</v>
      </c>
      <c r="X32" s="46" t="str">
        <f t="shared" si="5"/>
        <v>KEEP</v>
      </c>
      <c r="Y32" s="108" t="str">
        <f t="shared" si="6"/>
        <v>echo {"issue":{"subject":"","project_id":79,"tracker_id":40,"status_id":1,"priority_id":2,"assigned_to_id":23,"start_date":"2017-03-17","description":"","custom_fields":[{"id":1,"name":"Subdivision","value":"EC"},{"id":4,"name":"Milepost","value":"0.0001"},{"id":17,"name":"Train ID","value":"164-17"},{"id":16,"name":"Locomotive ID","value":"4001"},{"id":130,"name":"Impact","value":""},{"id":150,"name":"Time of Event (Mountain Time)","value":"13:05:52"},{"id":151,"name":"Denver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48"/>
      <c r="AA32" s="48"/>
      <c r="AB32" s="48"/>
      <c r="AC32" s="127" t="str">
        <f t="shared" si="7"/>
        <v>grep -hSE -A400 "Enforcement Action" "%USERPROFILE%\AppData\Local\Temp\OnboardLogs"\RTDC4001\*4001*201703171* | grep -SE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"%USERPROFILE%\AppData\Local\Temp\OnboardLogs"\RTDC4001\*4001*201703171* &gt;&gt; 2017-03-17-SliceDisagreementCheck.txt</v>
      </c>
      <c r="AE32" s="157" t="str">
        <f t="shared" si="8"/>
        <v>start /low /b %USERPROFILE%\Documents\GitHub\eaglep3\Utilities\DownloadLogsFromS3.py --loco 4001 --day 2017-03-17</v>
      </c>
      <c r="AF32" s="1"/>
    </row>
    <row r="33" spans="1:32" x14ac:dyDescent="0.25">
      <c r="A33" s="32">
        <v>42811.597928240742</v>
      </c>
      <c r="B33" s="30" t="s">
        <v>412</v>
      </c>
      <c r="C33" s="30" t="s">
        <v>629</v>
      </c>
      <c r="D33" s="30" t="s">
        <v>49</v>
      </c>
      <c r="E33" s="30" t="s">
        <v>186</v>
      </c>
      <c r="F33" s="43">
        <v>0</v>
      </c>
      <c r="G33" s="43">
        <v>54</v>
      </c>
      <c r="H33" s="43">
        <v>183</v>
      </c>
      <c r="I33" s="43">
        <v>136</v>
      </c>
      <c r="J33" s="30" t="s">
        <v>187</v>
      </c>
      <c r="K33" s="43">
        <v>1</v>
      </c>
      <c r="L33" s="143" t="s">
        <v>51</v>
      </c>
      <c r="M33" s="144">
        <f t="shared" si="0"/>
        <v>71.28</v>
      </c>
      <c r="N33" s="145" t="str">
        <f>VLOOKUP(C33,'Trips&amp;Operators'!$C$1:$G$99999,5,FALSE)</f>
        <v>STEWART MICHAEL</v>
      </c>
      <c r="O33" s="194" t="s">
        <v>185</v>
      </c>
      <c r="P33" s="146"/>
      <c r="Q33" s="30"/>
      <c r="R33" s="89" t="str">
        <f>IF(VLOOKUP(C33,'Train Runs'!$A$13:$AE$9947,1,1)=C33,VLOOKUP(C33,'Train Runs'!$A$13:$AE$9947,31,1),NA())</f>
        <v>aws s3 cp s3://rtdc.mdm.uploadarchive.raw/RTDC4039/ "%USERPROFILE%\AppData\Local\Temp\OnboardLogs"\RTDC4039\2017-03-17 --exclude "*" --recursive --include "*20170317*" &amp; "%USERPROFILE%\Documents\GitHub\mrs-test-scripts\Headless Mode &amp; Sideloading\WalkAndUnGZ.bat" "%USERPROFILE%\AppData\Local\Temp\OnboardLogs"\RTDC4039\2017-03-17 &amp; aws s3 cp s3://rtdc.mdm.uploadarchive.raw/RTDC4039/ "%USERPROFILE%\AppData\Local\Temp\OnboardLogs"\RTDC4039\2017-03-18 --exclude "*" --recursive --include "*20170318*" &amp; "%USERPROFILE%\Documents\GitHub\mrs-test-scripts\Headless Mode &amp; Sideloading\WalkAndUnGZ.bat" "%USERPROFILE%\AppData\Local\Temp\OnboardLogs"\RTDC4039\2017-03-18</v>
      </c>
      <c r="S33" s="92" t="str">
        <f>VLOOKUP(C33,'Train Runs'!$A$13:$AE$9947,22,0)</f>
        <v>https://d0f6bd738d7f1b3e5a7ca70fe4ff75f0.us-east-1.aws.found.io/app/kibana#/discover/Steve-Slow-Train-Analysis-(2080s-and-2083s)?_g=(refreshInterval:(display:Off,pause:!f,section:0,value:0),time:(from:'2017-03-17T12:34:27-0600',mode:absolute,to:'2017-03-17T15:21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33" s="94" t="str">
        <f t="shared" si="1"/>
        <v>"C:\Program Files (x86)\AstroGrep\AstroGrep.exe" /e /r /s /spath="%USERPROFILE%\AppData\Local\Temp\OnboardLogs" /stypes="*4039*201703172*" /stext=" 20:.+((SYSTEM_STATE.+slice.+state.+changed )|(ment ac)|(multiple cpu faults)|(system.+state.+changed )|(\[timeout)|(PRM\|1\|D)|(kpr)|(kdp)|(\|lc)|(penalty))"</v>
      </c>
      <c r="U33" s="9" t="str">
        <f t="shared" si="2"/>
        <v>4039</v>
      </c>
      <c r="V33" s="32">
        <f t="shared" si="3"/>
        <v>42811.847928240742</v>
      </c>
      <c r="W33" s="46" t="str">
        <f t="shared" si="4"/>
        <v>EC</v>
      </c>
      <c r="X33" s="46" t="str">
        <f t="shared" si="5"/>
        <v>KEEP</v>
      </c>
      <c r="Y33" s="108" t="str">
        <f t="shared" si="6"/>
        <v>echo {"issue":{"subject":"","project_id":79,"tracker_id":40,"status_id":1,"priority_id":2,"assigned_to_id":23,"start_date":"2017-03-17","description":"","custom_fields":[{"id":1,"name":"Subdivision","value":"EC"},{"id":4,"name":"Milepost","value":"0.0001"},{"id":17,"name":"Train ID","value":"174-17"},{"id":16,"name":"Locomotive ID","value":"4039"},{"id":130,"name":"Impact","value":""},{"id":150,"name":"Time of Event (Mountain Time)","value":"14:21:01"},{"id":151,"name":"Denver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48"/>
      <c r="AA33" s="48"/>
      <c r="AB33" s="48"/>
      <c r="AC33" s="127" t="str">
        <f t="shared" si="7"/>
        <v>grep -hSE -A400 "Enforcement Action" "%USERPROFILE%\AppData\Local\Temp\OnboardLogs"\RTDC4039\*4039*201703172* | grep -SE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"%USERPROFILE%\AppData\Local\Temp\OnboardLogs"\RTDC4039\*4039*201703172* &gt;&gt; 2017-03-17-SliceDisagreementCheck.txt</v>
      </c>
      <c r="AE33" s="157" t="str">
        <f t="shared" si="8"/>
        <v>start /low /b %USERPROFILE%\Documents\GitHub\eaglep3\Utilities\DownloadLogsFromS3.py --loco 4039 --day 2017-03-17</v>
      </c>
      <c r="AF33" s="1"/>
    </row>
    <row r="34" spans="1:32" x14ac:dyDescent="0.25">
      <c r="A34" s="32">
        <v>42811.674710648149</v>
      </c>
      <c r="B34" s="30" t="s">
        <v>412</v>
      </c>
      <c r="C34" s="30" t="s">
        <v>636</v>
      </c>
      <c r="D34" s="30" t="s">
        <v>49</v>
      </c>
      <c r="E34" s="30" t="s">
        <v>186</v>
      </c>
      <c r="F34" s="43">
        <v>0</v>
      </c>
      <c r="G34" s="43">
        <v>154</v>
      </c>
      <c r="H34" s="43">
        <v>639</v>
      </c>
      <c r="I34" s="43">
        <v>493</v>
      </c>
      <c r="J34" s="30" t="s">
        <v>187</v>
      </c>
      <c r="K34" s="43">
        <v>1</v>
      </c>
      <c r="L34" s="143" t="s">
        <v>51</v>
      </c>
      <c r="M34" s="144">
        <f t="shared" si="0"/>
        <v>259.77600000000001</v>
      </c>
      <c r="N34" s="145" t="str">
        <f>VLOOKUP(C34,'Trips&amp;Operators'!$C$1:$G$99999,5,FALSE)</f>
        <v>STEWART MICHAEL</v>
      </c>
      <c r="O34" s="194" t="s">
        <v>185</v>
      </c>
      <c r="P34" s="146"/>
      <c r="Q34" s="30"/>
      <c r="R34" s="89" t="str">
        <f>IF(VLOOKUP(C34,'Train Runs'!$A$13:$AE$9947,1,1)=C34,VLOOKUP(C34,'Train Runs'!$A$13:$AE$9947,31,1),NA())</f>
        <v>aws s3 cp s3://rtdc.mdm.uploadarchive.raw/RTDC4039/ "%USERPROFILE%\AppData\Local\Temp\OnboardLogs"\RTDC4039\2017-03-17 --exclude "*" --recursive --include "*20170317*" &amp; "%USERPROFILE%\Documents\GitHub\mrs-test-scripts\Headless Mode &amp; Sideloading\WalkAndUnGZ.bat" "%USERPROFILE%\AppData\Local\Temp\OnboardLogs"\RTDC4039\2017-03-17 &amp; aws s3 cp s3://rtdc.mdm.uploadarchive.raw/RTDC4039/ "%USERPROFILE%\AppData\Local\Temp\OnboardLogs"\RTDC4039\2017-03-18 --exclude "*" --recursive --include "*20170318*" &amp; "%USERPROFILE%\Documents\GitHub\mrs-test-scripts\Headless Mode &amp; Sideloading\WalkAndUnGZ.bat" "%USERPROFILE%\AppData\Local\Temp\OnboardLogs"\RTDC4039\2017-03-18</v>
      </c>
      <c r="S34" s="92" t="str">
        <f>VLOOKUP(C34,'Train Runs'!$A$13:$AE$9947,22,0)</f>
        <v>https://d0f6bd738d7f1b3e5a7ca70fe4ff75f0.us-east-1.aws.found.io/app/kibana#/discover/Steve-Slow-Train-Analysis-(2080s-and-2083s)?_g=(refreshInterval:(display:Off,pause:!f,section:0,value:0),time:(from:'2017-03-17T14:20:31-0600',mode:absolute,to:'2017-03-17T17:11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34" s="94" t="str">
        <f t="shared" si="1"/>
        <v>"C:\Program Files (x86)\AstroGrep\AstroGrep.exe" /e /r /s /spath="%USERPROFILE%\AppData\Local\Temp\OnboardLogs" /stypes="*4039*201703172*" /stext=" 22:.+((SYSTEM_STATE.+slice.+state.+changed )|(ment ac)|(multiple cpu faults)|(system.+state.+changed )|(\[timeout)|(PRM\|1\|D)|(kpr)|(kdp)|(\|lc)|(penalty))"</v>
      </c>
      <c r="U34" s="9" t="str">
        <f t="shared" si="2"/>
        <v>4039</v>
      </c>
      <c r="V34" s="32">
        <f t="shared" si="3"/>
        <v>42811.924710648149</v>
      </c>
      <c r="W34" s="46" t="str">
        <f t="shared" si="4"/>
        <v>EC</v>
      </c>
      <c r="X34" s="46" t="str">
        <f t="shared" si="5"/>
        <v>KEEP</v>
      </c>
      <c r="Y34" s="108" t="str">
        <f t="shared" si="6"/>
        <v>echo {"issue":{"subject":"","project_id":79,"tracker_id":40,"status_id":1,"priority_id":2,"assigned_to_id":23,"start_date":"2017-03-17","description":"","custom_fields":[{"id":1,"name":"Subdivision","value":"EC"},{"id":4,"name":"Milepost","value":"0.0001"},{"id":17,"name":"Train ID","value":"188-17"},{"id":16,"name":"Locomotive ID","value":"4039"},{"id":130,"name":"Impact","value":""},{"id":150,"name":"Time of Event (Mountain Time)","value":"16:11:35"},{"id":151,"name":"Denver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48"/>
      <c r="AA34" s="48"/>
      <c r="AB34" s="48"/>
      <c r="AC34" s="127" t="str">
        <f t="shared" si="7"/>
        <v>grep -hSE -A400 "Enforcement Action" "%USERPROFILE%\AppData\Local\Temp\OnboardLogs"\RTDC4039\*4039*201703172* | grep -SE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"%USERPROFILE%\AppData\Local\Temp\OnboardLogs"\RTDC4039\*4039*201703172* &gt;&gt; 2017-03-17-SliceDisagreementCheck.txt</v>
      </c>
      <c r="AE34" s="157" t="str">
        <f t="shared" si="8"/>
        <v>start /low /b %USERPROFILE%\Documents\GitHub\eaglep3\Utilities\DownloadLogsFromS3.py --loco 4039 --day 2017-03-17</v>
      </c>
      <c r="AF34" s="1"/>
    </row>
    <row r="35" spans="1:32" x14ac:dyDescent="0.25">
      <c r="A35" s="32">
        <v>42811.753634259258</v>
      </c>
      <c r="B35" s="30" t="s">
        <v>372</v>
      </c>
      <c r="C35" s="30" t="s">
        <v>641</v>
      </c>
      <c r="D35" s="30" t="s">
        <v>49</v>
      </c>
      <c r="E35" s="30" t="s">
        <v>186</v>
      </c>
      <c r="F35" s="43">
        <v>0</v>
      </c>
      <c r="G35" s="43">
        <v>143</v>
      </c>
      <c r="H35" s="43">
        <v>604</v>
      </c>
      <c r="I35" s="43">
        <v>404</v>
      </c>
      <c r="J35" s="30" t="s">
        <v>187</v>
      </c>
      <c r="K35" s="43">
        <v>1</v>
      </c>
      <c r="L35" s="143" t="s">
        <v>51</v>
      </c>
      <c r="M35" s="144">
        <f t="shared" si="0"/>
        <v>212.78399999999999</v>
      </c>
      <c r="N35" s="145" t="str">
        <f>VLOOKUP(C35,'Trips&amp;Operators'!$C$1:$G$99999,5,FALSE)</f>
        <v>ROMERO CHAD</v>
      </c>
      <c r="O35" s="194" t="s">
        <v>185</v>
      </c>
      <c r="P35" s="146"/>
      <c r="Q35" s="30"/>
      <c r="R35" s="89" t="str">
        <f>IF(VLOOKUP(C35,'Train Runs'!$A$13:$AE$9947,1,1)=C35,VLOOKUP(C35,'Train Runs'!$A$13:$AE$9947,31,1),NA())</f>
        <v>aws s3 cp s3://rtdc.mdm.uploadarchive.raw/RTDC4019/ "%USERPROFILE%\AppData\Local\Temp\OnboardLogs"\RTDC4019\2017-03-17 --exclude "*" --recursive --include "*20170317*" &amp; "%USERPROFILE%\Documents\GitHub\mrs-test-scripts\Headless Mode &amp; Sideloading\WalkAndUnGZ.bat" "%USERPROFILE%\AppData\Local\Temp\OnboardLogs"\RTDC4019\2017-03-17 &amp; aws s3 cp s3://rtdc.mdm.uploadarchive.raw/RTDC4019/ "%USERPROFILE%\AppData\Local\Temp\OnboardLogs"\RTDC4019\2017-03-18 --exclude "*" --recursive --include "*20170318*" &amp; "%USERPROFILE%\Documents\GitHub\mrs-test-scripts\Headless Mode &amp; Sideloading\WalkAndUnGZ.bat" "%USERPROFILE%\AppData\Local\Temp\OnboardLogs"\RTDC4019\2017-03-18</v>
      </c>
      <c r="S35" s="92" t="str">
        <f>VLOOKUP(C35,'Train Runs'!$A$13:$AE$9947,22,0)</f>
        <v>https://d0f6bd738d7f1b3e5a7ca70fe4ff75f0.us-east-1.aws.found.io/app/kibana#/discover/Steve-Slow-Train-Analysis-(2080s-and-2083s)?_g=(refreshInterval:(display:Off,pause:!f,section:0,value:0),time:(from:'2017-03-17T16:14:23-0600',mode:absolute,to:'2017-03-17T19:05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35" s="94" t="str">
        <f t="shared" si="1"/>
        <v>"C:\Program Files (x86)\AstroGrep\AstroGrep.exe" /e /r /s /spath="%USERPROFILE%\AppData\Local\Temp\OnboardLogs" /stypes="*4019*201703180*" /stext=" 00:.+((SYSTEM_STATE.+slice.+state.+changed )|(ment ac)|(multiple cpu faults)|(system.+state.+changed )|(\[timeout)|(PRM\|1\|D)|(kpr)|(kdp)|(\|lc)|(penalty))"</v>
      </c>
      <c r="U35" s="9" t="str">
        <f t="shared" si="2"/>
        <v>4019</v>
      </c>
      <c r="V35" s="32">
        <f t="shared" si="3"/>
        <v>42812.003634259258</v>
      </c>
      <c r="W35" s="46" t="str">
        <f t="shared" si="4"/>
        <v>EC</v>
      </c>
      <c r="X35" s="46" t="str">
        <f t="shared" si="5"/>
        <v>KEEP</v>
      </c>
      <c r="Y35" s="108" t="str">
        <f t="shared" si="6"/>
        <v>echo {"issue":{"subject":"","project_id":79,"tracker_id":40,"status_id":1,"priority_id":2,"assigned_to_id":23,"start_date":"2017-03-17","description":"","custom_fields":[{"id":1,"name":"Subdivision","value":"EC"},{"id":4,"name":"Milepost","value":"0.0001"},{"id":17,"name":"Train ID","value":"204-17"},{"id":16,"name":"Locomotive ID","value":"4019"},{"id":130,"name":"Impact","value":""},{"id":150,"name":"Time of Event (Mountain Time)","value":"18:05:14"},{"id":151,"name":"Denver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48"/>
      <c r="AA35" s="48"/>
      <c r="AB35" s="48"/>
      <c r="AC35" s="127" t="str">
        <f t="shared" si="7"/>
        <v>grep -hSE -A400 "Enforcement Action" "%USERPROFILE%\AppData\Local\Temp\OnboardLogs"\RTDC4019\*4019*201703180* | grep -SE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"%USERPROFILE%\AppData\Local\Temp\OnboardLogs"\RTDC4019\*4019*201703180* &gt;&gt; 2017-03-17-SliceDisagreementCheck.txt</v>
      </c>
      <c r="AE35" s="157" t="str">
        <f t="shared" si="8"/>
        <v>start /low /b %USERPROFILE%\Documents\GitHub\eaglep3\Utilities\DownloadLogsFromS3.py --loco 4019 --day 2017-03-18</v>
      </c>
      <c r="AF35" s="1"/>
    </row>
    <row r="36" spans="1:32" x14ac:dyDescent="0.25">
      <c r="A36" s="32">
        <v>42811.754120370373</v>
      </c>
      <c r="B36" s="30" t="s">
        <v>372</v>
      </c>
      <c r="C36" s="30" t="s">
        <v>641</v>
      </c>
      <c r="D36" s="30" t="s">
        <v>49</v>
      </c>
      <c r="E36" s="30" t="s">
        <v>186</v>
      </c>
      <c r="F36" s="43">
        <v>0</v>
      </c>
      <c r="G36" s="43">
        <v>51</v>
      </c>
      <c r="H36" s="43">
        <v>178</v>
      </c>
      <c r="I36" s="43">
        <v>132</v>
      </c>
      <c r="J36" s="30" t="s">
        <v>187</v>
      </c>
      <c r="K36" s="43">
        <v>1</v>
      </c>
      <c r="L36" s="143" t="s">
        <v>51</v>
      </c>
      <c r="M36" s="144">
        <f t="shared" si="0"/>
        <v>69.168000000000006</v>
      </c>
      <c r="N36" s="145" t="str">
        <f>VLOOKUP(C36,'Trips&amp;Operators'!$C$1:$G$99999,5,FALSE)</f>
        <v>ROMERO CHAD</v>
      </c>
      <c r="O36" s="194" t="s">
        <v>185</v>
      </c>
      <c r="P36" s="146"/>
      <c r="Q36" s="30"/>
      <c r="R36" s="89" t="str">
        <f>IF(VLOOKUP(C36,'Train Runs'!$A$13:$AE$9947,1,1)=C36,VLOOKUP(C36,'Train Runs'!$A$13:$AE$9947,31,1),NA())</f>
        <v>aws s3 cp s3://rtdc.mdm.uploadarchive.raw/RTDC4019/ "%USERPROFILE%\AppData\Local\Temp\OnboardLogs"\RTDC4019\2017-03-17 --exclude "*" --recursive --include "*20170317*" &amp; "%USERPROFILE%\Documents\GitHub\mrs-test-scripts\Headless Mode &amp; Sideloading\WalkAndUnGZ.bat" "%USERPROFILE%\AppData\Local\Temp\OnboardLogs"\RTDC4019\2017-03-17 &amp; aws s3 cp s3://rtdc.mdm.uploadarchive.raw/RTDC4019/ "%USERPROFILE%\AppData\Local\Temp\OnboardLogs"\RTDC4019\2017-03-18 --exclude "*" --recursive --include "*20170318*" &amp; "%USERPROFILE%\Documents\GitHub\mrs-test-scripts\Headless Mode &amp; Sideloading\WalkAndUnGZ.bat" "%USERPROFILE%\AppData\Local\Temp\OnboardLogs"\RTDC4019\2017-03-18</v>
      </c>
      <c r="S36" s="92" t="str">
        <f>VLOOKUP(C36,'Train Runs'!$A$13:$AE$9947,22,0)</f>
        <v>https://d0f6bd738d7f1b3e5a7ca70fe4ff75f0.us-east-1.aws.found.io/app/kibana#/discover/Steve-Slow-Train-Analysis-(2080s-and-2083s)?_g=(refreshInterval:(display:Off,pause:!f,section:0,value:0),time:(from:'2017-03-17T16:14:23-0600',mode:absolute,to:'2017-03-17T19:05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36" s="94" t="str">
        <f t="shared" si="1"/>
        <v>"C:\Program Files (x86)\AstroGrep\AstroGrep.exe" /e /r /s /spath="%USERPROFILE%\AppData\Local\Temp\OnboardLogs" /stypes="*4019*201703180*" /stext=" 00:.+((SYSTEM_STATE.+slice.+state.+changed )|(ment ac)|(multiple cpu faults)|(system.+state.+changed )|(\[timeout)|(PRM\|1\|D)|(kpr)|(kdp)|(\|lc)|(penalty))"</v>
      </c>
      <c r="U36" s="9" t="str">
        <f t="shared" si="2"/>
        <v>4019</v>
      </c>
      <c r="V36" s="32">
        <f t="shared" si="3"/>
        <v>42812.004120370373</v>
      </c>
      <c r="W36" s="46" t="str">
        <f t="shared" si="4"/>
        <v>EC</v>
      </c>
      <c r="X36" s="46" t="str">
        <f t="shared" si="5"/>
        <v>KEEP</v>
      </c>
      <c r="Y36" s="108" t="str">
        <f t="shared" si="6"/>
        <v>echo {"issue":{"subject":"","project_id":79,"tracker_id":40,"status_id":1,"priority_id":2,"assigned_to_id":23,"start_date":"2017-03-17","description":"","custom_fields":[{"id":1,"name":"Subdivision","value":"EC"},{"id":4,"name":"Milepost","value":"0.0001"},{"id":17,"name":"Train ID","value":"204-17"},{"id":16,"name":"Locomotive ID","value":"4019"},{"id":130,"name":"Impact","value":""},{"id":150,"name":"Time of Event (Mountain Time)","value":"18:05:56"},{"id":151,"name":"Denver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48"/>
      <c r="AA36" s="48"/>
      <c r="AB36" s="48"/>
      <c r="AC36" s="127" t="str">
        <f t="shared" si="7"/>
        <v>grep -hSE -A400 "Enforcement Action" "%USERPROFILE%\AppData\Local\Temp\OnboardLogs"\RTDC4019\*4019*201703180* | grep -SE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"%USERPROFILE%\AppData\Local\Temp\OnboardLogs"\RTDC4019\*4019*201703180* &gt;&gt; 2017-03-17-SliceDisagreementCheck.txt</v>
      </c>
      <c r="AE36" s="157" t="str">
        <f t="shared" si="8"/>
        <v>start /low /b %USERPROFILE%\Documents\GitHub\eaglep3\Utilities\DownloadLogsFromS3.py --loco 4019 --day 2017-03-18</v>
      </c>
      <c r="AF36" s="1"/>
    </row>
    <row r="37" spans="1:32" x14ac:dyDescent="0.25">
      <c r="A37" s="32">
        <v>42811.716666666667</v>
      </c>
      <c r="B37" s="30" t="s">
        <v>239</v>
      </c>
      <c r="C37" s="30" t="s">
        <v>640</v>
      </c>
      <c r="D37" s="30" t="s">
        <v>49</v>
      </c>
      <c r="E37" s="30" t="s">
        <v>186</v>
      </c>
      <c r="F37" s="43">
        <v>0</v>
      </c>
      <c r="G37" s="43">
        <v>19</v>
      </c>
      <c r="H37" s="43">
        <v>233455</v>
      </c>
      <c r="I37" s="43">
        <v>233458</v>
      </c>
      <c r="J37" s="30" t="s">
        <v>187</v>
      </c>
      <c r="K37" s="43">
        <v>233491</v>
      </c>
      <c r="L37" s="143" t="s">
        <v>50</v>
      </c>
      <c r="M37" s="144">
        <f t="shared" si="0"/>
        <v>17.423999999999999</v>
      </c>
      <c r="N37" s="145" t="str">
        <f>VLOOKUP(C37,'Trips&amp;Operators'!$C$1:$G$99999,5,FALSE)</f>
        <v>ROMERO CHAD</v>
      </c>
      <c r="O37" s="194" t="s">
        <v>185</v>
      </c>
      <c r="P37" s="146"/>
      <c r="Q37" s="30"/>
      <c r="R37" s="89" t="str">
        <f>IF(VLOOKUP(C37,'Train Runs'!$A$13:$AE$9947,1,1)=C37,VLOOKUP(C37,'Train Runs'!$A$13:$AE$9947,31,1),NA())</f>
        <v>aws s3 cp s3://rtdc.mdm.uploadarchive.raw/RTDC4020/ "%USERPROFILE%\AppData\Local\Temp\OnboardLogs"\RTDC4020\2017-03-17 --exclude "*" --recursive --include "*20170317*" &amp; "%USERPROFILE%\Documents\GitHub\mrs-test-scripts\Headless Mode &amp; Sideloading\WalkAndUnGZ.bat" "%USERPROFILE%\AppData\Local\Temp\OnboardLogs"\RTDC4020\2017-03-17 &amp; aws s3 cp s3://rtdc.mdm.uploadarchive.raw/RTDC4020/ "%USERPROFILE%\AppData\Local\Temp\OnboardLogs"\RTDC4020\2017-03-18 --exclude "*" --recursive --include "*20170318*" &amp; "%USERPROFILE%\Documents\GitHub\mrs-test-scripts\Headless Mode &amp; Sideloading\WalkAndUnGZ.bat" "%USERPROFILE%\AppData\Local\Temp\OnboardLogs"\RTDC4020\2017-03-18</v>
      </c>
      <c r="S37" s="92" t="str">
        <f>VLOOKUP(C37,'Train Runs'!$A$13:$AE$9947,22,0)</f>
        <v>https://d0f6bd738d7f1b3e5a7ca70fe4ff75f0.us-east-1.aws.found.io/app/kibana#/discover/Steve-Slow-Train-Analysis-(2080s-and-2083s)?_g=(refreshInterval:(display:Off,pause:!f,section:0,value:0),time:(from:'2017-03-17T15:26:27-0600',mode:absolute,to:'2017-03-17T18:12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37" s="94" t="str">
        <f t="shared" si="1"/>
        <v>"C:\Program Files (x86)\AstroGrep\AstroGrep.exe" /e /r /s /spath="%USERPROFILE%\AppData\Local\Temp\OnboardLogs" /stypes="*4020*201703172*" /stext=" 23:.+((SYSTEM_STATE.+slice.+state.+changed )|(ment ac)|(multiple cpu faults)|(system.+state.+changed )|(\[timeout)|(PRM\|1\|D)|(kpr)|(kdp)|(\|lc)|(penalty))"</v>
      </c>
      <c r="U37" s="9" t="str">
        <f t="shared" si="2"/>
        <v>4020</v>
      </c>
      <c r="V37" s="32">
        <f t="shared" si="3"/>
        <v>42811.966666666667</v>
      </c>
      <c r="W37" s="46" t="str">
        <f t="shared" si="4"/>
        <v>EC</v>
      </c>
      <c r="X37" s="46" t="str">
        <f t="shared" si="5"/>
        <v>KEEP</v>
      </c>
      <c r="Y37" s="108" t="str">
        <f t="shared" si="6"/>
        <v>echo {"issue":{"subject":"","project_id":79,"tracker_id":40,"status_id":1,"priority_id":2,"assigned_to_id":23,"start_date":"2017-03-17","description":"","custom_fields":[{"id":1,"name":"Subdivision","value":"EC"},{"id":4,"name":"Milepost","value":"23.3491"},{"id":17,"name":"Train ID","value":"203-17"},{"id":16,"name":"Locomotive ID","value":"4020"},{"id":130,"name":"Impact","value":""},{"id":150,"name":"Time of Event (Mountain Time)","value":"17:12:00"},{"id":151,"name":"Denver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48"/>
      <c r="AA37" s="48"/>
      <c r="AB37" s="48"/>
      <c r="AC37" s="127" t="str">
        <f t="shared" si="7"/>
        <v>grep -hSE -A400 "Enforcement Action" "%USERPROFILE%\AppData\Local\Temp\OnboardLogs"\RTDC4020\*4020*201703172* | grep -SE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"%USERPROFILE%\AppData\Local\Temp\OnboardLogs"\RTDC4020\*4020*201703172* &gt;&gt; 2017-03-17-SliceDisagreementCheck.txt</v>
      </c>
      <c r="AE37" s="157" t="str">
        <f t="shared" si="8"/>
        <v>start /low /b %USERPROFILE%\Documents\GitHub\eaglep3\Utilities\DownloadLogsFromS3.py --loco 4020 --day 2017-03-17</v>
      </c>
      <c r="AF37" s="1"/>
    </row>
    <row r="38" spans="1:32" x14ac:dyDescent="0.25">
      <c r="A38" s="32">
        <v>42811.619386574072</v>
      </c>
      <c r="B38" s="30" t="s">
        <v>531</v>
      </c>
      <c r="C38" s="30" t="s">
        <v>630</v>
      </c>
      <c r="D38" s="30" t="s">
        <v>49</v>
      </c>
      <c r="E38" s="30" t="s">
        <v>193</v>
      </c>
      <c r="F38" s="43">
        <v>230</v>
      </c>
      <c r="G38" s="43">
        <v>288</v>
      </c>
      <c r="H38" s="43">
        <v>11773</v>
      </c>
      <c r="I38" s="43">
        <v>10822</v>
      </c>
      <c r="J38" s="30" t="s">
        <v>194</v>
      </c>
      <c r="K38" s="43">
        <v>10988</v>
      </c>
      <c r="L38" s="143" t="s">
        <v>51</v>
      </c>
      <c r="M38" s="144">
        <f t="shared" si="0"/>
        <v>-87.647999999999996</v>
      </c>
      <c r="N38" s="145" t="str">
        <f>VLOOKUP(C38,'Trips&amp;Operators'!$C$1:$G$99999,5,FALSE)</f>
        <v>FORTUNATO FRANK</v>
      </c>
      <c r="O38" s="194" t="s">
        <v>185</v>
      </c>
      <c r="P38" s="146" t="s">
        <v>528</v>
      </c>
      <c r="Q38" s="30"/>
      <c r="R38" s="89" t="str">
        <f>IF(VLOOKUP(C38,'Train Runs'!$A$13:$AE$9947,1,1)=C38,VLOOKUP(C38,'Train Runs'!$A$13:$AE$9947,31,1),NA())</f>
        <v>aws s3 cp s3://rtdc.mdm.uploadarchive.raw/RTDC4013/ "%USERPROFILE%\AppData\Local\Temp\OnboardLogs"\RTDC4013\2017-03-17 --exclude "*" --recursive --include "*20170317*" &amp; "%USERPROFILE%\Documents\GitHub\mrs-test-scripts\Headless Mode &amp; Sideloading\WalkAndUnGZ.bat" "%USERPROFILE%\AppData\Local\Temp\OnboardLogs"\RTDC4013\2017-03-17 &amp; aws s3 cp s3://rtdc.mdm.uploadarchive.raw/RTDC4013/ "%USERPROFILE%\AppData\Local\Temp\OnboardLogs"\RTDC4013\2017-03-18 --exclude "*" --recursive --include "*20170318*" &amp; "%USERPROFILE%\Documents\GitHub\mrs-test-scripts\Headless Mode &amp; Sideloading\WalkAndUnGZ.bat" "%USERPROFILE%\AppData\Local\Temp\OnboardLogs"\RTDC4013\2017-03-18</v>
      </c>
      <c r="S38" s="92" t="str">
        <f>VLOOKUP(C38,'Train Runs'!$A$13:$AE$9947,22,0)</f>
        <v>https://d0f6bd738d7f1b3e5a7ca70fe4ff75f0.us-east-1.aws.found.io/app/kibana#/discover/Steve-Slow-Train-Analysis-(2080s-and-2083s)?_g=(refreshInterval:(display:Off,pause:!f,section:0,value:0),time:(from:'2017-03-17T13:37:36-0600',mode:absolute,to:'2017-03-17T15:56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38" s="94" t="str">
        <f t="shared" si="1"/>
        <v>"C:\Program Files (x86)\AstroGrep\AstroGrep.exe" /e /r /s /spath="%USERPROFILE%\AppData\Local\Temp\OnboardLogs" /stypes="*4013*201703172*" /stext=" 20:.+((SYSTEM_STATE.+slice.+state.+changed )|(ment ac)|(multiple cpu faults)|(system.+state.+changed )|(\[timeout)|(PRM\|1\|D)|(kpr)|(kdp)|(\|lc)|(penalty))"</v>
      </c>
      <c r="U38" s="9" t="str">
        <f t="shared" si="2"/>
        <v>4013</v>
      </c>
      <c r="V38" s="32">
        <f t="shared" si="3"/>
        <v>42811.869386574072</v>
      </c>
      <c r="W38" s="46" t="str">
        <f t="shared" si="4"/>
        <v>NW</v>
      </c>
      <c r="X38" s="46" t="str">
        <f t="shared" si="5"/>
        <v>KEEP</v>
      </c>
      <c r="Y38" s="108" t="str">
        <f t="shared" si="6"/>
        <v>echo {"issue":{"subject":"Early arrival","project_id":79,"tracker_id":40,"status_id":1,"priority_id":2,"assigned_to_id":23,"start_date":"2017-03-17","description":"","custom_fields":[{"id":1,"name":"Subdivision","value":"NW"},{"id":4,"name":"Milepost","value":"1.0988"},{"id":17,"name":"Train ID","value":"824-17"},{"id":16,"name":"Locomotive ID","value":"4013"},{"id":130,"name":"Impact","value":""},{"id":150,"name":"Time of Event (Mountain Time)","value":"14:51:55"},{"id":151,"name":"Denver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48"/>
      <c r="AA38" s="48"/>
      <c r="AB38" s="48"/>
      <c r="AC38" s="127" t="str">
        <f t="shared" si="7"/>
        <v>grep -hSE -A400 "Enforcement Action" "%USERPROFILE%\AppData\Local\Temp\OnboardLogs"\RTDC4013\*4013*201703172* | grep -SE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"%USERPROFILE%\AppData\Local\Temp\OnboardLogs"\RTDC4013\*4013*201703172* &gt;&gt; 2017-03-17-SliceDisagreementCheck.txt</v>
      </c>
      <c r="AE38" s="157" t="str">
        <f t="shared" si="8"/>
        <v>start /low /b %USERPROFILE%\Documents\GitHub\eaglep3\Utilities\DownloadLogsFromS3.py --loco 4013 --day 2017-03-17</v>
      </c>
      <c r="AF38" s="1"/>
    </row>
    <row r="39" spans="1:32" x14ac:dyDescent="0.25">
      <c r="A39" s="32">
        <v>42811.683437500003</v>
      </c>
      <c r="B39" s="30" t="s">
        <v>637</v>
      </c>
      <c r="C39" s="30" t="s">
        <v>638</v>
      </c>
      <c r="D39" s="30" t="s">
        <v>49</v>
      </c>
      <c r="E39" s="30" t="s">
        <v>193</v>
      </c>
      <c r="F39" s="43">
        <v>250</v>
      </c>
      <c r="G39" s="43">
        <v>306</v>
      </c>
      <c r="H39" s="43">
        <v>11433</v>
      </c>
      <c r="I39" s="43">
        <v>10757</v>
      </c>
      <c r="J39" s="30" t="s">
        <v>194</v>
      </c>
      <c r="K39" s="43">
        <v>10988</v>
      </c>
      <c r="L39" s="143" t="s">
        <v>51</v>
      </c>
      <c r="M39" s="144">
        <f t="shared" si="0"/>
        <v>-121.968</v>
      </c>
      <c r="N39" s="145" t="str">
        <f>VLOOKUP(C39,'Trips&amp;Operators'!$C$1:$G$99999,5,FALSE)</f>
        <v>SMITH MICHAEL</v>
      </c>
      <c r="O39" s="194" t="s">
        <v>185</v>
      </c>
      <c r="P39" s="146" t="s">
        <v>528</v>
      </c>
      <c r="Q39" s="30"/>
      <c r="R39" s="89" t="str">
        <f>IF(VLOOKUP(C39,'Train Runs'!$A$13:$AE$9947,1,1)=C39,VLOOKUP(C39,'Train Runs'!$A$13:$AE$9947,31,1),NA())</f>
        <v>aws s3 cp s3://rtdc.mdm.uploadarchive.raw/RTDC4043/ "%USERPROFILE%\AppData\Local\Temp\OnboardLogs"\RTDC4043\2017-03-17 --exclude "*" --recursive --include "*20170317*" &amp; "%USERPROFILE%\Documents\GitHub\mrs-test-scripts\Headless Mode &amp; Sideloading\WalkAndUnGZ.bat" "%USERPROFILE%\AppData\Local\Temp\OnboardLogs"\RTDC4043\2017-03-17 &amp; aws s3 cp s3://rtdc.mdm.uploadarchive.raw/RTDC4043/ "%USERPROFILE%\AppData\Local\Temp\OnboardLogs"\RTDC4043\2017-03-18 --exclude "*" --recursive --include "*20170318*" &amp; "%USERPROFILE%\Documents\GitHub\mrs-test-scripts\Headless Mode &amp; Sideloading\WalkAndUnGZ.bat" "%USERPROFILE%\AppData\Local\Temp\OnboardLogs"\RTDC4043\2017-03-18</v>
      </c>
      <c r="S39" s="92" t="str">
        <f>VLOOKUP(C39,'Train Runs'!$A$13:$AE$9947,22,0)</f>
        <v>https://d0f6bd738d7f1b3e5a7ca70fe4ff75f0.us-east-1.aws.found.io/app/kibana#/discover/Steve-Slow-Train-Analysis-(2080s-and-2083s)?_g=(refreshInterval:(display:Off,pause:!f,section:0,value:0),time:(from:'2017-03-17T15:12:14-0600',mode:absolute,to:'2017-03-17T17:30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39" s="94" t="str">
        <f t="shared" si="1"/>
        <v>"C:\Program Files (x86)\AstroGrep\AstroGrep.exe" /e /r /s /spath="%USERPROFILE%\AppData\Local\Temp\OnboardLogs" /stypes="*4043*201703172*" /stext=" 22:.+((SYSTEM_STATE.+slice.+state.+changed )|(ment ac)|(multiple cpu faults)|(system.+state.+changed )|(\[timeout)|(PRM\|1\|D)|(kpr)|(kdp)|(\|lc)|(penalty))"</v>
      </c>
      <c r="U39" s="9" t="str">
        <f t="shared" si="2"/>
        <v>4043</v>
      </c>
      <c r="V39" s="32">
        <f t="shared" si="3"/>
        <v>42811.933437500003</v>
      </c>
      <c r="W39" s="46" t="str">
        <f t="shared" si="4"/>
        <v>NW</v>
      </c>
      <c r="X39" s="46" t="str">
        <f t="shared" si="5"/>
        <v>KEEP</v>
      </c>
      <c r="Y39" s="108" t="str">
        <f t="shared" si="6"/>
        <v>echo {"issue":{"subject":"Early arrival","project_id":79,"tracker_id":40,"status_id":1,"priority_id":2,"assigned_to_id":23,"start_date":"2017-03-17","description":"","custom_fields":[{"id":1,"name":"Subdivision","value":"NW"},{"id":4,"name":"Milepost","value":"1.0988"},{"id":17,"name":"Train ID","value":"828-17"},{"id":16,"name":"Locomotive ID","value":"4043"},{"id":130,"name":"Impact","value":""},{"id":150,"name":"Time of Event (Mountain Time)","value":"16:24:09"},{"id":151,"name":"Denver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48"/>
      <c r="AA39" s="48"/>
      <c r="AB39" s="48"/>
      <c r="AC39" s="127" t="str">
        <f t="shared" si="7"/>
        <v>grep -hSE -A400 "Enforcement Action" "%USERPROFILE%\AppData\Local\Temp\OnboardLogs"\RTDC4043\*4043*201703172* | grep -SE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"&amp;TEXT(Variables!$A$2,"YYYY-MM-DD")&amp;"-SliceDisagreementCheck.txt"</f>
        <v>grep -hSE "Enforcement Action" "%USERPROFILE%\AppData\Local\Temp\OnboardLogs"\RTDC4043\*4043*201703172* &gt;&gt; 2017-03-17-SliceDisagreementCheck.txt</v>
      </c>
      <c r="AE39" s="157" t="str">
        <f t="shared" si="8"/>
        <v>start /low /b %USERPROFILE%\Documents\GitHub\eaglep3\Utilities\DownloadLogsFromS3.py --loco 4043 --day 2017-03-17</v>
      </c>
      <c r="AF39" s="1"/>
    </row>
    <row r="40" spans="1:32" x14ac:dyDescent="0.25">
      <c r="A40" s="32">
        <v>42811.559907407405</v>
      </c>
      <c r="B40" s="30" t="s">
        <v>546</v>
      </c>
      <c r="C40" s="30" t="s">
        <v>624</v>
      </c>
      <c r="D40" s="30" t="s">
        <v>49</v>
      </c>
      <c r="E40" s="30" t="s">
        <v>223</v>
      </c>
      <c r="F40" s="43">
        <v>300</v>
      </c>
      <c r="G40" s="43">
        <v>354</v>
      </c>
      <c r="H40" s="43">
        <v>20070</v>
      </c>
      <c r="I40" s="43">
        <v>21397</v>
      </c>
      <c r="J40" s="30" t="s">
        <v>224</v>
      </c>
      <c r="K40" s="43">
        <v>21299</v>
      </c>
      <c r="L40" s="143" t="s">
        <v>50</v>
      </c>
      <c r="M40" s="144">
        <f t="shared" si="0"/>
        <v>-51.744</v>
      </c>
      <c r="N40" s="145" t="str">
        <f>VLOOKUP(C40,'Trips&amp;Operators'!$C$1:$G$99999,5,FALSE)</f>
        <v>FORTUNATO FRANK</v>
      </c>
      <c r="O40" s="194" t="s">
        <v>185</v>
      </c>
      <c r="P40" s="146"/>
      <c r="Q40" s="30"/>
      <c r="R40" s="89" t="str">
        <f>IF(VLOOKUP(C40,'Train Runs'!$A$13:$AE$9947,1,1)=C40,VLOOKUP(C40,'Train Runs'!$A$13:$AE$9947,31,1),NA())</f>
        <v>aws s3 cp s3://rtdc.mdm.uploadarchive.raw/RTDC4014/ "%USERPROFILE%\AppData\Local\Temp\OnboardLogs"\RTDC4014\2017-03-17 --exclude "*" --recursive --include "*20170317*" &amp; "%USERPROFILE%\Documents\GitHub\mrs-test-scripts\Headless Mode &amp; Sideloading\WalkAndUnGZ.bat" "%USERPROFILE%\AppData\Local\Temp\OnboardLogs"\RTDC4014\2017-03-17 &amp; aws s3 cp s3://rtdc.mdm.uploadarchive.raw/RTDC4014/ "%USERPROFILE%\AppData\Local\Temp\OnboardLogs"\RTDC4014\2017-03-18 --exclude "*" --recursive --include "*20170318*" &amp; "%USERPROFILE%\Documents\GitHub\mrs-test-scripts\Headless Mode &amp; Sideloading\WalkAndUnGZ.bat" "%USERPROFILE%\AppData\Local\Temp\OnboardLogs"\RTDC4014\2017-03-18</v>
      </c>
      <c r="S40" s="92" t="str">
        <f>VLOOKUP(C40,'Train Runs'!$A$13:$AE$9947,22,0)</f>
        <v>https://d0f6bd738d7f1b3e5a7ca70fe4ff75f0.us-east-1.aws.found.io/app/kibana#/discover/Steve-Slow-Train-Analysis-(2080s-and-2083s)?_g=(refreshInterval:(display:Off,pause:!f,section:0,value:0),time:(from:'2017-03-17T12:04:33-0600',mode:absolute,to:'2017-03-17T14:37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T40" s="94" t="str">
        <f t="shared" si="1"/>
        <v>"C:\Program Files (x86)\AstroGrep\AstroGrep.exe" /e /r /s /spath="%USERPROFILE%\AppData\Local\Temp\OnboardLogs" /stypes="*4014*201703171*" /stext=" 19:.+((SYSTEM_STATE.+slice.+state.+changed )|(ment ac)|(multiple cpu faults)|(system.+state.+changed )|(\[timeout)|(PRM\|1\|D)|(kpr)|(kdp)|(\|lc)|(penalty))"</v>
      </c>
      <c r="U40" s="9" t="str">
        <f t="shared" si="2"/>
        <v>4014</v>
      </c>
      <c r="V40" s="32">
        <f t="shared" si="3"/>
        <v>42811.809907407405</v>
      </c>
      <c r="W40" s="46" t="str">
        <f t="shared" si="4"/>
        <v>NW</v>
      </c>
      <c r="X40" s="46" t="str">
        <f t="shared" si="5"/>
        <v>KEEP</v>
      </c>
      <c r="Y40" s="108" t="str">
        <f t="shared" si="6"/>
        <v>echo {"issue":{"subject":"","project_id":79,"tracker_id":40,"status_id":1,"priority_id":2,"assigned_to_id":23,"start_date":"2017-03-17","description":"","custom_fields":[{"id":1,"name":"Subdivision","value":"NW"},{"id":4,"name":"Milepost","value":"2.1299"},{"id":17,"name":"Train ID","value":"821-17"},{"id":16,"name":"Locomotive ID","value":"4014"},{"id":130,"name":"Impact","value":""},{"id":150,"name":"Time of Event (Mountain Time)","value":"13:26:16"},{"id":151,"name":"Denver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48"/>
      <c r="AA40" s="48"/>
      <c r="AB40" s="48"/>
      <c r="AC40" s="127" t="str">
        <f t="shared" si="7"/>
        <v>grep -hSE -A400 "Enforcement Action" "%USERPROFILE%\AppData\Local\Temp\OnboardLogs"\RTDC4014\*4014*201703171* | grep -SE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"&amp;TEXT(Variables!$A$2,"YYYY-MM-DD")&amp;"-SliceDisagreementCheck.txt"</f>
        <v>grep -hSE "Enforcement Action" "%USERPROFILE%\AppData\Local\Temp\OnboardLogs"\RTDC4014\*4014*201703171* &gt;&gt; 2017-03-17-SliceDisagreementCheck.txt</v>
      </c>
      <c r="AE40" s="157" t="str">
        <f t="shared" si="8"/>
        <v>start /low /b %USERPROFILE%\Documents\GitHub\eaglep3\Utilities\DownloadLogsFromS3.py --loco 4014 --day 2017-03-17</v>
      </c>
      <c r="AF40" s="1"/>
    </row>
    <row r="41" spans="1:32" x14ac:dyDescent="0.25">
      <c r="A41" s="32">
        <v>42811.615914351853</v>
      </c>
      <c r="B41" s="30" t="s">
        <v>531</v>
      </c>
      <c r="C41" s="30" t="s">
        <v>630</v>
      </c>
      <c r="D41" s="30" t="s">
        <v>98</v>
      </c>
      <c r="E41" s="30" t="s">
        <v>223</v>
      </c>
      <c r="F41" s="43">
        <v>400</v>
      </c>
      <c r="G41" s="43">
        <v>458</v>
      </c>
      <c r="H41" s="43">
        <v>38685</v>
      </c>
      <c r="I41" s="43">
        <v>37320</v>
      </c>
      <c r="J41" s="30" t="s">
        <v>224</v>
      </c>
      <c r="K41" s="43">
        <v>40977</v>
      </c>
      <c r="L41" s="143" t="s">
        <v>51</v>
      </c>
      <c r="M41" s="144">
        <f t="shared" si="0"/>
        <v>-1930.896</v>
      </c>
      <c r="N41" s="145" t="str">
        <f>VLOOKUP(C41,'Trips&amp;Operators'!$C$1:$G$99999,5,FALSE)</f>
        <v>FORTUNATO FRANK</v>
      </c>
      <c r="O41" s="194" t="s">
        <v>185</v>
      </c>
      <c r="P41" s="146"/>
      <c r="Q41" s="30"/>
      <c r="R41" s="89" t="str">
        <f>IF(VLOOKUP(C41,'Train Runs'!$A$13:$AE$9947,1,1)=C41,VLOOKUP(C41,'Train Runs'!$A$13:$AE$9947,31,1),NA())</f>
        <v>aws s3 cp s3://rtdc.mdm.uploadarchive.raw/RTDC4013/ "%USERPROFILE%\AppData\Local\Temp\OnboardLogs"\RTDC4013\2017-03-17 --exclude "*" --recursive --include "*20170317*" &amp; "%USERPROFILE%\Documents\GitHub\mrs-test-scripts\Headless Mode &amp; Sideloading\WalkAndUnGZ.bat" "%USERPROFILE%\AppData\Local\Temp\OnboardLogs"\RTDC4013\2017-03-17 &amp; aws s3 cp s3://rtdc.mdm.uploadarchive.raw/RTDC4013/ "%USERPROFILE%\AppData\Local\Temp\OnboardLogs"\RTDC4013\2017-03-18 --exclude "*" --recursive --include "*20170318*" &amp; "%USERPROFILE%\Documents\GitHub\mrs-test-scripts\Headless Mode &amp; Sideloading\WalkAndUnGZ.bat" "%USERPROFILE%\AppData\Local\Temp\OnboardLogs"\RTDC4013\2017-03-18</v>
      </c>
      <c r="S41" s="92" t="str">
        <f>VLOOKUP(C41,'Train Runs'!$A$13:$AE$9947,22,0)</f>
        <v>https://d0f6bd738d7f1b3e5a7ca70fe4ff75f0.us-east-1.aws.found.io/app/kibana#/discover/Steve-Slow-Train-Analysis-(2080s-and-2083s)?_g=(refreshInterval:(display:Off,pause:!f,section:0,value:0),time:(from:'2017-03-17T13:37:36-0600',mode:absolute,to:'2017-03-17T15:56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41" s="94" t="str">
        <f t="shared" si="1"/>
        <v>"C:\Program Files (x86)\AstroGrep\AstroGrep.exe" /e /r /s /spath="%USERPROFILE%\AppData\Local\Temp\OnboardLogs" /stypes="*4013*201703172*" /stext=" 20:.+((SYSTEM_STATE.+slice.+state.+changed )|(ment ac)|(multiple cpu faults)|(system.+state.+changed )|(\[timeout)|(PRM\|1\|D)|(kpr)|(kdp)|(\|lc)|(penalty))"</v>
      </c>
      <c r="U41" s="9" t="str">
        <f t="shared" si="2"/>
        <v>4013</v>
      </c>
      <c r="V41" s="32">
        <f t="shared" si="3"/>
        <v>42811.865914351853</v>
      </c>
      <c r="W41" s="46" t="str">
        <f t="shared" si="4"/>
        <v>NW</v>
      </c>
      <c r="X41" s="46" t="str">
        <f t="shared" si="5"/>
        <v>KEEP</v>
      </c>
      <c r="Y41" s="108" t="str">
        <f t="shared" si="6"/>
        <v>echo {"issue":{"subject":"","project_id":79,"tracker_id":40,"status_id":1,"priority_id":2,"assigned_to_id":23,"start_date":"2017-03-17","description":"","custom_fields":[{"id":1,"name":"Subdivision","value":"NW"},{"id":4,"name":"Milepost","value":"4.0977"},{"id":17,"name":"Train ID","value":"824-17"},{"id":16,"name":"Locomotive ID","value":"4013"},{"id":130,"name":"Impact","value":""},{"id":150,"name":"Time of Event (Mountain Time)","value":"14:46:55"},{"id":151,"name":"Denver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48"/>
      <c r="AA41" s="48"/>
      <c r="AB41" s="48"/>
      <c r="AC41" s="127" t="str">
        <f t="shared" si="7"/>
        <v>grep -hSE -A400 "Enforcement Action" "%USERPROFILE%\AppData\Local\Temp\OnboardLogs"\RTDC4013\*4013*201703172* | grep -SE "((Enforcement Ac)|(PRM))" -</v>
      </c>
      <c r="AD41" s="1" t="str">
        <f>"grep -hSE ""Enforcement Action"" "&amp;search_path&amp;"\RTDC"&amp;U41&amp;"\*"&amp;U41&amp;"*"&amp;TEXT(A41-utc_offset/24,"YYYYMMDD")&amp;LEFT(TEXT(A41-utc_offset/24,"HH"),1)&amp;"* &gt;&gt; "&amp;TEXT(Variables!$A$2,"YYYY-MM-DD")&amp;"-SliceDisagreementCheck.txt"</f>
        <v>grep -hSE "Enforcement Action" "%USERPROFILE%\AppData\Local\Temp\OnboardLogs"\RTDC4013\*4013*201703172* &gt;&gt; 2017-03-17-SliceDisagreementCheck.txt</v>
      </c>
      <c r="AE41" s="157" t="str">
        <f t="shared" si="8"/>
        <v>start /low /b %USERPROFILE%\Documents\GitHub\eaglep3\Utilities\DownloadLogsFromS3.py --loco 4013 --day 2017-03-17</v>
      </c>
      <c r="AF41" s="1"/>
    </row>
    <row r="42" spans="1:32" x14ac:dyDescent="0.25">
      <c r="A42" s="32">
        <v>42811.580196759256</v>
      </c>
      <c r="B42" s="30" t="s">
        <v>531</v>
      </c>
      <c r="C42" s="30" t="s">
        <v>626</v>
      </c>
      <c r="D42" s="30" t="s">
        <v>49</v>
      </c>
      <c r="E42" s="30" t="s">
        <v>186</v>
      </c>
      <c r="F42" s="43">
        <v>0</v>
      </c>
      <c r="G42" s="43">
        <v>42</v>
      </c>
      <c r="H42" s="43">
        <v>726</v>
      </c>
      <c r="I42" s="43">
        <v>675</v>
      </c>
      <c r="J42" s="30" t="s">
        <v>187</v>
      </c>
      <c r="K42" s="43">
        <v>575</v>
      </c>
      <c r="L42" s="143" t="s">
        <v>51</v>
      </c>
      <c r="M42" s="144">
        <f t="shared" si="0"/>
        <v>52.8</v>
      </c>
      <c r="N42" s="145" t="str">
        <f>VLOOKUP(C42,'Trips&amp;Operators'!$C$1:$G$99999,5,FALSE)</f>
        <v>FORTUNATO FRANK</v>
      </c>
      <c r="O42" s="194" t="s">
        <v>185</v>
      </c>
      <c r="P42" s="146"/>
      <c r="Q42" s="30"/>
      <c r="R42" s="89" t="str">
        <f>IF(VLOOKUP(C42,'Train Runs'!$A$13:$AE$9947,1,1)=C42,VLOOKUP(C42,'Train Runs'!$A$13:$AE$9947,31,1),NA())</f>
        <v>aws s3 cp s3://rtdc.mdm.uploadarchive.raw/RTDC4013/ "%USERPROFILE%\AppData\Local\Temp\OnboardLogs"\RTDC4013\2017-03-17 --exclude "*" --recursive --include "*20170317*" &amp; "%USERPROFILE%\Documents\GitHub\mrs-test-scripts\Headless Mode &amp; Sideloading\WalkAndUnGZ.bat" "%USERPROFILE%\AppData\Local\Temp\OnboardLogs"\RTDC4013\2017-03-17 &amp; aws s3 cp s3://rtdc.mdm.uploadarchive.raw/RTDC4013/ "%USERPROFILE%\AppData\Local\Temp\OnboardLogs"\RTDC4013\2017-03-18 --exclude "*" --recursive --include "*20170318*" &amp; "%USERPROFILE%\Documents\GitHub\mrs-test-scripts\Headless Mode &amp; Sideloading\WalkAndUnGZ.bat" "%USERPROFILE%\AppData\Local\Temp\OnboardLogs"\RTDC4013\2017-03-18</v>
      </c>
      <c r="S42" s="92" t="str">
        <f>VLOOKUP(C42,'Train Runs'!$A$13:$AE$9947,22,0)</f>
        <v>https://d0f6bd738d7f1b3e5a7ca70fe4ff75f0.us-east-1.aws.found.io/app/kibana#/discover/Steve-Slow-Train-Analysis-(2080s-and-2083s)?_g=(refreshInterval:(display:Off,pause:!f,section:0,value:0),time:(from:'2017-03-17T12:38:27-0600',mode:absolute,to:'2017-03-17T14:55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42" s="94" t="str">
        <f t="shared" si="1"/>
        <v>"C:\Program Files (x86)\AstroGrep\AstroGrep.exe" /e /r /s /spath="%USERPROFILE%\AppData\Local\Temp\OnboardLogs" /stypes="*4013*201703171*" /stext=" 19:.+((SYSTEM_STATE.+slice.+state.+changed )|(ment ac)|(multiple cpu faults)|(system.+state.+changed )|(\[timeout)|(PRM\|1\|D)|(kpr)|(kdp)|(\|lc)|(penalty))"</v>
      </c>
      <c r="U42" s="9" t="str">
        <f t="shared" si="2"/>
        <v>4013</v>
      </c>
      <c r="V42" s="32">
        <f t="shared" si="3"/>
        <v>42811.830196759256</v>
      </c>
      <c r="W42" s="46" t="str">
        <f t="shared" si="4"/>
        <v>NW</v>
      </c>
      <c r="X42" s="46" t="str">
        <f t="shared" si="5"/>
        <v>KEEP</v>
      </c>
      <c r="Y42" s="108" t="str">
        <f t="shared" si="6"/>
        <v>echo {"issue":{"subject":"","project_id":79,"tracker_id":40,"status_id":1,"priority_id":2,"assigned_to_id":23,"start_date":"2017-03-17","description":"","custom_fields":[{"id":1,"name":"Subdivision","value":"NW"},{"id":4,"name":"Milepost","value":"0.0575"},{"id":17,"name":"Train ID","value":"822-17"},{"id":16,"name":"Locomotive ID","value":"4013"},{"id":130,"name":"Impact","value":""},{"id":150,"name":"Time of Event (Mountain Time)","value":"13:55:29"},{"id":151,"name":"Denver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48"/>
      <c r="AA42" s="48"/>
      <c r="AB42" s="48"/>
      <c r="AC42" s="127" t="str">
        <f t="shared" si="7"/>
        <v>grep -hSE -A400 "Enforcement Action" "%USERPROFILE%\AppData\Local\Temp\OnboardLogs"\RTDC4013\*4013*201703171* | grep -SE "((Enforcement Ac)|(PRM))" -</v>
      </c>
      <c r="AD42" s="1" t="str">
        <f>"grep -hSE ""Enforcement Action"" "&amp;search_path&amp;"\RTDC"&amp;U42&amp;"\*"&amp;U42&amp;"*"&amp;TEXT(A42-utc_offset/24,"YYYYMMDD")&amp;LEFT(TEXT(A42-utc_offset/24,"HH"),1)&amp;"* &gt;&gt; "&amp;TEXT(Variables!$A$2,"YYYY-MM-DD")&amp;"-SliceDisagreementCheck.txt"</f>
        <v>grep -hSE "Enforcement Action" "%USERPROFILE%\AppData\Local\Temp\OnboardLogs"\RTDC4013\*4013*201703171* &gt;&gt; 2017-03-17-SliceDisagreementCheck.txt</v>
      </c>
      <c r="AE42" s="157" t="str">
        <f t="shared" si="8"/>
        <v>start /low /b %USERPROFILE%\Documents\GitHub\eaglep3\Utilities\DownloadLogsFromS3.py --loco 4013 --day 2017-03-17</v>
      </c>
      <c r="AF42" s="1"/>
    </row>
    <row r="43" spans="1:32" x14ac:dyDescent="0.25">
      <c r="A43" s="32">
        <v>42811.872615740744</v>
      </c>
      <c r="B43" s="30" t="s">
        <v>531</v>
      </c>
      <c r="C43" s="30" t="s">
        <v>644</v>
      </c>
      <c r="D43" s="30" t="s">
        <v>49</v>
      </c>
      <c r="E43" s="30" t="s">
        <v>186</v>
      </c>
      <c r="F43" s="43">
        <v>0</v>
      </c>
      <c r="G43" s="43">
        <v>43</v>
      </c>
      <c r="H43" s="43">
        <v>680</v>
      </c>
      <c r="I43" s="43">
        <v>664</v>
      </c>
      <c r="J43" s="30" t="s">
        <v>187</v>
      </c>
      <c r="K43" s="43">
        <v>575</v>
      </c>
      <c r="L43" s="143" t="s">
        <v>51</v>
      </c>
      <c r="M43" s="144">
        <f t="shared" si="0"/>
        <v>46.991999999999997</v>
      </c>
      <c r="N43" s="145" t="str">
        <f>VLOOKUP(C43,'Trips&amp;Operators'!$C$1:$G$99999,5,FALSE)</f>
        <v>FORTUNATO FRANK</v>
      </c>
      <c r="O43" s="194" t="s">
        <v>185</v>
      </c>
      <c r="P43" s="146"/>
      <c r="Q43" s="30"/>
      <c r="R43" s="89" t="str">
        <f>IF(VLOOKUP(C43,'Train Runs'!$A$13:$AE$9947,1,1)=C43,VLOOKUP(C43,'Train Runs'!$A$13:$AE$9947,31,1),NA())</f>
        <v>aws s3 cp s3://rtdc.mdm.uploadarchive.raw/RTDC4013/ "%USERPROFILE%\AppData\Local\Temp\OnboardLogs"\RTDC4013\2017-03-17 --exclude "*" --recursive --include "*20170317*" &amp; "%USERPROFILE%\Documents\GitHub\mrs-test-scripts\Headless Mode &amp; Sideloading\WalkAndUnGZ.bat" "%USERPROFILE%\AppData\Local\Temp\OnboardLogs"\RTDC4013\2017-03-17 &amp; aws s3 cp s3://rtdc.mdm.uploadarchive.raw/RTDC4013/ "%USERPROFILE%\AppData\Local\Temp\OnboardLogs"\RTDC4013\2017-03-18 --exclude "*" --recursive --include "*20170318*" &amp; "%USERPROFILE%\Documents\GitHub\mrs-test-scripts\Headless Mode &amp; Sideloading\WalkAndUnGZ.bat" "%USERPROFILE%\AppData\Local\Temp\OnboardLogs"\RTDC4013\2017-03-18</v>
      </c>
      <c r="S43" s="92" t="str">
        <f>VLOOKUP(C43,'Train Runs'!$A$13:$AE$9947,22,0)</f>
        <v>https://d0f6bd738d7f1b3e5a7ca70fe4ff75f0.us-east-1.aws.found.io/app/kibana#/discover/Steve-Slow-Train-Analysis-(2080s-and-2083s)?_g=(refreshInterval:(display:Off,pause:!f,section:0,value:0),time:(from:'2017-03-17T19:38:42-0600',mode:absolute,to:'2017-03-17T21:56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43" s="94" t="str">
        <f t="shared" si="1"/>
        <v>"C:\Program Files (x86)\AstroGrep\AstroGrep.exe" /e /r /s /spath="%USERPROFILE%\AppData\Local\Temp\OnboardLogs" /stypes="*4013*201703180*" /stext=" 02:.+((SYSTEM_STATE.+slice.+state.+changed )|(ment ac)|(multiple cpu faults)|(system.+state.+changed )|(\[timeout)|(PRM\|1\|D)|(kpr)|(kdp)|(\|lc)|(penalty))"</v>
      </c>
      <c r="U43" s="9" t="str">
        <f t="shared" si="2"/>
        <v>4013</v>
      </c>
      <c r="V43" s="32">
        <f t="shared" si="3"/>
        <v>42812.122615740744</v>
      </c>
      <c r="W43" s="46" t="str">
        <f t="shared" si="4"/>
        <v>NW</v>
      </c>
      <c r="X43" s="46" t="str">
        <f t="shared" si="5"/>
        <v>KEEP</v>
      </c>
      <c r="Y43" s="108" t="str">
        <f t="shared" si="6"/>
        <v>echo {"issue":{"subject":"","project_id":79,"tracker_id":40,"status_id":1,"priority_id":2,"assigned_to_id":23,"start_date":"2017-03-17","description":"","custom_fields":[{"id":1,"name":"Subdivision","value":"NW"},{"id":4,"name":"Milepost","value":"0.0575"},{"id":17,"name":"Train ID","value":"842-17"},{"id":16,"name":"Locomotive ID","value":"4013"},{"id":130,"name":"Impact","value":""},{"id":150,"name":"Time of Event (Mountain Time)","value":"20:56:34"},{"id":151,"name":"Denver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48"/>
      <c r="AA43" s="48"/>
      <c r="AB43" s="48"/>
      <c r="AC43" s="127" t="str">
        <f t="shared" si="7"/>
        <v>grep -hSE -A400 "Enforcement Action" "%USERPROFILE%\AppData\Local\Temp\OnboardLogs"\RTDC4013\*4013*201703180* | grep -SE "((Enforcement Ac)|(PRM))" -</v>
      </c>
      <c r="AD43" s="1" t="str">
        <f>"grep -hSE ""Enforcement Action"" "&amp;search_path&amp;"\RTDC"&amp;U43&amp;"\*"&amp;U43&amp;"*"&amp;TEXT(A43-utc_offset/24,"YYYYMMDD")&amp;LEFT(TEXT(A43-utc_offset/24,"HH"),1)&amp;"* &gt;&gt; "&amp;TEXT(Variables!$A$2,"YYYY-MM-DD")&amp;"-SliceDisagreementCheck.txt"</f>
        <v>grep -hSE "Enforcement Action" "%USERPROFILE%\AppData\Local\Temp\OnboardLogs"\RTDC4013\*4013*201703180* &gt;&gt; 2017-03-17-SliceDisagreementCheck.txt</v>
      </c>
      <c r="AE43" s="157" t="str">
        <f t="shared" si="8"/>
        <v>start /low /b %USERPROFILE%\Documents\GitHub\eaglep3\Utilities\DownloadLogsFromS3.py --loco 4013 --day 2017-03-18</v>
      </c>
      <c r="AF43" s="1"/>
    </row>
    <row r="44" spans="1:32" x14ac:dyDescent="0.25">
      <c r="A44" s="32">
        <v>42811.670520833337</v>
      </c>
      <c r="B44" s="30" t="s">
        <v>634</v>
      </c>
      <c r="C44" s="30" t="s">
        <v>635</v>
      </c>
      <c r="D44" s="30" t="s">
        <v>98</v>
      </c>
      <c r="E44" s="30" t="s">
        <v>186</v>
      </c>
      <c r="F44" s="43">
        <v>0</v>
      </c>
      <c r="G44" s="43">
        <v>10</v>
      </c>
      <c r="H44" s="43">
        <v>59049</v>
      </c>
      <c r="I44" s="43">
        <v>0</v>
      </c>
      <c r="J44" s="30" t="s">
        <v>187</v>
      </c>
      <c r="K44" s="43">
        <v>59048</v>
      </c>
      <c r="L44" s="143" t="s">
        <v>50</v>
      </c>
      <c r="M44" s="144">
        <f t="shared" si="0"/>
        <v>31177.344000000001</v>
      </c>
      <c r="N44" s="145" t="str">
        <f>VLOOKUP(C44,'Trips&amp;Operators'!$C$1:$G$99999,5,FALSE)</f>
        <v>SMITH MICHAEL</v>
      </c>
      <c r="O44" s="194" t="s">
        <v>185</v>
      </c>
      <c r="P44" s="146"/>
      <c r="Q44" s="30"/>
      <c r="R44" s="89" t="str">
        <f>IF(VLOOKUP(C44,'Train Runs'!$A$13:$AE$9947,1,1)=C44,VLOOKUP(C44,'Train Runs'!$A$13:$AE$9947,31,1),NA())</f>
        <v>aws s3 cp s3://rtdc.mdm.uploadarchive.raw/RTDC4044/ "%USERPROFILE%\AppData\Local\Temp\OnboardLogs"\RTDC4044\2017-03-17 --exclude "*" --recursive --include "*20170317*" &amp; "%USERPROFILE%\Documents\GitHub\mrs-test-scripts\Headless Mode &amp; Sideloading\WalkAndUnGZ.bat" "%USERPROFILE%\AppData\Local\Temp\OnboardLogs"\RTDC4044\2017-03-17 &amp; aws s3 cp s3://rtdc.mdm.uploadarchive.raw/RTDC4044/ "%USERPROFILE%\AppData\Local\Temp\OnboardLogs"\RTDC4044\2017-03-18 --exclude "*" --recursive --include "*20170318*" &amp; "%USERPROFILE%\Documents\GitHub\mrs-test-scripts\Headless Mode &amp; Sideloading\WalkAndUnGZ.bat" "%USERPROFILE%\AppData\Local\Temp\OnboardLogs"\RTDC4044\2017-03-18</v>
      </c>
      <c r="S44" s="92" t="str">
        <f>VLOOKUP(C44,'Train Runs'!$A$13:$AE$9947,22,0)</f>
        <v>https://d0f6bd738d7f1b3e5a7ca70fe4ff75f0.us-east-1.aws.found.io/app/kibana#/discover/Steve-Slow-Train-Analysis-(2080s-and-2083s)?_g=(refreshInterval:(display:Off,pause:!f,section:0,value:0),time:(from:'2017-03-17T14:39:14-0600',mode:absolute,to:'2017-03-17T17:05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44" s="94" t="str">
        <f t="shared" si="1"/>
        <v>"C:\Program Files (x86)\AstroGrep\AstroGrep.exe" /e /r /s /spath="%USERPROFILE%\AppData\Local\Temp\OnboardLogs" /stypes="*4044*201703172*" /stext=" 22:.+((SYSTEM_STATE.+slice.+state.+changed )|(ment ac)|(multiple cpu faults)|(system.+state.+changed )|(\[timeout)|(PRM\|1\|D)|(kpr)|(kdp)|(\|lc)|(penalty))"</v>
      </c>
      <c r="U44" s="9" t="str">
        <f t="shared" si="2"/>
        <v>4044</v>
      </c>
      <c r="V44" s="32">
        <f t="shared" si="3"/>
        <v>42811.920520833337</v>
      </c>
      <c r="W44" s="46" t="str">
        <f t="shared" si="4"/>
        <v>NW</v>
      </c>
      <c r="X44" s="46" t="str">
        <f t="shared" si="5"/>
        <v>KEEP</v>
      </c>
      <c r="Y44" s="108" t="str">
        <f t="shared" si="6"/>
        <v>echo {"issue":{"subject":"","project_id":79,"tracker_id":40,"status_id":1,"priority_id":2,"assigned_to_id":23,"start_date":"2017-03-17","description":"","custom_fields":[{"id":1,"name":"Subdivision","value":"NW"},{"id":4,"name":"Milepost","value":"5.9048"},{"id":17,"name":"Train ID","value":"827-17"},{"id":16,"name":"Locomotive ID","value":"4044"},{"id":130,"name":"Impact","value":""},{"id":150,"name":"Time of Event (Mountain Time)","value":"16:05:33"},{"id":151,"name":"Denver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4" s="48"/>
      <c r="AA44" s="48"/>
      <c r="AB44" s="48"/>
      <c r="AC44" s="127" t="str">
        <f t="shared" si="7"/>
        <v>grep -hSE -A400 "Enforcement Action" "%USERPROFILE%\AppData\Local\Temp\OnboardLogs"\RTDC4044\*4044*201703172* | grep -SE "((Enforcement Ac)|(PRM))" -</v>
      </c>
      <c r="AD44" s="1" t="str">
        <f>"grep -hSE ""Enforcement Action"" "&amp;search_path&amp;"\RTDC"&amp;U44&amp;"\*"&amp;U44&amp;"*"&amp;TEXT(A44-utc_offset/24,"YYYYMMDD")&amp;LEFT(TEXT(A44-utc_offset/24,"HH"),1)&amp;"* &gt;&gt; "&amp;TEXT(Variables!$A$2,"YYYY-MM-DD")&amp;"-SliceDisagreementCheck.txt"</f>
        <v>grep -hSE "Enforcement Action" "%USERPROFILE%\AppData\Local\Temp\OnboardLogs"\RTDC4044\*4044*201703172* &gt;&gt; 2017-03-17-SliceDisagreementCheck.txt</v>
      </c>
      <c r="AE44" s="157" t="str">
        <f t="shared" si="8"/>
        <v>start /low /b %USERPROFILE%\Documents\GitHub\eaglep3\Utilities\DownloadLogsFromS3.py --loco 4044 --day 2017-03-17</v>
      </c>
      <c r="AF44" s="1"/>
    </row>
    <row r="45" spans="1:32" x14ac:dyDescent="0.25">
      <c r="A45" s="32">
        <v>42811.768414351849</v>
      </c>
      <c r="B45" s="30" t="s">
        <v>529</v>
      </c>
      <c r="C45" s="30" t="s">
        <v>642</v>
      </c>
      <c r="D45" s="30" t="s">
        <v>98</v>
      </c>
      <c r="E45" s="30" t="s">
        <v>378</v>
      </c>
      <c r="F45" s="43">
        <v>0</v>
      </c>
      <c r="G45" s="43">
        <v>29</v>
      </c>
      <c r="H45" s="43">
        <v>1751</v>
      </c>
      <c r="I45" s="43">
        <v>1768</v>
      </c>
      <c r="J45" s="30" t="s">
        <v>379</v>
      </c>
      <c r="K45" s="43">
        <v>1692</v>
      </c>
      <c r="L45" s="143" t="s">
        <v>50</v>
      </c>
      <c r="M45" s="144">
        <f t="shared" si="0"/>
        <v>-40.128</v>
      </c>
      <c r="N45" s="145" t="str">
        <f>VLOOKUP(C45,'Trips&amp;Operators'!$C$1:$G$99999,5,FALSE)</f>
        <v>BRANDNER MELINDA</v>
      </c>
      <c r="O45" s="194" t="s">
        <v>185</v>
      </c>
      <c r="P45" s="146"/>
      <c r="Q45" s="30"/>
      <c r="R45" s="89" t="e">
        <f>IF(VLOOKUP(C45,'Train Runs'!$A$13:$AE$9947,1,1)=C45,VLOOKUP(C45,'Train Runs'!$A$13:$AE$9947,31,1),NA())</f>
        <v>#N/A</v>
      </c>
      <c r="S45" s="92" t="str">
        <f>VLOOKUP(C45,'Train Runs'!$A$13:$AE$9947,22,0)</f>
        <v>https://d0f6bd738d7f1b3e5a7ca70fe4ff75f0.us-east-1.aws.found.io/app/kibana#/discover/Steve-Slow-Train-Analysis-(2080s-and-2083s)?_g=(refreshInterval:(display:Off,pause:!f,section:0,value:0),time:(from:'2017-03-17T16:48:43-0600',mode:absolute,to:'2017-03-17T19:26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45" s="94" t="str">
        <f t="shared" si="1"/>
        <v>"C:\Program Files (x86)\AstroGrep\AstroGrep.exe" /e /r /s /spath="%USERPROFILE%\AppData\Local\Temp\OnboardLogs" /stypes="*4018*201703180*" /stext=" 00:.+((SYSTEM_STATE.+slice.+state.+changed )|(ment ac)|(multiple cpu faults)|(system.+state.+changed )|(\[timeout)|(PRM\|1\|D)|(kpr)|(kdp)|(\|lc)|(penalty))"</v>
      </c>
      <c r="U45" s="9" t="str">
        <f t="shared" si="2"/>
        <v>4018</v>
      </c>
      <c r="V45" s="32">
        <f t="shared" si="3"/>
        <v>42812.018414351849</v>
      </c>
      <c r="W45" s="46" t="str">
        <f t="shared" si="4"/>
        <v>Other</v>
      </c>
      <c r="X45" s="46" t="str">
        <f t="shared" si="5"/>
        <v>KEEP</v>
      </c>
      <c r="Y45" s="108" t="str">
        <f t="shared" si="6"/>
        <v>echo {"issue":{"subject":"","project_id":79,"tracker_id":40,"status_id":1,"priority_id":2,"assigned_to_id":23,"start_date":"2017-03-17","description":"","custom_fields":[{"id":1,"name":"Subdivision","value":"Other"},{"id":4,"name":"Milepost","value":"0.1692"},{"id":17,"name":"Train ID","value":"55-17"},{"id":16,"name":"Locomotive ID","value":"4018"},{"id":130,"name":"Impact","value":""},{"id":150,"name":"Time of Event (Mountain Time)","value":"18:26:31"},{"id":151,"name":"Denver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5" s="48"/>
      <c r="AA45" s="48"/>
      <c r="AB45" s="48"/>
      <c r="AC45" s="127" t="str">
        <f t="shared" si="7"/>
        <v>grep -hSE -A400 "Enforcement Action" "%USERPROFILE%\AppData\Local\Temp\OnboardLogs"\RTDC4018\*4018*201703180* | grep -SE "((Enforcement Ac)|(PRM))" -</v>
      </c>
      <c r="AD45" s="1" t="str">
        <f>"grep -hSE ""Enforcement Action"" "&amp;search_path&amp;"\RTDC"&amp;U45&amp;"\*"&amp;U45&amp;"*"&amp;TEXT(A45-utc_offset/24,"YYYYMMDD")&amp;LEFT(TEXT(A45-utc_offset/24,"HH"),1)&amp;"* &gt;&gt; "&amp;TEXT(Variables!$A$2,"YYYY-MM-DD")&amp;"-SliceDisagreementCheck.txt"</f>
        <v>grep -hSE "Enforcement Action" "%USERPROFILE%\AppData\Local\Temp\OnboardLogs"\RTDC4018\*4018*201703180* &gt;&gt; 2017-03-17-SliceDisagreementCheck.txt</v>
      </c>
      <c r="AE45" s="157" t="str">
        <f t="shared" si="8"/>
        <v>start /low /b %USERPROFILE%\Documents\GitHub\eaglep3\Utilities\DownloadLogsFromS3.py --loco 4018 --day 2017-03-18</v>
      </c>
      <c r="AF45" s="1"/>
    </row>
    <row r="46" spans="1:32" x14ac:dyDescent="0.25">
      <c r="A46" s="32">
        <v>42811.768761574072</v>
      </c>
      <c r="B46" s="30" t="s">
        <v>529</v>
      </c>
      <c r="C46" s="30" t="s">
        <v>642</v>
      </c>
      <c r="D46" s="30" t="s">
        <v>98</v>
      </c>
      <c r="E46" s="30" t="s">
        <v>378</v>
      </c>
      <c r="F46" s="43">
        <v>0</v>
      </c>
      <c r="G46" s="43">
        <v>4</v>
      </c>
      <c r="H46" s="43">
        <v>1769</v>
      </c>
      <c r="I46" s="43">
        <v>1814</v>
      </c>
      <c r="J46" s="30" t="s">
        <v>379</v>
      </c>
      <c r="K46" s="43">
        <v>1692</v>
      </c>
      <c r="L46" s="143" t="s">
        <v>50</v>
      </c>
      <c r="M46" s="144">
        <f t="shared" si="0"/>
        <v>-64.415999999999997</v>
      </c>
      <c r="N46" s="145" t="str">
        <f>VLOOKUP(C46,'Trips&amp;Operators'!$C$1:$G$99999,5,FALSE)</f>
        <v>BRANDNER MELINDA</v>
      </c>
      <c r="O46" s="194" t="s">
        <v>185</v>
      </c>
      <c r="P46" s="146"/>
      <c r="Q46" s="30"/>
      <c r="R46" s="89" t="e">
        <f>IF(VLOOKUP(C46,'Train Runs'!$A$13:$AE$9947,1,1)=C46,VLOOKUP(C46,'Train Runs'!$A$13:$AE$9947,31,1),NA())</f>
        <v>#N/A</v>
      </c>
      <c r="S46" s="92" t="str">
        <f>VLOOKUP(C46,'Train Runs'!$A$13:$AE$9947,22,0)</f>
        <v>https://d0f6bd738d7f1b3e5a7ca70fe4ff75f0.us-east-1.aws.found.io/app/kibana#/discover/Steve-Slow-Train-Analysis-(2080s-and-2083s)?_g=(refreshInterval:(display:Off,pause:!f,section:0,value:0),time:(from:'2017-03-17T16:48:43-0600',mode:absolute,to:'2017-03-17T19:26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46" s="94" t="str">
        <f t="shared" si="1"/>
        <v>"C:\Program Files (x86)\AstroGrep\AstroGrep.exe" /e /r /s /spath="%USERPROFILE%\AppData\Local\Temp\OnboardLogs" /stypes="*4018*201703180*" /stext=" 00:.+((SYSTEM_STATE.+slice.+state.+changed )|(ment ac)|(multiple cpu faults)|(system.+state.+changed )|(\[timeout)|(PRM\|1\|D)|(kpr)|(kdp)|(\|lc)|(penalty))"</v>
      </c>
      <c r="U46" s="9" t="str">
        <f t="shared" si="2"/>
        <v>4018</v>
      </c>
      <c r="V46" s="32">
        <f t="shared" si="3"/>
        <v>42812.018761574072</v>
      </c>
      <c r="W46" s="46" t="str">
        <f t="shared" si="4"/>
        <v>Other</v>
      </c>
      <c r="X46" s="46" t="str">
        <f t="shared" si="5"/>
        <v>KEEP</v>
      </c>
      <c r="Y46" s="108" t="str">
        <f t="shared" si="6"/>
        <v>echo {"issue":{"subject":"","project_id":79,"tracker_id":40,"status_id":1,"priority_id":2,"assigned_to_id":23,"start_date":"2017-03-17","description":"","custom_fields":[{"id":1,"name":"Subdivision","value":"Other"},{"id":4,"name":"Milepost","value":"0.1692"},{"id":17,"name":"Train ID","value":"55-17"},{"id":16,"name":"Locomotive ID","value":"4018"},{"id":130,"name":"Impact","value":""},{"id":150,"name":"Time of Event (Mountain Time)","value":"18:27:01"},{"id":151,"name":"Denver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6" s="48"/>
      <c r="AA46" s="48"/>
      <c r="AB46" s="48"/>
      <c r="AC46" s="127" t="str">
        <f t="shared" si="7"/>
        <v>grep -hSE -A400 "Enforcement Action" "%USERPROFILE%\AppData\Local\Temp\OnboardLogs"\RTDC4018\*4018*201703180* | grep -SE "((Enforcement Ac)|(PRM))" -</v>
      </c>
      <c r="AD46" s="1" t="str">
        <f>"grep -hSE ""Enforcement Action"" "&amp;search_path&amp;"\RTDC"&amp;U46&amp;"\*"&amp;U46&amp;"*"&amp;TEXT(A46-utc_offset/24,"YYYYMMDD")&amp;LEFT(TEXT(A46-utc_offset/24,"HH"),1)&amp;"* &gt;&gt; "&amp;TEXT(Variables!$A$2,"YYYY-MM-DD")&amp;"-SliceDisagreementCheck.txt"</f>
        <v>grep -hSE "Enforcement Action" "%USERPROFILE%\AppData\Local\Temp\OnboardLogs"\RTDC4018\*4018*201703180* &gt;&gt; 2017-03-17-SliceDisagreementCheck.txt</v>
      </c>
      <c r="AE46" s="157" t="str">
        <f t="shared" si="8"/>
        <v>start /low /b %USERPROFILE%\Documents\GitHub\eaglep3\Utilities\DownloadLogsFromS3.py --loco 4018 --day 2017-03-18</v>
      </c>
      <c r="AF46" s="1"/>
    </row>
    <row r="47" spans="1:32" x14ac:dyDescent="0.25">
      <c r="A47" s="32">
        <v>42811.801516203705</v>
      </c>
      <c r="B47" s="30" t="s">
        <v>637</v>
      </c>
      <c r="C47" s="30" t="s">
        <v>643</v>
      </c>
      <c r="D47" s="30" t="s">
        <v>49</v>
      </c>
      <c r="E47" s="30" t="s">
        <v>378</v>
      </c>
      <c r="F47" s="43">
        <v>0</v>
      </c>
      <c r="G47" s="43">
        <v>266</v>
      </c>
      <c r="H47" s="43">
        <v>34608</v>
      </c>
      <c r="I47" s="43">
        <v>34068</v>
      </c>
      <c r="J47" s="30" t="s">
        <v>379</v>
      </c>
      <c r="K47" s="43">
        <v>33261</v>
      </c>
      <c r="L47" s="143" t="s">
        <v>51</v>
      </c>
      <c r="M47" s="144">
        <f t="shared" si="0"/>
        <v>426.096</v>
      </c>
      <c r="N47" s="145" t="str">
        <f>VLOOKUP(C47,'Trips&amp;Operators'!$C$1:$G$99999,5,FALSE)</f>
        <v>SMITH MICHAEL</v>
      </c>
      <c r="O47" s="194" t="s">
        <v>185</v>
      </c>
      <c r="P47" s="146"/>
      <c r="Q47" s="30"/>
      <c r="R47" s="89" t="e">
        <f>IF(VLOOKUP(C47,'Train Runs'!$A$13:$AE$9947,1,1)=C47,VLOOKUP(C47,'Train Runs'!$A$13:$AE$9947,31,1),NA())</f>
        <v>#N/A</v>
      </c>
      <c r="S47" s="92" t="str">
        <f>VLOOKUP(C47,'Train Runs'!$A$13:$AE$9947,22,0)</f>
        <v>https://d0f6bd738d7f1b3e5a7ca70fe4ff75f0.us-east-1.aws.found.io/app/kibana#/discover/Steve-Slow-Train-Analysis-(2080s-and-2083s)?_g=(refreshInterval:(display:Off,pause:!f,section:0,value:0),time:(from:'2017-03-17T18:07:00-0600',mode:absolute,to:'2017-03-17T20:19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47" s="94" t="str">
        <f t="shared" si="1"/>
        <v>"C:\Program Files (x86)\AstroGrep\AstroGrep.exe" /e /r /s /spath="%USERPROFILE%\AppData\Local\Temp\OnboardLogs" /stypes="*4043*201703180*" /stext=" 01:.+((SYSTEM_STATE.+slice.+state.+changed )|(ment ac)|(multiple cpu faults)|(system.+state.+changed )|(\[timeout)|(PRM\|1\|D)|(kpr)|(kdp)|(\|lc)|(penalty))"</v>
      </c>
      <c r="U47" s="9" t="str">
        <f t="shared" si="2"/>
        <v>4043</v>
      </c>
      <c r="V47" s="32">
        <f t="shared" si="3"/>
        <v>42812.051516203705</v>
      </c>
      <c r="W47" s="46" t="str">
        <f t="shared" si="4"/>
        <v>Other</v>
      </c>
      <c r="X47" s="46" t="str">
        <f t="shared" si="5"/>
        <v>KEEP</v>
      </c>
      <c r="Y47" s="108" t="str">
        <f t="shared" si="6"/>
        <v>echo {"issue":{"subject":"","project_id":79,"tracker_id":40,"status_id":1,"priority_id":2,"assigned_to_id":23,"start_date":"2017-03-17","description":"","custom_fields":[{"id":1,"name":"Subdivision","value":"Other"},{"id":4,"name":"Milepost","value":"3.3261"},{"id":17,"name":"Train ID","value":"906-17"},{"id":16,"name":"Locomotive ID","value":"4043"},{"id":130,"name":"Impact","value":""},{"id":150,"name":"Time of Event (Mountain Time)","value":"19:14:11"},{"id":151,"name":"Denver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7" s="48"/>
      <c r="AA47" s="48"/>
      <c r="AB47" s="48"/>
      <c r="AC47" s="127" t="str">
        <f t="shared" si="7"/>
        <v>grep -hSE -A400 "Enforcement Action" "%USERPROFILE%\AppData\Local\Temp\OnboardLogs"\RTDC4043\*4043*201703180* | grep -SE "((Enforcement Ac)|(PRM))" -</v>
      </c>
      <c r="AD47" s="1" t="str">
        <f>"grep -hSE ""Enforcement Action"" "&amp;search_path&amp;"\RTDC"&amp;U47&amp;"\*"&amp;U47&amp;"*"&amp;TEXT(A47-utc_offset/24,"YYYYMMDD")&amp;LEFT(TEXT(A47-utc_offset/24,"HH"),1)&amp;"* &gt;&gt; "&amp;TEXT(Variables!$A$2,"YYYY-MM-DD")&amp;"-SliceDisagreementCheck.txt"</f>
        <v>grep -hSE "Enforcement Action" "%USERPROFILE%\AppData\Local\Temp\OnboardLogs"\RTDC4043\*4043*201703180* &gt;&gt; 2017-03-17-SliceDisagreementCheck.txt</v>
      </c>
      <c r="AE47" s="157" t="str">
        <f t="shared" si="8"/>
        <v>start /low /b %USERPROFILE%\Documents\GitHub\eaglep3\Utilities\DownloadLogsFromS3.py --loco 4043 --day 2017-03-18</v>
      </c>
      <c r="AF47" s="1"/>
    </row>
    <row r="48" spans="1:32" x14ac:dyDescent="0.25">
      <c r="A48" s="32">
        <v>42811.182372685187</v>
      </c>
      <c r="B48" s="30" t="s">
        <v>458</v>
      </c>
      <c r="C48" s="30" t="s">
        <v>609</v>
      </c>
      <c r="D48" s="30" t="s">
        <v>49</v>
      </c>
      <c r="E48" s="30" t="s">
        <v>186</v>
      </c>
      <c r="F48" s="43">
        <v>0</v>
      </c>
      <c r="G48" s="43">
        <v>31</v>
      </c>
      <c r="H48" s="43">
        <v>965</v>
      </c>
      <c r="I48" s="43">
        <v>918</v>
      </c>
      <c r="J48" s="30" t="s">
        <v>187</v>
      </c>
      <c r="K48" s="43">
        <v>839</v>
      </c>
      <c r="L48" s="143" t="s">
        <v>51</v>
      </c>
      <c r="M48" s="144">
        <f t="shared" si="0"/>
        <v>41.712000000000003</v>
      </c>
      <c r="N48" s="145" t="str">
        <f>VLOOKUP(C48,'Trips&amp;Operators'!$C$1:$G$99999,5,FALSE)</f>
        <v>ROBINSON KADDIBA</v>
      </c>
      <c r="O48" s="194" t="s">
        <v>185</v>
      </c>
      <c r="P48" s="146"/>
      <c r="Q48" s="30"/>
      <c r="R48" s="89" t="e">
        <f>IF(VLOOKUP(C48,'Train Runs'!$A$13:$AE$9947,1,1)=C48,VLOOKUP(C48,'Train Runs'!$A$13:$AE$9947,31,1),NA())</f>
        <v>#N/A</v>
      </c>
      <c r="S48" s="92" t="e">
        <f>VLOOKUP(C48,'Train Runs'!$A$13:$AE$9947,22,0)</f>
        <v>#N/A</v>
      </c>
      <c r="T48" s="94" t="str">
        <f t="shared" si="1"/>
        <v>"C:\Program Files (x86)\AstroGrep\AstroGrep.exe" /e /r /s /spath="%USERPROFILE%\AppData\Local\Temp\OnboardLogs" /stypes="*4052*201703171*" /stext=" 10:.+((SYSTEM_STATE.+slice.+state.+changed )|(ment ac)|(multiple cpu faults)|(system.+state.+changed )|(\[timeout)|(PRM\|1\|D)|(kpr)|(kdp)|(\|lc)|(penalty))"</v>
      </c>
      <c r="U48" s="9" t="str">
        <f t="shared" si="2"/>
        <v>4052</v>
      </c>
      <c r="V48" s="32">
        <f t="shared" si="3"/>
        <v>42811.432372685187</v>
      </c>
      <c r="W48" s="46" t="str">
        <f t="shared" si="4"/>
        <v>Other</v>
      </c>
      <c r="X48" s="46" t="str">
        <f t="shared" si="5"/>
        <v>KEEP</v>
      </c>
      <c r="Y48" s="108" t="str">
        <f t="shared" si="6"/>
        <v>echo {"issue":{"subject":"","project_id":79,"tracker_id":40,"status_id":1,"priority_id":2,"assigned_to_id":23,"start_date":"2017-03-17","description":"","custom_fields":[{"id":1,"name":"Subdivision","value":"Other"},{"id":4,"name":"Milepost","value":"0.0839"},{"id":17,"name":"Train ID","value":"306-17"},{"id":16,"name":"Locomotive ID","value":"4052"},{"id":130,"name":"Impact","value":""},{"id":150,"name":"Time of Event (Mountain Time)","value":"04:22:37"},{"id":151,"name":"Denver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8" s="48"/>
      <c r="AA48" s="48"/>
      <c r="AB48" s="48"/>
      <c r="AC48" s="127" t="str">
        <f t="shared" si="7"/>
        <v>grep -hSE -A400 "Enforcement Action" "%USERPROFILE%\AppData\Local\Temp\OnboardLogs"\RTDC4052\*4052*201703171* | grep -SE "((Enforcement Ac)|(PRM))" -</v>
      </c>
      <c r="AD48" s="1" t="str">
        <f>"grep -hSE ""Enforcement Action"" "&amp;search_path&amp;"\RTDC"&amp;U48&amp;"\*"&amp;U48&amp;"*"&amp;TEXT(A48-utc_offset/24,"YYYYMMDD")&amp;LEFT(TEXT(A48-utc_offset/24,"HH"),1)&amp;"* &gt;&gt; "&amp;TEXT(Variables!$A$2,"YYYY-MM-DD")&amp;"-SliceDisagreementCheck.txt"</f>
        <v>grep -hSE "Enforcement Action" "%USERPROFILE%\AppData\Local\Temp\OnboardLogs"\RTDC4052\*4052*201703171* &gt;&gt; 2017-03-17-SliceDisagreementCheck.txt</v>
      </c>
      <c r="AE48" s="157" t="str">
        <f t="shared" si="8"/>
        <v>start /low /b %USERPROFILE%\Documents\GitHub\eaglep3\Utilities\DownloadLogsFromS3.py --loco 4052 --day 2017-03-17</v>
      </c>
      <c r="AF48" s="1"/>
    </row>
    <row r="49" spans="1:32" x14ac:dyDescent="0.25">
      <c r="A49" s="32">
        <v>42811.182766203703</v>
      </c>
      <c r="B49" s="30" t="s">
        <v>458</v>
      </c>
      <c r="C49" s="30" t="s">
        <v>609</v>
      </c>
      <c r="D49" s="30" t="s">
        <v>49</v>
      </c>
      <c r="E49" s="30" t="s">
        <v>186</v>
      </c>
      <c r="F49" s="43">
        <v>0</v>
      </c>
      <c r="G49" s="43">
        <v>18</v>
      </c>
      <c r="H49" s="43">
        <v>903</v>
      </c>
      <c r="I49" s="43">
        <v>881</v>
      </c>
      <c r="J49" s="30" t="s">
        <v>187</v>
      </c>
      <c r="K49" s="43">
        <v>839</v>
      </c>
      <c r="L49" s="143" t="s">
        <v>51</v>
      </c>
      <c r="M49" s="144">
        <f t="shared" si="0"/>
        <v>22.175999999999998</v>
      </c>
      <c r="N49" s="145" t="str">
        <f>VLOOKUP(C49,'Trips&amp;Operators'!$C$1:$G$99999,5,FALSE)</f>
        <v>ROBINSON KADDIBA</v>
      </c>
      <c r="O49" s="194" t="s">
        <v>185</v>
      </c>
      <c r="P49" s="146"/>
      <c r="Q49" s="30"/>
      <c r="R49" s="89" t="e">
        <f>IF(VLOOKUP(C49,'Train Runs'!$A$13:$AE$9947,1,1)=C49,VLOOKUP(C49,'Train Runs'!$A$13:$AE$9947,31,1),NA())</f>
        <v>#N/A</v>
      </c>
      <c r="S49" s="92" t="e">
        <f>VLOOKUP(C49,'Train Runs'!$A$13:$AE$9947,22,0)</f>
        <v>#N/A</v>
      </c>
      <c r="T49" s="94" t="str">
        <f t="shared" si="1"/>
        <v>"C:\Program Files (x86)\AstroGrep\AstroGrep.exe" /e /r /s /spath="%USERPROFILE%\AppData\Local\Temp\OnboardLogs" /stypes="*4052*201703171*" /stext=" 10:.+((SYSTEM_STATE.+slice.+state.+changed )|(ment ac)|(multiple cpu faults)|(system.+state.+changed )|(\[timeout)|(PRM\|1\|D)|(kpr)|(kdp)|(\|lc)|(penalty))"</v>
      </c>
      <c r="U49" s="9" t="str">
        <f t="shared" si="2"/>
        <v>4052</v>
      </c>
      <c r="V49" s="32">
        <f t="shared" si="3"/>
        <v>42811.432766203703</v>
      </c>
      <c r="W49" s="46" t="str">
        <f t="shared" si="4"/>
        <v>Other</v>
      </c>
      <c r="X49" s="46" t="str">
        <f t="shared" si="5"/>
        <v>KEEP</v>
      </c>
      <c r="Y49" s="108" t="str">
        <f t="shared" si="6"/>
        <v>echo {"issue":{"subject":"","project_id":79,"tracker_id":40,"status_id":1,"priority_id":2,"assigned_to_id":23,"start_date":"2017-03-17","description":"","custom_fields":[{"id":1,"name":"Subdivision","value":"Other"},{"id":4,"name":"Milepost","value":"0.0839"},{"id":17,"name":"Train ID","value":"306-17"},{"id":16,"name":"Locomotive ID","value":"4052"},{"id":130,"name":"Impact","value":""},{"id":150,"name":"Time of Event (Mountain Time)","value":"04:23:11"},{"id":151,"name":"Denver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9" s="48"/>
      <c r="AA49" s="48"/>
      <c r="AB49" s="48"/>
      <c r="AC49" s="127" t="str">
        <f t="shared" si="7"/>
        <v>grep -hSE -A400 "Enforcement Action" "%USERPROFILE%\AppData\Local\Temp\OnboardLogs"\RTDC4052\*4052*201703171* | grep -SE "((Enforcement Ac)|(PRM))" -</v>
      </c>
      <c r="AD49" s="1" t="str">
        <f>"grep -hSE ""Enforcement Action"" "&amp;search_path&amp;"\RTDC"&amp;U49&amp;"\*"&amp;U49&amp;"*"&amp;TEXT(A49-utc_offset/24,"YYYYMMDD")&amp;LEFT(TEXT(A49-utc_offset/24,"HH"),1)&amp;"* &gt;&gt; "&amp;TEXT(Variables!$A$2,"YYYY-MM-DD")&amp;"-SliceDisagreementCheck.txt"</f>
        <v>grep -hSE "Enforcement Action" "%USERPROFILE%\AppData\Local\Temp\OnboardLogs"\RTDC4052\*4052*201703171* &gt;&gt; 2017-03-17-SliceDisagreementCheck.txt</v>
      </c>
      <c r="AE49" s="157" t="str">
        <f t="shared" si="8"/>
        <v>start /low /b %USERPROFILE%\Documents\GitHub\eaglep3\Utilities\DownloadLogsFromS3.py --loco 4052 --day 2017-03-17</v>
      </c>
      <c r="AF49" s="1"/>
    </row>
    <row r="50" spans="1:32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AC50"/>
      <c r="AE50"/>
    </row>
    <row r="51" spans="1:32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AC51"/>
      <c r="AE51"/>
    </row>
    <row r="52" spans="1:32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AC52"/>
      <c r="AE52"/>
    </row>
    <row r="53" spans="1:32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AC53"/>
      <c r="AE53"/>
    </row>
    <row r="54" spans="1:32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AC54"/>
      <c r="AE54"/>
    </row>
    <row r="55" spans="1:32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AC55"/>
      <c r="AE55"/>
    </row>
    <row r="56" spans="1:32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AC56"/>
      <c r="AE56"/>
    </row>
    <row r="57" spans="1:32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AC57"/>
      <c r="AE57"/>
    </row>
    <row r="58" spans="1:32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AC58"/>
      <c r="AE58"/>
    </row>
    <row r="59" spans="1:32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AC59"/>
      <c r="AE59"/>
    </row>
    <row r="60" spans="1:32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AC60"/>
      <c r="AE60"/>
    </row>
    <row r="61" spans="1:32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AC61"/>
      <c r="AE61"/>
    </row>
    <row r="62" spans="1:32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AC62"/>
      <c r="AE62"/>
    </row>
    <row r="63" spans="1:32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AC63"/>
      <c r="AE63"/>
    </row>
  </sheetData>
  <autoFilter ref="A6:AC63"/>
  <sortState ref="A7:AE49">
    <sortCondition ref="W7:W49"/>
    <sortCondition ref="E7:E49"/>
    <sortCondition ref="K7:K49"/>
    <sortCondition ref="C7:C49"/>
    <sortCondition ref="F7:F49"/>
  </sortState>
  <mergeCells count="1">
    <mergeCell ref="A5:O5"/>
  </mergeCells>
  <conditionalFormatting sqref="O6:P6 R6 O64:O1048576 O7:O49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49">
    <cfRule type="expression" dxfId="1" priority="20">
      <formula>$O7="Y"</formula>
    </cfRule>
  </conditionalFormatting>
  <pageMargins left="0.7" right="0.7" top="0.75" bottom="0.75" header="0.3" footer="0.3"/>
  <pageSetup scale="2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AA7:AA49</xm:sqref>
        </x14:dataValidation>
        <x14:dataValidation type="list" allowBlank="1" showInputMessage="1" showErrorMessage="1">
          <x14:formula1>
            <xm:f>'Redmine List Values'!$C$2:$C$15</xm:f>
          </x14:formula1>
          <xm:sqref>AB7:AB49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94"/>
  <sheetViews>
    <sheetView workbookViewId="0">
      <selection activeCell="A3" sqref="A3:XFD3"/>
    </sheetView>
  </sheetViews>
  <sheetFormatPr defaultRowHeight="15" x14ac:dyDescent="0.25"/>
  <cols>
    <col min="1" max="1" width="9.140625" style="168"/>
    <col min="2" max="2" width="9.140625" style="2" customWidth="1"/>
    <col min="3" max="3" width="8" style="97" bestFit="1" customWidth="1"/>
    <col min="4" max="4" width="9.85546875" style="151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10" width="9.140625" customWidth="1"/>
  </cols>
  <sheetData>
    <row r="1" spans="1:10" s="20" customFormat="1" x14ac:dyDescent="0.25">
      <c r="A1" s="168"/>
      <c r="B1" s="221" t="str">
        <f>"Trips that did not appear in PTC Data "&amp;TEXT(Variables!$A$2,"YYYY-mm-dd")</f>
        <v>Trips that did not appear in PTC Data 2017-03-17</v>
      </c>
      <c r="C1" s="221"/>
      <c r="D1" s="221"/>
      <c r="E1" s="221"/>
      <c r="F1" s="221"/>
    </row>
    <row r="2" spans="1:10" s="23" customFormat="1" ht="45" x14ac:dyDescent="0.25">
      <c r="A2" s="189" t="s">
        <v>152</v>
      </c>
      <c r="B2" s="99" t="s">
        <v>58</v>
      </c>
      <c r="C2" s="96" t="s">
        <v>59</v>
      </c>
      <c r="D2" s="164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104</v>
      </c>
    </row>
    <row r="3" spans="1:10" x14ac:dyDescent="0.25">
      <c r="A3" s="185"/>
      <c r="B3" s="43" t="str">
        <f>A3&amp;"-"&amp;IF(DAY(Variables!$A$2)&lt;10,0,"")&amp;DAY(Variables!$A$2)</f>
        <v>-17</v>
      </c>
      <c r="C3" s="147"/>
      <c r="D3" s="165"/>
      <c r="E3" s="30"/>
      <c r="F3" s="21" t="e">
        <f>VLOOKUP(B3,'Trips&amp;Operators'!$C$2:$E$10000,3,FALSE)</f>
        <v>#N/A</v>
      </c>
      <c r="G3" s="21" t="e">
        <f>VLOOKUP(B3,'Trips&amp;Operators'!$C$1:$F$10000,4,FALSE)</f>
        <v>#N/A</v>
      </c>
      <c r="H3" s="29" t="e">
        <f>VLOOKUP(B3,'Trips&amp;Operators'!$C$1:$H$10000,5,FALSE)</f>
        <v>#N/A</v>
      </c>
      <c r="I3" s="46" t="str">
        <f t="shared" ref="I3:I8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3" s="30" t="e">
        <f>VLOOKUP(B3,'Train Runs'!$A$13:$A$99944,1,FALSE)</f>
        <v>#N/A</v>
      </c>
    </row>
    <row r="4" spans="1:10" x14ac:dyDescent="0.25">
      <c r="A4" s="185"/>
      <c r="B4" s="43" t="str">
        <f>A4&amp;"-"&amp;IF(DAY(Variables!$A$2)&lt;10,0,"")&amp;DAY(Variables!$A$2)</f>
        <v>-17</v>
      </c>
      <c r="C4" s="147"/>
      <c r="D4" s="165"/>
      <c r="E4" s="30"/>
      <c r="F4" s="21" t="e">
        <f>VLOOKUP(B4,'Trips&amp;Operators'!$C$2:$E$10000,3,FALSE)</f>
        <v>#N/A</v>
      </c>
      <c r="G4" s="21" t="e">
        <f>VLOOKUP(B4,'Trips&amp;Operators'!$C$1:$F$10000,4,FALSE)</f>
        <v>#N/A</v>
      </c>
      <c r="H4" s="29" t="e">
        <f>VLOOKUP(B4,'Trips&amp;Operators'!$C$1:$H$10000,5,FALSE)</f>
        <v>#N/A</v>
      </c>
      <c r="I4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4" s="30" t="e">
        <f>VLOOKUP(B4,'Train Runs'!$A$13:$A$99944,1,FALSE)</f>
        <v>#N/A</v>
      </c>
    </row>
    <row r="5" spans="1:10" x14ac:dyDescent="0.25">
      <c r="A5" s="185"/>
      <c r="B5" s="43" t="str">
        <f>A5&amp;"-"&amp;IF(DAY(Variables!$A$2)&lt;10,0,"")&amp;DAY(Variables!$A$2)</f>
        <v>-17</v>
      </c>
      <c r="C5" s="147"/>
      <c r="D5" s="165"/>
      <c r="E5" s="30"/>
      <c r="F5" s="21" t="e">
        <f>VLOOKUP(B5,'Trips&amp;Operators'!$C$2:$E$10000,3,FALSE)</f>
        <v>#N/A</v>
      </c>
      <c r="G5" s="21" t="e">
        <f>VLOOKUP(B5,'Trips&amp;Operators'!$C$1:$F$10000,4,FALSE)</f>
        <v>#N/A</v>
      </c>
      <c r="H5" s="29" t="e">
        <f>VLOOKUP(B5,'Trips&amp;Operators'!$C$1:$H$10000,5,FALSE)</f>
        <v>#N/A</v>
      </c>
      <c r="I5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5" s="30" t="e">
        <f>VLOOKUP(B5,'Train Runs'!$A$13:$A$99944,1,FALSE)</f>
        <v>#N/A</v>
      </c>
    </row>
    <row r="6" spans="1:10" x14ac:dyDescent="0.25">
      <c r="A6" s="185"/>
      <c r="B6" s="43" t="str">
        <f>A6&amp;"-"&amp;IF(DAY(Variables!$A$2)&lt;10,0,"")&amp;DAY(Variables!$A$2)</f>
        <v>-17</v>
      </c>
      <c r="C6" s="147"/>
      <c r="D6" s="165"/>
      <c r="E6" s="30"/>
      <c r="F6" s="21" t="e">
        <f>VLOOKUP(B6,'Trips&amp;Operators'!$C$2:$E$10000,3,FALSE)</f>
        <v>#N/A</v>
      </c>
      <c r="G6" s="21" t="e">
        <f>VLOOKUP(B6,'Trips&amp;Operators'!$C$1:$F$10000,4,FALSE)</f>
        <v>#N/A</v>
      </c>
      <c r="H6" s="29" t="e">
        <f>VLOOKUP(B6,'Trips&amp;Operators'!$C$1:$H$10000,5,FALSE)</f>
        <v>#N/A</v>
      </c>
      <c r="I6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6" s="30" t="e">
        <f>VLOOKUP(B6,'Train Runs'!$A$13:$A$99944,1,FALSE)</f>
        <v>#N/A</v>
      </c>
    </row>
    <row r="7" spans="1:10" x14ac:dyDescent="0.25">
      <c r="A7" s="185"/>
      <c r="B7" s="43" t="str">
        <f>A7&amp;"-"&amp;IF(DAY(Variables!$A$2)&lt;10,0,"")&amp;DAY(Variables!$A$2)</f>
        <v>-17</v>
      </c>
      <c r="C7" s="147"/>
      <c r="D7" s="165"/>
      <c r="E7" s="30"/>
      <c r="F7" s="21" t="e">
        <f>VLOOKUP(B7,'Trips&amp;Operators'!$C$2:$E$10000,3,FALSE)</f>
        <v>#N/A</v>
      </c>
      <c r="G7" s="21" t="e">
        <f>VLOOKUP(B7,'Trips&amp;Operators'!$C$1:$F$10000,4,FALSE)</f>
        <v>#N/A</v>
      </c>
      <c r="H7" s="29" t="e">
        <f>VLOOKUP(B7,'Trips&amp;Operators'!$C$1:$H$10000,5,FALSE)</f>
        <v>#N/A</v>
      </c>
      <c r="I7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7" s="30" t="e">
        <f>VLOOKUP(B7,'Train Runs'!$A$13:$A$99944,1,FALSE)</f>
        <v>#N/A</v>
      </c>
    </row>
    <row r="8" spans="1:10" x14ac:dyDescent="0.25">
      <c r="A8" s="185"/>
      <c r="B8" s="43" t="str">
        <f>A8&amp;"-"&amp;IF(DAY(Variables!$A$2)&lt;10,0,"")&amp;DAY(Variables!$A$2)</f>
        <v>-17</v>
      </c>
      <c r="C8" s="147"/>
      <c r="D8" s="165"/>
      <c r="E8" s="30"/>
      <c r="F8" s="21" t="e">
        <f>VLOOKUP(B8,'Trips&amp;Operators'!$C$2:$E$10000,3,FALSE)</f>
        <v>#N/A</v>
      </c>
      <c r="G8" s="21" t="e">
        <f>VLOOKUP(B8,'Trips&amp;Operators'!$C$1:$F$10000,4,FALSE)</f>
        <v>#N/A</v>
      </c>
      <c r="H8" s="29" t="e">
        <f>VLOOKUP(B8,'Trips&amp;Operators'!$C$1:$H$10000,5,FALSE)</f>
        <v>#N/A</v>
      </c>
      <c r="I8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8" s="30" t="e">
        <f>VLOOKUP(B8,'Train Runs'!$A$13:$A$99944,1,FALSE)</f>
        <v>#N/A</v>
      </c>
    </row>
    <row r="9" spans="1:10" x14ac:dyDescent="0.25">
      <c r="A9" s="185"/>
      <c r="B9" s="43" t="str">
        <f>A9&amp;"-"&amp;IF(DAY(Variables!$A$2)&lt;10,0,"")&amp;DAY(Variables!$A$2)</f>
        <v>-17</v>
      </c>
      <c r="C9" s="147"/>
      <c r="D9" s="165"/>
      <c r="E9" s="30"/>
      <c r="F9" s="21" t="e">
        <f>VLOOKUP(B9,'Trips&amp;Operators'!$C$2:$E$10000,3,FALSE)</f>
        <v>#N/A</v>
      </c>
      <c r="G9" s="21" t="e">
        <f>VLOOKUP(B9,'Trips&amp;Operators'!$C$1:$F$10000,4,FALSE)</f>
        <v>#N/A</v>
      </c>
      <c r="H9" s="29" t="e">
        <f>VLOOKUP(B9,'Trips&amp;Operators'!$C$1:$H$10000,5,FALSE)</f>
        <v>#N/A</v>
      </c>
      <c r="I9" s="46" t="str">
        <f t="shared" ref="I9:I40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9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9" s="30" t="e">
        <f>VLOOKUP(B9,'Train Runs'!$A$13:$A$99944,1,FALSE)</f>
        <v>#N/A</v>
      </c>
    </row>
    <row r="10" spans="1:10" x14ac:dyDescent="0.25">
      <c r="A10" s="185"/>
      <c r="B10" s="43" t="str">
        <f>A10&amp;"-"&amp;IF(DAY(Variables!$A$2)&lt;10,0,"")&amp;DAY(Variables!$A$2)</f>
        <v>-17</v>
      </c>
      <c r="C10" s="147"/>
      <c r="D10" s="165"/>
      <c r="E10" s="30"/>
      <c r="F10" s="21" t="e">
        <f>VLOOKUP(B10,'Trips&amp;Operators'!$C$2:$E$10000,3,FALSE)</f>
        <v>#N/A</v>
      </c>
      <c r="G10" s="21" t="e">
        <f>VLOOKUP(B10,'Trips&amp;Operators'!$C$1:$F$10000,4,FALSE)</f>
        <v>#N/A</v>
      </c>
      <c r="H10" s="29" t="e">
        <f>VLOOKUP(B10,'Trips&amp;Operators'!$C$1:$H$10000,5,FALSE)</f>
        <v>#N/A</v>
      </c>
      <c r="I1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10" s="30" t="e">
        <f>VLOOKUP(B10,'Train Runs'!$A$13:$A$99944,1,FALSE)</f>
        <v>#N/A</v>
      </c>
    </row>
    <row r="11" spans="1:10" x14ac:dyDescent="0.25">
      <c r="A11" s="185"/>
      <c r="B11" s="43" t="str">
        <f>A11&amp;"-"&amp;IF(DAY(Variables!$A$2)&lt;10,0,"")&amp;DAY(Variables!$A$2)</f>
        <v>-17</v>
      </c>
      <c r="C11" s="147"/>
      <c r="D11" s="165"/>
      <c r="E11" s="30"/>
      <c r="F11" s="21" t="e">
        <f>VLOOKUP(B11,'Trips&amp;Operators'!$C$2:$E$10000,3,FALSE)</f>
        <v>#N/A</v>
      </c>
      <c r="G11" s="21" t="e">
        <f>VLOOKUP(B11,'Trips&amp;Operators'!$C$1:$F$10000,4,FALSE)</f>
        <v>#N/A</v>
      </c>
      <c r="H11" s="29" t="e">
        <f>VLOOKUP(B11,'Trips&amp;Operators'!$C$1:$H$10000,5,FALSE)</f>
        <v>#N/A</v>
      </c>
      <c r="I1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11" s="30" t="e">
        <f>VLOOKUP(B11,'Train Runs'!$A$13:$A$99944,1,FALSE)</f>
        <v>#N/A</v>
      </c>
    </row>
    <row r="12" spans="1:10" x14ac:dyDescent="0.25">
      <c r="A12" s="185"/>
      <c r="B12" s="43" t="str">
        <f>A12&amp;"-"&amp;IF(DAY(Variables!$A$2)&lt;10,0,"")&amp;DAY(Variables!$A$2)</f>
        <v>-17</v>
      </c>
      <c r="C12" s="147"/>
      <c r="D12" s="165"/>
      <c r="E12" s="30"/>
      <c r="F12" s="21" t="e">
        <f>VLOOKUP(B12,'Trips&amp;Operators'!$C$2:$E$10000,3,FALSE)</f>
        <v>#N/A</v>
      </c>
      <c r="G12" s="21" t="e">
        <f>VLOOKUP(B12,'Trips&amp;Operators'!$C$1:$F$10000,4,FALSE)</f>
        <v>#N/A</v>
      </c>
      <c r="H12" s="29" t="e">
        <f>VLOOKUP(B12,'Trips&amp;Operators'!$C$1:$H$10000,5,FALSE)</f>
        <v>#N/A</v>
      </c>
      <c r="I1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12" s="30" t="e">
        <f>VLOOKUP(B12,'Train Runs'!$A$13:$A$99944,1,FALSE)</f>
        <v>#N/A</v>
      </c>
    </row>
    <row r="13" spans="1:10" x14ac:dyDescent="0.25">
      <c r="A13" s="185"/>
      <c r="B13" s="43" t="str">
        <f>A13&amp;"-"&amp;IF(DAY(Variables!$A$2)&lt;10,0,"")&amp;DAY(Variables!$A$2)</f>
        <v>-17</v>
      </c>
      <c r="C13" s="147"/>
      <c r="D13" s="165"/>
      <c r="E13" s="30"/>
      <c r="F13" s="21" t="e">
        <f>VLOOKUP(B13,'Trips&amp;Operators'!$C$2:$E$10000,3,FALSE)</f>
        <v>#N/A</v>
      </c>
      <c r="G13" s="21" t="e">
        <f>VLOOKUP(B13,'Trips&amp;Operators'!$C$1:$F$10000,4,FALSE)</f>
        <v>#N/A</v>
      </c>
      <c r="H13" s="29" t="e">
        <f>VLOOKUP(B13,'Trips&amp;Operators'!$C$1:$H$10000,5,FALSE)</f>
        <v>#N/A</v>
      </c>
      <c r="I1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13" s="30" t="e">
        <f>VLOOKUP(B13,'Train Runs'!$A$13:$A$99944,1,FALSE)</f>
        <v>#N/A</v>
      </c>
    </row>
    <row r="14" spans="1:10" x14ac:dyDescent="0.25">
      <c r="A14" s="185"/>
      <c r="B14" s="43" t="str">
        <f>A14&amp;"-"&amp;IF(DAY(Variables!$A$2)&lt;10,0,"")&amp;DAY(Variables!$A$2)</f>
        <v>-17</v>
      </c>
      <c r="C14" s="147"/>
      <c r="D14" s="165"/>
      <c r="E14" s="30"/>
      <c r="F14" s="21" t="e">
        <f>VLOOKUP(B14,'Trips&amp;Operators'!$C$2:$E$10000,3,FALSE)</f>
        <v>#N/A</v>
      </c>
      <c r="G14" s="21" t="e">
        <f>VLOOKUP(B14,'Trips&amp;Operators'!$C$1:$F$10000,4,FALSE)</f>
        <v>#N/A</v>
      </c>
      <c r="H14" s="29" t="e">
        <f>VLOOKUP(B14,'Trips&amp;Operators'!$C$1:$H$10000,5,FALSE)</f>
        <v>#N/A</v>
      </c>
      <c r="I1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14" s="30" t="e">
        <f>VLOOKUP(B14,'Train Runs'!$A$13:$A$99944,1,FALSE)</f>
        <v>#N/A</v>
      </c>
    </row>
    <row r="15" spans="1:10" x14ac:dyDescent="0.25">
      <c r="A15" s="185"/>
      <c r="B15" s="43" t="str">
        <f>A15&amp;"-"&amp;IF(DAY(Variables!$A$2)&lt;10,0,"")&amp;DAY(Variables!$A$2)</f>
        <v>-17</v>
      </c>
      <c r="C15" s="147"/>
      <c r="D15" s="165"/>
      <c r="E15" s="30"/>
      <c r="F15" s="21" t="e">
        <f>VLOOKUP(B15,'Trips&amp;Operators'!$C$2:$E$10000,3,FALSE)</f>
        <v>#N/A</v>
      </c>
      <c r="G15" s="21" t="e">
        <f>VLOOKUP(B15,'Trips&amp;Operators'!$C$1:$F$10000,4,FALSE)</f>
        <v>#N/A</v>
      </c>
      <c r="H15" s="29" t="e">
        <f>VLOOKUP(B15,'Trips&amp;Operators'!$C$1:$H$10000,5,FALSE)</f>
        <v>#N/A</v>
      </c>
      <c r="I1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15" s="30" t="e">
        <f>VLOOKUP(B15,'Train Runs'!$A$13:$A$99944,1,FALSE)</f>
        <v>#N/A</v>
      </c>
    </row>
    <row r="16" spans="1:10" x14ac:dyDescent="0.25">
      <c r="A16" s="185"/>
      <c r="B16" s="43" t="str">
        <f>A16&amp;"-"&amp;IF(DAY(Variables!$A$2)&lt;10,0,"")&amp;DAY(Variables!$A$2)</f>
        <v>-17</v>
      </c>
      <c r="C16" s="147"/>
      <c r="D16" s="165"/>
      <c r="E16" s="30"/>
      <c r="F16" s="21" t="e">
        <f>VLOOKUP(B16,'Trips&amp;Operators'!$C$2:$E$10000,3,FALSE)</f>
        <v>#N/A</v>
      </c>
      <c r="G16" s="21" t="e">
        <f>VLOOKUP(B16,'Trips&amp;Operators'!$C$1:$F$10000,4,FALSE)</f>
        <v>#N/A</v>
      </c>
      <c r="H16" s="29" t="e">
        <f>VLOOKUP(B16,'Trips&amp;Operators'!$C$1:$H$10000,5,FALSE)</f>
        <v>#N/A</v>
      </c>
      <c r="I1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16" s="30" t="e">
        <f>VLOOKUP(B16,'Train Runs'!$A$13:$A$99944,1,FALSE)</f>
        <v>#N/A</v>
      </c>
    </row>
    <row r="17" spans="1:10" x14ac:dyDescent="0.25">
      <c r="A17" s="185"/>
      <c r="B17" s="43" t="str">
        <f>A17&amp;"-"&amp;IF(DAY(Variables!$A$2)&lt;10,0,"")&amp;DAY(Variables!$A$2)</f>
        <v>-17</v>
      </c>
      <c r="C17" s="147"/>
      <c r="D17" s="165"/>
      <c r="E17" s="30"/>
      <c r="F17" s="21" t="e">
        <f>VLOOKUP(B17,'Trips&amp;Operators'!$C$2:$E$10000,3,FALSE)</f>
        <v>#N/A</v>
      </c>
      <c r="G17" s="21" t="e">
        <f>VLOOKUP(B17,'Trips&amp;Operators'!$C$1:$F$10000,4,FALSE)</f>
        <v>#N/A</v>
      </c>
      <c r="H17" s="29" t="e">
        <f>VLOOKUP(B17,'Trips&amp;Operators'!$C$1:$H$10000,5,FALSE)</f>
        <v>#N/A</v>
      </c>
      <c r="I1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17" s="30" t="e">
        <f>VLOOKUP(B17,'Train Runs'!$A$13:$A$99944,1,FALSE)</f>
        <v>#N/A</v>
      </c>
    </row>
    <row r="18" spans="1:10" x14ac:dyDescent="0.25">
      <c r="A18" s="185"/>
      <c r="B18" s="43" t="str">
        <f>A18&amp;"-"&amp;IF(DAY(Variables!$A$2)&lt;10,0,"")&amp;DAY(Variables!$A$2)</f>
        <v>-17</v>
      </c>
      <c r="C18" s="147"/>
      <c r="D18" s="165"/>
      <c r="E18" s="30"/>
      <c r="F18" s="21" t="e">
        <f>VLOOKUP(B18,'Trips&amp;Operators'!$C$2:$E$10000,3,FALSE)</f>
        <v>#N/A</v>
      </c>
      <c r="G18" s="21" t="e">
        <f>VLOOKUP(B18,'Trips&amp;Operators'!$C$1:$F$10000,4,FALSE)</f>
        <v>#N/A</v>
      </c>
      <c r="H18" s="29" t="e">
        <f>VLOOKUP(B18,'Trips&amp;Operators'!$C$1:$H$10000,5,FALSE)</f>
        <v>#N/A</v>
      </c>
      <c r="I1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18" s="30" t="e">
        <f>VLOOKUP(B18,'Train Runs'!$A$13:$A$99944,1,FALSE)</f>
        <v>#N/A</v>
      </c>
    </row>
    <row r="19" spans="1:10" x14ac:dyDescent="0.25">
      <c r="A19" s="185"/>
      <c r="B19" s="43" t="str">
        <f>A19&amp;"-"&amp;IF(DAY(Variables!$A$2)&lt;10,0,"")&amp;DAY(Variables!$A$2)</f>
        <v>-17</v>
      </c>
      <c r="C19" s="147"/>
      <c r="D19" s="165"/>
      <c r="E19" s="30"/>
      <c r="F19" s="21" t="e">
        <f>VLOOKUP(B19,'Trips&amp;Operators'!$C$2:$E$10000,3,FALSE)</f>
        <v>#N/A</v>
      </c>
      <c r="G19" s="21" t="e">
        <f>VLOOKUP(B19,'Trips&amp;Operators'!$C$1:$F$10000,4,FALSE)</f>
        <v>#N/A</v>
      </c>
      <c r="H19" s="29" t="e">
        <f>VLOOKUP(B19,'Trips&amp;Operators'!$C$1:$H$10000,5,FALSE)</f>
        <v>#N/A</v>
      </c>
      <c r="I1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19" s="30" t="e">
        <f>VLOOKUP(B19,'Train Runs'!$A$13:$A$99944,1,FALSE)</f>
        <v>#N/A</v>
      </c>
    </row>
    <row r="20" spans="1:10" x14ac:dyDescent="0.25">
      <c r="A20" s="185"/>
      <c r="B20" s="43" t="str">
        <f>A20&amp;"-"&amp;IF(DAY(Variables!$A$2)&lt;10,0,"")&amp;DAY(Variables!$A$2)</f>
        <v>-17</v>
      </c>
      <c r="C20" s="147"/>
      <c r="D20" s="165"/>
      <c r="E20" s="30"/>
      <c r="F20" s="21" t="e">
        <f>VLOOKUP(B20,'Trips&amp;Operators'!$C$2:$E$10000,3,FALSE)</f>
        <v>#N/A</v>
      </c>
      <c r="G20" s="21" t="e">
        <f>VLOOKUP(B20,'Trips&amp;Operators'!$C$1:$F$10000,4,FALSE)</f>
        <v>#N/A</v>
      </c>
      <c r="H20" s="29" t="e">
        <f>VLOOKUP(B20,'Trips&amp;Operators'!$C$1:$H$10000,5,FALSE)</f>
        <v>#N/A</v>
      </c>
      <c r="I2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20" s="30" t="e">
        <f>VLOOKUP(B20,'Train Runs'!$A$13:$A$99944,1,FALSE)</f>
        <v>#N/A</v>
      </c>
    </row>
    <row r="21" spans="1:10" x14ac:dyDescent="0.25">
      <c r="A21" s="185"/>
      <c r="B21" s="43" t="str">
        <f>A21&amp;"-"&amp;IF(DAY(Variables!$A$2)&lt;10,0,"")&amp;DAY(Variables!$A$2)</f>
        <v>-17</v>
      </c>
      <c r="C21" s="147"/>
      <c r="D21" s="165"/>
      <c r="E21" s="30"/>
      <c r="F21" s="21" t="e">
        <f>VLOOKUP(B21,'Trips&amp;Operators'!$C$2:$E$10000,3,FALSE)</f>
        <v>#N/A</v>
      </c>
      <c r="G21" s="21" t="e">
        <f>VLOOKUP(B21,'Trips&amp;Operators'!$C$1:$F$10000,4,FALSE)</f>
        <v>#N/A</v>
      </c>
      <c r="H21" s="29" t="e">
        <f>VLOOKUP(B21,'Trips&amp;Operators'!$C$1:$H$10000,5,FALSE)</f>
        <v>#N/A</v>
      </c>
      <c r="I2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21" s="30" t="e">
        <f>VLOOKUP(B21,'Train Runs'!$A$13:$A$99944,1,FALSE)</f>
        <v>#N/A</v>
      </c>
    </row>
    <row r="22" spans="1:10" x14ac:dyDescent="0.25">
      <c r="A22" s="185"/>
      <c r="B22" s="43" t="str">
        <f>A22&amp;"-"&amp;IF(DAY(Variables!$A$2)&lt;10,0,"")&amp;DAY(Variables!$A$2)</f>
        <v>-17</v>
      </c>
      <c r="C22" s="147"/>
      <c r="D22" s="165"/>
      <c r="E22" s="30"/>
      <c r="F22" s="21" t="e">
        <f>VLOOKUP(B22,'Trips&amp;Operators'!$C$2:$E$10000,3,FALSE)</f>
        <v>#N/A</v>
      </c>
      <c r="G22" s="21" t="e">
        <f>VLOOKUP(B22,'Trips&amp;Operators'!$C$1:$F$10000,4,FALSE)</f>
        <v>#N/A</v>
      </c>
      <c r="H22" s="29" t="e">
        <f>VLOOKUP(B22,'Trips&amp;Operators'!$C$1:$H$10000,5,FALSE)</f>
        <v>#N/A</v>
      </c>
      <c r="I2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22" s="30" t="e">
        <f>VLOOKUP(B22,'Train Runs'!$A$13:$A$99944,1,FALSE)</f>
        <v>#N/A</v>
      </c>
    </row>
    <row r="23" spans="1:10" x14ac:dyDescent="0.25">
      <c r="A23" s="185"/>
      <c r="B23" s="43" t="str">
        <f>A23&amp;"-"&amp;IF(DAY(Variables!$A$2)&lt;10,0,"")&amp;DAY(Variables!$A$2)</f>
        <v>-17</v>
      </c>
      <c r="C23" s="147"/>
      <c r="D23" s="165"/>
      <c r="E23" s="30"/>
      <c r="F23" s="21" t="e">
        <f>VLOOKUP(B23,'Trips&amp;Operators'!$C$2:$E$10000,3,FALSE)</f>
        <v>#N/A</v>
      </c>
      <c r="G23" s="21" t="e">
        <f>VLOOKUP(B23,'Trips&amp;Operators'!$C$1:$F$10000,4,FALSE)</f>
        <v>#N/A</v>
      </c>
      <c r="H23" s="29" t="e">
        <f>VLOOKUP(B23,'Trips&amp;Operators'!$C$1:$H$10000,5,FALSE)</f>
        <v>#N/A</v>
      </c>
      <c r="I2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23" s="30" t="e">
        <f>VLOOKUP(B23,'Train Runs'!$A$13:$A$99944,1,FALSE)</f>
        <v>#N/A</v>
      </c>
    </row>
    <row r="24" spans="1:10" x14ac:dyDescent="0.25">
      <c r="A24" s="185"/>
      <c r="B24" s="43" t="str">
        <f>A24&amp;"-"&amp;IF(DAY(Variables!$A$2)&lt;10,0,"")&amp;DAY(Variables!$A$2)</f>
        <v>-17</v>
      </c>
      <c r="C24" s="147"/>
      <c r="D24" s="165"/>
      <c r="E24" s="30"/>
      <c r="F24" s="21" t="e">
        <f>VLOOKUP(B24,'Trips&amp;Operators'!$C$2:$E$10000,3,FALSE)</f>
        <v>#N/A</v>
      </c>
      <c r="G24" s="21" t="e">
        <f>VLOOKUP(B24,'Trips&amp;Operators'!$C$1:$F$10000,4,FALSE)</f>
        <v>#N/A</v>
      </c>
      <c r="H24" s="29" t="e">
        <f>VLOOKUP(B24,'Trips&amp;Operators'!$C$1:$H$10000,5,FALSE)</f>
        <v>#N/A</v>
      </c>
      <c r="I2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24" s="30" t="e">
        <f>VLOOKUP(B24,'Train Runs'!$A$13:$A$99944,1,FALSE)</f>
        <v>#N/A</v>
      </c>
    </row>
    <row r="25" spans="1:10" x14ac:dyDescent="0.25">
      <c r="A25" s="185"/>
      <c r="B25" s="43" t="str">
        <f>A25&amp;"-"&amp;IF(DAY(Variables!$A$2)&lt;10,0,"")&amp;DAY(Variables!$A$2)</f>
        <v>-17</v>
      </c>
      <c r="C25" s="147"/>
      <c r="D25" s="165"/>
      <c r="E25" s="30"/>
      <c r="F25" s="21" t="e">
        <f>VLOOKUP(B25,'Trips&amp;Operators'!$C$2:$E$10000,3,FALSE)</f>
        <v>#N/A</v>
      </c>
      <c r="G25" s="21" t="e">
        <f>VLOOKUP(B25,'Trips&amp;Operators'!$C$1:$F$10000,4,FALSE)</f>
        <v>#N/A</v>
      </c>
      <c r="H25" s="29" t="e">
        <f>VLOOKUP(B25,'Trips&amp;Operators'!$C$1:$H$10000,5,FALSE)</f>
        <v>#N/A</v>
      </c>
      <c r="I2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25" s="30" t="e">
        <f>VLOOKUP(B25,'Train Runs'!$A$13:$A$99944,1,FALSE)</f>
        <v>#N/A</v>
      </c>
    </row>
    <row r="26" spans="1:10" x14ac:dyDescent="0.25">
      <c r="A26" s="185"/>
      <c r="B26" s="43" t="str">
        <f>A26&amp;"-"&amp;IF(DAY(Variables!$A$2)&lt;10,0,"")&amp;DAY(Variables!$A$2)</f>
        <v>-17</v>
      </c>
      <c r="C26" s="147"/>
      <c r="D26" s="165"/>
      <c r="E26" s="30"/>
      <c r="F26" s="21" t="e">
        <f>VLOOKUP(B26,'Trips&amp;Operators'!$C$2:$E$10000,3,FALSE)</f>
        <v>#N/A</v>
      </c>
      <c r="G26" s="21" t="e">
        <f>VLOOKUP(B26,'Trips&amp;Operators'!$C$1:$F$10000,4,FALSE)</f>
        <v>#N/A</v>
      </c>
      <c r="H26" s="29" t="e">
        <f>VLOOKUP(B26,'Trips&amp;Operators'!$C$1:$H$10000,5,FALSE)</f>
        <v>#N/A</v>
      </c>
      <c r="I2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26" s="30" t="e">
        <f>VLOOKUP(B26,'Train Runs'!$A$13:$A$99944,1,FALSE)</f>
        <v>#N/A</v>
      </c>
    </row>
    <row r="27" spans="1:10" x14ac:dyDescent="0.25">
      <c r="A27" s="185"/>
      <c r="B27" s="43" t="str">
        <f>A27&amp;"-"&amp;IF(DAY(Variables!$A$2)&lt;10,0,"")&amp;DAY(Variables!$A$2)</f>
        <v>-17</v>
      </c>
      <c r="C27" s="147"/>
      <c r="D27" s="165"/>
      <c r="E27" s="30"/>
      <c r="F27" s="21" t="e">
        <f>VLOOKUP(B27,'Trips&amp;Operators'!$C$2:$E$10000,3,FALSE)</f>
        <v>#N/A</v>
      </c>
      <c r="G27" s="21" t="e">
        <f>VLOOKUP(B27,'Trips&amp;Operators'!$C$1:$F$10000,4,FALSE)</f>
        <v>#N/A</v>
      </c>
      <c r="H27" s="29" t="e">
        <f>VLOOKUP(B27,'Trips&amp;Operators'!$C$1:$H$10000,5,FALSE)</f>
        <v>#N/A</v>
      </c>
      <c r="I2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27" s="30" t="e">
        <f>VLOOKUP(B27,'Train Runs'!$A$13:$A$99944,1,FALSE)</f>
        <v>#N/A</v>
      </c>
    </row>
    <row r="28" spans="1:10" x14ac:dyDescent="0.25">
      <c r="A28" s="185"/>
      <c r="B28" s="43" t="str">
        <f>A28&amp;"-"&amp;IF(DAY(Variables!$A$2)&lt;10,0,"")&amp;DAY(Variables!$A$2)</f>
        <v>-17</v>
      </c>
      <c r="C28" s="147"/>
      <c r="D28" s="165"/>
      <c r="E28" s="30"/>
      <c r="F28" s="21" t="e">
        <f>VLOOKUP(B28,'Trips&amp;Operators'!$C$2:$E$10000,3,FALSE)</f>
        <v>#N/A</v>
      </c>
      <c r="G28" s="21" t="e">
        <f>VLOOKUP(B28,'Trips&amp;Operators'!$C$1:$F$10000,4,FALSE)</f>
        <v>#N/A</v>
      </c>
      <c r="H28" s="29" t="e">
        <f>VLOOKUP(B28,'Trips&amp;Operators'!$C$1:$H$10000,5,FALSE)</f>
        <v>#N/A</v>
      </c>
      <c r="I2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28" s="30" t="e">
        <f>VLOOKUP(B28,'Train Runs'!$A$13:$A$99944,1,FALSE)</f>
        <v>#N/A</v>
      </c>
    </row>
    <row r="29" spans="1:10" x14ac:dyDescent="0.25">
      <c r="A29" s="185"/>
      <c r="B29" s="43" t="str">
        <f>A29&amp;"-"&amp;IF(DAY(Variables!$A$2)&lt;10,0,"")&amp;DAY(Variables!$A$2)</f>
        <v>-17</v>
      </c>
      <c r="C29" s="147"/>
      <c r="D29" s="165"/>
      <c r="E29" s="30"/>
      <c r="F29" s="21" t="e">
        <f>VLOOKUP(B29,'Trips&amp;Operators'!$C$2:$E$10000,3,FALSE)</f>
        <v>#N/A</v>
      </c>
      <c r="G29" s="21" t="e">
        <f>VLOOKUP(B29,'Trips&amp;Operators'!$C$1:$F$10000,4,FALSE)</f>
        <v>#N/A</v>
      </c>
      <c r="H29" s="29" t="e">
        <f>VLOOKUP(B29,'Trips&amp;Operators'!$C$1:$H$10000,5,FALSE)</f>
        <v>#N/A</v>
      </c>
      <c r="I2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29" s="30" t="e">
        <f>VLOOKUP(B29,'Train Runs'!$A$13:$A$99944,1,FALSE)</f>
        <v>#N/A</v>
      </c>
    </row>
    <row r="30" spans="1:10" x14ac:dyDescent="0.25">
      <c r="A30" s="185"/>
      <c r="B30" s="43" t="str">
        <f>A30&amp;"-"&amp;IF(DAY(Variables!$A$2)&lt;10,0,"")&amp;DAY(Variables!$A$2)</f>
        <v>-17</v>
      </c>
      <c r="C30" s="147"/>
      <c r="D30" s="165"/>
      <c r="E30" s="30"/>
      <c r="F30" s="21" t="e">
        <f>VLOOKUP(B30,'Trips&amp;Operators'!$C$2:$E$10000,3,FALSE)</f>
        <v>#N/A</v>
      </c>
      <c r="G30" s="21" t="e">
        <f>VLOOKUP(B30,'Trips&amp;Operators'!$C$1:$F$10000,4,FALSE)</f>
        <v>#N/A</v>
      </c>
      <c r="H30" s="29" t="e">
        <f>VLOOKUP(B30,'Trips&amp;Operators'!$C$1:$H$10000,5,FALSE)</f>
        <v>#N/A</v>
      </c>
      <c r="I3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30" s="30" t="e">
        <f>VLOOKUP(B30,'Train Runs'!$A$13:$A$99944,1,FALSE)</f>
        <v>#N/A</v>
      </c>
    </row>
    <row r="31" spans="1:10" x14ac:dyDescent="0.25">
      <c r="A31" s="185"/>
      <c r="B31" s="43" t="str">
        <f>A31&amp;"-"&amp;IF(DAY(Variables!$A$2)&lt;10,0,"")&amp;DAY(Variables!$A$2)</f>
        <v>-17</v>
      </c>
      <c r="C31" s="147"/>
      <c r="D31" s="165"/>
      <c r="E31" s="30"/>
      <c r="F31" s="21" t="e">
        <f>VLOOKUP(B31,'Trips&amp;Operators'!$C$2:$E$10000,3,FALSE)</f>
        <v>#N/A</v>
      </c>
      <c r="G31" s="21" t="e">
        <f>VLOOKUP(B31,'Trips&amp;Operators'!$C$1:$F$10000,4,FALSE)</f>
        <v>#N/A</v>
      </c>
      <c r="H31" s="29" t="e">
        <f>VLOOKUP(B31,'Trips&amp;Operators'!$C$1:$H$10000,5,FALSE)</f>
        <v>#N/A</v>
      </c>
      <c r="I3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31" s="30" t="e">
        <f>VLOOKUP(B31,'Train Runs'!$A$13:$A$99944,1,FALSE)</f>
        <v>#N/A</v>
      </c>
    </row>
    <row r="32" spans="1:10" x14ac:dyDescent="0.25">
      <c r="A32" s="185"/>
      <c r="B32" s="43" t="str">
        <f>A32&amp;"-"&amp;IF(DAY(Variables!$A$2)&lt;10,0,"")&amp;DAY(Variables!$A$2)</f>
        <v>-17</v>
      </c>
      <c r="C32" s="147"/>
      <c r="D32" s="165"/>
      <c r="E32" s="30"/>
      <c r="F32" s="21" t="e">
        <f>VLOOKUP(B32,'Trips&amp;Operators'!$C$2:$E$10000,3,FALSE)</f>
        <v>#N/A</v>
      </c>
      <c r="G32" s="21" t="e">
        <f>VLOOKUP(B32,'Trips&amp;Operators'!$C$1:$F$10000,4,FALSE)</f>
        <v>#N/A</v>
      </c>
      <c r="H32" s="29" t="e">
        <f>VLOOKUP(B32,'Trips&amp;Operators'!$C$1:$H$10000,5,FALSE)</f>
        <v>#N/A</v>
      </c>
      <c r="I3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32" s="30" t="e">
        <f>VLOOKUP(B32,'Train Runs'!$A$13:$A$99944,1,FALSE)</f>
        <v>#N/A</v>
      </c>
    </row>
    <row r="33" spans="1:10" x14ac:dyDescent="0.25">
      <c r="A33" s="185"/>
      <c r="B33" s="43" t="str">
        <f>A33&amp;"-"&amp;IF(DAY(Variables!$A$2)&lt;10,0,"")&amp;DAY(Variables!$A$2)</f>
        <v>-17</v>
      </c>
      <c r="C33" s="147"/>
      <c r="D33" s="165"/>
      <c r="E33" s="30"/>
      <c r="F33" s="21" t="e">
        <f>VLOOKUP(B33,'Trips&amp;Operators'!$C$2:$E$10000,3,FALSE)</f>
        <v>#N/A</v>
      </c>
      <c r="G33" s="21" t="e">
        <f>VLOOKUP(B33,'Trips&amp;Operators'!$C$1:$F$10000,4,FALSE)</f>
        <v>#N/A</v>
      </c>
      <c r="H33" s="29" t="e">
        <f>VLOOKUP(B33,'Trips&amp;Operators'!$C$1:$H$10000,5,FALSE)</f>
        <v>#N/A</v>
      </c>
      <c r="I3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33" s="30" t="e">
        <f>VLOOKUP(B33,'Train Runs'!$A$13:$A$99944,1,FALSE)</f>
        <v>#N/A</v>
      </c>
    </row>
    <row r="34" spans="1:10" x14ac:dyDescent="0.25">
      <c r="A34" s="185"/>
      <c r="B34" s="43" t="str">
        <f>A34&amp;"-"&amp;IF(DAY(Variables!$A$2)&lt;10,0,"")&amp;DAY(Variables!$A$2)</f>
        <v>-17</v>
      </c>
      <c r="C34" s="147"/>
      <c r="D34" s="165"/>
      <c r="E34" s="30"/>
      <c r="F34" s="21" t="e">
        <f>VLOOKUP(B34,'Trips&amp;Operators'!$C$2:$E$10000,3,FALSE)</f>
        <v>#N/A</v>
      </c>
      <c r="G34" s="21" t="e">
        <f>VLOOKUP(B34,'Trips&amp;Operators'!$C$1:$F$10000,4,FALSE)</f>
        <v>#N/A</v>
      </c>
      <c r="H34" s="29" t="e">
        <f>VLOOKUP(B34,'Trips&amp;Operators'!$C$1:$H$10000,5,FALSE)</f>
        <v>#N/A</v>
      </c>
      <c r="I3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34" s="30" t="e">
        <f>VLOOKUP(B34,'Train Runs'!$A$13:$A$99944,1,FALSE)</f>
        <v>#N/A</v>
      </c>
    </row>
    <row r="35" spans="1:10" x14ac:dyDescent="0.25">
      <c r="A35" s="185"/>
      <c r="B35" s="43" t="str">
        <f>A35&amp;"-"&amp;IF(DAY(Variables!$A$2)&lt;10,0,"")&amp;DAY(Variables!$A$2)</f>
        <v>-17</v>
      </c>
      <c r="C35" s="147"/>
      <c r="D35" s="165"/>
      <c r="E35" s="30"/>
      <c r="F35" s="21" t="e">
        <f>VLOOKUP(B35,'Trips&amp;Operators'!$C$2:$E$10000,3,FALSE)</f>
        <v>#N/A</v>
      </c>
      <c r="G35" s="21" t="e">
        <f>VLOOKUP(B35,'Trips&amp;Operators'!$C$1:$F$10000,4,FALSE)</f>
        <v>#N/A</v>
      </c>
      <c r="H35" s="29" t="e">
        <f>VLOOKUP(B35,'Trips&amp;Operators'!$C$1:$H$10000,5,FALSE)</f>
        <v>#N/A</v>
      </c>
      <c r="I3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35" s="30" t="e">
        <f>VLOOKUP(B35,'Train Runs'!$A$13:$A$99944,1,FALSE)</f>
        <v>#N/A</v>
      </c>
    </row>
    <row r="36" spans="1:10" x14ac:dyDescent="0.25">
      <c r="A36" s="185"/>
      <c r="B36" s="43" t="str">
        <f>A36&amp;"-"&amp;IF(DAY(Variables!$A$2)&lt;10,0,"")&amp;DAY(Variables!$A$2)</f>
        <v>-17</v>
      </c>
      <c r="C36" s="147"/>
      <c r="D36" s="165"/>
      <c r="E36" s="30"/>
      <c r="F36" s="21" t="e">
        <f>VLOOKUP(B36,'Trips&amp;Operators'!$C$2:$E$10000,3,FALSE)</f>
        <v>#N/A</v>
      </c>
      <c r="G36" s="21" t="e">
        <f>VLOOKUP(B36,'Trips&amp;Operators'!$C$1:$F$10000,4,FALSE)</f>
        <v>#N/A</v>
      </c>
      <c r="H36" s="29" t="e">
        <f>VLOOKUP(B36,'Trips&amp;Operators'!$C$1:$H$10000,5,FALSE)</f>
        <v>#N/A</v>
      </c>
      <c r="I3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36" s="30" t="e">
        <f>VLOOKUP(B36,'Train Runs'!$A$13:$A$99944,1,FALSE)</f>
        <v>#N/A</v>
      </c>
    </row>
    <row r="37" spans="1:10" x14ac:dyDescent="0.25">
      <c r="A37" s="185"/>
      <c r="B37" s="43" t="str">
        <f>A37&amp;"-"&amp;IF(DAY(Variables!$A$2)&lt;10,0,"")&amp;DAY(Variables!$A$2)</f>
        <v>-17</v>
      </c>
      <c r="C37" s="147"/>
      <c r="D37" s="165"/>
      <c r="E37" s="30"/>
      <c r="F37" s="21" t="e">
        <f>VLOOKUP(B37,'Trips&amp;Operators'!$C$2:$E$10000,3,FALSE)</f>
        <v>#N/A</v>
      </c>
      <c r="G37" s="21" t="e">
        <f>VLOOKUP(B37,'Trips&amp;Operators'!$C$1:$F$10000,4,FALSE)</f>
        <v>#N/A</v>
      </c>
      <c r="H37" s="29" t="e">
        <f>VLOOKUP(B37,'Trips&amp;Operators'!$C$1:$H$10000,5,FALSE)</f>
        <v>#N/A</v>
      </c>
      <c r="I3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37" s="30" t="e">
        <f>VLOOKUP(B37,'Train Runs'!$A$13:$A$99944,1,FALSE)</f>
        <v>#N/A</v>
      </c>
    </row>
    <row r="38" spans="1:10" x14ac:dyDescent="0.25">
      <c r="A38" s="185"/>
      <c r="B38" s="43" t="str">
        <f>A38&amp;"-"&amp;IF(DAY(Variables!$A$2)&lt;10,0,"")&amp;DAY(Variables!$A$2)</f>
        <v>-17</v>
      </c>
      <c r="C38" s="147"/>
      <c r="D38" s="165"/>
      <c r="E38" s="30"/>
      <c r="F38" s="21" t="e">
        <f>VLOOKUP(B38,'Trips&amp;Operators'!$C$2:$E$10000,3,FALSE)</f>
        <v>#N/A</v>
      </c>
      <c r="G38" s="21" t="e">
        <f>VLOOKUP(B38,'Trips&amp;Operators'!$C$1:$F$10000,4,FALSE)</f>
        <v>#N/A</v>
      </c>
      <c r="H38" s="29" t="e">
        <f>VLOOKUP(B38,'Trips&amp;Operators'!$C$1:$H$10000,5,FALSE)</f>
        <v>#N/A</v>
      </c>
      <c r="I3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38" s="30" t="e">
        <f>VLOOKUP(B38,'Train Runs'!$A$13:$A$99944,1,FALSE)</f>
        <v>#N/A</v>
      </c>
    </row>
    <row r="39" spans="1:10" x14ac:dyDescent="0.25">
      <c r="A39" s="185"/>
      <c r="B39" s="43" t="str">
        <f>A39&amp;"-"&amp;IF(DAY(Variables!$A$2)&lt;10,0,"")&amp;DAY(Variables!$A$2)</f>
        <v>-17</v>
      </c>
      <c r="C39" s="147"/>
      <c r="D39" s="165"/>
      <c r="E39" s="30"/>
      <c r="F39" s="21" t="e">
        <f>VLOOKUP(B39,'Trips&amp;Operators'!$C$2:$E$10000,3,FALSE)</f>
        <v>#N/A</v>
      </c>
      <c r="G39" s="21" t="e">
        <f>VLOOKUP(B39,'Trips&amp;Operators'!$C$1:$F$10000,4,FALSE)</f>
        <v>#N/A</v>
      </c>
      <c r="H39" s="29" t="e">
        <f>VLOOKUP(B39,'Trips&amp;Operators'!$C$1:$H$10000,5,FALSE)</f>
        <v>#N/A</v>
      </c>
      <c r="I3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39" s="30" t="e">
        <f>VLOOKUP(B39,'Train Runs'!$A$13:$A$99944,1,FALSE)</f>
        <v>#N/A</v>
      </c>
    </row>
    <row r="40" spans="1:10" x14ac:dyDescent="0.25">
      <c r="A40" s="185"/>
      <c r="B40" s="43" t="str">
        <f>A40&amp;"-"&amp;IF(DAY(Variables!$A$2)&lt;10,0,"")&amp;DAY(Variables!$A$2)</f>
        <v>-17</v>
      </c>
      <c r="C40" s="147"/>
      <c r="D40" s="165"/>
      <c r="E40" s="30"/>
      <c r="F40" s="21" t="e">
        <f>VLOOKUP(B40,'Trips&amp;Operators'!$C$2:$E$10000,3,FALSE)</f>
        <v>#N/A</v>
      </c>
      <c r="G40" s="21" t="e">
        <f>VLOOKUP(B40,'Trips&amp;Operators'!$C$1:$F$10000,4,FALSE)</f>
        <v>#N/A</v>
      </c>
      <c r="H40" s="29" t="e">
        <f>VLOOKUP(B40,'Trips&amp;Operators'!$C$1:$H$10000,5,FALSE)</f>
        <v>#N/A</v>
      </c>
      <c r="I4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40" s="30" t="e">
        <f>VLOOKUP(B40,'Train Runs'!$A$13:$A$99944,1,FALSE)</f>
        <v>#N/A</v>
      </c>
    </row>
    <row r="41" spans="1:10" x14ac:dyDescent="0.25">
      <c r="A41" s="185"/>
      <c r="B41" s="43" t="str">
        <f>A41&amp;"-"&amp;IF(DAY(Variables!$A$2)&lt;10,0,"")&amp;DAY(Variables!$A$2)</f>
        <v>-17</v>
      </c>
      <c r="C41" s="147"/>
      <c r="D41" s="165"/>
      <c r="E41" s="30"/>
      <c r="F41" s="21" t="e">
        <f>VLOOKUP(B41,'Trips&amp;Operators'!$C$2:$E$10000,3,FALSE)</f>
        <v>#N/A</v>
      </c>
      <c r="G41" s="21" t="e">
        <f>VLOOKUP(B41,'Trips&amp;Operators'!$C$1:$F$10000,4,FALSE)</f>
        <v>#N/A</v>
      </c>
      <c r="H41" s="29" t="e">
        <f>VLOOKUP(B41,'Trips&amp;Operators'!$C$1:$H$10000,5,FALSE)</f>
        <v>#N/A</v>
      </c>
      <c r="I41" s="46" t="str">
        <f t="shared" ref="I41:I72" si="2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41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41" s="30" t="e">
        <f>VLOOKUP(B41,'Train Runs'!$A$13:$A$99944,1,FALSE)</f>
        <v>#N/A</v>
      </c>
    </row>
    <row r="42" spans="1:10" x14ac:dyDescent="0.25">
      <c r="A42" s="185"/>
      <c r="B42" s="43" t="str">
        <f>A42&amp;"-"&amp;IF(DAY(Variables!$A$2)&lt;10,0,"")&amp;DAY(Variables!$A$2)</f>
        <v>-17</v>
      </c>
      <c r="C42" s="147"/>
      <c r="D42" s="165"/>
      <c r="E42" s="30"/>
      <c r="F42" s="21" t="e">
        <f>VLOOKUP(B42,'Trips&amp;Operators'!$C$2:$E$10000,3,FALSE)</f>
        <v>#N/A</v>
      </c>
      <c r="G42" s="21" t="e">
        <f>VLOOKUP(B42,'Trips&amp;Operators'!$C$1:$F$10000,4,FALSE)</f>
        <v>#N/A</v>
      </c>
      <c r="H42" s="29" t="e">
        <f>VLOOKUP(B42,'Trips&amp;Operators'!$C$1:$H$10000,5,FALSE)</f>
        <v>#N/A</v>
      </c>
      <c r="I4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42" s="30" t="e">
        <f>VLOOKUP(B42,'Train Runs'!$A$13:$A$99944,1,FALSE)</f>
        <v>#N/A</v>
      </c>
    </row>
    <row r="43" spans="1:10" x14ac:dyDescent="0.25">
      <c r="A43" s="185"/>
      <c r="B43" s="43" t="str">
        <f>A43&amp;"-"&amp;IF(DAY(Variables!$A$2)&lt;10,0,"")&amp;DAY(Variables!$A$2)</f>
        <v>-17</v>
      </c>
      <c r="C43" s="147"/>
      <c r="D43" s="165"/>
      <c r="E43" s="30"/>
      <c r="F43" s="21" t="e">
        <f>VLOOKUP(B43,'Trips&amp;Operators'!$C$2:$E$10000,3,FALSE)</f>
        <v>#N/A</v>
      </c>
      <c r="G43" s="21" t="e">
        <f>VLOOKUP(B43,'Trips&amp;Operators'!$C$1:$F$10000,4,FALSE)</f>
        <v>#N/A</v>
      </c>
      <c r="H43" s="29" t="e">
        <f>VLOOKUP(B43,'Trips&amp;Operators'!$C$1:$H$10000,5,FALSE)</f>
        <v>#N/A</v>
      </c>
      <c r="I4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43" s="30" t="e">
        <f>VLOOKUP(B43,'Train Runs'!$A$13:$A$99944,1,FALSE)</f>
        <v>#N/A</v>
      </c>
    </row>
    <row r="44" spans="1:10" x14ac:dyDescent="0.25">
      <c r="A44" s="185"/>
      <c r="B44" s="43" t="str">
        <f>A44&amp;"-"&amp;IF(DAY(Variables!$A$2)&lt;10,0,"")&amp;DAY(Variables!$A$2)</f>
        <v>-17</v>
      </c>
      <c r="C44" s="147"/>
      <c r="D44" s="165"/>
      <c r="E44" s="30"/>
      <c r="F44" s="21" t="e">
        <f>VLOOKUP(B44,'Trips&amp;Operators'!$C$2:$E$10000,3,FALSE)</f>
        <v>#N/A</v>
      </c>
      <c r="G44" s="21" t="e">
        <f>VLOOKUP(B44,'Trips&amp;Operators'!$C$1:$F$10000,4,FALSE)</f>
        <v>#N/A</v>
      </c>
      <c r="H44" s="29" t="e">
        <f>VLOOKUP(B44,'Trips&amp;Operators'!$C$1:$H$10000,5,FALSE)</f>
        <v>#N/A</v>
      </c>
      <c r="I4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44" s="30" t="e">
        <f>VLOOKUP(B44,'Train Runs'!$A$13:$A$99944,1,FALSE)</f>
        <v>#N/A</v>
      </c>
    </row>
    <row r="45" spans="1:10" x14ac:dyDescent="0.25">
      <c r="A45" s="185"/>
      <c r="B45" s="43" t="str">
        <f>A45&amp;"-"&amp;IF(DAY(Variables!$A$2)&lt;10,0,"")&amp;DAY(Variables!$A$2)</f>
        <v>-17</v>
      </c>
      <c r="C45" s="147"/>
      <c r="D45" s="165"/>
      <c r="E45" s="30"/>
      <c r="F45" s="21" t="e">
        <f>VLOOKUP(B45,'Trips&amp;Operators'!$C$2:$E$10000,3,FALSE)</f>
        <v>#N/A</v>
      </c>
      <c r="G45" s="21" t="e">
        <f>VLOOKUP(B45,'Trips&amp;Operators'!$C$1:$F$10000,4,FALSE)</f>
        <v>#N/A</v>
      </c>
      <c r="H45" s="29" t="e">
        <f>VLOOKUP(B45,'Trips&amp;Operators'!$C$1:$H$10000,5,FALSE)</f>
        <v>#N/A</v>
      </c>
      <c r="I4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45" s="30" t="e">
        <f>VLOOKUP(B45,'Train Runs'!$A$13:$A$99944,1,FALSE)</f>
        <v>#N/A</v>
      </c>
    </row>
    <row r="46" spans="1:10" x14ac:dyDescent="0.25">
      <c r="A46" s="185"/>
      <c r="B46" s="43" t="str">
        <f>A46&amp;"-"&amp;IF(DAY(Variables!$A$2)&lt;10,0,"")&amp;DAY(Variables!$A$2)</f>
        <v>-17</v>
      </c>
      <c r="C46" s="147"/>
      <c r="D46" s="165"/>
      <c r="E46" s="30"/>
      <c r="F46" s="21" t="e">
        <f>VLOOKUP(B46,'Trips&amp;Operators'!$C$2:$E$10000,3,FALSE)</f>
        <v>#N/A</v>
      </c>
      <c r="G46" s="21" t="e">
        <f>VLOOKUP(B46,'Trips&amp;Operators'!$C$1:$F$10000,4,FALSE)</f>
        <v>#N/A</v>
      </c>
      <c r="H46" s="29" t="e">
        <f>VLOOKUP(B46,'Trips&amp;Operators'!$C$1:$H$10000,5,FALSE)</f>
        <v>#N/A</v>
      </c>
      <c r="I4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46" s="30" t="e">
        <f>VLOOKUP(B46,'Train Runs'!$A$13:$A$99944,1,FALSE)</f>
        <v>#N/A</v>
      </c>
    </row>
    <row r="47" spans="1:10" x14ac:dyDescent="0.25">
      <c r="A47" s="185"/>
      <c r="B47" s="43" t="str">
        <f>A47&amp;"-"&amp;IF(DAY(Variables!$A$2)&lt;10,0,"")&amp;DAY(Variables!$A$2)</f>
        <v>-17</v>
      </c>
      <c r="C47" s="147"/>
      <c r="D47" s="165"/>
      <c r="E47" s="30"/>
      <c r="F47" s="21" t="e">
        <f>VLOOKUP(B47,'Trips&amp;Operators'!$C$2:$E$10000,3,FALSE)</f>
        <v>#N/A</v>
      </c>
      <c r="G47" s="21" t="e">
        <f>VLOOKUP(B47,'Trips&amp;Operators'!$C$1:$F$10000,4,FALSE)</f>
        <v>#N/A</v>
      </c>
      <c r="H47" s="29" t="e">
        <f>VLOOKUP(B47,'Trips&amp;Operators'!$C$1:$H$10000,5,FALSE)</f>
        <v>#N/A</v>
      </c>
      <c r="I4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47" s="30" t="e">
        <f>VLOOKUP(B47,'Train Runs'!$A$13:$A$99944,1,FALSE)</f>
        <v>#N/A</v>
      </c>
    </row>
    <row r="48" spans="1:10" x14ac:dyDescent="0.25">
      <c r="A48" s="185"/>
      <c r="B48" s="43" t="str">
        <f>A48&amp;"-"&amp;IF(DAY(Variables!$A$2)&lt;10,0,"")&amp;DAY(Variables!$A$2)</f>
        <v>-17</v>
      </c>
      <c r="C48" s="147"/>
      <c r="D48" s="165"/>
      <c r="E48" s="30"/>
      <c r="F48" s="21" t="e">
        <f>VLOOKUP(B48,'Trips&amp;Operators'!$C$2:$E$10000,3,FALSE)</f>
        <v>#N/A</v>
      </c>
      <c r="G48" s="21" t="e">
        <f>VLOOKUP(B48,'Trips&amp;Operators'!$C$1:$F$10000,4,FALSE)</f>
        <v>#N/A</v>
      </c>
      <c r="H48" s="29" t="e">
        <f>VLOOKUP(B48,'Trips&amp;Operators'!$C$1:$H$10000,5,FALSE)</f>
        <v>#N/A</v>
      </c>
      <c r="I4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48" s="30" t="e">
        <f>VLOOKUP(B48,'Train Runs'!$A$13:$A$99944,1,FALSE)</f>
        <v>#N/A</v>
      </c>
    </row>
    <row r="49" spans="1:10" x14ac:dyDescent="0.25">
      <c r="A49" s="185"/>
      <c r="B49" s="43" t="str">
        <f>A49&amp;"-"&amp;IF(DAY(Variables!$A$2)&lt;10,0,"")&amp;DAY(Variables!$A$2)</f>
        <v>-17</v>
      </c>
      <c r="C49" s="147"/>
      <c r="D49" s="165"/>
      <c r="E49" s="30"/>
      <c r="F49" s="21" t="e">
        <f>VLOOKUP(B49,'Trips&amp;Operators'!$C$2:$E$10000,3,FALSE)</f>
        <v>#N/A</v>
      </c>
      <c r="G49" s="21" t="e">
        <f>VLOOKUP(B49,'Trips&amp;Operators'!$C$1:$F$10000,4,FALSE)</f>
        <v>#N/A</v>
      </c>
      <c r="H49" s="29" t="e">
        <f>VLOOKUP(B49,'Trips&amp;Operators'!$C$1:$H$10000,5,FALSE)</f>
        <v>#N/A</v>
      </c>
      <c r="I4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49" s="30" t="e">
        <f>VLOOKUP(B49,'Train Runs'!$A$13:$A$99944,1,FALSE)</f>
        <v>#N/A</v>
      </c>
    </row>
    <row r="50" spans="1:10" x14ac:dyDescent="0.25">
      <c r="A50" s="185"/>
      <c r="B50" s="43" t="str">
        <f>A50&amp;"-"&amp;IF(DAY(Variables!$A$2)&lt;10,0,"")&amp;DAY(Variables!$A$2)</f>
        <v>-17</v>
      </c>
      <c r="C50" s="147"/>
      <c r="D50" s="165"/>
      <c r="E50" s="30"/>
      <c r="F50" s="21" t="e">
        <f>VLOOKUP(B50,'Trips&amp;Operators'!$C$2:$E$10000,3,FALSE)</f>
        <v>#N/A</v>
      </c>
      <c r="G50" s="21" t="e">
        <f>VLOOKUP(B50,'Trips&amp;Operators'!$C$1:$F$10000,4,FALSE)</f>
        <v>#N/A</v>
      </c>
      <c r="H50" s="29" t="e">
        <f>VLOOKUP(B50,'Trips&amp;Operators'!$C$1:$H$10000,5,FALSE)</f>
        <v>#N/A</v>
      </c>
      <c r="I5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50" s="30" t="e">
        <f>VLOOKUP(B50,'Train Runs'!$A$13:$A$99944,1,FALSE)</f>
        <v>#N/A</v>
      </c>
    </row>
    <row r="51" spans="1:10" x14ac:dyDescent="0.25">
      <c r="A51" s="185"/>
      <c r="B51" s="43" t="str">
        <f>A51&amp;"-"&amp;IF(DAY(Variables!$A$2)&lt;10,0,"")&amp;DAY(Variables!$A$2)</f>
        <v>-17</v>
      </c>
      <c r="C51" s="147"/>
      <c r="D51" s="165"/>
      <c r="E51" s="30"/>
      <c r="F51" s="21" t="e">
        <f>VLOOKUP(B51,'Trips&amp;Operators'!$C$2:$E$10000,3,FALSE)</f>
        <v>#N/A</v>
      </c>
      <c r="G51" s="21" t="e">
        <f>VLOOKUP(B51,'Trips&amp;Operators'!$C$1:$F$10000,4,FALSE)</f>
        <v>#N/A</v>
      </c>
      <c r="H51" s="29" t="e">
        <f>VLOOKUP(B51,'Trips&amp;Operators'!$C$1:$H$10000,5,FALSE)</f>
        <v>#N/A</v>
      </c>
      <c r="I5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51" s="30" t="e">
        <f>VLOOKUP(B51,'Train Runs'!$A$13:$A$99944,1,FALSE)</f>
        <v>#N/A</v>
      </c>
    </row>
    <row r="52" spans="1:10" x14ac:dyDescent="0.25">
      <c r="A52" s="185"/>
      <c r="B52" s="43" t="str">
        <f>A52&amp;"-"&amp;IF(DAY(Variables!$A$2)&lt;10,0,"")&amp;DAY(Variables!$A$2)</f>
        <v>-17</v>
      </c>
      <c r="C52" s="147"/>
      <c r="D52" s="165"/>
      <c r="E52" s="30"/>
      <c r="F52" s="21" t="e">
        <f>VLOOKUP(B52,'Trips&amp;Operators'!$C$2:$E$10000,3,FALSE)</f>
        <v>#N/A</v>
      </c>
      <c r="G52" s="21" t="e">
        <f>VLOOKUP(B52,'Trips&amp;Operators'!$C$1:$F$10000,4,FALSE)</f>
        <v>#N/A</v>
      </c>
      <c r="H52" s="29" t="e">
        <f>VLOOKUP(B52,'Trips&amp;Operators'!$C$1:$H$10000,5,FALSE)</f>
        <v>#N/A</v>
      </c>
      <c r="I5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52" s="30" t="e">
        <f>VLOOKUP(B52,'Train Runs'!$A$13:$A$99944,1,FALSE)</f>
        <v>#N/A</v>
      </c>
    </row>
    <row r="53" spans="1:10" x14ac:dyDescent="0.25">
      <c r="A53" s="185"/>
      <c r="B53" s="43" t="str">
        <f>A53&amp;"-"&amp;IF(DAY(Variables!$A$2)&lt;10,0,"")&amp;DAY(Variables!$A$2)</f>
        <v>-17</v>
      </c>
      <c r="C53" s="147"/>
      <c r="D53" s="165"/>
      <c r="E53" s="30"/>
      <c r="F53" s="21" t="e">
        <f>VLOOKUP(B53,'Trips&amp;Operators'!$C$2:$E$10000,3,FALSE)</f>
        <v>#N/A</v>
      </c>
      <c r="G53" s="21" t="e">
        <f>VLOOKUP(B53,'Trips&amp;Operators'!$C$1:$F$10000,4,FALSE)</f>
        <v>#N/A</v>
      </c>
      <c r="H53" s="29" t="e">
        <f>VLOOKUP(B53,'Trips&amp;Operators'!$C$1:$H$10000,5,FALSE)</f>
        <v>#N/A</v>
      </c>
      <c r="I5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53" s="30" t="e">
        <f>VLOOKUP(B53,'Train Runs'!$A$13:$A$99944,1,FALSE)</f>
        <v>#N/A</v>
      </c>
    </row>
    <row r="54" spans="1:10" x14ac:dyDescent="0.25">
      <c r="A54" s="185"/>
      <c r="B54" s="43" t="str">
        <f>A54&amp;"-"&amp;IF(DAY(Variables!$A$2)&lt;10,0,"")&amp;DAY(Variables!$A$2)</f>
        <v>-17</v>
      </c>
      <c r="C54" s="147"/>
      <c r="D54" s="165"/>
      <c r="E54" s="30"/>
      <c r="F54" s="21" t="e">
        <f>VLOOKUP(B54,'Trips&amp;Operators'!$C$2:$E$10000,3,FALSE)</f>
        <v>#N/A</v>
      </c>
      <c r="G54" s="21" t="e">
        <f>VLOOKUP(B54,'Trips&amp;Operators'!$C$1:$F$10000,4,FALSE)</f>
        <v>#N/A</v>
      </c>
      <c r="H54" s="29" t="e">
        <f>VLOOKUP(B54,'Trips&amp;Operators'!$C$1:$H$10000,5,FALSE)</f>
        <v>#N/A</v>
      </c>
      <c r="I5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54" s="30" t="e">
        <f>VLOOKUP(B54,'Train Runs'!$A$13:$A$99944,1,FALSE)</f>
        <v>#N/A</v>
      </c>
    </row>
    <row r="55" spans="1:10" x14ac:dyDescent="0.25">
      <c r="A55" s="185"/>
      <c r="B55" s="43" t="str">
        <f>A55&amp;"-"&amp;IF(DAY(Variables!$A$2)&lt;10,0,"")&amp;DAY(Variables!$A$2)</f>
        <v>-17</v>
      </c>
      <c r="C55" s="147"/>
      <c r="D55" s="165"/>
      <c r="E55" s="30"/>
      <c r="F55" s="21" t="e">
        <f>VLOOKUP(B55,'Trips&amp;Operators'!$C$2:$E$10000,3,FALSE)</f>
        <v>#N/A</v>
      </c>
      <c r="G55" s="21" t="e">
        <f>VLOOKUP(B55,'Trips&amp;Operators'!$C$1:$F$10000,4,FALSE)</f>
        <v>#N/A</v>
      </c>
      <c r="H55" s="29" t="e">
        <f>VLOOKUP(B55,'Trips&amp;Operators'!$C$1:$H$10000,5,FALSE)</f>
        <v>#N/A</v>
      </c>
      <c r="I5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55" s="30" t="e">
        <f>VLOOKUP(B55,'Train Runs'!$A$13:$A$99944,1,FALSE)</f>
        <v>#N/A</v>
      </c>
    </row>
    <row r="56" spans="1:10" x14ac:dyDescent="0.25">
      <c r="A56" s="185"/>
      <c r="B56" s="43" t="str">
        <f>A56&amp;"-"&amp;IF(DAY(Variables!$A$2)&lt;10,0,"")&amp;DAY(Variables!$A$2)</f>
        <v>-17</v>
      </c>
      <c r="C56" s="147"/>
      <c r="D56" s="165"/>
      <c r="E56" s="30"/>
      <c r="F56" s="21" t="e">
        <f>VLOOKUP(B56,'Trips&amp;Operators'!$C$2:$E$10000,3,FALSE)</f>
        <v>#N/A</v>
      </c>
      <c r="G56" s="21" t="e">
        <f>VLOOKUP(B56,'Trips&amp;Operators'!$C$1:$F$10000,4,FALSE)</f>
        <v>#N/A</v>
      </c>
      <c r="H56" s="29" t="e">
        <f>VLOOKUP(B56,'Trips&amp;Operators'!$C$1:$H$10000,5,FALSE)</f>
        <v>#N/A</v>
      </c>
      <c r="I5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56" s="30" t="e">
        <f>VLOOKUP(B56,'Train Runs'!$A$13:$A$99944,1,FALSE)</f>
        <v>#N/A</v>
      </c>
    </row>
    <row r="57" spans="1:10" x14ac:dyDescent="0.25">
      <c r="A57" s="185"/>
      <c r="B57" s="43" t="str">
        <f>A57&amp;"-"&amp;IF(DAY(Variables!$A$2)&lt;10,0,"")&amp;DAY(Variables!$A$2)</f>
        <v>-17</v>
      </c>
      <c r="C57" s="147"/>
      <c r="D57" s="165"/>
      <c r="E57" s="30"/>
      <c r="F57" s="21" t="e">
        <f>VLOOKUP(B57,'Trips&amp;Operators'!$C$2:$E$10000,3,FALSE)</f>
        <v>#N/A</v>
      </c>
      <c r="G57" s="21" t="e">
        <f>VLOOKUP(B57,'Trips&amp;Operators'!$C$1:$F$10000,4,FALSE)</f>
        <v>#N/A</v>
      </c>
      <c r="H57" s="29" t="e">
        <f>VLOOKUP(B57,'Trips&amp;Operators'!$C$1:$H$10000,5,FALSE)</f>
        <v>#N/A</v>
      </c>
      <c r="I5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57" s="30" t="e">
        <f>VLOOKUP(B57,'Train Runs'!$A$13:$A$99944,1,FALSE)</f>
        <v>#N/A</v>
      </c>
    </row>
    <row r="58" spans="1:10" x14ac:dyDescent="0.25">
      <c r="A58" s="185"/>
      <c r="B58" s="43" t="str">
        <f>A58&amp;"-"&amp;IF(DAY(Variables!$A$2)&lt;10,0,"")&amp;DAY(Variables!$A$2)</f>
        <v>-17</v>
      </c>
      <c r="C58" s="147"/>
      <c r="D58" s="165"/>
      <c r="E58" s="30"/>
      <c r="F58" s="21" t="e">
        <f>VLOOKUP(B58,'Trips&amp;Operators'!$C$2:$E$10000,3,FALSE)</f>
        <v>#N/A</v>
      </c>
      <c r="G58" s="21" t="e">
        <f>VLOOKUP(B58,'Trips&amp;Operators'!$C$1:$F$10000,4,FALSE)</f>
        <v>#N/A</v>
      </c>
      <c r="H58" s="29" t="e">
        <f>VLOOKUP(B58,'Trips&amp;Operators'!$C$1:$H$10000,5,FALSE)</f>
        <v>#N/A</v>
      </c>
      <c r="I5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58" s="30" t="e">
        <f>VLOOKUP(B58,'Train Runs'!$A$13:$A$99944,1,FALSE)</f>
        <v>#N/A</v>
      </c>
    </row>
    <row r="59" spans="1:10" x14ac:dyDescent="0.25">
      <c r="A59" s="185"/>
      <c r="B59" s="43" t="str">
        <f>A59&amp;"-"&amp;IF(DAY(Variables!$A$2)&lt;10,0,"")&amp;DAY(Variables!$A$2)</f>
        <v>-17</v>
      </c>
      <c r="C59" s="147"/>
      <c r="D59" s="165"/>
      <c r="E59" s="30"/>
      <c r="F59" s="21" t="e">
        <f>VLOOKUP(B59,'Trips&amp;Operators'!$C$2:$E$10000,3,FALSE)</f>
        <v>#N/A</v>
      </c>
      <c r="G59" s="21" t="e">
        <f>VLOOKUP(B59,'Trips&amp;Operators'!$C$1:$F$10000,4,FALSE)</f>
        <v>#N/A</v>
      </c>
      <c r="H59" s="29" t="e">
        <f>VLOOKUP(B59,'Trips&amp;Operators'!$C$1:$H$10000,5,FALSE)</f>
        <v>#N/A</v>
      </c>
      <c r="I5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59" s="30" t="e">
        <f>VLOOKUP(B59,'Train Runs'!$A$13:$A$99944,1,FALSE)</f>
        <v>#N/A</v>
      </c>
    </row>
    <row r="60" spans="1:10" x14ac:dyDescent="0.25">
      <c r="A60" s="185"/>
      <c r="B60" s="43" t="str">
        <f>A60&amp;"-"&amp;IF(DAY(Variables!$A$2)&lt;10,0,"")&amp;DAY(Variables!$A$2)</f>
        <v>-17</v>
      </c>
      <c r="C60" s="147"/>
      <c r="D60" s="165"/>
      <c r="E60" s="30"/>
      <c r="F60" s="21" t="e">
        <f>VLOOKUP(B60,'Trips&amp;Operators'!$C$2:$E$10000,3,FALSE)</f>
        <v>#N/A</v>
      </c>
      <c r="G60" s="21" t="e">
        <f>VLOOKUP(B60,'Trips&amp;Operators'!$C$1:$F$10000,4,FALSE)</f>
        <v>#N/A</v>
      </c>
      <c r="H60" s="29" t="e">
        <f>VLOOKUP(B60,'Trips&amp;Operators'!$C$1:$H$10000,5,FALSE)</f>
        <v>#N/A</v>
      </c>
      <c r="I6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60" s="30" t="e">
        <f>VLOOKUP(B60,'Train Runs'!$A$13:$A$99944,1,FALSE)</f>
        <v>#N/A</v>
      </c>
    </row>
    <row r="61" spans="1:10" x14ac:dyDescent="0.25">
      <c r="A61" s="185"/>
      <c r="B61" s="43" t="str">
        <f>A61&amp;"-"&amp;IF(DAY(Variables!$A$2)&lt;10,0,"")&amp;DAY(Variables!$A$2)</f>
        <v>-17</v>
      </c>
      <c r="C61" s="147"/>
      <c r="D61" s="165"/>
      <c r="E61" s="30"/>
      <c r="F61" s="21" t="e">
        <f>VLOOKUP(B61,'Trips&amp;Operators'!$C$2:$E$10000,3,FALSE)</f>
        <v>#N/A</v>
      </c>
      <c r="G61" s="21" t="e">
        <f>VLOOKUP(B61,'Trips&amp;Operators'!$C$1:$F$10000,4,FALSE)</f>
        <v>#N/A</v>
      </c>
      <c r="H61" s="29" t="e">
        <f>VLOOKUP(B61,'Trips&amp;Operators'!$C$1:$H$10000,5,FALSE)</f>
        <v>#N/A</v>
      </c>
      <c r="I6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61" s="30" t="e">
        <f>VLOOKUP(B61,'Train Runs'!$A$13:$A$99944,1,FALSE)</f>
        <v>#N/A</v>
      </c>
    </row>
    <row r="62" spans="1:10" x14ac:dyDescent="0.25">
      <c r="A62" s="185"/>
      <c r="B62" s="43" t="str">
        <f>A62&amp;"-"&amp;IF(DAY(Variables!$A$2)&lt;10,0,"")&amp;DAY(Variables!$A$2)</f>
        <v>-17</v>
      </c>
      <c r="C62" s="147"/>
      <c r="D62" s="165"/>
      <c r="E62" s="30"/>
      <c r="F62" s="21" t="e">
        <f>VLOOKUP(B62,'Trips&amp;Operators'!$C$2:$E$10000,3,FALSE)</f>
        <v>#N/A</v>
      </c>
      <c r="G62" s="21" t="e">
        <f>VLOOKUP(B62,'Trips&amp;Operators'!$C$1:$F$10000,4,FALSE)</f>
        <v>#N/A</v>
      </c>
      <c r="H62" s="29" t="e">
        <f>VLOOKUP(B62,'Trips&amp;Operators'!$C$1:$H$10000,5,FALSE)</f>
        <v>#N/A</v>
      </c>
      <c r="I6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62" s="30" t="e">
        <f>VLOOKUP(B62,'Train Runs'!$A$13:$A$99944,1,FALSE)</f>
        <v>#N/A</v>
      </c>
    </row>
    <row r="63" spans="1:10" x14ac:dyDescent="0.25">
      <c r="A63" s="185"/>
      <c r="B63" s="43" t="str">
        <f>A63&amp;"-"&amp;IF(DAY(Variables!$A$2)&lt;10,0,"")&amp;DAY(Variables!$A$2)</f>
        <v>-17</v>
      </c>
      <c r="C63" s="147"/>
      <c r="D63" s="165"/>
      <c r="E63" s="30"/>
      <c r="F63" s="21" t="e">
        <f>VLOOKUP(B63,'Trips&amp;Operators'!$C$2:$E$10000,3,FALSE)</f>
        <v>#N/A</v>
      </c>
      <c r="G63" s="21" t="e">
        <f>VLOOKUP(B63,'Trips&amp;Operators'!$C$1:$F$10000,4,FALSE)</f>
        <v>#N/A</v>
      </c>
      <c r="H63" s="29" t="e">
        <f>VLOOKUP(B63,'Trips&amp;Operators'!$C$1:$H$10000,5,FALSE)</f>
        <v>#N/A</v>
      </c>
      <c r="I6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63" s="30" t="e">
        <f>VLOOKUP(B63,'Train Runs'!$A$13:$A$99944,1,FALSE)</f>
        <v>#N/A</v>
      </c>
    </row>
    <row r="64" spans="1:10" x14ac:dyDescent="0.25">
      <c r="A64" s="185"/>
      <c r="B64" s="43" t="str">
        <f>A64&amp;"-"&amp;IF(DAY(Variables!$A$2)&lt;10,0,"")&amp;DAY(Variables!$A$2)</f>
        <v>-17</v>
      </c>
      <c r="C64" s="147"/>
      <c r="D64" s="165"/>
      <c r="E64" s="30"/>
      <c r="F64" s="21" t="e">
        <f>VLOOKUP(B64,'Trips&amp;Operators'!$C$2:$E$10000,3,FALSE)</f>
        <v>#N/A</v>
      </c>
      <c r="G64" s="21" t="e">
        <f>VLOOKUP(B64,'Trips&amp;Operators'!$C$1:$F$10000,4,FALSE)</f>
        <v>#N/A</v>
      </c>
      <c r="H64" s="29" t="e">
        <f>VLOOKUP(B64,'Trips&amp;Operators'!$C$1:$H$10000,5,FALSE)</f>
        <v>#N/A</v>
      </c>
      <c r="I6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64" s="30" t="e">
        <f>VLOOKUP(B64,'Train Runs'!$A$13:$A$99944,1,FALSE)</f>
        <v>#N/A</v>
      </c>
    </row>
    <row r="65" spans="1:10" x14ac:dyDescent="0.25">
      <c r="A65" s="185"/>
      <c r="B65" s="43" t="str">
        <f>A65&amp;"-"&amp;IF(DAY(Variables!$A$2)&lt;10,0,"")&amp;DAY(Variables!$A$2)</f>
        <v>-17</v>
      </c>
      <c r="C65" s="147"/>
      <c r="D65" s="165"/>
      <c r="E65" s="30"/>
      <c r="F65" s="21" t="e">
        <f>VLOOKUP(B65,'Trips&amp;Operators'!$C$2:$E$10000,3,FALSE)</f>
        <v>#N/A</v>
      </c>
      <c r="G65" s="21" t="e">
        <f>VLOOKUP(B65,'Trips&amp;Operators'!$C$1:$F$10000,4,FALSE)</f>
        <v>#N/A</v>
      </c>
      <c r="H65" s="29" t="e">
        <f>VLOOKUP(B65,'Trips&amp;Operators'!$C$1:$H$10000,5,FALSE)</f>
        <v>#N/A</v>
      </c>
      <c r="I6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65" s="30" t="e">
        <f>VLOOKUP(B65,'Train Runs'!$A$13:$A$99944,1,FALSE)</f>
        <v>#N/A</v>
      </c>
    </row>
    <row r="66" spans="1:10" x14ac:dyDescent="0.25">
      <c r="A66" s="185"/>
      <c r="B66" s="43" t="str">
        <f>A66&amp;"-"&amp;IF(DAY(Variables!$A$2)&lt;10,0,"")&amp;DAY(Variables!$A$2)</f>
        <v>-17</v>
      </c>
      <c r="C66" s="147"/>
      <c r="D66" s="165"/>
      <c r="E66" s="30"/>
      <c r="F66" s="21" t="e">
        <f>VLOOKUP(B66,'Trips&amp;Operators'!$C$2:$E$10000,3,FALSE)</f>
        <v>#N/A</v>
      </c>
      <c r="G66" s="21" t="e">
        <f>VLOOKUP(B66,'Trips&amp;Operators'!$C$1:$F$10000,4,FALSE)</f>
        <v>#N/A</v>
      </c>
      <c r="H66" s="29" t="e">
        <f>VLOOKUP(B66,'Trips&amp;Operators'!$C$1:$H$10000,5,FALSE)</f>
        <v>#N/A</v>
      </c>
      <c r="I6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66" s="30" t="e">
        <f>VLOOKUP(B66,'Train Runs'!$A$13:$A$99944,1,FALSE)</f>
        <v>#N/A</v>
      </c>
    </row>
    <row r="67" spans="1:10" x14ac:dyDescent="0.25">
      <c r="A67" s="185"/>
      <c r="B67" s="43" t="str">
        <f>A67&amp;"-"&amp;IF(DAY(Variables!$A$2)&lt;10,0,"")&amp;DAY(Variables!$A$2)</f>
        <v>-17</v>
      </c>
      <c r="C67" s="147"/>
      <c r="D67" s="165"/>
      <c r="E67" s="30"/>
      <c r="F67" s="21" t="e">
        <f>VLOOKUP(B67,'Trips&amp;Operators'!$C$2:$E$10000,3,FALSE)</f>
        <v>#N/A</v>
      </c>
      <c r="G67" s="21" t="e">
        <f>VLOOKUP(B67,'Trips&amp;Operators'!$C$1:$F$10000,4,FALSE)</f>
        <v>#N/A</v>
      </c>
      <c r="H67" s="29" t="e">
        <f>VLOOKUP(B67,'Trips&amp;Operators'!$C$1:$H$10000,5,FALSE)</f>
        <v>#N/A</v>
      </c>
      <c r="I6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67" s="30" t="e">
        <f>VLOOKUP(B67,'Train Runs'!$A$13:$A$99944,1,FALSE)</f>
        <v>#N/A</v>
      </c>
    </row>
    <row r="68" spans="1:10" x14ac:dyDescent="0.25">
      <c r="A68" s="185"/>
      <c r="B68" s="43" t="str">
        <f>A68&amp;"-"&amp;IF(DAY(Variables!$A$2)&lt;10,0,"")&amp;DAY(Variables!$A$2)</f>
        <v>-17</v>
      </c>
      <c r="C68" s="147"/>
      <c r="D68" s="165"/>
      <c r="E68" s="30"/>
      <c r="F68" s="21" t="e">
        <f>VLOOKUP(B68,'Trips&amp;Operators'!$C$2:$E$10000,3,FALSE)</f>
        <v>#N/A</v>
      </c>
      <c r="G68" s="21" t="e">
        <f>VLOOKUP(B68,'Trips&amp;Operators'!$C$1:$F$10000,4,FALSE)</f>
        <v>#N/A</v>
      </c>
      <c r="H68" s="29" t="e">
        <f>VLOOKUP(B68,'Trips&amp;Operators'!$C$1:$H$10000,5,FALSE)</f>
        <v>#N/A</v>
      </c>
      <c r="I6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68" s="30" t="e">
        <f>VLOOKUP(B68,'Train Runs'!$A$13:$A$99944,1,FALSE)</f>
        <v>#N/A</v>
      </c>
    </row>
    <row r="69" spans="1:10" x14ac:dyDescent="0.25">
      <c r="A69" s="185"/>
      <c r="B69" s="43" t="str">
        <f>A69&amp;"-"&amp;IF(DAY(Variables!$A$2)&lt;10,0,"")&amp;DAY(Variables!$A$2)</f>
        <v>-17</v>
      </c>
      <c r="C69" s="147"/>
      <c r="D69" s="165"/>
      <c r="E69" s="30"/>
      <c r="F69" s="21" t="e">
        <f>VLOOKUP(B69,'Trips&amp;Operators'!$C$2:$E$10000,3,FALSE)</f>
        <v>#N/A</v>
      </c>
      <c r="G69" s="21" t="e">
        <f>VLOOKUP(B69,'Trips&amp;Operators'!$C$1:$F$10000,4,FALSE)</f>
        <v>#N/A</v>
      </c>
      <c r="H69" s="29" t="e">
        <f>VLOOKUP(B69,'Trips&amp;Operators'!$C$1:$H$10000,5,FALSE)</f>
        <v>#N/A</v>
      </c>
      <c r="I6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69" s="30" t="e">
        <f>VLOOKUP(B69,'Train Runs'!$A$13:$A$99944,1,FALSE)</f>
        <v>#N/A</v>
      </c>
    </row>
    <row r="70" spans="1:10" x14ac:dyDescent="0.25">
      <c r="A70" s="185"/>
      <c r="B70" s="43" t="str">
        <f>A70&amp;"-"&amp;IF(DAY(Variables!$A$2)&lt;10,0,"")&amp;DAY(Variables!$A$2)</f>
        <v>-17</v>
      </c>
      <c r="C70" s="147"/>
      <c r="D70" s="165"/>
      <c r="E70" s="30"/>
      <c r="F70" s="21" t="e">
        <f>VLOOKUP(B70,'Trips&amp;Operators'!$C$2:$E$10000,3,FALSE)</f>
        <v>#N/A</v>
      </c>
      <c r="G70" s="21" t="e">
        <f>VLOOKUP(B70,'Trips&amp;Operators'!$C$1:$F$10000,4,FALSE)</f>
        <v>#N/A</v>
      </c>
      <c r="H70" s="29" t="e">
        <f>VLOOKUP(B70,'Trips&amp;Operators'!$C$1:$H$10000,5,FALSE)</f>
        <v>#N/A</v>
      </c>
      <c r="I7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70" s="30" t="e">
        <f>VLOOKUP(B70,'Train Runs'!$A$13:$A$99944,1,FALSE)</f>
        <v>#N/A</v>
      </c>
    </row>
    <row r="71" spans="1:10" x14ac:dyDescent="0.25">
      <c r="A71" s="185"/>
      <c r="B71" s="43" t="str">
        <f>A71&amp;"-"&amp;IF(DAY(Variables!$A$2)&lt;10,0,"")&amp;DAY(Variables!$A$2)</f>
        <v>-17</v>
      </c>
      <c r="C71" s="147"/>
      <c r="D71" s="165"/>
      <c r="E71" s="30"/>
      <c r="F71" s="21" t="e">
        <f>VLOOKUP(B71,'Trips&amp;Operators'!$C$2:$E$10000,3,FALSE)</f>
        <v>#N/A</v>
      </c>
      <c r="G71" s="21" t="e">
        <f>VLOOKUP(B71,'Trips&amp;Operators'!$C$1:$F$10000,4,FALSE)</f>
        <v>#N/A</v>
      </c>
      <c r="H71" s="29" t="e">
        <f>VLOOKUP(B71,'Trips&amp;Operators'!$C$1:$H$10000,5,FALSE)</f>
        <v>#N/A</v>
      </c>
      <c r="I7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71" s="30" t="e">
        <f>VLOOKUP(B71,'Train Runs'!$A$13:$A$99944,1,FALSE)</f>
        <v>#N/A</v>
      </c>
    </row>
    <row r="72" spans="1:10" x14ac:dyDescent="0.25">
      <c r="A72" s="185"/>
      <c r="B72" s="43" t="str">
        <f>A72&amp;"-"&amp;IF(DAY(Variables!$A$2)&lt;10,0,"")&amp;DAY(Variables!$A$2)</f>
        <v>-17</v>
      </c>
      <c r="C72" s="147"/>
      <c r="D72" s="165"/>
      <c r="E72" s="30"/>
      <c r="F72" s="21" t="e">
        <f>VLOOKUP(B72,'Trips&amp;Operators'!$C$2:$E$10000,3,FALSE)</f>
        <v>#N/A</v>
      </c>
      <c r="G72" s="21" t="e">
        <f>VLOOKUP(B72,'Trips&amp;Operators'!$C$1:$F$10000,4,FALSE)</f>
        <v>#N/A</v>
      </c>
      <c r="H72" s="29" t="e">
        <f>VLOOKUP(B72,'Trips&amp;Operators'!$C$1:$H$10000,5,FALSE)</f>
        <v>#N/A</v>
      </c>
      <c r="I7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72" s="30" t="e">
        <f>VLOOKUP(B72,'Train Runs'!$A$13:$A$99944,1,FALSE)</f>
        <v>#N/A</v>
      </c>
    </row>
    <row r="73" spans="1:10" x14ac:dyDescent="0.25">
      <c r="A73" s="185"/>
      <c r="B73" s="43" t="str">
        <f>A73&amp;"-"&amp;IF(DAY(Variables!$A$2)&lt;10,0,"")&amp;DAY(Variables!$A$2)</f>
        <v>-17</v>
      </c>
      <c r="C73" s="147"/>
      <c r="D73" s="165"/>
      <c r="E73" s="30"/>
      <c r="F73" s="21" t="e">
        <f>VLOOKUP(B73,'Trips&amp;Operators'!$C$2:$E$10000,3,FALSE)</f>
        <v>#N/A</v>
      </c>
      <c r="G73" s="21" t="e">
        <f>VLOOKUP(B73,'Trips&amp;Operators'!$C$1:$F$10000,4,FALSE)</f>
        <v>#N/A</v>
      </c>
      <c r="H73" s="29" t="e">
        <f>VLOOKUP(B73,'Trips&amp;Operators'!$C$1:$H$10000,5,FALSE)</f>
        <v>#N/A</v>
      </c>
      <c r="I73" s="46" t="str">
        <f t="shared" ref="I73:I94" si="3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73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73" s="30" t="e">
        <f>VLOOKUP(B73,'Train Runs'!$A$13:$A$99944,1,FALSE)</f>
        <v>#N/A</v>
      </c>
    </row>
    <row r="74" spans="1:10" x14ac:dyDescent="0.25">
      <c r="A74" s="185"/>
      <c r="B74" s="43" t="str">
        <f>A74&amp;"-"&amp;IF(DAY(Variables!$A$2)&lt;10,0,"")&amp;DAY(Variables!$A$2)</f>
        <v>-17</v>
      </c>
      <c r="C74" s="147"/>
      <c r="D74" s="165"/>
      <c r="E74" s="30"/>
      <c r="F74" s="21" t="e">
        <f>VLOOKUP(B74,'Trips&amp;Operators'!$C$2:$E$10000,3,FALSE)</f>
        <v>#N/A</v>
      </c>
      <c r="G74" s="21" t="e">
        <f>VLOOKUP(B74,'Trips&amp;Operators'!$C$1:$F$10000,4,FALSE)</f>
        <v>#N/A</v>
      </c>
      <c r="H74" s="29" t="e">
        <f>VLOOKUP(B74,'Trips&amp;Operators'!$C$1:$H$10000,5,FALSE)</f>
        <v>#N/A</v>
      </c>
      <c r="I74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74" s="30" t="e">
        <f>VLOOKUP(B74,'Train Runs'!$A$13:$A$99944,1,FALSE)</f>
        <v>#N/A</v>
      </c>
    </row>
    <row r="75" spans="1:10" x14ac:dyDescent="0.25">
      <c r="A75" s="185"/>
      <c r="B75" s="43" t="str">
        <f>A75&amp;"-"&amp;IF(DAY(Variables!$A$2)&lt;10,0,"")&amp;DAY(Variables!$A$2)</f>
        <v>-17</v>
      </c>
      <c r="C75" s="147"/>
      <c r="D75" s="165"/>
      <c r="E75" s="30"/>
      <c r="F75" s="21" t="e">
        <f>VLOOKUP(B75,'Trips&amp;Operators'!$C$2:$E$10000,3,FALSE)</f>
        <v>#N/A</v>
      </c>
      <c r="G75" s="21" t="e">
        <f>VLOOKUP(B75,'Trips&amp;Operators'!$C$1:$F$10000,4,FALSE)</f>
        <v>#N/A</v>
      </c>
      <c r="H75" s="29" t="e">
        <f>VLOOKUP(B75,'Trips&amp;Operators'!$C$1:$H$10000,5,FALSE)</f>
        <v>#N/A</v>
      </c>
      <c r="I75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75" s="30" t="e">
        <f>VLOOKUP(B75,'Train Runs'!$A$13:$A$99944,1,FALSE)</f>
        <v>#N/A</v>
      </c>
    </row>
    <row r="76" spans="1:10" x14ac:dyDescent="0.25">
      <c r="A76" s="185"/>
      <c r="B76" s="43" t="str">
        <f>A76&amp;"-"&amp;IF(DAY(Variables!$A$2)&lt;10,0,"")&amp;DAY(Variables!$A$2)</f>
        <v>-17</v>
      </c>
      <c r="C76" s="147"/>
      <c r="D76" s="165"/>
      <c r="E76" s="30"/>
      <c r="F76" s="21" t="e">
        <f>VLOOKUP(B76,'Trips&amp;Operators'!$C$2:$E$10000,3,FALSE)</f>
        <v>#N/A</v>
      </c>
      <c r="G76" s="21" t="e">
        <f>VLOOKUP(B76,'Trips&amp;Operators'!$C$1:$F$10000,4,FALSE)</f>
        <v>#N/A</v>
      </c>
      <c r="H76" s="29" t="e">
        <f>VLOOKUP(B76,'Trips&amp;Operators'!$C$1:$H$10000,5,FALSE)</f>
        <v>#N/A</v>
      </c>
      <c r="I76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76" s="30" t="e">
        <f>VLOOKUP(B76,'Train Runs'!$A$13:$A$99944,1,FALSE)</f>
        <v>#N/A</v>
      </c>
    </row>
    <row r="77" spans="1:10" x14ac:dyDescent="0.25">
      <c r="A77" s="185"/>
      <c r="B77" s="43" t="str">
        <f>A77&amp;"-"&amp;IF(DAY(Variables!$A$2)&lt;10,0,"")&amp;DAY(Variables!$A$2)</f>
        <v>-17</v>
      </c>
      <c r="C77" s="147"/>
      <c r="D77" s="165"/>
      <c r="E77" s="30"/>
      <c r="F77" s="21" t="e">
        <f>VLOOKUP(B77,'Trips&amp;Operators'!$C$2:$E$10000,3,FALSE)</f>
        <v>#N/A</v>
      </c>
      <c r="G77" s="21" t="e">
        <f>VLOOKUP(B77,'Trips&amp;Operators'!$C$1:$F$10000,4,FALSE)</f>
        <v>#N/A</v>
      </c>
      <c r="H77" s="29" t="e">
        <f>VLOOKUP(B77,'Trips&amp;Operators'!$C$1:$H$10000,5,FALSE)</f>
        <v>#N/A</v>
      </c>
      <c r="I77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77" s="30" t="e">
        <f>VLOOKUP(B77,'Train Runs'!$A$13:$A$99944,1,FALSE)</f>
        <v>#N/A</v>
      </c>
    </row>
    <row r="78" spans="1:10" x14ac:dyDescent="0.25">
      <c r="A78" s="185"/>
      <c r="B78" s="43" t="str">
        <f>A78&amp;"-"&amp;IF(DAY(Variables!$A$2)&lt;10,0,"")&amp;DAY(Variables!$A$2)</f>
        <v>-17</v>
      </c>
      <c r="C78" s="147"/>
      <c r="D78" s="165"/>
      <c r="E78" s="30"/>
      <c r="F78" s="21" t="e">
        <f>VLOOKUP(B78,'Trips&amp;Operators'!$C$2:$E$10000,3,FALSE)</f>
        <v>#N/A</v>
      </c>
      <c r="G78" s="21" t="e">
        <f>VLOOKUP(B78,'Trips&amp;Operators'!$C$1:$F$10000,4,FALSE)</f>
        <v>#N/A</v>
      </c>
      <c r="H78" s="29" t="e">
        <f>VLOOKUP(B78,'Trips&amp;Operators'!$C$1:$H$10000,5,FALSE)</f>
        <v>#N/A</v>
      </c>
      <c r="I78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78" s="30" t="e">
        <f>VLOOKUP(B78,'Train Runs'!$A$13:$A$99944,1,FALSE)</f>
        <v>#N/A</v>
      </c>
    </row>
    <row r="79" spans="1:10" x14ac:dyDescent="0.25">
      <c r="A79" s="185"/>
      <c r="B79" s="43" t="str">
        <f>A79&amp;"-"&amp;IF(DAY(Variables!$A$2)&lt;10,0,"")&amp;DAY(Variables!$A$2)</f>
        <v>-17</v>
      </c>
      <c r="C79" s="147"/>
      <c r="D79" s="165"/>
      <c r="E79" s="30"/>
      <c r="F79" s="21" t="e">
        <f>VLOOKUP(B79,'Trips&amp;Operators'!$C$2:$E$10000,3,FALSE)</f>
        <v>#N/A</v>
      </c>
      <c r="G79" s="21" t="e">
        <f>VLOOKUP(B79,'Trips&amp;Operators'!$C$1:$F$10000,4,FALSE)</f>
        <v>#N/A</v>
      </c>
      <c r="H79" s="29" t="e">
        <f>VLOOKUP(B79,'Trips&amp;Operators'!$C$1:$H$10000,5,FALSE)</f>
        <v>#N/A</v>
      </c>
      <c r="I79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79" s="30" t="e">
        <f>VLOOKUP(B79,'Train Runs'!$A$13:$A$99944,1,FALSE)</f>
        <v>#N/A</v>
      </c>
    </row>
    <row r="80" spans="1:10" x14ac:dyDescent="0.25">
      <c r="A80" s="185"/>
      <c r="B80" s="43" t="str">
        <f>A80&amp;"-"&amp;IF(DAY(Variables!$A$2)&lt;10,0,"")&amp;DAY(Variables!$A$2)</f>
        <v>-17</v>
      </c>
      <c r="C80" s="147"/>
      <c r="D80" s="165"/>
      <c r="E80" s="30"/>
      <c r="F80" s="21" t="e">
        <f>VLOOKUP(B80,'Trips&amp;Operators'!$C$2:$E$10000,3,FALSE)</f>
        <v>#N/A</v>
      </c>
      <c r="G80" s="21" t="e">
        <f>VLOOKUP(B80,'Trips&amp;Operators'!$C$1:$F$10000,4,FALSE)</f>
        <v>#N/A</v>
      </c>
      <c r="H80" s="29" t="e">
        <f>VLOOKUP(B80,'Trips&amp;Operators'!$C$1:$H$10000,5,FALSE)</f>
        <v>#N/A</v>
      </c>
      <c r="I80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80" s="30" t="e">
        <f>VLOOKUP(B80,'Train Runs'!$A$13:$A$99944,1,FALSE)</f>
        <v>#N/A</v>
      </c>
    </row>
    <row r="81" spans="1:10" x14ac:dyDescent="0.25">
      <c r="A81" s="185"/>
      <c r="B81" s="43" t="str">
        <f>A81&amp;"-"&amp;IF(DAY(Variables!$A$2)&lt;10,0,"")&amp;DAY(Variables!$A$2)</f>
        <v>-17</v>
      </c>
      <c r="C81" s="147"/>
      <c r="D81" s="165"/>
      <c r="E81" s="30"/>
      <c r="F81" s="21" t="e">
        <f>VLOOKUP(B81,'Trips&amp;Operators'!$C$2:$E$10000,3,FALSE)</f>
        <v>#N/A</v>
      </c>
      <c r="G81" s="21" t="e">
        <f>VLOOKUP(B81,'Trips&amp;Operators'!$C$1:$F$10000,4,FALSE)</f>
        <v>#N/A</v>
      </c>
      <c r="H81" s="29" t="e">
        <f>VLOOKUP(B81,'Trips&amp;Operators'!$C$1:$H$10000,5,FALSE)</f>
        <v>#N/A</v>
      </c>
      <c r="I81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81" s="30" t="e">
        <f>VLOOKUP(B81,'Train Runs'!$A$13:$A$99944,1,FALSE)</f>
        <v>#N/A</v>
      </c>
    </row>
    <row r="82" spans="1:10" x14ac:dyDescent="0.25">
      <c r="A82" s="185"/>
      <c r="B82" s="43" t="str">
        <f>A82&amp;"-"&amp;IF(DAY(Variables!$A$2)&lt;10,0,"")&amp;DAY(Variables!$A$2)</f>
        <v>-17</v>
      </c>
      <c r="C82" s="147"/>
      <c r="D82" s="165"/>
      <c r="E82" s="30"/>
      <c r="F82" s="21" t="e">
        <f>VLOOKUP(B82,'Trips&amp;Operators'!$C$2:$E$10000,3,FALSE)</f>
        <v>#N/A</v>
      </c>
      <c r="G82" s="21" t="e">
        <f>VLOOKUP(B82,'Trips&amp;Operators'!$C$1:$F$10000,4,FALSE)</f>
        <v>#N/A</v>
      </c>
      <c r="H82" s="29" t="e">
        <f>VLOOKUP(B82,'Trips&amp;Operators'!$C$1:$H$10000,5,FALSE)</f>
        <v>#N/A</v>
      </c>
      <c r="I82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82" s="30" t="e">
        <f>VLOOKUP(B82,'Train Runs'!$A$13:$A$99944,1,FALSE)</f>
        <v>#N/A</v>
      </c>
    </row>
    <row r="83" spans="1:10" x14ac:dyDescent="0.25">
      <c r="A83" s="185"/>
      <c r="B83" s="43" t="str">
        <f>A83&amp;"-"&amp;IF(DAY(Variables!$A$2)&lt;10,0,"")&amp;DAY(Variables!$A$2)</f>
        <v>-17</v>
      </c>
      <c r="C83" s="147"/>
      <c r="D83" s="165"/>
      <c r="E83" s="30"/>
      <c r="F83" s="21" t="e">
        <f>VLOOKUP(B83,'Trips&amp;Operators'!$C$2:$E$10000,3,FALSE)</f>
        <v>#N/A</v>
      </c>
      <c r="G83" s="21" t="e">
        <f>VLOOKUP(B83,'Trips&amp;Operators'!$C$1:$F$10000,4,FALSE)</f>
        <v>#N/A</v>
      </c>
      <c r="H83" s="29" t="e">
        <f>VLOOKUP(B83,'Trips&amp;Operators'!$C$1:$H$10000,5,FALSE)</f>
        <v>#N/A</v>
      </c>
      <c r="I83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83" s="30" t="e">
        <f>VLOOKUP(B83,'Train Runs'!$A$13:$A$99944,1,FALSE)</f>
        <v>#N/A</v>
      </c>
    </row>
    <row r="84" spans="1:10" x14ac:dyDescent="0.25">
      <c r="A84" s="185"/>
      <c r="B84" s="43" t="str">
        <f>A84&amp;"-"&amp;IF(DAY(Variables!$A$2)&lt;10,0,"")&amp;DAY(Variables!$A$2)</f>
        <v>-17</v>
      </c>
      <c r="C84" s="147"/>
      <c r="D84" s="165"/>
      <c r="E84" s="30"/>
      <c r="F84" s="21" t="e">
        <f>VLOOKUP(B84,'Trips&amp;Operators'!$C$2:$E$10000,3,FALSE)</f>
        <v>#N/A</v>
      </c>
      <c r="G84" s="21" t="e">
        <f>VLOOKUP(B84,'Trips&amp;Operators'!$C$1:$F$10000,4,FALSE)</f>
        <v>#N/A</v>
      </c>
      <c r="H84" s="29" t="e">
        <f>VLOOKUP(B84,'Trips&amp;Operators'!$C$1:$H$10000,5,FALSE)</f>
        <v>#N/A</v>
      </c>
      <c r="I84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84" s="30" t="e">
        <f>VLOOKUP(B84,'Train Runs'!$A$13:$A$99944,1,FALSE)</f>
        <v>#N/A</v>
      </c>
    </row>
    <row r="85" spans="1:10" x14ac:dyDescent="0.25">
      <c r="A85" s="185"/>
      <c r="B85" s="43" t="str">
        <f>A85&amp;"-"&amp;IF(DAY(Variables!$A$2)&lt;10,0,"")&amp;DAY(Variables!$A$2)</f>
        <v>-17</v>
      </c>
      <c r="C85" s="147"/>
      <c r="D85" s="165"/>
      <c r="E85" s="30"/>
      <c r="F85" s="21" t="e">
        <f>VLOOKUP(B85,'Trips&amp;Operators'!$C$2:$E$10000,3,FALSE)</f>
        <v>#N/A</v>
      </c>
      <c r="G85" s="21" t="e">
        <f>VLOOKUP(B85,'Trips&amp;Operators'!$C$1:$F$10000,4,FALSE)</f>
        <v>#N/A</v>
      </c>
      <c r="H85" s="29" t="e">
        <f>VLOOKUP(B85,'Trips&amp;Operators'!$C$1:$H$10000,5,FALSE)</f>
        <v>#N/A</v>
      </c>
      <c r="I85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85" s="30" t="e">
        <f>VLOOKUP(B85,'Train Runs'!$A$13:$A$99944,1,FALSE)</f>
        <v>#N/A</v>
      </c>
    </row>
    <row r="86" spans="1:10" x14ac:dyDescent="0.25">
      <c r="A86" s="185"/>
      <c r="B86" s="43" t="str">
        <f>A86&amp;"-"&amp;IF(DAY(Variables!$A$2)&lt;10,0,"")&amp;DAY(Variables!$A$2)</f>
        <v>-17</v>
      </c>
      <c r="C86" s="147"/>
      <c r="D86" s="165"/>
      <c r="E86" s="30"/>
      <c r="F86" s="21" t="e">
        <f>VLOOKUP(B86,'Trips&amp;Operators'!$C$2:$E$10000,3,FALSE)</f>
        <v>#N/A</v>
      </c>
      <c r="G86" s="21" t="e">
        <f>VLOOKUP(B86,'Trips&amp;Operators'!$C$1:$F$10000,4,FALSE)</f>
        <v>#N/A</v>
      </c>
      <c r="H86" s="29" t="e">
        <f>VLOOKUP(B86,'Trips&amp;Operators'!$C$1:$H$10000,5,FALSE)</f>
        <v>#N/A</v>
      </c>
      <c r="I86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86" s="30" t="e">
        <f>VLOOKUP(B86,'Train Runs'!$A$13:$A$99944,1,FALSE)</f>
        <v>#N/A</v>
      </c>
    </row>
    <row r="87" spans="1:10" x14ac:dyDescent="0.25">
      <c r="A87" s="185"/>
      <c r="B87" s="43" t="str">
        <f>A87&amp;"-"&amp;IF(DAY(Variables!$A$2)&lt;10,0,"")&amp;DAY(Variables!$A$2)</f>
        <v>-17</v>
      </c>
      <c r="C87" s="147"/>
      <c r="D87" s="165"/>
      <c r="E87" s="30"/>
      <c r="F87" s="21" t="e">
        <f>VLOOKUP(B87,'Trips&amp;Operators'!$C$2:$E$10000,3,FALSE)</f>
        <v>#N/A</v>
      </c>
      <c r="G87" s="21" t="e">
        <f>VLOOKUP(B87,'Trips&amp;Operators'!$C$1:$F$10000,4,FALSE)</f>
        <v>#N/A</v>
      </c>
      <c r="H87" s="29" t="e">
        <f>VLOOKUP(B87,'Trips&amp;Operators'!$C$1:$H$10000,5,FALSE)</f>
        <v>#N/A</v>
      </c>
      <c r="I87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87" s="30" t="e">
        <f>VLOOKUP(B87,'Train Runs'!$A$13:$A$99944,1,FALSE)</f>
        <v>#N/A</v>
      </c>
    </row>
    <row r="88" spans="1:10" x14ac:dyDescent="0.25">
      <c r="A88" s="185"/>
      <c r="B88" s="43" t="str">
        <f>A88&amp;"-"&amp;IF(DAY(Variables!$A$2)&lt;10,0,"")&amp;DAY(Variables!$A$2)</f>
        <v>-17</v>
      </c>
      <c r="C88" s="147"/>
      <c r="D88" s="165"/>
      <c r="E88" s="30"/>
      <c r="F88" s="21" t="e">
        <f>VLOOKUP(B88,'Trips&amp;Operators'!$C$2:$E$10000,3,FALSE)</f>
        <v>#N/A</v>
      </c>
      <c r="G88" s="21" t="e">
        <f>VLOOKUP(B88,'Trips&amp;Operators'!$C$1:$F$10000,4,FALSE)</f>
        <v>#N/A</v>
      </c>
      <c r="H88" s="29" t="e">
        <f>VLOOKUP(B88,'Trips&amp;Operators'!$C$1:$H$10000,5,FALSE)</f>
        <v>#N/A</v>
      </c>
      <c r="I88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88" s="30" t="e">
        <f>VLOOKUP(B88,'Train Runs'!$A$13:$A$99944,1,FALSE)</f>
        <v>#N/A</v>
      </c>
    </row>
    <row r="89" spans="1:10" x14ac:dyDescent="0.25">
      <c r="A89" s="185"/>
      <c r="B89" s="43" t="str">
        <f>A89&amp;"-"&amp;IF(DAY(Variables!$A$2)&lt;10,0,"")&amp;DAY(Variables!$A$2)</f>
        <v>-17</v>
      </c>
      <c r="C89" s="147"/>
      <c r="D89" s="165"/>
      <c r="E89" s="30"/>
      <c r="F89" s="21" t="e">
        <f>VLOOKUP(B89,'Trips&amp;Operators'!$C$2:$E$10000,3,FALSE)</f>
        <v>#N/A</v>
      </c>
      <c r="G89" s="21" t="e">
        <f>VLOOKUP(B89,'Trips&amp;Operators'!$C$1:$F$10000,4,FALSE)</f>
        <v>#N/A</v>
      </c>
      <c r="H89" s="29" t="e">
        <f>VLOOKUP(B89,'Trips&amp;Operators'!$C$1:$H$10000,5,FALSE)</f>
        <v>#N/A</v>
      </c>
      <c r="I89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89" s="30" t="e">
        <f>VLOOKUP(B89,'Train Runs'!$A$13:$A$99944,1,FALSE)</f>
        <v>#N/A</v>
      </c>
    </row>
    <row r="90" spans="1:10" x14ac:dyDescent="0.25">
      <c r="A90" s="185"/>
      <c r="B90" s="43" t="str">
        <f>A90&amp;"-"&amp;IF(DAY(Variables!$A$2)&lt;10,0,"")&amp;DAY(Variables!$A$2)</f>
        <v>-17</v>
      </c>
      <c r="C90" s="147"/>
      <c r="D90" s="165"/>
      <c r="E90" s="30"/>
      <c r="F90" s="21" t="e">
        <f>VLOOKUP(B90,'Trips&amp;Operators'!$C$2:$E$10000,3,FALSE)</f>
        <v>#N/A</v>
      </c>
      <c r="G90" s="21" t="e">
        <f>VLOOKUP(B90,'Trips&amp;Operators'!$C$1:$F$10000,4,FALSE)</f>
        <v>#N/A</v>
      </c>
      <c r="H90" s="29" t="e">
        <f>VLOOKUP(B90,'Trips&amp;Operators'!$C$1:$H$10000,5,FALSE)</f>
        <v>#N/A</v>
      </c>
      <c r="I90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90" s="30" t="e">
        <f>VLOOKUP(B90,'Train Runs'!$A$13:$A$99944,1,FALSE)</f>
        <v>#N/A</v>
      </c>
    </row>
    <row r="91" spans="1:10" x14ac:dyDescent="0.25">
      <c r="A91" s="185"/>
      <c r="B91" s="43" t="str">
        <f>A91&amp;"-"&amp;IF(DAY(Variables!$A$2)&lt;10,0,"")&amp;DAY(Variables!$A$2)</f>
        <v>-17</v>
      </c>
      <c r="C91" s="147"/>
      <c r="D91" s="165"/>
      <c r="E91" s="30"/>
      <c r="F91" s="21" t="e">
        <f>VLOOKUP(B91,'Trips&amp;Operators'!$C$2:$E$10000,3,FALSE)</f>
        <v>#N/A</v>
      </c>
      <c r="G91" s="21" t="e">
        <f>VLOOKUP(B91,'Trips&amp;Operators'!$C$1:$F$10000,4,FALSE)</f>
        <v>#N/A</v>
      </c>
      <c r="H91" s="29" t="e">
        <f>VLOOKUP(B91,'Trips&amp;Operators'!$C$1:$H$10000,5,FALSE)</f>
        <v>#N/A</v>
      </c>
      <c r="I91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91" s="30" t="e">
        <f>VLOOKUP(B91,'Train Runs'!$A$13:$A$99944,1,FALSE)</f>
        <v>#N/A</v>
      </c>
    </row>
    <row r="92" spans="1:10" x14ac:dyDescent="0.25">
      <c r="A92" s="185"/>
      <c r="B92" s="43" t="str">
        <f>A92&amp;"-"&amp;IF(DAY(Variables!$A$2)&lt;10,0,"")&amp;DAY(Variables!$A$2)</f>
        <v>-17</v>
      </c>
      <c r="C92" s="147"/>
      <c r="D92" s="165"/>
      <c r="E92" s="30"/>
      <c r="F92" s="21" t="e">
        <f>VLOOKUP(B92,'Trips&amp;Operators'!$C$2:$E$10000,3,FALSE)</f>
        <v>#N/A</v>
      </c>
      <c r="G92" s="21" t="e">
        <f>VLOOKUP(B92,'Trips&amp;Operators'!$C$1:$F$10000,4,FALSE)</f>
        <v>#N/A</v>
      </c>
      <c r="H92" s="29" t="e">
        <f>VLOOKUP(B92,'Trips&amp;Operators'!$C$1:$H$10000,5,FALSE)</f>
        <v>#N/A</v>
      </c>
      <c r="I92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92" s="30" t="e">
        <f>VLOOKUP(B92,'Train Runs'!$A$13:$A$99944,1,FALSE)</f>
        <v>#N/A</v>
      </c>
    </row>
    <row r="93" spans="1:10" x14ac:dyDescent="0.25">
      <c r="A93" s="185"/>
      <c r="B93" s="43" t="str">
        <f>A93&amp;"-"&amp;IF(DAY(Variables!$A$2)&lt;10,0,"")&amp;DAY(Variables!$A$2)</f>
        <v>-17</v>
      </c>
      <c r="C93" s="147"/>
      <c r="D93" s="165"/>
      <c r="E93" s="30"/>
      <c r="F93" s="21" t="e">
        <f>VLOOKUP(B93,'Trips&amp;Operators'!$C$2:$E$10000,3,FALSE)</f>
        <v>#N/A</v>
      </c>
      <c r="G93" s="21" t="e">
        <f>VLOOKUP(B93,'Trips&amp;Operators'!$C$1:$F$10000,4,FALSE)</f>
        <v>#N/A</v>
      </c>
      <c r="H93" s="29" t="e">
        <f>VLOOKUP(B93,'Trips&amp;Operators'!$C$1:$H$10000,5,FALSE)</f>
        <v>#N/A</v>
      </c>
      <c r="I93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93" s="30" t="e">
        <f>VLOOKUP(B93,'Train Runs'!$A$13:$A$99944,1,FALSE)</f>
        <v>#N/A</v>
      </c>
    </row>
    <row r="94" spans="1:10" x14ac:dyDescent="0.25">
      <c r="A94" s="185"/>
      <c r="B94" s="43" t="str">
        <f>A94&amp;"-"&amp;IF(DAY(Variables!$A$2)&lt;10,0,"")&amp;DAY(Variables!$A$2)</f>
        <v>-17</v>
      </c>
      <c r="C94" s="147"/>
      <c r="D94" s="165"/>
      <c r="E94" s="30"/>
      <c r="F94" s="21" t="e">
        <f>VLOOKUP(B94,'Trips&amp;Operators'!$C$2:$E$10000,3,FALSE)</f>
        <v>#N/A</v>
      </c>
      <c r="G94" s="21" t="e">
        <f>VLOOKUP(B94,'Trips&amp;Operators'!$C$1:$F$10000,4,FALSE)</f>
        <v>#N/A</v>
      </c>
      <c r="H94" s="29" t="e">
        <f>VLOOKUP(B94,'Trips&amp;Operators'!$C$1:$H$10000,5,FALSE)</f>
        <v>#N/A</v>
      </c>
      <c r="I94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94" s="30" t="e">
        <f>VLOOKUP(B94,'Train Runs'!$A$13:$A$99944,1,FALSE)</f>
        <v>#N/A</v>
      </c>
    </row>
  </sheetData>
  <autoFilter ref="A2:J94"/>
  <sortState ref="A3:J120">
    <sortCondition ref="A3:A120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Q35"/>
  <sheetViews>
    <sheetView workbookViewId="0">
      <selection activeCell="B11" sqref="B11"/>
    </sheetView>
  </sheetViews>
  <sheetFormatPr defaultRowHeight="15" x14ac:dyDescent="0.25"/>
  <cols>
    <col min="1" max="1" width="18.28515625" style="202" bestFit="1" customWidth="1"/>
    <col min="2" max="2" width="26.5703125" style="208" customWidth="1"/>
    <col min="3" max="3" width="8.85546875" style="198" customWidth="1"/>
    <col min="4" max="4" width="10.5703125" style="212" customWidth="1"/>
    <col min="5" max="5" width="39.5703125" bestFit="1" customWidth="1"/>
    <col min="6" max="6" width="16.5703125" style="212" customWidth="1"/>
    <col min="7" max="7" width="7" style="216" customWidth="1"/>
    <col min="8" max="8" width="6.5703125" style="218" customWidth="1"/>
    <col min="9" max="9" width="6.5703125" style="214" customWidth="1"/>
    <col min="10" max="10" width="9.42578125" style="210" bestFit="1" customWidth="1"/>
    <col min="11" max="11" width="9.42578125" style="210" customWidth="1"/>
    <col min="12" max="12" width="10.140625" style="206" customWidth="1"/>
    <col min="13" max="13" width="6.42578125" style="206" customWidth="1"/>
    <col min="14" max="15" width="6" style="206" customWidth="1"/>
    <col min="16" max="16" width="6.28515625" style="206" customWidth="1"/>
    <col min="17" max="17" width="7.28515625" style="205" customWidth="1"/>
  </cols>
  <sheetData>
    <row r="1" spans="1:17" s="195" customFormat="1" ht="35.25" customHeight="1" x14ac:dyDescent="0.25">
      <c r="A1" s="200" t="s">
        <v>388</v>
      </c>
      <c r="B1" s="207" t="s">
        <v>389</v>
      </c>
      <c r="C1" s="199" t="s">
        <v>397</v>
      </c>
      <c r="D1" s="211" t="s">
        <v>58</v>
      </c>
      <c r="E1" s="196" t="s">
        <v>24</v>
      </c>
      <c r="F1" s="211" t="s">
        <v>403</v>
      </c>
      <c r="G1" s="215" t="s">
        <v>94</v>
      </c>
      <c r="H1" s="217" t="s">
        <v>407</v>
      </c>
      <c r="I1" s="213" t="s">
        <v>406</v>
      </c>
      <c r="J1" s="209" t="s">
        <v>84</v>
      </c>
      <c r="K1" s="209" t="s">
        <v>402</v>
      </c>
      <c r="L1" s="204" t="s">
        <v>399</v>
      </c>
      <c r="M1" s="204" t="s">
        <v>390</v>
      </c>
      <c r="N1" s="204" t="s">
        <v>392</v>
      </c>
      <c r="O1" s="204" t="s">
        <v>393</v>
      </c>
      <c r="P1" s="204" t="s">
        <v>394</v>
      </c>
      <c r="Q1" s="203" t="s">
        <v>391</v>
      </c>
    </row>
    <row r="2" spans="1:17" x14ac:dyDescent="0.25">
      <c r="A2" s="201">
        <v>42800.21875</v>
      </c>
      <c r="B2" s="208" t="s">
        <v>396</v>
      </c>
      <c r="C2" s="198" t="s">
        <v>398</v>
      </c>
      <c r="D2" s="212">
        <v>104</v>
      </c>
      <c r="E2" s="30" t="s">
        <v>401</v>
      </c>
      <c r="G2" s="216" t="str">
        <f t="shared" ref="G2:G35" si="0">astrogrep_path&amp;" /e /r /s /spath="&amp;search_path&amp;" /stypes=""*"&amp;L2&amp;"*"&amp;TEXT($A2-utc_offset/24,"YYYYMMDD")&amp;LEFT(TEXT($A2-utc_offset/24,"HH"),1)&amp;"*"" /stext="" "&amp;TEXT($A2-utc_offset/24,"HH")&amp;SUBSTITUTE(LEFT(search_regexp,LEN(search_regexp)-1),"\|lc",IF($F2,"\|lc","\|loc"))&amp;"|"&amp;$Q2&amp;")"""</f>
        <v>"C:\Program Files (x86)\AstroGrep\AstroGrep.exe" /e /r /s /spath="%USERPROFILE%\AppData\Local\Temp\OnboardLogs" /stypes="*4039*201703061*" /stext=" 11:.+((SYSTEM_STATE.+slice.+state.+changed )|(ment ac)|(multiple cpu faults)|(system.+state.+changed )|(\[timeout)|(PRM\|1\|D)|(kpr)|(kdp)|(\|loc)|(penalty)|(\|PRM\|1\|D)|(crossing.((167)|(168)|(199)|(200))))"</v>
      </c>
      <c r="H2" s="218" t="str">
        <f t="shared" ref="H2:H35" si="1">"grep -hSE "" "&amp;TEXT(J2,"HH")&amp;":.+("&amp;Q2&amp;")"" "&amp;search_path&amp;"\RTDC"&amp;L2&amp;"\*"&amp;L2&amp;"*"&amp;TEXT(J2,"YYYYMMDD")&amp;LEFT(TEXT(J2,"HH"),1)&amp;"*"</f>
        <v>grep -hSE " 11:.+((\|PRM\|1\|D)|(crossing.((167)|(168)|(199)|(200))))" "%USERPROFILE%\AppData\Local\Temp\OnboardLogs"\RTDC4039\*4039*201703061*</v>
      </c>
      <c r="I2" s="214" t="str">
        <f>IF(VLOOKUP(K2,'Train Runs'!$A$13:$V$1000,1,TRUE)=K2,VLOOKUP(K2,'Train Runs'!$A$13:$V$1000,22,TRUE),NA())</f>
        <v>https://d0f6bd738d7f1b3e5a7ca70fe4ff75f0.us-east-1.aws.found.io/app/kibana#/discover/Steve-Slow-Train-Analysis-(2080s-and-2083s)?_g=(refreshInterval:(display:Off,pause:!f,section:0,value:0),time:(from:'2017-03-17T03:26:04-0600',mode:absolute,to:'2017-03-17T06:21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J2" s="210">
        <f t="shared" ref="J2:J35" si="2">A2-utc_offset/24</f>
        <v>42800.46875</v>
      </c>
      <c r="K2" s="210" t="str">
        <f>D2&amp;"-"&amp;IF(DAY(Variables!$A$2)&lt;10,0,"")&amp;DAY(Variables!$A$2)</f>
        <v>104-17</v>
      </c>
      <c r="L2" s="206">
        <f>IF(VLOOKUP(K2,'Train Runs'!$A$12:$B$1000,1,TRUE)=K2,VLOOKUP(K2,'Train Runs'!$A$12:$B$1000,2,TRUE),NA())</f>
        <v>4039</v>
      </c>
      <c r="M2" s="206">
        <f>VLOOKUP(B2,Variables!$T$2:$X$99,2,FALSE)</f>
        <v>167</v>
      </c>
      <c r="N2" s="206">
        <f>VLOOKUP(B2,Variables!$T$2:$X$99,3,FALSE)</f>
        <v>168</v>
      </c>
      <c r="O2" s="206">
        <f>VLOOKUP(B2,Variables!$T$2:$X$99,4,FALSE)</f>
        <v>199</v>
      </c>
      <c r="P2" s="206">
        <f>VLOOKUP(B2,Variables!$T$2:$X$99,5,FALSE)</f>
        <v>200</v>
      </c>
      <c r="Q2" s="205" t="str">
        <f t="shared" ref="Q2:Q35" si="3">"(\|PRM\|1\|D)|(crossing.(("&amp;M2&amp;")|("&amp;N2&amp;")|("&amp;O2&amp;")|("&amp;P2&amp;")))"</f>
        <v>(\|PRM\|1\|D)|(crossing.((167)|(168)|(199)|(200)))</v>
      </c>
    </row>
    <row r="3" spans="1:17" x14ac:dyDescent="0.25">
      <c r="A3" s="201">
        <v>42800.343055555553</v>
      </c>
      <c r="B3" s="208" t="s">
        <v>396</v>
      </c>
      <c r="C3" s="198" t="s">
        <v>398</v>
      </c>
      <c r="D3" s="212">
        <v>126</v>
      </c>
      <c r="E3" s="30" t="s">
        <v>400</v>
      </c>
      <c r="F3" s="212" t="b">
        <v>1</v>
      </c>
      <c r="G3" s="216" t="str">
        <f t="shared" si="0"/>
        <v>"C:\Program Files (x86)\AstroGrep\AstroGrep.exe" /e /r /s /spath="%USERPROFILE%\AppData\Local\Temp\OnboardLogs" /stypes="*4054*201703061*" /stext=" 14:.+((SYSTEM_STATE.+slice.+state.+changed )|(ment ac)|(multiple cpu faults)|(system.+state.+changed )|(\[timeout)|(PRM\|1\|D)|(kpr)|(kdp)|(\|lc)|(penalty)|(\|PRM\|1\|D)|(crossing.((167)|(168)|(199)|(200))))"</v>
      </c>
      <c r="H3" s="218" t="str">
        <f t="shared" si="1"/>
        <v>grep -hSE " 14:.+((\|PRM\|1\|D)|(crossing.((167)|(168)|(199)|(200))))" "%USERPROFILE%\AppData\Local\Temp\OnboardLogs"\RTDC4054\*4054*201703061*</v>
      </c>
      <c r="I3" s="214" t="str">
        <f>IF(VLOOKUP(K3,'Train Runs'!$A$13:$V$1000,1,TRUE)=K3,VLOOKUP(K3,'Train Runs'!$A$13:$V$1000,22,TRUE),NA())</f>
        <v>https://d0f6bd738d7f1b3e5a7ca70fe4ff75f0.us-east-1.aws.found.io/app/kibana#/discover/Steve-Slow-Train-Analysis-(2080s-and-2083s)?_g=(refreshInterval:(display:Off,pause:!f,section:0,value:0),time:(from:'2017-03-17T06:33:36-0600',mode:absolute,to:'2017-03-17T09:20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J3" s="210">
        <f t="shared" si="2"/>
        <v>42800.593055555553</v>
      </c>
      <c r="K3" s="210" t="str">
        <f>D3&amp;"-"&amp;IF(DAY(Variables!$A$2)&lt;10,0,"")&amp;DAY(Variables!$A$2)</f>
        <v>126-17</v>
      </c>
      <c r="L3" s="206">
        <f>IF(VLOOKUP(K3,'Train Runs'!$A$12:$B$1000,1,TRUE)=K3,VLOOKUP(K3,'Train Runs'!$A$12:$B$1000,2,TRUE),NA())</f>
        <v>4054</v>
      </c>
      <c r="M3" s="206">
        <f>VLOOKUP(B3,Variables!$T$2:$X$99,2,FALSE)</f>
        <v>167</v>
      </c>
      <c r="N3" s="206">
        <f>VLOOKUP(B3,Variables!$T$2:$X$99,3,FALSE)</f>
        <v>168</v>
      </c>
      <c r="O3" s="206">
        <f>VLOOKUP(B3,Variables!$T$2:$X$99,4,FALSE)</f>
        <v>199</v>
      </c>
      <c r="P3" s="206">
        <f>VLOOKUP(B3,Variables!$T$2:$X$99,5,FALSE)</f>
        <v>200</v>
      </c>
      <c r="Q3" s="205" t="str">
        <f t="shared" si="3"/>
        <v>(\|PRM\|1\|D)|(crossing.((167)|(168)|(199)|(200)))</v>
      </c>
    </row>
    <row r="4" spans="1:17" x14ac:dyDescent="0.25">
      <c r="A4" s="201">
        <v>42800.354861111111</v>
      </c>
      <c r="B4" s="208" t="s">
        <v>396</v>
      </c>
      <c r="C4" s="198" t="s">
        <v>398</v>
      </c>
      <c r="D4" s="212">
        <v>128</v>
      </c>
      <c r="E4" s="30" t="s">
        <v>400</v>
      </c>
      <c r="F4" s="212" t="b">
        <v>1</v>
      </c>
      <c r="G4" s="216" t="str">
        <f t="shared" si="0"/>
        <v>"C:\Program Files (x86)\AstroGrep\AstroGrep.exe" /e /r /s /spath="%USERPROFILE%\AppData\Local\Temp\OnboardLogs" /stypes="*4012*201703061*" /stext=" 14:.+((SYSTEM_STATE.+slice.+state.+changed )|(ment ac)|(multiple cpu faults)|(system.+state.+changed )|(\[timeout)|(PRM\|1\|D)|(kpr)|(kdp)|(\|lc)|(penalty)|(\|PRM\|1\|D)|(crossing.((167)|(168)|(199)|(200))))"</v>
      </c>
      <c r="H4" s="218" t="str">
        <f t="shared" si="1"/>
        <v>grep -hSE " 14:.+((\|PRM\|1\|D)|(crossing.((167)|(168)|(199)|(200))))" "%USERPROFILE%\AppData\Local\Temp\OnboardLogs"\RTDC4012\*4012*201703061*</v>
      </c>
      <c r="I4" s="214" t="str">
        <f>IF(VLOOKUP(K4,'Train Runs'!$A$13:$V$1000,1,TRUE)=K4,VLOOKUP(K4,'Train Runs'!$A$13:$V$1000,22,TRUE),NA())</f>
        <v>https://d0f6bd738d7f1b3e5a7ca70fe4ff75f0.us-east-1.aws.found.io/app/kibana#/discover/Steve-Slow-Train-Analysis-(2080s-and-2083s)?_g=(refreshInterval:(display:Off,pause:!f,section:0,value:0),time:(from:'2017-03-17T06:50:28-0600',mode:absolute,to:'2017-03-17T09:36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J4" s="210">
        <f t="shared" si="2"/>
        <v>42800.604861111111</v>
      </c>
      <c r="K4" s="210" t="str">
        <f>D4&amp;"-"&amp;IF(DAY(Variables!$A$2)&lt;10,0,"")&amp;DAY(Variables!$A$2)</f>
        <v>128-17</v>
      </c>
      <c r="L4" s="206">
        <f>IF(VLOOKUP(K4,'Train Runs'!$A$12:$B$1000,1,TRUE)=K4,VLOOKUP(K4,'Train Runs'!$A$12:$B$1000,2,TRUE),NA())</f>
        <v>4012</v>
      </c>
      <c r="M4" s="206">
        <f>VLOOKUP(B4,Variables!$T$2:$X$99,2,FALSE)</f>
        <v>167</v>
      </c>
      <c r="N4" s="206">
        <f>VLOOKUP(B4,Variables!$T$2:$X$99,3,FALSE)</f>
        <v>168</v>
      </c>
      <c r="O4" s="206">
        <f>VLOOKUP(B4,Variables!$T$2:$X$99,4,FALSE)</f>
        <v>199</v>
      </c>
      <c r="P4" s="206">
        <f>VLOOKUP(B4,Variables!$T$2:$X$99,5,FALSE)</f>
        <v>200</v>
      </c>
      <c r="Q4" s="205" t="str">
        <f t="shared" si="3"/>
        <v>(\|PRM\|1\|D)|(crossing.((167)|(168)|(199)|(200)))</v>
      </c>
    </row>
    <row r="5" spans="1:17" x14ac:dyDescent="0.25">
      <c r="A5" s="201">
        <v>42800.364583333336</v>
      </c>
      <c r="B5" s="208" t="s">
        <v>396</v>
      </c>
      <c r="C5" s="198" t="s">
        <v>398</v>
      </c>
      <c r="D5" s="212">
        <f>D4+2</f>
        <v>130</v>
      </c>
      <c r="E5" s="30" t="s">
        <v>400</v>
      </c>
      <c r="F5" s="212" t="b">
        <v>1</v>
      </c>
      <c r="G5" s="216" t="str">
        <f t="shared" si="0"/>
        <v>"C:\Program Files (x86)\AstroGrep\AstroGrep.exe" /e /r /s /spath="%USERPROFILE%\AppData\Local\Temp\OnboardLogs" /stypes="*4041*201703061*" /stext=" 14:.+((SYSTEM_STATE.+slice.+state.+changed )|(ment ac)|(multiple cpu faults)|(system.+state.+changed )|(\[timeout)|(PRM\|1\|D)|(kpr)|(kdp)|(\|lc)|(penalty)|(\|PRM\|1\|D)|(crossing.((167)|(168)|(199)|(200))))"</v>
      </c>
      <c r="H5" s="218" t="str">
        <f t="shared" si="1"/>
        <v>grep -hSE " 14:.+((\|PRM\|1\|D)|(crossing.((167)|(168)|(199)|(200))))" "%USERPROFILE%\AppData\Local\Temp\OnboardLogs"\RTDC4041\*4041*201703061*</v>
      </c>
      <c r="I5" s="214" t="str">
        <f>IF(VLOOKUP(K5,'Train Runs'!$A$13:$V$1000,1,TRUE)=K5,VLOOKUP(K5,'Train Runs'!$A$13:$V$1000,22,TRUE),NA())</f>
        <v>https://d0f6bd738d7f1b3e5a7ca70fe4ff75f0.us-east-1.aws.found.io/app/kibana#/discover/Steve-Slow-Train-Analysis-(2080s-and-2083s)?_g=(refreshInterval:(display:Off,pause:!f,section:0,value:0),time:(from:'2017-03-17T07:03:45-0600',mode:absolute,to:'2017-03-17T09:51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J5" s="210">
        <f t="shared" si="2"/>
        <v>42800.614583333336</v>
      </c>
      <c r="K5" s="210" t="str">
        <f>D5&amp;"-"&amp;IF(DAY(Variables!$A$2)&lt;10,0,"")&amp;DAY(Variables!$A$2)</f>
        <v>130-17</v>
      </c>
      <c r="L5" s="206">
        <f>IF(VLOOKUP(K5,'Train Runs'!$A$12:$B$1000,1,TRUE)=K5,VLOOKUP(K5,'Train Runs'!$A$12:$B$1000,2,TRUE),NA())</f>
        <v>4041</v>
      </c>
      <c r="M5" s="206">
        <f>VLOOKUP(B5,Variables!$T$2:$X$99,2,FALSE)</f>
        <v>167</v>
      </c>
      <c r="N5" s="206">
        <f>VLOOKUP(B5,Variables!$T$2:$X$99,3,FALSE)</f>
        <v>168</v>
      </c>
      <c r="O5" s="206">
        <f>VLOOKUP(B5,Variables!$T$2:$X$99,4,FALSE)</f>
        <v>199</v>
      </c>
      <c r="P5" s="206">
        <f>VLOOKUP(B5,Variables!$T$2:$X$99,5,FALSE)</f>
        <v>200</v>
      </c>
      <c r="Q5" s="205" t="str">
        <f t="shared" si="3"/>
        <v>(\|PRM\|1\|D)|(crossing.((167)|(168)|(199)|(200)))</v>
      </c>
    </row>
    <row r="6" spans="1:17" x14ac:dyDescent="0.25">
      <c r="A6" s="201">
        <v>42800.375</v>
      </c>
      <c r="B6" s="208" t="s">
        <v>396</v>
      </c>
      <c r="C6" s="198" t="s">
        <v>398</v>
      </c>
      <c r="D6" s="212">
        <f>D5+2</f>
        <v>132</v>
      </c>
      <c r="E6" s="30" t="s">
        <v>400</v>
      </c>
      <c r="F6" s="212" t="b">
        <v>1</v>
      </c>
      <c r="G6" s="216" t="str">
        <f t="shared" si="0"/>
        <v>"C:\Program Files (x86)\AstroGrep\AstroGrep.exe" /e /r /s /spath="%USERPROFILE%\AppData\Local\Temp\OnboardLogs" /stypes="*4039*201703061*" /stext=" 15:.+((SYSTEM_STATE.+slice.+state.+changed )|(ment ac)|(multiple cpu faults)|(system.+state.+changed )|(\[timeout)|(PRM\|1\|D)|(kpr)|(kdp)|(\|lc)|(penalty)|(\|PRM\|1\|D)|(crossing.((167)|(168)|(199)|(200))))"</v>
      </c>
      <c r="H6" s="218" t="str">
        <f t="shared" si="1"/>
        <v>grep -hSE " 15:.+((\|PRM\|1\|D)|(crossing.((167)|(168)|(199)|(200))))" "%USERPROFILE%\AppData\Local\Temp\OnboardLogs"\RTDC4039\*4039*201703061*</v>
      </c>
      <c r="I6" s="214" t="str">
        <f>IF(VLOOKUP(K6,'Train Runs'!$A$13:$V$1000,1,TRUE)=K6,VLOOKUP(K6,'Train Runs'!$A$13:$V$1000,22,TRUE),NA())</f>
        <v>https://d0f6bd738d7f1b3e5a7ca70fe4ff75f0.us-east-1.aws.found.io/app/kibana#/discover/Steve-Slow-Train-Analysis-(2080s-and-2083s)?_g=(refreshInterval:(display:Off,pause:!f,section:0,value:0),time:(from:'2017-03-17T07:09:39-0600',mode:absolute,to:'2017-03-17T10:07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J6" s="210">
        <f t="shared" si="2"/>
        <v>42800.625</v>
      </c>
      <c r="K6" s="210" t="str">
        <f>D6&amp;"-"&amp;IF(DAY(Variables!$A$2)&lt;10,0,"")&amp;DAY(Variables!$A$2)</f>
        <v>132-17</v>
      </c>
      <c r="L6" s="206">
        <f>IF(VLOOKUP(K6,'Train Runs'!$A$12:$B$1000,1,TRUE)=K6,VLOOKUP(K6,'Train Runs'!$A$12:$B$1000,2,TRUE),NA())</f>
        <v>4039</v>
      </c>
      <c r="M6" s="206">
        <f>VLOOKUP(B6,Variables!$T$2:$X$99,2,FALSE)</f>
        <v>167</v>
      </c>
      <c r="N6" s="206">
        <f>VLOOKUP(B6,Variables!$T$2:$X$99,3,FALSE)</f>
        <v>168</v>
      </c>
      <c r="O6" s="206">
        <f>VLOOKUP(B6,Variables!$T$2:$X$99,4,FALSE)</f>
        <v>199</v>
      </c>
      <c r="P6" s="206">
        <f>VLOOKUP(B6,Variables!$T$2:$X$99,5,FALSE)</f>
        <v>200</v>
      </c>
      <c r="Q6" s="205" t="str">
        <f t="shared" si="3"/>
        <v>(\|PRM\|1\|D)|(crossing.((167)|(168)|(199)|(200)))</v>
      </c>
    </row>
    <row r="7" spans="1:17" x14ac:dyDescent="0.25">
      <c r="A7" s="201">
        <v>42800.383333333331</v>
      </c>
      <c r="B7" s="208" t="s">
        <v>396</v>
      </c>
      <c r="C7" s="198" t="s">
        <v>398</v>
      </c>
      <c r="D7" s="212">
        <f t="shared" ref="D7:D11" si="4">D6+2</f>
        <v>134</v>
      </c>
      <c r="E7" s="30" t="s">
        <v>400</v>
      </c>
      <c r="F7" s="212" t="b">
        <v>1</v>
      </c>
      <c r="G7" s="216" t="str">
        <f t="shared" si="0"/>
        <v>"C:\Program Files (x86)\AstroGrep\AstroGrep.exe" /e /r /s /spath="%USERPROFILE%\AppData\Local\Temp\OnboardLogs" /stypes="*4019*201703061*" /stext=" 15:.+((SYSTEM_STATE.+slice.+state.+changed )|(ment ac)|(multiple cpu faults)|(system.+state.+changed )|(\[timeout)|(PRM\|1\|D)|(kpr)|(kdp)|(\|lc)|(penalty)|(\|PRM\|1\|D)|(crossing.((167)|(168)|(199)|(200))))"</v>
      </c>
      <c r="H7" s="218" t="str">
        <f t="shared" si="1"/>
        <v>grep -hSE " 15:.+((\|PRM\|1\|D)|(crossing.((167)|(168)|(199)|(200))))" "%USERPROFILE%\AppData\Local\Temp\OnboardLogs"\RTDC4019\*4019*201703061*</v>
      </c>
      <c r="I7" s="214" t="str">
        <f>IF(VLOOKUP(K7,'Train Runs'!$A$13:$V$1000,1,TRUE)=K7,VLOOKUP(K7,'Train Runs'!$A$13:$V$1000,22,TRUE),NA())</f>
        <v>https://d0f6bd738d7f1b3e5a7ca70fe4ff75f0.us-east-1.aws.found.io/app/kibana#/discover/Steve-Slow-Train-Analysis-(2080s-and-2083s)?_g=(refreshInterval:(display:Off,pause:!f,section:0,value:0),time:(from:'2017-03-17T07:35:13-0600',mode:absolute,to:'2017-03-17T10:22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J7" s="210">
        <f t="shared" si="2"/>
        <v>42800.633333333331</v>
      </c>
      <c r="K7" s="210" t="str">
        <f>D7&amp;"-"&amp;IF(DAY(Variables!$A$2)&lt;10,0,"")&amp;DAY(Variables!$A$2)</f>
        <v>134-17</v>
      </c>
      <c r="L7" s="206">
        <f>IF(VLOOKUP(K7,'Train Runs'!$A$12:$B$1000,1,TRUE)=K7,VLOOKUP(K7,'Train Runs'!$A$12:$B$1000,2,TRUE),NA())</f>
        <v>4019</v>
      </c>
      <c r="M7" s="206">
        <f>VLOOKUP(B7,Variables!$T$2:$X$99,2,FALSE)</f>
        <v>167</v>
      </c>
      <c r="N7" s="206">
        <f>VLOOKUP(B7,Variables!$T$2:$X$99,3,FALSE)</f>
        <v>168</v>
      </c>
      <c r="O7" s="206">
        <f>VLOOKUP(B7,Variables!$T$2:$X$99,4,FALSE)</f>
        <v>199</v>
      </c>
      <c r="P7" s="206">
        <f>VLOOKUP(B7,Variables!$T$2:$X$99,5,FALSE)</f>
        <v>200</v>
      </c>
      <c r="Q7" s="205" t="str">
        <f t="shared" si="3"/>
        <v>(\|PRM\|1\|D)|(crossing.((167)|(168)|(199)|(200)))</v>
      </c>
    </row>
    <row r="8" spans="1:17" x14ac:dyDescent="0.25">
      <c r="A8" s="201">
        <v>42800.393750000003</v>
      </c>
      <c r="B8" s="208" t="s">
        <v>396</v>
      </c>
      <c r="C8" s="198" t="s">
        <v>398</v>
      </c>
      <c r="D8" s="212">
        <f t="shared" si="4"/>
        <v>136</v>
      </c>
      <c r="E8" s="30" t="s">
        <v>400</v>
      </c>
      <c r="F8" s="212" t="b">
        <v>1</v>
      </c>
      <c r="G8" s="216" t="str">
        <f t="shared" si="0"/>
        <v>"C:\Program Files (x86)\AstroGrep\AstroGrep.exe" /e /r /s /spath="%USERPROFILE%\AppData\Local\Temp\OnboardLogs" /stypes="*4001*201703061*" /stext=" 15:.+((SYSTEM_STATE.+slice.+state.+changed )|(ment ac)|(multiple cpu faults)|(system.+state.+changed )|(\[timeout)|(PRM\|1\|D)|(kpr)|(kdp)|(\|lc)|(penalty)|(\|PRM\|1\|D)|(crossing.((167)|(168)|(199)|(200))))"</v>
      </c>
      <c r="H8" s="218" t="str">
        <f t="shared" si="1"/>
        <v>grep -hSE " 15:.+((\|PRM\|1\|D)|(crossing.((167)|(168)|(199)|(200))))" "%USERPROFILE%\AppData\Local\Temp\OnboardLogs"\RTDC4001\*4001*201703061*</v>
      </c>
      <c r="I8" s="214" t="str">
        <f>IF(VLOOKUP(K8,'Train Runs'!$A$13:$V$1000,1,TRUE)=K8,VLOOKUP(K8,'Train Runs'!$A$13:$V$1000,22,TRUE),NA())</f>
        <v>https://d0f6bd738d7f1b3e5a7ca70fe4ff75f0.us-east-1.aws.found.io/app/kibana#/discover/Steve-Slow-Train-Analysis-(2080s-and-2083s)?_g=(refreshInterval:(display:Off,pause:!f,section:0,value:0),time:(from:'2017-03-17T07:54:20-0600',mode:absolute,to:'2017-03-17T10:37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J8" s="210">
        <f t="shared" si="2"/>
        <v>42800.643750000003</v>
      </c>
      <c r="K8" s="210" t="str">
        <f>D8&amp;"-"&amp;IF(DAY(Variables!$A$2)&lt;10,0,"")&amp;DAY(Variables!$A$2)</f>
        <v>136-17</v>
      </c>
      <c r="L8" s="206">
        <f>IF(VLOOKUP(K8,'Train Runs'!$A$12:$B$1000,1,TRUE)=K8,VLOOKUP(K8,'Train Runs'!$A$12:$B$1000,2,TRUE),NA())</f>
        <v>4001</v>
      </c>
      <c r="M8" s="206">
        <f>VLOOKUP(B8,Variables!$T$2:$X$99,2,FALSE)</f>
        <v>167</v>
      </c>
      <c r="N8" s="206">
        <f>VLOOKUP(B8,Variables!$T$2:$X$99,3,FALSE)</f>
        <v>168</v>
      </c>
      <c r="O8" s="206">
        <f>VLOOKUP(B8,Variables!$T$2:$X$99,4,FALSE)</f>
        <v>199</v>
      </c>
      <c r="P8" s="206">
        <f>VLOOKUP(B8,Variables!$T$2:$X$99,5,FALSE)</f>
        <v>200</v>
      </c>
      <c r="Q8" s="205" t="str">
        <f t="shared" si="3"/>
        <v>(\|PRM\|1\|D)|(crossing.((167)|(168)|(199)|(200)))</v>
      </c>
    </row>
    <row r="9" spans="1:17" x14ac:dyDescent="0.25">
      <c r="A9" s="201">
        <v>42800.404861111114</v>
      </c>
      <c r="B9" s="208" t="s">
        <v>396</v>
      </c>
      <c r="C9" s="198" t="s">
        <v>398</v>
      </c>
      <c r="D9" s="212">
        <f t="shared" si="4"/>
        <v>138</v>
      </c>
      <c r="E9" s="30" t="s">
        <v>400</v>
      </c>
      <c r="F9" s="212" t="b">
        <v>1</v>
      </c>
      <c r="G9" s="216" t="str">
        <f t="shared" si="0"/>
        <v>"C:\Program Files (x86)\AstroGrep\AstroGrep.exe" /e /r /s /spath="%USERPROFILE%\AppData\Local\Temp\OnboardLogs" /stypes="*4017*201703061*" /stext=" 15:.+((SYSTEM_STATE.+slice.+state.+changed )|(ment ac)|(multiple cpu faults)|(system.+state.+changed )|(\[timeout)|(PRM\|1\|D)|(kpr)|(kdp)|(\|lc)|(penalty)|(\|PRM\|1\|D)|(crossing.((167)|(168)|(199)|(200))))"</v>
      </c>
      <c r="H9" s="218" t="str">
        <f t="shared" si="1"/>
        <v>grep -hSE " 15:.+((\|PRM\|1\|D)|(crossing.((167)|(168)|(199)|(200))))" "%USERPROFILE%\AppData\Local\Temp\OnboardLogs"\RTDC4017\*4017*201703061*</v>
      </c>
      <c r="I9" s="214" t="str">
        <f>IF(VLOOKUP(K9,'Train Runs'!$A$13:$V$1000,1,TRUE)=K9,VLOOKUP(K9,'Train Runs'!$A$13:$V$1000,22,TRUE),NA())</f>
        <v>https://d0f6bd738d7f1b3e5a7ca70fe4ff75f0.us-east-1.aws.found.io/app/kibana#/discover/Steve-Slow-Train-Analysis-(2080s-and-2083s)?_g=(refreshInterval:(display:Off,pause:!f,section:0,value:0),time:(from:'2017-03-17T08:05:36-0600',mode:absolute,to:'2017-03-17T10:54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J9" s="210">
        <f t="shared" si="2"/>
        <v>42800.654861111114</v>
      </c>
      <c r="K9" s="210" t="str">
        <f>D9&amp;"-"&amp;IF(DAY(Variables!$A$2)&lt;10,0,"")&amp;DAY(Variables!$A$2)</f>
        <v>138-17</v>
      </c>
      <c r="L9" s="206">
        <f>IF(VLOOKUP(K9,'Train Runs'!$A$12:$B$1000,1,TRUE)=K9,VLOOKUP(K9,'Train Runs'!$A$12:$B$1000,2,TRUE),NA())</f>
        <v>4017</v>
      </c>
      <c r="M9" s="206">
        <f>VLOOKUP(B9,Variables!$T$2:$X$99,2,FALSE)</f>
        <v>167</v>
      </c>
      <c r="N9" s="206">
        <f>VLOOKUP(B9,Variables!$T$2:$X$99,3,FALSE)</f>
        <v>168</v>
      </c>
      <c r="O9" s="206">
        <f>VLOOKUP(B9,Variables!$T$2:$X$99,4,FALSE)</f>
        <v>199</v>
      </c>
      <c r="P9" s="206">
        <f>VLOOKUP(B9,Variables!$T$2:$X$99,5,FALSE)</f>
        <v>200</v>
      </c>
      <c r="Q9" s="205" t="str">
        <f t="shared" si="3"/>
        <v>(\|PRM\|1\|D)|(crossing.((167)|(168)|(199)|(200)))</v>
      </c>
    </row>
    <row r="10" spans="1:17" x14ac:dyDescent="0.25">
      <c r="A10" s="201">
        <v>42800.415972222225</v>
      </c>
      <c r="B10" s="208" t="s">
        <v>396</v>
      </c>
      <c r="C10" s="198" t="s">
        <v>398</v>
      </c>
      <c r="D10" s="212">
        <f t="shared" si="4"/>
        <v>140</v>
      </c>
      <c r="E10" s="30" t="s">
        <v>400</v>
      </c>
      <c r="F10" s="212" t="b">
        <v>1</v>
      </c>
      <c r="G10" s="216" t="str">
        <f t="shared" si="0"/>
        <v>"C:\Program Files (x86)\AstroGrep\AstroGrep.exe" /e /r /s /spath="%USERPROFILE%\AppData\Local\Temp\OnboardLogs" /stypes="*4054*201703061*" /stext=" 15:.+((SYSTEM_STATE.+slice.+state.+changed )|(ment ac)|(multiple cpu faults)|(system.+state.+changed )|(\[timeout)|(PRM\|1\|D)|(kpr)|(kdp)|(\|lc)|(penalty)|(\|PRM\|1\|D)|(crossing.((167)|(168)|(199)|(200))))"</v>
      </c>
      <c r="H10" s="218" t="str">
        <f t="shared" si="1"/>
        <v>grep -hSE " 15:.+((\|PRM\|1\|D)|(crossing.((167)|(168)|(199)|(200))))" "%USERPROFILE%\AppData\Local\Temp\OnboardLogs"\RTDC4054\*4054*201703061*</v>
      </c>
      <c r="I10" s="214" t="str">
        <f>IF(VLOOKUP(K10,'Train Runs'!$A$13:$V$1000,1,TRUE)=K10,VLOOKUP(K10,'Train Runs'!$A$13:$V$1000,22,TRUE),NA())</f>
        <v>https://d0f6bd738d7f1b3e5a7ca70fe4ff75f0.us-east-1.aws.found.io/app/kibana#/discover/Steve-Slow-Train-Analysis-(2080s-and-2083s)?_g=(refreshInterval:(display:Off,pause:!f,section:0,value:0),time:(from:'2017-03-17T08:22:00-0600',mode:absolute,to:'2017-03-17T11:10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J10" s="210">
        <f t="shared" si="2"/>
        <v>42800.665972222225</v>
      </c>
      <c r="K10" s="210" t="str">
        <f>D10&amp;"-"&amp;IF(DAY(Variables!$A$2)&lt;10,0,"")&amp;DAY(Variables!$A$2)</f>
        <v>140-17</v>
      </c>
      <c r="L10" s="206">
        <f>IF(VLOOKUP(K10,'Train Runs'!$A$12:$B$1000,1,TRUE)=K10,VLOOKUP(K10,'Train Runs'!$A$12:$B$1000,2,TRUE),NA())</f>
        <v>4054</v>
      </c>
      <c r="M10" s="206">
        <f>VLOOKUP(B10,Variables!$T$2:$X$99,2,FALSE)</f>
        <v>167</v>
      </c>
      <c r="N10" s="206">
        <f>VLOOKUP(B10,Variables!$T$2:$X$99,3,FALSE)</f>
        <v>168</v>
      </c>
      <c r="O10" s="206">
        <f>VLOOKUP(B10,Variables!$T$2:$X$99,4,FALSE)</f>
        <v>199</v>
      </c>
      <c r="P10" s="206">
        <f>VLOOKUP(B10,Variables!$T$2:$X$99,5,FALSE)</f>
        <v>200</v>
      </c>
      <c r="Q10" s="205" t="str">
        <f t="shared" si="3"/>
        <v>(\|PRM\|1\|D)|(crossing.((167)|(168)|(199)|(200)))</v>
      </c>
    </row>
    <row r="11" spans="1:17" x14ac:dyDescent="0.25">
      <c r="A11" s="201">
        <v>42800.425000000003</v>
      </c>
      <c r="B11" s="208" t="s">
        <v>396</v>
      </c>
      <c r="C11" s="198" t="s">
        <v>398</v>
      </c>
      <c r="D11" s="212">
        <f t="shared" si="4"/>
        <v>142</v>
      </c>
      <c r="E11" s="30" t="s">
        <v>400</v>
      </c>
      <c r="F11" s="212" t="b">
        <v>1</v>
      </c>
      <c r="G11" s="216" t="str">
        <f t="shared" si="0"/>
        <v>"C:\Program Files (x86)\AstroGrep\AstroGrep.exe" /e /r /s /spath="%USERPROFILE%\AppData\Local\Temp\OnboardLogs" /stypes="*4012*201703061*" /stext=" 16:.+((SYSTEM_STATE.+slice.+state.+changed )|(ment ac)|(multiple cpu faults)|(system.+state.+changed )|(\[timeout)|(PRM\|1\|D)|(kpr)|(kdp)|(\|lc)|(penalty)|(\|PRM\|1\|D)|(crossing.((167)|(168)|(199)|(200))))"</v>
      </c>
      <c r="H11" s="218" t="str">
        <f t="shared" si="1"/>
        <v>grep -hSE " 16:.+((\|PRM\|1\|D)|(crossing.((167)|(168)|(199)|(200))))" "%USERPROFILE%\AppData\Local\Temp\OnboardLogs"\RTDC4012\*4012*201703061*</v>
      </c>
      <c r="I11" s="214" t="str">
        <f>IF(VLOOKUP(K11,'Train Runs'!$A$13:$V$1000,1,TRUE)=K11,VLOOKUP(K11,'Train Runs'!$A$13:$V$1000,22,TRUE),NA())</f>
        <v>https://d0f6bd738d7f1b3e5a7ca70fe4ff75f0.us-east-1.aws.found.io/app/kibana#/discover/Steve-Slow-Train-Analysis-(2080s-and-2083s)?_g=(refreshInterval:(display:Off,pause:!f,section:0,value:0),time:(from:'2017-03-17T08:33:35-0600',mode:absolute,to:'2017-03-17T11:21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J11" s="210">
        <f t="shared" si="2"/>
        <v>42800.675000000003</v>
      </c>
      <c r="K11" s="210" t="str">
        <f>D11&amp;"-"&amp;IF(DAY(Variables!$A$2)&lt;10,0,"")&amp;DAY(Variables!$A$2)</f>
        <v>142-17</v>
      </c>
      <c r="L11" s="206">
        <f>IF(VLOOKUP(K11,'Train Runs'!$A$12:$B$1000,1,TRUE)=K11,VLOOKUP(K11,'Train Runs'!$A$12:$B$1000,2,TRUE),NA())</f>
        <v>4012</v>
      </c>
      <c r="M11" s="206">
        <f>VLOOKUP(B11,Variables!$T$2:$X$99,2,FALSE)</f>
        <v>167</v>
      </c>
      <c r="N11" s="206">
        <f>VLOOKUP(B11,Variables!$T$2:$X$99,3,FALSE)</f>
        <v>168</v>
      </c>
      <c r="O11" s="206">
        <f>VLOOKUP(B11,Variables!$T$2:$X$99,4,FALSE)</f>
        <v>199</v>
      </c>
      <c r="P11" s="206">
        <f>VLOOKUP(B11,Variables!$T$2:$X$99,5,FALSE)</f>
        <v>200</v>
      </c>
      <c r="Q11" s="205" t="str">
        <f t="shared" si="3"/>
        <v>(\|PRM\|1\|D)|(crossing.((167)|(168)|(199)|(200)))</v>
      </c>
    </row>
    <row r="12" spans="1:17" x14ac:dyDescent="0.25">
      <c r="A12" s="201">
        <v>42800.435416666667</v>
      </c>
      <c r="B12" s="208" t="s">
        <v>396</v>
      </c>
      <c r="C12" s="198" t="s">
        <v>398</v>
      </c>
      <c r="D12" s="212">
        <v>144</v>
      </c>
      <c r="E12" s="30" t="s">
        <v>400</v>
      </c>
      <c r="F12" s="212" t="b">
        <v>1</v>
      </c>
      <c r="G12" s="216" t="str">
        <f t="shared" si="0"/>
        <v>"C:\Program Files (x86)\AstroGrep\AstroGrep.exe" /e /r /s /spath="%USERPROFILE%\AppData\Local\Temp\OnboardLogs" /stypes="*4041*201703061*" /stext=" 16:.+((SYSTEM_STATE.+slice.+state.+changed )|(ment ac)|(multiple cpu faults)|(system.+state.+changed )|(\[timeout)|(PRM\|1\|D)|(kpr)|(kdp)|(\|lc)|(penalty)|(\|PRM\|1\|D)|(crossing.((167)|(168)|(199)|(200))))"</v>
      </c>
      <c r="H12" s="218" t="str">
        <f t="shared" si="1"/>
        <v>grep -hSE " 16:.+((\|PRM\|1\|D)|(crossing.((167)|(168)|(199)|(200))))" "%USERPROFILE%\AppData\Local\Temp\OnboardLogs"\RTDC4041\*4041*201703061*</v>
      </c>
      <c r="I12" s="214" t="str">
        <f>IF(VLOOKUP(K12,'Train Runs'!$A$13:$V$1000,1,TRUE)=K12,VLOOKUP(K12,'Train Runs'!$A$13:$V$1000,22,TRUE),NA())</f>
        <v>https://d0f6bd738d7f1b3e5a7ca70fe4ff75f0.us-east-1.aws.found.io/app/kibana#/discover/Steve-Slow-Train-Analysis-(2080s-and-2083s)?_g=(refreshInterval:(display:Off,pause:!f,section:0,value:0),time:(from:'2017-03-17T08:46:35-0600',mode:absolute,to:'2017-03-17T11:43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J12" s="210">
        <f t="shared" si="2"/>
        <v>42800.685416666667</v>
      </c>
      <c r="K12" s="210" t="str">
        <f>D12&amp;"-"&amp;IF(DAY(Variables!$A$2)&lt;10,0,"")&amp;DAY(Variables!$A$2)</f>
        <v>144-17</v>
      </c>
      <c r="L12" s="206">
        <f>IF(VLOOKUP(K12,'Train Runs'!$A$12:$B$1000,1,TRUE)=K12,VLOOKUP(K12,'Train Runs'!$A$12:$B$1000,2,TRUE),NA())</f>
        <v>4041</v>
      </c>
      <c r="M12" s="206">
        <f>VLOOKUP(B12,Variables!$T$2:$X$99,2,FALSE)</f>
        <v>167</v>
      </c>
      <c r="N12" s="206">
        <f>VLOOKUP(B12,Variables!$T$2:$X$99,3,FALSE)</f>
        <v>168</v>
      </c>
      <c r="O12" s="206">
        <f>VLOOKUP(B12,Variables!$T$2:$X$99,4,FALSE)</f>
        <v>199</v>
      </c>
      <c r="P12" s="206">
        <f>VLOOKUP(B12,Variables!$T$2:$X$99,5,FALSE)</f>
        <v>200</v>
      </c>
      <c r="Q12" s="205" t="str">
        <f t="shared" si="3"/>
        <v>(\|PRM\|1\|D)|(crossing.((167)|(168)|(199)|(200)))</v>
      </c>
    </row>
    <row r="13" spans="1:17" x14ac:dyDescent="0.25">
      <c r="A13" s="201">
        <v>42800.445833333331</v>
      </c>
      <c r="B13" s="208" t="s">
        <v>396</v>
      </c>
      <c r="C13" s="198" t="s">
        <v>398</v>
      </c>
      <c r="D13" s="212">
        <v>146</v>
      </c>
      <c r="E13" s="30" t="s">
        <v>400</v>
      </c>
      <c r="F13" s="212" t="b">
        <v>1</v>
      </c>
      <c r="G13" s="216" t="str">
        <f t="shared" si="0"/>
        <v>"C:\Program Files (x86)\AstroGrep\AstroGrep.exe" /e /r /s /spath="%USERPROFILE%\AppData\Local\Temp\OnboardLogs" /stypes="*4039*201703061*" /stext=" 16:.+((SYSTEM_STATE.+slice.+state.+changed )|(ment ac)|(multiple cpu faults)|(system.+state.+changed )|(\[timeout)|(PRM\|1\|D)|(kpr)|(kdp)|(\|lc)|(penalty)|(\|PRM\|1\|D)|(crossing.((167)|(168)|(199)|(200))))"</v>
      </c>
      <c r="H13" s="218" t="str">
        <f t="shared" si="1"/>
        <v>grep -hSE " 16:.+((\|PRM\|1\|D)|(crossing.((167)|(168)|(199)|(200))))" "%USERPROFILE%\AppData\Local\Temp\OnboardLogs"\RTDC4039\*4039*201703061*</v>
      </c>
      <c r="I13" s="214" t="str">
        <f>IF(VLOOKUP(K13,'Train Runs'!$A$13:$V$1000,1,TRUE)=K13,VLOOKUP(K13,'Train Runs'!$A$13:$V$1000,22,TRUE),NA())</f>
        <v>https://d0f6bd738d7f1b3e5a7ca70fe4ff75f0.us-east-1.aws.found.io/app/kibana#/discover/Steve-Slow-Train-Analysis-(2080s-and-2083s)?_g=(refreshInterval:(display:Off,pause:!f,section:0,value:0),time:(from:'2017-03-17T08:53:32-0600',mode:absolute,to:'2017-03-17T11:49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J13" s="210">
        <f t="shared" si="2"/>
        <v>42800.695833333331</v>
      </c>
      <c r="K13" s="210" t="str">
        <f>D13&amp;"-"&amp;IF(DAY(Variables!$A$2)&lt;10,0,"")&amp;DAY(Variables!$A$2)</f>
        <v>146-17</v>
      </c>
      <c r="L13" s="206">
        <f>IF(VLOOKUP(K13,'Train Runs'!$A$12:$B$1000,1,TRUE)=K13,VLOOKUP(K13,'Train Runs'!$A$12:$B$1000,2,TRUE),NA())</f>
        <v>4039</v>
      </c>
      <c r="M13" s="206">
        <f>VLOOKUP(B13,Variables!$T$2:$X$99,2,FALSE)</f>
        <v>167</v>
      </c>
      <c r="N13" s="206">
        <f>VLOOKUP(B13,Variables!$T$2:$X$99,3,FALSE)</f>
        <v>168</v>
      </c>
      <c r="O13" s="206">
        <f>VLOOKUP(B13,Variables!$T$2:$X$99,4,FALSE)</f>
        <v>199</v>
      </c>
      <c r="P13" s="206">
        <f>VLOOKUP(B13,Variables!$T$2:$X$99,5,FALSE)</f>
        <v>200</v>
      </c>
      <c r="Q13" s="205" t="str">
        <f t="shared" si="3"/>
        <v>(\|PRM\|1\|D)|(crossing.((167)|(168)|(199)|(200)))</v>
      </c>
    </row>
    <row r="14" spans="1:17" x14ac:dyDescent="0.25">
      <c r="A14" s="201">
        <v>42800.456944444442</v>
      </c>
      <c r="B14" s="208" t="s">
        <v>396</v>
      </c>
      <c r="C14" s="198" t="s">
        <v>398</v>
      </c>
      <c r="D14" s="212">
        <v>148</v>
      </c>
      <c r="E14" s="30" t="s">
        <v>404</v>
      </c>
      <c r="F14" s="212" t="b">
        <v>1</v>
      </c>
      <c r="G14" s="216" t="str">
        <f t="shared" si="0"/>
        <v>"C:\Program Files (x86)\AstroGrep\AstroGrep.exe" /e /r /s /spath="%USERPROFILE%\AppData\Local\Temp\OnboardLogs" /stypes="*4019*201703061*" /stext=" 16:.+((SYSTEM_STATE.+slice.+state.+changed )|(ment ac)|(multiple cpu faults)|(system.+state.+changed )|(\[timeout)|(PRM\|1\|D)|(kpr)|(kdp)|(\|lc)|(penalty)|(\|PRM\|1\|D)|(crossing.((167)|(168)|(199)|(200))))"</v>
      </c>
      <c r="H14" s="218" t="str">
        <f t="shared" si="1"/>
        <v>grep -hSE " 16:.+((\|PRM\|1\|D)|(crossing.((167)|(168)|(199)|(200))))" "%USERPROFILE%\AppData\Local\Temp\OnboardLogs"\RTDC4019\*4019*201703061*</v>
      </c>
      <c r="I14" s="214" t="str">
        <f>IF(VLOOKUP(K14,'Train Runs'!$A$13:$V$1000,1,TRUE)=K14,VLOOKUP(K14,'Train Runs'!$A$13:$V$1000,22,TRUE),NA())</f>
        <v>https://d0f6bd738d7f1b3e5a7ca70fe4ff75f0.us-east-1.aws.found.io/app/kibana#/discover/Steve-Slow-Train-Analysis-(2080s-and-2083s)?_g=(refreshInterval:(display:Off,pause:!f,section:0,value:0),time:(from:'2017-03-17T09:20:02-0600',mode:absolute,to:'2017-03-17T12:09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J14" s="210">
        <f t="shared" si="2"/>
        <v>42800.706944444442</v>
      </c>
      <c r="K14" s="210" t="str">
        <f>D14&amp;"-"&amp;IF(DAY(Variables!$A$2)&lt;10,0,"")&amp;DAY(Variables!$A$2)</f>
        <v>148-17</v>
      </c>
      <c r="L14" s="206">
        <f>IF(VLOOKUP(K14,'Train Runs'!$A$12:$B$1000,1,TRUE)=K14,VLOOKUP(K14,'Train Runs'!$A$12:$B$1000,2,TRUE),NA())</f>
        <v>4019</v>
      </c>
      <c r="M14" s="206">
        <f>VLOOKUP(B14,Variables!$T$2:$X$99,2,FALSE)</f>
        <v>167</v>
      </c>
      <c r="N14" s="206">
        <f>VLOOKUP(B14,Variables!$T$2:$X$99,3,FALSE)</f>
        <v>168</v>
      </c>
      <c r="O14" s="206">
        <f>VLOOKUP(B14,Variables!$T$2:$X$99,4,FALSE)</f>
        <v>199</v>
      </c>
      <c r="P14" s="206">
        <f>VLOOKUP(B14,Variables!$T$2:$X$99,5,FALSE)</f>
        <v>200</v>
      </c>
      <c r="Q14" s="205" t="str">
        <f t="shared" si="3"/>
        <v>(\|PRM\|1\|D)|(crossing.((167)|(168)|(199)|(200)))</v>
      </c>
    </row>
    <row r="15" spans="1:17" x14ac:dyDescent="0.25">
      <c r="A15" s="201">
        <v>42800.614583333336</v>
      </c>
      <c r="B15" s="208" t="s">
        <v>396</v>
      </c>
      <c r="C15" s="198" t="s">
        <v>398</v>
      </c>
      <c r="D15" s="212">
        <v>178</v>
      </c>
      <c r="E15" s="30" t="s">
        <v>405</v>
      </c>
      <c r="F15" s="212" t="b">
        <v>1</v>
      </c>
      <c r="G15" s="216" t="str">
        <f t="shared" si="0"/>
        <v>"C:\Program Files (x86)\AstroGrep\AstroGrep.exe" /e /r /s /spath="%USERPROFILE%\AppData\Local\Temp\OnboardLogs" /stypes="*4001*201703062*" /stext=" 20:.+((SYSTEM_STATE.+slice.+state.+changed )|(ment ac)|(multiple cpu faults)|(system.+state.+changed )|(\[timeout)|(PRM\|1\|D)|(kpr)|(kdp)|(\|lc)|(penalty)|(\|PRM\|1\|D)|(crossing.((167)|(168)|(199)|(200))))"</v>
      </c>
      <c r="H15" s="218" t="str">
        <f t="shared" si="1"/>
        <v>grep -hSE " 20:.+((\|PRM\|1\|D)|(crossing.((167)|(168)|(199)|(200))))" "%USERPROFILE%\AppData\Local\Temp\OnboardLogs"\RTDC4001\*4001*201703062*</v>
      </c>
      <c r="I15" s="214" t="str">
        <f>IF(VLOOKUP(K15,'Train Runs'!$A$13:$V$1000,1,TRUE)=K15,VLOOKUP(K15,'Train Runs'!$A$13:$V$1000,22,TRUE),NA())</f>
        <v>https://d0f6bd738d7f1b3e5a7ca70fe4ff75f0.us-east-1.aws.found.io/app/kibana#/discover/Steve-Slow-Train-Analysis-(2080s-and-2083s)?_g=(refreshInterval:(display:Off,pause:!f,section:0,value:0),time:(from:'2017-03-17T13:04:22-0600',mode:absolute,to:'2017-03-17T15:56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J15" s="210">
        <f t="shared" si="2"/>
        <v>42800.864583333336</v>
      </c>
      <c r="K15" s="210" t="str">
        <f>D15&amp;"-"&amp;IF(DAY(Variables!$A$2)&lt;10,0,"")&amp;DAY(Variables!$A$2)</f>
        <v>178-17</v>
      </c>
      <c r="L15" s="206">
        <f>IF(VLOOKUP(K15,'Train Runs'!$A$12:$B$1000,1,TRUE)=K15,VLOOKUP(K15,'Train Runs'!$A$12:$B$1000,2,TRUE),NA())</f>
        <v>4001</v>
      </c>
      <c r="M15" s="206">
        <f>VLOOKUP(B15,Variables!$T$2:$X$99,2,FALSE)</f>
        <v>167</v>
      </c>
      <c r="N15" s="206">
        <f>VLOOKUP(B15,Variables!$T$2:$X$99,3,FALSE)</f>
        <v>168</v>
      </c>
      <c r="O15" s="206">
        <f>VLOOKUP(B15,Variables!$T$2:$X$99,4,FALSE)</f>
        <v>199</v>
      </c>
      <c r="P15" s="206">
        <f>VLOOKUP(B15,Variables!$T$2:$X$99,5,FALSE)</f>
        <v>200</v>
      </c>
      <c r="Q15" s="205" t="str">
        <f t="shared" si="3"/>
        <v>(\|PRM\|1\|D)|(crossing.((167)|(168)|(199)|(200)))</v>
      </c>
    </row>
    <row r="16" spans="1:17" x14ac:dyDescent="0.25">
      <c r="A16" s="201">
        <v>42800.699305555558</v>
      </c>
      <c r="B16" s="208" t="s">
        <v>396</v>
      </c>
      <c r="C16" s="198" t="s">
        <v>398</v>
      </c>
      <c r="D16" s="212">
        <v>194</v>
      </c>
      <c r="E16" s="30" t="s">
        <v>405</v>
      </c>
      <c r="F16" s="212" t="b">
        <v>1</v>
      </c>
      <c r="G16" s="216" t="str">
        <f t="shared" si="0"/>
        <v>"C:\Program Files (x86)\AstroGrep\AstroGrep.exe" /e /r /s /spath="%USERPROFILE%\AppData\Local\Temp\OnboardLogs" /stypes="*4017*201703062*" /stext=" 22:.+((SYSTEM_STATE.+slice.+state.+changed )|(ment ac)|(multiple cpu faults)|(system.+state.+changed )|(\[timeout)|(PRM\|1\|D)|(kpr)|(kdp)|(\|lc)|(penalty)|(\|PRM\|1\|D)|(crossing.((167)|(168)|(199)|(200))))"</v>
      </c>
      <c r="H16" s="218" t="str">
        <f t="shared" si="1"/>
        <v>grep -hSE " 22:.+((\|PRM\|1\|D)|(crossing.((167)|(168)|(199)|(200))))" "%USERPROFILE%\AppData\Local\Temp\OnboardLogs"\RTDC4017\*4017*201703062*</v>
      </c>
      <c r="I16" s="214" t="str">
        <f>IF(VLOOKUP(K16,'Train Runs'!$A$13:$V$1000,1,TRUE)=K16,VLOOKUP(K16,'Train Runs'!$A$13:$V$1000,22,TRUE),NA())</f>
        <v>https://d0f6bd738d7f1b3e5a7ca70fe4ff75f0.us-east-1.aws.found.io/app/kibana#/discover/Steve-Slow-Train-Analysis-(2080s-and-2083s)?_g=(refreshInterval:(display:Off,pause:!f,section:0,value:0),time:(from:'2017-03-17T15:03:33-0600',mode:absolute,to:'2017-03-17T18:04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J16" s="210">
        <f t="shared" si="2"/>
        <v>42800.949305555558</v>
      </c>
      <c r="K16" s="210" t="str">
        <f>D16&amp;"-"&amp;IF(DAY(Variables!$A$2)&lt;10,0,"")&amp;DAY(Variables!$A$2)</f>
        <v>194-17</v>
      </c>
      <c r="L16" s="206">
        <f>IF(VLOOKUP(K16,'Train Runs'!$A$12:$B$1000,1,TRUE)=K16,VLOOKUP(K16,'Train Runs'!$A$12:$B$1000,2,TRUE),NA())</f>
        <v>4017</v>
      </c>
      <c r="M16" s="206">
        <f>VLOOKUP(B16,Variables!$T$2:$X$99,2,FALSE)</f>
        <v>167</v>
      </c>
      <c r="N16" s="206">
        <f>VLOOKUP(B16,Variables!$T$2:$X$99,3,FALSE)</f>
        <v>168</v>
      </c>
      <c r="O16" s="206">
        <f>VLOOKUP(B16,Variables!$T$2:$X$99,4,FALSE)</f>
        <v>199</v>
      </c>
      <c r="P16" s="206">
        <f>VLOOKUP(B16,Variables!$T$2:$X$99,5,FALSE)</f>
        <v>200</v>
      </c>
      <c r="Q16" s="205" t="str">
        <f t="shared" si="3"/>
        <v>(\|PRM\|1\|D)|(crossing.((167)|(168)|(199)|(200)))</v>
      </c>
    </row>
    <row r="17" spans="1:17" x14ac:dyDescent="0.25">
      <c r="A17" s="201">
        <v>42800.771527777775</v>
      </c>
      <c r="B17" s="208" t="s">
        <v>396</v>
      </c>
      <c r="C17" s="198" t="s">
        <v>398</v>
      </c>
      <c r="D17" s="212">
        <v>206</v>
      </c>
      <c r="E17" s="30" t="s">
        <v>400</v>
      </c>
      <c r="F17" s="212" t="b">
        <v>1</v>
      </c>
      <c r="G17" s="216" t="str">
        <f t="shared" si="0"/>
        <v>"C:\Program Files (x86)\AstroGrep\AstroGrep.exe" /e /r /s /spath="%USERPROFILE%\AppData\Local\Temp\OnboardLogs" /stypes="*4001*201703070*" /stext=" 00:.+((SYSTEM_STATE.+slice.+state.+changed )|(ment ac)|(multiple cpu faults)|(system.+state.+changed )|(\[timeout)|(PRM\|1\|D)|(kpr)|(kdp)|(\|lc)|(penalty)|(\|PRM\|1\|D)|(crossing.((167)|(168)|(199)|(200))))"</v>
      </c>
      <c r="H17" s="218" t="str">
        <f t="shared" si="1"/>
        <v>grep -hSE " 00:.+((\|PRM\|1\|D)|(crossing.((167)|(168)|(199)|(200))))" "%USERPROFILE%\AppData\Local\Temp\OnboardLogs"\RTDC4001\*4001*201703070*</v>
      </c>
      <c r="I17" s="214" t="str">
        <f>IF(VLOOKUP(K17,'Train Runs'!$A$13:$V$1000,1,TRUE)=K17,VLOOKUP(K17,'Train Runs'!$A$13:$V$1000,22,TRUE),NA())</f>
        <v>https://d0f6bd738d7f1b3e5a7ca70fe4ff75f0.us-east-1.aws.found.io/app/kibana#/discover/Steve-Slow-Train-Analysis-(2080s-and-2083s)?_g=(refreshInterval:(display:Off,pause:!f,section:0,value:0),time:(from:'2017-03-17T16:36:15-0600',mode:absolute,to:'2017-03-17T19:23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J17" s="210">
        <f t="shared" si="2"/>
        <v>42801.021527777775</v>
      </c>
      <c r="K17" s="210" t="str">
        <f>D17&amp;"-"&amp;IF(DAY(Variables!$A$2)&lt;10,0,"")&amp;DAY(Variables!$A$2)</f>
        <v>206-17</v>
      </c>
      <c r="L17" s="206">
        <f>IF(VLOOKUP(K17,'Train Runs'!$A$12:$B$1000,1,TRUE)=K17,VLOOKUP(K17,'Train Runs'!$A$12:$B$1000,2,TRUE),NA())</f>
        <v>4001</v>
      </c>
      <c r="M17" s="206">
        <f>VLOOKUP(B17,Variables!$T$2:$X$99,2,FALSE)</f>
        <v>167</v>
      </c>
      <c r="N17" s="206">
        <f>VLOOKUP(B17,Variables!$T$2:$X$99,3,FALSE)</f>
        <v>168</v>
      </c>
      <c r="O17" s="206">
        <f>VLOOKUP(B17,Variables!$T$2:$X$99,4,FALSE)</f>
        <v>199</v>
      </c>
      <c r="P17" s="206">
        <f>VLOOKUP(B17,Variables!$T$2:$X$99,5,FALSE)</f>
        <v>200</v>
      </c>
      <c r="Q17" s="205" t="str">
        <f t="shared" si="3"/>
        <v>(\|PRM\|1\|D)|(crossing.((167)|(168)|(199)|(200)))</v>
      </c>
    </row>
    <row r="18" spans="1:17" x14ac:dyDescent="0.25">
      <c r="A18" s="201">
        <v>42800.784722222219</v>
      </c>
      <c r="B18" s="208" t="s">
        <v>396</v>
      </c>
      <c r="C18" s="198" t="s">
        <v>398</v>
      </c>
      <c r="D18" s="212">
        <v>210</v>
      </c>
      <c r="E18" s="30" t="s">
        <v>400</v>
      </c>
      <c r="F18" s="212" t="b">
        <v>1</v>
      </c>
      <c r="G18" s="216" t="str">
        <f t="shared" si="0"/>
        <v>"C:\Program Files (x86)\AstroGrep\AstroGrep.exe" /e /r /s /spath="%USERPROFILE%\AppData\Local\Temp\OnboardLogs" /stypes="*4054*201703070*" /stext=" 00:.+((SYSTEM_STATE.+slice.+state.+changed )|(ment ac)|(multiple cpu faults)|(system.+state.+changed )|(\[timeout)|(PRM\|1\|D)|(kpr)|(kdp)|(\|lc)|(penalty)|(\|PRM\|1\|D)|(crossing.((167)|(168)|(199)|(200))))"</v>
      </c>
      <c r="H18" s="218" t="str">
        <f t="shared" si="1"/>
        <v>grep -hSE " 00:.+((\|PRM\|1\|D)|(crossing.((167)|(168)|(199)|(200))))" "%USERPROFILE%\AppData\Local\Temp\OnboardLogs"\RTDC4054\*4054*201703070*</v>
      </c>
      <c r="I18" s="214" t="str">
        <f>IF(VLOOKUP(K18,'Train Runs'!$A$13:$V$1000,1,TRUE)=K18,VLOOKUP(K18,'Train Runs'!$A$13:$V$1000,22,TRUE),NA())</f>
        <v>https://d0f6bd738d7f1b3e5a7ca70fe4ff75f0.us-east-1.aws.found.io/app/kibana#/discover/Steve-Slow-Train-Analysis-(2080s-and-2083s)?_g=(refreshInterval:(display:Off,pause:!f,section:0,value:0),time:(from:'2017-03-17T17:09:49-0600',mode:absolute,to:'2017-03-17T19:51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J18" s="210">
        <f t="shared" si="2"/>
        <v>42801.034722222219</v>
      </c>
      <c r="K18" s="210" t="str">
        <f>D18&amp;"-"&amp;IF(DAY(Variables!$A$2)&lt;10,0,"")&amp;DAY(Variables!$A$2)</f>
        <v>210-17</v>
      </c>
      <c r="L18" s="206">
        <f>IF(VLOOKUP(K18,'Train Runs'!$A$12:$B$1000,1,TRUE)=K18,VLOOKUP(K18,'Train Runs'!$A$12:$B$1000,2,TRUE),NA())</f>
        <v>4054</v>
      </c>
      <c r="M18" s="206">
        <f>VLOOKUP(B18,Variables!$T$2:$X$99,2,FALSE)</f>
        <v>167</v>
      </c>
      <c r="N18" s="206">
        <f>VLOOKUP(B18,Variables!$T$2:$X$99,3,FALSE)</f>
        <v>168</v>
      </c>
      <c r="O18" s="206">
        <f>VLOOKUP(B18,Variables!$T$2:$X$99,4,FALSE)</f>
        <v>199</v>
      </c>
      <c r="P18" s="206">
        <f>VLOOKUP(B18,Variables!$T$2:$X$99,5,FALSE)</f>
        <v>200</v>
      </c>
      <c r="Q18" s="205" t="str">
        <f t="shared" si="3"/>
        <v>(\|PRM\|1\|D)|(crossing.((167)|(168)|(199)|(200)))</v>
      </c>
    </row>
    <row r="19" spans="1:17" x14ac:dyDescent="0.25">
      <c r="A19" s="201">
        <v>42800.790277777778</v>
      </c>
      <c r="B19" s="208" t="s">
        <v>396</v>
      </c>
      <c r="C19" s="198" t="s">
        <v>398</v>
      </c>
      <c r="D19" s="212">
        <f>D18+2</f>
        <v>212</v>
      </c>
      <c r="E19" s="30" t="s">
        <v>400</v>
      </c>
      <c r="F19" s="212" t="b">
        <v>1</v>
      </c>
      <c r="G19" s="216" t="str">
        <f t="shared" si="0"/>
        <v>"C:\Program Files (x86)\AstroGrep\AstroGrep.exe" /e /r /s /spath="%USERPROFILE%\AppData\Local\Temp\OnboardLogs" /stypes="*4012*201703070*" /stext=" 00:.+((SYSTEM_STATE.+slice.+state.+changed )|(ment ac)|(multiple cpu faults)|(system.+state.+changed )|(\[timeout)|(PRM\|1\|D)|(kpr)|(kdp)|(\|lc)|(penalty)|(\|PRM\|1\|D)|(crossing.((167)|(168)|(199)|(200))))"</v>
      </c>
      <c r="H19" s="218" t="str">
        <f t="shared" si="1"/>
        <v>grep -hSE " 00:.+((\|PRM\|1\|D)|(crossing.((167)|(168)|(199)|(200))))" "%USERPROFILE%\AppData\Local\Temp\OnboardLogs"\RTDC4012\*4012*201703070*</v>
      </c>
      <c r="I19" s="214" t="str">
        <f>IF(VLOOKUP(K19,'Train Runs'!$A$13:$V$1000,1,TRUE)=K19,VLOOKUP(K19,'Train Runs'!$A$13:$V$1000,22,TRUE),NA())</f>
        <v>https://d0f6bd738d7f1b3e5a7ca70fe4ff75f0.us-east-1.aws.found.io/app/kibana#/discover/Steve-Slow-Train-Analysis-(2080s-and-2083s)?_g=(refreshInterval:(display:Off,pause:!f,section:0,value:0),time:(from:'2017-03-17T17:17:33-0600',mode:absolute,to:'2017-03-17T20:07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J19" s="210">
        <f t="shared" si="2"/>
        <v>42801.040277777778</v>
      </c>
      <c r="K19" s="210" t="str">
        <f>D19&amp;"-"&amp;IF(DAY(Variables!$A$2)&lt;10,0,"")&amp;DAY(Variables!$A$2)</f>
        <v>212-17</v>
      </c>
      <c r="L19" s="206">
        <f>IF(VLOOKUP(K19,'Train Runs'!$A$12:$B$1000,1,TRUE)=K19,VLOOKUP(K19,'Train Runs'!$A$12:$B$1000,2,TRUE),NA())</f>
        <v>4012</v>
      </c>
      <c r="M19" s="206">
        <f>VLOOKUP(B19,Variables!$T$2:$X$99,2,FALSE)</f>
        <v>167</v>
      </c>
      <c r="N19" s="206">
        <f>VLOOKUP(B19,Variables!$T$2:$X$99,3,FALSE)</f>
        <v>168</v>
      </c>
      <c r="O19" s="206">
        <f>VLOOKUP(B19,Variables!$T$2:$X$99,4,FALSE)</f>
        <v>199</v>
      </c>
      <c r="P19" s="206">
        <f>VLOOKUP(B19,Variables!$T$2:$X$99,5,FALSE)</f>
        <v>200</v>
      </c>
      <c r="Q19" s="205" t="str">
        <f t="shared" si="3"/>
        <v>(\|PRM\|1\|D)|(crossing.((167)|(168)|(199)|(200)))</v>
      </c>
    </row>
    <row r="20" spans="1:17" x14ac:dyDescent="0.25">
      <c r="A20" s="201">
        <v>42800.803472222222</v>
      </c>
      <c r="B20" s="208" t="s">
        <v>396</v>
      </c>
      <c r="C20" s="198" t="s">
        <v>398</v>
      </c>
      <c r="D20" s="212">
        <v>214</v>
      </c>
      <c r="E20" s="30" t="s">
        <v>400</v>
      </c>
      <c r="F20" s="212" t="b">
        <v>1</v>
      </c>
      <c r="G20" s="216" t="str">
        <f t="shared" si="0"/>
        <v>"C:\Program Files (x86)\AstroGrep\AstroGrep.exe" /e /r /s /spath="%USERPROFILE%\AppData\Local\Temp\OnboardLogs" /stypes="*4015*201703070*" /stext=" 01:.+((SYSTEM_STATE.+slice.+state.+changed )|(ment ac)|(multiple cpu faults)|(system.+state.+changed )|(\[timeout)|(PRM\|1\|D)|(kpr)|(kdp)|(\|lc)|(penalty)|(\|PRM\|1\|D)|(crossing.((167)|(168)|(199)|(200))))"</v>
      </c>
      <c r="H20" s="218" t="str">
        <f t="shared" si="1"/>
        <v>grep -hSE " 01:.+((\|PRM\|1\|D)|(crossing.((167)|(168)|(199)|(200))))" "%USERPROFILE%\AppData\Local\Temp\OnboardLogs"\RTDC4015\*4015*201703070*</v>
      </c>
      <c r="I20" s="214" t="str">
        <f>IF(VLOOKUP(K20,'Train Runs'!$A$13:$V$1000,1,TRUE)=K20,VLOOKUP(K20,'Train Runs'!$A$13:$V$1000,22,TRUE),NA())</f>
        <v>https://d0f6bd738d7f1b3e5a7ca70fe4ff75f0.us-east-1.aws.found.io/app/kibana#/discover/Steve-Slow-Train-Analysis-(2080s-and-2083s)?_g=(refreshInterval:(display:Off,pause:!f,section:0,value:0),time:(from:'2017-03-17T17:34:38-0600',mode:absolute,to:'2017-03-17T20:22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J20" s="210">
        <f t="shared" si="2"/>
        <v>42801.053472222222</v>
      </c>
      <c r="K20" s="210" t="str">
        <f>D20&amp;"-"&amp;IF(DAY(Variables!$A$2)&lt;10,0,"")&amp;DAY(Variables!$A$2)</f>
        <v>214-17</v>
      </c>
      <c r="L20" s="206">
        <f>IF(VLOOKUP(K20,'Train Runs'!$A$12:$B$1000,1,TRUE)=K20,VLOOKUP(K20,'Train Runs'!$A$12:$B$1000,2,TRUE),NA())</f>
        <v>4015</v>
      </c>
      <c r="M20" s="206">
        <f>VLOOKUP(B20,Variables!$T$2:$X$99,2,FALSE)</f>
        <v>167</v>
      </c>
      <c r="N20" s="206">
        <f>VLOOKUP(B20,Variables!$T$2:$X$99,3,FALSE)</f>
        <v>168</v>
      </c>
      <c r="O20" s="206">
        <f>VLOOKUP(B20,Variables!$T$2:$X$99,4,FALSE)</f>
        <v>199</v>
      </c>
      <c r="P20" s="206">
        <f>VLOOKUP(B20,Variables!$T$2:$X$99,5,FALSE)</f>
        <v>200</v>
      </c>
      <c r="Q20" s="205" t="str">
        <f t="shared" si="3"/>
        <v>(\|PRM\|1\|D)|(crossing.((167)|(168)|(199)|(200)))</v>
      </c>
    </row>
    <row r="21" spans="1:17" x14ac:dyDescent="0.25">
      <c r="A21" s="201">
        <v>42800.819444444445</v>
      </c>
      <c r="B21" s="208" t="s">
        <v>396</v>
      </c>
      <c r="C21" s="198" t="s">
        <v>398</v>
      </c>
      <c r="D21" s="212">
        <v>216</v>
      </c>
      <c r="E21" s="30" t="s">
        <v>400</v>
      </c>
      <c r="F21" s="212" t="b">
        <v>1</v>
      </c>
      <c r="G21" s="216" t="str">
        <f t="shared" si="0"/>
        <v>"C:\Program Files (x86)\AstroGrep\AstroGrep.exe" /e /r /s /spath="%USERPROFILE%\AppData\Local\Temp\OnboardLogs" /stypes="*4039*201703070*" /stext=" 01:.+((SYSTEM_STATE.+slice.+state.+changed )|(ment ac)|(multiple cpu faults)|(system.+state.+changed )|(\[timeout)|(PRM\|1\|D)|(kpr)|(kdp)|(\|lc)|(penalty)|(\|PRM\|1\|D)|(crossing.((167)|(168)|(199)|(200))))"</v>
      </c>
      <c r="H21" s="218" t="str">
        <f t="shared" si="1"/>
        <v>grep -hSE " 01:.+((\|PRM\|1\|D)|(crossing.((167)|(168)|(199)|(200))))" "%USERPROFILE%\AppData\Local\Temp\OnboardLogs"\RTDC4039\*4039*201703070*</v>
      </c>
      <c r="I21" s="214" t="str">
        <f>IF(VLOOKUP(K21,'Train Runs'!$A$13:$V$1000,1,TRUE)=K21,VLOOKUP(K21,'Train Runs'!$A$13:$V$1000,22,TRUE),NA())</f>
        <v>https://d0f6bd738d7f1b3e5a7ca70fe4ff75f0.us-east-1.aws.found.io/app/kibana#/discover/Steve-Slow-Train-Analysis-(2080s-and-2083s)?_g=(refreshInterval:(display:Off,pause:!f,section:0,value:0),time:(from:'2017-03-17T17:46:32-0600',mode:absolute,to:'2017-03-17T20:36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J21" s="210">
        <f t="shared" si="2"/>
        <v>42801.069444444445</v>
      </c>
      <c r="K21" s="210" t="str">
        <f>D21&amp;"-"&amp;IF(DAY(Variables!$A$2)&lt;10,0,"")&amp;DAY(Variables!$A$2)</f>
        <v>216-17</v>
      </c>
      <c r="L21" s="206">
        <f>IF(VLOOKUP(K21,'Train Runs'!$A$12:$B$1000,1,TRUE)=K21,VLOOKUP(K21,'Train Runs'!$A$12:$B$1000,2,TRUE),NA())</f>
        <v>4039</v>
      </c>
      <c r="M21" s="206">
        <f>VLOOKUP(B21,Variables!$T$2:$X$99,2,FALSE)</f>
        <v>167</v>
      </c>
      <c r="N21" s="206">
        <f>VLOOKUP(B21,Variables!$T$2:$X$99,3,FALSE)</f>
        <v>168</v>
      </c>
      <c r="O21" s="206">
        <f>VLOOKUP(B21,Variables!$T$2:$X$99,4,FALSE)</f>
        <v>199</v>
      </c>
      <c r="P21" s="206">
        <f>VLOOKUP(B21,Variables!$T$2:$X$99,5,FALSE)</f>
        <v>200</v>
      </c>
      <c r="Q21" s="205" t="str">
        <f t="shared" si="3"/>
        <v>(\|PRM\|1\|D)|(crossing.((167)|(168)|(199)|(200)))</v>
      </c>
    </row>
    <row r="22" spans="1:17" x14ac:dyDescent="0.25">
      <c r="A22" s="201">
        <v>42800.828472222223</v>
      </c>
      <c r="B22" s="208" t="s">
        <v>396</v>
      </c>
      <c r="C22" s="198" t="s">
        <v>398</v>
      </c>
      <c r="D22" s="212">
        <f>D21+2</f>
        <v>218</v>
      </c>
      <c r="E22" s="30" t="s">
        <v>400</v>
      </c>
      <c r="F22" s="212" t="b">
        <v>1</v>
      </c>
      <c r="G22" s="216" t="str">
        <f t="shared" si="0"/>
        <v>"C:\Program Files (x86)\AstroGrep\AstroGrep.exe" /e /r /s /spath="%USERPROFILE%\AppData\Local\Temp\OnboardLogs" /stypes="*4019*201703070*" /stext=" 01:.+((SYSTEM_STATE.+slice.+state.+changed )|(ment ac)|(multiple cpu faults)|(system.+state.+changed )|(\[timeout)|(PRM\|1\|D)|(kpr)|(kdp)|(\|lc)|(penalty)|(\|PRM\|1\|D)|(crossing.((167)|(168)|(199)|(200))))"</v>
      </c>
      <c r="H22" s="218" t="str">
        <f t="shared" si="1"/>
        <v>grep -hSE " 01:.+((\|PRM\|1\|D)|(crossing.((167)|(168)|(199)|(200))))" "%USERPROFILE%\AppData\Local\Temp\OnboardLogs"\RTDC4019\*4019*201703070*</v>
      </c>
      <c r="I22" s="214" t="str">
        <f>IF(VLOOKUP(K22,'Train Runs'!$A$13:$V$1000,1,TRUE)=K22,VLOOKUP(K22,'Train Runs'!$A$13:$V$1000,22,TRUE),NA())</f>
        <v>https://d0f6bd738d7f1b3e5a7ca70fe4ff75f0.us-east-1.aws.found.io/app/kibana#/discover/Steve-Slow-Train-Analysis-(2080s-and-2083s)?_g=(refreshInterval:(display:Off,pause:!f,section:0,value:0),time:(from:'2017-03-17T17:54:43-0600',mode:absolute,to:'2017-03-17T20:48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J22" s="210">
        <f t="shared" si="2"/>
        <v>42801.078472222223</v>
      </c>
      <c r="K22" s="210" t="str">
        <f>D22&amp;"-"&amp;IF(DAY(Variables!$A$2)&lt;10,0,"")&amp;DAY(Variables!$A$2)</f>
        <v>218-17</v>
      </c>
      <c r="L22" s="206">
        <f>IF(VLOOKUP(K22,'Train Runs'!$A$12:$B$1000,1,TRUE)=K22,VLOOKUP(K22,'Train Runs'!$A$12:$B$1000,2,TRUE),NA())</f>
        <v>4019</v>
      </c>
      <c r="M22" s="206">
        <f>VLOOKUP(B22,Variables!$T$2:$X$99,2,FALSE)</f>
        <v>167</v>
      </c>
      <c r="N22" s="206">
        <f>VLOOKUP(B22,Variables!$T$2:$X$99,3,FALSE)</f>
        <v>168</v>
      </c>
      <c r="O22" s="206">
        <f>VLOOKUP(B22,Variables!$T$2:$X$99,4,FALSE)</f>
        <v>199</v>
      </c>
      <c r="P22" s="206">
        <f>VLOOKUP(B22,Variables!$T$2:$X$99,5,FALSE)</f>
        <v>200</v>
      </c>
      <c r="Q22" s="205" t="str">
        <f t="shared" si="3"/>
        <v>(\|PRM\|1\|D)|(crossing.((167)|(168)|(199)|(200)))</v>
      </c>
    </row>
    <row r="23" spans="1:17" x14ac:dyDescent="0.25">
      <c r="A23" s="201">
        <v>42800.835416666669</v>
      </c>
      <c r="B23" s="208" t="s">
        <v>396</v>
      </c>
      <c r="C23" s="198" t="s">
        <v>398</v>
      </c>
      <c r="D23" s="212">
        <f>D22+2</f>
        <v>220</v>
      </c>
      <c r="E23" s="30" t="s">
        <v>400</v>
      </c>
      <c r="F23" s="212" t="b">
        <v>1</v>
      </c>
      <c r="G23" s="216" t="str">
        <f t="shared" si="0"/>
        <v>"C:\Program Files (x86)\AstroGrep\AstroGrep.exe" /e /r /s /spath="%USERPROFILE%\AppData\Local\Temp\OnboardLogs" /stypes="*4001*201703070*" /stext=" 02:.+((SYSTEM_STATE.+slice.+state.+changed )|(ment ac)|(multiple cpu faults)|(system.+state.+changed )|(\[timeout)|(PRM\|1\|D)|(kpr)|(kdp)|(\|lc)|(penalty)|(\|PRM\|1\|D)|(crossing.((167)|(168)|(199)|(200))))"</v>
      </c>
      <c r="H23" s="218" t="str">
        <f t="shared" si="1"/>
        <v>grep -hSE " 02:.+((\|PRM\|1\|D)|(crossing.((167)|(168)|(199)|(200))))" "%USERPROFILE%\AppData\Local\Temp\OnboardLogs"\RTDC4001\*4001*201703070*</v>
      </c>
      <c r="I23" s="214" t="str">
        <f>IF(VLOOKUP(K23,'Train Runs'!$A$13:$V$1000,1,TRUE)=K23,VLOOKUP(K23,'Train Runs'!$A$13:$V$1000,22,TRUE),NA())</f>
        <v>https://d0f6bd738d7f1b3e5a7ca70fe4ff75f0.us-east-1.aws.found.io/app/kibana#/discover/Steve-Slow-Train-Analysis-(2080s-and-2083s)?_g=(refreshInterval:(display:Off,pause:!f,section:0,value:0),time:(from:'2017-03-17T18:13:17-0600',mode:absolute,to:'2017-03-17T21:08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J23" s="210">
        <f t="shared" si="2"/>
        <v>42801.085416666669</v>
      </c>
      <c r="K23" s="210" t="str">
        <f>D23&amp;"-"&amp;IF(DAY(Variables!$A$2)&lt;10,0,"")&amp;DAY(Variables!$A$2)</f>
        <v>220-17</v>
      </c>
      <c r="L23" s="206">
        <f>IF(VLOOKUP(K23,'Train Runs'!$A$12:$B$1000,1,TRUE)=K23,VLOOKUP(K23,'Train Runs'!$A$12:$B$1000,2,TRUE),NA())</f>
        <v>4001</v>
      </c>
      <c r="M23" s="206">
        <f>VLOOKUP(B23,Variables!$T$2:$X$99,2,FALSE)</f>
        <v>167</v>
      </c>
      <c r="N23" s="206">
        <f>VLOOKUP(B23,Variables!$T$2:$X$99,3,FALSE)</f>
        <v>168</v>
      </c>
      <c r="O23" s="206">
        <f>VLOOKUP(B23,Variables!$T$2:$X$99,4,FALSE)</f>
        <v>199</v>
      </c>
      <c r="P23" s="206">
        <f>VLOOKUP(B23,Variables!$T$2:$X$99,5,FALSE)</f>
        <v>200</v>
      </c>
      <c r="Q23" s="205" t="str">
        <f t="shared" si="3"/>
        <v>(\|PRM\|1\|D)|(crossing.((167)|(168)|(199)|(200)))</v>
      </c>
    </row>
    <row r="24" spans="1:17" x14ac:dyDescent="0.25">
      <c r="A24" s="201">
        <v>42800.854166666664</v>
      </c>
      <c r="B24" s="208" t="s">
        <v>396</v>
      </c>
      <c r="C24" s="198" t="s">
        <v>398</v>
      </c>
      <c r="D24" s="212">
        <f>D23+2</f>
        <v>222</v>
      </c>
      <c r="E24" s="30" t="s">
        <v>400</v>
      </c>
      <c r="F24" s="212" t="b">
        <v>1</v>
      </c>
      <c r="G24" s="216" t="str">
        <f t="shared" si="0"/>
        <v>"C:\Program Files (x86)\AstroGrep\AstroGrep.exe" /e /r /s /spath="%USERPROFILE%\AppData\Local\Temp\OnboardLogs" /stypes="*4054*201703070*" /stext=" 02:.+((SYSTEM_STATE.+slice.+state.+changed )|(ment ac)|(multiple cpu faults)|(system.+state.+changed )|(\[timeout)|(PRM\|1\|D)|(kpr)|(kdp)|(\|lc)|(penalty)|(\|PRM\|1\|D)|(crossing.((167)|(168)|(199)|(200))))"</v>
      </c>
      <c r="H24" s="218" t="str">
        <f t="shared" si="1"/>
        <v>grep -hSE " 02:.+((\|PRM\|1\|D)|(crossing.((167)|(168)|(199)|(200))))" "%USERPROFILE%\AppData\Local\Temp\OnboardLogs"\RTDC4054\*4054*201703070*</v>
      </c>
      <c r="I24" s="214" t="str">
        <f>IF(VLOOKUP(K24,'Train Runs'!$A$13:$V$1000,1,TRUE)=K24,VLOOKUP(K24,'Train Runs'!$A$13:$V$1000,22,TRUE),NA())</f>
        <v>https://d0f6bd738d7f1b3e5a7ca70fe4ff75f0.us-east-1.aws.found.io/app/kibana#/discover/Steve-Slow-Train-Analysis-(2080s-and-2083s)?_g=(refreshInterval:(display:Off,pause:!f,section:0,value:0),time:(from:'2017-03-17T18:53:47-0600',mode:absolute,to:'2017-03-17T21:38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J24" s="210">
        <f t="shared" si="2"/>
        <v>42801.104166666664</v>
      </c>
      <c r="K24" s="210" t="str">
        <f>D24&amp;"-"&amp;IF(DAY(Variables!$A$2)&lt;10,0,"")&amp;DAY(Variables!$A$2)</f>
        <v>222-17</v>
      </c>
      <c r="L24" s="206">
        <f>IF(VLOOKUP(K24,'Train Runs'!$A$12:$B$1000,1,TRUE)=K24,VLOOKUP(K24,'Train Runs'!$A$12:$B$1000,2,TRUE),NA())</f>
        <v>4054</v>
      </c>
      <c r="M24" s="206">
        <f>VLOOKUP(B24,Variables!$T$2:$X$99,2,FALSE)</f>
        <v>167</v>
      </c>
      <c r="N24" s="206">
        <f>VLOOKUP(B24,Variables!$T$2:$X$99,3,FALSE)</f>
        <v>168</v>
      </c>
      <c r="O24" s="206">
        <f>VLOOKUP(B24,Variables!$T$2:$X$99,4,FALSE)</f>
        <v>199</v>
      </c>
      <c r="P24" s="206">
        <f>VLOOKUP(B24,Variables!$T$2:$X$99,5,FALSE)</f>
        <v>200</v>
      </c>
      <c r="Q24" s="205" t="str">
        <f t="shared" si="3"/>
        <v>(\|PRM\|1\|D)|(crossing.((167)|(168)|(199)|(200)))</v>
      </c>
    </row>
    <row r="25" spans="1:17" x14ac:dyDescent="0.25">
      <c r="A25" s="201">
        <v>42800.872916666667</v>
      </c>
      <c r="B25" s="208" t="s">
        <v>396</v>
      </c>
      <c r="C25" s="198" t="s">
        <v>398</v>
      </c>
      <c r="D25" s="212">
        <f>D24+2</f>
        <v>224</v>
      </c>
      <c r="E25" s="30" t="s">
        <v>400</v>
      </c>
      <c r="F25" s="212" t="b">
        <v>1</v>
      </c>
      <c r="G25" s="216" t="str">
        <f t="shared" si="0"/>
        <v>"C:\Program Files (x86)\AstroGrep\AstroGrep.exe" /e /r /s /spath="%USERPROFILE%\AppData\Local\Temp\OnboardLogs" /stypes="*4015*201703070*" /stext=" 02:.+((SYSTEM_STATE.+slice.+state.+changed )|(ment ac)|(multiple cpu faults)|(system.+state.+changed )|(\[timeout)|(PRM\|1\|D)|(kpr)|(kdp)|(\|lc)|(penalty)|(\|PRM\|1\|D)|(crossing.((167)|(168)|(199)|(200))))"</v>
      </c>
      <c r="H25" s="218" t="str">
        <f t="shared" si="1"/>
        <v>grep -hSE " 02:.+((\|PRM\|1\|D)|(crossing.((167)|(168)|(199)|(200))))" "%USERPROFILE%\AppData\Local\Temp\OnboardLogs"\RTDC4015\*4015*201703070*</v>
      </c>
      <c r="I25" s="214" t="str">
        <f>IF(VLOOKUP(K25,'Train Runs'!$A$13:$V$1000,1,TRUE)=K25,VLOOKUP(K25,'Train Runs'!$A$13:$V$1000,22,TRUE),NA())</f>
        <v>https://d0f6bd738d7f1b3e5a7ca70fe4ff75f0.us-east-1.aws.found.io/app/kibana#/discover/Steve-Slow-Train-Analysis-(2080s-and-2083s)?_g=(refreshInterval:(display:Off,pause:!f,section:0,value:0),time:(from:'2017-03-17T19:19:11-0600',mode:absolute,to:'2017-03-17T22:08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J25" s="210">
        <f t="shared" si="2"/>
        <v>42801.122916666667</v>
      </c>
      <c r="K25" s="210" t="str">
        <f>D25&amp;"-"&amp;IF(DAY(Variables!$A$2)&lt;10,0,"")&amp;DAY(Variables!$A$2)</f>
        <v>224-17</v>
      </c>
      <c r="L25" s="206">
        <f>IF(VLOOKUP(K25,'Train Runs'!$A$12:$B$1000,1,TRUE)=K25,VLOOKUP(K25,'Train Runs'!$A$12:$B$1000,2,TRUE),NA())</f>
        <v>4015</v>
      </c>
      <c r="M25" s="206">
        <f>VLOOKUP(B25,Variables!$T$2:$X$99,2,FALSE)</f>
        <v>167</v>
      </c>
      <c r="N25" s="206">
        <f>VLOOKUP(B25,Variables!$T$2:$X$99,3,FALSE)</f>
        <v>168</v>
      </c>
      <c r="O25" s="206">
        <f>VLOOKUP(B25,Variables!$T$2:$X$99,4,FALSE)</f>
        <v>199</v>
      </c>
      <c r="P25" s="206">
        <f>VLOOKUP(B25,Variables!$T$2:$X$99,5,FALSE)</f>
        <v>200</v>
      </c>
      <c r="Q25" s="205" t="str">
        <f t="shared" si="3"/>
        <v>(\|PRM\|1\|D)|(crossing.((167)|(168)|(199)|(200)))</v>
      </c>
    </row>
    <row r="26" spans="1:17" x14ac:dyDescent="0.25">
      <c r="A26" s="201">
        <v>42800.895138888889</v>
      </c>
      <c r="B26" s="208" t="s">
        <v>396</v>
      </c>
      <c r="C26" s="198" t="s">
        <v>398</v>
      </c>
      <c r="D26" s="212">
        <f>D25+2</f>
        <v>226</v>
      </c>
      <c r="E26" s="30" t="s">
        <v>400</v>
      </c>
      <c r="F26" s="212" t="b">
        <v>1</v>
      </c>
      <c r="G26" s="216" t="str">
        <f t="shared" si="0"/>
        <v>"C:\Program Files (x86)\AstroGrep\AstroGrep.exe" /e /r /s /spath="%USERPROFILE%\AppData\Local\Temp\OnboardLogs" /stypes="*4019*201703070*" /stext=" 03:.+((SYSTEM_STATE.+slice.+state.+changed )|(ment ac)|(multiple cpu faults)|(system.+state.+changed )|(\[timeout)|(PRM\|1\|D)|(kpr)|(kdp)|(\|lc)|(penalty)|(\|PRM\|1\|D)|(crossing.((167)|(168)|(199)|(200))))"</v>
      </c>
      <c r="H26" s="218" t="str">
        <f t="shared" si="1"/>
        <v>grep -hSE " 03:.+((\|PRM\|1\|D)|(crossing.((167)|(168)|(199)|(200))))" "%USERPROFILE%\AppData\Local\Temp\OnboardLogs"\RTDC4019\*4019*201703070*</v>
      </c>
      <c r="I26" s="214" t="str">
        <f>IF(VLOOKUP(K26,'Train Runs'!$A$13:$V$1000,1,TRUE)=K26,VLOOKUP(K26,'Train Runs'!$A$13:$V$1000,22,TRUE),NA())</f>
        <v>https://d0f6bd738d7f1b3e5a7ca70fe4ff75f0.us-east-1.aws.found.io/app/kibana#/discover/Steve-Slow-Train-Analysis-(2080s-and-2083s)?_g=(refreshInterval:(display:Off,pause:!f,section:0,value:0),time:(from:'2017-03-17T19:52:59-0600',mode:absolute,to:'2017-03-17T22:36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J26" s="210">
        <f t="shared" si="2"/>
        <v>42801.145138888889</v>
      </c>
      <c r="K26" s="210" t="str">
        <f>D26&amp;"-"&amp;IF(DAY(Variables!$A$2)&lt;10,0,"")&amp;DAY(Variables!$A$2)</f>
        <v>226-17</v>
      </c>
      <c r="L26" s="206">
        <f>IF(VLOOKUP(K26,'Train Runs'!$A$12:$B$1000,1,TRUE)=K26,VLOOKUP(K26,'Train Runs'!$A$12:$B$1000,2,TRUE),NA())</f>
        <v>4019</v>
      </c>
      <c r="M26" s="206">
        <f>VLOOKUP(B26,Variables!$T$2:$X$99,2,FALSE)</f>
        <v>167</v>
      </c>
      <c r="N26" s="206">
        <f>VLOOKUP(B26,Variables!$T$2:$X$99,3,FALSE)</f>
        <v>168</v>
      </c>
      <c r="O26" s="206">
        <f>VLOOKUP(B26,Variables!$T$2:$X$99,4,FALSE)</f>
        <v>199</v>
      </c>
      <c r="P26" s="206">
        <f>VLOOKUP(B26,Variables!$T$2:$X$99,5,FALSE)</f>
        <v>200</v>
      </c>
      <c r="Q26" s="205" t="str">
        <f t="shared" si="3"/>
        <v>(\|PRM\|1\|D)|(crossing.((167)|(168)|(199)|(200)))</v>
      </c>
    </row>
    <row r="27" spans="1:17" x14ac:dyDescent="0.25">
      <c r="A27" s="201">
        <v>42800.916666666664</v>
      </c>
      <c r="B27" s="208" t="s">
        <v>396</v>
      </c>
      <c r="C27" s="198" t="s">
        <v>398</v>
      </c>
      <c r="D27" s="212">
        <f t="shared" ref="D27:D33" si="5">D26+2</f>
        <v>228</v>
      </c>
      <c r="E27" s="30" t="s">
        <v>400</v>
      </c>
      <c r="F27" s="212" t="b">
        <v>1</v>
      </c>
      <c r="G27" s="216" t="str">
        <f t="shared" si="0"/>
        <v>"C:\Program Files (x86)\AstroGrep\AstroGrep.exe" /e /r /s /spath="%USERPROFILE%\AppData\Local\Temp\OnboardLogs" /stypes="*4001*201703070*" /stext=" 04:.+((SYSTEM_STATE.+slice.+state.+changed )|(ment ac)|(multiple cpu faults)|(system.+state.+changed )|(\[timeout)|(PRM\|1\|D)|(kpr)|(kdp)|(\|lc)|(penalty)|(\|PRM\|1\|D)|(crossing.((167)|(168)|(199)|(200))))"</v>
      </c>
      <c r="H27" s="218" t="str">
        <f t="shared" si="1"/>
        <v>grep -hSE " 04:.+((\|PRM\|1\|D)|(crossing.((167)|(168)|(199)|(200))))" "%USERPROFILE%\AppData\Local\Temp\OnboardLogs"\RTDC4001\*4001*201703070*</v>
      </c>
      <c r="I27" s="214" t="str">
        <f>IF(VLOOKUP(K27,'Train Runs'!$A$13:$V$1000,1,TRUE)=K27,VLOOKUP(K27,'Train Runs'!$A$13:$V$1000,22,TRUE),NA())</f>
        <v>https://d0f6bd738d7f1b3e5a7ca70fe4ff75f0.us-east-1.aws.found.io/app/kibana#/discover/Steve-Slow-Train-Analysis-(2080s-and-2083s)?_g=(refreshInterval:(display:Off,pause:!f,section:0,value:0),time:(from:'2017-03-17T20:15:27-0600',mode:absolute,to:'2017-03-17T23:08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J27" s="210">
        <f t="shared" si="2"/>
        <v>42801.166666666664</v>
      </c>
      <c r="K27" s="210" t="str">
        <f>D27&amp;"-"&amp;IF(DAY(Variables!$A$2)&lt;10,0,"")&amp;DAY(Variables!$A$2)</f>
        <v>228-17</v>
      </c>
      <c r="L27" s="206">
        <f>IF(VLOOKUP(K27,'Train Runs'!$A$12:$B$1000,1,TRUE)=K27,VLOOKUP(K27,'Train Runs'!$A$12:$B$1000,2,TRUE),NA())</f>
        <v>4001</v>
      </c>
      <c r="M27" s="206">
        <f>VLOOKUP(B27,Variables!$T$2:$X$99,2,FALSE)</f>
        <v>167</v>
      </c>
      <c r="N27" s="206">
        <f>VLOOKUP(B27,Variables!$T$2:$X$99,3,FALSE)</f>
        <v>168</v>
      </c>
      <c r="O27" s="206">
        <f>VLOOKUP(B27,Variables!$T$2:$X$99,4,FALSE)</f>
        <v>199</v>
      </c>
      <c r="P27" s="206">
        <f>VLOOKUP(B27,Variables!$T$2:$X$99,5,FALSE)</f>
        <v>200</v>
      </c>
      <c r="Q27" s="205" t="str">
        <f t="shared" si="3"/>
        <v>(\|PRM\|1\|D)|(crossing.((167)|(168)|(199)|(200)))</v>
      </c>
    </row>
    <row r="28" spans="1:17" x14ac:dyDescent="0.25">
      <c r="A28" s="201">
        <v>42800.939583333333</v>
      </c>
      <c r="B28" s="208" t="s">
        <v>396</v>
      </c>
      <c r="C28" s="198" t="s">
        <v>398</v>
      </c>
      <c r="D28" s="212">
        <f t="shared" si="5"/>
        <v>230</v>
      </c>
      <c r="E28" s="30" t="s">
        <v>400</v>
      </c>
      <c r="F28" s="212" t="b">
        <v>1</v>
      </c>
      <c r="G28" s="216" t="str">
        <f t="shared" si="0"/>
        <v>"C:\Program Files (x86)\AstroGrep\AstroGrep.exe" /e /r /s /spath="%USERPROFILE%\AppData\Local\Temp\OnboardLogs" /stypes="*4054*201703070*" /stext=" 04:.+((SYSTEM_STATE.+slice.+state.+changed )|(ment ac)|(multiple cpu faults)|(system.+state.+changed )|(\[timeout)|(PRM\|1\|D)|(kpr)|(kdp)|(\|lc)|(penalty)|(\|PRM\|1\|D)|(crossing.((167)|(168)|(199)|(200))))"</v>
      </c>
      <c r="H28" s="218" t="str">
        <f t="shared" si="1"/>
        <v>grep -hSE " 04:.+((\|PRM\|1\|D)|(crossing.((167)|(168)|(199)|(200))))" "%USERPROFILE%\AppData\Local\Temp\OnboardLogs"\RTDC4054\*4054*201703070*</v>
      </c>
      <c r="I28" s="214" t="str">
        <f>IF(VLOOKUP(K28,'Train Runs'!$A$13:$V$1000,1,TRUE)=K28,VLOOKUP(K28,'Train Runs'!$A$13:$V$1000,22,TRUE),NA())</f>
        <v>https://d0f6bd738d7f1b3e5a7ca70fe4ff75f0.us-east-1.aws.found.io/app/kibana#/discover/Steve-Slow-Train-Analysis-(2080s-and-2083s)?_g=(refreshInterval:(display:Off,pause:!f,section:0,value:0),time:(from:'2017-03-17T20:53:30-0600',mode:absolute,to:'2017-03-17T23:35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J28" s="210">
        <f t="shared" si="2"/>
        <v>42801.189583333333</v>
      </c>
      <c r="K28" s="210" t="str">
        <f>D28&amp;"-"&amp;IF(DAY(Variables!$A$2)&lt;10,0,"")&amp;DAY(Variables!$A$2)</f>
        <v>230-17</v>
      </c>
      <c r="L28" s="206">
        <f>IF(VLOOKUP(K28,'Train Runs'!$A$12:$B$1000,1,TRUE)=K28,VLOOKUP(K28,'Train Runs'!$A$12:$B$1000,2,TRUE),NA())</f>
        <v>4054</v>
      </c>
      <c r="M28" s="206">
        <f>VLOOKUP(B28,Variables!$T$2:$X$99,2,FALSE)</f>
        <v>167</v>
      </c>
      <c r="N28" s="206">
        <f>VLOOKUP(B28,Variables!$T$2:$X$99,3,FALSE)</f>
        <v>168</v>
      </c>
      <c r="O28" s="206">
        <f>VLOOKUP(B28,Variables!$T$2:$X$99,4,FALSE)</f>
        <v>199</v>
      </c>
      <c r="P28" s="206">
        <f>VLOOKUP(B28,Variables!$T$2:$X$99,5,FALSE)</f>
        <v>200</v>
      </c>
      <c r="Q28" s="205" t="str">
        <f t="shared" si="3"/>
        <v>(\|PRM\|1\|D)|(crossing.((167)|(168)|(199)|(200)))</v>
      </c>
    </row>
    <row r="29" spans="1:17" x14ac:dyDescent="0.25">
      <c r="A29" s="201">
        <v>42800.957638888889</v>
      </c>
      <c r="B29" s="208" t="s">
        <v>396</v>
      </c>
      <c r="C29" s="198" t="s">
        <v>398</v>
      </c>
      <c r="D29" s="212">
        <f t="shared" si="5"/>
        <v>232</v>
      </c>
      <c r="E29" s="30" t="s">
        <v>400</v>
      </c>
      <c r="F29" s="212" t="b">
        <v>1</v>
      </c>
      <c r="G29" s="216" t="str">
        <f t="shared" si="0"/>
        <v>"C:\Program Files (x86)\AstroGrep\AstroGrep.exe" /e /r /s /spath="%USERPROFILE%\AppData\Local\Temp\OnboardLogs" /stypes="*4015*201703070*" /stext=" 04:.+((SYSTEM_STATE.+slice.+state.+changed )|(ment ac)|(multiple cpu faults)|(system.+state.+changed )|(\[timeout)|(PRM\|1\|D)|(kpr)|(kdp)|(\|lc)|(penalty)|(\|PRM\|1\|D)|(crossing.((167)|(168)|(199)|(200))))"</v>
      </c>
      <c r="H29" s="218" t="str">
        <f t="shared" si="1"/>
        <v>grep -hSE " 04:.+((\|PRM\|1\|D)|(crossing.((167)|(168)|(199)|(200))))" "%USERPROFILE%\AppData\Local\Temp\OnboardLogs"\RTDC4015\*4015*201703070*</v>
      </c>
      <c r="I29" s="214" t="str">
        <f>IF(VLOOKUP(K29,'Train Runs'!$A$13:$V$1000,1,TRUE)=K29,VLOOKUP(K29,'Train Runs'!$A$13:$V$1000,22,TRUE),NA())</f>
        <v>https://d0f6bd738d7f1b3e5a7ca70fe4ff75f0.us-east-1.aws.found.io/app/kibana#/discover/Steve-Slow-Train-Analysis-(2080s-and-2083s)?_g=(refreshInterval:(display:Off,pause:!f,section:0,value:0),time:(from:'2017-03-17T21:21:35-0600',mode:absolute,to:'2017-03-18T00:08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J29" s="210">
        <f t="shared" si="2"/>
        <v>42801.207638888889</v>
      </c>
      <c r="K29" s="210" t="str">
        <f>D29&amp;"-"&amp;IF(DAY(Variables!$A$2)&lt;10,0,"")&amp;DAY(Variables!$A$2)</f>
        <v>232-17</v>
      </c>
      <c r="L29" s="206">
        <f>IF(VLOOKUP(K29,'Train Runs'!$A$12:$B$1000,1,TRUE)=K29,VLOOKUP(K29,'Train Runs'!$A$12:$B$1000,2,TRUE),NA())</f>
        <v>4015</v>
      </c>
      <c r="M29" s="206">
        <f>VLOOKUP(B29,Variables!$T$2:$X$99,2,FALSE)</f>
        <v>167</v>
      </c>
      <c r="N29" s="206">
        <f>VLOOKUP(B29,Variables!$T$2:$X$99,3,FALSE)</f>
        <v>168</v>
      </c>
      <c r="O29" s="206">
        <f>VLOOKUP(B29,Variables!$T$2:$X$99,4,FALSE)</f>
        <v>199</v>
      </c>
      <c r="P29" s="206">
        <f>VLOOKUP(B29,Variables!$T$2:$X$99,5,FALSE)</f>
        <v>200</v>
      </c>
      <c r="Q29" s="205" t="str">
        <f t="shared" si="3"/>
        <v>(\|PRM\|1\|D)|(crossing.((167)|(168)|(199)|(200)))</v>
      </c>
    </row>
    <row r="30" spans="1:17" x14ac:dyDescent="0.25">
      <c r="A30" s="201">
        <v>42800.96875</v>
      </c>
      <c r="B30" s="208" t="s">
        <v>396</v>
      </c>
      <c r="C30" s="198" t="s">
        <v>398</v>
      </c>
      <c r="D30" s="212">
        <f t="shared" si="5"/>
        <v>234</v>
      </c>
      <c r="E30" s="30" t="s">
        <v>400</v>
      </c>
      <c r="F30" s="212" t="b">
        <v>1</v>
      </c>
      <c r="G30" s="216" t="str">
        <f t="shared" si="0"/>
        <v>"C:\Program Files (x86)\AstroGrep\AstroGrep.exe" /e /r /s /spath="%USERPROFILE%\AppData\Local\Temp\OnboardLogs" /stypes="*4019*201703070*" /stext=" 05:.+((SYSTEM_STATE.+slice.+state.+changed )|(ment ac)|(multiple cpu faults)|(system.+state.+changed )|(\[timeout)|(PRM\|1\|D)|(kpr)|(kdp)|(\|lc)|(penalty)|(\|PRM\|1\|D)|(crossing.((167)|(168)|(199)|(200))))"</v>
      </c>
      <c r="H30" s="218" t="str">
        <f t="shared" si="1"/>
        <v>grep -hSE " 05:.+((\|PRM\|1\|D)|(crossing.((167)|(168)|(199)|(200))))" "%USERPROFILE%\AppData\Local\Temp\OnboardLogs"\RTDC4019\*4019*201703070*</v>
      </c>
      <c r="I30" s="214" t="str">
        <f>IF(VLOOKUP(K30,'Train Runs'!$A$13:$V$1000,1,TRUE)=K30,VLOOKUP(K30,'Train Runs'!$A$13:$V$1000,22,TRUE),NA())</f>
        <v>https://d0f6bd738d7f1b3e5a7ca70fe4ff75f0.us-east-1.aws.found.io/app/kibana#/discover/Steve-Slow-Train-Analysis-(2080s-and-2083s)?_g=(refreshInterval:(display:Off,pause:!f,section:0,value:0),time:(from:'2017-03-17T21:38:44-0600',mode:absolute,to:'2017-03-18T00:36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J30" s="210">
        <f t="shared" si="2"/>
        <v>42801.21875</v>
      </c>
      <c r="K30" s="210" t="str">
        <f>D30&amp;"-"&amp;IF(DAY(Variables!$A$2)&lt;10,0,"")&amp;DAY(Variables!$A$2)</f>
        <v>234-17</v>
      </c>
      <c r="L30" s="206">
        <f>IF(VLOOKUP(K30,'Train Runs'!$A$12:$B$1000,1,TRUE)=K30,VLOOKUP(K30,'Train Runs'!$A$12:$B$1000,2,TRUE),NA())</f>
        <v>4019</v>
      </c>
      <c r="M30" s="206">
        <f>VLOOKUP(B30,Variables!$T$2:$X$99,2,FALSE)</f>
        <v>167</v>
      </c>
      <c r="N30" s="206">
        <f>VLOOKUP(B30,Variables!$T$2:$X$99,3,FALSE)</f>
        <v>168</v>
      </c>
      <c r="O30" s="206">
        <f>VLOOKUP(B30,Variables!$T$2:$X$99,4,FALSE)</f>
        <v>199</v>
      </c>
      <c r="P30" s="206">
        <f>VLOOKUP(B30,Variables!$T$2:$X$99,5,FALSE)</f>
        <v>200</v>
      </c>
      <c r="Q30" s="205" t="str">
        <f t="shared" si="3"/>
        <v>(\|PRM\|1\|D)|(crossing.((167)|(168)|(199)|(200)))</v>
      </c>
    </row>
    <row r="31" spans="1:17" x14ac:dyDescent="0.25">
      <c r="A31" s="201">
        <v>42800.979861111111</v>
      </c>
      <c r="B31" s="208" t="s">
        <v>396</v>
      </c>
      <c r="C31" s="198" t="s">
        <v>398</v>
      </c>
      <c r="D31" s="212">
        <f t="shared" si="5"/>
        <v>236</v>
      </c>
      <c r="E31" s="30" t="s">
        <v>400</v>
      </c>
      <c r="F31" s="212" t="b">
        <v>1</v>
      </c>
      <c r="G31" s="216" t="str">
        <f t="shared" si="0"/>
        <v>"C:\Program Files (x86)\AstroGrep\AstroGrep.exe" /e /r /s /spath="%USERPROFILE%\AppData\Local\Temp\OnboardLogs" /stypes="*4001*201703070*" /stext=" 05:.+((SYSTEM_STATE.+slice.+state.+changed )|(ment ac)|(multiple cpu faults)|(system.+state.+changed )|(\[timeout)|(PRM\|1\|D)|(kpr)|(kdp)|(\|lc)|(penalty)|(\|PRM\|1\|D)|(crossing.((167)|(168)|(199)|(200))))"</v>
      </c>
      <c r="H31" s="218" t="str">
        <f t="shared" si="1"/>
        <v>grep -hSE " 05:.+((\|PRM\|1\|D)|(crossing.((167)|(168)|(199)|(200))))" "%USERPROFILE%\AppData\Local\Temp\OnboardLogs"\RTDC4001\*4001*201703070*</v>
      </c>
      <c r="I31" s="214" t="str">
        <f>IF(VLOOKUP(K31,'Train Runs'!$A$13:$V$1000,1,TRUE)=K31,VLOOKUP(K31,'Train Runs'!$A$13:$V$1000,22,TRUE),NA())</f>
        <v>https://d0f6bd738d7f1b3e5a7ca70fe4ff75f0.us-east-1.aws.found.io/app/kibana#/discover/Steve-Slow-Train-Analysis-(2080s-and-2083s)?_g=(refreshInterval:(display:Off,pause:!f,section:0,value:0),time:(from:'2017-03-17T22:19:18-0600',mode:absolute,to:'2017-03-18T01:08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J31" s="210">
        <f t="shared" si="2"/>
        <v>42801.229861111111</v>
      </c>
      <c r="K31" s="210" t="str">
        <f>D31&amp;"-"&amp;IF(DAY(Variables!$A$2)&lt;10,0,"")&amp;DAY(Variables!$A$2)</f>
        <v>236-17</v>
      </c>
      <c r="L31" s="206">
        <f>IF(VLOOKUP(K31,'Train Runs'!$A$12:$B$1000,1,TRUE)=K31,VLOOKUP(K31,'Train Runs'!$A$12:$B$1000,2,TRUE),NA())</f>
        <v>4001</v>
      </c>
      <c r="M31" s="206">
        <f>VLOOKUP(B31,Variables!$T$2:$X$99,2,FALSE)</f>
        <v>167</v>
      </c>
      <c r="N31" s="206">
        <f>VLOOKUP(B31,Variables!$T$2:$X$99,3,FALSE)</f>
        <v>168</v>
      </c>
      <c r="O31" s="206">
        <f>VLOOKUP(B31,Variables!$T$2:$X$99,4,FALSE)</f>
        <v>199</v>
      </c>
      <c r="P31" s="206">
        <f>VLOOKUP(B31,Variables!$T$2:$X$99,5,FALSE)</f>
        <v>200</v>
      </c>
      <c r="Q31" s="205" t="str">
        <f t="shared" si="3"/>
        <v>(\|PRM\|1\|D)|(crossing.((167)|(168)|(199)|(200)))</v>
      </c>
    </row>
    <row r="32" spans="1:17" x14ac:dyDescent="0.25">
      <c r="A32" s="201">
        <v>42800.999305555553</v>
      </c>
      <c r="B32" s="208" t="s">
        <v>396</v>
      </c>
      <c r="C32" s="198" t="s">
        <v>398</v>
      </c>
      <c r="D32" s="212">
        <f t="shared" si="5"/>
        <v>238</v>
      </c>
      <c r="E32" s="30" t="s">
        <v>400</v>
      </c>
      <c r="F32" s="212" t="b">
        <v>1</v>
      </c>
      <c r="G32" s="216" t="str">
        <f t="shared" si="0"/>
        <v>"C:\Program Files (x86)\AstroGrep\AstroGrep.exe" /e /r /s /spath="%USERPROFILE%\AppData\Local\Temp\OnboardLogs" /stypes="*4054*201703070*" /stext=" 05:.+((SYSTEM_STATE.+slice.+state.+changed )|(ment ac)|(multiple cpu faults)|(system.+state.+changed )|(\[timeout)|(PRM\|1\|D)|(kpr)|(kdp)|(\|lc)|(penalty)|(\|PRM\|1\|D)|(crossing.((167)|(168)|(199)|(200))))"</v>
      </c>
      <c r="H32" s="218" t="str">
        <f t="shared" si="1"/>
        <v>grep -hSE " 05:.+((\|PRM\|1\|D)|(crossing.((167)|(168)|(199)|(200))))" "%USERPROFILE%\AppData\Local\Temp\OnboardLogs"\RTDC4054\*4054*201703070*</v>
      </c>
      <c r="I32" s="214" t="str">
        <f>IF(VLOOKUP(K32,'Train Runs'!$A$13:$V$1000,1,TRUE)=K32,VLOOKUP(K32,'Train Runs'!$A$13:$V$1000,22,TRUE),NA())</f>
        <v>https://d0f6bd738d7f1b3e5a7ca70fe4ff75f0.us-east-1.aws.found.io/app/kibana#/discover/Steve-Slow-Train-Analysis-(2080s-and-2083s)?_g=(refreshInterval:(display:Off,pause:!f,section:0,value:0),time:(from:'2017-03-17T22:50:01-0600',mode:absolute,to:'2017-03-18T01:37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J32" s="210">
        <f t="shared" si="2"/>
        <v>42801.249305555553</v>
      </c>
      <c r="K32" s="210" t="str">
        <f>D32&amp;"-"&amp;IF(DAY(Variables!$A$2)&lt;10,0,"")&amp;DAY(Variables!$A$2)</f>
        <v>238-17</v>
      </c>
      <c r="L32" s="206">
        <f>IF(VLOOKUP(K32,'Train Runs'!$A$12:$B$1000,1,TRUE)=K32,VLOOKUP(K32,'Train Runs'!$A$12:$B$1000,2,TRUE),NA())</f>
        <v>4054</v>
      </c>
      <c r="M32" s="206">
        <f>VLOOKUP(B32,Variables!$T$2:$X$99,2,FALSE)</f>
        <v>167</v>
      </c>
      <c r="N32" s="206">
        <f>VLOOKUP(B32,Variables!$T$2:$X$99,3,FALSE)</f>
        <v>168</v>
      </c>
      <c r="O32" s="206">
        <f>VLOOKUP(B32,Variables!$T$2:$X$99,4,FALSE)</f>
        <v>199</v>
      </c>
      <c r="P32" s="206">
        <f>VLOOKUP(B32,Variables!$T$2:$X$99,5,FALSE)</f>
        <v>200</v>
      </c>
      <c r="Q32" s="205" t="str">
        <f t="shared" si="3"/>
        <v>(\|PRM\|1\|D)|(crossing.((167)|(168)|(199)|(200)))</v>
      </c>
    </row>
    <row r="33" spans="1:17" x14ac:dyDescent="0.25">
      <c r="A33" s="202">
        <v>42801.022222222222</v>
      </c>
      <c r="B33" s="208" t="s">
        <v>396</v>
      </c>
      <c r="C33" s="198" t="s">
        <v>398</v>
      </c>
      <c r="D33" s="212">
        <f t="shared" si="5"/>
        <v>240</v>
      </c>
      <c r="E33" s="30" t="s">
        <v>400</v>
      </c>
      <c r="F33" s="212" t="b">
        <v>1</v>
      </c>
      <c r="G33" s="216" t="str">
        <f t="shared" si="0"/>
        <v>"C:\Program Files (x86)\AstroGrep\AstroGrep.exe" /e /r /s /spath="%USERPROFILE%\AppData\Local\Temp\OnboardLogs" /stypes="*4015*201703070*" /stext=" 06:.+((SYSTEM_STATE.+slice.+state.+changed )|(ment ac)|(multiple cpu faults)|(system.+state.+changed )|(\[timeout)|(PRM\|1\|D)|(kpr)|(kdp)|(\|lc)|(penalty)|(\|PRM\|1\|D)|(crossing.((167)|(168)|(199)|(200))))"</v>
      </c>
      <c r="H33" s="218" t="str">
        <f t="shared" si="1"/>
        <v>grep -hSE " 06:.+((\|PRM\|1\|D)|(crossing.((167)|(168)|(199)|(200))))" "%USERPROFILE%\AppData\Local\Temp\OnboardLogs"\RTDC4015\*4015*201703070*</v>
      </c>
      <c r="I33" s="214" t="str">
        <f>IF(VLOOKUP(K33,'Train Runs'!$A$13:$V$1000,1,TRUE)=K33,VLOOKUP(K33,'Train Runs'!$A$13:$V$1000,22,TRUE),NA())</f>
        <v>https://d0f6bd738d7f1b3e5a7ca70fe4ff75f0.us-east-1.aws.found.io/app/kibana#/discover/Steve-Slow-Train-Analysis-(2080s-and-2083s)?_g=(refreshInterval:(display:Off,pause:!f,section:0,value:0),time:(from:'2017-03-17T23:22:20-0600',mode:absolute,to:'2017-03-18T02:08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J33" s="210">
        <f t="shared" si="2"/>
        <v>42801.272222222222</v>
      </c>
      <c r="K33" s="210" t="str">
        <f>D33&amp;"-"&amp;IF(DAY(Variables!$A$2)&lt;10,0,"")&amp;DAY(Variables!$A$2)</f>
        <v>240-17</v>
      </c>
      <c r="L33" s="206">
        <f>IF(VLOOKUP(K33,'Train Runs'!$A$12:$B$1000,1,TRUE)=K33,VLOOKUP(K33,'Train Runs'!$A$12:$B$1000,2,TRUE),NA())</f>
        <v>4015</v>
      </c>
      <c r="M33" s="206">
        <f>VLOOKUP(B33,Variables!$T$2:$X$99,2,FALSE)</f>
        <v>167</v>
      </c>
      <c r="N33" s="206">
        <f>VLOOKUP(B33,Variables!$T$2:$X$99,3,FALSE)</f>
        <v>168</v>
      </c>
      <c r="O33" s="206">
        <f>VLOOKUP(B33,Variables!$T$2:$X$99,4,FALSE)</f>
        <v>199</v>
      </c>
      <c r="P33" s="206">
        <f>VLOOKUP(B33,Variables!$T$2:$X$99,5,FALSE)</f>
        <v>200</v>
      </c>
      <c r="Q33" s="205" t="str">
        <f t="shared" si="3"/>
        <v>(\|PRM\|1\|D)|(crossing.((167)|(168)|(199)|(200)))</v>
      </c>
    </row>
    <row r="34" spans="1:17" x14ac:dyDescent="0.25">
      <c r="A34" s="202">
        <v>42801.040277777778</v>
      </c>
      <c r="B34" s="208" t="s">
        <v>396</v>
      </c>
      <c r="C34" s="198" t="s">
        <v>398</v>
      </c>
      <c r="D34" s="212">
        <v>240</v>
      </c>
      <c r="E34" s="30" t="s">
        <v>400</v>
      </c>
      <c r="F34" s="212" t="b">
        <v>1</v>
      </c>
      <c r="G34" s="216" t="str">
        <f t="shared" si="0"/>
        <v>"C:\Program Files (x86)\AstroGrep\AstroGrep.exe" /e /r /s /spath="%USERPROFILE%\AppData\Local\Temp\OnboardLogs" /stypes="*4015*201703070*" /stext=" 06:.+((SYSTEM_STATE.+slice.+state.+changed )|(ment ac)|(multiple cpu faults)|(system.+state.+changed )|(\[timeout)|(PRM\|1\|D)|(kpr)|(kdp)|(\|lc)|(penalty)|(\|PRM\|1\|D)|(crossing.((167)|(168)|(199)|(200))))"</v>
      </c>
      <c r="H34" s="218" t="str">
        <f t="shared" si="1"/>
        <v>grep -hSE " 06:.+((\|PRM\|1\|D)|(crossing.((167)|(168)|(199)|(200))))" "%USERPROFILE%\AppData\Local\Temp\OnboardLogs"\RTDC4015\*4015*201703070*</v>
      </c>
      <c r="I34" s="214" t="str">
        <f>IF(VLOOKUP(K34,'Train Runs'!$A$13:$V$1000,1,TRUE)=K34,VLOOKUP(K34,'Train Runs'!$A$13:$V$1000,22,TRUE),NA())</f>
        <v>https://d0f6bd738d7f1b3e5a7ca70fe4ff75f0.us-east-1.aws.found.io/app/kibana#/discover/Steve-Slow-Train-Analysis-(2080s-and-2083s)?_g=(refreshInterval:(display:Off,pause:!f,section:0,value:0),time:(from:'2017-03-17T23:22:20-0600',mode:absolute,to:'2017-03-18T02:08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J34" s="210">
        <f t="shared" si="2"/>
        <v>42801.290277777778</v>
      </c>
      <c r="K34" s="210" t="str">
        <f>D34&amp;"-"&amp;IF(DAY(Variables!$A$2)&lt;10,0,"")&amp;DAY(Variables!$A$2)</f>
        <v>240-17</v>
      </c>
      <c r="L34" s="206">
        <f>IF(VLOOKUP(K34,'Train Runs'!$A$12:$B$1000,1,TRUE)=K34,VLOOKUP(K34,'Train Runs'!$A$12:$B$1000,2,TRUE),NA())</f>
        <v>4015</v>
      </c>
      <c r="M34" s="206">
        <f>VLOOKUP(B34,Variables!$T$2:$X$99,2,FALSE)</f>
        <v>167</v>
      </c>
      <c r="N34" s="206">
        <f>VLOOKUP(B34,Variables!$T$2:$X$99,3,FALSE)</f>
        <v>168</v>
      </c>
      <c r="O34" s="206">
        <f>VLOOKUP(B34,Variables!$T$2:$X$99,4,FALSE)</f>
        <v>199</v>
      </c>
      <c r="P34" s="206">
        <f>VLOOKUP(B34,Variables!$T$2:$X$99,5,FALSE)</f>
        <v>200</v>
      </c>
      <c r="Q34" s="205" t="str">
        <f t="shared" si="3"/>
        <v>(\|PRM\|1\|D)|(crossing.((167)|(168)|(199)|(200)))</v>
      </c>
    </row>
    <row r="35" spans="1:17" x14ac:dyDescent="0.25">
      <c r="A35" s="202">
        <v>42801.061805555553</v>
      </c>
      <c r="B35" s="208" t="s">
        <v>396</v>
      </c>
      <c r="C35" s="198" t="s">
        <v>398</v>
      </c>
      <c r="D35" s="212">
        <v>242</v>
      </c>
      <c r="E35" s="30" t="s">
        <v>400</v>
      </c>
      <c r="F35" s="212" t="b">
        <v>1</v>
      </c>
      <c r="G35" s="216" t="str">
        <f t="shared" si="0"/>
        <v>"C:\Program Files (x86)\AstroGrep\AstroGrep.exe" /e /r /s /spath="%USERPROFILE%\AppData\Local\Temp\OnboardLogs" /stypes="*4019*201703070*" /stext=" 07:.+((SYSTEM_STATE.+slice.+state.+changed )|(ment ac)|(multiple cpu faults)|(system.+state.+changed )|(\[timeout)|(PRM\|1\|D)|(kpr)|(kdp)|(\|lc)|(penalty)|(\|PRM\|1\|D)|(crossing.((167)|(168)|(199)|(200))))"</v>
      </c>
      <c r="H35" s="218" t="str">
        <f t="shared" si="1"/>
        <v>grep -hSE " 07:.+((\|PRM\|1\|D)|(crossing.((167)|(168)|(199)|(200))))" "%USERPROFILE%\AppData\Local\Temp\OnboardLogs"\RTDC4019\*4019*201703070*</v>
      </c>
      <c r="I35" s="214" t="str">
        <f>IF(VLOOKUP(K35,'Train Runs'!$A$13:$V$1000,1,TRUE)=K35,VLOOKUP(K35,'Train Runs'!$A$13:$V$1000,22,TRUE),NA())</f>
        <v>https://d0f6bd738d7f1b3e5a7ca70fe4ff75f0.us-east-1.aws.found.io/app/kibana#/discover/Steve-Slow-Train-Analysis-(2080s-and-2083s)?_g=(refreshInterval:(display:Off,pause:!f,section:0,value:0),time:(from:'2017-03-17T23:41:53-0600',mode:absolute,to:'2017-03-18T02:35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J35" s="210">
        <f t="shared" si="2"/>
        <v>42801.311805555553</v>
      </c>
      <c r="K35" s="210" t="str">
        <f>D35&amp;"-"&amp;IF(DAY(Variables!$A$2)&lt;10,0,"")&amp;DAY(Variables!$A$2)</f>
        <v>242-17</v>
      </c>
      <c r="L35" s="206">
        <f>IF(VLOOKUP(K35,'Train Runs'!$A$12:$B$1000,1,TRUE)=K35,VLOOKUP(K35,'Train Runs'!$A$12:$B$1000,2,TRUE),NA())</f>
        <v>4019</v>
      </c>
      <c r="M35" s="206">
        <f>VLOOKUP(B35,Variables!$T$2:$X$99,2,FALSE)</f>
        <v>167</v>
      </c>
      <c r="N35" s="206">
        <f>VLOOKUP(B35,Variables!$T$2:$X$99,3,FALSE)</f>
        <v>168</v>
      </c>
      <c r="O35" s="206">
        <f>VLOOKUP(B35,Variables!$T$2:$X$99,4,FALSE)</f>
        <v>199</v>
      </c>
      <c r="P35" s="206">
        <f>VLOOKUP(B35,Variables!$T$2:$X$99,5,FALSE)</f>
        <v>200</v>
      </c>
      <c r="Q35" s="205" t="str">
        <f t="shared" si="3"/>
        <v>(\|PRM\|1\|D)|(crossing.((167)|(168)|(199)|(200)))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49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50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7" s="20" customFormat="1" x14ac:dyDescent="0.25">
      <c r="A1" s="8" t="s">
        <v>174</v>
      </c>
      <c r="B1" s="20" t="s">
        <v>175</v>
      </c>
      <c r="C1" s="20" t="s">
        <v>0</v>
      </c>
      <c r="D1" s="150" t="s">
        <v>176</v>
      </c>
      <c r="E1" s="20" t="s">
        <v>177</v>
      </c>
      <c r="F1" s="20" t="s">
        <v>197</v>
      </c>
      <c r="G1" s="8" t="s">
        <v>196</v>
      </c>
    </row>
    <row r="2" spans="1:7" x14ac:dyDescent="0.25">
      <c r="A2" s="8">
        <v>42811.034884259258</v>
      </c>
      <c r="B2" s="20" t="s">
        <v>449</v>
      </c>
      <c r="C2" s="20" t="s">
        <v>551</v>
      </c>
      <c r="D2" s="150">
        <v>2270000</v>
      </c>
      <c r="E2" s="20" t="s">
        <v>211</v>
      </c>
      <c r="F2" s="20" t="s">
        <v>212</v>
      </c>
      <c r="G2" s="8" t="str">
        <f>E2&amp;" "&amp;F2</f>
        <v>BROWN JACOB</v>
      </c>
    </row>
    <row r="3" spans="1:7" x14ac:dyDescent="0.25">
      <c r="A3" s="8">
        <v>42811.04351851852</v>
      </c>
      <c r="B3" s="20" t="s">
        <v>532</v>
      </c>
      <c r="C3" s="20" t="s">
        <v>549</v>
      </c>
      <c r="D3" s="150">
        <v>2620000</v>
      </c>
      <c r="E3" s="20" t="s">
        <v>547</v>
      </c>
      <c r="F3" s="20" t="s">
        <v>548</v>
      </c>
      <c r="G3" s="8" t="str">
        <f t="shared" ref="G3:G66" si="0">E3&amp;" "&amp;F3</f>
        <v>PERKINS DARREN</v>
      </c>
    </row>
    <row r="4" spans="1:7" x14ac:dyDescent="0.25">
      <c r="A4" s="8">
        <v>42811.048171296294</v>
      </c>
      <c r="B4" s="20" t="s">
        <v>487</v>
      </c>
      <c r="C4" s="20" t="s">
        <v>552</v>
      </c>
      <c r="D4" s="150">
        <v>1810000</v>
      </c>
      <c r="E4" s="20" t="s">
        <v>199</v>
      </c>
      <c r="F4" s="20" t="s">
        <v>195</v>
      </c>
      <c r="G4" s="8" t="str">
        <f t="shared" si="0"/>
        <v>NEWELL JAMES</v>
      </c>
    </row>
    <row r="5" spans="1:7" x14ac:dyDescent="0.25">
      <c r="A5" s="8">
        <v>42811.050069444442</v>
      </c>
      <c r="B5" s="20" t="s">
        <v>453</v>
      </c>
      <c r="C5" s="20" t="s">
        <v>553</v>
      </c>
      <c r="D5" s="150">
        <v>2150000</v>
      </c>
      <c r="E5" s="20" t="s">
        <v>415</v>
      </c>
      <c r="F5" s="20" t="s">
        <v>416</v>
      </c>
      <c r="G5" s="8" t="str">
        <f t="shared" si="0"/>
        <v>SWANSON BRYCE</v>
      </c>
    </row>
    <row r="6" spans="1:7" x14ac:dyDescent="0.25">
      <c r="A6" s="8">
        <v>42811.066469907404</v>
      </c>
      <c r="B6" s="20" t="s">
        <v>535</v>
      </c>
      <c r="C6" s="20" t="s">
        <v>550</v>
      </c>
      <c r="D6" s="150">
        <v>2620000</v>
      </c>
      <c r="E6" s="20" t="s">
        <v>547</v>
      </c>
      <c r="F6" s="20" t="s">
        <v>548</v>
      </c>
      <c r="G6" s="8" t="str">
        <f t="shared" si="0"/>
        <v>PERKINS DARREN</v>
      </c>
    </row>
    <row r="7" spans="1:7" x14ac:dyDescent="0.25">
      <c r="A7" s="8">
        <v>42811.07130787037</v>
      </c>
      <c r="B7" s="20" t="s">
        <v>450</v>
      </c>
      <c r="C7" s="20" t="s">
        <v>554</v>
      </c>
      <c r="D7" s="150">
        <v>2270000</v>
      </c>
      <c r="E7" s="20" t="s">
        <v>211</v>
      </c>
      <c r="F7" s="20" t="s">
        <v>212</v>
      </c>
      <c r="G7" s="8" t="str">
        <f t="shared" si="0"/>
        <v>BROWN JACOB</v>
      </c>
    </row>
    <row r="8" spans="1:7" x14ac:dyDescent="0.25">
      <c r="A8" s="8">
        <v>42811.09002314815</v>
      </c>
      <c r="B8" s="20" t="s">
        <v>429</v>
      </c>
      <c r="C8" s="20" t="s">
        <v>555</v>
      </c>
      <c r="D8" s="150">
        <v>2150000</v>
      </c>
      <c r="E8" s="20" t="s">
        <v>415</v>
      </c>
      <c r="F8" s="20" t="s">
        <v>416</v>
      </c>
      <c r="G8" s="8" t="str">
        <f t="shared" si="0"/>
        <v>SWANSON BRYCE</v>
      </c>
    </row>
    <row r="9" spans="1:7" ht="15.75" thickBot="1" x14ac:dyDescent="0.3">
      <c r="A9" s="24">
        <v>42811.115254629629</v>
      </c>
      <c r="B9" s="20" t="s">
        <v>647</v>
      </c>
      <c r="C9" s="20" t="s">
        <v>648</v>
      </c>
      <c r="D9" s="150">
        <v>2550000</v>
      </c>
      <c r="E9" s="20" t="s">
        <v>474</v>
      </c>
      <c r="F9" s="20" t="s">
        <v>475</v>
      </c>
      <c r="G9" s="8" t="str">
        <f t="shared" si="0"/>
        <v>BADERTSCHER DIANE</v>
      </c>
    </row>
    <row r="10" spans="1:7" x14ac:dyDescent="0.25">
      <c r="A10" s="8">
        <v>42811.128645833334</v>
      </c>
      <c r="B10" s="20" t="s">
        <v>426</v>
      </c>
      <c r="C10" s="20" t="s">
        <v>649</v>
      </c>
      <c r="D10" s="150">
        <v>2550000</v>
      </c>
      <c r="E10" s="20" t="s">
        <v>474</v>
      </c>
      <c r="F10" s="20" t="s">
        <v>475</v>
      </c>
      <c r="G10" s="8" t="str">
        <f t="shared" si="0"/>
        <v>BADERTSCHER DIANE</v>
      </c>
    </row>
    <row r="11" spans="1:7" x14ac:dyDescent="0.25">
      <c r="A11" s="8">
        <v>42811.139687499999</v>
      </c>
      <c r="B11" s="20" t="s">
        <v>412</v>
      </c>
      <c r="C11" s="20" t="s">
        <v>650</v>
      </c>
      <c r="D11" s="150">
        <v>1230000</v>
      </c>
      <c r="E11" s="20" t="s">
        <v>442</v>
      </c>
      <c r="F11" s="20" t="s">
        <v>443</v>
      </c>
      <c r="G11" s="8" t="str">
        <f t="shared" si="0"/>
        <v>YANAI IAN</v>
      </c>
    </row>
    <row r="12" spans="1:7" x14ac:dyDescent="0.25">
      <c r="A12" s="8">
        <v>42811.153796296298</v>
      </c>
      <c r="B12" s="20" t="s">
        <v>611</v>
      </c>
      <c r="C12" s="20" t="s">
        <v>651</v>
      </c>
      <c r="D12" s="150">
        <v>1230000</v>
      </c>
      <c r="E12" s="20" t="s">
        <v>442</v>
      </c>
      <c r="F12" s="20" t="s">
        <v>443</v>
      </c>
      <c r="G12" s="8" t="str">
        <f t="shared" si="0"/>
        <v>YANAI IAN</v>
      </c>
    </row>
    <row r="13" spans="1:7" x14ac:dyDescent="0.25">
      <c r="A13" s="8">
        <v>42811.159305555557</v>
      </c>
      <c r="B13" s="20" t="s">
        <v>458</v>
      </c>
      <c r="C13" s="20" t="s">
        <v>609</v>
      </c>
      <c r="D13" s="150">
        <v>2140000</v>
      </c>
      <c r="E13" s="20" t="s">
        <v>533</v>
      </c>
      <c r="F13" s="20" t="s">
        <v>534</v>
      </c>
      <c r="G13" s="8" t="str">
        <f t="shared" si="0"/>
        <v>ROBINSON KADDIBA</v>
      </c>
    </row>
    <row r="14" spans="1:7" x14ac:dyDescent="0.25">
      <c r="A14" s="8">
        <v>42811.17082175926</v>
      </c>
      <c r="B14" s="20" t="s">
        <v>647</v>
      </c>
      <c r="C14" s="20" t="s">
        <v>652</v>
      </c>
      <c r="D14" s="150">
        <v>2550000</v>
      </c>
      <c r="E14" s="20" t="s">
        <v>474</v>
      </c>
      <c r="F14" s="20" t="s">
        <v>475</v>
      </c>
      <c r="G14" s="8" t="str">
        <f t="shared" si="0"/>
        <v>BADERTSCHER DIANE</v>
      </c>
    </row>
    <row r="15" spans="1:7" x14ac:dyDescent="0.25">
      <c r="A15" s="8">
        <v>42811.173854166664</v>
      </c>
      <c r="B15" s="20" t="s">
        <v>488</v>
      </c>
      <c r="C15" s="20" t="s">
        <v>653</v>
      </c>
      <c r="D15" s="150">
        <v>1110000</v>
      </c>
      <c r="E15" s="20" t="s">
        <v>454</v>
      </c>
      <c r="F15" s="20" t="s">
        <v>455</v>
      </c>
      <c r="G15" s="8" t="str">
        <f t="shared" si="0"/>
        <v>STARKS ANGELINA</v>
      </c>
    </row>
    <row r="16" spans="1:7" x14ac:dyDescent="0.25">
      <c r="A16" s="8">
        <v>42811.175138888888</v>
      </c>
      <c r="B16" s="20" t="s">
        <v>239</v>
      </c>
      <c r="C16" s="20" t="s">
        <v>610</v>
      </c>
      <c r="D16" s="150">
        <v>1090000</v>
      </c>
      <c r="E16" s="20" t="s">
        <v>654</v>
      </c>
      <c r="F16" s="20" t="s">
        <v>198</v>
      </c>
      <c r="G16" s="8" t="str">
        <f t="shared" si="0"/>
        <v>SPECTOR MICHAEL</v>
      </c>
    </row>
    <row r="17" spans="1:7" x14ac:dyDescent="0.25">
      <c r="A17" s="8">
        <v>42811.185381944444</v>
      </c>
      <c r="B17" s="20" t="s">
        <v>412</v>
      </c>
      <c r="C17" s="20" t="s">
        <v>655</v>
      </c>
      <c r="D17" s="150">
        <v>1230000</v>
      </c>
      <c r="E17" s="20" t="s">
        <v>442</v>
      </c>
      <c r="F17" s="20" t="s">
        <v>443</v>
      </c>
      <c r="G17" s="8" t="str">
        <f t="shared" si="0"/>
        <v>YANAI IAN</v>
      </c>
    </row>
    <row r="18" spans="1:7" x14ac:dyDescent="0.25">
      <c r="A18" s="8">
        <v>42811.187303240738</v>
      </c>
      <c r="B18" s="20" t="s">
        <v>492</v>
      </c>
      <c r="C18" s="20" t="s">
        <v>656</v>
      </c>
      <c r="D18" s="150">
        <v>1110000</v>
      </c>
      <c r="E18" s="20" t="s">
        <v>454</v>
      </c>
      <c r="F18" s="20" t="s">
        <v>455</v>
      </c>
      <c r="G18" s="8" t="str">
        <f t="shared" si="0"/>
        <v>STARKS ANGELINA</v>
      </c>
    </row>
    <row r="19" spans="1:7" x14ac:dyDescent="0.25">
      <c r="A19" s="8">
        <v>42811.188634259262</v>
      </c>
      <c r="B19" s="20" t="s">
        <v>492</v>
      </c>
      <c r="C19" s="20" t="s">
        <v>656</v>
      </c>
      <c r="D19" s="150">
        <v>1110000</v>
      </c>
      <c r="E19" s="20" t="s">
        <v>454</v>
      </c>
      <c r="F19" s="20" t="s">
        <v>455</v>
      </c>
      <c r="G19" s="8" t="str">
        <f t="shared" si="0"/>
        <v>STARKS ANGELINA</v>
      </c>
    </row>
    <row r="20" spans="1:7" x14ac:dyDescent="0.25">
      <c r="A20" s="8">
        <v>42811.188877314817</v>
      </c>
      <c r="B20" s="20" t="s">
        <v>530</v>
      </c>
      <c r="C20" s="20" t="s">
        <v>657</v>
      </c>
      <c r="D20" s="150">
        <v>890000</v>
      </c>
      <c r="E20" s="20" t="s">
        <v>456</v>
      </c>
      <c r="F20" s="20" t="s">
        <v>457</v>
      </c>
      <c r="G20" s="8" t="str">
        <f t="shared" si="0"/>
        <v>LOZA FIDEL</v>
      </c>
    </row>
    <row r="21" spans="1:7" x14ac:dyDescent="0.25">
      <c r="A21" s="8">
        <v>42811.197754629633</v>
      </c>
      <c r="B21" s="20" t="s">
        <v>529</v>
      </c>
      <c r="C21" s="20" t="s">
        <v>658</v>
      </c>
      <c r="D21" s="150">
        <v>890000</v>
      </c>
      <c r="E21" s="20" t="s">
        <v>456</v>
      </c>
      <c r="F21" s="20" t="s">
        <v>457</v>
      </c>
      <c r="G21" s="8" t="str">
        <f t="shared" si="0"/>
        <v>LOZA FIDEL</v>
      </c>
    </row>
    <row r="22" spans="1:7" x14ac:dyDescent="0.25">
      <c r="A22" s="26">
        <v>42811.199745370373</v>
      </c>
      <c r="B22" s="20" t="s">
        <v>546</v>
      </c>
      <c r="C22" s="20" t="s">
        <v>659</v>
      </c>
      <c r="D22" s="150">
        <v>1100000</v>
      </c>
      <c r="E22" s="20" t="s">
        <v>489</v>
      </c>
      <c r="F22" s="20" t="s">
        <v>490</v>
      </c>
      <c r="G22" s="8" t="str">
        <f t="shared" si="0"/>
        <v>GEBRETEKLE DAGNEW</v>
      </c>
    </row>
    <row r="23" spans="1:7" x14ac:dyDescent="0.25">
      <c r="A23" s="8">
        <v>42811.206631944442</v>
      </c>
      <c r="B23" s="20" t="s">
        <v>426</v>
      </c>
      <c r="C23" s="20" t="s">
        <v>660</v>
      </c>
      <c r="D23" s="150">
        <v>940000</v>
      </c>
      <c r="E23" s="20" t="s">
        <v>661</v>
      </c>
      <c r="F23" s="20" t="s">
        <v>662</v>
      </c>
      <c r="G23" s="8" t="str">
        <f t="shared" si="0"/>
        <v>BONDS REYNALDO</v>
      </c>
    </row>
    <row r="24" spans="1:7" x14ac:dyDescent="0.25">
      <c r="A24" s="8">
        <v>42811.209861111114</v>
      </c>
      <c r="B24" s="20" t="s">
        <v>531</v>
      </c>
      <c r="C24" s="20" t="s">
        <v>663</v>
      </c>
      <c r="D24" s="150">
        <v>1100000</v>
      </c>
      <c r="E24" s="20" t="s">
        <v>489</v>
      </c>
      <c r="F24" s="20" t="s">
        <v>490</v>
      </c>
      <c r="G24" s="8" t="str">
        <f t="shared" si="0"/>
        <v>GEBRETEKLE DAGNEW</v>
      </c>
    </row>
    <row r="25" spans="1:7" x14ac:dyDescent="0.25">
      <c r="A25" s="8">
        <v>42811.210370370369</v>
      </c>
      <c r="B25" s="20" t="s">
        <v>627</v>
      </c>
      <c r="C25" s="20" t="s">
        <v>664</v>
      </c>
      <c r="D25" s="150">
        <v>2550000</v>
      </c>
      <c r="E25" s="20" t="s">
        <v>474</v>
      </c>
      <c r="F25" s="20" t="s">
        <v>475</v>
      </c>
      <c r="G25" s="8" t="str">
        <f t="shared" si="0"/>
        <v>BADERTSCHER DIANE</v>
      </c>
    </row>
    <row r="26" spans="1:7" x14ac:dyDescent="0.25">
      <c r="A26" s="8">
        <v>42811.211400462962</v>
      </c>
      <c r="B26" s="20" t="s">
        <v>372</v>
      </c>
      <c r="C26" s="20" t="s">
        <v>665</v>
      </c>
      <c r="D26" s="150">
        <v>1090000</v>
      </c>
      <c r="E26" s="20" t="s">
        <v>654</v>
      </c>
      <c r="F26" s="20" t="s">
        <v>198</v>
      </c>
      <c r="G26" s="8" t="str">
        <f t="shared" si="0"/>
        <v>SPECTOR MICHAEL</v>
      </c>
    </row>
    <row r="27" spans="1:7" x14ac:dyDescent="0.25">
      <c r="A27" s="8">
        <v>42811.211736111109</v>
      </c>
      <c r="B27" s="20" t="s">
        <v>627</v>
      </c>
      <c r="C27" s="20" t="s">
        <v>664</v>
      </c>
      <c r="D27" s="150">
        <v>2550000</v>
      </c>
      <c r="E27" s="20" t="s">
        <v>474</v>
      </c>
      <c r="F27" s="20" t="s">
        <v>475</v>
      </c>
      <c r="G27" s="8" t="str">
        <f t="shared" si="0"/>
        <v>BADERTSCHER DIANE</v>
      </c>
    </row>
    <row r="28" spans="1:7" x14ac:dyDescent="0.25">
      <c r="A28" s="8">
        <v>42811.22515046296</v>
      </c>
      <c r="B28" s="20" t="s">
        <v>488</v>
      </c>
      <c r="C28" s="20" t="s">
        <v>613</v>
      </c>
      <c r="D28" s="150">
        <v>1110000</v>
      </c>
      <c r="E28" s="20" t="s">
        <v>454</v>
      </c>
      <c r="F28" s="20" t="s">
        <v>455</v>
      </c>
      <c r="G28" s="8" t="str">
        <f t="shared" si="0"/>
        <v>STARKS ANGELINA</v>
      </c>
    </row>
    <row r="29" spans="1:7" x14ac:dyDescent="0.25">
      <c r="A29" s="8">
        <v>42811.22724537037</v>
      </c>
      <c r="B29" s="20" t="s">
        <v>546</v>
      </c>
      <c r="C29" s="20" t="s">
        <v>666</v>
      </c>
      <c r="D29" s="150">
        <v>1100000</v>
      </c>
      <c r="E29" s="20" t="s">
        <v>489</v>
      </c>
      <c r="F29" s="20" t="s">
        <v>490</v>
      </c>
      <c r="G29" s="8" t="str">
        <f t="shared" si="0"/>
        <v>GEBRETEKLE DAGNEW</v>
      </c>
    </row>
    <row r="30" spans="1:7" x14ac:dyDescent="0.25">
      <c r="A30" s="8">
        <v>42811.228842592594</v>
      </c>
      <c r="B30" s="20" t="s">
        <v>611</v>
      </c>
      <c r="C30" s="20" t="s">
        <v>612</v>
      </c>
      <c r="D30" s="150">
        <v>3010000</v>
      </c>
      <c r="E30" s="20" t="s">
        <v>537</v>
      </c>
      <c r="F30" s="20" t="s">
        <v>538</v>
      </c>
      <c r="G30" s="8" t="str">
        <f t="shared" si="0"/>
        <v>SULLIVAN BRANDON</v>
      </c>
    </row>
    <row r="31" spans="1:7" x14ac:dyDescent="0.25">
      <c r="A31" s="8">
        <v>42811.232164351852</v>
      </c>
      <c r="B31" s="20" t="s">
        <v>414</v>
      </c>
      <c r="C31" s="20" t="s">
        <v>667</v>
      </c>
      <c r="D31" s="150">
        <v>1230000</v>
      </c>
      <c r="E31" s="20" t="s">
        <v>442</v>
      </c>
      <c r="F31" s="20" t="s">
        <v>443</v>
      </c>
      <c r="G31" s="8" t="str">
        <f t="shared" si="0"/>
        <v>YANAI IAN</v>
      </c>
    </row>
    <row r="32" spans="1:7" x14ac:dyDescent="0.25">
      <c r="A32" s="8">
        <v>42811.232789351852</v>
      </c>
      <c r="B32" s="20" t="s">
        <v>414</v>
      </c>
      <c r="C32" s="20" t="s">
        <v>667</v>
      </c>
      <c r="D32" s="150">
        <v>1230000</v>
      </c>
      <c r="E32" s="20" t="s">
        <v>442</v>
      </c>
      <c r="F32" s="20" t="s">
        <v>443</v>
      </c>
      <c r="G32" s="8" t="str">
        <f t="shared" si="0"/>
        <v>YANAI IAN</v>
      </c>
    </row>
    <row r="33" spans="1:7" x14ac:dyDescent="0.25">
      <c r="A33" s="8">
        <v>42811.232881944445</v>
      </c>
      <c r="B33" s="20" t="s">
        <v>530</v>
      </c>
      <c r="C33" s="20" t="s">
        <v>668</v>
      </c>
      <c r="D33" s="150">
        <v>890000</v>
      </c>
      <c r="E33" s="20" t="s">
        <v>456</v>
      </c>
      <c r="F33" s="20" t="s">
        <v>457</v>
      </c>
      <c r="G33" s="8" t="str">
        <f t="shared" si="0"/>
        <v>LOZA FIDEL</v>
      </c>
    </row>
    <row r="34" spans="1:7" x14ac:dyDescent="0.25">
      <c r="A34" s="8">
        <v>42811.245219907411</v>
      </c>
      <c r="B34" s="20" t="s">
        <v>637</v>
      </c>
      <c r="C34" s="20" t="s">
        <v>669</v>
      </c>
      <c r="D34" s="150">
        <v>2020000</v>
      </c>
      <c r="E34" s="20" t="s">
        <v>536</v>
      </c>
      <c r="F34" s="20" t="s">
        <v>491</v>
      </c>
      <c r="G34" s="8" t="str">
        <f t="shared" si="0"/>
        <v>SHOOK JOHN</v>
      </c>
    </row>
    <row r="35" spans="1:7" x14ac:dyDescent="0.25">
      <c r="A35" s="8">
        <v>42811.245833333334</v>
      </c>
      <c r="B35" s="20" t="s">
        <v>427</v>
      </c>
      <c r="C35" s="20" t="s">
        <v>670</v>
      </c>
      <c r="D35" s="150">
        <v>940000</v>
      </c>
      <c r="E35" s="20" t="s">
        <v>661</v>
      </c>
      <c r="F35" s="20" t="s">
        <v>662</v>
      </c>
      <c r="G35" s="8" t="str">
        <f t="shared" si="0"/>
        <v>BONDS REYNALDO</v>
      </c>
    </row>
    <row r="36" spans="1:7" x14ac:dyDescent="0.25">
      <c r="A36" s="8">
        <v>42811.246898148151</v>
      </c>
      <c r="B36" s="20" t="s">
        <v>239</v>
      </c>
      <c r="C36" s="20" t="s">
        <v>671</v>
      </c>
      <c r="D36" s="150">
        <v>2140000</v>
      </c>
      <c r="E36" s="20" t="s">
        <v>533</v>
      </c>
      <c r="F36" s="20" t="s">
        <v>534</v>
      </c>
      <c r="G36" s="8" t="str">
        <f t="shared" si="0"/>
        <v>ROBINSON KADDIBA</v>
      </c>
    </row>
    <row r="37" spans="1:7" x14ac:dyDescent="0.25">
      <c r="A37" s="8">
        <v>42811.253923611112</v>
      </c>
      <c r="B37" s="20" t="s">
        <v>647</v>
      </c>
      <c r="C37" s="20" t="s">
        <v>672</v>
      </c>
      <c r="D37" s="150">
        <v>2550000</v>
      </c>
      <c r="E37" s="20" t="s">
        <v>474</v>
      </c>
      <c r="F37" s="20" t="s">
        <v>475</v>
      </c>
      <c r="G37" s="8" t="str">
        <f t="shared" si="0"/>
        <v>BADERTSCHER DIANE</v>
      </c>
    </row>
    <row r="38" spans="1:7" x14ac:dyDescent="0.25">
      <c r="A38" s="8">
        <v>42811.255046296297</v>
      </c>
      <c r="B38" s="20" t="s">
        <v>531</v>
      </c>
      <c r="C38" s="20" t="s">
        <v>673</v>
      </c>
      <c r="D38" s="150">
        <v>1100000</v>
      </c>
      <c r="E38" s="20" t="s">
        <v>489</v>
      </c>
      <c r="F38" s="20" t="s">
        <v>490</v>
      </c>
      <c r="G38" s="8" t="str">
        <f t="shared" si="0"/>
        <v>GEBRETEKLE DAGNEW</v>
      </c>
    </row>
    <row r="39" spans="1:7" x14ac:dyDescent="0.25">
      <c r="A39" s="8">
        <v>42811.258194444446</v>
      </c>
      <c r="B39" s="20" t="s">
        <v>492</v>
      </c>
      <c r="C39" s="20" t="s">
        <v>674</v>
      </c>
      <c r="D39" s="150">
        <v>1110000</v>
      </c>
      <c r="E39" s="20" t="s">
        <v>454</v>
      </c>
      <c r="F39" s="20" t="s">
        <v>455</v>
      </c>
      <c r="G39" s="8" t="str">
        <f t="shared" si="0"/>
        <v>STARKS ANGELINA</v>
      </c>
    </row>
    <row r="40" spans="1:7" x14ac:dyDescent="0.25">
      <c r="A40" s="8">
        <v>42811.262777777774</v>
      </c>
      <c r="B40" s="25" t="s">
        <v>634</v>
      </c>
      <c r="C40" s="20" t="s">
        <v>675</v>
      </c>
      <c r="D40" s="150">
        <v>2020000</v>
      </c>
      <c r="E40" s="20" t="s">
        <v>536</v>
      </c>
      <c r="F40" s="20" t="s">
        <v>491</v>
      </c>
      <c r="G40" s="8" t="str">
        <f t="shared" si="0"/>
        <v>SHOOK JOHN</v>
      </c>
    </row>
    <row r="41" spans="1:7" x14ac:dyDescent="0.25">
      <c r="A41" s="8">
        <v>42811.2653587963</v>
      </c>
      <c r="B41" s="20" t="s">
        <v>614</v>
      </c>
      <c r="C41" s="20" t="s">
        <v>615</v>
      </c>
      <c r="D41" s="150">
        <v>3010000</v>
      </c>
      <c r="E41" s="20" t="s">
        <v>537</v>
      </c>
      <c r="F41" s="20" t="s">
        <v>538</v>
      </c>
      <c r="G41" s="8" t="str">
        <f t="shared" si="0"/>
        <v>SULLIVAN BRANDON</v>
      </c>
    </row>
    <row r="42" spans="1:7" x14ac:dyDescent="0.25">
      <c r="A42" s="8">
        <v>42811.266701388886</v>
      </c>
      <c r="B42" s="20" t="s">
        <v>412</v>
      </c>
      <c r="C42" s="20" t="s">
        <v>676</v>
      </c>
      <c r="D42" s="150">
        <v>1230000</v>
      </c>
      <c r="E42" s="20" t="s">
        <v>442</v>
      </c>
      <c r="F42" s="20" t="s">
        <v>443</v>
      </c>
      <c r="G42" s="8" t="str">
        <f t="shared" si="0"/>
        <v>YANAI IAN</v>
      </c>
    </row>
    <row r="43" spans="1:7" x14ac:dyDescent="0.25">
      <c r="A43" s="8">
        <v>42811.269155092596</v>
      </c>
      <c r="B43" s="20" t="s">
        <v>546</v>
      </c>
      <c r="C43" s="20" t="s">
        <v>677</v>
      </c>
      <c r="D43" s="150">
        <v>1100000</v>
      </c>
      <c r="E43" s="20" t="s">
        <v>489</v>
      </c>
      <c r="F43" s="20" t="s">
        <v>490</v>
      </c>
      <c r="G43" s="8" t="str">
        <f t="shared" si="0"/>
        <v>GEBRETEKLE DAGNEW</v>
      </c>
    </row>
    <row r="44" spans="1:7" x14ac:dyDescent="0.25">
      <c r="A44" s="8">
        <v>42811.269386574073</v>
      </c>
      <c r="B44" s="20" t="s">
        <v>529</v>
      </c>
      <c r="C44" s="20" t="s">
        <v>678</v>
      </c>
      <c r="D44" s="150">
        <v>890000</v>
      </c>
      <c r="E44" s="20" t="s">
        <v>456</v>
      </c>
      <c r="F44" s="20" t="s">
        <v>457</v>
      </c>
      <c r="G44" s="8" t="str">
        <f t="shared" si="0"/>
        <v>LOZA FIDEL</v>
      </c>
    </row>
    <row r="45" spans="1:7" x14ac:dyDescent="0.25">
      <c r="A45" s="8">
        <v>42811.276400462964</v>
      </c>
      <c r="B45" s="20" t="s">
        <v>637</v>
      </c>
      <c r="C45" s="20" t="s">
        <v>679</v>
      </c>
      <c r="D45" s="150">
        <v>2020000</v>
      </c>
      <c r="E45" s="20" t="s">
        <v>536</v>
      </c>
      <c r="F45" s="20" t="s">
        <v>491</v>
      </c>
      <c r="G45" s="8" t="str">
        <f t="shared" si="0"/>
        <v>SHOOK JOHN</v>
      </c>
    </row>
    <row r="46" spans="1:7" x14ac:dyDescent="0.25">
      <c r="A46" s="8">
        <v>42811.279456018521</v>
      </c>
      <c r="B46" s="20" t="s">
        <v>426</v>
      </c>
      <c r="C46" s="20" t="s">
        <v>680</v>
      </c>
      <c r="D46" s="150">
        <v>940000</v>
      </c>
      <c r="E46" s="20" t="s">
        <v>661</v>
      </c>
      <c r="F46" s="20" t="s">
        <v>662</v>
      </c>
      <c r="G46" s="8" t="str">
        <f t="shared" si="0"/>
        <v>BONDS REYNALDO</v>
      </c>
    </row>
    <row r="47" spans="1:7" x14ac:dyDescent="0.25">
      <c r="A47" s="8">
        <v>42811.286122685182</v>
      </c>
      <c r="B47" s="20" t="s">
        <v>372</v>
      </c>
      <c r="C47" s="20" t="s">
        <v>681</v>
      </c>
      <c r="D47" s="150">
        <v>2140000</v>
      </c>
      <c r="E47" s="20" t="s">
        <v>533</v>
      </c>
      <c r="F47" s="20" t="s">
        <v>534</v>
      </c>
      <c r="G47" s="8" t="str">
        <f t="shared" si="0"/>
        <v>ROBINSON KADDIBA</v>
      </c>
    </row>
    <row r="48" spans="1:7" x14ac:dyDescent="0.25">
      <c r="A48" s="8">
        <v>42811.289722222224</v>
      </c>
      <c r="B48" s="20" t="s">
        <v>627</v>
      </c>
      <c r="C48" s="20" t="s">
        <v>682</v>
      </c>
      <c r="D48" s="150">
        <v>2550000</v>
      </c>
      <c r="E48" s="20" t="s">
        <v>474</v>
      </c>
      <c r="F48" s="20" t="s">
        <v>475</v>
      </c>
      <c r="G48" s="8" t="str">
        <f t="shared" si="0"/>
        <v>BADERTSCHER DIANE</v>
      </c>
    </row>
    <row r="49" spans="1:7" x14ac:dyDescent="0.25">
      <c r="A49" s="8">
        <v>42811.290590277778</v>
      </c>
      <c r="B49" s="20" t="s">
        <v>634</v>
      </c>
      <c r="C49" s="20" t="s">
        <v>683</v>
      </c>
      <c r="D49" s="150">
        <v>2020000</v>
      </c>
      <c r="E49" s="20" t="s">
        <v>536</v>
      </c>
      <c r="F49" s="20" t="s">
        <v>491</v>
      </c>
      <c r="G49" s="8" t="str">
        <f t="shared" si="0"/>
        <v>SHOOK JOHN</v>
      </c>
    </row>
    <row r="50" spans="1:7" x14ac:dyDescent="0.25">
      <c r="A50" s="8">
        <v>42811.296365740738</v>
      </c>
      <c r="B50" s="20" t="s">
        <v>531</v>
      </c>
      <c r="C50" s="20" t="s">
        <v>684</v>
      </c>
      <c r="D50" s="150">
        <v>1100000</v>
      </c>
      <c r="E50" s="20" t="s">
        <v>489</v>
      </c>
      <c r="F50" s="20" t="s">
        <v>490</v>
      </c>
      <c r="G50" s="8" t="str">
        <f t="shared" si="0"/>
        <v>GEBRETEKLE DAGNEW</v>
      </c>
    </row>
    <row r="51" spans="1:7" x14ac:dyDescent="0.25">
      <c r="A51" s="8">
        <v>42811.296712962961</v>
      </c>
      <c r="B51" s="20" t="s">
        <v>488</v>
      </c>
      <c r="C51" s="20" t="s">
        <v>685</v>
      </c>
      <c r="D51" s="150">
        <v>1110000</v>
      </c>
      <c r="E51" s="20" t="s">
        <v>454</v>
      </c>
      <c r="F51" s="20" t="s">
        <v>455</v>
      </c>
      <c r="G51" s="8" t="str">
        <f t="shared" si="0"/>
        <v>STARKS ANGELINA</v>
      </c>
    </row>
    <row r="52" spans="1:7" x14ac:dyDescent="0.25">
      <c r="A52" s="8">
        <v>42811.300300925926</v>
      </c>
      <c r="B52" s="20" t="s">
        <v>611</v>
      </c>
      <c r="C52" s="20" t="s">
        <v>686</v>
      </c>
      <c r="D52" s="150">
        <v>900000</v>
      </c>
      <c r="E52" s="20" t="s">
        <v>440</v>
      </c>
      <c r="F52" s="20" t="s">
        <v>441</v>
      </c>
      <c r="G52" s="8" t="str">
        <f t="shared" si="0"/>
        <v>ROCHA YAOTL</v>
      </c>
    </row>
    <row r="53" spans="1:7" x14ac:dyDescent="0.25">
      <c r="A53" s="8">
        <v>42811.305023148147</v>
      </c>
      <c r="B53" s="20" t="s">
        <v>530</v>
      </c>
      <c r="C53" s="20" t="s">
        <v>687</v>
      </c>
      <c r="D53" s="150">
        <v>890000</v>
      </c>
      <c r="E53" s="20" t="s">
        <v>456</v>
      </c>
      <c r="F53" s="20" t="s">
        <v>457</v>
      </c>
      <c r="G53" s="8" t="str">
        <f t="shared" si="0"/>
        <v>LOZA FIDEL</v>
      </c>
    </row>
    <row r="54" spans="1:7" x14ac:dyDescent="0.25">
      <c r="A54" s="8">
        <v>42811.307986111111</v>
      </c>
      <c r="B54" s="20" t="s">
        <v>414</v>
      </c>
      <c r="C54" s="20" t="s">
        <v>688</v>
      </c>
      <c r="D54" s="150">
        <v>1230000</v>
      </c>
      <c r="E54" s="20" t="s">
        <v>442</v>
      </c>
      <c r="F54" s="20" t="s">
        <v>443</v>
      </c>
      <c r="G54" s="8" t="str">
        <f t="shared" si="0"/>
        <v>YANAI IAN</v>
      </c>
    </row>
    <row r="55" spans="1:7" x14ac:dyDescent="0.25">
      <c r="A55" s="8">
        <v>42811.310706018521</v>
      </c>
      <c r="B55" s="20" t="s">
        <v>546</v>
      </c>
      <c r="C55" s="20" t="s">
        <v>689</v>
      </c>
      <c r="D55" s="150">
        <v>1100000</v>
      </c>
      <c r="E55" s="20" t="s">
        <v>489</v>
      </c>
      <c r="F55" s="20" t="s">
        <v>490</v>
      </c>
      <c r="G55" s="8" t="str">
        <f t="shared" si="0"/>
        <v>GEBRETEKLE DAGNEW</v>
      </c>
    </row>
    <row r="56" spans="1:7" x14ac:dyDescent="0.25">
      <c r="A56" s="8">
        <v>42811.315324074072</v>
      </c>
      <c r="B56" s="20" t="s">
        <v>427</v>
      </c>
      <c r="C56" s="20" t="s">
        <v>690</v>
      </c>
      <c r="D56" s="150">
        <v>940000</v>
      </c>
      <c r="E56" s="20" t="s">
        <v>661</v>
      </c>
      <c r="F56" s="20" t="s">
        <v>662</v>
      </c>
      <c r="G56" s="8" t="str">
        <f t="shared" si="0"/>
        <v>BONDS REYNALDO</v>
      </c>
    </row>
    <row r="57" spans="1:7" x14ac:dyDescent="0.25">
      <c r="A57" s="8">
        <v>42811.317847222221</v>
      </c>
      <c r="B57" s="20" t="s">
        <v>637</v>
      </c>
      <c r="C57" s="20" t="s">
        <v>691</v>
      </c>
      <c r="D57" s="150">
        <v>2020000</v>
      </c>
      <c r="E57" s="20" t="s">
        <v>536</v>
      </c>
      <c r="F57" s="20" t="s">
        <v>491</v>
      </c>
      <c r="G57" s="8" t="str">
        <f t="shared" si="0"/>
        <v>SHOOK JOHN</v>
      </c>
    </row>
    <row r="58" spans="1:7" x14ac:dyDescent="0.25">
      <c r="A58" s="8">
        <v>42811.320277777777</v>
      </c>
      <c r="B58" s="20" t="s">
        <v>239</v>
      </c>
      <c r="C58" s="20" t="s">
        <v>692</v>
      </c>
      <c r="D58" s="150">
        <v>2140000</v>
      </c>
      <c r="E58" s="20" t="s">
        <v>533</v>
      </c>
      <c r="F58" s="20" t="s">
        <v>534</v>
      </c>
      <c r="G58" s="8" t="str">
        <f t="shared" si="0"/>
        <v>ROBINSON KADDIBA</v>
      </c>
    </row>
    <row r="59" spans="1:7" x14ac:dyDescent="0.25">
      <c r="A59" s="8">
        <v>42811.328032407408</v>
      </c>
      <c r="B59" s="20" t="s">
        <v>647</v>
      </c>
      <c r="C59" s="20" t="s">
        <v>693</v>
      </c>
      <c r="D59" s="150">
        <v>2550000</v>
      </c>
      <c r="E59" s="20" t="s">
        <v>474</v>
      </c>
      <c r="F59" s="20" t="s">
        <v>475</v>
      </c>
      <c r="G59" s="8" t="str">
        <f t="shared" si="0"/>
        <v>BADERTSCHER DIANE</v>
      </c>
    </row>
    <row r="60" spans="1:7" x14ac:dyDescent="0.25">
      <c r="A60" s="8">
        <v>42811.329965277779</v>
      </c>
      <c r="B60" s="20" t="s">
        <v>492</v>
      </c>
      <c r="C60" s="20" t="s">
        <v>694</v>
      </c>
      <c r="D60" s="150">
        <v>1110000</v>
      </c>
      <c r="E60" s="20" t="s">
        <v>454</v>
      </c>
      <c r="F60" s="20" t="s">
        <v>455</v>
      </c>
      <c r="G60" s="8" t="str">
        <f t="shared" si="0"/>
        <v>STARKS ANGELINA</v>
      </c>
    </row>
    <row r="61" spans="1:7" x14ac:dyDescent="0.25">
      <c r="A61" s="8">
        <v>42811.33666666667</v>
      </c>
      <c r="B61" s="20" t="s">
        <v>634</v>
      </c>
      <c r="C61" s="20" t="s">
        <v>695</v>
      </c>
      <c r="D61" s="150">
        <v>2020000</v>
      </c>
      <c r="E61" s="20" t="s">
        <v>536</v>
      </c>
      <c r="F61" s="20" t="s">
        <v>491</v>
      </c>
      <c r="G61" s="8" t="str">
        <f t="shared" si="0"/>
        <v>SHOOK JOHN</v>
      </c>
    </row>
    <row r="62" spans="1:7" x14ac:dyDescent="0.25">
      <c r="A62" s="8">
        <v>42811.336747685185</v>
      </c>
      <c r="B62" s="20" t="s">
        <v>614</v>
      </c>
      <c r="C62" s="20" t="s">
        <v>696</v>
      </c>
      <c r="D62" s="150">
        <v>900000</v>
      </c>
      <c r="E62" s="20" t="s">
        <v>440</v>
      </c>
      <c r="F62" s="20" t="s">
        <v>441</v>
      </c>
      <c r="G62" s="8" t="str">
        <f t="shared" si="0"/>
        <v>ROCHA YAOTL</v>
      </c>
    </row>
    <row r="63" spans="1:7" x14ac:dyDescent="0.25">
      <c r="A63" s="8">
        <v>42811.337870370371</v>
      </c>
      <c r="B63" s="20" t="s">
        <v>531</v>
      </c>
      <c r="C63" s="20" t="s">
        <v>697</v>
      </c>
      <c r="D63" s="150">
        <v>1100000</v>
      </c>
      <c r="E63" s="20" t="s">
        <v>489</v>
      </c>
      <c r="F63" s="20" t="s">
        <v>490</v>
      </c>
      <c r="G63" s="8" t="str">
        <f t="shared" si="0"/>
        <v>GEBRETEKLE DAGNEW</v>
      </c>
    </row>
    <row r="64" spans="1:7" x14ac:dyDescent="0.25">
      <c r="A64" s="26">
        <v>42811.340416666666</v>
      </c>
      <c r="B64" s="20" t="s">
        <v>412</v>
      </c>
      <c r="C64" s="20" t="s">
        <v>698</v>
      </c>
      <c r="D64" s="150">
        <v>1230000</v>
      </c>
      <c r="E64" s="20" t="s">
        <v>442</v>
      </c>
      <c r="F64" s="20" t="s">
        <v>443</v>
      </c>
      <c r="G64" s="8" t="str">
        <f t="shared" si="0"/>
        <v>YANAI IAN</v>
      </c>
    </row>
    <row r="65" spans="1:7" x14ac:dyDescent="0.25">
      <c r="A65" s="8">
        <v>42811.34207175926</v>
      </c>
      <c r="B65" s="20" t="s">
        <v>529</v>
      </c>
      <c r="C65" s="20" t="s">
        <v>699</v>
      </c>
      <c r="D65" s="150">
        <v>3040000</v>
      </c>
      <c r="E65" s="20" t="s">
        <v>493</v>
      </c>
      <c r="F65" s="20" t="s">
        <v>494</v>
      </c>
      <c r="G65" s="8" t="str">
        <f t="shared" si="0"/>
        <v>WILLIAMS DONTE</v>
      </c>
    </row>
    <row r="66" spans="1:7" x14ac:dyDescent="0.25">
      <c r="A66" s="8">
        <v>42811.349780092591</v>
      </c>
      <c r="B66" s="20" t="s">
        <v>426</v>
      </c>
      <c r="C66" s="20" t="s">
        <v>700</v>
      </c>
      <c r="D66" s="150">
        <v>940000</v>
      </c>
      <c r="E66" s="20" t="s">
        <v>661</v>
      </c>
      <c r="F66" s="20" t="s">
        <v>662</v>
      </c>
      <c r="G66" s="8" t="str">
        <f t="shared" si="0"/>
        <v>BONDS REYNALDO</v>
      </c>
    </row>
    <row r="67" spans="1:7" x14ac:dyDescent="0.25">
      <c r="A67" s="8">
        <v>42811.352789351855</v>
      </c>
      <c r="B67" s="20" t="s">
        <v>546</v>
      </c>
      <c r="C67" s="20" t="s">
        <v>695</v>
      </c>
      <c r="D67" s="150">
        <v>2020000</v>
      </c>
      <c r="E67" s="20" t="s">
        <v>536</v>
      </c>
      <c r="F67" s="20" t="s">
        <v>491</v>
      </c>
      <c r="G67" s="8" t="str">
        <f t="shared" ref="G67:G130" si="1">E67&amp;" "&amp;F67</f>
        <v>SHOOK JOHN</v>
      </c>
    </row>
    <row r="68" spans="1:7" x14ac:dyDescent="0.25">
      <c r="A68" s="8">
        <v>42811.354108796295</v>
      </c>
      <c r="B68" s="20" t="s">
        <v>546</v>
      </c>
      <c r="C68" s="20" t="s">
        <v>695</v>
      </c>
      <c r="D68" s="150">
        <v>2020000</v>
      </c>
      <c r="E68" s="20" t="s">
        <v>536</v>
      </c>
      <c r="F68" s="20" t="s">
        <v>491</v>
      </c>
      <c r="G68" s="8" t="str">
        <f t="shared" si="1"/>
        <v>SHOOK JOHN</v>
      </c>
    </row>
    <row r="69" spans="1:7" x14ac:dyDescent="0.25">
      <c r="A69" s="8">
        <v>42811.354768518519</v>
      </c>
      <c r="B69" s="20" t="s">
        <v>634</v>
      </c>
      <c r="C69" s="20" t="s">
        <v>701</v>
      </c>
      <c r="D69" s="150">
        <v>1100000</v>
      </c>
      <c r="E69" s="20" t="s">
        <v>489</v>
      </c>
      <c r="F69" s="20" t="s">
        <v>490</v>
      </c>
      <c r="G69" s="8" t="str">
        <f t="shared" si="1"/>
        <v>GEBRETEKLE DAGNEW</v>
      </c>
    </row>
    <row r="70" spans="1:7" x14ac:dyDescent="0.25">
      <c r="A70" s="8">
        <v>42811.358171296299</v>
      </c>
      <c r="B70" s="20" t="s">
        <v>372</v>
      </c>
      <c r="C70" s="20" t="s">
        <v>702</v>
      </c>
      <c r="D70" s="150">
        <v>2140000</v>
      </c>
      <c r="E70" s="20" t="s">
        <v>533</v>
      </c>
      <c r="F70" s="20" t="s">
        <v>534</v>
      </c>
      <c r="G70" s="8" t="str">
        <f t="shared" si="1"/>
        <v>ROBINSON KADDIBA</v>
      </c>
    </row>
    <row r="71" spans="1:7" x14ac:dyDescent="0.25">
      <c r="A71" s="8">
        <v>42811.360532407409</v>
      </c>
      <c r="B71" s="20" t="s">
        <v>627</v>
      </c>
      <c r="C71" s="20" t="s">
        <v>703</v>
      </c>
      <c r="D71" s="150">
        <v>2550000</v>
      </c>
      <c r="E71" s="20" t="s">
        <v>474</v>
      </c>
      <c r="F71" s="20" t="s">
        <v>475</v>
      </c>
      <c r="G71" s="8" t="str">
        <f t="shared" si="1"/>
        <v>BADERTSCHER DIANE</v>
      </c>
    </row>
    <row r="72" spans="1:7" x14ac:dyDescent="0.25">
      <c r="A72" s="8">
        <v>42811.366481481484</v>
      </c>
      <c r="B72" s="20" t="s">
        <v>531</v>
      </c>
      <c r="C72" s="20" t="s">
        <v>704</v>
      </c>
      <c r="D72" s="150">
        <v>2020000</v>
      </c>
      <c r="E72" s="20" t="s">
        <v>536</v>
      </c>
      <c r="F72" s="20" t="s">
        <v>491</v>
      </c>
      <c r="G72" s="8" t="str">
        <f t="shared" si="1"/>
        <v>SHOOK JOHN</v>
      </c>
    </row>
    <row r="73" spans="1:7" x14ac:dyDescent="0.25">
      <c r="A73" s="8">
        <v>42811.371377314812</v>
      </c>
      <c r="B73" s="20" t="s">
        <v>488</v>
      </c>
      <c r="C73" s="20" t="s">
        <v>616</v>
      </c>
      <c r="D73" s="150">
        <v>1110000</v>
      </c>
      <c r="E73" s="20" t="s">
        <v>454</v>
      </c>
      <c r="F73" s="20" t="s">
        <v>455</v>
      </c>
      <c r="G73" s="8" t="str">
        <f t="shared" si="1"/>
        <v>STARKS ANGELINA</v>
      </c>
    </row>
    <row r="74" spans="1:7" x14ac:dyDescent="0.25">
      <c r="A74" s="8">
        <v>42811.371435185189</v>
      </c>
      <c r="B74" s="20" t="s">
        <v>611</v>
      </c>
      <c r="C74" s="20" t="s">
        <v>705</v>
      </c>
      <c r="D74" s="150">
        <v>3010000</v>
      </c>
      <c r="E74" s="20" t="s">
        <v>537</v>
      </c>
      <c r="F74" s="20" t="s">
        <v>538</v>
      </c>
      <c r="G74" s="8" t="str">
        <f t="shared" si="1"/>
        <v>SULLIVAN BRANDON</v>
      </c>
    </row>
    <row r="75" spans="1:7" x14ac:dyDescent="0.25">
      <c r="A75" s="8">
        <v>42811.378831018519</v>
      </c>
      <c r="B75" s="20" t="s">
        <v>546</v>
      </c>
      <c r="C75" s="20" t="s">
        <v>706</v>
      </c>
      <c r="D75" s="150">
        <v>2020000</v>
      </c>
      <c r="E75" s="20" t="s">
        <v>536</v>
      </c>
      <c r="F75" s="20" t="s">
        <v>491</v>
      </c>
      <c r="G75" s="8" t="str">
        <f t="shared" si="1"/>
        <v>SHOOK JOHN</v>
      </c>
    </row>
    <row r="76" spans="1:7" x14ac:dyDescent="0.25">
      <c r="A76" s="8">
        <v>42811.37945601852</v>
      </c>
      <c r="B76" s="20" t="s">
        <v>611</v>
      </c>
      <c r="C76" s="20" t="s">
        <v>705</v>
      </c>
      <c r="D76" s="150">
        <v>3010000</v>
      </c>
      <c r="E76" s="20" t="s">
        <v>537</v>
      </c>
      <c r="F76" s="20" t="s">
        <v>538</v>
      </c>
      <c r="G76" s="8" t="str">
        <f t="shared" si="1"/>
        <v>SULLIVAN BRANDON</v>
      </c>
    </row>
    <row r="77" spans="1:7" x14ac:dyDescent="0.25">
      <c r="A77" s="8">
        <v>42811.380671296298</v>
      </c>
      <c r="B77" s="20" t="s">
        <v>530</v>
      </c>
      <c r="C77" s="20" t="s">
        <v>707</v>
      </c>
      <c r="D77" s="150">
        <v>3040000</v>
      </c>
      <c r="E77" s="20" t="s">
        <v>493</v>
      </c>
      <c r="F77" s="20" t="s">
        <v>494</v>
      </c>
      <c r="G77" s="8" t="str">
        <f t="shared" si="1"/>
        <v>WILLIAMS DONTE</v>
      </c>
    </row>
    <row r="78" spans="1:7" x14ac:dyDescent="0.25">
      <c r="A78" s="8">
        <v>42811.382361111115</v>
      </c>
      <c r="B78" s="20" t="s">
        <v>414</v>
      </c>
      <c r="C78" s="20" t="s">
        <v>708</v>
      </c>
      <c r="D78" s="150">
        <v>1230000</v>
      </c>
      <c r="E78" s="20" t="s">
        <v>442</v>
      </c>
      <c r="F78" s="20" t="s">
        <v>443</v>
      </c>
      <c r="G78" s="8" t="str">
        <f t="shared" si="1"/>
        <v>YANAI IAN</v>
      </c>
    </row>
    <row r="79" spans="1:7" x14ac:dyDescent="0.25">
      <c r="A79" s="8">
        <v>42811.390659722223</v>
      </c>
      <c r="B79" s="20" t="s">
        <v>427</v>
      </c>
      <c r="C79" s="20" t="s">
        <v>709</v>
      </c>
      <c r="D79" s="150">
        <v>940000</v>
      </c>
      <c r="E79" s="20" t="s">
        <v>661</v>
      </c>
      <c r="F79" s="20" t="s">
        <v>662</v>
      </c>
      <c r="G79" s="8" t="str">
        <f t="shared" si="1"/>
        <v>BONDS REYNALDO</v>
      </c>
    </row>
    <row r="80" spans="1:7" x14ac:dyDescent="0.25">
      <c r="A80" s="8">
        <v>42811.392754629633</v>
      </c>
      <c r="B80" s="20" t="s">
        <v>239</v>
      </c>
      <c r="C80" s="20" t="s">
        <v>710</v>
      </c>
      <c r="D80" s="150">
        <v>2140000</v>
      </c>
      <c r="E80" s="20" t="s">
        <v>533</v>
      </c>
      <c r="F80" s="20" t="s">
        <v>534</v>
      </c>
      <c r="G80" s="8" t="str">
        <f t="shared" si="1"/>
        <v>ROBINSON KADDIBA</v>
      </c>
    </row>
    <row r="81" spans="1:7" x14ac:dyDescent="0.25">
      <c r="A81" s="8">
        <v>42811.399629629632</v>
      </c>
      <c r="B81" s="20" t="s">
        <v>647</v>
      </c>
      <c r="C81" s="20" t="s">
        <v>711</v>
      </c>
      <c r="D81" s="150">
        <v>2550000</v>
      </c>
      <c r="E81" s="20" t="s">
        <v>474</v>
      </c>
      <c r="F81" s="20" t="s">
        <v>475</v>
      </c>
      <c r="G81" s="8" t="str">
        <f t="shared" si="1"/>
        <v>BADERTSCHER DIANE</v>
      </c>
    </row>
    <row r="82" spans="1:7" x14ac:dyDescent="0.25">
      <c r="A82" s="8">
        <v>42811.400983796295</v>
      </c>
      <c r="B82" s="20" t="s">
        <v>531</v>
      </c>
      <c r="C82" s="20" t="s">
        <v>712</v>
      </c>
      <c r="D82" s="150">
        <v>2020000</v>
      </c>
      <c r="E82" s="20" t="s">
        <v>536</v>
      </c>
      <c r="F82" s="20" t="s">
        <v>491</v>
      </c>
      <c r="G82" s="8" t="str">
        <f t="shared" si="1"/>
        <v>SHOOK JOHN</v>
      </c>
    </row>
    <row r="83" spans="1:7" x14ac:dyDescent="0.25">
      <c r="A83" s="8">
        <v>42811.404236111113</v>
      </c>
      <c r="B83" s="20" t="s">
        <v>492</v>
      </c>
      <c r="C83" s="20" t="s">
        <v>617</v>
      </c>
      <c r="D83" s="150">
        <v>1110000</v>
      </c>
      <c r="E83" s="20" t="s">
        <v>454</v>
      </c>
      <c r="F83" s="20" t="s">
        <v>455</v>
      </c>
      <c r="G83" s="8" t="str">
        <f t="shared" si="1"/>
        <v>STARKS ANGELINA</v>
      </c>
    </row>
    <row r="84" spans="1:7" x14ac:dyDescent="0.25">
      <c r="A84" s="8">
        <v>42811.40861111111</v>
      </c>
      <c r="B84" s="20" t="s">
        <v>614</v>
      </c>
      <c r="C84" s="20" t="s">
        <v>618</v>
      </c>
      <c r="D84" s="150">
        <v>3010000</v>
      </c>
      <c r="E84" s="20" t="s">
        <v>537</v>
      </c>
      <c r="F84" s="20" t="s">
        <v>538</v>
      </c>
      <c r="G84" s="8" t="str">
        <f t="shared" si="1"/>
        <v>SULLIVAN BRANDON</v>
      </c>
    </row>
    <row r="85" spans="1:7" x14ac:dyDescent="0.25">
      <c r="A85" s="8">
        <v>42811.412465277775</v>
      </c>
      <c r="B85" s="20" t="s">
        <v>412</v>
      </c>
      <c r="C85" s="20" t="s">
        <v>713</v>
      </c>
      <c r="D85" s="150">
        <v>1230000</v>
      </c>
      <c r="E85" s="20" t="s">
        <v>442</v>
      </c>
      <c r="F85" s="20" t="s">
        <v>443</v>
      </c>
      <c r="G85" s="8" t="str">
        <f t="shared" si="1"/>
        <v>YANAI IAN</v>
      </c>
    </row>
    <row r="86" spans="1:7" x14ac:dyDescent="0.25">
      <c r="A86" s="8">
        <v>42811.415069444447</v>
      </c>
      <c r="B86" s="20" t="s">
        <v>529</v>
      </c>
      <c r="C86" s="20" t="s">
        <v>714</v>
      </c>
      <c r="D86" s="150">
        <v>3040000</v>
      </c>
      <c r="E86" s="20" t="s">
        <v>493</v>
      </c>
      <c r="F86" s="20" t="s">
        <v>494</v>
      </c>
      <c r="G86" s="8" t="str">
        <f t="shared" si="1"/>
        <v>WILLIAMS DONTE</v>
      </c>
    </row>
    <row r="87" spans="1:7" x14ac:dyDescent="0.25">
      <c r="A87" s="8">
        <v>42811.415092592593</v>
      </c>
      <c r="B87" s="20" t="s">
        <v>546</v>
      </c>
      <c r="C87" s="20" t="s">
        <v>715</v>
      </c>
      <c r="D87" s="150">
        <v>2020000</v>
      </c>
      <c r="E87" s="20" t="s">
        <v>536</v>
      </c>
      <c r="F87" s="20" t="s">
        <v>491</v>
      </c>
      <c r="G87" s="8" t="str">
        <f t="shared" si="1"/>
        <v>SHOOK JOHN</v>
      </c>
    </row>
    <row r="88" spans="1:7" x14ac:dyDescent="0.25">
      <c r="A88" s="8">
        <v>42811.42527777778</v>
      </c>
      <c r="B88" s="20" t="s">
        <v>426</v>
      </c>
      <c r="C88" s="20" t="s">
        <v>716</v>
      </c>
      <c r="D88" s="150">
        <v>940000</v>
      </c>
      <c r="E88" s="20" t="s">
        <v>661</v>
      </c>
      <c r="F88" s="20" t="s">
        <v>662</v>
      </c>
      <c r="G88" s="8" t="str">
        <f t="shared" si="1"/>
        <v>BONDS REYNALDO</v>
      </c>
    </row>
    <row r="89" spans="1:7" x14ac:dyDescent="0.25">
      <c r="A89" s="8">
        <v>42811.43105324074</v>
      </c>
      <c r="B89" s="20" t="s">
        <v>372</v>
      </c>
      <c r="C89" s="20" t="s">
        <v>619</v>
      </c>
      <c r="D89" s="150">
        <v>2140000</v>
      </c>
      <c r="E89" s="20" t="s">
        <v>533</v>
      </c>
      <c r="F89" s="20" t="s">
        <v>534</v>
      </c>
      <c r="G89" s="8" t="str">
        <f t="shared" si="1"/>
        <v>ROBINSON KADDIBA</v>
      </c>
    </row>
    <row r="90" spans="1:7" x14ac:dyDescent="0.25">
      <c r="A90" s="8">
        <v>42811.431828703702</v>
      </c>
      <c r="B90" s="20" t="s">
        <v>717</v>
      </c>
      <c r="C90" s="20" t="s">
        <v>718</v>
      </c>
      <c r="D90" s="150">
        <v>1780000</v>
      </c>
      <c r="E90" s="20" t="s">
        <v>501</v>
      </c>
      <c r="F90" s="20" t="s">
        <v>502</v>
      </c>
      <c r="G90" s="8" t="str">
        <f t="shared" si="1"/>
        <v>DE LA ROSA ALEX</v>
      </c>
    </row>
    <row r="91" spans="1:7" x14ac:dyDescent="0.25">
      <c r="A91" s="8">
        <v>42811.433935185189</v>
      </c>
      <c r="B91" s="20" t="s">
        <v>627</v>
      </c>
      <c r="C91" s="20" t="s">
        <v>719</v>
      </c>
      <c r="D91" s="150">
        <v>1100000</v>
      </c>
      <c r="E91" s="20" t="s">
        <v>489</v>
      </c>
      <c r="F91" s="20" t="s">
        <v>490</v>
      </c>
      <c r="G91" s="8" t="str">
        <f t="shared" si="1"/>
        <v>GEBRETEKLE DAGNEW</v>
      </c>
    </row>
    <row r="92" spans="1:7" x14ac:dyDescent="0.25">
      <c r="A92" s="8">
        <v>42811.440694444442</v>
      </c>
      <c r="B92" s="20" t="s">
        <v>720</v>
      </c>
      <c r="C92" s="20" t="s">
        <v>721</v>
      </c>
      <c r="D92" s="150">
        <v>1780000</v>
      </c>
      <c r="E92" s="20" t="s">
        <v>501</v>
      </c>
      <c r="F92" s="20" t="s">
        <v>502</v>
      </c>
      <c r="G92" s="8" t="str">
        <f t="shared" si="1"/>
        <v>DE LA ROSA ALEX</v>
      </c>
    </row>
    <row r="93" spans="1:7" x14ac:dyDescent="0.25">
      <c r="A93" s="8">
        <v>42811.442997685182</v>
      </c>
      <c r="B93" s="20" t="s">
        <v>531</v>
      </c>
      <c r="C93" s="20" t="s">
        <v>722</v>
      </c>
      <c r="D93" s="150">
        <v>2020000</v>
      </c>
      <c r="E93" s="20" t="s">
        <v>536</v>
      </c>
      <c r="F93" s="20" t="s">
        <v>491</v>
      </c>
      <c r="G93" s="8" t="str">
        <f t="shared" si="1"/>
        <v>SHOOK JOHN</v>
      </c>
    </row>
    <row r="94" spans="1:7" x14ac:dyDescent="0.25">
      <c r="A94" s="8">
        <v>42811.444201388891</v>
      </c>
      <c r="B94" s="20" t="s">
        <v>488</v>
      </c>
      <c r="C94" s="20" t="s">
        <v>620</v>
      </c>
      <c r="D94" s="150">
        <v>1110000</v>
      </c>
      <c r="E94" s="20" t="s">
        <v>454</v>
      </c>
      <c r="F94" s="20" t="s">
        <v>455</v>
      </c>
      <c r="G94" s="8" t="str">
        <f t="shared" si="1"/>
        <v>STARKS ANGELINA</v>
      </c>
    </row>
    <row r="95" spans="1:7" x14ac:dyDescent="0.25">
      <c r="A95" s="8">
        <v>42811.447372685187</v>
      </c>
      <c r="B95" s="20" t="s">
        <v>530</v>
      </c>
      <c r="C95" s="20" t="s">
        <v>723</v>
      </c>
      <c r="D95" s="150">
        <v>3040000</v>
      </c>
      <c r="E95" s="20" t="s">
        <v>493</v>
      </c>
      <c r="F95" s="20" t="s">
        <v>494</v>
      </c>
      <c r="G95" s="8" t="str">
        <f t="shared" si="1"/>
        <v>WILLIAMS DONTE</v>
      </c>
    </row>
    <row r="96" spans="1:7" x14ac:dyDescent="0.25">
      <c r="A96" s="8">
        <v>42811.454074074078</v>
      </c>
      <c r="B96" s="20" t="s">
        <v>414</v>
      </c>
      <c r="C96" s="20" t="s">
        <v>621</v>
      </c>
      <c r="D96" s="150">
        <v>880000</v>
      </c>
      <c r="E96" s="20" t="s">
        <v>724</v>
      </c>
      <c r="F96" s="20" t="s">
        <v>198</v>
      </c>
      <c r="G96" s="8" t="str">
        <f t="shared" si="1"/>
        <v>STEWART MICHAEL</v>
      </c>
    </row>
    <row r="97" spans="1:7" x14ac:dyDescent="0.25">
      <c r="A97" s="8">
        <v>42811.457268518519</v>
      </c>
      <c r="B97" s="20" t="s">
        <v>546</v>
      </c>
      <c r="C97" s="20" t="s">
        <v>725</v>
      </c>
      <c r="D97" s="150">
        <v>2020000</v>
      </c>
      <c r="E97" s="20" t="s">
        <v>536</v>
      </c>
      <c r="F97" s="20" t="s">
        <v>491</v>
      </c>
      <c r="G97" s="8" t="str">
        <f t="shared" si="1"/>
        <v>SHOOK JOHN</v>
      </c>
    </row>
    <row r="98" spans="1:7" x14ac:dyDescent="0.25">
      <c r="A98" s="8">
        <v>42811.459317129629</v>
      </c>
      <c r="B98" s="20" t="s">
        <v>726</v>
      </c>
      <c r="C98" s="20" t="s">
        <v>727</v>
      </c>
      <c r="D98" s="150">
        <v>900000</v>
      </c>
      <c r="E98" s="20" t="s">
        <v>440</v>
      </c>
      <c r="F98" s="20" t="s">
        <v>441</v>
      </c>
      <c r="G98" s="8" t="str">
        <f t="shared" si="1"/>
        <v>ROCHA YAOTL</v>
      </c>
    </row>
    <row r="99" spans="1:7" x14ac:dyDescent="0.25">
      <c r="A99" s="8">
        <v>42811.460856481484</v>
      </c>
      <c r="B99" s="20" t="s">
        <v>427</v>
      </c>
      <c r="C99" s="20" t="s">
        <v>728</v>
      </c>
      <c r="D99" s="150">
        <v>940000</v>
      </c>
      <c r="E99" s="20" t="s">
        <v>661</v>
      </c>
      <c r="F99" s="20" t="s">
        <v>662</v>
      </c>
      <c r="G99" s="8" t="str">
        <f t="shared" si="1"/>
        <v>BONDS REYNALDO</v>
      </c>
    </row>
    <row r="100" spans="1:7" x14ac:dyDescent="0.25">
      <c r="A100" s="8">
        <v>42811.467604166668</v>
      </c>
      <c r="B100" s="20" t="s">
        <v>239</v>
      </c>
      <c r="C100" s="20" t="s">
        <v>729</v>
      </c>
      <c r="D100" s="150">
        <v>2470000</v>
      </c>
      <c r="E100" s="20" t="s">
        <v>730</v>
      </c>
      <c r="F100" s="20" t="s">
        <v>731</v>
      </c>
      <c r="G100" s="8" t="str">
        <f t="shared" si="1"/>
        <v>ROMERO CHAD</v>
      </c>
    </row>
    <row r="101" spans="1:7" x14ac:dyDescent="0.25">
      <c r="A101" s="8">
        <v>42811.471979166665</v>
      </c>
      <c r="B101" s="20" t="s">
        <v>647</v>
      </c>
      <c r="C101" s="20" t="s">
        <v>732</v>
      </c>
      <c r="D101" s="150">
        <v>1100000</v>
      </c>
      <c r="E101" s="20" t="s">
        <v>489</v>
      </c>
      <c r="F101" s="20" t="s">
        <v>490</v>
      </c>
      <c r="G101" s="8" t="str">
        <f t="shared" si="1"/>
        <v>GEBRETEKLE DAGNEW</v>
      </c>
    </row>
    <row r="102" spans="1:7" x14ac:dyDescent="0.25">
      <c r="A102" s="8">
        <v>42811.478171296294</v>
      </c>
      <c r="B102" s="20" t="s">
        <v>492</v>
      </c>
      <c r="C102" s="20" t="s">
        <v>733</v>
      </c>
      <c r="D102" s="150">
        <v>930000</v>
      </c>
      <c r="E102" s="20" t="s">
        <v>444</v>
      </c>
      <c r="F102" s="20" t="s">
        <v>445</v>
      </c>
      <c r="G102" s="8" t="str">
        <f t="shared" si="1"/>
        <v>CLARK KATHLEEN</v>
      </c>
    </row>
    <row r="103" spans="1:7" x14ac:dyDescent="0.25">
      <c r="A103" s="8">
        <v>42811.482592592591</v>
      </c>
      <c r="B103" s="20" t="s">
        <v>631</v>
      </c>
      <c r="C103" s="20" t="s">
        <v>734</v>
      </c>
      <c r="D103" s="150">
        <v>1780000</v>
      </c>
      <c r="E103" s="20" t="s">
        <v>501</v>
      </c>
      <c r="F103" s="20" t="s">
        <v>502</v>
      </c>
      <c r="G103" s="8" t="str">
        <f t="shared" si="1"/>
        <v>DE LA ROSA ALEX</v>
      </c>
    </row>
    <row r="104" spans="1:7" x14ac:dyDescent="0.25">
      <c r="A104" s="8">
        <v>42811.484259259261</v>
      </c>
      <c r="B104" s="20" t="s">
        <v>631</v>
      </c>
      <c r="C104" s="20" t="s">
        <v>734</v>
      </c>
      <c r="D104" s="150">
        <v>1780000</v>
      </c>
      <c r="E104" s="20" t="s">
        <v>501</v>
      </c>
      <c r="F104" s="20" t="s">
        <v>502</v>
      </c>
      <c r="G104" s="8" t="str">
        <f t="shared" si="1"/>
        <v>DE LA ROSA ALEX</v>
      </c>
    </row>
    <row r="105" spans="1:7" x14ac:dyDescent="0.25">
      <c r="A105" s="8">
        <v>42811.484618055554</v>
      </c>
      <c r="B105" s="20" t="s">
        <v>531</v>
      </c>
      <c r="C105" s="20" t="s">
        <v>735</v>
      </c>
      <c r="D105" s="150">
        <v>2020000</v>
      </c>
      <c r="E105" s="20" t="s">
        <v>536</v>
      </c>
      <c r="F105" s="20" t="s">
        <v>491</v>
      </c>
      <c r="G105" s="8" t="str">
        <f t="shared" si="1"/>
        <v>SHOOK JOHN</v>
      </c>
    </row>
    <row r="106" spans="1:7" x14ac:dyDescent="0.25">
      <c r="A106" s="8">
        <v>42811.487650462965</v>
      </c>
      <c r="B106" s="20" t="s">
        <v>529</v>
      </c>
      <c r="C106" s="20" t="s">
        <v>622</v>
      </c>
      <c r="D106" s="150">
        <v>1770000</v>
      </c>
      <c r="E106" s="20" t="s">
        <v>499</v>
      </c>
      <c r="F106" s="20" t="s">
        <v>500</v>
      </c>
      <c r="G106" s="8" t="str">
        <f t="shared" si="1"/>
        <v>BRUDER RICHARD</v>
      </c>
    </row>
    <row r="107" spans="1:7" x14ac:dyDescent="0.25">
      <c r="A107" s="8">
        <v>42811.495671296296</v>
      </c>
      <c r="B107" s="20" t="s">
        <v>412</v>
      </c>
      <c r="C107" s="20" t="s">
        <v>736</v>
      </c>
      <c r="D107" s="150">
        <v>880000</v>
      </c>
      <c r="E107" s="20" t="s">
        <v>724</v>
      </c>
      <c r="F107" s="20" t="s">
        <v>198</v>
      </c>
      <c r="G107" s="8" t="str">
        <f t="shared" si="1"/>
        <v>STEWART MICHAEL</v>
      </c>
    </row>
    <row r="108" spans="1:7" x14ac:dyDescent="0.25">
      <c r="A108" s="8">
        <v>42811.497997685183</v>
      </c>
      <c r="B108" s="20" t="s">
        <v>426</v>
      </c>
      <c r="C108" s="20" t="s">
        <v>737</v>
      </c>
      <c r="D108" s="150">
        <v>1540000</v>
      </c>
      <c r="E108" s="20" t="s">
        <v>495</v>
      </c>
      <c r="F108" s="20" t="s">
        <v>496</v>
      </c>
      <c r="G108" s="8" t="str">
        <f t="shared" si="1"/>
        <v>HELVIE ADAM</v>
      </c>
    </row>
    <row r="109" spans="1:7" x14ac:dyDescent="0.25">
      <c r="A109" s="8">
        <v>42811.498576388891</v>
      </c>
      <c r="B109" s="20" t="s">
        <v>546</v>
      </c>
      <c r="C109" s="20" t="s">
        <v>738</v>
      </c>
      <c r="D109" s="150">
        <v>2020000</v>
      </c>
      <c r="E109" s="20" t="s">
        <v>536</v>
      </c>
      <c r="F109" s="20" t="s">
        <v>491</v>
      </c>
      <c r="G109" s="8" t="str">
        <f t="shared" si="1"/>
        <v>SHOOK JOHN</v>
      </c>
    </row>
    <row r="110" spans="1:7" x14ac:dyDescent="0.25">
      <c r="A110" s="8">
        <v>42811.498726851853</v>
      </c>
      <c r="B110" s="20" t="s">
        <v>372</v>
      </c>
      <c r="C110" s="20" t="s">
        <v>739</v>
      </c>
      <c r="D110" s="150">
        <v>2470000</v>
      </c>
      <c r="E110" s="20" t="s">
        <v>730</v>
      </c>
      <c r="F110" s="20" t="s">
        <v>731</v>
      </c>
      <c r="G110" s="8" t="str">
        <f t="shared" si="1"/>
        <v>ROMERO CHAD</v>
      </c>
    </row>
    <row r="111" spans="1:7" x14ac:dyDescent="0.25">
      <c r="A111" s="8">
        <v>42811.505127314813</v>
      </c>
      <c r="B111" s="20" t="s">
        <v>627</v>
      </c>
      <c r="C111" s="20" t="s">
        <v>740</v>
      </c>
      <c r="D111" s="150">
        <v>2370000</v>
      </c>
      <c r="E111" s="20" t="s">
        <v>497</v>
      </c>
      <c r="F111" s="20" t="s">
        <v>498</v>
      </c>
      <c r="G111" s="8" t="str">
        <f t="shared" si="1"/>
        <v>DELGADO DIANAH</v>
      </c>
    </row>
    <row r="112" spans="1:7" x14ac:dyDescent="0.25">
      <c r="A112" s="8">
        <v>42811.512789351851</v>
      </c>
      <c r="B112" s="20" t="s">
        <v>488</v>
      </c>
      <c r="C112" s="20" t="s">
        <v>623</v>
      </c>
      <c r="D112" s="150">
        <v>930000</v>
      </c>
      <c r="E112" s="20" t="s">
        <v>444</v>
      </c>
      <c r="F112" s="20" t="s">
        <v>445</v>
      </c>
      <c r="G112" s="8" t="str">
        <f t="shared" si="1"/>
        <v>CLARK KATHLEEN</v>
      </c>
    </row>
    <row r="113" spans="1:7" x14ac:dyDescent="0.25">
      <c r="A113" s="8">
        <v>42811.51771990741</v>
      </c>
      <c r="B113" s="20" t="s">
        <v>720</v>
      </c>
      <c r="C113" s="20" t="s">
        <v>741</v>
      </c>
      <c r="D113" s="150">
        <v>2480000</v>
      </c>
      <c r="E113" s="20" t="s">
        <v>505</v>
      </c>
      <c r="F113" s="20" t="s">
        <v>506</v>
      </c>
      <c r="G113" s="8" t="str">
        <f t="shared" si="1"/>
        <v>WHITED DUSTIN</v>
      </c>
    </row>
    <row r="114" spans="1:7" x14ac:dyDescent="0.25">
      <c r="A114" s="8">
        <v>42811.524641203701</v>
      </c>
      <c r="B114" s="20" t="s">
        <v>530</v>
      </c>
      <c r="C114" s="20" t="s">
        <v>742</v>
      </c>
      <c r="D114" s="150">
        <v>1770000</v>
      </c>
      <c r="E114" s="20" t="s">
        <v>499</v>
      </c>
      <c r="F114" s="20" t="s">
        <v>500</v>
      </c>
      <c r="G114" s="8" t="str">
        <f t="shared" si="1"/>
        <v>BRUDER RICHARD</v>
      </c>
    </row>
    <row r="115" spans="1:7" x14ac:dyDescent="0.25">
      <c r="A115" s="8">
        <v>42811.526736111111</v>
      </c>
      <c r="B115" s="20" t="s">
        <v>531</v>
      </c>
      <c r="C115" s="20" t="s">
        <v>743</v>
      </c>
      <c r="D115" s="150">
        <v>2020000</v>
      </c>
      <c r="E115" s="20" t="s">
        <v>536</v>
      </c>
      <c r="F115" s="20" t="s">
        <v>491</v>
      </c>
      <c r="G115" s="8" t="str">
        <f t="shared" si="1"/>
        <v>SHOOK JOHN</v>
      </c>
    </row>
    <row r="116" spans="1:7" x14ac:dyDescent="0.25">
      <c r="A116" s="8">
        <v>42811.528703703705</v>
      </c>
      <c r="B116" s="20" t="s">
        <v>414</v>
      </c>
      <c r="C116" s="20" t="s">
        <v>744</v>
      </c>
      <c r="D116" s="150">
        <v>880000</v>
      </c>
      <c r="E116" s="20" t="s">
        <v>724</v>
      </c>
      <c r="F116" s="20" t="s">
        <v>198</v>
      </c>
      <c r="G116" s="8" t="str">
        <f t="shared" si="1"/>
        <v>STEWART MICHAEL</v>
      </c>
    </row>
    <row r="117" spans="1:7" x14ac:dyDescent="0.25">
      <c r="A117" s="8">
        <v>42811.536562499998</v>
      </c>
      <c r="B117" s="20" t="s">
        <v>239</v>
      </c>
      <c r="C117" s="20" t="s">
        <v>745</v>
      </c>
      <c r="D117" s="150">
        <v>2470000</v>
      </c>
      <c r="E117" s="20" t="s">
        <v>730</v>
      </c>
      <c r="F117" s="20" t="s">
        <v>731</v>
      </c>
      <c r="G117" s="8" t="str">
        <f t="shared" si="1"/>
        <v>ROMERO CHAD</v>
      </c>
    </row>
    <row r="118" spans="1:7" x14ac:dyDescent="0.25">
      <c r="A118" s="8">
        <v>42811.537326388891</v>
      </c>
      <c r="B118" s="20" t="s">
        <v>427</v>
      </c>
      <c r="C118" s="20" t="s">
        <v>746</v>
      </c>
      <c r="D118" s="150">
        <v>1540000</v>
      </c>
      <c r="E118" s="20" t="s">
        <v>495</v>
      </c>
      <c r="F118" s="20" t="s">
        <v>496</v>
      </c>
      <c r="G118" s="8" t="str">
        <f t="shared" si="1"/>
        <v>HELVIE ADAM</v>
      </c>
    </row>
    <row r="119" spans="1:7" x14ac:dyDescent="0.25">
      <c r="A119" s="8">
        <v>42811.544259259259</v>
      </c>
      <c r="B119" s="20" t="s">
        <v>647</v>
      </c>
      <c r="C119" s="20" t="s">
        <v>747</v>
      </c>
      <c r="D119" s="150">
        <v>2370000</v>
      </c>
      <c r="E119" s="20" t="s">
        <v>497</v>
      </c>
      <c r="F119" s="20" t="s">
        <v>498</v>
      </c>
      <c r="G119" s="8" t="str">
        <f t="shared" si="1"/>
        <v>DELGADO DIANAH</v>
      </c>
    </row>
    <row r="120" spans="1:7" x14ac:dyDescent="0.25">
      <c r="A120" s="8">
        <v>42811.545486111114</v>
      </c>
      <c r="B120" s="20" t="s">
        <v>546</v>
      </c>
      <c r="C120" s="20" t="s">
        <v>624</v>
      </c>
      <c r="D120" s="150">
        <v>3000000</v>
      </c>
      <c r="E120" s="20" t="s">
        <v>542</v>
      </c>
      <c r="F120" s="20" t="s">
        <v>543</v>
      </c>
      <c r="G120" s="8" t="str">
        <f t="shared" si="1"/>
        <v>FORTUNATO FRANK</v>
      </c>
    </row>
    <row r="121" spans="1:7" x14ac:dyDescent="0.25">
      <c r="A121" s="8">
        <v>42811.549328703702</v>
      </c>
      <c r="B121" s="20" t="s">
        <v>492</v>
      </c>
      <c r="C121" s="20" t="s">
        <v>748</v>
      </c>
      <c r="D121" s="150">
        <v>2360000</v>
      </c>
      <c r="E121" s="20" t="s">
        <v>540</v>
      </c>
      <c r="F121" s="20" t="s">
        <v>541</v>
      </c>
      <c r="G121" s="8" t="str">
        <f t="shared" si="1"/>
        <v>BRANDNER MELINDA</v>
      </c>
    </row>
    <row r="122" spans="1:7" x14ac:dyDescent="0.25">
      <c r="A122" s="8">
        <v>42811.554097222222</v>
      </c>
      <c r="B122" s="25" t="s">
        <v>631</v>
      </c>
      <c r="C122" s="20" t="s">
        <v>749</v>
      </c>
      <c r="D122" s="150">
        <v>2480000</v>
      </c>
      <c r="E122" s="20" t="s">
        <v>505</v>
      </c>
      <c r="F122" s="20" t="s">
        <v>506</v>
      </c>
      <c r="G122" s="8" t="str">
        <f t="shared" si="1"/>
        <v>WHITED DUSTIN</v>
      </c>
    </row>
    <row r="123" spans="1:7" x14ac:dyDescent="0.25">
      <c r="A123" s="8">
        <v>42811.557951388888</v>
      </c>
      <c r="B123" s="20" t="s">
        <v>529</v>
      </c>
      <c r="C123" s="20" t="s">
        <v>750</v>
      </c>
      <c r="D123" s="150">
        <v>1770000</v>
      </c>
      <c r="E123" s="20" t="s">
        <v>499</v>
      </c>
      <c r="F123" s="20" t="s">
        <v>500</v>
      </c>
      <c r="G123" s="8" t="str">
        <f t="shared" si="1"/>
        <v>BRUDER RICHARD</v>
      </c>
    </row>
    <row r="124" spans="1:7" x14ac:dyDescent="0.25">
      <c r="A124" s="8">
        <v>42811.566516203704</v>
      </c>
      <c r="B124" s="20" t="s">
        <v>412</v>
      </c>
      <c r="C124" s="20" t="s">
        <v>629</v>
      </c>
      <c r="D124" s="150">
        <v>880000</v>
      </c>
      <c r="E124" s="20" t="s">
        <v>724</v>
      </c>
      <c r="F124" s="20" t="s">
        <v>198</v>
      </c>
      <c r="G124" s="8" t="str">
        <f t="shared" si="1"/>
        <v>STEWART MICHAEL</v>
      </c>
    </row>
    <row r="125" spans="1:7" x14ac:dyDescent="0.25">
      <c r="A125" s="8">
        <v>42811.569085648145</v>
      </c>
      <c r="B125" s="20" t="s">
        <v>531</v>
      </c>
      <c r="C125" s="20" t="s">
        <v>626</v>
      </c>
      <c r="D125" s="150">
        <v>3000000</v>
      </c>
      <c r="E125" s="20" t="s">
        <v>542</v>
      </c>
      <c r="F125" s="20" t="s">
        <v>543</v>
      </c>
      <c r="G125" s="8" t="str">
        <f t="shared" si="1"/>
        <v>FORTUNATO FRANK</v>
      </c>
    </row>
    <row r="126" spans="1:7" x14ac:dyDescent="0.25">
      <c r="A126" s="8">
        <v>42811.570914351854</v>
      </c>
      <c r="B126" s="20" t="s">
        <v>426</v>
      </c>
      <c r="C126" s="20" t="s">
        <v>625</v>
      </c>
      <c r="D126" s="150">
        <v>1540000</v>
      </c>
      <c r="E126" s="20" t="s">
        <v>495</v>
      </c>
      <c r="F126" s="20" t="s">
        <v>496</v>
      </c>
      <c r="G126" s="8" t="str">
        <f t="shared" si="1"/>
        <v>HELVIE ADAM</v>
      </c>
    </row>
    <row r="127" spans="1:7" x14ac:dyDescent="0.25">
      <c r="A127" s="8">
        <v>42811.576828703706</v>
      </c>
      <c r="B127" s="20" t="s">
        <v>372</v>
      </c>
      <c r="C127" s="20" t="s">
        <v>751</v>
      </c>
      <c r="D127" s="150">
        <v>2470000</v>
      </c>
      <c r="E127" s="20" t="s">
        <v>730</v>
      </c>
      <c r="F127" s="20" t="s">
        <v>731</v>
      </c>
      <c r="G127" s="8" t="str">
        <f t="shared" si="1"/>
        <v>ROMERO CHAD</v>
      </c>
    </row>
    <row r="128" spans="1:7" x14ac:dyDescent="0.25">
      <c r="A128" s="8">
        <v>42811.578368055554</v>
      </c>
      <c r="B128" s="20" t="s">
        <v>627</v>
      </c>
      <c r="C128" s="20" t="s">
        <v>628</v>
      </c>
      <c r="D128" s="150">
        <v>2440000</v>
      </c>
      <c r="E128" s="20" t="s">
        <v>752</v>
      </c>
      <c r="F128" s="20" t="s">
        <v>753</v>
      </c>
      <c r="G128" s="8" t="str">
        <f t="shared" si="1"/>
        <v>LOPES KIMBERLY</v>
      </c>
    </row>
    <row r="129" spans="1:7" x14ac:dyDescent="0.25">
      <c r="A129" s="8">
        <v>42811.586747685185</v>
      </c>
      <c r="B129" s="20" t="s">
        <v>546</v>
      </c>
      <c r="C129" s="20" t="s">
        <v>754</v>
      </c>
      <c r="D129" s="150">
        <v>3000000</v>
      </c>
      <c r="E129" s="20" t="s">
        <v>542</v>
      </c>
      <c r="F129" s="20" t="s">
        <v>543</v>
      </c>
      <c r="G129" s="8" t="str">
        <f t="shared" si="1"/>
        <v>FORTUNATO FRANK</v>
      </c>
    </row>
    <row r="130" spans="1:7" x14ac:dyDescent="0.25">
      <c r="A130" s="8">
        <v>42811.587210648147</v>
      </c>
      <c r="B130" s="20" t="s">
        <v>488</v>
      </c>
      <c r="C130" s="20" t="s">
        <v>755</v>
      </c>
      <c r="D130" s="150">
        <v>2360000</v>
      </c>
      <c r="E130" s="20" t="s">
        <v>540</v>
      </c>
      <c r="F130" s="20" t="s">
        <v>541</v>
      </c>
      <c r="G130" s="8" t="str">
        <f t="shared" si="1"/>
        <v>BRANDNER MELINDA</v>
      </c>
    </row>
    <row r="131" spans="1:7" x14ac:dyDescent="0.25">
      <c r="A131" s="8">
        <v>42811.590671296297</v>
      </c>
      <c r="B131" s="20" t="s">
        <v>720</v>
      </c>
      <c r="C131" s="20" t="s">
        <v>756</v>
      </c>
      <c r="D131" s="150">
        <v>2480000</v>
      </c>
      <c r="E131" s="20" t="s">
        <v>505</v>
      </c>
      <c r="F131" s="20" t="s">
        <v>506</v>
      </c>
      <c r="G131" s="8" t="str">
        <f t="shared" ref="G131:G194" si="2">E131&amp;" "&amp;F131</f>
        <v>WHITED DUSTIN</v>
      </c>
    </row>
    <row r="132" spans="1:7" x14ac:dyDescent="0.25">
      <c r="A132" s="8">
        <v>42811.597060185188</v>
      </c>
      <c r="B132" s="20" t="s">
        <v>530</v>
      </c>
      <c r="C132" s="20" t="s">
        <v>757</v>
      </c>
      <c r="D132" s="150">
        <v>1770000</v>
      </c>
      <c r="E132" s="20" t="s">
        <v>499</v>
      </c>
      <c r="F132" s="20" t="s">
        <v>500</v>
      </c>
      <c r="G132" s="8" t="str">
        <f t="shared" si="2"/>
        <v>BRUDER RICHARD</v>
      </c>
    </row>
    <row r="133" spans="1:7" x14ac:dyDescent="0.25">
      <c r="A133" s="8">
        <v>42811.600844907407</v>
      </c>
      <c r="B133" s="20" t="s">
        <v>414</v>
      </c>
      <c r="C133" s="20" t="s">
        <v>758</v>
      </c>
      <c r="D133" s="150">
        <v>880000</v>
      </c>
      <c r="E133" s="20" t="s">
        <v>724</v>
      </c>
      <c r="F133" s="20" t="s">
        <v>198</v>
      </c>
      <c r="G133" s="8" t="str">
        <f t="shared" si="2"/>
        <v>STEWART MICHAEL</v>
      </c>
    </row>
    <row r="134" spans="1:7" x14ac:dyDescent="0.25">
      <c r="A134" s="8">
        <v>42811.609143518515</v>
      </c>
      <c r="B134" s="20" t="s">
        <v>239</v>
      </c>
      <c r="C134" s="20" t="s">
        <v>759</v>
      </c>
      <c r="D134" s="150">
        <v>2470000</v>
      </c>
      <c r="E134" s="20" t="s">
        <v>730</v>
      </c>
      <c r="F134" s="20" t="s">
        <v>731</v>
      </c>
      <c r="G134" s="8" t="str">
        <f t="shared" si="2"/>
        <v>ROMERO CHAD</v>
      </c>
    </row>
    <row r="135" spans="1:7" x14ac:dyDescent="0.25">
      <c r="A135" s="8">
        <v>42811.609826388885</v>
      </c>
      <c r="B135" s="20" t="s">
        <v>427</v>
      </c>
      <c r="C135" s="20" t="s">
        <v>760</v>
      </c>
      <c r="D135" s="150">
        <v>1540000</v>
      </c>
      <c r="E135" s="20" t="s">
        <v>495</v>
      </c>
      <c r="F135" s="20" t="s">
        <v>496</v>
      </c>
      <c r="G135" s="8" t="str">
        <f t="shared" si="2"/>
        <v>HELVIE ADAM</v>
      </c>
    </row>
    <row r="136" spans="1:7" x14ac:dyDescent="0.25">
      <c r="A136" s="8">
        <v>42811.609907407408</v>
      </c>
      <c r="B136" s="20" t="s">
        <v>531</v>
      </c>
      <c r="C136" s="20" t="s">
        <v>630</v>
      </c>
      <c r="D136" s="150">
        <v>3000000</v>
      </c>
      <c r="E136" s="20" t="s">
        <v>542</v>
      </c>
      <c r="F136" s="20" t="s">
        <v>543</v>
      </c>
      <c r="G136" s="8" t="str">
        <f t="shared" si="2"/>
        <v>FORTUNATO FRANK</v>
      </c>
    </row>
    <row r="137" spans="1:7" x14ac:dyDescent="0.25">
      <c r="A137" s="8">
        <v>42811.618935185186</v>
      </c>
      <c r="B137" s="20" t="s">
        <v>647</v>
      </c>
      <c r="C137" s="20" t="s">
        <v>761</v>
      </c>
      <c r="D137" s="150">
        <v>2440000</v>
      </c>
      <c r="E137" s="20" t="s">
        <v>752</v>
      </c>
      <c r="F137" s="20" t="s">
        <v>753</v>
      </c>
      <c r="G137" s="8" t="str">
        <f t="shared" si="2"/>
        <v>LOPES KIMBERLY</v>
      </c>
    </row>
    <row r="138" spans="1:7" x14ac:dyDescent="0.25">
      <c r="A138" s="8">
        <v>42811.624525462961</v>
      </c>
      <c r="B138" s="20" t="s">
        <v>492</v>
      </c>
      <c r="C138" s="20" t="s">
        <v>762</v>
      </c>
      <c r="D138" s="150">
        <v>930000</v>
      </c>
      <c r="E138" s="20" t="s">
        <v>444</v>
      </c>
      <c r="F138" s="20" t="s">
        <v>445</v>
      </c>
      <c r="G138" s="8" t="str">
        <f t="shared" si="2"/>
        <v>CLARK KATHLEEN</v>
      </c>
    </row>
    <row r="139" spans="1:7" x14ac:dyDescent="0.25">
      <c r="A139" s="8">
        <v>42811.628576388888</v>
      </c>
      <c r="B139" s="20" t="s">
        <v>631</v>
      </c>
      <c r="C139" s="20" t="s">
        <v>632</v>
      </c>
      <c r="D139" s="150">
        <v>2370000</v>
      </c>
      <c r="E139" s="20" t="s">
        <v>497</v>
      </c>
      <c r="F139" s="20" t="s">
        <v>498</v>
      </c>
      <c r="G139" s="8" t="str">
        <f t="shared" si="2"/>
        <v>DELGADO DIANAH</v>
      </c>
    </row>
    <row r="140" spans="1:7" x14ac:dyDescent="0.25">
      <c r="A140" s="8">
        <v>42811.632002314815</v>
      </c>
      <c r="B140" s="20" t="s">
        <v>546</v>
      </c>
      <c r="C140" s="20" t="s">
        <v>763</v>
      </c>
      <c r="D140" s="150">
        <v>3000000</v>
      </c>
      <c r="E140" s="20" t="s">
        <v>542</v>
      </c>
      <c r="F140" s="20" t="s">
        <v>543</v>
      </c>
      <c r="G140" s="8" t="str">
        <f t="shared" si="2"/>
        <v>FORTUNATO FRANK</v>
      </c>
    </row>
    <row r="141" spans="1:7" x14ac:dyDescent="0.25">
      <c r="A141" s="8">
        <v>42811.633969907409</v>
      </c>
      <c r="B141" s="20" t="s">
        <v>529</v>
      </c>
      <c r="C141" s="20" t="s">
        <v>633</v>
      </c>
      <c r="D141" s="150">
        <v>1770000</v>
      </c>
      <c r="E141" s="20" t="s">
        <v>499</v>
      </c>
      <c r="F141" s="20" t="s">
        <v>500</v>
      </c>
      <c r="G141" s="8" t="str">
        <f t="shared" si="2"/>
        <v>BRUDER RICHARD</v>
      </c>
    </row>
    <row r="142" spans="1:7" x14ac:dyDescent="0.25">
      <c r="A142" s="8">
        <v>42811.640069444446</v>
      </c>
      <c r="B142" s="20" t="s">
        <v>412</v>
      </c>
      <c r="C142" s="20" t="s">
        <v>636</v>
      </c>
      <c r="D142" s="150">
        <v>880000</v>
      </c>
      <c r="E142" s="20" t="s">
        <v>724</v>
      </c>
      <c r="F142" s="20" t="s">
        <v>198</v>
      </c>
      <c r="G142" s="8" t="str">
        <f t="shared" si="2"/>
        <v>STEWART MICHAEL</v>
      </c>
    </row>
    <row r="143" spans="1:7" x14ac:dyDescent="0.25">
      <c r="A143" s="8">
        <v>42811.641388888886</v>
      </c>
      <c r="B143" s="20" t="s">
        <v>637</v>
      </c>
      <c r="C143" s="20" t="s">
        <v>764</v>
      </c>
      <c r="D143" s="150">
        <v>2230000</v>
      </c>
      <c r="E143" s="20" t="s">
        <v>539</v>
      </c>
      <c r="F143" s="20" t="s">
        <v>198</v>
      </c>
      <c r="G143" s="8" t="str">
        <f t="shared" si="2"/>
        <v>SMITH MICHAEL</v>
      </c>
    </row>
    <row r="144" spans="1:7" x14ac:dyDescent="0.25">
      <c r="A144" s="8">
        <v>42811.642129629632</v>
      </c>
      <c r="B144" s="20" t="s">
        <v>637</v>
      </c>
      <c r="C144" s="20" t="s">
        <v>764</v>
      </c>
      <c r="D144" s="150">
        <v>2230000</v>
      </c>
      <c r="E144" s="20" t="s">
        <v>539</v>
      </c>
      <c r="F144" s="20" t="s">
        <v>198</v>
      </c>
      <c r="G144" s="8" t="str">
        <f t="shared" si="2"/>
        <v>SMITH MICHAEL</v>
      </c>
    </row>
    <row r="145" spans="1:7" x14ac:dyDescent="0.25">
      <c r="A145" s="8">
        <v>42811.643101851849</v>
      </c>
      <c r="B145" s="20" t="s">
        <v>637</v>
      </c>
      <c r="C145" s="20" t="s">
        <v>764</v>
      </c>
      <c r="D145" s="150">
        <v>2230000</v>
      </c>
      <c r="E145" s="20" t="s">
        <v>539</v>
      </c>
      <c r="F145" s="20" t="s">
        <v>198</v>
      </c>
      <c r="G145" s="8" t="str">
        <f t="shared" si="2"/>
        <v>SMITH MICHAEL</v>
      </c>
    </row>
    <row r="146" spans="1:7" x14ac:dyDescent="0.25">
      <c r="A146" s="8">
        <v>42811.643472222226</v>
      </c>
      <c r="B146" s="20" t="s">
        <v>372</v>
      </c>
      <c r="C146" s="20" t="s">
        <v>765</v>
      </c>
      <c r="D146" s="150">
        <v>2470000</v>
      </c>
      <c r="E146" s="20" t="s">
        <v>730</v>
      </c>
      <c r="F146" s="20" t="s">
        <v>731</v>
      </c>
      <c r="G146" s="8" t="str">
        <f t="shared" si="2"/>
        <v>ROMERO CHAD</v>
      </c>
    </row>
    <row r="147" spans="1:7" x14ac:dyDescent="0.25">
      <c r="A147" s="8">
        <v>42811.645196759258</v>
      </c>
      <c r="B147" s="20" t="s">
        <v>426</v>
      </c>
      <c r="C147" s="20" t="s">
        <v>766</v>
      </c>
      <c r="D147" s="150">
        <v>1540000</v>
      </c>
      <c r="E147" s="20" t="s">
        <v>495</v>
      </c>
      <c r="F147" s="20" t="s">
        <v>496</v>
      </c>
      <c r="G147" s="8" t="str">
        <f t="shared" si="2"/>
        <v>HELVIE ADAM</v>
      </c>
    </row>
    <row r="148" spans="1:7" x14ac:dyDescent="0.25">
      <c r="A148" s="8">
        <v>42811.65121527778</v>
      </c>
      <c r="B148" s="20" t="s">
        <v>531</v>
      </c>
      <c r="C148" s="20" t="s">
        <v>767</v>
      </c>
      <c r="D148" s="150">
        <v>3000000</v>
      </c>
      <c r="E148" s="20" t="s">
        <v>542</v>
      </c>
      <c r="F148" s="20" t="s">
        <v>543</v>
      </c>
      <c r="G148" s="8" t="str">
        <f t="shared" si="2"/>
        <v>FORTUNATO FRANK</v>
      </c>
    </row>
    <row r="149" spans="1:7" x14ac:dyDescent="0.25">
      <c r="A149" s="8">
        <v>42811.652928240743</v>
      </c>
      <c r="B149" s="20" t="s">
        <v>634</v>
      </c>
      <c r="C149" s="20" t="s">
        <v>635</v>
      </c>
      <c r="D149" s="150">
        <v>2230000</v>
      </c>
      <c r="E149" s="20" t="s">
        <v>539</v>
      </c>
      <c r="F149" s="20" t="s">
        <v>198</v>
      </c>
      <c r="G149" s="8" t="str">
        <f t="shared" si="2"/>
        <v>SMITH MICHAEL</v>
      </c>
    </row>
    <row r="150" spans="1:7" x14ac:dyDescent="0.25">
      <c r="A150" s="8">
        <v>42811.656990740739</v>
      </c>
      <c r="B150" s="20" t="s">
        <v>627</v>
      </c>
      <c r="C150" s="20" t="s">
        <v>768</v>
      </c>
      <c r="D150" s="150">
        <v>2440000</v>
      </c>
      <c r="E150" s="20" t="s">
        <v>752</v>
      </c>
      <c r="F150" s="20" t="s">
        <v>753</v>
      </c>
      <c r="G150" s="8" t="str">
        <f t="shared" si="2"/>
        <v>LOPES KIMBERLY</v>
      </c>
    </row>
    <row r="151" spans="1:7" x14ac:dyDescent="0.25">
      <c r="A151" s="8">
        <v>42811.66202546296</v>
      </c>
      <c r="B151" s="20" t="s">
        <v>488</v>
      </c>
      <c r="C151" s="20" t="s">
        <v>769</v>
      </c>
      <c r="D151" s="150">
        <v>930000</v>
      </c>
      <c r="E151" s="20" t="s">
        <v>444</v>
      </c>
      <c r="F151" s="20" t="s">
        <v>445</v>
      </c>
      <c r="G151" s="8" t="str">
        <f t="shared" si="2"/>
        <v>CLARK KATHLEEN</v>
      </c>
    </row>
    <row r="152" spans="1:7" x14ac:dyDescent="0.25">
      <c r="A152" s="8">
        <v>42811.66777777778</v>
      </c>
      <c r="B152" s="20" t="s">
        <v>720</v>
      </c>
      <c r="C152" s="20" t="s">
        <v>770</v>
      </c>
      <c r="D152" s="150">
        <v>2370000</v>
      </c>
      <c r="E152" s="20" t="s">
        <v>497</v>
      </c>
      <c r="F152" s="20" t="s">
        <v>498</v>
      </c>
      <c r="G152" s="8" t="str">
        <f t="shared" si="2"/>
        <v>DELGADO DIANAH</v>
      </c>
    </row>
    <row r="153" spans="1:7" x14ac:dyDescent="0.25">
      <c r="A153" s="8">
        <v>42811.669479166667</v>
      </c>
      <c r="B153" s="20" t="s">
        <v>530</v>
      </c>
      <c r="C153" s="20" t="s">
        <v>639</v>
      </c>
      <c r="D153" s="150">
        <v>1770000</v>
      </c>
      <c r="E153" s="20" t="s">
        <v>499</v>
      </c>
      <c r="F153" s="20" t="s">
        <v>500</v>
      </c>
      <c r="G153" s="8" t="str">
        <f t="shared" si="2"/>
        <v>BRUDER RICHARD</v>
      </c>
    </row>
    <row r="154" spans="1:7" x14ac:dyDescent="0.25">
      <c r="A154" s="8">
        <v>42811.672106481485</v>
      </c>
      <c r="B154" s="20" t="s">
        <v>637</v>
      </c>
      <c r="C154" s="20" t="s">
        <v>638</v>
      </c>
      <c r="D154" s="150">
        <v>2230000</v>
      </c>
      <c r="E154" s="20" t="s">
        <v>539</v>
      </c>
      <c r="F154" s="20" t="s">
        <v>198</v>
      </c>
      <c r="G154" s="8" t="str">
        <f t="shared" si="2"/>
        <v>SMITH MICHAEL</v>
      </c>
    </row>
    <row r="155" spans="1:7" x14ac:dyDescent="0.25">
      <c r="A155" s="8">
        <v>42811.674618055556</v>
      </c>
      <c r="B155" s="20" t="s">
        <v>546</v>
      </c>
      <c r="C155" s="20" t="s">
        <v>771</v>
      </c>
      <c r="D155" s="150">
        <v>3000000</v>
      </c>
      <c r="E155" s="20" t="s">
        <v>542</v>
      </c>
      <c r="F155" s="20" t="s">
        <v>543</v>
      </c>
      <c r="G155" s="8" t="str">
        <f t="shared" si="2"/>
        <v>FORTUNATO FRANK</v>
      </c>
    </row>
    <row r="156" spans="1:7" x14ac:dyDescent="0.25">
      <c r="A156" s="8">
        <v>42811.675532407404</v>
      </c>
      <c r="B156" s="20" t="s">
        <v>637</v>
      </c>
      <c r="C156" s="20" t="s">
        <v>638</v>
      </c>
      <c r="D156" s="150">
        <v>2230000</v>
      </c>
      <c r="E156" s="20" t="s">
        <v>539</v>
      </c>
      <c r="F156" s="20" t="s">
        <v>198</v>
      </c>
      <c r="G156" s="8" t="str">
        <f t="shared" si="2"/>
        <v>SMITH MICHAEL</v>
      </c>
    </row>
    <row r="157" spans="1:7" x14ac:dyDescent="0.25">
      <c r="A157" s="8">
        <v>42811.677384259259</v>
      </c>
      <c r="B157" s="20" t="s">
        <v>414</v>
      </c>
      <c r="C157" s="20" t="s">
        <v>772</v>
      </c>
      <c r="D157" s="150">
        <v>880000</v>
      </c>
      <c r="E157" s="20" t="s">
        <v>724</v>
      </c>
      <c r="F157" s="20" t="s">
        <v>198</v>
      </c>
      <c r="G157" s="8" t="str">
        <f t="shared" si="2"/>
        <v>STEWART MICHAEL</v>
      </c>
    </row>
    <row r="158" spans="1:7" x14ac:dyDescent="0.25">
      <c r="A158" s="8">
        <v>42811.678206018521</v>
      </c>
      <c r="B158" s="20" t="s">
        <v>530</v>
      </c>
      <c r="C158" s="20" t="s">
        <v>639</v>
      </c>
      <c r="D158" s="150">
        <v>1770000</v>
      </c>
      <c r="E158" s="20" t="s">
        <v>499</v>
      </c>
      <c r="F158" s="20" t="s">
        <v>500</v>
      </c>
      <c r="G158" s="8" t="str">
        <f t="shared" si="2"/>
        <v>BRUDER RICHARD</v>
      </c>
    </row>
    <row r="159" spans="1:7" x14ac:dyDescent="0.25">
      <c r="A159" s="8">
        <v>42811.683321759258</v>
      </c>
      <c r="B159" s="20" t="s">
        <v>427</v>
      </c>
      <c r="C159" s="20" t="s">
        <v>773</v>
      </c>
      <c r="D159" s="150">
        <v>1540000</v>
      </c>
      <c r="E159" s="20" t="s">
        <v>495</v>
      </c>
      <c r="F159" s="20" t="s">
        <v>496</v>
      </c>
      <c r="G159" s="8" t="str">
        <f t="shared" si="2"/>
        <v>HELVIE ADAM</v>
      </c>
    </row>
    <row r="160" spans="1:7" x14ac:dyDescent="0.25">
      <c r="A160" s="8">
        <v>42811.685532407406</v>
      </c>
      <c r="B160" s="20" t="s">
        <v>239</v>
      </c>
      <c r="C160" s="20" t="s">
        <v>640</v>
      </c>
      <c r="D160" s="150">
        <v>2470000</v>
      </c>
      <c r="E160" s="20" t="s">
        <v>730</v>
      </c>
      <c r="F160" s="20" t="s">
        <v>731</v>
      </c>
      <c r="G160" s="8" t="str">
        <f t="shared" si="2"/>
        <v>ROMERO CHAD</v>
      </c>
    </row>
    <row r="161" spans="1:7" x14ac:dyDescent="0.25">
      <c r="A161" s="8">
        <v>42811.687210648146</v>
      </c>
      <c r="B161" s="20" t="s">
        <v>647</v>
      </c>
      <c r="C161" s="20" t="s">
        <v>774</v>
      </c>
      <c r="D161" s="150">
        <v>2440000</v>
      </c>
      <c r="E161" s="20" t="s">
        <v>752</v>
      </c>
      <c r="F161" s="20" t="s">
        <v>753</v>
      </c>
      <c r="G161" s="8" t="str">
        <f t="shared" si="2"/>
        <v>LOPES KIMBERLY</v>
      </c>
    </row>
    <row r="162" spans="1:7" x14ac:dyDescent="0.25">
      <c r="A162" s="8">
        <v>42811.691493055558</v>
      </c>
      <c r="B162" s="20" t="s">
        <v>634</v>
      </c>
      <c r="C162" s="20" t="s">
        <v>775</v>
      </c>
      <c r="D162" s="150">
        <v>2230000</v>
      </c>
      <c r="E162" s="20" t="s">
        <v>539</v>
      </c>
      <c r="F162" s="20" t="s">
        <v>198</v>
      </c>
      <c r="G162" s="8" t="str">
        <f t="shared" si="2"/>
        <v>SMITH MICHAEL</v>
      </c>
    </row>
    <row r="163" spans="1:7" x14ac:dyDescent="0.25">
      <c r="A163" s="8">
        <v>42811.693599537037</v>
      </c>
      <c r="B163" s="20" t="s">
        <v>531</v>
      </c>
      <c r="C163" s="20" t="s">
        <v>776</v>
      </c>
      <c r="D163" s="150">
        <v>3000000</v>
      </c>
      <c r="E163" s="20" t="s">
        <v>542</v>
      </c>
      <c r="F163" s="20" t="s">
        <v>543</v>
      </c>
      <c r="G163" s="8" t="str">
        <f t="shared" si="2"/>
        <v>FORTUNATO FRANK</v>
      </c>
    </row>
    <row r="164" spans="1:7" x14ac:dyDescent="0.25">
      <c r="A164" s="8">
        <v>42811.698344907411</v>
      </c>
      <c r="B164" s="20" t="s">
        <v>492</v>
      </c>
      <c r="C164" s="20" t="s">
        <v>777</v>
      </c>
      <c r="D164" s="150">
        <v>930000</v>
      </c>
      <c r="E164" s="20" t="s">
        <v>444</v>
      </c>
      <c r="F164" s="20" t="s">
        <v>445</v>
      </c>
      <c r="G164" s="8" t="str">
        <f t="shared" si="2"/>
        <v>CLARK KATHLEEN</v>
      </c>
    </row>
    <row r="165" spans="1:7" x14ac:dyDescent="0.25">
      <c r="A165" s="8">
        <v>42811.702361111114</v>
      </c>
      <c r="B165" s="20" t="s">
        <v>631</v>
      </c>
      <c r="C165" s="20" t="s">
        <v>778</v>
      </c>
      <c r="D165" s="150">
        <v>2370000</v>
      </c>
      <c r="E165" s="20" t="s">
        <v>497</v>
      </c>
      <c r="F165" s="20" t="s">
        <v>498</v>
      </c>
      <c r="G165" s="8" t="str">
        <f t="shared" si="2"/>
        <v>DELGADO DIANAH</v>
      </c>
    </row>
    <row r="166" spans="1:7" x14ac:dyDescent="0.25">
      <c r="A166" s="8">
        <v>42811.7109375</v>
      </c>
      <c r="B166" s="20" t="s">
        <v>611</v>
      </c>
      <c r="C166" s="20" t="s">
        <v>779</v>
      </c>
      <c r="D166" s="150">
        <v>2260000</v>
      </c>
      <c r="E166" s="20" t="s">
        <v>544</v>
      </c>
      <c r="F166" s="20" t="s">
        <v>545</v>
      </c>
      <c r="G166" s="8" t="str">
        <f t="shared" si="2"/>
        <v>ARVIDSON DANIEL</v>
      </c>
    </row>
    <row r="167" spans="1:7" x14ac:dyDescent="0.25">
      <c r="A167" s="8">
        <v>42811.713935185187</v>
      </c>
      <c r="B167" s="20" t="s">
        <v>637</v>
      </c>
      <c r="C167" s="20" t="s">
        <v>780</v>
      </c>
      <c r="D167" s="150">
        <v>2230000</v>
      </c>
      <c r="E167" s="20" t="s">
        <v>539</v>
      </c>
      <c r="F167" s="20" t="s">
        <v>198</v>
      </c>
      <c r="G167" s="8" t="str">
        <f t="shared" si="2"/>
        <v>SMITH MICHAEL</v>
      </c>
    </row>
    <row r="168" spans="1:7" x14ac:dyDescent="0.25">
      <c r="A168" s="8">
        <v>42811.714861111112</v>
      </c>
      <c r="B168" s="20" t="s">
        <v>412</v>
      </c>
      <c r="C168" s="20" t="s">
        <v>781</v>
      </c>
      <c r="D168" s="150">
        <v>880000</v>
      </c>
      <c r="E168" s="20" t="s">
        <v>724</v>
      </c>
      <c r="F168" s="20" t="s">
        <v>198</v>
      </c>
      <c r="G168" s="8" t="str">
        <f t="shared" si="2"/>
        <v>STEWART MICHAEL</v>
      </c>
    </row>
    <row r="169" spans="1:7" x14ac:dyDescent="0.25">
      <c r="A169" s="8">
        <v>42811.717581018522</v>
      </c>
      <c r="B169" s="20" t="s">
        <v>546</v>
      </c>
      <c r="C169" s="20" t="s">
        <v>782</v>
      </c>
      <c r="D169" s="150">
        <v>3000000</v>
      </c>
      <c r="E169" s="20" t="s">
        <v>542</v>
      </c>
      <c r="F169" s="20" t="s">
        <v>543</v>
      </c>
      <c r="G169" s="8" t="str">
        <f t="shared" si="2"/>
        <v>FORTUNATO FRANK</v>
      </c>
    </row>
    <row r="170" spans="1:7" x14ac:dyDescent="0.25">
      <c r="A170" s="8">
        <v>42811.718888888892</v>
      </c>
      <c r="B170" s="20" t="s">
        <v>372</v>
      </c>
      <c r="C170" s="20" t="s">
        <v>641</v>
      </c>
      <c r="D170" s="150">
        <v>2470000</v>
      </c>
      <c r="E170" s="20" t="s">
        <v>730</v>
      </c>
      <c r="F170" s="20" t="s">
        <v>731</v>
      </c>
      <c r="G170" s="8" t="str">
        <f t="shared" si="2"/>
        <v>ROMERO CHAD</v>
      </c>
    </row>
    <row r="171" spans="1:7" x14ac:dyDescent="0.25">
      <c r="A171" s="8">
        <v>42811.72079861111</v>
      </c>
      <c r="B171" s="20" t="s">
        <v>426</v>
      </c>
      <c r="C171" s="20" t="s">
        <v>783</v>
      </c>
      <c r="D171" s="150">
        <v>1540000</v>
      </c>
      <c r="E171" s="20" t="s">
        <v>495</v>
      </c>
      <c r="F171" s="20" t="s">
        <v>496</v>
      </c>
      <c r="G171" s="8" t="str">
        <f t="shared" si="2"/>
        <v>HELVIE ADAM</v>
      </c>
    </row>
    <row r="172" spans="1:7" x14ac:dyDescent="0.25">
      <c r="A172" s="8">
        <v>42811.725543981483</v>
      </c>
      <c r="B172" s="20" t="s">
        <v>529</v>
      </c>
      <c r="C172" s="20" t="s">
        <v>642</v>
      </c>
      <c r="D172" s="150">
        <v>2360000</v>
      </c>
      <c r="E172" s="20" t="s">
        <v>540</v>
      </c>
      <c r="F172" s="20" t="s">
        <v>541</v>
      </c>
      <c r="G172" s="8" t="str">
        <f t="shared" si="2"/>
        <v>BRANDNER MELINDA</v>
      </c>
    </row>
    <row r="173" spans="1:7" x14ac:dyDescent="0.25">
      <c r="A173" s="8">
        <v>42811.728460648148</v>
      </c>
      <c r="B173" s="20" t="s">
        <v>627</v>
      </c>
      <c r="C173" s="20" t="s">
        <v>784</v>
      </c>
      <c r="D173" s="150">
        <v>2440000</v>
      </c>
      <c r="E173" s="20" t="s">
        <v>752</v>
      </c>
      <c r="F173" s="20" t="s">
        <v>753</v>
      </c>
      <c r="G173" s="8" t="str">
        <f t="shared" si="2"/>
        <v>LOPES KIMBERLY</v>
      </c>
    </row>
    <row r="174" spans="1:7" x14ac:dyDescent="0.25">
      <c r="A174" s="8">
        <v>42811.731261574074</v>
      </c>
      <c r="B174" s="20" t="s">
        <v>634</v>
      </c>
      <c r="C174" s="20" t="s">
        <v>785</v>
      </c>
      <c r="D174" s="150">
        <v>2230000</v>
      </c>
      <c r="E174" s="20" t="s">
        <v>539</v>
      </c>
      <c r="F174" s="20" t="s">
        <v>198</v>
      </c>
      <c r="G174" s="8" t="str">
        <f t="shared" si="2"/>
        <v>SMITH MICHAEL</v>
      </c>
    </row>
    <row r="175" spans="1:7" x14ac:dyDescent="0.25">
      <c r="A175" s="8">
        <v>42811.733807870369</v>
      </c>
      <c r="B175" s="20" t="s">
        <v>488</v>
      </c>
      <c r="C175" s="20" t="s">
        <v>786</v>
      </c>
      <c r="D175" s="150">
        <v>930000</v>
      </c>
      <c r="E175" s="20" t="s">
        <v>444</v>
      </c>
      <c r="F175" s="20" t="s">
        <v>445</v>
      </c>
      <c r="G175" s="8" t="str">
        <f t="shared" si="2"/>
        <v>CLARK KATHLEEN</v>
      </c>
    </row>
    <row r="176" spans="1:7" x14ac:dyDescent="0.25">
      <c r="A176" s="8">
        <v>42811.735289351855</v>
      </c>
      <c r="B176" s="20" t="s">
        <v>531</v>
      </c>
      <c r="C176" s="20" t="s">
        <v>787</v>
      </c>
      <c r="D176" s="150">
        <v>3000000</v>
      </c>
      <c r="E176" s="20" t="s">
        <v>542</v>
      </c>
      <c r="F176" s="20" t="s">
        <v>543</v>
      </c>
      <c r="G176" s="8" t="str">
        <f t="shared" si="2"/>
        <v>FORTUNATO FRANK</v>
      </c>
    </row>
    <row r="177" spans="1:7" x14ac:dyDescent="0.25">
      <c r="A177" s="8">
        <v>42811.738946759258</v>
      </c>
      <c r="B177" s="20" t="s">
        <v>529</v>
      </c>
      <c r="C177" s="20" t="s">
        <v>642</v>
      </c>
      <c r="D177" s="150">
        <v>2360000</v>
      </c>
      <c r="E177" s="20" t="s">
        <v>540</v>
      </c>
      <c r="F177" s="20" t="s">
        <v>541</v>
      </c>
      <c r="G177" s="8" t="str">
        <f t="shared" si="2"/>
        <v>BRANDNER MELINDA</v>
      </c>
    </row>
    <row r="178" spans="1:7" x14ac:dyDescent="0.25">
      <c r="A178" s="8">
        <v>42811.739212962966</v>
      </c>
      <c r="B178" s="20" t="s">
        <v>720</v>
      </c>
      <c r="C178" s="20" t="s">
        <v>788</v>
      </c>
      <c r="D178" s="150">
        <v>1740000</v>
      </c>
      <c r="E178" s="20" t="s">
        <v>382</v>
      </c>
      <c r="F178" s="20" t="s">
        <v>383</v>
      </c>
      <c r="G178" s="8" t="str">
        <f t="shared" si="2"/>
        <v>STORY SAMANTHA</v>
      </c>
    </row>
    <row r="179" spans="1:7" x14ac:dyDescent="0.25">
      <c r="A179" s="8">
        <v>42811.740208333336</v>
      </c>
      <c r="B179" s="20" t="s">
        <v>529</v>
      </c>
      <c r="C179" s="20" t="s">
        <v>642</v>
      </c>
      <c r="D179" s="150">
        <v>2360000</v>
      </c>
      <c r="E179" s="20" t="s">
        <v>540</v>
      </c>
      <c r="F179" s="20" t="s">
        <v>541</v>
      </c>
      <c r="G179" s="8" t="str">
        <f t="shared" si="2"/>
        <v>BRANDNER MELINDA</v>
      </c>
    </row>
    <row r="180" spans="1:7" x14ac:dyDescent="0.25">
      <c r="A180" s="8">
        <v>42811.741180555553</v>
      </c>
      <c r="B180" s="20" t="s">
        <v>529</v>
      </c>
      <c r="C180" s="20" t="s">
        <v>642</v>
      </c>
      <c r="D180" s="150">
        <v>2360000</v>
      </c>
      <c r="E180" s="20" t="s">
        <v>540</v>
      </c>
      <c r="F180" s="20" t="s">
        <v>541</v>
      </c>
      <c r="G180" s="8" t="str">
        <f t="shared" si="2"/>
        <v>BRANDNER MELINDA</v>
      </c>
    </row>
    <row r="181" spans="1:7" x14ac:dyDescent="0.25">
      <c r="A181" s="8">
        <v>42811.742465277777</v>
      </c>
      <c r="B181" s="20" t="s">
        <v>529</v>
      </c>
      <c r="C181" s="20" t="s">
        <v>642</v>
      </c>
      <c r="D181" s="150">
        <v>2360000</v>
      </c>
      <c r="E181" s="20" t="s">
        <v>540</v>
      </c>
      <c r="F181" s="20" t="s">
        <v>541</v>
      </c>
      <c r="G181" s="8" t="str">
        <f t="shared" si="2"/>
        <v>BRANDNER MELINDA</v>
      </c>
    </row>
    <row r="182" spans="1:7" x14ac:dyDescent="0.25">
      <c r="A182" s="8">
        <v>42811.743993055556</v>
      </c>
      <c r="B182" s="20" t="s">
        <v>614</v>
      </c>
      <c r="C182" s="20" t="s">
        <v>789</v>
      </c>
      <c r="D182" s="150">
        <v>2260000</v>
      </c>
      <c r="E182" s="20" t="s">
        <v>544</v>
      </c>
      <c r="F182" s="20" t="s">
        <v>545</v>
      </c>
      <c r="G182" s="8" t="str">
        <f t="shared" si="2"/>
        <v>ARVIDSON DANIEL</v>
      </c>
    </row>
    <row r="183" spans="1:7" x14ac:dyDescent="0.25">
      <c r="A183" s="8">
        <v>42811.744745370372</v>
      </c>
      <c r="B183" s="20" t="s">
        <v>614</v>
      </c>
      <c r="C183" s="20" t="s">
        <v>789</v>
      </c>
      <c r="D183" s="150">
        <v>2260000</v>
      </c>
      <c r="E183" s="20" t="s">
        <v>544</v>
      </c>
      <c r="F183" s="20" t="s">
        <v>545</v>
      </c>
      <c r="G183" s="8" t="str">
        <f t="shared" si="2"/>
        <v>ARVIDSON DANIEL</v>
      </c>
    </row>
    <row r="184" spans="1:7" x14ac:dyDescent="0.25">
      <c r="A184" s="8">
        <v>42811.745671296296</v>
      </c>
      <c r="B184" s="20" t="s">
        <v>614</v>
      </c>
      <c r="C184" s="20" t="s">
        <v>789</v>
      </c>
      <c r="D184" s="150">
        <v>2260000</v>
      </c>
      <c r="E184" s="20" t="s">
        <v>544</v>
      </c>
      <c r="F184" s="20" t="s">
        <v>545</v>
      </c>
      <c r="G184" s="8" t="str">
        <f t="shared" si="2"/>
        <v>ARVIDSON DANIEL</v>
      </c>
    </row>
    <row r="185" spans="1:7" x14ac:dyDescent="0.25">
      <c r="A185" s="8">
        <v>42811.746307870373</v>
      </c>
      <c r="B185" s="20" t="s">
        <v>486</v>
      </c>
      <c r="C185" s="20" t="s">
        <v>790</v>
      </c>
      <c r="D185" s="150">
        <v>2630000</v>
      </c>
      <c r="E185" s="20" t="s">
        <v>791</v>
      </c>
      <c r="F185" s="20" t="s">
        <v>792</v>
      </c>
      <c r="G185" s="8" t="str">
        <f t="shared" si="2"/>
        <v>SAFIEF AEIMEN</v>
      </c>
    </row>
    <row r="186" spans="1:7" x14ac:dyDescent="0.25">
      <c r="A186" s="8">
        <v>42811.75068287037</v>
      </c>
      <c r="B186" s="20" t="s">
        <v>414</v>
      </c>
      <c r="C186" s="20" t="s">
        <v>793</v>
      </c>
      <c r="D186" s="150">
        <v>2480000</v>
      </c>
      <c r="E186" s="20" t="s">
        <v>505</v>
      </c>
      <c r="F186" s="20" t="s">
        <v>506</v>
      </c>
      <c r="G186" s="8" t="str">
        <f t="shared" si="2"/>
        <v>WHITED DUSTIN</v>
      </c>
    </row>
    <row r="187" spans="1:7" x14ac:dyDescent="0.25">
      <c r="A187" s="8">
        <v>42811.751180555555</v>
      </c>
      <c r="B187" s="20" t="s">
        <v>717</v>
      </c>
      <c r="C187" s="20" t="s">
        <v>794</v>
      </c>
      <c r="D187" s="150">
        <v>2150000</v>
      </c>
      <c r="E187" s="20" t="s">
        <v>415</v>
      </c>
      <c r="F187" s="20" t="s">
        <v>416</v>
      </c>
      <c r="G187" s="8" t="str">
        <f t="shared" si="2"/>
        <v>SWANSON BRYCE</v>
      </c>
    </row>
    <row r="188" spans="1:7" x14ac:dyDescent="0.25">
      <c r="A188" s="8">
        <v>42811.754918981482</v>
      </c>
      <c r="B188" s="20" t="s">
        <v>637</v>
      </c>
      <c r="C188" s="20" t="s">
        <v>795</v>
      </c>
      <c r="D188" s="150">
        <v>2230000</v>
      </c>
      <c r="E188" s="20" t="s">
        <v>539</v>
      </c>
      <c r="F188" s="20" t="s">
        <v>198</v>
      </c>
      <c r="G188" s="8" t="str">
        <f t="shared" si="2"/>
        <v>SMITH MICHAEL</v>
      </c>
    </row>
    <row r="189" spans="1:7" x14ac:dyDescent="0.25">
      <c r="A189" s="8">
        <v>42811.757025462961</v>
      </c>
      <c r="B189" s="20" t="s">
        <v>546</v>
      </c>
      <c r="C189" s="20" t="s">
        <v>796</v>
      </c>
      <c r="D189" s="150">
        <v>3000000</v>
      </c>
      <c r="E189" s="20" t="s">
        <v>542</v>
      </c>
      <c r="F189" s="20" t="s">
        <v>543</v>
      </c>
      <c r="G189" s="8" t="str">
        <f t="shared" si="2"/>
        <v>FORTUNATO FRANK</v>
      </c>
    </row>
    <row r="190" spans="1:7" x14ac:dyDescent="0.25">
      <c r="A190" s="8">
        <v>42811.757071759261</v>
      </c>
      <c r="B190" s="20" t="s">
        <v>427</v>
      </c>
      <c r="C190" s="20" t="s">
        <v>797</v>
      </c>
      <c r="D190" s="150">
        <v>1540000</v>
      </c>
      <c r="E190" s="20" t="s">
        <v>495</v>
      </c>
      <c r="F190" s="20" t="s">
        <v>496</v>
      </c>
      <c r="G190" s="8" t="str">
        <f t="shared" si="2"/>
        <v>HELVIE ADAM</v>
      </c>
    </row>
    <row r="191" spans="1:7" x14ac:dyDescent="0.25">
      <c r="A191" s="8">
        <v>42811.757627314815</v>
      </c>
      <c r="B191" s="20" t="s">
        <v>239</v>
      </c>
      <c r="C191" s="20" t="s">
        <v>798</v>
      </c>
      <c r="D191" s="150">
        <v>2000000</v>
      </c>
      <c r="E191" s="20" t="s">
        <v>431</v>
      </c>
      <c r="F191" s="20" t="s">
        <v>195</v>
      </c>
      <c r="G191" s="8" t="str">
        <f t="shared" si="2"/>
        <v>STAMBAUGH JAMES</v>
      </c>
    </row>
    <row r="192" spans="1:7" x14ac:dyDescent="0.25">
      <c r="A192" s="8">
        <v>42811.76253472222</v>
      </c>
      <c r="B192" s="20" t="s">
        <v>647</v>
      </c>
      <c r="C192" s="20" t="s">
        <v>799</v>
      </c>
      <c r="D192" s="150">
        <v>2440000</v>
      </c>
      <c r="E192" s="20" t="s">
        <v>752</v>
      </c>
      <c r="F192" s="20" t="s">
        <v>753</v>
      </c>
      <c r="G192" s="8" t="str">
        <f t="shared" si="2"/>
        <v>LOPES KIMBERLY</v>
      </c>
    </row>
    <row r="193" spans="1:7" x14ac:dyDescent="0.25">
      <c r="A193" s="8">
        <v>42811.768761574072</v>
      </c>
      <c r="B193" s="20" t="s">
        <v>492</v>
      </c>
      <c r="C193" s="20" t="s">
        <v>800</v>
      </c>
      <c r="D193" s="150">
        <v>2150000</v>
      </c>
      <c r="E193" s="20" t="s">
        <v>415</v>
      </c>
      <c r="F193" s="20" t="s">
        <v>416</v>
      </c>
      <c r="G193" s="8" t="str">
        <f t="shared" si="2"/>
        <v>SWANSON BRYCE</v>
      </c>
    </row>
    <row r="194" spans="1:7" x14ac:dyDescent="0.25">
      <c r="A194" s="8">
        <v>42811.770486111112</v>
      </c>
      <c r="B194" s="20" t="s">
        <v>634</v>
      </c>
      <c r="C194" s="20" t="s">
        <v>801</v>
      </c>
      <c r="D194" s="150">
        <v>2230000</v>
      </c>
      <c r="E194" s="20" t="s">
        <v>539</v>
      </c>
      <c r="F194" s="20" t="s">
        <v>198</v>
      </c>
      <c r="G194" s="8" t="str">
        <f t="shared" si="2"/>
        <v>SMITH MICHAEL</v>
      </c>
    </row>
    <row r="195" spans="1:7" x14ac:dyDescent="0.25">
      <c r="A195" s="8">
        <v>42811.774560185186</v>
      </c>
      <c r="B195" s="20" t="s">
        <v>631</v>
      </c>
      <c r="C195" s="20" t="s">
        <v>802</v>
      </c>
      <c r="D195" s="150">
        <v>3020000</v>
      </c>
      <c r="E195" s="20" t="s">
        <v>503</v>
      </c>
      <c r="F195" s="20" t="s">
        <v>504</v>
      </c>
      <c r="G195" s="8" t="str">
        <f t="shared" ref="G195:G258" si="3">E195&amp;" "&amp;F195</f>
        <v>MENGES BRAD</v>
      </c>
    </row>
    <row r="196" spans="1:7" x14ac:dyDescent="0.25">
      <c r="A196" s="8">
        <v>42811.774571759262</v>
      </c>
      <c r="B196" s="20" t="s">
        <v>726</v>
      </c>
      <c r="C196" s="20" t="s">
        <v>803</v>
      </c>
      <c r="D196" s="150">
        <v>930000</v>
      </c>
      <c r="E196" s="20" t="s">
        <v>444</v>
      </c>
      <c r="F196" s="20" t="s">
        <v>445</v>
      </c>
      <c r="G196" s="8" t="str">
        <f t="shared" si="3"/>
        <v>CLARK KATHLEEN</v>
      </c>
    </row>
    <row r="197" spans="1:7" x14ac:dyDescent="0.25">
      <c r="A197" s="8">
        <v>42811.775740740741</v>
      </c>
      <c r="B197" s="20" t="s">
        <v>531</v>
      </c>
      <c r="C197" s="20" t="s">
        <v>804</v>
      </c>
      <c r="D197" s="150">
        <v>3000000</v>
      </c>
      <c r="E197" s="20" t="s">
        <v>542</v>
      </c>
      <c r="F197" s="20" t="s">
        <v>543</v>
      </c>
      <c r="G197" s="8" t="str">
        <f t="shared" si="3"/>
        <v>FORTUNATO FRANK</v>
      </c>
    </row>
    <row r="198" spans="1:7" x14ac:dyDescent="0.25">
      <c r="A198" s="8">
        <v>42811.778761574074</v>
      </c>
      <c r="B198" s="20" t="s">
        <v>531</v>
      </c>
      <c r="C198" s="20" t="s">
        <v>804</v>
      </c>
      <c r="D198" s="150">
        <v>3000000</v>
      </c>
      <c r="E198" s="20" t="s">
        <v>542</v>
      </c>
      <c r="F198" s="20" t="s">
        <v>543</v>
      </c>
      <c r="G198" s="8" t="str">
        <f t="shared" si="3"/>
        <v>FORTUNATO FRANK</v>
      </c>
    </row>
    <row r="199" spans="1:7" x14ac:dyDescent="0.25">
      <c r="A199" s="8">
        <v>42811.779907407406</v>
      </c>
      <c r="B199" s="20" t="s">
        <v>611</v>
      </c>
      <c r="C199" s="20" t="s">
        <v>805</v>
      </c>
      <c r="D199" s="150">
        <v>2260000</v>
      </c>
      <c r="E199" s="20" t="s">
        <v>544</v>
      </c>
      <c r="F199" s="20" t="s">
        <v>545</v>
      </c>
      <c r="G199" s="8" t="str">
        <f t="shared" si="3"/>
        <v>ARVIDSON DANIEL</v>
      </c>
    </row>
    <row r="200" spans="1:7" x14ac:dyDescent="0.25">
      <c r="A200" s="8">
        <v>42811.782939814817</v>
      </c>
      <c r="B200" s="20" t="s">
        <v>412</v>
      </c>
      <c r="C200" s="20" t="s">
        <v>806</v>
      </c>
      <c r="D200" s="150">
        <v>2480000</v>
      </c>
      <c r="E200" s="20" t="s">
        <v>505</v>
      </c>
      <c r="F200" s="20" t="s">
        <v>506</v>
      </c>
      <c r="G200" s="8" t="str">
        <f t="shared" si="3"/>
        <v>WHITED DUSTIN</v>
      </c>
    </row>
    <row r="201" spans="1:7" x14ac:dyDescent="0.25">
      <c r="A201" s="8">
        <v>42811.788634259261</v>
      </c>
      <c r="B201" s="20" t="s">
        <v>372</v>
      </c>
      <c r="C201" s="20" t="s">
        <v>807</v>
      </c>
      <c r="D201" s="150">
        <v>2000000</v>
      </c>
      <c r="E201" s="20" t="s">
        <v>431</v>
      </c>
      <c r="F201" s="20" t="s">
        <v>195</v>
      </c>
      <c r="G201" s="8" t="str">
        <f t="shared" si="3"/>
        <v>STAMBAUGH JAMES</v>
      </c>
    </row>
    <row r="202" spans="1:7" x14ac:dyDescent="0.25">
      <c r="A202" s="26">
        <v>42811.789074074077</v>
      </c>
      <c r="B202" s="20" t="s">
        <v>426</v>
      </c>
      <c r="C202" s="20" t="s">
        <v>808</v>
      </c>
      <c r="D202" s="150">
        <v>2270000</v>
      </c>
      <c r="E202" s="20" t="s">
        <v>211</v>
      </c>
      <c r="F202" s="20" t="s">
        <v>212</v>
      </c>
      <c r="G202" s="8" t="str">
        <f t="shared" si="3"/>
        <v>BROWN JACOB</v>
      </c>
    </row>
    <row r="203" spans="1:7" x14ac:dyDescent="0.25">
      <c r="A203" s="8">
        <v>42811.797048611108</v>
      </c>
      <c r="B203" s="20" t="s">
        <v>637</v>
      </c>
      <c r="C203" s="20" t="s">
        <v>643</v>
      </c>
      <c r="D203" s="150">
        <v>2230000</v>
      </c>
      <c r="E203" s="20" t="s">
        <v>539</v>
      </c>
      <c r="F203" s="20" t="s">
        <v>198</v>
      </c>
      <c r="G203" s="8" t="str">
        <f t="shared" si="3"/>
        <v>SMITH MICHAEL</v>
      </c>
    </row>
    <row r="204" spans="1:7" x14ac:dyDescent="0.25">
      <c r="A204" s="8">
        <v>42811.799293981479</v>
      </c>
      <c r="B204" s="20" t="s">
        <v>627</v>
      </c>
      <c r="C204" s="20" t="s">
        <v>809</v>
      </c>
      <c r="D204" s="150">
        <v>2440000</v>
      </c>
      <c r="E204" s="20" t="s">
        <v>752</v>
      </c>
      <c r="F204" s="20" t="s">
        <v>753</v>
      </c>
      <c r="G204" s="8" t="str">
        <f t="shared" si="3"/>
        <v>LOPES KIMBERLY</v>
      </c>
    </row>
    <row r="205" spans="1:7" x14ac:dyDescent="0.25">
      <c r="A205" s="8">
        <v>42811.801747685182</v>
      </c>
      <c r="B205" s="20" t="s">
        <v>488</v>
      </c>
      <c r="C205" s="20" t="s">
        <v>810</v>
      </c>
      <c r="D205" s="150">
        <v>2150000</v>
      </c>
      <c r="E205" s="20" t="s">
        <v>415</v>
      </c>
      <c r="F205" s="20" t="s">
        <v>416</v>
      </c>
      <c r="G205" s="8" t="str">
        <f t="shared" si="3"/>
        <v>SWANSON BRYCE</v>
      </c>
    </row>
    <row r="206" spans="1:7" x14ac:dyDescent="0.25">
      <c r="A206" s="8">
        <v>42811.803703703707</v>
      </c>
      <c r="B206" s="20" t="s">
        <v>546</v>
      </c>
      <c r="C206" s="20" t="s">
        <v>811</v>
      </c>
      <c r="D206" s="150">
        <v>3000000</v>
      </c>
      <c r="E206" s="20" t="s">
        <v>542</v>
      </c>
      <c r="F206" s="20" t="s">
        <v>543</v>
      </c>
      <c r="G206" s="8" t="str">
        <f t="shared" si="3"/>
        <v>FORTUNATO FRANK</v>
      </c>
    </row>
    <row r="207" spans="1:7" x14ac:dyDescent="0.25">
      <c r="A207" s="8">
        <v>42811.809699074074</v>
      </c>
      <c r="B207" s="20" t="s">
        <v>720</v>
      </c>
      <c r="C207" s="20" t="s">
        <v>812</v>
      </c>
      <c r="D207" s="150">
        <v>3020000</v>
      </c>
      <c r="E207" s="20" t="s">
        <v>503</v>
      </c>
      <c r="F207" s="20" t="s">
        <v>504</v>
      </c>
      <c r="G207" s="8" t="str">
        <f t="shared" si="3"/>
        <v>MENGES BRAD</v>
      </c>
    </row>
    <row r="208" spans="1:7" x14ac:dyDescent="0.25">
      <c r="A208" s="8">
        <v>42811.818368055552</v>
      </c>
      <c r="B208" s="20" t="s">
        <v>531</v>
      </c>
      <c r="C208" s="20" t="s">
        <v>813</v>
      </c>
      <c r="D208" s="150">
        <v>3000000</v>
      </c>
      <c r="E208" s="20" t="s">
        <v>542</v>
      </c>
      <c r="F208" s="20" t="s">
        <v>543</v>
      </c>
      <c r="G208" s="8" t="str">
        <f t="shared" si="3"/>
        <v>FORTUNATO FRANK</v>
      </c>
    </row>
    <row r="209" spans="1:7" x14ac:dyDescent="0.25">
      <c r="A209" s="8">
        <v>42811.819699074076</v>
      </c>
      <c r="B209" s="20" t="s">
        <v>414</v>
      </c>
      <c r="C209" s="20" t="s">
        <v>814</v>
      </c>
      <c r="D209" s="150">
        <v>2480000</v>
      </c>
      <c r="E209" s="20" t="s">
        <v>505</v>
      </c>
      <c r="F209" s="20" t="s">
        <v>506</v>
      </c>
      <c r="G209" s="8" t="str">
        <f t="shared" si="3"/>
        <v>WHITED DUSTIN</v>
      </c>
    </row>
    <row r="210" spans="1:7" x14ac:dyDescent="0.25">
      <c r="A210" s="8">
        <v>42811.827662037038</v>
      </c>
      <c r="B210" s="20" t="s">
        <v>239</v>
      </c>
      <c r="C210" s="20" t="s">
        <v>815</v>
      </c>
      <c r="D210" s="150">
        <v>2000000</v>
      </c>
      <c r="E210" s="20" t="s">
        <v>431</v>
      </c>
      <c r="F210" s="20" t="s">
        <v>195</v>
      </c>
      <c r="G210" s="8" t="str">
        <f t="shared" si="3"/>
        <v>STAMBAUGH JAMES</v>
      </c>
    </row>
    <row r="211" spans="1:7" x14ac:dyDescent="0.25">
      <c r="A211" s="8">
        <v>42811.829479166663</v>
      </c>
      <c r="B211" s="20" t="s">
        <v>427</v>
      </c>
      <c r="C211" s="20" t="s">
        <v>816</v>
      </c>
      <c r="D211" s="150">
        <v>2270000</v>
      </c>
      <c r="E211" s="20" t="s">
        <v>211</v>
      </c>
      <c r="F211" s="20" t="s">
        <v>212</v>
      </c>
      <c r="G211" s="8" t="str">
        <f t="shared" si="3"/>
        <v>BROWN JACOB</v>
      </c>
    </row>
    <row r="212" spans="1:7" x14ac:dyDescent="0.25">
      <c r="A212" s="8">
        <v>42811.834918981483</v>
      </c>
      <c r="B212" s="20" t="s">
        <v>546</v>
      </c>
      <c r="C212" s="20" t="s">
        <v>817</v>
      </c>
      <c r="D212" s="150">
        <v>3000000</v>
      </c>
      <c r="E212" s="20" t="s">
        <v>542</v>
      </c>
      <c r="F212" s="20" t="s">
        <v>543</v>
      </c>
      <c r="G212" s="8" t="str">
        <f t="shared" si="3"/>
        <v>FORTUNATO FRANK</v>
      </c>
    </row>
    <row r="213" spans="1:7" x14ac:dyDescent="0.25">
      <c r="A213" s="8">
        <v>42811.841909722221</v>
      </c>
      <c r="B213" s="20" t="s">
        <v>492</v>
      </c>
      <c r="C213" s="20" t="s">
        <v>818</v>
      </c>
      <c r="D213" s="150">
        <v>2150000</v>
      </c>
      <c r="E213" s="20" t="s">
        <v>415</v>
      </c>
      <c r="F213" s="20" t="s">
        <v>416</v>
      </c>
      <c r="G213" s="8" t="str">
        <f t="shared" si="3"/>
        <v>SWANSON BRYCE</v>
      </c>
    </row>
    <row r="214" spans="1:7" x14ac:dyDescent="0.25">
      <c r="A214" s="8">
        <v>42811.847349537034</v>
      </c>
      <c r="B214" s="20" t="s">
        <v>631</v>
      </c>
      <c r="C214" s="20" t="s">
        <v>819</v>
      </c>
      <c r="D214" s="150">
        <v>3020000</v>
      </c>
      <c r="E214" s="20" t="s">
        <v>503</v>
      </c>
      <c r="F214" s="20" t="s">
        <v>504</v>
      </c>
      <c r="G214" s="8" t="str">
        <f t="shared" si="3"/>
        <v>MENGES BRAD</v>
      </c>
    </row>
    <row r="215" spans="1:7" x14ac:dyDescent="0.25">
      <c r="A215" s="8">
        <v>42811.860671296294</v>
      </c>
      <c r="B215" s="20" t="s">
        <v>531</v>
      </c>
      <c r="C215" s="20" t="s">
        <v>644</v>
      </c>
      <c r="D215" s="150">
        <v>3000000</v>
      </c>
      <c r="E215" s="20" t="s">
        <v>542</v>
      </c>
      <c r="F215" s="20" t="s">
        <v>543</v>
      </c>
      <c r="G215" s="8" t="str">
        <f t="shared" si="3"/>
        <v>FORTUNATO FRANK</v>
      </c>
    </row>
    <row r="216" spans="1:7" x14ac:dyDescent="0.25">
      <c r="A216" s="8">
        <v>42811.870416666665</v>
      </c>
      <c r="B216" s="20" t="s">
        <v>372</v>
      </c>
      <c r="C216" s="20" t="s">
        <v>820</v>
      </c>
      <c r="D216" s="150">
        <v>2000000</v>
      </c>
      <c r="E216" s="20" t="s">
        <v>431</v>
      </c>
      <c r="F216" s="20" t="s">
        <v>195</v>
      </c>
      <c r="G216" s="8" t="str">
        <f t="shared" si="3"/>
        <v>STAMBAUGH JAMES</v>
      </c>
    </row>
    <row r="217" spans="1:7" x14ac:dyDescent="0.25">
      <c r="A217" s="8">
        <v>42811.872337962966</v>
      </c>
      <c r="B217" s="20" t="s">
        <v>426</v>
      </c>
      <c r="C217" s="20" t="s">
        <v>645</v>
      </c>
      <c r="D217" s="150">
        <v>2270000</v>
      </c>
      <c r="E217" s="20" t="s">
        <v>211</v>
      </c>
      <c r="F217" s="20" t="s">
        <v>212</v>
      </c>
      <c r="G217" s="8" t="str">
        <f t="shared" si="3"/>
        <v>BROWN JACOB</v>
      </c>
    </row>
    <row r="218" spans="1:7" x14ac:dyDescent="0.25">
      <c r="A218" s="8">
        <v>42811.879861111112</v>
      </c>
      <c r="B218" s="20" t="s">
        <v>546</v>
      </c>
      <c r="C218" s="20" t="s">
        <v>821</v>
      </c>
      <c r="D218" s="150">
        <v>2630000</v>
      </c>
      <c r="E218" s="20" t="s">
        <v>791</v>
      </c>
      <c r="F218" s="20" t="s">
        <v>792</v>
      </c>
      <c r="G218" s="8" t="str">
        <f t="shared" si="3"/>
        <v>SAFIEF AEIMEN</v>
      </c>
    </row>
    <row r="219" spans="1:7" x14ac:dyDescent="0.25">
      <c r="A219" s="8">
        <v>42811.886145833334</v>
      </c>
      <c r="B219" s="20" t="s">
        <v>488</v>
      </c>
      <c r="C219" s="20" t="s">
        <v>822</v>
      </c>
      <c r="D219" s="150">
        <v>2150000</v>
      </c>
      <c r="E219" s="20" t="s">
        <v>415</v>
      </c>
      <c r="F219" s="20" t="s">
        <v>416</v>
      </c>
      <c r="G219" s="8" t="str">
        <f t="shared" si="3"/>
        <v>SWANSON BRYCE</v>
      </c>
    </row>
    <row r="220" spans="1:7" x14ac:dyDescent="0.25">
      <c r="A220" s="8">
        <v>42811.894108796296</v>
      </c>
      <c r="B220" s="20" t="s">
        <v>720</v>
      </c>
      <c r="C220" s="20" t="s">
        <v>823</v>
      </c>
      <c r="D220" s="150">
        <v>3020000</v>
      </c>
      <c r="E220" s="20" t="s">
        <v>503</v>
      </c>
      <c r="F220" s="20" t="s">
        <v>504</v>
      </c>
      <c r="G220" s="8" t="str">
        <f t="shared" si="3"/>
        <v>MENGES BRAD</v>
      </c>
    </row>
    <row r="221" spans="1:7" x14ac:dyDescent="0.25">
      <c r="A221" s="8">
        <v>42811.901805555557</v>
      </c>
      <c r="B221" s="20" t="s">
        <v>531</v>
      </c>
      <c r="C221" s="20" t="s">
        <v>824</v>
      </c>
      <c r="D221" s="150">
        <v>2630000</v>
      </c>
      <c r="E221" s="20" t="s">
        <v>791</v>
      </c>
      <c r="F221" s="20" t="s">
        <v>792</v>
      </c>
      <c r="G221" s="8" t="str">
        <f t="shared" si="3"/>
        <v>SAFIEF AEIMEN</v>
      </c>
    </row>
    <row r="222" spans="1:7" x14ac:dyDescent="0.25">
      <c r="A222" s="8">
        <v>42811.901956018519</v>
      </c>
      <c r="B222" s="20" t="s">
        <v>239</v>
      </c>
      <c r="C222" s="20" t="s">
        <v>825</v>
      </c>
      <c r="D222" s="150">
        <v>2000000</v>
      </c>
      <c r="E222" s="20" t="s">
        <v>431</v>
      </c>
      <c r="F222" s="20" t="s">
        <v>195</v>
      </c>
      <c r="G222" s="8" t="str">
        <f t="shared" si="3"/>
        <v>STAMBAUGH JAMES</v>
      </c>
    </row>
    <row r="223" spans="1:7" x14ac:dyDescent="0.25">
      <c r="A223" s="8">
        <v>42811.912488425929</v>
      </c>
      <c r="B223" s="20" t="s">
        <v>427</v>
      </c>
      <c r="C223" s="20" t="s">
        <v>826</v>
      </c>
      <c r="D223" s="150">
        <v>2270000</v>
      </c>
      <c r="E223" s="20" t="s">
        <v>211</v>
      </c>
      <c r="F223" s="20" t="s">
        <v>212</v>
      </c>
      <c r="G223" s="8" t="str">
        <f t="shared" si="3"/>
        <v>BROWN JACOB</v>
      </c>
    </row>
    <row r="224" spans="1:7" x14ac:dyDescent="0.25">
      <c r="A224" s="8">
        <v>42811.925740740742</v>
      </c>
      <c r="B224" t="s">
        <v>546</v>
      </c>
      <c r="C224" t="s">
        <v>827</v>
      </c>
      <c r="D224" s="150">
        <v>2620000</v>
      </c>
      <c r="E224" t="s">
        <v>547</v>
      </c>
      <c r="F224" s="20" t="s">
        <v>548</v>
      </c>
      <c r="G224" s="8" t="str">
        <f t="shared" si="3"/>
        <v>PERKINS DARREN</v>
      </c>
    </row>
    <row r="225" spans="1:7" x14ac:dyDescent="0.25">
      <c r="A225" s="8">
        <v>42811.932129629633</v>
      </c>
      <c r="B225" t="s">
        <v>631</v>
      </c>
      <c r="C225" t="s">
        <v>828</v>
      </c>
      <c r="D225" s="150">
        <v>3020000</v>
      </c>
      <c r="E225" t="s">
        <v>503</v>
      </c>
      <c r="F225" s="20" t="s">
        <v>504</v>
      </c>
      <c r="G225" s="8" t="str">
        <f t="shared" si="3"/>
        <v>MENGES BRAD</v>
      </c>
    </row>
    <row r="226" spans="1:7" x14ac:dyDescent="0.25">
      <c r="A226" s="8">
        <v>42811.934108796297</v>
      </c>
      <c r="B226" t="s">
        <v>492</v>
      </c>
      <c r="C226" t="s">
        <v>829</v>
      </c>
      <c r="D226" s="150">
        <v>2150000</v>
      </c>
      <c r="E226" t="s">
        <v>415</v>
      </c>
      <c r="F226" s="20" t="s">
        <v>416</v>
      </c>
      <c r="G226" s="8" t="str">
        <f t="shared" si="3"/>
        <v>SWANSON BRYCE</v>
      </c>
    </row>
    <row r="227" spans="1:7" x14ac:dyDescent="0.25">
      <c r="A227" s="8">
        <v>42811.94431712963</v>
      </c>
      <c r="B227" t="s">
        <v>531</v>
      </c>
      <c r="C227" t="s">
        <v>830</v>
      </c>
      <c r="D227" s="150">
        <v>2620000</v>
      </c>
      <c r="E227" t="s">
        <v>547</v>
      </c>
      <c r="F227" s="20" t="s">
        <v>548</v>
      </c>
      <c r="G227" s="8" t="str">
        <f t="shared" si="3"/>
        <v>PERKINS DARREN</v>
      </c>
    </row>
    <row r="228" spans="1:7" x14ac:dyDescent="0.25">
      <c r="A228" s="8">
        <v>42811.94636574074</v>
      </c>
      <c r="B228" t="s">
        <v>372</v>
      </c>
      <c r="C228" t="s">
        <v>831</v>
      </c>
      <c r="D228" s="150">
        <v>2000000</v>
      </c>
      <c r="E228" t="s">
        <v>431</v>
      </c>
      <c r="F228" s="20" t="s">
        <v>195</v>
      </c>
      <c r="G228" s="8" t="str">
        <f t="shared" si="3"/>
        <v>STAMBAUGH JAMES</v>
      </c>
    </row>
    <row r="229" spans="1:7" x14ac:dyDescent="0.25">
      <c r="A229" s="8">
        <v>42811.950555555559</v>
      </c>
      <c r="B229" t="s">
        <v>487</v>
      </c>
      <c r="C229" t="s">
        <v>832</v>
      </c>
      <c r="D229" s="150">
        <v>2610000</v>
      </c>
      <c r="E229" t="s">
        <v>833</v>
      </c>
      <c r="F229" s="20" t="s">
        <v>834</v>
      </c>
      <c r="G229" s="8" t="str">
        <f t="shared" si="3"/>
        <v>MAGEE KENYA</v>
      </c>
    </row>
    <row r="230" spans="1:7" x14ac:dyDescent="0.25">
      <c r="A230" s="8">
        <v>42811.951539351852</v>
      </c>
      <c r="B230" t="s">
        <v>426</v>
      </c>
      <c r="C230" t="s">
        <v>646</v>
      </c>
      <c r="D230" s="150">
        <v>2270000</v>
      </c>
      <c r="E230" t="s">
        <v>211</v>
      </c>
      <c r="F230" s="20" t="s">
        <v>212</v>
      </c>
      <c r="G230" s="8" t="str">
        <f t="shared" si="3"/>
        <v>BROWN JACOB</v>
      </c>
    </row>
    <row r="231" spans="1:7" x14ac:dyDescent="0.25">
      <c r="A231" s="8">
        <v>42811.951863425929</v>
      </c>
      <c r="B231" t="s">
        <v>546</v>
      </c>
      <c r="C231" t="s">
        <v>830</v>
      </c>
      <c r="D231" s="150">
        <v>2620000</v>
      </c>
      <c r="E231" t="s">
        <v>547</v>
      </c>
      <c r="F231" s="20" t="s">
        <v>548</v>
      </c>
      <c r="G231" s="8" t="str">
        <f t="shared" si="3"/>
        <v>PERKINS DARREN</v>
      </c>
    </row>
    <row r="232" spans="1:7" x14ac:dyDescent="0.25">
      <c r="A232" s="8">
        <v>42811.972222222219</v>
      </c>
      <c r="B232" t="s">
        <v>488</v>
      </c>
      <c r="C232" t="s">
        <v>835</v>
      </c>
      <c r="D232" s="150">
        <v>2150000</v>
      </c>
      <c r="E232" t="s">
        <v>415</v>
      </c>
      <c r="F232" s="20" t="s">
        <v>416</v>
      </c>
      <c r="G232" s="8" t="str">
        <f t="shared" si="3"/>
        <v>SWANSON BRYCE</v>
      </c>
    </row>
    <row r="233" spans="1:7" x14ac:dyDescent="0.25">
      <c r="A233" s="8">
        <v>42811.973611111112</v>
      </c>
      <c r="B233" t="s">
        <v>720</v>
      </c>
      <c r="C233" t="s">
        <v>836</v>
      </c>
      <c r="D233" s="150">
        <v>3020000</v>
      </c>
      <c r="E233" t="s">
        <v>503</v>
      </c>
      <c r="F233" s="20" t="s">
        <v>504</v>
      </c>
      <c r="G233" s="8" t="str">
        <f t="shared" si="3"/>
        <v>MENGES BRAD</v>
      </c>
    </row>
    <row r="234" spans="1:7" x14ac:dyDescent="0.25">
      <c r="A234" s="8">
        <v>42811.985625000001</v>
      </c>
      <c r="B234" t="s">
        <v>239</v>
      </c>
      <c r="C234" t="s">
        <v>837</v>
      </c>
      <c r="D234" s="150">
        <v>2000000</v>
      </c>
      <c r="E234" t="s">
        <v>431</v>
      </c>
      <c r="F234" s="20" t="s">
        <v>195</v>
      </c>
      <c r="G234" s="8" t="str">
        <f t="shared" si="3"/>
        <v>STAMBAUGH JAMES</v>
      </c>
    </row>
    <row r="235" spans="1:7" x14ac:dyDescent="0.25">
      <c r="A235" s="8">
        <v>42811.993391203701</v>
      </c>
      <c r="B235" t="s">
        <v>427</v>
      </c>
      <c r="C235" t="s">
        <v>838</v>
      </c>
      <c r="D235" s="150">
        <v>2270000</v>
      </c>
      <c r="E235" t="s">
        <v>211</v>
      </c>
      <c r="F235" s="20" t="s">
        <v>212</v>
      </c>
      <c r="G235" s="8" t="str">
        <f t="shared" si="3"/>
        <v>BROWN JACOB</v>
      </c>
    </row>
    <row r="236" spans="1:7" x14ac:dyDescent="0.25">
      <c r="A236" s="8">
        <v>42812.015949074077</v>
      </c>
      <c r="B236" t="s">
        <v>631</v>
      </c>
      <c r="C236" t="s">
        <v>839</v>
      </c>
      <c r="D236" s="150">
        <v>3020000</v>
      </c>
      <c r="E236" t="s">
        <v>503</v>
      </c>
      <c r="F236" s="20" t="s">
        <v>504</v>
      </c>
      <c r="G236" s="8" t="str">
        <f t="shared" si="3"/>
        <v>MENGES BRAD</v>
      </c>
    </row>
    <row r="237" spans="1:7" x14ac:dyDescent="0.25">
      <c r="A237" s="8">
        <v>42812.019050925926</v>
      </c>
      <c r="B237" t="s">
        <v>492</v>
      </c>
      <c r="C237" t="s">
        <v>840</v>
      </c>
      <c r="D237" s="150">
        <v>2150000</v>
      </c>
      <c r="E237" t="s">
        <v>415</v>
      </c>
      <c r="F237" s="20" t="s">
        <v>416</v>
      </c>
      <c r="G237" s="8" t="str">
        <f t="shared" si="3"/>
        <v>SWANSON BRYCE</v>
      </c>
    </row>
    <row r="238" spans="1:7" x14ac:dyDescent="0.25">
      <c r="A238" s="8">
        <v>42812.027430555558</v>
      </c>
      <c r="B238" t="s">
        <v>486</v>
      </c>
      <c r="C238" t="s">
        <v>832</v>
      </c>
      <c r="D238" s="150">
        <v>2610000</v>
      </c>
      <c r="E238" t="s">
        <v>833</v>
      </c>
      <c r="F238" s="20" t="s">
        <v>834</v>
      </c>
      <c r="G238" s="8" t="str">
        <f t="shared" si="3"/>
        <v>MAGEE KENYA</v>
      </c>
    </row>
    <row r="239" spans="1:7" x14ac:dyDescent="0.25">
      <c r="A239" s="8">
        <v>42812.029652777775</v>
      </c>
      <c r="B239" t="s">
        <v>372</v>
      </c>
      <c r="C239" t="s">
        <v>841</v>
      </c>
      <c r="D239" s="150">
        <v>2000000</v>
      </c>
      <c r="E239" t="s">
        <v>431</v>
      </c>
      <c r="F239" s="20" t="s">
        <v>195</v>
      </c>
      <c r="G239" s="8" t="str">
        <f t="shared" si="3"/>
        <v>STAMBAUGH JAMES</v>
      </c>
    </row>
    <row r="240" spans="1:7" x14ac:dyDescent="0.25">
      <c r="A240" s="8">
        <v>42812.039085648146</v>
      </c>
      <c r="B240" t="s">
        <v>426</v>
      </c>
      <c r="C240" t="s">
        <v>842</v>
      </c>
      <c r="D240" s="150">
        <v>2270000</v>
      </c>
      <c r="E240" t="s">
        <v>211</v>
      </c>
      <c r="F240" s="20" t="s">
        <v>212</v>
      </c>
      <c r="G240" s="8" t="str">
        <f t="shared" si="3"/>
        <v>BROWN JACOB</v>
      </c>
    </row>
    <row r="241" spans="1:7" x14ac:dyDescent="0.25">
      <c r="A241" s="8">
        <v>42812.050196759257</v>
      </c>
      <c r="B241" t="s">
        <v>720</v>
      </c>
      <c r="C241" t="s">
        <v>843</v>
      </c>
      <c r="D241" s="150">
        <v>3020000</v>
      </c>
      <c r="E241" t="s">
        <v>503</v>
      </c>
      <c r="F241" s="20" t="s">
        <v>504</v>
      </c>
      <c r="G241" s="8" t="str">
        <f t="shared" si="3"/>
        <v>MENGES BRAD</v>
      </c>
    </row>
    <row r="242" spans="1:7" x14ac:dyDescent="0.25">
      <c r="A242" s="8">
        <v>42812.054884259262</v>
      </c>
      <c r="B242" t="s">
        <v>488</v>
      </c>
      <c r="C242" t="s">
        <v>844</v>
      </c>
      <c r="D242" s="150">
        <v>2150000</v>
      </c>
      <c r="E242" t="s">
        <v>415</v>
      </c>
      <c r="F242" s="20" t="s">
        <v>416</v>
      </c>
      <c r="G242" s="8" t="str">
        <f t="shared" si="3"/>
        <v>SWANSON BRYCE</v>
      </c>
    </row>
    <row r="243" spans="1:7" x14ac:dyDescent="0.25">
      <c r="A243" s="8">
        <v>42812.062650462962</v>
      </c>
      <c r="B243" t="s">
        <v>487</v>
      </c>
      <c r="C243" t="s">
        <v>832</v>
      </c>
      <c r="D243" s="150">
        <v>2610000</v>
      </c>
      <c r="E243" t="s">
        <v>833</v>
      </c>
      <c r="F243" s="20" t="s">
        <v>834</v>
      </c>
      <c r="G243" s="8" t="str">
        <f t="shared" si="3"/>
        <v>MAGEE KENYA</v>
      </c>
    </row>
    <row r="244" spans="1:7" x14ac:dyDescent="0.25">
      <c r="A244" s="8">
        <v>42812.068206018521</v>
      </c>
      <c r="B244" t="s">
        <v>239</v>
      </c>
      <c r="C244" t="s">
        <v>845</v>
      </c>
      <c r="D244" s="150">
        <v>2000000</v>
      </c>
      <c r="E244" t="s">
        <v>431</v>
      </c>
      <c r="F244" s="20" t="s">
        <v>195</v>
      </c>
      <c r="G244" s="8" t="str">
        <f t="shared" si="3"/>
        <v>STAMBAUGH JAMES</v>
      </c>
    </row>
    <row r="245" spans="1:7" x14ac:dyDescent="0.25">
      <c r="A245" s="8">
        <v>42812.077222222222</v>
      </c>
      <c r="B245" t="s">
        <v>427</v>
      </c>
      <c r="C245" t="s">
        <v>846</v>
      </c>
      <c r="D245" s="150">
        <v>2270000</v>
      </c>
      <c r="E245" t="s">
        <v>211</v>
      </c>
      <c r="F245" s="20" t="s">
        <v>212</v>
      </c>
      <c r="G245" s="8" t="str">
        <f t="shared" si="3"/>
        <v>BROWN JACOB</v>
      </c>
    </row>
    <row r="246" spans="1:7" x14ac:dyDescent="0.25">
      <c r="A246" s="8">
        <v>42812.081041666665</v>
      </c>
      <c r="B246" t="s">
        <v>486</v>
      </c>
      <c r="C246" t="s">
        <v>832</v>
      </c>
      <c r="D246" s="150">
        <v>2610000</v>
      </c>
      <c r="E246" t="s">
        <v>833</v>
      </c>
      <c r="F246" s="20" t="s">
        <v>834</v>
      </c>
      <c r="G246" s="8" t="str">
        <f t="shared" si="3"/>
        <v>MAGEE KENYA</v>
      </c>
    </row>
    <row r="247" spans="1:7" x14ac:dyDescent="0.25">
      <c r="A247" s="8">
        <v>42812.092881944445</v>
      </c>
      <c r="B247" t="s">
        <v>492</v>
      </c>
      <c r="C247" t="s">
        <v>847</v>
      </c>
      <c r="D247" s="150">
        <v>2150000</v>
      </c>
      <c r="E247" t="s">
        <v>415</v>
      </c>
      <c r="F247" s="20" t="s">
        <v>416</v>
      </c>
      <c r="G247" s="8" t="str">
        <f t="shared" si="3"/>
        <v>SWANSON BRYCE</v>
      </c>
    </row>
    <row r="248" spans="1:7" x14ac:dyDescent="0.25">
      <c r="A248" s="8">
        <v>42812.096770833334</v>
      </c>
      <c r="B248" t="s">
        <v>487</v>
      </c>
      <c r="C248" t="s">
        <v>832</v>
      </c>
      <c r="D248" s="150">
        <v>2610000</v>
      </c>
      <c r="E248" t="s">
        <v>833</v>
      </c>
      <c r="F248" s="20" t="s">
        <v>834</v>
      </c>
      <c r="G248" s="8" t="str">
        <f t="shared" si="3"/>
        <v>MAGEE KENYA</v>
      </c>
    </row>
    <row r="249" spans="1:7" x14ac:dyDescent="0.25">
      <c r="A249" s="8">
        <v>42812.113379629627</v>
      </c>
      <c r="B249" t="s">
        <v>486</v>
      </c>
      <c r="C249" t="s">
        <v>832</v>
      </c>
      <c r="D249" s="150">
        <v>2610000</v>
      </c>
      <c r="E249" t="s">
        <v>833</v>
      </c>
      <c r="F249" s="20" t="s">
        <v>834</v>
      </c>
      <c r="G249" s="8" t="str">
        <f t="shared" si="3"/>
        <v>MAGEE KENYA</v>
      </c>
    </row>
    <row r="250" spans="1:7" x14ac:dyDescent="0.25">
      <c r="A250" s="8">
        <v>42811.066469907404</v>
      </c>
      <c r="B250" t="s">
        <v>535</v>
      </c>
      <c r="C250" t="s">
        <v>550</v>
      </c>
      <c r="D250" s="150">
        <v>2620000</v>
      </c>
      <c r="E250" t="s">
        <v>547</v>
      </c>
      <c r="F250" s="20" t="s">
        <v>548</v>
      </c>
      <c r="G250" s="8" t="str">
        <f t="shared" si="3"/>
        <v>PERKINS DARREN</v>
      </c>
    </row>
    <row r="251" spans="1:7" x14ac:dyDescent="0.25">
      <c r="A251" s="8">
        <v>42811.07130787037</v>
      </c>
      <c r="B251" t="s">
        <v>450</v>
      </c>
      <c r="C251" t="s">
        <v>554</v>
      </c>
      <c r="D251" s="150">
        <v>2270000</v>
      </c>
      <c r="E251" t="s">
        <v>211</v>
      </c>
      <c r="F251" s="20" t="s">
        <v>212</v>
      </c>
      <c r="G251" s="8" t="str">
        <f t="shared" si="3"/>
        <v>BROWN JACOB</v>
      </c>
    </row>
    <row r="252" spans="1:7" x14ac:dyDescent="0.25">
      <c r="A252" s="8">
        <v>42811.09002314815</v>
      </c>
      <c r="B252" t="s">
        <v>429</v>
      </c>
      <c r="C252" t="s">
        <v>555</v>
      </c>
      <c r="D252" s="150">
        <v>2150000</v>
      </c>
      <c r="E252" t="s">
        <v>415</v>
      </c>
      <c r="F252" s="20" t="s">
        <v>416</v>
      </c>
      <c r="G252" s="8" t="str">
        <f t="shared" si="3"/>
        <v>SWANSON BRYCE</v>
      </c>
    </row>
    <row r="253" spans="1:7" x14ac:dyDescent="0.25">
      <c r="A253" s="8">
        <v>42810.068888888891</v>
      </c>
      <c r="B253" t="s">
        <v>239</v>
      </c>
      <c r="C253" t="s">
        <v>507</v>
      </c>
      <c r="D253" s="150">
        <v>2270000</v>
      </c>
      <c r="E253" t="s">
        <v>211</v>
      </c>
      <c r="F253" s="20" t="s">
        <v>212</v>
      </c>
      <c r="G253" s="8" t="str">
        <f t="shared" si="3"/>
        <v>BROWN JACOB</v>
      </c>
    </row>
    <row r="254" spans="1:7" x14ac:dyDescent="0.25">
      <c r="A254" s="8">
        <v>42810.091238425928</v>
      </c>
      <c r="B254" t="s">
        <v>426</v>
      </c>
      <c r="C254" t="s">
        <v>508</v>
      </c>
      <c r="D254" s="150">
        <v>1810000</v>
      </c>
      <c r="E254" t="s">
        <v>199</v>
      </c>
      <c r="F254" s="20" t="s">
        <v>195</v>
      </c>
      <c r="G254" s="8" t="str">
        <f t="shared" si="3"/>
        <v>NEWELL JAMES</v>
      </c>
    </row>
    <row r="255" spans="1:7" x14ac:dyDescent="0.25">
      <c r="A255" s="8">
        <v>42810.11451388889</v>
      </c>
      <c r="B255" t="s">
        <v>486</v>
      </c>
      <c r="C255" t="s">
        <v>509</v>
      </c>
      <c r="D255" s="150">
        <v>2550000</v>
      </c>
      <c r="E255" t="s">
        <v>474</v>
      </c>
      <c r="F255" s="20" t="s">
        <v>475</v>
      </c>
      <c r="G255" s="8" t="str">
        <f t="shared" si="3"/>
        <v>BADERTSCHER DIANE</v>
      </c>
    </row>
    <row r="256" spans="1:7" x14ac:dyDescent="0.25">
      <c r="A256" s="8">
        <v>42808.945451388892</v>
      </c>
      <c r="B256" t="s">
        <v>413</v>
      </c>
      <c r="C256" t="s">
        <v>459</v>
      </c>
      <c r="D256" s="150">
        <v>2730000</v>
      </c>
      <c r="E256" t="s">
        <v>225</v>
      </c>
      <c r="F256" s="20" t="s">
        <v>226</v>
      </c>
      <c r="G256" s="8" t="str">
        <f t="shared" si="3"/>
        <v>YANG JAN</v>
      </c>
    </row>
    <row r="257" spans="1:7" x14ac:dyDescent="0.25">
      <c r="A257" s="8">
        <v>42808.949513888889</v>
      </c>
      <c r="B257" t="s">
        <v>202</v>
      </c>
      <c r="C257" t="s">
        <v>461</v>
      </c>
      <c r="D257" s="150">
        <v>1740000</v>
      </c>
      <c r="E257" t="s">
        <v>382</v>
      </c>
      <c r="F257" s="20" t="s">
        <v>383</v>
      </c>
      <c r="G257" s="8" t="str">
        <f t="shared" si="3"/>
        <v>STORY SAMANTHA</v>
      </c>
    </row>
    <row r="258" spans="1:7" x14ac:dyDescent="0.25">
      <c r="A258" s="8">
        <v>42808.957430555558</v>
      </c>
      <c r="B258" t="s">
        <v>380</v>
      </c>
      <c r="C258" t="s">
        <v>462</v>
      </c>
      <c r="D258" s="150">
        <v>1800000</v>
      </c>
      <c r="E258" t="s">
        <v>214</v>
      </c>
      <c r="F258" s="20" t="s">
        <v>215</v>
      </c>
      <c r="G258" s="8" t="str">
        <f t="shared" si="3"/>
        <v>CHANDLER KELVIN</v>
      </c>
    </row>
    <row r="259" spans="1:7" x14ac:dyDescent="0.25">
      <c r="A259" s="8">
        <v>42808.961782407408</v>
      </c>
      <c r="B259" t="s">
        <v>411</v>
      </c>
      <c r="C259" t="s">
        <v>460</v>
      </c>
      <c r="D259" s="150">
        <v>2730000</v>
      </c>
      <c r="E259" t="s">
        <v>225</v>
      </c>
      <c r="F259" s="20" t="s">
        <v>226</v>
      </c>
      <c r="G259" s="8" t="str">
        <f t="shared" ref="G259:G322" si="4">E259&amp;" "&amp;F259</f>
        <v>YANG JAN</v>
      </c>
    </row>
    <row r="260" spans="1:7" x14ac:dyDescent="0.25">
      <c r="A260" s="8">
        <v>42808.963113425925</v>
      </c>
      <c r="B260" t="s">
        <v>430</v>
      </c>
      <c r="C260" t="s">
        <v>463</v>
      </c>
      <c r="D260" s="150">
        <v>1810000</v>
      </c>
      <c r="E260" t="s">
        <v>199</v>
      </c>
      <c r="F260" s="20" t="s">
        <v>195</v>
      </c>
      <c r="G260" s="8" t="str">
        <f t="shared" si="4"/>
        <v>NEWELL JAMES</v>
      </c>
    </row>
    <row r="261" spans="1:7" x14ac:dyDescent="0.25">
      <c r="A261" s="8">
        <v>42808.975474537037</v>
      </c>
      <c r="B261" t="s">
        <v>449</v>
      </c>
      <c r="C261" t="s">
        <v>451</v>
      </c>
      <c r="D261" s="150">
        <v>2000000</v>
      </c>
      <c r="E261" t="s">
        <v>431</v>
      </c>
      <c r="F261" s="20" t="s">
        <v>195</v>
      </c>
      <c r="G261" s="8" t="str">
        <f t="shared" si="4"/>
        <v>STAMBAUGH JAMES</v>
      </c>
    </row>
    <row r="262" spans="1:7" x14ac:dyDescent="0.25">
      <c r="A262" s="8">
        <v>42808.984259259261</v>
      </c>
      <c r="B262" t="s">
        <v>449</v>
      </c>
      <c r="C262" t="s">
        <v>451</v>
      </c>
      <c r="D262" s="150">
        <v>2000000</v>
      </c>
      <c r="E262" t="s">
        <v>431</v>
      </c>
      <c r="F262" s="20" t="s">
        <v>195</v>
      </c>
      <c r="G262" s="8" t="str">
        <f t="shared" si="4"/>
        <v>STAMBAUGH JAMES</v>
      </c>
    </row>
    <row r="263" spans="1:7" x14ac:dyDescent="0.25">
      <c r="A263" s="8">
        <v>42808.993217592593</v>
      </c>
      <c r="B263" t="s">
        <v>413</v>
      </c>
      <c r="C263" t="s">
        <v>459</v>
      </c>
      <c r="D263" s="150">
        <v>2730000</v>
      </c>
      <c r="E263" t="s">
        <v>225</v>
      </c>
      <c r="F263" s="20" t="s">
        <v>226</v>
      </c>
      <c r="G263" s="8" t="str">
        <f t="shared" si="4"/>
        <v>YANG JAN</v>
      </c>
    </row>
    <row r="264" spans="1:7" x14ac:dyDescent="0.25">
      <c r="A264" s="8">
        <v>42808.995312500003</v>
      </c>
      <c r="B264" t="s">
        <v>374</v>
      </c>
      <c r="C264" t="s">
        <v>464</v>
      </c>
      <c r="D264" s="150">
        <v>1740000</v>
      </c>
      <c r="E264" t="s">
        <v>382</v>
      </c>
      <c r="F264" s="20" t="s">
        <v>383</v>
      </c>
      <c r="G264" s="8" t="str">
        <f t="shared" si="4"/>
        <v>STORY SAMANTHA</v>
      </c>
    </row>
    <row r="265" spans="1:7" x14ac:dyDescent="0.25">
      <c r="A265" s="8">
        <v>42808.996435185189</v>
      </c>
      <c r="B265" t="s">
        <v>458</v>
      </c>
      <c r="C265" t="s">
        <v>465</v>
      </c>
      <c r="D265" s="150">
        <v>1800000</v>
      </c>
      <c r="E265" t="s">
        <v>214</v>
      </c>
      <c r="F265" s="20" t="s">
        <v>215</v>
      </c>
      <c r="G265" s="8" t="str">
        <f t="shared" si="4"/>
        <v>CHANDLER KELVIN</v>
      </c>
    </row>
    <row r="266" spans="1:7" x14ac:dyDescent="0.25">
      <c r="A266" s="8">
        <v>42809.009120370371</v>
      </c>
      <c r="B266" t="s">
        <v>450</v>
      </c>
      <c r="C266" t="s">
        <v>466</v>
      </c>
      <c r="D266" s="150">
        <v>2000000</v>
      </c>
      <c r="E266" t="s">
        <v>431</v>
      </c>
      <c r="F266" s="20" t="s">
        <v>195</v>
      </c>
      <c r="G266" s="8" t="str">
        <f t="shared" si="4"/>
        <v>STAMBAUGH JAMES</v>
      </c>
    </row>
    <row r="267" spans="1:7" x14ac:dyDescent="0.25">
      <c r="A267" s="8">
        <v>42809.014606481483</v>
      </c>
      <c r="B267" t="s">
        <v>411</v>
      </c>
      <c r="C267" t="s">
        <v>460</v>
      </c>
      <c r="D267" s="150">
        <v>2730000</v>
      </c>
      <c r="E267" t="s">
        <v>225</v>
      </c>
      <c r="F267" s="20" t="s">
        <v>226</v>
      </c>
      <c r="G267" s="8" t="str">
        <f t="shared" si="4"/>
        <v>YANG JAN</v>
      </c>
    </row>
    <row r="268" spans="1:7" x14ac:dyDescent="0.25">
      <c r="A268" s="8">
        <v>42809.016122685185</v>
      </c>
      <c r="B268" t="s">
        <v>428</v>
      </c>
      <c r="C268" t="s">
        <v>467</v>
      </c>
      <c r="D268" s="150">
        <v>1810000</v>
      </c>
      <c r="E268" t="s">
        <v>199</v>
      </c>
      <c r="F268" s="20" t="s">
        <v>195</v>
      </c>
      <c r="G268" s="8" t="str">
        <f t="shared" si="4"/>
        <v>NEWELL JAMES</v>
      </c>
    </row>
    <row r="269" spans="1:7" x14ac:dyDescent="0.25">
      <c r="A269" s="8">
        <v>42809.029895833337</v>
      </c>
      <c r="B269" t="s">
        <v>439</v>
      </c>
      <c r="C269" t="s">
        <v>468</v>
      </c>
      <c r="D269" s="150">
        <v>1740000</v>
      </c>
      <c r="E269" t="s">
        <v>382</v>
      </c>
      <c r="F269" s="20" t="s">
        <v>383</v>
      </c>
      <c r="G269" s="8" t="str">
        <f t="shared" si="4"/>
        <v>STORY SAMANTHA</v>
      </c>
    </row>
    <row r="270" spans="1:7" x14ac:dyDescent="0.25">
      <c r="A270" s="8">
        <v>42809.030381944445</v>
      </c>
      <c r="B270" t="s">
        <v>380</v>
      </c>
      <c r="C270" t="s">
        <v>469</v>
      </c>
      <c r="D270" s="150">
        <v>1800000</v>
      </c>
      <c r="E270" t="s">
        <v>214</v>
      </c>
      <c r="F270" s="20" t="s">
        <v>215</v>
      </c>
      <c r="G270" s="8" t="str">
        <f t="shared" si="4"/>
        <v>CHANDLER KELVIN</v>
      </c>
    </row>
    <row r="271" spans="1:7" x14ac:dyDescent="0.25">
      <c r="A271" s="8">
        <v>42809.041238425925</v>
      </c>
      <c r="B271" t="s">
        <v>413</v>
      </c>
      <c r="C271" t="s">
        <v>459</v>
      </c>
      <c r="D271" s="150">
        <v>2730000</v>
      </c>
      <c r="E271" t="s">
        <v>225</v>
      </c>
      <c r="F271" s="20" t="s">
        <v>226</v>
      </c>
      <c r="G271" s="8" t="str">
        <f t="shared" si="4"/>
        <v>YANG JAN</v>
      </c>
    </row>
    <row r="272" spans="1:7" x14ac:dyDescent="0.25">
      <c r="A272" s="8">
        <v>42809.048750000002</v>
      </c>
      <c r="B272" t="s">
        <v>430</v>
      </c>
      <c r="C272" t="s">
        <v>470</v>
      </c>
      <c r="D272" s="150">
        <v>1810000</v>
      </c>
      <c r="E272" t="s">
        <v>199</v>
      </c>
      <c r="F272" s="20" t="s">
        <v>195</v>
      </c>
      <c r="G272" s="8" t="str">
        <f t="shared" si="4"/>
        <v>NEWELL JAMES</v>
      </c>
    </row>
    <row r="273" spans="1:7" x14ac:dyDescent="0.25">
      <c r="A273" s="8">
        <v>42809.057754629626</v>
      </c>
      <c r="B273" t="s">
        <v>449</v>
      </c>
      <c r="C273" t="s">
        <v>452</v>
      </c>
      <c r="D273" s="150">
        <v>2000000</v>
      </c>
      <c r="E273" t="s">
        <v>431</v>
      </c>
      <c r="F273" s="20" t="s">
        <v>195</v>
      </c>
      <c r="G273" s="8" t="str">
        <f t="shared" si="4"/>
        <v>STAMBAUGH JAMES</v>
      </c>
    </row>
    <row r="274" spans="1:7" x14ac:dyDescent="0.25">
      <c r="A274" s="8">
        <v>42809.067384259259</v>
      </c>
      <c r="B274" t="s">
        <v>374</v>
      </c>
      <c r="C274" t="s">
        <v>471</v>
      </c>
      <c r="D274" s="150">
        <v>1740000</v>
      </c>
      <c r="E274" t="s">
        <v>382</v>
      </c>
      <c r="F274" s="20" t="s">
        <v>383</v>
      </c>
      <c r="G274" s="8" t="str">
        <f t="shared" si="4"/>
        <v>STORY SAMANTHA</v>
      </c>
    </row>
    <row r="275" spans="1:7" x14ac:dyDescent="0.25">
      <c r="A275" s="8">
        <v>42809.088877314818</v>
      </c>
      <c r="B275" t="s">
        <v>450</v>
      </c>
      <c r="C275" t="s">
        <v>472</v>
      </c>
      <c r="D275" s="150">
        <v>2000000</v>
      </c>
      <c r="E275" t="s">
        <v>431</v>
      </c>
      <c r="F275" s="20" t="s">
        <v>195</v>
      </c>
      <c r="G275" s="8" t="str">
        <f t="shared" si="4"/>
        <v>STAMBAUGH JAMES</v>
      </c>
    </row>
    <row r="276" spans="1:7" x14ac:dyDescent="0.25">
      <c r="A276" s="8">
        <v>42809.112395833334</v>
      </c>
      <c r="B276" t="s">
        <v>412</v>
      </c>
      <c r="C276" t="s">
        <v>473</v>
      </c>
      <c r="D276" s="150">
        <v>2550000</v>
      </c>
      <c r="E276" t="s">
        <v>474</v>
      </c>
      <c r="F276" s="20" t="s">
        <v>475</v>
      </c>
      <c r="G276" s="8" t="str">
        <f t="shared" si="4"/>
        <v>BADERTSCHER DIANE</v>
      </c>
    </row>
    <row r="277" spans="1:7" x14ac:dyDescent="0.25">
      <c r="F277" s="20">
        <f t="shared" ref="F277:F281" si="5">B277</f>
        <v>0</v>
      </c>
      <c r="G277" s="8" t="str">
        <f t="shared" si="4"/>
        <v xml:space="preserve"> 0</v>
      </c>
    </row>
    <row r="278" spans="1:7" x14ac:dyDescent="0.25">
      <c r="F278" s="20">
        <f t="shared" si="5"/>
        <v>0</v>
      </c>
      <c r="G278" s="8" t="str">
        <f t="shared" si="4"/>
        <v xml:space="preserve"> 0</v>
      </c>
    </row>
    <row r="279" spans="1:7" x14ac:dyDescent="0.25">
      <c r="F279" s="20">
        <f t="shared" si="5"/>
        <v>0</v>
      </c>
      <c r="G279" s="8" t="str">
        <f t="shared" si="4"/>
        <v xml:space="preserve"> 0</v>
      </c>
    </row>
    <row r="280" spans="1:7" x14ac:dyDescent="0.25">
      <c r="F280" s="20">
        <f t="shared" si="5"/>
        <v>0</v>
      </c>
      <c r="G280" s="8" t="str">
        <f t="shared" si="4"/>
        <v xml:space="preserve"> 0</v>
      </c>
    </row>
    <row r="281" spans="1:7" x14ac:dyDescent="0.25">
      <c r="F281" s="20">
        <f t="shared" si="5"/>
        <v>0</v>
      </c>
      <c r="G281" s="8" t="str">
        <f t="shared" si="4"/>
        <v xml:space="preserve"> 0</v>
      </c>
    </row>
    <row r="282" spans="1:7" x14ac:dyDescent="0.25">
      <c r="F282" s="20">
        <f t="shared" ref="F282:F345" si="6">B282</f>
        <v>0</v>
      </c>
      <c r="G282" s="8" t="str">
        <f t="shared" si="4"/>
        <v xml:space="preserve"> 0</v>
      </c>
    </row>
    <row r="283" spans="1:7" x14ac:dyDescent="0.25">
      <c r="F283" s="20">
        <f t="shared" si="6"/>
        <v>0</v>
      </c>
      <c r="G283" s="8" t="str">
        <f t="shared" si="4"/>
        <v xml:space="preserve"> 0</v>
      </c>
    </row>
    <row r="284" spans="1:7" x14ac:dyDescent="0.25">
      <c r="F284" s="20">
        <f t="shared" si="6"/>
        <v>0</v>
      </c>
      <c r="G284" s="8" t="str">
        <f t="shared" si="4"/>
        <v xml:space="preserve"> 0</v>
      </c>
    </row>
    <row r="285" spans="1:7" x14ac:dyDescent="0.25">
      <c r="F285" s="20">
        <f t="shared" si="6"/>
        <v>0</v>
      </c>
      <c r="G285" s="8" t="str">
        <f t="shared" si="4"/>
        <v xml:space="preserve"> 0</v>
      </c>
    </row>
    <row r="286" spans="1:7" x14ac:dyDescent="0.25">
      <c r="F286" s="20">
        <f t="shared" si="6"/>
        <v>0</v>
      </c>
      <c r="G286" s="8" t="str">
        <f t="shared" si="4"/>
        <v xml:space="preserve"> 0</v>
      </c>
    </row>
    <row r="287" spans="1:7" x14ac:dyDescent="0.25">
      <c r="F287" s="20">
        <f t="shared" si="6"/>
        <v>0</v>
      </c>
      <c r="G287" s="8" t="str">
        <f t="shared" si="4"/>
        <v xml:space="preserve"> 0</v>
      </c>
    </row>
    <row r="288" spans="1:7" x14ac:dyDescent="0.25">
      <c r="F288" s="20">
        <f t="shared" si="6"/>
        <v>0</v>
      </c>
      <c r="G288" s="8" t="str">
        <f t="shared" si="4"/>
        <v xml:space="preserve"> 0</v>
      </c>
    </row>
    <row r="289" spans="6:7" x14ac:dyDescent="0.25">
      <c r="F289" s="20">
        <f t="shared" si="6"/>
        <v>0</v>
      </c>
      <c r="G289" s="8" t="str">
        <f t="shared" si="4"/>
        <v xml:space="preserve"> 0</v>
      </c>
    </row>
    <row r="290" spans="6:7" x14ac:dyDescent="0.25">
      <c r="F290" s="20">
        <f t="shared" si="6"/>
        <v>0</v>
      </c>
      <c r="G290" s="8" t="str">
        <f t="shared" si="4"/>
        <v xml:space="preserve"> 0</v>
      </c>
    </row>
    <row r="291" spans="6:7" x14ac:dyDescent="0.25">
      <c r="F291" s="20">
        <f t="shared" si="6"/>
        <v>0</v>
      </c>
      <c r="G291" s="8" t="str">
        <f t="shared" si="4"/>
        <v xml:space="preserve"> 0</v>
      </c>
    </row>
    <row r="292" spans="6:7" x14ac:dyDescent="0.25">
      <c r="F292" s="20">
        <f t="shared" si="6"/>
        <v>0</v>
      </c>
      <c r="G292" s="8" t="str">
        <f t="shared" si="4"/>
        <v xml:space="preserve"> 0</v>
      </c>
    </row>
    <row r="293" spans="6:7" x14ac:dyDescent="0.25">
      <c r="F293" s="20">
        <f t="shared" si="6"/>
        <v>0</v>
      </c>
      <c r="G293" s="8" t="str">
        <f t="shared" si="4"/>
        <v xml:space="preserve"> 0</v>
      </c>
    </row>
    <row r="294" spans="6:7" x14ac:dyDescent="0.25">
      <c r="F294" s="20">
        <f t="shared" si="6"/>
        <v>0</v>
      </c>
      <c r="G294" s="8" t="str">
        <f t="shared" si="4"/>
        <v xml:space="preserve"> 0</v>
      </c>
    </row>
    <row r="295" spans="6:7" x14ac:dyDescent="0.25">
      <c r="F295" s="20">
        <f t="shared" si="6"/>
        <v>0</v>
      </c>
      <c r="G295" s="8" t="str">
        <f t="shared" si="4"/>
        <v xml:space="preserve"> 0</v>
      </c>
    </row>
    <row r="296" spans="6:7" x14ac:dyDescent="0.25">
      <c r="F296" s="20">
        <f t="shared" si="6"/>
        <v>0</v>
      </c>
      <c r="G296" s="8" t="str">
        <f t="shared" si="4"/>
        <v xml:space="preserve"> 0</v>
      </c>
    </row>
    <row r="297" spans="6:7" x14ac:dyDescent="0.25">
      <c r="F297" s="20">
        <f t="shared" si="6"/>
        <v>0</v>
      </c>
      <c r="G297" s="8" t="str">
        <f t="shared" si="4"/>
        <v xml:space="preserve"> 0</v>
      </c>
    </row>
    <row r="298" spans="6:7" x14ac:dyDescent="0.25">
      <c r="F298" s="20">
        <f t="shared" si="6"/>
        <v>0</v>
      </c>
      <c r="G298" s="8" t="str">
        <f t="shared" si="4"/>
        <v xml:space="preserve"> 0</v>
      </c>
    </row>
    <row r="299" spans="6:7" x14ac:dyDescent="0.25">
      <c r="F299" s="20">
        <f t="shared" si="6"/>
        <v>0</v>
      </c>
      <c r="G299" s="8" t="str">
        <f t="shared" si="4"/>
        <v xml:space="preserve"> 0</v>
      </c>
    </row>
    <row r="300" spans="6:7" x14ac:dyDescent="0.25">
      <c r="F300" s="20">
        <f t="shared" si="6"/>
        <v>0</v>
      </c>
      <c r="G300" s="8" t="str">
        <f t="shared" si="4"/>
        <v xml:space="preserve"> 0</v>
      </c>
    </row>
    <row r="301" spans="6:7" x14ac:dyDescent="0.25">
      <c r="F301" s="20">
        <f t="shared" si="6"/>
        <v>0</v>
      </c>
      <c r="G301" s="8" t="str">
        <f t="shared" si="4"/>
        <v xml:space="preserve"> 0</v>
      </c>
    </row>
    <row r="302" spans="6:7" x14ac:dyDescent="0.25">
      <c r="F302" s="20">
        <f t="shared" si="6"/>
        <v>0</v>
      </c>
      <c r="G302" s="8" t="str">
        <f t="shared" si="4"/>
        <v xml:space="preserve"> 0</v>
      </c>
    </row>
    <row r="303" spans="6:7" x14ac:dyDescent="0.25">
      <c r="F303" s="20">
        <f t="shared" si="6"/>
        <v>0</v>
      </c>
      <c r="G303" s="8" t="str">
        <f t="shared" si="4"/>
        <v xml:space="preserve"> 0</v>
      </c>
    </row>
    <row r="304" spans="6:7" x14ac:dyDescent="0.25">
      <c r="F304" s="20">
        <f t="shared" si="6"/>
        <v>0</v>
      </c>
      <c r="G304" s="8" t="str">
        <f t="shared" si="4"/>
        <v xml:space="preserve"> 0</v>
      </c>
    </row>
    <row r="305" spans="6:7" x14ac:dyDescent="0.25">
      <c r="F305" s="20">
        <f t="shared" si="6"/>
        <v>0</v>
      </c>
      <c r="G305" s="8" t="str">
        <f t="shared" si="4"/>
        <v xml:space="preserve"> 0</v>
      </c>
    </row>
    <row r="306" spans="6:7" x14ac:dyDescent="0.25">
      <c r="F306" s="20">
        <f t="shared" si="6"/>
        <v>0</v>
      </c>
      <c r="G306" s="8" t="str">
        <f t="shared" si="4"/>
        <v xml:space="preserve"> 0</v>
      </c>
    </row>
    <row r="307" spans="6:7" x14ac:dyDescent="0.25">
      <c r="F307" s="20">
        <f t="shared" si="6"/>
        <v>0</v>
      </c>
      <c r="G307" s="8" t="str">
        <f t="shared" si="4"/>
        <v xml:space="preserve"> 0</v>
      </c>
    </row>
    <row r="308" spans="6:7" x14ac:dyDescent="0.25">
      <c r="F308" s="20">
        <f t="shared" si="6"/>
        <v>0</v>
      </c>
      <c r="G308" s="8" t="str">
        <f t="shared" si="4"/>
        <v xml:space="preserve"> 0</v>
      </c>
    </row>
    <row r="309" spans="6:7" x14ac:dyDescent="0.25">
      <c r="F309" s="20">
        <f t="shared" si="6"/>
        <v>0</v>
      </c>
      <c r="G309" s="8" t="str">
        <f t="shared" si="4"/>
        <v xml:space="preserve"> 0</v>
      </c>
    </row>
    <row r="310" spans="6:7" x14ac:dyDescent="0.25">
      <c r="F310" s="20">
        <f t="shared" si="6"/>
        <v>0</v>
      </c>
      <c r="G310" s="8" t="str">
        <f t="shared" si="4"/>
        <v xml:space="preserve"> 0</v>
      </c>
    </row>
    <row r="311" spans="6:7" x14ac:dyDescent="0.25">
      <c r="F311" s="20">
        <f t="shared" si="6"/>
        <v>0</v>
      </c>
      <c r="G311" s="8" t="str">
        <f t="shared" si="4"/>
        <v xml:space="preserve"> 0</v>
      </c>
    </row>
    <row r="312" spans="6:7" x14ac:dyDescent="0.25">
      <c r="F312" s="20">
        <f t="shared" si="6"/>
        <v>0</v>
      </c>
      <c r="G312" s="8" t="str">
        <f t="shared" si="4"/>
        <v xml:space="preserve"> 0</v>
      </c>
    </row>
    <row r="313" spans="6:7" x14ac:dyDescent="0.25">
      <c r="F313" s="20">
        <f t="shared" si="6"/>
        <v>0</v>
      </c>
      <c r="G313" s="8" t="str">
        <f t="shared" si="4"/>
        <v xml:space="preserve"> 0</v>
      </c>
    </row>
    <row r="314" spans="6:7" x14ac:dyDescent="0.25">
      <c r="F314" s="20">
        <f t="shared" si="6"/>
        <v>0</v>
      </c>
      <c r="G314" s="8" t="str">
        <f t="shared" si="4"/>
        <v xml:space="preserve"> 0</v>
      </c>
    </row>
    <row r="315" spans="6:7" x14ac:dyDescent="0.25">
      <c r="F315" s="20">
        <f t="shared" si="6"/>
        <v>0</v>
      </c>
      <c r="G315" s="8" t="str">
        <f t="shared" si="4"/>
        <v xml:space="preserve"> 0</v>
      </c>
    </row>
    <row r="316" spans="6:7" x14ac:dyDescent="0.25">
      <c r="F316" s="20">
        <f t="shared" si="6"/>
        <v>0</v>
      </c>
      <c r="G316" s="8" t="str">
        <f t="shared" si="4"/>
        <v xml:space="preserve"> 0</v>
      </c>
    </row>
    <row r="317" spans="6:7" x14ac:dyDescent="0.25">
      <c r="F317" s="20">
        <f t="shared" si="6"/>
        <v>0</v>
      </c>
      <c r="G317" s="8" t="str">
        <f t="shared" si="4"/>
        <v xml:space="preserve"> 0</v>
      </c>
    </row>
    <row r="318" spans="6:7" x14ac:dyDescent="0.25">
      <c r="F318" s="20">
        <f t="shared" si="6"/>
        <v>0</v>
      </c>
      <c r="G318" s="8" t="str">
        <f t="shared" si="4"/>
        <v xml:space="preserve"> 0</v>
      </c>
    </row>
    <row r="319" spans="6:7" x14ac:dyDescent="0.25">
      <c r="F319" s="20">
        <f t="shared" si="6"/>
        <v>0</v>
      </c>
      <c r="G319" s="8" t="str">
        <f t="shared" si="4"/>
        <v xml:space="preserve"> 0</v>
      </c>
    </row>
    <row r="320" spans="6:7" x14ac:dyDescent="0.25">
      <c r="F320" s="20">
        <f t="shared" si="6"/>
        <v>0</v>
      </c>
      <c r="G320" s="8" t="str">
        <f t="shared" si="4"/>
        <v xml:space="preserve"> 0</v>
      </c>
    </row>
    <row r="321" spans="6:7" x14ac:dyDescent="0.25">
      <c r="F321" s="20">
        <f t="shared" si="6"/>
        <v>0</v>
      </c>
      <c r="G321" s="8" t="str">
        <f t="shared" si="4"/>
        <v xml:space="preserve"> 0</v>
      </c>
    </row>
    <row r="322" spans="6:7" x14ac:dyDescent="0.25">
      <c r="F322" s="20">
        <f t="shared" si="6"/>
        <v>0</v>
      </c>
      <c r="G322" s="8" t="str">
        <f t="shared" si="4"/>
        <v xml:space="preserve"> 0</v>
      </c>
    </row>
    <row r="323" spans="6:7" x14ac:dyDescent="0.25">
      <c r="F323" s="20">
        <f t="shared" si="6"/>
        <v>0</v>
      </c>
      <c r="G323" s="8" t="str">
        <f t="shared" ref="G323:G386" si="7">E323&amp;" "&amp;F323</f>
        <v xml:space="preserve"> 0</v>
      </c>
    </row>
    <row r="324" spans="6:7" x14ac:dyDescent="0.25">
      <c r="F324" s="20">
        <f t="shared" si="6"/>
        <v>0</v>
      </c>
      <c r="G324" s="8" t="str">
        <f t="shared" si="7"/>
        <v xml:space="preserve"> 0</v>
      </c>
    </row>
    <row r="325" spans="6:7" x14ac:dyDescent="0.25">
      <c r="F325" s="20">
        <f t="shared" si="6"/>
        <v>0</v>
      </c>
      <c r="G325" s="8" t="str">
        <f t="shared" si="7"/>
        <v xml:space="preserve"> 0</v>
      </c>
    </row>
    <row r="326" spans="6:7" x14ac:dyDescent="0.25">
      <c r="F326" s="20">
        <f t="shared" si="6"/>
        <v>0</v>
      </c>
      <c r="G326" s="8" t="str">
        <f t="shared" si="7"/>
        <v xml:space="preserve"> 0</v>
      </c>
    </row>
    <row r="327" spans="6:7" x14ac:dyDescent="0.25">
      <c r="F327" s="20">
        <f t="shared" si="6"/>
        <v>0</v>
      </c>
      <c r="G327" s="8" t="str">
        <f t="shared" si="7"/>
        <v xml:space="preserve"> 0</v>
      </c>
    </row>
    <row r="328" spans="6:7" x14ac:dyDescent="0.25">
      <c r="F328" s="20">
        <f t="shared" si="6"/>
        <v>0</v>
      </c>
      <c r="G328" s="8" t="str">
        <f t="shared" si="7"/>
        <v xml:space="preserve"> 0</v>
      </c>
    </row>
    <row r="329" spans="6:7" x14ac:dyDescent="0.25">
      <c r="F329" s="20">
        <f t="shared" si="6"/>
        <v>0</v>
      </c>
      <c r="G329" s="8" t="str">
        <f t="shared" si="7"/>
        <v xml:space="preserve"> 0</v>
      </c>
    </row>
    <row r="330" spans="6:7" x14ac:dyDescent="0.25">
      <c r="F330" s="20">
        <f t="shared" si="6"/>
        <v>0</v>
      </c>
      <c r="G330" s="8" t="str">
        <f t="shared" si="7"/>
        <v xml:space="preserve"> 0</v>
      </c>
    </row>
    <row r="331" spans="6:7" x14ac:dyDescent="0.25">
      <c r="F331" s="20">
        <f t="shared" si="6"/>
        <v>0</v>
      </c>
      <c r="G331" s="8" t="str">
        <f t="shared" si="7"/>
        <v xml:space="preserve"> 0</v>
      </c>
    </row>
    <row r="332" spans="6:7" x14ac:dyDescent="0.25">
      <c r="F332" s="20">
        <f t="shared" si="6"/>
        <v>0</v>
      </c>
      <c r="G332" s="8" t="str">
        <f t="shared" si="7"/>
        <v xml:space="preserve"> 0</v>
      </c>
    </row>
    <row r="333" spans="6:7" x14ac:dyDescent="0.25">
      <c r="F333" s="20">
        <f t="shared" si="6"/>
        <v>0</v>
      </c>
      <c r="G333" s="8" t="str">
        <f t="shared" si="7"/>
        <v xml:space="preserve"> 0</v>
      </c>
    </row>
    <row r="334" spans="6:7" x14ac:dyDescent="0.25">
      <c r="F334" s="20">
        <f t="shared" si="6"/>
        <v>0</v>
      </c>
      <c r="G334" s="8" t="str">
        <f t="shared" si="7"/>
        <v xml:space="preserve"> 0</v>
      </c>
    </row>
    <row r="335" spans="6:7" x14ac:dyDescent="0.25">
      <c r="F335" s="20">
        <f t="shared" si="6"/>
        <v>0</v>
      </c>
      <c r="G335" s="8" t="str">
        <f t="shared" si="7"/>
        <v xml:space="preserve"> 0</v>
      </c>
    </row>
    <row r="336" spans="6:7" x14ac:dyDescent="0.25">
      <c r="F336" s="20">
        <f t="shared" si="6"/>
        <v>0</v>
      </c>
      <c r="G336" s="8" t="str">
        <f t="shared" si="7"/>
        <v xml:space="preserve"> 0</v>
      </c>
    </row>
    <row r="337" spans="6:7" x14ac:dyDescent="0.25">
      <c r="F337" s="20">
        <f t="shared" si="6"/>
        <v>0</v>
      </c>
      <c r="G337" s="8" t="str">
        <f t="shared" si="7"/>
        <v xml:space="preserve"> 0</v>
      </c>
    </row>
    <row r="338" spans="6:7" x14ac:dyDescent="0.25">
      <c r="F338" s="20">
        <f t="shared" si="6"/>
        <v>0</v>
      </c>
      <c r="G338" s="8" t="str">
        <f t="shared" si="7"/>
        <v xml:space="preserve"> 0</v>
      </c>
    </row>
    <row r="339" spans="6:7" x14ac:dyDescent="0.25">
      <c r="F339" s="20">
        <f t="shared" si="6"/>
        <v>0</v>
      </c>
      <c r="G339" s="8" t="str">
        <f t="shared" si="7"/>
        <v xml:space="preserve"> 0</v>
      </c>
    </row>
    <row r="340" spans="6:7" x14ac:dyDescent="0.25">
      <c r="F340" s="20">
        <f t="shared" si="6"/>
        <v>0</v>
      </c>
      <c r="G340" s="8" t="str">
        <f t="shared" si="7"/>
        <v xml:space="preserve"> 0</v>
      </c>
    </row>
    <row r="341" spans="6:7" x14ac:dyDescent="0.25">
      <c r="F341" s="20">
        <f t="shared" si="6"/>
        <v>0</v>
      </c>
      <c r="G341" s="8" t="str">
        <f t="shared" si="7"/>
        <v xml:space="preserve"> 0</v>
      </c>
    </row>
    <row r="342" spans="6:7" x14ac:dyDescent="0.25">
      <c r="F342" s="20">
        <f t="shared" si="6"/>
        <v>0</v>
      </c>
      <c r="G342" s="8" t="str">
        <f t="shared" si="7"/>
        <v xml:space="preserve"> 0</v>
      </c>
    </row>
    <row r="343" spans="6:7" x14ac:dyDescent="0.25">
      <c r="F343" s="20">
        <f t="shared" si="6"/>
        <v>0</v>
      </c>
      <c r="G343" s="8" t="str">
        <f t="shared" si="7"/>
        <v xml:space="preserve"> 0</v>
      </c>
    </row>
    <row r="344" spans="6:7" x14ac:dyDescent="0.25">
      <c r="F344" s="20">
        <f t="shared" si="6"/>
        <v>0</v>
      </c>
      <c r="G344" s="8" t="str">
        <f t="shared" si="7"/>
        <v xml:space="preserve"> 0</v>
      </c>
    </row>
    <row r="345" spans="6:7" x14ac:dyDescent="0.25">
      <c r="F345" s="20">
        <f t="shared" si="6"/>
        <v>0</v>
      </c>
      <c r="G345" s="8" t="str">
        <f t="shared" si="7"/>
        <v xml:space="preserve"> 0</v>
      </c>
    </row>
    <row r="346" spans="6:7" x14ac:dyDescent="0.25">
      <c r="F346" s="20">
        <f t="shared" ref="F346:F409" si="8">B346</f>
        <v>0</v>
      </c>
      <c r="G346" s="8" t="str">
        <f t="shared" si="7"/>
        <v xml:space="preserve"> 0</v>
      </c>
    </row>
    <row r="347" spans="6:7" x14ac:dyDescent="0.25">
      <c r="F347" s="20">
        <f t="shared" si="8"/>
        <v>0</v>
      </c>
      <c r="G347" s="8" t="str">
        <f t="shared" si="7"/>
        <v xml:space="preserve"> 0</v>
      </c>
    </row>
    <row r="348" spans="6:7" x14ac:dyDescent="0.25">
      <c r="F348" s="20">
        <f t="shared" si="8"/>
        <v>0</v>
      </c>
      <c r="G348" s="8" t="str">
        <f t="shared" si="7"/>
        <v xml:space="preserve"> 0</v>
      </c>
    </row>
    <row r="349" spans="6:7" x14ac:dyDescent="0.25">
      <c r="F349" s="20">
        <f t="shared" si="8"/>
        <v>0</v>
      </c>
      <c r="G349" s="8" t="str">
        <f t="shared" si="7"/>
        <v xml:space="preserve"> 0</v>
      </c>
    </row>
    <row r="350" spans="6:7" x14ac:dyDescent="0.25">
      <c r="F350" s="20">
        <f t="shared" si="8"/>
        <v>0</v>
      </c>
      <c r="G350" s="8" t="str">
        <f t="shared" si="7"/>
        <v xml:space="preserve"> 0</v>
      </c>
    </row>
    <row r="351" spans="6:7" x14ac:dyDescent="0.25">
      <c r="F351" s="20">
        <f t="shared" si="8"/>
        <v>0</v>
      </c>
      <c r="G351" s="8" t="str">
        <f t="shared" si="7"/>
        <v xml:space="preserve"> 0</v>
      </c>
    </row>
    <row r="352" spans="6:7" x14ac:dyDescent="0.25">
      <c r="F352" s="20">
        <f t="shared" si="8"/>
        <v>0</v>
      </c>
      <c r="G352" s="8" t="str">
        <f t="shared" si="7"/>
        <v xml:space="preserve"> 0</v>
      </c>
    </row>
    <row r="353" spans="6:7" x14ac:dyDescent="0.25">
      <c r="F353" s="20">
        <f t="shared" si="8"/>
        <v>0</v>
      </c>
      <c r="G353" s="8" t="str">
        <f t="shared" si="7"/>
        <v xml:space="preserve"> 0</v>
      </c>
    </row>
    <row r="354" spans="6:7" x14ac:dyDescent="0.25">
      <c r="F354" s="20">
        <f t="shared" si="8"/>
        <v>0</v>
      </c>
      <c r="G354" s="8" t="str">
        <f t="shared" si="7"/>
        <v xml:space="preserve"> 0</v>
      </c>
    </row>
    <row r="355" spans="6:7" x14ac:dyDescent="0.25">
      <c r="F355" s="20">
        <f t="shared" si="8"/>
        <v>0</v>
      </c>
      <c r="G355" s="8" t="str">
        <f t="shared" si="7"/>
        <v xml:space="preserve"> 0</v>
      </c>
    </row>
    <row r="356" spans="6:7" x14ac:dyDescent="0.25">
      <c r="F356" s="20">
        <f t="shared" si="8"/>
        <v>0</v>
      </c>
      <c r="G356" s="8" t="str">
        <f t="shared" si="7"/>
        <v xml:space="preserve"> 0</v>
      </c>
    </row>
    <row r="357" spans="6:7" x14ac:dyDescent="0.25">
      <c r="F357" s="20">
        <f t="shared" si="8"/>
        <v>0</v>
      </c>
      <c r="G357" s="8" t="str">
        <f t="shared" si="7"/>
        <v xml:space="preserve"> 0</v>
      </c>
    </row>
    <row r="358" spans="6:7" x14ac:dyDescent="0.25">
      <c r="F358" s="20">
        <f t="shared" si="8"/>
        <v>0</v>
      </c>
      <c r="G358" s="8" t="str">
        <f t="shared" si="7"/>
        <v xml:space="preserve"> 0</v>
      </c>
    </row>
    <row r="359" spans="6:7" x14ac:dyDescent="0.25">
      <c r="F359" s="20">
        <f t="shared" si="8"/>
        <v>0</v>
      </c>
      <c r="G359" s="8" t="str">
        <f t="shared" si="7"/>
        <v xml:space="preserve"> 0</v>
      </c>
    </row>
    <row r="360" spans="6:7" x14ac:dyDescent="0.25">
      <c r="F360" s="20">
        <f t="shared" si="8"/>
        <v>0</v>
      </c>
      <c r="G360" s="8" t="str">
        <f t="shared" si="7"/>
        <v xml:space="preserve"> 0</v>
      </c>
    </row>
    <row r="361" spans="6:7" x14ac:dyDescent="0.25">
      <c r="F361" s="20">
        <f t="shared" si="8"/>
        <v>0</v>
      </c>
      <c r="G361" s="8" t="str">
        <f t="shared" si="7"/>
        <v xml:space="preserve"> 0</v>
      </c>
    </row>
    <row r="362" spans="6:7" x14ac:dyDescent="0.25">
      <c r="F362" s="20">
        <f t="shared" si="8"/>
        <v>0</v>
      </c>
      <c r="G362" s="8" t="str">
        <f t="shared" si="7"/>
        <v xml:space="preserve"> 0</v>
      </c>
    </row>
    <row r="363" spans="6:7" x14ac:dyDescent="0.25">
      <c r="F363" s="20">
        <f t="shared" si="8"/>
        <v>0</v>
      </c>
      <c r="G363" s="8" t="str">
        <f t="shared" si="7"/>
        <v xml:space="preserve"> 0</v>
      </c>
    </row>
    <row r="364" spans="6:7" x14ac:dyDescent="0.25">
      <c r="F364" s="20">
        <f t="shared" si="8"/>
        <v>0</v>
      </c>
      <c r="G364" s="8" t="str">
        <f t="shared" si="7"/>
        <v xml:space="preserve"> 0</v>
      </c>
    </row>
    <row r="365" spans="6:7" x14ac:dyDescent="0.25">
      <c r="F365" s="20">
        <f t="shared" si="8"/>
        <v>0</v>
      </c>
      <c r="G365" s="8" t="str">
        <f t="shared" si="7"/>
        <v xml:space="preserve"> 0</v>
      </c>
    </row>
    <row r="366" spans="6:7" x14ac:dyDescent="0.25">
      <c r="F366" s="20">
        <f t="shared" si="8"/>
        <v>0</v>
      </c>
      <c r="G366" s="8" t="str">
        <f t="shared" si="7"/>
        <v xml:space="preserve"> 0</v>
      </c>
    </row>
    <row r="367" spans="6:7" x14ac:dyDescent="0.25">
      <c r="F367" s="20">
        <f t="shared" si="8"/>
        <v>0</v>
      </c>
      <c r="G367" s="8" t="str">
        <f t="shared" si="7"/>
        <v xml:space="preserve"> 0</v>
      </c>
    </row>
    <row r="368" spans="6:7" x14ac:dyDescent="0.25">
      <c r="F368" s="20">
        <f t="shared" si="8"/>
        <v>0</v>
      </c>
      <c r="G368" s="8" t="str">
        <f t="shared" si="7"/>
        <v xml:space="preserve"> 0</v>
      </c>
    </row>
    <row r="369" spans="6:7" x14ac:dyDescent="0.25">
      <c r="F369" s="20">
        <f t="shared" si="8"/>
        <v>0</v>
      </c>
      <c r="G369" s="8" t="str">
        <f t="shared" si="7"/>
        <v xml:space="preserve"> 0</v>
      </c>
    </row>
    <row r="370" spans="6:7" x14ac:dyDescent="0.25">
      <c r="F370" s="20">
        <f t="shared" si="8"/>
        <v>0</v>
      </c>
      <c r="G370" s="8" t="str">
        <f t="shared" si="7"/>
        <v xml:space="preserve"> 0</v>
      </c>
    </row>
    <row r="371" spans="6:7" x14ac:dyDescent="0.25">
      <c r="F371" s="20">
        <f t="shared" si="8"/>
        <v>0</v>
      </c>
      <c r="G371" s="8" t="str">
        <f t="shared" si="7"/>
        <v xml:space="preserve"> 0</v>
      </c>
    </row>
    <row r="372" spans="6:7" x14ac:dyDescent="0.25">
      <c r="F372" s="20">
        <f t="shared" si="8"/>
        <v>0</v>
      </c>
      <c r="G372" s="8" t="str">
        <f t="shared" si="7"/>
        <v xml:space="preserve"> 0</v>
      </c>
    </row>
    <row r="373" spans="6:7" x14ac:dyDescent="0.25">
      <c r="F373" s="20">
        <f t="shared" si="8"/>
        <v>0</v>
      </c>
      <c r="G373" s="8" t="str">
        <f t="shared" si="7"/>
        <v xml:space="preserve"> 0</v>
      </c>
    </row>
    <row r="374" spans="6:7" x14ac:dyDescent="0.25">
      <c r="F374" s="20">
        <f t="shared" si="8"/>
        <v>0</v>
      </c>
      <c r="G374" s="8" t="str">
        <f t="shared" si="7"/>
        <v xml:space="preserve"> 0</v>
      </c>
    </row>
    <row r="375" spans="6:7" x14ac:dyDescent="0.25">
      <c r="F375" s="20">
        <f t="shared" si="8"/>
        <v>0</v>
      </c>
      <c r="G375" s="8" t="str">
        <f t="shared" si="7"/>
        <v xml:space="preserve"> 0</v>
      </c>
    </row>
    <row r="376" spans="6:7" x14ac:dyDescent="0.25">
      <c r="F376" s="20">
        <f t="shared" si="8"/>
        <v>0</v>
      </c>
      <c r="G376" s="8" t="str">
        <f t="shared" si="7"/>
        <v xml:space="preserve"> 0</v>
      </c>
    </row>
    <row r="377" spans="6:7" x14ac:dyDescent="0.25">
      <c r="F377" s="20">
        <f t="shared" si="8"/>
        <v>0</v>
      </c>
      <c r="G377" s="8" t="str">
        <f t="shared" si="7"/>
        <v xml:space="preserve"> 0</v>
      </c>
    </row>
    <row r="378" spans="6:7" x14ac:dyDescent="0.25">
      <c r="F378" s="20">
        <f t="shared" si="8"/>
        <v>0</v>
      </c>
      <c r="G378" s="8" t="str">
        <f t="shared" si="7"/>
        <v xml:space="preserve"> 0</v>
      </c>
    </row>
    <row r="379" spans="6:7" x14ac:dyDescent="0.25">
      <c r="F379" s="20">
        <f t="shared" si="8"/>
        <v>0</v>
      </c>
      <c r="G379" s="8" t="str">
        <f t="shared" si="7"/>
        <v xml:space="preserve"> 0</v>
      </c>
    </row>
    <row r="380" spans="6:7" x14ac:dyDescent="0.25">
      <c r="F380" s="20">
        <f t="shared" si="8"/>
        <v>0</v>
      </c>
      <c r="G380" s="8" t="str">
        <f t="shared" si="7"/>
        <v xml:space="preserve"> 0</v>
      </c>
    </row>
    <row r="381" spans="6:7" x14ac:dyDescent="0.25">
      <c r="F381" s="20">
        <f t="shared" si="8"/>
        <v>0</v>
      </c>
      <c r="G381" s="8" t="str">
        <f t="shared" si="7"/>
        <v xml:space="preserve"> 0</v>
      </c>
    </row>
    <row r="382" spans="6:7" x14ac:dyDescent="0.25">
      <c r="F382" s="20">
        <f t="shared" si="8"/>
        <v>0</v>
      </c>
      <c r="G382" s="8" t="str">
        <f t="shared" si="7"/>
        <v xml:space="preserve"> 0</v>
      </c>
    </row>
    <row r="383" spans="6:7" x14ac:dyDescent="0.25">
      <c r="F383" s="20">
        <f t="shared" si="8"/>
        <v>0</v>
      </c>
      <c r="G383" s="8" t="str">
        <f t="shared" si="7"/>
        <v xml:space="preserve"> 0</v>
      </c>
    </row>
    <row r="384" spans="6:7" x14ac:dyDescent="0.25">
      <c r="F384" s="20">
        <f t="shared" si="8"/>
        <v>0</v>
      </c>
      <c r="G384" s="8" t="str">
        <f t="shared" si="7"/>
        <v xml:space="preserve"> 0</v>
      </c>
    </row>
    <row r="385" spans="6:7" x14ac:dyDescent="0.25">
      <c r="F385" s="20">
        <f t="shared" si="8"/>
        <v>0</v>
      </c>
      <c r="G385" s="8" t="str">
        <f t="shared" si="7"/>
        <v xml:space="preserve"> 0</v>
      </c>
    </row>
    <row r="386" spans="6:7" x14ac:dyDescent="0.25">
      <c r="F386" s="20">
        <f t="shared" si="8"/>
        <v>0</v>
      </c>
      <c r="G386" s="8" t="str">
        <f t="shared" si="7"/>
        <v xml:space="preserve"> 0</v>
      </c>
    </row>
    <row r="387" spans="6:7" x14ac:dyDescent="0.25">
      <c r="F387" s="20">
        <f t="shared" si="8"/>
        <v>0</v>
      </c>
      <c r="G387" s="8" t="str">
        <f t="shared" ref="G387:G450" si="9">E387&amp;" "&amp;F387</f>
        <v xml:space="preserve"> 0</v>
      </c>
    </row>
    <row r="388" spans="6:7" x14ac:dyDescent="0.25">
      <c r="F388" s="20">
        <f t="shared" si="8"/>
        <v>0</v>
      </c>
      <c r="G388" s="8" t="str">
        <f t="shared" si="9"/>
        <v xml:space="preserve"> 0</v>
      </c>
    </row>
    <row r="389" spans="6:7" x14ac:dyDescent="0.25">
      <c r="F389" s="20">
        <f t="shared" si="8"/>
        <v>0</v>
      </c>
      <c r="G389" s="8" t="str">
        <f t="shared" si="9"/>
        <v xml:space="preserve"> 0</v>
      </c>
    </row>
    <row r="390" spans="6:7" x14ac:dyDescent="0.25">
      <c r="F390" s="20">
        <f t="shared" si="8"/>
        <v>0</v>
      </c>
      <c r="G390" s="8" t="str">
        <f t="shared" si="9"/>
        <v xml:space="preserve"> 0</v>
      </c>
    </row>
    <row r="391" spans="6:7" x14ac:dyDescent="0.25">
      <c r="F391" s="20">
        <f t="shared" si="8"/>
        <v>0</v>
      </c>
      <c r="G391" s="8" t="str">
        <f t="shared" si="9"/>
        <v xml:space="preserve"> 0</v>
      </c>
    </row>
    <row r="392" spans="6:7" x14ac:dyDescent="0.25">
      <c r="F392" s="20">
        <f t="shared" si="8"/>
        <v>0</v>
      </c>
      <c r="G392" s="8" t="str">
        <f t="shared" si="9"/>
        <v xml:space="preserve"> 0</v>
      </c>
    </row>
    <row r="393" spans="6:7" x14ac:dyDescent="0.25">
      <c r="F393" s="20">
        <f t="shared" si="8"/>
        <v>0</v>
      </c>
      <c r="G393" s="8" t="str">
        <f t="shared" si="9"/>
        <v xml:space="preserve"> 0</v>
      </c>
    </row>
    <row r="394" spans="6:7" x14ac:dyDescent="0.25">
      <c r="F394" s="20">
        <f t="shared" si="8"/>
        <v>0</v>
      </c>
      <c r="G394" s="8" t="str">
        <f t="shared" si="9"/>
        <v xml:space="preserve"> 0</v>
      </c>
    </row>
    <row r="395" spans="6:7" x14ac:dyDescent="0.25">
      <c r="F395" s="20">
        <f t="shared" si="8"/>
        <v>0</v>
      </c>
      <c r="G395" s="8" t="str">
        <f t="shared" si="9"/>
        <v xml:space="preserve"> 0</v>
      </c>
    </row>
    <row r="396" spans="6:7" x14ac:dyDescent="0.25">
      <c r="F396" s="20">
        <f t="shared" si="8"/>
        <v>0</v>
      </c>
      <c r="G396" s="8" t="str">
        <f t="shared" si="9"/>
        <v xml:space="preserve"> 0</v>
      </c>
    </row>
    <row r="397" spans="6:7" x14ac:dyDescent="0.25">
      <c r="F397" s="20">
        <f t="shared" si="8"/>
        <v>0</v>
      </c>
      <c r="G397" s="8" t="str">
        <f t="shared" si="9"/>
        <v xml:space="preserve"> 0</v>
      </c>
    </row>
    <row r="398" spans="6:7" x14ac:dyDescent="0.25">
      <c r="F398" s="20">
        <f t="shared" si="8"/>
        <v>0</v>
      </c>
      <c r="G398" s="8" t="str">
        <f t="shared" si="9"/>
        <v xml:space="preserve"> 0</v>
      </c>
    </row>
    <row r="399" spans="6:7" x14ac:dyDescent="0.25">
      <c r="F399" s="20">
        <f t="shared" si="8"/>
        <v>0</v>
      </c>
      <c r="G399" s="8" t="str">
        <f t="shared" si="9"/>
        <v xml:space="preserve"> 0</v>
      </c>
    </row>
    <row r="400" spans="6:7" x14ac:dyDescent="0.25">
      <c r="F400" s="20">
        <f t="shared" si="8"/>
        <v>0</v>
      </c>
      <c r="G400" s="8" t="str">
        <f t="shared" si="9"/>
        <v xml:space="preserve"> 0</v>
      </c>
    </row>
    <row r="401" spans="6:7" x14ac:dyDescent="0.25">
      <c r="F401" s="20">
        <f t="shared" si="8"/>
        <v>0</v>
      </c>
      <c r="G401" s="8" t="str">
        <f t="shared" si="9"/>
        <v xml:space="preserve"> 0</v>
      </c>
    </row>
    <row r="402" spans="6:7" x14ac:dyDescent="0.25">
      <c r="F402" s="20">
        <f t="shared" si="8"/>
        <v>0</v>
      </c>
      <c r="G402" s="8" t="str">
        <f t="shared" si="9"/>
        <v xml:space="preserve"> 0</v>
      </c>
    </row>
    <row r="403" spans="6:7" x14ac:dyDescent="0.25">
      <c r="F403" s="20">
        <f t="shared" si="8"/>
        <v>0</v>
      </c>
      <c r="G403" s="8" t="str">
        <f t="shared" si="9"/>
        <v xml:space="preserve"> 0</v>
      </c>
    </row>
    <row r="404" spans="6:7" x14ac:dyDescent="0.25">
      <c r="F404" s="20">
        <f t="shared" si="8"/>
        <v>0</v>
      </c>
      <c r="G404" s="8" t="str">
        <f t="shared" si="9"/>
        <v xml:space="preserve"> 0</v>
      </c>
    </row>
    <row r="405" spans="6:7" x14ac:dyDescent="0.25">
      <c r="F405" s="20">
        <f t="shared" si="8"/>
        <v>0</v>
      </c>
      <c r="G405" s="8" t="str">
        <f t="shared" si="9"/>
        <v xml:space="preserve"> 0</v>
      </c>
    </row>
    <row r="406" spans="6:7" x14ac:dyDescent="0.25">
      <c r="F406" s="20">
        <f t="shared" si="8"/>
        <v>0</v>
      </c>
      <c r="G406" s="8" t="str">
        <f t="shared" si="9"/>
        <v xml:space="preserve"> 0</v>
      </c>
    </row>
    <row r="407" spans="6:7" x14ac:dyDescent="0.25">
      <c r="F407" s="20">
        <f t="shared" si="8"/>
        <v>0</v>
      </c>
      <c r="G407" s="8" t="str">
        <f t="shared" si="9"/>
        <v xml:space="preserve"> 0</v>
      </c>
    </row>
    <row r="408" spans="6:7" x14ac:dyDescent="0.25">
      <c r="F408" s="20">
        <f t="shared" si="8"/>
        <v>0</v>
      </c>
      <c r="G408" s="8" t="str">
        <f t="shared" si="9"/>
        <v xml:space="preserve"> 0</v>
      </c>
    </row>
    <row r="409" spans="6:7" x14ac:dyDescent="0.25">
      <c r="F409" s="20">
        <f t="shared" si="8"/>
        <v>0</v>
      </c>
      <c r="G409" s="8" t="str">
        <f t="shared" si="9"/>
        <v xml:space="preserve"> 0</v>
      </c>
    </row>
    <row r="410" spans="6:7" x14ac:dyDescent="0.25">
      <c r="F410" s="20">
        <f t="shared" ref="F410:F473" si="10">B410</f>
        <v>0</v>
      </c>
      <c r="G410" s="8" t="str">
        <f t="shared" si="9"/>
        <v xml:space="preserve"> 0</v>
      </c>
    </row>
    <row r="411" spans="6:7" x14ac:dyDescent="0.25">
      <c r="F411" s="20">
        <f t="shared" si="10"/>
        <v>0</v>
      </c>
      <c r="G411" s="8" t="str">
        <f t="shared" si="9"/>
        <v xml:space="preserve"> 0</v>
      </c>
    </row>
    <row r="412" spans="6:7" x14ac:dyDescent="0.25">
      <c r="F412" s="20">
        <f t="shared" si="10"/>
        <v>0</v>
      </c>
      <c r="G412" s="8" t="str">
        <f t="shared" si="9"/>
        <v xml:space="preserve"> 0</v>
      </c>
    </row>
    <row r="413" spans="6:7" x14ac:dyDescent="0.25">
      <c r="F413" s="20">
        <f t="shared" si="10"/>
        <v>0</v>
      </c>
      <c r="G413" s="8" t="str">
        <f t="shared" si="9"/>
        <v xml:space="preserve"> 0</v>
      </c>
    </row>
    <row r="414" spans="6:7" x14ac:dyDescent="0.25">
      <c r="F414" s="20">
        <f t="shared" si="10"/>
        <v>0</v>
      </c>
      <c r="G414" s="8" t="str">
        <f t="shared" si="9"/>
        <v xml:space="preserve"> 0</v>
      </c>
    </row>
    <row r="415" spans="6:7" x14ac:dyDescent="0.25">
      <c r="F415" s="20">
        <f t="shared" si="10"/>
        <v>0</v>
      </c>
      <c r="G415" s="8" t="str">
        <f t="shared" si="9"/>
        <v xml:space="preserve"> 0</v>
      </c>
    </row>
    <row r="416" spans="6:7" x14ac:dyDescent="0.25">
      <c r="F416" s="20">
        <f t="shared" si="10"/>
        <v>0</v>
      </c>
      <c r="G416" s="8" t="str">
        <f t="shared" si="9"/>
        <v xml:space="preserve"> 0</v>
      </c>
    </row>
    <row r="417" spans="6:7" x14ac:dyDescent="0.25">
      <c r="F417" s="20">
        <f t="shared" si="10"/>
        <v>0</v>
      </c>
      <c r="G417" s="8" t="str">
        <f t="shared" si="9"/>
        <v xml:space="preserve"> 0</v>
      </c>
    </row>
    <row r="418" spans="6:7" x14ac:dyDescent="0.25">
      <c r="F418" s="20">
        <f t="shared" si="10"/>
        <v>0</v>
      </c>
      <c r="G418" s="8" t="str">
        <f t="shared" si="9"/>
        <v xml:space="preserve"> 0</v>
      </c>
    </row>
    <row r="419" spans="6:7" x14ac:dyDescent="0.25">
      <c r="F419" s="20">
        <f t="shared" si="10"/>
        <v>0</v>
      </c>
      <c r="G419" s="8" t="str">
        <f t="shared" si="9"/>
        <v xml:space="preserve"> 0</v>
      </c>
    </row>
    <row r="420" spans="6:7" x14ac:dyDescent="0.25">
      <c r="F420" s="20">
        <f t="shared" si="10"/>
        <v>0</v>
      </c>
      <c r="G420" s="8" t="str">
        <f t="shared" si="9"/>
        <v xml:space="preserve"> 0</v>
      </c>
    </row>
    <row r="421" spans="6:7" x14ac:dyDescent="0.25">
      <c r="F421" s="20">
        <f t="shared" si="10"/>
        <v>0</v>
      </c>
      <c r="G421" s="8" t="str">
        <f t="shared" si="9"/>
        <v xml:space="preserve"> 0</v>
      </c>
    </row>
    <row r="422" spans="6:7" x14ac:dyDescent="0.25">
      <c r="F422" s="20">
        <f t="shared" si="10"/>
        <v>0</v>
      </c>
      <c r="G422" s="8" t="str">
        <f t="shared" si="9"/>
        <v xml:space="preserve"> 0</v>
      </c>
    </row>
    <row r="423" spans="6:7" x14ac:dyDescent="0.25">
      <c r="F423" s="20">
        <f t="shared" si="10"/>
        <v>0</v>
      </c>
      <c r="G423" s="8" t="str">
        <f t="shared" si="9"/>
        <v xml:space="preserve"> 0</v>
      </c>
    </row>
    <row r="424" spans="6:7" x14ac:dyDescent="0.25">
      <c r="F424" s="20">
        <f t="shared" si="10"/>
        <v>0</v>
      </c>
      <c r="G424" s="8" t="str">
        <f t="shared" si="9"/>
        <v xml:space="preserve"> 0</v>
      </c>
    </row>
    <row r="425" spans="6:7" x14ac:dyDescent="0.25">
      <c r="F425" s="20">
        <f t="shared" si="10"/>
        <v>0</v>
      </c>
      <c r="G425" s="8" t="str">
        <f t="shared" si="9"/>
        <v xml:space="preserve"> 0</v>
      </c>
    </row>
    <row r="426" spans="6:7" x14ac:dyDescent="0.25">
      <c r="F426" s="20">
        <f t="shared" si="10"/>
        <v>0</v>
      </c>
      <c r="G426" s="8" t="str">
        <f t="shared" si="9"/>
        <v xml:space="preserve"> 0</v>
      </c>
    </row>
    <row r="427" spans="6:7" x14ac:dyDescent="0.25">
      <c r="F427" s="20">
        <f t="shared" si="10"/>
        <v>0</v>
      </c>
      <c r="G427" s="8" t="str">
        <f t="shared" si="9"/>
        <v xml:space="preserve"> 0</v>
      </c>
    </row>
    <row r="428" spans="6:7" x14ac:dyDescent="0.25">
      <c r="F428" s="20">
        <f t="shared" si="10"/>
        <v>0</v>
      </c>
      <c r="G428" s="8" t="str">
        <f t="shared" si="9"/>
        <v xml:space="preserve"> 0</v>
      </c>
    </row>
    <row r="429" spans="6:7" x14ac:dyDescent="0.25">
      <c r="F429" s="20">
        <f t="shared" si="10"/>
        <v>0</v>
      </c>
      <c r="G429" s="8" t="str">
        <f t="shared" si="9"/>
        <v xml:space="preserve"> 0</v>
      </c>
    </row>
    <row r="430" spans="6:7" x14ac:dyDescent="0.25">
      <c r="F430" s="20">
        <f t="shared" si="10"/>
        <v>0</v>
      </c>
      <c r="G430" s="8" t="str">
        <f t="shared" si="9"/>
        <v xml:space="preserve"> 0</v>
      </c>
    </row>
    <row r="431" spans="6:7" x14ac:dyDescent="0.25">
      <c r="F431" s="20">
        <f t="shared" si="10"/>
        <v>0</v>
      </c>
      <c r="G431" s="8" t="str">
        <f t="shared" si="9"/>
        <v xml:space="preserve"> 0</v>
      </c>
    </row>
    <row r="432" spans="6:7" x14ac:dyDescent="0.25">
      <c r="F432" s="20">
        <f t="shared" si="10"/>
        <v>0</v>
      </c>
      <c r="G432" s="8" t="str">
        <f t="shared" si="9"/>
        <v xml:space="preserve"> 0</v>
      </c>
    </row>
    <row r="433" spans="6:7" x14ac:dyDescent="0.25">
      <c r="F433" s="20">
        <f t="shared" si="10"/>
        <v>0</v>
      </c>
      <c r="G433" s="8" t="str">
        <f t="shared" si="9"/>
        <v xml:space="preserve"> 0</v>
      </c>
    </row>
    <row r="434" spans="6:7" x14ac:dyDescent="0.25">
      <c r="F434" s="20">
        <f t="shared" si="10"/>
        <v>0</v>
      </c>
      <c r="G434" s="8" t="str">
        <f t="shared" si="9"/>
        <v xml:space="preserve"> 0</v>
      </c>
    </row>
    <row r="435" spans="6:7" x14ac:dyDescent="0.25">
      <c r="F435" s="20">
        <f t="shared" si="10"/>
        <v>0</v>
      </c>
      <c r="G435" s="8" t="str">
        <f t="shared" si="9"/>
        <v xml:space="preserve"> 0</v>
      </c>
    </row>
    <row r="436" spans="6:7" x14ac:dyDescent="0.25">
      <c r="F436" s="20">
        <f t="shared" si="10"/>
        <v>0</v>
      </c>
      <c r="G436" s="8" t="str">
        <f t="shared" si="9"/>
        <v xml:space="preserve"> 0</v>
      </c>
    </row>
    <row r="437" spans="6:7" x14ac:dyDescent="0.25">
      <c r="F437" s="20">
        <f t="shared" si="10"/>
        <v>0</v>
      </c>
      <c r="G437" s="8" t="str">
        <f t="shared" si="9"/>
        <v xml:space="preserve"> 0</v>
      </c>
    </row>
    <row r="438" spans="6:7" x14ac:dyDescent="0.25">
      <c r="F438" s="20">
        <f t="shared" si="10"/>
        <v>0</v>
      </c>
      <c r="G438" s="8" t="str">
        <f t="shared" si="9"/>
        <v xml:space="preserve"> 0</v>
      </c>
    </row>
    <row r="439" spans="6:7" x14ac:dyDescent="0.25">
      <c r="F439" s="20">
        <f t="shared" si="10"/>
        <v>0</v>
      </c>
      <c r="G439" s="8" t="str">
        <f t="shared" si="9"/>
        <v xml:space="preserve"> 0</v>
      </c>
    </row>
    <row r="440" spans="6:7" x14ac:dyDescent="0.25">
      <c r="F440" s="20">
        <f t="shared" si="10"/>
        <v>0</v>
      </c>
      <c r="G440" s="8" t="str">
        <f t="shared" si="9"/>
        <v xml:space="preserve"> 0</v>
      </c>
    </row>
    <row r="441" spans="6:7" x14ac:dyDescent="0.25">
      <c r="F441" s="20">
        <f t="shared" si="10"/>
        <v>0</v>
      </c>
      <c r="G441" s="8" t="str">
        <f t="shared" si="9"/>
        <v xml:space="preserve"> 0</v>
      </c>
    </row>
    <row r="442" spans="6:7" x14ac:dyDescent="0.25">
      <c r="F442" s="20">
        <f t="shared" si="10"/>
        <v>0</v>
      </c>
      <c r="G442" s="8" t="str">
        <f t="shared" si="9"/>
        <v xml:space="preserve"> 0</v>
      </c>
    </row>
    <row r="443" spans="6:7" x14ac:dyDescent="0.25">
      <c r="F443" s="20">
        <f t="shared" si="10"/>
        <v>0</v>
      </c>
      <c r="G443" s="8" t="str">
        <f t="shared" si="9"/>
        <v xml:space="preserve"> 0</v>
      </c>
    </row>
    <row r="444" spans="6:7" x14ac:dyDescent="0.25">
      <c r="F444" s="20">
        <f t="shared" si="10"/>
        <v>0</v>
      </c>
      <c r="G444" s="8" t="str">
        <f t="shared" si="9"/>
        <v xml:space="preserve"> 0</v>
      </c>
    </row>
    <row r="445" spans="6:7" x14ac:dyDescent="0.25">
      <c r="F445" s="20">
        <f t="shared" si="10"/>
        <v>0</v>
      </c>
      <c r="G445" s="8" t="str">
        <f t="shared" si="9"/>
        <v xml:space="preserve"> 0</v>
      </c>
    </row>
    <row r="446" spans="6:7" x14ac:dyDescent="0.25">
      <c r="F446" s="20">
        <f t="shared" si="10"/>
        <v>0</v>
      </c>
      <c r="G446" s="8" t="str">
        <f t="shared" si="9"/>
        <v xml:space="preserve"> 0</v>
      </c>
    </row>
    <row r="447" spans="6:7" x14ac:dyDescent="0.25">
      <c r="F447" s="20">
        <f t="shared" si="10"/>
        <v>0</v>
      </c>
      <c r="G447" s="8" t="str">
        <f t="shared" si="9"/>
        <v xml:space="preserve"> 0</v>
      </c>
    </row>
    <row r="448" spans="6:7" x14ac:dyDescent="0.25">
      <c r="F448" s="20">
        <f t="shared" si="10"/>
        <v>0</v>
      </c>
      <c r="G448" s="8" t="str">
        <f t="shared" si="9"/>
        <v xml:space="preserve"> 0</v>
      </c>
    </row>
    <row r="449" spans="6:7" x14ac:dyDescent="0.25">
      <c r="F449" s="20">
        <f t="shared" si="10"/>
        <v>0</v>
      </c>
      <c r="G449" s="8" t="str">
        <f t="shared" si="9"/>
        <v xml:space="preserve"> 0</v>
      </c>
    </row>
    <row r="450" spans="6:7" x14ac:dyDescent="0.25">
      <c r="F450" s="20">
        <f t="shared" si="10"/>
        <v>0</v>
      </c>
      <c r="G450" s="8" t="str">
        <f t="shared" si="9"/>
        <v xml:space="preserve"> 0</v>
      </c>
    </row>
    <row r="451" spans="6:7" x14ac:dyDescent="0.25">
      <c r="F451" s="20">
        <f t="shared" si="10"/>
        <v>0</v>
      </c>
      <c r="G451" s="8" t="str">
        <f t="shared" ref="G451:G514" si="11">E451&amp;" "&amp;F451</f>
        <v xml:space="preserve"> 0</v>
      </c>
    </row>
    <row r="452" spans="6:7" x14ac:dyDescent="0.25">
      <c r="F452" s="20">
        <f t="shared" si="10"/>
        <v>0</v>
      </c>
      <c r="G452" s="8" t="str">
        <f t="shared" si="11"/>
        <v xml:space="preserve"> 0</v>
      </c>
    </row>
    <row r="453" spans="6:7" x14ac:dyDescent="0.25">
      <c r="F453" s="20">
        <f t="shared" si="10"/>
        <v>0</v>
      </c>
      <c r="G453" s="8" t="str">
        <f t="shared" si="11"/>
        <v xml:space="preserve"> 0</v>
      </c>
    </row>
    <row r="454" spans="6:7" x14ac:dyDescent="0.25">
      <c r="F454" s="20">
        <f t="shared" si="10"/>
        <v>0</v>
      </c>
      <c r="G454" s="8" t="str">
        <f t="shared" si="11"/>
        <v xml:space="preserve"> 0</v>
      </c>
    </row>
    <row r="455" spans="6:7" x14ac:dyDescent="0.25">
      <c r="F455" s="20">
        <f t="shared" si="10"/>
        <v>0</v>
      </c>
      <c r="G455" s="8" t="str">
        <f t="shared" si="11"/>
        <v xml:space="preserve"> 0</v>
      </c>
    </row>
    <row r="456" spans="6:7" x14ac:dyDescent="0.25">
      <c r="F456" s="20">
        <f t="shared" si="10"/>
        <v>0</v>
      </c>
      <c r="G456" s="8" t="str">
        <f t="shared" si="11"/>
        <v xml:space="preserve"> 0</v>
      </c>
    </row>
    <row r="457" spans="6:7" x14ac:dyDescent="0.25">
      <c r="F457" s="20">
        <f t="shared" si="10"/>
        <v>0</v>
      </c>
      <c r="G457" s="8" t="str">
        <f t="shared" si="11"/>
        <v xml:space="preserve"> 0</v>
      </c>
    </row>
    <row r="458" spans="6:7" x14ac:dyDescent="0.25">
      <c r="F458" s="20">
        <f t="shared" si="10"/>
        <v>0</v>
      </c>
      <c r="G458" s="8" t="str">
        <f t="shared" si="11"/>
        <v xml:space="preserve"> 0</v>
      </c>
    </row>
    <row r="459" spans="6:7" x14ac:dyDescent="0.25">
      <c r="F459" s="20">
        <f t="shared" si="10"/>
        <v>0</v>
      </c>
      <c r="G459" s="8" t="str">
        <f t="shared" si="11"/>
        <v xml:space="preserve"> 0</v>
      </c>
    </row>
    <row r="460" spans="6:7" x14ac:dyDescent="0.25">
      <c r="F460" s="20">
        <f t="shared" si="10"/>
        <v>0</v>
      </c>
      <c r="G460" s="8" t="str">
        <f t="shared" si="11"/>
        <v xml:space="preserve"> 0</v>
      </c>
    </row>
    <row r="461" spans="6:7" x14ac:dyDescent="0.25">
      <c r="F461" s="20">
        <f t="shared" si="10"/>
        <v>0</v>
      </c>
      <c r="G461" s="8" t="str">
        <f t="shared" si="11"/>
        <v xml:space="preserve"> 0</v>
      </c>
    </row>
    <row r="462" spans="6:7" x14ac:dyDescent="0.25">
      <c r="F462" s="20">
        <f t="shared" si="10"/>
        <v>0</v>
      </c>
      <c r="G462" s="8" t="str">
        <f t="shared" si="11"/>
        <v xml:space="preserve"> 0</v>
      </c>
    </row>
    <row r="463" spans="6:7" x14ac:dyDescent="0.25">
      <c r="F463" s="20">
        <f t="shared" si="10"/>
        <v>0</v>
      </c>
      <c r="G463" s="8" t="str">
        <f t="shared" si="11"/>
        <v xml:space="preserve"> 0</v>
      </c>
    </row>
    <row r="464" spans="6:7" x14ac:dyDescent="0.25">
      <c r="F464" s="20">
        <f t="shared" si="10"/>
        <v>0</v>
      </c>
      <c r="G464" s="8" t="str">
        <f t="shared" si="11"/>
        <v xml:space="preserve"> 0</v>
      </c>
    </row>
    <row r="465" spans="6:7" x14ac:dyDescent="0.25">
      <c r="F465" s="20">
        <f t="shared" si="10"/>
        <v>0</v>
      </c>
      <c r="G465" s="8" t="str">
        <f t="shared" si="11"/>
        <v xml:space="preserve"> 0</v>
      </c>
    </row>
    <row r="466" spans="6:7" x14ac:dyDescent="0.25">
      <c r="F466" s="20">
        <f t="shared" si="10"/>
        <v>0</v>
      </c>
      <c r="G466" s="8" t="str">
        <f t="shared" si="11"/>
        <v xml:space="preserve"> 0</v>
      </c>
    </row>
    <row r="467" spans="6:7" x14ac:dyDescent="0.25">
      <c r="F467" s="20">
        <f t="shared" si="10"/>
        <v>0</v>
      </c>
      <c r="G467" s="8" t="str">
        <f t="shared" si="11"/>
        <v xml:space="preserve"> 0</v>
      </c>
    </row>
    <row r="468" spans="6:7" x14ac:dyDescent="0.25">
      <c r="F468" s="20">
        <f t="shared" si="10"/>
        <v>0</v>
      </c>
      <c r="G468" s="8" t="str">
        <f t="shared" si="11"/>
        <v xml:space="preserve"> 0</v>
      </c>
    </row>
    <row r="469" spans="6:7" x14ac:dyDescent="0.25">
      <c r="F469" s="20">
        <f t="shared" si="10"/>
        <v>0</v>
      </c>
      <c r="G469" s="8" t="str">
        <f t="shared" si="11"/>
        <v xml:space="preserve"> 0</v>
      </c>
    </row>
    <row r="470" spans="6:7" x14ac:dyDescent="0.25">
      <c r="F470" s="20">
        <f t="shared" si="10"/>
        <v>0</v>
      </c>
      <c r="G470" s="8" t="str">
        <f t="shared" si="11"/>
        <v xml:space="preserve"> 0</v>
      </c>
    </row>
    <row r="471" spans="6:7" x14ac:dyDescent="0.25">
      <c r="F471" s="20">
        <f t="shared" si="10"/>
        <v>0</v>
      </c>
      <c r="G471" s="8" t="str">
        <f t="shared" si="11"/>
        <v xml:space="preserve"> 0</v>
      </c>
    </row>
    <row r="472" spans="6:7" x14ac:dyDescent="0.25">
      <c r="F472" s="20">
        <f t="shared" si="10"/>
        <v>0</v>
      </c>
      <c r="G472" s="8" t="str">
        <f t="shared" si="11"/>
        <v xml:space="preserve"> 0</v>
      </c>
    </row>
    <row r="473" spans="6:7" x14ac:dyDescent="0.25">
      <c r="F473" s="20">
        <f t="shared" si="10"/>
        <v>0</v>
      </c>
      <c r="G473" s="8" t="str">
        <f t="shared" si="11"/>
        <v xml:space="preserve"> 0</v>
      </c>
    </row>
    <row r="474" spans="6:7" x14ac:dyDescent="0.25">
      <c r="F474" s="20">
        <f t="shared" ref="F474:F537" si="12">B474</f>
        <v>0</v>
      </c>
      <c r="G474" s="8" t="str">
        <f t="shared" si="11"/>
        <v xml:space="preserve"> 0</v>
      </c>
    </row>
    <row r="475" spans="6:7" x14ac:dyDescent="0.25">
      <c r="F475" s="20">
        <f t="shared" si="12"/>
        <v>0</v>
      </c>
      <c r="G475" s="8" t="str">
        <f t="shared" si="11"/>
        <v xml:space="preserve"> 0</v>
      </c>
    </row>
    <row r="476" spans="6:7" x14ac:dyDescent="0.25">
      <c r="F476" s="20">
        <f t="shared" si="12"/>
        <v>0</v>
      </c>
      <c r="G476" s="8" t="str">
        <f t="shared" si="11"/>
        <v xml:space="preserve"> 0</v>
      </c>
    </row>
    <row r="477" spans="6:7" x14ac:dyDescent="0.25">
      <c r="F477" s="20">
        <f t="shared" si="12"/>
        <v>0</v>
      </c>
      <c r="G477" s="8" t="str">
        <f t="shared" si="11"/>
        <v xml:space="preserve"> 0</v>
      </c>
    </row>
    <row r="478" spans="6:7" x14ac:dyDescent="0.25">
      <c r="F478" s="20">
        <f t="shared" si="12"/>
        <v>0</v>
      </c>
      <c r="G478" s="8" t="str">
        <f t="shared" si="11"/>
        <v xml:space="preserve"> 0</v>
      </c>
    </row>
    <row r="479" spans="6:7" x14ac:dyDescent="0.25">
      <c r="F479" s="20">
        <f t="shared" si="12"/>
        <v>0</v>
      </c>
      <c r="G479" s="8" t="str">
        <f t="shared" si="11"/>
        <v xml:space="preserve"> 0</v>
      </c>
    </row>
    <row r="480" spans="6:7" x14ac:dyDescent="0.25">
      <c r="F480" s="20">
        <f t="shared" si="12"/>
        <v>0</v>
      </c>
      <c r="G480" s="8" t="str">
        <f t="shared" si="11"/>
        <v xml:space="preserve"> 0</v>
      </c>
    </row>
    <row r="481" spans="6:7" x14ac:dyDescent="0.25">
      <c r="F481" s="20">
        <f t="shared" si="12"/>
        <v>0</v>
      </c>
      <c r="G481" s="8" t="str">
        <f t="shared" si="11"/>
        <v xml:space="preserve"> 0</v>
      </c>
    </row>
    <row r="482" spans="6:7" x14ac:dyDescent="0.25">
      <c r="F482" s="20">
        <f t="shared" si="12"/>
        <v>0</v>
      </c>
      <c r="G482" s="8" t="str">
        <f t="shared" si="11"/>
        <v xml:space="preserve"> 0</v>
      </c>
    </row>
    <row r="483" spans="6:7" x14ac:dyDescent="0.25">
      <c r="F483" s="20">
        <f t="shared" si="12"/>
        <v>0</v>
      </c>
      <c r="G483" s="8" t="str">
        <f t="shared" si="11"/>
        <v xml:space="preserve"> 0</v>
      </c>
    </row>
    <row r="484" spans="6:7" x14ac:dyDescent="0.25">
      <c r="F484" s="20">
        <f t="shared" si="12"/>
        <v>0</v>
      </c>
      <c r="G484" s="8" t="str">
        <f t="shared" si="11"/>
        <v xml:space="preserve"> 0</v>
      </c>
    </row>
    <row r="485" spans="6:7" x14ac:dyDescent="0.25">
      <c r="F485" s="20">
        <f t="shared" si="12"/>
        <v>0</v>
      </c>
      <c r="G485" s="8" t="str">
        <f t="shared" si="11"/>
        <v xml:space="preserve"> 0</v>
      </c>
    </row>
    <row r="486" spans="6:7" x14ac:dyDescent="0.25">
      <c r="F486" s="20">
        <f t="shared" si="12"/>
        <v>0</v>
      </c>
      <c r="G486" s="8" t="str">
        <f t="shared" si="11"/>
        <v xml:space="preserve"> 0</v>
      </c>
    </row>
    <row r="487" spans="6:7" x14ac:dyDescent="0.25">
      <c r="F487" s="20">
        <f t="shared" si="12"/>
        <v>0</v>
      </c>
      <c r="G487" s="8" t="str">
        <f t="shared" si="11"/>
        <v xml:space="preserve"> 0</v>
      </c>
    </row>
    <row r="488" spans="6:7" x14ac:dyDescent="0.25">
      <c r="F488" s="20">
        <f t="shared" si="12"/>
        <v>0</v>
      </c>
      <c r="G488" s="8" t="str">
        <f t="shared" si="11"/>
        <v xml:space="preserve"> 0</v>
      </c>
    </row>
    <row r="489" spans="6:7" x14ac:dyDescent="0.25">
      <c r="F489" s="20">
        <f t="shared" si="12"/>
        <v>0</v>
      </c>
      <c r="G489" s="8" t="str">
        <f t="shared" si="11"/>
        <v xml:space="preserve"> 0</v>
      </c>
    </row>
    <row r="490" spans="6:7" x14ac:dyDescent="0.25">
      <c r="F490" s="20">
        <f t="shared" si="12"/>
        <v>0</v>
      </c>
      <c r="G490" s="8" t="str">
        <f t="shared" si="11"/>
        <v xml:space="preserve"> 0</v>
      </c>
    </row>
    <row r="491" spans="6:7" x14ac:dyDescent="0.25">
      <c r="F491" s="20">
        <f t="shared" si="12"/>
        <v>0</v>
      </c>
      <c r="G491" s="8" t="str">
        <f t="shared" si="11"/>
        <v xml:space="preserve"> 0</v>
      </c>
    </row>
    <row r="492" spans="6:7" x14ac:dyDescent="0.25">
      <c r="F492" s="20">
        <f t="shared" si="12"/>
        <v>0</v>
      </c>
      <c r="G492" s="8" t="str">
        <f t="shared" si="11"/>
        <v xml:space="preserve"> 0</v>
      </c>
    </row>
    <row r="493" spans="6:7" x14ac:dyDescent="0.25">
      <c r="F493" s="20">
        <f t="shared" si="12"/>
        <v>0</v>
      </c>
      <c r="G493" s="8" t="str">
        <f t="shared" si="11"/>
        <v xml:space="preserve"> 0</v>
      </c>
    </row>
    <row r="494" spans="6:7" x14ac:dyDescent="0.25">
      <c r="F494" s="20">
        <f t="shared" si="12"/>
        <v>0</v>
      </c>
      <c r="G494" s="8" t="str">
        <f t="shared" si="11"/>
        <v xml:space="preserve"> 0</v>
      </c>
    </row>
    <row r="495" spans="6:7" x14ac:dyDescent="0.25">
      <c r="F495" s="20">
        <f t="shared" si="12"/>
        <v>0</v>
      </c>
      <c r="G495" s="8" t="str">
        <f t="shared" si="11"/>
        <v xml:space="preserve"> 0</v>
      </c>
    </row>
    <row r="496" spans="6:7" x14ac:dyDescent="0.25">
      <c r="F496" s="20">
        <f t="shared" si="12"/>
        <v>0</v>
      </c>
      <c r="G496" s="8" t="str">
        <f t="shared" si="11"/>
        <v xml:space="preserve"> 0</v>
      </c>
    </row>
    <row r="497" spans="6:7" x14ac:dyDescent="0.25">
      <c r="F497" s="20">
        <f t="shared" si="12"/>
        <v>0</v>
      </c>
      <c r="G497" s="8" t="str">
        <f t="shared" si="11"/>
        <v xml:space="preserve"> 0</v>
      </c>
    </row>
    <row r="498" spans="6:7" x14ac:dyDescent="0.25">
      <c r="F498" s="20">
        <f t="shared" si="12"/>
        <v>0</v>
      </c>
      <c r="G498" s="8" t="str">
        <f t="shared" si="11"/>
        <v xml:space="preserve"> 0</v>
      </c>
    </row>
    <row r="499" spans="6:7" x14ac:dyDescent="0.25">
      <c r="F499" s="20">
        <f t="shared" si="12"/>
        <v>0</v>
      </c>
      <c r="G499" s="8" t="str">
        <f t="shared" si="11"/>
        <v xml:space="preserve"> 0</v>
      </c>
    </row>
    <row r="500" spans="6:7" x14ac:dyDescent="0.25">
      <c r="F500" s="20">
        <f t="shared" si="12"/>
        <v>0</v>
      </c>
      <c r="G500" s="8" t="str">
        <f t="shared" si="11"/>
        <v xml:space="preserve"> 0</v>
      </c>
    </row>
    <row r="501" spans="6:7" x14ac:dyDescent="0.25">
      <c r="F501" s="20">
        <f t="shared" si="12"/>
        <v>0</v>
      </c>
      <c r="G501" s="8" t="str">
        <f t="shared" si="11"/>
        <v xml:space="preserve"> 0</v>
      </c>
    </row>
    <row r="502" spans="6:7" x14ac:dyDescent="0.25">
      <c r="F502" s="20">
        <f t="shared" si="12"/>
        <v>0</v>
      </c>
      <c r="G502" s="8" t="str">
        <f t="shared" si="11"/>
        <v xml:space="preserve"> 0</v>
      </c>
    </row>
    <row r="503" spans="6:7" x14ac:dyDescent="0.25">
      <c r="F503" s="20">
        <f t="shared" si="12"/>
        <v>0</v>
      </c>
      <c r="G503" s="8" t="str">
        <f t="shared" si="11"/>
        <v xml:space="preserve"> 0</v>
      </c>
    </row>
    <row r="504" spans="6:7" x14ac:dyDescent="0.25">
      <c r="F504" s="20">
        <f t="shared" si="12"/>
        <v>0</v>
      </c>
      <c r="G504" s="8" t="str">
        <f t="shared" si="11"/>
        <v xml:space="preserve"> 0</v>
      </c>
    </row>
    <row r="505" spans="6:7" x14ac:dyDescent="0.25">
      <c r="F505" s="20">
        <f t="shared" si="12"/>
        <v>0</v>
      </c>
      <c r="G505" s="8" t="str">
        <f t="shared" si="11"/>
        <v xml:space="preserve"> 0</v>
      </c>
    </row>
    <row r="506" spans="6:7" x14ac:dyDescent="0.25">
      <c r="F506" s="20">
        <f t="shared" si="12"/>
        <v>0</v>
      </c>
      <c r="G506" s="8" t="str">
        <f t="shared" si="11"/>
        <v xml:space="preserve"> 0</v>
      </c>
    </row>
    <row r="507" spans="6:7" x14ac:dyDescent="0.25">
      <c r="F507" s="20">
        <f t="shared" si="12"/>
        <v>0</v>
      </c>
      <c r="G507" s="8" t="str">
        <f t="shared" si="11"/>
        <v xml:space="preserve"> 0</v>
      </c>
    </row>
    <row r="508" spans="6:7" x14ac:dyDescent="0.25">
      <c r="F508" s="20">
        <f t="shared" si="12"/>
        <v>0</v>
      </c>
      <c r="G508" s="8" t="str">
        <f t="shared" si="11"/>
        <v xml:space="preserve"> 0</v>
      </c>
    </row>
    <row r="509" spans="6:7" x14ac:dyDescent="0.25">
      <c r="F509" s="20">
        <f t="shared" si="12"/>
        <v>0</v>
      </c>
      <c r="G509" s="8" t="str">
        <f t="shared" si="11"/>
        <v xml:space="preserve"> 0</v>
      </c>
    </row>
    <row r="510" spans="6:7" x14ac:dyDescent="0.25">
      <c r="F510" s="20">
        <f t="shared" si="12"/>
        <v>0</v>
      </c>
      <c r="G510" s="8" t="str">
        <f t="shared" si="11"/>
        <v xml:space="preserve"> 0</v>
      </c>
    </row>
    <row r="511" spans="6:7" x14ac:dyDescent="0.25">
      <c r="F511" s="20">
        <f t="shared" si="12"/>
        <v>0</v>
      </c>
      <c r="G511" s="8" t="str">
        <f t="shared" si="11"/>
        <v xml:space="preserve"> 0</v>
      </c>
    </row>
    <row r="512" spans="6:7" x14ac:dyDescent="0.25">
      <c r="F512" s="20">
        <f t="shared" si="12"/>
        <v>0</v>
      </c>
      <c r="G512" s="8" t="str">
        <f t="shared" si="11"/>
        <v xml:space="preserve"> 0</v>
      </c>
    </row>
    <row r="513" spans="6:7" x14ac:dyDescent="0.25">
      <c r="F513" s="20">
        <f t="shared" si="12"/>
        <v>0</v>
      </c>
      <c r="G513" s="8" t="str">
        <f t="shared" si="11"/>
        <v xml:space="preserve"> 0</v>
      </c>
    </row>
    <row r="514" spans="6:7" x14ac:dyDescent="0.25">
      <c r="F514" s="20">
        <f t="shared" si="12"/>
        <v>0</v>
      </c>
      <c r="G514" s="8" t="str">
        <f t="shared" si="11"/>
        <v xml:space="preserve"> 0</v>
      </c>
    </row>
    <row r="515" spans="6:7" x14ac:dyDescent="0.25">
      <c r="F515" s="20">
        <f t="shared" si="12"/>
        <v>0</v>
      </c>
      <c r="G515" s="8" t="str">
        <f t="shared" ref="G515:G543" si="13">E515&amp;" "&amp;F515</f>
        <v xml:space="preserve"> 0</v>
      </c>
    </row>
    <row r="516" spans="6:7" x14ac:dyDescent="0.25">
      <c r="F516" s="20">
        <f t="shared" si="12"/>
        <v>0</v>
      </c>
      <c r="G516" s="8" t="str">
        <f t="shared" si="13"/>
        <v xml:space="preserve"> 0</v>
      </c>
    </row>
    <row r="517" spans="6:7" x14ac:dyDescent="0.25">
      <c r="F517" s="20">
        <f t="shared" si="12"/>
        <v>0</v>
      </c>
      <c r="G517" s="8" t="str">
        <f t="shared" si="13"/>
        <v xml:space="preserve"> 0</v>
      </c>
    </row>
    <row r="518" spans="6:7" x14ac:dyDescent="0.25">
      <c r="F518" s="20">
        <f t="shared" si="12"/>
        <v>0</v>
      </c>
      <c r="G518" s="8" t="str">
        <f t="shared" si="13"/>
        <v xml:space="preserve"> 0</v>
      </c>
    </row>
    <row r="519" spans="6:7" x14ac:dyDescent="0.25">
      <c r="F519" s="20">
        <f t="shared" si="12"/>
        <v>0</v>
      </c>
      <c r="G519" s="8" t="str">
        <f t="shared" si="13"/>
        <v xml:space="preserve"> 0</v>
      </c>
    </row>
    <row r="520" spans="6:7" x14ac:dyDescent="0.25">
      <c r="F520" s="20">
        <f t="shared" si="12"/>
        <v>0</v>
      </c>
      <c r="G520" s="8" t="str">
        <f t="shared" si="13"/>
        <v xml:space="preserve"> 0</v>
      </c>
    </row>
    <row r="521" spans="6:7" x14ac:dyDescent="0.25">
      <c r="F521" s="20">
        <f t="shared" si="12"/>
        <v>0</v>
      </c>
      <c r="G521" s="8" t="str">
        <f t="shared" si="13"/>
        <v xml:space="preserve"> 0</v>
      </c>
    </row>
    <row r="522" spans="6:7" x14ac:dyDescent="0.25">
      <c r="F522" s="20">
        <f t="shared" si="12"/>
        <v>0</v>
      </c>
      <c r="G522" s="8" t="str">
        <f t="shared" si="13"/>
        <v xml:space="preserve"> 0</v>
      </c>
    </row>
    <row r="523" spans="6:7" x14ac:dyDescent="0.25">
      <c r="F523" s="20">
        <f t="shared" si="12"/>
        <v>0</v>
      </c>
      <c r="G523" s="8" t="str">
        <f t="shared" si="13"/>
        <v xml:space="preserve"> 0</v>
      </c>
    </row>
    <row r="524" spans="6:7" x14ac:dyDescent="0.25">
      <c r="F524" s="20">
        <f t="shared" si="12"/>
        <v>0</v>
      </c>
      <c r="G524" s="8" t="str">
        <f t="shared" si="13"/>
        <v xml:space="preserve"> 0</v>
      </c>
    </row>
    <row r="525" spans="6:7" x14ac:dyDescent="0.25">
      <c r="F525" s="20">
        <f t="shared" si="12"/>
        <v>0</v>
      </c>
      <c r="G525" s="8" t="str">
        <f t="shared" si="13"/>
        <v xml:space="preserve"> 0</v>
      </c>
    </row>
    <row r="526" spans="6:7" x14ac:dyDescent="0.25">
      <c r="F526" s="20">
        <f t="shared" si="12"/>
        <v>0</v>
      </c>
      <c r="G526" s="8" t="str">
        <f t="shared" si="13"/>
        <v xml:space="preserve"> 0</v>
      </c>
    </row>
    <row r="527" spans="6:7" x14ac:dyDescent="0.25">
      <c r="F527" s="20">
        <f t="shared" si="12"/>
        <v>0</v>
      </c>
      <c r="G527" s="8" t="str">
        <f t="shared" si="13"/>
        <v xml:space="preserve"> 0</v>
      </c>
    </row>
    <row r="528" spans="6:7" x14ac:dyDescent="0.25">
      <c r="F528" s="20">
        <f t="shared" si="12"/>
        <v>0</v>
      </c>
      <c r="G528" s="8" t="str">
        <f t="shared" si="13"/>
        <v xml:space="preserve"> 0</v>
      </c>
    </row>
    <row r="529" spans="6:7" x14ac:dyDescent="0.25">
      <c r="F529" s="20">
        <f t="shared" si="12"/>
        <v>0</v>
      </c>
      <c r="G529" s="8" t="str">
        <f t="shared" si="13"/>
        <v xml:space="preserve"> 0</v>
      </c>
    </row>
    <row r="530" spans="6:7" x14ac:dyDescent="0.25">
      <c r="F530" s="20">
        <f t="shared" si="12"/>
        <v>0</v>
      </c>
      <c r="G530" s="8" t="str">
        <f t="shared" si="13"/>
        <v xml:space="preserve"> 0</v>
      </c>
    </row>
    <row r="531" spans="6:7" x14ac:dyDescent="0.25">
      <c r="F531" s="20">
        <f t="shared" si="12"/>
        <v>0</v>
      </c>
      <c r="G531" s="8" t="str">
        <f t="shared" si="13"/>
        <v xml:space="preserve"> 0</v>
      </c>
    </row>
    <row r="532" spans="6:7" x14ac:dyDescent="0.25">
      <c r="F532" s="20">
        <f t="shared" si="12"/>
        <v>0</v>
      </c>
      <c r="G532" s="8" t="str">
        <f t="shared" si="13"/>
        <v xml:space="preserve"> 0</v>
      </c>
    </row>
    <row r="533" spans="6:7" x14ac:dyDescent="0.25">
      <c r="F533" s="20">
        <f t="shared" si="12"/>
        <v>0</v>
      </c>
      <c r="G533" s="8" t="str">
        <f t="shared" si="13"/>
        <v xml:space="preserve"> 0</v>
      </c>
    </row>
    <row r="534" spans="6:7" x14ac:dyDescent="0.25">
      <c r="F534" s="20">
        <f t="shared" si="12"/>
        <v>0</v>
      </c>
      <c r="G534" s="8" t="str">
        <f t="shared" si="13"/>
        <v xml:space="preserve"> 0</v>
      </c>
    </row>
    <row r="535" spans="6:7" x14ac:dyDescent="0.25">
      <c r="F535" s="20">
        <f t="shared" si="12"/>
        <v>0</v>
      </c>
      <c r="G535" s="8" t="str">
        <f t="shared" si="13"/>
        <v xml:space="preserve"> 0</v>
      </c>
    </row>
    <row r="536" spans="6:7" x14ac:dyDescent="0.25">
      <c r="F536" s="20">
        <f t="shared" si="12"/>
        <v>0</v>
      </c>
      <c r="G536" s="8" t="str">
        <f t="shared" si="13"/>
        <v xml:space="preserve"> 0</v>
      </c>
    </row>
    <row r="537" spans="6:7" x14ac:dyDescent="0.25">
      <c r="F537" s="20">
        <f t="shared" si="12"/>
        <v>0</v>
      </c>
      <c r="G537" s="8" t="str">
        <f t="shared" si="13"/>
        <v xml:space="preserve"> 0</v>
      </c>
    </row>
    <row r="538" spans="6:7" x14ac:dyDescent="0.25">
      <c r="F538" s="20">
        <f t="shared" ref="F538:F543" si="14">B538</f>
        <v>0</v>
      </c>
      <c r="G538" s="8" t="str">
        <f t="shared" si="13"/>
        <v xml:space="preserve"> 0</v>
      </c>
    </row>
    <row r="539" spans="6:7" x14ac:dyDescent="0.25">
      <c r="F539" s="20">
        <f t="shared" si="14"/>
        <v>0</v>
      </c>
      <c r="G539" s="8" t="str">
        <f t="shared" si="13"/>
        <v xml:space="preserve"> 0</v>
      </c>
    </row>
    <row r="540" spans="6:7" x14ac:dyDescent="0.25">
      <c r="F540" s="20">
        <f t="shared" si="14"/>
        <v>0</v>
      </c>
      <c r="G540" s="8" t="str">
        <f t="shared" si="13"/>
        <v xml:space="preserve"> 0</v>
      </c>
    </row>
    <row r="541" spans="6:7" x14ac:dyDescent="0.25">
      <c r="F541" s="20">
        <f t="shared" si="14"/>
        <v>0</v>
      </c>
      <c r="G541" s="8" t="str">
        <f t="shared" si="13"/>
        <v xml:space="preserve"> 0</v>
      </c>
    </row>
    <row r="542" spans="6:7" x14ac:dyDescent="0.25">
      <c r="F542" s="20">
        <f t="shared" si="14"/>
        <v>0</v>
      </c>
      <c r="G542" s="8" t="str">
        <f t="shared" si="13"/>
        <v xml:space="preserve"> 0</v>
      </c>
    </row>
    <row r="543" spans="6:7" x14ac:dyDescent="0.25">
      <c r="F543" s="20">
        <f t="shared" si="14"/>
        <v>0</v>
      </c>
      <c r="G543" s="8" t="str">
        <f t="shared" si="13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>
      <selection sqref="A1:P29"/>
    </sheetView>
  </sheetViews>
  <sheetFormatPr defaultRowHeight="15" x14ac:dyDescent="0.25"/>
  <cols>
    <col min="1" max="1" width="22.5703125" style="153" customWidth="1"/>
    <col min="2" max="2" width="8.42578125" style="153" bestFit="1" customWidth="1"/>
    <col min="3" max="3" width="12.5703125" style="153" bestFit="1" customWidth="1"/>
    <col min="4" max="4" width="18.5703125" style="142" bestFit="1" customWidth="1"/>
    <col min="5" max="5" width="9.85546875" style="153" bestFit="1" customWidth="1"/>
    <col min="6" max="6" width="9" style="153" bestFit="1" customWidth="1"/>
    <col min="7" max="7" width="8.85546875" style="153" bestFit="1" customWidth="1"/>
    <col min="8" max="8" width="14" style="153" bestFit="1" customWidth="1"/>
    <col min="9" max="9" width="21.140625" style="153" bestFit="1" customWidth="1"/>
    <col min="10" max="10" width="8.7109375" style="153" bestFit="1" customWidth="1"/>
    <col min="11" max="11" width="11.28515625" style="153" bestFit="1" customWidth="1"/>
    <col min="12" max="12" width="11" style="153" bestFit="1" customWidth="1"/>
    <col min="13" max="13" width="11.28515625" style="153" bestFit="1" customWidth="1"/>
    <col min="14" max="14" width="13.7109375" style="153" bestFit="1" customWidth="1"/>
    <col min="15" max="15" width="14.85546875" style="153" bestFit="1" customWidth="1"/>
    <col min="16" max="16" width="16.7109375" style="153" bestFit="1" customWidth="1"/>
    <col min="17" max="17" width="9.42578125" style="122" bestFit="1" customWidth="1"/>
    <col min="18" max="16384" width="9.140625" style="122"/>
  </cols>
  <sheetData>
    <row r="1" spans="1:18" s="123" customFormat="1" x14ac:dyDescent="0.25">
      <c r="A1" s="190" t="s">
        <v>162</v>
      </c>
      <c r="B1" s="190" t="s">
        <v>165</v>
      </c>
      <c r="C1" s="190" t="s">
        <v>158</v>
      </c>
      <c r="D1" s="148" t="s">
        <v>170</v>
      </c>
      <c r="E1" s="190" t="s">
        <v>159</v>
      </c>
      <c r="F1" s="190" t="s">
        <v>157</v>
      </c>
      <c r="G1" s="190" t="s">
        <v>155</v>
      </c>
      <c r="H1" s="190" t="s">
        <v>168</v>
      </c>
      <c r="I1" s="190" t="s">
        <v>169</v>
      </c>
      <c r="J1" s="190" t="s">
        <v>163</v>
      </c>
      <c r="K1" s="190" t="s">
        <v>161</v>
      </c>
      <c r="L1" s="190" t="s">
        <v>156</v>
      </c>
      <c r="M1" s="190" t="s">
        <v>166</v>
      </c>
      <c r="N1" s="190" t="s">
        <v>160</v>
      </c>
      <c r="O1" s="190" t="s">
        <v>167</v>
      </c>
      <c r="P1" s="190" t="s">
        <v>164</v>
      </c>
      <c r="Q1"/>
      <c r="R1"/>
    </row>
    <row r="2" spans="1:18" x14ac:dyDescent="0.25">
      <c r="A2" s="168">
        <v>56.06</v>
      </c>
      <c r="B2" s="168">
        <v>0.63</v>
      </c>
      <c r="C2" s="168">
        <v>24.79</v>
      </c>
      <c r="D2" s="8">
        <v>42811</v>
      </c>
      <c r="E2" s="168">
        <v>0.3</v>
      </c>
      <c r="F2" s="168" t="s">
        <v>375</v>
      </c>
      <c r="G2" s="168">
        <v>313.2</v>
      </c>
      <c r="H2" s="168">
        <v>0</v>
      </c>
      <c r="I2" s="168">
        <v>0</v>
      </c>
      <c r="J2" s="168">
        <v>1016.29</v>
      </c>
      <c r="K2" s="168" t="s">
        <v>510</v>
      </c>
      <c r="L2" s="168">
        <v>56.06</v>
      </c>
      <c r="M2" s="168">
        <v>1489730400</v>
      </c>
      <c r="N2" s="168">
        <v>10</v>
      </c>
      <c r="O2" s="168">
        <v>250</v>
      </c>
      <c r="P2" s="168">
        <v>5.15</v>
      </c>
      <c r="Q2"/>
      <c r="R2"/>
    </row>
    <row r="3" spans="1:18" x14ac:dyDescent="0.25">
      <c r="A3" s="168">
        <v>53.05</v>
      </c>
      <c r="B3" s="168">
        <v>0.47</v>
      </c>
      <c r="C3" s="168">
        <v>24.7</v>
      </c>
      <c r="D3" s="8">
        <v>42811.041666666664</v>
      </c>
      <c r="E3" s="168">
        <v>0.33</v>
      </c>
      <c r="F3" s="168" t="s">
        <v>375</v>
      </c>
      <c r="G3" s="168">
        <v>314.02999999999997</v>
      </c>
      <c r="H3" s="168">
        <v>0</v>
      </c>
      <c r="I3" s="168">
        <v>0</v>
      </c>
      <c r="J3" s="168">
        <v>1017.26</v>
      </c>
      <c r="K3" s="168" t="s">
        <v>376</v>
      </c>
      <c r="L3" s="168">
        <v>53.05</v>
      </c>
      <c r="M3" s="168">
        <v>1489734000</v>
      </c>
      <c r="N3" s="168">
        <v>10</v>
      </c>
      <c r="O3" s="168">
        <v>247</v>
      </c>
      <c r="P3" s="168">
        <v>0.73</v>
      </c>
      <c r="Q3"/>
      <c r="R3"/>
    </row>
    <row r="4" spans="1:18" x14ac:dyDescent="0.25">
      <c r="A4" s="168">
        <v>49.78</v>
      </c>
      <c r="B4" s="168">
        <v>0.28999999999999998</v>
      </c>
      <c r="C4" s="168">
        <v>24.21</v>
      </c>
      <c r="D4" s="8">
        <v>42811.083333333336</v>
      </c>
      <c r="E4" s="168">
        <v>0.36</v>
      </c>
      <c r="F4" s="168" t="s">
        <v>375</v>
      </c>
      <c r="G4" s="168">
        <v>314.87</v>
      </c>
      <c r="H4" s="168">
        <v>0</v>
      </c>
      <c r="I4" s="168">
        <v>0</v>
      </c>
      <c r="J4" s="168">
        <v>1018.28</v>
      </c>
      <c r="K4" s="168" t="s">
        <v>376</v>
      </c>
      <c r="L4" s="168">
        <v>49.78</v>
      </c>
      <c r="M4" s="168">
        <v>1489737600</v>
      </c>
      <c r="N4" s="168">
        <v>10</v>
      </c>
      <c r="O4" s="168">
        <v>254</v>
      </c>
      <c r="P4" s="168">
        <v>0.92</v>
      </c>
      <c r="Q4"/>
      <c r="R4"/>
    </row>
    <row r="5" spans="1:18" x14ac:dyDescent="0.25">
      <c r="A5" s="168">
        <v>46.64</v>
      </c>
      <c r="B5" s="168">
        <v>0.13</v>
      </c>
      <c r="C5" s="168">
        <v>23.82</v>
      </c>
      <c r="D5" s="8">
        <v>42811.125</v>
      </c>
      <c r="E5" s="168">
        <v>0.4</v>
      </c>
      <c r="F5" s="168" t="s">
        <v>477</v>
      </c>
      <c r="G5" s="168">
        <v>315.7</v>
      </c>
      <c r="H5" s="168">
        <v>0</v>
      </c>
      <c r="I5" s="168">
        <v>0</v>
      </c>
      <c r="J5" s="168">
        <v>1019.38</v>
      </c>
      <c r="K5" s="168" t="s">
        <v>476</v>
      </c>
      <c r="L5" s="168">
        <v>46.64</v>
      </c>
      <c r="M5" s="168">
        <v>1489741200</v>
      </c>
      <c r="N5" s="168">
        <v>10</v>
      </c>
      <c r="O5" s="168">
        <v>238</v>
      </c>
      <c r="P5" s="168">
        <v>1.26</v>
      </c>
      <c r="Q5"/>
      <c r="R5"/>
    </row>
    <row r="6" spans="1:18" x14ac:dyDescent="0.25">
      <c r="A6" s="168">
        <v>44.55</v>
      </c>
      <c r="B6" s="168">
        <v>0.09</v>
      </c>
      <c r="C6" s="168">
        <v>23.51</v>
      </c>
      <c r="D6" s="8">
        <v>42811.166666666664</v>
      </c>
      <c r="E6" s="168">
        <v>0.43</v>
      </c>
      <c r="F6" s="168" t="s">
        <v>477</v>
      </c>
      <c r="G6" s="168">
        <v>315.26</v>
      </c>
      <c r="H6" s="168">
        <v>0</v>
      </c>
      <c r="I6" s="168">
        <v>0</v>
      </c>
      <c r="J6" s="168">
        <v>1020.31</v>
      </c>
      <c r="K6" s="168" t="s">
        <v>476</v>
      </c>
      <c r="L6" s="168">
        <v>44.55</v>
      </c>
      <c r="M6" s="168">
        <v>1489744800</v>
      </c>
      <c r="N6" s="168">
        <v>10</v>
      </c>
      <c r="O6" s="168">
        <v>222</v>
      </c>
      <c r="P6" s="168">
        <v>1.78</v>
      </c>
      <c r="Q6"/>
      <c r="R6"/>
    </row>
    <row r="7" spans="1:18" x14ac:dyDescent="0.25">
      <c r="A7" s="168">
        <v>43.38</v>
      </c>
      <c r="B7" s="168">
        <v>0.1</v>
      </c>
      <c r="C7" s="168">
        <v>23.45</v>
      </c>
      <c r="D7" s="8">
        <v>42811.208333333336</v>
      </c>
      <c r="E7" s="168">
        <v>0.45</v>
      </c>
      <c r="F7" s="168" t="s">
        <v>477</v>
      </c>
      <c r="G7" s="168">
        <v>314.33</v>
      </c>
      <c r="H7" s="168">
        <v>0</v>
      </c>
      <c r="I7" s="168">
        <v>0</v>
      </c>
      <c r="J7" s="168">
        <v>1021.05</v>
      </c>
      <c r="K7" s="168" t="s">
        <v>476</v>
      </c>
      <c r="L7" s="168">
        <v>43.38</v>
      </c>
      <c r="M7" s="168">
        <v>1489748400</v>
      </c>
      <c r="N7" s="168">
        <v>10</v>
      </c>
      <c r="O7" s="168">
        <v>204</v>
      </c>
      <c r="P7" s="168">
        <v>2.69</v>
      </c>
      <c r="Q7"/>
      <c r="R7"/>
    </row>
    <row r="8" spans="1:18" x14ac:dyDescent="0.25">
      <c r="A8" s="168">
        <v>42.2</v>
      </c>
      <c r="B8" s="168">
        <v>0.11</v>
      </c>
      <c r="C8" s="168">
        <v>22.85</v>
      </c>
      <c r="D8" s="8">
        <v>42811.25</v>
      </c>
      <c r="E8" s="168">
        <v>0.46</v>
      </c>
      <c r="F8" s="168" t="s">
        <v>477</v>
      </c>
      <c r="G8" s="168">
        <v>313.7</v>
      </c>
      <c r="H8" s="168">
        <v>0</v>
      </c>
      <c r="I8" s="168">
        <v>0</v>
      </c>
      <c r="J8" s="168">
        <v>1021.56</v>
      </c>
      <c r="K8" s="168" t="s">
        <v>476</v>
      </c>
      <c r="L8" s="168">
        <v>42.2</v>
      </c>
      <c r="M8" s="168">
        <v>1489752000</v>
      </c>
      <c r="N8" s="168">
        <v>10</v>
      </c>
      <c r="O8" s="168">
        <v>187</v>
      </c>
      <c r="P8" s="168">
        <v>2.2000000000000002</v>
      </c>
      <c r="Q8"/>
      <c r="R8"/>
    </row>
    <row r="9" spans="1:18" x14ac:dyDescent="0.25">
      <c r="A9" s="168">
        <v>40.72</v>
      </c>
      <c r="B9" s="168">
        <v>0.08</v>
      </c>
      <c r="C9" s="168">
        <v>22.96</v>
      </c>
      <c r="D9" s="8">
        <v>42811.291666666664</v>
      </c>
      <c r="E9" s="168">
        <v>0.45</v>
      </c>
      <c r="F9" s="168" t="s">
        <v>477</v>
      </c>
      <c r="G9" s="168">
        <v>313.73</v>
      </c>
      <c r="H9" s="168">
        <v>0</v>
      </c>
      <c r="I9" s="168">
        <v>0</v>
      </c>
      <c r="J9" s="168">
        <v>1021.81</v>
      </c>
      <c r="K9" s="168" t="s">
        <v>476</v>
      </c>
      <c r="L9" s="168">
        <v>42.82</v>
      </c>
      <c r="M9" s="168">
        <v>1489755600</v>
      </c>
      <c r="N9" s="168">
        <v>10</v>
      </c>
      <c r="O9" s="168">
        <v>219</v>
      </c>
      <c r="P9" s="168">
        <v>3.83</v>
      </c>
      <c r="Q9"/>
      <c r="R9"/>
    </row>
    <row r="10" spans="1:18" x14ac:dyDescent="0.25">
      <c r="A10" s="168">
        <v>45.48</v>
      </c>
      <c r="B10" s="168">
        <v>0.05</v>
      </c>
      <c r="C10" s="168">
        <v>24.22</v>
      </c>
      <c r="D10" s="8">
        <v>42811.333333333336</v>
      </c>
      <c r="E10" s="168">
        <v>0.43</v>
      </c>
      <c r="F10" s="168" t="s">
        <v>848</v>
      </c>
      <c r="G10" s="168">
        <v>314.07</v>
      </c>
      <c r="H10" s="168">
        <v>0</v>
      </c>
      <c r="I10" s="168">
        <v>0</v>
      </c>
      <c r="J10" s="168">
        <v>1021.83</v>
      </c>
      <c r="K10" s="168" t="s">
        <v>476</v>
      </c>
      <c r="L10" s="168">
        <v>45.48</v>
      </c>
      <c r="M10" s="168">
        <v>1489759200</v>
      </c>
      <c r="N10" s="168">
        <v>10</v>
      </c>
      <c r="O10" s="168">
        <v>200</v>
      </c>
      <c r="P10" s="168">
        <v>2.76</v>
      </c>
      <c r="Q10"/>
      <c r="R10"/>
    </row>
    <row r="11" spans="1:18" x14ac:dyDescent="0.25">
      <c r="A11" s="168">
        <v>51.8</v>
      </c>
      <c r="B11" s="168">
        <v>0.05</v>
      </c>
      <c r="C11" s="168">
        <v>26.87</v>
      </c>
      <c r="D11" s="8">
        <v>42811.375</v>
      </c>
      <c r="E11" s="168">
        <v>0.38</v>
      </c>
      <c r="F11" s="168" t="s">
        <v>848</v>
      </c>
      <c r="G11" s="168">
        <v>314.5</v>
      </c>
      <c r="H11" s="168">
        <v>0</v>
      </c>
      <c r="I11" s="168">
        <v>0</v>
      </c>
      <c r="J11" s="168">
        <v>1021.58</v>
      </c>
      <c r="K11" s="168" t="s">
        <v>476</v>
      </c>
      <c r="L11" s="168">
        <v>51.8</v>
      </c>
      <c r="M11" s="168">
        <v>1489762800</v>
      </c>
      <c r="N11" s="168">
        <v>10</v>
      </c>
      <c r="O11" s="168">
        <v>174</v>
      </c>
      <c r="P11" s="168">
        <v>2.57</v>
      </c>
      <c r="Q11"/>
      <c r="R11"/>
    </row>
    <row r="12" spans="1:18" x14ac:dyDescent="0.25">
      <c r="A12" s="168">
        <v>56.45</v>
      </c>
      <c r="B12" s="168">
        <v>0.12</v>
      </c>
      <c r="C12" s="168">
        <v>27.69</v>
      </c>
      <c r="D12" s="8">
        <v>42811.416666666664</v>
      </c>
      <c r="E12" s="168">
        <v>0.33</v>
      </c>
      <c r="F12" s="168" t="s">
        <v>848</v>
      </c>
      <c r="G12" s="168">
        <v>315.10000000000002</v>
      </c>
      <c r="H12" s="168">
        <v>0</v>
      </c>
      <c r="I12" s="168">
        <v>0</v>
      </c>
      <c r="J12" s="168">
        <v>1021</v>
      </c>
      <c r="K12" s="168" t="s">
        <v>476</v>
      </c>
      <c r="L12" s="168">
        <v>56.45</v>
      </c>
      <c r="M12" s="168">
        <v>1489766400</v>
      </c>
      <c r="N12" s="168">
        <v>10</v>
      </c>
      <c r="O12" s="168">
        <v>133</v>
      </c>
      <c r="P12" s="168">
        <v>2.21</v>
      </c>
      <c r="Q12"/>
      <c r="R12"/>
    </row>
    <row r="13" spans="1:18" x14ac:dyDescent="0.25">
      <c r="A13" s="168">
        <v>61.51</v>
      </c>
      <c r="B13" s="168">
        <v>0.22</v>
      </c>
      <c r="C13" s="168">
        <v>28.34</v>
      </c>
      <c r="D13" s="8">
        <v>42811.458333333336</v>
      </c>
      <c r="E13" s="168">
        <v>0.28000000000000003</v>
      </c>
      <c r="F13" s="168" t="s">
        <v>848</v>
      </c>
      <c r="G13" s="168">
        <v>315.77999999999997</v>
      </c>
      <c r="H13" s="168">
        <v>0</v>
      </c>
      <c r="I13" s="168">
        <v>0</v>
      </c>
      <c r="J13" s="168">
        <v>1020.29</v>
      </c>
      <c r="K13" s="168" t="s">
        <v>476</v>
      </c>
      <c r="L13" s="168">
        <v>61.51</v>
      </c>
      <c r="M13" s="168">
        <v>1489770000</v>
      </c>
      <c r="N13" s="168">
        <v>10</v>
      </c>
      <c r="O13" s="168">
        <v>90</v>
      </c>
      <c r="P13" s="168">
        <v>3.53</v>
      </c>
      <c r="Q13"/>
      <c r="R13"/>
    </row>
    <row r="14" spans="1:18" x14ac:dyDescent="0.25">
      <c r="A14" s="168">
        <v>65.47</v>
      </c>
      <c r="B14" s="168">
        <v>0.28000000000000003</v>
      </c>
      <c r="C14" s="168">
        <v>28.64</v>
      </c>
      <c r="D14" s="8">
        <v>42811.5</v>
      </c>
      <c r="E14" s="168">
        <v>0.25</v>
      </c>
      <c r="F14" s="168" t="s">
        <v>377</v>
      </c>
      <c r="G14" s="168">
        <v>316.10000000000002</v>
      </c>
      <c r="H14" s="168">
        <v>0</v>
      </c>
      <c r="I14" s="168">
        <v>0</v>
      </c>
      <c r="J14" s="168">
        <v>1019.74</v>
      </c>
      <c r="K14" s="168" t="s">
        <v>376</v>
      </c>
      <c r="L14" s="168">
        <v>65.47</v>
      </c>
      <c r="M14" s="168">
        <v>1489773600</v>
      </c>
      <c r="N14" s="168">
        <v>10</v>
      </c>
      <c r="O14" s="168">
        <v>72</v>
      </c>
      <c r="P14" s="168">
        <v>4.5999999999999996</v>
      </c>
      <c r="Q14"/>
      <c r="R14"/>
    </row>
    <row r="15" spans="1:18" x14ac:dyDescent="0.25">
      <c r="A15" s="168">
        <v>68.19</v>
      </c>
      <c r="B15" s="168">
        <v>0.26</v>
      </c>
      <c r="C15" s="168">
        <v>28.55</v>
      </c>
      <c r="D15" s="8">
        <v>42811.541666666664</v>
      </c>
      <c r="E15" s="168">
        <v>0.23</v>
      </c>
      <c r="F15" s="168" t="s">
        <v>377</v>
      </c>
      <c r="G15" s="168">
        <v>315.72000000000003</v>
      </c>
      <c r="H15" s="168">
        <v>0</v>
      </c>
      <c r="I15" s="168">
        <v>0</v>
      </c>
      <c r="J15" s="168">
        <v>1019.38</v>
      </c>
      <c r="K15" s="168" t="s">
        <v>376</v>
      </c>
      <c r="L15" s="168">
        <v>68.19</v>
      </c>
      <c r="M15" s="168">
        <v>1489777200</v>
      </c>
      <c r="N15" s="168">
        <v>10</v>
      </c>
      <c r="O15" s="168">
        <v>60</v>
      </c>
      <c r="P15" s="168">
        <v>5.41</v>
      </c>
      <c r="Q15"/>
      <c r="R15"/>
    </row>
    <row r="16" spans="1:18" x14ac:dyDescent="0.25">
      <c r="A16" s="168">
        <v>70.31</v>
      </c>
      <c r="B16" s="168">
        <v>0.22</v>
      </c>
      <c r="C16" s="168">
        <v>28.63</v>
      </c>
      <c r="D16" s="8">
        <v>42811.583333333336</v>
      </c>
      <c r="E16" s="168">
        <v>0.21</v>
      </c>
      <c r="F16" s="168" t="s">
        <v>848</v>
      </c>
      <c r="G16" s="168">
        <v>314.98</v>
      </c>
      <c r="H16" s="168">
        <v>0</v>
      </c>
      <c r="I16" s="168">
        <v>0</v>
      </c>
      <c r="J16" s="168">
        <v>1019.06</v>
      </c>
      <c r="K16" s="168" t="s">
        <v>476</v>
      </c>
      <c r="L16" s="168">
        <v>70.31</v>
      </c>
      <c r="M16" s="168">
        <v>1489780800</v>
      </c>
      <c r="N16" s="168">
        <v>10</v>
      </c>
      <c r="O16" s="168">
        <v>56</v>
      </c>
      <c r="P16" s="168">
        <v>5.73</v>
      </c>
      <c r="Q16"/>
      <c r="R16"/>
    </row>
    <row r="17" spans="1:18" x14ac:dyDescent="0.25">
      <c r="A17" s="168">
        <v>70.91</v>
      </c>
      <c r="B17" s="168">
        <v>0.16</v>
      </c>
      <c r="C17" s="168">
        <v>28.18</v>
      </c>
      <c r="D17" s="8">
        <v>42811.625</v>
      </c>
      <c r="E17" s="168">
        <v>0.2</v>
      </c>
      <c r="F17" s="168" t="s">
        <v>848</v>
      </c>
      <c r="G17" s="168">
        <v>314.39999999999998</v>
      </c>
      <c r="H17" s="168">
        <v>0</v>
      </c>
      <c r="I17" s="168">
        <v>0</v>
      </c>
      <c r="J17" s="168">
        <v>1018.75</v>
      </c>
      <c r="K17" s="168" t="s">
        <v>476</v>
      </c>
      <c r="L17" s="168">
        <v>70.91</v>
      </c>
      <c r="M17" s="168">
        <v>1489784400</v>
      </c>
      <c r="N17" s="168">
        <v>10</v>
      </c>
      <c r="O17" s="168">
        <v>53</v>
      </c>
      <c r="P17" s="168">
        <v>6.08</v>
      </c>
      <c r="Q17"/>
      <c r="R17"/>
    </row>
    <row r="18" spans="1:18" x14ac:dyDescent="0.25">
      <c r="A18" s="168">
        <v>72</v>
      </c>
      <c r="B18" s="168">
        <v>0.21</v>
      </c>
      <c r="C18" s="168">
        <v>29.16</v>
      </c>
      <c r="D18" s="8">
        <v>42811.666666666664</v>
      </c>
      <c r="E18" s="168">
        <v>0.2</v>
      </c>
      <c r="F18" s="168" t="s">
        <v>848</v>
      </c>
      <c r="G18" s="168">
        <v>314.27999999999997</v>
      </c>
      <c r="H18" s="168">
        <v>0</v>
      </c>
      <c r="I18" s="168">
        <v>0</v>
      </c>
      <c r="J18" s="168">
        <v>1018.37</v>
      </c>
      <c r="K18" s="168" t="s">
        <v>476</v>
      </c>
      <c r="L18" s="168">
        <v>72</v>
      </c>
      <c r="M18" s="168">
        <v>1489788000</v>
      </c>
      <c r="N18" s="168">
        <v>10</v>
      </c>
      <c r="O18" s="168">
        <v>59</v>
      </c>
      <c r="P18" s="168">
        <v>6.97</v>
      </c>
      <c r="Q18"/>
      <c r="R18"/>
    </row>
    <row r="19" spans="1:18" x14ac:dyDescent="0.25">
      <c r="A19" s="168">
        <v>71.2</v>
      </c>
      <c r="B19" s="168">
        <v>0.23</v>
      </c>
      <c r="C19" s="168">
        <v>29.48</v>
      </c>
      <c r="D19" s="8">
        <v>42811.708333333336</v>
      </c>
      <c r="E19" s="168">
        <v>0.21</v>
      </c>
      <c r="F19" s="168" t="s">
        <v>848</v>
      </c>
      <c r="G19" s="168">
        <v>314.32</v>
      </c>
      <c r="H19" s="168">
        <v>0</v>
      </c>
      <c r="I19" s="168">
        <v>0</v>
      </c>
      <c r="J19" s="168">
        <v>1018.05</v>
      </c>
      <c r="K19" s="168" t="s">
        <v>476</v>
      </c>
      <c r="L19" s="168">
        <v>71.2</v>
      </c>
      <c r="M19" s="168">
        <v>1489791600</v>
      </c>
      <c r="N19" s="168">
        <v>10</v>
      </c>
      <c r="O19" s="168">
        <v>63</v>
      </c>
      <c r="P19" s="168">
        <v>7.67</v>
      </c>
      <c r="Q19"/>
      <c r="R19"/>
    </row>
    <row r="20" spans="1:18" x14ac:dyDescent="0.25">
      <c r="A20" s="168">
        <v>69.5</v>
      </c>
      <c r="B20" s="168">
        <v>0.24</v>
      </c>
      <c r="C20" s="168">
        <v>30.75</v>
      </c>
      <c r="D20" s="8">
        <v>42811.75</v>
      </c>
      <c r="E20" s="168">
        <v>0.24</v>
      </c>
      <c r="F20" s="168" t="s">
        <v>848</v>
      </c>
      <c r="G20" s="168">
        <v>314.2</v>
      </c>
      <c r="H20" s="168">
        <v>0</v>
      </c>
      <c r="I20" s="168">
        <v>0</v>
      </c>
      <c r="J20" s="168">
        <v>1018.12</v>
      </c>
      <c r="K20" s="168" t="s">
        <v>476</v>
      </c>
      <c r="L20" s="168">
        <v>69.5</v>
      </c>
      <c r="M20" s="168">
        <v>1489795200</v>
      </c>
      <c r="N20" s="168">
        <v>10</v>
      </c>
      <c r="O20" s="168">
        <v>61</v>
      </c>
      <c r="P20" s="168">
        <v>7.29</v>
      </c>
      <c r="Q20"/>
      <c r="R20"/>
    </row>
    <row r="21" spans="1:18" x14ac:dyDescent="0.25">
      <c r="A21" s="168">
        <v>66.38</v>
      </c>
      <c r="B21" s="168">
        <v>0.24</v>
      </c>
      <c r="C21" s="168">
        <v>32.479999999999997</v>
      </c>
      <c r="D21" s="8">
        <v>42811.791666666664</v>
      </c>
      <c r="E21" s="168">
        <v>0.28000000000000003</v>
      </c>
      <c r="F21" s="168" t="s">
        <v>848</v>
      </c>
      <c r="G21" s="168">
        <v>313.58999999999997</v>
      </c>
      <c r="H21" s="168">
        <v>0</v>
      </c>
      <c r="I21" s="168">
        <v>0</v>
      </c>
      <c r="J21" s="168">
        <v>1018.97</v>
      </c>
      <c r="K21" s="168" t="s">
        <v>476</v>
      </c>
      <c r="L21" s="168">
        <v>66.38</v>
      </c>
      <c r="M21" s="168">
        <v>1489798800</v>
      </c>
      <c r="N21" s="168">
        <v>10</v>
      </c>
      <c r="O21" s="168">
        <v>52</v>
      </c>
      <c r="P21" s="168">
        <v>5.59</v>
      </c>
      <c r="Q21"/>
      <c r="R21"/>
    </row>
    <row r="22" spans="1:18" x14ac:dyDescent="0.25">
      <c r="A22" s="168">
        <v>62.16</v>
      </c>
      <c r="B22" s="168">
        <v>0.27</v>
      </c>
      <c r="C22" s="168">
        <v>33.75</v>
      </c>
      <c r="D22" s="8">
        <v>42811.833333333336</v>
      </c>
      <c r="E22" s="168">
        <v>0.34</v>
      </c>
      <c r="F22" s="168" t="s">
        <v>375</v>
      </c>
      <c r="G22" s="168">
        <v>312.81</v>
      </c>
      <c r="H22" s="168">
        <v>0</v>
      </c>
      <c r="I22" s="168">
        <v>0</v>
      </c>
      <c r="J22" s="168">
        <v>1020.19</v>
      </c>
      <c r="K22" s="168" t="s">
        <v>376</v>
      </c>
      <c r="L22" s="168">
        <v>62.16</v>
      </c>
      <c r="M22" s="168">
        <v>1489802400</v>
      </c>
      <c r="N22" s="168">
        <v>10</v>
      </c>
      <c r="O22" s="168">
        <v>29</v>
      </c>
      <c r="P22" s="168">
        <v>4.2300000000000004</v>
      </c>
      <c r="Q22"/>
      <c r="R22"/>
    </row>
    <row r="23" spans="1:18" x14ac:dyDescent="0.25">
      <c r="A23" s="168">
        <v>59.38</v>
      </c>
      <c r="B23" s="168">
        <v>0.25</v>
      </c>
      <c r="C23" s="168">
        <v>35</v>
      </c>
      <c r="D23" s="8">
        <v>42811.875</v>
      </c>
      <c r="E23" s="168">
        <v>0.4</v>
      </c>
      <c r="F23" s="168" t="s">
        <v>375</v>
      </c>
      <c r="G23" s="168">
        <v>312.5</v>
      </c>
      <c r="H23" s="168">
        <v>0</v>
      </c>
      <c r="I23" s="168">
        <v>0</v>
      </c>
      <c r="J23" s="168">
        <v>1021.31</v>
      </c>
      <c r="K23" s="168" t="s">
        <v>376</v>
      </c>
      <c r="L23" s="168">
        <v>59.38</v>
      </c>
      <c r="M23" s="168">
        <v>1489806000</v>
      </c>
      <c r="N23" s="168">
        <v>10</v>
      </c>
      <c r="O23" s="168">
        <v>12</v>
      </c>
      <c r="P23" s="168">
        <v>3.91</v>
      </c>
      <c r="Q23"/>
      <c r="R23"/>
    </row>
    <row r="24" spans="1:18" x14ac:dyDescent="0.25">
      <c r="A24" s="168">
        <v>55.17</v>
      </c>
      <c r="B24" s="168">
        <v>0.24</v>
      </c>
      <c r="C24" s="168">
        <v>34.22</v>
      </c>
      <c r="D24" s="8">
        <v>42811.916666666664</v>
      </c>
      <c r="E24" s="168">
        <v>0.45</v>
      </c>
      <c r="F24" s="168" t="s">
        <v>477</v>
      </c>
      <c r="G24" s="168">
        <v>313.12</v>
      </c>
      <c r="H24" s="168">
        <v>0</v>
      </c>
      <c r="I24" s="168">
        <v>0</v>
      </c>
      <c r="J24" s="168">
        <v>1021.96</v>
      </c>
      <c r="K24" s="168" t="s">
        <v>476</v>
      </c>
      <c r="L24" s="168">
        <v>55.17</v>
      </c>
      <c r="M24" s="168">
        <v>1489809600</v>
      </c>
      <c r="N24" s="168"/>
      <c r="O24" s="168">
        <v>348</v>
      </c>
      <c r="P24" s="168">
        <v>3.28</v>
      </c>
      <c r="Q24"/>
      <c r="R24"/>
    </row>
    <row r="25" spans="1:18" x14ac:dyDescent="0.25">
      <c r="A25" s="168">
        <v>53.08</v>
      </c>
      <c r="B25" s="168">
        <v>0.23</v>
      </c>
      <c r="C25" s="168">
        <v>34.17</v>
      </c>
      <c r="D25" s="8">
        <v>42811.958333333336</v>
      </c>
      <c r="E25" s="168">
        <v>0.48</v>
      </c>
      <c r="F25" s="168" t="s">
        <v>477</v>
      </c>
      <c r="G25" s="168">
        <v>314.20999999999998</v>
      </c>
      <c r="H25" s="168">
        <v>0</v>
      </c>
      <c r="I25" s="168">
        <v>0</v>
      </c>
      <c r="J25" s="168">
        <v>1022.33</v>
      </c>
      <c r="K25" s="168" t="s">
        <v>476</v>
      </c>
      <c r="L25" s="168">
        <v>53.08</v>
      </c>
      <c r="M25" s="168">
        <v>1489813200</v>
      </c>
      <c r="N25" s="168"/>
      <c r="O25" s="168">
        <v>224</v>
      </c>
      <c r="P25" s="168">
        <v>1.17</v>
      </c>
      <c r="Q25"/>
      <c r="R25"/>
    </row>
    <row r="26" spans="1:18" x14ac:dyDescent="0.25">
      <c r="A26" s="168">
        <v>51.06</v>
      </c>
      <c r="B26" s="168">
        <v>0.23</v>
      </c>
      <c r="C26" s="168">
        <v>31.2</v>
      </c>
      <c r="D26" s="8">
        <v>42812</v>
      </c>
      <c r="E26" s="168">
        <v>0.46</v>
      </c>
      <c r="F26" s="168" t="s">
        <v>556</v>
      </c>
      <c r="G26" s="168">
        <v>315</v>
      </c>
      <c r="H26" s="168">
        <v>0</v>
      </c>
      <c r="I26" s="168">
        <v>0</v>
      </c>
      <c r="J26" s="168">
        <v>1022.69</v>
      </c>
      <c r="K26" s="168" t="s">
        <v>557</v>
      </c>
      <c r="L26" s="168">
        <v>51.06</v>
      </c>
      <c r="M26" s="168">
        <v>1489816800</v>
      </c>
      <c r="N26" s="168">
        <v>1.1000000000000001</v>
      </c>
      <c r="O26" s="168">
        <v>333</v>
      </c>
      <c r="P26" s="168">
        <v>1.98</v>
      </c>
      <c r="Q26"/>
      <c r="R26"/>
    </row>
    <row r="27" spans="1:18" x14ac:dyDescent="0.25">
      <c r="A27" s="168">
        <v>49.86</v>
      </c>
      <c r="B27" s="168">
        <v>0.26</v>
      </c>
      <c r="C27" s="168">
        <v>32.090000000000003</v>
      </c>
      <c r="D27" s="8">
        <v>42812.041666666664</v>
      </c>
      <c r="E27" s="168">
        <v>0.5</v>
      </c>
      <c r="F27" s="168" t="s">
        <v>556</v>
      </c>
      <c r="G27" s="168">
        <v>314.93</v>
      </c>
      <c r="H27" s="168">
        <v>0</v>
      </c>
      <c r="I27" s="168">
        <v>0</v>
      </c>
      <c r="J27" s="168">
        <v>1022.84</v>
      </c>
      <c r="K27" s="168" t="s">
        <v>557</v>
      </c>
      <c r="L27" s="168">
        <v>49.86</v>
      </c>
      <c r="M27" s="168">
        <v>1489820400</v>
      </c>
      <c r="N27" s="168">
        <v>1.1000000000000001</v>
      </c>
      <c r="O27" s="168">
        <v>319</v>
      </c>
      <c r="P27" s="168">
        <v>1.26</v>
      </c>
      <c r="Q27"/>
      <c r="R27"/>
    </row>
    <row r="28" spans="1:18" x14ac:dyDescent="0.25">
      <c r="A28" s="168">
        <v>47.57</v>
      </c>
      <c r="B28" s="168">
        <v>0.28000000000000003</v>
      </c>
      <c r="C28" s="168">
        <v>31.18</v>
      </c>
      <c r="D28" s="8">
        <v>42812.083333333336</v>
      </c>
      <c r="E28" s="168">
        <v>0.53</v>
      </c>
      <c r="F28" s="168" t="s">
        <v>556</v>
      </c>
      <c r="G28" s="168">
        <v>314.87</v>
      </c>
      <c r="H28" s="168">
        <v>0</v>
      </c>
      <c r="I28" s="168">
        <v>0</v>
      </c>
      <c r="J28" s="168">
        <v>1023.09</v>
      </c>
      <c r="K28" s="168" t="s">
        <v>557</v>
      </c>
      <c r="L28" s="168">
        <v>47.57</v>
      </c>
      <c r="M28" s="168">
        <v>1489824000</v>
      </c>
      <c r="N28" s="168">
        <v>1.1000000000000001</v>
      </c>
      <c r="O28" s="168">
        <v>263</v>
      </c>
      <c r="P28" s="168">
        <v>1.36</v>
      </c>
      <c r="Q28"/>
      <c r="R28"/>
    </row>
    <row r="29" spans="1:18" x14ac:dyDescent="0.25">
      <c r="A29" s="168">
        <v>45.7</v>
      </c>
      <c r="B29" s="168">
        <v>0.31</v>
      </c>
      <c r="C29" s="168">
        <v>29.39</v>
      </c>
      <c r="D29" s="8">
        <v>42812.125</v>
      </c>
      <c r="E29" s="168">
        <v>0.53</v>
      </c>
      <c r="F29" s="168" t="s">
        <v>556</v>
      </c>
      <c r="G29" s="168">
        <v>314.8</v>
      </c>
      <c r="H29" s="168">
        <v>0</v>
      </c>
      <c r="I29" s="168">
        <v>0</v>
      </c>
      <c r="J29" s="168">
        <v>1023.3</v>
      </c>
      <c r="K29" s="168" t="s">
        <v>557</v>
      </c>
      <c r="L29" s="168">
        <v>45.7</v>
      </c>
      <c r="M29" s="168">
        <v>1489827600</v>
      </c>
      <c r="N29" s="168">
        <v>1.1000000000000001</v>
      </c>
      <c r="O29" s="168">
        <v>186</v>
      </c>
      <c r="P29" s="168">
        <v>1.67</v>
      </c>
      <c r="Q29"/>
      <c r="R29"/>
    </row>
    <row r="30" spans="1:18" x14ac:dyDescent="0.25">
      <c r="A30" s="152"/>
      <c r="B30" s="152"/>
      <c r="C30" s="152"/>
      <c r="D30" s="8"/>
      <c r="E30" s="152"/>
      <c r="F30" s="152"/>
      <c r="G30" s="152"/>
      <c r="H30" s="152"/>
      <c r="I30" s="152"/>
      <c r="J30" s="152"/>
      <c r="K30" s="152"/>
      <c r="L30" s="152"/>
      <c r="M30" s="152"/>
      <c r="N30" s="152"/>
      <c r="O30" s="152"/>
      <c r="P30" s="152"/>
    </row>
    <row r="31" spans="1:18" x14ac:dyDescent="0.25">
      <c r="A31" s="153" t="s">
        <v>188</v>
      </c>
    </row>
    <row r="33" spans="1:1" x14ac:dyDescent="0.25">
      <c r="A33" s="153" t="s">
        <v>179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X37"/>
  <sheetViews>
    <sheetView workbookViewId="0">
      <selection activeCell="A3" sqref="A3"/>
    </sheetView>
  </sheetViews>
  <sheetFormatPr defaultRowHeight="15" x14ac:dyDescent="0.25"/>
  <cols>
    <col min="1" max="1" width="32.140625" customWidth="1"/>
    <col min="3" max="3" width="24" customWidth="1"/>
    <col min="4" max="4" width="19.140625" style="64" customWidth="1"/>
    <col min="10" max="10" width="24.28515625" style="152" bestFit="1" customWidth="1"/>
    <col min="11" max="11" width="15.28515625" style="152" hidden="1" customWidth="1"/>
    <col min="12" max="12" width="13.5703125" style="152" hidden="1" customWidth="1"/>
    <col min="13" max="13" width="9" style="168" bestFit="1" customWidth="1"/>
    <col min="14" max="17" width="9.140625" style="152"/>
    <col min="20" max="24" width="9.140625" style="168"/>
  </cols>
  <sheetData>
    <row r="1" spans="1:24" ht="45.75" x14ac:dyDescent="0.3">
      <c r="A1" s="11" t="s">
        <v>25</v>
      </c>
      <c r="C1" s="131" t="s">
        <v>99</v>
      </c>
      <c r="D1" s="132" t="s">
        <v>100</v>
      </c>
      <c r="J1" s="158" t="s">
        <v>101</v>
      </c>
      <c r="K1" s="158" t="s">
        <v>66</v>
      </c>
      <c r="L1" s="158" t="s">
        <v>67</v>
      </c>
      <c r="O1" s="159" t="s">
        <v>102</v>
      </c>
      <c r="T1" s="219" t="s">
        <v>395</v>
      </c>
      <c r="U1" s="219"/>
      <c r="V1" s="219"/>
      <c r="W1" s="219"/>
      <c r="X1" s="219"/>
    </row>
    <row r="2" spans="1:24" ht="15.75" thickBot="1" x14ac:dyDescent="0.3">
      <c r="A2" s="12">
        <v>42811</v>
      </c>
      <c r="B2" s="4"/>
      <c r="C2" s="133">
        <v>50</v>
      </c>
      <c r="D2" s="134">
        <v>25</v>
      </c>
      <c r="F2" t="s">
        <v>113</v>
      </c>
      <c r="J2" s="158"/>
      <c r="K2" s="158" t="s">
        <v>66</v>
      </c>
      <c r="L2" s="158" t="s">
        <v>67</v>
      </c>
      <c r="T2" s="197" t="s">
        <v>396</v>
      </c>
      <c r="U2" s="197">
        <v>167</v>
      </c>
      <c r="V2" s="197">
        <v>168</v>
      </c>
      <c r="W2" s="197">
        <v>199</v>
      </c>
      <c r="X2" s="197">
        <v>200</v>
      </c>
    </row>
    <row r="3" spans="1:24" x14ac:dyDescent="0.25">
      <c r="C3" s="64"/>
      <c r="F3" t="s">
        <v>52</v>
      </c>
      <c r="J3" s="160" t="s">
        <v>68</v>
      </c>
      <c r="K3" s="161">
        <v>2.7052</v>
      </c>
      <c r="L3" s="161">
        <v>2.7349999999999999</v>
      </c>
      <c r="M3" s="168">
        <f t="shared" ref="M3:M14" si="0">AVERAGE(K3:L3)</f>
        <v>2.7201</v>
      </c>
      <c r="O3" s="152" t="s">
        <v>103</v>
      </c>
      <c r="P3" s="152">
        <f>AVERAGE(1.0714,1.1016)</f>
        <v>1.0865</v>
      </c>
      <c r="T3" s="197" t="s">
        <v>408</v>
      </c>
      <c r="U3" s="197">
        <v>174</v>
      </c>
      <c r="V3" s="197">
        <v>176</v>
      </c>
      <c r="W3" s="197">
        <v>207</v>
      </c>
      <c r="X3" s="197">
        <v>210</v>
      </c>
    </row>
    <row r="4" spans="1:24" ht="45" x14ac:dyDescent="0.25">
      <c r="C4" s="131" t="s">
        <v>99</v>
      </c>
      <c r="D4" s="132" t="s">
        <v>100</v>
      </c>
      <c r="F4" t="s">
        <v>53</v>
      </c>
      <c r="J4" s="160" t="s">
        <v>69</v>
      </c>
      <c r="K4" s="161">
        <v>3.0830000000000002</v>
      </c>
      <c r="L4" s="161">
        <v>3.097</v>
      </c>
      <c r="M4" s="168">
        <f t="shared" si="0"/>
        <v>3.09</v>
      </c>
      <c r="T4" s="197" t="s">
        <v>409</v>
      </c>
      <c r="U4" s="197">
        <v>173</v>
      </c>
      <c r="V4" s="197">
        <v>175</v>
      </c>
      <c r="W4" s="197">
        <v>208</v>
      </c>
      <c r="X4" s="197">
        <v>209</v>
      </c>
    </row>
    <row r="5" spans="1:24" x14ac:dyDescent="0.25">
      <c r="C5" s="64">
        <v>30</v>
      </c>
      <c r="D5" s="64">
        <v>9</v>
      </c>
      <c r="J5" s="160" t="s">
        <v>70</v>
      </c>
      <c r="K5" s="161">
        <v>3.3136000000000001</v>
      </c>
      <c r="L5" s="161">
        <v>3.3256999999999999</v>
      </c>
      <c r="M5" s="168">
        <f t="shared" si="0"/>
        <v>3.3196500000000002</v>
      </c>
      <c r="T5" s="197" t="s">
        <v>410</v>
      </c>
      <c r="U5" s="197">
        <v>187</v>
      </c>
      <c r="V5" s="197">
        <v>188</v>
      </c>
      <c r="W5" s="197">
        <v>223</v>
      </c>
      <c r="X5" s="197">
        <v>224</v>
      </c>
    </row>
    <row r="6" spans="1:24" x14ac:dyDescent="0.25">
      <c r="C6" s="64"/>
      <c r="F6" t="s">
        <v>114</v>
      </c>
      <c r="J6" s="160" t="s">
        <v>71</v>
      </c>
      <c r="K6" s="161">
        <v>4.2778999999999998</v>
      </c>
      <c r="L6" s="161">
        <v>4.2961</v>
      </c>
      <c r="M6" s="168">
        <f t="shared" si="0"/>
        <v>4.2869999999999999</v>
      </c>
      <c r="T6" s="197"/>
      <c r="U6" s="197"/>
      <c r="V6" s="197"/>
      <c r="W6" s="197"/>
      <c r="X6" s="197"/>
    </row>
    <row r="7" spans="1:24" x14ac:dyDescent="0.25">
      <c r="C7" s="64"/>
      <c r="F7" t="s">
        <v>115</v>
      </c>
      <c r="J7" s="160" t="s">
        <v>72</v>
      </c>
      <c r="K7" s="161">
        <v>4.7865000000000002</v>
      </c>
      <c r="L7" s="161">
        <v>4.8048000000000002</v>
      </c>
      <c r="M7" s="168">
        <f t="shared" si="0"/>
        <v>4.7956500000000002</v>
      </c>
      <c r="T7" s="197"/>
      <c r="U7" s="197"/>
      <c r="V7" s="197"/>
      <c r="W7" s="197"/>
      <c r="X7" s="197"/>
    </row>
    <row r="8" spans="1:24" x14ac:dyDescent="0.25">
      <c r="C8" s="64"/>
      <c r="F8" t="s">
        <v>116</v>
      </c>
      <c r="J8" s="160" t="s">
        <v>73</v>
      </c>
      <c r="K8" s="161">
        <v>5.3155000000000001</v>
      </c>
      <c r="L8" s="161">
        <v>5.3277000000000001</v>
      </c>
      <c r="M8" s="168">
        <f t="shared" si="0"/>
        <v>5.3216000000000001</v>
      </c>
      <c r="T8" s="197"/>
      <c r="U8" s="197"/>
      <c r="V8" s="197"/>
      <c r="W8" s="197"/>
      <c r="X8" s="197"/>
    </row>
    <row r="9" spans="1:24" x14ac:dyDescent="0.25">
      <c r="C9" s="64"/>
      <c r="J9" s="160" t="s">
        <v>74</v>
      </c>
      <c r="K9" s="161">
        <v>5.8117000000000001</v>
      </c>
      <c r="L9" s="161">
        <v>5.8300999999999998</v>
      </c>
      <c r="M9" s="168">
        <f t="shared" si="0"/>
        <v>5.8209</v>
      </c>
      <c r="T9" s="197"/>
      <c r="U9" s="197"/>
      <c r="V9" s="197"/>
      <c r="W9" s="197"/>
      <c r="X9" s="197"/>
    </row>
    <row r="10" spans="1:24" x14ac:dyDescent="0.25">
      <c r="C10" s="64"/>
      <c r="J10" s="160" t="s">
        <v>75</v>
      </c>
      <c r="K10" s="161">
        <v>5.8783000000000003</v>
      </c>
      <c r="L10" s="161">
        <v>5.8903999999999996</v>
      </c>
      <c r="M10" s="168">
        <f t="shared" si="0"/>
        <v>5.8843499999999995</v>
      </c>
      <c r="T10" s="197"/>
      <c r="U10" s="197"/>
      <c r="V10" s="197"/>
      <c r="W10" s="197"/>
      <c r="X10" s="197"/>
    </row>
    <row r="11" spans="1:24" x14ac:dyDescent="0.25">
      <c r="C11" s="64"/>
      <c r="J11" s="160" t="s">
        <v>76</v>
      </c>
      <c r="K11" s="161">
        <v>6.3068</v>
      </c>
      <c r="L11" s="161">
        <v>6.3308999999999997</v>
      </c>
      <c r="M11" s="168">
        <f t="shared" si="0"/>
        <v>6.3188499999999994</v>
      </c>
      <c r="T11" s="197"/>
      <c r="U11" s="197"/>
      <c r="V11" s="197"/>
      <c r="W11" s="197"/>
      <c r="X11" s="197"/>
    </row>
    <row r="12" spans="1:24" x14ac:dyDescent="0.25">
      <c r="C12" s="64"/>
      <c r="J12" s="160" t="s">
        <v>77</v>
      </c>
      <c r="K12" s="161">
        <v>7.8349000000000002</v>
      </c>
      <c r="L12" s="161">
        <v>7.8468999999999998</v>
      </c>
      <c r="M12" s="168">
        <f t="shared" si="0"/>
        <v>7.8408999999999995</v>
      </c>
      <c r="T12" s="197"/>
      <c r="U12" s="197"/>
      <c r="V12" s="197"/>
      <c r="W12" s="197"/>
      <c r="X12" s="197"/>
    </row>
    <row r="13" spans="1:24" x14ac:dyDescent="0.25">
      <c r="C13" s="64"/>
      <c r="J13" s="160" t="s">
        <v>78</v>
      </c>
      <c r="K13" s="161">
        <v>10.373799999999999</v>
      </c>
      <c r="L13" s="161">
        <v>10.38</v>
      </c>
      <c r="M13" s="168">
        <f t="shared" si="0"/>
        <v>10.376899999999999</v>
      </c>
      <c r="T13" s="197"/>
      <c r="U13" s="197"/>
      <c r="V13" s="197"/>
      <c r="W13" s="197"/>
      <c r="X13" s="197"/>
    </row>
    <row r="14" spans="1:24" x14ac:dyDescent="0.25">
      <c r="C14" s="64"/>
      <c r="J14" s="160" t="s">
        <v>79</v>
      </c>
      <c r="K14" s="161">
        <v>10.8954</v>
      </c>
      <c r="L14" s="161">
        <v>10.913500000000001</v>
      </c>
      <c r="M14" s="168">
        <f t="shared" si="0"/>
        <v>10.904450000000001</v>
      </c>
      <c r="T14" s="197"/>
      <c r="U14" s="197"/>
      <c r="V14" s="197"/>
      <c r="W14" s="197"/>
      <c r="X14" s="197"/>
    </row>
    <row r="15" spans="1:24" x14ac:dyDescent="0.25">
      <c r="C15" s="64"/>
      <c r="J15" s="160"/>
      <c r="K15" s="161"/>
      <c r="L15" s="161"/>
      <c r="T15" s="197"/>
      <c r="U15" s="197"/>
      <c r="V15" s="197"/>
      <c r="W15" s="197"/>
      <c r="X15" s="197"/>
    </row>
    <row r="16" spans="1:24" x14ac:dyDescent="0.25">
      <c r="C16" s="64"/>
      <c r="J16" s="160"/>
      <c r="K16" s="161"/>
      <c r="L16" s="161"/>
      <c r="T16" s="197"/>
      <c r="U16" s="197"/>
      <c r="V16" s="197"/>
      <c r="W16" s="197"/>
      <c r="X16" s="197"/>
    </row>
    <row r="17" spans="3:24" x14ac:dyDescent="0.25">
      <c r="C17" s="149" t="s">
        <v>189</v>
      </c>
      <c r="J17" s="160"/>
      <c r="K17" s="161"/>
      <c r="L17" s="161"/>
      <c r="T17" s="197"/>
      <c r="U17" s="197"/>
      <c r="V17" s="197"/>
      <c r="W17" s="197"/>
      <c r="X17" s="197"/>
    </row>
    <row r="18" spans="3:24" x14ac:dyDescent="0.25">
      <c r="C18" t="s">
        <v>1006</v>
      </c>
      <c r="J18" s="160" t="s">
        <v>85</v>
      </c>
      <c r="K18" s="161"/>
      <c r="L18" s="161"/>
      <c r="M18" s="168" t="str">
        <f>"""C:\Program Files (x86)\AstroGrep\AstroGrep.exe"""</f>
        <v>"C:\Program Files (x86)\AstroGrep\AstroGrep.exe"</v>
      </c>
      <c r="T18" s="197"/>
      <c r="U18" s="197"/>
      <c r="V18" s="197"/>
      <c r="W18" s="197"/>
      <c r="X18" s="197"/>
    </row>
    <row r="19" spans="3:24" x14ac:dyDescent="0.25">
      <c r="C19" t="s">
        <v>605</v>
      </c>
      <c r="J19" s="160" t="s">
        <v>86</v>
      </c>
      <c r="K19" s="161"/>
      <c r="L19" s="161"/>
      <c r="M19" s="168" t="s">
        <v>112</v>
      </c>
      <c r="T19" s="197"/>
      <c r="U19" s="197"/>
      <c r="V19" s="197"/>
      <c r="W19" s="197"/>
      <c r="X19" s="197"/>
    </row>
    <row r="20" spans="3:24" x14ac:dyDescent="0.25">
      <c r="C20" t="s">
        <v>607</v>
      </c>
      <c r="J20" s="152" t="s">
        <v>87</v>
      </c>
      <c r="M20" s="168" t="s">
        <v>387</v>
      </c>
      <c r="N20" s="168" t="s">
        <v>387</v>
      </c>
      <c r="T20" s="197"/>
      <c r="U20" s="197"/>
      <c r="V20" s="197"/>
      <c r="W20" s="197"/>
      <c r="X20" s="197"/>
    </row>
    <row r="21" spans="3:24" x14ac:dyDescent="0.25">
      <c r="C21" t="s">
        <v>1007</v>
      </c>
      <c r="J21" s="152" t="s">
        <v>90</v>
      </c>
      <c r="K21" s="152" t="s">
        <v>91</v>
      </c>
      <c r="M21" s="168" t="s">
        <v>178</v>
      </c>
      <c r="T21" s="197"/>
      <c r="U21" s="197"/>
      <c r="V21" s="197"/>
      <c r="W21" s="197"/>
      <c r="X21" s="197"/>
    </row>
    <row r="22" spans="3:24" x14ac:dyDescent="0.25">
      <c r="C22" t="s">
        <v>1008</v>
      </c>
      <c r="J22" s="152" t="s">
        <v>92</v>
      </c>
      <c r="K22" s="152" t="s">
        <v>93</v>
      </c>
      <c r="M22" s="168" t="s">
        <v>111</v>
      </c>
      <c r="T22" s="197"/>
      <c r="U22" s="197"/>
      <c r="V22" s="197"/>
      <c r="W22" s="197"/>
      <c r="X22" s="197"/>
    </row>
    <row r="23" spans="3:24" x14ac:dyDescent="0.25">
      <c r="C23" t="s">
        <v>1009</v>
      </c>
      <c r="J23" s="162" t="s">
        <v>95</v>
      </c>
      <c r="M23" s="168" t="str">
        <f>"-06"</f>
        <v>-06</v>
      </c>
      <c r="T23" s="197"/>
      <c r="U23" s="197"/>
      <c r="V23" s="197"/>
      <c r="W23" s="197"/>
      <c r="X23" s="197"/>
    </row>
    <row r="24" spans="3:24" x14ac:dyDescent="0.25">
      <c r="C24" t="s">
        <v>1010</v>
      </c>
      <c r="J24" s="152" t="s">
        <v>108</v>
      </c>
      <c r="M24" s="168" t="s">
        <v>110</v>
      </c>
      <c r="T24" s="197"/>
      <c r="U24" s="197"/>
      <c r="V24" s="197"/>
      <c r="W24" s="197"/>
      <c r="X24" s="197"/>
    </row>
    <row r="25" spans="3:24" x14ac:dyDescent="0.25">
      <c r="C25" t="s">
        <v>1011</v>
      </c>
      <c r="J25" s="152" t="s">
        <v>150</v>
      </c>
      <c r="M25" s="168" t="b">
        <v>1</v>
      </c>
    </row>
    <row r="26" spans="3:24" x14ac:dyDescent="0.25">
      <c r="C26" t="s">
        <v>1012</v>
      </c>
      <c r="J26" s="152" t="s">
        <v>151</v>
      </c>
      <c r="M26" s="168" t="str">
        <f>"C:\Users\stu\Documents\GitHub\eaglep3-reporting\EC\"&amp;TEXT(A2,"yyyy-mm-dd")&amp;"-refined-times.txt"</f>
        <v>C:\Users\stu\Documents\GitHub\eaglep3-reporting\EC\2017-03-17-refined-times.txt</v>
      </c>
    </row>
    <row r="27" spans="3:24" x14ac:dyDescent="0.25">
      <c r="C27" t="s">
        <v>1013</v>
      </c>
      <c r="J27" s="152" t="s">
        <v>180</v>
      </c>
      <c r="M27" s="168" t="str">
        <f>"C:\Users\stu\Documents\GitHub\eaglep3-reporting\EC\"&amp;TEXT(A2,"YYYY-MM-DD")&amp;"-Enforcements.txt"</f>
        <v>C:\Users\stu\Documents\GitHub\eaglep3-reporting\EC\2017-03-17-Enforcements.txt</v>
      </c>
    </row>
    <row r="28" spans="3:24" x14ac:dyDescent="0.25">
      <c r="C28" t="s">
        <v>1014</v>
      </c>
      <c r="J28" s="152" t="s">
        <v>181</v>
      </c>
      <c r="M28" s="168" t="str">
        <f>"C:\Users\stu\Documents\GitHub\eaglep3-reporting\EC\"&amp;TEXT(A2,"YYYY-MM-DD")&amp;"-Runs-refined.txt"</f>
        <v>C:\Users\stu\Documents\GitHub\eaglep3-reporting\EC\2017-03-17-Runs-refined.txt</v>
      </c>
    </row>
    <row r="29" spans="3:24" x14ac:dyDescent="0.25">
      <c r="C29" t="s">
        <v>606</v>
      </c>
      <c r="J29" s="152" t="s">
        <v>182</v>
      </c>
      <c r="M29" s="168" t="str">
        <f>"C:\Users\stu\Documents\GitHub\eaglep3-reporting\EC\"&amp;TEXT(A2,"YYYY-MM-DD")&amp;"-Trips.txt"</f>
        <v>C:\Users\stu\Documents\GitHub\eaglep3-reporting\EC\2017-03-17-Trips.txt</v>
      </c>
    </row>
    <row r="30" spans="3:24" x14ac:dyDescent="0.25">
      <c r="C30" t="s">
        <v>1015</v>
      </c>
      <c r="J30" s="152" t="s">
        <v>183</v>
      </c>
      <c r="M30" s="168" t="str">
        <f>"C:\Users\stu\Documents\GitHub\eaglep3-reporting\EC\"&amp;TEXT(A2,"YYYY-MM-DD")&amp;"-Weather.txt"</f>
        <v>C:\Users\stu\Documents\GitHub\eaglep3-reporting\EC\2017-03-17-Weather.txt</v>
      </c>
    </row>
    <row r="31" spans="3:24" x14ac:dyDescent="0.25">
      <c r="C31" t="s">
        <v>1016</v>
      </c>
      <c r="J31" s="152" t="s">
        <v>204</v>
      </c>
      <c r="M31" s="168" t="s">
        <v>205</v>
      </c>
    </row>
    <row r="32" spans="3:24" x14ac:dyDescent="0.25">
      <c r="C32" t="s">
        <v>1017</v>
      </c>
    </row>
    <row r="33" spans="3:3" x14ac:dyDescent="0.25">
      <c r="C33" t="s">
        <v>1018</v>
      </c>
    </row>
    <row r="34" spans="3:3" x14ac:dyDescent="0.25">
      <c r="C34" t="s">
        <v>1019</v>
      </c>
    </row>
    <row r="35" spans="3:3" x14ac:dyDescent="0.25">
      <c r="C35" t="s">
        <v>1020</v>
      </c>
    </row>
    <row r="36" spans="3:3" x14ac:dyDescent="0.25">
      <c r="C36" t="s">
        <v>1021</v>
      </c>
    </row>
    <row r="37" spans="3:3" x14ac:dyDescent="0.25">
      <c r="C37" t="s">
        <v>1022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/>
  </sheetViews>
  <sheetFormatPr defaultRowHeight="15" x14ac:dyDescent="0.25"/>
  <cols>
    <col min="1" max="1" width="32.85546875" style="102" bestFit="1" customWidth="1"/>
    <col min="2" max="7" width="9.140625" style="102"/>
    <col min="8" max="8" width="17.7109375" style="102" bestFit="1" customWidth="1"/>
    <col min="9" max="9" width="9.140625" style="104"/>
    <col min="10" max="16384" width="9.140625" style="102"/>
  </cols>
  <sheetData>
    <row r="1" spans="1:11" x14ac:dyDescent="0.25">
      <c r="A1" s="101" t="s">
        <v>121</v>
      </c>
      <c r="B1" s="101" t="s">
        <v>122</v>
      </c>
      <c r="C1" s="102" t="s">
        <v>123</v>
      </c>
      <c r="H1" t="s">
        <v>117</v>
      </c>
      <c r="I1" s="103" t="s">
        <v>119</v>
      </c>
      <c r="J1"/>
    </row>
    <row r="2" spans="1:11" x14ac:dyDescent="0.25">
      <c r="A2" s="102" t="s">
        <v>124</v>
      </c>
      <c r="B2" s="102" t="s">
        <v>125</v>
      </c>
      <c r="C2" s="102" t="s">
        <v>126</v>
      </c>
      <c r="H2" t="s">
        <v>118</v>
      </c>
      <c r="I2" s="95" t="s">
        <v>120</v>
      </c>
      <c r="J2"/>
    </row>
    <row r="3" spans="1:11" x14ac:dyDescent="0.25">
      <c r="A3" s="102" t="s">
        <v>127</v>
      </c>
      <c r="B3" s="102" t="s">
        <v>128</v>
      </c>
      <c r="C3" s="102" t="s">
        <v>129</v>
      </c>
      <c r="H3" t="s">
        <v>143</v>
      </c>
      <c r="I3" s="95">
        <v>1</v>
      </c>
      <c r="J3"/>
      <c r="K3" s="63"/>
    </row>
    <row r="4" spans="1:11" x14ac:dyDescent="0.25">
      <c r="A4" s="102" t="s">
        <v>130</v>
      </c>
      <c r="C4" s="102" t="s">
        <v>131</v>
      </c>
      <c r="H4" t="s">
        <v>144</v>
      </c>
      <c r="I4" s="95">
        <v>2</v>
      </c>
      <c r="J4"/>
      <c r="K4" s="63"/>
    </row>
    <row r="5" spans="1:11" x14ac:dyDescent="0.25">
      <c r="A5" s="102" t="s">
        <v>132</v>
      </c>
      <c r="C5" s="102" t="s">
        <v>133</v>
      </c>
      <c r="H5" t="s">
        <v>145</v>
      </c>
      <c r="I5" s="95">
        <v>23</v>
      </c>
      <c r="J5"/>
      <c r="K5" s="63"/>
    </row>
    <row r="6" spans="1:11" x14ac:dyDescent="0.25">
      <c r="A6" s="102" t="s">
        <v>134</v>
      </c>
      <c r="C6" s="102" t="s">
        <v>135</v>
      </c>
      <c r="H6" s="105" t="s">
        <v>146</v>
      </c>
      <c r="I6" s="106" t="s">
        <v>125</v>
      </c>
    </row>
    <row r="7" spans="1:11" x14ac:dyDescent="0.25">
      <c r="A7" s="102" t="s">
        <v>136</v>
      </c>
      <c r="C7" s="102" t="s">
        <v>137</v>
      </c>
    </row>
    <row r="8" spans="1:11" x14ac:dyDescent="0.25">
      <c r="C8" s="102" t="s">
        <v>138</v>
      </c>
    </row>
    <row r="9" spans="1:11" x14ac:dyDescent="0.25">
      <c r="C9" s="105" t="s">
        <v>171</v>
      </c>
    </row>
    <row r="10" spans="1:11" x14ac:dyDescent="0.25">
      <c r="C10" s="102" t="s">
        <v>139</v>
      </c>
    </row>
    <row r="11" spans="1:11" x14ac:dyDescent="0.25">
      <c r="C11" s="102" t="s">
        <v>140</v>
      </c>
    </row>
    <row r="12" spans="1:11" x14ac:dyDescent="0.25">
      <c r="C12" s="102" t="s">
        <v>141</v>
      </c>
    </row>
    <row r="13" spans="1:11" x14ac:dyDescent="0.25">
      <c r="C13" s="102" t="s">
        <v>142</v>
      </c>
    </row>
    <row r="14" spans="1:11" x14ac:dyDescent="0.25">
      <c r="C14" s="105" t="s">
        <v>172</v>
      </c>
    </row>
    <row r="15" spans="1:11" x14ac:dyDescent="0.25">
      <c r="C15" s="105" t="s">
        <v>190</v>
      </c>
    </row>
  </sheetData>
  <pageMargins left="0.7" right="0.7" top="0.75" bottom="0.75" header="0.3" footer="0.3"/>
  <pageSetup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242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243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244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245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246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247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248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249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250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251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252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253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254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255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256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257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258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259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260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261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262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263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264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265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266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267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268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269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270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271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272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273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274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275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276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277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278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279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280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281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282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283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284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285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286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287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288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289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290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291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292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293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294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295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296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297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298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299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300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301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302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303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304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305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306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307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308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309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310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311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312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313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314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315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316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317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318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319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320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321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322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323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324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325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326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327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328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329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330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331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332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333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334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335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336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337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338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339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340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341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342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343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344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345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346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347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348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349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350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351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352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353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354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355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356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357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358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359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360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361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362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363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364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365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366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367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368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369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370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371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21</vt:i4>
      </vt:variant>
    </vt:vector>
  </HeadingPairs>
  <TitlesOfParts>
    <vt:vector size="30" baseType="lpstr">
      <vt:lpstr>Train Runs</vt:lpstr>
      <vt:lpstr>Enforcements</vt:lpstr>
      <vt:lpstr>Missing Trips</vt:lpstr>
      <vt:lpstr>XING XRs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2017-03-20T17:26:17Z</dcterms:modified>
</cp:coreProperties>
</file>