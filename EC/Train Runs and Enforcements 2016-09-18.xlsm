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Enforcements!$A$6:$AC$38</definedName>
    <definedName name="_xlnm._FilterDatabase" localSheetId="2" hidden="1">'Missing Trips'!$B$2:$I$2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K16" i="1"/>
  <c r="L16" i="1"/>
  <c r="M16" i="1"/>
  <c r="N16" i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G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T22" i="1"/>
  <c r="V22" i="1"/>
  <c r="Y22" i="1"/>
  <c r="Z22" i="1"/>
  <c r="AB22" i="1"/>
  <c r="AC22" i="1"/>
  <c r="AD22" i="1"/>
  <c r="X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S26" i="3" s="1"/>
  <c r="Y30" i="1"/>
  <c r="Z30" i="1"/>
  <c r="AA30" i="1" s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K32" i="1"/>
  <c r="L32" i="1"/>
  <c r="M32" i="1"/>
  <c r="N32" i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S20" i="3" s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S12" i="3" s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X46" i="1"/>
  <c r="Y46" i="1"/>
  <c r="Z46" i="1"/>
  <c r="AB46" i="1"/>
  <c r="AC46" i="1"/>
  <c r="AD46" i="1"/>
  <c r="T46" i="1" s="1"/>
  <c r="AE46" i="1"/>
  <c r="AF46" i="1"/>
  <c r="AG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/>
  <c r="V49" i="1"/>
  <c r="Y49" i="1"/>
  <c r="Z49" i="1"/>
  <c r="AB49" i="1"/>
  <c r="AC49" i="1"/>
  <c r="AD49" i="1"/>
  <c r="AG49" i="1" s="1"/>
  <c r="AE49" i="1"/>
  <c r="AF49" i="1"/>
  <c r="K50" i="1"/>
  <c r="L50" i="1"/>
  <c r="M50" i="1"/>
  <c r="P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R11" i="3" s="1"/>
  <c r="AF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S8" i="3" s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S22" i="3" s="1"/>
  <c r="Y60" i="1"/>
  <c r="Z60" i="1"/>
  <c r="AB60" i="1"/>
  <c r="AC60" i="1"/>
  <c r="AD60" i="1"/>
  <c r="T60" i="1" s="1"/>
  <c r="AE60" i="1"/>
  <c r="R22" i="3" s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X77" i="1"/>
  <c r="Y77" i="1"/>
  <c r="Z77" i="1"/>
  <c r="AB77" i="1"/>
  <c r="AC77" i="1"/>
  <c r="AD77" i="1"/>
  <c r="T77" i="1" s="1"/>
  <c r="AE77" i="1"/>
  <c r="AF77" i="1"/>
  <c r="AG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23" i="3" s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R34" i="3" s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S35" i="3" s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R33" i="3" s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R30" i="3" s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X182" i="1" s="1"/>
  <c r="AE182" i="1"/>
  <c r="AF182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K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193" i="1"/>
  <c r="L193" i="1"/>
  <c r="M193" i="1"/>
  <c r="N193" i="1" s="1"/>
  <c r="V193" i="1"/>
  <c r="Y193" i="1"/>
  <c r="Z193" i="1"/>
  <c r="AA193" i="1" s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K97" i="1"/>
  <c r="L97" i="1"/>
  <c r="M97" i="1"/>
  <c r="P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S28" i="3" s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S21" i="3" s="1"/>
  <c r="Y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T144" i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/>
  <c r="V145" i="1"/>
  <c r="S13" i="3" s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1" i="1"/>
  <c r="L201" i="1"/>
  <c r="M201" i="1"/>
  <c r="N201" i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S10" i="3"/>
  <c r="R10" i="3"/>
  <c r="R26" i="3"/>
  <c r="S19" i="3"/>
  <c r="R12" i="3"/>
  <c r="S14" i="3"/>
  <c r="R27" i="3"/>
  <c r="R17" i="3"/>
  <c r="S11" i="3"/>
  <c r="R8" i="3"/>
  <c r="S18" i="3"/>
  <c r="R18" i="3"/>
  <c r="R25" i="3"/>
  <c r="R7" i="3"/>
  <c r="S23" i="3"/>
  <c r="R35" i="3"/>
  <c r="S36" i="3"/>
  <c r="S24" i="3"/>
  <c r="R37" i="3"/>
  <c r="M10" i="3"/>
  <c r="N10" i="3"/>
  <c r="U10" i="3"/>
  <c r="T10" i="3" s="1"/>
  <c r="V10" i="3"/>
  <c r="W10" i="3"/>
  <c r="X10" i="3"/>
  <c r="M12" i="3"/>
  <c r="N12" i="3"/>
  <c r="U12" i="3"/>
  <c r="T12" i="3" s="1"/>
  <c r="V12" i="3"/>
  <c r="W12" i="3"/>
  <c r="X12" i="3"/>
  <c r="M15" i="3"/>
  <c r="N15" i="3"/>
  <c r="S15" i="3"/>
  <c r="U15" i="3"/>
  <c r="T15" i="3" s="1"/>
  <c r="V15" i="3"/>
  <c r="W15" i="3"/>
  <c r="X15" i="3"/>
  <c r="M20" i="3"/>
  <c r="N20" i="3"/>
  <c r="R20" i="3"/>
  <c r="U20" i="3"/>
  <c r="T20" i="3" s="1"/>
  <c r="V20" i="3"/>
  <c r="W20" i="3"/>
  <c r="X20" i="3"/>
  <c r="M26" i="3"/>
  <c r="N26" i="3"/>
  <c r="U26" i="3"/>
  <c r="T26" i="3" s="1"/>
  <c r="V26" i="3"/>
  <c r="W26" i="3"/>
  <c r="X26" i="3"/>
  <c r="M34" i="3"/>
  <c r="N34" i="3"/>
  <c r="U34" i="3"/>
  <c r="T34" i="3" s="1"/>
  <c r="V34" i="3"/>
  <c r="W34" i="3"/>
  <c r="X34" i="3"/>
  <c r="M19" i="3"/>
  <c r="N19" i="3"/>
  <c r="R19" i="3"/>
  <c r="U19" i="3"/>
  <c r="T19" i="3" s="1"/>
  <c r="V19" i="3"/>
  <c r="W19" i="3"/>
  <c r="X19" i="3"/>
  <c r="M35" i="3"/>
  <c r="N35" i="3"/>
  <c r="U35" i="3"/>
  <c r="T35" i="3" s="1"/>
  <c r="V35" i="3"/>
  <c r="W35" i="3"/>
  <c r="X35" i="3"/>
  <c r="M36" i="3"/>
  <c r="N36" i="3"/>
  <c r="U36" i="3"/>
  <c r="T36" i="3" s="1"/>
  <c r="V36" i="3"/>
  <c r="W36" i="3"/>
  <c r="X36" i="3"/>
  <c r="M17" i="3"/>
  <c r="N17" i="3"/>
  <c r="S17" i="3"/>
  <c r="U17" i="3"/>
  <c r="T17" i="3" s="1"/>
  <c r="V17" i="3"/>
  <c r="W17" i="3"/>
  <c r="X17" i="3"/>
  <c r="M14" i="3"/>
  <c r="N14" i="3"/>
  <c r="R14" i="3"/>
  <c r="U14" i="3"/>
  <c r="T14" i="3" s="1"/>
  <c r="V14" i="3"/>
  <c r="W14" i="3"/>
  <c r="X14" i="3"/>
  <c r="M27" i="3"/>
  <c r="N27" i="3"/>
  <c r="S27" i="3"/>
  <c r="U27" i="3"/>
  <c r="T27" i="3" s="1"/>
  <c r="V27" i="3"/>
  <c r="W27" i="3"/>
  <c r="X27" i="3"/>
  <c r="M11" i="3"/>
  <c r="N11" i="3"/>
  <c r="U11" i="3"/>
  <c r="T11" i="3" s="1"/>
  <c r="V11" i="3"/>
  <c r="W11" i="3"/>
  <c r="X11" i="3"/>
  <c r="M18" i="3"/>
  <c r="N18" i="3"/>
  <c r="U18" i="3"/>
  <c r="T18" i="3" s="1"/>
  <c r="V18" i="3"/>
  <c r="W18" i="3"/>
  <c r="X18" i="3"/>
  <c r="M8" i="3"/>
  <c r="N8" i="3"/>
  <c r="U8" i="3"/>
  <c r="T8" i="3" s="1"/>
  <c r="V8" i="3"/>
  <c r="W8" i="3"/>
  <c r="X8" i="3"/>
  <c r="M9" i="3"/>
  <c r="N9" i="3"/>
  <c r="S9" i="3"/>
  <c r="U9" i="3"/>
  <c r="T9" i="3" s="1"/>
  <c r="V9" i="3"/>
  <c r="W9" i="3"/>
  <c r="X9" i="3"/>
  <c r="M22" i="3"/>
  <c r="N22" i="3"/>
  <c r="U22" i="3"/>
  <c r="T22" i="3" s="1"/>
  <c r="V22" i="3"/>
  <c r="W22" i="3"/>
  <c r="X22" i="3"/>
  <c r="M25" i="3"/>
  <c r="N25" i="3"/>
  <c r="U25" i="3"/>
  <c r="T25" i="3" s="1"/>
  <c r="V25" i="3"/>
  <c r="W25" i="3"/>
  <c r="X25" i="3"/>
  <c r="M7" i="3"/>
  <c r="N7" i="3"/>
  <c r="S7" i="3"/>
  <c r="U7" i="3"/>
  <c r="T7" i="3" s="1"/>
  <c r="V7" i="3"/>
  <c r="W7" i="3"/>
  <c r="X7" i="3"/>
  <c r="M37" i="3"/>
  <c r="N37" i="3"/>
  <c r="U37" i="3"/>
  <c r="T37" i="3" s="1"/>
  <c r="V37" i="3"/>
  <c r="W37" i="3"/>
  <c r="X37" i="3"/>
  <c r="M33" i="3"/>
  <c r="N33" i="3"/>
  <c r="U33" i="3"/>
  <c r="T33" i="3" s="1"/>
  <c r="V33" i="3"/>
  <c r="W33" i="3"/>
  <c r="X33" i="3"/>
  <c r="M31" i="3"/>
  <c r="N31" i="3"/>
  <c r="U31" i="3"/>
  <c r="T31" i="3" s="1"/>
  <c r="V31" i="3"/>
  <c r="W31" i="3"/>
  <c r="X31" i="3"/>
  <c r="M32" i="3"/>
  <c r="N32" i="3"/>
  <c r="R32" i="3"/>
  <c r="U32" i="3"/>
  <c r="T32" i="3" s="1"/>
  <c r="V32" i="3"/>
  <c r="W32" i="3"/>
  <c r="X32" i="3"/>
  <c r="M30" i="3"/>
  <c r="N30" i="3"/>
  <c r="U30" i="3"/>
  <c r="T30" i="3" s="1"/>
  <c r="V30" i="3"/>
  <c r="W30" i="3"/>
  <c r="X30" i="3"/>
  <c r="M23" i="3"/>
  <c r="N23" i="3"/>
  <c r="U23" i="3"/>
  <c r="T23" i="3" s="1"/>
  <c r="V23" i="3"/>
  <c r="W23" i="3"/>
  <c r="X23" i="3"/>
  <c r="M38" i="3"/>
  <c r="N38" i="3"/>
  <c r="R38" i="3"/>
  <c r="U38" i="3"/>
  <c r="T38" i="3" s="1"/>
  <c r="V38" i="3"/>
  <c r="W38" i="3"/>
  <c r="X38" i="3"/>
  <c r="M28" i="3"/>
  <c r="N28" i="3"/>
  <c r="U28" i="3"/>
  <c r="T28" i="3" s="1"/>
  <c r="V28" i="3"/>
  <c r="W28" i="3"/>
  <c r="X28" i="3"/>
  <c r="M29" i="3"/>
  <c r="N29" i="3"/>
  <c r="U29" i="3"/>
  <c r="T29" i="3" s="1"/>
  <c r="V29" i="3"/>
  <c r="W29" i="3"/>
  <c r="X29" i="3"/>
  <c r="M24" i="3"/>
  <c r="N24" i="3"/>
  <c r="U24" i="3"/>
  <c r="T24" i="3" s="1"/>
  <c r="V24" i="3"/>
  <c r="W24" i="3"/>
  <c r="X24" i="3"/>
  <c r="M21" i="3"/>
  <c r="N21" i="3"/>
  <c r="U21" i="3"/>
  <c r="T21" i="3" s="1"/>
  <c r="V21" i="3"/>
  <c r="W21" i="3"/>
  <c r="X21" i="3"/>
  <c r="M13" i="3"/>
  <c r="N13" i="3"/>
  <c r="U13" i="3"/>
  <c r="T13" i="3" s="1"/>
  <c r="V13" i="3"/>
  <c r="W13" i="3"/>
  <c r="X13" i="3"/>
  <c r="X99" i="1" l="1"/>
  <c r="T152" i="1"/>
  <c r="AA145" i="1"/>
  <c r="W145" i="1" s="1"/>
  <c r="AG136" i="1"/>
  <c r="AI136" i="1" s="1"/>
  <c r="AG181" i="1"/>
  <c r="X181" i="1"/>
  <c r="AA178" i="1"/>
  <c r="W178" i="1" s="1"/>
  <c r="AI74" i="1"/>
  <c r="X30" i="1"/>
  <c r="X23" i="1"/>
  <c r="AG14" i="1"/>
  <c r="X97" i="1"/>
  <c r="AA106" i="1"/>
  <c r="AA207" i="1"/>
  <c r="AA99" i="1"/>
  <c r="AA91" i="1"/>
  <c r="W91" i="1" s="1"/>
  <c r="AA90" i="1"/>
  <c r="AI82" i="1"/>
  <c r="AG26" i="1"/>
  <c r="U26" i="1" s="1"/>
  <c r="S26" i="1" s="1"/>
  <c r="X26" i="1"/>
  <c r="X100" i="1"/>
  <c r="X96" i="1"/>
  <c r="AA162" i="1"/>
  <c r="AG206" i="1"/>
  <c r="AI206" i="1" s="1"/>
  <c r="X206" i="1"/>
  <c r="AG204" i="1"/>
  <c r="W204" i="1" s="1"/>
  <c r="AI201" i="1"/>
  <c r="X200" i="1"/>
  <c r="X145" i="1"/>
  <c r="AI144" i="1"/>
  <c r="AA144" i="1"/>
  <c r="W144" i="1" s="1"/>
  <c r="T140" i="1"/>
  <c r="U140" i="1" s="1"/>
  <c r="S140" i="1" s="1"/>
  <c r="AG116" i="1"/>
  <c r="AA114" i="1"/>
  <c r="AA113" i="1"/>
  <c r="AA109" i="1"/>
  <c r="AG92" i="1"/>
  <c r="U92" i="1" s="1"/>
  <c r="AA89" i="1"/>
  <c r="X89" i="1"/>
  <c r="X82" i="1"/>
  <c r="AA70" i="1"/>
  <c r="AA65" i="1"/>
  <c r="T53" i="1"/>
  <c r="AG47" i="1"/>
  <c r="AI47" i="1" s="1"/>
  <c r="X47" i="1"/>
  <c r="T30" i="1"/>
  <c r="AG148" i="1"/>
  <c r="U148" i="1" s="1"/>
  <c r="S148" i="1" s="1"/>
  <c r="X109" i="1"/>
  <c r="X105" i="1"/>
  <c r="AG89" i="1"/>
  <c r="AA86" i="1"/>
  <c r="AG70" i="1"/>
  <c r="AA66" i="1"/>
  <c r="W66" i="1" s="1"/>
  <c r="AG25" i="1"/>
  <c r="AG156" i="1"/>
  <c r="U156" i="1" s="1"/>
  <c r="S156" i="1" s="1"/>
  <c r="AA130" i="1"/>
  <c r="X189" i="1"/>
  <c r="T177" i="1"/>
  <c r="AA163" i="1"/>
  <c r="X81" i="1"/>
  <c r="AA74" i="1"/>
  <c r="W74" i="1" s="1"/>
  <c r="T101" i="1"/>
  <c r="AA181" i="1"/>
  <c r="W181" i="1" s="1"/>
  <c r="AA179" i="1"/>
  <c r="AA170" i="1"/>
  <c r="W170" i="1" s="1"/>
  <c r="AA164" i="1"/>
  <c r="AI89" i="1"/>
  <c r="AA75" i="1"/>
  <c r="W75" i="1" s="1"/>
  <c r="AA46" i="1"/>
  <c r="W46" i="1" s="1"/>
  <c r="X43" i="1"/>
  <c r="AG37" i="1"/>
  <c r="U37" i="1" s="1"/>
  <c r="S37" i="1" s="1"/>
  <c r="AA31" i="1"/>
  <c r="AG27" i="1"/>
  <c r="U27" i="1" s="1"/>
  <c r="S27" i="1" s="1"/>
  <c r="X27" i="1"/>
  <c r="AG18" i="1"/>
  <c r="U18" i="1" s="1"/>
  <c r="S18" i="1" s="1"/>
  <c r="X18" i="1"/>
  <c r="AA211" i="1"/>
  <c r="W211" i="1" s="1"/>
  <c r="AG205" i="1"/>
  <c r="X205" i="1"/>
  <c r="AA153" i="1"/>
  <c r="W153" i="1" s="1"/>
  <c r="AA141" i="1"/>
  <c r="W141" i="1" s="1"/>
  <c r="AG124" i="1"/>
  <c r="AI124" i="1" s="1"/>
  <c r="AA121" i="1"/>
  <c r="W121" i="1" s="1"/>
  <c r="AA120" i="1"/>
  <c r="AA117" i="1"/>
  <c r="W117" i="1" s="1"/>
  <c r="AA110" i="1"/>
  <c r="AA105" i="1"/>
  <c r="AA102" i="1"/>
  <c r="AA100" i="1"/>
  <c r="W100" i="1" s="1"/>
  <c r="AA97" i="1"/>
  <c r="W97" i="1" s="1"/>
  <c r="X196" i="1"/>
  <c r="AA95" i="1"/>
  <c r="AA187" i="1"/>
  <c r="AA185" i="1"/>
  <c r="W185" i="1" s="1"/>
  <c r="AA180" i="1"/>
  <c r="W180" i="1" s="1"/>
  <c r="AA174" i="1"/>
  <c r="W174" i="1" s="1"/>
  <c r="AA76" i="1"/>
  <c r="AA62" i="1"/>
  <c r="AA19" i="1"/>
  <c r="U181" i="1"/>
  <c r="AA159" i="1"/>
  <c r="W159" i="1" s="1"/>
  <c r="AA210" i="1"/>
  <c r="AA203" i="1"/>
  <c r="AI202" i="1"/>
  <c r="X153" i="1"/>
  <c r="X141" i="1"/>
  <c r="AA128" i="1"/>
  <c r="AA119" i="1"/>
  <c r="X117" i="1"/>
  <c r="AA107" i="1"/>
  <c r="AA103" i="1"/>
  <c r="W103" i="1" s="1"/>
  <c r="X102" i="1"/>
  <c r="AA98" i="1"/>
  <c r="AA196" i="1"/>
  <c r="T192" i="1"/>
  <c r="U192" i="1" s="1"/>
  <c r="S192" i="1" s="1"/>
  <c r="AA190" i="1"/>
  <c r="AA176" i="1"/>
  <c r="W176" i="1" s="1"/>
  <c r="T170" i="1"/>
  <c r="AA167" i="1"/>
  <c r="AG86" i="1"/>
  <c r="AI86" i="1" s="1"/>
  <c r="AA82" i="1"/>
  <c r="W82" i="1" s="1"/>
  <c r="AG76" i="1"/>
  <c r="U76" i="1" s="1"/>
  <c r="S76" i="1" s="1"/>
  <c r="AA73" i="1"/>
  <c r="AG62" i="1"/>
  <c r="AG56" i="1"/>
  <c r="AI56" i="1" s="1"/>
  <c r="AG35" i="1"/>
  <c r="U35" i="1" s="1"/>
  <c r="S35" i="1" s="1"/>
  <c r="X35" i="1"/>
  <c r="AG33" i="1"/>
  <c r="AA23" i="1"/>
  <c r="AG19" i="1"/>
  <c r="AI19" i="1" s="1"/>
  <c r="X19" i="1"/>
  <c r="AA17" i="1"/>
  <c r="W17" i="1" s="1"/>
  <c r="AA15" i="1"/>
  <c r="AA22" i="1"/>
  <c r="X162" i="1"/>
  <c r="AI158" i="1"/>
  <c r="X158" i="1"/>
  <c r="AA197" i="1"/>
  <c r="W197" i="1" s="1"/>
  <c r="AA157" i="1"/>
  <c r="X211" i="1"/>
  <c r="X210" i="1"/>
  <c r="T200" i="1"/>
  <c r="AI198" i="1"/>
  <c r="AA151" i="1"/>
  <c r="AA150" i="1"/>
  <c r="AA149" i="1"/>
  <c r="AA146" i="1"/>
  <c r="AA139" i="1"/>
  <c r="AA138" i="1"/>
  <c r="AA137" i="1"/>
  <c r="W137" i="1" s="1"/>
  <c r="X133" i="1"/>
  <c r="AA129" i="1"/>
  <c r="W129" i="1" s="1"/>
  <c r="AA127" i="1"/>
  <c r="W127" i="1" s="1"/>
  <c r="AA126" i="1"/>
  <c r="AA125" i="1"/>
  <c r="W125" i="1" s="1"/>
  <c r="AA122" i="1"/>
  <c r="X95" i="1"/>
  <c r="AG184" i="1"/>
  <c r="U184" i="1" s="1"/>
  <c r="X184" i="1"/>
  <c r="AA183" i="1"/>
  <c r="AA94" i="1"/>
  <c r="AA182" i="1"/>
  <c r="X171" i="1"/>
  <c r="AA169" i="1"/>
  <c r="W169" i="1" s="1"/>
  <c r="AG88" i="1"/>
  <c r="AI88" i="1" s="1"/>
  <c r="X86" i="1"/>
  <c r="AA85" i="1"/>
  <c r="T85" i="1"/>
  <c r="AA78" i="1"/>
  <c r="X74" i="1"/>
  <c r="X73" i="1"/>
  <c r="AG69" i="1"/>
  <c r="U69" i="1" s="1"/>
  <c r="S69" i="1" s="1"/>
  <c r="X69" i="1"/>
  <c r="AA68" i="1"/>
  <c r="AA67" i="1"/>
  <c r="W67" i="1" s="1"/>
  <c r="X66" i="1"/>
  <c r="X65" i="1"/>
  <c r="AG61" i="1"/>
  <c r="U61" i="1" s="1"/>
  <c r="S61" i="1" s="1"/>
  <c r="X61" i="1"/>
  <c r="AA60" i="1"/>
  <c r="AA59" i="1"/>
  <c r="W59" i="1" s="1"/>
  <c r="AG54" i="1"/>
  <c r="AI54" i="1" s="1"/>
  <c r="X54" i="1"/>
  <c r="AA53" i="1"/>
  <c r="AG41" i="1"/>
  <c r="U41" i="1" s="1"/>
  <c r="S41" i="1" s="1"/>
  <c r="AA14" i="1"/>
  <c r="W206" i="1"/>
  <c r="U152" i="1"/>
  <c r="S152" i="1" s="1"/>
  <c r="T120" i="1"/>
  <c r="U120" i="1" s="1"/>
  <c r="S120" i="1" s="1"/>
  <c r="T108" i="1"/>
  <c r="U108" i="1" s="1"/>
  <c r="S108" i="1" s="1"/>
  <c r="U101" i="1"/>
  <c r="S101" i="1" s="1"/>
  <c r="T188" i="1"/>
  <c r="U188" i="1" s="1"/>
  <c r="S188" i="1" s="1"/>
  <c r="T81" i="1"/>
  <c r="W70" i="1"/>
  <c r="W62" i="1"/>
  <c r="AA45" i="1"/>
  <c r="AA44" i="1"/>
  <c r="AA43" i="1"/>
  <c r="AG39" i="1"/>
  <c r="W39" i="1" s="1"/>
  <c r="AA35" i="1"/>
  <c r="AG34" i="1"/>
  <c r="U34" i="1" s="1"/>
  <c r="S34" i="1" s="1"/>
  <c r="X34" i="1"/>
  <c r="AA33" i="1"/>
  <c r="W33" i="1" s="1"/>
  <c r="AA32" i="1"/>
  <c r="W32" i="1" s="1"/>
  <c r="AA27" i="1"/>
  <c r="AA25" i="1"/>
  <c r="W25" i="1" s="1"/>
  <c r="AA24" i="1"/>
  <c r="W24" i="1" s="1"/>
  <c r="AA16" i="1"/>
  <c r="W16" i="1" s="1"/>
  <c r="X159" i="1"/>
  <c r="U197" i="1"/>
  <c r="S197" i="1" s="1"/>
  <c r="AG200" i="1"/>
  <c r="AA199" i="1"/>
  <c r="AA156" i="1"/>
  <c r="AA135" i="1"/>
  <c r="W135" i="1" s="1"/>
  <c r="AA134" i="1"/>
  <c r="AA133" i="1"/>
  <c r="W133" i="1" s="1"/>
  <c r="AG132" i="1"/>
  <c r="AI132" i="1" s="1"/>
  <c r="AA112" i="1"/>
  <c r="AI100" i="1"/>
  <c r="X185" i="1"/>
  <c r="AA184" i="1"/>
  <c r="W184" i="1" s="1"/>
  <c r="AA93" i="1"/>
  <c r="AA172" i="1"/>
  <c r="AA171" i="1"/>
  <c r="W171" i="1" s="1"/>
  <c r="X167" i="1"/>
  <c r="AA165" i="1"/>
  <c r="AG85" i="1"/>
  <c r="AI85" i="1" s="1"/>
  <c r="AA83" i="1"/>
  <c r="W83" i="1" s="1"/>
  <c r="AA81" i="1"/>
  <c r="AG78" i="1"/>
  <c r="AI78" i="1" s="1"/>
  <c r="AG68" i="1"/>
  <c r="U68" i="1" s="1"/>
  <c r="S68" i="1" s="1"/>
  <c r="AG60" i="1"/>
  <c r="U60" i="1" s="1"/>
  <c r="S60" i="1" s="1"/>
  <c r="X58" i="1"/>
  <c r="X50" i="1"/>
  <c r="AA49" i="1"/>
  <c r="W49" i="1" s="1"/>
  <c r="AA47" i="1"/>
  <c r="AI211" i="1"/>
  <c r="AI120" i="1"/>
  <c r="AI108" i="1"/>
  <c r="AA161" i="1"/>
  <c r="AA160" i="1"/>
  <c r="U159" i="1"/>
  <c r="S159" i="1" s="1"/>
  <c r="AA209" i="1"/>
  <c r="AA208" i="1"/>
  <c r="AA154" i="1"/>
  <c r="AA152" i="1"/>
  <c r="W152" i="1" s="1"/>
  <c r="AA140" i="1"/>
  <c r="W140" i="1" s="1"/>
  <c r="U136" i="1"/>
  <c r="AA132" i="1"/>
  <c r="AA131" i="1"/>
  <c r="W131" i="1" s="1"/>
  <c r="T129" i="1"/>
  <c r="U129" i="1" s="1"/>
  <c r="S129" i="1" s="1"/>
  <c r="X121" i="1"/>
  <c r="AA116" i="1"/>
  <c r="W116" i="1" s="1"/>
  <c r="AA115" i="1"/>
  <c r="W115" i="1" s="1"/>
  <c r="T113" i="1"/>
  <c r="U113" i="1" s="1"/>
  <c r="S113" i="1" s="1"/>
  <c r="AG109" i="1"/>
  <c r="U109" i="1" s="1"/>
  <c r="S109" i="1" s="1"/>
  <c r="AI140" i="1"/>
  <c r="AA104" i="1"/>
  <c r="AG102" i="1"/>
  <c r="U102" i="1" s="1"/>
  <c r="S102" i="1" s="1"/>
  <c r="AG196" i="1"/>
  <c r="U196" i="1" s="1"/>
  <c r="S196" i="1" s="1"/>
  <c r="AG195" i="1"/>
  <c r="U195" i="1" s="1"/>
  <c r="S195" i="1" s="1"/>
  <c r="X195" i="1"/>
  <c r="AA194" i="1"/>
  <c r="W194" i="1" s="1"/>
  <c r="AG189" i="1"/>
  <c r="U189" i="1" s="1"/>
  <c r="S189" i="1" s="1"/>
  <c r="AA186" i="1"/>
  <c r="T185" i="1"/>
  <c r="U185" i="1" s="1"/>
  <c r="S185" i="1" s="1"/>
  <c r="T182" i="1"/>
  <c r="T178" i="1"/>
  <c r="U178" i="1" s="1"/>
  <c r="S178" i="1" s="1"/>
  <c r="X174" i="1"/>
  <c r="AA173" i="1"/>
  <c r="W173" i="1" s="1"/>
  <c r="T171" i="1"/>
  <c r="U171" i="1" s="1"/>
  <c r="S171" i="1" s="1"/>
  <c r="AA168" i="1"/>
  <c r="T149" i="1"/>
  <c r="U149" i="1" s="1"/>
  <c r="S149" i="1" s="1"/>
  <c r="T137" i="1"/>
  <c r="U137" i="1" s="1"/>
  <c r="S137" i="1" s="1"/>
  <c r="T125" i="1"/>
  <c r="U125" i="1" s="1"/>
  <c r="S125" i="1" s="1"/>
  <c r="U116" i="1"/>
  <c r="S116" i="1" s="1"/>
  <c r="T105" i="1"/>
  <c r="T98" i="1"/>
  <c r="T95" i="1"/>
  <c r="AI93" i="1"/>
  <c r="X163" i="1"/>
  <c r="AG163" i="1"/>
  <c r="T80" i="1"/>
  <c r="AG80" i="1"/>
  <c r="U206" i="1"/>
  <c r="S206" i="1" s="1"/>
  <c r="T211" i="1"/>
  <c r="U211" i="1" s="1"/>
  <c r="S211" i="1" s="1"/>
  <c r="AG209" i="1"/>
  <c r="U209" i="1" s="1"/>
  <c r="S209" i="1" s="1"/>
  <c r="AA202" i="1"/>
  <c r="W202" i="1" s="1"/>
  <c r="AA198" i="1"/>
  <c r="W198" i="1" s="1"/>
  <c r="X152" i="1"/>
  <c r="AA148" i="1"/>
  <c r="AA147" i="1"/>
  <c r="T145" i="1"/>
  <c r="U145" i="1" s="1"/>
  <c r="S145" i="1" s="1"/>
  <c r="AA136" i="1"/>
  <c r="W136" i="1" s="1"/>
  <c r="X129" i="1"/>
  <c r="AG128" i="1"/>
  <c r="AA124" i="1"/>
  <c r="AA123" i="1"/>
  <c r="W123" i="1" s="1"/>
  <c r="T121" i="1"/>
  <c r="X113" i="1"/>
  <c r="AG112" i="1"/>
  <c r="AA108" i="1"/>
  <c r="W108" i="1" s="1"/>
  <c r="AG105" i="1"/>
  <c r="AG104" i="1"/>
  <c r="AA101" i="1"/>
  <c r="W101" i="1" s="1"/>
  <c r="AG98" i="1"/>
  <c r="AI97" i="1"/>
  <c r="AA195" i="1"/>
  <c r="AG95" i="1"/>
  <c r="AI95" i="1" s="1"/>
  <c r="AA188" i="1"/>
  <c r="W188" i="1" s="1"/>
  <c r="T183" i="1"/>
  <c r="AG183" i="1"/>
  <c r="AG182" i="1"/>
  <c r="X178" i="1"/>
  <c r="AA177" i="1"/>
  <c r="W177" i="1" s="1"/>
  <c r="T174" i="1"/>
  <c r="U174" i="1" s="1"/>
  <c r="S174" i="1" s="1"/>
  <c r="AG166" i="1"/>
  <c r="U166" i="1" s="1"/>
  <c r="S166" i="1" s="1"/>
  <c r="U205" i="1"/>
  <c r="U162" i="1"/>
  <c r="S162" i="1" s="1"/>
  <c r="AI159" i="1"/>
  <c r="AA158" i="1"/>
  <c r="AG210" i="1"/>
  <c r="U210" i="1" s="1"/>
  <c r="S210" i="1" s="1"/>
  <c r="AA205" i="1"/>
  <c r="W205" i="1" s="1"/>
  <c r="AA201" i="1"/>
  <c r="W201" i="1" s="1"/>
  <c r="AA200" i="1"/>
  <c r="AG199" i="1"/>
  <c r="X199" i="1"/>
  <c r="T153" i="1"/>
  <c r="U153" i="1" s="1"/>
  <c r="S153" i="1" s="1"/>
  <c r="X149" i="1"/>
  <c r="AA143" i="1"/>
  <c r="T141" i="1"/>
  <c r="U141" i="1" s="1"/>
  <c r="S141" i="1" s="1"/>
  <c r="X137" i="1"/>
  <c r="T133" i="1"/>
  <c r="X125" i="1"/>
  <c r="W120" i="1"/>
  <c r="T117" i="1"/>
  <c r="U117" i="1" s="1"/>
  <c r="S117" i="1" s="1"/>
  <c r="AI116" i="1"/>
  <c r="U177" i="1"/>
  <c r="S177" i="1" s="1"/>
  <c r="T173" i="1"/>
  <c r="U173" i="1" s="1"/>
  <c r="S173" i="1" s="1"/>
  <c r="U170" i="1"/>
  <c r="S170" i="1" s="1"/>
  <c r="AG167" i="1"/>
  <c r="U167" i="1" s="1"/>
  <c r="S167" i="1" s="1"/>
  <c r="T163" i="1"/>
  <c r="U78" i="1"/>
  <c r="S78" i="1" s="1"/>
  <c r="AI66" i="1"/>
  <c r="U70" i="1"/>
  <c r="S70" i="1" s="1"/>
  <c r="U62" i="1"/>
  <c r="S62" i="1" s="1"/>
  <c r="T43" i="1"/>
  <c r="U19" i="1"/>
  <c r="S19" i="1" s="1"/>
  <c r="T82" i="1"/>
  <c r="U82" i="1" s="1"/>
  <c r="S82" i="1" s="1"/>
  <c r="X78" i="1"/>
  <c r="T74" i="1"/>
  <c r="U74" i="1" s="1"/>
  <c r="S74" i="1" s="1"/>
  <c r="AG72" i="1"/>
  <c r="U72" i="1" s="1"/>
  <c r="S72" i="1" s="1"/>
  <c r="X70" i="1"/>
  <c r="T66" i="1"/>
  <c r="U66" i="1" s="1"/>
  <c r="S66" i="1" s="1"/>
  <c r="AG64" i="1"/>
  <c r="U64" i="1" s="1"/>
  <c r="S64" i="1" s="1"/>
  <c r="X62" i="1"/>
  <c r="AA58" i="1"/>
  <c r="AG57" i="1"/>
  <c r="U57" i="1" s="1"/>
  <c r="S57" i="1" s="1"/>
  <c r="X57" i="1"/>
  <c r="AG52" i="1"/>
  <c r="U52" i="1" s="1"/>
  <c r="S52" i="1" s="1"/>
  <c r="AG43" i="1"/>
  <c r="AG42" i="1"/>
  <c r="U42" i="1" s="1"/>
  <c r="S42" i="1" s="1"/>
  <c r="X42" i="1"/>
  <c r="X39" i="1"/>
  <c r="AG38" i="1"/>
  <c r="AI38" i="1" s="1"/>
  <c r="X38" i="1"/>
  <c r="T31" i="1"/>
  <c r="AG29" i="1"/>
  <c r="AI29" i="1" s="1"/>
  <c r="T23" i="1"/>
  <c r="AG21" i="1"/>
  <c r="U21" i="1" s="1"/>
  <c r="S21" i="1" s="1"/>
  <c r="T15" i="1"/>
  <c r="AA166" i="1"/>
  <c r="U89" i="1"/>
  <c r="AA87" i="1"/>
  <c r="AG84" i="1"/>
  <c r="U84" i="1" s="1"/>
  <c r="AG81" i="1"/>
  <c r="AA77" i="1"/>
  <c r="W77" i="1" s="1"/>
  <c r="AG73" i="1"/>
  <c r="AI73" i="1" s="1"/>
  <c r="AI70" i="1"/>
  <c r="AA69" i="1"/>
  <c r="AG65" i="1"/>
  <c r="AI62" i="1"/>
  <c r="AA61" i="1"/>
  <c r="AG58" i="1"/>
  <c r="AI58" i="1" s="1"/>
  <c r="AA56" i="1"/>
  <c r="W56" i="1" s="1"/>
  <c r="AA55" i="1"/>
  <c r="W55" i="1" s="1"/>
  <c r="AA54" i="1"/>
  <c r="AG53" i="1"/>
  <c r="AA48" i="1"/>
  <c r="AG45" i="1"/>
  <c r="AI45" i="1" s="1"/>
  <c r="AA41" i="1"/>
  <c r="AA37" i="1"/>
  <c r="AA34" i="1"/>
  <c r="W34" i="1" s="1"/>
  <c r="AG31" i="1"/>
  <c r="AG30" i="1"/>
  <c r="W30" i="1" s="1"/>
  <c r="AA26" i="1"/>
  <c r="AG23" i="1"/>
  <c r="AG22" i="1"/>
  <c r="W22" i="1" s="1"/>
  <c r="AA18" i="1"/>
  <c r="AG15" i="1"/>
  <c r="AA92" i="1"/>
  <c r="W92" i="1" s="1"/>
  <c r="AA80" i="1"/>
  <c r="AA79" i="1"/>
  <c r="W79" i="1" s="1"/>
  <c r="AA72" i="1"/>
  <c r="AA71" i="1"/>
  <c r="W71" i="1" s="1"/>
  <c r="AA64" i="1"/>
  <c r="AA63" i="1"/>
  <c r="W63" i="1" s="1"/>
  <c r="AA57" i="1"/>
  <c r="AA52" i="1"/>
  <c r="AA51" i="1"/>
  <c r="W51" i="1" s="1"/>
  <c r="AA42" i="1"/>
  <c r="AA40" i="1"/>
  <c r="AA38" i="1"/>
  <c r="AA36" i="1"/>
  <c r="AA29" i="1"/>
  <c r="AA28" i="1"/>
  <c r="AA21" i="1"/>
  <c r="AA20" i="1"/>
  <c r="W20" i="1" s="1"/>
  <c r="U161" i="1"/>
  <c r="S161" i="1" s="1"/>
  <c r="AI162" i="1"/>
  <c r="X161" i="1"/>
  <c r="X197" i="1"/>
  <c r="X209" i="1"/>
  <c r="AG208" i="1"/>
  <c r="S205" i="1"/>
  <c r="X204" i="1"/>
  <c r="AG203" i="1"/>
  <c r="AI203" i="1" s="1"/>
  <c r="T202" i="1"/>
  <c r="U202" i="1" s="1"/>
  <c r="S202" i="1" s="1"/>
  <c r="X202" i="1"/>
  <c r="X201" i="1"/>
  <c r="T155" i="1"/>
  <c r="X155" i="1"/>
  <c r="AI192" i="1"/>
  <c r="AI189" i="1"/>
  <c r="U144" i="1"/>
  <c r="AG143" i="1"/>
  <c r="AI143" i="1" s="1"/>
  <c r="X144" i="1"/>
  <c r="T143" i="1"/>
  <c r="X143" i="1"/>
  <c r="AI180" i="1"/>
  <c r="U121" i="1"/>
  <c r="S121" i="1" s="1"/>
  <c r="AI161" i="1"/>
  <c r="X160" i="1"/>
  <c r="X157" i="1"/>
  <c r="X208" i="1"/>
  <c r="AI205" i="1"/>
  <c r="X203" i="1"/>
  <c r="X156" i="1"/>
  <c r="AG155" i="1"/>
  <c r="AI185" i="1"/>
  <c r="AG139" i="1"/>
  <c r="X140" i="1"/>
  <c r="T139" i="1"/>
  <c r="X139" i="1"/>
  <c r="S136" i="1"/>
  <c r="AI176" i="1"/>
  <c r="AI173" i="1"/>
  <c r="U133" i="1"/>
  <c r="S133" i="1" s="1"/>
  <c r="AI163" i="1"/>
  <c r="W119" i="1"/>
  <c r="AI152" i="1"/>
  <c r="W113" i="1"/>
  <c r="W107" i="1"/>
  <c r="AI200" i="1"/>
  <c r="AG151" i="1"/>
  <c r="W151" i="1" s="1"/>
  <c r="T151" i="1"/>
  <c r="X151" i="1"/>
  <c r="AI188" i="1"/>
  <c r="AI181" i="1"/>
  <c r="AI169" i="1"/>
  <c r="T201" i="1"/>
  <c r="U201" i="1" s="1"/>
  <c r="S201" i="1" s="1"/>
  <c r="T198" i="1"/>
  <c r="U198" i="1" s="1"/>
  <c r="S198" i="1" s="1"/>
  <c r="X198" i="1"/>
  <c r="AA155" i="1"/>
  <c r="T154" i="1"/>
  <c r="X154" i="1"/>
  <c r="AG154" i="1"/>
  <c r="AI154" i="1" s="1"/>
  <c r="W149" i="1"/>
  <c r="AG147" i="1"/>
  <c r="AI147" i="1" s="1"/>
  <c r="X148" i="1"/>
  <c r="T147" i="1"/>
  <c r="X147" i="1"/>
  <c r="S144" i="1"/>
  <c r="AI177" i="1"/>
  <c r="AI171" i="1"/>
  <c r="AI165" i="1"/>
  <c r="W111" i="1"/>
  <c r="AG150" i="1"/>
  <c r="AI150" i="1" s="1"/>
  <c r="AG146" i="1"/>
  <c r="AG142" i="1"/>
  <c r="AI142" i="1" s="1"/>
  <c r="AG138" i="1"/>
  <c r="AI138" i="1" s="1"/>
  <c r="X135" i="1"/>
  <c r="T135" i="1"/>
  <c r="U135" i="1" s="1"/>
  <c r="S135" i="1" s="1"/>
  <c r="AG134" i="1"/>
  <c r="X131" i="1"/>
  <c r="T131" i="1"/>
  <c r="U131" i="1" s="1"/>
  <c r="S131" i="1" s="1"/>
  <c r="AG130" i="1"/>
  <c r="AI130" i="1" s="1"/>
  <c r="X127" i="1"/>
  <c r="T127" i="1"/>
  <c r="U127" i="1" s="1"/>
  <c r="S127" i="1" s="1"/>
  <c r="AG126" i="1"/>
  <c r="X123" i="1"/>
  <c r="T123" i="1"/>
  <c r="U123" i="1" s="1"/>
  <c r="S123" i="1" s="1"/>
  <c r="AG122" i="1"/>
  <c r="AI155" i="1"/>
  <c r="X119" i="1"/>
  <c r="T119" i="1"/>
  <c r="U119" i="1" s="1"/>
  <c r="S119" i="1" s="1"/>
  <c r="AG118" i="1"/>
  <c r="X115" i="1"/>
  <c r="T115" i="1"/>
  <c r="U115" i="1" s="1"/>
  <c r="S115" i="1" s="1"/>
  <c r="AG114" i="1"/>
  <c r="X111" i="1"/>
  <c r="T111" i="1"/>
  <c r="U111" i="1" s="1"/>
  <c r="S111" i="1" s="1"/>
  <c r="AG110" i="1"/>
  <c r="AI110" i="1" s="1"/>
  <c r="X107" i="1"/>
  <c r="T107" i="1"/>
  <c r="U107" i="1" s="1"/>
  <c r="S107" i="1" s="1"/>
  <c r="AG106" i="1"/>
  <c r="W106" i="1" s="1"/>
  <c r="X103" i="1"/>
  <c r="T103" i="1"/>
  <c r="U103" i="1" s="1"/>
  <c r="S103" i="1" s="1"/>
  <c r="AG207" i="1"/>
  <c r="AI207" i="1" s="1"/>
  <c r="AI135" i="1"/>
  <c r="T100" i="1"/>
  <c r="U100" i="1" s="1"/>
  <c r="S100" i="1" s="1"/>
  <c r="AG99" i="1"/>
  <c r="AI99" i="1" s="1"/>
  <c r="AI131" i="1"/>
  <c r="T97" i="1"/>
  <c r="U97" i="1" s="1"/>
  <c r="S97" i="1" s="1"/>
  <c r="AG96" i="1"/>
  <c r="AI127" i="1"/>
  <c r="AI119" i="1"/>
  <c r="X150" i="1"/>
  <c r="X146" i="1"/>
  <c r="X142" i="1"/>
  <c r="X138" i="1"/>
  <c r="X134" i="1"/>
  <c r="X130" i="1"/>
  <c r="X126" i="1"/>
  <c r="X122" i="1"/>
  <c r="X118" i="1"/>
  <c r="X114" i="1"/>
  <c r="X110" i="1"/>
  <c r="X106" i="1"/>
  <c r="X207" i="1"/>
  <c r="AA192" i="1"/>
  <c r="W192" i="1" s="1"/>
  <c r="AA191" i="1"/>
  <c r="AG187" i="1"/>
  <c r="X188" i="1"/>
  <c r="T187" i="1"/>
  <c r="X187" i="1"/>
  <c r="W93" i="1"/>
  <c r="AI91" i="1"/>
  <c r="T193" i="1"/>
  <c r="X193" i="1"/>
  <c r="AG193" i="1"/>
  <c r="AI193" i="1" s="1"/>
  <c r="T191" i="1"/>
  <c r="X191" i="1"/>
  <c r="AI106" i="1"/>
  <c r="X136" i="1"/>
  <c r="X132" i="1"/>
  <c r="X128" i="1"/>
  <c r="X124" i="1"/>
  <c r="X120" i="1"/>
  <c r="X116" i="1"/>
  <c r="X112" i="1"/>
  <c r="X108" i="1"/>
  <c r="X104" i="1"/>
  <c r="X101" i="1"/>
  <c r="T194" i="1"/>
  <c r="U194" i="1" s="1"/>
  <c r="S194" i="1" s="1"/>
  <c r="X194" i="1"/>
  <c r="AI123" i="1"/>
  <c r="X192" i="1"/>
  <c r="AG191" i="1"/>
  <c r="W165" i="1"/>
  <c r="AG190" i="1"/>
  <c r="AG186" i="1"/>
  <c r="AI115" i="1"/>
  <c r="S184" i="1"/>
  <c r="X183" i="1"/>
  <c r="AG94" i="1"/>
  <c r="AI111" i="1"/>
  <c r="S181" i="1"/>
  <c r="X180" i="1"/>
  <c r="T180" i="1"/>
  <c r="U180" i="1" s="1"/>
  <c r="S180" i="1" s="1"/>
  <c r="AG179" i="1"/>
  <c r="AI107" i="1"/>
  <c r="X176" i="1"/>
  <c r="T176" i="1"/>
  <c r="U176" i="1" s="1"/>
  <c r="S176" i="1" s="1"/>
  <c r="AG175" i="1"/>
  <c r="AI175" i="1" s="1"/>
  <c r="AI103" i="1"/>
  <c r="X93" i="1"/>
  <c r="T93" i="1"/>
  <c r="U93" i="1" s="1"/>
  <c r="S93" i="1" s="1"/>
  <c r="AG172" i="1"/>
  <c r="X169" i="1"/>
  <c r="T169" i="1"/>
  <c r="U169" i="1" s="1"/>
  <c r="S169" i="1" s="1"/>
  <c r="AG168" i="1"/>
  <c r="AI168" i="1" s="1"/>
  <c r="AI96" i="1"/>
  <c r="X165" i="1"/>
  <c r="T165" i="1"/>
  <c r="U165" i="1" s="1"/>
  <c r="S165" i="1" s="1"/>
  <c r="AG164" i="1"/>
  <c r="AI164" i="1" s="1"/>
  <c r="AI92" i="1"/>
  <c r="S92" i="1"/>
  <c r="X91" i="1"/>
  <c r="T91" i="1"/>
  <c r="U91" i="1" s="1"/>
  <c r="S91" i="1" s="1"/>
  <c r="AG90" i="1"/>
  <c r="AA84" i="1"/>
  <c r="W84" i="1" s="1"/>
  <c r="AI79" i="1"/>
  <c r="AI71" i="1"/>
  <c r="AI63" i="1"/>
  <c r="U56" i="1"/>
  <c r="S56" i="1" s="1"/>
  <c r="AI51" i="1"/>
  <c r="X190" i="1"/>
  <c r="X186" i="1"/>
  <c r="AI114" i="1"/>
  <c r="X94" i="1"/>
  <c r="X179" i="1"/>
  <c r="X175" i="1"/>
  <c r="X172" i="1"/>
  <c r="X168" i="1"/>
  <c r="X164" i="1"/>
  <c r="X90" i="1"/>
  <c r="S89" i="1"/>
  <c r="AA88" i="1"/>
  <c r="AG87" i="1"/>
  <c r="T87" i="1"/>
  <c r="X87" i="1"/>
  <c r="T88" i="1"/>
  <c r="X88" i="1"/>
  <c r="S84" i="1"/>
  <c r="AI83" i="1"/>
  <c r="AI75" i="1"/>
  <c r="AI67" i="1"/>
  <c r="AI59" i="1"/>
  <c r="X177" i="1"/>
  <c r="X173" i="1"/>
  <c r="X170" i="1"/>
  <c r="X166" i="1"/>
  <c r="X92" i="1"/>
  <c r="AI55" i="1"/>
  <c r="X83" i="1"/>
  <c r="T83" i="1"/>
  <c r="U83" i="1" s="1"/>
  <c r="S83" i="1" s="1"/>
  <c r="AI80" i="1"/>
  <c r="X79" i="1"/>
  <c r="T79" i="1"/>
  <c r="U79" i="1" s="1"/>
  <c r="S79" i="1" s="1"/>
  <c r="X75" i="1"/>
  <c r="T75" i="1"/>
  <c r="U75" i="1" s="1"/>
  <c r="S75" i="1" s="1"/>
  <c r="X71" i="1"/>
  <c r="T71" i="1"/>
  <c r="U71" i="1" s="1"/>
  <c r="S71" i="1" s="1"/>
  <c r="X67" i="1"/>
  <c r="T67" i="1"/>
  <c r="U67" i="1" s="1"/>
  <c r="S67" i="1" s="1"/>
  <c r="X63" i="1"/>
  <c r="T63" i="1"/>
  <c r="U63" i="1" s="1"/>
  <c r="S63" i="1" s="1"/>
  <c r="X59" i="1"/>
  <c r="T59" i="1"/>
  <c r="U59" i="1" s="1"/>
  <c r="S59" i="1" s="1"/>
  <c r="X55" i="1"/>
  <c r="T55" i="1"/>
  <c r="U55" i="1" s="1"/>
  <c r="S55" i="1" s="1"/>
  <c r="AI52" i="1"/>
  <c r="X51" i="1"/>
  <c r="T51" i="1"/>
  <c r="U51" i="1" s="1"/>
  <c r="S51" i="1" s="1"/>
  <c r="AG36" i="1"/>
  <c r="T36" i="1"/>
  <c r="X36" i="1"/>
  <c r="AI28" i="1"/>
  <c r="AI20" i="1"/>
  <c r="U77" i="1"/>
  <c r="S77" i="1" s="1"/>
  <c r="AA50" i="1"/>
  <c r="AG48" i="1"/>
  <c r="T48" i="1"/>
  <c r="X48" i="1"/>
  <c r="U29" i="1"/>
  <c r="S29" i="1" s="1"/>
  <c r="T50" i="1"/>
  <c r="T49" i="1"/>
  <c r="U49" i="1" s="1"/>
  <c r="S49" i="1" s="1"/>
  <c r="X49" i="1"/>
  <c r="AG44" i="1"/>
  <c r="T44" i="1"/>
  <c r="X44" i="1"/>
  <c r="AI32" i="1"/>
  <c r="AI24" i="1"/>
  <c r="AI16" i="1"/>
  <c r="X84" i="1"/>
  <c r="X80" i="1"/>
  <c r="AI77" i="1"/>
  <c r="X76" i="1"/>
  <c r="X72" i="1"/>
  <c r="X68" i="1"/>
  <c r="X64" i="1"/>
  <c r="X60" i="1"/>
  <c r="X56" i="1"/>
  <c r="X52" i="1"/>
  <c r="AG50" i="1"/>
  <c r="AI49" i="1"/>
  <c r="AG40" i="1"/>
  <c r="T40" i="1"/>
  <c r="X40" i="1"/>
  <c r="U33" i="1"/>
  <c r="S33" i="1" s="1"/>
  <c r="W28" i="1"/>
  <c r="U25" i="1"/>
  <c r="S25" i="1" s="1"/>
  <c r="U17" i="1"/>
  <c r="S17" i="1" s="1"/>
  <c r="AI33" i="1"/>
  <c r="X32" i="1"/>
  <c r="T32" i="1"/>
  <c r="U32" i="1" s="1"/>
  <c r="S32" i="1" s="1"/>
  <c r="X28" i="1"/>
  <c r="T28" i="1"/>
  <c r="U28" i="1" s="1"/>
  <c r="S28" i="1" s="1"/>
  <c r="AI25" i="1"/>
  <c r="X24" i="1"/>
  <c r="T24" i="1"/>
  <c r="U24" i="1" s="1"/>
  <c r="S24" i="1" s="1"/>
  <c r="AI21" i="1"/>
  <c r="X20" i="1"/>
  <c r="T20" i="1"/>
  <c r="U20" i="1" s="1"/>
  <c r="S20" i="1" s="1"/>
  <c r="AI17" i="1"/>
  <c r="X16" i="1"/>
  <c r="T16" i="1"/>
  <c r="U16" i="1" s="1"/>
  <c r="S16" i="1" s="1"/>
  <c r="U46" i="1"/>
  <c r="S46" i="1" s="1"/>
  <c r="U14" i="1"/>
  <c r="S14" i="1" s="1"/>
  <c r="AI46" i="1"/>
  <c r="X45" i="1"/>
  <c r="X41" i="1"/>
  <c r="X37" i="1"/>
  <c r="AI34" i="1"/>
  <c r="X33" i="1"/>
  <c r="X29" i="1"/>
  <c r="AI26" i="1"/>
  <c r="X25" i="1"/>
  <c r="X21" i="1"/>
  <c r="X17" i="1"/>
  <c r="AI14" i="1"/>
  <c r="S29" i="3"/>
  <c r="R28" i="3"/>
  <c r="S38" i="3"/>
  <c r="S31" i="3"/>
  <c r="S37" i="3"/>
  <c r="R21" i="3"/>
  <c r="S30" i="3"/>
  <c r="S33" i="3"/>
  <c r="R13" i="3"/>
  <c r="R24" i="3"/>
  <c r="R29" i="3"/>
  <c r="R31" i="3"/>
  <c r="S34" i="3"/>
  <c r="R36" i="3"/>
  <c r="R9" i="3"/>
  <c r="R15" i="3"/>
  <c r="S32" i="3"/>
  <c r="S25" i="3"/>
  <c r="AC12" i="3"/>
  <c r="AC15" i="3"/>
  <c r="AC26" i="3"/>
  <c r="AC34" i="3"/>
  <c r="AC19" i="3"/>
  <c r="AC36" i="3"/>
  <c r="AC17" i="3"/>
  <c r="AC18" i="3"/>
  <c r="AC8" i="3"/>
  <c r="AC22" i="3"/>
  <c r="AC25" i="3"/>
  <c r="AC7" i="3"/>
  <c r="AC31" i="3"/>
  <c r="AC28" i="3"/>
  <c r="AC21" i="3"/>
  <c r="AC13" i="3"/>
  <c r="AC35" i="3"/>
  <c r="AC9" i="3"/>
  <c r="AC37" i="3"/>
  <c r="N16" i="3"/>
  <c r="U16" i="3"/>
  <c r="T16" i="3" s="1"/>
  <c r="V16" i="3"/>
  <c r="W16" i="3"/>
  <c r="X16" i="3"/>
  <c r="AC27" i="3"/>
  <c r="AC11" i="3"/>
  <c r="AC23" i="3"/>
  <c r="AC20" i="3"/>
  <c r="AC33" i="3"/>
  <c r="AC30" i="3"/>
  <c r="AC29" i="3"/>
  <c r="AC24" i="3"/>
  <c r="AC10" i="3"/>
  <c r="AI148" i="1" l="1"/>
  <c r="W42" i="1"/>
  <c r="W18" i="1"/>
  <c r="W195" i="1"/>
  <c r="W156" i="1"/>
  <c r="W14" i="1"/>
  <c r="W89" i="1"/>
  <c r="W26" i="1"/>
  <c r="W53" i="1"/>
  <c r="W69" i="1"/>
  <c r="W81" i="1"/>
  <c r="W148" i="1"/>
  <c r="AI41" i="1"/>
  <c r="W48" i="1"/>
  <c r="W143" i="1"/>
  <c r="W15" i="1"/>
  <c r="U105" i="1"/>
  <c r="S105" i="1" s="1"/>
  <c r="U38" i="1"/>
  <c r="S38" i="1" s="1"/>
  <c r="W94" i="1"/>
  <c r="U204" i="1"/>
  <c r="S204" i="1" s="1"/>
  <c r="W41" i="1"/>
  <c r="U88" i="1"/>
  <c r="S88" i="1" s="1"/>
  <c r="W88" i="1"/>
  <c r="W80" i="1"/>
  <c r="W200" i="1"/>
  <c r="W76" i="1"/>
  <c r="AI42" i="1"/>
  <c r="U22" i="1"/>
  <c r="S22" i="1" s="1"/>
  <c r="W44" i="1"/>
  <c r="U73" i="1"/>
  <c r="S73" i="1" s="1"/>
  <c r="U54" i="1"/>
  <c r="S54" i="1" s="1"/>
  <c r="U47" i="1"/>
  <c r="S47" i="1" s="1"/>
  <c r="W163" i="1"/>
  <c r="W85" i="1"/>
  <c r="W19" i="1"/>
  <c r="W68" i="1"/>
  <c r="AI61" i="1"/>
  <c r="AI76" i="1"/>
  <c r="W190" i="1"/>
  <c r="W126" i="1"/>
  <c r="AI184" i="1"/>
  <c r="AI156" i="1"/>
  <c r="W52" i="1"/>
  <c r="U86" i="1"/>
  <c r="S86" i="1" s="1"/>
  <c r="AI27" i="1"/>
  <c r="AI35" i="1"/>
  <c r="W65" i="1"/>
  <c r="W47" i="1"/>
  <c r="AI22" i="1"/>
  <c r="AI30" i="1"/>
  <c r="U30" i="1"/>
  <c r="S30" i="1" s="1"/>
  <c r="AI81" i="1"/>
  <c r="AI68" i="1"/>
  <c r="U163" i="1"/>
  <c r="S163" i="1" s="1"/>
  <c r="W134" i="1"/>
  <c r="W54" i="1"/>
  <c r="W61" i="1"/>
  <c r="W199" i="1"/>
  <c r="W128" i="1"/>
  <c r="U200" i="1"/>
  <c r="S200" i="1" s="1"/>
  <c r="W27" i="1"/>
  <c r="W166" i="1"/>
  <c r="AI57" i="1"/>
  <c r="AI65" i="1"/>
  <c r="U65" i="1"/>
  <c r="S65" i="1" s="1"/>
  <c r="W35" i="1"/>
  <c r="W86" i="1"/>
  <c r="W37" i="1"/>
  <c r="U182" i="1"/>
  <c r="S182" i="1" s="1"/>
  <c r="U98" i="1"/>
  <c r="S98" i="1" s="1"/>
  <c r="W186" i="1"/>
  <c r="AI37" i="1"/>
  <c r="AI84" i="1"/>
  <c r="W172" i="1"/>
  <c r="AI196" i="1"/>
  <c r="W36" i="1"/>
  <c r="AI39" i="1"/>
  <c r="U39" i="1"/>
  <c r="S39" i="1" s="1"/>
  <c r="W124" i="1"/>
  <c r="W60" i="1"/>
  <c r="U85" i="1"/>
  <c r="S85" i="1" s="1"/>
  <c r="AI18" i="1"/>
  <c r="W146" i="1"/>
  <c r="W73" i="1"/>
  <c r="U124" i="1"/>
  <c r="S124" i="1" s="1"/>
  <c r="U81" i="1"/>
  <c r="S81" i="1" s="1"/>
  <c r="W122" i="1"/>
  <c r="W155" i="1"/>
  <c r="W21" i="1"/>
  <c r="W38" i="1"/>
  <c r="W64" i="1"/>
  <c r="W158" i="1"/>
  <c r="U183" i="1"/>
  <c r="S183" i="1" s="1"/>
  <c r="U158" i="1"/>
  <c r="S158" i="1" s="1"/>
  <c r="AI53" i="1"/>
  <c r="AI69" i="1"/>
  <c r="U53" i="1"/>
  <c r="S53" i="1" s="1"/>
  <c r="U58" i="1"/>
  <c r="S58" i="1" s="1"/>
  <c r="AI60" i="1"/>
  <c r="AI64" i="1"/>
  <c r="AI72" i="1"/>
  <c r="AI98" i="1"/>
  <c r="AI197" i="1"/>
  <c r="W45" i="1"/>
  <c r="W132" i="1"/>
  <c r="W102" i="1"/>
  <c r="AI102" i="1"/>
  <c r="AI151" i="1"/>
  <c r="W193" i="1"/>
  <c r="W139" i="1"/>
  <c r="AI209" i="1"/>
  <c r="AI167" i="1"/>
  <c r="AI210" i="1"/>
  <c r="U132" i="1"/>
  <c r="S132" i="1" s="1"/>
  <c r="W78" i="1"/>
  <c r="AI139" i="1"/>
  <c r="AI126" i="1"/>
  <c r="AI146" i="1"/>
  <c r="W29" i="1"/>
  <c r="W57" i="1"/>
  <c r="W72" i="1"/>
  <c r="U43" i="1"/>
  <c r="S43" i="1" s="1"/>
  <c r="AI43" i="1"/>
  <c r="W210" i="1"/>
  <c r="W162" i="1"/>
  <c r="W104" i="1"/>
  <c r="W209" i="1"/>
  <c r="W189" i="1"/>
  <c r="U15" i="1"/>
  <c r="S15" i="1" s="1"/>
  <c r="AI15" i="1"/>
  <c r="U23" i="1"/>
  <c r="S23" i="1" s="1"/>
  <c r="AI23" i="1"/>
  <c r="U31" i="1"/>
  <c r="S31" i="1" s="1"/>
  <c r="AI31" i="1"/>
  <c r="U45" i="1"/>
  <c r="S45" i="1" s="1"/>
  <c r="U199" i="1"/>
  <c r="S199" i="1" s="1"/>
  <c r="AI199" i="1"/>
  <c r="U95" i="1"/>
  <c r="S95" i="1" s="1"/>
  <c r="U80" i="1"/>
  <c r="S80" i="1" s="1"/>
  <c r="W183" i="1"/>
  <c r="W105" i="1"/>
  <c r="W196" i="1"/>
  <c r="AI134" i="1"/>
  <c r="W31" i="1"/>
  <c r="W43" i="1"/>
  <c r="U112" i="1"/>
  <c r="S112" i="1" s="1"/>
  <c r="AI112" i="1"/>
  <c r="W112" i="1"/>
  <c r="W182" i="1"/>
  <c r="W98" i="1"/>
  <c r="W191" i="1"/>
  <c r="AI172" i="1"/>
  <c r="W58" i="1"/>
  <c r="W23" i="1"/>
  <c r="U104" i="1"/>
  <c r="S104" i="1" s="1"/>
  <c r="AI104" i="1"/>
  <c r="U128" i="1"/>
  <c r="S128" i="1" s="1"/>
  <c r="AI128" i="1"/>
  <c r="W167" i="1"/>
  <c r="W161" i="1"/>
  <c r="W95" i="1"/>
  <c r="W109" i="1"/>
  <c r="U40" i="1"/>
  <c r="S40" i="1" s="1"/>
  <c r="AI40" i="1"/>
  <c r="AI90" i="1"/>
  <c r="U90" i="1"/>
  <c r="S90" i="1" s="1"/>
  <c r="AI105" i="1"/>
  <c r="U175" i="1"/>
  <c r="S175" i="1" s="1"/>
  <c r="W90" i="1"/>
  <c r="AI133" i="1"/>
  <c r="U99" i="1"/>
  <c r="S99" i="1" s="1"/>
  <c r="AI149" i="1"/>
  <c r="U114" i="1"/>
  <c r="S114" i="1" s="1"/>
  <c r="AI170" i="1"/>
  <c r="U130" i="1"/>
  <c r="S130" i="1" s="1"/>
  <c r="U138" i="1"/>
  <c r="S138" i="1" s="1"/>
  <c r="AI178" i="1"/>
  <c r="W99" i="1"/>
  <c r="U143" i="1"/>
  <c r="S143" i="1" s="1"/>
  <c r="AI183" i="1"/>
  <c r="U44" i="1"/>
  <c r="S44" i="1" s="1"/>
  <c r="AI44" i="1"/>
  <c r="W50" i="1"/>
  <c r="W40" i="1"/>
  <c r="U36" i="1"/>
  <c r="S36" i="1" s="1"/>
  <c r="AI36" i="1"/>
  <c r="AI94" i="1"/>
  <c r="U164" i="1"/>
  <c r="S164" i="1" s="1"/>
  <c r="AI109" i="1"/>
  <c r="U179" i="1"/>
  <c r="S179" i="1" s="1"/>
  <c r="AI122" i="1"/>
  <c r="U191" i="1"/>
  <c r="S191" i="1" s="1"/>
  <c r="W179" i="1"/>
  <c r="W164" i="1"/>
  <c r="AI137" i="1"/>
  <c r="U207" i="1"/>
  <c r="S207" i="1" s="1"/>
  <c r="AI153" i="1"/>
  <c r="U118" i="1"/>
  <c r="S118" i="1" s="1"/>
  <c r="AI174" i="1"/>
  <c r="U134" i="1"/>
  <c r="S134" i="1" s="1"/>
  <c r="U142" i="1"/>
  <c r="S142" i="1" s="1"/>
  <c r="AI182" i="1"/>
  <c r="W142" i="1"/>
  <c r="U147" i="1"/>
  <c r="S147" i="1" s="1"/>
  <c r="AI187" i="1"/>
  <c r="U154" i="1"/>
  <c r="S154" i="1" s="1"/>
  <c r="AI194" i="1"/>
  <c r="W147" i="1"/>
  <c r="AI195" i="1"/>
  <c r="U155" i="1"/>
  <c r="S155" i="1" s="1"/>
  <c r="AI204" i="1"/>
  <c r="U203" i="1"/>
  <c r="S203" i="1" s="1"/>
  <c r="AI208" i="1"/>
  <c r="U208" i="1"/>
  <c r="S208" i="1" s="1"/>
  <c r="AI157" i="1"/>
  <c r="U157" i="1"/>
  <c r="S157" i="1" s="1"/>
  <c r="AI160" i="1"/>
  <c r="U160" i="1"/>
  <c r="S160" i="1" s="1"/>
  <c r="W208" i="1"/>
  <c r="W157" i="1"/>
  <c r="AI50" i="1"/>
  <c r="U50" i="1"/>
  <c r="S50" i="1" s="1"/>
  <c r="U87" i="1"/>
  <c r="S87" i="1" s="1"/>
  <c r="AI87" i="1"/>
  <c r="W87" i="1"/>
  <c r="U168" i="1"/>
  <c r="S168" i="1" s="1"/>
  <c r="AI113" i="1"/>
  <c r="U94" i="1"/>
  <c r="S94" i="1" s="1"/>
  <c r="U186" i="1"/>
  <c r="S186" i="1" s="1"/>
  <c r="AI117" i="1"/>
  <c r="U187" i="1"/>
  <c r="S187" i="1" s="1"/>
  <c r="AI118" i="1"/>
  <c r="W187" i="1"/>
  <c r="AI141" i="1"/>
  <c r="U106" i="1"/>
  <c r="S106" i="1" s="1"/>
  <c r="U122" i="1"/>
  <c r="S122" i="1" s="1"/>
  <c r="U146" i="1"/>
  <c r="S146" i="1" s="1"/>
  <c r="AI186" i="1"/>
  <c r="W114" i="1"/>
  <c r="U151" i="1"/>
  <c r="S151" i="1" s="1"/>
  <c r="AI191" i="1"/>
  <c r="W154" i="1"/>
  <c r="W138" i="1"/>
  <c r="U48" i="1"/>
  <c r="S48" i="1" s="1"/>
  <c r="AI48" i="1"/>
  <c r="AI101" i="1"/>
  <c r="U172" i="1"/>
  <c r="S172" i="1" s="1"/>
  <c r="U190" i="1"/>
  <c r="S190" i="1" s="1"/>
  <c r="AI121" i="1"/>
  <c r="W168" i="1"/>
  <c r="U193" i="1"/>
  <c r="S193" i="1" s="1"/>
  <c r="AI125" i="1"/>
  <c r="W175" i="1"/>
  <c r="AI129" i="1"/>
  <c r="U96" i="1"/>
  <c r="S96" i="1" s="1"/>
  <c r="AI145" i="1"/>
  <c r="U110" i="1"/>
  <c r="S110" i="1" s="1"/>
  <c r="AI166" i="1"/>
  <c r="U126" i="1"/>
  <c r="S126" i="1" s="1"/>
  <c r="U150" i="1"/>
  <c r="S150" i="1" s="1"/>
  <c r="W150" i="1"/>
  <c r="AI190" i="1"/>
  <c r="W130" i="1"/>
  <c r="W118" i="1"/>
  <c r="U139" i="1"/>
  <c r="S139" i="1" s="1"/>
  <c r="AI179" i="1"/>
  <c r="W96" i="1"/>
  <c r="W207" i="1"/>
  <c r="W110" i="1"/>
  <c r="W160" i="1"/>
  <c r="W203" i="1"/>
  <c r="AC16" i="3"/>
  <c r="AC14" i="3"/>
  <c r="AC38" i="3"/>
  <c r="Y15" i="3"/>
  <c r="Y27" i="3"/>
  <c r="Y19" i="3"/>
  <c r="Y20" i="3"/>
  <c r="Y13" i="3"/>
  <c r="Y7" i="3"/>
  <c r="Y14" i="3"/>
  <c r="Y16" i="3"/>
  <c r="Y24" i="3"/>
  <c r="Y34" i="3"/>
  <c r="Y8" i="3"/>
  <c r="Y10" i="3"/>
  <c r="Y38" i="3"/>
  <c r="Y23" i="3"/>
  <c r="Y21" i="3"/>
  <c r="Y17" i="3"/>
  <c r="Y36" i="3"/>
  <c r="Y11" i="3"/>
  <c r="Y35" i="3"/>
  <c r="Y29" i="3"/>
  <c r="Y26" i="3"/>
  <c r="Y22" i="3"/>
  <c r="Y9" i="3"/>
  <c r="Y25" i="3"/>
  <c r="Y31" i="3"/>
  <c r="Y37" i="3"/>
  <c r="Y33" i="3"/>
  <c r="Y28" i="3"/>
  <c r="Y30" i="3"/>
  <c r="Y18" i="3"/>
  <c r="Y12" i="3"/>
  <c r="S16" i="3"/>
  <c r="R16" i="3"/>
  <c r="AC32" i="3" l="1"/>
  <c r="Y32" i="3"/>
  <c r="M16" i="3" l="1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5" i="1"/>
  <c r="AH18" i="1"/>
  <c r="AH24" i="1"/>
  <c r="AH33" i="1"/>
  <c r="AH34" i="1"/>
  <c r="AH47" i="1"/>
  <c r="AH48" i="1"/>
  <c r="AH59" i="1"/>
  <c r="AH60" i="1"/>
  <c r="AH61" i="1"/>
  <c r="AH70" i="1"/>
  <c r="AH71" i="1"/>
  <c r="AH72" i="1"/>
  <c r="AH83" i="1"/>
  <c r="AH84" i="1"/>
  <c r="AH85" i="1"/>
  <c r="AH90" i="1"/>
  <c r="AH91" i="1"/>
  <c r="AH107" i="1"/>
  <c r="AH111" i="1"/>
  <c r="AH112" i="1"/>
  <c r="AH113" i="1"/>
  <c r="AH114" i="1"/>
  <c r="AH115" i="1"/>
  <c r="AH126" i="1"/>
  <c r="AH127" i="1"/>
  <c r="AH144" i="1"/>
  <c r="AH145" i="1"/>
  <c r="AH146" i="1"/>
  <c r="AH147" i="1"/>
  <c r="AH163" i="1"/>
  <c r="AH176" i="1"/>
  <c r="AH177" i="1"/>
  <c r="AH178" i="1"/>
  <c r="AH179" i="1"/>
  <c r="AH184" i="1"/>
  <c r="AH188" i="1"/>
  <c r="AH189" i="1"/>
  <c r="AH190" i="1"/>
  <c r="AH191" i="1"/>
  <c r="AH196" i="1"/>
  <c r="AH205" i="1"/>
  <c r="AH207" i="1"/>
  <c r="AH208" i="1"/>
  <c r="AH209" i="1"/>
  <c r="AH162" i="1"/>
  <c r="AH168" i="1"/>
  <c r="AH198" i="1"/>
  <c r="AH210" i="1"/>
  <c r="AH140" i="1"/>
  <c r="AH152" i="1"/>
  <c r="AH156" i="1"/>
  <c r="AH173" i="1"/>
  <c r="AH182" i="1"/>
  <c r="AH194" i="1"/>
  <c r="AH204" i="1"/>
  <c r="AH16" i="1"/>
  <c r="AH25" i="1"/>
  <c r="AH27" i="1"/>
  <c r="AH28" i="1"/>
  <c r="AH29" i="1"/>
  <c r="AH49" i="1"/>
  <c r="AH50" i="1"/>
  <c r="AH51" i="1"/>
  <c r="AH52" i="1"/>
  <c r="AH62" i="1"/>
  <c r="AH63" i="1"/>
  <c r="AH64" i="1"/>
  <c r="AH73" i="1"/>
  <c r="AH74" i="1"/>
  <c r="AH77" i="1"/>
  <c r="AH78" i="1"/>
  <c r="AH79" i="1"/>
  <c r="AH80" i="1"/>
  <c r="AH81" i="1"/>
  <c r="AH86" i="1"/>
  <c r="AH92" i="1"/>
  <c r="AH93" i="1"/>
  <c r="AH94" i="1"/>
  <c r="AH95" i="1"/>
  <c r="AH96" i="1"/>
  <c r="AH97" i="1"/>
  <c r="AH108" i="1"/>
  <c r="AH109" i="1"/>
  <c r="AH110" i="1"/>
  <c r="AH116" i="1"/>
  <c r="AH117" i="1"/>
  <c r="AH118" i="1"/>
  <c r="AH119" i="1"/>
  <c r="AH128" i="1"/>
  <c r="AH129" i="1"/>
  <c r="AH130" i="1"/>
  <c r="AH131" i="1"/>
  <c r="AH132" i="1"/>
  <c r="AH133" i="1"/>
  <c r="AH134" i="1"/>
  <c r="AH148" i="1"/>
  <c r="AH149" i="1"/>
  <c r="AH150" i="1"/>
  <c r="AH164" i="1"/>
  <c r="AH165" i="1"/>
  <c r="AH166" i="1"/>
  <c r="AH167" i="1"/>
  <c r="AH169" i="1"/>
  <c r="AH199" i="1"/>
  <c r="AH211" i="1"/>
  <c r="AH141" i="1"/>
  <c r="AH153" i="1"/>
  <c r="AH174" i="1"/>
  <c r="AH183" i="1"/>
  <c r="AH195" i="1"/>
  <c r="AH159" i="1"/>
  <c r="AH17" i="1"/>
  <c r="AH19" i="1"/>
  <c r="AH20" i="1"/>
  <c r="AH21" i="1"/>
  <c r="AH30" i="1"/>
  <c r="AH31" i="1"/>
  <c r="AH35" i="1"/>
  <c r="AH36" i="1"/>
  <c r="AH46" i="1"/>
  <c r="AH53" i="1"/>
  <c r="AH54" i="1"/>
  <c r="AH55" i="1"/>
  <c r="AH65" i="1"/>
  <c r="AH66" i="1"/>
  <c r="AH75" i="1"/>
  <c r="AH82" i="1"/>
  <c r="AH87" i="1"/>
  <c r="AH88" i="1"/>
  <c r="AH98" i="1"/>
  <c r="AH120" i="1"/>
  <c r="AH121" i="1"/>
  <c r="AH122" i="1"/>
  <c r="AH135" i="1"/>
  <c r="AH151" i="1"/>
  <c r="AH170" i="1"/>
  <c r="AH180" i="1"/>
  <c r="AH185" i="1"/>
  <c r="AH186" i="1"/>
  <c r="AH192" i="1"/>
  <c r="AH200" i="1"/>
  <c r="AH201" i="1"/>
  <c r="AH206" i="1"/>
  <c r="AH157" i="1"/>
  <c r="AH197" i="1"/>
  <c r="AH158" i="1"/>
  <c r="AH123" i="1"/>
  <c r="AH125" i="1"/>
  <c r="AH136" i="1"/>
  <c r="AH139" i="1"/>
  <c r="AH142" i="1"/>
  <c r="AH155" i="1"/>
  <c r="AH171" i="1"/>
  <c r="AH175" i="1"/>
  <c r="AH187" i="1"/>
  <c r="AH203" i="1"/>
  <c r="AH161" i="1"/>
  <c r="AH22" i="1"/>
  <c r="AH23" i="1"/>
  <c r="AH26" i="1"/>
  <c r="AH32" i="1"/>
  <c r="AH37" i="1"/>
  <c r="AH38" i="1"/>
  <c r="AH39" i="1"/>
  <c r="AH40" i="1"/>
  <c r="AH41" i="1"/>
  <c r="AH42" i="1"/>
  <c r="AH43" i="1"/>
  <c r="AH44" i="1"/>
  <c r="AH45" i="1"/>
  <c r="AH56" i="1"/>
  <c r="AH57" i="1"/>
  <c r="AH58" i="1"/>
  <c r="AH67" i="1"/>
  <c r="AH68" i="1"/>
  <c r="AH69" i="1"/>
  <c r="AH76" i="1"/>
  <c r="AH89" i="1"/>
  <c r="AH99" i="1"/>
  <c r="AH100" i="1"/>
  <c r="AH101" i="1"/>
  <c r="AH102" i="1"/>
  <c r="AH103" i="1"/>
  <c r="AH104" i="1"/>
  <c r="AH105" i="1"/>
  <c r="AH106" i="1"/>
  <c r="AH124" i="1"/>
  <c r="AH137" i="1"/>
  <c r="AH138" i="1"/>
  <c r="AH143" i="1"/>
  <c r="AH154" i="1"/>
  <c r="AH172" i="1"/>
  <c r="AH181" i="1"/>
  <c r="AH193" i="1"/>
  <c r="AH202" i="1"/>
  <c r="AH160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<sst xmlns="http://schemas.openxmlformats.org/spreadsheetml/2006/main" count="2084" uniqueCount="737">
  <si>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</si>
  <si>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</si>
  <si>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</si>
  <si>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</si>
  <si>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</si>
  <si>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</si>
  <si>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</si>
  <si>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</si>
  <si>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</si>
  <si>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</si>
  <si>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</si>
  <si>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</si>
  <si>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</si>
  <si>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</si>
  <si>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</si>
  <si>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</si>
  <si>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</si>
  <si>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</si>
  <si>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</si>
  <si>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</si>
  <si>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</si>
  <si>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</si>
  <si>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</si>
  <si>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</si>
  <si>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</si>
  <si>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</si>
  <si>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</si>
  <si>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</si>
  <si>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</si>
  <si>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</si>
  <si>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</si>
  <si>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</si>
  <si>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</si>
  <si>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</si>
  <si>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</si>
  <si>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</si>
  <si>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</si>
  <si>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</si>
  <si>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</si>
  <si>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</si>
  <si>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</si>
  <si>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</si>
  <si>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</si>
  <si>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</si>
  <si>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</si>
  <si>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</si>
  <si>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</si>
  <si>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</si>
  <si>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</si>
  <si>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</si>
  <si>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</si>
  <si>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</si>
  <si>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</si>
  <si>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</si>
  <si>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</si>
  <si>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</si>
  <si>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</si>
  <si>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</si>
  <si>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</si>
  <si>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</si>
  <si>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</si>
  <si>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</si>
  <si>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</si>
  <si>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</si>
  <si>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</si>
  <si>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</si>
  <si>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</si>
  <si>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</si>
  <si>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</si>
  <si>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</si>
  <si>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</si>
  <si>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</si>
  <si>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</si>
  <si>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</si>
  <si>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</si>
  <si>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</si>
  <si>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</si>
  <si>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</si>
  <si>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</si>
  <si>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</si>
  <si>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</si>
  <si>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</si>
  <si>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</si>
  <si>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</si>
  <si>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</si>
  <si>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</si>
  <si>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</si>
  <si>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</si>
  <si>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</si>
  <si>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</si>
  <si>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</si>
  <si>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</si>
  <si>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</si>
  <si>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</si>
  <si>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</si>
  <si>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</si>
  <si>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</si>
  <si>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</si>
  <si>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</si>
  <si>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</si>
  <si>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</si>
  <si>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</si>
  <si>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</si>
  <si>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</si>
  <si>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</si>
  <si>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</si>
  <si>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</si>
  <si>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</si>
  <si>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</si>
  <si>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</si>
  <si>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</si>
  <si>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</si>
  <si>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</si>
  <si>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</si>
  <si>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</si>
  <si>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</si>
  <si>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</si>
  <si>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</si>
  <si>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</si>
  <si>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</si>
  <si>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</si>
  <si>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</si>
  <si>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</si>
  <si>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</si>
  <si>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</si>
  <si>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</si>
  <si>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</si>
  <si>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</si>
  <si>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</si>
  <si>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</si>
  <si>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</si>
  <si>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</si>
  <si>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</si>
  <si>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</si>
  <si>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</si>
  <si>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</si>
  <si>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</si>
  <si>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</si>
  <si>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</si>
  <si>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</si>
  <si>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</si>
  <si>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</si>
  <si>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</si>
  <si>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</si>
  <si>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</si>
  <si>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</si>
  <si>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</si>
  <si>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</si>
  <si>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</si>
  <si>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</si>
  <si>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</si>
  <si>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</si>
  <si>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</si>
  <si>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</si>
  <si>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</si>
  <si>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</si>
  <si>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</si>
  <si>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</si>
  <si>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</si>
  <si>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</si>
  <si>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</si>
  <si>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</si>
  <si>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</si>
  <si>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</si>
  <si>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</si>
  <si>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</si>
  <si>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</si>
  <si>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</si>
  <si>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</si>
  <si>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</si>
  <si>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</si>
  <si>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</si>
  <si>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</si>
  <si>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</si>
  <si>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</si>
  <si>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</si>
  <si>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</si>
  <si>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</si>
  <si>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</si>
  <si>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</si>
  <si>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</si>
  <si>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</si>
  <si>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</si>
  <si>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</si>
  <si>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</si>
  <si>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</si>
  <si>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</si>
  <si>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</si>
  <si>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</si>
  <si>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</si>
  <si>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</si>
  <si>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</si>
  <si>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</si>
  <si>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</si>
  <si>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</si>
  <si>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</si>
  <si>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</si>
  <si>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</si>
  <si>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</si>
  <si>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</si>
  <si>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</si>
  <si>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</si>
  <si>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</si>
  <si>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</si>
  <si>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</si>
  <si>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</si>
  <si>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</si>
  <si>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</si>
  <si>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</si>
  <si>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</si>
  <si>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</si>
  <si>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</si>
  <si>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</si>
  <si>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</si>
  <si>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</si>
  <si>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</si>
  <si>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</si>
  <si>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</si>
  <si>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</si>
  <si>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</si>
  <si>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</si>
  <si>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</si>
  <si>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</si>
  <si>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</si>
  <si>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</si>
  <si>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</si>
  <si>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</si>
  <si>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</si>
  <si>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</si>
  <si>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</si>
  <si>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</si>
  <si>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204:139</t>
  </si>
  <si>
    <t>204:458</t>
  </si>
  <si>
    <t>204:464</t>
  </si>
  <si>
    <t>204:232984</t>
  </si>
  <si>
    <t>204:467</t>
  </si>
  <si>
    <t>204:460</t>
  </si>
  <si>
    <t>human_readable_time</t>
  </si>
  <si>
    <t>OUN</t>
  </si>
  <si>
    <t>204:232978</t>
  </si>
  <si>
    <t>204:138</t>
  </si>
  <si>
    <t>204:232980</t>
  </si>
  <si>
    <t>204:232994</t>
  </si>
  <si>
    <t>rtdc.l.rtdc.4013:itc</t>
  </si>
  <si>
    <t>204:469</t>
  </si>
  <si>
    <t>204:449</t>
  </si>
  <si>
    <t>204:475</t>
  </si>
  <si>
    <t>Early arrival</t>
  </si>
  <si>
    <t>Reactive Warning (1)</t>
  </si>
  <si>
    <t>204:233299</t>
  </si>
  <si>
    <t>204:233278</t>
  </si>
  <si>
    <t>204:462</t>
  </si>
  <si>
    <t>204:446</t>
  </si>
  <si>
    <t>204:172</t>
  </si>
  <si>
    <t>300:58617</t>
  </si>
  <si>
    <t>rtdc.l.rtdc.4017:itc</t>
  </si>
  <si>
    <t>204:143</t>
  </si>
  <si>
    <t>204:232955</t>
  </si>
  <si>
    <t>rtdc.l.rtdc.4044:itc</t>
  </si>
  <si>
    <t>MAELZER</t>
  </si>
  <si>
    <t>STRICKLAND</t>
  </si>
  <si>
    <t>rtdc.l.rtdc.4043:itc</t>
  </si>
  <si>
    <t>MOSES</t>
  </si>
  <si>
    <t>STURGEON</t>
  </si>
  <si>
    <t>204:233276</t>
  </si>
  <si>
    <t>204:437</t>
  </si>
  <si>
    <t>204:232971</t>
  </si>
  <si>
    <t>204:232975</t>
  </si>
  <si>
    <t>204:233280</t>
  </si>
  <si>
    <t>300:58943</t>
  </si>
  <si>
    <t>clear-night</t>
  </si>
  <si>
    <t>Clear</t>
  </si>
  <si>
    <t>Loco - PTC</t>
  </si>
  <si>
    <t>Power</t>
  </si>
  <si>
    <t>204:170</t>
  </si>
  <si>
    <t>204:232953</t>
  </si>
  <si>
    <t>204:233297</t>
  </si>
  <si>
    <t>204:233244</t>
  </si>
  <si>
    <t>204:232934</t>
  </si>
  <si>
    <t>204:233264</t>
  </si>
  <si>
    <t>204:232976</t>
  </si>
  <si>
    <t>204:233274</t>
  </si>
  <si>
    <t>204:130</t>
  </si>
  <si>
    <t>204:232957</t>
  </si>
  <si>
    <t>204:232965</t>
  </si>
  <si>
    <t>204:161</t>
  </si>
  <si>
    <t>204:233303</t>
  </si>
  <si>
    <t>204:477</t>
  </si>
  <si>
    <t>204:233263</t>
  </si>
  <si>
    <t>204:478</t>
  </si>
  <si>
    <t>300:58924</t>
  </si>
  <si>
    <t>rtdc.l.rtdc.4045:itc</t>
  </si>
  <si>
    <t>rtdc.l.rtdc.4005:itc</t>
  </si>
  <si>
    <t>MALAVE</t>
  </si>
  <si>
    <t>NEWELL</t>
  </si>
  <si>
    <t>rtdc.l.rtdc.4006:itc</t>
  </si>
  <si>
    <t>clear-day</t>
  </si>
  <si>
    <t>rtdc.l.rtdc.4003:itc</t>
  </si>
  <si>
    <t>rtdc.l.rtdc.4038:itc</t>
  </si>
  <si>
    <t>DAVIS</t>
  </si>
  <si>
    <t>rtdc.l.rtdc.4004:itc</t>
  </si>
  <si>
    <t>rtdc.l.rtdc.4037:itc</t>
  </si>
  <si>
    <t>STEWART</t>
  </si>
  <si>
    <t>CLARK</t>
  </si>
  <si>
    <t>YANAI</t>
  </si>
  <si>
    <t>CHANDLER</t>
  </si>
  <si>
    <t>234-16</t>
  </si>
  <si>
    <t>236-16</t>
  </si>
  <si>
    <t>239-16</t>
  </si>
  <si>
    <t>238-16</t>
  </si>
  <si>
    <t>241-16</t>
  </si>
  <si>
    <t>240-16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</si>
  <si>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</si>
  <si>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</si>
  <si>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</si>
  <si>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</si>
  <si>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</si>
  <si>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</si>
  <si>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</si>
  <si>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</si>
  <si>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</si>
  <si>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204:232973</t>
  </si>
  <si>
    <t>204:233268</t>
  </si>
  <si>
    <t>204:233285</t>
  </si>
  <si>
    <t>204:232947</t>
  </si>
  <si>
    <t>204:156</t>
  </si>
  <si>
    <t>204:232943</t>
  </si>
  <si>
    <t>204:440</t>
  </si>
  <si>
    <t>204:233286</t>
  </si>
  <si>
    <t>204:233259</t>
  </si>
  <si>
    <t>204:233288</t>
  </si>
  <si>
    <t>204:232940</t>
  </si>
  <si>
    <t>204:233261</t>
  </si>
  <si>
    <t>204:165</t>
  </si>
  <si>
    <t>204:233272</t>
  </si>
  <si>
    <t>204:232951</t>
  </si>
  <si>
    <t>204:232925</t>
  </si>
  <si>
    <t>204:167</t>
  </si>
  <si>
    <t>204:480</t>
  </si>
  <si>
    <t>300:58937</t>
  </si>
  <si>
    <t>204:759</t>
  </si>
  <si>
    <t>rtdc.l.rtdc.4011:itc</t>
  </si>
  <si>
    <t>rtdc.l.rtdc.4040:itc</t>
  </si>
  <si>
    <t>KILLION</t>
  </si>
  <si>
    <t>rtdc.l.rtdc.4028:itc</t>
  </si>
  <si>
    <t>rtdc.l.rtdc.4039:itc</t>
  </si>
  <si>
    <t>YORK</t>
  </si>
  <si>
    <t>rtdc.l.rtdc.4027:itc</t>
  </si>
  <si>
    <t>rtdc.l.rtdc.4012:itc</t>
  </si>
  <si>
    <t>BARTLETT</t>
  </si>
  <si>
    <t>SHOOK</t>
  </si>
  <si>
    <t>BRUDER</t>
  </si>
  <si>
    <t>DE LA ROSA</t>
  </si>
  <si>
    <t>245-17</t>
  </si>
  <si>
    <t>242-17</t>
  </si>
  <si>
    <t>244-17</t>
  </si>
  <si>
    <t>311-17</t>
  </si>
  <si>
    <t>246-17</t>
  </si>
  <si>
    <t>313-17</t>
  </si>
  <si>
    <t>315-17</t>
  </si>
  <si>
    <t>204:233255</t>
  </si>
  <si>
    <t>204:422</t>
  </si>
  <si>
    <t>204:232962</t>
  </si>
  <si>
    <t>204:233309</t>
  </si>
  <si>
    <t>204:232990</t>
  </si>
  <si>
    <t>204:233282</t>
  </si>
  <si>
    <t>204:232961</t>
  </si>
  <si>
    <t>204:232942</t>
  </si>
  <si>
    <t>204:482</t>
  </si>
  <si>
    <t>204:232944</t>
  </si>
  <si>
    <t>204:233253</t>
  </si>
  <si>
    <t>204:233240</t>
  </si>
  <si>
    <t>204:233204</t>
  </si>
  <si>
    <t>204:232936</t>
  </si>
  <si>
    <t>204:232883</t>
  </si>
  <si>
    <t>204:233289</t>
  </si>
  <si>
    <t>204:233293</t>
  </si>
  <si>
    <t>204:232964</t>
  </si>
  <si>
    <t>300:58621</t>
  </si>
  <si>
    <t>300:58929</t>
  </si>
  <si>
    <t>300:58619</t>
  </si>
  <si>
    <t>300:58933</t>
  </si>
  <si>
    <t>204:769</t>
  </si>
  <si>
    <t>300:58939</t>
  </si>
  <si>
    <t>204:768</t>
  </si>
  <si>
    <t>300:58626</t>
  </si>
  <si>
    <t>300:58931</t>
  </si>
  <si>
    <t>300:58628</t>
  </si>
  <si>
    <t>204:233311</t>
  </si>
  <si>
    <t>204:233314</t>
  </si>
  <si>
    <t>300:22269</t>
  </si>
  <si>
    <t>300:23299</t>
  </si>
  <si>
    <t>300:24214</t>
  </si>
  <si>
    <t>Onboard in-route failure</t>
  </si>
  <si>
    <t>Form C</t>
  </si>
  <si>
    <t>CLI Grep</t>
  </si>
  <si>
    <t>106-18</t>
  </si>
  <si>
    <t>114-18</t>
  </si>
  <si>
    <t>125-18</t>
  </si>
  <si>
    <t>123-18</t>
  </si>
  <si>
    <t>118-18</t>
  </si>
  <si>
    <t>1803-18</t>
  </si>
  <si>
    <t>TEMPORARY SPEED RESTRICTION</t>
  </si>
  <si>
    <t>124-18</t>
  </si>
  <si>
    <t>1805-18</t>
  </si>
  <si>
    <t>137-18</t>
  </si>
  <si>
    <t>132-18</t>
  </si>
  <si>
    <t>rtdc.l.rtdc.4015:itc</t>
  </si>
  <si>
    <t>134-18</t>
  </si>
  <si>
    <t>140-18</t>
  </si>
  <si>
    <t>147-18</t>
  </si>
  <si>
    <t>146-18</t>
  </si>
  <si>
    <t>148-18</t>
  </si>
  <si>
    <t>SWITCH UNKNOWN</t>
  </si>
  <si>
    <t>Track device (7)</t>
  </si>
  <si>
    <t>161-18</t>
  </si>
  <si>
    <t>1811-18</t>
  </si>
  <si>
    <t>1812-18</t>
  </si>
  <si>
    <t>1815-18</t>
  </si>
  <si>
    <t>1816-18</t>
  </si>
  <si>
    <t>178-18</t>
  </si>
  <si>
    <t>1819-18</t>
  </si>
  <si>
    <t>188-18</t>
  </si>
  <si>
    <t>190-18</t>
  </si>
  <si>
    <t>209-18</t>
  </si>
  <si>
    <t>212-18</t>
  </si>
  <si>
    <t>233-18</t>
  </si>
  <si>
    <t>Y</t>
  </si>
  <si>
    <t>101-18</t>
  </si>
  <si>
    <t>103-18</t>
  </si>
  <si>
    <t>BROWN</t>
  </si>
  <si>
    <t>304-18</t>
  </si>
  <si>
    <t>102-18</t>
  </si>
  <si>
    <t>105-18</t>
  </si>
  <si>
    <t>107-18</t>
  </si>
  <si>
    <t>104-18</t>
  </si>
  <si>
    <t>109-18</t>
  </si>
  <si>
    <t>111-18</t>
  </si>
  <si>
    <t>113-18</t>
  </si>
  <si>
    <t>108-18</t>
  </si>
  <si>
    <t>115-18</t>
  </si>
  <si>
    <t>117-18</t>
  </si>
  <si>
    <t>1800-18</t>
  </si>
  <si>
    <t>STARKS</t>
  </si>
  <si>
    <t>110-18</t>
  </si>
  <si>
    <t>112-18</t>
  </si>
  <si>
    <t>119-18</t>
  </si>
  <si>
    <t>116-18</t>
  </si>
  <si>
    <t>121-18</t>
  </si>
  <si>
    <t>1801-18</t>
  </si>
  <si>
    <t>1802-18</t>
  </si>
  <si>
    <t>120-18</t>
  </si>
  <si>
    <t>127-18</t>
  </si>
  <si>
    <t>122-18</t>
  </si>
  <si>
    <t>129-18</t>
  </si>
  <si>
    <t>131-18</t>
  </si>
  <si>
    <t>1804-18</t>
  </si>
  <si>
    <t>126-18</t>
  </si>
  <si>
    <t>133-18</t>
  </si>
  <si>
    <t>128-18</t>
  </si>
  <si>
    <t>130-18</t>
  </si>
  <si>
    <t>135-18</t>
  </si>
  <si>
    <t>139-18</t>
  </si>
  <si>
    <t>1806-18</t>
  </si>
  <si>
    <t>141-18</t>
  </si>
  <si>
    <t>136-18</t>
  </si>
  <si>
    <t>143-18</t>
  </si>
  <si>
    <t>1807-18</t>
  </si>
  <si>
    <t>138-18</t>
  </si>
  <si>
    <t>145-18</t>
  </si>
  <si>
    <t>142-18</t>
  </si>
  <si>
    <t>151-18</t>
  </si>
  <si>
    <t>1808-18</t>
  </si>
  <si>
    <t>149-18</t>
  </si>
  <si>
    <t>144-18</t>
  </si>
  <si>
    <t>153-18</t>
  </si>
  <si>
    <t>1809-18</t>
  </si>
  <si>
    <t>155-18</t>
  </si>
  <si>
    <t>150-18</t>
  </si>
  <si>
    <t>1810-18</t>
  </si>
  <si>
    <t>157-18</t>
  </si>
  <si>
    <t>152-18</t>
  </si>
  <si>
    <t>159-18</t>
  </si>
  <si>
    <t>154-18</t>
  </si>
  <si>
    <t>156-18</t>
  </si>
  <si>
    <t>158-18</t>
  </si>
  <si>
    <t>54-18</t>
  </si>
  <si>
    <t>163-18</t>
  </si>
  <si>
    <t>rtdc.l.rtdc.4014:itc</t>
  </si>
  <si>
    <t>165-18</t>
  </si>
  <si>
    <t>160-18</t>
  </si>
  <si>
    <t>162-18</t>
  </si>
  <si>
    <t>167-18</t>
  </si>
  <si>
    <t>55-18</t>
  </si>
  <si>
    <t>169-18</t>
  </si>
  <si>
    <t>1813-18</t>
  </si>
  <si>
    <t>164-18</t>
  </si>
  <si>
    <t>171-18</t>
  </si>
  <si>
    <t>166-18</t>
  </si>
  <si>
    <t>1814-18</t>
  </si>
  <si>
    <t>173-18</t>
  </si>
  <si>
    <t>168-18</t>
  </si>
  <si>
    <t>175-18</t>
  </si>
  <si>
    <t>170-18</t>
  </si>
  <si>
    <t>177-18</t>
  </si>
  <si>
    <t>172-18</t>
  </si>
  <si>
    <t>179-18</t>
  </si>
  <si>
    <t>174-18</t>
  </si>
  <si>
    <t>181-18</t>
  </si>
  <si>
    <t>176-18</t>
  </si>
  <si>
    <t>183-18</t>
  </si>
  <si>
    <t>1817-18</t>
  </si>
  <si>
    <t>CRAYTON</t>
  </si>
  <si>
    <t>185-18</t>
  </si>
  <si>
    <t>180-18</t>
  </si>
  <si>
    <t>187-18</t>
  </si>
  <si>
    <t>182-18</t>
  </si>
  <si>
    <t>1818-18</t>
  </si>
  <si>
    <t>189-18</t>
  </si>
  <si>
    <t>184-18</t>
  </si>
  <si>
    <t>191-18</t>
  </si>
  <si>
    <t>186-18</t>
  </si>
  <si>
    <t>193-18</t>
  </si>
  <si>
    <t>195-18</t>
  </si>
  <si>
    <t>1820-18</t>
  </si>
  <si>
    <t>197-18</t>
  </si>
  <si>
    <t>192-18</t>
  </si>
  <si>
    <t>199-18</t>
  </si>
  <si>
    <t>1821-18</t>
  </si>
  <si>
    <t>194-18</t>
  </si>
  <si>
    <t>201-18</t>
  </si>
  <si>
    <t>196-18</t>
  </si>
  <si>
    <t>203-18</t>
  </si>
  <si>
    <t>198-18</t>
  </si>
  <si>
    <t>1822-18</t>
  </si>
  <si>
    <t>205-18</t>
  </si>
  <si>
    <t>200-18</t>
  </si>
  <si>
    <t>207-18</t>
  </si>
  <si>
    <t>1823-18</t>
  </si>
  <si>
    <t>202-18</t>
  </si>
  <si>
    <t>204-18</t>
  </si>
  <si>
    <t>LEVERE</t>
  </si>
  <si>
    <t>211-18</t>
  </si>
  <si>
    <t>206-18</t>
  </si>
  <si>
    <t>66-18</t>
  </si>
  <si>
    <t>1824-18</t>
  </si>
  <si>
    <t>213-18</t>
  </si>
  <si>
    <t>208-18</t>
  </si>
  <si>
    <t>56-18</t>
  </si>
  <si>
    <t>215-18</t>
  </si>
  <si>
    <t>1826-18</t>
  </si>
  <si>
    <t>1825-18</t>
  </si>
  <si>
    <t>210-18</t>
  </si>
  <si>
    <t>217-18</t>
  </si>
  <si>
    <t>58-18</t>
  </si>
  <si>
    <t>219-18</t>
  </si>
  <si>
    <t>214-18</t>
  </si>
  <si>
    <t>BRONCO EXTRA 1-18</t>
  </si>
  <si>
    <t>SWANSON</t>
  </si>
  <si>
    <t>216-18</t>
  </si>
  <si>
    <t>221-18</t>
  </si>
  <si>
    <t>218-18</t>
  </si>
  <si>
    <t>223-18</t>
  </si>
  <si>
    <t>220-18</t>
  </si>
  <si>
    <t>BRONCOS EXT 4-18</t>
  </si>
  <si>
    <t>1828-18</t>
  </si>
  <si>
    <t>BRONCOS EXT 3-18</t>
  </si>
  <si>
    <t>SMITH</t>
  </si>
  <si>
    <t>222-18</t>
  </si>
  <si>
    <t>225-18</t>
  </si>
  <si>
    <t>1829-18</t>
  </si>
  <si>
    <t>BRONCOS EXT 5-18</t>
  </si>
  <si>
    <t>MAHAN</t>
  </si>
  <si>
    <t>224-18</t>
  </si>
  <si>
    <t>227-18</t>
  </si>
  <si>
    <t>303-18</t>
  </si>
  <si>
    <t>226-18</t>
  </si>
  <si>
    <t>1830-18</t>
  </si>
  <si>
    <t>BRONCOS EXT 6-18</t>
  </si>
  <si>
    <t>229-18</t>
  </si>
  <si>
    <t>1831-18</t>
  </si>
  <si>
    <t>BRONCOS EXT 2-18</t>
  </si>
  <si>
    <t>228-18</t>
  </si>
  <si>
    <t>231-18</t>
  </si>
  <si>
    <t>307-18</t>
  </si>
  <si>
    <t>1832-18</t>
  </si>
  <si>
    <t>230-18</t>
  </si>
  <si>
    <t>1833-18</t>
  </si>
  <si>
    <t>232-18</t>
  </si>
  <si>
    <t>235-18</t>
  </si>
  <si>
    <t>1902-18</t>
  </si>
  <si>
    <t>234-18</t>
  </si>
  <si>
    <t>237-18</t>
  </si>
  <si>
    <t>236-18</t>
  </si>
  <si>
    <t>239-18</t>
  </si>
  <si>
    <t>238-18</t>
  </si>
  <si>
    <t>241-18</t>
  </si>
  <si>
    <t>240-18</t>
  </si>
  <si>
    <t>243-18</t>
  </si>
  <si>
    <t>242-18</t>
  </si>
  <si>
    <t>309-18</t>
  </si>
  <si>
    <t>311-18</t>
  </si>
  <si>
    <t>244-18</t>
  </si>
  <si>
    <t>313-18</t>
  </si>
  <si>
    <t>315-18</t>
  </si>
  <si>
    <t>Summary for DUS 2016-09-18: Clear throughout the day.</t>
  </si>
  <si>
    <t>204:735</t>
  </si>
  <si>
    <t>204:232637</t>
  </si>
  <si>
    <t>204:763</t>
  </si>
  <si>
    <t>204:232644</t>
  </si>
  <si>
    <t>204:201</t>
  </si>
  <si>
    <t>204:712</t>
  </si>
  <si>
    <t>204:233295</t>
  </si>
  <si>
    <t>204:232666</t>
  </si>
  <si>
    <t>204:232930</t>
  </si>
  <si>
    <t>204:232946</t>
  </si>
  <si>
    <t>204:233270</t>
  </si>
  <si>
    <t>204:145</t>
  </si>
  <si>
    <t>204:836</t>
  </si>
  <si>
    <t>204:544</t>
  </si>
  <si>
    <t>204:233316</t>
  </si>
  <si>
    <t>204:734</t>
  </si>
  <si>
    <t>204:233307</t>
  </si>
  <si>
    <t>204:232982</t>
  </si>
  <si>
    <t>204:233249</t>
  </si>
  <si>
    <t>204:233090</t>
  </si>
  <si>
    <t>204:232905</t>
  </si>
  <si>
    <t>204:127842</t>
  </si>
  <si>
    <t>204:232945</t>
  </si>
  <si>
    <t>204:233246</t>
  </si>
  <si>
    <t>204:232988</t>
  </si>
  <si>
    <t>204:134</t>
  </si>
  <si>
    <t>204:233174</t>
  </si>
  <si>
    <t>204:232855</t>
  </si>
  <si>
    <t>204:233234</t>
  </si>
  <si>
    <t>204:232906</t>
  </si>
  <si>
    <t>204:345</t>
  </si>
  <si>
    <t>204:232948</t>
  </si>
  <si>
    <t>204:327</t>
  </si>
  <si>
    <t>204:473</t>
  </si>
  <si>
    <t>204:233343</t>
  </si>
  <si>
    <t>204:233005</t>
  </si>
  <si>
    <t>204:1471</t>
  </si>
  <si>
    <t>204:249</t>
  </si>
  <si>
    <t>204:129</t>
  </si>
  <si>
    <t>204:664</t>
  </si>
  <si>
    <t>204:233215</t>
  </si>
  <si>
    <t>204:233345</t>
  </si>
  <si>
    <t>204:233040</t>
  </si>
  <si>
    <t>204:615</t>
  </si>
  <si>
    <t>204:233341</t>
  </si>
  <si>
    <t>204:233009</t>
  </si>
  <si>
    <t>204:524</t>
  </si>
  <si>
    <t>204:233322</t>
  </si>
  <si>
    <t>204:233000</t>
  </si>
  <si>
    <t>204:789</t>
  </si>
  <si>
    <t>204:1083</t>
  </si>
  <si>
    <t>204:720</t>
  </si>
  <si>
    <t>204:1016</t>
  </si>
  <si>
    <t>300:58946</t>
  </si>
  <si>
    <t>204:731</t>
  </si>
  <si>
    <t>204:1014</t>
  </si>
  <si>
    <t>300:58611</t>
  </si>
  <si>
    <t>204:729</t>
  </si>
  <si>
    <t>204:1006</t>
  </si>
  <si>
    <t>300:58624</t>
  </si>
  <si>
    <t>204:724</t>
  </si>
  <si>
    <t>204:1000</t>
  </si>
  <si>
    <t>204:233230</t>
  </si>
  <si>
    <t>204:1009</t>
  </si>
  <si>
    <t>204:705</t>
  </si>
  <si>
    <t>204:1004</t>
  </si>
  <si>
    <t>204:761</t>
  </si>
  <si>
    <t>204:1035</t>
  </si>
  <si>
    <t>300:58926</t>
  </si>
  <si>
    <t>204:136</t>
  </si>
  <si>
    <t>204:750</t>
  </si>
  <si>
    <t>204:1034</t>
  </si>
  <si>
    <t>300:58615</t>
  </si>
  <si>
    <t>204:745</t>
  </si>
  <si>
    <t>204:1023</t>
  </si>
  <si>
    <t>300:58608</t>
  </si>
  <si>
    <t>204:738</t>
  </si>
  <si>
    <t>204:1025</t>
  </si>
  <si>
    <t>1827-18</t>
  </si>
  <si>
    <t>204:1048</t>
  </si>
  <si>
    <t>204:1046</t>
  </si>
  <si>
    <t>204:233222</t>
  </si>
  <si>
    <t>204:1060</t>
  </si>
  <si>
    <t>204:1051</t>
  </si>
  <si>
    <t>204:232900</t>
  </si>
  <si>
    <t>204:189</t>
  </si>
  <si>
    <t>204:19123</t>
  </si>
  <si>
    <t>204:180</t>
  </si>
  <si>
    <t>204:232979</t>
  </si>
  <si>
    <t>300:21805</t>
  </si>
  <si>
    <t>204:502</t>
  </si>
  <si>
    <t>204:233223</t>
  </si>
  <si>
    <t>204:232896</t>
  </si>
  <si>
    <t>204:233370</t>
  </si>
  <si>
    <t>204:233042</t>
  </si>
  <si>
    <t>204:486</t>
  </si>
  <si>
    <t>204:232972</t>
  </si>
  <si>
    <t>204:233001</t>
  </si>
  <si>
    <t>204:233229</t>
  </si>
  <si>
    <t>204:232952</t>
  </si>
  <si>
    <t>204:433</t>
  </si>
  <si>
    <t>204:232889</t>
  </si>
  <si>
    <t>204:233387</t>
  </si>
  <si>
    <t>204:233030</t>
  </si>
  <si>
    <t>204:233284</t>
  </si>
  <si>
    <t>300:23334</t>
  </si>
  <si>
    <t>204:2501</t>
  </si>
  <si>
    <t>300:23295</t>
  </si>
  <si>
    <t>300:22835</t>
  </si>
  <si>
    <t>300:23304</t>
  </si>
  <si>
    <t>300:23306</t>
  </si>
  <si>
    <t>300:22839</t>
  </si>
  <si>
    <t>300:23504</t>
  </si>
  <si>
    <t>204:148</t>
  </si>
  <si>
    <t>204:339</t>
  </si>
  <si>
    <t>300:24263</t>
  </si>
  <si>
    <t>300:21789</t>
  </si>
  <si>
    <t>204:893</t>
  </si>
  <si>
    <t>204:435</t>
  </si>
  <si>
    <t>204:233232</t>
  </si>
  <si>
    <t>204:232932</t>
  </si>
  <si>
    <t>NorthBound</t>
  </si>
  <si>
    <t>SouthBound</t>
  </si>
  <si>
    <t>40th 4S STOP, cleared afterward</t>
  </si>
  <si>
    <t>Wi-MAX outage</t>
  </si>
  <si>
    <t>Logs show that from 17:34:25 to 18:01:48, DIA 2N was STOP. There was a PSS issued during this timeframe (at 2016-09-18 17:51:38.000). What is the root cause for why the signal wasn't able to clear? Was there traffic conditions preventing a signal clear? Dispatcher error? Or a TMDS issue?</t>
  </si>
  <si>
    <t>DIA 2N stuck at STOP, used PSS successfully</t>
  </si>
  <si>
    <t>Triplex issues starting from 09:12</t>
  </si>
  <si>
    <t>DUS 2N stuck at STOP because DUS 20N wasn't cleared</t>
  </si>
  <si>
    <t>20N wasn't cleared until 14:19, after the train was cut out.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</si>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</sst>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0" borderId="0" xfId="0" applyFont="1"/>
    <xf numFmtId="169" fontId="17" fillId="0" borderId="0" xfId="0" applyFont="1" applyAlignment="1">
      <alignment horizontal="center" vertical="center"/>
    </xf>
    <xf numFmtId="169" fontId="18" fillId="0" borderId="0" xfId="0" applyFont="1" applyFill="1"/>
    <xf numFmtId="169" fontId="17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33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2"/>
  <sheetViews>
    <sheetView workbookViewId="0">
      <selection activeCell="R17" sqref="R17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42631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42631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150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34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COUNTIFS($N$13:$N$9395,"&gt;0",$AG$13:$AG$9395,I1)</f>
        <v>148</v>
      </c>
      <c r="K5" s="46"/>
      <c r="L5" s="46"/>
      <c r="M5" s="47">
        <f>AVERAGEIFS($N$13:$N$9395,$AG$13:$AG$9395,I1)</f>
        <v>38.163851351261677</v>
      </c>
      <c r="N5" s="45">
        <f t="array" ref="N5">MIN(IF($AG$13:$AG$9395=I1,IF(ISNUMBER($N$13:$N$9395),IF($N$13:$N$9395&gt;0,$N$13:$N$9395))))</f>
        <v>19.166666662786156</v>
      </c>
      <c r="O5" s="3">
        <f t="array" ref="O5">MAX(IF($AG$13:$AG$9395=I1,IF(ISNUMBER($N$13:$N$9395),IF($N$13:$N$9395&gt;0,$N$13:$N$9395))))</f>
        <v>45.733333326643333</v>
      </c>
      <c r="P5" s="2"/>
      <c r="R5" s="87" t="s">
        <v>17</v>
      </c>
      <c r="S5" s="57">
        <f>COUNTIFS($N$13:$N$9395,"&gt;0",$AG$13:$AG$9395,R1)</f>
        <v>34</v>
      </c>
      <c r="T5" s="46"/>
      <c r="U5" s="160"/>
      <c r="V5" s="47">
        <f>AVERAGEIFS($N$13:$N$9395,$AG$13:$AG$9395,R1)</f>
        <v>15.335784312303398</v>
      </c>
      <c r="W5" s="45">
        <f t="array" ref="W5">MIN(IF($AG$13:$AG$9395=R1,IF(ISNUMBER($N$13:$N$9395),IF($N$13:$N$9395&gt;0,$N$13:$N$9395))))</f>
        <v>13.349999998463318</v>
      </c>
      <c r="X5" s="165">
        <f t="array" ref="X5">MAX(IF($AG$13:$AG$9395=R1,IF(ISNUMBER($N$13:$N$9395),IF($N$13:$N$9395&gt;0,$N$13:$N$9395))))</f>
        <v>17.716666659107432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COUNT($O$13:$O$174)</f>
        <v>0</v>
      </c>
      <c r="K6" s="46"/>
      <c r="L6" s="46"/>
      <c r="M6" s="47">
        <f>IFERROR(AVERAGE($O$13:$O$174),0)</f>
        <v>0</v>
      </c>
      <c r="N6" s="45">
        <f>MIN($O$13:$O$174)</f>
        <v>0</v>
      </c>
      <c r="O6" s="3">
        <f>MAX($O$13:$O$174)</f>
        <v>0</v>
      </c>
      <c r="P6" s="2"/>
      <c r="R6" s="88" t="s">
        <v>43</v>
      </c>
      <c r="S6" s="57">
        <f>COUNT($O$13:$O$174)</f>
        <v>0</v>
      </c>
      <c r="T6" s="46"/>
      <c r="U6" s="160"/>
      <c r="V6" s="47">
        <f>IFERROR(AVERAGE($O$13:$O$174),0)</f>
        <v>0</v>
      </c>
      <c r="W6" s="45">
        <f>MIN($O$13:$O$174)</f>
        <v>0</v>
      </c>
      <c r="X6" s="165">
        <f>MAX($O$13:$O$174)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COUNTIFS($P$13:$P$9395,"&gt;0",$AG$13:$AG$9395,I1)</f>
        <v>2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COUNTIFS($P$13:$P$9395,"&gt;0",$AG$13:$AG$9395,R1)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148</v>
      </c>
      <c r="K8" s="46"/>
      <c r="L8" s="46"/>
      <c r="M8" s="47">
        <f>M5</f>
        <v>38.163851351261677</v>
      </c>
      <c r="N8" s="45">
        <f>N5</f>
        <v>19.166666662786156</v>
      </c>
      <c r="O8" s="3">
        <f>O5</f>
        <v>45.733333326643333</v>
      </c>
      <c r="P8" s="2"/>
      <c r="R8" s="87" t="s">
        <v>16</v>
      </c>
      <c r="S8" s="57">
        <f>S5</f>
        <v>34</v>
      </c>
      <c r="T8" s="46"/>
      <c r="U8" s="160"/>
      <c r="V8" s="47">
        <f>V5</f>
        <v>15.335784312303398</v>
      </c>
      <c r="W8" s="45">
        <f>W5</f>
        <v>13.349999998463318</v>
      </c>
      <c r="X8" s="165">
        <f>X5</f>
        <v>17.716666659107432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0.98666666666666669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- 2016-09-18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AVERAGE(S13:S113)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115</v>
      </c>
      <c r="AH12" s="101" t="s">
        <v>117</v>
      </c>
      <c r="AI12" s="133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428</v>
      </c>
      <c r="B13" s="7">
        <v>4044</v>
      </c>
      <c r="C13" s="24" t="s">
        <v>106</v>
      </c>
      <c r="D13" s="24" t="s">
        <v>606</v>
      </c>
      <c r="E13" s="15">
        <v>42631.130833333336</v>
      </c>
      <c r="F13" s="15">
        <v>42631.135636574072</v>
      </c>
      <c r="G13" s="7">
        <v>1</v>
      </c>
      <c r="H13" s="15" t="s">
        <v>221</v>
      </c>
      <c r="I13" s="15">
        <v>42631.160902777781</v>
      </c>
      <c r="J13" s="7">
        <v>0</v>
      </c>
      <c r="K13" s="121" t="str">
        <f>IF(ISEVEN(B13),(B13-1)&amp;"/"&amp;B13,B13&amp;"/"&amp;(B13+1))</f>
        <v>4043/4044</v>
      </c>
      <c r="L13" s="24" t="str">
        <f>VLOOKUP(A13,'Trips&amp;Operators'!$C$1:$E$10000,3,FALSE)</f>
        <v>KILLION</v>
      </c>
      <c r="M13" s="6">
        <f>I13-F13</f>
        <v>2.5266203709179536E-2</v>
      </c>
      <c r="N13" s="7">
        <f>24*60*SUM($M13:$M13)</f>
        <v>36.383333341218531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https://search-rtdc-monitor-bjffxe2xuh6vdkpspy63sjmuny.us-east-1.es.amazonaws.com/_plugin/kibana/#/discover/Steve-Slow-Train-Analysis-(2080s-and-2083s)?_g=(refreshInterval:(display:Off,section:0,value:0),time:(from:'2016-09-18 02:08:24-0600',mode:absolute,to:'2016-09-18 04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" s="54" t="str">
        <f>IF(AA13&lt;IF(AG13="EC",23,5.65),"Y","N")</f>
        <v>N</v>
      </c>
      <c r="X13" s="168" t="e">
        <f>VALUE(LEFT(AD13,4))-VALUE(LEFT(AD12,4))</f>
        <v>#VALUE!</v>
      </c>
      <c r="Y13" s="69">
        <f>RIGHT(D13,LEN(D13)-4)/10000</f>
        <v>7.3499999999999996E-2</v>
      </c>
      <c r="Z13" s="69">
        <f>RIGHT(H13,LEN(H13)-4)/10000</f>
        <v>23.3291</v>
      </c>
      <c r="AA13" s="69">
        <f>ABS(Z13-Y13)</f>
        <v>23.255600000000001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>IF(LEN(A13)=6,"0"&amp;A13,A13)</f>
        <v>0101-18</v>
      </c>
      <c r="AE13" s="99" t="str">
        <f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3" s="96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/stypes="app*4044*20160918*" /stext=" 09:.+((SYSTEM_STATE.+slice.+state.+changed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100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4044 --swversion DE.1.0.7.0 --startMP 204:735 --initTime 2016-09-18T03:08:24 --startdatetime 2016-09-18T03:15:19 --delay 1 --endMP 204:233291 --enddatetime 2016-09-18T03:51:42 --enforcementcount 0 &gt;&gt;C:\Users\stu\Documents\GitHub\eaglep3-reporting\EC\2016-09-18-refined-times.txt</v>
      </c>
      <c r="AI13" s="134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ID","value":"101-18"},{"id":16,"name":"Locomotive ID","value":"4044"},{"id":130,"name":"Impact","value":""},{"id":150,"name":"Time of Event (Mountain Time)","value":"03:51:42"},{"id":151,"name":"Denver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432</v>
      </c>
      <c r="B14" s="7">
        <v>4037</v>
      </c>
      <c r="C14" s="24" t="s">
        <v>106</v>
      </c>
      <c r="D14" s="24" t="s">
        <v>607</v>
      </c>
      <c r="E14" s="15">
        <v>42631.164537037039</v>
      </c>
      <c r="F14" s="15">
        <v>42631.174513888887</v>
      </c>
      <c r="G14" s="7">
        <v>1</v>
      </c>
      <c r="H14" s="15" t="s">
        <v>333</v>
      </c>
      <c r="I14" s="15">
        <v>42631.201423611114</v>
      </c>
      <c r="J14" s="7">
        <v>0</v>
      </c>
      <c r="K14" s="121" t="str">
        <f>IF(ISEVEN(B14),(B14-1)&amp;"/"&amp;B14,B14&amp;"/"&amp;(B14+1))</f>
        <v>4037/4038</v>
      </c>
      <c r="L14" s="24" t="str">
        <f>VLOOKUP(A14,'Trips&amp;Operators'!$C$1:$E$10000,3,FALSE)</f>
        <v>KILLION</v>
      </c>
      <c r="M14" s="6">
        <f>I14-F14</f>
        <v>2.6909722226264421E-2</v>
      </c>
      <c r="N14" s="7">
        <f>24*60*SUM($M14:$M14)</f>
        <v>38.750000005820766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https://search-rtdc-monitor-bjffxe2xuh6vdkpspy63sjmuny.us-east-1.es.amazonaws.com/_plugin/kibana/#/discover/Steve-Slow-Train-Analysis-(2080s-and-2083s)?_g=(refreshInterval:(display:Off,section:0,value:0),time:(from:'2016-09-18 02:56:56-0600',mode:absolute,to:'2016-09-18 05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4" s="54" t="str">
        <f>IF(AA14&lt;IF(AG14="EC",23,5.65),"Y","N")</f>
        <v>N</v>
      </c>
      <c r="X14" s="168">
        <f>VALUE(LEFT(AD14,4))-VALUE(LEFT(AD13,4))</f>
        <v>1</v>
      </c>
      <c r="Y14" s="69">
        <f>RIGHT(D14,LEN(D14)-4)/10000</f>
        <v>23.2637</v>
      </c>
      <c r="Z14" s="69">
        <f>RIGHT(H14,LEN(H14)-4)/10000</f>
        <v>1.6500000000000001E-2</v>
      </c>
      <c r="AA14" s="69">
        <f>ABS(Z14-Y14)</f>
        <v>23.247199999999999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>IF(LEN(A14)=6,"0"&amp;A14,A14)</f>
        <v>0102-18</v>
      </c>
      <c r="AE14" s="99" t="str">
        <f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4" s="96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/stypes="app*4037*20160918*" /stext=" 10:.+((SYSTEM_STATE.+slice.+state.+changed )|(ment ac)|(system.+state.+changed )|(\|lc)|(penalty)|(\[timeout)|(PRM\|1\|D)|(kpr)|(kdp))" /e /r /s</v>
      </c>
      <c r="AG14" s="1" t="str">
        <f>IFERROR(IF(VALUE(LEFT(AD14,2))&lt;=2,"EC",IF(OR(VALUE(LEFT(AD14,2))=8,VALUE(LEFT(AD14,2))=18),"NW","Other")),"Other")</f>
        <v>EC</v>
      </c>
      <c r="AH14" s="100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4037 --swversion DE.1.0.7.0 --startMP 204:232637 --initTime 2016-09-18T03:56:56 --startdatetime 2016-09-18T04:11:18 --delay 1 --endMP 204:165 --enddatetime 2016-09-18T04:50:03 --enforcementcount 0 &gt;&gt;C:\Users\stu\Documents\GitHub\eaglep3-reporting\EC\2016-09-18-refined-times.txt</v>
      </c>
      <c r="AI14" s="134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{"issue":{"subject":"","project_id":79,"tracker_id":40,"status_id":1,"priority_id":2,"assigned_to_id":23,"start_date":"2016-09-18","description":"","custom_fields":[{"id":1,"name":"Subdivision","value":"EC"},{"id":4,"name":"Milepost","value":"0.0165"},{"id":17,"name":"Train ID","value":"102-18"},{"id":16,"name":"Locomotive ID","value":"4037"},{"id":130,"name":"Impact","value":""},{"id":150,"name":"Time of Event (Mountain Time)","value":"04:50:03"},{"id":151,"name":"Denver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429</v>
      </c>
      <c r="B15" s="7">
        <v>4027</v>
      </c>
      <c r="C15" s="24" t="s">
        <v>106</v>
      </c>
      <c r="D15" s="24" t="s">
        <v>608</v>
      </c>
      <c r="E15" s="15">
        <v>42631.156481481485</v>
      </c>
      <c r="F15" s="15">
        <v>42631.158888888887</v>
      </c>
      <c r="G15" s="7">
        <v>2</v>
      </c>
      <c r="H15" s="15" t="s">
        <v>376</v>
      </c>
      <c r="I15" s="15">
        <v>42631.188726851855</v>
      </c>
      <c r="J15" s="7">
        <v>0</v>
      </c>
      <c r="K15" s="121" t="str">
        <f>IF(ISEVEN(B15),(B15-1)&amp;"/"&amp;B15,B15&amp;"/"&amp;(B15+1))</f>
        <v>4027/4028</v>
      </c>
      <c r="L15" s="24" t="str">
        <f>VLOOKUP(A15,'Trips&amp;Operators'!$C$1:$E$10000,3,FALSE)</f>
        <v>BROWN</v>
      </c>
      <c r="M15" s="6">
        <f>I15-F15</f>
        <v>2.9837962967576459E-2</v>
      </c>
      <c r="N15" s="7">
        <f>24*60*SUM($M15:$M15)</f>
        <v>42.966666673310101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https://search-rtdc-monitor-bjffxe2xuh6vdkpspy63sjmuny.us-east-1.es.amazonaws.com/_plugin/kibana/#/discover/Steve-Slow-Train-Analysis-(2080s-and-2083s)?_g=(refreshInterval:(display:Off,section:0,value:0),time:(from:'2016-09-18 02:45:20-0600',mode:absolute,to:'2016-09-18 05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" s="54" t="str">
        <f>IF(AA15&lt;IF(AG15="EC",23,5.65),"Y","N")</f>
        <v>N</v>
      </c>
      <c r="X15" s="168">
        <f>VALUE(LEFT(AD15,4))-VALUE(LEFT(AD14,4))</f>
        <v>1</v>
      </c>
      <c r="Y15" s="69">
        <f>RIGHT(D15,LEN(D15)-4)/10000</f>
        <v>7.6300000000000007E-2</v>
      </c>
      <c r="Z15" s="69">
        <f>RIGHT(H15,LEN(H15)-4)/10000</f>
        <v>23.3293</v>
      </c>
      <c r="AA15" s="69">
        <f>ABS(Z15-Y15)</f>
        <v>23.253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>IF(LEN(A15)=6,"0"&amp;A15,A15)</f>
        <v>0103-18</v>
      </c>
      <c r="AE15" s="99" t="str">
        <f>"aws s3 cp "&amp;s3_bucket&amp;"/RTDC"&amp;B15&amp;"/"&amp;TEXT(F15,"YYYY-MM-DD")&amp;"/ "&amp;search_path&amp;"\RTDC"&amp;B15&amp;"\"&amp;TEXT(F15,"YYYY-MM-DD")&amp;" --recursive &amp; """&amp;walkandungz&amp;""" "&amp;search_path&amp;"\RTDC"&amp;B15&amp;"\"&amp;TEXT(F15,"YYYY-MM-DD")
&amp;" &amp; "&amp;"aws s3 cp "&amp;s3_bucket&amp;"/RTDC"&amp;B15&amp;"/"&amp;TEXT(F15+1,"YYYY-MM-DD")&amp;"/ "&amp;search_path&amp;"\RTDC"&amp;B15&amp;"\"&amp;TEXT(F15+1,"YYYY-MM-DD")&amp;" --recursive &amp; """&amp;walkandungz&amp;""" "&amp;search_path&amp;"\RTDC"&amp;B15&amp;"\"&amp;TEXT(F15+1,"YYYY-MM-DD")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5" s="96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/stypes="app*4027*20160918*" /stext=" 10:.+((SYSTEM_STATE.+slice.+state.+changed )|(ment ac)|(system.+state.+changed )|(\|lc)|(penalty)|(\[timeout)|(PRM\|1\|D)|(kpr)|(kdp))" /e /r /s</v>
      </c>
      <c r="AG15" s="1" t="str">
        <f>IFERROR(IF(VALUE(LEFT(AD15,2))&lt;=2,"EC",IF(OR(VALUE(LEFT(AD15,2))=8,VALUE(LEFT(AD15,2))=18),"NW","Other")),"Other")</f>
        <v>EC</v>
      </c>
      <c r="AH15" s="100" t="str">
        <f t="shared" si="2"/>
        <v>"%USERPROFILE%\Documents\GitHub\eaglep3\Utilities\RefineRTDCRunTimes.py" --tripid 103-18 --locoid 4027 --swversion DE.1.0.7.0 --startMP 204:763 --initTime 2016-09-18T03:45:20 --startdatetime 2016-09-18T03:48:48 --delay 2 --endMP 204:233293 --enddatetime 2016-09-18T04:31:46 --enforcementcount 0 &gt;&gt;C:\Users\stu\Documents\GitHub\eaglep3-reporting\EC\2016-09-18-refined-times.txt</v>
      </c>
      <c r="AI15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{"issue":{"subject":"","project_id":79,"tracker_id":40,"status_id":1,"priority_id":2,"assigned_to_id":23,"start_date":"2016-09-18","description":"","custom_fields":[{"id":1,"name":"Subdivision","value":"EC"},{"id":4,"name":"Milepost","value":"23.3293"},{"id":17,"name":"Train ID","value":"103-18"},{"id":16,"name":"Locomotive ID","value":"4027"},{"id":130,"name":"Impact","value":""},{"id":150,"name":"Time of Event (Mountain Time)","value":"04:31:46"},{"id":151,"name":"Denver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435</v>
      </c>
      <c r="B16" s="7">
        <v>4019</v>
      </c>
      <c r="C16" s="24" t="s">
        <v>106</v>
      </c>
      <c r="D16" s="24" t="s">
        <v>609</v>
      </c>
      <c r="E16" s="15">
        <v>42631.19189814815</v>
      </c>
      <c r="F16" s="15">
        <v>42631.195335648146</v>
      </c>
      <c r="G16" s="7">
        <v>1</v>
      </c>
      <c r="H16" s="15" t="s">
        <v>610</v>
      </c>
      <c r="I16" s="15">
        <v>42631.223495370374</v>
      </c>
      <c r="J16" s="7">
        <v>0</v>
      </c>
      <c r="K16" s="121" t="str">
        <f>IF(ISEVEN(B16),(B16-1)&amp;"/"&amp;B16,B16&amp;"/"&amp;(B16+1))</f>
        <v>4019/4020</v>
      </c>
      <c r="L16" s="24" t="str">
        <f>VLOOKUP(A16,'Trips&amp;Operators'!$C$1:$E$10000,3,FALSE)</f>
        <v>BROWN</v>
      </c>
      <c r="M16" s="6">
        <f>I16-F16</f>
        <v>2.8159722227428574E-2</v>
      </c>
      <c r="N16" s="7">
        <f>24*60*SUM($M16:$M16)</f>
        <v>40.550000007497147</v>
      </c>
      <c r="O16" s="7"/>
      <c r="P16" s="7"/>
      <c r="Q16" s="25"/>
      <c r="R16" s="25"/>
      <c r="S16" s="37">
        <f>SUM(U16:U16)/IF(AG16="EC",12,1)</f>
        <v>1</v>
      </c>
      <c r="T16" s="52" t="str">
        <f>IF(ISEVEN(LEFT(AD16,4)),"Southbound","NorthBound")</f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https://search-rtdc-monitor-bjffxe2xuh6vdkpspy63sjmuny.us-east-1.es.amazonaws.com/_plugin/kibana/#/discover/Steve-Slow-Train-Analysis-(2080s-and-2083s)?_g=(refreshInterval:(display:Off,section:0,value:0),time:(from:'2016-09-18 03:36:20-0600',mode:absolute,to:'2016-09-18 06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" s="54" t="str">
        <f>IF(AA16&lt;IF(AG16="EC",23,5.65),"Y","N")</f>
        <v>N</v>
      </c>
      <c r="X16" s="168">
        <f>VALUE(LEFT(AD16,4))-VALUE(LEFT(AD15,4))</f>
        <v>1</v>
      </c>
      <c r="Y16" s="69">
        <f>RIGHT(D16,LEN(D16)-4)/10000</f>
        <v>23.264399999999998</v>
      </c>
      <c r="Z16" s="69">
        <f>RIGHT(H16,LEN(H16)-4)/10000</f>
        <v>2.01E-2</v>
      </c>
      <c r="AA16" s="69">
        <f>ABS(Z16-Y16)</f>
        <v>23.244299999999999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>IF(LEN(A16)=6,"0"&amp;A16,A16)</f>
        <v>0104-18</v>
      </c>
      <c r="AE16" s="99" t="str">
        <f>"aws s3 cp "&amp;s3_bucket&amp;"/RTDC"&amp;B16&amp;"/"&amp;TEXT(F16,"YYYY-MM-DD")&amp;"/ "&amp;search_path&amp;"\RTDC"&amp;B16&amp;"\"&amp;TEXT(F16,"YYYY-MM-DD")&amp;" --recursive &amp; """&amp;walkandungz&amp;""" "&amp;search_path&amp;"\RTDC"&amp;B16&amp;"\"&amp;TEXT(F16,"YYYY-MM-DD")
&amp;" &amp; "&amp;"aws s3 cp "&amp;s3_bucket&amp;"/RTDC"&amp;B16&amp;"/"&amp;TEXT(F16+1,"YYYY-MM-DD")&amp;"/ "&amp;search_path&amp;"\RTDC"&amp;B16&amp;"\"&amp;TEXT(F16+1,"YYYY-MM-DD")&amp;" --recursive &amp; """&amp;walkandungz&amp;""" "&amp;search_path&amp;"\RTDC"&amp;B16&amp;"\"&amp;TEXT(F16+1,"YYYY-MM-DD")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6" s="96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/stypes="app*4019*20160918*" /stext=" 11:.+((SYSTEM_STATE.+slice.+state.+changed )|(ment ac)|(system.+state.+changed )|(\|lc)|(penalty)|(\[timeout)|(PRM\|1\|D)|(kpr)|(kdp))" /e /r /s</v>
      </c>
      <c r="AG16" s="1" t="str">
        <f>IFERROR(IF(VALUE(LEFT(AD16,2))&lt;=2,"EC",IF(OR(VALUE(LEFT(AD16,2))=8,VALUE(LEFT(AD16,2))=18),"NW","Other")),"Other")</f>
        <v>EC</v>
      </c>
      <c r="AH16" s="100" t="str">
        <f t="shared" si="2"/>
        <v>"%USERPROFILE%\Documents\GitHub\eaglep3\Utilities\RefineRTDCRunTimes.py" --tripid 104-18 --locoid 4019 --swversion DE.1.0.7.0 --startMP 204:232644 --initTime 2016-09-18T04:36:20 --startdatetime 2016-09-18T04:41:17 --delay 1 --endMP 204:201 --enddatetime 2016-09-18T05:21:50 --enforcementcount 0 &gt;&gt;C:\Users\stu\Documents\GitHub\eaglep3-reporting\EC\2016-09-18-refined-times.txt</v>
      </c>
      <c r="AI16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{"issue":{"subject":"","project_id":79,"tracker_id":40,"status_id":1,"priority_id":2,"assigned_to_id":23,"start_date":"2016-09-18","description":"","custom_fields":[{"id":1,"name":"Subdivision","value":"EC"},{"id":4,"name":"Milepost","value":"0.0201"},{"id":17,"name":"Train ID","value":"104-18"},{"id":16,"name":"Locomotive ID","value":"4019"},{"id":130,"name":"Impact","value":""},{"id":150,"name":"Time of Event (Mountain Time)","value":"05:21:50"},{"id":151,"name":"Denver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433</v>
      </c>
      <c r="B17" s="7">
        <v>4016</v>
      </c>
      <c r="C17" s="24" t="s">
        <v>106</v>
      </c>
      <c r="D17" s="24" t="s">
        <v>611</v>
      </c>
      <c r="E17" s="15">
        <v>42631.167118055557</v>
      </c>
      <c r="F17" s="15">
        <v>42631.177384259259</v>
      </c>
      <c r="G17" s="7">
        <v>1</v>
      </c>
      <c r="H17" s="15" t="s">
        <v>612</v>
      </c>
      <c r="I17" s="15">
        <v>42631.2028125</v>
      </c>
      <c r="J17" s="7">
        <v>0</v>
      </c>
      <c r="K17" s="121" t="str">
        <f>IF(ISEVEN(B17),(B17-1)&amp;"/"&amp;B17,B17&amp;"/"&amp;(B17+1))</f>
        <v>4015/4016</v>
      </c>
      <c r="L17" s="24" t="str">
        <f>VLOOKUP(A17,'Trips&amp;Operators'!$C$1:$E$10000,3,FALSE)</f>
        <v>MAELZER</v>
      </c>
      <c r="M17" s="6">
        <f>I17-F17</f>
        <v>2.5428240740438923E-2</v>
      </c>
      <c r="N17" s="7">
        <f>24*60*SUM($M17:$M17)</f>
        <v>36.616666666232049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https://search-rtdc-monitor-bjffxe2xuh6vdkpspy63sjmuny.us-east-1.es.amazonaws.com/_plugin/kibana/#/discover/Steve-Slow-Train-Analysis-(2080s-and-2083s)?_g=(refreshInterval:(display:Off,section:0,value:0),time:(from:'2016-09-18 03:00:39-0600',mode:absolute,to:'2016-09-18 05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" s="54" t="str">
        <f>IF(AA17&lt;IF(AG17="EC",23,5.65),"Y","N")</f>
        <v>N</v>
      </c>
      <c r="X17" s="168">
        <f>VALUE(LEFT(AD17,4))-VALUE(LEFT(AD16,4))</f>
        <v>1</v>
      </c>
      <c r="Y17" s="69">
        <f>RIGHT(D17,LEN(D17)-4)/10000</f>
        <v>7.1199999999999999E-2</v>
      </c>
      <c r="Z17" s="69">
        <f>RIGHT(H17,LEN(H17)-4)/10000</f>
        <v>23.329499999999999</v>
      </c>
      <c r="AA17" s="69">
        <f>ABS(Z17-Y17)</f>
        <v>23.258299999999998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>IF(LEN(A17)=6,"0"&amp;A17,A17)</f>
        <v>0105-18</v>
      </c>
      <c r="AE17" s="99" t="str">
        <f>"aws s3 cp "&amp;s3_bucket&amp;"/RTDC"&amp;B17&amp;"/"&amp;TEXT(F17,"YYYY-MM-DD")&amp;"/ "&amp;search_path&amp;"\RTDC"&amp;B17&amp;"\"&amp;TEXT(F17,"YYYY-MM-DD")&amp;" --recursive &amp; """&amp;walkandungz&amp;""" "&amp;search_path&amp;"\RTDC"&amp;B17&amp;"\"&amp;TEXT(F17,"YYYY-MM-DD")
&amp;" &amp; "&amp;"aws s3 cp "&amp;s3_bucket&amp;"/RTDC"&amp;B17&amp;"/"&amp;TEXT(F17+1,"YYYY-MM-DD")&amp;"/ "&amp;search_path&amp;"\RTDC"&amp;B17&amp;"\"&amp;TEXT(F17+1,"YYYY-MM-DD")&amp;" --recursive &amp; """&amp;walkandungz&amp;""" "&amp;search_path&amp;"\RTDC"&amp;B17&amp;"\"&amp;TEXT(F17+1,"YYYY-MM-DD")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7" s="96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/stypes="app*4016*20160918*" /stext=" 10:.+((SYSTEM_STATE.+slice.+state.+changed )|(ment ac)|(system.+state.+changed )|(\|lc)|(penalty)|(\[timeout)|(PRM\|1\|D)|(kpr)|(kdp))" /e /r /s</v>
      </c>
      <c r="AG17" s="1" t="str">
        <f>IFERROR(IF(VALUE(LEFT(AD17,2))&lt;=2,"EC",IF(OR(VALUE(LEFT(AD17,2))=8,VALUE(LEFT(AD17,2))=18),"NW","Other")),"Other")</f>
        <v>EC</v>
      </c>
      <c r="AH17" s="100" t="str">
        <f t="shared" si="2"/>
        <v>"%USERPROFILE%\Documents\GitHub\eaglep3\Utilities\RefineRTDCRunTimes.py" --tripid 105-18 --locoid 4016 --swversion DE.1.0.7.0 --startMP 204:712 --initTime 2016-09-18T04:00:39 --startdatetime 2016-09-18T04:15:26 --delay 1 --endMP 204:233295 --enddatetime 2016-09-18T04:52:03 --enforcementcount 0 &gt;&gt;C:\Users\stu\Documents\GitHub\eaglep3-reporting\EC\2016-09-18-refined-times.txt</v>
      </c>
      <c r="AI17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{"issue":{"subject":"","project_id":79,"tracker_id":40,"status_id":1,"priority_id":2,"assigned_to_id":23,"start_date":"2016-09-18","description":"","custom_fields":[{"id":1,"name":"Subdivision","value":"EC"},{"id":4,"name":"Milepost","value":"23.3295"},{"id":17,"name":"Train ID","value":"105-18"},{"id":16,"name":"Locomotive ID","value":"4016"},{"id":130,"name":"Impact","value":""},{"id":150,"name":"Time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396</v>
      </c>
      <c r="B18" s="7">
        <v>4013</v>
      </c>
      <c r="C18" s="24" t="s">
        <v>106</v>
      </c>
      <c r="D18" s="24" t="s">
        <v>613</v>
      </c>
      <c r="E18" s="15">
        <v>42631.209629629629</v>
      </c>
      <c r="F18" s="15">
        <v>42631.216273148151</v>
      </c>
      <c r="G18" s="7">
        <v>1</v>
      </c>
      <c r="H18" s="15" t="s">
        <v>240</v>
      </c>
      <c r="I18" s="15">
        <v>42631.244513888887</v>
      </c>
      <c r="J18" s="7">
        <v>0</v>
      </c>
      <c r="K18" s="121" t="str">
        <f>IF(ISEVEN(B18),(B18-1)&amp;"/"&amp;B18,B18&amp;"/"&amp;(B18+1))</f>
        <v>4013/4014</v>
      </c>
      <c r="L18" s="24" t="str">
        <f>VLOOKUP(A18,'Trips&amp;Operators'!$C$1:$E$10000,3,FALSE)</f>
        <v>MAELZER</v>
      </c>
      <c r="M18" s="6">
        <f>I18-F18</f>
        <v>2.824074073578231E-2</v>
      </c>
      <c r="N18" s="7">
        <f>24*60*SUM($M18:$M18)</f>
        <v>40.666666659526527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https://search-rtdc-monitor-bjffxe2xuh6vdkpspy63sjmuny.us-east-1.es.amazonaws.com/_plugin/kibana/#/discover/Steve-Slow-Train-Analysis-(2080s-and-2083s)?_g=(refreshInterval:(display:Off,section:0,value:0),time:(from:'2016-09-18 04:01:52-0600',mode:absolute,to:'2016-09-18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" s="54" t="str">
        <f>IF(AA18&lt;IF(AG18="EC",23,5.65),"Y","N")</f>
        <v>N</v>
      </c>
      <c r="X18" s="168">
        <f>VALUE(LEFT(AD18,4))-VALUE(LEFT(AD17,4))</f>
        <v>1</v>
      </c>
      <c r="Y18" s="69">
        <f>RIGHT(D18,LEN(D18)-4)/10000</f>
        <v>23.2666</v>
      </c>
      <c r="Z18" s="69">
        <f>RIGHT(H18,LEN(H18)-4)/10000</f>
        <v>1.38E-2</v>
      </c>
      <c r="AA18" s="69">
        <f>ABS(Z18-Y18)</f>
        <v>23.252800000000001</v>
      </c>
      <c r="AB18" s="66" t="str">
        <f>VLOOKUP(A18,Enforcements!$C$7:$K$20,8,0)</f>
        <v>Speed (6)</v>
      </c>
      <c r="AC18" s="62" t="str">
        <f>VLOOKUP(A18,Enforcements!$C$7:$E$20,3,0)</f>
        <v>PERMANENT SPEED RESTRICTION</v>
      </c>
      <c r="AD18" s="63" t="str">
        <f>IF(LEN(A18)=6,"0"&amp;A18,A18)</f>
        <v>0106-18</v>
      </c>
      <c r="AE18" s="99" t="str">
        <f>"aws s3 cp "&amp;s3_bucket&amp;"/RTDC"&amp;B18&amp;"/"&amp;TEXT(F18,"YYYY-MM-DD")&amp;"/ "&amp;search_path&amp;"\RTDC"&amp;B18&amp;"\"&amp;TEXT(F18,"YYYY-MM-DD")&amp;" --recursive &amp; """&amp;walkandungz&amp;""" "&amp;search_path&amp;"\RTDC"&amp;B18&amp;"\"&amp;TEXT(F18,"YYYY-MM-DD")
&amp;" &amp; "&amp;"aws s3 cp "&amp;s3_bucket&amp;"/RTDC"&amp;B18&amp;"/"&amp;TEXT(F18+1,"YYYY-MM-DD")&amp;"/ "&amp;search_path&amp;"\RTDC"&amp;B18&amp;"\"&amp;TEXT(F18+1,"YYYY-MM-DD")&amp;" --recursive &amp; """&amp;walkandungz&amp;""" "&amp;search_path&amp;"\RTDC"&amp;B18&amp;"\"&amp;TEXT(F18+1,"YYYY-MM-DD")</f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8" s="96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/stypes="app*4013*20160918*" /stext=" 11:.+((SYSTEM_STATE.+slice.+state.+changed )|(ment ac)|(system.+state.+changed )|(\|lc)|(penalty)|(\[timeout)|(PRM\|1\|D)|(kpr)|(kdp))" /e /r /s</v>
      </c>
      <c r="AG18" s="1" t="str">
        <f>IFERROR(IF(VALUE(LEFT(AD18,2))&lt;=2,"EC",IF(OR(VALUE(LEFT(AD18,2))=8,VALUE(LEFT(AD18,2))=18),"NW","Other")),"Other")</f>
        <v>EC</v>
      </c>
      <c r="AH18" s="100" t="str">
        <f t="shared" si="2"/>
        <v>"%USERPROFILE%\Documents\GitHub\eaglep3\Utilities\RefineRTDCRunTimes.py" --tripid 106-18 --locoid 4013 --swversion DE.1.0.7.0 --startMP 204:232666 --initTime 2016-09-18T05:01:52 --startdatetime 2016-09-18T05:11:26 --delay 1 --endMP 204:138 --enddatetime 2016-09-18T05:52:06 --enforcementcount 0 &gt;&gt;C:\Users\stu\Documents\GitHub\eaglep3-reporting\EC\2016-09-18-refined-times.txt</v>
      </c>
      <c r="AI18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ID","value":"106-18"},{"id":16,"name":"Locomotive ID","value":"4013"},{"id":130,"name":"Impact","value":""},{"id":150,"name":"Time of Event (Mountain Time)","value":"05:52:06"},{"id":151,"name":"Denver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434</v>
      </c>
      <c r="B19" s="7">
        <v>4009</v>
      </c>
      <c r="C19" s="24" t="s">
        <v>106</v>
      </c>
      <c r="D19" s="24" t="s">
        <v>236</v>
      </c>
      <c r="E19" s="15">
        <v>42631.185763888891</v>
      </c>
      <c r="F19" s="15">
        <v>42631.187719907408</v>
      </c>
      <c r="G19" s="7">
        <v>1</v>
      </c>
      <c r="H19" s="15" t="s">
        <v>370</v>
      </c>
      <c r="I19" s="15">
        <v>42631.214837962965</v>
      </c>
      <c r="J19" s="7">
        <v>0</v>
      </c>
      <c r="K19" s="121" t="str">
        <f>IF(ISEVEN(B19),(B19-1)&amp;"/"&amp;B19,B19&amp;"/"&amp;(B19+1))</f>
        <v>4009/4010</v>
      </c>
      <c r="L19" s="24" t="str">
        <f>VLOOKUP(A19,'Trips&amp;Operators'!$C$1:$E$10000,3,FALSE)</f>
        <v>DAVIS</v>
      </c>
      <c r="M19" s="6">
        <f>I19-F19</f>
        <v>2.7118055557366461E-2</v>
      </c>
      <c r="N19" s="7">
        <f>24*60*SUM($M19:$M19)</f>
        <v>39.050000002607703</v>
      </c>
      <c r="O19" s="7"/>
      <c r="P19" s="7"/>
      <c r="Q19" s="25"/>
      <c r="R19" s="25"/>
      <c r="S19" s="37">
        <f>SUM(U19:U19)/IF(AG19="EC",12,1)</f>
        <v>1</v>
      </c>
      <c r="T19" s="52" t="str">
        <f>IF(ISEVEN(LEFT(AD19,4)),"Southbound","NorthBound")</f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https://search-rtdc-monitor-bjffxe2xuh6vdkpspy63sjmuny.us-east-1.es.amazonaws.com/_plugin/kibana/#/discover/Steve-Slow-Train-Analysis-(2080s-and-2083s)?_g=(refreshInterval:(display:Off,section:0,value:0),time:(from:'2016-09-18 03:27:30-0600',mode:absolute,to:'2016-09-18 06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" s="54" t="str">
        <f>IF(AA19&lt;IF(AG19="EC",23,5.65),"Y","N")</f>
        <v>N</v>
      </c>
      <c r="X19" s="168">
        <f>VALUE(LEFT(AD19,4))-VALUE(LEFT(AD18,4))</f>
        <v>1</v>
      </c>
      <c r="Y19" s="69">
        <f>RIGHT(D19,LEN(D19)-4)/10000</f>
        <v>4.5999999999999999E-2</v>
      </c>
      <c r="Z19" s="69">
        <f>RIGHT(H19,LEN(H19)-4)/10000</f>
        <v>23.325299999999999</v>
      </c>
      <c r="AA19" s="69">
        <f>ABS(Z19-Y19)</f>
        <v>23.279299999999999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>IF(LEN(A19)=6,"0"&amp;A19,A19)</f>
        <v>0107-18</v>
      </c>
      <c r="AE19" s="99" t="str">
        <f>"aws s3 cp "&amp;s3_bucket&amp;"/RTDC"&amp;B19&amp;"/"&amp;TEXT(F19,"YYYY-MM-DD")&amp;"/ "&amp;search_path&amp;"\RTDC"&amp;B19&amp;"\"&amp;TEXT(F19,"YYYY-MM-DD")&amp;" --recursive &amp; """&amp;walkandungz&amp;""" "&amp;search_path&amp;"\RTDC"&amp;B19&amp;"\"&amp;TEXT(F19,"YYYY-MM-DD")
&amp;" &amp; "&amp;"aws s3 cp "&amp;s3_bucket&amp;"/RTDC"&amp;B19&amp;"/"&amp;TEXT(F19+1,"YYYY-MM-DD")&amp;"/ "&amp;search_path&amp;"\RTDC"&amp;B19&amp;"\"&amp;TEXT(F19+1,"YYYY-MM-DD")&amp;" --recursive &amp; """&amp;walkandungz&amp;""" "&amp;search_path&amp;"\RTDC"&amp;B19&amp;"\"&amp;TEXT(F19+1,"YYYY-MM-DD")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9" s="96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/stypes="app*4009*20160918*" /stext=" 11:.+((SYSTEM_STATE.+slice.+state.+changed )|(ment ac)|(system.+state.+changed )|(\|lc)|(penalty)|(\[timeout)|(PRM\|1\|D)|(kpr)|(kdp))" /e /r /s</v>
      </c>
      <c r="AG19" s="1" t="str">
        <f>IFERROR(IF(VALUE(LEFT(AD19,2))&lt;=2,"EC",IF(OR(VALUE(LEFT(AD19,2))=8,VALUE(LEFT(AD19,2))=18),"NW","Other")),"Other")</f>
        <v>EC</v>
      </c>
      <c r="AH19" s="100" t="str">
        <f t="shared" si="2"/>
        <v>"%USERPROFILE%\Documents\GitHub\eaglep3\Utilities\RefineRTDCRunTimes.py" --tripid 107-18 --locoid 4009 --swversion DE.1.0.7.0 --startMP 204:460 --initTime 2016-09-18T04:27:30 --startdatetime 2016-09-18T04:30:19 --delay 1 --endMP 204:233253 --enddatetime 2016-09-18T05:09:22 --enforcementcount 0 &gt;&gt;C:\Users\stu\Documents\GitHub\eaglep3-reporting\EC\2016-09-18-refined-times.txt</v>
      </c>
      <c r="AI19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{"issue":{"subject":"","project_id":79,"tracker_id":40,"status_id":1,"priority_id":2,"assigned_to_id":23,"start_date":"2016-09-18","description":"","custom_fields":[{"id":1,"name":"Subdivision","value":"EC"},{"id":4,"name":"Milepost","value":"23.3253"},{"id":17,"name":"Train ID","value":"107-18"},{"id":16,"name":"Locomotive ID","value":"4009"},{"id":130,"name":"Impact","value":""},{"id":150,"name":"Time of Event (Mountain Time)","value":"05:09:22"},{"id":151,"name":"Denver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439</v>
      </c>
      <c r="B20" s="7">
        <v>4010</v>
      </c>
      <c r="C20" s="24" t="s">
        <v>106</v>
      </c>
      <c r="D20" s="24" t="s">
        <v>614</v>
      </c>
      <c r="E20" s="15">
        <v>42631.222511574073</v>
      </c>
      <c r="F20" s="15">
        <v>42631.226574074077</v>
      </c>
      <c r="G20" s="7">
        <v>1</v>
      </c>
      <c r="H20" s="15" t="s">
        <v>325</v>
      </c>
      <c r="I20" s="15">
        <v>42631.255740740744</v>
      </c>
      <c r="J20" s="7">
        <v>0</v>
      </c>
      <c r="K20" s="121" t="str">
        <f>IF(ISEVEN(B20),(B20-1)&amp;"/"&amp;B20,B20&amp;"/"&amp;(B20+1))</f>
        <v>4009/4010</v>
      </c>
      <c r="L20" s="24" t="str">
        <f>VLOOKUP(A20,'Trips&amp;Operators'!$C$1:$E$10000,3,FALSE)</f>
        <v>DAVIS</v>
      </c>
      <c r="M20" s="6">
        <f>I20-F20</f>
        <v>2.9166666667151731E-2</v>
      </c>
      <c r="N20" s="7">
        <f>24*60*SUM($M20:$M20)</f>
        <v>42.000000000698492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https://search-rtdc-monitor-bjffxe2xuh6vdkpspy63sjmuny.us-east-1.es.amazonaws.com/_plugin/kibana/#/discover/Steve-Slow-Train-Analysis-(2080s-and-2083s)?_g=(refreshInterval:(display:Off,section:0,value:0),time:(from:'2016-09-18 04:20:25-0600',mode:absolute,to:'2016-09-18 07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0" s="54" t="str">
        <f>IF(AA20&lt;IF(AG20="EC",23,5.65),"Y","N")</f>
        <v>N</v>
      </c>
      <c r="X20" s="168">
        <f>VALUE(LEFT(AD20,4))-VALUE(LEFT(AD19,4))</f>
        <v>1</v>
      </c>
      <c r="Y20" s="69">
        <f>RIGHT(D20,LEN(D20)-4)/10000</f>
        <v>23.292999999999999</v>
      </c>
      <c r="Z20" s="69">
        <f>RIGHT(H20,LEN(H20)-4)/10000</f>
        <v>1.5599999999999999E-2</v>
      </c>
      <c r="AA20" s="69">
        <f>ABS(Z20-Y20)</f>
        <v>23.2774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>IF(LEN(A20)=6,"0"&amp;A20,A20)</f>
        <v>0108-18</v>
      </c>
      <c r="AE20" s="99" t="str">
        <f>"aws s3 cp "&amp;s3_bucket&amp;"/RTDC"&amp;B20&amp;"/"&amp;TEXT(F20,"YYYY-MM-DD")&amp;"/ "&amp;search_path&amp;"\RTDC"&amp;B20&amp;"\"&amp;TEXT(F20,"YYYY-MM-DD")&amp;" --recursive &amp; """&amp;walkandungz&amp;""" "&amp;search_path&amp;"\RTDC"&amp;B20&amp;"\"&amp;TEXT(F20,"YYYY-MM-DD")
&amp;" &amp; "&amp;"aws s3 cp "&amp;s3_bucket&amp;"/RTDC"&amp;B20&amp;"/"&amp;TEXT(F20+1,"YYYY-MM-DD")&amp;"/ "&amp;search_path&amp;"\RTDC"&amp;B20&amp;"\"&amp;TEXT(F20+1,"YYYY-MM-DD")&amp;" --recursive &amp; """&amp;walkandungz&amp;""" "&amp;search_path&amp;"\RTDC"&amp;B20&amp;"\"&amp;TEXT(F20+1,"YYYY-MM-DD")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20" s="96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/stypes="app*4010*20160918*" /stext=" 12:.+((SYSTEM_STATE.+slice.+state.+changed )|(ment ac)|(system.+state.+changed )|(\|lc)|(penalty)|(\[timeout)|(PRM\|1\|D)|(kpr)|(kdp))" /e /r /s</v>
      </c>
      <c r="AG20" s="1" t="str">
        <f>IFERROR(IF(VALUE(LEFT(AD20,2))&lt;=2,"EC",IF(OR(VALUE(LEFT(AD20,2))=8,VALUE(LEFT(AD20,2))=18),"NW","Other")),"Other")</f>
        <v>EC</v>
      </c>
      <c r="AH20" s="100" t="str">
        <f t="shared" si="2"/>
        <v>"%USERPROFILE%\Documents\GitHub\eaglep3\Utilities\RefineRTDCRunTimes.py" --tripid 108-18 --locoid 4010 --swversion DE.1.0.7.0 --startMP 204:232930 --initTime 2016-09-18T05:20:25 --startdatetime 2016-09-18T05:26:16 --delay 1 --endMP 204:156 --enddatetime 2016-09-18T06:08:16 --enforcementcount 0 &gt;&gt;C:\Users\stu\Documents\GitHub\eaglep3-reporting\EC\2016-09-18-refined-times.txt</v>
      </c>
      <c r="AI20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{"issue":{"subject":"","project_id":79,"tracker_id":40,"status_id":1,"priority_id":2,"assigned_to_id":23,"start_date":"2016-09-18","description":"","custom_fields":[{"id":1,"name":"Subdivision","value":"EC"},{"id":4,"name":"Milepost","value":"0.0156"},{"id":17,"name":"Train ID","value":"108-18"},{"id":16,"name":"Locomotive ID","value":"4010"},{"id":130,"name":"Impact","value":""},{"id":150,"name":"Time of Event (Mountain Time)","value":"06:08:16"},{"id":151,"name":"Denver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436</v>
      </c>
      <c r="B21" s="7">
        <v>4003</v>
      </c>
      <c r="C21" s="24" t="s">
        <v>106</v>
      </c>
      <c r="D21" s="24" t="s">
        <v>227</v>
      </c>
      <c r="E21" s="15">
        <v>42631.196469907409</v>
      </c>
      <c r="F21" s="15">
        <v>42631.198379629626</v>
      </c>
      <c r="G21" s="7">
        <v>1</v>
      </c>
      <c r="H21" s="15" t="s">
        <v>332</v>
      </c>
      <c r="I21" s="15">
        <v>42631.224351851852</v>
      </c>
      <c r="J21" s="7">
        <v>0</v>
      </c>
      <c r="K21" s="121" t="str">
        <f>IF(ISEVEN(B21),(B21-1)&amp;"/"&amp;B21,B21&amp;"/"&amp;(B21+1))</f>
        <v>4003/4004</v>
      </c>
      <c r="L21" s="24" t="str">
        <f>VLOOKUP(A21,'Trips&amp;Operators'!$C$1:$E$10000,3,FALSE)</f>
        <v>MALAVE</v>
      </c>
      <c r="M21" s="6">
        <f>I21-F21</f>
        <v>2.5972222225391306E-2</v>
      </c>
      <c r="N21" s="7">
        <f>24*60*SUM($M21:$M21)</f>
        <v>37.400000004563481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https://search-rtdc-monitor-bjffxe2xuh6vdkpspy63sjmuny.us-east-1.es.amazonaws.com/_plugin/kibana/#/discover/Steve-Slow-Train-Analysis-(2080s-and-2083s)?_g=(refreshInterval:(display:Off,section:0,value:0),time:(from:'2016-09-18 03:42:55-0600',mode:absolute,to:'2016-09-18 06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1" s="54" t="str">
        <f>IF(AA21&lt;IF(AG21="EC",23,5.65),"Y","N")</f>
        <v>N</v>
      </c>
      <c r="X21" s="168">
        <f>VALUE(LEFT(AD21,4))-VALUE(LEFT(AD20,4))</f>
        <v>1</v>
      </c>
      <c r="Y21" s="69">
        <f>RIGHT(D21,LEN(D21)-4)/10000</f>
        <v>4.5499999999999999E-2</v>
      </c>
      <c r="Z21" s="69">
        <f>RIGHT(H21,LEN(H21)-4)/10000</f>
        <v>23.3261</v>
      </c>
      <c r="AA21" s="69">
        <f>ABS(Z21-Y21)</f>
        <v>23.2806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>IF(LEN(A21)=6,"0"&amp;A21,A21)</f>
        <v>0109-18</v>
      </c>
      <c r="AE21" s="99" t="str">
        <f>"aws s3 cp "&amp;s3_bucket&amp;"/RTDC"&amp;B21&amp;"/"&amp;TEXT(F21,"YYYY-MM-DD")&amp;"/ "&amp;search_path&amp;"\RTDC"&amp;B21&amp;"\"&amp;TEXT(F21,"YYYY-MM-DD")&amp;" --recursive &amp; """&amp;walkandungz&amp;""" "&amp;search_path&amp;"\RTDC"&amp;B21&amp;"\"&amp;TEXT(F21,"YYYY-MM-DD")
&amp;" &amp; "&amp;"aws s3 cp "&amp;s3_bucket&amp;"/RTDC"&amp;B21&amp;"/"&amp;TEXT(F21+1,"YYYY-MM-DD")&amp;"/ "&amp;search_path&amp;"\RTDC"&amp;B21&amp;"\"&amp;TEXT(F21+1,"YYYY-MM-DD")&amp;" --recursive &amp; """&amp;walkandungz&amp;""" "&amp;search_path&amp;"\RTDC"&amp;B21&amp;"\"&amp;TEXT(F21+1,"YYYY-MM-DD")</f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21" s="96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/stypes="app*4003*20160918*" /stext=" 11:.+((SYSTEM_STATE.+slice.+state.+changed )|(ment ac)|(system.+state.+changed )|(\|lc)|(penalty)|(\[timeout)|(PRM\|1\|D)|(kpr)|(kdp))" /e /r /s</v>
      </c>
      <c r="AG21" s="1" t="str">
        <f>IFERROR(IF(VALUE(LEFT(AD21,2))&lt;=2,"EC",IF(OR(VALUE(LEFT(AD21,2))=8,VALUE(LEFT(AD21,2))=18),"NW","Other")),"Other")</f>
        <v>EC</v>
      </c>
      <c r="AH21" s="100" t="str">
        <f t="shared" si="2"/>
        <v>"%USERPROFILE%\Documents\GitHub\eaglep3\Utilities\RefineRTDCRunTimes.py" --tripid 109-18 --locoid 4003 --swversion DE.1.0.7.0 --startMP 204:455 --initTime 2016-09-18T04:42:55 --startdatetime 2016-09-18T04:45:40 --delay 1 --endMP 204:233261 --enddatetime 2016-09-18T05:23:04 --enforcementcount 0 &gt;&gt;C:\Users\stu\Documents\GitHub\eaglep3-reporting\EC\2016-09-18-refined-times.txt</v>
      </c>
      <c r="AI21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{"issue":{"subject":"","project_id":79,"tracker_id":40,"status_id":1,"priority_id":2,"assigned_to_id":23,"start_date":"2016-09-18","description":"","custom_fields":[{"id":1,"name":"Subdivision","value":"EC"},{"id":4,"name":"Milepost","value":"23.3261"},{"id":17,"name":"Train ID","value":"109-18"},{"id":16,"name":"Locomotive ID","value":"4003"},{"id":130,"name":"Impact","value":""},{"id":150,"name":"Time of Event (Mountain Time)","value":"05:23:04"},{"id":151,"name":"Denver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444</v>
      </c>
      <c r="B22" s="7">
        <v>4004</v>
      </c>
      <c r="C22" s="24" t="s">
        <v>106</v>
      </c>
      <c r="D22" s="24" t="s">
        <v>615</v>
      </c>
      <c r="E22" s="15">
        <v>42631.235868055555</v>
      </c>
      <c r="F22" s="15">
        <v>42631.237025462964</v>
      </c>
      <c r="G22" s="7">
        <v>1</v>
      </c>
      <c r="H22" s="15" t="s">
        <v>214</v>
      </c>
      <c r="I22" s="15">
        <v>42631.263599537036</v>
      </c>
      <c r="J22" s="7">
        <v>0</v>
      </c>
      <c r="K22" s="121" t="str">
        <f>IF(ISEVEN(B22),(B22-1)&amp;"/"&amp;B22,B22&amp;"/"&amp;(B22+1))</f>
        <v>4003/4004</v>
      </c>
      <c r="L22" s="24" t="str">
        <f>VLOOKUP(A22,'Trips&amp;Operators'!$C$1:$E$10000,3,FALSE)</f>
        <v>MALAVE</v>
      </c>
      <c r="M22" s="6">
        <f>I22-F22</f>
        <v>2.6574074072414078E-2</v>
      </c>
      <c r="N22" s="7">
        <f>24*60*SUM($M22:$M22)</f>
        <v>38.266666664276272</v>
      </c>
      <c r="O22" s="7"/>
      <c r="P22" s="7"/>
      <c r="Q22" s="25"/>
      <c r="R22" s="25"/>
      <c r="S22" s="37">
        <f>SUM(U22:U22)/IF(AG22="EC",12,1)</f>
        <v>1</v>
      </c>
      <c r="T22" s="52" t="str">
        <f>IF(ISEVEN(LEFT(AD22,4)),"Southbound","NorthBound")</f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https://search-rtdc-monitor-bjffxe2xuh6vdkpspy63sjmuny.us-east-1.es.amazonaws.com/_plugin/kibana/#/discover/Steve-Slow-Train-Analysis-(2080s-and-2083s)?_g=(refreshInterval:(display:Off,section:0,value:0),time:(from:'2016-09-18 04:39:39-0600',mode:absolute,to:'2016-09-18 07:19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2" s="54" t="str">
        <f>IF(AA22&lt;IF(AG22="EC",23,5.65),"Y","N")</f>
        <v>N</v>
      </c>
      <c r="X22" s="168">
        <f>VALUE(LEFT(AD22,4))-VALUE(LEFT(AD21,4))</f>
        <v>1</v>
      </c>
      <c r="Y22" s="69">
        <f>RIGHT(D22,LEN(D22)-4)/10000</f>
        <v>23.294599999999999</v>
      </c>
      <c r="Z22" s="69">
        <f>RIGHT(H22,LEN(H22)-4)/10000</f>
        <v>1.6E-2</v>
      </c>
      <c r="AA22" s="69">
        <f>ABS(Z22-Y22)</f>
        <v>23.278600000000001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>IF(LEN(A22)=6,"0"&amp;A22,A22)</f>
        <v>0110-18</v>
      </c>
      <c r="AE22" s="99" t="str">
        <f>"aws s3 cp "&amp;s3_bucket&amp;"/RTDC"&amp;B22&amp;"/"&amp;TEXT(F22,"YYYY-MM-DD")&amp;"/ "&amp;search_path&amp;"\RTDC"&amp;B22&amp;"\"&amp;TEXT(F22,"YYYY-MM-DD")&amp;" --recursive &amp; """&amp;walkandungz&amp;""" "&amp;search_path&amp;"\RTDC"&amp;B22&amp;"\"&amp;TEXT(F22,"YYYY-MM-DD")
&amp;" &amp; "&amp;"aws s3 cp "&amp;s3_bucket&amp;"/RTDC"&amp;B22&amp;"/"&amp;TEXT(F22+1,"YYYY-MM-DD")&amp;"/ "&amp;search_path&amp;"\RTDC"&amp;B22&amp;"\"&amp;TEXT(F22+1,"YYYY-MM-DD")&amp;" --recursive &amp; """&amp;walkandungz&amp;""" "&amp;search_path&amp;"\RTDC"&amp;B22&amp;"\"&amp;TEXT(F22+1,"YYYY-MM-DD")</f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22" s="96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/stypes="app*4004*20160918*" /stext=" 12:.+((SYSTEM_STATE.+slice.+state.+changed )|(ment ac)|(system.+state.+changed )|(\|lc)|(penalty)|(\[timeout)|(PRM\|1\|D)|(kpr)|(kdp))" /e /r /s</v>
      </c>
      <c r="AG22" s="1" t="str">
        <f>IFERROR(IF(VALUE(LEFT(AD22,2))&lt;=2,"EC",IF(OR(VALUE(LEFT(AD22,2))=8,VALUE(LEFT(AD22,2))=18),"NW","Other")),"Other")</f>
        <v>EC</v>
      </c>
      <c r="AH22" s="100" t="str">
        <f t="shared" si="2"/>
        <v>"%USERPROFILE%\Documents\GitHub\eaglep3\Utilities\RefineRTDCRunTimes.py" --tripid 110-18 --locoid 4004 --swversion DE.1.0.7.0 --startMP 204:232946 --initTime 2016-09-18T05:39:39 --startdatetime 2016-09-18T05:41:19 --delay 1 --endMP 204:160 --enddatetime 2016-09-18T06:19:35 --enforcementcount 0 &gt;&gt;C:\Users\stu\Documents\GitHub\eaglep3-reporting\EC\2016-09-18-refined-times.txt</v>
      </c>
      <c r="AI22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ID","value":"110-18"},{"id":16,"name":"Locomotive ID","value":"4004"},{"id":130,"name":"Impact","value":""},{"id":150,"name":"Time of Event (Mountain Time)","value":"06:19:35"},{"id":151,"name":"Denver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437</v>
      </c>
      <c r="B23" s="7">
        <v>4044</v>
      </c>
      <c r="C23" s="24" t="s">
        <v>106</v>
      </c>
      <c r="D23" s="24" t="s">
        <v>384</v>
      </c>
      <c r="E23" s="15">
        <v>42631.203506944446</v>
      </c>
      <c r="F23" s="15">
        <v>42631.208668981482</v>
      </c>
      <c r="G23" s="7">
        <v>2</v>
      </c>
      <c r="H23" s="15" t="s">
        <v>360</v>
      </c>
      <c r="I23" s="15">
        <v>42631.235312500001</v>
      </c>
      <c r="J23" s="7">
        <v>0</v>
      </c>
      <c r="K23" s="121" t="str">
        <f>IF(ISEVEN(B23),(B23-1)&amp;"/"&amp;B23,B23&amp;"/"&amp;(B23+1))</f>
        <v>4043/4044</v>
      </c>
      <c r="L23" s="24" t="str">
        <f>VLOOKUP(A23,'Trips&amp;Operators'!$C$1:$E$10000,3,FALSE)</f>
        <v>STRICKLAND</v>
      </c>
      <c r="M23" s="6">
        <f>I23-F23</f>
        <v>2.6643518518540077E-2</v>
      </c>
      <c r="N23" s="7">
        <f>24*60*SUM($M23:$M23)</f>
        <v>38.366666666697711</v>
      </c>
      <c r="O23" s="7"/>
      <c r="P23" s="7"/>
      <c r="Q23" s="25"/>
      <c r="R23" s="25"/>
      <c r="S23" s="37">
        <f>SUM(U23:U23)/IF(AG23="EC",12,1)</f>
        <v>1</v>
      </c>
      <c r="T23" s="52" t="str">
        <f>IF(ISEVEN(LEFT(AD23,4)),"Southbound","NorthBound")</f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https://search-rtdc-monitor-bjffxe2xuh6vdkpspy63sjmuny.us-east-1.es.amazonaws.com/_plugin/kibana/#/discover/Steve-Slow-Train-Analysis-(2080s-and-2083s)?_g=(refreshInterval:(display:Off,section:0,value:0),time:(from:'2016-09-18 03:53:03-0600',mode:absolute,to:'2016-09-18 06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3" s="54" t="str">
        <f>IF(AA23&lt;IF(AG23="EC",23,5.65),"Y","N")</f>
        <v>N</v>
      </c>
      <c r="X23" s="168">
        <f>VALUE(LEFT(AD23,4))-VALUE(LEFT(AD22,4))</f>
        <v>1</v>
      </c>
      <c r="Y23" s="69">
        <f>RIGHT(D23,LEN(D23)-4)/10000</f>
        <v>7.6799999999999993E-2</v>
      </c>
      <c r="Z23" s="69">
        <f>RIGHT(H23,LEN(H23)-4)/10000</f>
        <v>23.325500000000002</v>
      </c>
      <c r="AA23" s="69">
        <f>ABS(Z23-Y23)</f>
        <v>23.248700000000003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>IF(LEN(A23)=6,"0"&amp;A23,A23)</f>
        <v>0111-18</v>
      </c>
      <c r="AE23" s="99" t="str">
        <f>"aws s3 cp "&amp;s3_bucket&amp;"/RTDC"&amp;B23&amp;"/"&amp;TEXT(F23,"YYYY-MM-DD")&amp;"/ "&amp;search_path&amp;"\RTDC"&amp;B23&amp;"\"&amp;TEXT(F23,"YYYY-MM-DD")&amp;" --recursive &amp; """&amp;walkandungz&amp;""" "&amp;search_path&amp;"\RTDC"&amp;B23&amp;"\"&amp;TEXT(F23,"YYYY-MM-DD")
&amp;" &amp; "&amp;"aws s3 cp "&amp;s3_bucket&amp;"/RTDC"&amp;B23&amp;"/"&amp;TEXT(F23+1,"YYYY-MM-DD")&amp;"/ "&amp;search_path&amp;"\RTDC"&amp;B23&amp;"\"&amp;TEXT(F23+1,"YYYY-MM-DD")&amp;" --recursive &amp; """&amp;walkandungz&amp;""" "&amp;search_path&amp;"\RTDC"&amp;B23&amp;"\"&amp;TEXT(F23+1,"YYYY-MM-DD")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23" s="96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/stypes="app*4044*20160918*" /stext=" 11:.+((SYSTEM_STATE.+slice.+state.+changed )|(ment ac)|(system.+state.+changed )|(\|lc)|(penalty)|(\[timeout)|(PRM\|1\|D)|(kpr)|(kdp))" /e /r /s</v>
      </c>
      <c r="AG23" s="1" t="str">
        <f>IFERROR(IF(VALUE(LEFT(AD23,2))&lt;=2,"EC",IF(OR(VALUE(LEFT(AD23,2))=8,VALUE(LEFT(AD23,2))=18),"NW","Other")),"Other")</f>
        <v>EC</v>
      </c>
      <c r="AH23" s="100" t="str">
        <f t="shared" si="2"/>
        <v>"%USERPROFILE%\Documents\GitHub\eaglep3\Utilities\RefineRTDCRunTimes.py" --tripid 111-18 --locoid 4044 --swversion DE.1.0.7.0 --startMP 204:768 --initTime 2016-09-18T04:53:03 --startdatetime 2016-09-18T05:00:29 --delay 2 --endMP 204:233255 --enddatetime 2016-09-18T05:38:51 --enforcementcount 0 &gt;&gt;C:\Users\stu\Documents\GitHub\eaglep3-reporting\EC\2016-09-18-refined-times.txt</v>
      </c>
      <c r="AI23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{"issue":{"subject":"","project_id":79,"tracker_id":40,"status_id":1,"priority_id":2,"assigned_to_id":23,"start_date":"2016-09-18","description":"","custom_fields":[{"id":1,"name":"Subdivision","value":"EC"},{"id":4,"name":"Milepost","value":"23.3255"},{"id":17,"name":"Train ID","value":"111-18"},{"id":16,"name":"Locomotive ID","value":"4044"},{"id":130,"name":"Impact","value":""},{"id":150,"name":"Time of Event (Mountain Time)","value":"05:38:51"},{"id":151,"name":"Denver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445</v>
      </c>
      <c r="B24" s="7">
        <v>4043</v>
      </c>
      <c r="C24" s="24" t="s">
        <v>106</v>
      </c>
      <c r="D24" s="24" t="s">
        <v>331</v>
      </c>
      <c r="E24" s="15">
        <v>42631.243692129632</v>
      </c>
      <c r="F24" s="15">
        <v>42631.247453703705</v>
      </c>
      <c r="G24" s="7">
        <v>1</v>
      </c>
      <c r="H24" s="15" t="s">
        <v>127</v>
      </c>
      <c r="I24" s="15">
        <v>42631.274097222224</v>
      </c>
      <c r="J24" s="7">
        <v>0</v>
      </c>
      <c r="K24" s="121" t="str">
        <f>IF(ISEVEN(B24),(B24-1)&amp;"/"&amp;B24,B24&amp;"/"&amp;(B24+1))</f>
        <v>4043/4044</v>
      </c>
      <c r="L24" s="24" t="str">
        <f>VLOOKUP(A24,'Trips&amp;Operators'!$C$1:$E$10000,3,FALSE)</f>
        <v>STRICKLAND</v>
      </c>
      <c r="M24" s="6">
        <f>I24-F24</f>
        <v>2.6643518518540077E-2</v>
      </c>
      <c r="N24" s="7">
        <f>24*60*SUM($M24:$M24)</f>
        <v>38.366666666697711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https://search-rtdc-monitor-bjffxe2xuh6vdkpspy63sjmuny.us-east-1.es.amazonaws.com/_plugin/kibana/#/discover/Steve-Slow-Train-Analysis-(2080s-and-2083s)?_g=(refreshInterval:(display:Off,section:0,value:0),time:(from:'2016-09-18 04:50:55-0600',mode:absolute,to:'2016-09-18 07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4" s="54" t="str">
        <f>IF(AA24&lt;IF(AG24="EC",23,5.65),"Y","N")</f>
        <v>N</v>
      </c>
      <c r="X24" s="168">
        <f>VALUE(LEFT(AD24,4))-VALUE(LEFT(AD23,4))</f>
        <v>1</v>
      </c>
      <c r="Y24" s="69">
        <f>RIGHT(D24,LEN(D24)-4)/10000</f>
        <v>23.294</v>
      </c>
      <c r="Z24" s="69">
        <f>RIGHT(H24,LEN(H24)-4)/10000</f>
        <v>1.54E-2</v>
      </c>
      <c r="AA24" s="69">
        <f>ABS(Z24-Y24)</f>
        <v>23.278600000000001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>IF(LEN(A24)=6,"0"&amp;A24,A24)</f>
        <v>0112-18</v>
      </c>
      <c r="AE24" s="99" t="str">
        <f>"aws s3 cp "&amp;s3_bucket&amp;"/RTDC"&amp;B24&amp;"/"&amp;TEXT(F24,"YYYY-MM-DD")&amp;"/ "&amp;search_path&amp;"\RTDC"&amp;B24&amp;"\"&amp;TEXT(F24,"YYYY-MM-DD")&amp;" --recursive &amp; """&amp;walkandungz&amp;""" "&amp;search_path&amp;"\RTDC"&amp;B24&amp;"\"&amp;TEXT(F24,"YYYY-MM-DD")
&amp;" &amp; "&amp;"aws s3 cp "&amp;s3_bucket&amp;"/RTDC"&amp;B24&amp;"/"&amp;TEXT(F24+1,"YYYY-MM-DD")&amp;"/ "&amp;search_path&amp;"\RTDC"&amp;B24&amp;"\"&amp;TEXT(F24+1,"YYYY-MM-DD")&amp;" --recursive &amp; """&amp;walkandungz&amp;""" "&amp;search_path&amp;"\RTDC"&amp;B24&amp;"\"&amp;TEXT(F24+1,"YYYY-MM-DD")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24" s="96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/stypes="app*4043*20160918*" /stext=" 12:.+((SYSTEM_STATE.+slice.+state.+changed )|(ment ac)|(system.+state.+changed )|(\|lc)|(penalty)|(\[timeout)|(PRM\|1\|D)|(kpr)|(kdp))" /e /r /s</v>
      </c>
      <c r="AG24" s="1" t="str">
        <f>IFERROR(IF(VALUE(LEFT(AD24,2))&lt;=2,"EC",IF(OR(VALUE(LEFT(AD24,2))=8,VALUE(LEFT(AD24,2))=18),"NW","Other")),"Other")</f>
        <v>EC</v>
      </c>
      <c r="AH24" s="100" t="str">
        <f t="shared" si="2"/>
        <v>"%USERPROFILE%\Documents\GitHub\eaglep3\Utilities\RefineRTDCRunTimes.py" --tripid 112-18 --locoid 4043 --swversion DE.1.0.7.0 --startMP 204:232940 --initTime 2016-09-18T05:50:55 --startdatetime 2016-09-18T05:56:20 --delay 1 --endMP 204:154 --enddatetime 2016-09-18T06:34:42 --enforcementcount 0 &gt;&gt;C:\Users\stu\Documents\GitHub\eaglep3-reporting\EC\2016-09-18-refined-times.txt</v>
      </c>
      <c r="AI24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ID","value":"112-18"},{"id":16,"name":"Locomotive ID","value":"4043"},{"id":130,"name":"Impact","value":""},{"id":150,"name":"Time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438</v>
      </c>
      <c r="B25" s="7">
        <v>4038</v>
      </c>
      <c r="C25" s="24" t="s">
        <v>106</v>
      </c>
      <c r="D25" s="24" t="s">
        <v>216</v>
      </c>
      <c r="E25" s="15">
        <v>42631.204525462963</v>
      </c>
      <c r="F25" s="15">
        <v>42631.218981481485</v>
      </c>
      <c r="G25" s="7">
        <v>2</v>
      </c>
      <c r="H25" s="15" t="s">
        <v>616</v>
      </c>
      <c r="I25" s="15">
        <v>42631.244305555556</v>
      </c>
      <c r="J25" s="7">
        <v>0</v>
      </c>
      <c r="K25" s="121" t="str">
        <f>IF(ISEVEN(B25),(B25-1)&amp;"/"&amp;B25,B25&amp;"/"&amp;(B25+1))</f>
        <v>4037/4038</v>
      </c>
      <c r="L25" s="24" t="str">
        <f>VLOOKUP(A25,'Trips&amp;Operators'!$C$1:$E$10000,3,FALSE)</f>
        <v>KILLION</v>
      </c>
      <c r="M25" s="6">
        <f>I25-F25</f>
        <v>2.5324074071249925E-2</v>
      </c>
      <c r="N25" s="7">
        <f>24*60*SUM($M25:$M25)</f>
        <v>36.466666662599891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https://search-rtdc-monitor-bjffxe2xuh6vdkpspy63sjmuny.us-east-1.es.amazonaws.com/_plugin/kibana/#/discover/Steve-Slow-Train-Analysis-(2080s-and-2083s)?_g=(refreshInterval:(display:Off,section:0,value:0),time:(from:'2016-09-18 03:54:31-0600',mode:absolute,to:'2016-09-18 06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5" s="54" t="str">
        <f>IF(AA25&lt;IF(AG25="EC",23,5.65),"Y","N")</f>
        <v>N</v>
      </c>
      <c r="X25" s="168">
        <f>VALUE(LEFT(AD25,4))-VALUE(LEFT(AD24,4))</f>
        <v>1</v>
      </c>
      <c r="Y25" s="69">
        <f>RIGHT(D25,LEN(D25)-4)/10000</f>
        <v>4.7100000000000003E-2</v>
      </c>
      <c r="Z25" s="69">
        <f>RIGHT(H25,LEN(H25)-4)/10000</f>
        <v>23.327000000000002</v>
      </c>
      <c r="AA25" s="69">
        <f>ABS(Z25-Y25)</f>
        <v>23.279900000000001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>IF(LEN(A25)=6,"0"&amp;A25,A25)</f>
        <v>0113-18</v>
      </c>
      <c r="AE25" s="99" t="str">
        <f>"aws s3 cp "&amp;s3_bucket&amp;"/RTDC"&amp;B25&amp;"/"&amp;TEXT(F25,"YYYY-MM-DD")&amp;"/ "&amp;search_path&amp;"\RTDC"&amp;B25&amp;"\"&amp;TEXT(F25,"YYYY-MM-DD")&amp;" --recursive &amp; """&amp;walkandungz&amp;""" "&amp;search_path&amp;"\RTDC"&amp;B25&amp;"\"&amp;TEXT(F25,"YYYY-MM-DD")
&amp;" &amp; "&amp;"aws s3 cp "&amp;s3_bucket&amp;"/RTDC"&amp;B25&amp;"/"&amp;TEXT(F25+1,"YYYY-MM-DD")&amp;"/ "&amp;search_path&amp;"\RTDC"&amp;B25&amp;"\"&amp;TEXT(F25+1,"YYYY-MM-DD")&amp;" --recursive &amp; """&amp;walkandungz&amp;""" "&amp;search_path&amp;"\RTDC"&amp;B25&amp;"\"&amp;TEXT(F25+1,"YYYY-MM-DD")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25" s="96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/stypes="app*4038*20160918*" /stext=" 11:.+((SYSTEM_STATE.+slice.+state.+changed )|(ment ac)|(system.+state.+changed )|(\|lc)|(penalty)|(\[timeout)|(PRM\|1\|D)|(kpr)|(kdp))" /e /r /s</v>
      </c>
      <c r="AG25" s="1" t="str">
        <f>IFERROR(IF(VALUE(LEFT(AD25,2))&lt;=2,"EC",IF(OR(VALUE(LEFT(AD25,2))=8,VALUE(LEFT(AD25,2))=18),"NW","Other")),"Other")</f>
        <v>EC</v>
      </c>
      <c r="AH25" s="100" t="str">
        <f t="shared" si="2"/>
        <v>"%USERPROFILE%\Documents\GitHub\eaglep3\Utilities\RefineRTDCRunTimes.py" --tripid 113-18 --locoid 4038 --swversion DE.1.0.7.0 --startMP 204:471 --initTime 2016-09-18T04:54:31 --startdatetime 2016-09-18T05:15:20 --delay 2 --endMP 204:233270 --enddatetime 2016-09-18T05:51:48 --enforcementcount 0 &gt;&gt;C:\Users\stu\Documents\GitHub\eaglep3-reporting\EC\2016-09-18-refined-times.txt</v>
      </c>
      <c r="AI25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{"issue":{"subject":"","project_id":79,"tracker_id":40,"status_id":1,"priority_id":2,"assigned_to_id":23,"start_date":"2016-09-18","description":"","custom_fields":[{"id":1,"name":"Subdivision","value":"EC"},{"id":4,"name":"Milepost","value":"23.327"},{"id":17,"name":"Train ID","value":"113-18"},{"id":16,"name":"Locomotive ID","value":"4038"},{"id":130,"name":"Impact","value":""},{"id":150,"name":"Time of Event (Mountain Time)","value":"05:51:48"},{"id":151,"name":"Denver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397</v>
      </c>
      <c r="B26" s="7">
        <v>4037</v>
      </c>
      <c r="C26" s="24" t="s">
        <v>106</v>
      </c>
      <c r="D26" s="24" t="s">
        <v>257</v>
      </c>
      <c r="E26" s="15">
        <v>42631.253136574072</v>
      </c>
      <c r="F26" s="15">
        <v>42631.258067129631</v>
      </c>
      <c r="G26" s="7">
        <v>1</v>
      </c>
      <c r="H26" s="15" t="s">
        <v>617</v>
      </c>
      <c r="I26" s="15">
        <v>42631.285300925927</v>
      </c>
      <c r="J26" s="7">
        <v>0</v>
      </c>
      <c r="K26" s="121" t="str">
        <f>IF(ISEVEN(B26),(B26-1)&amp;"/"&amp;B26,B26&amp;"/"&amp;(B26+1))</f>
        <v>4037/4038</v>
      </c>
      <c r="L26" s="24" t="str">
        <f>VLOOKUP(A26,'Trips&amp;Operators'!$C$1:$E$10000,3,FALSE)</f>
        <v>KILLION</v>
      </c>
      <c r="M26" s="6">
        <f>I26-F26</f>
        <v>2.7233796296059154E-2</v>
      </c>
      <c r="N26" s="7">
        <f>24*60*SUM($M26:$M26)</f>
        <v>39.216666666325182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https://search-rtdc-monitor-bjffxe2xuh6vdkpspy63sjmuny.us-east-1.es.amazonaws.com/_plugin/kibana/#/discover/Steve-Slow-Train-Analysis-(2080s-and-2083s)?_g=(refreshInterval:(display:Off,section:0,value:0),time:(from:'2016-09-18 05:04:31-0600',mode:absolute,to:'2016-09-18 07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6" s="54" t="str">
        <f>IF(AA26&lt;IF(AG26="EC",23,5.65),"Y","N")</f>
        <v>N</v>
      </c>
      <c r="X26" s="168">
        <f>VALUE(LEFT(AD26,4))-VALUE(LEFT(AD25,4))</f>
        <v>1</v>
      </c>
      <c r="Y26" s="69">
        <f>RIGHT(D26,LEN(D26)-4)/10000</f>
        <v>23.295500000000001</v>
      </c>
      <c r="Z26" s="69">
        <f>RIGHT(H26,LEN(H26)-4)/10000</f>
        <v>1.4500000000000001E-2</v>
      </c>
      <c r="AA26" s="69">
        <f>ABS(Z26-Y26)</f>
        <v>23.280999999999999</v>
      </c>
      <c r="AB26" s="66" t="str">
        <f>VLOOKUP(A26,Enforcements!$C$7:$K$20,8,0)</f>
        <v>Bulletin (2)</v>
      </c>
      <c r="AC26" s="62" t="str">
        <f>VLOOKUP(A26,Enforcements!$C$7:$E$20,3,0)</f>
        <v>GRADE CROSSING</v>
      </c>
      <c r="AD26" s="63" t="str">
        <f>IF(LEN(A26)=6,"0"&amp;A26,A26)</f>
        <v>0114-18</v>
      </c>
      <c r="AE26" s="99" t="str">
        <f>"aws s3 cp "&amp;s3_bucket&amp;"/RTDC"&amp;B26&amp;"/"&amp;TEXT(F26,"YYYY-MM-DD")&amp;"/ "&amp;search_path&amp;"\RTDC"&amp;B26&amp;"\"&amp;TEXT(F26,"YYYY-MM-DD")&amp;" --recursive &amp; """&amp;walkandungz&amp;""" "&amp;search_path&amp;"\RTDC"&amp;B26&amp;"\"&amp;TEXT(F26,"YYYY-MM-DD")
&amp;" &amp; "&amp;"aws s3 cp "&amp;s3_bucket&amp;"/RTDC"&amp;B26&amp;"/"&amp;TEXT(F26+1,"YYYY-MM-DD")&amp;"/ "&amp;search_path&amp;"\RTDC"&amp;B26&amp;"\"&amp;TEXT(F26+1,"YYYY-MM-DD")&amp;" --recursive &amp; """&amp;walkandungz&amp;""" "&amp;search_path&amp;"\RTDC"&amp;B26&amp;"\"&amp;TEXT(F26+1,"YYYY-MM-DD")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26" s="96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/stypes="app*4037*20160918*" /stext=" 12:.+((SYSTEM_STATE.+slice.+state.+changed )|(ment ac)|(system.+state.+changed )|(\|lc)|(penalty)|(\[timeout)|(PRM\|1\|D)|(kpr)|(kdp))" /e /r /s</v>
      </c>
      <c r="AG26" s="1" t="str">
        <f>IFERROR(IF(VALUE(LEFT(AD26,2))&lt;=2,"EC",IF(OR(VALUE(LEFT(AD26,2))=8,VALUE(LEFT(AD26,2))=18),"NW","Other")),"Other")</f>
        <v>EC</v>
      </c>
      <c r="AH26" s="100" t="str">
        <f t="shared" si="2"/>
        <v>"%USERPROFILE%\Documents\GitHub\eaglep3\Utilities\RefineRTDCRunTimes.py" --tripid 114-18 --locoid 4037 --swversion DE.1.0.7.0 --startMP 204:232955 --initTime 2016-09-18T06:04:31 --startdatetime 2016-09-18T06:11:37 --delay 1 --endMP 204:145 --enddatetime 2016-09-18T06:50:50 --enforcementcount 0 &gt;&gt;C:\Users\stu\Documents\GitHub\eaglep3-reporting\EC\2016-09-18-refined-times.txt</v>
      </c>
      <c r="AI26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ID","value":"114-18"},{"id":16,"name":"Locomotive ID","value":"4037"},{"id":130,"name":"Impact","value":""},{"id":150,"name":"Time of Event (Mountain Time)","value":"06:50:50"},{"id":151,"name":"Denver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440</v>
      </c>
      <c r="B27" s="7">
        <v>4027</v>
      </c>
      <c r="C27" s="24" t="s">
        <v>106</v>
      </c>
      <c r="D27" s="24" t="s">
        <v>618</v>
      </c>
      <c r="E27" s="15">
        <v>42631.225995370369</v>
      </c>
      <c r="F27" s="15">
        <v>42631.229317129626</v>
      </c>
      <c r="G27" s="7">
        <v>1</v>
      </c>
      <c r="H27" s="15" t="s">
        <v>277</v>
      </c>
      <c r="I27" s="15">
        <v>42631.253611111111</v>
      </c>
      <c r="J27" s="7">
        <v>0</v>
      </c>
      <c r="K27" s="121" t="str">
        <f>IF(ISEVEN(B27),(B27-1)&amp;"/"&amp;B27,B27&amp;"/"&amp;(B27+1))</f>
        <v>4027/4028</v>
      </c>
      <c r="L27" s="24" t="str">
        <f>VLOOKUP(A27,'Trips&amp;Operators'!$C$1:$E$10000,3,FALSE)</f>
        <v>YORK</v>
      </c>
      <c r="M27" s="6">
        <f>I27-F27</f>
        <v>2.4293981485243421E-2</v>
      </c>
      <c r="N27" s="7">
        <f>24*60*SUM($M27:$M27)</f>
        <v>34.983333338750526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https://search-rtdc-monitor-bjffxe2xuh6vdkpspy63sjmuny.us-east-1.es.amazonaws.com/_plugin/kibana/#/discover/Steve-Slow-Train-Analysis-(2080s-and-2083s)?_g=(refreshInterval:(display:Off,section:0,value:0),time:(from:'2016-09-18 04:25:26-0600',mode:absolute,to:'2016-09-18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7" s="54" t="str">
        <f>IF(AA27&lt;IF(AG27="EC",23,5.65),"Y","N")</f>
        <v>N</v>
      </c>
      <c r="X27" s="168">
        <f>VALUE(LEFT(AD27,4))-VALUE(LEFT(AD26,4))</f>
        <v>1</v>
      </c>
      <c r="Y27" s="69">
        <f>RIGHT(D27,LEN(D27)-4)/10000</f>
        <v>8.3599999999999994E-2</v>
      </c>
      <c r="Z27" s="69">
        <f>RIGHT(H27,LEN(H27)-4)/10000</f>
        <v>23.324400000000001</v>
      </c>
      <c r="AA27" s="69">
        <f>ABS(Z27-Y27)</f>
        <v>23.2408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>IF(LEN(A27)=6,"0"&amp;A27,A27)</f>
        <v>0115-18</v>
      </c>
      <c r="AE27" s="99" t="str">
        <f>"aws s3 cp "&amp;s3_bucket&amp;"/RTDC"&amp;B27&amp;"/"&amp;TEXT(F27,"YYYY-MM-DD")&amp;"/ "&amp;search_path&amp;"\RTDC"&amp;B27&amp;"\"&amp;TEXT(F27,"YYYY-MM-DD")&amp;" --recursive &amp; """&amp;walkandungz&amp;""" "&amp;search_path&amp;"\RTDC"&amp;B27&amp;"\"&amp;TEXT(F27,"YYYY-MM-DD")
&amp;" &amp; "&amp;"aws s3 cp "&amp;s3_bucket&amp;"/RTDC"&amp;B27&amp;"/"&amp;TEXT(F27+1,"YYYY-MM-DD")&amp;"/ "&amp;search_path&amp;"\RTDC"&amp;B27&amp;"\"&amp;TEXT(F27+1,"YYYY-MM-DD")&amp;" --recursive &amp; """&amp;walkandungz&amp;""" "&amp;search_path&amp;"\RTDC"&amp;B27&amp;"\"&amp;TEXT(F27+1,"YYYY-MM-DD")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27" s="96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/stypes="app*4027*20160918*" /stext=" 12:.+((SYSTEM_STATE.+slice.+state.+changed )|(ment ac)|(system.+state.+changed )|(\|lc)|(penalty)|(\[timeout)|(PRM\|1\|D)|(kpr)|(kdp))" /e /r /s</v>
      </c>
      <c r="AG27" s="1" t="str">
        <f>IFERROR(IF(VALUE(LEFT(AD27,2))&lt;=2,"EC",IF(OR(VALUE(LEFT(AD27,2))=8,VALUE(LEFT(AD27,2))=18),"NW","Other")),"Other")</f>
        <v>EC</v>
      </c>
      <c r="AH27" s="100" t="str">
        <f t="shared" si="2"/>
        <v>"%USERPROFILE%\Documents\GitHub\eaglep3\Utilities\RefineRTDCRunTimes.py" --tripid 115-18 --locoid 4027 --swversion DE.1.0.7.0 --startMP 204:836 --initTime 2016-09-18T05:25:26 --startdatetime 2016-09-18T05:30:13 --delay 1 --endMP 204:233244 --enddatetime 2016-09-18T06:05:12 --enforcementcount 0 &gt;&gt;C:\Users\stu\Documents\GitHub\eaglep3-reporting\EC\2016-09-18-refined-times.txt</v>
      </c>
      <c r="AI27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{"issue":{"subject":"","project_id":79,"tracker_id":40,"status_id":1,"priority_id":2,"assigned_to_id":23,"start_date":"2016-09-18","description":"","custom_fields":[{"id":1,"name":"Subdivision","value":"EC"},{"id":4,"name":"Milepost","value":"23.3244"},{"id":17,"name":"Train ID","value":"115-18"},{"id":16,"name":"Locomotive ID","value":"4027"},{"id":130,"name":"Impact","value":""},{"id":150,"name":"Time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447</v>
      </c>
      <c r="B28" s="7">
        <v>4028</v>
      </c>
      <c r="C28" s="24" t="s">
        <v>106</v>
      </c>
      <c r="D28" s="24" t="s">
        <v>336</v>
      </c>
      <c r="E28" s="15">
        <v>42631.255844907406</v>
      </c>
      <c r="F28" s="15">
        <v>42631.268460648149</v>
      </c>
      <c r="G28" s="7">
        <v>1</v>
      </c>
      <c r="H28" s="15" t="s">
        <v>218</v>
      </c>
      <c r="I28" s="15">
        <v>42631.293761574074</v>
      </c>
      <c r="J28" s="7">
        <v>0</v>
      </c>
      <c r="K28" s="121" t="str">
        <f>IF(ISEVEN(B28),(B28-1)&amp;"/"&amp;B28,B28&amp;"/"&amp;(B28+1))</f>
        <v>4027/4028</v>
      </c>
      <c r="L28" s="24" t="str">
        <f>VLOOKUP(A28,'Trips&amp;Operators'!$C$1:$E$10000,3,FALSE)</f>
        <v>YORK</v>
      </c>
      <c r="M28" s="6">
        <f>I28-F28</f>
        <v>2.5300925924966577E-2</v>
      </c>
      <c r="N28" s="7">
        <f>24*60*SUM($M28:$M28)</f>
        <v>36.433333331951872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https://search-rtdc-monitor-bjffxe2xuh6vdkpspy63sjmuny.us-east-1.es.amazonaws.com/_plugin/kibana/#/discover/Steve-Slow-Train-Analysis-(2080s-and-2083s)?_g=(refreshInterval:(display:Off,section:0,value:0),time:(from:'2016-09-18 05:08:25-0600',mode:absolute,to:'2016-09-18 08:03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8" s="54" t="str">
        <f>IF(AA28&lt;IF(AG28="EC",23,5.65),"Y","N")</f>
        <v>N</v>
      </c>
      <c r="X28" s="168">
        <f>VALUE(LEFT(AD28,4))-VALUE(LEFT(AD27,4))</f>
        <v>1</v>
      </c>
      <c r="Y28" s="69">
        <f>RIGHT(D28,LEN(D28)-4)/10000</f>
        <v>23.2925</v>
      </c>
      <c r="Z28" s="69">
        <f>RIGHT(H28,LEN(H28)-4)/10000</f>
        <v>1.47E-2</v>
      </c>
      <c r="AA28" s="69">
        <f>ABS(Z28-Y28)</f>
        <v>23.277799999999999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>IF(LEN(A28)=6,"0"&amp;A28,A28)</f>
        <v>0116-18</v>
      </c>
      <c r="AE28" s="99" t="str">
        <f>"aws s3 cp "&amp;s3_bucket&amp;"/RTDC"&amp;B28&amp;"/"&amp;TEXT(F28,"YYYY-MM-DD")&amp;"/ "&amp;search_path&amp;"\RTDC"&amp;B28&amp;"\"&amp;TEXT(F28,"YYYY-MM-DD")&amp;" --recursive &amp; """&amp;walkandungz&amp;""" "&amp;search_path&amp;"\RTDC"&amp;B28&amp;"\"&amp;TEXT(F28,"YYYY-MM-DD")
&amp;" &amp; "&amp;"aws s3 cp "&amp;s3_bucket&amp;"/RTDC"&amp;B28&amp;"/"&amp;TEXT(F28+1,"YYYY-MM-DD")&amp;"/ "&amp;search_path&amp;"\RTDC"&amp;B28&amp;"\"&amp;TEXT(F28+1,"YYYY-MM-DD")&amp;" --recursive &amp; """&amp;walkandungz&amp;""" "&amp;search_path&amp;"\RTDC"&amp;B28&amp;"\"&amp;TEXT(F28+1,"YYYY-MM-DD")</f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28" s="96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/stypes="app*4028*20160918*" /stext=" 13:.+((SYSTEM_STATE.+slice.+state.+changed )|(ment ac)|(system.+state.+changed )|(\|lc)|(penalty)|(\[timeout)|(PRM\|1\|D)|(kpr)|(kdp))" /e /r /s</v>
      </c>
      <c r="AG28" s="1" t="str">
        <f>IFERROR(IF(VALUE(LEFT(AD28,2))&lt;=2,"EC",IF(OR(VALUE(LEFT(AD28,2))=8,VALUE(LEFT(AD28,2))=18),"NW","Other")),"Other")</f>
        <v>EC</v>
      </c>
      <c r="AH28" s="100" t="str">
        <f t="shared" si="2"/>
        <v>"%USERPROFILE%\Documents\GitHub\eaglep3\Utilities\RefineRTDCRunTimes.py" --tripid 116-18 --locoid 4028 --swversion DE.1.0.7.0 --startMP 204:232925 --initTime 2016-09-18T06:08:25 --startdatetime 2016-09-18T06:26:35 --delay 1 --endMP 204:147 --enddatetime 2016-09-18T07:03:01 --enforcementcount 0 &gt;&gt;C:\Users\stu\Documents\GitHub\eaglep3-reporting\EC\2016-09-18-refined-times.txt</v>
      </c>
      <c r="AI28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ID","value":"116-18"},{"id":16,"name":"Locomotive ID","value":"4028"},{"id":130,"name":"Impact","value":""},{"id":150,"name":"Time of Event (Mountain Time)","value":"07:03:01"},{"id":151,"name":"Denver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441</v>
      </c>
      <c r="B29" s="7">
        <v>4020</v>
      </c>
      <c r="C29" s="24" t="s">
        <v>106</v>
      </c>
      <c r="D29" s="24" t="s">
        <v>619</v>
      </c>
      <c r="E29" s="15">
        <v>42631.231793981482</v>
      </c>
      <c r="F29" s="15">
        <v>42631.239745370367</v>
      </c>
      <c r="G29" s="7">
        <v>2</v>
      </c>
      <c r="H29" s="15" t="s">
        <v>620</v>
      </c>
      <c r="I29" s="15">
        <v>42631.265127314815</v>
      </c>
      <c r="J29" s="7">
        <v>0</v>
      </c>
      <c r="K29" s="121" t="str">
        <f>IF(ISEVEN(B29),(B29-1)&amp;"/"&amp;B29,B29&amp;"/"&amp;(B29+1))</f>
        <v>4019/4020</v>
      </c>
      <c r="L29" s="24" t="str">
        <f>VLOOKUP(A29,'Trips&amp;Operators'!$C$1:$E$10000,3,FALSE)</f>
        <v>BROWN</v>
      </c>
      <c r="M29" s="6">
        <f>I29-F29</f>
        <v>2.5381944447872229E-2</v>
      </c>
      <c r="N29" s="7">
        <f>24*60*SUM($M29:$M29)</f>
        <v>36.55000000493601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https://search-rtdc-monitor-bjffxe2xuh6vdkpspy63sjmuny.us-east-1.es.amazonaws.com/_plugin/kibana/#/discover/Steve-Slow-Train-Analysis-(2080s-and-2083s)?_g=(refreshInterval:(display:Off,section:0,value:0),time:(from:'2016-09-18 04:33:47-0600',mode:absolute,to:'2016-09-18 07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9" s="54" t="str">
        <f>IF(AA29&lt;IF(AG29="EC",23,5.65),"Y","N")</f>
        <v>N</v>
      </c>
      <c r="X29" s="168">
        <f>VALUE(LEFT(AD29,4))-VALUE(LEFT(AD28,4))</f>
        <v>1</v>
      </c>
      <c r="Y29" s="69">
        <f>RIGHT(D29,LEN(D29)-4)/10000</f>
        <v>5.4399999999999997E-2</v>
      </c>
      <c r="Z29" s="69">
        <f>RIGHT(H29,LEN(H29)-4)/10000</f>
        <v>23.331600000000002</v>
      </c>
      <c r="AA29" s="69">
        <f>ABS(Z29-Y29)</f>
        <v>23.277200000000001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>IF(LEN(A29)=6,"0"&amp;A29,A29)</f>
        <v>0117-18</v>
      </c>
      <c r="AE29" s="99" t="str">
        <f>"aws s3 cp "&amp;s3_bucket&amp;"/RTDC"&amp;B29&amp;"/"&amp;TEXT(F29,"YYYY-MM-DD")&amp;"/ "&amp;search_path&amp;"\RTDC"&amp;B29&amp;"\"&amp;TEXT(F29,"YYYY-MM-DD")&amp;" --recursive &amp; """&amp;walkandungz&amp;""" "&amp;search_path&amp;"\RTDC"&amp;B29&amp;"\"&amp;TEXT(F29,"YYYY-MM-DD")
&amp;" &amp; "&amp;"aws s3 cp "&amp;s3_bucket&amp;"/RTDC"&amp;B29&amp;"/"&amp;TEXT(F29+1,"YYYY-MM-DD")&amp;"/ "&amp;search_path&amp;"\RTDC"&amp;B29&amp;"\"&amp;TEXT(F29+1,"YYYY-MM-DD")&amp;" --recursive &amp; """&amp;walkandungz&amp;""" "&amp;search_path&amp;"\RTDC"&amp;B29&amp;"\"&amp;TEXT(F29+1,"YYYY-MM-DD")</f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29" s="96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/stypes="app*4020*20160918*" /stext=" 12:.+((SYSTEM_STATE.+slice.+state.+changed )|(ment ac)|(system.+state.+changed )|(\|lc)|(penalty)|(\[timeout)|(PRM\|1\|D)|(kpr)|(kdp))" /e /r /s</v>
      </c>
      <c r="AG29" s="1" t="str">
        <f>IFERROR(IF(VALUE(LEFT(AD29,2))&lt;=2,"EC",IF(OR(VALUE(LEFT(AD29,2))=8,VALUE(LEFT(AD29,2))=18),"NW","Other")),"Other")</f>
        <v>EC</v>
      </c>
      <c r="AH29" s="100" t="str">
        <f t="shared" si="2"/>
        <v>"%USERPROFILE%\Documents\GitHub\eaglep3\Utilities\RefineRTDCRunTimes.py" --tripid 117-18 --locoid 4020 --swversion DE.1.0.7.0 --startMP 204:544 --initTime 2016-09-18T05:33:47 --startdatetime 2016-09-18T05:45:14 --delay 2 --endMP 204:233316 --enddatetime 2016-09-18T06:21:47 --enforcementcount 0 &gt;&gt;C:\Users\stu\Documents\GitHub\eaglep3-reporting\EC\2016-09-18-refined-times.txt</v>
      </c>
      <c r="AI29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{"issue":{"subject":"","project_id":79,"tracker_id":40,"status_id":1,"priority_id":2,"assigned_to_id":23,"start_date":"2016-09-18","description":"","custom_fields":[{"id":1,"name":"Subdivision","value":"EC"},{"id":4,"name":"Milepost","value":"23.3316"},{"id":17,"name":"Train ID","value":"117-18"},{"id":16,"name":"Locomotive ID","value":"4020"},{"id":130,"name":"Impact","value":""},{"id":150,"name":"Time of Event (Mountain Time)","value":"06:21:47"},{"id":151,"name":"Denver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400</v>
      </c>
      <c r="B30" s="7">
        <v>4019</v>
      </c>
      <c r="C30" s="24" t="s">
        <v>106</v>
      </c>
      <c r="D30" s="24" t="s">
        <v>364</v>
      </c>
      <c r="E30" s="15">
        <v>42631.276435185187</v>
      </c>
      <c r="F30" s="15">
        <v>42631.278657407405</v>
      </c>
      <c r="G30" s="7">
        <v>1</v>
      </c>
      <c r="H30" s="15" t="s">
        <v>253</v>
      </c>
      <c r="I30" s="15">
        <v>42631.30541666667</v>
      </c>
      <c r="J30" s="7">
        <v>0</v>
      </c>
      <c r="K30" s="121" t="str">
        <f>IF(ISEVEN(B30),(B30-1)&amp;"/"&amp;B30,B30&amp;"/"&amp;(B30+1))</f>
        <v>4019/4020</v>
      </c>
      <c r="L30" s="24" t="str">
        <f>VLOOKUP(A30,'Trips&amp;Operators'!$C$1:$E$10000,3,FALSE)</f>
        <v>BROWN</v>
      </c>
      <c r="M30" s="6">
        <f>I30-F30</f>
        <v>2.6759259264508728E-2</v>
      </c>
      <c r="N30" s="7">
        <f>24*60*SUM($M30:$M30)</f>
        <v>38.533333340892568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https://search-rtdc-monitor-bjffxe2xuh6vdkpspy63sjmuny.us-east-1.es.amazonaws.com/_plugin/kibana/#/discover/Steve-Slow-Train-Analysis-(2080s-and-2083s)?_g=(refreshInterval:(display:Off,section:0,value:0),time:(from:'2016-09-18 05:38:04-0600',mode:absolute,to:'2016-09-18 08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30" s="54" t="str">
        <f>IF(AA30&lt;IF(AG30="EC",23,5.65),"Y","N")</f>
        <v>N</v>
      </c>
      <c r="X30" s="168">
        <f>VALUE(LEFT(AD30,4))-VALUE(LEFT(AD29,4))</f>
        <v>1</v>
      </c>
      <c r="Y30" s="69">
        <f>RIGHT(D30,LEN(D30)-4)/10000</f>
        <v>23.298999999999999</v>
      </c>
      <c r="Z30" s="69">
        <f>RIGHT(H30,LEN(H30)-4)/10000</f>
        <v>1.72E-2</v>
      </c>
      <c r="AA30" s="69">
        <f>ABS(Z30-Y30)</f>
        <v>23.2818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>IF(LEN(A30)=6,"0"&amp;A30,A30)</f>
        <v>0118-18</v>
      </c>
      <c r="AE30" s="99" t="str">
        <f>"aws s3 cp "&amp;s3_bucket&amp;"/RTDC"&amp;B30&amp;"/"&amp;TEXT(F30,"YYYY-MM-DD")&amp;"/ "&amp;search_path&amp;"\RTDC"&amp;B30&amp;"\"&amp;TEXT(F30,"YYYY-MM-DD")&amp;" --recursive &amp; """&amp;walkandungz&amp;""" "&amp;search_path&amp;"\RTDC"&amp;B30&amp;"\"&amp;TEXT(F30,"YYYY-MM-DD")
&amp;" &amp; "&amp;"aws s3 cp "&amp;s3_bucket&amp;"/RTDC"&amp;B30&amp;"/"&amp;TEXT(F30+1,"YYYY-MM-DD")&amp;"/ "&amp;search_path&amp;"\RTDC"&amp;B30&amp;"\"&amp;TEXT(F30+1,"YYYY-MM-DD")&amp;" --recursive &amp; """&amp;walkandungz&amp;""" "&amp;search_path&amp;"\RTDC"&amp;B30&amp;"\"&amp;TEXT(F30+1,"YYYY-MM-DD")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30" s="96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/stypes="app*4019*20160918*" /stext=" 13:.+((SYSTEM_STATE.+slice.+state.+changed )|(ment ac)|(system.+state.+changed )|(\|lc)|(penalty)|(\[timeout)|(PRM\|1\|D)|(kpr)|(kdp))" /e /r /s</v>
      </c>
      <c r="AG30" s="1" t="str">
        <f>IFERROR(IF(VALUE(LEFT(AD30,2))&lt;=2,"EC",IF(OR(VALUE(LEFT(AD30,2))=8,VALUE(LEFT(AD30,2))=18),"NW","Other")),"Other")</f>
        <v>EC</v>
      </c>
      <c r="AH30" s="100" t="str">
        <f t="shared" si="2"/>
        <v>"%USERPROFILE%\Documents\GitHub\eaglep3\Utilities\RefineRTDCRunTimes.py" --tripid 118-18 --locoid 4019 --swversion DE.1.0.7.0 --startMP 204:232990 --initTime 2016-09-18T06:38:04 --startdatetime 2016-09-18T06:41:16 --delay 1 --endMP 204:172 --enddatetime 2016-09-18T07:19:48 --enforcementcount 0 &gt;&gt;C:\Users\stu\Documents\GitHub\eaglep3-reporting\EC\2016-09-18-refined-times.txt</v>
      </c>
      <c r="AI30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{"issue":{"subject":"","project_id":79,"tracker_id":40,"status_id":1,"priority_id":2,"assigned_to_id":23,"start_date":"2016-09-18","description":"","custom_fields":[{"id":1,"name":"Subdivision","value":"EC"},{"id":4,"name":"Milepost","value":"0.0172"},{"id":17,"name":"Train ID","value":"118-18"},{"id":16,"name":"Locomotive ID","value":"4019"},{"id":130,"name":"Impact","value":""},{"id":150,"name":"Time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446</v>
      </c>
      <c r="B31" s="7">
        <v>4016</v>
      </c>
      <c r="C31" s="24" t="s">
        <v>106</v>
      </c>
      <c r="D31" s="24" t="s">
        <v>621</v>
      </c>
      <c r="E31" s="15">
        <v>42631.247430555559</v>
      </c>
      <c r="F31" s="15">
        <v>42631.250254629631</v>
      </c>
      <c r="G31" s="7">
        <v>1</v>
      </c>
      <c r="H31" s="15" t="s">
        <v>264</v>
      </c>
      <c r="I31" s="15">
        <v>42631.275370370371</v>
      </c>
      <c r="J31" s="7">
        <v>0</v>
      </c>
      <c r="K31" s="121" t="str">
        <f>IF(ISEVEN(B31),(B31-1)&amp;"/"&amp;B31,B31&amp;"/"&amp;(B31+1))</f>
        <v>4015/4016</v>
      </c>
      <c r="L31" s="24" t="str">
        <f>VLOOKUP(A31,'Trips&amp;Operators'!$C$1:$E$10000,3,FALSE)</f>
        <v>MAELZER</v>
      </c>
      <c r="M31" s="6">
        <f>I31-F31</f>
        <v>2.5115740740147885E-2</v>
      </c>
      <c r="N31" s="7">
        <f>24*60*SUM($M31:$M31)</f>
        <v>36.166666665812954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https://search-rtdc-monitor-bjffxe2xuh6vdkpspy63sjmuny.us-east-1.es.amazonaws.com/_plugin/kibana/#/discover/Steve-Slow-Train-Analysis-(2080s-and-2083s)?_g=(refreshInterval:(display:Off,section:0,value:0),time:(from:'2016-09-18 04:56:18-0600',mode:absolute,to:'2016-09-18 07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31" s="54" t="str">
        <f>IF(AA31&lt;IF(AG31="EC",23,5.65),"Y","N")</f>
        <v>N</v>
      </c>
      <c r="X31" s="168">
        <f>VALUE(LEFT(AD31,4))-VALUE(LEFT(AD30,4))</f>
        <v>1</v>
      </c>
      <c r="Y31" s="69">
        <f>RIGHT(D31,LEN(D31)-4)/10000</f>
        <v>7.3400000000000007E-2</v>
      </c>
      <c r="Z31" s="69">
        <f>RIGHT(H31,LEN(H31)-4)/10000</f>
        <v>23.3276</v>
      </c>
      <c r="AA31" s="69">
        <f>ABS(Z31-Y31)</f>
        <v>23.254200000000001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>IF(LEN(A31)=6,"0"&amp;A31,A31)</f>
        <v>0119-18</v>
      </c>
      <c r="AE31" s="99" t="str">
        <f>"aws s3 cp "&amp;s3_bucket&amp;"/RTDC"&amp;B31&amp;"/"&amp;TEXT(F31,"YYYY-MM-DD")&amp;"/ "&amp;search_path&amp;"\RTDC"&amp;B31&amp;"\"&amp;TEXT(F31,"YYYY-MM-DD")&amp;" --recursive &amp; """&amp;walkandungz&amp;""" "&amp;search_path&amp;"\RTDC"&amp;B31&amp;"\"&amp;TEXT(F31,"YYYY-MM-DD")
&amp;" &amp; "&amp;"aws s3 cp "&amp;s3_bucket&amp;"/RTDC"&amp;B31&amp;"/"&amp;TEXT(F31+1,"YYYY-MM-DD")&amp;"/ "&amp;search_path&amp;"\RTDC"&amp;B31&amp;"\"&amp;TEXT(F31+1,"YYYY-MM-DD")&amp;" --recursive &amp; """&amp;walkandungz&amp;""" "&amp;search_path&amp;"\RTDC"&amp;B31&amp;"\"&amp;TEXT(F31+1,"YYYY-MM-DD")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31" s="96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/stypes="app*4016*20160918*" /stext=" 12:.+((SYSTEM_STATE.+slice.+state.+changed )|(ment ac)|(system.+state.+changed )|(\|lc)|(penalty)|(\[timeout)|(PRM\|1\|D)|(kpr)|(kdp))" /e /r /s</v>
      </c>
      <c r="AG31" s="1" t="str">
        <f>IFERROR(IF(VALUE(LEFT(AD31,2))&lt;=2,"EC",IF(OR(VALUE(LEFT(AD31,2))=8,VALUE(LEFT(AD31,2))=18),"NW","Other")),"Other")</f>
        <v>EC</v>
      </c>
      <c r="AH31" s="100" t="str">
        <f t="shared" si="2"/>
        <v>"%USERPROFILE%\Documents\GitHub\eaglep3\Utilities\RefineRTDCRunTimes.py" --tripid 119-18 --locoid 4016 --swversion DE.1.0.7.0 --startMP 204:734 --initTime 2016-09-18T05:56:18 --startdatetime 2016-09-18T06:00:22 --delay 1 --endMP 204:233276 --enddatetime 2016-09-18T06:36:32 --enforcementcount 0 &gt;&gt;C:\Users\stu\Documents\GitHub\eaglep3-reporting\EC\2016-09-18-refined-times.txt</v>
      </c>
      <c r="AI31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{"issue":{"subject":"","project_id":79,"tracker_id":40,"status_id":1,"priority_id":2,"assigned_to_id":23,"start_date":"2016-09-18","description":"","custom_fields":[{"id":1,"name":"Subdivision","value":"EC"},{"id":4,"name":"Milepost","value":"23.3276"},{"id":17,"name":"Train ID","value":"119-18"},{"id":16,"name":"Locomotive ID","value":"4016"},{"id":130,"name":"Impact","value":""},{"id":150,"name":"Time of Event (Mountain Time)","value":"06:36:32"},{"id":151,"name":"Denver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451</v>
      </c>
      <c r="B32" s="7">
        <v>4015</v>
      </c>
      <c r="C32" s="24" t="s">
        <v>106</v>
      </c>
      <c r="D32" s="24" t="s">
        <v>335</v>
      </c>
      <c r="E32" s="15">
        <v>42631.28460648148</v>
      </c>
      <c r="F32" s="15">
        <v>42631.289166666669</v>
      </c>
      <c r="G32" s="7">
        <v>1</v>
      </c>
      <c r="H32" s="15" t="s">
        <v>256</v>
      </c>
      <c r="I32" s="15">
        <v>42631.316435185188</v>
      </c>
      <c r="J32" s="7">
        <v>0</v>
      </c>
      <c r="K32" s="121" t="str">
        <f>IF(ISEVEN(B32),(B32-1)&amp;"/"&amp;B32,B32&amp;"/"&amp;(B32+1))</f>
        <v>4015/4016</v>
      </c>
      <c r="L32" s="24" t="str">
        <f>VLOOKUP(A32,'Trips&amp;Operators'!$C$1:$E$10000,3,FALSE)</f>
        <v>MAELZER</v>
      </c>
      <c r="M32" s="6">
        <f>I32-F32</f>
        <v>2.7268518519122154E-2</v>
      </c>
      <c r="N32" s="7">
        <f>24*60*SUM($M32:$M32)</f>
        <v>39.266666667535901</v>
      </c>
      <c r="O32" s="7"/>
      <c r="P32" s="7"/>
      <c r="Q32" s="25"/>
      <c r="R32" s="25"/>
      <c r="S32" s="37">
        <f>SUM(U32:U32)/IF(AG32="EC",12,1)</f>
        <v>1</v>
      </c>
      <c r="T32" s="52" t="str">
        <f>IF(ISEVEN(LEFT(AD32,4)),"Southbound","NorthBound")</f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https://search-rtdc-monitor-bjffxe2xuh6vdkpspy63sjmuny.us-east-1.es.amazonaws.com/_plugin/kibana/#/discover/Steve-Slow-Train-Analysis-(2080s-and-2083s)?_g=(refreshInterval:(display:Off,section:0,value:0),time:(from:'2016-09-18 05:49:50-0600',mode:absolute,to:'2016-09-18 08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2" s="54" t="str">
        <f>IF(AA32&lt;IF(AG32="EC",23,5.65),"Y","N")</f>
        <v>N</v>
      </c>
      <c r="X32" s="168">
        <f>VALUE(LEFT(AD32,4))-VALUE(LEFT(AD31,4))</f>
        <v>1</v>
      </c>
      <c r="Y32" s="69">
        <f>RIGHT(D32,LEN(D32)-4)/10000</f>
        <v>23.295100000000001</v>
      </c>
      <c r="Z32" s="69">
        <f>RIGHT(H32,LEN(H32)-4)/10000</f>
        <v>1.43E-2</v>
      </c>
      <c r="AA32" s="69">
        <f>ABS(Z32-Y32)</f>
        <v>23.280800000000003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>IF(LEN(A32)=6,"0"&amp;A32,A32)</f>
        <v>0120-18</v>
      </c>
      <c r="AE32" s="99" t="str">
        <f>"aws s3 cp "&amp;s3_bucket&amp;"/RTDC"&amp;B32&amp;"/"&amp;TEXT(F32,"YYYY-MM-DD")&amp;"/ "&amp;search_path&amp;"\RTDC"&amp;B32&amp;"\"&amp;TEXT(F32,"YYYY-MM-DD")&amp;" --recursive &amp; """&amp;walkandungz&amp;""" "&amp;search_path&amp;"\RTDC"&amp;B32&amp;"\"&amp;TEXT(F32,"YYYY-MM-DD")
&amp;" &amp; "&amp;"aws s3 cp "&amp;s3_bucket&amp;"/RTDC"&amp;B32&amp;"/"&amp;TEXT(F32+1,"YYYY-MM-DD")&amp;"/ "&amp;search_path&amp;"\RTDC"&amp;B32&amp;"\"&amp;TEXT(F32+1,"YYYY-MM-DD")&amp;" --recursive &amp; """&amp;walkandungz&amp;""" "&amp;search_path&amp;"\RTDC"&amp;B32&amp;"\"&amp;TEXT(F32+1,"YYYY-MM-DD")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32" s="96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/stypes="app*4015*20160918*" /stext=" 13:.+((SYSTEM_STATE.+slice.+state.+changed )|(ment ac)|(system.+state.+changed )|(\|lc)|(penalty)|(\[timeout)|(PRM\|1\|D)|(kpr)|(kdp))" /e /r /s</v>
      </c>
      <c r="AG32" s="1" t="str">
        <f>IFERROR(IF(VALUE(LEFT(AD32,2))&lt;=2,"EC",IF(OR(VALUE(LEFT(AD32,2))=8,VALUE(LEFT(AD32,2))=18),"NW","Other")),"Other")</f>
        <v>EC</v>
      </c>
      <c r="AH32" s="100" t="str">
        <f t="shared" si="2"/>
        <v>"%USERPROFILE%\Documents\GitHub\eaglep3\Utilities\RefineRTDCRunTimes.py" --tripid 120-18 --locoid 4015 --swversion DE.1.0.7.0 --startMP 204:232951 --initTime 2016-09-18T06:49:50 --startdatetime 2016-09-18T06:56:24 --delay 1 --endMP 204:143 --enddatetime 2016-09-18T07:35:40 --enforcementcount 0 &gt;&gt;C:\Users\stu\Documents\GitHub\eaglep3-reporting\EC\2016-09-18-refined-times.txt</v>
      </c>
      <c r="AI32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ID","value":"120-18"},{"id":16,"name":"Locomotive ID","value":"4015"},{"id":130,"name":"Impact","value":""},{"id":150,"name":"Time of Event (Mountain Time)","value":"07:35:40"},{"id":151,"name":"Denver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448</v>
      </c>
      <c r="B33" s="7">
        <v>4009</v>
      </c>
      <c r="C33" s="24" t="s">
        <v>106</v>
      </c>
      <c r="D33" s="24" t="s">
        <v>226</v>
      </c>
      <c r="E33" s="15">
        <v>42631.25744212963</v>
      </c>
      <c r="F33" s="15">
        <v>42631.260625000003</v>
      </c>
      <c r="G33" s="7">
        <v>1</v>
      </c>
      <c r="H33" s="15" t="s">
        <v>622</v>
      </c>
      <c r="I33" s="15">
        <v>42631.286574074074</v>
      </c>
      <c r="J33" s="7">
        <v>0</v>
      </c>
      <c r="K33" s="121" t="str">
        <f>IF(ISEVEN(B33),(B33-1)&amp;"/"&amp;B33,B33&amp;"/"&amp;(B33+1))</f>
        <v>4009/4010</v>
      </c>
      <c r="L33" s="24" t="str">
        <f>VLOOKUP(A33,'Trips&amp;Operators'!$C$1:$E$10000,3,FALSE)</f>
        <v>DAVIS</v>
      </c>
      <c r="M33" s="6">
        <f>I33-F33</f>
        <v>2.5949074071832001E-2</v>
      </c>
      <c r="N33" s="7">
        <f>24*60*SUM($M33:$M33)</f>
        <v>37.366666663438082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https://search-rtdc-monitor-bjffxe2xuh6vdkpspy63sjmuny.us-east-1.es.amazonaws.com/_plugin/kibana/#/discover/Steve-Slow-Train-Analysis-(2080s-and-2083s)?_g=(refreshInterval:(display:Off,section:0,value:0),time:(from:'2016-09-18 05:10:43-0600',mode:absolute,to:'2016-09-18 07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3" s="54" t="str">
        <f>IF(AA33&lt;IF(AG33="EC",23,5.65),"Y","N")</f>
        <v>N</v>
      </c>
      <c r="X33" s="168">
        <f>VALUE(LEFT(AD33,4))-VALUE(LEFT(AD32,4))</f>
        <v>1</v>
      </c>
      <c r="Y33" s="69">
        <f>RIGHT(D33,LEN(D33)-4)/10000</f>
        <v>4.5100000000000001E-2</v>
      </c>
      <c r="Z33" s="69">
        <f>RIGHT(H33,LEN(H33)-4)/10000</f>
        <v>23.3307</v>
      </c>
      <c r="AA33" s="69">
        <f>ABS(Z33-Y33)</f>
        <v>23.285599999999999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>IF(LEN(A33)=6,"0"&amp;A33,A33)</f>
        <v>0121-18</v>
      </c>
      <c r="AE33" s="99" t="str">
        <f>"aws s3 cp "&amp;s3_bucket&amp;"/RTDC"&amp;B33&amp;"/"&amp;TEXT(F33,"YYYY-MM-DD")&amp;"/ "&amp;search_path&amp;"\RTDC"&amp;B33&amp;"\"&amp;TEXT(F33,"YYYY-MM-DD")&amp;" --recursive &amp; """&amp;walkandungz&amp;""" "&amp;search_path&amp;"\RTDC"&amp;B33&amp;"\"&amp;TEXT(F33,"YYYY-MM-DD")
&amp;" &amp; "&amp;"aws s3 cp "&amp;s3_bucket&amp;"/RTDC"&amp;B33&amp;"/"&amp;TEXT(F33+1,"YYYY-MM-DD")&amp;"/ "&amp;search_path&amp;"\RTDC"&amp;B33&amp;"\"&amp;TEXT(F33+1,"YYYY-MM-DD")&amp;" --recursive &amp; """&amp;walkandungz&amp;""" "&amp;search_path&amp;"\RTDC"&amp;B33&amp;"\"&amp;TEXT(F33+1,"YYYY-MM-DD")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33" s="96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/stypes="app*4009*20160918*" /stext=" 12:.+((SYSTEM_STATE.+slice.+state.+changed )|(ment ac)|(system.+state.+changed )|(\|lc)|(penalty)|(\[timeout)|(PRM\|1\|D)|(kpr)|(kdp))" /e /r /s</v>
      </c>
      <c r="AG33" s="1" t="str">
        <f>IFERROR(IF(VALUE(LEFT(AD33,2))&lt;=2,"EC",IF(OR(VALUE(LEFT(AD33,2))=8,VALUE(LEFT(AD33,2))=18),"NW","Other")),"Other")</f>
        <v>EC</v>
      </c>
      <c r="AH33" s="100" t="str">
        <f t="shared" si="2"/>
        <v>"%USERPROFILE%\Documents\GitHub\eaglep3\Utilities\RefineRTDCRunTimes.py" --tripid 121-18 --locoid 4009 --swversion DE.1.0.7.0 --startMP 204:451 --initTime 2016-09-18T06:10:43 --startdatetime 2016-09-18T06:15:18 --delay 1 --endMP 204:233307 --enddatetime 2016-09-18T06:52:40 --enforcementcount 0 &gt;&gt;C:\Users\stu\Documents\GitHub\eaglep3-reporting\EC\2016-09-18-refined-times.txt</v>
      </c>
      <c r="AI33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{"issue":{"subject":"","project_id":79,"tracker_id":40,"status_id":1,"priority_id":2,"assigned_to_id":23,"start_date":"2016-09-18","description":"","custom_fields":[{"id":1,"name":"Subdivision","value":"EC"},{"id":4,"name":"Milepost","value":"23.3307"},{"id":17,"name":"Train ID","value":"121-18"},{"id":16,"name":"Locomotive ID","value":"4009"},{"id":130,"name":"Impact","value":""},{"id":150,"name":"Time of Event (Mountain Time)","value":"06:52:40"},{"id":151,"name":"Denver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453</v>
      </c>
      <c r="B34" s="7">
        <v>4010</v>
      </c>
      <c r="C34" s="24" t="s">
        <v>106</v>
      </c>
      <c r="D34" s="24" t="s">
        <v>241</v>
      </c>
      <c r="E34" s="15">
        <v>42631.293020833335</v>
      </c>
      <c r="F34" s="15">
        <v>42631.299467592595</v>
      </c>
      <c r="G34" s="7">
        <v>1</v>
      </c>
      <c r="H34" s="15" t="s">
        <v>222</v>
      </c>
      <c r="I34" s="15">
        <v>42631.328981481478</v>
      </c>
      <c r="J34" s="7">
        <v>0</v>
      </c>
      <c r="K34" s="121" t="str">
        <f>IF(ISEVEN(B34),(B34-1)&amp;"/"&amp;B34,B34&amp;"/"&amp;(B34+1))</f>
        <v>4009/4010</v>
      </c>
      <c r="L34" s="24" t="str">
        <f>VLOOKUP(A34,'Trips&amp;Operators'!$C$1:$E$10000,3,FALSE)</f>
        <v>DAVIS</v>
      </c>
      <c r="M34" s="6">
        <f>I34-F34</f>
        <v>2.9513888883229811E-2</v>
      </c>
      <c r="N34" s="7">
        <f>24*60*SUM($M34:$M34)</f>
        <v>42.499999991850927</v>
      </c>
      <c r="O34" s="7"/>
      <c r="P34" s="7"/>
      <c r="Q34" s="25"/>
      <c r="R34" s="25"/>
      <c r="S34" s="37">
        <f>SUM(U34:U34)/IF(AG34="EC",12,1)</f>
        <v>1</v>
      </c>
      <c r="T34" s="52" t="str">
        <f>IF(ISEVEN(LEFT(AD34,4)),"Southbound","NorthBound")</f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https://search-rtdc-monitor-bjffxe2xuh6vdkpspy63sjmuny.us-east-1.es.amazonaws.com/_plugin/kibana/#/discover/Steve-Slow-Train-Analysis-(2080s-and-2083s)?_g=(refreshInterval:(display:Off,section:0,value:0),time:(from:'2016-09-18 06:01:57-0600',mode:absolute,to:'2016-09-18 08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4" s="54" t="str">
        <f>IF(AA34&lt;IF(AG34="EC",23,5.65),"Y","N")</f>
        <v>N</v>
      </c>
      <c r="X34" s="168">
        <f>VALUE(LEFT(AD34,4))-VALUE(LEFT(AD33,4))</f>
        <v>1</v>
      </c>
      <c r="Y34" s="69">
        <f>RIGHT(D34,LEN(D34)-4)/10000</f>
        <v>23.297999999999998</v>
      </c>
      <c r="Z34" s="69">
        <f>RIGHT(H34,LEN(H34)-4)/10000</f>
        <v>1.52E-2</v>
      </c>
      <c r="AA34" s="69">
        <f>ABS(Z34-Y34)</f>
        <v>23.282799999999998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>IF(LEN(A34)=6,"0"&amp;A34,A34)</f>
        <v>0122-18</v>
      </c>
      <c r="AE34" s="99" t="str">
        <f>"aws s3 cp "&amp;s3_bucket&amp;"/RTDC"&amp;B34&amp;"/"&amp;TEXT(F34,"YYYY-MM-DD")&amp;"/ "&amp;search_path&amp;"\RTDC"&amp;B34&amp;"\"&amp;TEXT(F34,"YYYY-MM-DD")&amp;" --recursive &amp; """&amp;walkandungz&amp;""" "&amp;search_path&amp;"\RTDC"&amp;B34&amp;"\"&amp;TEXT(F34,"YYYY-MM-DD")
&amp;" &amp; "&amp;"aws s3 cp "&amp;s3_bucket&amp;"/RTDC"&amp;B34&amp;"/"&amp;TEXT(F34+1,"YYYY-MM-DD")&amp;"/ "&amp;search_path&amp;"\RTDC"&amp;B34&amp;"\"&amp;TEXT(F34+1,"YYYY-MM-DD")&amp;" --recursive &amp; """&amp;walkandungz&amp;""" "&amp;search_path&amp;"\RTDC"&amp;B34&amp;"\"&amp;TEXT(F34+1,"YYYY-MM-DD")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34" s="96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/stypes="app*4010*20160918*" /stext=" 13:.+((SYSTEM_STATE.+slice.+state.+changed )|(ment ac)|(system.+state.+changed )|(\|lc)|(penalty)|(\[timeout)|(PRM\|1\|D)|(kpr)|(kdp))" /e /r /s</v>
      </c>
      <c r="AG34" s="1" t="str">
        <f>IFERROR(IF(VALUE(LEFT(AD34,2))&lt;=2,"EC",IF(OR(VALUE(LEFT(AD34,2))=8,VALUE(LEFT(AD34,2))=18),"NW","Other")),"Other")</f>
        <v>EC</v>
      </c>
      <c r="AH34" s="100" t="str">
        <f t="shared" si="2"/>
        <v>"%USERPROFILE%\Documents\GitHub\eaglep3\Utilities\RefineRTDCRunTimes.py" --tripid 122-18 --locoid 4010 --swversion DE.1.0.7.0 --startMP 204:232980 --initTime 2016-09-18T07:01:57 --startdatetime 2016-09-18T07:11:14 --delay 1 --endMP 204:152 --enddatetime 2016-09-18T07:53:44 --enforcementcount 0 &gt;&gt;C:\Users\stu\Documents\GitHub\eaglep3-reporting\EC\2016-09-18-refined-times.txt</v>
      </c>
      <c r="AI34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ID","value":"122-18"},{"id":16,"name":"Locomotive ID","value":"4010"},{"id":130,"name":"Impact","value":""},{"id":150,"name":"Time of Event (Mountain Time)","value":"07:53:44"},{"id":151,"name":"Denver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399</v>
      </c>
      <c r="B35" s="7">
        <v>4003</v>
      </c>
      <c r="C35" s="24" t="s">
        <v>106</v>
      </c>
      <c r="D35" s="24" t="s">
        <v>233</v>
      </c>
      <c r="E35" s="15">
        <v>42631.269780092596</v>
      </c>
      <c r="F35" s="15">
        <v>42631.271145833336</v>
      </c>
      <c r="G35" s="7">
        <v>0</v>
      </c>
      <c r="H35" s="15" t="s">
        <v>250</v>
      </c>
      <c r="I35" s="15">
        <v>42631.296851851854</v>
      </c>
      <c r="J35" s="7">
        <v>0</v>
      </c>
      <c r="K35" s="121" t="str">
        <f>IF(ISEVEN(B35),(B35-1)&amp;"/"&amp;B35,B35&amp;"/"&amp;(B35+1))</f>
        <v>4003/4004</v>
      </c>
      <c r="L35" s="24" t="str">
        <f>VLOOKUP(A35,'Trips&amp;Operators'!$C$1:$E$10000,3,FALSE)</f>
        <v>MALAVE</v>
      </c>
      <c r="M35" s="6">
        <f>I35-F35</f>
        <v>2.5706018517666962E-2</v>
      </c>
      <c r="N35" s="7">
        <f>24*60*SUM($M35:$M35)</f>
        <v>37.016666665440425</v>
      </c>
      <c r="O35" s="7"/>
      <c r="P35" s="7"/>
      <c r="Q35" s="25"/>
      <c r="R35" s="25"/>
      <c r="S35" s="37">
        <f>SUM(U35:U35)/IF(AG35="EC",12,1)</f>
        <v>1</v>
      </c>
      <c r="T35" s="52" t="str">
        <f>IF(ISEVEN(LEFT(AD35,4)),"Southbound","NorthBound")</f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https://search-rtdc-monitor-bjffxe2xuh6vdkpspy63sjmuny.us-east-1.es.amazonaws.com/_plugin/kibana/#/discover/Steve-Slow-Train-Analysis-(2080s-and-2083s)?_g=(refreshInterval:(display:Off,section:0,value:0),time:(from:'2016-09-18 05:28:29-0600',mode:absolute,to:'2016-09-18 08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5" s="54" t="str">
        <f>IF(AA35&lt;IF(AG35="EC",23,5.65),"Y","N")</f>
        <v>N</v>
      </c>
      <c r="X35" s="168">
        <f>VALUE(LEFT(AD35,4))-VALUE(LEFT(AD34,4))</f>
        <v>1</v>
      </c>
      <c r="Y35" s="69">
        <f>RIGHT(D35,LEN(D35)-4)/10000</f>
        <v>4.6399999999999997E-2</v>
      </c>
      <c r="Z35" s="69">
        <f>RIGHT(H35,LEN(H35)-4)/10000</f>
        <v>23.3278</v>
      </c>
      <c r="AA35" s="69">
        <f>ABS(Z35-Y35)</f>
        <v>23.281400000000001</v>
      </c>
      <c r="AB35" s="66" t="str">
        <f>VLOOKUP(A35,Enforcements!$C$7:$K$20,8,0)</f>
        <v>Speed (6)</v>
      </c>
      <c r="AC35" s="62" t="str">
        <f>VLOOKUP(A35,Enforcements!$C$7:$E$20,3,0)</f>
        <v>PERMANENT SPEED RESTRICTION</v>
      </c>
      <c r="AD35" s="63" t="str">
        <f>IF(LEN(A35)=6,"0"&amp;A35,A35)</f>
        <v>0123-18</v>
      </c>
      <c r="AE35" s="99" t="str">
        <f>"aws s3 cp "&amp;s3_bucket&amp;"/RTDC"&amp;B35&amp;"/"&amp;TEXT(F35,"YYYY-MM-DD")&amp;"/ "&amp;search_path&amp;"\RTDC"&amp;B35&amp;"\"&amp;TEXT(F35,"YYYY-MM-DD")&amp;" --recursive &amp; """&amp;walkandungz&amp;""" "&amp;search_path&amp;"\RTDC"&amp;B35&amp;"\"&amp;TEXT(F35,"YYYY-MM-DD")
&amp;" &amp; "&amp;"aws s3 cp "&amp;s3_bucket&amp;"/RTDC"&amp;B35&amp;"/"&amp;TEXT(F35+1,"YYYY-MM-DD")&amp;"/ "&amp;search_path&amp;"\RTDC"&amp;B35&amp;"\"&amp;TEXT(F35+1,"YYYY-MM-DD")&amp;" --recursive &amp; """&amp;walkandungz&amp;""" "&amp;search_path&amp;"\RTDC"&amp;B35&amp;"\"&amp;TEXT(F35+1,"YYYY-MM-DD")</f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35" s="96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/stypes="app*4003*20160918*" /stext=" 13:.+((SYSTEM_STATE.+slice.+state.+changed )|(ment ac)|(system.+state.+changed )|(\|lc)|(penalty)|(\[timeout)|(PRM\|1\|D)|(kpr)|(kdp))" /e /r /s</v>
      </c>
      <c r="AG35" s="1" t="str">
        <f>IFERROR(IF(VALUE(LEFT(AD35,2))&lt;=2,"EC",IF(OR(VALUE(LEFT(AD35,2))=8,VALUE(LEFT(AD35,2))=18),"NW","Other")),"Other")</f>
        <v>EC</v>
      </c>
      <c r="AH35" s="100" t="str">
        <f t="shared" si="2"/>
        <v>"%USERPROFILE%\Documents\GitHub\eaglep3\Utilities\RefineRTDCRunTimes.py" --tripid 123-18 --locoid 4003 --swversion DE.1.0.7.0 --startMP 204:464 --initTime 2016-09-18T06:28:29 --startdatetime 2016-09-18T06:30:27 --delay 0 --endMP 204:233278 --enddatetime 2016-09-18T07:07:28 --enforcementcount 0 &gt;&gt;C:\Users\stu\Documents\GitHub\eaglep3-reporting\EC\2016-09-18-refined-times.txt</v>
      </c>
      <c r="AI35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{"issue":{"subject":"","project_id":79,"tracker_id":40,"status_id":1,"priority_id":2,"assigned_to_id":23,"start_date":"2016-09-18","description":"","custom_fields":[{"id":1,"name":"Subdivision","value":"EC"},{"id":4,"name":"Milepost","value":"23.3278"},{"id":17,"name":"Train ID","value":"123-18"},{"id":16,"name":"Locomotive ID","value":"4003"},{"id":130,"name":"Impact","value":""},{"id":150,"name":"Time of Event (Mountain Time)","value":"07:07:28"},{"id":151,"name":"Denver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403</v>
      </c>
      <c r="B36" s="7">
        <v>4004</v>
      </c>
      <c r="C36" s="24" t="s">
        <v>106</v>
      </c>
      <c r="D36" s="24" t="s">
        <v>377</v>
      </c>
      <c r="E36" s="15">
        <v>42631.308287037034</v>
      </c>
      <c r="F36" s="15">
        <v>42631.309976851851</v>
      </c>
      <c r="G36" s="7">
        <v>1</v>
      </c>
      <c r="H36" s="15" t="s">
        <v>222</v>
      </c>
      <c r="I36" s="15">
        <v>42631.337384259263</v>
      </c>
      <c r="J36" s="7">
        <v>0</v>
      </c>
      <c r="K36" s="121" t="str">
        <f>IF(ISEVEN(B36),(B36-1)&amp;"/"&amp;B36,B36&amp;"/"&amp;(B36+1))</f>
        <v>4003/4004</v>
      </c>
      <c r="L36" s="24" t="str">
        <f>VLOOKUP(A36,'Trips&amp;Operators'!$C$1:$E$10000,3,FALSE)</f>
        <v>MALAVE</v>
      </c>
      <c r="M36" s="6">
        <f>I36-F36</f>
        <v>2.7407407411374152E-2</v>
      </c>
      <c r="N36" s="7">
        <f>24*60*SUM($M36:$M36)</f>
        <v>39.466666672378778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https://search-rtdc-monitor-bjffxe2xuh6vdkpspy63sjmuny.us-east-1.es.amazonaws.com/_plugin/kibana/#/discover/Steve-Slow-Train-Analysis-(2080s-and-2083s)?_g=(refreshInterval:(display:Off,section:0,value:0),time:(from:'2016-09-18 06:23:56-0600',mode:absolute,to:'2016-09-18 09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6" s="54" t="str">
        <f>IF(AA36&lt;IF(AG36="EC",23,5.65),"Y","N")</f>
        <v>N</v>
      </c>
      <c r="X36" s="168">
        <f>VALUE(LEFT(AD36,4))-VALUE(LEFT(AD35,4))</f>
        <v>1</v>
      </c>
      <c r="Y36" s="69">
        <f>RIGHT(D36,LEN(D36)-4)/10000</f>
        <v>23.296399999999998</v>
      </c>
      <c r="Z36" s="69">
        <f>RIGHT(H36,LEN(H36)-4)/10000</f>
        <v>1.52E-2</v>
      </c>
      <c r="AA36" s="69">
        <f>ABS(Z36-Y36)</f>
        <v>23.281199999999998</v>
      </c>
      <c r="AB36" s="66" t="str">
        <f>VLOOKUP(A36,Enforcements!$C$7:$K$20,8,0)</f>
        <v>Speed (6)</v>
      </c>
      <c r="AC36" s="62" t="str">
        <f>VLOOKUP(A36,Enforcements!$C$7:$E$20,3,0)</f>
        <v>PERMANENT SPEED RESTRICTION</v>
      </c>
      <c r="AD36" s="63" t="str">
        <f>IF(LEN(A36)=6,"0"&amp;A36,A36)</f>
        <v>0124-18</v>
      </c>
      <c r="AE36" s="99" t="str">
        <f>"aws s3 cp "&amp;s3_bucket&amp;"/RTDC"&amp;B36&amp;"/"&amp;TEXT(F36,"YYYY-MM-DD")&amp;"/ "&amp;search_path&amp;"\RTDC"&amp;B36&amp;"\"&amp;TEXT(F36,"YYYY-MM-DD")&amp;" --recursive &amp; """&amp;walkandungz&amp;""" "&amp;search_path&amp;"\RTDC"&amp;B36&amp;"\"&amp;TEXT(F36,"YYYY-MM-DD")
&amp;" &amp; "&amp;"aws s3 cp "&amp;s3_bucket&amp;"/RTDC"&amp;B36&amp;"/"&amp;TEXT(F36+1,"YYYY-MM-DD")&amp;"/ "&amp;search_path&amp;"\RTDC"&amp;B36&amp;"\"&amp;TEXT(F36+1,"YYYY-MM-DD")&amp;" --recursive &amp; """&amp;walkandungz&amp;""" "&amp;search_path&amp;"\RTDC"&amp;B36&amp;"\"&amp;TEXT(F36+1,"YYYY-MM-DD")</f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36" s="96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/stypes="app*4004*20160918*" /stext=" 14:.+((SYSTEM_STATE.+slice.+state.+changed )|(ment ac)|(system.+state.+changed )|(\|lc)|(penalty)|(\[timeout)|(PRM\|1\|D)|(kpr)|(kdp))" /e /r /s</v>
      </c>
      <c r="AG36" s="1" t="str">
        <f>IFERROR(IF(VALUE(LEFT(AD36,2))&lt;=2,"EC",IF(OR(VALUE(LEFT(AD36,2))=8,VALUE(LEFT(AD36,2))=18),"NW","Other")),"Other")</f>
        <v>EC</v>
      </c>
      <c r="AH36" s="100" t="str">
        <f t="shared" si="2"/>
        <v>"%USERPROFILE%\Documents\GitHub\eaglep3\Utilities\RefineRTDCRunTimes.py" --tripid 124-18 --locoid 4004 --swversion DE.1.0.7.0 --startMP 204:232964 --initTime 2016-09-18T07:23:56 --startdatetime 2016-09-18T07:26:22 --delay 1 --endMP 204:152 --enddatetime 2016-09-18T08:05:50 --enforcementcount 0 &gt;&gt;C:\Users\stu\Documents\GitHub\eaglep3-reporting\EC\2016-09-18-refined-times.txt</v>
      </c>
      <c r="AI36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ID","value":"124-18"},{"id":16,"name":"Locomotive ID","value":"4004"},{"id":130,"name":"Impact","value":""},{"id":150,"name":"Time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6.5" customHeight="1" x14ac:dyDescent="0.25">
      <c r="A37" s="39" t="s">
        <v>398</v>
      </c>
      <c r="B37" s="7">
        <v>4044</v>
      </c>
      <c r="C37" s="24" t="s">
        <v>106</v>
      </c>
      <c r="D37" s="24" t="s">
        <v>227</v>
      </c>
      <c r="E37" s="15">
        <v>42631.276006944441</v>
      </c>
      <c r="F37" s="15">
        <v>42631.281631944446</v>
      </c>
      <c r="G37" s="7">
        <v>2</v>
      </c>
      <c r="H37" s="15" t="s">
        <v>221</v>
      </c>
      <c r="I37" s="15">
        <v>42631.308888888889</v>
      </c>
      <c r="J37" s="7">
        <v>0</v>
      </c>
      <c r="K37" s="121" t="str">
        <f>IF(ISEVEN(B37),(B37-1)&amp;"/"&amp;B37,B37&amp;"/"&amp;(B37+1))</f>
        <v>4043/4044</v>
      </c>
      <c r="L37" s="24" t="str">
        <f>VLOOKUP(A37,'Trips&amp;Operators'!$C$1:$E$10000,3,FALSE)</f>
        <v>STRICKLAND</v>
      </c>
      <c r="M37" s="6">
        <f>I37-F37</f>
        <v>2.7256944442342501E-2</v>
      </c>
      <c r="N37" s="7">
        <f>24*60*SUM($M37:$M37)</f>
        <v>39.249999996973202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https://search-rtdc-monitor-bjffxe2xuh6vdkpspy63sjmuny.us-east-1.es.amazonaws.com/_plugin/kibana/#/discover/Steve-Slow-Train-Analysis-(2080s-and-2083s)?_g=(refreshInterval:(display:Off,section:0,value:0),time:(from:'2016-09-18 05:37:27-0600',mode:absolute,to:'2016-09-18 08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7" s="54" t="str">
        <f>IF(AA37&lt;IF(AG37="EC",23,5.65),"Y","N")</f>
        <v>N</v>
      </c>
      <c r="X37" s="168">
        <f>VALUE(LEFT(AD37,4))-VALUE(LEFT(AD36,4))</f>
        <v>1</v>
      </c>
      <c r="Y37" s="69">
        <f>RIGHT(D37,LEN(D37)-4)/10000</f>
        <v>4.5499999999999999E-2</v>
      </c>
      <c r="Z37" s="69">
        <f>RIGHT(H37,LEN(H37)-4)/10000</f>
        <v>23.3291</v>
      </c>
      <c r="AA37" s="69">
        <f>ABS(Z37-Y37)</f>
        <v>23.2836</v>
      </c>
      <c r="AB37" s="66" t="str">
        <f>VLOOKUP(A37,Enforcements!$C$7:$K$20,8,0)</f>
        <v>Speed (6)</v>
      </c>
      <c r="AC37" s="62" t="str">
        <f>VLOOKUP(A37,Enforcements!$C$7:$E$20,3,0)</f>
        <v>PERMANENT SPEED RESTRICTION</v>
      </c>
      <c r="AD37" s="63" t="str">
        <f>IF(LEN(A37)=6,"0"&amp;A37,A37)</f>
        <v>0125-18</v>
      </c>
      <c r="AE37" s="99" t="str">
        <f>"aws s3 cp "&amp;s3_bucket&amp;"/RTDC"&amp;B37&amp;"/"&amp;TEXT(F37,"YYYY-MM-DD")&amp;"/ "&amp;search_path&amp;"\RTDC"&amp;B37&amp;"\"&amp;TEXT(F37,"YYYY-MM-DD")&amp;" --recursive &amp; """&amp;walkandungz&amp;""" "&amp;search_path&amp;"\RTDC"&amp;B37&amp;"\"&amp;TEXT(F37,"YYYY-MM-DD")
&amp;" &amp; "&amp;"aws s3 cp "&amp;s3_bucket&amp;"/RTDC"&amp;B37&amp;"/"&amp;TEXT(F37+1,"YYYY-MM-DD")&amp;"/ "&amp;search_path&amp;"\RTDC"&amp;B37&amp;"\"&amp;TEXT(F37+1,"YYYY-MM-DD")&amp;" --recursive &amp; """&amp;walkandungz&amp;""" "&amp;search_path&amp;"\RTDC"&amp;B37&amp;"\"&amp;TEXT(F37+1,"YYYY-MM-DD")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37" s="96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/stypes="app*4044*20160918*" /stext=" 13:.+((SYSTEM_STATE.+slice.+state.+changed )|(ment ac)|(system.+state.+changed )|(\|lc)|(penalty)|(\[timeout)|(PRM\|1\|D)|(kpr)|(kdp))" /e /r /s</v>
      </c>
      <c r="AG37" s="1" t="str">
        <f>IFERROR(IF(VALUE(LEFT(AD37,2))&lt;=2,"EC",IF(OR(VALUE(LEFT(AD37,2))=8,VALUE(LEFT(AD37,2))=18),"NW","Other")),"Other")</f>
        <v>EC</v>
      </c>
      <c r="AH37" s="100" t="str">
        <f t="shared" si="2"/>
        <v>"%USERPROFILE%\Documents\GitHub\eaglep3\Utilities\RefineRTDCRunTimes.py" --tripid 125-18 --locoid 4044 --swversion DE.1.0.7.0 --startMP 204:455 --initTime 2016-09-18T06:37:27 --startdatetime 2016-09-18T06:45:33 --delay 2 --endMP 204:233291 --enddatetime 2016-09-18T07:24:48 --enforcementcount 0 &gt;&gt;C:\Users\stu\Documents\GitHub\eaglep3-reporting\EC\2016-09-18-refined-times.txt</v>
      </c>
      <c r="AI37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ID","value":"125-18"},{"id":16,"name":"Locomotive ID","value":"4044"},{"id":130,"name":"Impact","value":""},{"id":150,"name":"Time of Event (Mountain Time)","value":"07:24:48"},{"id":151,"name":"Denver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457</v>
      </c>
      <c r="B38" s="7">
        <v>4043</v>
      </c>
      <c r="C38" s="24" t="s">
        <v>106</v>
      </c>
      <c r="D38" s="24" t="s">
        <v>623</v>
      </c>
      <c r="E38" s="15">
        <v>42631.317199074074</v>
      </c>
      <c r="F38" s="15">
        <v>42631.320381944446</v>
      </c>
      <c r="G38" s="7">
        <v>1</v>
      </c>
      <c r="H38" s="15" t="s">
        <v>217</v>
      </c>
      <c r="I38" s="15">
        <v>42631.347812499997</v>
      </c>
      <c r="J38" s="7">
        <v>0</v>
      </c>
      <c r="K38" s="121" t="str">
        <f>IF(ISEVEN(B38),(B38-1)&amp;"/"&amp;B38,B38&amp;"/"&amp;(B38+1))</f>
        <v>4043/4044</v>
      </c>
      <c r="L38" s="24" t="str">
        <f>VLOOKUP(A38,'Trips&amp;Operators'!$C$1:$E$10000,3,FALSE)</f>
        <v>STRICKLAND</v>
      </c>
      <c r="M38" s="6">
        <f>I38-F38</f>
        <v>2.7430555550381541E-2</v>
      </c>
      <c r="N38" s="7">
        <f>24*60*SUM($M38:$M38)</f>
        <v>39.499999992549419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https://search-rtdc-monitor-bjffxe2xuh6vdkpspy63sjmuny.us-east-1.es.amazonaws.com/_plugin/kibana/#/discover/Steve-Slow-Train-Analysis-(2080s-and-2083s)?_g=(refreshInterval:(display:Off,section:0,value:0),time:(from:'2016-09-18 06:36:46-0600',mode:absolute,to:'2016-09-18 09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8" s="54" t="str">
        <f>IF(AA38&lt;IF(AG38="EC",23,5.65),"Y","N")</f>
        <v>N</v>
      </c>
      <c r="X38" s="168">
        <f>VALUE(LEFT(AD38,4))-VALUE(LEFT(AD37,4))</f>
        <v>1</v>
      </c>
      <c r="Y38" s="69">
        <f>RIGHT(D38,LEN(D38)-4)/10000</f>
        <v>23.298200000000001</v>
      </c>
      <c r="Z38" s="69">
        <f>RIGHT(H38,LEN(H38)-4)/10000</f>
        <v>1.5800000000000002E-2</v>
      </c>
      <c r="AA38" s="69">
        <f>ABS(Z38-Y38)</f>
        <v>23.282400000000003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>IF(LEN(A38)=6,"0"&amp;A38,A38)</f>
        <v>0126-18</v>
      </c>
      <c r="AE38" s="99" t="str">
        <f>"aws s3 cp "&amp;s3_bucket&amp;"/RTDC"&amp;B38&amp;"/"&amp;TEXT(F38,"YYYY-MM-DD")&amp;"/ "&amp;search_path&amp;"\RTDC"&amp;B38&amp;"\"&amp;TEXT(F38,"YYYY-MM-DD")&amp;" --recursive &amp; """&amp;walkandungz&amp;""" "&amp;search_path&amp;"\RTDC"&amp;B38&amp;"\"&amp;TEXT(F38,"YYYY-MM-DD")
&amp;" &amp; "&amp;"aws s3 cp "&amp;s3_bucket&amp;"/RTDC"&amp;B38&amp;"/"&amp;TEXT(F38+1,"YYYY-MM-DD")&amp;"/ "&amp;search_path&amp;"\RTDC"&amp;B38&amp;"\"&amp;TEXT(F38+1,"YYYY-MM-DD")&amp;" --recursive &amp; """&amp;walkandungz&amp;""" "&amp;search_path&amp;"\RTDC"&amp;B38&amp;"\"&amp;TEXT(F38+1,"YYYY-MM-DD")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38" s="96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/stypes="app*4043*20160918*" /stext=" 14:.+((SYSTEM_STATE.+slice.+state.+changed )|(ment ac)|(system.+state.+changed )|(\|lc)|(penalty)|(\[timeout)|(PRM\|1\|D)|(kpr)|(kdp))" /e /r /s</v>
      </c>
      <c r="AG38" s="1" t="str">
        <f>IFERROR(IF(VALUE(LEFT(AD38,2))&lt;=2,"EC",IF(OR(VALUE(LEFT(AD38,2))=8,VALUE(LEFT(AD38,2))=18),"NW","Other")),"Other")</f>
        <v>EC</v>
      </c>
      <c r="AH38" s="100" t="str">
        <f t="shared" si="2"/>
        <v>"%USERPROFILE%\Documents\GitHub\eaglep3\Utilities\RefineRTDCRunTimes.py" --tripid 126-18 --locoid 4043 --swversion DE.1.0.7.0 --startMP 204:232982 --initTime 2016-09-18T07:36:46 --startdatetime 2016-09-18T07:41:21 --delay 1 --endMP 204:158 --enddatetime 2016-09-18T08:20:51 --enforcementcount 0 &gt;&gt;C:\Users\stu\Documents\GitHub\eaglep3-reporting\EC\2016-09-18-refined-times.txt</v>
      </c>
      <c r="AI38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ID","value":"126-18"},{"id":16,"name":"Locomotive ID","value":"4043"},{"id":130,"name":"Impact","value":""},{"id":150,"name":"Time of Event (Mountain Time)","value":"08:20:51"},{"id":151,"name":"Denver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31" customFormat="1" x14ac:dyDescent="0.25">
      <c r="A39" s="39" t="s">
        <v>452</v>
      </c>
      <c r="B39" s="7">
        <v>4038</v>
      </c>
      <c r="C39" s="24" t="s">
        <v>106</v>
      </c>
      <c r="D39" s="24" t="s">
        <v>251</v>
      </c>
      <c r="E39" s="15">
        <v>42631.286631944444</v>
      </c>
      <c r="F39" s="15">
        <v>42631.292002314818</v>
      </c>
      <c r="G39" s="7">
        <v>1</v>
      </c>
      <c r="H39" s="15" t="s">
        <v>624</v>
      </c>
      <c r="I39" s="15">
        <v>42631.317418981482</v>
      </c>
      <c r="J39" s="7">
        <v>0</v>
      </c>
      <c r="K39" s="121" t="str">
        <f>IF(ISEVEN(B39),(B39-1)&amp;"/"&amp;B39,B39&amp;"/"&amp;(B39+1))</f>
        <v>4037/4038</v>
      </c>
      <c r="L39" s="24" t="str">
        <f>VLOOKUP(A39,'Trips&amp;Operators'!$C$1:$E$10000,3,FALSE)</f>
        <v>KILLION</v>
      </c>
      <c r="M39" s="6">
        <f>I39-F39</f>
        <v>2.5416666663659271E-2</v>
      </c>
      <c r="N39" s="7">
        <f>24*60*SUM($M39:$M39)</f>
        <v>36.59999999566935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https://search-rtdc-monitor-bjffxe2xuh6vdkpspy63sjmuny.us-east-1.es.amazonaws.com/_plugin/kibana/#/discover/Steve-Slow-Train-Analysis-(2080s-and-2083s)?_g=(refreshInterval:(display:Off,section:0,value:0),time:(from:'2016-09-18 05:52:45-0600',mode:absolute,to:'2016-09-18 08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39" s="54" t="str">
        <f>IF(AA39&lt;IF(AG39="EC",23,5.65),"Y","N")</f>
        <v>N</v>
      </c>
      <c r="X39" s="168">
        <f>VALUE(LEFT(AD39,4))-VALUE(LEFT(AD38,4))</f>
        <v>1</v>
      </c>
      <c r="Y39" s="69">
        <f>RIGHT(D39,LEN(D39)-4)/10000</f>
        <v>4.6199999999999998E-2</v>
      </c>
      <c r="Z39" s="69">
        <f>RIGHT(H39,LEN(H39)-4)/10000</f>
        <v>23.3249</v>
      </c>
      <c r="AA39" s="69">
        <f>ABS(Z39-Y39)</f>
        <v>23.278700000000001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>IF(LEN(A39)=6,"0"&amp;A39,A39)</f>
        <v>0127-18</v>
      </c>
      <c r="AE39" s="99" t="str">
        <f>"aws s3 cp "&amp;s3_bucket&amp;"/RTDC"&amp;B39&amp;"/"&amp;TEXT(F39,"YYYY-MM-DD")&amp;"/ "&amp;search_path&amp;"\RTDC"&amp;B39&amp;"\"&amp;TEXT(F39,"YYYY-MM-DD")&amp;" --recursive &amp; """&amp;walkandungz&amp;""" "&amp;search_path&amp;"\RTDC"&amp;B39&amp;"\"&amp;TEXT(F39,"YYYY-MM-DD")
&amp;" &amp; "&amp;"aws s3 cp "&amp;s3_bucket&amp;"/RTDC"&amp;B39&amp;"/"&amp;TEXT(F39+1,"YYYY-MM-DD")&amp;"/ "&amp;search_path&amp;"\RTDC"&amp;B39&amp;"\"&amp;TEXT(F39+1,"YYYY-MM-DD")&amp;" --recursive &amp; """&amp;walkandungz&amp;""" "&amp;search_path&amp;"\RTDC"&amp;B39&amp;"\"&amp;TEXT(F39+1,"YYYY-MM-DD")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39" s="96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/stypes="app*4038*20160918*" /stext=" 13:.+((SYSTEM_STATE.+slice.+state.+changed )|(ment ac)|(system.+state.+changed )|(\|lc)|(penalty)|(\[timeout)|(PRM\|1\|D)|(kpr)|(kdp))" /e /r /s</v>
      </c>
      <c r="AG39" s="1" t="str">
        <f>IFERROR(IF(VALUE(LEFT(AD39,2))&lt;=2,"EC",IF(OR(VALUE(LEFT(AD39,2))=8,VALUE(LEFT(AD39,2))=18),"NW","Other")),"Other")</f>
        <v>EC</v>
      </c>
      <c r="AH39" s="100" t="str">
        <f t="shared" si="2"/>
        <v>"%USERPROFILE%\Documents\GitHub\eaglep3\Utilities\RefineRTDCRunTimes.py" --tripid 127-18 --locoid 4038 --swversion DE.1.0.7.0 --startMP 204:462 --initTime 2016-09-18T06:52:45 --startdatetime 2016-09-18T07:00:29 --delay 1 --endMP 204:233249 --enddatetime 2016-09-18T07:37:05 --enforcementcount 0 &gt;&gt;C:\Users\stu\Documents\GitHub\eaglep3-reporting\EC\2016-09-18-refined-times.txt</v>
      </c>
      <c r="AI39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{"issue":{"subject":"","project_id":79,"tracker_id":40,"status_id":1,"priority_id":2,"assigned_to_id":23,"start_date":"2016-09-18","description":"","custom_fields":[{"id":1,"name":"Subdivision","value":"EC"},{"id":4,"name":"Milepost","value":"23.3249"},{"id":17,"name":"Train ID","value":"127-18"},{"id":16,"name":"Locomotive ID","value":"4038"},{"id":130,"name":"Impact","value":""},{"id":150,"name":"Time of Event (Mountain Time)","value":"07:37:05"},{"id":151,"name":"Denver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459</v>
      </c>
      <c r="B40" s="7">
        <v>4037</v>
      </c>
      <c r="C40" s="24" t="s">
        <v>106</v>
      </c>
      <c r="D40" s="24" t="s">
        <v>367</v>
      </c>
      <c r="E40" s="15">
        <v>42631.324537037035</v>
      </c>
      <c r="F40" s="15">
        <v>42631.331377314818</v>
      </c>
      <c r="G40" s="7">
        <v>1</v>
      </c>
      <c r="H40" s="15" t="s">
        <v>213</v>
      </c>
      <c r="I40" s="15">
        <v>42631.357627314814</v>
      </c>
      <c r="J40" s="7">
        <v>0</v>
      </c>
      <c r="K40" s="121" t="str">
        <f>IF(ISEVEN(B40),(B40-1)&amp;"/"&amp;B40,B40&amp;"/"&amp;(B40+1))</f>
        <v>4037/4038</v>
      </c>
      <c r="L40" s="24" t="str">
        <f>VLOOKUP(A40,'Trips&amp;Operators'!$C$1:$E$10000,3,FALSE)</f>
        <v>KILLION</v>
      </c>
      <c r="M40" s="6">
        <f>I40-F40</f>
        <v>2.6249999995343387E-2</v>
      </c>
      <c r="N40" s="7">
        <f>24*60*SUM($M40:$M40)</f>
        <v>37.799999993294477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https://search-rtdc-monitor-bjffxe2xuh6vdkpspy63sjmuny.us-east-1.es.amazonaws.com/_plugin/kibana/#/discover/Steve-Slow-Train-Analysis-(2080s-and-2083s)?_g=(refreshInterval:(display:Off,section:0,value:0),time:(from:'2016-09-18 06:47:20-0600',mode:absolute,to:'2016-09-18 09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0" s="54" t="str">
        <f>IF(AA40&lt;IF(AG40="EC",23,5.65),"Y","N")</f>
        <v>N</v>
      </c>
      <c r="X40" s="168">
        <f>VALUE(LEFT(AD40,4))-VALUE(LEFT(AD39,4))</f>
        <v>1</v>
      </c>
      <c r="Y40" s="69">
        <f>RIGHT(D40,LEN(D40)-4)/10000</f>
        <v>23.2942</v>
      </c>
      <c r="Z40" s="69">
        <f>RIGHT(H40,LEN(H40)-4)/10000</f>
        <v>1.49E-2</v>
      </c>
      <c r="AA40" s="69">
        <f>ABS(Z40-Y40)</f>
        <v>23.279299999999999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>IF(LEN(A40)=6,"0"&amp;A40,A40)</f>
        <v>0128-18</v>
      </c>
      <c r="AE40" s="99" t="str">
        <f>"aws s3 cp "&amp;s3_bucket&amp;"/RTDC"&amp;B40&amp;"/"&amp;TEXT(F40,"YYYY-MM-DD")&amp;"/ "&amp;search_path&amp;"\RTDC"&amp;B40&amp;"\"&amp;TEXT(F40,"YYYY-MM-DD")&amp;" --recursive &amp; """&amp;walkandungz&amp;""" "&amp;search_path&amp;"\RTDC"&amp;B40&amp;"\"&amp;TEXT(F40,"YYYY-MM-DD")
&amp;" &amp; "&amp;"aws s3 cp "&amp;s3_bucket&amp;"/RTDC"&amp;B40&amp;"/"&amp;TEXT(F40+1,"YYYY-MM-DD")&amp;"/ "&amp;search_path&amp;"\RTDC"&amp;B40&amp;"\"&amp;TEXT(F40+1,"YYYY-MM-DD")&amp;" --recursive &amp; """&amp;walkandungz&amp;""" "&amp;search_path&amp;"\RTDC"&amp;B40&amp;"\"&amp;TEXT(F40+1,"YYYY-MM-DD")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40" s="96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/stypes="app*4037*20160918*" /stext=" 14:.+((SYSTEM_STATE.+slice.+state.+changed )|(ment ac)|(system.+state.+changed )|(\|lc)|(penalty)|(\[timeout)|(PRM\|1\|D)|(kpr)|(kdp))" /e /r /s</v>
      </c>
      <c r="AG40" s="1" t="str">
        <f>IFERROR(IF(VALUE(LEFT(AD40,2))&lt;=2,"EC",IF(OR(VALUE(LEFT(AD40,2))=8,VALUE(LEFT(AD40,2))=18),"NW","Other")),"Other")</f>
        <v>EC</v>
      </c>
      <c r="AH40" s="100" t="str">
        <f t="shared" si="2"/>
        <v>"%USERPROFILE%\Documents\GitHub\eaglep3\Utilities\RefineRTDCRunTimes.py" --tripid 128-18 --locoid 4037 --swversion DE.1.0.7.0 --startMP 204:232942 --initTime 2016-09-18T07:47:20 --startdatetime 2016-09-18T07:57:11 --delay 1 --endMP 204:149 --enddatetime 2016-09-18T08:34:59 --enforcementcount 0 &gt;&gt;C:\Users\stu\Documents\GitHub\eaglep3-reporting\EC\2016-09-18-refined-times.txt</v>
      </c>
      <c r="AI40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{"issue":{"subject":"","project_id":79,"tracker_id":40,"status_id":1,"priority_id":2,"assigned_to_id":23,"start_date":"2016-09-18","description":"","custom_fields":[{"id":1,"name":"Subdivision","value":"EC"},{"id":4,"name":"Milepost","value":"0.0149"},{"id":17,"name":"Train ID","value":"128-18"},{"id":16,"name":"Locomotive ID","value":"4037"},{"id":130,"name":"Impact","value":""},{"id":150,"name":"Time of Event (Mountain Time)","value":"08:34:59"},{"id":151,"name":"Denver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454</v>
      </c>
      <c r="B41" s="7">
        <v>4027</v>
      </c>
      <c r="C41" s="24" t="s">
        <v>106</v>
      </c>
      <c r="D41" s="24" t="s">
        <v>216</v>
      </c>
      <c r="E41" s="15">
        <v>42631.295729166668</v>
      </c>
      <c r="F41" s="15">
        <v>42631.302256944444</v>
      </c>
      <c r="G41" s="7">
        <v>0</v>
      </c>
      <c r="H41" s="15" t="s">
        <v>625</v>
      </c>
      <c r="I41" s="15">
        <v>42631.326597222222</v>
      </c>
      <c r="J41" s="7">
        <v>0</v>
      </c>
      <c r="K41" s="121" t="str">
        <f>IF(ISEVEN(B41),(B41-1)&amp;"/"&amp;B41,B41&amp;"/"&amp;(B41+1))</f>
        <v>4027/4028</v>
      </c>
      <c r="L41" s="24" t="str">
        <f>VLOOKUP(A41,'Trips&amp;Operators'!$C$1:$E$10000,3,FALSE)</f>
        <v>YORK</v>
      </c>
      <c r="M41" s="6">
        <f>I41-F41</f>
        <v>2.4340277777810115E-2</v>
      </c>
      <c r="N41" s="7">
        <f>24*60*SUM($M41:$M41)</f>
        <v>35.050000000046566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https://search-rtdc-monitor-bjffxe2xuh6vdkpspy63sjmuny.us-east-1.es.amazonaws.com/_plugin/kibana/#/discover/Steve-Slow-Train-Analysis-(2080s-and-2083s)?_g=(refreshInterval:(display:Off,section:0,value:0),time:(from:'2016-09-18 06:05:51-0600',mode:absolute,to:'2016-09-18 08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1" s="54" t="str">
        <f>IF(AA41&lt;IF(AG41="EC",23,5.65),"Y","N")</f>
        <v>N</v>
      </c>
      <c r="X41" s="168">
        <f>VALUE(LEFT(AD41,4))-VALUE(LEFT(AD40,4))</f>
        <v>1</v>
      </c>
      <c r="Y41" s="69">
        <f>RIGHT(D41,LEN(D41)-4)/10000</f>
        <v>4.7100000000000003E-2</v>
      </c>
      <c r="Z41" s="69">
        <f>RIGHT(H41,LEN(H41)-4)/10000</f>
        <v>23.309000000000001</v>
      </c>
      <c r="AA41" s="69">
        <f>ABS(Z41-Y41)</f>
        <v>23.261900000000001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>IF(LEN(A41)=6,"0"&amp;A41,A41)</f>
        <v>0129-18</v>
      </c>
      <c r="AE41" s="99" t="str">
        <f>"aws s3 cp "&amp;s3_bucket&amp;"/RTDC"&amp;B41&amp;"/"&amp;TEXT(F41,"YYYY-MM-DD")&amp;"/ "&amp;search_path&amp;"\RTDC"&amp;B41&amp;"\"&amp;TEXT(F41,"YYYY-MM-DD")&amp;" --recursive &amp; """&amp;walkandungz&amp;""" "&amp;search_path&amp;"\RTDC"&amp;B41&amp;"\"&amp;TEXT(F41,"YYYY-MM-DD")
&amp;" &amp; "&amp;"aws s3 cp "&amp;s3_bucket&amp;"/RTDC"&amp;B41&amp;"/"&amp;TEXT(F41+1,"YYYY-MM-DD")&amp;"/ "&amp;search_path&amp;"\RTDC"&amp;B41&amp;"\"&amp;TEXT(F41+1,"YYYY-MM-DD")&amp;" --recursive &amp; """&amp;walkandungz&amp;""" "&amp;search_path&amp;"\RTDC"&amp;B41&amp;"\"&amp;TEXT(F41+1,"YYYY-MM-DD")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41" s="96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/stypes="app*4027*20160918*" /stext=" 13:.+((SYSTEM_STATE.+slice.+state.+changed )|(ment ac)|(system.+state.+changed )|(\|lc)|(penalty)|(\[timeout)|(PRM\|1\|D)|(kpr)|(kdp))" /e /r /s</v>
      </c>
      <c r="AG41" s="1" t="str">
        <f>IFERROR(IF(VALUE(LEFT(AD41,2))&lt;=2,"EC",IF(OR(VALUE(LEFT(AD41,2))=8,VALUE(LEFT(AD41,2))=18),"NW","Other")),"Other")</f>
        <v>EC</v>
      </c>
      <c r="AH41" s="100" t="str">
        <f t="shared" si="2"/>
        <v>"%USERPROFILE%\Documents\GitHub\eaglep3\Utilities\RefineRTDCRunTimes.py" --tripid 129-18 --locoid 4027 --swversion DE.1.0.7.0 --startMP 204:471 --initTime 2016-09-18T07:05:51 --startdatetime 2016-09-18T07:15:15 --delay 0 --endMP 204:233090 --enddatetime 2016-09-18T07:50:18 --enforcementcount 0 &gt;&gt;C:\Users\stu\Documents\GitHub\eaglep3-reporting\EC\2016-09-18-refined-times.txt</v>
      </c>
      <c r="AI41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{"issue":{"subject":"","project_id":79,"tracker_id":40,"status_id":1,"priority_id":2,"assigned_to_id":23,"start_date":"2016-09-18","description":"","custom_fields":[{"id":1,"name":"Subdivision","value":"EC"},{"id":4,"name":"Milepost","value":"23.309"},{"id":17,"name":"Train ID","value":"129-18"},{"id":16,"name":"Locomotive ID","value":"4027"},{"id":130,"name":"Impact","value":""},{"id":150,"name":"Time of Event (Mountain Time)","value":"07:50:18"},{"id":151,"name":"Denver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460</v>
      </c>
      <c r="B42" s="7">
        <v>4028</v>
      </c>
      <c r="C42" s="24" t="s">
        <v>106</v>
      </c>
      <c r="D42" s="24" t="s">
        <v>626</v>
      </c>
      <c r="E42" s="15">
        <v>42631.328414351854</v>
      </c>
      <c r="F42" s="15">
        <v>42631.341550925928</v>
      </c>
      <c r="G42" s="7">
        <v>1</v>
      </c>
      <c r="H42" s="15" t="s">
        <v>333</v>
      </c>
      <c r="I42" s="15">
        <v>42631.366956018515</v>
      </c>
      <c r="J42" s="7">
        <v>0</v>
      </c>
      <c r="K42" s="121" t="str">
        <f>IF(ISEVEN(B42),(B42-1)&amp;"/"&amp;B42,B42&amp;"/"&amp;(B42+1))</f>
        <v>4027/4028</v>
      </c>
      <c r="L42" s="24" t="str">
        <f>VLOOKUP(A42,'Trips&amp;Operators'!$C$1:$E$10000,3,FALSE)</f>
        <v>YORK</v>
      </c>
      <c r="M42" s="6">
        <f>I42-F42</f>
        <v>2.5405092586879618E-2</v>
      </c>
      <c r="N42" s="7">
        <f>24*60*SUM($M42:$M42)</f>
        <v>36.583333325106651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https://search-rtdc-monitor-bjffxe2xuh6vdkpspy63sjmuny.us-east-1.es.amazonaws.com/_plugin/kibana/#/discover/Steve-Slow-Train-Analysis-(2080s-and-2083s)?_g=(refreshInterval:(display:Off,section:0,value:0),time:(from:'2016-09-18 06:52:55-0600',mode:absolute,to:'2016-09-18 09:48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2" s="54" t="str">
        <f>IF(AA42&lt;IF(AG42="EC",23,5.65),"Y","N")</f>
        <v>N</v>
      </c>
      <c r="X42" s="168">
        <f>VALUE(LEFT(AD42,4))-VALUE(LEFT(AD41,4))</f>
        <v>1</v>
      </c>
      <c r="Y42" s="69">
        <f>RIGHT(D42,LEN(D42)-4)/10000</f>
        <v>23.290500000000002</v>
      </c>
      <c r="Z42" s="69">
        <f>RIGHT(H42,LEN(H42)-4)/10000</f>
        <v>1.6500000000000001E-2</v>
      </c>
      <c r="AA42" s="69">
        <f>ABS(Z42-Y42)</f>
        <v>23.274000000000001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>IF(LEN(A42)=6,"0"&amp;A42,A42)</f>
        <v>0130-18</v>
      </c>
      <c r="AE42" s="99" t="str">
        <f>"aws s3 cp "&amp;s3_bucket&amp;"/RTDC"&amp;B42&amp;"/"&amp;TEXT(F42,"YYYY-MM-DD")&amp;"/ "&amp;search_path&amp;"\RTDC"&amp;B42&amp;"\"&amp;TEXT(F42,"YYYY-MM-DD")&amp;" --recursive &amp; """&amp;walkandungz&amp;""" "&amp;search_path&amp;"\RTDC"&amp;B42&amp;"\"&amp;TEXT(F42,"YYYY-MM-DD")
&amp;" &amp; "&amp;"aws s3 cp "&amp;s3_bucket&amp;"/RTDC"&amp;B42&amp;"/"&amp;TEXT(F42+1,"YYYY-MM-DD")&amp;"/ "&amp;search_path&amp;"\RTDC"&amp;B42&amp;"\"&amp;TEXT(F42+1,"YYYY-MM-DD")&amp;" --recursive &amp; """&amp;walkandungz&amp;""" "&amp;search_path&amp;"\RTDC"&amp;B42&amp;"\"&amp;TEXT(F42+1,"YYYY-MM-DD")</f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42" s="96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/stypes="app*4028*20160918*" /stext=" 14:.+((SYSTEM_STATE.+slice.+state.+changed )|(ment ac)|(system.+state.+changed )|(\|lc)|(penalty)|(\[timeout)|(PRM\|1\|D)|(kpr)|(kdp))" /e /r /s</v>
      </c>
      <c r="AG42" s="1" t="str">
        <f>IFERROR(IF(VALUE(LEFT(AD42,2))&lt;=2,"EC",IF(OR(VALUE(LEFT(AD42,2))=8,VALUE(LEFT(AD42,2))=18),"NW","Other")),"Other")</f>
        <v>EC</v>
      </c>
      <c r="AH42" s="100" t="str">
        <f t="shared" si="2"/>
        <v>"%USERPROFILE%\Documents\GitHub\eaglep3\Utilities\RefineRTDCRunTimes.py" --tripid 130-18 --locoid 4028 --swversion DE.1.0.7.0 --startMP 204:232905 --initTime 2016-09-18T07:52:55 --startdatetime 2016-09-18T08:11:50 --delay 1 --endMP 204:165 --enddatetime 2016-09-18T08:48:25 --enforcementcount 0 &gt;&gt;C:\Users\stu\Documents\GitHub\eaglep3-reporting\EC\2016-09-18-refined-times.txt</v>
      </c>
      <c r="AI42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{"issue":{"subject":"","project_id":79,"tracker_id":40,"status_id":1,"priority_id":2,"assigned_to_id":23,"start_date":"2016-09-18","description":"","custom_fields":[{"id":1,"name":"Subdivision","value":"EC"},{"id":4,"name":"Milepost","value":"0.0165"},{"id":17,"name":"Train ID","value":"130-18"},{"id":16,"name":"Locomotive ID","value":"4028"},{"id":130,"name":"Impact","value":""},{"id":150,"name":"Time of Event (Mountain Time)","value":"08:48:25"},{"id":151,"name":"Denver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455</v>
      </c>
      <c r="B43" s="7">
        <v>4020</v>
      </c>
      <c r="C43" s="24" t="s">
        <v>106</v>
      </c>
      <c r="D43" s="24" t="s">
        <v>368</v>
      </c>
      <c r="E43" s="15">
        <v>42631.310879629629</v>
      </c>
      <c r="F43" s="15">
        <v>42631.312743055554</v>
      </c>
      <c r="G43" s="7">
        <v>2</v>
      </c>
      <c r="H43" s="15" t="s">
        <v>332</v>
      </c>
      <c r="I43" s="15">
        <v>42631.33871527778</v>
      </c>
      <c r="J43" s="7">
        <v>0</v>
      </c>
      <c r="K43" s="121" t="str">
        <f>IF(ISEVEN(B43),(B43-1)&amp;"/"&amp;B43,B43&amp;"/"&amp;(B43+1))</f>
        <v>4019/4020</v>
      </c>
      <c r="L43" s="24" t="str">
        <f>VLOOKUP(A43,'Trips&amp;Operators'!$C$1:$E$10000,3,FALSE)</f>
        <v>BROWN</v>
      </c>
      <c r="M43" s="6">
        <f>I43-F43</f>
        <v>2.5972222225391306E-2</v>
      </c>
      <c r="N43" s="7">
        <f>24*60*SUM($M43:$M43)</f>
        <v>37.400000004563481</v>
      </c>
      <c r="O43" s="7"/>
      <c r="P43" s="7"/>
      <c r="Q43" s="25"/>
      <c r="R43" s="25"/>
      <c r="S43" s="37">
        <f>SUM(U43:U43)/IF(AG43="EC",12,1)</f>
        <v>1</v>
      </c>
      <c r="T43" s="52" t="str">
        <f>IF(ISEVEN(LEFT(AD43,4)),"Southbound","NorthBound")</f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https://search-rtdc-monitor-bjffxe2xuh6vdkpspy63sjmuny.us-east-1.es.amazonaws.com/_plugin/kibana/#/discover/Steve-Slow-Train-Analysis-(2080s-and-2083s)?_g=(refreshInterval:(display:Off,section:0,value:0),time:(from:'2016-09-18 06:27:40-0600',mode:absolute,to:'2016-09-18 09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3" s="54" t="str">
        <f>IF(AA43&lt;IF(AG43="EC",23,5.65),"Y","N")</f>
        <v>N</v>
      </c>
      <c r="X43" s="168">
        <f>VALUE(LEFT(AD43,4))-VALUE(LEFT(AD42,4))</f>
        <v>1</v>
      </c>
      <c r="Y43" s="69">
        <f>RIGHT(D43,LEN(D43)-4)/10000</f>
        <v>4.82E-2</v>
      </c>
      <c r="Z43" s="69">
        <f>RIGHT(H43,LEN(H43)-4)/10000</f>
        <v>23.3261</v>
      </c>
      <c r="AA43" s="69">
        <f>ABS(Z43-Y43)</f>
        <v>23.277899999999999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>IF(LEN(A43)=6,"0"&amp;A43,A43)</f>
        <v>0131-18</v>
      </c>
      <c r="AE43" s="99" t="str">
        <f>"aws s3 cp "&amp;s3_bucket&amp;"/RTDC"&amp;B43&amp;"/"&amp;TEXT(F43,"YYYY-MM-DD")&amp;"/ "&amp;search_path&amp;"\RTDC"&amp;B43&amp;"\"&amp;TEXT(F43,"YYYY-MM-DD")&amp;" --recursive &amp; """&amp;walkandungz&amp;""" "&amp;search_path&amp;"\RTDC"&amp;B43&amp;"\"&amp;TEXT(F43,"YYYY-MM-DD")
&amp;" &amp; "&amp;"aws s3 cp "&amp;s3_bucket&amp;"/RTDC"&amp;B43&amp;"/"&amp;TEXT(F43+1,"YYYY-MM-DD")&amp;"/ "&amp;search_path&amp;"\RTDC"&amp;B43&amp;"\"&amp;TEXT(F43+1,"YYYY-MM-DD")&amp;" --recursive &amp; """&amp;walkandungz&amp;""" "&amp;search_path&amp;"\RTDC"&amp;B43&amp;"\"&amp;TEXT(F43+1,"YYYY-MM-DD")</f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43" s="96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/stypes="app*4020*20160918*" /stext=" 14:.+((SYSTEM_STATE.+slice.+state.+changed )|(ment ac)|(system.+state.+changed )|(\|lc)|(penalty)|(\[timeout)|(PRM\|1\|D)|(kpr)|(kdp))" /e /r /s</v>
      </c>
      <c r="AG43" s="1" t="str">
        <f>IFERROR(IF(VALUE(LEFT(AD43,2))&lt;=2,"EC",IF(OR(VALUE(LEFT(AD43,2))=8,VALUE(LEFT(AD43,2))=18),"NW","Other")),"Other")</f>
        <v>EC</v>
      </c>
      <c r="AH43" s="100" t="str">
        <f t="shared" si="2"/>
        <v>"%USERPROFILE%\Documents\GitHub\eaglep3\Utilities\RefineRTDCRunTimes.py" --tripid 131-18 --locoid 4020 --swversion DE.1.0.7.0 --startMP 204:482 --initTime 2016-09-18T07:27:40 --startdatetime 2016-09-18T07:30:21 --delay 2 --endMP 204:233261 --enddatetime 2016-09-18T08:07:45 --enforcementcount 0 &gt;&gt;C:\Users\stu\Documents\GitHub\eaglep3-reporting\EC\2016-09-18-refined-times.txt</v>
      </c>
      <c r="AI43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{"issue":{"subject":"","project_id":79,"tracker_id":40,"status_id":1,"priority_id":2,"assigned_to_id":23,"start_date":"2016-09-18","description":"","custom_fields":[{"id":1,"name":"Subdivision","value":"EC"},{"id":4,"name":"Milepost","value":"23.3261"},{"id":17,"name":"Train ID","value":"131-18"},{"id":16,"name":"Locomotive ID","value":"4020"},{"id":130,"name":"Impact","value":""},{"id":150,"name":"Time of Event (Mountain Time)","value":"08:07:45"},{"id":151,"name":"Denver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406</v>
      </c>
      <c r="B44" s="7">
        <v>4019</v>
      </c>
      <c r="C44" s="24" t="s">
        <v>106</v>
      </c>
      <c r="D44" s="24" t="s">
        <v>275</v>
      </c>
      <c r="E44" s="15">
        <v>42631.342800925922</v>
      </c>
      <c r="F44" s="15">
        <v>42631.351527777777</v>
      </c>
      <c r="G44" s="7">
        <v>6</v>
      </c>
      <c r="H44" s="15" t="s">
        <v>213</v>
      </c>
      <c r="I44" s="15">
        <v>42631.380694444444</v>
      </c>
      <c r="J44" s="7">
        <v>0</v>
      </c>
      <c r="K44" s="121" t="str">
        <f>IF(ISEVEN(B44),(B44-1)&amp;"/"&amp;B44,B44&amp;"/"&amp;(B44+1))</f>
        <v>4019/4020</v>
      </c>
      <c r="L44" s="24" t="str">
        <f>VLOOKUP(A44,'Trips&amp;Operators'!$C$1:$E$10000,3,FALSE)</f>
        <v>BROWN</v>
      </c>
      <c r="M44" s="6">
        <f>I44-F44</f>
        <v>2.9166666667151731E-2</v>
      </c>
      <c r="N44" s="7">
        <f>24*60*SUM($M44:$M44)</f>
        <v>42.000000000698492</v>
      </c>
      <c r="O44" s="7"/>
      <c r="P44" s="7"/>
      <c r="Q44" s="25"/>
      <c r="R44" s="25"/>
      <c r="S44" s="37">
        <f>SUM(U44:U44)/IF(AG44="EC",12,1)</f>
        <v>1</v>
      </c>
      <c r="T44" s="52" t="str">
        <f>IF(ISEVEN(LEFT(AD44,4)),"Southbound","NorthBound")</f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https://search-rtdc-monitor-bjffxe2xuh6vdkpspy63sjmuny.us-east-1.es.amazonaws.com/_plugin/kibana/#/discover/Steve-Slow-Train-Analysis-(2080s-and-2083s)?_g=(refreshInterval:(display:Off,section:0,value:0),time:(from:'2016-09-18 07:13:38-0600',mode:absolute,to:'2016-09-18 10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4" s="54" t="str">
        <f>IF(AA44&lt;IF(AG44="EC",23,5.65),"Y","N")</f>
        <v>N</v>
      </c>
      <c r="X44" s="168">
        <f>VALUE(LEFT(AD44,4))-VALUE(LEFT(AD43,4))</f>
        <v>1</v>
      </c>
      <c r="Y44" s="69">
        <f>RIGHT(D44,LEN(D44)-4)/10000</f>
        <v>23.295300000000001</v>
      </c>
      <c r="Z44" s="69">
        <f>RIGHT(H44,LEN(H44)-4)/10000</f>
        <v>1.49E-2</v>
      </c>
      <c r="AA44" s="69">
        <f>ABS(Z44-Y44)</f>
        <v>23.2804</v>
      </c>
      <c r="AB44" s="66" t="str">
        <f>VLOOKUP(A44,Enforcements!$C$7:$K$20,8,0)</f>
        <v>Speed (6)</v>
      </c>
      <c r="AC44" s="62" t="str">
        <f>VLOOKUP(A44,Enforcements!$C$7:$E$20,3,0)</f>
        <v>PERMANENT SPEED RESTRICTION</v>
      </c>
      <c r="AD44" s="63" t="str">
        <f>IF(LEN(A44)=6,"0"&amp;A44,A44)</f>
        <v>0132-18</v>
      </c>
      <c r="AE44" s="99" t="str">
        <f>"aws s3 cp "&amp;s3_bucket&amp;"/RTDC"&amp;B44&amp;"/"&amp;TEXT(F44,"YYYY-MM-DD")&amp;"/ "&amp;search_path&amp;"\RTDC"&amp;B44&amp;"\"&amp;TEXT(F44,"YYYY-MM-DD")&amp;" --recursive &amp; """&amp;walkandungz&amp;""" "&amp;search_path&amp;"\RTDC"&amp;B44&amp;"\"&amp;TEXT(F44,"YYYY-MM-DD")
&amp;" &amp; "&amp;"aws s3 cp "&amp;s3_bucket&amp;"/RTDC"&amp;B44&amp;"/"&amp;TEXT(F44+1,"YYYY-MM-DD")&amp;"/ "&amp;search_path&amp;"\RTDC"&amp;B44&amp;"\"&amp;TEXT(F44+1,"YYYY-MM-DD")&amp;" --recursive &amp; """&amp;walkandungz&amp;""" "&amp;search_path&amp;"\RTDC"&amp;B44&amp;"\"&amp;TEXT(F44+1,"YYYY-MM-DD")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44" s="96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/stypes="app*4019*20160918*" /stext=" 15:.+((SYSTEM_STATE.+slice.+state.+changed )|(ment ac)|(system.+state.+changed )|(\|lc)|(penalty)|(\[timeout)|(PRM\|1\|D)|(kpr)|(kdp))" /e /r /s</v>
      </c>
      <c r="AG44" s="1" t="str">
        <f>IFERROR(IF(VALUE(LEFT(AD44,2))&lt;=2,"EC",IF(OR(VALUE(LEFT(AD44,2))=8,VALUE(LEFT(AD44,2))=18),"NW","Other")),"Other")</f>
        <v>EC</v>
      </c>
      <c r="AH44" s="100" t="str">
        <f t="shared" si="2"/>
        <v>"%USERPROFILE%\Documents\GitHub\eaglep3\Utilities\RefineRTDCRunTimes.py" --tripid 132-18 --locoid 4019 --swversion DE.1.0.7.0 --startMP 204:232953 --initTime 2016-09-18T08:13:38 --startdatetime 2016-09-18T08:26:12 --delay 6 --endMP 204:149 --enddatetime 2016-09-18T09:08:12 --enforcementcount 0 &gt;&gt;C:\Users\stu\Documents\GitHub\eaglep3-reporting\EC\2016-09-18-refined-times.txt</v>
      </c>
      <c r="AI44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{"issue":{"subject":"","project_id":79,"tracker_id":40,"status_id":1,"priority_id":2,"assigned_to_id":23,"start_date":"2016-09-18","description":"","custom_fields":[{"id":1,"name":"Subdivision","value":"EC"},{"id":4,"name":"Milepost","value":"0.0149"},{"id":17,"name":"Train ID","value":"132-18"},{"id":16,"name":"Locomotive ID","value":"4019"},{"id":130,"name":"Impact","value":""},{"id":150,"name":"Time of Event (Mountain Time)","value":"09:08:12"},{"id":151,"name":"Denver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458</v>
      </c>
      <c r="B45" s="7">
        <v>4016</v>
      </c>
      <c r="C45" s="24" t="s">
        <v>106</v>
      </c>
      <c r="D45" s="24" t="s">
        <v>227</v>
      </c>
      <c r="E45" s="15">
        <v>42631.318437499998</v>
      </c>
      <c r="F45" s="15">
        <v>42631.323437500003</v>
      </c>
      <c r="G45" s="7">
        <v>1</v>
      </c>
      <c r="H45" s="15" t="s">
        <v>250</v>
      </c>
      <c r="I45" s="15">
        <v>42631.348414351851</v>
      </c>
      <c r="J45" s="7">
        <v>0</v>
      </c>
      <c r="K45" s="121" t="str">
        <f>IF(ISEVEN(B45),(B45-1)&amp;"/"&amp;B45,B45&amp;"/"&amp;(B45+1))</f>
        <v>4015/4016</v>
      </c>
      <c r="L45" s="24" t="str">
        <f>VLOOKUP(A45,'Trips&amp;Operators'!$C$1:$E$10000,3,FALSE)</f>
        <v>MAELZER</v>
      </c>
      <c r="M45" s="6">
        <f>I45-F45</f>
        <v>2.4976851847895887E-2</v>
      </c>
      <c r="N45" s="7">
        <f>24*60*SUM($M45:$M45)</f>
        <v>35.966666660970077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https://search-rtdc-monitor-bjffxe2xuh6vdkpspy63sjmuny.us-east-1.es.amazonaws.com/_plugin/kibana/#/discover/Steve-Slow-Train-Analysis-(2080s-and-2083s)?_g=(refreshInterval:(display:Off,section:0,value:0),time:(from:'2016-09-18 06:38:33-0600',mode:absolute,to:'2016-09-18 09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5" s="54" t="str">
        <f>IF(AA45&lt;IF(AG45="EC",23,5.65),"Y","N")</f>
        <v>N</v>
      </c>
      <c r="X45" s="168">
        <f>VALUE(LEFT(AD45,4))-VALUE(LEFT(AD44,4))</f>
        <v>1</v>
      </c>
      <c r="Y45" s="69">
        <f>RIGHT(D45,LEN(D45)-4)/10000</f>
        <v>4.5499999999999999E-2</v>
      </c>
      <c r="Z45" s="69">
        <f>RIGHT(H45,LEN(H45)-4)/10000</f>
        <v>23.3278</v>
      </c>
      <c r="AA45" s="69">
        <f>ABS(Z45-Y45)</f>
        <v>23.282299999999999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>IF(LEN(A45)=6,"0"&amp;A45,A45)</f>
        <v>0133-18</v>
      </c>
      <c r="AE45" s="99" t="str">
        <f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45" s="96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/stypes="app*4016*20160918*" /stext=" 14:.+((SYSTEM_STATE.+slice.+state.+changed )|(ment ac)|(system.+state.+changed )|(\|lc)|(penalty)|(\[timeout)|(PRM\|1\|D)|(kpr)|(kdp))" /e /r /s</v>
      </c>
      <c r="AG45" s="1" t="str">
        <f>IFERROR(IF(VALUE(LEFT(AD45,2))&lt;=2,"EC",IF(OR(VALUE(LEFT(AD45,2))=8,VALUE(LEFT(AD45,2))=18),"NW","Other")),"Other")</f>
        <v>EC</v>
      </c>
      <c r="AH45" s="100" t="str">
        <f t="shared" si="2"/>
        <v>"%USERPROFILE%\Documents\GitHub\eaglep3\Utilities\RefineRTDCRunTimes.py" --tripid 133-18 --locoid 4016 --swversion DE.1.0.7.0 --startMP 204:455 --initTime 2016-09-18T07:38:33 --startdatetime 2016-09-18T07:45:45 --delay 1 --endMP 204:233278 --enddatetime 2016-09-18T08:21:43 --enforcementcount 0 &gt;&gt;C:\Users\stu\Documents\GitHub\eaglep3-reporting\EC\2016-09-18-refined-times.txt</v>
      </c>
      <c r="AI45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{"issue":{"subject":"","project_id":79,"tracker_id":40,"status_id":1,"priority_id":2,"assigned_to_id":23,"start_date":"2016-09-18","description":"","custom_fields":[{"id":1,"name":"Subdivision","value":"EC"},{"id":4,"name":"Milepost","value":"23.3278"},{"id":17,"name":"Train ID","value":"133-18"},{"id":16,"name":"Locomotive ID","value":"4016"},{"id":130,"name":"Impact","value":""},{"id":150,"name":"Time of Event (Mountain Time)","value":"08:21:43"},{"id":151,"name":"Denver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408</v>
      </c>
      <c r="B46" s="7">
        <v>4015</v>
      </c>
      <c r="C46" s="24" t="s">
        <v>106</v>
      </c>
      <c r="D46" s="24" t="s">
        <v>242</v>
      </c>
      <c r="E46" s="15">
        <v>42631.354224537034</v>
      </c>
      <c r="F46" s="15">
        <v>42631.362083333333</v>
      </c>
      <c r="G46" s="7">
        <v>1</v>
      </c>
      <c r="H46" s="15" t="s">
        <v>220</v>
      </c>
      <c r="I46" s="15">
        <v>42631.39025462963</v>
      </c>
      <c r="J46" s="7">
        <v>0</v>
      </c>
      <c r="K46" s="121" t="str">
        <f>IF(ISEVEN(B46),(B46-1)&amp;"/"&amp;B46,B46&amp;"/"&amp;(B46+1))</f>
        <v>4015/4016</v>
      </c>
      <c r="L46" s="24" t="str">
        <f>VLOOKUP(A46,'Trips&amp;Operators'!$C$1:$E$10000,3,FALSE)</f>
        <v>MAELZER</v>
      </c>
      <c r="M46" s="6">
        <f>I46-F46</f>
        <v>2.8171296296932269E-2</v>
      </c>
      <c r="N46" s="7">
        <f>24*60*SUM($M46:$M46)</f>
        <v>40.566666667582467</v>
      </c>
      <c r="O46" s="7"/>
      <c r="P46" s="7"/>
      <c r="Q46" s="25"/>
      <c r="R46" s="25"/>
      <c r="S46" s="37">
        <f>SUM(U46:U46)/IF(AG46="EC",12,1)</f>
        <v>1</v>
      </c>
      <c r="T46" s="52" t="str">
        <f>IF(ISEVEN(LEFT(AD46,4)),"Southbound","NorthBound")</f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https://search-rtdc-monitor-bjffxe2xuh6vdkpspy63sjmuny.us-east-1.es.amazonaws.com/_plugin/kibana/#/discover/Steve-Slow-Train-Analysis-(2080s-and-2083s)?_g=(refreshInterval:(display:Off,section:0,value:0),time:(from:'2016-09-18 07:30:05-0600',mode:absolute,to:'2016-09-18 10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6" s="54" t="str">
        <f>IF(AA46&lt;IF(AG46="EC",23,5.65),"Y","N")</f>
        <v>N</v>
      </c>
      <c r="X46" s="168">
        <f>VALUE(LEFT(AD46,4))-VALUE(LEFT(AD45,4))</f>
        <v>1</v>
      </c>
      <c r="Y46" s="69">
        <f>RIGHT(D46,LEN(D46)-4)/10000</f>
        <v>23.299399999999999</v>
      </c>
      <c r="Z46" s="69">
        <f>RIGHT(H46,LEN(H46)-4)/10000</f>
        <v>1.4999999999999999E-2</v>
      </c>
      <c r="AA46" s="69">
        <f>ABS(Z46-Y46)</f>
        <v>23.284399999999998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>IF(LEN(A46)=6,"0"&amp;A46,A46)</f>
        <v>0134-18</v>
      </c>
      <c r="AE46" s="99" t="str">
        <f>"aws s3 cp "&amp;s3_bucket&amp;"/RTDC"&amp;B46&amp;"/"&amp;TEXT(F46,"YYYY-MM-DD")&amp;"/ "&amp;search_path&amp;"\RTDC"&amp;B46&amp;"\"&amp;TEXT(F46,"YYYY-MM-DD")&amp;" --recursive &amp; """&amp;walkandungz&amp;""" "&amp;search_path&amp;"\RTDC"&amp;B46&amp;"\"&amp;TEXT(F46,"YYYY-MM-DD")
&amp;" &amp; "&amp;"aws s3 cp "&amp;s3_bucket&amp;"/RTDC"&amp;B46&amp;"/"&amp;TEXT(F46+1,"YYYY-MM-DD")&amp;"/ "&amp;search_path&amp;"\RTDC"&amp;B46&amp;"\"&amp;TEXT(F46+1,"YYYY-MM-DD")&amp;" --recursive &amp; """&amp;walkandungz&amp;""" "&amp;search_path&amp;"\RTDC"&amp;B46&amp;"\"&amp;TEXT(F46+1,"YYYY-MM-DD")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46" s="96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/stypes="app*4015*20160918*" /stext=" 15:.+((SYSTEM_STATE.+slice.+state.+changed )|(ment ac)|(system.+state.+changed )|(\|lc)|(penalty)|(\[timeout)|(PRM\|1\|D)|(kpr)|(kdp))" /e /r /s</v>
      </c>
      <c r="AG46" s="1" t="str">
        <f>IFERROR(IF(VALUE(LEFT(AD46,2))&lt;=2,"EC",IF(OR(VALUE(LEFT(AD46,2))=8,VALUE(LEFT(AD46,2))=18),"NW","Other")),"Other")</f>
        <v>EC</v>
      </c>
      <c r="AH46" s="100" t="str">
        <f t="shared" si="2"/>
        <v>"%USERPROFILE%\Documents\GitHub\eaglep3\Utilities\RefineRTDCRunTimes.py" --tripid 134-18 --locoid 4015 --swversion DE.1.0.7.0 --startMP 204:232994 --initTime 2016-09-18T08:30:05 --startdatetime 2016-09-18T08:41:24 --delay 1 --endMP 204:150 --enddatetime 2016-09-18T09:21:58 --enforcementcount 0 &gt;&gt;C:\Users\stu\Documents\GitHub\eaglep3-reporting\EC\2016-09-18-refined-times.txt</v>
      </c>
      <c r="AI46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{"issue":{"subject":"","project_id":79,"tracker_id":40,"status_id":1,"priority_id":2,"assigned_to_id":23,"start_date":"2016-09-18","description":"","custom_fields":[{"id":1,"name":"Subdivision","value":"EC"},{"id":4,"name":"Milepost","value":"0.015"},{"id":17,"name":"Train ID","value":"134-18"},{"id":16,"name":"Locomotive ID","value":"4015"},{"id":130,"name":"Impact","value":""},{"id":150,"name":"Time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461</v>
      </c>
      <c r="B47" s="7">
        <v>4009</v>
      </c>
      <c r="C47" s="24" t="s">
        <v>106</v>
      </c>
      <c r="D47" s="24" t="s">
        <v>251</v>
      </c>
      <c r="E47" s="15">
        <v>42631.330312500002</v>
      </c>
      <c r="F47" s="15">
        <v>42631.333587962959</v>
      </c>
      <c r="G47" s="7">
        <v>1</v>
      </c>
      <c r="H47" s="15" t="s">
        <v>616</v>
      </c>
      <c r="I47" s="15">
        <v>42631.359849537039</v>
      </c>
      <c r="J47" s="7">
        <v>0</v>
      </c>
      <c r="K47" s="121" t="str">
        <f>IF(ISEVEN(B47),(B47-1)&amp;"/"&amp;B47,B47&amp;"/"&amp;(B47+1))</f>
        <v>4009/4010</v>
      </c>
      <c r="L47" s="24" t="str">
        <f>VLOOKUP(A47,'Trips&amp;Operators'!$C$1:$E$10000,3,FALSE)</f>
        <v>DAVIS</v>
      </c>
      <c r="M47" s="6">
        <f>I47-F47</f>
        <v>2.6261574079398997E-2</v>
      </c>
      <c r="N47" s="7">
        <f>24*60*SUM($M47:$M47)</f>
        <v>37.816666674334556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https://search-rtdc-monitor-bjffxe2xuh6vdkpspy63sjmuny.us-east-1.es.amazonaws.com/_plugin/kibana/#/discover/Steve-Slow-Train-Analysis-(2080s-and-2083s)?_g=(refreshInterval:(display:Off,section:0,value:0),time:(from:'2016-09-18 06:55:39-0600',mode:absolute,to:'2016-09-18 09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7" s="54" t="str">
        <f>IF(AA47&lt;IF(AG47="EC",23,5.65),"Y","N")</f>
        <v>N</v>
      </c>
      <c r="X47" s="168">
        <f>VALUE(LEFT(AD47,4))-VALUE(LEFT(AD46,4))</f>
        <v>1</v>
      </c>
      <c r="Y47" s="69">
        <f>RIGHT(D47,LEN(D47)-4)/10000</f>
        <v>4.6199999999999998E-2</v>
      </c>
      <c r="Z47" s="69">
        <f>RIGHT(H47,LEN(H47)-4)/10000</f>
        <v>23.327000000000002</v>
      </c>
      <c r="AA47" s="69">
        <f>ABS(Z47-Y47)</f>
        <v>23.280800000000003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>IF(LEN(A47)=6,"0"&amp;A47,A47)</f>
        <v>0135-18</v>
      </c>
      <c r="AE47" s="99" t="str">
        <f>"aws s3 cp "&amp;s3_bucket&amp;"/RTDC"&amp;B47&amp;"/"&amp;TEXT(F47,"YYYY-MM-DD")&amp;"/ "&amp;search_path&amp;"\RTDC"&amp;B47&amp;"\"&amp;TEXT(F47,"YYYY-MM-DD")&amp;" --recursive &amp; """&amp;walkandungz&amp;""" "&amp;search_path&amp;"\RTDC"&amp;B47&amp;"\"&amp;TEXT(F47,"YYYY-MM-DD")
&amp;" &amp; "&amp;"aws s3 cp "&amp;s3_bucket&amp;"/RTDC"&amp;B47&amp;"/"&amp;TEXT(F47+1,"YYYY-MM-DD")&amp;"/ "&amp;search_path&amp;"\RTDC"&amp;B47&amp;"\"&amp;TEXT(F47+1,"YYYY-MM-DD")&amp;" --recursive &amp; """&amp;walkandungz&amp;""" "&amp;search_path&amp;"\RTDC"&amp;B47&amp;"\"&amp;TEXT(F47+1,"YYYY-MM-DD")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47" s="96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/stypes="app*4009*20160918*" /stext=" 14:.+((SYSTEM_STATE.+slice.+state.+changed )|(ment ac)|(system.+state.+changed )|(\|lc)|(penalty)|(\[timeout)|(PRM\|1\|D)|(kpr)|(kdp))" /e /r /s</v>
      </c>
      <c r="AG47" s="1" t="str">
        <f>IFERROR(IF(VALUE(LEFT(AD47,2))&lt;=2,"EC",IF(OR(VALUE(LEFT(AD47,2))=8,VALUE(LEFT(AD47,2))=18),"NW","Other")),"Other")</f>
        <v>EC</v>
      </c>
      <c r="AH47" s="100" t="str">
        <f t="shared" si="2"/>
        <v>"%USERPROFILE%\Documents\GitHub\eaglep3\Utilities\RefineRTDCRunTimes.py" --tripid 135-18 --locoid 4009 --swversion DE.1.0.7.0 --startMP 204:462 --initTime 2016-09-18T07:55:39 --startdatetime 2016-09-18T08:00:22 --delay 1 --endMP 204:233270 --enddatetime 2016-09-18T08:38:11 --enforcementcount 0 &gt;&gt;C:\Users\stu\Documents\GitHub\eaglep3-reporting\EC\2016-09-18-refined-times.txt</v>
      </c>
      <c r="AI47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{"issue":{"subject":"","project_id":79,"tracker_id":40,"status_id":1,"priority_id":2,"assigned_to_id":23,"start_date":"2016-09-18","description":"","custom_fields":[{"id":1,"name":"Subdivision","value":"EC"},{"id":4,"name":"Milepost","value":"23.327"},{"id":17,"name":"Train ID","value":"135-18"},{"id":16,"name":"Locomotive ID","value":"4009"},{"id":130,"name":"Impact","value":""},{"id":150,"name":"Time of Event (Mountain Time)","value":"08:38:11"},{"id":151,"name":"Denver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465</v>
      </c>
      <c r="B48" s="7">
        <v>4010</v>
      </c>
      <c r="C48" s="24" t="s">
        <v>106</v>
      </c>
      <c r="D48" s="24" t="s">
        <v>362</v>
      </c>
      <c r="E48" s="15">
        <v>42631.370752314811</v>
      </c>
      <c r="F48" s="15">
        <v>42631.372372685182</v>
      </c>
      <c r="G48" s="7">
        <v>1</v>
      </c>
      <c r="H48" s="15" t="s">
        <v>127</v>
      </c>
      <c r="I48" s="15">
        <v>42631.400636574072</v>
      </c>
      <c r="J48" s="7">
        <v>0</v>
      </c>
      <c r="K48" s="121" t="str">
        <f>IF(ISEVEN(B48),(B48-1)&amp;"/"&amp;B48,B48&amp;"/"&amp;(B48+1))</f>
        <v>4009/4010</v>
      </c>
      <c r="L48" s="24" t="str">
        <f>VLOOKUP(A48,'Trips&amp;Operators'!$C$1:$E$10000,3,FALSE)</f>
        <v>DAVIS</v>
      </c>
      <c r="M48" s="6">
        <f>I48-F48</f>
        <v>2.8263888889341615E-2</v>
      </c>
      <c r="N48" s="7">
        <f>24*60*SUM($M48:$M48)</f>
        <v>40.700000000651926</v>
      </c>
      <c r="O48" s="7"/>
      <c r="P48" s="7"/>
      <c r="Q48" s="25"/>
      <c r="R48" s="25"/>
      <c r="S48" s="37">
        <f>SUM(U48:U48)/IF(AG48="EC",12,1)</f>
        <v>1</v>
      </c>
      <c r="T48" s="52" t="str">
        <f>IF(ISEVEN(LEFT(AD48,4)),"Southbound","NorthBound")</f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https://search-rtdc-monitor-bjffxe2xuh6vdkpspy63sjmuny.us-east-1.es.amazonaws.com/_plugin/kibana/#/discover/Steve-Slow-Train-Analysis-(2080s-and-2083s)?_g=(refreshInterval:(display:Off,section:0,value:0),time:(from:'2016-09-18 07:53:53-0600',mode:absolute,to:'2016-09-18 10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8" s="54" t="str">
        <f>IF(AA48&lt;IF(AG48="EC",23,5.65),"Y","N")</f>
        <v>N</v>
      </c>
      <c r="X48" s="168">
        <f>VALUE(LEFT(AD48,4))-VALUE(LEFT(AD47,4))</f>
        <v>1</v>
      </c>
      <c r="Y48" s="69">
        <f>RIGHT(D48,LEN(D48)-4)/10000</f>
        <v>23.296199999999999</v>
      </c>
      <c r="Z48" s="69">
        <f>RIGHT(H48,LEN(H48)-4)/10000</f>
        <v>1.54E-2</v>
      </c>
      <c r="AA48" s="69">
        <f>ABS(Z48-Y48)</f>
        <v>23.280799999999999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>IF(LEN(A48)=6,"0"&amp;A48,A48)</f>
        <v>0136-18</v>
      </c>
      <c r="AE48" s="99" t="str">
        <f>"aws s3 cp "&amp;s3_bucket&amp;"/RTDC"&amp;B48&amp;"/"&amp;TEXT(F48,"YYYY-MM-DD")&amp;"/ "&amp;search_path&amp;"\RTDC"&amp;B48&amp;"\"&amp;TEXT(F48,"YYYY-MM-DD")&amp;" --recursive &amp; """&amp;walkandungz&amp;""" "&amp;search_path&amp;"\RTDC"&amp;B48&amp;"\"&amp;TEXT(F48,"YYYY-MM-DD")
&amp;" &amp; "&amp;"aws s3 cp "&amp;s3_bucket&amp;"/RTDC"&amp;B48&amp;"/"&amp;TEXT(F48+1,"YYYY-MM-DD")&amp;"/ "&amp;search_path&amp;"\RTDC"&amp;B48&amp;"\"&amp;TEXT(F48+1,"YYYY-MM-DD")&amp;" --recursive &amp; """&amp;walkandungz&amp;""" "&amp;search_path&amp;"\RTDC"&amp;B48&amp;"\"&amp;TEXT(F48+1,"YYYY-MM-DD")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48" s="96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/stypes="app*4010*20160918*" /stext=" 15:.+((SYSTEM_STATE.+slice.+state.+changed )|(ment ac)|(system.+state.+changed )|(\|lc)|(penalty)|(\[timeout)|(PRM\|1\|D)|(kpr)|(kdp))" /e /r /s</v>
      </c>
      <c r="AG48" s="1" t="str">
        <f>IFERROR(IF(VALUE(LEFT(AD48,2))&lt;=2,"EC",IF(OR(VALUE(LEFT(AD48,2))=8,VALUE(LEFT(AD48,2))=18),"NW","Other")),"Other")</f>
        <v>EC</v>
      </c>
      <c r="AH48" s="100" t="str">
        <f t="shared" si="2"/>
        <v>"%USERPROFILE%\Documents\GitHub\eaglep3\Utilities\RefineRTDCRunTimes.py" --tripid 136-18 --locoid 4010 --swversion DE.1.0.7.0 --startMP 204:232962 --initTime 2016-09-18T08:53:53 --startdatetime 2016-09-18T08:56:13 --delay 1 --endMP 204:154 --enddatetime 2016-09-18T09:36:55 --enforcementcount 0 &gt;&gt;C:\Users\stu\Documents\GitHub\eaglep3-reporting\EC\2016-09-18-refined-times.txt</v>
      </c>
      <c r="AI48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ID","value":"136-18"},{"id":16,"name":"Locomotive ID","value":"4010"},{"id":130,"name":"Impact","value":""},{"id":150,"name":"Time of Event (Mountain Time)","value":"09:36:55"},{"id":151,"name":"Denver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405</v>
      </c>
      <c r="B49" s="7">
        <v>4003</v>
      </c>
      <c r="C49" s="24" t="s">
        <v>106</v>
      </c>
      <c r="D49" s="24" t="s">
        <v>233</v>
      </c>
      <c r="E49" s="15">
        <v>42631.342488425929</v>
      </c>
      <c r="F49" s="15">
        <v>42631.343958333331</v>
      </c>
      <c r="G49" s="7">
        <v>1</v>
      </c>
      <c r="H49" s="15" t="s">
        <v>249</v>
      </c>
      <c r="I49" s="15">
        <v>42631.370856481481</v>
      </c>
      <c r="J49" s="7">
        <v>0</v>
      </c>
      <c r="K49" s="121" t="str">
        <f>IF(ISEVEN(B49),(B49-1)&amp;"/"&amp;B49,B49&amp;"/"&amp;(B49+1))</f>
        <v>4003/4004</v>
      </c>
      <c r="L49" s="24" t="str">
        <f>VLOOKUP(A49,'Trips&amp;Operators'!$C$1:$E$10000,3,FALSE)</f>
        <v>MALAVE</v>
      </c>
      <c r="M49" s="6">
        <f>I49-F49</f>
        <v>2.6898148149484769E-2</v>
      </c>
      <c r="N49" s="7">
        <f>24*60*SUM($M49:$M49)</f>
        <v>38.733333335258067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https://search-rtdc-monitor-bjffxe2xuh6vdkpspy63sjmuny.us-east-1.es.amazonaws.com/_plugin/kibana/#/discover/Steve-Slow-Train-Analysis-(2080s-and-2083s)?_g=(refreshInterval:(display:Off,section:0,value:0),time:(from:'2016-09-18 07:13:11-0600',mode:absolute,to:'2016-09-18 09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49" s="54" t="str">
        <f>IF(AA49&lt;IF(AG49="EC",23,5.65),"Y","N")</f>
        <v>N</v>
      </c>
      <c r="X49" s="168">
        <f>VALUE(LEFT(AD49,4))-VALUE(LEFT(AD48,4))</f>
        <v>1</v>
      </c>
      <c r="Y49" s="69">
        <f>RIGHT(D49,LEN(D49)-4)/10000</f>
        <v>4.6399999999999997E-2</v>
      </c>
      <c r="Z49" s="69">
        <f>RIGHT(H49,LEN(H49)-4)/10000</f>
        <v>23.329899999999999</v>
      </c>
      <c r="AA49" s="69">
        <f>ABS(Z49-Y49)</f>
        <v>23.2835</v>
      </c>
      <c r="AB49" s="66" t="str">
        <f>VLOOKUP(A49,Enforcements!$C$7:$K$20,8,0)</f>
        <v>Speed (6)</v>
      </c>
      <c r="AC49" s="62" t="str">
        <f>VLOOKUP(A49,Enforcements!$C$7:$E$20,3,0)</f>
        <v>PERMANENT SPEED RESTRICTION</v>
      </c>
      <c r="AD49" s="63" t="str">
        <f>IF(LEN(A49)=6,"0"&amp;A49,A49)</f>
        <v>0137-18</v>
      </c>
      <c r="AE49" s="99" t="str">
        <f>"aws s3 cp "&amp;s3_bucket&amp;"/RTDC"&amp;B49&amp;"/"&amp;TEXT(F49,"YYYY-MM-DD")&amp;"/ "&amp;search_path&amp;"\RTDC"&amp;B49&amp;"\"&amp;TEXT(F49,"YYYY-MM-DD")&amp;" --recursive &amp; """&amp;walkandungz&amp;""" "&amp;search_path&amp;"\RTDC"&amp;B49&amp;"\"&amp;TEXT(F49,"YYYY-MM-DD")
&amp;" &amp; "&amp;"aws s3 cp "&amp;s3_bucket&amp;"/RTDC"&amp;B49&amp;"/"&amp;TEXT(F49+1,"YYYY-MM-DD")&amp;"/ "&amp;search_path&amp;"\RTDC"&amp;B49&amp;"\"&amp;TEXT(F49+1,"YYYY-MM-DD")&amp;" --recursive &amp; """&amp;walkandungz&amp;""" "&amp;search_path&amp;"\RTDC"&amp;B49&amp;"\"&amp;TEXT(F49+1,"YYYY-MM-DD")</f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49" s="96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/stypes="app*4003*20160918*" /stext=" 14:.+((SYSTEM_STATE.+slice.+state.+changed )|(ment ac)|(system.+state.+changed )|(\|lc)|(penalty)|(\[timeout)|(PRM\|1\|D)|(kpr)|(kdp))" /e /r /s</v>
      </c>
      <c r="AG49" s="1" t="str">
        <f>IFERROR(IF(VALUE(LEFT(AD49,2))&lt;=2,"EC",IF(OR(VALUE(LEFT(AD49,2))=8,VALUE(LEFT(AD49,2))=18),"NW","Other")),"Other")</f>
        <v>EC</v>
      </c>
      <c r="AH49" s="100" t="str">
        <f t="shared" si="2"/>
        <v>"%USERPROFILE%\Documents\GitHub\eaglep3\Utilities\RefineRTDCRunTimes.py" --tripid 137-18 --locoid 4003 --swversion DE.1.0.7.0 --startMP 204:464 --initTime 2016-09-18T08:13:11 --startdatetime 2016-09-18T08:15:18 --delay 1 --endMP 204:233299 --enddatetime 2016-09-18T08:54:02 --enforcementcount 0 &gt;&gt;C:\Users\stu\Documents\GitHub\eaglep3-reporting\EC\2016-09-18-refined-times.txt</v>
      </c>
      <c r="AI49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{"issue":{"subject":"","project_id":79,"tracker_id":40,"status_id":1,"priority_id":2,"assigned_to_id":23,"start_date":"2016-09-18","description":"","custom_fields":[{"id":1,"name":"Subdivision","value":"EC"},{"id":4,"name":"Milepost","value":"23.3299"},{"id":17,"name":"Train ID","value":"137-18"},{"id":16,"name":"Locomotive ID","value":"4003"},{"id":130,"name":"Impact","value":""},{"id":150,"name":"Time of Event (Mountain Time)","value":"08:54:02"},{"id":151,"name":"Denver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468</v>
      </c>
      <c r="B50" s="7">
        <v>4004</v>
      </c>
      <c r="C50" s="24" t="s">
        <v>106</v>
      </c>
      <c r="D50" s="24" t="s">
        <v>627</v>
      </c>
      <c r="E50" s="15">
        <v>42631.396643518521</v>
      </c>
      <c r="F50" s="15">
        <v>42631.397638888891</v>
      </c>
      <c r="G50" s="7">
        <v>1</v>
      </c>
      <c r="H50" s="15" t="s">
        <v>222</v>
      </c>
      <c r="I50" s="15">
        <v>42631.415162037039</v>
      </c>
      <c r="J50" s="7">
        <v>0</v>
      </c>
      <c r="K50" s="121" t="str">
        <f>IF(ISEVEN(B50),(B50-1)&amp;"/"&amp;B50,B50&amp;"/"&amp;(B50+1))</f>
        <v>4003/4004</v>
      </c>
      <c r="L50" s="24" t="str">
        <f>VLOOKUP(A50,'Trips&amp;Operators'!$C$1:$E$10000,3,FALSE)</f>
        <v>MALAVE</v>
      </c>
      <c r="M50" s="6">
        <f>I50-F50</f>
        <v>1.7523148148029577E-2</v>
      </c>
      <c r="N50" s="7"/>
      <c r="O50" s="7"/>
      <c r="P50" s="7">
        <f>24*60*SUM($M50:$M50)</f>
        <v>25.233333333162591</v>
      </c>
      <c r="Q50" s="25"/>
      <c r="R50" s="25" t="s">
        <v>393</v>
      </c>
      <c r="S50" s="37">
        <f>SUM(U50:U50)/IF(AG50="EC",12,1)</f>
        <v>1</v>
      </c>
      <c r="T50" s="52" t="str">
        <f>IF(ISEVEN(LEFT(AD50,4)),"Southbound","NorthBound")</f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https://search-rtdc-monitor-bjffxe2xuh6vdkpspy63sjmuny.us-east-1.es.amazonaws.com/_plugin/kibana/#/discover/Steve-Slow-Train-Analysis-(2080s-and-2083s)?_g=(refreshInterval:(display:Off,section:0,value:0),time:(from:'2016-09-18 08:31:10-0600',mode:absolute,to:'2016-09-18 10:57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0" s="54" t="str">
        <f>IF(AA50&lt;IF(AG50="EC",23,5.65),"Y","N")</f>
        <v>Y</v>
      </c>
      <c r="X50" s="168">
        <f>VALUE(LEFT(AD50,4))-VALUE(LEFT(AD49,4))</f>
        <v>1</v>
      </c>
      <c r="Y50" s="69">
        <f>RIGHT(D50,LEN(D50)-4)/10000</f>
        <v>12.7842</v>
      </c>
      <c r="Z50" s="69">
        <f>RIGHT(H50,LEN(H50)-4)/10000</f>
        <v>1.52E-2</v>
      </c>
      <c r="AA50" s="69">
        <f>ABS(Z50-Y50)</f>
        <v>12.769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>IF(LEN(A50)=6,"0"&amp;A50,A50)</f>
        <v>0138-18</v>
      </c>
      <c r="AE50" s="99" t="str">
        <f>"aws s3 cp "&amp;s3_bucket&amp;"/RTDC"&amp;B50&amp;"/"&amp;TEXT(F50,"YYYY-MM-DD")&amp;"/ "&amp;search_path&amp;"\RTDC"&amp;B50&amp;"\"&amp;TEXT(F50,"YYYY-MM-DD")&amp;" --recursive &amp; """&amp;walkandungz&amp;""" "&amp;search_path&amp;"\RTDC"&amp;B50&amp;"\"&amp;TEXT(F50,"YYYY-MM-DD")
&amp;" &amp; "&amp;"aws s3 cp "&amp;s3_bucket&amp;"/RTDC"&amp;B50&amp;"/"&amp;TEXT(F50+1,"YYYY-MM-DD")&amp;"/ "&amp;search_path&amp;"\RTDC"&amp;B50&amp;"\"&amp;TEXT(F50+1,"YYYY-MM-DD")&amp;" --recursive &amp; """&amp;walkandungz&amp;""" "&amp;search_path&amp;"\RTDC"&amp;B50&amp;"\"&amp;TEXT(F50+1,"YYYY-MM-DD")</f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50" s="96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/stypes="app*4004*20160918*" /stext=" 15:.+((SYSTEM_STATE.+slice.+state.+changed )|(ment ac)|(system.+state.+changed )|(\|lc)|(penalty)|(\[timeout)|(PRM\|1\|D)|(kpr)|(kdp))" /e /r /s</v>
      </c>
      <c r="AG50" s="1" t="str">
        <f>IFERROR(IF(VALUE(LEFT(AD50,2))&lt;=2,"EC",IF(OR(VALUE(LEFT(AD50,2))=8,VALUE(LEFT(AD50,2))=18),"NW","Other")),"Other")</f>
        <v>EC</v>
      </c>
      <c r="AH50" s="100" t="str">
        <f t="shared" si="2"/>
        <v>"%USERPROFILE%\Documents\GitHub\eaglep3\Utilities\RefineRTDCRunTimes.py" --tripid 138-18 --locoid 4004 --swversion DE.1.0.7.0 --startMP 204:127842 --initTime 2016-09-18T09:31:10 --startdatetime 2016-09-18T09:32:36 --delay 1 --endMP 204:152 --enddatetime 2016-09-18T09:57:50 --enforcementcount 0 &gt;&gt;C:\Users\stu\Documents\GitHub\eaglep3-reporting\EC\2016-09-18-refined-times.txt</v>
      </c>
      <c r="AI50" s="134" t="str">
        <f t="shared" si="3"/>
        <v>echo {"issue":{"subject":"Onboard in-route failure","project_id":79,"tracker_id":40,"status_id":1,"priority_id":2,"assigned_to_id":23,"start_date":"2016-09-18","description":"Triplex issues starting from 09:12","custom_fields":[{"id":1,"name":"Subdivision","value":"EC"},{"id":4,"name":"Milepost","value":"0.0152"},{"id":17,"name":"Train ID","value":"138-18"},{"id":16,"name":"Locomotive ID","value":"4004"},{"id":130,"name":"Impact","value":"Failed State"},{"id":150,"name":"Time of Event (Mountain Time)","value":"09:57:50"},{"id":151,"name":"Denver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0" s="55" t="s">
        <v>733</v>
      </c>
      <c r="AK50" s="55" t="s">
        <v>141</v>
      </c>
      <c r="AL50" s="55" t="s">
        <v>272</v>
      </c>
    </row>
    <row r="51" spans="1:38" s="1" customFormat="1" x14ac:dyDescent="0.25">
      <c r="A51" s="39" t="s">
        <v>462</v>
      </c>
      <c r="B51" s="7">
        <v>4044</v>
      </c>
      <c r="C51" s="24" t="s">
        <v>106</v>
      </c>
      <c r="D51" s="24" t="s">
        <v>236</v>
      </c>
      <c r="E51" s="15">
        <v>42631.352314814816</v>
      </c>
      <c r="F51" s="15">
        <v>42631.354525462964</v>
      </c>
      <c r="G51" s="7">
        <v>1</v>
      </c>
      <c r="H51" s="15" t="s">
        <v>334</v>
      </c>
      <c r="I51" s="15">
        <v>42631.380682870367</v>
      </c>
      <c r="J51" s="7">
        <v>0</v>
      </c>
      <c r="K51" s="121" t="str">
        <f>IF(ISEVEN(B51),(B51-1)&amp;"/"&amp;B51,B51&amp;"/"&amp;(B51+1))</f>
        <v>4043/4044</v>
      </c>
      <c r="L51" s="24" t="str">
        <f>VLOOKUP(A51,'Trips&amp;Operators'!$C$1:$E$10000,3,FALSE)</f>
        <v>STRICKLAND</v>
      </c>
      <c r="M51" s="6">
        <f>I51-F51</f>
        <v>2.6157407402934041E-2</v>
      </c>
      <c r="N51" s="7">
        <f>24*60*SUM($M51:$M51)</f>
        <v>37.666666660225019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https://search-rtdc-monitor-bjffxe2xuh6vdkpspy63sjmuny.us-east-1.es.amazonaws.com/_plugin/kibana/#/discover/Steve-Slow-Train-Analysis-(2080s-and-2083s)?_g=(refreshInterval:(display:Off,section:0,value:0),time:(from:'2016-09-18 07:27:20-0600',mode:absolute,to:'2016-09-18 10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1" s="54" t="str">
        <f>IF(AA51&lt;IF(AG51="EC",23,5.65),"Y","N")</f>
        <v>N</v>
      </c>
      <c r="X51" s="168">
        <f>VALUE(LEFT(AD51,4))-VALUE(LEFT(AD50,4))</f>
        <v>1</v>
      </c>
      <c r="Y51" s="69">
        <f>RIGHT(D51,LEN(D51)-4)/10000</f>
        <v>4.5999999999999999E-2</v>
      </c>
      <c r="Z51" s="69">
        <f>RIGHT(H51,LEN(H51)-4)/10000</f>
        <v>23.327200000000001</v>
      </c>
      <c r="AA51" s="69">
        <f>ABS(Z51-Y51)</f>
        <v>23.281200000000002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>IF(LEN(A51)=6,"0"&amp;A51,A51)</f>
        <v>0139-18</v>
      </c>
      <c r="AE51" s="99" t="str">
        <f>"aws s3 cp "&amp;s3_bucket&amp;"/RTDC"&amp;B51&amp;"/"&amp;TEXT(F51,"YYYY-MM-DD")&amp;"/ "&amp;search_path&amp;"\RTDC"&amp;B51&amp;"\"&amp;TEXT(F51,"YYYY-MM-DD")&amp;" --recursive &amp; """&amp;walkandungz&amp;""" "&amp;search_path&amp;"\RTDC"&amp;B51&amp;"\"&amp;TEXT(F51,"YYYY-MM-DD")
&amp;" &amp; "&amp;"aws s3 cp "&amp;s3_bucket&amp;"/RTDC"&amp;B51&amp;"/"&amp;TEXT(F51+1,"YYYY-MM-DD")&amp;"/ "&amp;search_path&amp;"\RTDC"&amp;B51&amp;"\"&amp;TEXT(F51+1,"YYYY-MM-DD")&amp;" --recursive &amp; """&amp;walkandungz&amp;""" "&amp;search_path&amp;"\RTDC"&amp;B51&amp;"\"&amp;TEXT(F51+1,"YYYY-MM-DD")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51" s="96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/stypes="app*4044*20160918*" /stext=" 15:.+((SYSTEM_STATE.+slice.+state.+changed )|(ment ac)|(system.+state.+changed )|(\|lc)|(penalty)|(\[timeout)|(PRM\|1\|D)|(kpr)|(kdp))" /e /r /s</v>
      </c>
      <c r="AG51" s="1" t="str">
        <f>IFERROR(IF(VALUE(LEFT(AD51,2))&lt;=2,"EC",IF(OR(VALUE(LEFT(AD51,2))=8,VALUE(LEFT(AD51,2))=18),"NW","Other")),"Other")</f>
        <v>EC</v>
      </c>
      <c r="AH51" s="100" t="str">
        <f t="shared" si="2"/>
        <v>"%USERPROFILE%\Documents\GitHub\eaglep3\Utilities\RefineRTDCRunTimes.py" --tripid 139-18 --locoid 4044 --swversion DE.1.0.7.0 --startMP 204:460 --initTime 2016-09-18T08:27:20 --startdatetime 2016-09-18T08:30:31 --delay 1 --endMP 204:233272 --enddatetime 2016-09-18T09:08:11 --enforcementcount 0 &gt;&gt;C:\Users\stu\Documents\GitHub\eaglep3-reporting\EC\2016-09-18-refined-times.txt</v>
      </c>
      <c r="AI51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{"issue":{"subject":"","project_id":79,"tracker_id":40,"status_id":1,"priority_id":2,"assigned_to_id":23,"start_date":"2016-09-18","description":"","custom_fields":[{"id":1,"name":"Subdivision","value":"EC"},{"id":4,"name":"Milepost","value":"23.3272"},{"id":17,"name":"Train ID","value":"139-18"},{"id":16,"name":"Locomotive ID","value":"4044"},{"id":130,"name":"Impact","value":""},{"id":150,"name":"Time of Event (Mountain Time)","value":"09:08:11"},{"id":151,"name":"Denver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409</v>
      </c>
      <c r="B52" s="7">
        <v>4043</v>
      </c>
      <c r="C52" s="24" t="s">
        <v>106</v>
      </c>
      <c r="D52" s="24" t="s">
        <v>628</v>
      </c>
      <c r="E52" s="15">
        <v>42631.389340277776</v>
      </c>
      <c r="F52" s="15">
        <v>42631.393321759257</v>
      </c>
      <c r="G52" s="7">
        <v>1</v>
      </c>
      <c r="H52" s="15" t="s">
        <v>256</v>
      </c>
      <c r="I52" s="15">
        <v>42631.422685185185</v>
      </c>
      <c r="J52" s="7">
        <v>0</v>
      </c>
      <c r="K52" s="121" t="str">
        <f>IF(ISEVEN(B52),(B52-1)&amp;"/"&amp;B52,B52&amp;"/"&amp;(B52+1))</f>
        <v>4043/4044</v>
      </c>
      <c r="L52" s="24" t="str">
        <f>VLOOKUP(A52,'Trips&amp;Operators'!$C$1:$E$10000,3,FALSE)</f>
        <v>STRICKLAND</v>
      </c>
      <c r="M52" s="6">
        <f>I52-F52</f>
        <v>2.9363425928750075E-2</v>
      </c>
      <c r="N52" s="7">
        <f>24*60*SUM($M52:$M52)</f>
        <v>42.283333337400109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https://search-rtdc-monitor-bjffxe2xuh6vdkpspy63sjmuny.us-east-1.es.amazonaws.com/_plugin/kibana/#/discover/Steve-Slow-Train-Analysis-(2080s-and-2083s)?_g=(refreshInterval:(display:Off,section:0,value:0),time:(from:'2016-09-18 08:20:39-0600',mode:absolute,to:'2016-09-18 11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2" s="54" t="str">
        <f>IF(AA52&lt;IF(AG52="EC",23,5.65),"Y","N")</f>
        <v>N</v>
      </c>
      <c r="X52" s="168">
        <f>VALUE(LEFT(AD52,4))-VALUE(LEFT(AD51,4))</f>
        <v>1</v>
      </c>
      <c r="Y52" s="69">
        <f>RIGHT(D52,LEN(D52)-4)/10000</f>
        <v>23.294499999999999</v>
      </c>
      <c r="Z52" s="69">
        <f>RIGHT(H52,LEN(H52)-4)/10000</f>
        <v>1.43E-2</v>
      </c>
      <c r="AA52" s="69">
        <f>ABS(Z52-Y52)</f>
        <v>23.280200000000001</v>
      </c>
      <c r="AB52" s="66" t="str">
        <f>VLOOKUP(A52,Enforcements!$C$7:$K$20,8,0)</f>
        <v>Bulletin (2)</v>
      </c>
      <c r="AC52" s="62" t="str">
        <f>VLOOKUP(A52,Enforcements!$C$7:$E$20,3,0)</f>
        <v>GRADE CROSSING</v>
      </c>
      <c r="AD52" s="63" t="str">
        <f>IF(LEN(A52)=6,"0"&amp;A52,A52)</f>
        <v>0140-18</v>
      </c>
      <c r="AE52" s="99" t="str">
        <f>"aws s3 cp "&amp;s3_bucket&amp;"/RTDC"&amp;B52&amp;"/"&amp;TEXT(F52,"YYYY-MM-DD")&amp;"/ "&amp;search_path&amp;"\RTDC"&amp;B52&amp;"\"&amp;TEXT(F52,"YYYY-MM-DD")&amp;" --recursive &amp; """&amp;walkandungz&amp;""" "&amp;search_path&amp;"\RTDC"&amp;B52&amp;"\"&amp;TEXT(F52,"YYYY-MM-DD")
&amp;" &amp; "&amp;"aws s3 cp "&amp;s3_bucket&amp;"/RTDC"&amp;B52&amp;"/"&amp;TEXT(F52+1,"YYYY-MM-DD")&amp;"/ "&amp;search_path&amp;"\RTDC"&amp;B52&amp;"\"&amp;TEXT(F52+1,"YYYY-MM-DD")&amp;" --recursive &amp; """&amp;walkandungz&amp;""" "&amp;search_path&amp;"\RTDC"&amp;B52&amp;"\"&amp;TEXT(F52+1,"YYYY-MM-DD")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52" s="96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/stypes="app*4043*20160918*" /stext=" 16:.+((SYSTEM_STATE.+slice.+state.+changed )|(ment ac)|(system.+state.+changed )|(\|lc)|(penalty)|(\[timeout)|(PRM\|1\|D)|(kpr)|(kdp))" /e /r /s</v>
      </c>
      <c r="AG52" s="1" t="str">
        <f>IFERROR(IF(VALUE(LEFT(AD52,2))&lt;=2,"EC",IF(OR(VALUE(LEFT(AD52,2))=8,VALUE(LEFT(AD52,2))=18),"NW","Other")),"Other")</f>
        <v>EC</v>
      </c>
      <c r="AH52" s="100" t="str">
        <f t="shared" si="2"/>
        <v>"%USERPROFILE%\Documents\GitHub\eaglep3\Utilities\RefineRTDCRunTimes.py" --tripid 140-18 --locoid 4043 --swversion DE.1.0.7.0 --startMP 204:232945 --initTime 2016-09-18T09:20:39 --startdatetime 2016-09-18T09:26:23 --delay 1 --endMP 204:143 --enddatetime 2016-09-18T10:08:40 --enforcementcount 0 &gt;&gt;C:\Users\stu\Documents\GitHub\eaglep3-reporting\EC\2016-09-18-refined-times.txt</v>
      </c>
      <c r="AI52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ID","value":"140-18"},{"id":16,"name":"Locomotive ID","value":"4043"},{"id":130,"name":"Impact","value":""},{"id":150,"name":"Time of Event (Mountain Time)","value":"10:08:40"},{"id":151,"name":"Denver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464</v>
      </c>
      <c r="B53" s="7">
        <v>4038</v>
      </c>
      <c r="C53" s="24" t="s">
        <v>106</v>
      </c>
      <c r="D53" s="24" t="s">
        <v>265</v>
      </c>
      <c r="E53" s="15">
        <v>42631.360983796294</v>
      </c>
      <c r="F53" s="15">
        <v>42631.365231481483</v>
      </c>
      <c r="G53" s="7">
        <v>1</v>
      </c>
      <c r="H53" s="15" t="s">
        <v>249</v>
      </c>
      <c r="I53" s="15">
        <v>42631.390219907407</v>
      </c>
      <c r="J53" s="7">
        <v>0</v>
      </c>
      <c r="K53" s="121" t="str">
        <f>IF(ISEVEN(B53),(B53-1)&amp;"/"&amp;B53,B53&amp;"/"&amp;(B53+1))</f>
        <v>4037/4038</v>
      </c>
      <c r="L53" s="24" t="str">
        <f>VLOOKUP(A53,'Trips&amp;Operators'!$C$1:$E$10000,3,FALSE)</f>
        <v>KILLION</v>
      </c>
      <c r="M53" s="6">
        <f>I53-F53</f>
        <v>2.4988425924675539E-2</v>
      </c>
      <c r="N53" s="7">
        <f>24*60*SUM($M53:$M53)</f>
        <v>35.983333331532776</v>
      </c>
      <c r="O53" s="7"/>
      <c r="P53" s="7"/>
      <c r="Q53" s="25"/>
      <c r="R53" s="25"/>
      <c r="S53" s="37">
        <f>SUM(U53:U53)/IF(AG53="EC",12,1)</f>
        <v>1</v>
      </c>
      <c r="T53" s="52" t="str">
        <f>IF(ISEVEN(LEFT(AD53,4)),"Southbound","NorthBound")</f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https://search-rtdc-monitor-bjffxe2xuh6vdkpspy63sjmuny.us-east-1.es.amazonaws.com/_plugin/kibana/#/discover/Steve-Slow-Train-Analysis-(2080s-and-2083s)?_g=(refreshInterval:(display:Off,section:0,value:0),time:(from:'2016-09-18 07:39:49-0600',mode:absolute,to:'2016-09-18 10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3" s="54" t="str">
        <f>IF(AA53&lt;IF(AG53="EC",23,5.65),"Y","N")</f>
        <v>N</v>
      </c>
      <c r="X53" s="168">
        <f>VALUE(LEFT(AD53,4))-VALUE(LEFT(AD52,4))</f>
        <v>1</v>
      </c>
      <c r="Y53" s="69">
        <f>RIGHT(D53,LEN(D53)-4)/10000</f>
        <v>4.3700000000000003E-2</v>
      </c>
      <c r="Z53" s="69">
        <f>RIGHT(H53,LEN(H53)-4)/10000</f>
        <v>23.329899999999999</v>
      </c>
      <c r="AA53" s="69">
        <f>ABS(Z53-Y53)</f>
        <v>23.286199999999997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>IF(LEN(A53)=6,"0"&amp;A53,A53)</f>
        <v>0141-18</v>
      </c>
      <c r="AE53" s="99" t="str">
        <f>"aws s3 cp "&amp;s3_bucket&amp;"/RTDC"&amp;B53&amp;"/"&amp;TEXT(F53,"YYYY-MM-DD")&amp;"/ "&amp;search_path&amp;"\RTDC"&amp;B53&amp;"\"&amp;TEXT(F53,"YYYY-MM-DD")&amp;" --recursive &amp; """&amp;walkandungz&amp;""" "&amp;search_path&amp;"\RTDC"&amp;B53&amp;"\"&amp;TEXT(F53,"YYYY-MM-DD")
&amp;" &amp; "&amp;"aws s3 cp "&amp;s3_bucket&amp;"/RTDC"&amp;B53&amp;"/"&amp;TEXT(F53+1,"YYYY-MM-DD")&amp;"/ "&amp;search_path&amp;"\RTDC"&amp;B53&amp;"\"&amp;TEXT(F53+1,"YYYY-MM-DD")&amp;" --recursive &amp; """&amp;walkandungz&amp;""" "&amp;search_path&amp;"\RTDC"&amp;B53&amp;"\"&amp;TEXT(F53+1,"YYYY-MM-DD")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53" s="96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/stypes="app*4038*20160918*" /stext=" 15:.+((SYSTEM_STATE.+slice.+state.+changed )|(ment ac)|(system.+state.+changed )|(\|lc)|(penalty)|(\[timeout)|(PRM\|1\|D)|(kpr)|(kdp))" /e /r /s</v>
      </c>
      <c r="AG53" s="1" t="str">
        <f>IFERROR(IF(VALUE(LEFT(AD53,2))&lt;=2,"EC",IF(OR(VALUE(LEFT(AD53,2))=8,VALUE(LEFT(AD53,2))=18),"NW","Other")),"Other")</f>
        <v>EC</v>
      </c>
      <c r="AH53" s="100" t="str">
        <f t="shared" si="2"/>
        <v>"%USERPROFILE%\Documents\GitHub\eaglep3\Utilities\RefineRTDCRunTimes.py" --tripid 141-18 --locoid 4038 --swversion DE.1.0.7.0 --startMP 204:437 --initTime 2016-09-18T08:39:49 --startdatetime 2016-09-18T08:45:56 --delay 1 --endMP 204:233299 --enddatetime 2016-09-18T09:21:55 --enforcementcount 0 &gt;&gt;C:\Users\stu\Documents\GitHub\eaglep3-reporting\EC\2016-09-18-refined-times.txt</v>
      </c>
      <c r="AI53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{"issue":{"subject":"","project_id":79,"tracker_id":40,"status_id":1,"priority_id":2,"assigned_to_id":23,"start_date":"2016-09-18","description":"","custom_fields":[{"id":1,"name":"Subdivision","value":"EC"},{"id":4,"name":"Milepost","value":"23.3299"},{"id":17,"name":"Train ID","value":"141-18"},{"id":16,"name":"Locomotive ID","value":"4038"},{"id":130,"name":"Impact","value":""},{"id":150,"name":"Time of Event (Mountain Time)","value":"09:21:55"},{"id":151,"name":"Denver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470</v>
      </c>
      <c r="B54" s="7">
        <v>4037</v>
      </c>
      <c r="C54" s="24" t="s">
        <v>106</v>
      </c>
      <c r="D54" s="24" t="s">
        <v>284</v>
      </c>
      <c r="E54" s="15">
        <v>42631.39571759259</v>
      </c>
      <c r="F54" s="15">
        <v>42631.403715277775</v>
      </c>
      <c r="G54" s="7">
        <v>1</v>
      </c>
      <c r="H54" s="15" t="s">
        <v>256</v>
      </c>
      <c r="I54" s="15">
        <v>42631.434884259259</v>
      </c>
      <c r="J54" s="7">
        <v>0</v>
      </c>
      <c r="K54" s="121" t="str">
        <f>IF(ISEVEN(B54),(B54-1)&amp;"/"&amp;B54,B54&amp;"/"&amp;(B54+1))</f>
        <v>4037/4038</v>
      </c>
      <c r="L54" s="24" t="str">
        <f>VLOOKUP(A54,'Trips&amp;Operators'!$C$1:$E$10000,3,FALSE)</f>
        <v>KILLION</v>
      </c>
      <c r="M54" s="6">
        <f>I54-F54</f>
        <v>3.1168981484370306E-2</v>
      </c>
      <c r="N54" s="7">
        <f>24*60*SUM($M54:$M54)</f>
        <v>44.883333337493241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https://search-rtdc-monitor-bjffxe2xuh6vdkpspy63sjmuny.us-east-1.es.amazonaws.com/_plugin/kibana/#/discover/Steve-Slow-Train-Analysis-(2080s-and-2083s)?_g=(refreshInterval:(display:Off,section:0,value:0),time:(from:'2016-09-18 08:29:50-0600',mode:absolute,to:'2016-09-18 11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4" s="54" t="str">
        <f>IF(AA54&lt;IF(AG54="EC",23,5.65),"Y","N")</f>
        <v>N</v>
      </c>
      <c r="X54" s="168">
        <f>VALUE(LEFT(AD54,4))-VALUE(LEFT(AD53,4))</f>
        <v>1</v>
      </c>
      <c r="Y54" s="69">
        <f>RIGHT(D54,LEN(D54)-4)/10000</f>
        <v>23.296500000000002</v>
      </c>
      <c r="Z54" s="69">
        <f>RIGHT(H54,LEN(H54)-4)/10000</f>
        <v>1.43E-2</v>
      </c>
      <c r="AA54" s="69">
        <f>ABS(Z54-Y54)</f>
        <v>23.282200000000003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>IF(LEN(A54)=6,"0"&amp;A54,A54)</f>
        <v>0142-18</v>
      </c>
      <c r="AE54" s="99" t="str">
        <f>"aws s3 cp "&amp;s3_bucket&amp;"/RTDC"&amp;B54&amp;"/"&amp;TEXT(F54,"YYYY-MM-DD")&amp;"/ "&amp;search_path&amp;"\RTDC"&amp;B54&amp;"\"&amp;TEXT(F54,"YYYY-MM-DD")&amp;" --recursive &amp; """&amp;walkandungz&amp;""" "&amp;search_path&amp;"\RTDC"&amp;B54&amp;"\"&amp;TEXT(F54,"YYYY-MM-DD")
&amp;" &amp; "&amp;"aws s3 cp "&amp;s3_bucket&amp;"/RTDC"&amp;B54&amp;"/"&amp;TEXT(F54+1,"YYYY-MM-DD")&amp;"/ "&amp;search_path&amp;"\RTDC"&amp;B54&amp;"\"&amp;TEXT(F54+1,"YYYY-MM-DD")&amp;" --recursive &amp; """&amp;walkandungz&amp;""" "&amp;search_path&amp;"\RTDC"&amp;B54&amp;"\"&amp;TEXT(F54+1,"YYYY-MM-DD")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54" s="96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/stypes="app*4037*20160918*" /stext=" 16:.+((SYSTEM_STATE.+slice.+state.+changed )|(ment ac)|(system.+state.+changed )|(\|lc)|(penalty)|(\[timeout)|(PRM\|1\|D)|(kpr)|(kdp))" /e /r /s</v>
      </c>
      <c r="AG54" s="1" t="str">
        <f>IFERROR(IF(VALUE(LEFT(AD54,2))&lt;=2,"EC",IF(OR(VALUE(LEFT(AD54,2))=8,VALUE(LEFT(AD54,2))=18),"NW","Other")),"Other")</f>
        <v>EC</v>
      </c>
      <c r="AH54" s="100" t="str">
        <f t="shared" si="2"/>
        <v>"%USERPROFILE%\Documents\GitHub\eaglep3\Utilities\RefineRTDCRunTimes.py" --tripid 142-18 --locoid 4037 --swversion DE.1.0.7.0 --startMP 204:232965 --initTime 2016-09-18T09:29:50 --startdatetime 2016-09-18T09:41:21 --delay 1 --endMP 204:143 --enddatetime 2016-09-18T10:26:14 --enforcementcount 0 &gt;&gt;C:\Users\stu\Documents\GitHub\eaglep3-reporting\EC\2016-09-18-refined-times.txt</v>
      </c>
      <c r="AI54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ID","value":"142-18"},{"id":16,"name":"Locomotive ID","value":"4037"},{"id":130,"name":"Impact","value":""},{"id":150,"name":"Time of Event (Mountain Time)","value":"10:26:14"},{"id":151,"name":"Denver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466</v>
      </c>
      <c r="B55" s="7">
        <v>4027</v>
      </c>
      <c r="C55" s="24" t="s">
        <v>106</v>
      </c>
      <c r="D55" s="24" t="s">
        <v>233</v>
      </c>
      <c r="E55" s="15">
        <v>42631.371076388888</v>
      </c>
      <c r="F55" s="15">
        <v>42631.375520833331</v>
      </c>
      <c r="G55" s="7">
        <v>1</v>
      </c>
      <c r="H55" s="15" t="s">
        <v>629</v>
      </c>
      <c r="I55" s="15">
        <v>42631.400856481479</v>
      </c>
      <c r="J55" s="7">
        <v>0</v>
      </c>
      <c r="K55" s="121" t="str">
        <f>IF(ISEVEN(B55),(B55-1)&amp;"/"&amp;B55,B55&amp;"/"&amp;(B55+1))</f>
        <v>4027/4028</v>
      </c>
      <c r="L55" s="24" t="str">
        <f>VLOOKUP(A55,'Trips&amp;Operators'!$C$1:$E$10000,3,FALSE)</f>
        <v>YORK</v>
      </c>
      <c r="M55" s="6">
        <f>I55-F55</f>
        <v>2.5335648148029577E-2</v>
      </c>
      <c r="N55" s="7">
        <f>24*60*SUM($M55:$M55)</f>
        <v>36.483333333162591</v>
      </c>
      <c r="O55" s="7"/>
      <c r="P55" s="7"/>
      <c r="Q55" s="25"/>
      <c r="R55" s="25"/>
      <c r="S55" s="37">
        <f>SUM(U55:U55)/IF(AG55="EC",12,1)</f>
        <v>1</v>
      </c>
      <c r="T55" s="52" t="str">
        <f>IF(ISEVEN(LEFT(AD55,4)),"Southbound","NorthBound")</f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https://search-rtdc-monitor-bjffxe2xuh6vdkpspy63sjmuny.us-east-1.es.amazonaws.com/_plugin/kibana/#/discover/Steve-Slow-Train-Analysis-(2080s-and-2083s)?_g=(refreshInterval:(display:Off,section:0,value:0),time:(from:'2016-09-18 07:54:21-0600',mode:absolute,to:'2016-09-18 10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5" s="54" t="str">
        <f>IF(AA55&lt;IF(AG55="EC",23,5.65),"Y","N")</f>
        <v>N</v>
      </c>
      <c r="X55" s="168">
        <f>VALUE(LEFT(AD55,4))-VALUE(LEFT(AD54,4))</f>
        <v>1</v>
      </c>
      <c r="Y55" s="69">
        <f>RIGHT(D55,LEN(D55)-4)/10000</f>
        <v>4.6399999999999997E-2</v>
      </c>
      <c r="Z55" s="69">
        <f>RIGHT(H55,LEN(H55)-4)/10000</f>
        <v>23.3246</v>
      </c>
      <c r="AA55" s="69">
        <f>ABS(Z55-Y55)</f>
        <v>23.278200000000002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>IF(LEN(A55)=6,"0"&amp;A55,A55)</f>
        <v>0143-18</v>
      </c>
      <c r="AE55" s="99" t="str">
        <f>"aws s3 cp "&amp;s3_bucket&amp;"/RTDC"&amp;B55&amp;"/"&amp;TEXT(F55,"YYYY-MM-DD")&amp;"/ "&amp;search_path&amp;"\RTDC"&amp;B55&amp;"\"&amp;TEXT(F55,"YYYY-MM-DD")&amp;" --recursive &amp; """&amp;walkandungz&amp;""" "&amp;search_path&amp;"\RTDC"&amp;B55&amp;"\"&amp;TEXT(F55,"YYYY-MM-DD")
&amp;" &amp; "&amp;"aws s3 cp "&amp;s3_bucket&amp;"/RTDC"&amp;B55&amp;"/"&amp;TEXT(F55+1,"YYYY-MM-DD")&amp;"/ "&amp;search_path&amp;"\RTDC"&amp;B55&amp;"\"&amp;TEXT(F55+1,"YYYY-MM-DD")&amp;" --recursive &amp; """&amp;walkandungz&amp;""" "&amp;search_path&amp;"\RTDC"&amp;B55&amp;"\"&amp;TEXT(F55+1,"YYYY-MM-DD")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55" s="96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/stypes="app*4027*20160918*" /stext=" 15:.+((SYSTEM_STATE.+slice.+state.+changed )|(ment ac)|(system.+state.+changed )|(\|lc)|(penalty)|(\[timeout)|(PRM\|1\|D)|(kpr)|(kdp))" /e /r /s</v>
      </c>
      <c r="AG55" s="1" t="str">
        <f>IFERROR(IF(VALUE(LEFT(AD55,2))&lt;=2,"EC",IF(OR(VALUE(LEFT(AD55,2))=8,VALUE(LEFT(AD55,2))=18),"NW","Other")),"Other")</f>
        <v>EC</v>
      </c>
      <c r="AH55" s="100" t="str">
        <f t="shared" si="2"/>
        <v>"%USERPROFILE%\Documents\GitHub\eaglep3\Utilities\RefineRTDCRunTimes.py" --tripid 143-18 --locoid 4027 --swversion DE.1.0.7.0 --startMP 204:464 --initTime 2016-09-18T08:54:21 --startdatetime 2016-09-18T09:00:45 --delay 1 --endMP 204:233246 --enddatetime 2016-09-18T09:37:14 --enforcementcount 0 &gt;&gt;C:\Users\stu\Documents\GitHub\eaglep3-reporting\EC\2016-09-18-refined-times.txt</v>
      </c>
      <c r="AI55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{"issue":{"subject":"","project_id":79,"tracker_id":40,"status_id":1,"priority_id":2,"assigned_to_id":23,"start_date":"2016-09-18","description":"","custom_fields":[{"id":1,"name":"Subdivision","value":"EC"},{"id":4,"name":"Milepost","value":"23.3246"},{"id":17,"name":"Train ID","value":"143-18"},{"id":16,"name":"Locomotive ID","value":"4027"},{"id":130,"name":"Impact","value":""},{"id":150,"name":"Time of Event (Mountain Time)","value":"09:37:14"},{"id":151,"name":"Denver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474</v>
      </c>
      <c r="B56" s="7">
        <v>4028</v>
      </c>
      <c r="C56" s="24" t="s">
        <v>106</v>
      </c>
      <c r="D56" s="24" t="s">
        <v>278</v>
      </c>
      <c r="E56" s="15">
        <v>42631.403460648151</v>
      </c>
      <c r="F56" s="15">
        <v>42631.414293981485</v>
      </c>
      <c r="G56" s="7">
        <v>0</v>
      </c>
      <c r="H56" s="15" t="s">
        <v>127</v>
      </c>
      <c r="I56" s="15">
        <v>42631.443402777775</v>
      </c>
      <c r="J56" s="7">
        <v>0</v>
      </c>
      <c r="K56" s="121" t="str">
        <f>IF(ISEVEN(B56),(B56-1)&amp;"/"&amp;B56,B56&amp;"/"&amp;(B56+1))</f>
        <v>4027/4028</v>
      </c>
      <c r="L56" s="24" t="str">
        <f>VLOOKUP(A56,'Trips&amp;Operators'!$C$1:$E$10000,3,FALSE)</f>
        <v>YORK</v>
      </c>
      <c r="M56" s="6">
        <f>I56-F56</f>
        <v>2.9108796290529426E-2</v>
      </c>
      <c r="N56" s="7">
        <f>24*60*SUM($M56:$M56)</f>
        <v>41.916666658362374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https://search-rtdc-monitor-bjffxe2xuh6vdkpspy63sjmuny.us-east-1.es.amazonaws.com/_plugin/kibana/#/discover/Steve-Slow-Train-Analysis-(2080s-and-2083s)?_g=(refreshInterval:(display:Off,section:0,value:0),time:(from:'2016-09-18 08:40:59-0600',mode:absolute,to:'2016-09-18 11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6" s="54" t="str">
        <f>IF(AA56&lt;IF(AG56="EC",23,5.65),"Y","N")</f>
        <v>N</v>
      </c>
      <c r="X56" s="168">
        <f>VALUE(LEFT(AD56,4))-VALUE(LEFT(AD55,4))</f>
        <v>1</v>
      </c>
      <c r="Y56" s="69">
        <f>RIGHT(D56,LEN(D56)-4)/10000</f>
        <v>23.293399999999998</v>
      </c>
      <c r="Z56" s="69">
        <f>RIGHT(H56,LEN(H56)-4)/10000</f>
        <v>1.54E-2</v>
      </c>
      <c r="AA56" s="69">
        <f>ABS(Z56-Y56)</f>
        <v>23.277999999999999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>IF(LEN(A56)=6,"0"&amp;A56,A56)</f>
        <v>0144-18</v>
      </c>
      <c r="AE56" s="99" t="str">
        <f>"aws s3 cp "&amp;s3_bucket&amp;"/RTDC"&amp;B56&amp;"/"&amp;TEXT(F56,"YYYY-MM-DD")&amp;"/ "&amp;search_path&amp;"\RTDC"&amp;B56&amp;"\"&amp;TEXT(F56,"YYYY-MM-DD")&amp;" --recursive &amp; """&amp;walkandungz&amp;""" "&amp;search_path&amp;"\RTDC"&amp;B56&amp;"\"&amp;TEXT(F56,"YYYY-MM-DD")
&amp;" &amp; "&amp;"aws s3 cp "&amp;s3_bucket&amp;"/RTDC"&amp;B56&amp;"/"&amp;TEXT(F56+1,"YYYY-MM-DD")&amp;"/ "&amp;search_path&amp;"\RTDC"&amp;B56&amp;"\"&amp;TEXT(F56+1,"YYYY-MM-DD")&amp;" --recursive &amp; """&amp;walkandungz&amp;""" "&amp;search_path&amp;"\RTDC"&amp;B56&amp;"\"&amp;TEXT(F56+1,"YYYY-MM-DD")</f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56" s="96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/stypes="app*4028*20160918*" /stext=" 16:.+((SYSTEM_STATE.+slice.+state.+changed )|(ment ac)|(system.+state.+changed )|(\|lc)|(penalty)|(\[timeout)|(PRM\|1\|D)|(kpr)|(kdp))" /e /r /s</v>
      </c>
      <c r="AG56" s="1" t="str">
        <f>IFERROR(IF(VALUE(LEFT(AD56,2))&lt;=2,"EC",IF(OR(VALUE(LEFT(AD56,2))=8,VALUE(LEFT(AD56,2))=18),"NW","Other")),"Other")</f>
        <v>EC</v>
      </c>
      <c r="AH56" s="100" t="str">
        <f t="shared" si="2"/>
        <v>"%USERPROFILE%\Documents\GitHub\eaglep3\Utilities\RefineRTDCRunTimes.py" --tripid 144-18 --locoid 4028 --swversion DE.1.0.7.0 --startMP 204:232934 --initTime 2016-09-18T09:40:59 --startdatetime 2016-09-18T09:56:35 --delay 0 --endMP 204:154 --enddatetime 2016-09-18T10:38:30 --enforcementcount 0 &gt;&gt;C:\Users\stu\Documents\GitHub\eaglep3-reporting\EC\2016-09-18-refined-times.txt</v>
      </c>
      <c r="AI56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ID","value":"144-18"},{"id":16,"name":"Locomotive ID","value":"4028"},{"id":130,"name":"Impact","value":""},{"id":150,"name":"Time of Event (Mountain Time)","value":"10:38:30"},{"id":151,"name":"Denver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469</v>
      </c>
      <c r="B57" s="7">
        <v>4020</v>
      </c>
      <c r="C57" s="24" t="s">
        <v>106</v>
      </c>
      <c r="D57" s="24" t="s">
        <v>287</v>
      </c>
      <c r="E57" s="15">
        <v>42631.383240740739</v>
      </c>
      <c r="F57" s="15">
        <v>42631.385636574072</v>
      </c>
      <c r="G57" s="7">
        <v>1</v>
      </c>
      <c r="H57" s="15" t="s">
        <v>622</v>
      </c>
      <c r="I57" s="15">
        <v>42631.411956018521</v>
      </c>
      <c r="J57" s="7">
        <v>0</v>
      </c>
      <c r="K57" s="121" t="str">
        <f>IF(ISEVEN(B57),(B57-1)&amp;"/"&amp;B57,B57&amp;"/"&amp;(B57+1))</f>
        <v>4019/4020</v>
      </c>
      <c r="L57" s="24" t="str">
        <f>VLOOKUP(A57,'Trips&amp;Operators'!$C$1:$E$10000,3,FALSE)</f>
        <v>BROWN</v>
      </c>
      <c r="M57" s="6">
        <f>I57-F57</f>
        <v>2.6319444448745344E-2</v>
      </c>
      <c r="N57" s="7">
        <f>24*60*SUM($M57:$M57)</f>
        <v>37.900000006193295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https://search-rtdc-monitor-bjffxe2xuh6vdkpspy63sjmuny.us-east-1.es.amazonaws.com/_plugin/kibana/#/discover/Steve-Slow-Train-Analysis-(2080s-and-2083s)?_g=(refreshInterval:(display:Off,section:0,value:0),time:(from:'2016-09-18 08:11:52-0600',mode:absolute,to:'2016-09-18 10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7" s="54" t="str">
        <f>IF(AA57&lt;IF(AG57="EC",23,5.65),"Y","N")</f>
        <v>N</v>
      </c>
      <c r="X57" s="168">
        <f>VALUE(LEFT(AD57,4))-VALUE(LEFT(AD56,4))</f>
        <v>1</v>
      </c>
      <c r="Y57" s="69">
        <f>RIGHT(D57,LEN(D57)-4)/10000</f>
        <v>4.7699999999999999E-2</v>
      </c>
      <c r="Z57" s="69">
        <f>RIGHT(H57,LEN(H57)-4)/10000</f>
        <v>23.3307</v>
      </c>
      <c r="AA57" s="69">
        <f>ABS(Z57-Y57)</f>
        <v>23.283000000000001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>IF(LEN(A57)=6,"0"&amp;A57,A57)</f>
        <v>0145-18</v>
      </c>
      <c r="AE57" s="99" t="str">
        <f>"aws s3 cp "&amp;s3_bucket&amp;"/RTDC"&amp;B57&amp;"/"&amp;TEXT(F57,"YYYY-MM-DD")&amp;"/ "&amp;search_path&amp;"\RTDC"&amp;B57&amp;"\"&amp;TEXT(F57,"YYYY-MM-DD")&amp;" --recursive &amp; """&amp;walkandungz&amp;""" "&amp;search_path&amp;"\RTDC"&amp;B57&amp;"\"&amp;TEXT(F57,"YYYY-MM-DD")
&amp;" &amp; "&amp;"aws s3 cp "&amp;s3_bucket&amp;"/RTDC"&amp;B57&amp;"/"&amp;TEXT(F57+1,"YYYY-MM-DD")&amp;"/ "&amp;search_path&amp;"\RTDC"&amp;B57&amp;"\"&amp;TEXT(F57+1,"YYYY-MM-DD")&amp;" --recursive &amp; """&amp;walkandungz&amp;""" "&amp;search_path&amp;"\RTDC"&amp;B57&amp;"\"&amp;TEXT(F57+1,"YYYY-MM-DD")</f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57" s="96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/stypes="app*4020*20160918*" /stext=" 15:.+((SYSTEM_STATE.+slice.+state.+changed )|(ment ac)|(system.+state.+changed )|(\|lc)|(penalty)|(\[timeout)|(PRM\|1\|D)|(kpr)|(kdp))" /e /r /s</v>
      </c>
      <c r="AG57" s="1" t="str">
        <f>IFERROR(IF(VALUE(LEFT(AD57,2))&lt;=2,"EC",IF(OR(VALUE(LEFT(AD57,2))=8,VALUE(LEFT(AD57,2))=18),"NW","Other")),"Other")</f>
        <v>EC</v>
      </c>
      <c r="AH57" s="100" t="str">
        <f t="shared" si="2"/>
        <v>"%USERPROFILE%\Documents\GitHub\eaglep3\Utilities\RefineRTDCRunTimes.py" --tripid 145-18 --locoid 4020 --swversion DE.1.0.7.0 --startMP 204:477 --initTime 2016-09-18T09:11:52 --startdatetime 2016-09-18T09:15:19 --delay 1 --endMP 204:233307 --enddatetime 2016-09-18T09:53:13 --enforcementcount 0 &gt;&gt;C:\Users\stu\Documents\GitHub\eaglep3-reporting\EC\2016-09-18-refined-times.txt</v>
      </c>
      <c r="AI57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{"issue":{"subject":"","project_id":79,"tracker_id":40,"status_id":1,"priority_id":2,"assigned_to_id":23,"start_date":"2016-09-18","description":"","custom_fields":[{"id":1,"name":"Subdivision","value":"EC"},{"id":4,"name":"Milepost","value":"23.3307"},{"id":17,"name":"Train ID","value":"145-18"},{"id":16,"name":"Locomotive ID","value":"4020"},{"id":130,"name":"Impact","value":""},{"id":150,"name":"Time of Event (Mountain Time)","value":"09:53:13"},{"id":151,"name":"Denver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411</v>
      </c>
      <c r="B58" s="7">
        <v>4019</v>
      </c>
      <c r="C58" s="24" t="s">
        <v>106</v>
      </c>
      <c r="D58" s="24" t="s">
        <v>630</v>
      </c>
      <c r="E58" s="15">
        <v>42631.416759259257</v>
      </c>
      <c r="F58" s="15">
        <v>42631.424525462964</v>
      </c>
      <c r="G58" s="7">
        <v>1</v>
      </c>
      <c r="H58" s="15" t="s">
        <v>127</v>
      </c>
      <c r="I58" s="15">
        <v>42631.454143518517</v>
      </c>
      <c r="J58" s="7">
        <v>0</v>
      </c>
      <c r="K58" s="121" t="str">
        <f>IF(ISEVEN(B58),(B58-1)&amp;"/"&amp;B58,B58&amp;"/"&amp;(B58+1))</f>
        <v>4019/4020</v>
      </c>
      <c r="L58" s="24" t="str">
        <f>VLOOKUP(A58,'Trips&amp;Operators'!$C$1:$E$10000,3,FALSE)</f>
        <v>BROWN</v>
      </c>
      <c r="M58" s="6">
        <f>I58-F58</f>
        <v>2.9618055552418809E-2</v>
      </c>
      <c r="N58" s="7">
        <f>24*60*SUM($M58:$M58)</f>
        <v>42.649999995483086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https://search-rtdc-monitor-bjffxe2xuh6vdkpspy63sjmuny.us-east-1.es.amazonaws.com/_plugin/kibana/#/discover/Steve-Slow-Train-Analysis-(2080s-and-2083s)?_g=(refreshInterval:(display:Off,section:0,value:0),time:(from:'2016-09-18 09:00:08-0600',mode:absolute,to:'2016-09-18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8" s="54" t="str">
        <f>IF(AA58&lt;IF(AG58="EC",23,5.65),"Y","N")</f>
        <v>N</v>
      </c>
      <c r="X58" s="168">
        <f>VALUE(LEFT(AD58,4))-VALUE(LEFT(AD57,4))</f>
        <v>1</v>
      </c>
      <c r="Y58" s="69">
        <f>RIGHT(D58,LEN(D58)-4)/10000</f>
        <v>23.2988</v>
      </c>
      <c r="Z58" s="69">
        <f>RIGHT(H58,LEN(H58)-4)/10000</f>
        <v>1.54E-2</v>
      </c>
      <c r="AA58" s="69">
        <f>ABS(Z58-Y58)</f>
        <v>23.2834</v>
      </c>
      <c r="AB58" s="66" t="str">
        <f>VLOOKUP(A58,Enforcements!$C$7:$K$20,8,0)</f>
        <v>Bulletin (2)</v>
      </c>
      <c r="AC58" s="62" t="str">
        <f>VLOOKUP(A58,Enforcements!$C$7:$E$20,3,0)</f>
        <v>GRADE CROSSING</v>
      </c>
      <c r="AD58" s="63" t="str">
        <f>IF(LEN(A58)=6,"0"&amp;A58,A58)</f>
        <v>0146-18</v>
      </c>
      <c r="AE58" s="99" t="str">
        <f>"aws s3 cp "&amp;s3_bucket&amp;"/RTDC"&amp;B58&amp;"/"&amp;TEXT(F58,"YYYY-MM-DD")&amp;"/ "&amp;search_path&amp;"\RTDC"&amp;B58&amp;"\"&amp;TEXT(F58,"YYYY-MM-DD")&amp;" --recursive &amp; """&amp;walkandungz&amp;""" "&amp;search_path&amp;"\RTDC"&amp;B58&amp;"\"&amp;TEXT(F58,"YYYY-MM-DD")
&amp;" &amp; "&amp;"aws s3 cp "&amp;s3_bucket&amp;"/RTDC"&amp;B58&amp;"/"&amp;TEXT(F58+1,"YYYY-MM-DD")&amp;"/ "&amp;search_path&amp;"\RTDC"&amp;B58&amp;"\"&amp;TEXT(F58+1,"YYYY-MM-DD")&amp;" --recursive &amp; """&amp;walkandungz&amp;""" "&amp;search_path&amp;"\RTDC"&amp;B58&amp;"\"&amp;TEXT(F58+1,"YYYY-MM-DD")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58" s="96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/stypes="app*4019*20160918*" /stext=" 16:.+((SYSTEM_STATE.+slice.+state.+changed )|(ment ac)|(system.+state.+changed )|(\|lc)|(penalty)|(\[timeout)|(PRM\|1\|D)|(kpr)|(kdp))" /e /r /s</v>
      </c>
      <c r="AG58" s="1" t="str">
        <f>IFERROR(IF(VALUE(LEFT(AD58,2))&lt;=2,"EC",IF(OR(VALUE(LEFT(AD58,2))=8,VALUE(LEFT(AD58,2))=18),"NW","Other")),"Other")</f>
        <v>EC</v>
      </c>
      <c r="AH58" s="100" t="str">
        <f t="shared" si="2"/>
        <v>"%USERPROFILE%\Documents\GitHub\eaglep3\Utilities\RefineRTDCRunTimes.py" --tripid 146-18 --locoid 4019 --swversion DE.1.0.7.0 --startMP 204:232988 --initTime 2016-09-18T10:00:08 --startdatetime 2016-09-18T10:11:19 --delay 1 --endMP 204:154 --enddatetime 2016-09-18T10:53:58 --enforcementcount 0 &gt;&gt;C:\Users\stu\Documents\GitHub\eaglep3-reporting\EC\2016-09-18-refined-times.txt</v>
      </c>
      <c r="AI58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ID","value":"146-18"},{"id":16,"name":"Locomotive ID","value":"4019"},{"id":130,"name":"Impact","value":""},{"id":150,"name":"Time of Event (Mountain Time)","value":"10:53:58"},{"id":151,"name":"Denver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410</v>
      </c>
      <c r="B59" s="7">
        <v>4016</v>
      </c>
      <c r="C59" s="24" t="s">
        <v>106</v>
      </c>
      <c r="D59" s="24" t="s">
        <v>246</v>
      </c>
      <c r="E59" s="15">
        <v>42631.392476851855</v>
      </c>
      <c r="F59" s="15">
        <v>42631.396192129629</v>
      </c>
      <c r="G59" s="7">
        <v>1</v>
      </c>
      <c r="H59" s="15" t="s">
        <v>281</v>
      </c>
      <c r="I59" s="15">
        <v>42631.423263888886</v>
      </c>
      <c r="J59" s="7">
        <v>0</v>
      </c>
      <c r="K59" s="121" t="str">
        <f>IF(ISEVEN(B59),(B59-1)&amp;"/"&amp;B59,B59&amp;"/"&amp;(B59+1))</f>
        <v>4015/4016</v>
      </c>
      <c r="L59" s="24" t="str">
        <f>VLOOKUP(A59,'Trips&amp;Operators'!$C$1:$E$10000,3,FALSE)</f>
        <v>MAELZER</v>
      </c>
      <c r="M59" s="6">
        <f>I59-F59</f>
        <v>2.7071759257523809E-2</v>
      </c>
      <c r="N59" s="7">
        <f>24*60*SUM($M59:$M59)</f>
        <v>38.983333330834284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https://search-rtdc-monitor-bjffxe2xuh6vdkpspy63sjmuny.us-east-1.es.amazonaws.com/_plugin/kibana/#/discover/Steve-Slow-Train-Analysis-(2080s-and-2083s)?_g=(refreshInterval:(display:Off,section:0,value:0),time:(from:'2016-09-18 08:25:10-0600',mode:absolute,to:'2016-09-18 11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9" s="54" t="str">
        <f>IF(AA59&lt;IF(AG59="EC",23,5.65),"Y","N")</f>
        <v>N</v>
      </c>
      <c r="X59" s="168">
        <f>VALUE(LEFT(AD59,4))-VALUE(LEFT(AD58,4))</f>
        <v>1</v>
      </c>
      <c r="Y59" s="69">
        <f>RIGHT(D59,LEN(D59)-4)/10000</f>
        <v>4.7500000000000001E-2</v>
      </c>
      <c r="Z59" s="69">
        <f>RIGHT(H59,LEN(H59)-4)/10000</f>
        <v>23.327400000000001</v>
      </c>
      <c r="AA59" s="69">
        <f>ABS(Z59-Y59)</f>
        <v>23.279900000000001</v>
      </c>
      <c r="AB59" s="66" t="str">
        <f>VLOOKUP(A59,Enforcements!$C$7:$K$20,8,0)</f>
        <v>Speed (6)</v>
      </c>
      <c r="AC59" s="62" t="str">
        <f>VLOOKUP(A59,Enforcements!$C$7:$E$20,3,0)</f>
        <v>PERMANENT SPEED RESTRICTION</v>
      </c>
      <c r="AD59" s="63" t="str">
        <f>IF(LEN(A59)=6,"0"&amp;A59,A59)</f>
        <v>0147-18</v>
      </c>
      <c r="AE59" s="99" t="str">
        <f>"aws s3 cp "&amp;s3_bucket&amp;"/RTDC"&amp;B59&amp;"/"&amp;TEXT(F59,"YYYY-MM-DD")&amp;"/ "&amp;search_path&amp;"\RTDC"&amp;B59&amp;"\"&amp;TEXT(F59,"YYYY-MM-DD")&amp;" --recursive &amp; """&amp;walkandungz&amp;""" "&amp;search_path&amp;"\RTDC"&amp;B59&amp;"\"&amp;TEXT(F59,"YYYY-MM-DD")
&amp;" &amp; "&amp;"aws s3 cp "&amp;s3_bucket&amp;"/RTDC"&amp;B59&amp;"/"&amp;TEXT(F59+1,"YYYY-MM-DD")&amp;"/ "&amp;search_path&amp;"\RTDC"&amp;B59&amp;"\"&amp;TEXT(F59+1,"YYYY-MM-DD")&amp;" --recursive &amp; """&amp;walkandungz&amp;""" "&amp;search_path&amp;"\RTDC"&amp;B59&amp;"\"&amp;TEXT(F59+1,"YYYY-MM-DD")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59" s="96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/stypes="app*4016*20160918*" /stext=" 16:.+((SYSTEM_STATE.+slice.+state.+changed )|(ment ac)|(system.+state.+changed )|(\|lc)|(penalty)|(\[timeout)|(PRM\|1\|D)|(kpr)|(kdp))" /e /r /s</v>
      </c>
      <c r="AG59" s="1" t="str">
        <f>IFERROR(IF(VALUE(LEFT(AD59,2))&lt;=2,"EC",IF(OR(VALUE(LEFT(AD59,2))=8,VALUE(LEFT(AD59,2))=18),"NW","Other")),"Other")</f>
        <v>EC</v>
      </c>
      <c r="AH59" s="100" t="str">
        <f t="shared" si="2"/>
        <v>"%USERPROFILE%\Documents\GitHub\eaglep3\Utilities\RefineRTDCRunTimes.py" --tripid 147-18 --locoid 4016 --swversion DE.1.0.7.0 --startMP 204:475 --initTime 2016-09-18T09:25:10 --startdatetime 2016-09-18T09:30:31 --delay 1 --endMP 204:233274 --enddatetime 2016-09-18T10:09:30 --enforcementcount 0 &gt;&gt;C:\Users\stu\Documents\GitHub\eaglep3-reporting\EC\2016-09-18-refined-times.txt</v>
      </c>
      <c r="AI59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{"issue":{"subject":"","project_id":79,"tracker_id":40,"status_id":1,"priority_id":2,"assigned_to_id":23,"start_date":"2016-09-18","description":"","custom_fields":[{"id":1,"name":"Subdivision","value":"EC"},{"id":4,"name":"Milepost","value":"23.3274"},{"id":17,"name":"Train ID","value":"147-18"},{"id":16,"name":"Locomotive ID","value":"4016"},{"id":130,"name":"Impact","value":""},{"id":150,"name":"Time of Event (Mountain Time)","value":"10:09:30"},{"id":151,"name":"Denver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412</v>
      </c>
      <c r="B60" s="7">
        <v>4015</v>
      </c>
      <c r="C60" s="24" t="s">
        <v>106</v>
      </c>
      <c r="D60" s="24" t="s">
        <v>257</v>
      </c>
      <c r="E60" s="15">
        <v>42631.429594907408</v>
      </c>
      <c r="F60" s="15">
        <v>42631.434976851851</v>
      </c>
      <c r="G60" s="7">
        <v>2</v>
      </c>
      <c r="H60" s="15" t="s">
        <v>214</v>
      </c>
      <c r="I60" s="15">
        <v>42631.465613425928</v>
      </c>
      <c r="J60" s="7">
        <v>0</v>
      </c>
      <c r="K60" s="121" t="str">
        <f>IF(ISEVEN(B60),(B60-1)&amp;"/"&amp;B60,B60&amp;"/"&amp;(B60+1))</f>
        <v>4015/4016</v>
      </c>
      <c r="L60" s="24" t="str">
        <f>VLOOKUP(A60,'Trips&amp;Operators'!$C$1:$E$10000,3,FALSE)</f>
        <v>MAELZER</v>
      </c>
      <c r="M60" s="6">
        <f>I60-F60</f>
        <v>3.0636574076197576E-2</v>
      </c>
      <c r="N60" s="7">
        <f>24*60*SUM($M60:$M60)</f>
        <v>44.116666669724509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https://search-rtdc-monitor-bjffxe2xuh6vdkpspy63sjmuny.us-east-1.es.amazonaws.com/_plugin/kibana/#/discover/Steve-Slow-Train-Analysis-(2080s-and-2083s)?_g=(refreshInterval:(display:Off,section:0,value:0),time:(from:'2016-09-18 09:18:37-0600',mode:absolute,to:'2016-09-18 12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60" s="54" t="str">
        <f>IF(AA60&lt;IF(AG60="EC",23,5.65),"Y","N")</f>
        <v>N</v>
      </c>
      <c r="X60" s="168">
        <f>VALUE(LEFT(AD60,4))-VALUE(LEFT(AD59,4))</f>
        <v>1</v>
      </c>
      <c r="Y60" s="69">
        <f>RIGHT(D60,LEN(D60)-4)/10000</f>
        <v>23.295500000000001</v>
      </c>
      <c r="Z60" s="69">
        <f>RIGHT(H60,LEN(H60)-4)/10000</f>
        <v>1.6E-2</v>
      </c>
      <c r="AA60" s="69">
        <f>ABS(Z60-Y60)</f>
        <v>23.279500000000002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>IF(LEN(A60)=6,"0"&amp;A60,A60)</f>
        <v>0148-18</v>
      </c>
      <c r="AE60" s="99" t="str">
        <f>"aws s3 cp "&amp;s3_bucket&amp;"/RTDC"&amp;B60&amp;"/"&amp;TEXT(F60,"YYYY-MM-DD")&amp;"/ "&amp;search_path&amp;"\RTDC"&amp;B60&amp;"\"&amp;TEXT(F60,"YYYY-MM-DD")&amp;" --recursive &amp; """&amp;walkandungz&amp;""" "&amp;search_path&amp;"\RTDC"&amp;B60&amp;"\"&amp;TEXT(F60,"YYYY-MM-DD")
&amp;" &amp; "&amp;"aws s3 cp "&amp;s3_bucket&amp;"/RTDC"&amp;B60&amp;"/"&amp;TEXT(F60+1,"YYYY-MM-DD")&amp;"/ "&amp;search_path&amp;"\RTDC"&amp;B60&amp;"\"&amp;TEXT(F60+1,"YYYY-MM-DD")&amp;" --recursive &amp; """&amp;walkandungz&amp;""" "&amp;search_path&amp;"\RTDC"&amp;B60&amp;"\"&amp;TEXT(F60+1,"YYYY-MM-DD")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60" s="96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/stypes="app*4015*20160918*" /stext=" 17:.+((SYSTEM_STATE.+slice.+state.+changed )|(ment ac)|(system.+state.+changed )|(\|lc)|(penalty)|(\[timeout)|(PRM\|1\|D)|(kpr)|(kdp))" /e /r /s</v>
      </c>
      <c r="AG60" s="1" t="str">
        <f>IFERROR(IF(VALUE(LEFT(AD60,2))&lt;=2,"EC",IF(OR(VALUE(LEFT(AD60,2))=8,VALUE(LEFT(AD60,2))=18),"NW","Other")),"Other")</f>
        <v>EC</v>
      </c>
      <c r="AH60" s="100" t="str">
        <f t="shared" si="2"/>
        <v>"%USERPROFILE%\Documents\GitHub\eaglep3\Utilities\RefineRTDCRunTimes.py" --tripid 148-18 --locoid 4015 --swversion DE.1.0.7.0 --startMP 204:232955 --initTime 2016-09-18T10:18:37 --startdatetime 2016-09-18T10:26:22 --delay 2 --endMP 204:160 --enddatetime 2016-09-18T11:10:29 --enforcementcount 0 &gt;&gt;C:\Users\stu\Documents\GitHub\eaglep3-reporting\EC\2016-09-18-refined-times.txt</v>
      </c>
      <c r="AI60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ID","value":"148-18"},{"id":16,"name":"Locomotive ID","value":"4015"},{"id":130,"name":"Impact","value":""},{"id":150,"name":"Time of Event (Mountain Time)","value":"11:10:29"},{"id":151,"name":"Denver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473</v>
      </c>
      <c r="B61" s="7">
        <v>4009</v>
      </c>
      <c r="C61" s="24" t="s">
        <v>106</v>
      </c>
      <c r="D61" s="24" t="s">
        <v>252</v>
      </c>
      <c r="E61" s="15">
        <v>42631.401944444442</v>
      </c>
      <c r="F61" s="15">
        <v>42631.406435185185</v>
      </c>
      <c r="G61" s="7">
        <v>1</v>
      </c>
      <c r="H61" s="15" t="s">
        <v>389</v>
      </c>
      <c r="I61" s="15">
        <v>42631.431944444441</v>
      </c>
      <c r="J61" s="7">
        <v>0</v>
      </c>
      <c r="K61" s="121" t="str">
        <f>IF(ISEVEN(B61),(B61-1)&amp;"/"&amp;B61,B61&amp;"/"&amp;(B61+1))</f>
        <v>4009/4010</v>
      </c>
      <c r="L61" s="24" t="str">
        <f>VLOOKUP(A61,'Trips&amp;Operators'!$C$1:$E$10000,3,FALSE)</f>
        <v>DAVIS</v>
      </c>
      <c r="M61" s="6">
        <f>I61-F61</f>
        <v>2.5509259256068617E-2</v>
      </c>
      <c r="N61" s="7">
        <f>24*60*SUM($M61:$M61)</f>
        <v>36.733333328738809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https://search-rtdc-monitor-bjffxe2xuh6vdkpspy63sjmuny.us-east-1.es.amazonaws.com/_plugin/kibana/#/discover/Steve-Slow-Train-Analysis-(2080s-and-2083s)?_g=(refreshInterval:(display:Off,section:0,value:0),time:(from:'2016-09-18 08:38:48-0600',mode:absolute,to:'2016-09-18 11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1" s="54" t="str">
        <f>IF(AA61&lt;IF(AG61="EC",23,5.65),"Y","N")</f>
        <v>N</v>
      </c>
      <c r="X61" s="168">
        <f>VALUE(LEFT(AD61,4))-VALUE(LEFT(AD60,4))</f>
        <v>1</v>
      </c>
      <c r="Y61" s="69">
        <f>RIGHT(D61,LEN(D61)-4)/10000</f>
        <v>4.4600000000000001E-2</v>
      </c>
      <c r="Z61" s="69">
        <f>RIGHT(H61,LEN(H61)-4)/10000</f>
        <v>23.331399999999999</v>
      </c>
      <c r="AA61" s="69">
        <f>ABS(Z61-Y61)</f>
        <v>23.286799999999999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>IF(LEN(A61)=6,"0"&amp;A61,A61)</f>
        <v>0149-18</v>
      </c>
      <c r="AE61" s="99" t="str">
        <f>"aws s3 cp "&amp;s3_bucket&amp;"/RTDC"&amp;B61&amp;"/"&amp;TEXT(F61,"YYYY-MM-DD")&amp;"/ "&amp;search_path&amp;"\RTDC"&amp;B61&amp;"\"&amp;TEXT(F61,"YYYY-MM-DD")&amp;" --recursive &amp; """&amp;walkandungz&amp;""" "&amp;search_path&amp;"\RTDC"&amp;B61&amp;"\"&amp;TEXT(F61,"YYYY-MM-DD")
&amp;" &amp; "&amp;"aws s3 cp "&amp;s3_bucket&amp;"/RTDC"&amp;B61&amp;"/"&amp;TEXT(F61+1,"YYYY-MM-DD")&amp;"/ "&amp;search_path&amp;"\RTDC"&amp;B61&amp;"\"&amp;TEXT(F61+1,"YYYY-MM-DD")&amp;" --recursive &amp; """&amp;walkandungz&amp;""" "&amp;search_path&amp;"\RTDC"&amp;B61&amp;"\"&amp;TEXT(F61+1,"YYYY-MM-DD")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61" s="96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/stypes="app*4009*20160918*" /stext=" 16:.+((SYSTEM_STATE.+slice.+state.+changed )|(ment ac)|(system.+state.+changed )|(\|lc)|(penalty)|(\[timeout)|(PRM\|1\|D)|(kpr)|(kdp))" /e /r /s</v>
      </c>
      <c r="AG61" s="1" t="str">
        <f>IFERROR(IF(VALUE(LEFT(AD61,2))&lt;=2,"EC",IF(OR(VALUE(LEFT(AD61,2))=8,VALUE(LEFT(AD61,2))=18),"NW","Other")),"Other")</f>
        <v>EC</v>
      </c>
      <c r="AH61" s="100" t="str">
        <f t="shared" si="2"/>
        <v>"%USERPROFILE%\Documents\GitHub\eaglep3\Utilities\RefineRTDCRunTimes.py" --tripid 149-18 --locoid 4009 --swversion DE.1.0.7.0 --startMP 204:446 --initTime 2016-09-18T09:38:48 --startdatetime 2016-09-18T09:45:16 --delay 1 --endMP 204:233314 --enddatetime 2016-09-18T10:22:00 --enforcementcount 0 &gt;&gt;C:\Users\stu\Documents\GitHub\eaglep3-reporting\EC\2016-09-18-refined-times.txt</v>
      </c>
      <c r="AI61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{"issue":{"subject":"","project_id":79,"tracker_id":40,"status_id":1,"priority_id":2,"assigned_to_id":23,"start_date":"2016-09-18","description":"","custom_fields":[{"id":1,"name":"Subdivision","value":"EC"},{"id":4,"name":"Milepost","value":"23.3314"},{"id":17,"name":"Train ID","value":"149-18"},{"id":16,"name":"Locomotive ID","value":"4009"},{"id":130,"name":"Impact","value":""},{"id":150,"name":"Time of Event (Mountain Time)","value":"10:22:00"},{"id":151,"name":"Denver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478</v>
      </c>
      <c r="B62" s="7">
        <v>4010</v>
      </c>
      <c r="C62" s="24" t="s">
        <v>106</v>
      </c>
      <c r="D62" s="24" t="s">
        <v>623</v>
      </c>
      <c r="E62" s="15">
        <v>42631.441655092596</v>
      </c>
      <c r="F62" s="15">
        <v>42631.4453587963</v>
      </c>
      <c r="G62" s="7">
        <v>1</v>
      </c>
      <c r="H62" s="15" t="s">
        <v>631</v>
      </c>
      <c r="I62" s="15">
        <v>42631.477118055554</v>
      </c>
      <c r="J62" s="7">
        <v>0</v>
      </c>
      <c r="K62" s="121" t="str">
        <f>IF(ISEVEN(B62),(B62-1)&amp;"/"&amp;B62,B62&amp;"/"&amp;(B62+1))</f>
        <v>4009/4010</v>
      </c>
      <c r="L62" s="24" t="str">
        <f>VLOOKUP(A62,'Trips&amp;Operators'!$C$1:$E$10000,3,FALSE)</f>
        <v>DAVIS</v>
      </c>
      <c r="M62" s="6">
        <f>I62-F62</f>
        <v>3.1759259254613426E-2</v>
      </c>
      <c r="N62" s="7">
        <f>24*60*SUM($M62:$M62)</f>
        <v>45.733333326643333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https://search-rtdc-monitor-bjffxe2xuh6vdkpspy63sjmuny.us-east-1.es.amazonaws.com/_plugin/kibana/#/discover/Steve-Slow-Train-Analysis-(2080s-and-2083s)?_g=(refreshInterval:(display:Off,section:0,value:0),time:(from:'2016-09-18 09:35:59-0600',mode:absolute,to:'2016-09-18 12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2" s="54" t="str">
        <f>IF(AA62&lt;IF(AG62="EC",23,5.65),"Y","N")</f>
        <v>N</v>
      </c>
      <c r="X62" s="168">
        <f>VALUE(LEFT(AD62,4))-VALUE(LEFT(AD61,4))</f>
        <v>1</v>
      </c>
      <c r="Y62" s="69">
        <f>RIGHT(D62,LEN(D62)-4)/10000</f>
        <v>23.298200000000001</v>
      </c>
      <c r="Z62" s="69">
        <f>RIGHT(H62,LEN(H62)-4)/10000</f>
        <v>1.34E-2</v>
      </c>
      <c r="AA62" s="69">
        <f>ABS(Z62-Y62)</f>
        <v>23.284800000000001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>IF(LEN(A62)=6,"0"&amp;A62,A62)</f>
        <v>0150-18</v>
      </c>
      <c r="AE62" s="99" t="str">
        <f>"aws s3 cp "&amp;s3_bucket&amp;"/RTDC"&amp;B62&amp;"/"&amp;TEXT(F62,"YYYY-MM-DD")&amp;"/ "&amp;search_path&amp;"\RTDC"&amp;B62&amp;"\"&amp;TEXT(F62,"YYYY-MM-DD")&amp;" --recursive &amp; """&amp;walkandungz&amp;""" "&amp;search_path&amp;"\RTDC"&amp;B62&amp;"\"&amp;TEXT(F62,"YYYY-MM-DD")
&amp;" &amp; "&amp;"aws s3 cp "&amp;s3_bucket&amp;"/RTDC"&amp;B62&amp;"/"&amp;TEXT(F62+1,"YYYY-MM-DD")&amp;"/ "&amp;search_path&amp;"\RTDC"&amp;B62&amp;"\"&amp;TEXT(F62+1,"YYYY-MM-DD")&amp;" --recursive &amp; """&amp;walkandungz&amp;""" "&amp;search_path&amp;"\RTDC"&amp;B62&amp;"\"&amp;TEXT(F62+1,"YYYY-MM-DD")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62" s="96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/stypes="app*4010*20160918*" /stext=" 17:.+((SYSTEM_STATE.+slice.+state.+changed )|(ment ac)|(system.+state.+changed )|(\|lc)|(penalty)|(\[timeout)|(PRM\|1\|D)|(kpr)|(kdp))" /e /r /s</v>
      </c>
      <c r="AG62" s="1" t="str">
        <f>IFERROR(IF(VALUE(LEFT(AD62,2))&lt;=2,"EC",IF(OR(VALUE(LEFT(AD62,2))=8,VALUE(LEFT(AD62,2))=18),"NW","Other")),"Other")</f>
        <v>EC</v>
      </c>
      <c r="AH62" s="100" t="str">
        <f t="shared" si="2"/>
        <v>"%USERPROFILE%\Documents\GitHub\eaglep3\Utilities\RefineRTDCRunTimes.py" --tripid 150-18 --locoid 4010 --swversion DE.1.0.7.0 --startMP 204:232982 --initTime 2016-09-18T10:35:59 --startdatetime 2016-09-18T10:41:19 --delay 1 --endMP 204:134 --enddatetime 2016-09-18T11:27:03 --enforcementcount 0 &gt;&gt;C:\Users\stu\Documents\GitHub\eaglep3-reporting\EC\2016-09-18-refined-times.txt</v>
      </c>
      <c r="AI62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{"issue":{"subject":"","project_id":79,"tracker_id":40,"status_id":1,"priority_id":2,"assigned_to_id":23,"start_date":"2016-09-18","description":"","custom_fields":[{"id":1,"name":"Subdivision","value":"EC"},{"id":4,"name":"Milepost","value":"0.0134"},{"id":17,"name":"Train ID","value":"150-18"},{"id":16,"name":"Locomotive ID","value":"4010"},{"id":130,"name":"Impact","value":""},{"id":150,"name":"Time of Event (Mountain Time)","value":"11:27:03"},{"id":151,"name":"Denver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471</v>
      </c>
      <c r="B63" s="7">
        <v>4003</v>
      </c>
      <c r="C63" s="24" t="s">
        <v>106</v>
      </c>
      <c r="D63" s="24" t="s">
        <v>223</v>
      </c>
      <c r="E63" s="15">
        <v>42631.419270833336</v>
      </c>
      <c r="F63" s="15">
        <v>42631.421967592592</v>
      </c>
      <c r="G63" s="7">
        <v>1</v>
      </c>
      <c r="H63" s="15" t="s">
        <v>632</v>
      </c>
      <c r="I63" s="15">
        <v>42631.449166666665</v>
      </c>
      <c r="J63" s="7">
        <v>0</v>
      </c>
      <c r="K63" s="121" t="str">
        <f>IF(ISEVEN(B63),(B63-1)&amp;"/"&amp;B63,B63&amp;"/"&amp;(B63+1))</f>
        <v>4003/4004</v>
      </c>
      <c r="L63" s="24" t="str">
        <f>VLOOKUP(A63,'Trips&amp;Operators'!$C$1:$E$10000,3,FALSE)</f>
        <v>MALAVE</v>
      </c>
      <c r="M63" s="6">
        <f>I63-F63</f>
        <v>2.7199074072996154E-2</v>
      </c>
      <c r="N63" s="7">
        <f>24*60*SUM($M63:$M63)</f>
        <v>39.166666665114462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https://search-rtdc-monitor-bjffxe2xuh6vdkpspy63sjmuny.us-east-1.es.amazonaws.com/_plugin/kibana/#/discover/Steve-Slow-Train-Analysis-(2080s-and-2083s)?_g=(refreshInterval:(display:Off,section:0,value:0),time:(from:'2016-09-18 09:03:45-0600',mode:absolute,to:'2016-09-18 11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3" s="54" t="str">
        <f>IF(AA63&lt;IF(AG63="EC",23,5.65),"Y","N")</f>
        <v>N</v>
      </c>
      <c r="X63" s="168">
        <f>VALUE(LEFT(AD63,4))-VALUE(LEFT(AD62,4))</f>
        <v>1</v>
      </c>
      <c r="Y63" s="69">
        <f>RIGHT(D63,LEN(D63)-4)/10000</f>
        <v>4.5699999999999998E-2</v>
      </c>
      <c r="Z63" s="69">
        <f>RIGHT(H63,LEN(H63)-4)/10000</f>
        <v>23.317399999999999</v>
      </c>
      <c r="AA63" s="69">
        <f>ABS(Z63-Y63)</f>
        <v>23.271699999999999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>IF(LEN(A63)=6,"0"&amp;A63,A63)</f>
        <v>0151-18</v>
      </c>
      <c r="AE63" s="99" t="str">
        <f>"aws s3 cp "&amp;s3_bucket&amp;"/RTDC"&amp;B63&amp;"/"&amp;TEXT(F63,"YYYY-MM-DD")&amp;"/ "&amp;search_path&amp;"\RTDC"&amp;B63&amp;"\"&amp;TEXT(F63,"YYYY-MM-DD")&amp;" --recursive &amp; """&amp;walkandungz&amp;""" "&amp;search_path&amp;"\RTDC"&amp;B63&amp;"\"&amp;TEXT(F63,"YYYY-MM-DD")
&amp;" &amp; "&amp;"aws s3 cp "&amp;s3_bucket&amp;"/RTDC"&amp;B63&amp;"/"&amp;TEXT(F63+1,"YYYY-MM-DD")&amp;"/ "&amp;search_path&amp;"\RTDC"&amp;B63&amp;"\"&amp;TEXT(F63+1,"YYYY-MM-DD")&amp;" --recursive &amp; """&amp;walkandungz&amp;""" "&amp;search_path&amp;"\RTDC"&amp;B63&amp;"\"&amp;TEXT(F63+1,"YYYY-MM-DD")</f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63" s="96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/stypes="app*4003*20160918*" /stext=" 16:.+((SYSTEM_STATE.+slice.+state.+changed )|(ment ac)|(system.+state.+changed )|(\|lc)|(penalty)|(\[timeout)|(PRM\|1\|D)|(kpr)|(kdp))" /e /r /s</v>
      </c>
      <c r="AG63" s="1" t="str">
        <f>IFERROR(IF(VALUE(LEFT(AD63,2))&lt;=2,"EC",IF(OR(VALUE(LEFT(AD63,2))=8,VALUE(LEFT(AD63,2))=18),"NW","Other")),"Other")</f>
        <v>EC</v>
      </c>
      <c r="AH63" s="100" t="str">
        <f t="shared" si="2"/>
        <v>"%USERPROFILE%\Documents\GitHub\eaglep3\Utilities\RefineRTDCRunTimes.py" --tripid 151-18 --locoid 4003 --swversion DE.1.0.7.0 --startMP 204:457 --initTime 2016-09-18T10:03:45 --startdatetime 2016-09-18T10:07:38 --delay 1 --endMP 204:233174 --enddatetime 2016-09-18T10:46:48 --enforcementcount 0 &gt;&gt;C:\Users\stu\Documents\GitHub\eaglep3-reporting\EC\2016-09-18-refined-times.txt</v>
      </c>
      <c r="AI63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{"issue":{"subject":"","project_id":79,"tracker_id":40,"status_id":1,"priority_id":2,"assigned_to_id":23,"start_date":"2016-09-18","description":"","custom_fields":[{"id":1,"name":"Subdivision","value":"EC"},{"id":4,"name":"Milepost","value":"23.3174"},{"id":17,"name":"Train ID","value":"151-18"},{"id":16,"name":"Locomotive ID","value":"4003"},{"id":130,"name":"Impact","value":""},{"id":150,"name":"Time of Event (Mountain Time)","value":"10:46:48"},{"id":151,"name":"Denver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481</v>
      </c>
      <c r="B64" s="7">
        <v>4004</v>
      </c>
      <c r="C64" s="24" t="s">
        <v>106</v>
      </c>
      <c r="D64" s="24" t="s">
        <v>633</v>
      </c>
      <c r="E64" s="15">
        <v>42631.451921296299</v>
      </c>
      <c r="F64" s="15">
        <v>42631.45616898148</v>
      </c>
      <c r="G64" s="7">
        <v>2</v>
      </c>
      <c r="H64" s="15" t="s">
        <v>240</v>
      </c>
      <c r="I64" s="15">
        <v>42631.483171296299</v>
      </c>
      <c r="J64" s="7">
        <v>0</v>
      </c>
      <c r="K64" s="121" t="str">
        <f>IF(ISEVEN(B64),(B64-1)&amp;"/"&amp;B64,B64&amp;"/"&amp;(B64+1))</f>
        <v>4003/4004</v>
      </c>
      <c r="L64" s="24" t="str">
        <f>VLOOKUP(A64,'Trips&amp;Operators'!$C$1:$E$10000,3,FALSE)</f>
        <v>DE LA ROSA</v>
      </c>
      <c r="M64" s="6">
        <f>I64-F64</f>
        <v>2.7002314818673767E-2</v>
      </c>
      <c r="N64" s="7">
        <f>24*60*SUM($M64:$M64)</f>
        <v>38.883333338890225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https://search-rtdc-monitor-bjffxe2xuh6vdkpspy63sjmuny.us-east-1.es.amazonaws.com/_plugin/kibana/#/discover/Steve-Slow-Train-Analysis-(2080s-and-2083s)?_g=(refreshInterval:(display:Off,section:0,value:0),time:(from:'2016-09-18 09:50:46-0600',mode:absolute,to:'2016-09-18 12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4" s="54" t="str">
        <f>IF(AA64&lt;IF(AG64="EC",23,5.65),"Y","N")</f>
        <v>N</v>
      </c>
      <c r="X64" s="168">
        <f>VALUE(LEFT(AD64,4))-VALUE(LEFT(AD63,4))</f>
        <v>1</v>
      </c>
      <c r="Y64" s="69">
        <f>RIGHT(D64,LEN(D64)-4)/10000</f>
        <v>23.285499999999999</v>
      </c>
      <c r="Z64" s="69">
        <f>RIGHT(H64,LEN(H64)-4)/10000</f>
        <v>1.38E-2</v>
      </c>
      <c r="AA64" s="69">
        <f>ABS(Z64-Y64)</f>
        <v>23.271699999999999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>IF(LEN(A64)=6,"0"&amp;A64,A64)</f>
        <v>0152-18</v>
      </c>
      <c r="AE64" s="99" t="str">
        <f>"aws s3 cp "&amp;s3_bucket&amp;"/RTDC"&amp;B64&amp;"/"&amp;TEXT(F64,"YYYY-MM-DD")&amp;"/ "&amp;search_path&amp;"\RTDC"&amp;B64&amp;"\"&amp;TEXT(F64,"YYYY-MM-DD")&amp;" --recursive &amp; """&amp;walkandungz&amp;""" "&amp;search_path&amp;"\RTDC"&amp;B64&amp;"\"&amp;TEXT(F64,"YYYY-MM-DD")
&amp;" &amp; "&amp;"aws s3 cp "&amp;s3_bucket&amp;"/RTDC"&amp;B64&amp;"/"&amp;TEXT(F64+1,"YYYY-MM-DD")&amp;"/ "&amp;search_path&amp;"\RTDC"&amp;B64&amp;"\"&amp;TEXT(F64+1,"YYYY-MM-DD")&amp;" --recursive &amp; """&amp;walkandungz&amp;""" "&amp;search_path&amp;"\RTDC"&amp;B64&amp;"\"&amp;TEXT(F64+1,"YYYY-MM-DD")</f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64" s="96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/stypes="app*4004*20160918*" /stext=" 17:.+((SYSTEM_STATE.+slice.+state.+changed )|(ment ac)|(system.+state.+changed )|(\|lc)|(penalty)|(\[timeout)|(PRM\|1\|D)|(kpr)|(kdp))" /e /r /s</v>
      </c>
      <c r="AG64" s="1" t="str">
        <f>IFERROR(IF(VALUE(LEFT(AD64,2))&lt;=2,"EC",IF(OR(VALUE(LEFT(AD64,2))=8,VALUE(LEFT(AD64,2))=18),"NW","Other")),"Other")</f>
        <v>EC</v>
      </c>
      <c r="AH64" s="100" t="str">
        <f t="shared" si="2"/>
        <v>"%USERPROFILE%\Documents\GitHub\eaglep3\Utilities\RefineRTDCRunTimes.py" --tripid 152-18 --locoid 4004 --swversion DE.1.0.7.0 --startMP 204:232855 --initTime 2016-09-18T10:50:46 --startdatetime 2016-09-18T10:56:53 --delay 2 --endMP 204:138 --enddatetime 2016-09-18T11:35:46 --enforcementcount 0 &gt;&gt;C:\Users\stu\Documents\GitHub\eaglep3-reporting\EC\2016-09-18-refined-times.txt</v>
      </c>
      <c r="AI64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ID","value":"152-18"},{"id":16,"name":"Locomotive ID","value":"4004"},{"id":130,"name":"Impact","value":""},{"id":150,"name":"Time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475</v>
      </c>
      <c r="B65" s="7">
        <v>4044</v>
      </c>
      <c r="C65" s="24" t="s">
        <v>106</v>
      </c>
      <c r="D65" s="24" t="s">
        <v>251</v>
      </c>
      <c r="E65" s="15">
        <v>42631.424386574072</v>
      </c>
      <c r="F65" s="15">
        <v>42631.427789351852</v>
      </c>
      <c r="G65" s="7">
        <v>4</v>
      </c>
      <c r="H65" s="15" t="s">
        <v>286</v>
      </c>
      <c r="I65" s="15">
        <v>42631.455995370372</v>
      </c>
      <c r="J65" s="7">
        <v>0</v>
      </c>
      <c r="K65" s="121" t="str">
        <f>IF(ISEVEN(B65),(B65-1)&amp;"/"&amp;B65,B65&amp;"/"&amp;(B65+1))</f>
        <v>4043/4044</v>
      </c>
      <c r="L65" s="24" t="str">
        <f>VLOOKUP(A65,'Trips&amp;Operators'!$C$1:$E$10000,3,FALSE)</f>
        <v>STRICKLAND</v>
      </c>
      <c r="M65" s="6">
        <f>I65-F65</f>
        <v>2.8206018519995268E-2</v>
      </c>
      <c r="N65" s="7">
        <f>24*60*SUM($M65:$M65)</f>
        <v>40.616666668793187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https://search-rtdc-monitor-bjffxe2xuh6vdkpspy63sjmuny.us-east-1.es.amazonaws.com/_plugin/kibana/#/discover/Steve-Slow-Train-Analysis-(2080s-and-2083s)?_g=(refreshInterval:(display:Off,section:0,value:0),time:(from:'2016-09-18 09:11:07-0600',mode:absolute,to:'2016-09-18 11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5" s="54" t="str">
        <f>IF(AA65&lt;IF(AG65="EC",23,5.65),"Y","N")</f>
        <v>N</v>
      </c>
      <c r="X65" s="168">
        <f>VALUE(LEFT(AD65,4))-VALUE(LEFT(AD64,4))</f>
        <v>1</v>
      </c>
      <c r="Y65" s="69">
        <f>RIGHT(D65,LEN(D65)-4)/10000</f>
        <v>4.6199999999999998E-2</v>
      </c>
      <c r="Z65" s="69">
        <f>RIGHT(H65,LEN(H65)-4)/10000</f>
        <v>23.330300000000001</v>
      </c>
      <c r="AA65" s="69">
        <f>ABS(Z65-Y65)</f>
        <v>23.284100000000002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>IF(LEN(A65)=6,"0"&amp;A65,A65)</f>
        <v>0153-18</v>
      </c>
      <c r="AE65" s="99" t="str">
        <f>"aws s3 cp "&amp;s3_bucket&amp;"/RTDC"&amp;B65&amp;"/"&amp;TEXT(F65,"YYYY-MM-DD")&amp;"/ "&amp;search_path&amp;"\RTDC"&amp;B65&amp;"\"&amp;TEXT(F65,"YYYY-MM-DD")&amp;" --recursive &amp; """&amp;walkandungz&amp;""" "&amp;search_path&amp;"\RTDC"&amp;B65&amp;"\"&amp;TEXT(F65,"YYYY-MM-DD")
&amp;" &amp; "&amp;"aws s3 cp "&amp;s3_bucket&amp;"/RTDC"&amp;B65&amp;"/"&amp;TEXT(F65+1,"YYYY-MM-DD")&amp;"/ "&amp;search_path&amp;"\RTDC"&amp;B65&amp;"\"&amp;TEXT(F65+1,"YYYY-MM-DD")&amp;" --recursive &amp; """&amp;walkandungz&amp;""" "&amp;search_path&amp;"\RTDC"&amp;B65&amp;"\"&amp;TEXT(F65+1,"YYYY-MM-DD")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65" s="96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/stypes="app*4044*20160918*" /stext=" 16:.+((SYSTEM_STATE.+slice.+state.+changed )|(ment ac)|(system.+state.+changed )|(\|lc)|(penalty)|(\[timeout)|(PRM\|1\|D)|(kpr)|(kdp))" /e /r /s</v>
      </c>
      <c r="AG65" s="1" t="str">
        <f>IFERROR(IF(VALUE(LEFT(AD65,2))&lt;=2,"EC",IF(OR(VALUE(LEFT(AD65,2))=8,VALUE(LEFT(AD65,2))=18),"NW","Other")),"Other")</f>
        <v>EC</v>
      </c>
      <c r="AH65" s="100" t="str">
        <f t="shared" si="2"/>
        <v>"%USERPROFILE%\Documents\GitHub\eaglep3\Utilities\RefineRTDCRunTimes.py" --tripid 153-18 --locoid 4044 --swversion DE.1.0.7.0 --startMP 204:462 --initTime 2016-09-18T10:11:07 --startdatetime 2016-09-18T10:16:01 --delay 4 --endMP 204:233303 --enddatetime 2016-09-18T10:56:38 --enforcementcount 0 &gt;&gt;C:\Users\stu\Documents\GitHub\eaglep3-reporting\EC\2016-09-18-refined-times.txt</v>
      </c>
      <c r="AI65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{"issue":{"subject":"","project_id":79,"tracker_id":40,"status_id":1,"priority_id":2,"assigned_to_id":23,"start_date":"2016-09-18","description":"","custom_fields":[{"id":1,"name":"Subdivision","value":"EC"},{"id":4,"name":"Milepost","value":"23.3303"},{"id":17,"name":"Train ID","value":"153-18"},{"id":16,"name":"Locomotive ID","value":"4044"},{"id":130,"name":"Impact","value":""},{"id":150,"name":"Time of Event (Mountain Time)","value":"10:56:38"},{"id":151,"name":"Denver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483</v>
      </c>
      <c r="B66" s="7">
        <v>4043</v>
      </c>
      <c r="C66" s="24" t="s">
        <v>106</v>
      </c>
      <c r="D66" s="24" t="s">
        <v>321</v>
      </c>
      <c r="E66" s="15">
        <v>42631.45994212963</v>
      </c>
      <c r="F66" s="15">
        <v>42631.466620370367</v>
      </c>
      <c r="G66" s="7">
        <v>1</v>
      </c>
      <c r="H66" s="15" t="s">
        <v>337</v>
      </c>
      <c r="I66" s="15">
        <v>42631.495729166665</v>
      </c>
      <c r="J66" s="7">
        <v>0</v>
      </c>
      <c r="K66" s="121" t="str">
        <f>IF(ISEVEN(B66),(B66-1)&amp;"/"&amp;B66,B66&amp;"/"&amp;(B66+1))</f>
        <v>4043/4044</v>
      </c>
      <c r="L66" s="24" t="str">
        <f>VLOOKUP(A66,'Trips&amp;Operators'!$C$1:$E$10000,3,FALSE)</f>
        <v>STRICKLAND</v>
      </c>
      <c r="M66" s="6">
        <f>I66-F66</f>
        <v>2.9108796297805384E-2</v>
      </c>
      <c r="N66" s="7">
        <f>24*60*SUM($M66:$M66)</f>
        <v>41.916666668839753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https://search-rtdc-monitor-bjffxe2xuh6vdkpspy63sjmuny.us-east-1.es.amazonaws.com/_plugin/kibana/#/discover/Steve-Slow-Train-Analysis-(2080s-and-2083s)?_g=(refreshInterval:(display:Off,section:0,value:0),time:(from:'2016-09-18 10:02:19-0600',mode:absolute,to:'2016-09-18 12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6" s="54" t="str">
        <f>IF(AA66&lt;IF(AG66="EC",23,5.65),"Y","N")</f>
        <v>N</v>
      </c>
      <c r="X66" s="168">
        <f>VALUE(LEFT(AD66,4))-VALUE(LEFT(AD65,4))</f>
        <v>1</v>
      </c>
      <c r="Y66" s="69">
        <f>RIGHT(D66,LEN(D66)-4)/10000</f>
        <v>23.2973</v>
      </c>
      <c r="Z66" s="69">
        <f>RIGHT(H66,LEN(H66)-4)/10000</f>
        <v>1.67E-2</v>
      </c>
      <c r="AA66" s="69">
        <f>ABS(Z66-Y66)</f>
        <v>23.2806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>IF(LEN(A66)=6,"0"&amp;A66,A66)</f>
        <v>0154-18</v>
      </c>
      <c r="AE66" s="99" t="str">
        <f>"aws s3 cp "&amp;s3_bucket&amp;"/RTDC"&amp;B66&amp;"/"&amp;TEXT(F66,"YYYY-MM-DD")&amp;"/ "&amp;search_path&amp;"\RTDC"&amp;B66&amp;"\"&amp;TEXT(F66,"YYYY-MM-DD")&amp;" --recursive &amp; """&amp;walkandungz&amp;""" "&amp;search_path&amp;"\RTDC"&amp;B66&amp;"\"&amp;TEXT(F66,"YYYY-MM-DD")
&amp;" &amp; "&amp;"aws s3 cp "&amp;s3_bucket&amp;"/RTDC"&amp;B66&amp;"/"&amp;TEXT(F66+1,"YYYY-MM-DD")&amp;"/ "&amp;search_path&amp;"\RTDC"&amp;B66&amp;"\"&amp;TEXT(F66+1,"YYYY-MM-DD")&amp;" --recursive &amp; """&amp;walkandungz&amp;""" "&amp;search_path&amp;"\RTDC"&amp;B66&amp;"\"&amp;TEXT(F66+1,"YYYY-MM-DD")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66" s="96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/stypes="app*4043*20160918*" /stext=" 17:.+((SYSTEM_STATE.+slice.+state.+changed )|(ment ac)|(system.+state.+changed )|(\|lc)|(penalty)|(\[timeout)|(PRM\|1\|D)|(kpr)|(kdp))" /e /r /s</v>
      </c>
      <c r="AG66" s="1" t="str">
        <f>IFERROR(IF(VALUE(LEFT(AD66,2))&lt;=2,"EC",IF(OR(VALUE(LEFT(AD66,2))=8,VALUE(LEFT(AD66,2))=18),"NW","Other")),"Other")</f>
        <v>EC</v>
      </c>
      <c r="AH66" s="100" t="str">
        <f t="shared" si="2"/>
        <v>"%USERPROFILE%\Documents\GitHub\eaglep3\Utilities\RefineRTDCRunTimes.py" --tripid 154-18 --locoid 4043 --swversion DE.1.0.7.0 --startMP 204:232973 --initTime 2016-09-18T11:02:19 --startdatetime 2016-09-18T11:11:56 --delay 1 --endMP 204:167 --enddatetime 2016-09-18T11:53:51 --enforcementcount 0 &gt;&gt;C:\Users\stu\Documents\GitHub\eaglep3-reporting\EC\2016-09-18-refined-times.txt</v>
      </c>
      <c r="AI66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{"issue":{"subject":"","project_id":79,"tracker_id":40,"status_id":1,"priority_id":2,"assigned_to_id":23,"start_date":"2016-09-18","description":"","custom_fields":[{"id":1,"name":"Subdivision","value":"EC"},{"id":4,"name":"Milepost","value":"0.0167"},{"id":17,"name":"Train ID","value":"154-18"},{"id":16,"name":"Locomotive ID","value":"4043"},{"id":130,"name":"Impact","value":""},{"id":150,"name":"Time of Event (Mountain Time)","value":"11:53:51"},{"id":151,"name":"Denver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477</v>
      </c>
      <c r="B67" s="7">
        <v>4038</v>
      </c>
      <c r="C67" s="24" t="s">
        <v>106</v>
      </c>
      <c r="D67" s="24" t="s">
        <v>225</v>
      </c>
      <c r="E67" s="15">
        <v>42631.437384259261</v>
      </c>
      <c r="F67" s="15">
        <v>42631.43953703704</v>
      </c>
      <c r="G67" s="7">
        <v>1</v>
      </c>
      <c r="H67" s="15" t="s">
        <v>634</v>
      </c>
      <c r="I67" s="15">
        <v>42631.470532407409</v>
      </c>
      <c r="J67" s="7">
        <v>0</v>
      </c>
      <c r="K67" s="121" t="str">
        <f>IF(ISEVEN(B67),(B67-1)&amp;"/"&amp;B67,B67&amp;"/"&amp;(B67+1))</f>
        <v>4037/4038</v>
      </c>
      <c r="L67" s="24" t="str">
        <f>VLOOKUP(A67,'Trips&amp;Operators'!$C$1:$E$10000,3,FALSE)</f>
        <v>CLARK</v>
      </c>
      <c r="M67" s="6">
        <f>I67-F67</f>
        <v>3.0995370369055308E-2</v>
      </c>
      <c r="N67" s="7">
        <f>24*60*SUM($M67:$M67)</f>
        <v>44.633333331439644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https://search-rtdc-monitor-bjffxe2xuh6vdkpspy63sjmuny.us-east-1.es.amazonaws.com/_plugin/kibana/#/discover/Steve-Slow-Train-Analysis-(2080s-and-2083s)?_g=(refreshInterval:(display:Off,section:0,value:0),time:(from:'2016-09-18 09:29:50-0600',mode:absolute,to:'2016-09-18 12:17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67" s="54" t="str">
        <f>IF(AA67&lt;IF(AG67="EC",23,5.65),"Y","N")</f>
        <v>N</v>
      </c>
      <c r="X67" s="168">
        <f>VALUE(LEFT(AD67,4))-VALUE(LEFT(AD66,4))</f>
        <v>1</v>
      </c>
      <c r="Y67" s="69">
        <f>RIGHT(D67,LEN(D67)-4)/10000</f>
        <v>4.6600000000000003E-2</v>
      </c>
      <c r="Z67" s="69">
        <f>RIGHT(H67,LEN(H67)-4)/10000</f>
        <v>23.323399999999999</v>
      </c>
      <c r="AA67" s="69">
        <f>ABS(Z67-Y67)</f>
        <v>23.276799999999998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>IF(LEN(A67)=6,"0"&amp;A67,A67)</f>
        <v>0155-18</v>
      </c>
      <c r="AE67" s="99" t="str">
        <f>"aws s3 cp "&amp;s3_bucket&amp;"/RTDC"&amp;B67&amp;"/"&amp;TEXT(F67,"YYYY-MM-DD")&amp;"/ "&amp;search_path&amp;"\RTDC"&amp;B67&amp;"\"&amp;TEXT(F67,"YYYY-MM-DD")&amp;" --recursive &amp; """&amp;walkandungz&amp;""" "&amp;search_path&amp;"\RTDC"&amp;B67&amp;"\"&amp;TEXT(F67,"YYYY-MM-DD")
&amp;" &amp; "&amp;"aws s3 cp "&amp;s3_bucket&amp;"/RTDC"&amp;B67&amp;"/"&amp;TEXT(F67+1,"YYYY-MM-DD")&amp;"/ "&amp;search_path&amp;"\RTDC"&amp;B67&amp;"\"&amp;TEXT(F67+1,"YYYY-MM-DD")&amp;" --recursive &amp; """&amp;walkandungz&amp;""" "&amp;search_path&amp;"\RTDC"&amp;B67&amp;"\"&amp;TEXT(F67+1,"YYYY-MM-DD")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67" s="96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/stypes="app*4038*20160918*" /stext=" 17:.+((SYSTEM_STATE.+slice.+state.+changed )|(ment ac)|(system.+state.+changed )|(\|lc)|(penalty)|(\[timeout)|(PRM\|1\|D)|(kpr)|(kdp))" /e /r /s</v>
      </c>
      <c r="AG67" s="1" t="str">
        <f>IFERROR(IF(VALUE(LEFT(AD67,2))&lt;=2,"EC",IF(OR(VALUE(LEFT(AD67,2))=8,VALUE(LEFT(AD67,2))=18),"NW","Other")),"Other")</f>
        <v>EC</v>
      </c>
      <c r="AH67" s="100" t="str">
        <f t="shared" si="2"/>
        <v>"%USERPROFILE%\Documents\GitHub\eaglep3\Utilities\RefineRTDCRunTimes.py" --tripid 155-18 --locoid 4038 --swversion DE.1.0.7.0 --startMP 204:466 --initTime 2016-09-18T10:29:50 --startdatetime 2016-09-18T10:32:56 --delay 1 --endMP 204:233234 --enddatetime 2016-09-18T11:17:34 --enforcementcount 0 &gt;&gt;C:\Users\stu\Documents\GitHub\eaglep3-reporting\EC\2016-09-18-refined-times.txt</v>
      </c>
      <c r="AI67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{"issue":{"subject":"","project_id":79,"tracker_id":40,"status_id":1,"priority_id":2,"assigned_to_id":23,"start_date":"2016-09-18","description":"","custom_fields":[{"id":1,"name":"Subdivision","value":"EC"},{"id":4,"name":"Milepost","value":"23.3234"},{"id":17,"name":"Train ID","value":"155-18"},{"id":16,"name":"Locomotive ID","value":"4038"},{"id":130,"name":"Impact","value":""},{"id":150,"name":"Time of Event (Mountain Time)","value":"11:17:34"},{"id":151,"name":"Denver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484</v>
      </c>
      <c r="B68" s="7">
        <v>4037</v>
      </c>
      <c r="C68" s="24" t="s">
        <v>106</v>
      </c>
      <c r="D68" s="24" t="s">
        <v>635</v>
      </c>
      <c r="E68" s="15">
        <v>42631.473506944443</v>
      </c>
      <c r="F68" s="15">
        <v>42631.476736111108</v>
      </c>
      <c r="G68" s="7">
        <v>1</v>
      </c>
      <c r="H68" s="15" t="s">
        <v>636</v>
      </c>
      <c r="I68" s="15">
        <v>42631.50744212963</v>
      </c>
      <c r="J68" s="7">
        <v>0</v>
      </c>
      <c r="K68" s="121" t="str">
        <f>IF(ISEVEN(B68),(B68-1)&amp;"/"&amp;B68,B68&amp;"/"&amp;(B68+1))</f>
        <v>4037/4038</v>
      </c>
      <c r="L68" s="24" t="str">
        <f>VLOOKUP(A68,'Trips&amp;Operators'!$C$1:$E$10000,3,FALSE)</f>
        <v>CLARK</v>
      </c>
      <c r="M68" s="6">
        <f>I68-F68</f>
        <v>3.0706018522323575E-2</v>
      </c>
      <c r="N68" s="7">
        <f>24*60*SUM($M68:$M68)</f>
        <v>44.216666672145948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https://search-rtdc-monitor-bjffxe2xuh6vdkpspy63sjmuny.us-east-1.es.amazonaws.com/_plugin/kibana/#/discover/Steve-Slow-Train-Analysis-(2080s-and-2083s)?_g=(refreshInterval:(display:Off,section:0,value:0),time:(from:'2016-09-18 10:21:51-0600',mode:absolute,to:'2016-09-18 13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68" s="54" t="str">
        <f>IF(AA68&lt;IF(AG68="EC",23,5.65),"Y","N")</f>
        <v>N</v>
      </c>
      <c r="X68" s="168">
        <f>VALUE(LEFT(AD68,4))-VALUE(LEFT(AD67,4))</f>
        <v>1</v>
      </c>
      <c r="Y68" s="69">
        <f>RIGHT(D68,LEN(D68)-4)/10000</f>
        <v>23.290600000000001</v>
      </c>
      <c r="Z68" s="69">
        <f>RIGHT(H68,LEN(H68)-4)/10000</f>
        <v>3.4500000000000003E-2</v>
      </c>
      <c r="AA68" s="69">
        <f>ABS(Z68-Y68)</f>
        <v>23.2561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>IF(LEN(A68)=6,"0"&amp;A68,A68)</f>
        <v>0156-18</v>
      </c>
      <c r="AE68" s="99" t="str">
        <f>"aws s3 cp "&amp;s3_bucket&amp;"/RTDC"&amp;B68&amp;"/"&amp;TEXT(F68,"YYYY-MM-DD")&amp;"/ "&amp;search_path&amp;"\RTDC"&amp;B68&amp;"\"&amp;TEXT(F68,"YYYY-MM-DD")&amp;" --recursive &amp; """&amp;walkandungz&amp;""" "&amp;search_path&amp;"\RTDC"&amp;B68&amp;"\"&amp;TEXT(F68,"YYYY-MM-DD")
&amp;" &amp; "&amp;"aws s3 cp "&amp;s3_bucket&amp;"/RTDC"&amp;B68&amp;"/"&amp;TEXT(F68+1,"YYYY-MM-DD")&amp;"/ "&amp;search_path&amp;"\RTDC"&amp;B68&amp;"\"&amp;TEXT(F68+1,"YYYY-MM-DD")&amp;" --recursive &amp; """&amp;walkandungz&amp;""" "&amp;search_path&amp;"\RTDC"&amp;B68&amp;"\"&amp;TEXT(F68+1,"YYYY-MM-DD")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68" s="96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/stypes="app*4037*20160918*" /stext=" 18:.+((SYSTEM_STATE.+slice.+state.+changed )|(ment ac)|(system.+state.+changed )|(\|lc)|(penalty)|(\[timeout)|(PRM\|1\|D)|(kpr)|(kdp))" /e /r /s</v>
      </c>
      <c r="AG68" s="1" t="str">
        <f>IFERROR(IF(VALUE(LEFT(AD68,2))&lt;=2,"EC",IF(OR(VALUE(LEFT(AD68,2))=8,VALUE(LEFT(AD68,2))=18),"NW","Other")),"Other")</f>
        <v>EC</v>
      </c>
      <c r="AH68" s="100" t="str">
        <f t="shared" si="2"/>
        <v>"%USERPROFILE%\Documents\GitHub\eaglep3\Utilities\RefineRTDCRunTimes.py" --tripid 156-18 --locoid 4037 --swversion DE.1.0.7.0 --startMP 204:232906 --initTime 2016-09-18T11:21:51 --startdatetime 2016-09-18T11:26:30 --delay 1 --endMP 204:345 --enddatetime 2016-09-18T12:10:43 --enforcementcount 0 &gt;&gt;C:\Users\stu\Documents\GitHub\eaglep3-reporting\EC\2016-09-18-refined-times.txt</v>
      </c>
      <c r="AI68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{"issue":{"subject":"","project_id":79,"tracker_id":40,"status_id":1,"priority_id":2,"assigned_to_id":23,"start_date":"2016-09-18","description":"","custom_fields":[{"id":1,"name":"Subdivision","value":"EC"},{"id":4,"name":"Milepost","value":"0.0345"},{"id":17,"name":"Train ID","value":"156-18"},{"id":16,"name":"Locomotive ID","value":"4037"},{"id":130,"name":"Impact","value":""},{"id":150,"name":"Time of Event (Mountain Time)","value":"12:10:43"},{"id":151,"name":"Denver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480</v>
      </c>
      <c r="B69" s="7">
        <v>4027</v>
      </c>
      <c r="C69" s="24" t="s">
        <v>106</v>
      </c>
      <c r="D69" s="24" t="s">
        <v>233</v>
      </c>
      <c r="E69" s="15">
        <v>42631.444872685184</v>
      </c>
      <c r="F69" s="15">
        <v>42631.448622685188</v>
      </c>
      <c r="G69" s="7">
        <v>1</v>
      </c>
      <c r="H69" s="15" t="s">
        <v>322</v>
      </c>
      <c r="I69" s="15">
        <v>42631.47347222222</v>
      </c>
      <c r="J69" s="7">
        <v>0</v>
      </c>
      <c r="K69" s="121" t="str">
        <f>IF(ISEVEN(B69),(B69-1)&amp;"/"&amp;B69,B69&amp;"/"&amp;(B69+1))</f>
        <v>4027/4028</v>
      </c>
      <c r="L69" s="24" t="str">
        <f>VLOOKUP(A69,'Trips&amp;Operators'!$C$1:$E$10000,3,FALSE)</f>
        <v>YORK</v>
      </c>
      <c r="M69" s="6">
        <f>I69-F69</f>
        <v>2.4849537032423541E-2</v>
      </c>
      <c r="N69" s="7">
        <f>24*60*SUM($M69:$M69)</f>
        <v>35.783333326689899</v>
      </c>
      <c r="O69" s="7"/>
      <c r="P69" s="7"/>
      <c r="Q69" s="25"/>
      <c r="R69" s="25"/>
      <c r="S69" s="37">
        <f>SUM(U69:U69)/IF(AG69="EC",12,1)</f>
        <v>1</v>
      </c>
      <c r="T69" s="52" t="str">
        <f>IF(ISEVEN(LEFT(AD69,4)),"Southbound","NorthBound")</f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https://search-rtdc-monitor-bjffxe2xuh6vdkpspy63sjmuny.us-east-1.es.amazonaws.com/_plugin/kibana/#/discover/Steve-Slow-Train-Analysis-(2080s-and-2083s)?_g=(refreshInterval:(display:Off,section:0,value:0),time:(from:'2016-09-18 09:40:37-0600',mode:absolute,to:'2016-09-18 12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69" s="54" t="str">
        <f>IF(AA69&lt;IF(AG69="EC",23,5.65),"Y","N")</f>
        <v>N</v>
      </c>
      <c r="X69" s="168">
        <f>VALUE(LEFT(AD69,4))-VALUE(LEFT(AD68,4))</f>
        <v>1</v>
      </c>
      <c r="Y69" s="69">
        <f>RIGHT(D69,LEN(D69)-4)/10000</f>
        <v>4.6399999999999997E-2</v>
      </c>
      <c r="Z69" s="69">
        <f>RIGHT(H69,LEN(H69)-4)/10000</f>
        <v>23.326799999999999</v>
      </c>
      <c r="AA69" s="69">
        <f>ABS(Z69-Y69)</f>
        <v>23.2804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>IF(LEN(A69)=6,"0"&amp;A69,A69)</f>
        <v>0157-18</v>
      </c>
      <c r="AE69" s="99" t="str">
        <f>"aws s3 cp "&amp;s3_bucket&amp;"/RTDC"&amp;B69&amp;"/"&amp;TEXT(F69,"YYYY-MM-DD")&amp;"/ "&amp;search_path&amp;"\RTDC"&amp;B69&amp;"\"&amp;TEXT(F69,"YYYY-MM-DD")&amp;" --recursive &amp; """&amp;walkandungz&amp;""" "&amp;search_path&amp;"\RTDC"&amp;B69&amp;"\"&amp;TEXT(F69,"YYYY-MM-DD")
&amp;" &amp; "&amp;"aws s3 cp "&amp;s3_bucket&amp;"/RTDC"&amp;B69&amp;"/"&amp;TEXT(F69+1,"YYYY-MM-DD")&amp;"/ "&amp;search_path&amp;"\RTDC"&amp;B69&amp;"\"&amp;TEXT(F69+1,"YYYY-MM-DD")&amp;" --recursive &amp; """&amp;walkandungz&amp;""" "&amp;search_path&amp;"\RTDC"&amp;B69&amp;"\"&amp;TEXT(F69+1,"YYYY-MM-DD")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69" s="96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/stypes="app*4027*20160918*" /stext=" 17:.+((SYSTEM_STATE.+slice.+state.+changed )|(ment ac)|(system.+state.+changed )|(\|lc)|(penalty)|(\[timeout)|(PRM\|1\|D)|(kpr)|(kdp))" /e /r /s</v>
      </c>
      <c r="AG69" s="1" t="str">
        <f>IFERROR(IF(VALUE(LEFT(AD69,2))&lt;=2,"EC",IF(OR(VALUE(LEFT(AD69,2))=8,VALUE(LEFT(AD69,2))=18),"NW","Other")),"Other")</f>
        <v>EC</v>
      </c>
      <c r="AH69" s="100" t="str">
        <f t="shared" si="2"/>
        <v>"%USERPROFILE%\Documents\GitHub\eaglep3\Utilities\RefineRTDCRunTimes.py" --tripid 157-18 --locoid 4027 --swversion DE.1.0.7.0 --startMP 204:464 --initTime 2016-09-18T10:40:37 --startdatetime 2016-09-18T10:46:01 --delay 1 --endMP 204:233268 --enddatetime 2016-09-18T11:21:48 --enforcementcount 0 &gt;&gt;C:\Users\stu\Documents\GitHub\eaglep3-reporting\EC\2016-09-18-refined-times.txt</v>
      </c>
      <c r="AI69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{"issue":{"subject":"","project_id":79,"tracker_id":40,"status_id":1,"priority_id":2,"assigned_to_id":23,"start_date":"2016-09-18","description":"","custom_fields":[{"id":1,"name":"Subdivision","value":"EC"},{"id":4,"name":"Milepost","value":"23.3268"},{"id":17,"name":"Train ID","value":"157-18"},{"id":16,"name":"Locomotive ID","value":"4027"},{"id":130,"name":"Impact","value":""},{"id":150,"name":"Time of Event (Mountain Time)","value":"11:21:48"},{"id":151,"name":"Denver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485</v>
      </c>
      <c r="B70" s="7">
        <v>4028</v>
      </c>
      <c r="C70" s="24" t="s">
        <v>106</v>
      </c>
      <c r="D70" s="24" t="s">
        <v>637</v>
      </c>
      <c r="E70" s="15">
        <v>42631.474710648145</v>
      </c>
      <c r="F70" s="15">
        <v>42631.487662037034</v>
      </c>
      <c r="G70" s="7">
        <v>1</v>
      </c>
      <c r="H70" s="15" t="s">
        <v>218</v>
      </c>
      <c r="I70" s="15">
        <v>42631.515405092592</v>
      </c>
      <c r="J70" s="7">
        <v>0</v>
      </c>
      <c r="K70" s="121" t="str">
        <f>IF(ISEVEN(B70),(B70-1)&amp;"/"&amp;B70,B70&amp;"/"&amp;(B70+1))</f>
        <v>4027/4028</v>
      </c>
      <c r="L70" s="24" t="str">
        <f>VLOOKUP(A70,'Trips&amp;Operators'!$C$1:$E$10000,3,FALSE)</f>
        <v>YORK</v>
      </c>
      <c r="M70" s="6">
        <f>I70-F70</f>
        <v>2.7743055557948537E-2</v>
      </c>
      <c r="N70" s="7">
        <f>24*60*SUM($M70:$M70)</f>
        <v>39.950000003445894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https://search-rtdc-monitor-bjffxe2xuh6vdkpspy63sjmuny.us-east-1.es.amazonaws.com/_plugin/kibana/#/discover/Steve-Slow-Train-Analysis-(2080s-and-2083s)?_g=(refreshInterval:(display:Off,section:0,value:0),time:(from:'2016-09-18 10:23:35-0600',mode:absolute,to:'2016-09-18 13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0" s="54" t="str">
        <f>IF(AA70&lt;IF(AG70="EC",23,5.65),"Y","N")</f>
        <v>N</v>
      </c>
      <c r="X70" s="168">
        <f>VALUE(LEFT(AD70,4))-VALUE(LEFT(AD69,4))</f>
        <v>1</v>
      </c>
      <c r="Y70" s="69">
        <f>RIGHT(D70,LEN(D70)-4)/10000</f>
        <v>23.294799999999999</v>
      </c>
      <c r="Z70" s="69">
        <f>RIGHT(H70,LEN(H70)-4)/10000</f>
        <v>1.47E-2</v>
      </c>
      <c r="AA70" s="69">
        <f>ABS(Z70-Y70)</f>
        <v>23.280099999999997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>IF(LEN(A70)=6,"0"&amp;A70,A70)</f>
        <v>0158-18</v>
      </c>
      <c r="AE70" s="99" t="str">
        <f>"aws s3 cp "&amp;s3_bucket&amp;"/RTDC"&amp;B70&amp;"/"&amp;TEXT(F70,"YYYY-MM-DD")&amp;"/ "&amp;search_path&amp;"\RTDC"&amp;B70&amp;"\"&amp;TEXT(F70,"YYYY-MM-DD")&amp;" --recursive &amp; """&amp;walkandungz&amp;""" "&amp;search_path&amp;"\RTDC"&amp;B70&amp;"\"&amp;TEXT(F70,"YYYY-MM-DD")
&amp;" &amp; "&amp;"aws s3 cp "&amp;s3_bucket&amp;"/RTDC"&amp;B70&amp;"/"&amp;TEXT(F70+1,"YYYY-MM-DD")&amp;"/ "&amp;search_path&amp;"\RTDC"&amp;B70&amp;"\"&amp;TEXT(F70+1,"YYYY-MM-DD")&amp;" --recursive &amp; """&amp;walkandungz&amp;""" "&amp;search_path&amp;"\RTDC"&amp;B70&amp;"\"&amp;TEXT(F70+1,"YYYY-MM-DD")</f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70" s="96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/stypes="app*4028*20160918*" /stext=" 18:.+((SYSTEM_STATE.+slice.+state.+changed )|(ment ac)|(system.+state.+changed )|(\|lc)|(penalty)|(\[timeout)|(PRM\|1\|D)|(kpr)|(kdp))" /e /r /s</v>
      </c>
      <c r="AG70" s="1" t="str">
        <f>IFERROR(IF(VALUE(LEFT(AD70,2))&lt;=2,"EC",IF(OR(VALUE(LEFT(AD70,2))=8,VALUE(LEFT(AD70,2))=18),"NW","Other")),"Other")</f>
        <v>EC</v>
      </c>
      <c r="AH70" s="100" t="str">
        <f t="shared" si="2"/>
        <v>"%USERPROFILE%\Documents\GitHub\eaglep3\Utilities\RefineRTDCRunTimes.py" --tripid 158-18 --locoid 4028 --swversion DE.1.0.7.0 --startMP 204:232948 --initTime 2016-09-18T11:23:35 --startdatetime 2016-09-18T11:42:14 --delay 1 --endMP 204:147 --enddatetime 2016-09-18T12:22:11 --enforcementcount 0 &gt;&gt;C:\Users\stu\Documents\GitHub\eaglep3-reporting\EC\2016-09-18-refined-times.txt</v>
      </c>
      <c r="AI70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ID","value":"158-18"},{"id":16,"name":"Locomotive ID","value":"4028"},{"id":130,"name":"Impact","value":""},{"id":150,"name":"Time of Event (Mountain Time)","value":"12:22:11"},{"id":151,"name":"Denver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482</v>
      </c>
      <c r="B71" s="7">
        <v>4020</v>
      </c>
      <c r="C71" s="24" t="s">
        <v>106</v>
      </c>
      <c r="D71" s="24" t="s">
        <v>227</v>
      </c>
      <c r="E71" s="15">
        <v>42631.456701388888</v>
      </c>
      <c r="F71" s="15">
        <v>42631.45989583333</v>
      </c>
      <c r="G71" s="7">
        <v>2</v>
      </c>
      <c r="H71" s="15" t="s">
        <v>281</v>
      </c>
      <c r="I71" s="15">
        <v>42631.485243055555</v>
      </c>
      <c r="J71" s="7">
        <v>0</v>
      </c>
      <c r="K71" s="121" t="str">
        <f>IF(ISEVEN(B71),(B71-1)&amp;"/"&amp;B71,B71&amp;"/"&amp;(B71+1))</f>
        <v>4019/4020</v>
      </c>
      <c r="L71" s="24" t="str">
        <f>VLOOKUP(A71,'Trips&amp;Operators'!$C$1:$E$10000,3,FALSE)</f>
        <v>STEWART</v>
      </c>
      <c r="M71" s="6">
        <f>I71-F71</f>
        <v>2.5347222224809229E-2</v>
      </c>
      <c r="N71" s="7">
        <f>24*60*SUM($M71:$M71)</f>
        <v>36.50000000372529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https://search-rtdc-monitor-bjffxe2xuh6vdkpspy63sjmuny.us-east-1.es.amazonaws.com/_plugin/kibana/#/discover/Steve-Slow-Train-Analysis-(2080s-and-2083s)?_g=(refreshInterval:(display:Off,section:0,value:0),time:(from:'2016-09-18 09:57:39-0600',mode:absolute,to:'2016-09-18 12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1" s="54" t="str">
        <f>IF(AA71&lt;IF(AG71="EC",23,5.65),"Y","N")</f>
        <v>N</v>
      </c>
      <c r="X71" s="168">
        <f>VALUE(LEFT(AD71,4))-VALUE(LEFT(AD70,4))</f>
        <v>1</v>
      </c>
      <c r="Y71" s="69">
        <f>RIGHT(D71,LEN(D71)-4)/10000</f>
        <v>4.5499999999999999E-2</v>
      </c>
      <c r="Z71" s="69">
        <f>RIGHT(H71,LEN(H71)-4)/10000</f>
        <v>23.327400000000001</v>
      </c>
      <c r="AA71" s="69">
        <f>ABS(Z71-Y71)</f>
        <v>23.2819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>IF(LEN(A71)=6,"0"&amp;A71,A71)</f>
        <v>0159-18</v>
      </c>
      <c r="AE71" s="99" t="str">
        <f>"aws s3 cp "&amp;s3_bucket&amp;"/RTDC"&amp;B71&amp;"/"&amp;TEXT(F71,"YYYY-MM-DD")&amp;"/ "&amp;search_path&amp;"\RTDC"&amp;B71&amp;"\"&amp;TEXT(F71,"YYYY-MM-DD")&amp;" --recursive &amp; """&amp;walkandungz&amp;""" "&amp;search_path&amp;"\RTDC"&amp;B71&amp;"\"&amp;TEXT(F71,"YYYY-MM-DD")
&amp;" &amp; "&amp;"aws s3 cp "&amp;s3_bucket&amp;"/RTDC"&amp;B71&amp;"/"&amp;TEXT(F71+1,"YYYY-MM-DD")&amp;"/ "&amp;search_path&amp;"\RTDC"&amp;B71&amp;"\"&amp;TEXT(F71+1,"YYYY-MM-DD")&amp;" --recursive &amp; """&amp;walkandungz&amp;""" "&amp;search_path&amp;"\RTDC"&amp;B71&amp;"\"&amp;TEXT(F71+1,"YYYY-MM-DD")</f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71" s="96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/stypes="app*4020*20160918*" /stext=" 17:.+((SYSTEM_STATE.+slice.+state.+changed )|(ment ac)|(system.+state.+changed )|(\|lc)|(penalty)|(\[timeout)|(PRM\|1\|D)|(kpr)|(kdp))" /e /r /s</v>
      </c>
      <c r="AG71" s="1" t="str">
        <f>IFERROR(IF(VALUE(LEFT(AD71,2))&lt;=2,"EC",IF(OR(VALUE(LEFT(AD71,2))=8,VALUE(LEFT(AD71,2))=18),"NW","Other")),"Other")</f>
        <v>EC</v>
      </c>
      <c r="AH71" s="100" t="str">
        <f t="shared" si="2"/>
        <v>"%USERPROFILE%\Documents\GitHub\eaglep3\Utilities\RefineRTDCRunTimes.py" --tripid 159-18 --locoid 4020 --swversion DE.1.0.7.0 --startMP 204:455 --initTime 2016-09-18T10:57:39 --startdatetime 2016-09-18T11:02:15 --delay 2 --endMP 204:233274 --enddatetime 2016-09-18T11:38:45 --enforcementcount 0 &gt;&gt;C:\Users\stu\Documents\GitHub\eaglep3-reporting\EC\2016-09-18-refined-times.txt</v>
      </c>
      <c r="AI71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{"issue":{"subject":"","project_id":79,"tracker_id":40,"status_id":1,"priority_id":2,"assigned_to_id":23,"start_date":"2016-09-18","description":"","custom_fields":[{"id":1,"name":"Subdivision","value":"EC"},{"id":4,"name":"Milepost","value":"23.3274"},{"id":17,"name":"Train ID","value":"159-18"},{"id":16,"name":"Locomotive ID","value":"4020"},{"id":130,"name":"Impact","value":""},{"id":150,"name":"Time of Event (Mountain Time)","value":"11:38:45"},{"id":151,"name":"Denver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490</v>
      </c>
      <c r="B72" s="7">
        <v>4019</v>
      </c>
      <c r="C72" s="24" t="s">
        <v>106</v>
      </c>
      <c r="D72" s="24" t="s">
        <v>280</v>
      </c>
      <c r="E72" s="15">
        <v>42631.494745370372</v>
      </c>
      <c r="F72" s="15">
        <v>42631.497824074075</v>
      </c>
      <c r="G72" s="7">
        <v>1</v>
      </c>
      <c r="H72" s="15" t="s">
        <v>638</v>
      </c>
      <c r="I72" s="15">
        <v>42631.525914351849</v>
      </c>
      <c r="J72" s="7">
        <v>0</v>
      </c>
      <c r="K72" s="121" t="str">
        <f>IF(ISEVEN(B72),(B72-1)&amp;"/"&amp;B72,B72&amp;"/"&amp;(B72+1))</f>
        <v>4019/4020</v>
      </c>
      <c r="L72" s="24" t="str">
        <f>VLOOKUP(A72,'Trips&amp;Operators'!$C$1:$E$10000,3,FALSE)</f>
        <v>STEWART</v>
      </c>
      <c r="M72" s="6">
        <f>I72-F72</f>
        <v>2.8090277774026617E-2</v>
      </c>
      <c r="N72" s="7">
        <f>24*60*SUM($M72:$M72)</f>
        <v>40.449999994598329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https://search-rtdc-monitor-bjffxe2xuh6vdkpspy63sjmuny.us-east-1.es.amazonaws.com/_plugin/kibana/#/discover/Steve-Slow-Train-Analysis-(2080s-and-2083s)?_g=(refreshInterval:(display:Off,section:0,value:0),time:(from:'2016-09-18 10:52:26-0600',mode:absolute,to:'2016-09-18 13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2" s="54" t="str">
        <f>IF(AA72&lt;IF(AG72="EC",23,5.65),"Y","N")</f>
        <v>N</v>
      </c>
      <c r="X72" s="168">
        <f>VALUE(LEFT(AD72,4))-VALUE(LEFT(AD71,4))</f>
        <v>1</v>
      </c>
      <c r="Y72" s="69">
        <f>RIGHT(D72,LEN(D72)-4)/10000</f>
        <v>23.297599999999999</v>
      </c>
      <c r="Z72" s="69">
        <f>RIGHT(H72,LEN(H72)-4)/10000</f>
        <v>3.27E-2</v>
      </c>
      <c r="AA72" s="69">
        <f>ABS(Z72-Y72)</f>
        <v>23.264900000000001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>IF(LEN(A72)=6,"0"&amp;A72,A72)</f>
        <v>0160-18</v>
      </c>
      <c r="AE72" s="99" t="str">
        <f>"aws s3 cp "&amp;s3_bucket&amp;"/RTDC"&amp;B72&amp;"/"&amp;TEXT(F72,"YYYY-MM-DD")&amp;"/ "&amp;search_path&amp;"\RTDC"&amp;B72&amp;"\"&amp;TEXT(F72,"YYYY-MM-DD")&amp;" --recursive &amp; """&amp;walkandungz&amp;""" "&amp;search_path&amp;"\RTDC"&amp;B72&amp;"\"&amp;TEXT(F72,"YYYY-MM-DD")
&amp;" &amp; "&amp;"aws s3 cp "&amp;s3_bucket&amp;"/RTDC"&amp;B72&amp;"/"&amp;TEXT(F72+1,"YYYY-MM-DD")&amp;"/ "&amp;search_path&amp;"\RTDC"&amp;B72&amp;"\"&amp;TEXT(F72+1,"YYYY-MM-DD")&amp;" --recursive &amp; """&amp;walkandungz&amp;""" "&amp;search_path&amp;"\RTDC"&amp;B72&amp;"\"&amp;TEXT(F72+1,"YYYY-MM-DD")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72" s="96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/stypes="app*4019*20160918*" /stext=" 18:.+((SYSTEM_STATE.+slice.+state.+changed )|(ment ac)|(system.+state.+changed )|(\|lc)|(penalty)|(\[timeout)|(PRM\|1\|D)|(kpr)|(kdp))" /e /r /s</v>
      </c>
      <c r="AG72" s="1" t="str">
        <f>IFERROR(IF(VALUE(LEFT(AD72,2))&lt;=2,"EC",IF(OR(VALUE(LEFT(AD72,2))=8,VALUE(LEFT(AD72,2))=18),"NW","Other")),"Other")</f>
        <v>EC</v>
      </c>
      <c r="AH72" s="100" t="str">
        <f t="shared" si="2"/>
        <v>"%USERPROFILE%\Documents\GitHub\eaglep3\Utilities\RefineRTDCRunTimes.py" --tripid 160-18 --locoid 4019 --swversion DE.1.0.7.0 --startMP 204:232976 --initTime 2016-09-18T11:52:26 --startdatetime 2016-09-18T11:56:52 --delay 1 --endMP 204:327 --enddatetime 2016-09-18T12:37:19 --enforcementcount 0 &gt;&gt;C:\Users\stu\Documents\GitHub\eaglep3-reporting\EC\2016-09-18-refined-times.txt</v>
      </c>
      <c r="AI72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{"issue":{"subject":"","project_id":79,"tracker_id":40,"status_id":1,"priority_id":2,"assigned_to_id":23,"start_date":"2016-09-18","description":"","custom_fields":[{"id":1,"name":"Subdivision","value":"EC"},{"id":4,"name":"Milepost","value":"0.0327"},{"id":17,"name":"Train ID","value":"160-18"},{"id":16,"name":"Locomotive ID","value":"4019"},{"id":130,"name":"Impact","value":""},{"id":150,"name":"Time of Event (Mountain Time)","value":"12:37:19"},{"id":151,"name":"Denver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415</v>
      </c>
      <c r="B73" s="7">
        <v>4016</v>
      </c>
      <c r="C73" s="24" t="s">
        <v>106</v>
      </c>
      <c r="D73" s="24" t="s">
        <v>639</v>
      </c>
      <c r="E73" s="15">
        <v>42631.46670138889</v>
      </c>
      <c r="F73" s="15">
        <v>42631.469004629631</v>
      </c>
      <c r="G73" s="7">
        <v>1</v>
      </c>
      <c r="H73" s="15" t="s">
        <v>640</v>
      </c>
      <c r="I73" s="15">
        <v>42631.494293981479</v>
      </c>
      <c r="J73" s="7">
        <v>0</v>
      </c>
      <c r="K73" s="121" t="str">
        <f>IF(ISEVEN(B73),(B73-1)&amp;"/"&amp;B73,B73&amp;"/"&amp;(B73+1))</f>
        <v>4015/4016</v>
      </c>
      <c r="L73" s="24" t="str">
        <f>VLOOKUP(A73,'Trips&amp;Operators'!$C$1:$E$10000,3,FALSE)</f>
        <v>BARTLETT</v>
      </c>
      <c r="M73" s="6">
        <f>I73-F73</f>
        <v>2.5289351848186925E-2</v>
      </c>
      <c r="N73" s="7">
        <f>24*60*SUM($M73:$M73)</f>
        <v>36.416666661389172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https://search-rtdc-monitor-bjffxe2xuh6vdkpspy63sjmuny.us-east-1.es.amazonaws.com/_plugin/kibana/#/discover/Steve-Slow-Train-Analysis-(2080s-and-2083s)?_g=(refreshInterval:(display:Off,section:0,value:0),time:(from:'2016-09-18 10:12:03-0600',mode:absolute,to:'2016-09-18 12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73" s="54" t="str">
        <f>IF(AA73&lt;IF(AG73="EC",23,5.65),"Y","N")</f>
        <v>N</v>
      </c>
      <c r="X73" s="168">
        <f>VALUE(LEFT(AD73,4))-VALUE(LEFT(AD72,4))</f>
        <v>1</v>
      </c>
      <c r="Y73" s="69">
        <f>RIGHT(D73,LEN(D73)-4)/10000</f>
        <v>4.7300000000000002E-2</v>
      </c>
      <c r="Z73" s="69">
        <f>RIGHT(H73,LEN(H73)-4)/10000</f>
        <v>23.334299999999999</v>
      </c>
      <c r="AA73" s="69">
        <f>ABS(Z73-Y73)</f>
        <v>23.286999999999999</v>
      </c>
      <c r="AB73" s="66" t="str">
        <f>VLOOKUP(A73,Enforcements!$C$7:$K$20,8,0)</f>
        <v>Bulletin (2)</v>
      </c>
      <c r="AC73" s="62" t="str">
        <f>VLOOKUP(A73,Enforcements!$C$7:$E$20,3,0)</f>
        <v>GRADE CROSSING</v>
      </c>
      <c r="AD73" s="63" t="str">
        <f>IF(LEN(A73)=6,"0"&amp;A73,A73)</f>
        <v>0161-18</v>
      </c>
      <c r="AE73" s="99" t="str">
        <f>"aws s3 cp "&amp;s3_bucket&amp;"/RTDC"&amp;B73&amp;"/"&amp;TEXT(F73,"YYYY-MM-DD")&amp;"/ "&amp;search_path&amp;"\RTDC"&amp;B73&amp;"\"&amp;TEXT(F73,"YYYY-MM-DD")&amp;" --recursive &amp; """&amp;walkandungz&amp;""" "&amp;search_path&amp;"\RTDC"&amp;B73&amp;"\"&amp;TEXT(F73,"YYYY-MM-DD")
&amp;" &amp; "&amp;"aws s3 cp "&amp;s3_bucket&amp;"/RTDC"&amp;B73&amp;"/"&amp;TEXT(F73+1,"YYYY-MM-DD")&amp;"/ "&amp;search_path&amp;"\RTDC"&amp;B73&amp;"\"&amp;TEXT(F73+1,"YYYY-MM-DD")&amp;" --recursive &amp; """&amp;walkandungz&amp;""" "&amp;search_path&amp;"\RTDC"&amp;B73&amp;"\"&amp;TEXT(F73+1,"YYYY-MM-DD")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73" s="96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/stypes="app*4016*20160918*" /stext=" 17:.+((SYSTEM_STATE.+slice.+state.+changed )|(ment ac)|(system.+state.+changed )|(\|lc)|(penalty)|(\[timeout)|(PRM\|1\|D)|(kpr)|(kdp))" /e /r /s</v>
      </c>
      <c r="AG73" s="1" t="str">
        <f>IFERROR(IF(VALUE(LEFT(AD73,2))&lt;=2,"EC",IF(OR(VALUE(LEFT(AD73,2))=8,VALUE(LEFT(AD73,2))=18),"NW","Other")),"Other")</f>
        <v>EC</v>
      </c>
      <c r="AH73" s="100" t="str">
        <f t="shared" si="2"/>
        <v>"%USERPROFILE%\Documents\GitHub\eaglep3\Utilities\RefineRTDCRunTimes.py" --tripid 161-18 --locoid 4016 --swversion DE.1.0.7.0 --startMP 204:473 --initTime 2016-09-18T11:12:03 --startdatetime 2016-09-18T11:15:22 --delay 1 --endMP 204:233343 --enddatetime 2016-09-18T11:51:47 --enforcementcount 0 &gt;&gt;C:\Users\stu\Documents\GitHub\eaglep3-reporting\EC\2016-09-18-refined-times.txt</v>
      </c>
      <c r="AI73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{"issue":{"subject":"","project_id":79,"tracker_id":40,"status_id":1,"priority_id":2,"assigned_to_id":23,"start_date":"2016-09-18","description":"","custom_fields":[{"id":1,"name":"Subdivision","value":"EC"},{"id":4,"name":"Milepost","value":"23.3343"},{"id":17,"name":"Train ID","value":"161-18"},{"id":16,"name":"Locomotive ID","value":"4016"},{"id":130,"name":"Impact","value":""},{"id":150,"name":"Time of Event (Mountain Time)","value":"11:51:47"},{"id":151,"name":"Denver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491</v>
      </c>
      <c r="B74" s="7">
        <v>4015</v>
      </c>
      <c r="C74" s="24" t="s">
        <v>106</v>
      </c>
      <c r="D74" s="24" t="s">
        <v>641</v>
      </c>
      <c r="E74" s="15">
        <v>42631.496041666665</v>
      </c>
      <c r="F74" s="15">
        <v>42631.508275462962</v>
      </c>
      <c r="G74" s="7">
        <v>1</v>
      </c>
      <c r="H74" s="15" t="s">
        <v>222</v>
      </c>
      <c r="I74" s="15">
        <v>42631.536863425928</v>
      </c>
      <c r="J74" s="7">
        <v>0</v>
      </c>
      <c r="K74" s="121" t="str">
        <f>IF(ISEVEN(B74),(B74-1)&amp;"/"&amp;B74,B74&amp;"/"&amp;(B74+1))</f>
        <v>4015/4016</v>
      </c>
      <c r="L74" s="24" t="str">
        <f>VLOOKUP(A74,'Trips&amp;Operators'!$C$1:$E$10000,3,FALSE)</f>
        <v>BARTLETT</v>
      </c>
      <c r="M74" s="6">
        <f>I74-F74</f>
        <v>2.8587962966412306E-2</v>
      </c>
      <c r="N74" s="7">
        <f>24*60*SUM($M74:$M74)</f>
        <v>41.16666667163372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https://search-rtdc-monitor-bjffxe2xuh6vdkpspy63sjmuny.us-east-1.es.amazonaws.com/_plugin/kibana/#/discover/Steve-Slow-Train-Analysis-(2080s-and-2083s)?_g=(refreshInterval:(display:Off,section:0,value:0),time:(from:'2016-09-18 10:54:18-0600',mode:absolute,to:'2016-09-18 13:53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4" s="54" t="str">
        <f>IF(AA74&lt;IF(AG74="EC",23,5.65),"Y","N")</f>
        <v>N</v>
      </c>
      <c r="X74" s="168">
        <f>VALUE(LEFT(AD74,4))-VALUE(LEFT(AD73,4))</f>
        <v>1</v>
      </c>
      <c r="Y74" s="69">
        <f>RIGHT(D74,LEN(D74)-4)/10000</f>
        <v>23.3005</v>
      </c>
      <c r="Z74" s="69">
        <f>RIGHT(H74,LEN(H74)-4)/10000</f>
        <v>1.52E-2</v>
      </c>
      <c r="AA74" s="69">
        <f>ABS(Z74-Y74)</f>
        <v>23.285299999999999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>IF(LEN(A74)=6,"0"&amp;A74,A74)</f>
        <v>0162-18</v>
      </c>
      <c r="AE74" s="99" t="str">
        <f>"aws s3 cp "&amp;s3_bucket&amp;"/RTDC"&amp;B74&amp;"/"&amp;TEXT(F74,"YYYY-MM-DD")&amp;"/ "&amp;search_path&amp;"\RTDC"&amp;B74&amp;"\"&amp;TEXT(F74,"YYYY-MM-DD")&amp;" --recursive &amp; """&amp;walkandungz&amp;""" "&amp;search_path&amp;"\RTDC"&amp;B74&amp;"\"&amp;TEXT(F74,"YYYY-MM-DD")
&amp;" &amp; "&amp;"aws s3 cp "&amp;s3_bucket&amp;"/RTDC"&amp;B74&amp;"/"&amp;TEXT(F74+1,"YYYY-MM-DD")&amp;"/ "&amp;search_path&amp;"\RTDC"&amp;B74&amp;"\"&amp;TEXT(F74+1,"YYYY-MM-DD")&amp;" --recursive &amp; """&amp;walkandungz&amp;""" "&amp;search_path&amp;"\RTDC"&amp;B74&amp;"\"&amp;TEXT(F74+1,"YYYY-MM-DD")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74" s="96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/stypes="app*4015*20160918*" /stext=" 18:.+((SYSTEM_STATE.+slice.+state.+changed )|(ment ac)|(system.+state.+changed )|(\|lc)|(penalty)|(\[timeout)|(PRM\|1\|D)|(kpr)|(kdp))" /e /r /s</v>
      </c>
      <c r="AG74" s="1" t="str">
        <f>IFERROR(IF(VALUE(LEFT(AD74,2))&lt;=2,"EC",IF(OR(VALUE(LEFT(AD74,2))=8,VALUE(LEFT(AD74,2))=18),"NW","Other")),"Other")</f>
        <v>EC</v>
      </c>
      <c r="AH74" s="100" t="str">
        <f t="shared" si="2"/>
        <v>"%USERPROFILE%\Documents\GitHub\eaglep3\Utilities\RefineRTDCRunTimes.py" --tripid 162-18 --locoid 4015 --swversion DE.1.0.7.0 --startMP 204:233005 --initTime 2016-09-18T11:54:18 --startdatetime 2016-09-18T12:11:55 --delay 1 --endMP 204:152 --enddatetime 2016-09-18T12:53:05 --enforcementcount 0 &gt;&gt;C:\Users\stu\Documents\GitHub\eaglep3-reporting\EC\2016-09-18-refined-times.txt</v>
      </c>
      <c r="AI74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ID","value":"162-18"},{"id":16,"name":"Locomotive ID","value":"4015"},{"id":130,"name":"Impact","value":""},{"id":150,"name":"Time of Event (Mountain Time)","value":"12:53:05"},{"id":151,"name":"Denver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487</v>
      </c>
      <c r="B75" s="7">
        <v>4009</v>
      </c>
      <c r="C75" s="24" t="s">
        <v>106</v>
      </c>
      <c r="D75" s="24" t="s">
        <v>223</v>
      </c>
      <c r="E75" s="15">
        <v>42631.480254629627</v>
      </c>
      <c r="F75" s="15">
        <v>42631.483749999999</v>
      </c>
      <c r="G75" s="7">
        <v>2</v>
      </c>
      <c r="H75" s="15" t="s">
        <v>388</v>
      </c>
      <c r="I75" s="15">
        <v>42631.512557870374</v>
      </c>
      <c r="J75" s="7">
        <v>0</v>
      </c>
      <c r="K75" s="121" t="str">
        <f>IF(ISEVEN(B75),(B75-1)&amp;"/"&amp;B75,B75&amp;"/"&amp;(B75+1))</f>
        <v>4009/4010</v>
      </c>
      <c r="L75" s="24" t="str">
        <f>VLOOKUP(A75,'Trips&amp;Operators'!$C$1:$E$10000,3,FALSE)</f>
        <v>BRUDER</v>
      </c>
      <c r="M75" s="6">
        <f>I75-F75</f>
        <v>2.8807870374293998E-2</v>
      </c>
      <c r="N75" s="7">
        <f>24*60*SUM($M75:$M75)</f>
        <v>41.483333338983357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https://search-rtdc-monitor-bjffxe2xuh6vdkpspy63sjmuny.us-east-1.es.amazonaws.com/_plugin/kibana/#/discover/Steve-Slow-Train-Analysis-(2080s-and-2083s)?_g=(refreshInterval:(display:Off,section:0,value:0),time:(from:'2016-09-18 10:31:34-0600',mode:absolute,to:'2016-09-18 13:18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5" s="54" t="str">
        <f>IF(AA75&lt;IF(AG75="EC",23,5.65),"Y","N")</f>
        <v>N</v>
      </c>
      <c r="X75" s="168">
        <f>VALUE(LEFT(AD75,4))-VALUE(LEFT(AD74,4))</f>
        <v>1</v>
      </c>
      <c r="Y75" s="69">
        <f>RIGHT(D75,LEN(D75)-4)/10000</f>
        <v>4.5699999999999998E-2</v>
      </c>
      <c r="Z75" s="69">
        <f>RIGHT(H75,LEN(H75)-4)/10000</f>
        <v>23.331099999999999</v>
      </c>
      <c r="AA75" s="69">
        <f>ABS(Z75-Y75)</f>
        <v>23.285399999999999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>IF(LEN(A75)=6,"0"&amp;A75,A75)</f>
        <v>0163-18</v>
      </c>
      <c r="AE75" s="99" t="str">
        <f>"aws s3 cp "&amp;s3_bucket&amp;"/RTDC"&amp;B75&amp;"/"&amp;TEXT(F75,"YYYY-MM-DD")&amp;"/ "&amp;search_path&amp;"\RTDC"&amp;B75&amp;"\"&amp;TEXT(F75,"YYYY-MM-DD")&amp;" --recursive &amp; """&amp;walkandungz&amp;""" "&amp;search_path&amp;"\RTDC"&amp;B75&amp;"\"&amp;TEXT(F75,"YYYY-MM-DD")
&amp;" &amp; "&amp;"aws s3 cp "&amp;s3_bucket&amp;"/RTDC"&amp;B75&amp;"/"&amp;TEXT(F75+1,"YYYY-MM-DD")&amp;"/ "&amp;search_path&amp;"\RTDC"&amp;B75&amp;"\"&amp;TEXT(F75+1,"YYYY-MM-DD")&amp;" --recursive &amp; """&amp;walkandungz&amp;""" "&amp;search_path&amp;"\RTDC"&amp;B75&amp;"\"&amp;TEXT(F75+1,"YYYY-MM-DD")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75" s="96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/stypes="app*4009*20160918*" /stext=" 18:.+((SYSTEM_STATE.+slice.+state.+changed )|(ment ac)|(system.+state.+changed )|(\|lc)|(penalty)|(\[timeout)|(PRM\|1\|D)|(kpr)|(kdp))" /e /r /s</v>
      </c>
      <c r="AG75" s="1" t="str">
        <f>IFERROR(IF(VALUE(LEFT(AD75,2))&lt;=2,"EC",IF(OR(VALUE(LEFT(AD75,2))=8,VALUE(LEFT(AD75,2))=18),"NW","Other")),"Other")</f>
        <v>EC</v>
      </c>
      <c r="AH75" s="100" t="str">
        <f t="shared" si="2"/>
        <v>"%USERPROFILE%\Documents\GitHub\eaglep3\Utilities\RefineRTDCRunTimes.py" --tripid 163-18 --locoid 4009 --swversion DE.1.0.7.0 --startMP 204:457 --initTime 2016-09-18T11:31:34 --startdatetime 2016-09-18T11:36:36 --delay 2 --endMP 204:233311 --enddatetime 2016-09-18T12:18:05 --enforcementcount 0 &gt;&gt;C:\Users\stu\Documents\GitHub\eaglep3-reporting\EC\2016-09-18-refined-times.txt</v>
      </c>
      <c r="AI75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ID","value":"163-18"},{"id":16,"name":"Locomotive ID","value":"4009"},{"id":130,"name":"Impact","value":""},{"id":150,"name":"Time of Event (Mountain Time)","value":"12:18:05"},{"id":151,"name":"Denver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496</v>
      </c>
      <c r="B76" s="7">
        <v>4010</v>
      </c>
      <c r="C76" s="24" t="s">
        <v>106</v>
      </c>
      <c r="D76" s="24" t="s">
        <v>623</v>
      </c>
      <c r="E76" s="15">
        <v>42631.515567129631</v>
      </c>
      <c r="F76" s="15">
        <v>42631.518252314818</v>
      </c>
      <c r="G76" s="7">
        <v>1</v>
      </c>
      <c r="H76" s="15" t="s">
        <v>217</v>
      </c>
      <c r="I76" s="15">
        <v>42631.545185185183</v>
      </c>
      <c r="J76" s="7">
        <v>0</v>
      </c>
      <c r="K76" s="121" t="str">
        <f>IF(ISEVEN(B76),(B76-1)&amp;"/"&amp;B76,B76&amp;"/"&amp;(B76+1))</f>
        <v>4009/4010</v>
      </c>
      <c r="L76" s="24" t="str">
        <f>VLOOKUP(A76,'Trips&amp;Operators'!$C$1:$E$10000,3,FALSE)</f>
        <v>BRUDER</v>
      </c>
      <c r="M76" s="6">
        <f>I76-F76</f>
        <v>2.693287036527181E-2</v>
      </c>
      <c r="N76" s="7">
        <f>24*60*SUM($M76:$M76)</f>
        <v>38.783333325991407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https://search-rtdc-monitor-bjffxe2xuh6vdkpspy63sjmuny.us-east-1.es.amazonaws.com/_plugin/kibana/#/discover/Steve-Slow-Train-Analysis-(2080s-and-2083s)?_g=(refreshInterval:(display:Off,section:0,value:0),time:(from:'2016-09-18 11:22:25-0600',mode:absolute,to:'2016-09-18 14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6" s="54" t="str">
        <f>IF(AA76&lt;IF(AG76="EC",23,5.65),"Y","N")</f>
        <v>N</v>
      </c>
      <c r="X76" s="168">
        <f>VALUE(LEFT(AD76,4))-VALUE(LEFT(AD75,4))</f>
        <v>1</v>
      </c>
      <c r="Y76" s="69">
        <f>RIGHT(D76,LEN(D76)-4)/10000</f>
        <v>23.298200000000001</v>
      </c>
      <c r="Z76" s="69">
        <f>RIGHT(H76,LEN(H76)-4)/10000</f>
        <v>1.5800000000000002E-2</v>
      </c>
      <c r="AA76" s="69">
        <f>ABS(Z76-Y76)</f>
        <v>23.282400000000003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>IF(LEN(A76)=6,"0"&amp;A76,A76)</f>
        <v>0164-18</v>
      </c>
      <c r="AE76" s="99" t="str">
        <f>"aws s3 cp "&amp;s3_bucket&amp;"/RTDC"&amp;B76&amp;"/"&amp;TEXT(F76,"YYYY-MM-DD")&amp;"/ "&amp;search_path&amp;"\RTDC"&amp;B76&amp;"\"&amp;TEXT(F76,"YYYY-MM-DD")&amp;" --recursive &amp; """&amp;walkandungz&amp;""" "&amp;search_path&amp;"\RTDC"&amp;B76&amp;"\"&amp;TEXT(F76,"YYYY-MM-DD")
&amp;" &amp; "&amp;"aws s3 cp "&amp;s3_bucket&amp;"/RTDC"&amp;B76&amp;"/"&amp;TEXT(F76+1,"YYYY-MM-DD")&amp;"/ "&amp;search_path&amp;"\RTDC"&amp;B76&amp;"\"&amp;TEXT(F76+1,"YYYY-MM-DD")&amp;" --recursive &amp; """&amp;walkandungz&amp;""" "&amp;search_path&amp;"\RTDC"&amp;B76&amp;"\"&amp;TEXT(F76+1,"YYYY-MM-DD")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76" s="96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/stypes="app*4010*20160918*" /stext=" 19:.+((SYSTEM_STATE.+slice.+state.+changed )|(ment ac)|(system.+state.+changed )|(\|lc)|(penalty)|(\[timeout)|(PRM\|1\|D)|(kpr)|(kdp))" /e /r /s</v>
      </c>
      <c r="AG76" s="1" t="str">
        <f>IFERROR(IF(VALUE(LEFT(AD76,2))&lt;=2,"EC",IF(OR(VALUE(LEFT(AD76,2))=8,VALUE(LEFT(AD76,2))=18),"NW","Other")),"Other")</f>
        <v>EC</v>
      </c>
      <c r="AH76" s="100" t="str">
        <f t="shared" si="2"/>
        <v>"%USERPROFILE%\Documents\GitHub\eaglep3\Utilities\RefineRTDCRunTimes.py" --tripid 164-18 --locoid 4010 --swversion DE.1.0.7.0 --startMP 204:232982 --initTime 2016-09-18T12:22:25 --startdatetime 2016-09-18T12:26:17 --delay 1 --endMP 204:158 --enddatetime 2016-09-18T13:05:04 --enforcementcount 0 &gt;&gt;C:\Users\stu\Documents\GitHub\eaglep3-reporting\EC\2016-09-18-refined-times.txt</v>
      </c>
      <c r="AI76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ID","value":"164-18"},{"id":16,"name":"Locomotive ID","value":"4010"},{"id":130,"name":"Impact","value":""},{"id":150,"name":"Time of Event (Mountain Time)","value":"13:05:04"},{"id":151,"name":"Denver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489</v>
      </c>
      <c r="B77" s="7">
        <v>4014</v>
      </c>
      <c r="C77" s="24" t="s">
        <v>106</v>
      </c>
      <c r="D77" s="24" t="s">
        <v>642</v>
      </c>
      <c r="E77" s="15">
        <v>42631.487557870372</v>
      </c>
      <c r="F77" s="15">
        <v>42631.492581018516</v>
      </c>
      <c r="G77" s="7">
        <v>3</v>
      </c>
      <c r="H77" s="15" t="s">
        <v>360</v>
      </c>
      <c r="I77" s="15">
        <v>42631.517638888887</v>
      </c>
      <c r="J77" s="7">
        <v>0</v>
      </c>
      <c r="K77" s="121" t="str">
        <f>IF(ISEVEN(B77),(B77-1)&amp;"/"&amp;B77,B77&amp;"/"&amp;(B77+1))</f>
        <v>4013/4014</v>
      </c>
      <c r="L77" s="24" t="str">
        <f>VLOOKUP(A77,'Trips&amp;Operators'!$C$1:$E$10000,3,FALSE)</f>
        <v>MOSES</v>
      </c>
      <c r="M77" s="6">
        <f>I77-F77</f>
        <v>2.5057870370801538E-2</v>
      </c>
      <c r="N77" s="7">
        <f>24*60*SUM($M77:$M77)</f>
        <v>36.083333333954215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https://search-rtdc-monitor-bjffxe2xuh6vdkpspy63sjmuny.us-east-1.es.amazonaws.com/_plugin/kibana/#/discover/Steve-Slow-Train-Analysis-(2080s-and-2083s)?_g=(refreshInterval:(display:Off,section:0,value:0),time:(from:'2016-09-18 10:42:05-0600',mode:absolute,to:'2016-09-18 13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7" s="54" t="str">
        <f>IF(AA77&lt;IF(AG77="EC",23,5.65),"Y","N")</f>
        <v>N</v>
      </c>
      <c r="X77" s="168">
        <f>VALUE(LEFT(AD77,4))-VALUE(LEFT(AD76,4))</f>
        <v>1</v>
      </c>
      <c r="Y77" s="69">
        <f>RIGHT(D77,LEN(D77)-4)/10000</f>
        <v>0.14710000000000001</v>
      </c>
      <c r="Z77" s="69">
        <f>RIGHT(H77,LEN(H77)-4)/10000</f>
        <v>23.325500000000002</v>
      </c>
      <c r="AA77" s="69">
        <f>ABS(Z77-Y77)</f>
        <v>23.178400000000003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>IF(LEN(A77)=6,"0"&amp;A77,A77)</f>
        <v>0165-18</v>
      </c>
      <c r="AE77" s="99" t="str">
        <f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77" s="96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/stypes="app*4014*20160918*" /stext=" 18:.+((SYSTEM_STATE.+slice.+state.+changed )|(ment ac)|(system.+state.+changed )|(\|lc)|(penalty)|(\[timeout)|(PRM\|1\|D)|(kpr)|(kdp))" /e /r /s</v>
      </c>
      <c r="AG77" s="1" t="str">
        <f>IFERROR(IF(VALUE(LEFT(AD77,2))&lt;=2,"EC",IF(OR(VALUE(LEFT(AD77,2))=8,VALUE(LEFT(AD77,2))=18),"NW","Other")),"Other")</f>
        <v>EC</v>
      </c>
      <c r="AH77" s="100" t="str">
        <f t="shared" si="2"/>
        <v>"%USERPROFILE%\Documents\GitHub\eaglep3\Utilities\RefineRTDCRunTimes.py" --tripid 165-18 --locoid 4014 --swversion DE.1.0.7.0 --startMP 204:1471 --initTime 2016-09-18T11:42:05 --startdatetime 2016-09-18T11:49:19 --delay 3 --endMP 204:233255 --enddatetime 2016-09-18T12:25:24 --enforcementcount 0 &gt;&gt;C:\Users\stu\Documents\GitHub\eaglep3-reporting\EC\2016-09-18-refined-times.txt</v>
      </c>
      <c r="AI77" s="134" t="str">
        <f t="shared" si="3"/>
        <v>echo {"issue":{"subject":"","project_id":79,"tracker_id":40,"status_id":1,"priority_id":2,"assigned_to_id":23,"start_date":"2016-09-18","description":"","custom_fields":[{"id":1,"name":"Subdivision","value":"EC"},{"id":4,"name":"Milepost","value":"23.3255"},{"id":17,"name":"Train ID","value":"165-18"},{"id":16,"name":"Locomotive ID","value":"4014"},{"id":130,"name":"Impact","value":""},{"id":150,"name":"Time of Event (Mountain Time)","value":"12:25:24"},{"id":151,"name":"Denver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498</v>
      </c>
      <c r="B78" s="7">
        <v>4013</v>
      </c>
      <c r="C78" s="24" t="s">
        <v>106</v>
      </c>
      <c r="D78" s="24" t="s">
        <v>278</v>
      </c>
      <c r="E78" s="15">
        <v>42631.523368055554</v>
      </c>
      <c r="F78" s="15">
        <v>42631.528877314813</v>
      </c>
      <c r="G78" s="7">
        <v>1</v>
      </c>
      <c r="H78" s="15" t="s">
        <v>643</v>
      </c>
      <c r="I78" s="15">
        <v>42631.55667824074</v>
      </c>
      <c r="J78" s="7">
        <v>0</v>
      </c>
      <c r="K78" s="121" t="str">
        <f>IF(ISEVEN(B78),(B78-1)&amp;"/"&amp;B78,B78&amp;"/"&amp;(B78+1))</f>
        <v>4013/4014</v>
      </c>
      <c r="L78" s="24" t="str">
        <f>VLOOKUP(A78,'Trips&amp;Operators'!$C$1:$E$10000,3,FALSE)</f>
        <v>MOSES</v>
      </c>
      <c r="M78" s="6">
        <f>I78-F78</f>
        <v>2.7800925927294884E-2</v>
      </c>
      <c r="N78" s="7">
        <f>24*60*SUM($M78:$M78)</f>
        <v>40.033333335304633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https://search-rtdc-monitor-bjffxe2xuh6vdkpspy63sjmuny.us-east-1.es.amazonaws.com/_plugin/kibana/#/discover/Steve-Slow-Train-Analysis-(2080s-and-2083s)?_g=(refreshInterval:(display:Off,section:0,value:0),time:(from:'2016-09-18 11:33:39-0600',mode:absolute,to:'2016-09-18 14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8" s="54" t="str">
        <f>IF(AA78&lt;IF(AG78="EC",23,5.65),"Y","N")</f>
        <v>N</v>
      </c>
      <c r="X78" s="168">
        <f>VALUE(LEFT(AD78,4))-VALUE(LEFT(AD77,4))</f>
        <v>1</v>
      </c>
      <c r="Y78" s="69">
        <f>RIGHT(D78,LEN(D78)-4)/10000</f>
        <v>23.293399999999998</v>
      </c>
      <c r="Z78" s="69">
        <f>RIGHT(H78,LEN(H78)-4)/10000</f>
        <v>2.4899999999999999E-2</v>
      </c>
      <c r="AA78" s="69">
        <f>ABS(Z78-Y78)</f>
        <v>23.2685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>IF(LEN(A78)=6,"0"&amp;A78,A78)</f>
        <v>0166-18</v>
      </c>
      <c r="AE78" s="99" t="str">
        <f>"aws s3 cp "&amp;s3_bucket&amp;"/RTDC"&amp;B78&amp;"/"&amp;TEXT(F78,"YYYY-MM-DD")&amp;"/ "&amp;search_path&amp;"\RTDC"&amp;B78&amp;"\"&amp;TEXT(F78,"YYYY-MM-DD")&amp;" --recursive &amp; """&amp;walkandungz&amp;""" "&amp;search_path&amp;"\RTDC"&amp;B78&amp;"\"&amp;TEXT(F78,"YYYY-MM-DD")
&amp;" &amp; "&amp;"aws s3 cp "&amp;s3_bucket&amp;"/RTDC"&amp;B78&amp;"/"&amp;TEXT(F78+1,"YYYY-MM-DD")&amp;"/ "&amp;search_path&amp;"\RTDC"&amp;B78&amp;"\"&amp;TEXT(F78+1,"YYYY-MM-DD")&amp;" --recursive &amp; """&amp;walkandungz&amp;""" "&amp;search_path&amp;"\RTDC"&amp;B78&amp;"\"&amp;TEXT(F78+1,"YYYY-MM-DD")</f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78" s="96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/stypes="app*4013*20160918*" /stext=" 19:.+((SYSTEM_STATE.+slice.+state.+changed )|(ment ac)|(system.+state.+changed )|(\|lc)|(penalty)|(\[timeout)|(PRM\|1\|D)|(kpr)|(kdp))" /e /r /s</v>
      </c>
      <c r="AG78" s="1" t="str">
        <f>IFERROR(IF(VALUE(LEFT(AD78,2))&lt;=2,"EC",IF(OR(VALUE(LEFT(AD78,2))=8,VALUE(LEFT(AD78,2))=18),"NW","Other")),"Other")</f>
        <v>EC</v>
      </c>
      <c r="AH78" s="100" t="str">
        <f t="shared" ref="AH78:AH140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166-18 --locoid 4013 --swversion DE.1.0.7.0 --startMP 204:232934 --initTime 2016-09-18T12:33:39 --startdatetime 2016-09-18T12:41:35 --delay 1 --endMP 204:249 --enddatetime 2016-09-18T13:21:37 --enforcementcount 0 &gt;&gt;C:\Users\stu\Documents\GitHub\eaglep3-reporting\EC\2016-09-18-refined-times.txt</v>
      </c>
      <c r="AI78" s="134" t="str">
        <f t="shared" ref="AI78:AI140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{"issue":{"subject":"","project_id":79,"tracker_id":40,"status_id":1,"priority_id":2,"assigned_to_id":23,"start_date":"2016-09-18","description":"","custom_fields":[{"id":1,"name":"Subdivision","value":"EC"},{"id":4,"name":"Milepost","value":"0.0249"},{"id":17,"name":"Train ID","value":"166-18"},{"id":16,"name":"Locomotive ID","value":"4013"},{"id":130,"name":"Impact","value":""},{"id":150,"name":"Time of Event (Mountain Time)","value":"13:21:37"},{"id":151,"name":"Denver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492</v>
      </c>
      <c r="B79" s="7">
        <v>4044</v>
      </c>
      <c r="C79" s="24" t="s">
        <v>106</v>
      </c>
      <c r="D79" s="24" t="s">
        <v>216</v>
      </c>
      <c r="E79" s="15">
        <v>42631.499085648145</v>
      </c>
      <c r="F79" s="15">
        <v>42631.500902777778</v>
      </c>
      <c r="G79" s="7">
        <v>1</v>
      </c>
      <c r="H79" s="15" t="s">
        <v>330</v>
      </c>
      <c r="I79" s="15">
        <v>42631.525370370371</v>
      </c>
      <c r="J79" s="7">
        <v>0</v>
      </c>
      <c r="K79" s="121" t="str">
        <f>IF(ISEVEN(B79),(B79-1)&amp;"/"&amp;B79,B79&amp;"/"&amp;(B79+1))</f>
        <v>4043/4044</v>
      </c>
      <c r="L79" s="24" t="str">
        <f>VLOOKUP(A79,'Trips&amp;Operators'!$C$1:$E$10000,3,FALSE)</f>
        <v>OUN</v>
      </c>
      <c r="M79" s="6">
        <f>I79-F79</f>
        <v>2.4467592593282461E-2</v>
      </c>
      <c r="N79" s="7">
        <f>24*60*SUM($M79:$M79)</f>
        <v>35.233333334326744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https://search-rtdc-monitor-bjffxe2xuh6vdkpspy63sjmuny.us-east-1.es.amazonaws.com/_plugin/kibana/#/discover/Steve-Slow-Train-Analysis-(2080s-and-2083s)?_g=(refreshInterval:(display:Off,section:0,value:0),time:(from:'2016-09-18 10:58:41-0600',mode:absolute,to:'2016-09-18 13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79" s="54" t="str">
        <f>IF(AA79&lt;IF(AG79="EC",23,5.65),"Y","N")</f>
        <v>N</v>
      </c>
      <c r="X79" s="168">
        <f>VALUE(LEFT(AD79,4))-VALUE(LEFT(AD78,4))</f>
        <v>1</v>
      </c>
      <c r="Y79" s="69">
        <f>RIGHT(D79,LEN(D79)-4)/10000</f>
        <v>4.7100000000000003E-2</v>
      </c>
      <c r="Z79" s="69">
        <f>RIGHT(H79,LEN(H79)-4)/10000</f>
        <v>23.328800000000001</v>
      </c>
      <c r="AA79" s="69">
        <f>ABS(Z79-Y79)</f>
        <v>23.281700000000001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>IF(LEN(A79)=6,"0"&amp;A79,A79)</f>
        <v>0167-18</v>
      </c>
      <c r="AE79" s="99" t="str">
        <f>"aws s3 cp "&amp;s3_bucket&amp;"/RTDC"&amp;B79&amp;"/"&amp;TEXT(F79,"YYYY-MM-DD")&amp;"/ "&amp;search_path&amp;"\RTDC"&amp;B79&amp;"\"&amp;TEXT(F79,"YYYY-MM-DD")&amp;" --recursive &amp; """&amp;walkandungz&amp;""" "&amp;search_path&amp;"\RTDC"&amp;B79&amp;"\"&amp;TEXT(F79,"YYYY-MM-DD")
&amp;" &amp; "&amp;"aws s3 cp "&amp;s3_bucket&amp;"/RTDC"&amp;B79&amp;"/"&amp;TEXT(F79+1,"YYYY-MM-DD")&amp;"/ "&amp;search_path&amp;"\RTDC"&amp;B79&amp;"\"&amp;TEXT(F79+1,"YYYY-MM-DD")&amp;" --recursive &amp; """&amp;walkandungz&amp;""" "&amp;search_path&amp;"\RTDC"&amp;B79&amp;"\"&amp;TEXT(F79+1,"YYYY-MM-DD")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79" s="96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/stypes="app*4044*20160918*" /stext=" 18:.+((SYSTEM_STATE.+slice.+state.+changed )|(ment ac)|(system.+state.+changed )|(\|lc)|(penalty)|(\[timeout)|(PRM\|1\|D)|(kpr)|(kdp))" /e /r /s</v>
      </c>
      <c r="AG79" s="1" t="str">
        <f>IFERROR(IF(VALUE(LEFT(AD79,2))&lt;=2,"EC",IF(OR(VALUE(LEFT(AD79,2))=8,VALUE(LEFT(AD79,2))=18),"NW","Other")),"Other")</f>
        <v>EC</v>
      </c>
      <c r="AH79" s="100" t="str">
        <f t="shared" si="4"/>
        <v>"%USERPROFILE%\Documents\GitHub\eaglep3\Utilities\RefineRTDCRunTimes.py" --tripid 167-18 --locoid 4044 --swversion DE.1.0.7.0 --startMP 204:471 --initTime 2016-09-18T11:58:41 --startdatetime 2016-09-18T12:01:18 --delay 1 --endMP 204:233288 --enddatetime 2016-09-18T12:36:32 --enforcementcount 0 &gt;&gt;C:\Users\stu\Documents\GitHub\eaglep3-reporting\EC\2016-09-18-refined-times.txt</v>
      </c>
      <c r="AI79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{"issue":{"subject":"","project_id":79,"tracker_id":40,"status_id":1,"priority_id":2,"assigned_to_id":23,"start_date":"2016-09-18","description":"","custom_fields":[{"id":1,"name":"Subdivision","value":"EC"},{"id":4,"name":"Milepost","value":"23.3288"},{"id":17,"name":"Train ID","value":"167-18"},{"id":16,"name":"Locomotive ID","value":"4044"},{"id":130,"name":"Impact","value":""},{"id":150,"name":"Time of Event (Mountain Time)","value":"12:36:32"},{"id":151,"name":"Denver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501</v>
      </c>
      <c r="B80" s="7">
        <v>4043</v>
      </c>
      <c r="C80" s="24" t="s">
        <v>106</v>
      </c>
      <c r="D80" s="24" t="s">
        <v>239</v>
      </c>
      <c r="E80" s="15">
        <v>42631.532824074071</v>
      </c>
      <c r="F80" s="15">
        <v>42631.539155092592</v>
      </c>
      <c r="G80" s="7">
        <v>1</v>
      </c>
      <c r="H80" s="15" t="s">
        <v>644</v>
      </c>
      <c r="I80" s="15">
        <v>42631.56627314815</v>
      </c>
      <c r="J80" s="7">
        <v>0</v>
      </c>
      <c r="K80" s="121" t="str">
        <f>IF(ISEVEN(B80),(B80-1)&amp;"/"&amp;B80,B80&amp;"/"&amp;(B80+1))</f>
        <v>4043/4044</v>
      </c>
      <c r="L80" s="24" t="str">
        <f>VLOOKUP(A80,'Trips&amp;Operators'!$C$1:$E$10000,3,FALSE)</f>
        <v>OUN</v>
      </c>
      <c r="M80" s="6">
        <f>I80-F80</f>
        <v>2.7118055557366461E-2</v>
      </c>
      <c r="N80" s="7">
        <f>24*60*SUM($M80:$M80)</f>
        <v>39.050000002607703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https://search-rtdc-monitor-bjffxe2xuh6vdkpspy63sjmuny.us-east-1.es.amazonaws.com/_plugin/kibana/#/discover/Steve-Slow-Train-Analysis-(2080s-and-2083s)?_g=(refreshInterval:(display:Off,section:0,value:0),time:(from:'2016-09-18 11:47:16-0600',mode:absolute,to:'2016-09-18 14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80" s="54" t="str">
        <f>IF(AA80&lt;IF(AG80="EC",23,5.65),"Y","N")</f>
        <v>N</v>
      </c>
      <c r="X80" s="168">
        <f>VALUE(LEFT(AD80,4))-VALUE(LEFT(AD79,4))</f>
        <v>1</v>
      </c>
      <c r="Y80" s="69">
        <f>RIGHT(D80,LEN(D80)-4)/10000</f>
        <v>23.297799999999999</v>
      </c>
      <c r="Z80" s="69">
        <f>RIGHT(H80,LEN(H80)-4)/10000</f>
        <v>1.29E-2</v>
      </c>
      <c r="AA80" s="69">
        <f>ABS(Z80-Y80)</f>
        <v>23.2849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>IF(LEN(A80)=6,"0"&amp;A80,A80)</f>
        <v>0168-18</v>
      </c>
      <c r="AE80" s="99" t="str">
        <f>"aws s3 cp "&amp;s3_bucket&amp;"/RTDC"&amp;B80&amp;"/"&amp;TEXT(F80,"YYYY-MM-DD")&amp;"/ "&amp;search_path&amp;"\RTDC"&amp;B80&amp;"\"&amp;TEXT(F80,"YYYY-MM-DD")&amp;" --recursive &amp; """&amp;walkandungz&amp;""" "&amp;search_path&amp;"\RTDC"&amp;B80&amp;"\"&amp;TEXT(F80,"YYYY-MM-DD")
&amp;" &amp; "&amp;"aws s3 cp "&amp;s3_bucket&amp;"/RTDC"&amp;B80&amp;"/"&amp;TEXT(F80+1,"YYYY-MM-DD")&amp;"/ "&amp;search_path&amp;"\RTDC"&amp;B80&amp;"\"&amp;TEXT(F80+1,"YYYY-MM-DD")&amp;" --recursive &amp; """&amp;walkandungz&amp;""" "&amp;search_path&amp;"\RTDC"&amp;B80&amp;"\"&amp;TEXT(F80+1,"YYYY-MM-DD")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80" s="96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/stypes="app*4043*20160918*" /stext=" 19:.+((SYSTEM_STATE.+slice.+state.+changed )|(ment ac)|(system.+state.+changed )|(\|lc)|(penalty)|(\[timeout)|(PRM\|1\|D)|(kpr)|(kdp))" /e /r /s</v>
      </c>
      <c r="AG80" s="1" t="str">
        <f>IFERROR(IF(VALUE(LEFT(AD80,2))&lt;=2,"EC",IF(OR(VALUE(LEFT(AD80,2))=8,VALUE(LEFT(AD80,2))=18),"NW","Other")),"Other")</f>
        <v>EC</v>
      </c>
      <c r="AH80" s="100" t="str">
        <f t="shared" si="4"/>
        <v>"%USERPROFILE%\Documents\GitHub\eaglep3\Utilities\RefineRTDCRunTimes.py" --tripid 168-18 --locoid 4043 --swversion DE.1.0.7.0 --startMP 204:232978 --initTime 2016-09-18T12:47:16 --startdatetime 2016-09-18T12:56:23 --delay 1 --endMP 204:129 --enddatetime 2016-09-18T13:35:26 --enforcementcount 0 &gt;&gt;C:\Users\stu\Documents\GitHub\eaglep3-reporting\EC\2016-09-18-refined-times.txt</v>
      </c>
      <c r="AI80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{"issue":{"subject":"","project_id":79,"tracker_id":40,"status_id":1,"priority_id":2,"assigned_to_id":23,"start_date":"2016-09-18","description":"","custom_fields":[{"id":1,"name":"Subdivision","value":"EC"},{"id":4,"name":"Milepost","value":"0.0129"},{"id":17,"name":"Train ID","value":"168-18"},{"id":16,"name":"Locomotive ID","value":"4043"},{"id":130,"name":"Impact","value":""},{"id":150,"name":"Time of Event (Mountain Time)","value":"13:35:26"},{"id":151,"name":"Denver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494</v>
      </c>
      <c r="B81" s="7">
        <v>4038</v>
      </c>
      <c r="C81" s="24" t="s">
        <v>106</v>
      </c>
      <c r="D81" s="24" t="s">
        <v>645</v>
      </c>
      <c r="E81" s="15">
        <v>42631.508518518516</v>
      </c>
      <c r="F81" s="15">
        <v>42631.51059027778</v>
      </c>
      <c r="G81" s="7">
        <v>1</v>
      </c>
      <c r="H81" s="15" t="s">
        <v>646</v>
      </c>
      <c r="I81" s="15">
        <v>42631.53800925926</v>
      </c>
      <c r="J81" s="7">
        <v>0</v>
      </c>
      <c r="K81" s="121" t="str">
        <f>IF(ISEVEN(B81),(B81-1)&amp;"/"&amp;B81,B81&amp;"/"&amp;(B81+1))</f>
        <v>4037/4038</v>
      </c>
      <c r="L81" s="24" t="str">
        <f>VLOOKUP(A81,'Trips&amp;Operators'!$C$1:$E$10000,3,FALSE)</f>
        <v>CLARK</v>
      </c>
      <c r="M81" s="6">
        <f>I81-F81</f>
        <v>2.7418981480877846E-2</v>
      </c>
      <c r="N81" s="7">
        <f>24*60*SUM($M81:$M81)</f>
        <v>39.483333332464099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https://search-rtdc-monitor-bjffxe2xuh6vdkpspy63sjmuny.us-east-1.es.amazonaws.com/_plugin/kibana/#/discover/Steve-Slow-Train-Analysis-(2080s-and-2083s)?_g=(refreshInterval:(display:Off,section:0,value:0),time:(from:'2016-09-18 11:12:16-0600',mode:absolute,to:'2016-09-18 13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1" s="54" t="str">
        <f>IF(AA81&lt;IF(AG81="EC",23,5.65),"Y","N")</f>
        <v>N</v>
      </c>
      <c r="X81" s="168">
        <f>VALUE(LEFT(AD81,4))-VALUE(LEFT(AD80,4))</f>
        <v>1</v>
      </c>
      <c r="Y81" s="69">
        <f>RIGHT(D81,LEN(D81)-4)/10000</f>
        <v>6.6400000000000001E-2</v>
      </c>
      <c r="Z81" s="69">
        <f>RIGHT(H81,LEN(H81)-4)/10000</f>
        <v>23.3215</v>
      </c>
      <c r="AA81" s="69">
        <f>ABS(Z81-Y81)</f>
        <v>23.255099999999999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>IF(LEN(A81)=6,"0"&amp;A81,A81)</f>
        <v>0169-18</v>
      </c>
      <c r="AE81" s="99" t="str">
        <f>"aws s3 cp "&amp;s3_bucket&amp;"/RTDC"&amp;B81&amp;"/"&amp;TEXT(F81,"YYYY-MM-DD")&amp;"/ "&amp;search_path&amp;"\RTDC"&amp;B81&amp;"\"&amp;TEXT(F81,"YYYY-MM-DD")&amp;" --recursive &amp; """&amp;walkandungz&amp;""" "&amp;search_path&amp;"\RTDC"&amp;B81&amp;"\"&amp;TEXT(F81,"YYYY-MM-DD")
&amp;" &amp; "&amp;"aws s3 cp "&amp;s3_bucket&amp;"/RTDC"&amp;B81&amp;"/"&amp;TEXT(F81+1,"YYYY-MM-DD")&amp;"/ "&amp;search_path&amp;"\RTDC"&amp;B81&amp;"\"&amp;TEXT(F81+1,"YYYY-MM-DD")&amp;" --recursive &amp; """&amp;walkandungz&amp;""" "&amp;search_path&amp;"\RTDC"&amp;B81&amp;"\"&amp;TEXT(F81+1,"YYYY-MM-DD")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81" s="96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/stypes="app*4038*20160918*" /stext=" 18:.+((SYSTEM_STATE.+slice.+state.+changed )|(ment ac)|(system.+state.+changed )|(\|lc)|(penalty)|(\[timeout)|(PRM\|1\|D)|(kpr)|(kdp))" /e /r /s</v>
      </c>
      <c r="AG81" s="1" t="str">
        <f>IFERROR(IF(VALUE(LEFT(AD81,2))&lt;=2,"EC",IF(OR(VALUE(LEFT(AD81,2))=8,VALUE(LEFT(AD81,2))=18),"NW","Other")),"Other")</f>
        <v>EC</v>
      </c>
      <c r="AH81" s="100" t="str">
        <f t="shared" si="4"/>
        <v>"%USERPROFILE%\Documents\GitHub\eaglep3\Utilities\RefineRTDCRunTimes.py" --tripid 169-18 --locoid 4038 --swversion DE.1.0.7.0 --startMP 204:664 --initTime 2016-09-18T12:12:16 --startdatetime 2016-09-18T12:15:15 --delay 1 --endMP 204:233215 --enddatetime 2016-09-18T12:54:44 --enforcementcount 0 &gt;&gt;C:\Users\stu\Documents\GitHub\eaglep3-reporting\EC\2016-09-18-refined-times.txt</v>
      </c>
      <c r="AI81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{"issue":{"subject":"","project_id":79,"tracker_id":40,"status_id":1,"priority_id":2,"assigned_to_id":23,"start_date":"2016-09-18","description":"","custom_fields":[{"id":1,"name":"Subdivision","value":"EC"},{"id":4,"name":"Milepost","value":"23.3215"},{"id":17,"name":"Train ID","value":"169-18"},{"id":16,"name":"Locomotive ID","value":"4038"},{"id":130,"name":"Impact","value":""},{"id":150,"name":"Time of Event (Mountain Time)","value":"12:54:44"},{"id":151,"name":"Denver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503</v>
      </c>
      <c r="B82" s="7">
        <v>4037</v>
      </c>
      <c r="C82" s="24" t="s">
        <v>106</v>
      </c>
      <c r="D82" s="24" t="s">
        <v>374</v>
      </c>
      <c r="E82" s="15">
        <v>42631.545219907406</v>
      </c>
      <c r="F82" s="15">
        <v>42631.549490740741</v>
      </c>
      <c r="G82" s="7">
        <v>1</v>
      </c>
      <c r="H82" s="15" t="s">
        <v>617</v>
      </c>
      <c r="I82" s="15">
        <v>42631.5784375</v>
      </c>
      <c r="J82" s="7">
        <v>0</v>
      </c>
      <c r="K82" s="121" t="str">
        <f>IF(ISEVEN(B82),(B82-1)&amp;"/"&amp;B82,B82&amp;"/"&amp;(B82+1))</f>
        <v>4037/4038</v>
      </c>
      <c r="L82" s="24" t="str">
        <f>VLOOKUP(A82,'Trips&amp;Operators'!$C$1:$E$10000,3,FALSE)</f>
        <v>CLARK</v>
      </c>
      <c r="M82" s="6">
        <f>I82-F82</f>
        <v>2.8946759259270038E-2</v>
      </c>
      <c r="N82" s="7">
        <f>24*60*SUM($M82:$M82)</f>
        <v>41.683333333348855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https://search-rtdc-monitor-bjffxe2xuh6vdkpspy63sjmuny.us-east-1.es.amazonaws.com/_plugin/kibana/#/discover/Steve-Slow-Train-Analysis-(2080s-and-2083s)?_g=(refreshInterval:(display:Off,section:0,value:0),time:(from:'2016-09-18 12:05:07-0600',mode:absolute,to:'2016-09-18 14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82" s="54" t="str">
        <f>IF(AA82&lt;IF(AG82="EC",23,5.65),"Y","N")</f>
        <v>N</v>
      </c>
      <c r="X82" s="168">
        <f>VALUE(LEFT(AD82,4))-VALUE(LEFT(AD81,4))</f>
        <v>1</v>
      </c>
      <c r="Y82" s="69">
        <f>RIGHT(D82,LEN(D82)-4)/10000</f>
        <v>23.2883</v>
      </c>
      <c r="Z82" s="69">
        <f>RIGHT(H82,LEN(H82)-4)/10000</f>
        <v>1.4500000000000001E-2</v>
      </c>
      <c r="AA82" s="69">
        <f>ABS(Z82-Y82)</f>
        <v>23.273799999999998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>IF(LEN(A82)=6,"0"&amp;A82,A82)</f>
        <v>0170-18</v>
      </c>
      <c r="AE82" s="99" t="str">
        <f>"aws s3 cp "&amp;s3_bucket&amp;"/RTDC"&amp;B82&amp;"/"&amp;TEXT(F82,"YYYY-MM-DD")&amp;"/ "&amp;search_path&amp;"\RTDC"&amp;B82&amp;"\"&amp;TEXT(F82,"YYYY-MM-DD")&amp;" --recursive &amp; """&amp;walkandungz&amp;""" "&amp;search_path&amp;"\RTDC"&amp;B82&amp;"\"&amp;TEXT(F82,"YYYY-MM-DD")
&amp;" &amp; "&amp;"aws s3 cp "&amp;s3_bucket&amp;"/RTDC"&amp;B82&amp;"/"&amp;TEXT(F82+1,"YYYY-MM-DD")&amp;"/ "&amp;search_path&amp;"\RTDC"&amp;B82&amp;"\"&amp;TEXT(F82+1,"YYYY-MM-DD")&amp;" --recursive &amp; """&amp;walkandungz&amp;""" "&amp;search_path&amp;"\RTDC"&amp;B82&amp;"\"&amp;TEXT(F82+1,"YYYY-MM-DD")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82" s="96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/stypes="app*4037*20160918*" /stext=" 19:.+((SYSTEM_STATE.+slice.+state.+changed )|(ment ac)|(system.+state.+changed )|(\|lc)|(penalty)|(\[timeout)|(PRM\|1\|D)|(kpr)|(kdp))" /e /r /s</v>
      </c>
      <c r="AG82" s="1" t="str">
        <f>IFERROR(IF(VALUE(LEFT(AD82,2))&lt;=2,"EC",IF(OR(VALUE(LEFT(AD82,2))=8,VALUE(LEFT(AD82,2))=18),"NW","Other")),"Other")</f>
        <v>EC</v>
      </c>
      <c r="AH82" s="100" t="str">
        <f t="shared" si="4"/>
        <v>"%USERPROFILE%\Documents\GitHub\eaglep3\Utilities\RefineRTDCRunTimes.py" --tripid 170-18 --locoid 4037 --swversion DE.1.0.7.0 --startMP 204:232883 --initTime 2016-09-18T13:05:07 --startdatetime 2016-09-18T13:11:16 --delay 1 --endMP 204:145 --enddatetime 2016-09-18T13:52:57 --enforcementcount 0 &gt;&gt;C:\Users\stu\Documents\GitHub\eaglep3-reporting\EC\2016-09-18-refined-times.txt</v>
      </c>
      <c r="AI82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ID","value":"170-18"},{"id":16,"name":"Locomotive ID","value":"4037"},{"id":130,"name":"Impact","value":""},{"id":150,"name":"Time of Event (Mountain Time)","value":"13:52:57"},{"id":151,"name":"Denver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497</v>
      </c>
      <c r="B83" s="7">
        <v>4027</v>
      </c>
      <c r="C83" s="24" t="s">
        <v>106</v>
      </c>
      <c r="D83" s="24" t="s">
        <v>235</v>
      </c>
      <c r="E83" s="15">
        <v>42631.517291666663</v>
      </c>
      <c r="F83" s="15">
        <v>42631.521608796298</v>
      </c>
      <c r="G83" s="7">
        <v>2</v>
      </c>
      <c r="H83" s="15" t="s">
        <v>647</v>
      </c>
      <c r="I83" s="15">
        <v>42631.546168981484</v>
      </c>
      <c r="J83" s="7">
        <v>0</v>
      </c>
      <c r="K83" s="121" t="str">
        <f>IF(ISEVEN(B83),(B83-1)&amp;"/"&amp;B83,B83&amp;"/"&amp;(B83+1))</f>
        <v>4027/4028</v>
      </c>
      <c r="L83" s="24" t="str">
        <f>VLOOKUP(A83,'Trips&amp;Operators'!$C$1:$E$10000,3,FALSE)</f>
        <v>SHOOK</v>
      </c>
      <c r="M83" s="6">
        <f>I83-F83</f>
        <v>2.4560185185691807E-2</v>
      </c>
      <c r="N83" s="7">
        <f>24*60*SUM($M83:$M83)</f>
        <v>35.366666667396203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https://search-rtdc-monitor-bjffxe2xuh6vdkpspy63sjmuny.us-east-1.es.amazonaws.com/_plugin/kibana/#/discover/Steve-Slow-Train-Analysis-(2080s-and-2083s)?_g=(refreshInterval:(display:Off,section:0,value:0),time:(from:'2016-09-18 11:24:54-0600',mode:absolute,to:'2016-09-18 14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3" s="54" t="str">
        <f>IF(AA83&lt;IF(AG83="EC",23,5.65),"Y","N")</f>
        <v>N</v>
      </c>
      <c r="X83" s="168">
        <f>VALUE(LEFT(AD83,4))-VALUE(LEFT(AD82,4))</f>
        <v>1</v>
      </c>
      <c r="Y83" s="69">
        <f>RIGHT(D83,LEN(D83)-4)/10000</f>
        <v>4.6699999999999998E-2</v>
      </c>
      <c r="Z83" s="69">
        <f>RIGHT(H83,LEN(H83)-4)/10000</f>
        <v>23.334499999999998</v>
      </c>
      <c r="AA83" s="69">
        <f>ABS(Z83-Y83)</f>
        <v>23.287799999999997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>IF(LEN(A83)=6,"0"&amp;A83,A83)</f>
        <v>0171-18</v>
      </c>
      <c r="AE83" s="99" t="str">
        <f>"aws s3 cp "&amp;s3_bucket&amp;"/RTDC"&amp;B83&amp;"/"&amp;TEXT(F83,"YYYY-MM-DD")&amp;"/ "&amp;search_path&amp;"\RTDC"&amp;B83&amp;"\"&amp;TEXT(F83,"YYYY-MM-DD")&amp;" --recursive &amp; """&amp;walkandungz&amp;""" "&amp;search_path&amp;"\RTDC"&amp;B83&amp;"\"&amp;TEXT(F83,"YYYY-MM-DD")
&amp;" &amp; "&amp;"aws s3 cp "&amp;s3_bucket&amp;"/RTDC"&amp;B83&amp;"/"&amp;TEXT(F83+1,"YYYY-MM-DD")&amp;"/ "&amp;search_path&amp;"\RTDC"&amp;B83&amp;"\"&amp;TEXT(F83+1,"YYYY-MM-DD")&amp;" --recursive &amp; """&amp;walkandungz&amp;""" "&amp;search_path&amp;"\RTDC"&amp;B83&amp;"\"&amp;TEXT(F83+1,"YYYY-MM-DD")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83" s="96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/stypes="app*4027*20160918*" /stext=" 19:.+((SYSTEM_STATE.+slice.+state.+changed )|(ment ac)|(system.+state.+changed )|(\|lc)|(penalty)|(\[timeout)|(PRM\|1\|D)|(kpr)|(kdp))" /e /r /s</v>
      </c>
      <c r="AG83" s="1" t="str">
        <f>IFERROR(IF(VALUE(LEFT(AD83,2))&lt;=2,"EC",IF(OR(VALUE(LEFT(AD83,2))=8,VALUE(LEFT(AD83,2))=18),"NW","Other")),"Other")</f>
        <v>EC</v>
      </c>
      <c r="AH83" s="100" t="str">
        <f t="shared" si="4"/>
        <v>"%USERPROFILE%\Documents\GitHub\eaglep3\Utilities\RefineRTDCRunTimes.py" --tripid 171-18 --locoid 4027 --swversion DE.1.0.7.0 --startMP 204:467 --initTime 2016-09-18T12:24:54 --startdatetime 2016-09-18T12:31:07 --delay 2 --endMP 204:233345 --enddatetime 2016-09-18T13:06:29 --enforcementcount 0 &gt;&gt;C:\Users\stu\Documents\GitHub\eaglep3-reporting\EC\2016-09-18-refined-times.txt</v>
      </c>
      <c r="AI83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{"issue":{"subject":"","project_id":79,"tracker_id":40,"status_id":1,"priority_id":2,"assigned_to_id":23,"start_date":"2016-09-18","description":"","custom_fields":[{"id":1,"name":"Subdivision","value":"EC"},{"id":4,"name":"Milepost","value":"23.3345"},{"id":17,"name":"Train ID","value":"171-18"},{"id":16,"name":"Locomotive ID","value":"4027"},{"id":130,"name":"Impact","value":""},{"id":150,"name":"Time of Event (Mountain Time)","value":"13:06:29"},{"id":151,"name":"Denver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505</v>
      </c>
      <c r="B84" s="7">
        <v>4028</v>
      </c>
      <c r="C84" s="24" t="s">
        <v>106</v>
      </c>
      <c r="D84" s="24" t="s">
        <v>648</v>
      </c>
      <c r="E84" s="15">
        <v>42631.554803240739</v>
      </c>
      <c r="F84" s="15">
        <v>42631.559953703705</v>
      </c>
      <c r="G84" s="7">
        <v>1</v>
      </c>
      <c r="H84" s="15" t="s">
        <v>631</v>
      </c>
      <c r="I84" s="15">
        <v>42631.586192129631</v>
      </c>
      <c r="J84" s="7">
        <v>0</v>
      </c>
      <c r="K84" s="121" t="str">
        <f>IF(ISEVEN(B84),(B84-1)&amp;"/"&amp;B84,B84&amp;"/"&amp;(B84+1))</f>
        <v>4027/4028</v>
      </c>
      <c r="L84" s="24" t="str">
        <f>VLOOKUP(A84,'Trips&amp;Operators'!$C$1:$E$10000,3,FALSE)</f>
        <v>SHOOK</v>
      </c>
      <c r="M84" s="6">
        <f>I84-F84</f>
        <v>2.6238425925839692E-2</v>
      </c>
      <c r="N84" s="7">
        <f>24*60*SUM($M84:$M84)</f>
        <v>37.783333333209157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https://search-rtdc-monitor-bjffxe2xuh6vdkpspy63sjmuny.us-east-1.es.amazonaws.com/_plugin/kibana/#/discover/Steve-Slow-Train-Analysis-(2080s-and-2083s)?_g=(refreshInterval:(display:Off,section:0,value:0),time:(from:'2016-09-18 12:18:55-0600',mode:absolute,to:'2016-09-18 15:04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84" s="54" t="str">
        <f>IF(AA84&lt;IF(AG84="EC",23,5.65),"Y","N")</f>
        <v>N</v>
      </c>
      <c r="X84" s="168">
        <f>VALUE(LEFT(AD84,4))-VALUE(LEFT(AD83,4))</f>
        <v>1</v>
      </c>
      <c r="Y84" s="69">
        <f>RIGHT(D84,LEN(D84)-4)/10000</f>
        <v>23.303999999999998</v>
      </c>
      <c r="Z84" s="69">
        <f>RIGHT(H84,LEN(H84)-4)/10000</f>
        <v>1.34E-2</v>
      </c>
      <c r="AA84" s="69">
        <f>ABS(Z84-Y84)</f>
        <v>23.290599999999998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>IF(LEN(A84)=6,"0"&amp;A84,A84)</f>
        <v>0172-18</v>
      </c>
      <c r="AE84" s="99" t="str">
        <f>"aws s3 cp "&amp;s3_bucket&amp;"/RTDC"&amp;B84&amp;"/"&amp;TEXT(F84,"YYYY-MM-DD")&amp;"/ "&amp;search_path&amp;"\RTDC"&amp;B84&amp;"\"&amp;TEXT(F84,"YYYY-MM-DD")&amp;" --recursive &amp; """&amp;walkandungz&amp;""" "&amp;search_path&amp;"\RTDC"&amp;B84&amp;"\"&amp;TEXT(F84,"YYYY-MM-DD")
&amp;" &amp; "&amp;"aws s3 cp "&amp;s3_bucket&amp;"/RTDC"&amp;B84&amp;"/"&amp;TEXT(F84+1,"YYYY-MM-DD")&amp;"/ "&amp;search_path&amp;"\RTDC"&amp;B84&amp;"\"&amp;TEXT(F84+1,"YYYY-MM-DD")&amp;" --recursive &amp; """&amp;walkandungz&amp;""" "&amp;search_path&amp;"\RTDC"&amp;B84&amp;"\"&amp;TEXT(F84+1,"YYYY-MM-DD")</f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84" s="96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/stypes="app*4028*20160918*" /stext=" 20:.+((SYSTEM_STATE.+slice.+state.+changed )|(ment ac)|(system.+state.+changed )|(\|lc)|(penalty)|(\[timeout)|(PRM\|1\|D)|(kpr)|(kdp))" /e /r /s</v>
      </c>
      <c r="AG84" s="1" t="str">
        <f>IFERROR(IF(VALUE(LEFT(AD84,2))&lt;=2,"EC",IF(OR(VALUE(LEFT(AD84,2))=8,VALUE(LEFT(AD84,2))=18),"NW","Other")),"Other")</f>
        <v>EC</v>
      </c>
      <c r="AH84" s="100" t="str">
        <f t="shared" si="4"/>
        <v>"%USERPROFILE%\Documents\GitHub\eaglep3\Utilities\RefineRTDCRunTimes.py" --tripid 172-18 --locoid 4028 --swversion DE.1.0.7.0 --startMP 204:233040 --initTime 2016-09-18T13:18:55 --startdatetime 2016-09-18T13:26:20 --delay 1 --endMP 204:134 --enddatetime 2016-09-18T14:04:07 --enforcementcount 0 &gt;&gt;C:\Users\stu\Documents\GitHub\eaglep3-reporting\EC\2016-09-18-refined-times.txt</v>
      </c>
      <c r="AI84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{"issue":{"subject":"","project_id":79,"tracker_id":40,"status_id":1,"priority_id":2,"assigned_to_id":23,"start_date":"2016-09-18","description":"","custom_fields":[{"id":1,"name":"Subdivision","value":"EC"},{"id":4,"name":"Milepost","value":"0.0134"},{"id":17,"name":"Train ID","value":"172-18"},{"id":16,"name":"Locomotive ID","value":"4028"},{"id":130,"name":"Impact","value":""},{"id":150,"name":"Time of Event (Mountain Time)","value":"14:04:07"},{"id":151,"name":"Denver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500</v>
      </c>
      <c r="B85" s="7">
        <v>4020</v>
      </c>
      <c r="C85" s="24" t="s">
        <v>106</v>
      </c>
      <c r="D85" s="24" t="s">
        <v>649</v>
      </c>
      <c r="E85" s="15">
        <v>42631.527939814812</v>
      </c>
      <c r="F85" s="15">
        <v>42631.5315162037</v>
      </c>
      <c r="G85" s="7">
        <v>1</v>
      </c>
      <c r="H85" s="15" t="s">
        <v>323</v>
      </c>
      <c r="I85" s="15">
        <v>42631.556793981479</v>
      </c>
      <c r="J85" s="7">
        <v>0</v>
      </c>
      <c r="K85" s="121" t="str">
        <f>IF(ISEVEN(B85),(B85-1)&amp;"/"&amp;B85,B85&amp;"/"&amp;(B85+1))</f>
        <v>4019/4020</v>
      </c>
      <c r="L85" s="24" t="str">
        <f>VLOOKUP(A85,'Trips&amp;Operators'!$C$1:$E$10000,3,FALSE)</f>
        <v>STEWART</v>
      </c>
      <c r="M85" s="6">
        <f>I85-F85</f>
        <v>2.527777777868323E-2</v>
      </c>
      <c r="N85" s="7">
        <f>24*60*SUM($M85:$M85)</f>
        <v>36.400000001303852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https://search-rtdc-monitor-bjffxe2xuh6vdkpspy63sjmuny.us-east-1.es.amazonaws.com/_plugin/kibana/#/discover/Steve-Slow-Train-Analysis-(2080s-and-2083s)?_g=(refreshInterval:(display:Off,section:0,value:0),time:(from:'2016-09-18 11:40:14-0600',mode:absolute,to:'2016-09-18 14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5" s="54" t="str">
        <f>IF(AA85&lt;IF(AG85="EC",23,5.65),"Y","N")</f>
        <v>N</v>
      </c>
      <c r="X85" s="168">
        <f>VALUE(LEFT(AD85,4))-VALUE(LEFT(AD84,4))</f>
        <v>1</v>
      </c>
      <c r="Y85" s="69">
        <f>RIGHT(D85,LEN(D85)-4)/10000</f>
        <v>6.1499999999999999E-2</v>
      </c>
      <c r="Z85" s="69">
        <f>RIGHT(H85,LEN(H85)-4)/10000</f>
        <v>23.328499999999998</v>
      </c>
      <c r="AA85" s="69">
        <f>ABS(Z85-Y85)</f>
        <v>23.266999999999999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>IF(LEN(A85)=6,"0"&amp;A85,A85)</f>
        <v>0173-18</v>
      </c>
      <c r="AE85" s="99" t="str">
        <f>"aws s3 cp "&amp;s3_bucket&amp;"/RTDC"&amp;B85&amp;"/"&amp;TEXT(F85,"YYYY-MM-DD")&amp;"/ "&amp;search_path&amp;"\RTDC"&amp;B85&amp;"\"&amp;TEXT(F85,"YYYY-MM-DD")&amp;" --recursive &amp; """&amp;walkandungz&amp;""" "&amp;search_path&amp;"\RTDC"&amp;B85&amp;"\"&amp;TEXT(F85,"YYYY-MM-DD")
&amp;" &amp; "&amp;"aws s3 cp "&amp;s3_bucket&amp;"/RTDC"&amp;B85&amp;"/"&amp;TEXT(F85+1,"YYYY-MM-DD")&amp;"/ "&amp;search_path&amp;"\RTDC"&amp;B85&amp;"\"&amp;TEXT(F85+1,"YYYY-MM-DD")&amp;" --recursive &amp; """&amp;walkandungz&amp;""" "&amp;search_path&amp;"\RTDC"&amp;B85&amp;"\"&amp;TEXT(F85+1,"YYYY-MM-DD")</f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85" s="96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/stypes="app*4020*20160918*" /stext=" 19:.+((SYSTEM_STATE.+slice.+state.+changed )|(ment ac)|(system.+state.+changed )|(\|lc)|(penalty)|(\[timeout)|(PRM\|1\|D)|(kpr)|(kdp))" /e /r /s</v>
      </c>
      <c r="AG85" s="1" t="str">
        <f>IFERROR(IF(VALUE(LEFT(AD85,2))&lt;=2,"EC",IF(OR(VALUE(LEFT(AD85,2))=8,VALUE(LEFT(AD85,2))=18),"NW","Other")),"Other")</f>
        <v>EC</v>
      </c>
      <c r="AH85" s="100" t="str">
        <f t="shared" si="4"/>
        <v>"%USERPROFILE%\Documents\GitHub\eaglep3\Utilities\RefineRTDCRunTimes.py" --tripid 173-18 --locoid 4020 --swversion DE.1.0.7.0 --startMP 204:615 --initTime 2016-09-18T12:40:14 --startdatetime 2016-09-18T12:45:23 --delay 1 --endMP 204:233285 --enddatetime 2016-09-18T13:21:47 --enforcementcount 0 &gt;&gt;C:\Users\stu\Documents\GitHub\eaglep3-reporting\EC\2016-09-18-refined-times.txt</v>
      </c>
      <c r="AI85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{"issue":{"subject":"","project_id":79,"tracker_id":40,"status_id":1,"priority_id":2,"assigned_to_id":23,"start_date":"2016-09-18","description":"","custom_fields":[{"id":1,"name":"Subdivision","value":"EC"},{"id":4,"name":"Milepost","value":"23.3285"},{"id":17,"name":"Train ID","value":"173-18"},{"id":16,"name":"Locomotive ID","value":"4020"},{"id":130,"name":"Impact","value":""},{"id":150,"name":"Time of Event (Mountain Time)","value":"13:21:47"},{"id":151,"name":"Denver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507</v>
      </c>
      <c r="B86" s="7">
        <v>4019</v>
      </c>
      <c r="C86" s="24" t="s">
        <v>106</v>
      </c>
      <c r="D86" s="24" t="s">
        <v>362</v>
      </c>
      <c r="E86" s="15">
        <v>42631.566979166666</v>
      </c>
      <c r="F86" s="15">
        <v>42631.604444444441</v>
      </c>
      <c r="G86" s="7">
        <v>1</v>
      </c>
      <c r="H86" s="15" t="s">
        <v>231</v>
      </c>
      <c r="I86" s="15">
        <v>42631.629236111112</v>
      </c>
      <c r="J86" s="7">
        <v>0</v>
      </c>
      <c r="K86" s="121" t="str">
        <f>IF(ISEVEN(B86),(B86-1)&amp;"/"&amp;B86,B86&amp;"/"&amp;(B86+1))</f>
        <v>4019/4020</v>
      </c>
      <c r="L86" s="24" t="str">
        <f>VLOOKUP(A86,'Trips&amp;Operators'!$C$1:$E$10000,3,FALSE)</f>
        <v>STEWART</v>
      </c>
      <c r="M86" s="6">
        <f>I86-F86</f>
        <v>2.4791666670353152E-2</v>
      </c>
      <c r="N86" s="7">
        <f>24*60*SUM($M86:$M86)</f>
        <v>35.700000005308539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https://search-rtdc-monitor-bjffxe2xuh6vdkpspy63sjmuny.us-east-1.es.amazonaws.com/_plugin/kibana/#/discover/Steve-Slow-Train-Analysis-(2080s-and-2083s)?_g=(refreshInterval:(display:Off,section:0,value:0),time:(from:'2016-09-18 12:36:27-0600',mode:absolute,to:'2016-09-18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6" s="54" t="str">
        <f>IF(AA86&lt;IF(AG86="EC",23,5.65),"Y","N")</f>
        <v>N</v>
      </c>
      <c r="X86" s="168">
        <f>VALUE(LEFT(AD86,4))-VALUE(LEFT(AD85,4))</f>
        <v>1</v>
      </c>
      <c r="Y86" s="69">
        <f>RIGHT(D86,LEN(D86)-4)/10000</f>
        <v>23.296199999999999</v>
      </c>
      <c r="Z86" s="69">
        <f>RIGHT(H86,LEN(H86)-4)/10000</f>
        <v>1.3899999999999999E-2</v>
      </c>
      <c r="AA86" s="69">
        <f>ABS(Z86-Y86)</f>
        <v>23.282299999999999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>IF(LEN(A86)=6,"0"&amp;A86,A86)</f>
        <v>0174-18</v>
      </c>
      <c r="AE86" s="99" t="str">
        <f>"aws s3 cp "&amp;s3_bucket&amp;"/RTDC"&amp;B86&amp;"/"&amp;TEXT(F86,"YYYY-MM-DD")&amp;"/ "&amp;search_path&amp;"\RTDC"&amp;B86&amp;"\"&amp;TEXT(F86,"YYYY-MM-DD")&amp;" --recursive &amp; """&amp;walkandungz&amp;""" "&amp;search_path&amp;"\RTDC"&amp;B86&amp;"\"&amp;TEXT(F86,"YYYY-MM-DD")
&amp;" &amp; "&amp;"aws s3 cp "&amp;s3_bucket&amp;"/RTDC"&amp;B86&amp;"/"&amp;TEXT(F86+1,"YYYY-MM-DD")&amp;"/ "&amp;search_path&amp;"\RTDC"&amp;B86&amp;"\"&amp;TEXT(F86+1,"YYYY-MM-DD")&amp;" --recursive &amp; """&amp;walkandungz&amp;""" "&amp;search_path&amp;"\RTDC"&amp;B86&amp;"\"&amp;TEXT(F86+1,"YYYY-MM-DD")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86" s="96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/stypes="app*4019*20160918*" /stext=" 21:.+((SYSTEM_STATE.+slice.+state.+changed )|(ment ac)|(system.+state.+changed )|(\|lc)|(penalty)|(\[timeout)|(PRM\|1\|D)|(kpr)|(kdp))" /e /r /s</v>
      </c>
      <c r="AG86" s="1" t="str">
        <f>IFERROR(IF(VALUE(LEFT(AD86,2))&lt;=2,"EC",IF(OR(VALUE(LEFT(AD86,2))=8,VALUE(LEFT(AD86,2))=18),"NW","Other")),"Other")</f>
        <v>EC</v>
      </c>
      <c r="AH86" s="100" t="str">
        <f t="shared" si="4"/>
        <v>"%USERPROFILE%\Documents\GitHub\eaglep3\Utilities\RefineRTDCRunTimes.py" --tripid 174-18 --locoid 4019 --swversion DE.1.0.7.0 --startMP 204:232962 --initTime 2016-09-18T13:36:27 --startdatetime 2016-09-18T14:30:24 --delay 1 --endMP 204:139 --enddatetime 2016-09-18T15:06:06 --enforcementcount 0 &gt;&gt;C:\Users\stu\Documents\GitHub\eaglep3-reporting\EC\2016-09-18-refined-times.txt</v>
      </c>
      <c r="AI86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{"issue":{"subject":"","project_id":79,"tracker_id":40,"status_id":1,"priority_id":2,"assigned_to_id":23,"start_date":"2016-09-18","description":"","custom_fields":[{"id":1,"name":"Subdivision","value":"EC"},{"id":4,"name":"Milepost","value":"0.0139"},{"id":17,"name":"Train ID","value":"174-18"},{"id":16,"name":"Locomotive ID","value":"4019"},{"id":130,"name":"Impact","value":""},{"id":150,"name":"Time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502</v>
      </c>
      <c r="B87" s="7">
        <v>4016</v>
      </c>
      <c r="C87" s="24" t="s">
        <v>106</v>
      </c>
      <c r="D87" s="24" t="s">
        <v>235</v>
      </c>
      <c r="E87" s="15">
        <v>42631.538576388892</v>
      </c>
      <c r="F87" s="15">
        <v>42631.541921296295</v>
      </c>
      <c r="G87" s="7">
        <v>1</v>
      </c>
      <c r="H87" s="15" t="s">
        <v>650</v>
      </c>
      <c r="I87" s="15">
        <v>42631.566944444443</v>
      </c>
      <c r="J87" s="7">
        <v>0</v>
      </c>
      <c r="K87" s="121" t="str">
        <f>IF(ISEVEN(B87),(B87-1)&amp;"/"&amp;B87,B87&amp;"/"&amp;(B87+1))</f>
        <v>4015/4016</v>
      </c>
      <c r="L87" s="24" t="str">
        <f>VLOOKUP(A87,'Trips&amp;Operators'!$C$1:$E$10000,3,FALSE)</f>
        <v>BARTLETT</v>
      </c>
      <c r="M87" s="6">
        <f>I87-F87</f>
        <v>2.5023148147738539E-2</v>
      </c>
      <c r="N87" s="7">
        <f>24*60*SUM($M87:$M87)</f>
        <v>36.033333332743496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https://search-rtdc-monitor-bjffxe2xuh6vdkpspy63sjmuny.us-east-1.es.amazonaws.com/_plugin/kibana/#/discover/Steve-Slow-Train-Analysis-(2080s-and-2083s)?_g=(refreshInterval:(display:Off,section:0,value:0),time:(from:'2016-09-18 11:55:33-0600',mode:absolute,to:'2016-09-18 14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7" s="54" t="str">
        <f>IF(AA87&lt;IF(AG87="EC",23,5.65),"Y","N")</f>
        <v>N</v>
      </c>
      <c r="X87" s="168">
        <f>VALUE(LEFT(AD87,4))-VALUE(LEFT(AD86,4))</f>
        <v>1</v>
      </c>
      <c r="Y87" s="69">
        <f>RIGHT(D87,LEN(D87)-4)/10000</f>
        <v>4.6699999999999998E-2</v>
      </c>
      <c r="Z87" s="69">
        <f>RIGHT(H87,LEN(H87)-4)/10000</f>
        <v>23.334099999999999</v>
      </c>
      <c r="AA87" s="69">
        <f>ABS(Z87-Y87)</f>
        <v>23.287399999999998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>IF(LEN(A87)=6,"0"&amp;A87,A87)</f>
        <v>0175-18</v>
      </c>
      <c r="AE87" s="99" t="str">
        <f>"aws s3 cp "&amp;s3_bucket&amp;"/RTDC"&amp;B87&amp;"/"&amp;TEXT(F87,"YYYY-MM-DD")&amp;"/ "&amp;search_path&amp;"\RTDC"&amp;B87&amp;"\"&amp;TEXT(F87,"YYYY-MM-DD")&amp;" --recursive &amp; """&amp;walkandungz&amp;""" "&amp;search_path&amp;"\RTDC"&amp;B87&amp;"\"&amp;TEXT(F87,"YYYY-MM-DD")
&amp;" &amp; "&amp;"aws s3 cp "&amp;s3_bucket&amp;"/RTDC"&amp;B87&amp;"/"&amp;TEXT(F87+1,"YYYY-MM-DD")&amp;"/ "&amp;search_path&amp;"\RTDC"&amp;B87&amp;"\"&amp;TEXT(F87+1,"YYYY-MM-DD")&amp;" --recursive &amp; """&amp;walkandungz&amp;""" "&amp;search_path&amp;"\RTDC"&amp;B87&amp;"\"&amp;TEXT(F87+1,"YYYY-MM-DD")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87" s="96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/stypes="app*4016*20160918*" /stext=" 19:.+((SYSTEM_STATE.+slice.+state.+changed )|(ment ac)|(system.+state.+changed )|(\|lc)|(penalty)|(\[timeout)|(PRM\|1\|D)|(kpr)|(kdp))" /e /r /s</v>
      </c>
      <c r="AG87" s="1" t="str">
        <f>IFERROR(IF(VALUE(LEFT(AD87,2))&lt;=2,"EC",IF(OR(VALUE(LEFT(AD87,2))=8,VALUE(LEFT(AD87,2))=18),"NW","Other")),"Other")</f>
        <v>EC</v>
      </c>
      <c r="AH87" s="100" t="str">
        <f t="shared" si="4"/>
        <v>"%USERPROFILE%\Documents\GitHub\eaglep3\Utilities\RefineRTDCRunTimes.py" --tripid 175-18 --locoid 4016 --swversion DE.1.0.7.0 --startMP 204:467 --initTime 2016-09-18T12:55:33 --startdatetime 2016-09-18T13:00:22 --delay 1 --endMP 204:233341 --enddatetime 2016-09-18T13:36:24 --enforcementcount 0 &gt;&gt;C:\Users\stu\Documents\GitHub\eaglep3-reporting\EC\2016-09-18-refined-times.txt</v>
      </c>
      <c r="AI87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{"issue":{"subject":"","project_id":79,"tracker_id":40,"status_id":1,"priority_id":2,"assigned_to_id":23,"start_date":"2016-09-18","description":"","custom_fields":[{"id":1,"name":"Subdivision","value":"EC"},{"id":4,"name":"Milepost","value":"23.3341"},{"id":17,"name":"Train ID","value":"175-18"},{"id":16,"name":"Locomotive ID","value":"4016"},{"id":130,"name":"Impact","value":""},{"id":150,"name":"Time of Event (Mountain Time)","value":"13:36:24"},{"id":151,"name":"Denver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509</v>
      </c>
      <c r="B88" s="7">
        <v>4015</v>
      </c>
      <c r="C88" s="24" t="s">
        <v>106</v>
      </c>
      <c r="D88" s="24" t="s">
        <v>651</v>
      </c>
      <c r="E88" s="15">
        <v>42631.569074074076</v>
      </c>
      <c r="F88" s="15">
        <v>42631.580740740741</v>
      </c>
      <c r="G88" s="7">
        <v>1</v>
      </c>
      <c r="H88" s="15" t="s">
        <v>256</v>
      </c>
      <c r="I88" s="15">
        <v>42631.607511574075</v>
      </c>
      <c r="J88" s="7">
        <v>0</v>
      </c>
      <c r="K88" s="121" t="str">
        <f>IF(ISEVEN(B88),(B88-1)&amp;"/"&amp;B88,B88&amp;"/"&amp;(B88+1))</f>
        <v>4015/4016</v>
      </c>
      <c r="L88" s="24" t="str">
        <f>VLOOKUP(A88,'Trips&amp;Operators'!$C$1:$E$10000,3,FALSE)</f>
        <v>BARTLETT</v>
      </c>
      <c r="M88" s="6">
        <f>I88-F88</f>
        <v>2.6770833334012423E-2</v>
      </c>
      <c r="N88" s="7">
        <f>24*60*SUM($M88:$M88)</f>
        <v>38.550000000977889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https://search-rtdc-monitor-bjffxe2xuh6vdkpspy63sjmuny.us-east-1.es.amazonaws.com/_plugin/kibana/#/discover/Steve-Slow-Train-Analysis-(2080s-and-2083s)?_g=(refreshInterval:(display:Off,section:0,value:0),time:(from:'2016-09-18 12:39:28-0600',mode:absolute,to:'2016-09-18 15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8" s="54" t="str">
        <f>IF(AA88&lt;IF(AG88="EC",23,5.65),"Y","N")</f>
        <v>N</v>
      </c>
      <c r="X88" s="168">
        <f>VALUE(LEFT(AD88,4))-VALUE(LEFT(AD87,4))</f>
        <v>1</v>
      </c>
      <c r="Y88" s="69">
        <f>RIGHT(D88,LEN(D88)-4)/10000</f>
        <v>23.300899999999999</v>
      </c>
      <c r="Z88" s="69">
        <f>RIGHT(H88,LEN(H88)-4)/10000</f>
        <v>1.43E-2</v>
      </c>
      <c r="AA88" s="69">
        <f>ABS(Z88-Y88)</f>
        <v>23.2866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>IF(LEN(A88)=6,"0"&amp;A88,A88)</f>
        <v>0176-18</v>
      </c>
      <c r="AE88" s="99" t="str">
        <f>"aws s3 cp "&amp;s3_bucket&amp;"/RTDC"&amp;B88&amp;"/"&amp;TEXT(F88,"YYYY-MM-DD")&amp;"/ "&amp;search_path&amp;"\RTDC"&amp;B88&amp;"\"&amp;TEXT(F88,"YYYY-MM-DD")&amp;" --recursive &amp; """&amp;walkandungz&amp;""" "&amp;search_path&amp;"\RTDC"&amp;B88&amp;"\"&amp;TEXT(F88,"YYYY-MM-DD")
&amp;" &amp; "&amp;"aws s3 cp "&amp;s3_bucket&amp;"/RTDC"&amp;B88&amp;"/"&amp;TEXT(F88+1,"YYYY-MM-DD")&amp;"/ "&amp;search_path&amp;"\RTDC"&amp;B88&amp;"\"&amp;TEXT(F88+1,"YYYY-MM-DD")&amp;" --recursive &amp; """&amp;walkandungz&amp;""" "&amp;search_path&amp;"\RTDC"&amp;B88&amp;"\"&amp;TEXT(F88+1,"YYYY-MM-DD")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88" s="96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/stypes="app*4015*20160918*" /stext=" 20:.+((SYSTEM_STATE.+slice.+state.+changed )|(ment ac)|(system.+state.+changed )|(\|lc)|(penalty)|(\[timeout)|(PRM\|1\|D)|(kpr)|(kdp))" /e /r /s</v>
      </c>
      <c r="AG88" s="1" t="str">
        <f>IFERROR(IF(VALUE(LEFT(AD88,2))&lt;=2,"EC",IF(OR(VALUE(LEFT(AD88,2))=8,VALUE(LEFT(AD88,2))=18),"NW","Other")),"Other")</f>
        <v>EC</v>
      </c>
      <c r="AH88" s="100" t="str">
        <f t="shared" si="4"/>
        <v>"%USERPROFILE%\Documents\GitHub\eaglep3\Utilities\RefineRTDCRunTimes.py" --tripid 176-18 --locoid 4015 --swversion DE.1.0.7.0 --startMP 204:233009 --initTime 2016-09-18T13:39:28 --startdatetime 2016-09-18T13:56:16 --delay 1 --endMP 204:143 --enddatetime 2016-09-18T14:34:49 --enforcementcount 0 &gt;&gt;C:\Users\stu\Documents\GitHub\eaglep3-reporting\EC\2016-09-18-refined-times.txt</v>
      </c>
      <c r="AI88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ID","value":"176-18"},{"id":16,"name":"Locomotive ID","value":"4015"},{"id":130,"name":"Impact","value":""},{"id":150,"name":"Time of Event (Mountain Time)","value":"14:34:49"},{"id":151,"name":"Denver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504</v>
      </c>
      <c r="B89" s="7">
        <v>4009</v>
      </c>
      <c r="C89" s="24" t="s">
        <v>106</v>
      </c>
      <c r="D89" s="24" t="s">
        <v>235</v>
      </c>
      <c r="E89" s="15">
        <v>42631.547233796293</v>
      </c>
      <c r="F89" s="15">
        <v>42631.55265046296</v>
      </c>
      <c r="G89" s="7">
        <v>1</v>
      </c>
      <c r="H89" s="15" t="s">
        <v>371</v>
      </c>
      <c r="I89" s="15">
        <v>42631.577673611115</v>
      </c>
      <c r="J89" s="7">
        <v>0</v>
      </c>
      <c r="K89" s="121" t="str">
        <f>IF(ISEVEN(B89),(B89-1)&amp;"/"&amp;B89,B89&amp;"/"&amp;(B89+1))</f>
        <v>4009/4010</v>
      </c>
      <c r="L89" s="24" t="str">
        <f>VLOOKUP(A89,'Trips&amp;Operators'!$C$1:$E$10000,3,FALSE)</f>
        <v>BRUDER</v>
      </c>
      <c r="M89" s="6">
        <f>I89-F89</f>
        <v>2.5023148155014496E-2</v>
      </c>
      <c r="N89" s="7">
        <f>24*60*SUM($M89:$M89)</f>
        <v>36.033333343220875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https://search-rtdc-monitor-bjffxe2xuh6vdkpspy63sjmuny.us-east-1.es.amazonaws.com/_plugin/kibana/#/discover/Steve-Slow-Train-Analysis-(2080s-and-2083s)?_g=(refreshInterval:(display:Off,section:0,value:0),time:(from:'2016-09-18 12:08:01-0600',mode:absolute,to:'2016-09-18 14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9" s="54" t="str">
        <f>IF(AA89&lt;IF(AG89="EC",23,5.65),"Y","N")</f>
        <v>N</v>
      </c>
      <c r="X89" s="168">
        <f>VALUE(LEFT(AD89,4))-VALUE(LEFT(AD88,4))</f>
        <v>1</v>
      </c>
      <c r="Y89" s="69">
        <f>RIGHT(D89,LEN(D89)-4)/10000</f>
        <v>4.6699999999999998E-2</v>
      </c>
      <c r="Z89" s="69">
        <f>RIGHT(H89,LEN(H89)-4)/10000</f>
        <v>23.324000000000002</v>
      </c>
      <c r="AA89" s="69">
        <f>ABS(Z89-Y89)</f>
        <v>23.2773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>IF(LEN(A89)=6,"0"&amp;A89,A89)</f>
        <v>0177-18</v>
      </c>
      <c r="AE89" s="99" t="str">
        <f>"aws s3 cp "&amp;s3_bucket&amp;"/RTDC"&amp;B89&amp;"/"&amp;TEXT(F89,"YYYY-MM-DD")&amp;"/ "&amp;search_path&amp;"\RTDC"&amp;B89&amp;"\"&amp;TEXT(F89,"YYYY-MM-DD")&amp;" --recursive &amp; """&amp;walkandungz&amp;""" "&amp;search_path&amp;"\RTDC"&amp;B89&amp;"\"&amp;TEXT(F89,"YYYY-MM-DD")
&amp;" &amp; "&amp;"aws s3 cp "&amp;s3_bucket&amp;"/RTDC"&amp;B89&amp;"/"&amp;TEXT(F89+1,"YYYY-MM-DD")&amp;"/ "&amp;search_path&amp;"\RTDC"&amp;B89&amp;"\"&amp;TEXT(F89+1,"YYYY-MM-DD")&amp;" --recursive &amp; """&amp;walkandungz&amp;""" "&amp;search_path&amp;"\RTDC"&amp;B89&amp;"\"&amp;TEXT(F89+1,"YYYY-MM-DD")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89" s="96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/stypes="app*4009*20160918*" /stext=" 19:.+((SYSTEM_STATE.+slice.+state.+changed )|(ment ac)|(system.+state.+changed )|(\|lc)|(penalty)|(\[timeout)|(PRM\|1\|D)|(kpr)|(kdp))" /e /r /s</v>
      </c>
      <c r="AG89" s="1" t="str">
        <f>IFERROR(IF(VALUE(LEFT(AD89,2))&lt;=2,"EC",IF(OR(VALUE(LEFT(AD89,2))=8,VALUE(LEFT(AD89,2))=18),"NW","Other")),"Other")</f>
        <v>EC</v>
      </c>
      <c r="AH89" s="100" t="str">
        <f t="shared" si="4"/>
        <v>"%USERPROFILE%\Documents\GitHub\eaglep3\Utilities\RefineRTDCRunTimes.py" --tripid 177-18 --locoid 4009 --swversion DE.1.0.7.0 --startMP 204:467 --initTime 2016-09-18T13:08:01 --startdatetime 2016-09-18T13:15:49 --delay 1 --endMP 204:233240 --enddatetime 2016-09-18T13:51:51 --enforcementcount 0 &gt;&gt;C:\Users\stu\Documents\GitHub\eaglep3-reporting\EC\2016-09-18-refined-times.txt</v>
      </c>
      <c r="AI89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{"issue":{"subject":"","project_id":79,"tracker_id":40,"status_id":1,"priority_id":2,"assigned_to_id":23,"start_date":"2016-09-18","description":"","custom_fields":[{"id":1,"name":"Subdivision","value":"EC"},{"id":4,"name":"Milepost","value":"23.324"},{"id":17,"name":"Train ID","value":"177-18"},{"id":16,"name":"Locomotive ID","value":"4009"},{"id":130,"name":"Impact","value":""},{"id":150,"name":"Time of Event (Mountain Time)","value":"13:51:51"},{"id":151,"name":"Denver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420</v>
      </c>
      <c r="B90" s="7">
        <v>4010</v>
      </c>
      <c r="C90" s="24" t="s">
        <v>106</v>
      </c>
      <c r="D90" s="24" t="s">
        <v>373</v>
      </c>
      <c r="E90" s="15">
        <v>42631.585393518515</v>
      </c>
      <c r="F90" s="15">
        <v>42631.591215277775</v>
      </c>
      <c r="G90" s="7">
        <v>1</v>
      </c>
      <c r="H90" s="15" t="s">
        <v>217</v>
      </c>
      <c r="I90" s="15">
        <v>42631.617615740739</v>
      </c>
      <c r="J90" s="7">
        <v>0</v>
      </c>
      <c r="K90" s="121" t="str">
        <f>IF(ISEVEN(B90),(B90-1)&amp;"/"&amp;B90,B90&amp;"/"&amp;(B90+1))</f>
        <v>4009/4010</v>
      </c>
      <c r="L90" s="24" t="str">
        <f>VLOOKUP(A90,'Trips&amp;Operators'!$C$1:$E$10000,3,FALSE)</f>
        <v>BRUDER</v>
      </c>
      <c r="M90" s="6">
        <f>I90-F90</f>
        <v>2.6400462964375038E-2</v>
      </c>
      <c r="N90" s="7">
        <f>24*60*SUM($M90:$M90)</f>
        <v>38.016666668700054</v>
      </c>
      <c r="O90" s="7"/>
      <c r="P90" s="7"/>
      <c r="Q90" s="25"/>
      <c r="R90" s="25"/>
      <c r="S90" s="37">
        <f>SUM(U90:U90)/IF(AG90="EC",12,1)</f>
        <v>1</v>
      </c>
      <c r="T90" s="52" t="str">
        <f>IF(ISEVEN(LEFT(AD90,4)),"Southbound","NorthBound")</f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https://search-rtdc-monitor-bjffxe2xuh6vdkpspy63sjmuny.us-east-1.es.amazonaws.com/_plugin/kibana/#/discover/Steve-Slow-Train-Analysis-(2080s-and-2083s)?_g=(refreshInterval:(display:Off,section:0,value:0),time:(from:'2016-09-18 13:02:58-0600',mode:absolute,to:'2016-09-18 15:49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0" s="54" t="str">
        <f>IF(AA90&lt;IF(AG90="EC",23,5.65),"Y","N")</f>
        <v>N</v>
      </c>
      <c r="X90" s="168">
        <f>VALUE(LEFT(AD90,4))-VALUE(LEFT(AD89,4))</f>
        <v>1</v>
      </c>
      <c r="Y90" s="69">
        <f>RIGHT(D90,LEN(D90)-4)/10000</f>
        <v>23.293600000000001</v>
      </c>
      <c r="Z90" s="69">
        <f>RIGHT(H90,LEN(H90)-4)/10000</f>
        <v>1.5800000000000002E-2</v>
      </c>
      <c r="AA90" s="69">
        <f>ABS(Z90-Y90)</f>
        <v>23.277800000000003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>IF(LEN(A90)=6,"0"&amp;A90,A90)</f>
        <v>0178-18</v>
      </c>
      <c r="AE90" s="99" t="str">
        <f>"aws s3 cp "&amp;s3_bucket&amp;"/RTDC"&amp;B90&amp;"/"&amp;TEXT(F90,"YYYY-MM-DD")&amp;"/ "&amp;search_path&amp;"\RTDC"&amp;B90&amp;"\"&amp;TEXT(F90,"YYYY-MM-DD")&amp;" --recursive &amp; """&amp;walkandungz&amp;""" "&amp;search_path&amp;"\RTDC"&amp;B90&amp;"\"&amp;TEXT(F90,"YYYY-MM-DD")
&amp;" &amp; "&amp;"aws s3 cp "&amp;s3_bucket&amp;"/RTDC"&amp;B90&amp;"/"&amp;TEXT(F90+1,"YYYY-MM-DD")&amp;"/ "&amp;search_path&amp;"\RTDC"&amp;B90&amp;"\"&amp;TEXT(F90+1,"YYYY-MM-DD")&amp;" --recursive &amp; """&amp;walkandungz&amp;""" "&amp;search_path&amp;"\RTDC"&amp;B90&amp;"\"&amp;TEXT(F90+1,"YYYY-MM-DD")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90" s="96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/stypes="app*4010*20160918*" /stext=" 20:.+((SYSTEM_STATE.+slice.+state.+changed )|(ment ac)|(system.+state.+changed )|(\|lc)|(penalty)|(\[timeout)|(PRM\|1\|D)|(kpr)|(kdp))" /e /r /s</v>
      </c>
      <c r="AG90" s="1" t="str">
        <f>IFERROR(IF(VALUE(LEFT(AD90,2))&lt;=2,"EC",IF(OR(VALUE(LEFT(AD90,2))=8,VALUE(LEFT(AD90,2))=18),"NW","Other")),"Other")</f>
        <v>EC</v>
      </c>
      <c r="AH90" s="100" t="str">
        <f t="shared" si="4"/>
        <v>"%USERPROFILE%\Documents\GitHub\eaglep3\Utilities\RefineRTDCRunTimes.py" --tripid 178-18 --locoid 4010 --swversion DE.1.0.7.0 --startMP 204:232936 --initTime 2016-09-18T14:02:58 --startdatetime 2016-09-18T14:11:21 --delay 1 --endMP 204:158 --enddatetime 2016-09-18T14:49:22 --enforcementcount 0 &gt;&gt;C:\Users\stu\Documents\GitHub\eaglep3-reporting\EC\2016-09-18-refined-times.txt</v>
      </c>
      <c r="AI90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ID","value":"178-18"},{"id":16,"name":"Locomotive ID","value":"4010"},{"id":130,"name":"Impact","value":""},{"id":150,"name":"Time of Event (Mountain Time)","value":"14:49:22"},{"id":151,"name":"Denver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506</v>
      </c>
      <c r="B91" s="7">
        <v>4014</v>
      </c>
      <c r="C91" s="24" t="s">
        <v>106</v>
      </c>
      <c r="D91" s="24" t="s">
        <v>652</v>
      </c>
      <c r="E91" s="15">
        <v>42631.558865740742</v>
      </c>
      <c r="F91" s="15">
        <v>42631.563020833331</v>
      </c>
      <c r="G91" s="7">
        <v>1</v>
      </c>
      <c r="H91" s="15" t="s">
        <v>653</v>
      </c>
      <c r="I91" s="15">
        <v>42631.587893518517</v>
      </c>
      <c r="J91" s="7">
        <v>0</v>
      </c>
      <c r="K91" s="121" t="str">
        <f>IF(ISEVEN(B91),(B91-1)&amp;"/"&amp;B91,B91&amp;"/"&amp;(B91+1))</f>
        <v>4013/4014</v>
      </c>
      <c r="L91" s="24" t="str">
        <f>VLOOKUP(A91,'Trips&amp;Operators'!$C$1:$E$10000,3,FALSE)</f>
        <v>MOSES</v>
      </c>
      <c r="M91" s="6">
        <f>I91-F91</f>
        <v>2.4872685185982846E-2</v>
      </c>
      <c r="N91" s="7">
        <f>24*60*SUM($M91:$M91)</f>
        <v>35.816666667815298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https://search-rtdc-monitor-bjffxe2xuh6vdkpspy63sjmuny.us-east-1.es.amazonaws.com/_plugin/kibana/#/discover/Steve-Slow-Train-Analysis-(2080s-and-2083s)?_g=(refreshInterval:(display:Off,section:0,value:0),time:(from:'2016-09-18 12:24:46-0600',mode:absolute,to:'2016-09-18 15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1" s="54" t="str">
        <f>IF(AA91&lt;IF(AG91="EC",23,5.65),"Y","N")</f>
        <v>N</v>
      </c>
      <c r="X91" s="168">
        <f>VALUE(LEFT(AD91,4))-VALUE(LEFT(AD90,4))</f>
        <v>1</v>
      </c>
      <c r="Y91" s="69">
        <f>RIGHT(D91,LEN(D91)-4)/10000</f>
        <v>5.2400000000000002E-2</v>
      </c>
      <c r="Z91" s="69">
        <f>RIGHT(H91,LEN(H91)-4)/10000</f>
        <v>23.3322</v>
      </c>
      <c r="AA91" s="69">
        <f>ABS(Z91-Y91)</f>
        <v>23.279800000000002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>IF(LEN(A91)=6,"0"&amp;A91,A91)</f>
        <v>0179-18</v>
      </c>
      <c r="AE91" s="99" t="str">
        <f>"aws s3 cp "&amp;s3_bucket&amp;"/RTDC"&amp;B91&amp;"/"&amp;TEXT(F91,"YYYY-MM-DD")&amp;"/ "&amp;search_path&amp;"\RTDC"&amp;B91&amp;"\"&amp;TEXT(F91,"YYYY-MM-DD")&amp;" --recursive &amp; """&amp;walkandungz&amp;""" "&amp;search_path&amp;"\RTDC"&amp;B91&amp;"\"&amp;TEXT(F91,"YYYY-MM-DD")
&amp;" &amp; "&amp;"aws s3 cp "&amp;s3_bucket&amp;"/RTDC"&amp;B91&amp;"/"&amp;TEXT(F91+1,"YYYY-MM-DD")&amp;"/ "&amp;search_path&amp;"\RTDC"&amp;B91&amp;"\"&amp;TEXT(F91+1,"YYYY-MM-DD")&amp;" --recursive &amp; """&amp;walkandungz&amp;""" "&amp;search_path&amp;"\RTDC"&amp;B91&amp;"\"&amp;TEXT(F91+1,"YYYY-MM-DD")</f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91" s="96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/stypes="app*4014*20160918*" /stext=" 20:.+((SYSTEM_STATE.+slice.+state.+changed )|(ment ac)|(system.+state.+changed )|(\|lc)|(penalty)|(\[timeout)|(PRM\|1\|D)|(kpr)|(kdp))" /e /r /s</v>
      </c>
      <c r="AG91" s="1" t="str">
        <f>IFERROR(IF(VALUE(LEFT(AD91,2))&lt;=2,"EC",IF(OR(VALUE(LEFT(AD91,2))=8,VALUE(LEFT(AD91,2))=18),"NW","Other")),"Other")</f>
        <v>EC</v>
      </c>
      <c r="AH91" s="100" t="str">
        <f t="shared" si="4"/>
        <v>"%USERPROFILE%\Documents\GitHub\eaglep3\Utilities\RefineRTDCRunTimes.py" --tripid 179-18 --locoid 4014 --swversion DE.1.0.7.0 --startMP 204:524 --initTime 2016-09-18T13:24:46 --startdatetime 2016-09-18T13:30:45 --delay 1 --endMP 204:233322 --enddatetime 2016-09-18T14:06:34 --enforcementcount 0 &gt;&gt;C:\Users\stu\Documents\GitHub\eaglep3-reporting\EC\2016-09-18-refined-times.txt</v>
      </c>
      <c r="AI91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{"issue":{"subject":"","project_id":79,"tracker_id":40,"status_id":1,"priority_id":2,"assigned_to_id":23,"start_date":"2016-09-18","description":"","custom_fields":[{"id":1,"name":"Subdivision","value":"EC"},{"id":4,"name":"Milepost","value":"23.3322"},{"id":17,"name":"Train ID","value":"179-18"},{"id":16,"name":"Locomotive ID","value":"4014"},{"id":130,"name":"Impact","value":""},{"id":150,"name":"Time of Event (Mountain Time)","value":"14:06:34"},{"id":151,"name":"Denver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514</v>
      </c>
      <c r="B92" s="7">
        <v>4013</v>
      </c>
      <c r="C92" s="24" t="s">
        <v>106</v>
      </c>
      <c r="D92" s="24" t="s">
        <v>654</v>
      </c>
      <c r="E92" s="15">
        <v>42631.596655092595</v>
      </c>
      <c r="F92" s="15">
        <v>42631.601631944446</v>
      </c>
      <c r="G92" s="7">
        <v>1</v>
      </c>
      <c r="H92" s="15" t="s">
        <v>256</v>
      </c>
      <c r="I92" s="15">
        <v>42631.629363425927</v>
      </c>
      <c r="J92" s="7">
        <v>0</v>
      </c>
      <c r="K92" s="121" t="str">
        <f>IF(ISEVEN(B92),(B92-1)&amp;"/"&amp;B92,B92&amp;"/"&amp;(B92+1))</f>
        <v>4013/4014</v>
      </c>
      <c r="L92" s="24" t="str">
        <f>VLOOKUP(A92,'Trips&amp;Operators'!$C$1:$E$10000,3,FALSE)</f>
        <v>MOSES</v>
      </c>
      <c r="M92" s="6">
        <f>I92-F92</f>
        <v>2.7731481481168885E-2</v>
      </c>
      <c r="N92" s="7">
        <f>24*60*SUM($M92:$M92)</f>
        <v>39.933333332883194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https://search-rtdc-monitor-bjffxe2xuh6vdkpspy63sjmuny.us-east-1.es.amazonaws.com/_plugin/kibana/#/discover/Steve-Slow-Train-Analysis-(2080s-and-2083s)?_g=(refreshInterval:(display:Off,section:0,value:0),time:(from:'2016-09-18 13:19:11-0600',mode:absolute,to:'2016-09-18 16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2" s="54" t="str">
        <f>IF(AA92&lt;IF(AG92="EC",23,5.65),"Y","N")</f>
        <v>N</v>
      </c>
      <c r="X92" s="168">
        <f>VALUE(LEFT(AD92,4))-VALUE(LEFT(AD91,4))</f>
        <v>1</v>
      </c>
      <c r="Y92" s="69">
        <f>RIGHT(D92,LEN(D92)-4)/10000</f>
        <v>23.3</v>
      </c>
      <c r="Z92" s="69">
        <f>RIGHT(H92,LEN(H92)-4)/10000</f>
        <v>1.43E-2</v>
      </c>
      <c r="AA92" s="69">
        <f>ABS(Z92-Y92)</f>
        <v>23.285700000000002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>IF(LEN(A92)=6,"0"&amp;A92,A92)</f>
        <v>0180-18</v>
      </c>
      <c r="AE92" s="99" t="str">
        <f>"aws s3 cp "&amp;s3_bucket&amp;"/RTDC"&amp;B92&amp;"/"&amp;TEXT(F92,"YYYY-MM-DD")&amp;"/ "&amp;search_path&amp;"\RTDC"&amp;B92&amp;"\"&amp;TEXT(F92,"YYYY-MM-DD")&amp;" --recursive &amp; """&amp;walkandungz&amp;""" "&amp;search_path&amp;"\RTDC"&amp;B92&amp;"\"&amp;TEXT(F92,"YYYY-MM-DD")
&amp;" &amp; "&amp;"aws s3 cp "&amp;s3_bucket&amp;"/RTDC"&amp;B92&amp;"/"&amp;TEXT(F92+1,"YYYY-MM-DD")&amp;"/ "&amp;search_path&amp;"\RTDC"&amp;B92&amp;"\"&amp;TEXT(F92+1,"YYYY-MM-DD")&amp;" --recursive &amp; """&amp;walkandungz&amp;""" "&amp;search_path&amp;"\RTDC"&amp;B92&amp;"\"&amp;TEXT(F92+1,"YYYY-MM-DD")</f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92" s="96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/stypes="app*4013*20160918*" /stext=" 21:.+((SYSTEM_STATE.+slice.+state.+changed )|(ment ac)|(system.+state.+changed )|(\|lc)|(penalty)|(\[timeout)|(PRM\|1\|D)|(kpr)|(kdp))" /e /r /s</v>
      </c>
      <c r="AG92" s="1" t="str">
        <f>IFERROR(IF(VALUE(LEFT(AD92,2))&lt;=2,"EC",IF(OR(VALUE(LEFT(AD92,2))=8,VALUE(LEFT(AD92,2))=18),"NW","Other")),"Other")</f>
        <v>EC</v>
      </c>
      <c r="AH92" s="100" t="str">
        <f t="shared" si="4"/>
        <v>"%USERPROFILE%\Documents\GitHub\eaglep3\Utilities\RefineRTDCRunTimes.py" --tripid 180-18 --locoid 4013 --swversion DE.1.0.7.0 --startMP 204:233000 --initTime 2016-09-18T14:19:11 --startdatetime 2016-09-18T14:26:21 --delay 1 --endMP 204:143 --enddatetime 2016-09-18T15:06:17 --enforcementcount 0 &gt;&gt;C:\Users\stu\Documents\GitHub\eaglep3-reporting\EC\2016-09-18-refined-times.txt</v>
      </c>
      <c r="AI92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ID","value":"180-18"},{"id":16,"name":"Locomotive ID","value":"4013"},{"id":130,"name":"Impact","value":""},{"id":150,"name":"Time of Event (Mountain Time)","value":"15:06:17"},{"id":151,"name":"Denver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508</v>
      </c>
      <c r="B93" s="7">
        <v>4044</v>
      </c>
      <c r="C93" s="24" t="s">
        <v>106</v>
      </c>
      <c r="D93" s="24" t="s">
        <v>219</v>
      </c>
      <c r="E93" s="15">
        <v>42631.567997685182</v>
      </c>
      <c r="F93" s="15">
        <v>42631.573182870372</v>
      </c>
      <c r="G93" s="7">
        <v>1</v>
      </c>
      <c r="H93" s="15" t="s">
        <v>668</v>
      </c>
      <c r="I93" s="15">
        <v>42631.598124999997</v>
      </c>
      <c r="J93" s="7">
        <v>0</v>
      </c>
      <c r="K93" s="121" t="str">
        <f>IF(ISEVEN(B93),(B93-1)&amp;"/"&amp;B93,B93&amp;"/"&amp;(B93+1))</f>
        <v>4043/4044</v>
      </c>
      <c r="L93" s="24" t="str">
        <f>VLOOKUP(A93,'Trips&amp;Operators'!$C$1:$E$10000,3,FALSE)</f>
        <v>OUN</v>
      </c>
      <c r="M93" s="6">
        <f>I93-F93</f>
        <v>2.4942129624832887E-2</v>
      </c>
      <c r="N93" s="7">
        <f>24*60*SUM($M93:$M93)</f>
        <v>35.916666659759358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https://search-rtdc-monitor-bjffxe2xuh6vdkpspy63sjmuny.us-east-1.es.amazonaws.com/_plugin/kibana/#/discover/Steve-Slow-Train-Analysis-(2080s-and-2083s)?_g=(refreshInterval:(display:Off,section:0,value:0),time:(from:'2016-09-18 12:37:55-0600',mode:absolute,to:'2016-09-18 15:21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93" s="54" t="str">
        <f>IF(AA93&lt;IF(AG93="EC",23,5.65),"Y","N")</f>
        <v>N</v>
      </c>
      <c r="X93" s="168">
        <f>VALUE(LEFT(AD93,4))-VALUE(LEFT(AD92,4))</f>
        <v>1</v>
      </c>
      <c r="Y93" s="69">
        <f>RIGHT(D93,LEN(D93)-4)/10000</f>
        <v>4.53E-2</v>
      </c>
      <c r="Z93" s="69">
        <f>RIGHT(H93,LEN(H93)-4)/10000</f>
        <v>23.323</v>
      </c>
      <c r="AA93" s="69">
        <f>ABS(Z93-Y93)</f>
        <v>23.277699999999999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>IF(LEN(A93)=6,"0"&amp;A93,A93)</f>
        <v>0181-18</v>
      </c>
      <c r="AE93" s="99" t="str">
        <f>"aws s3 cp "&amp;s3_bucket&amp;"/RTDC"&amp;B93&amp;"/"&amp;TEXT(F93,"YYYY-MM-DD")&amp;"/ "&amp;search_path&amp;"\RTDC"&amp;B93&amp;"\"&amp;TEXT(F93,"YYYY-MM-DD")&amp;" --recursive &amp; """&amp;walkandungz&amp;""" "&amp;search_path&amp;"\RTDC"&amp;B93&amp;"\"&amp;TEXT(F93,"YYYY-MM-DD")
&amp;" &amp; "&amp;"aws s3 cp "&amp;s3_bucket&amp;"/RTDC"&amp;B93&amp;"/"&amp;TEXT(F93+1,"YYYY-MM-DD")&amp;"/ "&amp;search_path&amp;"\RTDC"&amp;B93&amp;"\"&amp;TEXT(F93+1,"YYYY-MM-DD")&amp;" --recursive &amp; """&amp;walkandungz&amp;""" "&amp;search_path&amp;"\RTDC"&amp;B93&amp;"\"&amp;TEXT(F93+1,"YYYY-MM-DD")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93" s="96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/stypes="app*4044*20160918*" /stext=" 20:.+((SYSTEM_STATE.+slice.+state.+changed )|(ment ac)|(system.+state.+changed )|(\|lc)|(penalty)|(\[timeout)|(PRM\|1\|D)|(kpr)|(kdp))" /e /r /s</v>
      </c>
      <c r="AG93" s="1" t="str">
        <f>IFERROR(IF(VALUE(LEFT(AD93,2))&lt;=2,"EC",IF(OR(VALUE(LEFT(AD93,2))=8,VALUE(LEFT(AD93,2))=18),"NW","Other")),"Other")</f>
        <v>EC</v>
      </c>
      <c r="AH93" s="100" t="str">
        <f t="shared" si="4"/>
        <v>"%USERPROFILE%\Documents\GitHub\eaglep3\Utilities\RefineRTDCRunTimes.py" --tripid 181-18 --locoid 4044 --swversion DE.1.0.7.0 --startMP 204:453 --initTime 2016-09-18T13:37:55 --startdatetime 2016-09-18T13:45:23 --delay 1 --endMP 204:233230 --enddatetime 2016-09-18T14:21:18 --enforcementcount 0 &gt;&gt;C:\Users\stu\Documents\GitHub\eaglep3-reporting\EC\2016-09-18-refined-times.txt</v>
      </c>
      <c r="AI93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{"issue":{"subject":"","project_id":79,"tracker_id":40,"status_id":1,"priority_id":2,"assigned_to_id":23,"start_date":"2016-09-18","description":"","custom_fields":[{"id":1,"name":"Subdivision","value":"EC"},{"id":4,"name":"Milepost","value":"23.323"},{"id":17,"name":"Train ID","value":"181-18"},{"id":16,"name":"Locomotive ID","value":"4044"},{"id":130,"name":"Impact","value":""},{"id":150,"name":"Time of Event (Mountain Time)","value":"14:21:18"},{"id":151,"name":"Denver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516</v>
      </c>
      <c r="B94" s="7">
        <v>4043</v>
      </c>
      <c r="C94" s="24" t="s">
        <v>106</v>
      </c>
      <c r="D94" s="24" t="s">
        <v>331</v>
      </c>
      <c r="E94" s="15">
        <v>42631.607291666667</v>
      </c>
      <c r="F94" s="15">
        <v>42631.612256944441</v>
      </c>
      <c r="G94" s="7">
        <v>1</v>
      </c>
      <c r="H94" s="15" t="s">
        <v>675</v>
      </c>
      <c r="I94" s="15">
        <v>42631.639594907407</v>
      </c>
      <c r="J94" s="7">
        <v>0</v>
      </c>
      <c r="K94" s="121" t="str">
        <f>IF(ISEVEN(B94),(B94-1)&amp;"/"&amp;B94,B94&amp;"/"&amp;(B94+1))</f>
        <v>4043/4044</v>
      </c>
      <c r="L94" s="24" t="str">
        <f>VLOOKUP(A94,'Trips&amp;Operators'!$C$1:$E$10000,3,FALSE)</f>
        <v>OUN</v>
      </c>
      <c r="M94" s="6">
        <f>I94-F94</f>
        <v>2.7337962965248153E-2</v>
      </c>
      <c r="N94" s="7">
        <f>24*60*SUM($M94:$M94)</f>
        <v>39.36666666995734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https://search-rtdc-monitor-bjffxe2xuh6vdkpspy63sjmuny.us-east-1.es.amazonaws.com/_plugin/kibana/#/discover/Steve-Slow-Train-Analysis-(2080s-and-2083s)?_g=(refreshInterval:(display:Off,section:0,value:0),time:(from:'2016-09-18 13:34:30-0600',mode:absolute,to:'2016-09-18 16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94" s="54" t="str">
        <f>IF(AA94&lt;IF(AG94="EC",23,5.65),"Y","N")</f>
        <v>N</v>
      </c>
      <c r="X94" s="168">
        <f>VALUE(LEFT(AD94,4))-VALUE(LEFT(AD93,4))</f>
        <v>1</v>
      </c>
      <c r="Y94" s="69">
        <f>RIGHT(D94,LEN(D94)-4)/10000</f>
        <v>23.294</v>
      </c>
      <c r="Z94" s="69">
        <f>RIGHT(H94,LEN(H94)-4)/10000</f>
        <v>1.3599999999999999E-2</v>
      </c>
      <c r="AA94" s="69">
        <f>ABS(Z94-Y94)</f>
        <v>23.2804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>IF(LEN(A94)=6,"0"&amp;A94,A94)</f>
        <v>0182-18</v>
      </c>
      <c r="AE94" s="99" t="str">
        <f>"aws s3 cp "&amp;s3_bucket&amp;"/RTDC"&amp;B94&amp;"/"&amp;TEXT(F94,"YYYY-MM-DD")&amp;"/ "&amp;search_path&amp;"\RTDC"&amp;B94&amp;"\"&amp;TEXT(F94,"YYYY-MM-DD")&amp;" --recursive &amp; """&amp;walkandungz&amp;""" "&amp;search_path&amp;"\RTDC"&amp;B94&amp;"\"&amp;TEXT(F94,"YYYY-MM-DD")
&amp;" &amp; "&amp;"aws s3 cp "&amp;s3_bucket&amp;"/RTDC"&amp;B94&amp;"/"&amp;TEXT(F94+1,"YYYY-MM-DD")&amp;"/ "&amp;search_path&amp;"\RTDC"&amp;B94&amp;"\"&amp;TEXT(F94+1,"YYYY-MM-DD")&amp;" --recursive &amp; """&amp;walkandungz&amp;""" "&amp;search_path&amp;"\RTDC"&amp;B94&amp;"\"&amp;TEXT(F94+1,"YYYY-MM-DD")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94" s="96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/stypes="app*4043*20160918*" /stext=" 21:.+((SYSTEM_STATE.+slice.+state.+changed )|(ment ac)|(system.+state.+changed )|(\|lc)|(penalty)|(\[timeout)|(PRM\|1\|D)|(kpr)|(kdp))" /e /r /s</v>
      </c>
      <c r="AG94" s="1" t="str">
        <f>IFERROR(IF(VALUE(LEFT(AD94,2))&lt;=2,"EC",IF(OR(VALUE(LEFT(AD94,2))=8,VALUE(LEFT(AD94,2))=18),"NW","Other")),"Other")</f>
        <v>EC</v>
      </c>
      <c r="AH94" s="100" t="str">
        <f t="shared" si="4"/>
        <v>"%USERPROFILE%\Documents\GitHub\eaglep3\Utilities\RefineRTDCRunTimes.py" --tripid 182-18 --locoid 4043 --swversion DE.1.0.7.0 --startMP 204:232940 --initTime 2016-09-18T14:34:30 --startdatetime 2016-09-18T14:41:39 --delay 1 --endMP 204:136 --enddatetime 2016-09-18T15:21:01 --enforcementcount 0 &gt;&gt;C:\Users\stu\Documents\GitHub\eaglep3-reporting\EC\2016-09-18-refined-times.txt</v>
      </c>
      <c r="AI94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{"issue":{"subject":"","project_id":79,"tracker_id":40,"status_id":1,"priority_id":2,"assigned_to_id":23,"start_date":"2016-09-18","description":"","custom_fields":[{"id":1,"name":"Subdivision","value":"EC"},{"id":4,"name":"Milepost","value":"0.0136"},{"id":17,"name":"Train ID","value":"182-18"},{"id":16,"name":"Locomotive ID","value":"4043"},{"id":130,"name":"Impact","value":""},{"id":150,"name":"Time of Event (Mountain Time)","value":"15:21:01"},{"id":151,"name":"Denver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510</v>
      </c>
      <c r="B95" s="7">
        <v>4038</v>
      </c>
      <c r="C95" s="24" t="s">
        <v>106</v>
      </c>
      <c r="D95" s="24" t="s">
        <v>252</v>
      </c>
      <c r="E95" s="15">
        <v>42631.581562500003</v>
      </c>
      <c r="F95" s="15">
        <v>42631.584004629629</v>
      </c>
      <c r="G95" s="7">
        <v>2</v>
      </c>
      <c r="H95" s="15" t="s">
        <v>687</v>
      </c>
      <c r="I95" s="15">
        <v>42631.609722222223</v>
      </c>
      <c r="J95" s="7">
        <v>0</v>
      </c>
      <c r="K95" s="121" t="str">
        <f>IF(ISEVEN(B95),(B95-1)&amp;"/"&amp;B95,B95&amp;"/"&amp;(B95+1))</f>
        <v>4037/4038</v>
      </c>
      <c r="L95" s="24" t="str">
        <f>VLOOKUP(A95,'Trips&amp;Operators'!$C$1:$E$10000,3,FALSE)</f>
        <v>CLARK</v>
      </c>
      <c r="M95" s="6">
        <f>I95-F95</f>
        <v>2.5717592594446614E-2</v>
      </c>
      <c r="N95" s="7">
        <f>24*60*SUM($M95:$M95)</f>
        <v>37.033333336003125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https://search-rtdc-monitor-bjffxe2xuh6vdkpspy63sjmuny.us-east-1.es.amazonaws.com/_plugin/kibana/#/discover/Steve-Slow-Train-Analysis-(2080s-and-2083s)?_g=(refreshInterval:(display:Off,section:0,value:0),time:(from:'2016-09-18 12:57:27-0600',mode:absolute,to:'2016-09-18 15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95" s="54" t="str">
        <f>IF(AA95&lt;IF(AG95="EC",23,5.65),"Y","N")</f>
        <v>N</v>
      </c>
      <c r="X95" s="168">
        <f>VALUE(LEFT(AD95,4))-VALUE(LEFT(AD94,4))</f>
        <v>1</v>
      </c>
      <c r="Y95" s="69">
        <f>RIGHT(D95,LEN(D95)-4)/10000</f>
        <v>4.4600000000000001E-2</v>
      </c>
      <c r="Z95" s="69">
        <f>RIGHT(H95,LEN(H95)-4)/10000</f>
        <v>23.322199999999999</v>
      </c>
      <c r="AA95" s="69">
        <f>ABS(Z95-Y95)</f>
        <v>23.2776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>IF(LEN(A95)=6,"0"&amp;A95,A95)</f>
        <v>0183-18</v>
      </c>
      <c r="AE95" s="99" t="str">
        <f>"aws s3 cp "&amp;s3_bucket&amp;"/RTDC"&amp;B95&amp;"/"&amp;TEXT(F95,"YYYY-MM-DD")&amp;"/ "&amp;search_path&amp;"\RTDC"&amp;B95&amp;"\"&amp;TEXT(F95,"YYYY-MM-DD")&amp;" --recursive &amp; """&amp;walkandungz&amp;""" "&amp;search_path&amp;"\RTDC"&amp;B95&amp;"\"&amp;TEXT(F95,"YYYY-MM-DD")
&amp;" &amp; "&amp;"aws s3 cp "&amp;s3_bucket&amp;"/RTDC"&amp;B95&amp;"/"&amp;TEXT(F95+1,"YYYY-MM-DD")&amp;"/ "&amp;search_path&amp;"\RTDC"&amp;B95&amp;"\"&amp;TEXT(F95+1,"YYYY-MM-DD")&amp;" --recursive &amp; """&amp;walkandungz&amp;""" "&amp;search_path&amp;"\RTDC"&amp;B95&amp;"\"&amp;TEXT(F95+1,"YYYY-MM-DD")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95" s="96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/stypes="app*4038*20160918*" /stext=" 20:.+((SYSTEM_STATE.+slice.+state.+changed )|(ment ac)|(system.+state.+changed )|(\|lc)|(penalty)|(\[timeout)|(PRM\|1\|D)|(kpr)|(kdp))" /e /r /s</v>
      </c>
      <c r="AG95" s="1" t="str">
        <f>IFERROR(IF(VALUE(LEFT(AD95,2))&lt;=2,"EC",IF(OR(VALUE(LEFT(AD95,2))=8,VALUE(LEFT(AD95,2))=18),"NW","Other")),"Other")</f>
        <v>EC</v>
      </c>
      <c r="AH95" s="100" t="str">
        <f t="shared" si="4"/>
        <v>"%USERPROFILE%\Documents\GitHub\eaglep3\Utilities\RefineRTDCRunTimes.py" --tripid 183-18 --locoid 4038 --swversion DE.1.0.7.0 --startMP 204:446 --initTime 2016-09-18T13:57:27 --startdatetime 2016-09-18T14:00:58 --delay 2 --endMP 204:233222 --enddatetime 2016-09-18T14:38:00 --enforcementcount 0 &gt;&gt;C:\Users\stu\Documents\GitHub\eaglep3-reporting\EC\2016-09-18-refined-times.txt</v>
      </c>
      <c r="AI95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{"issue":{"subject":"","project_id":79,"tracker_id":40,"status_id":1,"priority_id":2,"assigned_to_id":23,"start_date":"2016-09-18","description":"","custom_fields":[{"id":1,"name":"Subdivision","value":"EC"},{"id":4,"name":"Milepost","value":"23.3222"},{"id":17,"name":"Train ID","value":"183-18"},{"id":16,"name":"Locomotive ID","value":"4038"},{"id":130,"name":"Impact","value":""},{"id":150,"name":"Time of Event (Mountain Time)","value":"14:38:00"},{"id":151,"name":"Denver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519</v>
      </c>
      <c r="B96" s="7">
        <v>4037</v>
      </c>
      <c r="C96" s="24" t="s">
        <v>106</v>
      </c>
      <c r="D96" s="24" t="s">
        <v>690</v>
      </c>
      <c r="E96" s="15">
        <v>42631.615844907406</v>
      </c>
      <c r="F96" s="15">
        <v>42631.622662037036</v>
      </c>
      <c r="G96" s="7">
        <v>1</v>
      </c>
      <c r="H96" s="15" t="s">
        <v>691</v>
      </c>
      <c r="I96" s="15">
        <v>42631.650775462964</v>
      </c>
      <c r="J96" s="7">
        <v>0</v>
      </c>
      <c r="K96" s="121" t="str">
        <f>IF(ISEVEN(B96),(B96-1)&amp;"/"&amp;B96,B96&amp;"/"&amp;(B96+1))</f>
        <v>4037/4038</v>
      </c>
      <c r="L96" s="24" t="str">
        <f>VLOOKUP(A96,'Trips&amp;Operators'!$C$1:$E$10000,3,FALSE)</f>
        <v>CLARK</v>
      </c>
      <c r="M96" s="6">
        <f>I96-F96</f>
        <v>2.8113425927585922E-2</v>
      </c>
      <c r="N96" s="7">
        <f>24*60*SUM($M96:$M96)</f>
        <v>40.483333335723728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https://search-rtdc-monitor-bjffxe2xuh6vdkpspy63sjmuny.us-east-1.es.amazonaws.com/_plugin/kibana/#/discover/Steve-Slow-Train-Analysis-(2080s-and-2083s)?_g=(refreshInterval:(display:Off,section:0,value:0),time:(from:'2016-09-18 13:46:49-0600',mode:absolute,to:'2016-09-18 16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6" s="54" t="str">
        <f>IF(AA96&lt;IF(AG96="EC",23,5.65),"Y","N")</f>
        <v>N</v>
      </c>
      <c r="X96" s="168">
        <f t="shared" ref="X96:X100" si="6">VALUE(LEFT(AD96,4))-VALUE(LEFT(AD95,4))</f>
        <v>1</v>
      </c>
      <c r="Y96" s="69">
        <f>RIGHT(D96,LEN(D96)-4)/10000</f>
        <v>23.29</v>
      </c>
      <c r="Z96" s="69">
        <f>RIGHT(H96,LEN(H96)-4)/10000</f>
        <v>1.89E-2</v>
      </c>
      <c r="AA96" s="69">
        <f>ABS(Z96-Y96)</f>
        <v>23.271100000000001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>IF(LEN(A96)=6,"0"&amp;A96,A96)</f>
        <v>0184-18</v>
      </c>
      <c r="AE96" s="99" t="str">
        <f>"aws s3 cp "&amp;s3_bucket&amp;"/RTDC"&amp;B96&amp;"/"&amp;TEXT(F96,"YYYY-MM-DD")&amp;"/ "&amp;search_path&amp;"\RTDC"&amp;B96&amp;"\"&amp;TEXT(F96,"YYYY-MM-DD")&amp;" --recursive &amp; """&amp;walkandungz&amp;""" "&amp;search_path&amp;"\RTDC"&amp;B96&amp;"\"&amp;TEXT(F96,"YYYY-MM-DD")
&amp;" &amp; "&amp;"aws s3 cp "&amp;s3_bucket&amp;"/RTDC"&amp;B96&amp;"/"&amp;TEXT(F96+1,"YYYY-MM-DD")&amp;"/ "&amp;search_path&amp;"\RTDC"&amp;B96&amp;"\"&amp;TEXT(F96+1,"YYYY-MM-DD")&amp;" --recursive &amp; """&amp;walkandungz&amp;""" "&amp;search_path&amp;"\RTDC"&amp;B96&amp;"\"&amp;TEXT(F96+1,"YYYY-MM-DD")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96" s="96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/stypes="app*4037*20160918*" /stext=" 21:.+((SYSTEM_STATE.+slice.+state.+changed )|(ment ac)|(system.+state.+changed )|(\|lc)|(penalty)|(\[timeout)|(PRM\|1\|D)|(kpr)|(kdp))" /e /r /s</v>
      </c>
      <c r="AG96" s="1" t="str">
        <f>IFERROR(IF(VALUE(LEFT(AD96,2))&lt;=2,"EC",IF(OR(VALUE(LEFT(AD96,2))=8,VALUE(LEFT(AD96,2))=18),"NW","Other")),"Other")</f>
        <v>EC</v>
      </c>
      <c r="AH96" s="100" t="str">
        <f t="shared" si="4"/>
        <v>"%USERPROFILE%\Documents\GitHub\eaglep3\Utilities\RefineRTDCRunTimes.py" --tripid 184-18 --locoid 4037 --swversion DE.1.0.7.0 --startMP 204:232900 --initTime 2016-09-18T14:46:49 --startdatetime 2016-09-18T14:56:38 --delay 1 --endMP 204:189 --enddatetime 2016-09-18T15:37:07 --enforcementcount 0 &gt;&gt;C:\Users\stu\Documents\GitHub\eaglep3-reporting\EC\2016-09-18-refined-times.txt</v>
      </c>
      <c r="AI96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{"issue":{"subject":"","project_id":79,"tracker_id":40,"status_id":1,"priority_id":2,"assigned_to_id":23,"start_date":"2016-09-18","description":"","custom_fields":[{"id":1,"name":"Subdivision","value":"EC"},{"id":4,"name":"Milepost","value":"0.0189"},{"id":17,"name":"Train ID","value":"184-18"},{"id":16,"name":"Locomotive ID","value":"4037"},{"id":130,"name":"Impact","value":""},{"id":150,"name":"Time of Event (Mountain Time)","value":"15:37:07"},{"id":151,"name":"Denver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513</v>
      </c>
      <c r="B97" s="7">
        <v>4027</v>
      </c>
      <c r="C97" s="24" t="s">
        <v>106</v>
      </c>
      <c r="D97" s="24" t="s">
        <v>692</v>
      </c>
      <c r="E97" s="15">
        <v>42631.59784722222</v>
      </c>
      <c r="F97" s="15">
        <v>42631.59884259259</v>
      </c>
      <c r="G97" s="7">
        <v>1</v>
      </c>
      <c r="H97" s="15" t="s">
        <v>360</v>
      </c>
      <c r="I97" s="15">
        <v>42631.620682870373</v>
      </c>
      <c r="J97" s="7">
        <v>0</v>
      </c>
      <c r="K97" s="121" t="str">
        <f>IF(ISEVEN(B97),(B97-1)&amp;"/"&amp;B97,B97&amp;"/"&amp;(B97+1))</f>
        <v>4027/4028</v>
      </c>
      <c r="L97" s="24" t="str">
        <f>VLOOKUP(A97,'Trips&amp;Operators'!$C$1:$E$10000,3,FALSE)</f>
        <v>SHOOK</v>
      </c>
      <c r="M97" s="6">
        <f>I97-F97</f>
        <v>2.1840277782757767E-2</v>
      </c>
      <c r="N97" s="7"/>
      <c r="O97" s="7"/>
      <c r="P97" s="7">
        <f>24*60*SUM($M97:$M97)</f>
        <v>31.450000007171184</v>
      </c>
      <c r="Q97" s="25"/>
      <c r="R97" s="25" t="s">
        <v>734</v>
      </c>
      <c r="S97" s="37">
        <f>SUM(U97:U97)/IF(AG97="EC",12,1)</f>
        <v>1</v>
      </c>
      <c r="T97" s="52" t="str">
        <f>IF(ISEVEN(LEFT(AD97,4)),"Southbound","NorthBound")</f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https://search-rtdc-monitor-bjffxe2xuh6vdkpspy63sjmuny.us-east-1.es.amazonaws.com/_plugin/kibana/#/discover/Steve-Slow-Train-Analysis-(2080s-and-2083s)?_g=(refreshInterval:(display:Off,section:0,value:0),time:(from:'2016-09-18 13:20:54-0600',mode:absolute,to:'2016-09-18 15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97" s="54" t="str">
        <f>IF(AA97&lt;IF(AG97="EC",23,5.65),"Y","N")</f>
        <v>Y</v>
      </c>
      <c r="X97" s="168">
        <f t="shared" si="6"/>
        <v>1</v>
      </c>
      <c r="Y97" s="69">
        <f>RIGHT(D97,LEN(D97)-4)/10000</f>
        <v>1.9123000000000001</v>
      </c>
      <c r="Z97" s="69">
        <f>RIGHT(H97,LEN(H97)-4)/10000</f>
        <v>23.325500000000002</v>
      </c>
      <c r="AA97" s="69">
        <f>ABS(Z97-Y97)</f>
        <v>21.413200000000003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>IF(LEN(A97)=6,"0"&amp;A97,A97)</f>
        <v>0185-18</v>
      </c>
      <c r="AE97" s="99" t="str">
        <f>"aws s3 cp "&amp;s3_bucket&amp;"/RTDC"&amp;B97&amp;"/"&amp;TEXT(F97,"YYYY-MM-DD")&amp;"/ "&amp;search_path&amp;"\RTDC"&amp;B97&amp;"\"&amp;TEXT(F97,"YYYY-MM-DD")&amp;" --recursive &amp; """&amp;walkandungz&amp;""" "&amp;search_path&amp;"\RTDC"&amp;B97&amp;"\"&amp;TEXT(F97,"YYYY-MM-DD")
&amp;" &amp; "&amp;"aws s3 cp "&amp;s3_bucket&amp;"/RTDC"&amp;B97&amp;"/"&amp;TEXT(F97+1,"YYYY-MM-DD")&amp;"/ "&amp;search_path&amp;"\RTDC"&amp;B97&amp;"\"&amp;TEXT(F97+1,"YYYY-MM-DD")&amp;" --recursive &amp; """&amp;walkandungz&amp;""" "&amp;search_path&amp;"\RTDC"&amp;B97&amp;"\"&amp;TEXT(F97+1,"YYYY-MM-DD")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97" s="96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/stypes="app*4027*20160918*" /stext=" 20:.+((SYSTEM_STATE.+slice.+state.+changed )|(ment ac)|(system.+state.+changed )|(\|lc)|(penalty)|(\[timeout)|(PRM\|1\|D)|(kpr)|(kdp))" /e /r /s</v>
      </c>
      <c r="AG97" s="1" t="str">
        <f>IFERROR(IF(VALUE(LEFT(AD97,2))&lt;=2,"EC",IF(OR(VALUE(LEFT(AD97,2))=8,VALUE(LEFT(AD97,2))=18),"NW","Other")),"Other")</f>
        <v>EC</v>
      </c>
      <c r="AH97" s="100" t="str">
        <f t="shared" si="4"/>
        <v>"%USERPROFILE%\Documents\GitHub\eaglep3\Utilities\RefineRTDCRunTimes.py" --tripid 185-18 --locoid 4027 --swversion DE.1.0.7.0 --startMP 204:19123 --initTime 2016-09-18T14:20:54 --startdatetime 2016-09-18T14:22:20 --delay 1 --endMP 204:233255 --enddatetime 2016-09-18T14:53:47 --enforcementcount 0 &gt;&gt;C:\Users\stu\Documents\GitHub\eaglep3-reporting\EC\2016-09-18-refined-times.txt</v>
      </c>
      <c r="AI97" s="134" t="str">
        <f t="shared" si="5"/>
        <v>echo {"issue":{"subject":"DUS 2N stuck at STOP because DUS 20N wasn't cleared","project_id":79,"tracker_id":40,"status_id":1,"priority_id":2,"assigned_to_id":23,"start_date":"2016-09-18","description":"20N wasn't cleared until 14:19, after the train was cut out.","custom_fields":[{"id":1,"name":"Subdivision","value":"EC"},{"id":4,"name":"Milepost","value":"23.3255"},{"id":17,"name":"Train ID","value":"185-18"},{"id":16,"name":"Locomotive ID","value":"4027"},{"id":130,"name":"Impact","value":"Unexpected Cut-Out or Disengaged"},{"id":150,"name":"Time of Event (Mountain Time)","value":"14:53:47"},{"id":151,"name":"Denver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7" s="55" t="s">
        <v>735</v>
      </c>
      <c r="AK97" s="55" t="s">
        <v>144</v>
      </c>
      <c r="AL97" s="55" t="s">
        <v>143</v>
      </c>
    </row>
    <row r="98" spans="1:38" s="23" customFormat="1" x14ac:dyDescent="0.25">
      <c r="A98" s="39" t="s">
        <v>521</v>
      </c>
      <c r="B98" s="7">
        <v>4028</v>
      </c>
      <c r="C98" s="24" t="s">
        <v>106</v>
      </c>
      <c r="D98" s="24" t="s">
        <v>367</v>
      </c>
      <c r="E98" s="15">
        <v>42631.626666666663</v>
      </c>
      <c r="F98" s="15">
        <v>42631.6328587963</v>
      </c>
      <c r="G98" s="7">
        <v>1</v>
      </c>
      <c r="H98" s="15" t="s">
        <v>214</v>
      </c>
      <c r="I98" s="15">
        <v>42631.660104166665</v>
      </c>
      <c r="J98" s="7">
        <v>0</v>
      </c>
      <c r="K98" s="121" t="str">
        <f>IF(ISEVEN(B98),(B98-1)&amp;"/"&amp;B98,B98&amp;"/"&amp;(B98+1))</f>
        <v>4027/4028</v>
      </c>
      <c r="L98" s="24" t="str">
        <f>VLOOKUP(A98,'Trips&amp;Operators'!$C$1:$E$10000,3,FALSE)</f>
        <v>SHOOK</v>
      </c>
      <c r="M98" s="6">
        <f>I98-F98</f>
        <v>2.7245370365562849E-2</v>
      </c>
      <c r="N98" s="7">
        <f>24*60*SUM($M98:$M98)</f>
        <v>39.233333326410502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https://search-rtdc-monitor-bjffxe2xuh6vdkpspy63sjmuny.us-east-1.es.amazonaws.com/_plugin/kibana/#/discover/Steve-Slow-Train-Analysis-(2080s-and-2083s)?_g=(refreshInterval:(display:Off,section:0,value:0),time:(from:'2016-09-18 14:02:24-0600',mode:absolute,to:'2016-09-18 16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98" s="54" t="str">
        <f>IF(AA98&lt;IF(AG98="EC",23,5.65),"Y","N")</f>
        <v>N</v>
      </c>
      <c r="X98" s="168">
        <f t="shared" si="6"/>
        <v>1</v>
      </c>
      <c r="Y98" s="69">
        <f>RIGHT(D98,LEN(D98)-4)/10000</f>
        <v>23.2942</v>
      </c>
      <c r="Z98" s="69">
        <f>RIGHT(H98,LEN(H98)-4)/10000</f>
        <v>1.6E-2</v>
      </c>
      <c r="AA98" s="69">
        <f>ABS(Z98-Y98)</f>
        <v>23.278200000000002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>IF(LEN(A98)=6,"0"&amp;A98,A98)</f>
        <v>0186-18</v>
      </c>
      <c r="AE98" s="99" t="str">
        <f>"aws s3 cp "&amp;s3_bucket&amp;"/RTDC"&amp;B98&amp;"/"&amp;TEXT(F98,"YYYY-MM-DD")&amp;"/ "&amp;search_path&amp;"\RTDC"&amp;B98&amp;"\"&amp;TEXT(F98,"YYYY-MM-DD")&amp;" --recursive &amp; """&amp;walkandungz&amp;""" "&amp;search_path&amp;"\RTDC"&amp;B98&amp;"\"&amp;TEXT(F98,"YYYY-MM-DD")
&amp;" &amp; "&amp;"aws s3 cp "&amp;s3_bucket&amp;"/RTDC"&amp;B98&amp;"/"&amp;TEXT(F98+1,"YYYY-MM-DD")&amp;"/ "&amp;search_path&amp;"\RTDC"&amp;B98&amp;"\"&amp;TEXT(F98+1,"YYYY-MM-DD")&amp;" --recursive &amp; """&amp;walkandungz&amp;""" "&amp;search_path&amp;"\RTDC"&amp;B98&amp;"\"&amp;TEXT(F98+1,"YYYY-MM-DD")</f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98" s="96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/stypes="app*4028*20160918*" /stext=" 21:.+((SYSTEM_STATE.+slice.+state.+changed )|(ment ac)|(system.+state.+changed )|(\|lc)|(penalty)|(\[timeout)|(PRM\|1\|D)|(kpr)|(kdp))" /e /r /s</v>
      </c>
      <c r="AG98" s="1" t="str">
        <f>IFERROR(IF(VALUE(LEFT(AD98,2))&lt;=2,"EC",IF(OR(VALUE(LEFT(AD98,2))=8,VALUE(LEFT(AD98,2))=18),"NW","Other")),"Other")</f>
        <v>EC</v>
      </c>
      <c r="AH98" s="100" t="str">
        <f t="shared" si="4"/>
        <v>"%USERPROFILE%\Documents\GitHub\eaglep3\Utilities\RefineRTDCRunTimes.py" --tripid 186-18 --locoid 4028 --swversion DE.1.0.7.0 --startMP 204:232942 --initTime 2016-09-18T15:02:24 --startdatetime 2016-09-18T15:11:19 --delay 1 --endMP 204:160 --enddatetime 2016-09-18T15:50:33 --enforcementcount 0 &gt;&gt;C:\Users\stu\Documents\GitHub\eaglep3-reporting\EC\2016-09-18-refined-times.txt</v>
      </c>
      <c r="AI98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ID","value":"186-18"},{"id":16,"name":"Locomotive ID","value":"4028"},{"id":130,"name":"Impact","value":""},{"id":150,"name":"Time of Event (Mountain Time)","value":"15:50:33"},{"id":151,"name":"Denver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515</v>
      </c>
      <c r="B99" s="7">
        <v>4020</v>
      </c>
      <c r="C99" s="24" t="s">
        <v>106</v>
      </c>
      <c r="D99" s="24" t="s">
        <v>227</v>
      </c>
      <c r="E99" s="15">
        <v>42631.600798611114</v>
      </c>
      <c r="F99" s="15">
        <v>42631.604444444441</v>
      </c>
      <c r="G99" s="7">
        <v>1</v>
      </c>
      <c r="H99" s="15" t="s">
        <v>276</v>
      </c>
      <c r="I99" s="15">
        <v>42631.629236111112</v>
      </c>
      <c r="J99" s="7">
        <v>0</v>
      </c>
      <c r="K99" s="121" t="str">
        <f>IF(ISEVEN(B99),(B99-1)&amp;"/"&amp;B99,B99&amp;"/"&amp;(B99+1))</f>
        <v>4019/4020</v>
      </c>
      <c r="L99" s="24" t="str">
        <f>VLOOKUP(A99,'Trips&amp;Operators'!$C$1:$E$10000,3,FALSE)</f>
        <v>STEWART</v>
      </c>
      <c r="M99" s="6">
        <f>I99-F99</f>
        <v>2.4791666670353152E-2</v>
      </c>
      <c r="N99" s="7">
        <f>24*60*SUM($M99:$M99)</f>
        <v>35.700000005308539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https://search-rtdc-monitor-bjffxe2xuh6vdkpspy63sjmuny.us-east-1.es.amazonaws.com/_plugin/kibana/#/discover/Steve-Slow-Train-Analysis-(2080s-and-2083s)?_g=(refreshInterval:(display:Off,section:0,value:0),time:(from:'2016-09-18 13:25:09-0600',mode:absolute,to:'2016-09-18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9" s="54" t="str">
        <f>IF(AA99&lt;IF(AG99="EC",23,5.65),"Y","N")</f>
        <v>N</v>
      </c>
      <c r="X99" s="168">
        <f t="shared" si="6"/>
        <v>1</v>
      </c>
      <c r="Y99" s="69">
        <f>RIGHT(D99,LEN(D99)-4)/10000</f>
        <v>4.5499999999999999E-2</v>
      </c>
      <c r="Z99" s="69">
        <f>RIGHT(H99,LEN(H99)-4)/10000</f>
        <v>23.329699999999999</v>
      </c>
      <c r="AA99" s="69">
        <f>ABS(Z99-Y99)</f>
        <v>23.284199999999998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>IF(LEN(A99)=6,"0"&amp;A99,A99)</f>
        <v>0187-18</v>
      </c>
      <c r="AE99" s="99" t="str">
        <f>"aws s3 cp "&amp;s3_bucket&amp;"/RTDC"&amp;B99&amp;"/"&amp;TEXT(F99,"YYYY-MM-DD")&amp;"/ "&amp;search_path&amp;"\RTDC"&amp;B99&amp;"\"&amp;TEXT(F99,"YYYY-MM-DD")&amp;" --recursive &amp; """&amp;walkandungz&amp;""" "&amp;search_path&amp;"\RTDC"&amp;B99&amp;"\"&amp;TEXT(F99,"YYYY-MM-DD")
&amp;" &amp; "&amp;"aws s3 cp "&amp;s3_bucket&amp;"/RTDC"&amp;B99&amp;"/"&amp;TEXT(F99+1,"YYYY-MM-DD")&amp;"/ "&amp;search_path&amp;"\RTDC"&amp;B99&amp;"\"&amp;TEXT(F99+1,"YYYY-MM-DD")&amp;" --recursive &amp; """&amp;walkandungz&amp;""" "&amp;search_path&amp;"\RTDC"&amp;B99&amp;"\"&amp;TEXT(F99+1,"YYYY-MM-DD")</f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99" s="96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/stypes="app*4020*20160918*" /stext=" 21:.+((SYSTEM_STATE.+slice.+state.+changed )|(ment ac)|(system.+state.+changed )|(\|lc)|(penalty)|(\[timeout)|(PRM\|1\|D)|(kpr)|(kdp))" /e /r /s</v>
      </c>
      <c r="AG99" s="1" t="str">
        <f>IFERROR(IF(VALUE(LEFT(AD99,2))&lt;=2,"EC",IF(OR(VALUE(LEFT(AD99,2))=8,VALUE(LEFT(AD99,2))=18),"NW","Other")),"Other")</f>
        <v>EC</v>
      </c>
      <c r="AH99" s="100" t="str">
        <f t="shared" si="4"/>
        <v>"%USERPROFILE%\Documents\GitHub\eaglep3\Utilities\RefineRTDCRunTimes.py" --tripid 187-18 --locoid 4020 --swversion DE.1.0.7.0 --startMP 204:455 --initTime 2016-09-18T14:25:09 --startdatetime 2016-09-18T14:30:24 --delay 1 --endMP 204:233297 --enddatetime 2016-09-18T15:06:06 --enforcementcount 0 &gt;&gt;C:\Users\stu\Documents\GitHub\eaglep3-reporting\EC\2016-09-18-refined-times.txt</v>
      </c>
      <c r="AI99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{"issue":{"subject":"","project_id":79,"tracker_id":40,"status_id":1,"priority_id":2,"assigned_to_id":23,"start_date":"2016-09-18","description":"","custom_fields":[{"id":1,"name":"Subdivision","value":"EC"},{"id":4,"name":"Milepost","value":"23.3297"},{"id":17,"name":"Train ID","value":"187-18"},{"id":16,"name":"Locomotive ID","value":"4020"},{"id":130,"name":"Impact","value":""},{"id":150,"name":"Time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422</v>
      </c>
      <c r="B100" s="7">
        <v>4019</v>
      </c>
      <c r="C100" s="24" t="s">
        <v>106</v>
      </c>
      <c r="D100" s="24" t="s">
        <v>241</v>
      </c>
      <c r="E100" s="15">
        <v>42631.639803240738</v>
      </c>
      <c r="F100" s="15">
        <v>42631.643321759257</v>
      </c>
      <c r="G100" s="7">
        <v>3</v>
      </c>
      <c r="H100" s="15" t="s">
        <v>693</v>
      </c>
      <c r="I100" s="15">
        <v>42631.669583333336</v>
      </c>
      <c r="J100" s="7">
        <v>0</v>
      </c>
      <c r="K100" s="121" t="str">
        <f>IF(ISEVEN(B100),(B100-1)&amp;"/"&amp;B100,B100&amp;"/"&amp;(B100+1))</f>
        <v>4019/4020</v>
      </c>
      <c r="L100" s="24" t="str">
        <f>VLOOKUP(A100,'Trips&amp;Operators'!$C$1:$E$10000,3,FALSE)</f>
        <v>STEWART</v>
      </c>
      <c r="M100" s="6">
        <f>I100-F100</f>
        <v>2.6261574079398997E-2</v>
      </c>
      <c r="N100" s="7">
        <f>24*60*SUM($M100:$M100)</f>
        <v>37.816666674334556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https://search-rtdc-monitor-bjffxe2xuh6vdkpspy63sjmuny.us-east-1.es.amazonaws.com/_plugin/kibana/#/discover/Steve-Slow-Train-Analysis-(2080s-and-2083s)?_g=(refreshInterval:(display:Off,section:0,value:0),time:(from:'2016-09-18 14:21:19-0600',mode:absolute,to:'2016-09-18 17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00" s="54" t="str">
        <f>IF(AA100&lt;IF(AG100="EC",23,5.65),"Y","N")</f>
        <v>N</v>
      </c>
      <c r="X100" s="168">
        <f t="shared" si="6"/>
        <v>1</v>
      </c>
      <c r="Y100" s="69">
        <f>RIGHT(D100,LEN(D100)-4)/10000</f>
        <v>23.297999999999998</v>
      </c>
      <c r="Z100" s="69">
        <f>RIGHT(H100,LEN(H100)-4)/10000</f>
        <v>1.7999999999999999E-2</v>
      </c>
      <c r="AA100" s="69">
        <f>ABS(Z100-Y100)</f>
        <v>23.279999999999998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>IF(LEN(A100)=6,"0"&amp;A100,A100)</f>
        <v>0188-18</v>
      </c>
      <c r="AE100" s="99" t="str">
        <f>"aws s3 cp "&amp;s3_bucket&amp;"/RTDC"&amp;B100&amp;"/"&amp;TEXT(F100,"YYYY-MM-DD")&amp;"/ "&amp;search_path&amp;"\RTDC"&amp;B100&amp;"\"&amp;TEXT(F100,"YYYY-MM-DD")&amp;" --recursive &amp; """&amp;walkandungz&amp;""" "&amp;search_path&amp;"\RTDC"&amp;B100&amp;"\"&amp;TEXT(F100,"YYYY-MM-DD")
&amp;" &amp; "&amp;"aws s3 cp "&amp;s3_bucket&amp;"/RTDC"&amp;B100&amp;"/"&amp;TEXT(F100+1,"YYYY-MM-DD")&amp;"/ "&amp;search_path&amp;"\RTDC"&amp;B100&amp;"\"&amp;TEXT(F100+1,"YYYY-MM-DD")&amp;" --recursive &amp; """&amp;walkandungz&amp;""" "&amp;search_path&amp;"\RTDC"&amp;B100&amp;"\"&amp;TEXT(F100+1,"YYYY-MM-DD")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00" s="96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/stypes="app*4019*20160918*" /stext=" 22:.+((SYSTEM_STATE.+slice.+state.+changed )|(ment ac)|(system.+state.+changed )|(\|lc)|(penalty)|(\[timeout)|(PRM\|1\|D)|(kpr)|(kdp))" /e /r /s</v>
      </c>
      <c r="AG100" s="1" t="str">
        <f>IFERROR(IF(VALUE(LEFT(AD100,2))&lt;=2,"EC",IF(OR(VALUE(LEFT(AD100,2))=8,VALUE(LEFT(AD100,2))=18),"NW","Other")),"Other")</f>
        <v>EC</v>
      </c>
      <c r="AH100" s="100" t="str">
        <f t="shared" si="4"/>
        <v>"%USERPROFILE%\Documents\GitHub\eaglep3\Utilities\RefineRTDCRunTimes.py" --tripid 188-18 --locoid 4019 --swversion DE.1.0.7.0 --startMP 204:232980 --initTime 2016-09-18T15:21:19 --startdatetime 2016-09-18T15:26:23 --delay 3 --endMP 204:180 --enddatetime 2016-09-18T16:04:12 --enforcementcount 0 &gt;&gt;C:\Users\stu\Documents\GitHub\eaglep3-reporting\EC\2016-09-18-refined-times.txt</v>
      </c>
      <c r="AI100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{"issue":{"subject":"","project_id":79,"tracker_id":40,"status_id":1,"priority_id":2,"assigned_to_id":23,"start_date":"2016-09-18","description":"","custom_fields":[{"id":1,"name":"Subdivision","value":"EC"},{"id":4,"name":"Milepost","value":"0.018"},{"id":17,"name":"Train ID","value":"188-18"},{"id":16,"name":"Locomotive ID","value":"4019"},{"id":130,"name":"Impact","value":""},{"id":150,"name":"Time of Event (Mountain Time)","value":"16:04:12"},{"id":151,"name":"Denver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518</v>
      </c>
      <c r="B101" s="7">
        <v>4016</v>
      </c>
      <c r="C101" s="24" t="s">
        <v>106</v>
      </c>
      <c r="D101" s="24" t="s">
        <v>245</v>
      </c>
      <c r="E101" s="15">
        <v>42631.609826388885</v>
      </c>
      <c r="F101" s="15">
        <v>42631.614918981482</v>
      </c>
      <c r="G101" s="7">
        <v>1</v>
      </c>
      <c r="H101" s="15" t="s">
        <v>221</v>
      </c>
      <c r="I101" s="15">
        <v>42631.640023148146</v>
      </c>
      <c r="J101" s="7">
        <v>0</v>
      </c>
      <c r="K101" s="121" t="str">
        <f>IF(ISEVEN(B101),(B101-1)&amp;"/"&amp;B101,B101&amp;"/"&amp;(B101+1))</f>
        <v>4015/4016</v>
      </c>
      <c r="L101" s="24" t="str">
        <f>VLOOKUP(A101,'Trips&amp;Operators'!$C$1:$E$10000,3,FALSE)</f>
        <v>BARTLETT</v>
      </c>
      <c r="M101" s="6">
        <f>I101-F101</f>
        <v>2.5104166663368233E-2</v>
      </c>
      <c r="N101" s="7">
        <f>24*60*SUM($M101:$M101)</f>
        <v>36.149999995250255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https://search-rtdc-monitor-bjffxe2xuh6vdkpspy63sjmuny.us-east-1.es.amazonaws.com/_plugin/kibana/#/discover/Steve-Slow-Train-Analysis-(2080s-and-2083s)?_g=(refreshInterval:(display:Off,section:0,value:0),time:(from:'2016-09-18 13:38:09-0600',mode:absolute,to:'2016-09-18 16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1" s="54" t="str">
        <f>IF(AA101&lt;IF(AG101="EC",23,5.65),"Y","N")</f>
        <v>N</v>
      </c>
      <c r="X101" s="168">
        <f>VALUE(LEFT(AD101,4))-VALUE(LEFT(AD100,4))</f>
        <v>1</v>
      </c>
      <c r="Y101" s="69">
        <f>RIGHT(D101,LEN(D101)-4)/10000</f>
        <v>4.4900000000000002E-2</v>
      </c>
      <c r="Z101" s="69">
        <f>RIGHT(H101,LEN(H101)-4)/10000</f>
        <v>23.3291</v>
      </c>
      <c r="AA101" s="69">
        <f>ABS(Z101-Y101)</f>
        <v>23.284200000000002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>IF(LEN(A101)=6,"0"&amp;A101,A101)</f>
        <v>0189-18</v>
      </c>
      <c r="AE101" s="99" t="str">
        <f>"aws s3 cp "&amp;s3_bucket&amp;"/RTDC"&amp;B101&amp;"/"&amp;TEXT(F101,"YYYY-MM-DD")&amp;"/ "&amp;search_path&amp;"\RTDC"&amp;B101&amp;"\"&amp;TEXT(F101,"YYYY-MM-DD")&amp;" --recursive &amp; """&amp;walkandungz&amp;""" "&amp;search_path&amp;"\RTDC"&amp;B101&amp;"\"&amp;TEXT(F101,"YYYY-MM-DD")
&amp;" &amp; "&amp;"aws s3 cp "&amp;s3_bucket&amp;"/RTDC"&amp;B101&amp;"/"&amp;TEXT(F101+1,"YYYY-MM-DD")&amp;"/ "&amp;search_path&amp;"\RTDC"&amp;B101&amp;"\"&amp;TEXT(F101+1,"YYYY-MM-DD")&amp;" --recursive &amp; """&amp;walkandungz&amp;""" "&amp;search_path&amp;"\RTDC"&amp;B101&amp;"\"&amp;TEXT(F101+1,"YYYY-MM-DD")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01" s="96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/stypes="app*4016*20160918*" /stext=" 21:.+((SYSTEM_STATE.+slice.+state.+changed )|(ment ac)|(system.+state.+changed )|(\|lc)|(penalty)|(\[timeout)|(PRM\|1\|D)|(kpr)|(kdp))" /e /r /s</v>
      </c>
      <c r="AG101" s="1" t="str">
        <f>IFERROR(IF(VALUE(LEFT(AD101,2))&lt;=2,"EC",IF(OR(VALUE(LEFT(AD101,2))=8,VALUE(LEFT(AD101,2))=18),"NW","Other")),"Other")</f>
        <v>EC</v>
      </c>
      <c r="AH101" s="100" t="str">
        <f t="shared" si="4"/>
        <v>"%USERPROFILE%\Documents\GitHub\eaglep3\Utilities\RefineRTDCRunTimes.py" --tripid 189-18 --locoid 4016 --swversion DE.1.0.7.0 --startMP 204:449 --initTime 2016-09-18T14:38:09 --startdatetime 2016-09-18T14:45:29 --delay 1 --endMP 204:233291 --enddatetime 2016-09-18T15:21:38 --enforcementcount 0 &gt;&gt;C:\Users\stu\Documents\GitHub\eaglep3-reporting\EC\2016-09-18-refined-times.txt</v>
      </c>
      <c r="AI101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ID","value":"189-18"},{"id":16,"name":"Locomotive ID","value":"4016"},{"id":130,"name":"Impact","value":""},{"id":150,"name":"Time of Event (Mountain Time)","value":"15:21:38"},{"id":151,"name":"Denver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423</v>
      </c>
      <c r="B102" s="7">
        <v>4015</v>
      </c>
      <c r="C102" s="24" t="s">
        <v>106</v>
      </c>
      <c r="D102" s="24" t="s">
        <v>694</v>
      </c>
      <c r="E102" s="15">
        <v>42631.642083333332</v>
      </c>
      <c r="F102" s="15">
        <v>42631.653726851851</v>
      </c>
      <c r="G102" s="7">
        <v>1</v>
      </c>
      <c r="H102" s="15" t="s">
        <v>617</v>
      </c>
      <c r="I102" s="15">
        <v>42631.680428240739</v>
      </c>
      <c r="J102" s="7">
        <v>0</v>
      </c>
      <c r="K102" s="121" t="str">
        <f>IF(ISEVEN(B102),(B102-1)&amp;"/"&amp;B102,B102&amp;"/"&amp;(B102+1))</f>
        <v>4015/4016</v>
      </c>
      <c r="L102" s="24" t="str">
        <f>VLOOKUP(A102,'Trips&amp;Operators'!$C$1:$E$10000,3,FALSE)</f>
        <v>BARTLETT</v>
      </c>
      <c r="M102" s="6">
        <f>I102-F102</f>
        <v>2.6701388887886424E-2</v>
      </c>
      <c r="N102" s="7">
        <f>24*60*SUM($M102:$M102)</f>
        <v>38.44999999855645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https://search-rtdc-monitor-bjffxe2xuh6vdkpspy63sjmuny.us-east-1.es.amazonaws.com/_plugin/kibana/#/discover/Steve-Slow-Train-Analysis-(2080s-and-2083s)?_g=(refreshInterval:(display:Off,section:0,value:0),time:(from:'2016-09-18 14:24:36-0600',mode:absolute,to:'2016-09-18 17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2" s="54" t="str">
        <f>IF(AA102&lt;IF(AG102="EC",23,5.65),"Y","N")</f>
        <v>N</v>
      </c>
      <c r="X102" s="168">
        <f>VALUE(LEFT(AD102,4))-VALUE(LEFT(AD101,4))</f>
        <v>1</v>
      </c>
      <c r="Y102" s="69">
        <f>RIGHT(D102,LEN(D102)-4)/10000</f>
        <v>23.297899999999998</v>
      </c>
      <c r="Z102" s="69">
        <f>RIGHT(H102,LEN(H102)-4)/10000</f>
        <v>1.4500000000000001E-2</v>
      </c>
      <c r="AA102" s="69">
        <f>ABS(Z102-Y102)</f>
        <v>23.283399999999997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>IF(LEN(A102)=6,"0"&amp;A102,A102)</f>
        <v>0190-18</v>
      </c>
      <c r="AE102" s="99" t="str">
        <f>"aws s3 cp "&amp;s3_bucket&amp;"/RTDC"&amp;B102&amp;"/"&amp;TEXT(F102,"YYYY-MM-DD")&amp;"/ "&amp;search_path&amp;"\RTDC"&amp;B102&amp;"\"&amp;TEXT(F102,"YYYY-MM-DD")&amp;" --recursive &amp; """&amp;walkandungz&amp;""" "&amp;search_path&amp;"\RTDC"&amp;B102&amp;"\"&amp;TEXT(F102,"YYYY-MM-DD")
&amp;" &amp; "&amp;"aws s3 cp "&amp;s3_bucket&amp;"/RTDC"&amp;B102&amp;"/"&amp;TEXT(F102+1,"YYYY-MM-DD")&amp;"/ "&amp;search_path&amp;"\RTDC"&amp;B102&amp;"\"&amp;TEXT(F102+1,"YYYY-MM-DD")&amp;" --recursive &amp; """&amp;walkandungz&amp;""" "&amp;search_path&amp;"\RTDC"&amp;B102&amp;"\"&amp;TEXT(F102+1,"YYYY-MM-DD")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02" s="96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/stypes="app*4015*20160918*" /stext=" 22:.+((SYSTEM_STATE.+slice.+state.+changed )|(ment ac)|(system.+state.+changed )|(\|lc)|(penalty)|(\[timeout)|(PRM\|1\|D)|(kpr)|(kdp))" /e /r /s</v>
      </c>
      <c r="AG102" s="1" t="str">
        <f>IFERROR(IF(VALUE(LEFT(AD102,2))&lt;=2,"EC",IF(OR(VALUE(LEFT(AD102,2))=8,VALUE(LEFT(AD102,2))=18),"NW","Other")),"Other")</f>
        <v>EC</v>
      </c>
      <c r="AH102" s="100" t="str">
        <f t="shared" si="4"/>
        <v>"%USERPROFILE%\Documents\GitHub\eaglep3\Utilities\RefineRTDCRunTimes.py" --tripid 190-18 --locoid 4015 --swversion DE.1.0.7.0 --startMP 204:232979 --initTime 2016-09-18T15:24:36 --startdatetime 2016-09-18T15:41:22 --delay 1 --endMP 204:145 --enddatetime 2016-09-18T16:19:49 --enforcementcount 0 &gt;&gt;C:\Users\stu\Documents\GitHub\eaglep3-reporting\EC\2016-09-18-refined-times.txt</v>
      </c>
      <c r="AI102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ID","value":"190-18"},{"id":16,"name":"Locomotive ID","value":"4015"},{"id":130,"name":"Impact","value":""},{"id":150,"name":"Time of Event (Mountain Time)","value":"16:19:49"},{"id":151,"name":"Denver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520</v>
      </c>
      <c r="B103" s="7">
        <v>4009</v>
      </c>
      <c r="C103" s="24" t="s">
        <v>106</v>
      </c>
      <c r="D103" s="24" t="s">
        <v>219</v>
      </c>
      <c r="E103" s="15">
        <v>42631.619444444441</v>
      </c>
      <c r="F103" s="15">
        <v>42631.625289351854</v>
      </c>
      <c r="G103" s="7">
        <v>1</v>
      </c>
      <c r="H103" s="15" t="s">
        <v>388</v>
      </c>
      <c r="I103" s="15">
        <v>42631.649363425924</v>
      </c>
      <c r="J103" s="7">
        <v>0</v>
      </c>
      <c r="K103" s="121" t="str">
        <f>IF(ISEVEN(B103),(B103-1)&amp;"/"&amp;B103,B103&amp;"/"&amp;(B103+1))</f>
        <v>4009/4010</v>
      </c>
      <c r="L103" s="24" t="str">
        <f>VLOOKUP(A103,'Trips&amp;Operators'!$C$1:$E$10000,3,FALSE)</f>
        <v>BRUDER</v>
      </c>
      <c r="M103" s="6">
        <f>I103-F103</f>
        <v>2.4074074070085771E-2</v>
      </c>
      <c r="N103" s="7">
        <f>24*60*SUM($M103:$M103)</f>
        <v>34.666666660923511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https://search-rtdc-monitor-bjffxe2xuh6vdkpspy63sjmuny.us-east-1.es.amazonaws.com/_plugin/kibana/#/discover/Steve-Slow-Train-Analysis-(2080s-and-2083s)?_g=(refreshInterval:(display:Off,section:0,value:0),time:(from:'2016-09-18 13:52:00-0600',mode:absolute,to:'2016-09-18 16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3" s="54" t="str">
        <f>IF(AA103&lt;IF(AG103="EC",23,5.65),"Y","N")</f>
        <v>N</v>
      </c>
      <c r="X103" s="168">
        <f>VALUE(LEFT(AD103,4))-VALUE(LEFT(AD102,4))</f>
        <v>1</v>
      </c>
      <c r="Y103" s="69">
        <f>RIGHT(D103,LEN(D103)-4)/10000</f>
        <v>4.53E-2</v>
      </c>
      <c r="Z103" s="69">
        <f>RIGHT(H103,LEN(H103)-4)/10000</f>
        <v>23.331099999999999</v>
      </c>
      <c r="AA103" s="69">
        <f>ABS(Z103-Y103)</f>
        <v>23.285799999999998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>IF(LEN(A103)=6,"0"&amp;A103,A103)</f>
        <v>0191-18</v>
      </c>
      <c r="AE103" s="99" t="str">
        <f>"aws s3 cp "&amp;s3_bucket&amp;"/RTDC"&amp;B103&amp;"/"&amp;TEXT(F103,"YYYY-MM-DD")&amp;"/ "&amp;search_path&amp;"\RTDC"&amp;B103&amp;"\"&amp;TEXT(F103,"YYYY-MM-DD")&amp;" --recursive &amp; """&amp;walkandungz&amp;""" "&amp;search_path&amp;"\RTDC"&amp;B103&amp;"\"&amp;TEXT(F103,"YYYY-MM-DD")
&amp;" &amp; "&amp;"aws s3 cp "&amp;s3_bucket&amp;"/RTDC"&amp;B103&amp;"/"&amp;TEXT(F103+1,"YYYY-MM-DD")&amp;"/ "&amp;search_path&amp;"\RTDC"&amp;B103&amp;"\"&amp;TEXT(F103+1,"YYYY-MM-DD")&amp;" --recursive &amp; """&amp;walkandungz&amp;""" "&amp;search_path&amp;"\RTDC"&amp;B103&amp;"\"&amp;TEXT(F103+1,"YYYY-MM-DD")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03" s="96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/stypes="app*4009*20160918*" /stext=" 21:.+((SYSTEM_STATE.+slice.+state.+changed )|(ment ac)|(system.+state.+changed )|(\|lc)|(penalty)|(\[timeout)|(PRM\|1\|D)|(kpr)|(kdp))" /e /r /s</v>
      </c>
      <c r="AG103" s="1" t="str">
        <f>IFERROR(IF(VALUE(LEFT(AD103,2))&lt;=2,"EC",IF(OR(VALUE(LEFT(AD103,2))=8,VALUE(LEFT(AD103,2))=18),"NW","Other")),"Other")</f>
        <v>EC</v>
      </c>
      <c r="AH103" s="100" t="str">
        <f t="shared" si="4"/>
        <v>"%USERPROFILE%\Documents\GitHub\eaglep3\Utilities\RefineRTDCRunTimes.py" --tripid 191-18 --locoid 4009 --swversion DE.1.0.7.0 --startMP 204:453 --initTime 2016-09-18T14:52:00 --startdatetime 2016-09-18T15:00:25 --delay 1 --endMP 204:233311 --enddatetime 2016-09-18T15:35:05 --enforcementcount 0 &gt;&gt;C:\Users\stu\Documents\GitHub\eaglep3-reporting\EC\2016-09-18-refined-times.txt</v>
      </c>
      <c r="AI103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ID","value":"191-18"},{"id":16,"name":"Locomotive ID","value":"4009"},{"id":130,"name":"Impact","value":""},{"id":150,"name":"Time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526</v>
      </c>
      <c r="B104" s="7">
        <v>4010</v>
      </c>
      <c r="C104" s="24" t="s">
        <v>106</v>
      </c>
      <c r="D104" s="24" t="s">
        <v>241</v>
      </c>
      <c r="E104" s="15">
        <v>42631.65865740741</v>
      </c>
      <c r="F104" s="15">
        <v>42631.664085648146</v>
      </c>
      <c r="G104" s="7">
        <v>1</v>
      </c>
      <c r="H104" s="15" t="s">
        <v>222</v>
      </c>
      <c r="I104" s="15">
        <v>42631.690092592595</v>
      </c>
      <c r="J104" s="7">
        <v>0</v>
      </c>
      <c r="K104" s="121" t="str">
        <f>IF(ISEVEN(B104),(B104-1)&amp;"/"&amp;B104,B104&amp;"/"&amp;(B104+1))</f>
        <v>4009/4010</v>
      </c>
      <c r="L104" s="24" t="str">
        <f>VLOOKUP(A104,'Trips&amp;Operators'!$C$1:$E$10000,3,FALSE)</f>
        <v>BRUDER</v>
      </c>
      <c r="M104" s="6">
        <f>I104-F104</f>
        <v>2.6006944448454306E-2</v>
      </c>
      <c r="N104" s="7">
        <f>24*60*SUM($M104:$M104)</f>
        <v>37.4500000057742</v>
      </c>
      <c r="O104" s="7"/>
      <c r="P104" s="7"/>
      <c r="Q104" s="25"/>
      <c r="R104" s="25"/>
      <c r="S104" s="37">
        <f>SUM(U104:U104)/IF(AG104="EC",12,1)</f>
        <v>1</v>
      </c>
      <c r="T104" s="52" t="str">
        <f>IF(ISEVEN(LEFT(AD104,4)),"Southbound","NorthBound")</f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https://search-rtdc-monitor-bjffxe2xuh6vdkpspy63sjmuny.us-east-1.es.amazonaws.com/_plugin/kibana/#/discover/Steve-Slow-Train-Analysis-(2080s-and-2083s)?_g=(refreshInterval:(display:Off,section:0,value:0),time:(from:'2016-09-18 14:48:28-0600',mode:absolute,to:'2016-09-18 17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4" s="54" t="str">
        <f>IF(AA104&lt;IF(AG104="EC",23,5.65),"Y","N")</f>
        <v>N</v>
      </c>
      <c r="X104" s="168">
        <f>VALUE(LEFT(AD104,4))-VALUE(LEFT(AD103,4))</f>
        <v>1</v>
      </c>
      <c r="Y104" s="69">
        <f>RIGHT(D104,LEN(D104)-4)/10000</f>
        <v>23.297999999999998</v>
      </c>
      <c r="Z104" s="69">
        <f>RIGHT(H104,LEN(H104)-4)/10000</f>
        <v>1.52E-2</v>
      </c>
      <c r="AA104" s="69">
        <f>ABS(Z104-Y104)</f>
        <v>23.282799999999998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>IF(LEN(A104)=6,"0"&amp;A104,A104)</f>
        <v>0192-18</v>
      </c>
      <c r="AE104" s="99" t="str">
        <f>"aws s3 cp "&amp;s3_bucket&amp;"/RTDC"&amp;B104&amp;"/"&amp;TEXT(F104,"YYYY-MM-DD")&amp;"/ "&amp;search_path&amp;"\RTDC"&amp;B104&amp;"\"&amp;TEXT(F104,"YYYY-MM-DD")&amp;" --recursive &amp; """&amp;walkandungz&amp;""" "&amp;search_path&amp;"\RTDC"&amp;B104&amp;"\"&amp;TEXT(F104,"YYYY-MM-DD")
&amp;" &amp; "&amp;"aws s3 cp "&amp;s3_bucket&amp;"/RTDC"&amp;B104&amp;"/"&amp;TEXT(F104+1,"YYYY-MM-DD")&amp;"/ "&amp;search_path&amp;"\RTDC"&amp;B104&amp;"\"&amp;TEXT(F104+1,"YYYY-MM-DD")&amp;" --recursive &amp; """&amp;walkandungz&amp;""" "&amp;search_path&amp;"\RTDC"&amp;B104&amp;"\"&amp;TEXT(F104+1,"YYYY-MM-DD")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04" s="96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/stypes="app*4010*20160918*" /stext=" 22:.+((SYSTEM_STATE.+slice.+state.+changed )|(ment ac)|(system.+state.+changed )|(\|lc)|(penalty)|(\[timeout)|(PRM\|1\|D)|(kpr)|(kdp))" /e /r /s</v>
      </c>
      <c r="AG104" s="1" t="str">
        <f>IFERROR(IF(VALUE(LEFT(AD104,2))&lt;=2,"EC",IF(OR(VALUE(LEFT(AD104,2))=8,VALUE(LEFT(AD104,2))=18),"NW","Other")),"Other")</f>
        <v>EC</v>
      </c>
      <c r="AH104" s="100" t="str">
        <f t="shared" si="4"/>
        <v>"%USERPROFILE%\Documents\GitHub\eaglep3\Utilities\RefineRTDCRunTimes.py" --tripid 192-18 --locoid 4010 --swversion DE.1.0.7.0 --startMP 204:232980 --initTime 2016-09-18T15:48:28 --startdatetime 2016-09-18T15:56:17 --delay 1 --endMP 204:152 --enddatetime 2016-09-18T16:33:44 --enforcementcount 0 &gt;&gt;C:\Users\stu\Documents\GitHub\eaglep3-reporting\EC\2016-09-18-refined-times.txt</v>
      </c>
      <c r="AI104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ID","value":"192-18"},{"id":16,"name":"Locomotive ID","value":"4010"},{"id":130,"name":"Impact","value":""},{"id":150,"name":"Time of Event (Mountain Time)","value":"16:33:44"},{"id":151,"name":"Denver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522</v>
      </c>
      <c r="B105" s="7">
        <v>4014</v>
      </c>
      <c r="C105" s="24" t="s">
        <v>106</v>
      </c>
      <c r="D105" s="24" t="s">
        <v>226</v>
      </c>
      <c r="E105" s="15">
        <v>42631.633125</v>
      </c>
      <c r="F105" s="15">
        <v>42631.635648148149</v>
      </c>
      <c r="G105" s="7">
        <v>1</v>
      </c>
      <c r="H105" s="15" t="s">
        <v>279</v>
      </c>
      <c r="I105" s="15">
        <v>42631.661192129628</v>
      </c>
      <c r="J105" s="7">
        <v>0</v>
      </c>
      <c r="K105" s="121" t="str">
        <f>IF(ISEVEN(B105),(B105-1)&amp;"/"&amp;B105,B105&amp;"/"&amp;(B105+1))</f>
        <v>4013/4014</v>
      </c>
      <c r="L105" s="24" t="str">
        <f>VLOOKUP(A105,'Trips&amp;Operators'!$C$1:$E$10000,3,FALSE)</f>
        <v>MOSES</v>
      </c>
      <c r="M105" s="6">
        <f>I105-F105</f>
        <v>2.5543981479131617E-2</v>
      </c>
      <c r="N105" s="7">
        <f>24*60*SUM($M105:$M105)</f>
        <v>36.783333329949528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https://search-rtdc-monitor-bjffxe2xuh6vdkpspy63sjmuny.us-east-1.es.amazonaws.com/_plugin/kibana/#/discover/Steve-Slow-Train-Analysis-(2080s-and-2083s)?_g=(refreshInterval:(display:Off,section:0,value:0),time:(from:'2016-09-18 14:11:42-0600',mode:absolute,to:'2016-09-18 16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5" s="54" t="str">
        <f>IF(AA105&lt;IF(AG105="EC",23,5.65),"Y","N")</f>
        <v>N</v>
      </c>
      <c r="X105" s="168">
        <f>VALUE(LEFT(AD105,4))-VALUE(LEFT(AD104,4))</f>
        <v>1</v>
      </c>
      <c r="Y105" s="69">
        <f>RIGHT(D105,LEN(D105)-4)/10000</f>
        <v>4.5100000000000001E-2</v>
      </c>
      <c r="Z105" s="69">
        <f>RIGHT(H105,LEN(H105)-4)/10000</f>
        <v>23.3264</v>
      </c>
      <c r="AA105" s="69">
        <f>ABS(Z105-Y105)</f>
        <v>23.281299999999998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>IF(LEN(A105)=6,"0"&amp;A105,A105)</f>
        <v>0193-18</v>
      </c>
      <c r="AE105" s="99" t="str">
        <f>"aws s3 cp "&amp;s3_bucket&amp;"/RTDC"&amp;B105&amp;"/"&amp;TEXT(F105,"YYYY-MM-DD")&amp;"/ "&amp;search_path&amp;"\RTDC"&amp;B105&amp;"\"&amp;TEXT(F105,"YYYY-MM-DD")&amp;" --recursive &amp; """&amp;walkandungz&amp;""" "&amp;search_path&amp;"\RTDC"&amp;B105&amp;"\"&amp;TEXT(F105,"YYYY-MM-DD")
&amp;" &amp; "&amp;"aws s3 cp "&amp;s3_bucket&amp;"/RTDC"&amp;B105&amp;"/"&amp;TEXT(F105+1,"YYYY-MM-DD")&amp;"/ "&amp;search_path&amp;"\RTDC"&amp;B105&amp;"\"&amp;TEXT(F105+1,"YYYY-MM-DD")&amp;" --recursive &amp; """&amp;walkandungz&amp;""" "&amp;search_path&amp;"\RTDC"&amp;B105&amp;"\"&amp;TEXT(F105+1,"YYYY-MM-DD")</f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105" s="96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/stypes="app*4014*20160918*" /stext=" 21:.+((SYSTEM_STATE.+slice.+state.+changed )|(ment ac)|(system.+state.+changed )|(\|lc)|(penalty)|(\[timeout)|(PRM\|1\|D)|(kpr)|(kdp))" /e /r /s</v>
      </c>
      <c r="AG105" s="1" t="str">
        <f>IFERROR(IF(VALUE(LEFT(AD105,2))&lt;=2,"EC",IF(OR(VALUE(LEFT(AD105,2))=8,VALUE(LEFT(AD105,2))=18),"NW","Other")),"Other")</f>
        <v>EC</v>
      </c>
      <c r="AH105" s="100" t="str">
        <f t="shared" si="4"/>
        <v>"%USERPROFILE%\Documents\GitHub\eaglep3\Utilities\RefineRTDCRunTimes.py" --tripid 193-18 --locoid 4014 --swversion DE.1.0.7.0 --startMP 204:451 --initTime 2016-09-18T15:11:42 --startdatetime 2016-09-18T15:15:20 --delay 1 --endMP 204:233264 --enddatetime 2016-09-18T15:52:07 --enforcementcount 0 &gt;&gt;C:\Users\stu\Documents\GitHub\eaglep3-reporting\EC\2016-09-18-refined-times.txt</v>
      </c>
      <c r="AI105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{"issue":{"subject":"","project_id":79,"tracker_id":40,"status_id":1,"priority_id":2,"assigned_to_id":23,"start_date":"2016-09-18","description":"","custom_fields":[{"id":1,"name":"Subdivision","value":"EC"},{"id":4,"name":"Milepost","value":"23.3264"},{"id":17,"name":"Train ID","value":"193-18"},{"id":16,"name":"Locomotive ID","value":"4014"},{"id":130,"name":"Impact","value":""},{"id":150,"name":"Time of Event (Mountain Time)","value":"15:52:07"},{"id":151,"name":"Denver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529</v>
      </c>
      <c r="B106" s="7">
        <v>4013</v>
      </c>
      <c r="C106" s="24" t="s">
        <v>106</v>
      </c>
      <c r="D106" s="24" t="s">
        <v>324</v>
      </c>
      <c r="E106" s="15">
        <v>42631.671157407407</v>
      </c>
      <c r="F106" s="15">
        <v>42631.674537037034</v>
      </c>
      <c r="G106" s="7">
        <v>1</v>
      </c>
      <c r="H106" s="15" t="s">
        <v>675</v>
      </c>
      <c r="I106" s="15">
        <v>42631.701064814813</v>
      </c>
      <c r="J106" s="7">
        <v>0</v>
      </c>
      <c r="K106" s="121" t="str">
        <f>IF(ISEVEN(B106),(B106-1)&amp;"/"&amp;B106,B106&amp;"/"&amp;(B106+1))</f>
        <v>4013/4014</v>
      </c>
      <c r="L106" s="24" t="str">
        <f>VLOOKUP(A106,'Trips&amp;Operators'!$C$1:$E$10000,3,FALSE)</f>
        <v>MOSES</v>
      </c>
      <c r="M106" s="6">
        <f>I106-F106</f>
        <v>2.6527777779847383E-2</v>
      </c>
      <c r="N106" s="7">
        <f>24*60*SUM($M106:$M106)</f>
        <v>38.200000002980232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https://search-rtdc-monitor-bjffxe2xuh6vdkpspy63sjmuny.us-east-1.es.amazonaws.com/_plugin/kibana/#/discover/Steve-Slow-Train-Analysis-(2080s-and-2083s)?_g=(refreshInterval:(display:Off,section:0,value:0),time:(from:'2016-09-18 15:06:28-0600',mode:absolute,to:'2016-09-18 17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6" s="54" t="str">
        <f>IF(AA106&lt;IF(AG106="EC",23,5.65),"Y","N")</f>
        <v>N</v>
      </c>
      <c r="X106" s="168">
        <f>VALUE(LEFT(AD106,4))-VALUE(LEFT(AD105,4))</f>
        <v>1</v>
      </c>
      <c r="Y106" s="69">
        <f>RIGHT(D106,LEN(D106)-4)/10000</f>
        <v>23.294699999999999</v>
      </c>
      <c r="Z106" s="69">
        <f>RIGHT(H106,LEN(H106)-4)/10000</f>
        <v>1.3599999999999999E-2</v>
      </c>
      <c r="AA106" s="69">
        <f>ABS(Z106-Y106)</f>
        <v>23.281099999999999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>IF(LEN(A106)=6,"0"&amp;A106,A106)</f>
        <v>0194-18</v>
      </c>
      <c r="AE106" s="99" t="str">
        <f>"aws s3 cp "&amp;s3_bucket&amp;"/RTDC"&amp;B106&amp;"/"&amp;TEXT(F106,"YYYY-MM-DD")&amp;"/ "&amp;search_path&amp;"\RTDC"&amp;B106&amp;"\"&amp;TEXT(F106,"YYYY-MM-DD")&amp;" --recursive &amp; """&amp;walkandungz&amp;""" "&amp;search_path&amp;"\RTDC"&amp;B106&amp;"\"&amp;TEXT(F106,"YYYY-MM-DD")
&amp;" &amp; "&amp;"aws s3 cp "&amp;s3_bucket&amp;"/RTDC"&amp;B106&amp;"/"&amp;TEXT(F106+1,"YYYY-MM-DD")&amp;"/ "&amp;search_path&amp;"\RTDC"&amp;B106&amp;"\"&amp;TEXT(F106+1,"YYYY-MM-DD")&amp;" --recursive &amp; """&amp;walkandungz&amp;""" "&amp;search_path&amp;"\RTDC"&amp;B106&amp;"\"&amp;TEXT(F106+1,"YYYY-MM-DD")</f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06" s="96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/stypes="app*4013*20160918*" /stext=" 22:.+((SYSTEM_STATE.+slice.+state.+changed )|(ment ac)|(system.+state.+changed )|(\|lc)|(penalty)|(\[timeout)|(PRM\|1\|D)|(kpr)|(kdp))" /e /r /s</v>
      </c>
      <c r="AG106" s="1" t="str">
        <f>IFERROR(IF(VALUE(LEFT(AD106,2))&lt;=2,"EC",IF(OR(VALUE(LEFT(AD106,2))=8,VALUE(LEFT(AD106,2))=18),"NW","Other")),"Other")</f>
        <v>EC</v>
      </c>
      <c r="AH106" s="100" t="str">
        <f t="shared" si="4"/>
        <v>"%USERPROFILE%\Documents\GitHub\eaglep3\Utilities\RefineRTDCRunTimes.py" --tripid 194-18 --locoid 4013 --swversion DE.1.0.7.0 --startMP 204:232947 --initTime 2016-09-18T16:06:28 --startdatetime 2016-09-18T16:11:20 --delay 1 --endMP 204:136 --enddatetime 2016-09-18T16:49:32 --enforcementcount 0 &gt;&gt;C:\Users\stu\Documents\GitHub\eaglep3-reporting\EC\2016-09-18-refined-times.txt</v>
      </c>
      <c r="AI106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{"issue":{"subject":"","project_id":79,"tracker_id":40,"status_id":1,"priority_id":2,"assigned_to_id":23,"start_date":"2016-09-18","description":"","custom_fields":[{"id":1,"name":"Subdivision","value":"EC"},{"id":4,"name":"Milepost","value":"0.0136"},{"id":17,"name":"Train ID","value":"194-18"},{"id":16,"name":"Locomotive ID","value":"4013"},{"id":130,"name":"Impact","value":""},{"id":150,"name":"Time of Event (Mountain Time)","value":"16:49:32"},{"id":151,"name":"Denver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523</v>
      </c>
      <c r="B107" s="7">
        <v>4044</v>
      </c>
      <c r="C107" s="24" t="s">
        <v>106</v>
      </c>
      <c r="D107" s="24" t="s">
        <v>361</v>
      </c>
      <c r="E107" s="15">
        <v>42631.641875000001</v>
      </c>
      <c r="F107" s="15">
        <v>42631.64607638889</v>
      </c>
      <c r="G107" s="7">
        <v>1</v>
      </c>
      <c r="H107" s="15" t="s">
        <v>250</v>
      </c>
      <c r="I107" s="15">
        <v>42631.670659722222</v>
      </c>
      <c r="J107" s="7">
        <v>0</v>
      </c>
      <c r="K107" s="121" t="str">
        <f>IF(ISEVEN(B107),(B107-1)&amp;"/"&amp;B107,B107&amp;"/"&amp;(B107+1))</f>
        <v>4043/4044</v>
      </c>
      <c r="L107" s="24" t="str">
        <f>VLOOKUP(A107,'Trips&amp;Operators'!$C$1:$E$10000,3,FALSE)</f>
        <v>OUN</v>
      </c>
      <c r="M107" s="6">
        <f>I107-F107</f>
        <v>2.4583333331975155E-2</v>
      </c>
      <c r="N107" s="7">
        <f>24*60*SUM($M107:$M107)</f>
        <v>35.399999998044223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https://search-rtdc-monitor-bjffxe2xuh6vdkpspy63sjmuny.us-east-1.es.amazonaws.com/_plugin/kibana/#/discover/Steve-Slow-Train-Analysis-(2080s-and-2083s)?_g=(refreshInterval:(display:Off,section:0,value:0),time:(from:'2016-09-18 14:24:18-0600',mode:absolute,to:'2016-09-18 17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07" s="54" t="str">
        <f>IF(AA107&lt;IF(AG107="EC",23,5.65),"Y","N")</f>
        <v>N</v>
      </c>
      <c r="X107" s="168">
        <f>VALUE(LEFT(AD107,4))-VALUE(LEFT(AD106,4))</f>
        <v>1</v>
      </c>
      <c r="Y107" s="69">
        <f>RIGHT(D107,LEN(D107)-4)/10000</f>
        <v>4.2200000000000001E-2</v>
      </c>
      <c r="Z107" s="69">
        <f>RIGHT(H107,LEN(H107)-4)/10000</f>
        <v>23.3278</v>
      </c>
      <c r="AA107" s="69">
        <f>ABS(Z107-Y107)</f>
        <v>23.285599999999999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>IF(LEN(A107)=6,"0"&amp;A107,A107)</f>
        <v>0195-18</v>
      </c>
      <c r="AE107" s="99" t="str">
        <f>"aws s3 cp "&amp;s3_bucket&amp;"/RTDC"&amp;B107&amp;"/"&amp;TEXT(F107,"YYYY-MM-DD")&amp;"/ "&amp;search_path&amp;"\RTDC"&amp;B107&amp;"\"&amp;TEXT(F107,"YYYY-MM-DD")&amp;" --recursive &amp; """&amp;walkandungz&amp;""" "&amp;search_path&amp;"\RTDC"&amp;B107&amp;"\"&amp;TEXT(F107,"YYYY-MM-DD")
&amp;" &amp; "&amp;"aws s3 cp "&amp;s3_bucket&amp;"/RTDC"&amp;B107&amp;"/"&amp;TEXT(F107+1,"YYYY-MM-DD")&amp;"/ "&amp;search_path&amp;"\RTDC"&amp;B107&amp;"\"&amp;TEXT(F107+1,"YYYY-MM-DD")&amp;" --recursive &amp; """&amp;walkandungz&amp;""" "&amp;search_path&amp;"\RTDC"&amp;B107&amp;"\"&amp;TEXT(F107+1,"YYYY-MM-DD")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07" s="96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/stypes="app*4044*20160918*" /stext=" 22:.+((SYSTEM_STATE.+slice.+state.+changed )|(ment ac)|(system.+state.+changed )|(\|lc)|(penalty)|(\[timeout)|(PRM\|1\|D)|(kpr)|(kdp))" /e /r /s</v>
      </c>
      <c r="AG107" s="1" t="str">
        <f>IFERROR(IF(VALUE(LEFT(AD107,2))&lt;=2,"EC",IF(OR(VALUE(LEFT(AD107,2))=8,VALUE(LEFT(AD107,2))=18),"NW","Other")),"Other")</f>
        <v>EC</v>
      </c>
      <c r="AH107" s="100" t="str">
        <f t="shared" si="4"/>
        <v>"%USERPROFILE%\Documents\GitHub\eaglep3\Utilities\RefineRTDCRunTimes.py" --tripid 195-18 --locoid 4044 --swversion DE.1.0.7.0 --startMP 204:422 --initTime 2016-09-18T15:24:18 --startdatetime 2016-09-18T15:30:21 --delay 1 --endMP 204:233278 --enddatetime 2016-09-18T16:05:45 --enforcementcount 0 &gt;&gt;C:\Users\stu\Documents\GitHub\eaglep3-reporting\EC\2016-09-18-refined-times.txt</v>
      </c>
      <c r="AI107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{"issue":{"subject":"","project_id":79,"tracker_id":40,"status_id":1,"priority_id":2,"assigned_to_id":23,"start_date":"2016-09-18","description":"","custom_fields":[{"id":1,"name":"Subdivision","value":"EC"},{"id":4,"name":"Milepost","value":"23.3278"},{"id":17,"name":"Train ID","value":"195-18"},{"id":16,"name":"Locomotive ID","value":"4044"},{"id":130,"name":"Impact","value":""},{"id":150,"name":"Time of Event (Mountain Time)","value":"16:05:45"},{"id":151,"name":"Denver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531</v>
      </c>
      <c r="B108" s="7">
        <v>4043</v>
      </c>
      <c r="C108" s="24" t="s">
        <v>106</v>
      </c>
      <c r="D108" s="24" t="s">
        <v>615</v>
      </c>
      <c r="E108" s="15">
        <v>42631.679675925923</v>
      </c>
      <c r="F108" s="15">
        <v>42631.685023148151</v>
      </c>
      <c r="G108" s="7">
        <v>1</v>
      </c>
      <c r="H108" s="15" t="s">
        <v>617</v>
      </c>
      <c r="I108" s="15">
        <v>42631.711423611108</v>
      </c>
      <c r="J108" s="7">
        <v>0</v>
      </c>
      <c r="K108" s="121" t="str">
        <f>IF(ISEVEN(B108),(B108-1)&amp;"/"&amp;B108,B108&amp;"/"&amp;(B108+1))</f>
        <v>4043/4044</v>
      </c>
      <c r="L108" s="24" t="str">
        <f>VLOOKUP(A108,'Trips&amp;Operators'!$C$1:$E$10000,3,FALSE)</f>
        <v>OUN</v>
      </c>
      <c r="M108" s="6">
        <f>I108-F108</f>
        <v>2.640046295709908E-2</v>
      </c>
      <c r="N108" s="7">
        <f>24*60*SUM($M108:$M108)</f>
        <v>38.016666658222675</v>
      </c>
      <c r="O108" s="7"/>
      <c r="P108" s="7"/>
      <c r="Q108" s="25"/>
      <c r="R108" s="25"/>
      <c r="S108" s="37">
        <f>SUM(U108:U108)/IF(AG108="EC",12,1)</f>
        <v>1</v>
      </c>
      <c r="T108" s="52" t="str">
        <f>IF(ISEVEN(LEFT(AD108,4)),"Southbound","NorthBound")</f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https://search-rtdc-monitor-bjffxe2xuh6vdkpspy63sjmuny.us-east-1.es.amazonaws.com/_plugin/kibana/#/discover/Steve-Slow-Train-Analysis-(2080s-and-2083s)?_g=(refreshInterval:(display:Off,section:0,value:0),time:(from:'2016-09-18 15:18:44-0600',mode:absolute,to:'2016-09-18 18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08" s="54" t="str">
        <f>IF(AA108&lt;IF(AG108="EC",23,5.65),"Y","N")</f>
        <v>N</v>
      </c>
      <c r="X108" s="168">
        <f>VALUE(LEFT(AD108,4))-VALUE(LEFT(AD107,4))</f>
        <v>1</v>
      </c>
      <c r="Y108" s="69">
        <f>RIGHT(D108,LEN(D108)-4)/10000</f>
        <v>23.294599999999999</v>
      </c>
      <c r="Z108" s="69">
        <f>RIGHT(H108,LEN(H108)-4)/10000</f>
        <v>1.4500000000000001E-2</v>
      </c>
      <c r="AA108" s="69">
        <f>ABS(Z108-Y108)</f>
        <v>23.280099999999997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>IF(LEN(A108)=6,"0"&amp;A108,A108)</f>
        <v>0196-18</v>
      </c>
      <c r="AE108" s="99" t="str">
        <f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08" s="96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/stypes="app*4043*20160918*" /stext=" 23:.+((SYSTEM_STATE.+slice.+state.+changed )|(ment ac)|(system.+state.+changed )|(\|lc)|(penalty)|(\[timeout)|(PRM\|1\|D)|(kpr)|(kdp))" /e /r /s</v>
      </c>
      <c r="AG108" s="1" t="str">
        <f>IFERROR(IF(VALUE(LEFT(AD108,2))&lt;=2,"EC",IF(OR(VALUE(LEFT(AD108,2))=8,VALUE(LEFT(AD108,2))=18),"NW","Other")),"Other")</f>
        <v>EC</v>
      </c>
      <c r="AH108" s="100" t="str">
        <f t="shared" si="4"/>
        <v>"%USERPROFILE%\Documents\GitHub\eaglep3\Utilities\RefineRTDCRunTimes.py" --tripid 196-18 --locoid 4043 --swversion DE.1.0.7.0 --startMP 204:232946 --initTime 2016-09-18T16:18:44 --startdatetime 2016-09-18T16:26:26 --delay 1 --endMP 204:145 --enddatetime 2016-09-18T17:04:27 --enforcementcount 0 &gt;&gt;C:\Users\stu\Documents\GitHub\eaglep3-reporting\EC\2016-09-18-refined-times.txt</v>
      </c>
      <c r="AI108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ID","value":"196-18"},{"id":16,"name":"Locomotive ID","value":"4043"},{"id":130,"name":"Impact","value":""},{"id":150,"name":"Time of Event (Mountain Time)","value":"17:04:27"},{"id":151,"name":"Denver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525</v>
      </c>
      <c r="B109" s="7">
        <v>4038</v>
      </c>
      <c r="C109" s="24" t="s">
        <v>106</v>
      </c>
      <c r="D109" s="24" t="s">
        <v>696</v>
      </c>
      <c r="E109" s="15">
        <v>42631.654247685183</v>
      </c>
      <c r="F109" s="15">
        <v>42631.656504629631</v>
      </c>
      <c r="G109" s="7">
        <v>1</v>
      </c>
      <c r="H109" s="15" t="s">
        <v>697</v>
      </c>
      <c r="I109" s="15">
        <v>42631.681574074071</v>
      </c>
      <c r="J109" s="7">
        <v>0</v>
      </c>
      <c r="K109" s="121" t="str">
        <f>IF(ISEVEN(B109),(B109-1)&amp;"/"&amp;B109,B109&amp;"/"&amp;(B109+1))</f>
        <v>4037/4038</v>
      </c>
      <c r="L109" s="24" t="str">
        <f>VLOOKUP(A109,'Trips&amp;Operators'!$C$1:$E$10000,3,FALSE)</f>
        <v>CLARK</v>
      </c>
      <c r="M109" s="6">
        <f>I109-F109</f>
        <v>2.5069444440305233E-2</v>
      </c>
      <c r="N109" s="7">
        <f>24*60*SUM($M109:$M109)</f>
        <v>36.099999994039536</v>
      </c>
      <c r="O109" s="7"/>
      <c r="P109" s="7"/>
      <c r="Q109" s="25"/>
      <c r="R109" s="25"/>
      <c r="S109" s="37">
        <f>SUM(U109:U109)/IF(AG109="EC",12,1)</f>
        <v>1</v>
      </c>
      <c r="T109" s="52" t="str">
        <f>IF(ISEVEN(LEFT(AD109,4)),"Southbound","NorthBound")</f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https://search-rtdc-monitor-bjffxe2xuh6vdkpspy63sjmuny.us-east-1.es.amazonaws.com/_plugin/kibana/#/discover/Steve-Slow-Train-Analysis-(2080s-and-2083s)?_g=(refreshInterval:(display:Off,section:0,value:0),time:(from:'2016-09-18 14:42:07-0600',mode:absolute,to:'2016-09-18 17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09" s="54" t="str">
        <f>IF(AA109&lt;IF(AG109="EC",23,5.65),"Y","N")</f>
        <v>N</v>
      </c>
      <c r="X109" s="168">
        <f>VALUE(LEFT(AD109,4))-VALUE(LEFT(AD108,4))</f>
        <v>1</v>
      </c>
      <c r="Y109" s="69">
        <f>RIGHT(D109,LEN(D109)-4)/10000</f>
        <v>5.0200000000000002E-2</v>
      </c>
      <c r="Z109" s="69">
        <f>RIGHT(H109,LEN(H109)-4)/10000</f>
        <v>23.322299999999998</v>
      </c>
      <c r="AA109" s="69">
        <f>ABS(Z109-Y109)</f>
        <v>23.272099999999998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>IF(LEN(A109)=6,"0"&amp;A109,A109)</f>
        <v>0197-18</v>
      </c>
      <c r="AE109" s="99" t="str">
        <f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09" s="96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/stypes="app*4038*20160918*" /stext=" 22:.+((SYSTEM_STATE.+slice.+state.+changed )|(ment ac)|(system.+state.+changed )|(\|lc)|(penalty)|(\[timeout)|(PRM\|1\|D)|(kpr)|(kdp))" /e /r /s</v>
      </c>
      <c r="AG109" s="1" t="str">
        <f>IFERROR(IF(VALUE(LEFT(AD109,2))&lt;=2,"EC",IF(OR(VALUE(LEFT(AD109,2))=8,VALUE(LEFT(AD109,2))=18),"NW","Other")),"Other")</f>
        <v>EC</v>
      </c>
      <c r="AH109" s="100" t="str">
        <f t="shared" si="4"/>
        <v>"%USERPROFILE%\Documents\GitHub\eaglep3\Utilities\RefineRTDCRunTimes.py" --tripid 197-18 --locoid 4038 --swversion DE.1.0.7.0 --startMP 204:502 --initTime 2016-09-18T15:42:07 --startdatetime 2016-09-18T15:45:22 --delay 1 --endMP 204:233223 --enddatetime 2016-09-18T16:21:28 --enforcementcount 0 &gt;&gt;C:\Users\stu\Documents\GitHub\eaglep3-reporting\EC\2016-09-18-refined-times.txt</v>
      </c>
      <c r="AI109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{"issue":{"subject":"","project_id":79,"tracker_id":40,"status_id":1,"priority_id":2,"assigned_to_id":23,"start_date":"2016-09-18","description":"","custom_fields":[{"id":1,"name":"Subdivision","value":"EC"},{"id":4,"name":"Milepost","value":"23.3223"},{"id":17,"name":"Train ID","value":"197-18"},{"id":16,"name":"Locomotive ID","value":"4038"},{"id":130,"name":"Impact","value":""},{"id":150,"name":"Time of Event (Mountain Time)","value":"16:21:28"},{"id":151,"name":"Denver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533</v>
      </c>
      <c r="B110" s="7">
        <v>4037</v>
      </c>
      <c r="C110" s="24" t="s">
        <v>106</v>
      </c>
      <c r="D110" s="24" t="s">
        <v>698</v>
      </c>
      <c r="E110" s="15">
        <v>42631.691006944442</v>
      </c>
      <c r="F110" s="15">
        <v>42631.695324074077</v>
      </c>
      <c r="G110" s="7">
        <v>1</v>
      </c>
      <c r="H110" s="15" t="s">
        <v>285</v>
      </c>
      <c r="I110" s="15">
        <v>42631.723634259259</v>
      </c>
      <c r="J110" s="7">
        <v>0</v>
      </c>
      <c r="K110" s="121" t="str">
        <f>IF(ISEVEN(B110),(B110-1)&amp;"/"&amp;B110,B110&amp;"/"&amp;(B110+1))</f>
        <v>4037/4038</v>
      </c>
      <c r="L110" s="24" t="str">
        <f>VLOOKUP(A110,'Trips&amp;Operators'!$C$1:$E$10000,3,FALSE)</f>
        <v>CLARK</v>
      </c>
      <c r="M110" s="6">
        <f>I110-F110</f>
        <v>2.8310185181908309E-2</v>
      </c>
      <c r="N110" s="7">
        <f>24*60*SUM($M110:$M110)</f>
        <v>40.766666661947966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https://search-rtdc-monitor-bjffxe2xuh6vdkpspy63sjmuny.us-east-1.es.amazonaws.com/_plugin/kibana/#/discover/Steve-Slow-Train-Analysis-(2080s-and-2083s)?_g=(refreshInterval:(display:Off,section:0,value:0),time:(from:'2016-09-18 15:35:03-0600',mode:absolute,to:'2016-09-18 18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10" s="54" t="str">
        <f>IF(AA110&lt;IF(AG110="EC",23,5.65),"Y","N")</f>
        <v>N</v>
      </c>
      <c r="X110" s="168">
        <f>VALUE(LEFT(AD110,4))-VALUE(LEFT(AD109,4))</f>
        <v>1</v>
      </c>
      <c r="Y110" s="69">
        <f>RIGHT(D110,LEN(D110)-4)/10000</f>
        <v>23.2896</v>
      </c>
      <c r="Z110" s="69">
        <f>RIGHT(H110,LEN(H110)-4)/10000</f>
        <v>1.61E-2</v>
      </c>
      <c r="AA110" s="69">
        <f>ABS(Z110-Y110)</f>
        <v>23.273499999999999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>IF(LEN(A110)=6,"0"&amp;A110,A110)</f>
        <v>0198-18</v>
      </c>
      <c r="AE110" s="99" t="str">
        <f>"aws s3 cp "&amp;s3_bucket&amp;"/RTDC"&amp;B110&amp;"/"&amp;TEXT(F110,"YYYY-MM-DD")&amp;"/ "&amp;search_path&amp;"\RTDC"&amp;B110&amp;"\"&amp;TEXT(F110,"YYYY-MM-DD")&amp;" --recursive &amp; """&amp;walkandungz&amp;""" "&amp;search_path&amp;"\RTDC"&amp;B110&amp;"\"&amp;TEXT(F110,"YYYY-MM-DD")
&amp;" &amp; "&amp;"aws s3 cp "&amp;s3_bucket&amp;"/RTDC"&amp;B110&amp;"/"&amp;TEXT(F110+1,"YYYY-MM-DD")&amp;"/ "&amp;search_path&amp;"\RTDC"&amp;B110&amp;"\"&amp;TEXT(F110+1,"YYYY-MM-DD")&amp;" --recursive &amp; """&amp;walkandungz&amp;""" "&amp;search_path&amp;"\RTDC"&amp;B110&amp;"\"&amp;TEXT(F110+1,"YYYY-MM-DD")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10" s="96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/stypes="app*4037*20160918*" /stext=" 23:.+((SYSTEM_STATE.+slice.+state.+changed )|(ment ac)|(system.+state.+changed )|(\|lc)|(penalty)|(\[timeout)|(PRM\|1\|D)|(kpr)|(kdp))" /e /r /s</v>
      </c>
      <c r="AG110" s="1" t="str">
        <f>IFERROR(IF(VALUE(LEFT(AD110,2))&lt;=2,"EC",IF(OR(VALUE(LEFT(AD110,2))=8,VALUE(LEFT(AD110,2))=18),"NW","Other")),"Other")</f>
        <v>EC</v>
      </c>
      <c r="AH110" s="100" t="str">
        <f t="shared" si="4"/>
        <v>"%USERPROFILE%\Documents\GitHub\eaglep3\Utilities\RefineRTDCRunTimes.py" --tripid 198-18 --locoid 4037 --swversion DE.1.0.7.0 --startMP 204:232896 --initTime 2016-09-18T16:35:03 --startdatetime 2016-09-18T16:41:16 --delay 1 --endMP 204:161 --enddatetime 2016-09-18T17:22:02 --enforcementcount 0 &gt;&gt;C:\Users\stu\Documents\GitHub\eaglep3-reporting\EC\2016-09-18-refined-times.txt</v>
      </c>
      <c r="AI110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{"issue":{"subject":"","project_id":79,"tracker_id":40,"status_id":1,"priority_id":2,"assigned_to_id":23,"start_date":"2016-09-18","description":"","custom_fields":[{"id":1,"name":"Subdivision","value":"EC"},{"id":4,"name":"Milepost","value":"0.0161"},{"id":17,"name":"Train ID","value":"198-18"},{"id":16,"name":"Locomotive ID","value":"4037"},{"id":130,"name":"Impact","value":""},{"id":150,"name":"Time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527</v>
      </c>
      <c r="B111" s="7">
        <v>4027</v>
      </c>
      <c r="C111" s="24" t="s">
        <v>106</v>
      </c>
      <c r="D111" s="24" t="s">
        <v>639</v>
      </c>
      <c r="E111" s="15">
        <v>42631.661874999998</v>
      </c>
      <c r="F111" s="15">
        <v>42631.666851851849</v>
      </c>
      <c r="G111" s="7">
        <v>2</v>
      </c>
      <c r="H111" s="15" t="s">
        <v>699</v>
      </c>
      <c r="I111" s="15">
        <v>42631.691817129627</v>
      </c>
      <c r="J111" s="7">
        <v>0</v>
      </c>
      <c r="K111" s="121" t="str">
        <f>IF(ISEVEN(B111),(B111-1)&amp;"/"&amp;B111,B111&amp;"/"&amp;(B111+1))</f>
        <v>4027/4028</v>
      </c>
      <c r="L111" s="24" t="str">
        <f>VLOOKUP(A111,'Trips&amp;Operators'!$C$1:$E$10000,3,FALSE)</f>
        <v>SHOOK</v>
      </c>
      <c r="M111" s="6">
        <f>I111-F111</f>
        <v>2.4965277778392192E-2</v>
      </c>
      <c r="N111" s="7">
        <f>24*60*SUM($M111:$M111)</f>
        <v>35.950000000884756</v>
      </c>
      <c r="O111" s="7"/>
      <c r="P111" s="7"/>
      <c r="Q111" s="25"/>
      <c r="R111" s="25"/>
      <c r="S111" s="37">
        <f>SUM(U111:U111)/IF(AG111="EC",12,1)</f>
        <v>1</v>
      </c>
      <c r="T111" s="52" t="str">
        <f>IF(ISEVEN(LEFT(AD111,4)),"Southbound","NorthBound")</f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https://search-rtdc-monitor-bjffxe2xuh6vdkpspy63sjmuny.us-east-1.es.amazonaws.com/_plugin/kibana/#/discover/Steve-Slow-Train-Analysis-(2080s-and-2083s)?_g=(refreshInterval:(display:Off,section:0,value:0),time:(from:'2016-09-18 14:53:06-0600',mode:absolute,to:'2016-09-18 17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1" s="54" t="str">
        <f>IF(AA111&lt;IF(AG111="EC",23,5.65),"Y","N")</f>
        <v>N</v>
      </c>
      <c r="X111" s="168">
        <f>VALUE(LEFT(AD111,4))-VALUE(LEFT(AD110,4))</f>
        <v>1</v>
      </c>
      <c r="Y111" s="69">
        <f>RIGHT(D111,LEN(D111)-4)/10000</f>
        <v>4.7300000000000002E-2</v>
      </c>
      <c r="Z111" s="69">
        <f>RIGHT(H111,LEN(H111)-4)/10000</f>
        <v>23.337</v>
      </c>
      <c r="AA111" s="69">
        <f>ABS(Z111-Y111)</f>
        <v>23.2897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>IF(LEN(A111)=6,"0"&amp;A111,A111)</f>
        <v>0199-18</v>
      </c>
      <c r="AE111" s="99" t="str">
        <f>"aws s3 cp "&amp;s3_bucket&amp;"/RTDC"&amp;B111&amp;"/"&amp;TEXT(F111,"YYYY-MM-DD")&amp;"/ "&amp;search_path&amp;"\RTDC"&amp;B111&amp;"\"&amp;TEXT(F111,"YYYY-MM-DD")&amp;" --recursive &amp; """&amp;walkandungz&amp;""" "&amp;search_path&amp;"\RTDC"&amp;B111&amp;"\"&amp;TEXT(F111,"YYYY-MM-DD")
&amp;" &amp; "&amp;"aws s3 cp "&amp;s3_bucket&amp;"/RTDC"&amp;B111&amp;"/"&amp;TEXT(F111+1,"YYYY-MM-DD")&amp;"/ "&amp;search_path&amp;"\RTDC"&amp;B111&amp;"\"&amp;TEXT(F111+1,"YYYY-MM-DD")&amp;" --recursive &amp; """&amp;walkandungz&amp;""" "&amp;search_path&amp;"\RTDC"&amp;B111&amp;"\"&amp;TEXT(F111+1,"YYYY-MM-DD")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11" s="96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/stypes="app*4027*20160918*" /stext=" 22:.+((SYSTEM_STATE.+slice.+state.+changed )|(ment ac)|(system.+state.+changed )|(\|lc)|(penalty)|(\[timeout)|(PRM\|1\|D)|(kpr)|(kdp))" /e /r /s</v>
      </c>
      <c r="AG111" s="1" t="str">
        <f>IFERROR(IF(VALUE(LEFT(AD111,2))&lt;=2,"EC",IF(OR(VALUE(LEFT(AD111,2))=8,VALUE(LEFT(AD111,2))=18),"NW","Other")),"Other")</f>
        <v>EC</v>
      </c>
      <c r="AH111" s="100" t="str">
        <f t="shared" si="4"/>
        <v>"%USERPROFILE%\Documents\GitHub\eaglep3\Utilities\RefineRTDCRunTimes.py" --tripid 199-18 --locoid 4027 --swversion DE.1.0.7.0 --startMP 204:473 --initTime 2016-09-18T15:53:06 --startdatetime 2016-09-18T16:00:16 --delay 2 --endMP 204:233370 --enddatetime 2016-09-18T16:36:13 --enforcementcount 0 &gt;&gt;C:\Users\stu\Documents\GitHub\eaglep3-reporting\EC\2016-09-18-refined-times.txt</v>
      </c>
      <c r="AI111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{"issue":{"subject":"","project_id":79,"tracker_id":40,"status_id":1,"priority_id":2,"assigned_to_id":23,"start_date":"2016-09-18","description":"","custom_fields":[{"id":1,"name":"Subdivision","value":"EC"},{"id":4,"name":"Milepost","value":"23.337"},{"id":17,"name":"Train ID","value":"199-18"},{"id":16,"name":"Locomotive ID","value":"4027"},{"id":130,"name":"Impact","value":""},{"id":150,"name":"Time of Event (Mountain Time)","value":"16:36:13"},{"id":151,"name":"Denver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536</v>
      </c>
      <c r="B112" s="7">
        <v>4028</v>
      </c>
      <c r="C112" s="24" t="s">
        <v>106</v>
      </c>
      <c r="D112" s="24" t="s">
        <v>700</v>
      </c>
      <c r="E112" s="15">
        <v>42631.701481481483</v>
      </c>
      <c r="F112" s="15">
        <v>42631.705740740741</v>
      </c>
      <c r="G112" s="7">
        <v>1</v>
      </c>
      <c r="H112" s="15" t="s">
        <v>218</v>
      </c>
      <c r="I112" s="15">
        <v>42631.732094907406</v>
      </c>
      <c r="J112" s="7">
        <v>0</v>
      </c>
      <c r="K112" s="121" t="str">
        <f>IF(ISEVEN(B112),(B112-1)&amp;"/"&amp;B112,B112&amp;"/"&amp;(B112+1))</f>
        <v>4027/4028</v>
      </c>
      <c r="L112" s="24" t="str">
        <f>VLOOKUP(A112,'Trips&amp;Operators'!$C$1:$E$10000,3,FALSE)</f>
        <v>SHOOK</v>
      </c>
      <c r="M112" s="6">
        <f>I112-F112</f>
        <v>2.6354166664532386E-2</v>
      </c>
      <c r="N112" s="7">
        <f>24*60*SUM($M112:$M112)</f>
        <v>37.949999996926636</v>
      </c>
      <c r="O112" s="7"/>
      <c r="P112" s="7"/>
      <c r="Q112" s="25"/>
      <c r="R112" s="25"/>
      <c r="S112" s="37">
        <f>SUM(U112:U112)/IF(AG112="EC",12,1)</f>
        <v>1</v>
      </c>
      <c r="T112" s="52" t="str">
        <f>IF(ISEVEN(LEFT(AD112,4)),"Southbound","NorthBound")</f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https://search-rtdc-monitor-bjffxe2xuh6vdkpspy63sjmuny.us-east-1.es.amazonaws.com/_plugin/kibana/#/discover/Steve-Slow-Train-Analysis-(2080s-and-2083s)?_g=(refreshInterval:(display:Off,section:0,value:0),time:(from:'2016-09-18 15:50:08-0600',mode:absolute,to:'2016-09-18 18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12" s="54" t="str">
        <f>IF(AA112&lt;IF(AG112="EC",23,5.65),"Y","N")</f>
        <v>N</v>
      </c>
      <c r="X112" s="168">
        <f>VALUE(LEFT(AD112,4))-VALUE(LEFT(AD111,4))</f>
        <v>1</v>
      </c>
      <c r="Y112" s="69">
        <f>RIGHT(D112,LEN(D112)-4)/10000</f>
        <v>23.304200000000002</v>
      </c>
      <c r="Z112" s="69">
        <f>RIGHT(H112,LEN(H112)-4)/10000</f>
        <v>1.47E-2</v>
      </c>
      <c r="AA112" s="69">
        <f>ABS(Z112-Y112)</f>
        <v>23.2895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>IF(LEN(A112)=6,"0"&amp;A112,A112)</f>
        <v>0200-18</v>
      </c>
      <c r="AE112" s="99" t="str">
        <f>"aws s3 cp "&amp;s3_bucket&amp;"/RTDC"&amp;B112&amp;"/"&amp;TEXT(F112,"YYYY-MM-DD")&amp;"/ "&amp;search_path&amp;"\RTDC"&amp;B112&amp;"\"&amp;TEXT(F112,"YYYY-MM-DD")&amp;" --recursive &amp; """&amp;walkandungz&amp;""" "&amp;search_path&amp;"\RTDC"&amp;B112&amp;"\"&amp;TEXT(F112,"YYYY-MM-DD")
&amp;" &amp; "&amp;"aws s3 cp "&amp;s3_bucket&amp;"/RTDC"&amp;B112&amp;"/"&amp;TEXT(F112+1,"YYYY-MM-DD")&amp;"/ "&amp;search_path&amp;"\RTDC"&amp;B112&amp;"\"&amp;TEXT(F112+1,"YYYY-MM-DD")&amp;" --recursive &amp; """&amp;walkandungz&amp;""" "&amp;search_path&amp;"\RTDC"&amp;B112&amp;"\"&amp;TEXT(F112+1,"YYYY-MM-DD")</f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12" s="96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/stypes="app*4028*20160918*" /stext=" 23:.+((SYSTEM_STATE.+slice.+state.+changed )|(ment ac)|(system.+state.+changed )|(\|lc)|(penalty)|(\[timeout)|(PRM\|1\|D)|(kpr)|(kdp))" /e /r /s</v>
      </c>
      <c r="AG112" s="1" t="str">
        <f>IFERROR(IF(VALUE(LEFT(AD112,2))&lt;=2,"EC",IF(OR(VALUE(LEFT(AD112,2))=8,VALUE(LEFT(AD112,2))=18),"NW","Other")),"Other")</f>
        <v>EC</v>
      </c>
      <c r="AH112" s="100" t="str">
        <f t="shared" si="4"/>
        <v>"%USERPROFILE%\Documents\GitHub\eaglep3\Utilities\RefineRTDCRunTimes.py" --tripid 200-18 --locoid 4028 --swversion DE.1.0.7.0 --startMP 204:233042 --initTime 2016-09-18T16:50:08 --startdatetime 2016-09-18T16:56:16 --delay 1 --endMP 204:147 --enddatetime 2016-09-18T17:34:13 --enforcementcount 0 &gt;&gt;C:\Users\stu\Documents\GitHub\eaglep3-reporting\EC\2016-09-18-refined-times.txt</v>
      </c>
      <c r="AI112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ID","value":"200-18"},{"id":16,"name":"Locomotive ID","value":"4028"},{"id":130,"name":"Impact","value":""},{"id":150,"name":"Time of Event (Mountain Time)","value":"17:34:13"},{"id":151,"name":"Denver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530</v>
      </c>
      <c r="B113" s="7">
        <v>4020</v>
      </c>
      <c r="C113" s="24" t="s">
        <v>106</v>
      </c>
      <c r="D113" s="24" t="s">
        <v>701</v>
      </c>
      <c r="E113" s="15">
        <v>42631.672210648147</v>
      </c>
      <c r="F113" s="15">
        <v>42631.677395833336</v>
      </c>
      <c r="G113" s="7">
        <v>1</v>
      </c>
      <c r="H113" s="15" t="s">
        <v>288</v>
      </c>
      <c r="I113" s="15">
        <v>42631.702453703707</v>
      </c>
      <c r="J113" s="7">
        <v>0</v>
      </c>
      <c r="K113" s="121" t="str">
        <f>IF(ISEVEN(B113),(B113-1)&amp;"/"&amp;B113,B113&amp;"/"&amp;(B113+1))</f>
        <v>4019/4020</v>
      </c>
      <c r="L113" s="24" t="str">
        <f>VLOOKUP(A113,'Trips&amp;Operators'!$C$1:$E$10000,3,FALSE)</f>
        <v>STEWART</v>
      </c>
      <c r="M113" s="6">
        <f>I113-F113</f>
        <v>2.5057870370801538E-2</v>
      </c>
      <c r="N113" s="7">
        <f>24*60*SUM($M113:$M113)</f>
        <v>36.083333333954215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https://search-rtdc-monitor-bjffxe2xuh6vdkpspy63sjmuny.us-east-1.es.amazonaws.com/_plugin/kibana/#/discover/Steve-Slow-Train-Analysis-(2080s-and-2083s)?_g=(refreshInterval:(display:Off,section:0,value:0),time:(from:'2016-09-18 15:07:59-0600',mode:absolute,to:'2016-09-18 17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3" s="54" t="str">
        <f>IF(AA113&lt;IF(AG113="EC",23,5.65),"Y","N")</f>
        <v>N</v>
      </c>
      <c r="X113" s="168">
        <f>VALUE(LEFT(AD113,4))-VALUE(LEFT(AD112,4))</f>
        <v>1</v>
      </c>
      <c r="Y113" s="69">
        <f>RIGHT(D113,LEN(D113)-4)/10000</f>
        <v>4.8599999999999997E-2</v>
      </c>
      <c r="Z113" s="69">
        <f>RIGHT(H113,LEN(H113)-4)/10000</f>
        <v>23.3263</v>
      </c>
      <c r="AA113" s="69">
        <f>ABS(Z113-Y113)</f>
        <v>23.277699999999999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>IF(LEN(A113)=6,"0"&amp;A113,A113)</f>
        <v>0201-18</v>
      </c>
      <c r="AE113" s="99" t="str">
        <f>"aws s3 cp "&amp;s3_bucket&amp;"/RTDC"&amp;B113&amp;"/"&amp;TEXT(F113,"YYYY-MM-DD")&amp;"/ "&amp;search_path&amp;"\RTDC"&amp;B113&amp;"\"&amp;TEXT(F113,"YYYY-MM-DD")&amp;" --recursive &amp; """&amp;walkandungz&amp;""" "&amp;search_path&amp;"\RTDC"&amp;B113&amp;"\"&amp;TEXT(F113,"YYYY-MM-DD")
&amp;" &amp; "&amp;"aws s3 cp "&amp;s3_bucket&amp;"/RTDC"&amp;B113&amp;"/"&amp;TEXT(F113+1,"YYYY-MM-DD")&amp;"/ "&amp;search_path&amp;"\RTDC"&amp;B113&amp;"\"&amp;TEXT(F113+1,"YYYY-MM-DD")&amp;" --recursive &amp; """&amp;walkandungz&amp;""" "&amp;search_path&amp;"\RTDC"&amp;B113&amp;"\"&amp;TEXT(F113+1,"YYYY-MM-DD")</f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113" s="96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/stypes="app*4020*20160918*" /stext=" 22:.+((SYSTEM_STATE.+slice.+state.+changed )|(ment ac)|(system.+state.+changed )|(\|lc)|(penalty)|(\[timeout)|(PRM\|1\|D)|(kpr)|(kdp))" /e /r /s</v>
      </c>
      <c r="AG113" s="1" t="str">
        <f>IFERROR(IF(VALUE(LEFT(AD113,2))&lt;=2,"EC",IF(OR(VALUE(LEFT(AD113,2))=8,VALUE(LEFT(AD113,2))=18),"NW","Other")),"Other")</f>
        <v>EC</v>
      </c>
      <c r="AH113" s="100" t="str">
        <f t="shared" si="4"/>
        <v>"%USERPROFILE%\Documents\GitHub\eaglep3\Utilities\RefineRTDCRunTimes.py" --tripid 201-18 --locoid 4020 --swversion DE.1.0.7.0 --startMP 204:486 --initTime 2016-09-18T16:07:59 --startdatetime 2016-09-18T16:15:27 --delay 1 --endMP 204:233263 --enddatetime 2016-09-18T16:51:32 --enforcementcount 0 &gt;&gt;C:\Users\stu\Documents\GitHub\eaglep3-reporting\EC\2016-09-18-refined-times.txt</v>
      </c>
      <c r="AI113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{"issue":{"subject":"","project_id":79,"tracker_id":40,"status_id":1,"priority_id":2,"assigned_to_id":23,"start_date":"2016-09-18","description":"","custom_fields":[{"id":1,"name":"Subdivision","value":"EC"},{"id":4,"name":"Milepost","value":"23.3263"},{"id":17,"name":"Train ID","value":"201-18"},{"id":16,"name":"Locomotive ID","value":"4020"},{"id":130,"name":"Impact","value":""},{"id":150,"name":"Time of Event (Mountain Time)","value":"16:51:32"},{"id":151,"name":"Denver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539</v>
      </c>
      <c r="B114" s="7">
        <v>4019</v>
      </c>
      <c r="C114" s="24" t="s">
        <v>106</v>
      </c>
      <c r="D114" s="24" t="s">
        <v>702</v>
      </c>
      <c r="E114" s="15">
        <v>42631.713506944441</v>
      </c>
      <c r="F114" s="15">
        <v>42631.716284722221</v>
      </c>
      <c r="G114" s="7">
        <v>1</v>
      </c>
      <c r="H114" s="15" t="s">
        <v>256</v>
      </c>
      <c r="I114" s="15">
        <v>42631.742754629631</v>
      </c>
      <c r="J114" s="7">
        <v>0</v>
      </c>
      <c r="K114" s="121" t="str">
        <f>IF(ISEVEN(B114),(B114-1)&amp;"/"&amp;B114,B114&amp;"/"&amp;(B114+1))</f>
        <v>4019/4020</v>
      </c>
      <c r="L114" s="24" t="str">
        <f>VLOOKUP(A114,'Trips&amp;Operators'!$C$1:$E$10000,3,FALSE)</f>
        <v>STEWART</v>
      </c>
      <c r="M114" s="6">
        <f>I114-F114</f>
        <v>2.6469907410501037E-2</v>
      </c>
      <c r="N114" s="7">
        <f>24*60*SUM($M114:$M114)</f>
        <v>38.116666671121493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https://search-rtdc-monitor-bjffxe2xuh6vdkpspy63sjmuny.us-east-1.es.amazonaws.com/_plugin/kibana/#/discover/Steve-Slow-Train-Analysis-(2080s-and-2083s)?_g=(refreshInterval:(display:Off,section:0,value:0),time:(from:'2016-09-18 16:07:27-0600',mode:absolute,to:'2016-09-18 18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4" s="54" t="str">
        <f>IF(AA114&lt;IF(AG114="EC",23,5.65),"Y","N")</f>
        <v>N</v>
      </c>
      <c r="X114" s="168">
        <f>VALUE(LEFT(AD114,4))-VALUE(LEFT(AD113,4))</f>
        <v>1</v>
      </c>
      <c r="Y114" s="69">
        <f>RIGHT(D114,LEN(D114)-4)/10000</f>
        <v>23.2972</v>
      </c>
      <c r="Z114" s="69">
        <f>RIGHT(H114,LEN(H114)-4)/10000</f>
        <v>1.43E-2</v>
      </c>
      <c r="AA114" s="69">
        <f>ABS(Z114-Y114)</f>
        <v>23.282900000000001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>IF(LEN(A114)=6,"0"&amp;A114,A114)</f>
        <v>0202-18</v>
      </c>
      <c r="AE114" s="99" t="str">
        <f>"aws s3 cp "&amp;s3_bucket&amp;"/RTDC"&amp;B114&amp;"/"&amp;TEXT(F114,"YYYY-MM-DD")&amp;"/ "&amp;search_path&amp;"\RTDC"&amp;B114&amp;"\"&amp;TEXT(F114,"YYYY-MM-DD")&amp;" --recursive &amp; """&amp;walkandungz&amp;""" "&amp;search_path&amp;"\RTDC"&amp;B114&amp;"\"&amp;TEXT(F114,"YYYY-MM-DD")
&amp;" &amp; "&amp;"aws s3 cp "&amp;s3_bucket&amp;"/RTDC"&amp;B114&amp;"/"&amp;TEXT(F114+1,"YYYY-MM-DD")&amp;"/ "&amp;search_path&amp;"\RTDC"&amp;B114&amp;"\"&amp;TEXT(F114+1,"YYYY-MM-DD")&amp;" --recursive &amp; """&amp;walkandungz&amp;""" "&amp;search_path&amp;"\RTDC"&amp;B114&amp;"\"&amp;TEXT(F114+1,"YYYY-MM-DD")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14" s="96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/stypes="app*4019*20160918*" /stext=" 23:.+((SYSTEM_STATE.+slice.+state.+changed )|(ment ac)|(system.+state.+changed )|(\|lc)|(penalty)|(\[timeout)|(PRM\|1\|D)|(kpr)|(kdp))" /e /r /s</v>
      </c>
      <c r="AG114" s="1" t="str">
        <f>IFERROR(IF(VALUE(LEFT(AD114,2))&lt;=2,"EC",IF(OR(VALUE(LEFT(AD114,2))=8,VALUE(LEFT(AD114,2))=18),"NW","Other")),"Other")</f>
        <v>EC</v>
      </c>
      <c r="AH114" s="100" t="str">
        <f t="shared" si="4"/>
        <v>"%USERPROFILE%\Documents\GitHub\eaglep3\Utilities\RefineRTDCRunTimes.py" --tripid 202-18 --locoid 4019 --swversion DE.1.0.7.0 --startMP 204:232972 --initTime 2016-09-18T17:07:27 --startdatetime 2016-09-18T17:11:27 --delay 1 --endMP 204:143 --enddatetime 2016-09-18T17:49:34 --enforcementcount 0 &gt;&gt;C:\Users\stu\Documents\GitHub\eaglep3-reporting\EC\2016-09-18-refined-times.txt</v>
      </c>
      <c r="AI114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ID","value":"202-18"},{"id":16,"name":"Locomotive ID","value":"4019"},{"id":130,"name":"Impact","value":""},{"id":150,"name":"Time of Event (Mountain Time)","value":"17:49:34"},{"id":151,"name":"Denver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532</v>
      </c>
      <c r="B115" s="7">
        <v>4016</v>
      </c>
      <c r="C115" s="24" t="s">
        <v>106</v>
      </c>
      <c r="D115" s="24" t="s">
        <v>233</v>
      </c>
      <c r="E115" s="15">
        <v>42631.682534722226</v>
      </c>
      <c r="F115" s="15">
        <v>42631.687731481485</v>
      </c>
      <c r="G115" s="7">
        <v>2</v>
      </c>
      <c r="H115" s="15" t="s">
        <v>388</v>
      </c>
      <c r="I115" s="15">
        <v>42631.71298611111</v>
      </c>
      <c r="J115" s="7">
        <v>0</v>
      </c>
      <c r="K115" s="121" t="str">
        <f>IF(ISEVEN(B115),(B115-1)&amp;"/"&amp;B115,B115&amp;"/"&amp;(B115+1))</f>
        <v>4015/4016</v>
      </c>
      <c r="L115" s="24" t="str">
        <f>VLOOKUP(A115,'Trips&amp;Operators'!$C$1:$E$10000,3,FALSE)</f>
        <v>BARTLETT</v>
      </c>
      <c r="M115" s="6">
        <f>I115-F115</f>
        <v>2.5254629625123926E-2</v>
      </c>
      <c r="N115" s="7">
        <f>24*60*SUM($M115:$M115)</f>
        <v>36.366666660178453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https://search-rtdc-monitor-bjffxe2xuh6vdkpspy63sjmuny.us-east-1.es.amazonaws.com/_plugin/kibana/#/discover/Steve-Slow-Train-Analysis-(2080s-and-2083s)?_g=(refreshInterval:(display:Off,section:0,value:0),time:(from:'2016-09-18 15:22:51-0600',mode:absolute,to:'2016-09-18 18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5" s="54" t="str">
        <f>IF(AA115&lt;IF(AG115="EC",23,5.65),"Y","N")</f>
        <v>N</v>
      </c>
      <c r="X115" s="168">
        <f>VALUE(LEFT(AD115,4))-VALUE(LEFT(AD114,4))</f>
        <v>1</v>
      </c>
      <c r="Y115" s="69">
        <f>RIGHT(D115,LEN(D115)-4)/10000</f>
        <v>4.6399999999999997E-2</v>
      </c>
      <c r="Z115" s="69">
        <f>RIGHT(H115,LEN(H115)-4)/10000</f>
        <v>23.331099999999999</v>
      </c>
      <c r="AA115" s="69">
        <f>ABS(Z115-Y115)</f>
        <v>23.284700000000001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>IF(LEN(A115)=6,"0"&amp;A115,A115)</f>
        <v>0203-18</v>
      </c>
      <c r="AE115" s="99" t="str">
        <f>"aws s3 cp "&amp;s3_bucket&amp;"/RTDC"&amp;B115&amp;"/"&amp;TEXT(F115,"YYYY-MM-DD")&amp;"/ "&amp;search_path&amp;"\RTDC"&amp;B115&amp;"\"&amp;TEXT(F115,"YYYY-MM-DD")&amp;" --recursive &amp; """&amp;walkandungz&amp;""" "&amp;search_path&amp;"\RTDC"&amp;B115&amp;"\"&amp;TEXT(F115,"YYYY-MM-DD")
&amp;" &amp; "&amp;"aws s3 cp "&amp;s3_bucket&amp;"/RTDC"&amp;B115&amp;"/"&amp;TEXT(F115+1,"YYYY-MM-DD")&amp;"/ "&amp;search_path&amp;"\RTDC"&amp;B115&amp;"\"&amp;TEXT(F115+1,"YYYY-MM-DD")&amp;" --recursive &amp; """&amp;walkandungz&amp;""" "&amp;search_path&amp;"\RTDC"&amp;B115&amp;"\"&amp;TEXT(F115+1,"YYYY-MM-DD")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15" s="96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/stypes="app*4016*20160918*" /stext=" 23:.+((SYSTEM_STATE.+slice.+state.+changed )|(ment ac)|(system.+state.+changed )|(\|lc)|(penalty)|(\[timeout)|(PRM\|1\|D)|(kpr)|(kdp))" /e /r /s</v>
      </c>
      <c r="AG115" s="1" t="str">
        <f>IFERROR(IF(VALUE(LEFT(AD115,2))&lt;=2,"EC",IF(OR(VALUE(LEFT(AD115,2))=8,VALUE(LEFT(AD115,2))=18),"NW","Other")),"Other")</f>
        <v>EC</v>
      </c>
      <c r="AH115" s="100" t="str">
        <f t="shared" si="4"/>
        <v>"%USERPROFILE%\Documents\GitHub\eaglep3\Utilities\RefineRTDCRunTimes.py" --tripid 203-18 --locoid 4016 --swversion DE.1.0.7.0 --startMP 204:464 --initTime 2016-09-18T16:22:51 --startdatetime 2016-09-18T16:30:20 --delay 2 --endMP 204:233311 --enddatetime 2016-09-18T17:06:42 --enforcementcount 0 &gt;&gt;C:\Users\stu\Documents\GitHub\eaglep3-reporting\EC\2016-09-18-refined-times.txt</v>
      </c>
      <c r="AI115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ID","value":"203-18"},{"id":16,"name":"Locomotive ID","value":"4016"},{"id":130,"name":"Impact","value":""},{"id":150,"name":"Time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540</v>
      </c>
      <c r="B116" s="7">
        <v>4015</v>
      </c>
      <c r="C116" s="24" t="s">
        <v>106</v>
      </c>
      <c r="D116" s="24" t="s">
        <v>703</v>
      </c>
      <c r="E116" s="15">
        <v>42631.71503472222</v>
      </c>
      <c r="F116" s="15">
        <v>42631.726527777777</v>
      </c>
      <c r="G116" s="7">
        <v>1</v>
      </c>
      <c r="H116" s="15" t="s">
        <v>325</v>
      </c>
      <c r="I116" s="15">
        <v>42631.753263888888</v>
      </c>
      <c r="J116" s="7">
        <v>0</v>
      </c>
      <c r="K116" s="121" t="str">
        <f>IF(ISEVEN(B116),(B116-1)&amp;"/"&amp;B116,B116&amp;"/"&amp;(B116+1))</f>
        <v>4015/4016</v>
      </c>
      <c r="L116" s="24" t="str">
        <f>VLOOKUP(A116,'Trips&amp;Operators'!$C$1:$E$10000,3,FALSE)</f>
        <v>BARTLETT</v>
      </c>
      <c r="M116" s="6">
        <f>I116-F116</f>
        <v>2.6736111110949423E-2</v>
      </c>
      <c r="N116" s="7">
        <f>24*60*SUM($M116:$M116)</f>
        <v>38.499999999767169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https://search-rtdc-monitor-bjffxe2xuh6vdkpspy63sjmuny.us-east-1.es.amazonaws.com/_plugin/kibana/#/discover/Steve-Slow-Train-Analysis-(2080s-and-2083s)?_g=(refreshInterval:(display:Off,section:0,value:0),time:(from:'2016-09-18 16:09:39-0600',mode:absolute,to:'2016-09-18 19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6" s="54" t="str">
        <f>IF(AA116&lt;IF(AG116="EC",23,5.65),"Y","N")</f>
        <v>N</v>
      </c>
      <c r="X116" s="168">
        <f>VALUE(LEFT(AD116,4))-VALUE(LEFT(AD115,4))</f>
        <v>1</v>
      </c>
      <c r="Y116" s="69">
        <f>RIGHT(D116,LEN(D116)-4)/10000</f>
        <v>23.3001</v>
      </c>
      <c r="Z116" s="69">
        <f>RIGHT(H116,LEN(H116)-4)/10000</f>
        <v>1.5599999999999999E-2</v>
      </c>
      <c r="AA116" s="69">
        <f>ABS(Z116-Y116)</f>
        <v>23.284500000000001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>IF(LEN(A116)=6,"0"&amp;A116,A116)</f>
        <v>0204-18</v>
      </c>
      <c r="AE116" s="99" t="str">
        <f>"aws s3 cp "&amp;s3_bucket&amp;"/RTDC"&amp;B116&amp;"/"&amp;TEXT(F116,"YYYY-MM-DD")&amp;"/ "&amp;search_path&amp;"\RTDC"&amp;B116&amp;"\"&amp;TEXT(F116,"YYYY-MM-DD")&amp;" --recursive &amp; """&amp;walkandungz&amp;""" "&amp;search_path&amp;"\RTDC"&amp;B116&amp;"\"&amp;TEXT(F116,"YYYY-MM-DD")
&amp;" &amp; "&amp;"aws s3 cp "&amp;s3_bucket&amp;"/RTDC"&amp;B116&amp;"/"&amp;TEXT(F116+1,"YYYY-MM-DD")&amp;"/ "&amp;search_path&amp;"\RTDC"&amp;B116&amp;"\"&amp;TEXT(F116+1,"YYYY-MM-DD")&amp;" --recursive &amp; """&amp;walkandungz&amp;""" "&amp;search_path&amp;"\RTDC"&amp;B116&amp;"\"&amp;TEXT(F116+1,"YYYY-MM-DD")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16" s="96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/stypes="app*4015*20160919*" /stext=" 00:.+((SYSTEM_STATE.+slice.+state.+changed )|(ment ac)|(system.+state.+changed )|(\|lc)|(penalty)|(\[timeout)|(PRM\|1\|D)|(kpr)|(kdp))" /e /r /s</v>
      </c>
      <c r="AG116" s="1" t="str">
        <f>IFERROR(IF(VALUE(LEFT(AD116,2))&lt;=2,"EC",IF(OR(VALUE(LEFT(AD116,2))=8,VALUE(LEFT(AD116,2))=18),"NW","Other")),"Other")</f>
        <v>EC</v>
      </c>
      <c r="AH116" s="100" t="str">
        <f t="shared" si="4"/>
        <v>"%USERPROFILE%\Documents\GitHub\eaglep3\Utilities\RefineRTDCRunTimes.py" --tripid 204-18 --locoid 4015 --swversion DE.1.0.7.0 --startMP 204:233001 --initTime 2016-09-18T17:09:39 --startdatetime 2016-09-18T17:26:12 --delay 1 --endMP 204:156 --enddatetime 2016-09-18T18:04:42 --enforcementcount 0 &gt;&gt;C:\Users\stu\Documents\GitHub\eaglep3-reporting\EC\2016-09-18-refined-times.txt</v>
      </c>
      <c r="AI116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{"issue":{"subject":"","project_id":79,"tracker_id":40,"status_id":1,"priority_id":2,"assigned_to_id":23,"start_date":"2016-09-18","description":"","custom_fields":[{"id":1,"name":"Subdivision","value":"EC"},{"id":4,"name":"Milepost","value":"0.0156"},{"id":17,"name":"Train ID","value":"204-18"},{"id":16,"name":"Locomotive ID","value":"4015"},{"id":130,"name":"Impact","value":""},{"id":150,"name":"Time of Event (Mountain Time)","value":"18:04:42"},{"id":151,"name":"Denver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535</v>
      </c>
      <c r="B117" s="7">
        <v>4009</v>
      </c>
      <c r="C117" s="24" t="s">
        <v>106</v>
      </c>
      <c r="D117" s="24" t="s">
        <v>251</v>
      </c>
      <c r="E117" s="15">
        <v>42631.693333333336</v>
      </c>
      <c r="F117" s="15">
        <v>42631.698240740741</v>
      </c>
      <c r="G117" s="7">
        <v>1</v>
      </c>
      <c r="H117" s="15" t="s">
        <v>370</v>
      </c>
      <c r="I117" s="15">
        <v>42631.722719907404</v>
      </c>
      <c r="J117" s="7">
        <v>0</v>
      </c>
      <c r="K117" s="121" t="str">
        <f>IF(ISEVEN(B117),(B117-1)&amp;"/"&amp;B117,B117&amp;"/"&amp;(B117+1))</f>
        <v>4009/4010</v>
      </c>
      <c r="L117" s="24" t="str">
        <f>VLOOKUP(A117,'Trips&amp;Operators'!$C$1:$E$10000,3,FALSE)</f>
        <v>BRUDER</v>
      </c>
      <c r="M117" s="6">
        <f>I117-F117</f>
        <v>2.4479166662786156E-2</v>
      </c>
      <c r="N117" s="7">
        <f>24*60*SUM($M117:$M117)</f>
        <v>35.249999994412065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https://search-rtdc-monitor-bjffxe2xuh6vdkpspy63sjmuny.us-east-1.es.amazonaws.com/_plugin/kibana/#/discover/Steve-Slow-Train-Analysis-(2080s-and-2083s)?_g=(refreshInterval:(display:Off,section:0,value:0),time:(from:'2016-09-18 15:38:24-0600',mode:absolute,to:'2016-09-18 18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7" s="54" t="str">
        <f>IF(AA117&lt;IF(AG117="EC",23,5.65),"Y","N")</f>
        <v>N</v>
      </c>
      <c r="X117" s="168">
        <f>VALUE(LEFT(AD117,4))-VALUE(LEFT(AD116,4))</f>
        <v>1</v>
      </c>
      <c r="Y117" s="69">
        <f>RIGHT(D117,LEN(D117)-4)/10000</f>
        <v>4.6199999999999998E-2</v>
      </c>
      <c r="Z117" s="69">
        <f>RIGHT(H117,LEN(H117)-4)/10000</f>
        <v>23.325299999999999</v>
      </c>
      <c r="AA117" s="69">
        <f>ABS(Z117-Y117)</f>
        <v>23.2791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>IF(LEN(A117)=6,"0"&amp;A117,A117)</f>
        <v>0205-18</v>
      </c>
      <c r="AE117" s="99" t="str">
        <f>"aws s3 cp "&amp;s3_bucket&amp;"/RTDC"&amp;B117&amp;"/"&amp;TEXT(F117,"YYYY-MM-DD")&amp;"/ "&amp;search_path&amp;"\RTDC"&amp;B117&amp;"\"&amp;TEXT(F117,"YYYY-MM-DD")&amp;" --recursive &amp; """&amp;walkandungz&amp;""" "&amp;search_path&amp;"\RTDC"&amp;B117&amp;"\"&amp;TEXT(F117,"YYYY-MM-DD")
&amp;" &amp; "&amp;"aws s3 cp "&amp;s3_bucket&amp;"/RTDC"&amp;B117&amp;"/"&amp;TEXT(F117+1,"YYYY-MM-DD")&amp;"/ "&amp;search_path&amp;"\RTDC"&amp;B117&amp;"\"&amp;TEXT(F117+1,"YYYY-MM-DD")&amp;" --recursive &amp; """&amp;walkandungz&amp;""" "&amp;search_path&amp;"\RTDC"&amp;B117&amp;"\"&amp;TEXT(F117+1,"YYYY-MM-DD")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17" s="96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/stypes="app*4009*20160918*" /stext=" 23:.+((SYSTEM_STATE.+slice.+state.+changed )|(ment ac)|(system.+state.+changed )|(\|lc)|(penalty)|(\[timeout)|(PRM\|1\|D)|(kpr)|(kdp))" /e /r /s</v>
      </c>
      <c r="AG117" s="1" t="str">
        <f>IFERROR(IF(VALUE(LEFT(AD117,2))&lt;=2,"EC",IF(OR(VALUE(LEFT(AD117,2))=8,VALUE(LEFT(AD117,2))=18),"NW","Other")),"Other")</f>
        <v>EC</v>
      </c>
      <c r="AH117" s="100" t="str">
        <f t="shared" si="4"/>
        <v>"%USERPROFILE%\Documents\GitHub\eaglep3\Utilities\RefineRTDCRunTimes.py" --tripid 205-18 --locoid 4009 --swversion DE.1.0.7.0 --startMP 204:462 --initTime 2016-09-18T16:38:24 --startdatetime 2016-09-18T16:45:28 --delay 1 --endMP 204:233253 --enddatetime 2016-09-18T17:20:43 --enforcementcount 0 &gt;&gt;C:\Users\stu\Documents\GitHub\eaglep3-reporting\EC\2016-09-18-refined-times.txt</v>
      </c>
      <c r="AI117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{"issue":{"subject":"","project_id":79,"tracker_id":40,"status_id":1,"priority_id":2,"assigned_to_id":23,"start_date":"2016-09-18","description":"","custom_fields":[{"id":1,"name":"Subdivision","value":"EC"},{"id":4,"name":"Milepost","value":"23.3253"},{"id":17,"name":"Train ID","value":"205-18"},{"id":16,"name":"Locomotive ID","value":"4009"},{"id":130,"name":"Impact","value":""},{"id":150,"name":"Time of Event (Mountain Time)","value":"17:20:43"},{"id":151,"name":"Denver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543</v>
      </c>
      <c r="B118" s="7">
        <v>4010</v>
      </c>
      <c r="C118" s="24" t="s">
        <v>106</v>
      </c>
      <c r="D118" s="24" t="s">
        <v>326</v>
      </c>
      <c r="E118" s="15">
        <v>42631.730983796297</v>
      </c>
      <c r="F118" s="15">
        <v>42631.736990740741</v>
      </c>
      <c r="G118" s="7">
        <v>1</v>
      </c>
      <c r="H118" s="15" t="s">
        <v>285</v>
      </c>
      <c r="I118" s="15">
        <v>42631.763124999998</v>
      </c>
      <c r="J118" s="7">
        <v>0</v>
      </c>
      <c r="K118" s="121" t="str">
        <f>IF(ISEVEN(B118),(B118-1)&amp;"/"&amp;B118,B118&amp;"/"&amp;(B118+1))</f>
        <v>4009/4010</v>
      </c>
      <c r="L118" s="24" t="str">
        <f>VLOOKUP(A118,'Trips&amp;Operators'!$C$1:$E$10000,3,FALSE)</f>
        <v>BRUDER</v>
      </c>
      <c r="M118" s="6">
        <f>I118-F118</f>
        <v>2.6134259256650694E-2</v>
      </c>
      <c r="N118" s="7">
        <f>24*60*SUM($M118:$M118)</f>
        <v>37.633333329576999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https://search-rtdc-monitor-bjffxe2xuh6vdkpspy63sjmuny.us-east-1.es.amazonaws.com/_plugin/kibana/#/discover/Steve-Slow-Train-Analysis-(2080s-and-2083s)?_g=(refreshInterval:(display:Off,section:0,value:0),time:(from:'2016-09-18 16:32:37-0600',mode:absolute,to:'2016-09-18 19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8" s="54" t="str">
        <f>IF(AA118&lt;IF(AG118="EC",23,5.65),"Y","N")</f>
        <v>N</v>
      </c>
      <c r="X118" s="168">
        <f>VALUE(LEFT(AD118,4))-VALUE(LEFT(AD117,4))</f>
        <v>1</v>
      </c>
      <c r="Y118" s="69">
        <f>RIGHT(D118,LEN(D118)-4)/10000</f>
        <v>23.2943</v>
      </c>
      <c r="Z118" s="69">
        <f>RIGHT(H118,LEN(H118)-4)/10000</f>
        <v>1.61E-2</v>
      </c>
      <c r="AA118" s="69">
        <f>ABS(Z118-Y118)</f>
        <v>23.278199999999998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>IF(LEN(A118)=6,"0"&amp;A118,A118)</f>
        <v>0206-18</v>
      </c>
      <c r="AE118" s="99" t="str">
        <f>"aws s3 cp "&amp;s3_bucket&amp;"/RTDC"&amp;B118&amp;"/"&amp;TEXT(F118,"YYYY-MM-DD")&amp;"/ "&amp;search_path&amp;"\RTDC"&amp;B118&amp;"\"&amp;TEXT(F118,"YYYY-MM-DD")&amp;" --recursive &amp; """&amp;walkandungz&amp;""" "&amp;search_path&amp;"\RTDC"&amp;B118&amp;"\"&amp;TEXT(F118,"YYYY-MM-DD")
&amp;" &amp; "&amp;"aws s3 cp "&amp;s3_bucket&amp;"/RTDC"&amp;B118&amp;"/"&amp;TEXT(F118+1,"YYYY-MM-DD")&amp;"/ "&amp;search_path&amp;"\RTDC"&amp;B118&amp;"\"&amp;TEXT(F118+1,"YYYY-MM-DD")&amp;" --recursive &amp; """&amp;walkandungz&amp;""" "&amp;search_path&amp;"\RTDC"&amp;B118&amp;"\"&amp;TEXT(F118+1,"YYYY-MM-DD")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18" s="96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/stypes="app*4010*20160919*" /stext=" 00:.+((SYSTEM_STATE.+slice.+state.+changed )|(ment ac)|(system.+state.+changed )|(\|lc)|(penalty)|(\[timeout)|(PRM\|1\|D)|(kpr)|(kdp))" /e /r /s</v>
      </c>
      <c r="AG118" s="1" t="str">
        <f>IFERROR(IF(VALUE(LEFT(AD118,2))&lt;=2,"EC",IF(OR(VALUE(LEFT(AD118,2))=8,VALUE(LEFT(AD118,2))=18),"NW","Other")),"Other")</f>
        <v>EC</v>
      </c>
      <c r="AH118" s="100" t="str">
        <f t="shared" si="4"/>
        <v>"%USERPROFILE%\Documents\GitHub\eaglep3\Utilities\RefineRTDCRunTimes.py" --tripid 206-18 --locoid 4010 --swversion DE.1.0.7.0 --startMP 204:232943 --initTime 2016-09-18T17:32:37 --startdatetime 2016-09-18T17:41:16 --delay 1 --endMP 204:161 --enddatetime 2016-09-18T18:18:54 --enforcementcount 0 &gt;&gt;C:\Users\stu\Documents\GitHub\eaglep3-reporting\EC\2016-09-18-refined-times.txt</v>
      </c>
      <c r="AI118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{"issue":{"subject":"","project_id":79,"tracker_id":40,"status_id":1,"priority_id":2,"assigned_to_id":23,"start_date":"2016-09-18","description":"","custom_fields":[{"id":1,"name":"Subdivision","value":"EC"},{"id":4,"name":"Milepost","value":"0.0161"},{"id":17,"name":"Train ID","value":"206-18"},{"id":16,"name":"Locomotive ID","value":"4010"},{"id":130,"name":"Impact","value":""},{"id":150,"name":"Time of Event (Mountain Time)","value":"18:18:54"},{"id":151,"name":"Denver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537</v>
      </c>
      <c r="B119" s="7">
        <v>4014</v>
      </c>
      <c r="C119" s="24" t="s">
        <v>106</v>
      </c>
      <c r="D119" s="24" t="s">
        <v>236</v>
      </c>
      <c r="E119" s="15">
        <v>42631.704884259256</v>
      </c>
      <c r="F119" s="15">
        <v>42631.708564814813</v>
      </c>
      <c r="G119" s="7">
        <v>1</v>
      </c>
      <c r="H119" s="15" t="s">
        <v>268</v>
      </c>
      <c r="I119" s="15">
        <v>42631.733518518522</v>
      </c>
      <c r="J119" s="7">
        <v>0</v>
      </c>
      <c r="K119" s="121" t="str">
        <f>IF(ISEVEN(B119),(B119-1)&amp;"/"&amp;B119,B119&amp;"/"&amp;(B119+1))</f>
        <v>4013/4014</v>
      </c>
      <c r="L119" s="24" t="str">
        <f>VLOOKUP(A119,'Trips&amp;Operators'!$C$1:$E$10000,3,FALSE)</f>
        <v>MOSES</v>
      </c>
      <c r="M119" s="6">
        <f>I119-F119</f>
        <v>2.4953703708888497E-2</v>
      </c>
      <c r="N119" s="7">
        <f>24*60*SUM($M119:$M119)</f>
        <v>35.933333340799436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https://search-rtdc-monitor-bjffxe2xuh6vdkpspy63sjmuny.us-east-1.es.amazonaws.com/_plugin/kibana/#/discover/Steve-Slow-Train-Analysis-(2080s-and-2083s)?_g=(refreshInterval:(display:Off,section:0,value:0),time:(from:'2016-09-18 15:55:02-0600',mode:absolute,to:'2016-09-18 18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9" s="54" t="str">
        <f>IF(AA119&lt;IF(AG119="EC",23,5.65),"Y","N")</f>
        <v>N</v>
      </c>
      <c r="X119" s="168">
        <f>VALUE(LEFT(AD119,4))-VALUE(LEFT(AD118,4))</f>
        <v>1</v>
      </c>
      <c r="Y119" s="69">
        <f>RIGHT(D119,LEN(D119)-4)/10000</f>
        <v>4.5999999999999999E-2</v>
      </c>
      <c r="Z119" s="69">
        <f>RIGHT(H119,LEN(H119)-4)/10000</f>
        <v>23.327999999999999</v>
      </c>
      <c r="AA119" s="69">
        <f>ABS(Z119-Y119)</f>
        <v>23.282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>IF(LEN(A119)=6,"0"&amp;A119,A119)</f>
        <v>0207-18</v>
      </c>
      <c r="AE119" s="99" t="str">
        <f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119" s="96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/stypes="app*4014*20160918*" /stext=" 23:.+((SYSTEM_STATE.+slice.+state.+changed )|(ment ac)|(system.+state.+changed )|(\|lc)|(penalty)|(\[timeout)|(PRM\|1\|D)|(kpr)|(kdp))" /e /r /s</v>
      </c>
      <c r="AG119" s="1" t="str">
        <f>IFERROR(IF(VALUE(LEFT(AD119,2))&lt;=2,"EC",IF(OR(VALUE(LEFT(AD119,2))=8,VALUE(LEFT(AD119,2))=18),"NW","Other")),"Other")</f>
        <v>EC</v>
      </c>
      <c r="AH119" s="100" t="str">
        <f t="shared" si="4"/>
        <v>"%USERPROFILE%\Documents\GitHub\eaglep3\Utilities\RefineRTDCRunTimes.py" --tripid 207-18 --locoid 4014 --swversion DE.1.0.7.0 --startMP 204:460 --initTime 2016-09-18T16:55:02 --startdatetime 2016-09-18T17:00:20 --delay 1 --endMP 204:233280 --enddatetime 2016-09-18T17:36:16 --enforcementcount 0 &gt;&gt;C:\Users\stu\Documents\GitHub\eaglep3-reporting\EC\2016-09-18-refined-times.txt</v>
      </c>
      <c r="AI119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{"issue":{"subject":"","project_id":79,"tracker_id":40,"status_id":1,"priority_id":2,"assigned_to_id":23,"start_date":"2016-09-18","description":"","custom_fields":[{"id":1,"name":"Subdivision","value":"EC"},{"id":4,"name":"Milepost","value":"23.328"},{"id":17,"name":"Train ID","value":"207-18"},{"id":16,"name":"Locomotive ID","value":"4014"},{"id":130,"name":"Impact","value":""},{"id":150,"name":"Time of Event (Mountain Time)","value":"17:36:16"},{"id":151,"name":"Denver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547</v>
      </c>
      <c r="B120" s="7">
        <v>4013</v>
      </c>
      <c r="C120" s="24" t="s">
        <v>106</v>
      </c>
      <c r="D120" s="24" t="s">
        <v>266</v>
      </c>
      <c r="E120" s="15">
        <v>42631.744004629632</v>
      </c>
      <c r="F120" s="15">
        <v>42631.749374999999</v>
      </c>
      <c r="G120" s="7">
        <v>2</v>
      </c>
      <c r="H120" s="15" t="s">
        <v>214</v>
      </c>
      <c r="I120" s="15">
        <v>42631.77752314815</v>
      </c>
      <c r="J120" s="7">
        <v>0</v>
      </c>
      <c r="K120" s="121" t="str">
        <f>IF(ISEVEN(B120),(B120-1)&amp;"/"&amp;B120,B120&amp;"/"&amp;(B120+1))</f>
        <v>4013/4014</v>
      </c>
      <c r="L120" s="24" t="str">
        <f>VLOOKUP(A120,'Trips&amp;Operators'!$C$1:$E$10000,3,FALSE)</f>
        <v>MOSES</v>
      </c>
      <c r="M120" s="6">
        <f>I120-F120</f>
        <v>2.8148148150648922E-2</v>
      </c>
      <c r="N120" s="7">
        <f>24*60*SUM($M120:$M120)</f>
        <v>40.533333336934447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https://search-rtdc-monitor-bjffxe2xuh6vdkpspy63sjmuny.us-east-1.es.amazonaws.com/_plugin/kibana/#/discover/Steve-Slow-Train-Analysis-(2080s-and-2083s)?_g=(refreshInterval:(display:Off,section:0,value:0),time:(from:'2016-09-18 16:51:22-0600',mode:absolute,to:'2016-09-18 19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0" s="54" t="str">
        <f>IF(AA120&lt;IF(AG120="EC",23,5.65),"Y","N")</f>
        <v>N</v>
      </c>
      <c r="X120" s="168">
        <f>VALUE(LEFT(AD120,4))-VALUE(LEFT(AD119,4))</f>
        <v>1</v>
      </c>
      <c r="Y120" s="69">
        <f>RIGHT(D120,LEN(D120)-4)/10000</f>
        <v>23.2971</v>
      </c>
      <c r="Z120" s="69">
        <f>RIGHT(H120,LEN(H120)-4)/10000</f>
        <v>1.6E-2</v>
      </c>
      <c r="AA120" s="69">
        <f>ABS(Z120-Y120)</f>
        <v>23.281100000000002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>IF(LEN(A120)=6,"0"&amp;A120,A120)</f>
        <v>0208-18</v>
      </c>
      <c r="AE120" s="99" t="str">
        <f>"aws s3 cp "&amp;s3_bucket&amp;"/RTDC"&amp;B120&amp;"/"&amp;TEXT(F120,"YYYY-MM-DD")&amp;"/ "&amp;search_path&amp;"\RTDC"&amp;B120&amp;"\"&amp;TEXT(F120,"YYYY-MM-DD")&amp;" --recursive &amp; """&amp;walkandungz&amp;""" "&amp;search_path&amp;"\RTDC"&amp;B120&amp;"\"&amp;TEXT(F120,"YYYY-MM-DD")
&amp;" &amp; "&amp;"aws s3 cp "&amp;s3_bucket&amp;"/RTDC"&amp;B120&amp;"/"&amp;TEXT(F120+1,"YYYY-MM-DD")&amp;"/ "&amp;search_path&amp;"\RTDC"&amp;B120&amp;"\"&amp;TEXT(F120+1,"YYYY-MM-DD")&amp;" --recursive &amp; """&amp;walkandungz&amp;""" "&amp;search_path&amp;"\RTDC"&amp;B120&amp;"\"&amp;TEXT(F120+1,"YYYY-MM-DD")</f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20" s="96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/stypes="app*4013*20160919*" /stext=" 00:.+((SYSTEM_STATE.+slice.+state.+changed )|(ment ac)|(system.+state.+changed )|(\|lc)|(penalty)|(\[timeout)|(PRM\|1\|D)|(kpr)|(kdp))" /e /r /s</v>
      </c>
      <c r="AG120" s="1" t="str">
        <f>IFERROR(IF(VALUE(LEFT(AD120,2))&lt;=2,"EC",IF(OR(VALUE(LEFT(AD120,2))=8,VALUE(LEFT(AD120,2))=18),"NW","Other")),"Other")</f>
        <v>EC</v>
      </c>
      <c r="AH120" s="100" t="str">
        <f t="shared" si="4"/>
        <v>"%USERPROFILE%\Documents\GitHub\eaglep3\Utilities\RefineRTDCRunTimes.py" --tripid 208-18 --locoid 4013 --swversion DE.1.0.7.0 --startMP 204:232971 --initTime 2016-09-18T17:51:22 --startdatetime 2016-09-18T17:59:06 --delay 2 --endMP 204:160 --enddatetime 2016-09-18T18:39:38 --enforcementcount 0 &gt;&gt;C:\Users\stu\Documents\GitHub\eaglep3-reporting\EC\2016-09-18-refined-times.txt</v>
      </c>
      <c r="AI120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ID","value":"208-18"},{"id":16,"name":"Locomotive ID","value":"4013"},{"id":130,"name":"Impact","value":""},{"id":150,"name":"Time of Event (Mountain Time)","value":"18:39:38"},{"id":151,"name":"Denver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424</v>
      </c>
      <c r="B121" s="7">
        <v>4044</v>
      </c>
      <c r="C121" s="24" t="s">
        <v>106</v>
      </c>
      <c r="D121" s="24" t="s">
        <v>219</v>
      </c>
      <c r="E121" s="15">
        <v>42631.714791666665</v>
      </c>
      <c r="F121" s="15">
        <v>42631.719097222223</v>
      </c>
      <c r="G121" s="7">
        <v>2</v>
      </c>
      <c r="H121" s="15" t="s">
        <v>704</v>
      </c>
      <c r="I121" s="15">
        <v>42631.746504629627</v>
      </c>
      <c r="J121" s="7">
        <v>0</v>
      </c>
      <c r="K121" s="121" t="str">
        <f>IF(ISEVEN(B121),(B121-1)&amp;"/"&amp;B121,B121&amp;"/"&amp;(B121+1))</f>
        <v>4043/4044</v>
      </c>
      <c r="L121" s="24" t="str">
        <f>VLOOKUP(A121,'Trips&amp;Operators'!$C$1:$E$10000,3,FALSE)</f>
        <v>LEVERE</v>
      </c>
      <c r="M121" s="6">
        <f>I121-F121</f>
        <v>2.7407407404098194E-2</v>
      </c>
      <c r="N121" s="7">
        <f>24*60*SUM($M121:$M121)</f>
        <v>39.466666661901399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https://search-rtdc-monitor-bjffxe2xuh6vdkpspy63sjmuny.us-east-1.es.amazonaws.com/_plugin/kibana/#/discover/Steve-Slow-Train-Analysis-(2080s-and-2083s)?_g=(refreshInterval:(display:Off,section:0,value:0),time:(from:'2016-09-18 16:09:18-0600',mode:absolute,to:'2016-09-18 18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21" s="54" t="str">
        <f>IF(AA121&lt;IF(AG121="EC",23,5.65),"Y","N")</f>
        <v>N</v>
      </c>
      <c r="X121" s="168">
        <f>VALUE(LEFT(AD121,4))-VALUE(LEFT(AD120,4))</f>
        <v>1</v>
      </c>
      <c r="Y121" s="69">
        <f>RIGHT(D121,LEN(D121)-4)/10000</f>
        <v>4.53E-2</v>
      </c>
      <c r="Z121" s="69">
        <f>RIGHT(H121,LEN(H121)-4)/10000</f>
        <v>23.322900000000001</v>
      </c>
      <c r="AA121" s="69">
        <f>ABS(Z121-Y121)</f>
        <v>23.2776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>IF(LEN(A121)=6,"0"&amp;A121,A121)</f>
        <v>0209-18</v>
      </c>
      <c r="AE121" s="99" t="str">
        <f>"aws s3 cp "&amp;s3_bucket&amp;"/RTDC"&amp;B121&amp;"/"&amp;TEXT(F121,"YYYY-MM-DD")&amp;"/ "&amp;search_path&amp;"\RTDC"&amp;B121&amp;"\"&amp;TEXT(F121,"YYYY-MM-DD")&amp;" --recursive &amp; """&amp;walkandungz&amp;""" "&amp;search_path&amp;"\RTDC"&amp;B121&amp;"\"&amp;TEXT(F121,"YYYY-MM-DD")
&amp;" &amp; "&amp;"aws s3 cp "&amp;s3_bucket&amp;"/RTDC"&amp;B121&amp;"/"&amp;TEXT(F121+1,"YYYY-MM-DD")&amp;"/ "&amp;search_path&amp;"\RTDC"&amp;B121&amp;"\"&amp;TEXT(F121+1,"YYYY-MM-DD")&amp;" --recursive &amp; """&amp;walkandungz&amp;""" "&amp;search_path&amp;"\RTDC"&amp;B121&amp;"\"&amp;TEXT(F121+1,"YYYY-MM-DD")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21" s="96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/stypes="app*4044*20160918*" /stext=" 23:.+((SYSTEM_STATE.+slice.+state.+changed )|(ment ac)|(system.+state.+changed )|(\|lc)|(penalty)|(\[timeout)|(PRM\|1\|D)|(kpr)|(kdp))" /e /r /s</v>
      </c>
      <c r="AG121" s="1" t="str">
        <f>IFERROR(IF(VALUE(LEFT(AD121,2))&lt;=2,"EC",IF(OR(VALUE(LEFT(AD121,2))=8,VALUE(LEFT(AD121,2))=18),"NW","Other")),"Other")</f>
        <v>EC</v>
      </c>
      <c r="AH121" s="100" t="str">
        <f t="shared" si="4"/>
        <v>"%USERPROFILE%\Documents\GitHub\eaglep3\Utilities\RefineRTDCRunTimes.py" --tripid 209-18 --locoid 4044 --swversion DE.1.0.7.0 --startMP 204:453 --initTime 2016-09-18T17:09:18 --startdatetime 2016-09-18T17:15:30 --delay 2 --endMP 204:233229 --enddatetime 2016-09-18T17:54:58 --enforcementcount 0 &gt;&gt;C:\Users\stu\Documents\GitHub\eaglep3-reporting\EC\2016-09-18-refined-times.txt</v>
      </c>
      <c r="AI121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{"issue":{"subject":"","project_id":79,"tracker_id":40,"status_id":1,"priority_id":2,"assigned_to_id":23,"start_date":"2016-09-18","description":"","custom_fields":[{"id":1,"name":"Subdivision","value":"EC"},{"id":4,"name":"Milepost","value":"23.3229"},{"id":17,"name":"Train ID","value":"209-18"},{"id":16,"name":"Locomotive ID","value":"4044"},{"id":130,"name":"Impact","value":""},{"id":150,"name":"Time of Event (Mountain Time)","value":"17:54:58"},{"id":151,"name":"Denver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552</v>
      </c>
      <c r="B122" s="7">
        <v>4043</v>
      </c>
      <c r="C122" s="24" t="s">
        <v>106</v>
      </c>
      <c r="D122" s="24" t="s">
        <v>278</v>
      </c>
      <c r="E122" s="15">
        <v>42631.754189814812</v>
      </c>
      <c r="F122" s="15">
        <v>42631.757835648146</v>
      </c>
      <c r="G122" s="7">
        <v>1</v>
      </c>
      <c r="H122" s="15" t="s">
        <v>217</v>
      </c>
      <c r="I122" s="15">
        <v>42631.784930555557</v>
      </c>
      <c r="J122" s="7">
        <v>0</v>
      </c>
      <c r="K122" s="121" t="str">
        <f>IF(ISEVEN(B122),(B122-1)&amp;"/"&amp;B122,B122&amp;"/"&amp;(B122+1))</f>
        <v>4043/4044</v>
      </c>
      <c r="L122" s="24" t="str">
        <f>VLOOKUP(A122,'Trips&amp;Operators'!$C$1:$E$10000,3,FALSE)</f>
        <v>LEVERE</v>
      </c>
      <c r="M122" s="6">
        <f>I122-F122</f>
        <v>2.7094907411083113E-2</v>
      </c>
      <c r="N122" s="7">
        <f>24*60*SUM($M122:$M122)</f>
        <v>39.016666671959683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https://search-rtdc-monitor-bjffxe2xuh6vdkpspy63sjmuny.us-east-1.es.amazonaws.com/_plugin/kibana/#/discover/Steve-Slow-Train-Analysis-(2080s-and-2083s)?_g=(refreshInterval:(display:Off,section:0,value:0),time:(from:'2016-09-18 17:06:02-0600',mode:absolute,to:'2016-09-18 19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22" s="54" t="str">
        <f>IF(AA122&lt;IF(AG122="EC",23,5.65),"Y","N")</f>
        <v>N</v>
      </c>
      <c r="X122" s="168">
        <f>VALUE(LEFT(AD122,4))-VALUE(LEFT(AD121,4))</f>
        <v>1</v>
      </c>
      <c r="Y122" s="69">
        <f>RIGHT(D122,LEN(D122)-4)/10000</f>
        <v>23.293399999999998</v>
      </c>
      <c r="Z122" s="69">
        <f>RIGHT(H122,LEN(H122)-4)/10000</f>
        <v>1.5800000000000002E-2</v>
      </c>
      <c r="AA122" s="69">
        <f>ABS(Z122-Y122)</f>
        <v>23.2776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>IF(LEN(A122)=6,"0"&amp;A122,A122)</f>
        <v>0210-18</v>
      </c>
      <c r="AE122" s="99" t="str">
        <f>"aws s3 cp "&amp;s3_bucket&amp;"/RTDC"&amp;B122&amp;"/"&amp;TEXT(F122,"YYYY-MM-DD")&amp;"/ "&amp;search_path&amp;"\RTDC"&amp;B122&amp;"\"&amp;TEXT(F122,"YYYY-MM-DD")&amp;" --recursive &amp; """&amp;walkandungz&amp;""" "&amp;search_path&amp;"\RTDC"&amp;B122&amp;"\"&amp;TEXT(F122,"YYYY-MM-DD")
&amp;" &amp; "&amp;"aws s3 cp "&amp;s3_bucket&amp;"/RTDC"&amp;B122&amp;"/"&amp;TEXT(F122+1,"YYYY-MM-DD")&amp;"/ "&amp;search_path&amp;"\RTDC"&amp;B122&amp;"\"&amp;TEXT(F122+1,"YYYY-MM-DD")&amp;" --recursive &amp; """&amp;walkandungz&amp;""" "&amp;search_path&amp;"\RTDC"&amp;B122&amp;"\"&amp;TEXT(F122+1,"YYYY-MM-DD")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22" s="96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/stypes="app*4043*20160919*" /stext=" 00:.+((SYSTEM_STATE.+slice.+state.+changed )|(ment ac)|(system.+state.+changed )|(\|lc)|(penalty)|(\[timeout)|(PRM\|1\|D)|(kpr)|(kdp))" /e /r /s</v>
      </c>
      <c r="AG122" s="1" t="str">
        <f>IFERROR(IF(VALUE(LEFT(AD122,2))&lt;=2,"EC",IF(OR(VALUE(LEFT(AD122,2))=8,VALUE(LEFT(AD122,2))=18),"NW","Other")),"Other")</f>
        <v>EC</v>
      </c>
      <c r="AH122" s="100" t="str">
        <f t="shared" si="4"/>
        <v>"%USERPROFILE%\Documents\GitHub\eaglep3\Utilities\RefineRTDCRunTimes.py" --tripid 210-18 --locoid 4043 --swversion DE.1.0.7.0 --startMP 204:232934 --initTime 2016-09-18T18:06:02 --startdatetime 2016-09-18T18:11:17 --delay 1 --endMP 204:158 --enddatetime 2016-09-18T18:50:18 --enforcementcount 0 &gt;&gt;C:\Users\stu\Documents\GitHub\eaglep3-reporting\EC\2016-09-18-refined-times.txt</v>
      </c>
      <c r="AI122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ID","value":"210-18"},{"id":16,"name":"Locomotive ID","value":"4043"},{"id":130,"name":"Impact","value":""},{"id":150,"name":"Time of Event (Mountain Time)","value":"18:50:18"},{"id":151,"name":"Denver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542</v>
      </c>
      <c r="B123" s="7">
        <v>4038</v>
      </c>
      <c r="C123" s="24" t="s">
        <v>106</v>
      </c>
      <c r="D123" s="24" t="s">
        <v>244</v>
      </c>
      <c r="E123" s="15">
        <v>42631.725497685184</v>
      </c>
      <c r="F123" s="15">
        <v>42631.729386574072</v>
      </c>
      <c r="G123" s="7">
        <v>2</v>
      </c>
      <c r="H123" s="15" t="s">
        <v>268</v>
      </c>
      <c r="I123" s="15">
        <v>42631.754513888889</v>
      </c>
      <c r="J123" s="7">
        <v>0</v>
      </c>
      <c r="K123" s="121" t="str">
        <f>IF(ISEVEN(B123),(B123-1)&amp;"/"&amp;B123,B123&amp;"/"&amp;(B123+1))</f>
        <v>4037/4038</v>
      </c>
      <c r="L123" s="24" t="str">
        <f>VLOOKUP(A123,'Trips&amp;Operators'!$C$1:$E$10000,3,FALSE)</f>
        <v>OUN</v>
      </c>
      <c r="M123" s="6">
        <f>I123-F123</f>
        <v>2.5127314816927537E-2</v>
      </c>
      <c r="N123" s="7">
        <f>24*60*SUM($M123:$M123)</f>
        <v>36.183333336375654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https://search-rtdc-monitor-bjffxe2xuh6vdkpspy63sjmuny.us-east-1.es.amazonaws.com/_plugin/kibana/#/discover/Steve-Slow-Train-Analysis-(2080s-and-2083s)?_g=(refreshInterval:(display:Off,section:0,value:0),time:(from:'2016-09-18 16:24:43-0600',mode:absolute,to:'2016-09-18 19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23" s="54" t="str">
        <f>IF(AA123&lt;IF(AG123="EC",23,5.65),"Y","N")</f>
        <v>N</v>
      </c>
      <c r="X123" s="168">
        <f>VALUE(LEFT(AD123,4))-VALUE(LEFT(AD122,4))</f>
        <v>1</v>
      </c>
      <c r="Y123" s="69">
        <f>RIGHT(D123,LEN(D123)-4)/10000</f>
        <v>4.6899999999999997E-2</v>
      </c>
      <c r="Z123" s="69">
        <f>RIGHT(H123,LEN(H123)-4)/10000</f>
        <v>23.327999999999999</v>
      </c>
      <c r="AA123" s="69">
        <f>ABS(Z123-Y123)</f>
        <v>23.281099999999999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>IF(LEN(A123)=6,"0"&amp;A123,A123)</f>
        <v>0211-18</v>
      </c>
      <c r="AE123" s="99" t="str">
        <f>"aws s3 cp "&amp;s3_bucket&amp;"/RTDC"&amp;B123&amp;"/"&amp;TEXT(F123,"YYYY-MM-DD")&amp;"/ "&amp;search_path&amp;"\RTDC"&amp;B123&amp;"\"&amp;TEXT(F123,"YYYY-MM-DD")&amp;" --recursive &amp; """&amp;walkandungz&amp;""" "&amp;search_path&amp;"\RTDC"&amp;B123&amp;"\"&amp;TEXT(F123,"YYYY-MM-DD")
&amp;" &amp; "&amp;"aws s3 cp "&amp;s3_bucket&amp;"/RTDC"&amp;B123&amp;"/"&amp;TEXT(F123+1,"YYYY-MM-DD")&amp;"/ "&amp;search_path&amp;"\RTDC"&amp;B123&amp;"\"&amp;TEXT(F123+1,"YYYY-MM-DD")&amp;" --recursive &amp; """&amp;walkandungz&amp;""" "&amp;search_path&amp;"\RTDC"&amp;B123&amp;"\"&amp;TEXT(F123+1,"YYYY-MM-DD")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23" s="96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/stypes="app*4038*20160919*" /stext=" 00:.+((SYSTEM_STATE.+slice.+state.+changed )|(ment ac)|(system.+state.+changed )|(\|lc)|(penalty)|(\[timeout)|(PRM\|1\|D)|(kpr)|(kdp))" /e /r /s</v>
      </c>
      <c r="AG123" s="1" t="str">
        <f>IFERROR(IF(VALUE(LEFT(AD123,2))&lt;=2,"EC",IF(OR(VALUE(LEFT(AD123,2))=8,VALUE(LEFT(AD123,2))=18),"NW","Other")),"Other")</f>
        <v>EC</v>
      </c>
      <c r="AH123" s="100" t="str">
        <f t="shared" si="4"/>
        <v>"%USERPROFILE%\Documents\GitHub\eaglep3\Utilities\RefineRTDCRunTimes.py" --tripid 211-18 --locoid 4038 --swversion DE.1.0.7.0 --startMP 204:469 --initTime 2016-09-18T17:24:43 --startdatetime 2016-09-18T17:30:19 --delay 2 --endMP 204:233280 --enddatetime 2016-09-18T18:06:30 --enforcementcount 0 &gt;&gt;C:\Users\stu\Documents\GitHub\eaglep3-reporting\EC\2016-09-18-refined-times.txt</v>
      </c>
      <c r="AI123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{"issue":{"subject":"","project_id":79,"tracker_id":40,"status_id":1,"priority_id":2,"assigned_to_id":23,"start_date":"2016-09-18","description":"","custom_fields":[{"id":1,"name":"Subdivision","value":"EC"},{"id":4,"name":"Milepost","value":"23.328"},{"id":17,"name":"Train ID","value":"211-18"},{"id":16,"name":"Locomotive ID","value":"4038"},{"id":130,"name":"Impact","value":""},{"id":150,"name":"Time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425</v>
      </c>
      <c r="B124" s="7">
        <v>4037</v>
      </c>
      <c r="C124" s="24" t="s">
        <v>106</v>
      </c>
      <c r="D124" s="24" t="s">
        <v>705</v>
      </c>
      <c r="E124" s="15">
        <v>42631.76321759259</v>
      </c>
      <c r="F124" s="15">
        <v>42631.768773148149</v>
      </c>
      <c r="G124" s="7">
        <v>1</v>
      </c>
      <c r="H124" s="15" t="s">
        <v>240</v>
      </c>
      <c r="I124" s="15">
        <v>42631.795682870368</v>
      </c>
      <c r="J124" s="7">
        <v>0</v>
      </c>
      <c r="K124" s="121" t="str">
        <f>IF(ISEVEN(B124),(B124-1)&amp;"/"&amp;B124,B124&amp;"/"&amp;(B124+1))</f>
        <v>4037/4038</v>
      </c>
      <c r="L124" s="24" t="str">
        <f>VLOOKUP(A124,'Trips&amp;Operators'!$C$1:$E$10000,3,FALSE)</f>
        <v>OUN</v>
      </c>
      <c r="M124" s="6">
        <f>I124-F124</f>
        <v>2.6909722218988463E-2</v>
      </c>
      <c r="N124" s="7">
        <f>24*60*SUM($M124:$M124)</f>
        <v>38.749999995343387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https://search-rtdc-monitor-bjffxe2xuh6vdkpspy63sjmuny.us-east-1.es.amazonaws.com/_plugin/kibana/#/discover/Steve-Slow-Train-Analysis-(2080s-and-2083s)?_g=(refreshInterval:(display:Off,section:0,value:0),time:(from:'2016-09-18 17:19:02-0600',mode:absolute,to:'2016-09-18 20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24" s="54" t="str">
        <f>IF(AA124&lt;IF(AG124="EC",23,5.65),"Y","N")</f>
        <v>N</v>
      </c>
      <c r="X124" s="168">
        <f>VALUE(LEFT(AD124,4))-VALUE(LEFT(AD123,4))</f>
        <v>1</v>
      </c>
      <c r="Y124" s="69">
        <f>RIGHT(D124,LEN(D124)-4)/10000</f>
        <v>23.295200000000001</v>
      </c>
      <c r="Z124" s="69">
        <v>0.03</v>
      </c>
      <c r="AA124" s="69">
        <f>ABS(Z124-Y124)</f>
        <v>23.2652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>IF(LEN(A124)=6,"0"&amp;A124,A124)</f>
        <v>0212-18</v>
      </c>
      <c r="AE124" s="99" t="str">
        <f>"aws s3 cp "&amp;s3_bucket&amp;"/RTDC"&amp;B124&amp;"/"&amp;TEXT(F124,"YYYY-MM-DD")&amp;"/ "&amp;search_path&amp;"\RTDC"&amp;B124&amp;"\"&amp;TEXT(F124,"YYYY-MM-DD")&amp;" --recursive &amp; """&amp;walkandungz&amp;""" "&amp;search_path&amp;"\RTDC"&amp;B124&amp;"\"&amp;TEXT(F124,"YYYY-MM-DD")
&amp;" &amp; "&amp;"aws s3 cp "&amp;s3_bucket&amp;"/RTDC"&amp;B124&amp;"/"&amp;TEXT(F124+1,"YYYY-MM-DD")&amp;"/ "&amp;search_path&amp;"\RTDC"&amp;B124&amp;"\"&amp;TEXT(F124+1,"YYYY-MM-DD")&amp;" --recursive &amp; """&amp;walkandungz&amp;""" "&amp;search_path&amp;"\RTDC"&amp;B124&amp;"\"&amp;TEXT(F124+1,"YYYY-MM-DD")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24" s="96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/stypes="app*4037*20160919*" /stext=" 01:.+((SYSTEM_STATE.+slice.+state.+changed )|(ment ac)|(system.+state.+changed )|(\|lc)|(penalty)|(\[timeout)|(PRM\|1\|D)|(kpr)|(kdp))" /e /r /s</v>
      </c>
      <c r="AG124" s="1" t="str">
        <f>IFERROR(IF(VALUE(LEFT(AD124,2))&lt;=2,"EC",IF(OR(VALUE(LEFT(AD124,2))=8,VALUE(LEFT(AD124,2))=18),"NW","Other")),"Other")</f>
        <v>EC</v>
      </c>
      <c r="AH124" s="100" t="str">
        <f t="shared" si="4"/>
        <v>"%USERPROFILE%\Documents\GitHub\eaglep3\Utilities\RefineRTDCRunTimes.py" --tripid 212-18 --locoid 4037 --swversion DE.1.0.7.0 --startMP 204:232952 --initTime 2016-09-18T18:19:02 --startdatetime 2016-09-18T18:27:02 --delay 1 --endMP 204:138 --enddatetime 2016-09-18T19:05:47 --enforcementcount 0 &gt;&gt;C:\Users\stu\Documents\GitHub\eaglep3-reporting\EC\2016-09-18-refined-times.txt</v>
      </c>
      <c r="AI124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{"issue":{"subject":"","project_id":79,"tracker_id":40,"status_id":1,"priority_id":2,"assigned_to_id":23,"start_date":"2016-09-18","description":"","custom_fields":[{"id":1,"name":"Subdivision","value":"EC"},{"id":4,"name":"Milepost","value":"0.03"},{"id":17,"name":"Train ID","value":"212-18"},{"id":16,"name":"Locomotive ID","value":"4037"},{"id":130,"name":"Impact","value":""},{"id":150,"name":"Time of Event (Mountain Time)","value":"19:05:47"},{"id":151,"name":"Denver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546</v>
      </c>
      <c r="B125" s="7">
        <v>4027</v>
      </c>
      <c r="C125" s="24" t="s">
        <v>106</v>
      </c>
      <c r="D125" s="24" t="s">
        <v>706</v>
      </c>
      <c r="E125" s="15">
        <v>42631.734907407408</v>
      </c>
      <c r="F125" s="15">
        <v>42631.73982638889</v>
      </c>
      <c r="G125" s="7">
        <v>1</v>
      </c>
      <c r="H125" s="15" t="s">
        <v>372</v>
      </c>
      <c r="I125" s="15">
        <v>42631.767604166664</v>
      </c>
      <c r="J125" s="7">
        <v>0</v>
      </c>
      <c r="K125" s="121" t="str">
        <f>IF(ISEVEN(B125),(B125-1)&amp;"/"&amp;B125,B125&amp;"/"&amp;(B125+1))</f>
        <v>4027/4028</v>
      </c>
      <c r="L125" s="24" t="str">
        <f>VLOOKUP(A125,'Trips&amp;Operators'!$C$1:$E$10000,3,FALSE)</f>
        <v>COOLAHAN</v>
      </c>
      <c r="M125" s="6">
        <f>I125-F125</f>
        <v>2.7777777773735579E-2</v>
      </c>
      <c r="N125" s="7">
        <f>24*60*SUM($M125:$M125)</f>
        <v>39.999999994179234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https://search-rtdc-monitor-bjffxe2xuh6vdkpspy63sjmuny.us-east-1.es.amazonaws.com/_plugin/kibana/#/discover/Steve-Slow-Train-Analysis-(2080s-and-2083s)?_g=(refreshInterval:(display:Off,section:0,value:0),time:(from:'2016-09-18 16:38:16-0600',mode:absolute,to:'2016-09-18 19:25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25" s="54" t="str">
        <f>IF(AA125&lt;IF(AG125="EC",23,5.65),"Y","N")</f>
        <v>N</v>
      </c>
      <c r="X125" s="168">
        <f>VALUE(LEFT(AD125,4))-VALUE(LEFT(AD124,4))</f>
        <v>1</v>
      </c>
      <c r="Y125" s="69">
        <f>RIGHT(D125,LEN(D125)-4)/10000</f>
        <v>4.3299999999999998E-2</v>
      </c>
      <c r="Z125" s="69">
        <f>RIGHT(H125,LEN(H125)-4)/10000</f>
        <v>23.320399999999999</v>
      </c>
      <c r="AA125" s="69">
        <f>ABS(Z125-Y125)</f>
        <v>23.277100000000001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>IF(LEN(A125)=6,"0"&amp;A125,A125)</f>
        <v>0213-18</v>
      </c>
      <c r="AE125" s="99" t="str">
        <f>"aws s3 cp "&amp;s3_bucket&amp;"/RTDC"&amp;B125&amp;"/"&amp;TEXT(F125,"YYYY-MM-DD")&amp;"/ "&amp;search_path&amp;"\RTDC"&amp;B125&amp;"\"&amp;TEXT(F125,"YYYY-MM-DD")&amp;" --recursive &amp; """&amp;walkandungz&amp;""" "&amp;search_path&amp;"\RTDC"&amp;B125&amp;"\"&amp;TEXT(F125,"YYYY-MM-DD")
&amp;" &amp; "&amp;"aws s3 cp "&amp;s3_bucket&amp;"/RTDC"&amp;B125&amp;"/"&amp;TEXT(F125+1,"YYYY-MM-DD")&amp;"/ "&amp;search_path&amp;"\RTDC"&amp;B125&amp;"\"&amp;TEXT(F125+1,"YYYY-MM-DD")&amp;" --recursive &amp; """&amp;walkandungz&amp;""" "&amp;search_path&amp;"\RTDC"&amp;B125&amp;"\"&amp;TEXT(F125+1,"YYYY-MM-DD")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25" s="96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/stypes="app*4027*20160919*" /stext=" 00:.+((SYSTEM_STATE.+slice.+state.+changed )|(ment ac)|(system.+state.+changed )|(\|lc)|(penalty)|(\[timeout)|(PRM\|1\|D)|(kpr)|(kdp))" /e /r /s</v>
      </c>
      <c r="AG125" s="1" t="str">
        <f>IFERROR(IF(VALUE(LEFT(AD125,2))&lt;=2,"EC",IF(OR(VALUE(LEFT(AD125,2))=8,VALUE(LEFT(AD125,2))=18),"NW","Other")),"Other")</f>
        <v>EC</v>
      </c>
      <c r="AH125" s="100" t="str">
        <f t="shared" si="4"/>
        <v>"%USERPROFILE%\Documents\GitHub\eaglep3\Utilities\RefineRTDCRunTimes.py" --tripid 213-18 --locoid 4027 --swversion DE.1.0.7.0 --startMP 204:433 --initTime 2016-09-18T17:38:16 --startdatetime 2016-09-18T17:45:21 --delay 1 --endMP 204:233204 --enddatetime 2016-09-18T18:25:21 --enforcementcount 0 &gt;&gt;C:\Users\stu\Documents\GitHub\eaglep3-reporting\EC\2016-09-18-refined-times.txt</v>
      </c>
      <c r="AI125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{"issue":{"subject":"","project_id":79,"tracker_id":40,"status_id":1,"priority_id":2,"assigned_to_id":23,"start_date":"2016-09-18","description":"","custom_fields":[{"id":1,"name":"Subdivision","value":"EC"},{"id":4,"name":"Milepost","value":"23.3204"},{"id":17,"name":"Train ID","value":"213-18"},{"id":16,"name":"Locomotive ID","value":"4027"},{"id":130,"name":"Impact","value":""},{"id":150,"name":"Time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556</v>
      </c>
      <c r="B126" s="7">
        <v>4028</v>
      </c>
      <c r="C126" s="24" t="s">
        <v>106</v>
      </c>
      <c r="D126" s="24" t="s">
        <v>707</v>
      </c>
      <c r="E126" s="15">
        <v>42631.77484953704</v>
      </c>
      <c r="F126" s="15">
        <v>42631.778784722221</v>
      </c>
      <c r="G126" s="7">
        <v>1</v>
      </c>
      <c r="H126" s="15" t="s">
        <v>218</v>
      </c>
      <c r="I126" s="15">
        <v>42631.80431712963</v>
      </c>
      <c r="J126" s="7">
        <v>0</v>
      </c>
      <c r="K126" s="121" t="str">
        <f>IF(ISEVEN(B126),(B126-1)&amp;"/"&amp;B126,B126&amp;"/"&amp;(B126+1))</f>
        <v>4027/4028</v>
      </c>
      <c r="L126" s="24" t="str">
        <f>VLOOKUP(A126,'Trips&amp;Operators'!$C$1:$E$10000,3,FALSE)</f>
        <v>COOLAHAN</v>
      </c>
      <c r="M126" s="6">
        <f>I126-F126</f>
        <v>2.5532407409627922E-2</v>
      </c>
      <c r="N126" s="7">
        <f>24*60*SUM($M126:$M126)</f>
        <v>36.766666669864208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https://search-rtdc-monitor-bjffxe2xuh6vdkpspy63sjmuny.us-east-1.es.amazonaws.com/_plugin/kibana/#/discover/Steve-Slow-Train-Analysis-(2080s-and-2083s)?_g=(refreshInterval:(display:Off,section:0,value:0),time:(from:'2016-09-18 17:35:47-0600',mode:absolute,to:'2016-09-18 20:18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26" s="54" t="str">
        <f>IF(AA126&lt;IF(AG126="EC",23,5.65),"Y","N")</f>
        <v>N</v>
      </c>
      <c r="X126" s="168">
        <f>VALUE(LEFT(AD126,4))-VALUE(LEFT(AD125,4))</f>
        <v>1</v>
      </c>
      <c r="Y126" s="69">
        <f>RIGHT(D126,LEN(D126)-4)/10000</f>
        <v>23.288900000000002</v>
      </c>
      <c r="Z126" s="69">
        <f>RIGHT(H126,LEN(H126)-4)/10000</f>
        <v>1.47E-2</v>
      </c>
      <c r="AA126" s="69">
        <f>ABS(Z126-Y126)</f>
        <v>23.2742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>IF(LEN(A126)=6,"0"&amp;A126,A126)</f>
        <v>0214-18</v>
      </c>
      <c r="AE126" s="99" t="str">
        <f>"aws s3 cp "&amp;s3_bucket&amp;"/RTDC"&amp;B126&amp;"/"&amp;TEXT(F126,"YYYY-MM-DD")&amp;"/ "&amp;search_path&amp;"\RTDC"&amp;B126&amp;"\"&amp;TEXT(F126,"YYYY-MM-DD")&amp;" --recursive &amp; """&amp;walkandungz&amp;""" "&amp;search_path&amp;"\RTDC"&amp;B126&amp;"\"&amp;TEXT(F126,"YYYY-MM-DD")
&amp;" &amp; "&amp;"aws s3 cp "&amp;s3_bucket&amp;"/RTDC"&amp;B126&amp;"/"&amp;TEXT(F126+1,"YYYY-MM-DD")&amp;"/ "&amp;search_path&amp;"\RTDC"&amp;B126&amp;"\"&amp;TEXT(F126+1,"YYYY-MM-DD")&amp;" --recursive &amp; """&amp;walkandungz&amp;""" "&amp;search_path&amp;"\RTDC"&amp;B126&amp;"\"&amp;TEXT(F126+1,"YYYY-MM-DD")</f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26" s="96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/stypes="app*4028*20160919*" /stext=" 01:.+((SYSTEM_STATE.+slice.+state.+changed )|(ment ac)|(system.+state.+changed )|(\|lc)|(penalty)|(\[timeout)|(PRM\|1\|D)|(kpr)|(kdp))" /e /r /s</v>
      </c>
      <c r="AG126" s="1" t="str">
        <f>IFERROR(IF(VALUE(LEFT(AD126,2))&lt;=2,"EC",IF(OR(VALUE(LEFT(AD126,2))=8,VALUE(LEFT(AD126,2))=18),"NW","Other")),"Other")</f>
        <v>EC</v>
      </c>
      <c r="AH126" s="100" t="str">
        <f t="shared" si="4"/>
        <v>"%USERPROFILE%\Documents\GitHub\eaglep3\Utilities\RefineRTDCRunTimes.py" --tripid 214-18 --locoid 4028 --swversion DE.1.0.7.0 --startMP 204:232889 --initTime 2016-09-18T18:35:47 --startdatetime 2016-09-18T18:41:27 --delay 1 --endMP 204:147 --enddatetime 2016-09-18T19:18:13 --enforcementcount 0 &gt;&gt;C:\Users\stu\Documents\GitHub\eaglep3-reporting\EC\2016-09-18-refined-times.txt</v>
      </c>
      <c r="AI126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ID","value":"214-18"},{"id":16,"name":"Locomotive ID","value":"4028"},{"id":130,"name":"Impact","value":""},{"id":150,"name":"Time of Event (Mountain Time)","value":"19:18:13"},{"id":151,"name":"Denver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549</v>
      </c>
      <c r="B127" s="7">
        <v>4020</v>
      </c>
      <c r="C127" s="24" t="s">
        <v>106</v>
      </c>
      <c r="D127" s="24" t="s">
        <v>227</v>
      </c>
      <c r="E127" s="15">
        <v>42631.745092592595</v>
      </c>
      <c r="F127" s="15">
        <v>42631.750208333331</v>
      </c>
      <c r="G127" s="7">
        <v>1</v>
      </c>
      <c r="H127" s="15" t="s">
        <v>708</v>
      </c>
      <c r="I127" s="15">
        <v>42631.775694444441</v>
      </c>
      <c r="J127" s="7">
        <v>0</v>
      </c>
      <c r="K127" s="121" t="str">
        <f>IF(ISEVEN(B127),(B127-1)&amp;"/"&amp;B127,B127&amp;"/"&amp;(B127+1))</f>
        <v>4019/4020</v>
      </c>
      <c r="L127" s="24" t="str">
        <f>VLOOKUP(A127,'Trips&amp;Operators'!$C$1:$E$10000,3,FALSE)</f>
        <v>SHOOK</v>
      </c>
      <c r="M127" s="6">
        <f>I127-F127</f>
        <v>2.548611110978527E-2</v>
      </c>
      <c r="N127" s="7">
        <f>24*60*SUM($M127:$M127)</f>
        <v>36.699999998090789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https://search-rtdc-monitor-bjffxe2xuh6vdkpspy63sjmuny.us-east-1.es.amazonaws.com/_plugin/kibana/#/discover/Steve-Slow-Train-Analysis-(2080s-and-2083s)?_g=(refreshInterval:(display:Off,section:0,value:0),time:(from:'2016-09-18 16:52:56-0600',mode:absolute,to:'2016-09-18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7" s="54" t="str">
        <f>IF(AA127&lt;IF(AG127="EC",23,5.65),"Y","N")</f>
        <v>N</v>
      </c>
      <c r="X127" s="168">
        <f>VALUE(LEFT(AD127,4))-VALUE(LEFT(AD126,4))</f>
        <v>1</v>
      </c>
      <c r="Y127" s="69">
        <f>RIGHT(D127,LEN(D127)-4)/10000</f>
        <v>4.5499999999999999E-2</v>
      </c>
      <c r="Z127" s="69">
        <f>RIGHT(H127,LEN(H127)-4)/10000</f>
        <v>23.338699999999999</v>
      </c>
      <c r="AA127" s="69">
        <f>ABS(Z127-Y127)</f>
        <v>23.293199999999999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>IF(LEN(A127)=6,"0"&amp;A127,A127)</f>
        <v>0215-18</v>
      </c>
      <c r="AE127" s="99" t="str">
        <f>"aws s3 cp "&amp;s3_bucket&amp;"/RTDC"&amp;B127&amp;"/"&amp;TEXT(F127,"YYYY-MM-DD")&amp;"/ "&amp;search_path&amp;"\RTDC"&amp;B127&amp;"\"&amp;TEXT(F127,"YYYY-MM-DD")&amp;" --recursive &amp; """&amp;walkandungz&amp;""" "&amp;search_path&amp;"\RTDC"&amp;B127&amp;"\"&amp;TEXT(F127,"YYYY-MM-DD")
&amp;" &amp; "&amp;"aws s3 cp "&amp;s3_bucket&amp;"/RTDC"&amp;B127&amp;"/"&amp;TEXT(F127+1,"YYYY-MM-DD")&amp;"/ "&amp;search_path&amp;"\RTDC"&amp;B127&amp;"\"&amp;TEXT(F127+1,"YYYY-MM-DD")&amp;" --recursive &amp; """&amp;walkandungz&amp;""" "&amp;search_path&amp;"\RTDC"&amp;B127&amp;"\"&amp;TEXT(F127+1,"YYYY-MM-DD")</f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127" s="96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/stypes="app*4020*20160919*" /stext=" 00:.+((SYSTEM_STATE.+slice.+state.+changed )|(ment ac)|(system.+state.+changed )|(\|lc)|(penalty)|(\[timeout)|(PRM\|1\|D)|(kpr)|(kdp))" /e /r /s</v>
      </c>
      <c r="AG127" s="1" t="str">
        <f>IFERROR(IF(VALUE(LEFT(AD127,2))&lt;=2,"EC",IF(OR(VALUE(LEFT(AD127,2))=8,VALUE(LEFT(AD127,2))=18),"NW","Other")),"Other")</f>
        <v>EC</v>
      </c>
      <c r="AH127" s="100" t="str">
        <f t="shared" si="4"/>
        <v>"%USERPROFILE%\Documents\GitHub\eaglep3\Utilities\RefineRTDCRunTimes.py" --tripid 215-18 --locoid 4020 --swversion DE.1.0.7.0 --startMP 204:455 --initTime 2016-09-18T17:52:56 --startdatetime 2016-09-18T18:00:18 --delay 1 --endMP 204:233387 --enddatetime 2016-09-18T18:37:00 --enforcementcount 0 &gt;&gt;C:\Users\stu\Documents\GitHub\eaglep3-reporting\EC\2016-09-18-refined-times.txt</v>
      </c>
      <c r="AI127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{"issue":{"subject":"","project_id":79,"tracker_id":40,"status_id":1,"priority_id":2,"assigned_to_id":23,"start_date":"2016-09-18","description":"","custom_fields":[{"id":1,"name":"Subdivision","value":"EC"},{"id":4,"name":"Milepost","value":"23.3387"},{"id":17,"name":"Train ID","value":"215-18"},{"id":16,"name":"Locomotive ID","value":"4020"},{"id":130,"name":"Impact","value":""},{"id":150,"name":"Time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559</v>
      </c>
      <c r="B128" s="7">
        <v>4019</v>
      </c>
      <c r="C128" s="24" t="s">
        <v>106</v>
      </c>
      <c r="D128" s="24" t="s">
        <v>709</v>
      </c>
      <c r="E128" s="15">
        <v>42631.783483796295</v>
      </c>
      <c r="F128" s="15">
        <v>42631.789120370369</v>
      </c>
      <c r="G128" s="7">
        <v>1</v>
      </c>
      <c r="H128" s="15" t="s">
        <v>218</v>
      </c>
      <c r="I128" s="15">
        <v>42631.816932870373</v>
      </c>
      <c r="J128" s="7">
        <v>0</v>
      </c>
      <c r="K128" s="121" t="str">
        <f>IF(ISEVEN(B128),(B128-1)&amp;"/"&amp;B128,B128&amp;"/"&amp;(B128+1))</f>
        <v>4019/4020</v>
      </c>
      <c r="L128" s="24" t="str">
        <f>VLOOKUP(A128,'Trips&amp;Operators'!$C$1:$E$10000,3,FALSE)</f>
        <v>SHOOK</v>
      </c>
      <c r="M128" s="6">
        <f>I128-F128</f>
        <v>2.7812500004074536E-2</v>
      </c>
      <c r="N128" s="7">
        <f>24*60*SUM($M128:$M128)</f>
        <v>40.050000005867332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https://search-rtdc-monitor-bjffxe2xuh6vdkpspy63sjmuny.us-east-1.es.amazonaws.com/_plugin/kibana/#/discover/Steve-Slow-Train-Analysis-(2080s-and-2083s)?_g=(refreshInterval:(display:Off,section:0,value:0),time:(from:'2016-09-18 17:48:13-0600',mode:absolute,to:'2016-09-18 20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8" s="54" t="str">
        <f>IF(AA128&lt;IF(AG128="EC",23,5.65),"Y","N")</f>
        <v>N</v>
      </c>
      <c r="X128" s="168">
        <f>VALUE(LEFT(AD128,4))-VALUE(LEFT(AD127,4))</f>
        <v>1</v>
      </c>
      <c r="Y128" s="69">
        <f>RIGHT(D128,LEN(D128)-4)/10000</f>
        <v>23.303000000000001</v>
      </c>
      <c r="Z128" s="69">
        <f>RIGHT(H128,LEN(H128)-4)/10000</f>
        <v>1.47E-2</v>
      </c>
      <c r="AA128" s="69">
        <f>ABS(Z128-Y128)</f>
        <v>23.2883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>IF(LEN(A128)=6,"0"&amp;A128,A128)</f>
        <v>0216-18</v>
      </c>
      <c r="AE128" s="99" t="str">
        <f>"aws s3 cp "&amp;s3_bucket&amp;"/RTDC"&amp;B128&amp;"/"&amp;TEXT(F128,"YYYY-MM-DD")&amp;"/ "&amp;search_path&amp;"\RTDC"&amp;B128&amp;"\"&amp;TEXT(F128,"YYYY-MM-DD")&amp;" --recursive &amp; """&amp;walkandungz&amp;""" "&amp;search_path&amp;"\RTDC"&amp;B128&amp;"\"&amp;TEXT(F128,"YYYY-MM-DD")
&amp;" &amp; "&amp;"aws s3 cp "&amp;s3_bucket&amp;"/RTDC"&amp;B128&amp;"/"&amp;TEXT(F128+1,"YYYY-MM-DD")&amp;"/ "&amp;search_path&amp;"\RTDC"&amp;B128&amp;"\"&amp;TEXT(F128+1,"YYYY-MM-DD")&amp;" --recursive &amp; """&amp;walkandungz&amp;""" "&amp;search_path&amp;"\RTDC"&amp;B128&amp;"\"&amp;TEXT(F128+1,"YYYY-MM-DD")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28" s="96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/stypes="app*4019*20160919*" /stext=" 01:.+((SYSTEM_STATE.+slice.+state.+changed )|(ment ac)|(system.+state.+changed )|(\|lc)|(penalty)|(\[timeout)|(PRM\|1\|D)|(kpr)|(kdp))" /e /r /s</v>
      </c>
      <c r="AG128" s="1" t="str">
        <f>IFERROR(IF(VALUE(LEFT(AD128,2))&lt;=2,"EC",IF(OR(VALUE(LEFT(AD128,2))=8,VALUE(LEFT(AD128,2))=18),"NW","Other")),"Other")</f>
        <v>EC</v>
      </c>
      <c r="AH128" s="100" t="str">
        <f t="shared" si="4"/>
        <v>"%USERPROFILE%\Documents\GitHub\eaglep3\Utilities\RefineRTDCRunTimes.py" --tripid 216-18 --locoid 4019 --swversion DE.1.0.7.0 --startMP 204:233030 --initTime 2016-09-18T18:48:13 --startdatetime 2016-09-18T18:56:20 --delay 1 --endMP 204:147 --enddatetime 2016-09-18T19:36:23 --enforcementcount 0 &gt;&gt;C:\Users\stu\Documents\GitHub\eaglep3-reporting\EC\2016-09-18-refined-times.txt</v>
      </c>
      <c r="AI128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ID","value":"216-18"},{"id":16,"name":"Locomotive ID","value":"4019"},{"id":130,"name":"Impact","value":""},{"id":150,"name":"Time of Event (Mountain Time)","value":"19:36:23"},{"id":151,"name":"Denver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553</v>
      </c>
      <c r="B129" s="7">
        <v>4016</v>
      </c>
      <c r="C129" s="24" t="s">
        <v>106</v>
      </c>
      <c r="D129" s="24" t="s">
        <v>246</v>
      </c>
      <c r="E129" s="15">
        <v>42631.756041666667</v>
      </c>
      <c r="F129" s="15">
        <v>42631.760763888888</v>
      </c>
      <c r="G129" s="7">
        <v>1</v>
      </c>
      <c r="H129" s="15" t="s">
        <v>329</v>
      </c>
      <c r="I129" s="15">
        <v>42631.785509259258</v>
      </c>
      <c r="J129" s="7">
        <v>0</v>
      </c>
      <c r="K129" s="121" t="str">
        <f>IF(ISEVEN(B129),(B129-1)&amp;"/"&amp;B129,B129&amp;"/"&amp;(B129+1))</f>
        <v>4015/4016</v>
      </c>
      <c r="L129" s="24" t="str">
        <f>VLOOKUP(A129,'Trips&amp;Operators'!$C$1:$E$10000,3,FALSE)</f>
        <v>NEWELL</v>
      </c>
      <c r="M129" s="6">
        <f>I129-F129</f>
        <v>2.47453703705105E-2</v>
      </c>
      <c r="N129" s="7">
        <f>24*60*SUM($M129:$M129)</f>
        <v>35.63333333353512</v>
      </c>
      <c r="O129" s="7"/>
      <c r="P129" s="7"/>
      <c r="Q129" s="25"/>
      <c r="R129" s="25"/>
      <c r="S129" s="37">
        <f>SUM(U129:U129)/IF(AG129="EC",12,1)</f>
        <v>1</v>
      </c>
      <c r="T129" s="52" t="str">
        <f>IF(ISEVEN(LEFT(AD129,4)),"Southbound","NorthBound")</f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https://search-rtdc-monitor-bjffxe2xuh6vdkpspy63sjmuny.us-east-1.es.amazonaws.com/_plugin/kibana/#/discover/Steve-Slow-Train-Analysis-(2080s-and-2083s)?_g=(refreshInterval:(display:Off,section:0,value:0),time:(from:'2016-09-18 17:08:42-0600',mode:absolute,to:'2016-09-18 19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9" s="54" t="str">
        <f>IF(AA129&lt;IF(AG129="EC",23,5.65),"Y","N")</f>
        <v>N</v>
      </c>
      <c r="X129" s="168">
        <f>VALUE(LEFT(AD129,4))-VALUE(LEFT(AD128,4))</f>
        <v>1</v>
      </c>
      <c r="Y129" s="69">
        <f>RIGHT(D129,LEN(D129)-4)/10000</f>
        <v>4.7500000000000001E-2</v>
      </c>
      <c r="Z129" s="69">
        <f>RIGHT(H129,LEN(H129)-4)/10000</f>
        <v>23.325900000000001</v>
      </c>
      <c r="AA129" s="69">
        <f>ABS(Z129-Y129)</f>
        <v>23.278400000000001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>IF(LEN(A129)=6,"0"&amp;A129,A129)</f>
        <v>0217-18</v>
      </c>
      <c r="AE129" s="99" t="str">
        <f>"aws s3 cp "&amp;s3_bucket&amp;"/RTDC"&amp;B129&amp;"/"&amp;TEXT(F129,"YYYY-MM-DD")&amp;"/ "&amp;search_path&amp;"\RTDC"&amp;B129&amp;"\"&amp;TEXT(F129,"YYYY-MM-DD")&amp;" --recursive &amp; """&amp;walkandungz&amp;""" "&amp;search_path&amp;"\RTDC"&amp;B129&amp;"\"&amp;TEXT(F129,"YYYY-MM-DD")
&amp;" &amp; "&amp;"aws s3 cp "&amp;s3_bucket&amp;"/RTDC"&amp;B129&amp;"/"&amp;TEXT(F129+1,"YYYY-MM-DD")&amp;"/ "&amp;search_path&amp;"\RTDC"&amp;B129&amp;"\"&amp;TEXT(F129+1,"YYYY-MM-DD")&amp;" --recursive &amp; """&amp;walkandungz&amp;""" "&amp;search_path&amp;"\RTDC"&amp;B129&amp;"\"&amp;TEXT(F129+1,"YYYY-MM-DD")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29" s="96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/stypes="app*4016*20160919*" /stext=" 00:.+((SYSTEM_STATE.+slice.+state.+changed )|(ment ac)|(system.+state.+changed )|(\|lc)|(penalty)|(\[timeout)|(PRM\|1\|D)|(kpr)|(kdp))" /e /r /s</v>
      </c>
      <c r="AG129" s="1" t="str">
        <f>IFERROR(IF(VALUE(LEFT(AD129,2))&lt;=2,"EC",IF(OR(VALUE(LEFT(AD129,2))=8,VALUE(LEFT(AD129,2))=18),"NW","Other")),"Other")</f>
        <v>EC</v>
      </c>
      <c r="AH129" s="100" t="str">
        <f t="shared" si="4"/>
        <v>"%USERPROFILE%\Documents\GitHub\eaglep3\Utilities\RefineRTDCRunTimes.py" --tripid 217-18 --locoid 4016 --swversion DE.1.0.7.0 --startMP 204:475 --initTime 2016-09-18T18:08:42 --startdatetime 2016-09-18T18:15:30 --delay 1 --endMP 204:233259 --enddatetime 2016-09-18T18:51:08 --enforcementcount 0 &gt;&gt;C:\Users\stu\Documents\GitHub\eaglep3-reporting\EC\2016-09-18-refined-times.txt</v>
      </c>
      <c r="AI129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{"issue":{"subject":"","project_id":79,"tracker_id":40,"status_id":1,"priority_id":2,"assigned_to_id":23,"start_date":"2016-09-18","description":"","custom_fields":[{"id":1,"name":"Subdivision","value":"EC"},{"id":4,"name":"Milepost","value":"23.3259"},{"id":17,"name":"Train ID","value":"217-18"},{"id":16,"name":"Locomotive ID","value":"4016"},{"id":130,"name":"Impact","value":""},{"id":150,"name":"Time of Event (Mountain Time)","value":"18:51:08"},{"id":151,"name":"Denver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561</v>
      </c>
      <c r="B130" s="7">
        <v>4015</v>
      </c>
      <c r="C130" s="24" t="s">
        <v>106</v>
      </c>
      <c r="D130" s="24" t="s">
        <v>257</v>
      </c>
      <c r="E130" s="15">
        <v>42631.78701388889</v>
      </c>
      <c r="F130" s="15">
        <v>42631.805277777778</v>
      </c>
      <c r="G130" s="7">
        <v>1</v>
      </c>
      <c r="H130" s="15" t="s">
        <v>274</v>
      </c>
      <c r="I130" s="15">
        <v>42631.826886574076</v>
      </c>
      <c r="J130" s="7">
        <v>0</v>
      </c>
      <c r="K130" s="121" t="str">
        <f>IF(ISEVEN(B130),(B130-1)&amp;"/"&amp;B130,B130&amp;"/"&amp;(B130+1))</f>
        <v>4015/4016</v>
      </c>
      <c r="L130" s="24" t="str">
        <f>VLOOKUP(A130,'Trips&amp;Operators'!$C$1:$E$10000,3,FALSE)</f>
        <v>NEWELL</v>
      </c>
      <c r="M130" s="6">
        <f>I130-F130</f>
        <v>2.1608796298096422E-2</v>
      </c>
      <c r="N130" s="7">
        <f>24*60*SUM($M130:$M130)</f>
        <v>31.116666669258848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https://search-rtdc-monitor-bjffxe2xuh6vdkpspy63sjmuny.us-east-1.es.amazonaws.com/_plugin/kibana/#/discover/Steve-Slow-Train-Analysis-(2080s-and-2083s)?_g=(refreshInterval:(display:Off,section:0,value:0),time:(from:'2016-09-18 17:53:18-0600',mode:absolute,to:'2016-09-18 20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0" s="54" t="str">
        <f>IF(AA130&lt;IF(AG130="EC",23,5.65),"Y","N")</f>
        <v>N</v>
      </c>
      <c r="X130" s="168">
        <f>VALUE(LEFT(AD130,4))-VALUE(LEFT(AD129,4))</f>
        <v>1</v>
      </c>
      <c r="Y130" s="69">
        <f>RIGHT(D130,LEN(D130)-4)/10000</f>
        <v>23.295500000000001</v>
      </c>
      <c r="Z130" s="69">
        <f>RIGHT(H130,LEN(H130)-4)/10000</f>
        <v>1.7000000000000001E-2</v>
      </c>
      <c r="AA130" s="69">
        <f>ABS(Z130-Y130)</f>
        <v>23.278500000000001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>IF(LEN(A130)=6,"0"&amp;A130,A130)</f>
        <v>0218-18</v>
      </c>
      <c r="AE130" s="99" t="str">
        <f>"aws s3 cp "&amp;s3_bucket&amp;"/RTDC"&amp;B130&amp;"/"&amp;TEXT(F130,"YYYY-MM-DD")&amp;"/ "&amp;search_path&amp;"\RTDC"&amp;B130&amp;"\"&amp;TEXT(F130,"YYYY-MM-DD")&amp;" --recursive &amp; """&amp;walkandungz&amp;""" "&amp;search_path&amp;"\RTDC"&amp;B130&amp;"\"&amp;TEXT(F130,"YYYY-MM-DD")
&amp;" &amp; "&amp;"aws s3 cp "&amp;s3_bucket&amp;"/RTDC"&amp;B130&amp;"/"&amp;TEXT(F130+1,"YYYY-MM-DD")&amp;"/ "&amp;search_path&amp;"\RTDC"&amp;B130&amp;"\"&amp;TEXT(F130+1,"YYYY-MM-DD")&amp;" --recursive &amp; """&amp;walkandungz&amp;""" "&amp;search_path&amp;"\RTDC"&amp;B130&amp;"\"&amp;TEXT(F130+1,"YYYY-MM-DD")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30" s="96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/stypes="app*4015*20160919*" /stext=" 01:.+((SYSTEM_STATE.+slice.+state.+changed )|(ment ac)|(system.+state.+changed )|(\|lc)|(penalty)|(\[timeout)|(PRM\|1\|D)|(kpr)|(kdp))" /e /r /s</v>
      </c>
      <c r="AG130" s="1" t="str">
        <f>IFERROR(IF(VALUE(LEFT(AD130,2))&lt;=2,"EC",IF(OR(VALUE(LEFT(AD130,2))=8,VALUE(LEFT(AD130,2))=18),"NW","Other")),"Other")</f>
        <v>EC</v>
      </c>
      <c r="AH130" s="100" t="str">
        <f t="shared" si="4"/>
        <v>"%USERPROFILE%\Documents\GitHub\eaglep3\Utilities\RefineRTDCRunTimes.py" --tripid 218-18 --locoid 4015 --swversion DE.1.0.7.0 --startMP 204:232955 --initTime 2016-09-18T18:53:18 --startdatetime 2016-09-18T19:19:36 --delay 1 --endMP 204:170 --enddatetime 2016-09-18T19:50:43 --enforcementcount 0 &gt;&gt;C:\Users\stu\Documents\GitHub\eaglep3-reporting\EC\2016-09-18-refined-times.txt</v>
      </c>
      <c r="AI130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{"issue":{"subject":"","project_id":79,"tracker_id":40,"status_id":1,"priority_id":2,"assigned_to_id":23,"start_date":"2016-09-18","description":"","custom_fields":[{"id":1,"name":"Subdivision","value":"EC"},{"id":4,"name":"Milepost","value":"0.017"},{"id":17,"name":"Train ID","value":"218-18"},{"id":16,"name":"Locomotive ID","value":"4015"},{"id":130,"name":"Impact","value":""},{"id":150,"name":"Time of Event (Mountain Time)","value":"19:50:43"},{"id":151,"name":"Denver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555</v>
      </c>
      <c r="B131" s="7">
        <v>4009</v>
      </c>
      <c r="C131" s="24" t="s">
        <v>106</v>
      </c>
      <c r="D131" s="24" t="s">
        <v>236</v>
      </c>
      <c r="E131" s="15">
        <v>42631.769537037035</v>
      </c>
      <c r="F131" s="15">
        <v>42631.771516203706</v>
      </c>
      <c r="G131" s="7">
        <v>2</v>
      </c>
      <c r="H131" s="15" t="s">
        <v>612</v>
      </c>
      <c r="I131" s="15">
        <v>42631.796319444446</v>
      </c>
      <c r="J131" s="7">
        <v>0</v>
      </c>
      <c r="K131" s="121" t="str">
        <f>IF(ISEVEN(B131),(B131-1)&amp;"/"&amp;B131,B131&amp;"/"&amp;(B131+1))</f>
        <v>4009/4010</v>
      </c>
      <c r="L131" s="24" t="str">
        <f>VLOOKUP(A131,'Trips&amp;Operators'!$C$1:$E$10000,3,FALSE)</f>
        <v>CHANDLER</v>
      </c>
      <c r="M131" s="6">
        <f>I131-F131</f>
        <v>2.4803240739856847E-2</v>
      </c>
      <c r="N131" s="7">
        <f>24*60*SUM($M131:$M131)</f>
        <v>35.716666665393859</v>
      </c>
      <c r="O131" s="7"/>
      <c r="P131" s="7"/>
      <c r="Q131" s="25"/>
      <c r="R131" s="25"/>
      <c r="S131" s="37">
        <f>SUM(U131:U131)/IF(AG131="EC",12,1)</f>
        <v>1</v>
      </c>
      <c r="T131" s="52" t="str">
        <f>IF(ISEVEN(LEFT(AD131,4)),"Southbound","NorthBound")</f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https://search-rtdc-monitor-bjffxe2xuh6vdkpspy63sjmuny.us-east-1.es.amazonaws.com/_plugin/kibana/#/discover/Steve-Slow-Train-Analysis-(2080s-and-2083s)?_g=(refreshInterval:(display:Off,section:0,value:0),time:(from:'2016-09-18 17:28:08-0600',mode:absolute,to:'2016-09-18 20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1" s="54" t="str">
        <f>IF(AA131&lt;IF(AG131="EC",23,5.65),"Y","N")</f>
        <v>N</v>
      </c>
      <c r="X131" s="168">
        <f>VALUE(LEFT(AD131,4))-VALUE(LEFT(AD130,4))</f>
        <v>1</v>
      </c>
      <c r="Y131" s="69">
        <f>RIGHT(D131,LEN(D131)-4)/10000</f>
        <v>4.5999999999999999E-2</v>
      </c>
      <c r="Z131" s="69">
        <f>RIGHT(H131,LEN(H131)-4)/10000</f>
        <v>23.329499999999999</v>
      </c>
      <c r="AA131" s="69">
        <f>ABS(Z131-Y131)</f>
        <v>23.2835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>IF(LEN(A131)=6,"0"&amp;A131,A131)</f>
        <v>0219-18</v>
      </c>
      <c r="AE131" s="99" t="str">
        <f>"aws s3 cp "&amp;s3_bucket&amp;"/RTDC"&amp;B131&amp;"/"&amp;TEXT(F131,"YYYY-MM-DD")&amp;"/ "&amp;search_path&amp;"\RTDC"&amp;B131&amp;"\"&amp;TEXT(F131,"YYYY-MM-DD")&amp;" --recursive &amp; """&amp;walkandungz&amp;""" "&amp;search_path&amp;"\RTDC"&amp;B131&amp;"\"&amp;TEXT(F131,"YYYY-MM-DD")
&amp;" &amp; "&amp;"aws s3 cp "&amp;s3_bucket&amp;"/RTDC"&amp;B131&amp;"/"&amp;TEXT(F131+1,"YYYY-MM-DD")&amp;"/ "&amp;search_path&amp;"\RTDC"&amp;B131&amp;"\"&amp;TEXT(F131+1,"YYYY-MM-DD")&amp;" --recursive &amp; """&amp;walkandungz&amp;""" "&amp;search_path&amp;"\RTDC"&amp;B131&amp;"\"&amp;TEXT(F131+1,"YYYY-MM-DD")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31" s="96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/stypes="app*4009*20160919*" /stext=" 01:.+((SYSTEM_STATE.+slice.+state.+changed )|(ment ac)|(system.+state.+changed )|(\|lc)|(penalty)|(\[timeout)|(PRM\|1\|D)|(kpr)|(kdp))" /e /r /s</v>
      </c>
      <c r="AG131" s="1" t="str">
        <f>IFERROR(IF(VALUE(LEFT(AD131,2))&lt;=2,"EC",IF(OR(VALUE(LEFT(AD131,2))=8,VALUE(LEFT(AD131,2))=18),"NW","Other")),"Other")</f>
        <v>EC</v>
      </c>
      <c r="AH131" s="100" t="str">
        <f t="shared" si="4"/>
        <v>"%USERPROFILE%\Documents\GitHub\eaglep3\Utilities\RefineRTDCRunTimes.py" --tripid 219-18 --locoid 4009 --swversion DE.1.0.7.0 --startMP 204:460 --initTime 2016-09-18T18:28:08 --startdatetime 2016-09-18T18:30:59 --delay 2 --endMP 204:233295 --enddatetime 2016-09-18T19:06:42 --enforcementcount 0 &gt;&gt;C:\Users\stu\Documents\GitHub\eaglep3-reporting\EC\2016-09-18-refined-times.txt</v>
      </c>
      <c r="AI131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{"issue":{"subject":"","project_id":79,"tracker_id":40,"status_id":1,"priority_id":2,"assigned_to_id":23,"start_date":"2016-09-18","description":"","custom_fields":[{"id":1,"name":"Subdivision","value":"EC"},{"id":4,"name":"Milepost","value":"23.3295"},{"id":17,"name":"Train ID","value":"219-18"},{"id":16,"name":"Locomotive ID","value":"4009"},{"id":130,"name":"Impact","value":""},{"id":150,"name":"Time of Event (Mountain Time)","value":"19:06:42"},{"id":151,"name":"Denver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563</v>
      </c>
      <c r="B132" s="7">
        <v>4010</v>
      </c>
      <c r="C132" s="24" t="s">
        <v>106</v>
      </c>
      <c r="D132" s="24" t="s">
        <v>267</v>
      </c>
      <c r="E132" s="15">
        <v>42631.808287037034</v>
      </c>
      <c r="F132" s="15">
        <v>42631.81013888889</v>
      </c>
      <c r="G132" s="7">
        <v>2</v>
      </c>
      <c r="H132" s="15" t="s">
        <v>215</v>
      </c>
      <c r="I132" s="15">
        <v>42631.837893518517</v>
      </c>
      <c r="J132" s="7">
        <v>0</v>
      </c>
      <c r="K132" s="121" t="str">
        <f>IF(ISEVEN(B132),(B132-1)&amp;"/"&amp;B132,B132&amp;"/"&amp;(B132+1))</f>
        <v>4009/4010</v>
      </c>
      <c r="L132" s="24" t="str">
        <f>VLOOKUP(A132,'Trips&amp;Operators'!$C$1:$E$10000,3,FALSE)</f>
        <v>CHANDLER</v>
      </c>
      <c r="M132" s="6">
        <f>I132-F132</f>
        <v>2.7754629627452232E-2</v>
      </c>
      <c r="N132" s="7">
        <f>24*60*SUM($M132:$M132)</f>
        <v>39.966666663531214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https://search-rtdc-monitor-bjffxe2xuh6vdkpspy63sjmuny.us-east-1.es.amazonaws.com/_plugin/kibana/#/discover/Steve-Slow-Train-Analysis-(2080s-and-2083s)?_g=(refreshInterval:(display:Off,section:0,value:0),time:(from:'2016-09-18 18:23:56-0600',mode:absolute,to:'2016-09-18 21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2" s="54" t="str">
        <f>IF(AA132&lt;IF(AG132="EC",23,5.65),"Y","N")</f>
        <v>N</v>
      </c>
      <c r="X132" s="168">
        <f>VALUE(LEFT(AD132,4))-VALUE(LEFT(AD131,4))</f>
        <v>1</v>
      </c>
      <c r="Y132" s="69">
        <f>RIGHT(D132,LEN(D132)-4)/10000</f>
        <v>23.297499999999999</v>
      </c>
      <c r="Z132" s="69">
        <f>RIGHT(H132,LEN(H132)-4)/10000</f>
        <v>1.6299999999999999E-2</v>
      </c>
      <c r="AA132" s="69">
        <f>ABS(Z132-Y132)</f>
        <v>23.281199999999998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>IF(LEN(A132)=6,"0"&amp;A132,A132)</f>
        <v>0220-18</v>
      </c>
      <c r="AE132" s="99" t="str">
        <f>"aws s3 cp "&amp;s3_bucket&amp;"/RTDC"&amp;B132&amp;"/"&amp;TEXT(F132,"YYYY-MM-DD")&amp;"/ "&amp;search_path&amp;"\RTDC"&amp;B132&amp;"\"&amp;TEXT(F132,"YYYY-MM-DD")&amp;" --recursive &amp; """&amp;walkandungz&amp;""" "&amp;search_path&amp;"\RTDC"&amp;B132&amp;"\"&amp;TEXT(F132,"YYYY-MM-DD")
&amp;" &amp; "&amp;"aws s3 cp "&amp;s3_bucket&amp;"/RTDC"&amp;B132&amp;"/"&amp;TEXT(F132+1,"YYYY-MM-DD")&amp;"/ "&amp;search_path&amp;"\RTDC"&amp;B132&amp;"\"&amp;TEXT(F132+1,"YYYY-MM-DD")&amp;" --recursive &amp; """&amp;walkandungz&amp;""" "&amp;search_path&amp;"\RTDC"&amp;B132&amp;"\"&amp;TEXT(F132+1,"YYYY-MM-DD")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32" s="96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/stypes="app*4010*20160919*" /stext=" 02:.+((SYSTEM_STATE.+slice.+state.+changed )|(ment ac)|(system.+state.+changed )|(\|lc)|(penalty)|(\[timeout)|(PRM\|1\|D)|(kpr)|(kdp))" /e /r /s</v>
      </c>
      <c r="AG132" s="1" t="str">
        <f>IFERROR(IF(VALUE(LEFT(AD132,2))&lt;=2,"EC",IF(OR(VALUE(LEFT(AD132,2))=8,VALUE(LEFT(AD132,2))=18),"NW","Other")),"Other")</f>
        <v>EC</v>
      </c>
      <c r="AH132" s="100" t="str">
        <f t="shared" si="4"/>
        <v>"%USERPROFILE%\Documents\GitHub\eaglep3\Utilities\RefineRTDCRunTimes.py" --tripid 220-18 --locoid 4010 --swversion DE.1.0.7.0 --startMP 204:232975 --initTime 2016-09-18T19:23:56 --startdatetime 2016-09-18T19:26:36 --delay 2 --endMP 204:163 --enddatetime 2016-09-18T20:06:34 --enforcementcount 0 &gt;&gt;C:\Users\stu\Documents\GitHub\eaglep3-reporting\EC\2016-09-18-refined-times.txt</v>
      </c>
      <c r="AI132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{"issue":{"subject":"","project_id":79,"tracker_id":40,"status_id":1,"priority_id":2,"assigned_to_id":23,"start_date":"2016-09-18","description":"","custom_fields":[{"id":1,"name":"Subdivision","value":"EC"},{"id":4,"name":"Milepost","value":"0.0163"},{"id":17,"name":"Train ID","value":"220-18"},{"id":16,"name":"Locomotive ID","value":"4010"},{"id":130,"name":"Impact","value":""},{"id":150,"name":"Time of Event (Mountain Time)","value":"20:06:34"},{"id":151,"name":"Denver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560</v>
      </c>
      <c r="B133" s="7">
        <v>4044</v>
      </c>
      <c r="C133" s="24" t="s">
        <v>106</v>
      </c>
      <c r="D133" s="24" t="s">
        <v>223</v>
      </c>
      <c r="E133" s="15">
        <v>42631.786909722221</v>
      </c>
      <c r="F133" s="15">
        <v>42631.8047337963</v>
      </c>
      <c r="G133" s="7">
        <v>1</v>
      </c>
      <c r="H133" s="15" t="s">
        <v>612</v>
      </c>
      <c r="I133" s="15">
        <v>42631.818043981482</v>
      </c>
      <c r="J133" s="7">
        <v>0</v>
      </c>
      <c r="K133" s="121" t="str">
        <f>IF(ISEVEN(B133),(B133-1)&amp;"/"&amp;B133,B133&amp;"/"&amp;(B133+1))</f>
        <v>4043/4044</v>
      </c>
      <c r="L133" s="24" t="str">
        <f>VLOOKUP(A133,'Trips&amp;Operators'!$C$1:$E$10000,3,FALSE)</f>
        <v>LEVERE</v>
      </c>
      <c r="M133" s="6">
        <f>I133-F133</f>
        <v>1.3310185182490386E-2</v>
      </c>
      <c r="N133" s="7">
        <f>24*60*SUM($M133:$M133)</f>
        <v>19.166666662786156</v>
      </c>
      <c r="O133" s="7"/>
      <c r="P133" s="7"/>
      <c r="Q133" s="25"/>
      <c r="R133" s="25"/>
      <c r="S133" s="37">
        <f>SUM(U133:U133)/IF(AG133="EC",12,1)</f>
        <v>1</v>
      </c>
      <c r="T133" s="52" t="str">
        <f>IF(ISEVEN(LEFT(AD133,4)),"Southbound","NorthBound")</f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https://search-rtdc-monitor-bjffxe2xuh6vdkpspy63sjmuny.us-east-1.es.amazonaws.com/_plugin/kibana/#/discover/Steve-Slow-Train-Analysis-(2080s-and-2083s)?_g=(refreshInterval:(display:Off,section:0,value:0),time:(from:'2016-09-18 17:53:09-0600',mode:absolute,to:'2016-09-18 20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3" s="54" t="str">
        <f>IF(AA133&lt;IF(AG133="EC",23,5.65),"Y","N")</f>
        <v>N</v>
      </c>
      <c r="X133" s="168">
        <f>VALUE(LEFT(AD133,4))-VALUE(LEFT(AD132,4))</f>
        <v>1</v>
      </c>
      <c r="Y133" s="69">
        <f>RIGHT(D133,LEN(D133)-4)/10000</f>
        <v>4.5699999999999998E-2</v>
      </c>
      <c r="Z133" s="69">
        <f>RIGHT(H133,LEN(H133)-4)/10000</f>
        <v>23.329499999999999</v>
      </c>
      <c r="AA133" s="69">
        <f>ABS(Z133-Y133)</f>
        <v>23.283799999999999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>IF(LEN(A133)=6,"0"&amp;A133,A133)</f>
        <v>0221-18</v>
      </c>
      <c r="AE133" s="99" t="str">
        <f>"aws s3 cp "&amp;s3_bucket&amp;"/RTDC"&amp;B133&amp;"/"&amp;TEXT(F133,"YYYY-MM-DD")&amp;"/ "&amp;search_path&amp;"\RTDC"&amp;B133&amp;"\"&amp;TEXT(F133,"YYYY-MM-DD")&amp;" --recursive &amp; """&amp;walkandungz&amp;""" "&amp;search_path&amp;"\RTDC"&amp;B133&amp;"\"&amp;TEXT(F133,"YYYY-MM-DD")
&amp;" &amp; "&amp;"aws s3 cp "&amp;s3_bucket&amp;"/RTDC"&amp;B133&amp;"/"&amp;TEXT(F133+1,"YYYY-MM-DD")&amp;"/ "&amp;search_path&amp;"\RTDC"&amp;B133&amp;"\"&amp;TEXT(F133+1,"YYYY-MM-DD")&amp;" --recursive &amp; """&amp;walkandungz&amp;""" "&amp;search_path&amp;"\RTDC"&amp;B133&amp;"\"&amp;TEXT(F133+1,"YYYY-MM-DD")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33" s="96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/stypes="app*4044*20160919*" /stext=" 01:.+((SYSTEM_STATE.+slice.+state.+changed )|(ment ac)|(system.+state.+changed )|(\|lc)|(penalty)|(\[timeout)|(PRM\|1\|D)|(kpr)|(kdp))" /e /r /s</v>
      </c>
      <c r="AG133" s="1" t="str">
        <f>IFERROR(IF(VALUE(LEFT(AD133,2))&lt;=2,"EC",IF(OR(VALUE(LEFT(AD133,2))=8,VALUE(LEFT(AD133,2))=18),"NW","Other")),"Other")</f>
        <v>EC</v>
      </c>
      <c r="AH133" s="100" t="str">
        <f t="shared" si="4"/>
        <v>"%USERPROFILE%\Documents\GitHub\eaglep3\Utilities\RefineRTDCRunTimes.py" --tripid 221-18 --locoid 4044 --swversion DE.1.0.7.0 --startMP 204:457 --initTime 2016-09-18T18:53:09 --startdatetime 2016-09-18T19:18:49 --delay 1 --endMP 204:233295 --enddatetime 2016-09-18T19:37:59 --enforcementcount 0 &gt;&gt;C:\Users\stu\Documents\GitHub\eaglep3-reporting\EC\2016-09-18-refined-times.txt</v>
      </c>
      <c r="AI133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{"issue":{"subject":"","project_id":79,"tracker_id":40,"status_id":1,"priority_id":2,"assigned_to_id":23,"start_date":"2016-09-18","description":"","custom_fields":[{"id":1,"name":"Subdivision","value":"EC"},{"id":4,"name":"Milepost","value":"23.3295"},{"id":17,"name":"Train ID","value":"221-18"},{"id":16,"name":"Locomotive ID","value":"4044"},{"id":130,"name":"Impact","value":""},{"id":150,"name":"Time of Event (Mountain Time)","value":"19:37:59"},{"id":151,"name":"Denver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568</v>
      </c>
      <c r="B134" s="7">
        <v>4043</v>
      </c>
      <c r="C134" s="24" t="s">
        <v>106</v>
      </c>
      <c r="D134" s="24" t="s">
        <v>321</v>
      </c>
      <c r="E134" s="15">
        <v>42631.823877314811</v>
      </c>
      <c r="F134" s="15">
        <v>42631.830972222226</v>
      </c>
      <c r="G134" s="7">
        <v>1</v>
      </c>
      <c r="H134" s="15" t="s">
        <v>214</v>
      </c>
      <c r="I134" s="15">
        <v>42631.858912037038</v>
      </c>
      <c r="J134" s="7">
        <v>0</v>
      </c>
      <c r="K134" s="121" t="str">
        <f>IF(ISEVEN(B134),(B134-1)&amp;"/"&amp;B134,B134&amp;"/"&amp;(B134+1))</f>
        <v>4043/4044</v>
      </c>
      <c r="L134" s="24" t="str">
        <f>VLOOKUP(A134,'Trips&amp;Operators'!$C$1:$E$10000,3,FALSE)</f>
        <v>LEVERE</v>
      </c>
      <c r="M134" s="6">
        <f>I134-F134</f>
        <v>2.7939814812270924E-2</v>
      </c>
      <c r="N134" s="7">
        <f>24*60*SUM($M134:$M134)</f>
        <v>40.233333329670131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https://search-rtdc-monitor-bjffxe2xuh6vdkpspy63sjmuny.us-east-1.es.amazonaws.com/_plugin/kibana/#/discover/Steve-Slow-Train-Analysis-(2080s-and-2083s)?_g=(refreshInterval:(display:Off,section:0,value:0),time:(from:'2016-09-18 18:46:23-0600',mode:absolute,to:'2016-09-18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4" s="54" t="str">
        <f>IF(AA134&lt;IF(AG134="EC",23,5.65),"Y","N")</f>
        <v>N</v>
      </c>
      <c r="X134" s="168">
        <f>VALUE(LEFT(AD134,4))-VALUE(LEFT(AD133,4))</f>
        <v>1</v>
      </c>
      <c r="Y134" s="69">
        <f>RIGHT(D134,LEN(D134)-4)/10000</f>
        <v>23.2973</v>
      </c>
      <c r="Z134" s="69">
        <f>RIGHT(H134,LEN(H134)-4)/10000</f>
        <v>1.6E-2</v>
      </c>
      <c r="AA134" s="69">
        <f>ABS(Z134-Y134)</f>
        <v>23.281300000000002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>IF(LEN(A134)=6,"0"&amp;A134,A134)</f>
        <v>0222-18</v>
      </c>
      <c r="AE134" s="99" t="str">
        <f>"aws s3 cp "&amp;s3_bucket&amp;"/RTDC"&amp;B134&amp;"/"&amp;TEXT(F134,"YYYY-MM-DD")&amp;"/ "&amp;search_path&amp;"\RTDC"&amp;B134&amp;"\"&amp;TEXT(F134,"YYYY-MM-DD")&amp;" --recursive &amp; """&amp;walkandungz&amp;""" "&amp;search_path&amp;"\RTDC"&amp;B134&amp;"\"&amp;TEXT(F134,"YYYY-MM-DD")
&amp;" &amp; "&amp;"aws s3 cp "&amp;s3_bucket&amp;"/RTDC"&amp;B134&amp;"/"&amp;TEXT(F134+1,"YYYY-MM-DD")&amp;"/ "&amp;search_path&amp;"\RTDC"&amp;B134&amp;"\"&amp;TEXT(F134+1,"YYYY-MM-DD")&amp;" --recursive &amp; """&amp;walkandungz&amp;""" "&amp;search_path&amp;"\RTDC"&amp;B134&amp;"\"&amp;TEXT(F134+1,"YYYY-MM-DD")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34" s="96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/stypes="app*4043*20160919*" /stext=" 02:.+((SYSTEM_STATE.+slice.+state.+changed )|(ment ac)|(system.+state.+changed )|(\|lc)|(penalty)|(\[timeout)|(PRM\|1\|D)|(kpr)|(kdp))" /e /r /s</v>
      </c>
      <c r="AG134" s="1" t="str">
        <f>IFERROR(IF(VALUE(LEFT(AD134,2))&lt;=2,"EC",IF(OR(VALUE(LEFT(AD134,2))=8,VALUE(LEFT(AD134,2))=18),"NW","Other")),"Other")</f>
        <v>EC</v>
      </c>
      <c r="AH134" s="100" t="str">
        <f t="shared" si="4"/>
        <v>"%USERPROFILE%\Documents\GitHub\eaglep3\Utilities\RefineRTDCRunTimes.py" --tripid 222-18 --locoid 4043 --swversion DE.1.0.7.0 --startMP 204:232973 --initTime 2016-09-18T19:46:23 --startdatetime 2016-09-18T19:56:36 --delay 1 --endMP 204:160 --enddatetime 2016-09-18T20:36:50 --enforcementcount 0 &gt;&gt;C:\Users\stu\Documents\GitHub\eaglep3-reporting\EC\2016-09-18-refined-times.txt</v>
      </c>
      <c r="AI134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ID","value":"222-18"},{"id":16,"name":"Locomotive ID","value":"4043"},{"id":130,"name":"Impact","value":""},{"id":150,"name":"Time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562</v>
      </c>
      <c r="B135" s="7">
        <v>4027</v>
      </c>
      <c r="C135" s="24" t="s">
        <v>106</v>
      </c>
      <c r="D135" s="24" t="s">
        <v>232</v>
      </c>
      <c r="E135" s="15">
        <v>42631.807511574072</v>
      </c>
      <c r="F135" s="15">
        <v>42631.812708333331</v>
      </c>
      <c r="G135" s="7">
        <v>1</v>
      </c>
      <c r="H135" s="15" t="s">
        <v>332</v>
      </c>
      <c r="I135" s="15">
        <v>42631.837337962963</v>
      </c>
      <c r="J135" s="7">
        <v>0</v>
      </c>
      <c r="K135" s="121" t="str">
        <f>IF(ISEVEN(B135),(B135-1)&amp;"/"&amp;B135,B135&amp;"/"&amp;(B135+1))</f>
        <v>4027/4028</v>
      </c>
      <c r="L135" s="24" t="str">
        <f>VLOOKUP(A135,'Trips&amp;Operators'!$C$1:$E$10000,3,FALSE)</f>
        <v>COOLAHAN</v>
      </c>
      <c r="M135" s="6">
        <f>I135-F135</f>
        <v>2.4629629631817807E-2</v>
      </c>
      <c r="N135" s="7">
        <f>24*60*SUM($M135:$M135)</f>
        <v>35.466666669817641</v>
      </c>
      <c r="O135" s="7"/>
      <c r="P135" s="7"/>
      <c r="Q135" s="25"/>
      <c r="R135" s="25"/>
      <c r="S135" s="37">
        <f>SUM(U135:U135)/IF(AG135="EC",12,1)</f>
        <v>1</v>
      </c>
      <c r="T135" s="52" t="str">
        <f>IF(ISEVEN(LEFT(AD135,4)),"Southbound","NorthBound")</f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https://search-rtdc-monitor-bjffxe2xuh6vdkpspy63sjmuny.us-east-1.es.amazonaws.com/_plugin/kibana/#/discover/Steve-Slow-Train-Analysis-(2080s-and-2083s)?_g=(refreshInterval:(display:Off,section:0,value:0),time:(from:'2016-09-18 18:22:49-0600',mode:absolute,to:'2016-09-18 21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35" s="54" t="str">
        <f>IF(AA135&lt;IF(AG135="EC",23,5.65),"Y","N")</f>
        <v>N</v>
      </c>
      <c r="X135" s="168">
        <f>VALUE(LEFT(AD135,4))-VALUE(LEFT(AD134,4))</f>
        <v>1</v>
      </c>
      <c r="Y135" s="69">
        <f>RIGHT(D135,LEN(D135)-4)/10000</f>
        <v>4.58E-2</v>
      </c>
      <c r="Z135" s="69">
        <f>RIGHT(H135,LEN(H135)-4)/10000</f>
        <v>23.3261</v>
      </c>
      <c r="AA135" s="69">
        <f>ABS(Z135-Y135)</f>
        <v>23.2803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>IF(LEN(A135)=6,"0"&amp;A135,A135)</f>
        <v>0223-18</v>
      </c>
      <c r="AE135" s="99" t="str">
        <f>"aws s3 cp "&amp;s3_bucket&amp;"/RTDC"&amp;B135&amp;"/"&amp;TEXT(F135,"YYYY-MM-DD")&amp;"/ "&amp;search_path&amp;"\RTDC"&amp;B135&amp;"\"&amp;TEXT(F135,"YYYY-MM-DD")&amp;" --recursive &amp; """&amp;walkandungz&amp;""" "&amp;search_path&amp;"\RTDC"&amp;B135&amp;"\"&amp;TEXT(F135,"YYYY-MM-DD")
&amp;" &amp; "&amp;"aws s3 cp "&amp;s3_bucket&amp;"/RTDC"&amp;B135&amp;"/"&amp;TEXT(F135+1,"YYYY-MM-DD")&amp;"/ "&amp;search_path&amp;"\RTDC"&amp;B135&amp;"\"&amp;TEXT(F135+1,"YYYY-MM-DD")&amp;" --recursive &amp; """&amp;walkandungz&amp;""" "&amp;search_path&amp;"\RTDC"&amp;B135&amp;"\"&amp;TEXT(F135+1,"YYYY-MM-DD")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35" s="96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/stypes="app*4027*20160919*" /stext=" 02:.+((SYSTEM_STATE.+slice.+state.+changed )|(ment ac)|(system.+state.+changed )|(\|lc)|(penalty)|(\[timeout)|(PRM\|1\|D)|(kpr)|(kdp))" /e /r /s</v>
      </c>
      <c r="AG135" s="1" t="str">
        <f>IFERROR(IF(VALUE(LEFT(AD135,2))&lt;=2,"EC",IF(OR(VALUE(LEFT(AD135,2))=8,VALUE(LEFT(AD135,2))=18),"NW","Other")),"Other")</f>
        <v>EC</v>
      </c>
      <c r="AH135" s="100" t="str">
        <f t="shared" si="4"/>
        <v>"%USERPROFILE%\Documents\GitHub\eaglep3\Utilities\RefineRTDCRunTimes.py" --tripid 223-18 --locoid 4027 --swversion DE.1.0.7.0 --startMP 204:458 --initTime 2016-09-18T19:22:49 --startdatetime 2016-09-18T19:30:18 --delay 1 --endMP 204:233261 --enddatetime 2016-09-18T20:05:46 --enforcementcount 0 &gt;&gt;C:\Users\stu\Documents\GitHub\eaglep3-reporting\EC\2016-09-18-refined-times.txt</v>
      </c>
      <c r="AI135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{"issue":{"subject":"","project_id":79,"tracker_id":40,"status_id":1,"priority_id":2,"assigned_to_id":23,"start_date":"2016-09-18","description":"","custom_fields":[{"id":1,"name":"Subdivision","value":"EC"},{"id":4,"name":"Milepost","value":"23.3261"},{"id":17,"name":"Train ID","value":"223-18"},{"id":16,"name":"Locomotive ID","value":"4027"},{"id":130,"name":"Impact","value":""},{"id":150,"name":"Time of Event (Mountain Time)","value":"20:05:46"},{"id":151,"name":"Denver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573</v>
      </c>
      <c r="B136" s="7">
        <v>4028</v>
      </c>
      <c r="C136" s="24" t="s">
        <v>106</v>
      </c>
      <c r="D136" s="24" t="s">
        <v>369</v>
      </c>
      <c r="E136" s="15">
        <v>42631.84679398148</v>
      </c>
      <c r="F136" s="15">
        <v>42631.851655092592</v>
      </c>
      <c r="G136" s="7">
        <v>1</v>
      </c>
      <c r="H136" s="15" t="s">
        <v>240</v>
      </c>
      <c r="I136" s="15">
        <v>42631.878854166665</v>
      </c>
      <c r="J136" s="7">
        <v>0</v>
      </c>
      <c r="K136" s="121" t="str">
        <f>IF(ISEVEN(B136),(B136-1)&amp;"/"&amp;B136,B136&amp;"/"&amp;(B136+1))</f>
        <v>4027/4028</v>
      </c>
      <c r="L136" s="24" t="str">
        <f>VLOOKUP(A136,'Trips&amp;Operators'!$C$1:$E$10000,3,FALSE)</f>
        <v>COOLAHAN</v>
      </c>
      <c r="M136" s="6">
        <f>I136-F136</f>
        <v>2.7199074072996154E-2</v>
      </c>
      <c r="N136" s="7">
        <f>24*60*SUM($M136:$M136)</f>
        <v>39.166666665114462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https://search-rtdc-monitor-bjffxe2xuh6vdkpspy63sjmuny.us-east-1.es.amazonaws.com/_plugin/kibana/#/discover/Steve-Slow-Train-Analysis-(2080s-and-2083s)?_g=(refreshInterval:(display:Off,section:0,value:0),time:(from:'2016-09-18 19:19:23-0600',mode:absolute,to:'2016-09-18 22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36" s="54" t="str">
        <f>IF(AA136&lt;IF(AG136="EC",23,5.65),"Y","N")</f>
        <v>N</v>
      </c>
      <c r="X136" s="168">
        <f>VALUE(LEFT(AD136,4))-VALUE(LEFT(AD135,4))</f>
        <v>1</v>
      </c>
      <c r="Y136" s="69">
        <f>RIGHT(D136,LEN(D136)-4)/10000</f>
        <v>23.2944</v>
      </c>
      <c r="Z136" s="69">
        <f>RIGHT(H136,LEN(H136)-4)/10000</f>
        <v>1.38E-2</v>
      </c>
      <c r="AA136" s="69">
        <f>ABS(Z136-Y136)</f>
        <v>23.2806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>IF(LEN(A136)=6,"0"&amp;A136,A136)</f>
        <v>0224-18</v>
      </c>
      <c r="AE136" s="99" t="str">
        <f>"aws s3 cp "&amp;s3_bucket&amp;"/RTDC"&amp;B136&amp;"/"&amp;TEXT(F136,"YYYY-MM-DD")&amp;"/ "&amp;search_path&amp;"\RTDC"&amp;B136&amp;"\"&amp;TEXT(F136,"YYYY-MM-DD")&amp;" --recursive &amp; """&amp;walkandungz&amp;""" "&amp;search_path&amp;"\RTDC"&amp;B136&amp;"\"&amp;TEXT(F136,"YYYY-MM-DD")
&amp;" &amp; "&amp;"aws s3 cp "&amp;s3_bucket&amp;"/RTDC"&amp;B136&amp;"/"&amp;TEXT(F136+1,"YYYY-MM-DD")&amp;"/ "&amp;search_path&amp;"\RTDC"&amp;B136&amp;"\"&amp;TEXT(F136+1,"YYYY-MM-DD")&amp;" --recursive &amp; """&amp;walkandungz&amp;""" "&amp;search_path&amp;"\RTDC"&amp;B136&amp;"\"&amp;TEXT(F136+1,"YYYY-MM-DD")</f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36" s="96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/stypes="app*4028*20160919*" /stext=" 03:.+((SYSTEM_STATE.+slice.+state.+changed )|(ment ac)|(system.+state.+changed )|(\|lc)|(penalty)|(\[timeout)|(PRM\|1\|D)|(kpr)|(kdp))" /e /r /s</v>
      </c>
      <c r="AG136" s="1" t="str">
        <f>IFERROR(IF(VALUE(LEFT(AD136,2))&lt;=2,"EC",IF(OR(VALUE(LEFT(AD136,2))=8,VALUE(LEFT(AD136,2))=18),"NW","Other")),"Other")</f>
        <v>EC</v>
      </c>
      <c r="AH136" s="100" t="str">
        <f t="shared" si="4"/>
        <v>"%USERPROFILE%\Documents\GitHub\eaglep3\Utilities\RefineRTDCRunTimes.py" --tripid 224-18 --locoid 4028 --swversion DE.1.0.7.0 --startMP 204:232944 --initTime 2016-09-18T20:19:23 --startdatetime 2016-09-18T20:26:23 --delay 1 --endMP 204:138 --enddatetime 2016-09-18T21:05:33 --enforcementcount 0 &gt;&gt;C:\Users\stu\Documents\GitHub\eaglep3-reporting\EC\2016-09-18-refined-times.txt</v>
      </c>
      <c r="AI136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ID","value":"224-18"},{"id":16,"name":"Locomotive ID","value":"4028"},{"id":130,"name":"Impact","value":""},{"id":150,"name":"Time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569</v>
      </c>
      <c r="B137" s="7">
        <v>4016</v>
      </c>
      <c r="C137" s="24" t="s">
        <v>106</v>
      </c>
      <c r="D137" s="24" t="s">
        <v>245</v>
      </c>
      <c r="E137" s="15">
        <v>42631.828113425923</v>
      </c>
      <c r="F137" s="15">
        <v>42631.833483796298</v>
      </c>
      <c r="G137" s="7">
        <v>1</v>
      </c>
      <c r="H137" s="15" t="s">
        <v>268</v>
      </c>
      <c r="I137" s="15">
        <v>42631.857673611114</v>
      </c>
      <c r="J137" s="7">
        <v>0</v>
      </c>
      <c r="K137" s="121" t="str">
        <f>IF(ISEVEN(B137),(B137-1)&amp;"/"&amp;B137,B137&amp;"/"&amp;(B137+1))</f>
        <v>4015/4016</v>
      </c>
      <c r="L137" s="24" t="str">
        <f>VLOOKUP(A137,'Trips&amp;Operators'!$C$1:$E$10000,3,FALSE)</f>
        <v>NEWELL</v>
      </c>
      <c r="M137" s="6">
        <f>I137-F137</f>
        <v>2.4189814816054422E-2</v>
      </c>
      <c r="N137" s="7">
        <f>24*60*SUM($M137:$M137)</f>
        <v>34.833333335118368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https://search-rtdc-monitor-bjffxe2xuh6vdkpspy63sjmuny.us-east-1.es.amazonaws.com/_plugin/kibana/#/discover/Steve-Slow-Train-Analysis-(2080s-and-2083s)?_g=(refreshInterval:(display:Off,section:0,value:0),time:(from:'2016-09-18 18:52:29-0600',mode:absolute,to:'2016-09-18 21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7" s="54" t="str">
        <f>IF(AA137&lt;IF(AG137="EC",23,5.65),"Y","N")</f>
        <v>N</v>
      </c>
      <c r="X137" s="168">
        <f>VALUE(LEFT(AD137,4))-VALUE(LEFT(AD136,4))</f>
        <v>1</v>
      </c>
      <c r="Y137" s="69">
        <f>RIGHT(D137,LEN(D137)-4)/10000</f>
        <v>4.4900000000000002E-2</v>
      </c>
      <c r="Z137" s="69">
        <f>RIGHT(H137,LEN(H137)-4)/10000</f>
        <v>23.327999999999999</v>
      </c>
      <c r="AA137" s="69">
        <f>ABS(Z137-Y137)</f>
        <v>23.283100000000001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>IF(LEN(A137)=6,"0"&amp;A137,A137)</f>
        <v>0225-18</v>
      </c>
      <c r="AE137" s="99" t="str">
        <f>"aws s3 cp "&amp;s3_bucket&amp;"/RTDC"&amp;B137&amp;"/"&amp;TEXT(F137,"YYYY-MM-DD")&amp;"/ "&amp;search_path&amp;"\RTDC"&amp;B137&amp;"\"&amp;TEXT(F137,"YYYY-MM-DD")&amp;" --recursive &amp; """&amp;walkandungz&amp;""" "&amp;search_path&amp;"\RTDC"&amp;B137&amp;"\"&amp;TEXT(F137,"YYYY-MM-DD")
&amp;" &amp; "&amp;"aws s3 cp "&amp;s3_bucket&amp;"/RTDC"&amp;B137&amp;"/"&amp;TEXT(F137+1,"YYYY-MM-DD")&amp;"/ "&amp;search_path&amp;"\RTDC"&amp;B137&amp;"\"&amp;TEXT(F137+1,"YYYY-MM-DD")&amp;" --recursive &amp; """&amp;walkandungz&amp;""" "&amp;search_path&amp;"\RTDC"&amp;B137&amp;"\"&amp;TEXT(F137+1,"YYYY-MM-DD")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37" s="96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/stypes="app*4016*20160919*" /stext=" 02:.+((SYSTEM_STATE.+slice.+state.+changed )|(ment ac)|(system.+state.+changed )|(\|lc)|(penalty)|(\[timeout)|(PRM\|1\|D)|(kpr)|(kdp))" /e /r /s</v>
      </c>
      <c r="AG137" s="1" t="str">
        <f>IFERROR(IF(VALUE(LEFT(AD137,2))&lt;=2,"EC",IF(OR(VALUE(LEFT(AD137,2))=8,VALUE(LEFT(AD137,2))=18),"NW","Other")),"Other")</f>
        <v>EC</v>
      </c>
      <c r="AH137" s="100" t="str">
        <f t="shared" si="4"/>
        <v>"%USERPROFILE%\Documents\GitHub\eaglep3\Utilities\RefineRTDCRunTimes.py" --tripid 225-18 --locoid 4016 --swversion DE.1.0.7.0 --startMP 204:449 --initTime 2016-09-18T19:52:29 --startdatetime 2016-09-18T20:00:13 --delay 1 --endMP 204:233280 --enddatetime 2016-09-18T20:35:03 --enforcementcount 0 &gt;&gt;C:\Users\stu\Documents\GitHub\eaglep3-reporting\EC\2016-09-18-refined-times.txt</v>
      </c>
      <c r="AI137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{"issue":{"subject":"","project_id":79,"tracker_id":40,"status_id":1,"priority_id":2,"assigned_to_id":23,"start_date":"2016-09-18","description":"","custom_fields":[{"id":1,"name":"Subdivision","value":"EC"},{"id":4,"name":"Milepost","value":"23.328"},{"id":17,"name":"Train ID","value":"225-18"},{"id":16,"name":"Locomotive ID","value":"4016"},{"id":130,"name":"Impact","value":""},{"id":150,"name":"Time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576</v>
      </c>
      <c r="B138" s="7">
        <v>4015</v>
      </c>
      <c r="C138" s="24" t="s">
        <v>106</v>
      </c>
      <c r="D138" s="24" t="s">
        <v>234</v>
      </c>
      <c r="E138" s="15">
        <v>42631.85974537037</v>
      </c>
      <c r="F138" s="15">
        <v>42631.872511574074</v>
      </c>
      <c r="G138" s="7">
        <v>1</v>
      </c>
      <c r="H138" s="15" t="s">
        <v>214</v>
      </c>
      <c r="I138" s="15">
        <v>42631.900706018518</v>
      </c>
      <c r="J138" s="7">
        <v>0</v>
      </c>
      <c r="K138" s="121" t="str">
        <f>IF(ISEVEN(B138),(B138-1)&amp;"/"&amp;B138,B138&amp;"/"&amp;(B138+1))</f>
        <v>4015/4016</v>
      </c>
      <c r="L138" s="24" t="str">
        <f>VLOOKUP(A138,'Trips&amp;Operators'!$C$1:$E$10000,3,FALSE)</f>
        <v>NEWELL</v>
      </c>
      <c r="M138" s="6">
        <f>I138-F138</f>
        <v>2.8194444443215616E-2</v>
      </c>
      <c r="N138" s="7">
        <f>24*60*SUM($M138:$M138)</f>
        <v>40.599999998230487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https://search-rtdc-monitor-bjffxe2xuh6vdkpspy63sjmuny.us-east-1.es.amazonaws.com/_plugin/kibana/#/discover/Steve-Slow-Train-Analysis-(2080s-and-2083s)?_g=(refreshInterval:(display:Off,section:0,value:0),time:(from:'2016-09-18 19:38:02-0600',mode:absolute,to:'2016-09-18 22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8" s="54" t="str">
        <f>IF(AA138&lt;IF(AG138="EC",23,5.65),"Y","N")</f>
        <v>N</v>
      </c>
      <c r="X138" s="168">
        <f>VALUE(LEFT(AD138,4))-VALUE(LEFT(AD137,4))</f>
        <v>1</v>
      </c>
      <c r="Y138" s="69">
        <f>RIGHT(D138,LEN(D138)-4)/10000</f>
        <v>23.298400000000001</v>
      </c>
      <c r="Z138" s="69">
        <f>RIGHT(H138,LEN(H138)-4)/10000</f>
        <v>1.6E-2</v>
      </c>
      <c r="AA138" s="69">
        <f>ABS(Z138-Y138)</f>
        <v>23.282400000000003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>IF(LEN(A138)=6,"0"&amp;A138,A138)</f>
        <v>0226-18</v>
      </c>
      <c r="AE138" s="99" t="str">
        <f>"aws s3 cp "&amp;s3_bucket&amp;"/RTDC"&amp;B138&amp;"/"&amp;TEXT(F138,"YYYY-MM-DD")&amp;"/ "&amp;search_path&amp;"\RTDC"&amp;B138&amp;"\"&amp;TEXT(F138,"YYYY-MM-DD")&amp;" --recursive &amp; """&amp;walkandungz&amp;""" "&amp;search_path&amp;"\RTDC"&amp;B138&amp;"\"&amp;TEXT(F138,"YYYY-MM-DD")
&amp;" &amp; "&amp;"aws s3 cp "&amp;s3_bucket&amp;"/RTDC"&amp;B138&amp;"/"&amp;TEXT(F138+1,"YYYY-MM-DD")&amp;"/ "&amp;search_path&amp;"\RTDC"&amp;B138&amp;"\"&amp;TEXT(F138+1,"YYYY-MM-DD")&amp;" --recursive &amp; """&amp;walkandungz&amp;""" "&amp;search_path&amp;"\RTDC"&amp;B138&amp;"\"&amp;TEXT(F138+1,"YYYY-MM-DD")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38" s="96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/stypes="app*4015*20160919*" /stext=" 03:.+((SYSTEM_STATE.+slice.+state.+changed )|(ment ac)|(system.+state.+changed )|(\|lc)|(penalty)|(\[timeout)|(PRM\|1\|D)|(kpr)|(kdp))" /e /r /s</v>
      </c>
      <c r="AG138" s="1" t="str">
        <f>IFERROR(IF(VALUE(LEFT(AD138,2))&lt;=2,"EC",IF(OR(VALUE(LEFT(AD138,2))=8,VALUE(LEFT(AD138,2))=18),"NW","Other")),"Other")</f>
        <v>EC</v>
      </c>
      <c r="AH138" s="100" t="str">
        <f t="shared" si="4"/>
        <v>"%USERPROFILE%\Documents\GitHub\eaglep3\Utilities\RefineRTDCRunTimes.py" --tripid 226-18 --locoid 4015 --swversion DE.1.0.7.0 --startMP 204:232984 --initTime 2016-09-18T20:38:02 --startdatetime 2016-09-18T20:56:25 --delay 1 --endMP 204:160 --enddatetime 2016-09-18T21:37:01 --enforcementcount 0 &gt;&gt;C:\Users\stu\Documents\GitHub\eaglep3-reporting\EC\2016-09-18-refined-times.txt</v>
      </c>
      <c r="AI138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ID","value":"226-18"},{"id":16,"name":"Locomotive ID","value":"4015"},{"id":130,"name":"Impact","value":""},{"id":150,"name":"Time of Event (Mountain Time)","value":"21:37:01"},{"id":151,"name":"Denver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574</v>
      </c>
      <c r="B139" s="7">
        <v>4009</v>
      </c>
      <c r="C139" s="24" t="s">
        <v>106</v>
      </c>
      <c r="D139" s="24" t="s">
        <v>216</v>
      </c>
      <c r="E139" s="15">
        <v>42631.851817129631</v>
      </c>
      <c r="F139" s="15">
        <v>42631.854398148149</v>
      </c>
      <c r="G139" s="7">
        <v>1</v>
      </c>
      <c r="H139" s="15" t="s">
        <v>286</v>
      </c>
      <c r="I139" s="15">
        <v>42631.879791666666</v>
      </c>
      <c r="J139" s="7">
        <v>0</v>
      </c>
      <c r="K139" s="121" t="str">
        <f>IF(ISEVEN(B139),(B139-1)&amp;"/"&amp;B139,B139&amp;"/"&amp;(B139+1))</f>
        <v>4009/4010</v>
      </c>
      <c r="L139" s="24" t="str">
        <f>VLOOKUP(A139,'Trips&amp;Operators'!$C$1:$E$10000,3,FALSE)</f>
        <v>CHANDLER</v>
      </c>
      <c r="M139" s="6">
        <f>I139-F139</f>
        <v>2.5393518517375924E-2</v>
      </c>
      <c r="N139" s="7">
        <f>24*60*SUM($M139:$M139)</f>
        <v>36.56666666502133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https://search-rtdc-monitor-bjffxe2xuh6vdkpspy63sjmuny.us-east-1.es.amazonaws.com/_plugin/kibana/#/discover/Steve-Slow-Train-Analysis-(2080s-and-2083s)?_g=(refreshInterval:(display:Off,section:0,value:0),time:(from:'2016-09-18 19:26:37-0600',mode:absolute,to:'2016-09-18 22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9" s="54" t="str">
        <f>IF(AA139&lt;IF(AG139="EC",23,5.65),"Y","N")</f>
        <v>N</v>
      </c>
      <c r="X139" s="168">
        <f>VALUE(LEFT(AD139,4))-VALUE(LEFT(AD138,4))</f>
        <v>1</v>
      </c>
      <c r="Y139" s="69">
        <f>RIGHT(D139,LEN(D139)-4)/10000</f>
        <v>4.7100000000000003E-2</v>
      </c>
      <c r="Z139" s="69">
        <f>RIGHT(H139,LEN(H139)-4)/10000</f>
        <v>23.330300000000001</v>
      </c>
      <c r="AA139" s="69">
        <f>ABS(Z139-Y139)</f>
        <v>23.283200000000001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>IF(LEN(A139)=6,"0"&amp;A139,A139)</f>
        <v>0227-18</v>
      </c>
      <c r="AE139" s="99" t="str">
        <f>"aws s3 cp "&amp;s3_bucket&amp;"/RTDC"&amp;B139&amp;"/"&amp;TEXT(F139,"YYYY-MM-DD")&amp;"/ "&amp;search_path&amp;"\RTDC"&amp;B139&amp;"\"&amp;TEXT(F139,"YYYY-MM-DD")&amp;" --recursive &amp; """&amp;walkandungz&amp;""" "&amp;search_path&amp;"\RTDC"&amp;B139&amp;"\"&amp;TEXT(F139,"YYYY-MM-DD")
&amp;" &amp; "&amp;"aws s3 cp "&amp;s3_bucket&amp;"/RTDC"&amp;B139&amp;"/"&amp;TEXT(F139+1,"YYYY-MM-DD")&amp;"/ "&amp;search_path&amp;"\RTDC"&amp;B139&amp;"\"&amp;TEXT(F139+1,"YYYY-MM-DD")&amp;" --recursive &amp; """&amp;walkandungz&amp;""" "&amp;search_path&amp;"\RTDC"&amp;B139&amp;"\"&amp;TEXT(F139+1,"YYYY-MM-DD")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39" s="96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/stypes="app*4009*20160919*" /stext=" 03:.+((SYSTEM_STATE.+slice.+state.+changed )|(ment ac)|(system.+state.+changed )|(\|lc)|(penalty)|(\[timeout)|(PRM\|1\|D)|(kpr)|(kdp))" /e /r /s</v>
      </c>
      <c r="AG139" s="1" t="str">
        <f>IFERROR(IF(VALUE(LEFT(AD139,2))&lt;=2,"EC",IF(OR(VALUE(LEFT(AD139,2))=8,VALUE(LEFT(AD139,2))=18),"NW","Other")),"Other")</f>
        <v>EC</v>
      </c>
      <c r="AH139" s="100" t="str">
        <f t="shared" si="4"/>
        <v>"%USERPROFILE%\Documents\GitHub\eaglep3\Utilities\RefineRTDCRunTimes.py" --tripid 227-18 --locoid 4009 --swversion DE.1.0.7.0 --startMP 204:471 --initTime 2016-09-18T20:26:37 --startdatetime 2016-09-18T20:30:20 --delay 1 --endMP 204:233303 --enddatetime 2016-09-18T21:06:54 --enforcementcount 0 &gt;&gt;C:\Users\stu\Documents\GitHub\eaglep3-reporting\EC\2016-09-18-refined-times.txt</v>
      </c>
      <c r="AI139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{"issue":{"subject":"","project_id":79,"tracker_id":40,"status_id":1,"priority_id":2,"assigned_to_id":23,"start_date":"2016-09-18","description":"","custom_fields":[{"id":1,"name":"Subdivision","value":"EC"},{"id":4,"name":"Milepost","value":"23.3303"},{"id":17,"name":"Train ID","value":"227-18"},{"id":16,"name":"Locomotive ID","value":"4009"},{"id":130,"name":"Impact","value":""},{"id":150,"name":"Time of Event (Mountain Time)","value":"21:06:54"},{"id":151,"name":"Denver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582</v>
      </c>
      <c r="B140" s="7">
        <v>4010</v>
      </c>
      <c r="C140" s="24" t="s">
        <v>106</v>
      </c>
      <c r="D140" s="24" t="s">
        <v>284</v>
      </c>
      <c r="E140" s="15">
        <v>42631.890590277777</v>
      </c>
      <c r="F140" s="15">
        <v>42631.893229166664</v>
      </c>
      <c r="G140" s="7">
        <v>1</v>
      </c>
      <c r="H140" s="15" t="s">
        <v>214</v>
      </c>
      <c r="I140" s="15">
        <v>42631.921446759261</v>
      </c>
      <c r="J140" s="7">
        <v>0</v>
      </c>
      <c r="K140" s="121" t="str">
        <f>IF(ISEVEN(B140),(B140-1)&amp;"/"&amp;B140,B140&amp;"/"&amp;(B140+1))</f>
        <v>4009/4010</v>
      </c>
      <c r="L140" s="24" t="str">
        <f>VLOOKUP(A140,'Trips&amp;Operators'!$C$1:$E$10000,3,FALSE)</f>
        <v>CHANDLER</v>
      </c>
      <c r="M140" s="6">
        <f>I140-F140</f>
        <v>2.8217592596774921E-2</v>
      </c>
      <c r="N140" s="7">
        <f>24*60*SUM($M140:$M140)</f>
        <v>40.633333339355886</v>
      </c>
      <c r="O140" s="7"/>
      <c r="P140" s="7"/>
      <c r="Q140" s="25"/>
      <c r="R140" s="25"/>
      <c r="S140" s="37">
        <f>SUM(U140:U140)/IF(AG140="EC",12,1)</f>
        <v>1</v>
      </c>
      <c r="T140" s="52" t="str">
        <f>IF(ISEVEN(LEFT(AD140,4)),"Southbound","NorthBound")</f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https://search-rtdc-monitor-bjffxe2xuh6vdkpspy63sjmuny.us-east-1.es.amazonaws.com/_plugin/kibana/#/discover/Steve-Slow-Train-Analysis-(2080s-and-2083s)?_g=(refreshInterval:(display:Off,section:0,value:0),time:(from:'2016-09-18 20:22:27-0600',mode:absolute,to:'2016-09-18 23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0" s="54" t="str">
        <f>IF(AA140&lt;IF(AG140="EC",23,5.65),"Y","N")</f>
        <v>N</v>
      </c>
      <c r="X140" s="168">
        <f>VALUE(LEFT(AD140,4))-VALUE(LEFT(AD139,4))</f>
        <v>1</v>
      </c>
      <c r="Y140" s="69">
        <f>RIGHT(D140,LEN(D140)-4)/10000</f>
        <v>23.296500000000002</v>
      </c>
      <c r="Z140" s="69">
        <f>RIGHT(H140,LEN(H140)-4)/10000</f>
        <v>1.6E-2</v>
      </c>
      <c r="AA140" s="69">
        <f>ABS(Z140-Y140)</f>
        <v>23.280500000000004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>IF(LEN(A140)=6,"0"&amp;A140,A140)</f>
        <v>0228-18</v>
      </c>
      <c r="AE140" s="99" t="str">
        <f>"aws s3 cp "&amp;s3_bucket&amp;"/RTDC"&amp;B140&amp;"/"&amp;TEXT(F140,"YYYY-MM-DD")&amp;"/ "&amp;search_path&amp;"\RTDC"&amp;B140&amp;"\"&amp;TEXT(F140,"YYYY-MM-DD")&amp;" --recursive &amp; """&amp;walkandungz&amp;""" "&amp;search_path&amp;"\RTDC"&amp;B140&amp;"\"&amp;TEXT(F140,"YYYY-MM-DD")
&amp;" &amp; "&amp;"aws s3 cp "&amp;s3_bucket&amp;"/RTDC"&amp;B140&amp;"/"&amp;TEXT(F140+1,"YYYY-MM-DD")&amp;"/ "&amp;search_path&amp;"\RTDC"&amp;B140&amp;"\"&amp;TEXT(F140+1,"YYYY-MM-DD")&amp;" --recursive &amp; """&amp;walkandungz&amp;""" "&amp;search_path&amp;"\RTDC"&amp;B140&amp;"\"&amp;TEXT(F140+1,"YYYY-MM-DD")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40" s="96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/stypes="app*4010*20160919*" /stext=" 04:.+((SYSTEM_STATE.+slice.+state.+changed )|(ment ac)|(system.+state.+changed )|(\|lc)|(penalty)|(\[timeout)|(PRM\|1\|D)|(kpr)|(kdp))" /e /r /s</v>
      </c>
      <c r="AG140" s="1" t="str">
        <f>IFERROR(IF(VALUE(LEFT(AD140,2))&lt;=2,"EC",IF(OR(VALUE(LEFT(AD140,2))=8,VALUE(LEFT(AD140,2))=18),"NW","Other")),"Other")</f>
        <v>EC</v>
      </c>
      <c r="AH140" s="100" t="str">
        <f t="shared" si="4"/>
        <v>"%USERPROFILE%\Documents\GitHub\eaglep3\Utilities\RefineRTDCRunTimes.py" --tripid 228-18 --locoid 4010 --swversion DE.1.0.7.0 --startMP 204:232965 --initTime 2016-09-18T21:22:27 --startdatetime 2016-09-18T21:26:15 --delay 1 --endMP 204:160 --enddatetime 2016-09-18T22:06:53 --enforcementcount 0 &gt;&gt;C:\Users\stu\Documents\GitHub\eaglep3-reporting\EC\2016-09-18-refined-times.txt</v>
      </c>
      <c r="AI140" s="134" t="str">
        <f t="shared" si="5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ID","value":"228-18"},{"id":16,"name":"Locomotive ID","value":"4010"},{"id":130,"name":"Impact","value":""},{"id":150,"name":"Time of Event (Mountain Time)","value":"22:06:53"},{"id":151,"name":"Denver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579</v>
      </c>
      <c r="B141" s="7">
        <v>4044</v>
      </c>
      <c r="C141" s="24" t="s">
        <v>106</v>
      </c>
      <c r="D141" s="24" t="s">
        <v>227</v>
      </c>
      <c r="E141" s="15">
        <v>42631.870972222219</v>
      </c>
      <c r="F141" s="15">
        <v>42631.875277777777</v>
      </c>
      <c r="G141" s="7">
        <v>1</v>
      </c>
      <c r="H141" s="15" t="s">
        <v>328</v>
      </c>
      <c r="I141" s="15">
        <v>42631.901273148149</v>
      </c>
      <c r="J141" s="7">
        <v>0</v>
      </c>
      <c r="K141" s="121" t="str">
        <f>IF(ISEVEN(B141),(B141-1)&amp;"/"&amp;B141,B141&amp;"/"&amp;(B141+1))</f>
        <v>4043/4044</v>
      </c>
      <c r="L141" s="24" t="str">
        <f>VLOOKUP(A141,'Trips&amp;Operators'!$C$1:$E$10000,3,FALSE)</f>
        <v>LEVERE</v>
      </c>
      <c r="M141" s="6">
        <f>I141-F141</f>
        <v>2.5995370371674653E-2</v>
      </c>
      <c r="N141" s="7">
        <f>24*60*SUM($M141:$M141)</f>
        <v>37.433333335211501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https://search-rtdc-monitor-bjffxe2xuh6vdkpspy63sjmuny.us-east-1.es.amazonaws.com/_plugin/kibana/#/discover/Steve-Slow-Train-Analysis-(2080s-and-2083s)?_g=(refreshInterval:(display:Off,section:0,value:0),time:(from:'2016-09-18 19:54:12-0600',mode:absolute,to:'2016-09-18 22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1" s="54" t="str">
        <f>IF(AA141&lt;IF(AG141="EC",23,5.65),"Y","N")</f>
        <v>N</v>
      </c>
      <c r="X141" s="168">
        <f>VALUE(LEFT(AD141,4))-VALUE(LEFT(AD140,4))</f>
        <v>1</v>
      </c>
      <c r="Y141" s="69">
        <f>RIGHT(D141,LEN(D141)-4)/10000</f>
        <v>4.5499999999999999E-2</v>
      </c>
      <c r="Z141" s="69">
        <f>RIGHT(H141,LEN(H141)-4)/10000</f>
        <v>23.328600000000002</v>
      </c>
      <c r="AA141" s="69">
        <f>ABS(Z141-Y141)</f>
        <v>23.283100000000001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>IF(LEN(A141)=6,"0"&amp;A141,A141)</f>
        <v>0229-18</v>
      </c>
      <c r="AE141" s="99" t="str">
        <f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41" s="96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/stypes="app*4044*20160919*" /stext=" 03:.+((SYSTEM_STATE.+slice.+state.+changed )|(ment ac)|(system.+state.+changed )|(\|lc)|(penalty)|(\[timeout)|(PRM\|1\|D)|(kpr)|(kdp))" /e /r /s</v>
      </c>
      <c r="AG141" s="1" t="str">
        <f>IFERROR(IF(VALUE(LEFT(AD141,2))&lt;=2,"EC",IF(OR(VALUE(LEFT(AD141,2))=8,VALUE(LEFT(AD141,2))=18),"NW","Other")),"Other")</f>
        <v>EC</v>
      </c>
      <c r="AH141" s="100" t="str">
        <f t="shared" ref="AH141:AH210" si="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229-18 --locoid 4044 --swversion DE.1.0.7.0 --startMP 204:455 --initTime 2016-09-18T20:54:12 --startdatetime 2016-09-18T21:00:24 --delay 1 --endMP 204:233286 --enddatetime 2016-09-18T21:37:50 --enforcementcount 0 &gt;&gt;C:\Users\stu\Documents\GitHub\eaglep3-reporting\EC\2016-09-18-refined-times.txt</v>
      </c>
      <c r="AI141" s="134" t="str">
        <f t="shared" ref="AI141:AI210" si="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{"issue":{"subject":"","project_id":79,"tracker_id":40,"status_id":1,"priority_id":2,"assigned_to_id":23,"start_date":"2016-09-18","description":"","custom_fields":[{"id":1,"name":"Subdivision","value":"EC"},{"id":4,"name":"Milepost","value":"23.3286"},{"id":17,"name":"Train ID","value":"229-18"},{"id":16,"name":"Locomotive ID","value":"4044"},{"id":130,"name":"Impact","value":""},{"id":150,"name":"Time of Event (Mountain Time)","value":"21:37:50"},{"id":151,"name":"Denver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586</v>
      </c>
      <c r="B142" s="7">
        <v>4043</v>
      </c>
      <c r="C142" s="24" t="s">
        <v>106</v>
      </c>
      <c r="D142" s="24" t="s">
        <v>284</v>
      </c>
      <c r="E142" s="15">
        <v>42631.907696759263</v>
      </c>
      <c r="F142" s="15">
        <v>42631.914201388892</v>
      </c>
      <c r="G142" s="7">
        <v>1</v>
      </c>
      <c r="H142" s="15" t="s">
        <v>617</v>
      </c>
      <c r="I142" s="15">
        <v>42631.941747685189</v>
      </c>
      <c r="J142" s="7">
        <v>0</v>
      </c>
      <c r="K142" s="121" t="str">
        <f>IF(ISEVEN(B142),(B142-1)&amp;"/"&amp;B142,B142&amp;"/"&amp;(B142+1))</f>
        <v>4043/4044</v>
      </c>
      <c r="L142" s="24" t="str">
        <f>VLOOKUP(A142,'Trips&amp;Operators'!$C$1:$E$10000,3,FALSE)</f>
        <v>LEVERE</v>
      </c>
      <c r="M142" s="6">
        <f>I142-F142</f>
        <v>2.7546296296350192E-2</v>
      </c>
      <c r="N142" s="7">
        <f>24*60*SUM($M142:$M142)</f>
        <v>39.666666666744277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https://search-rtdc-monitor-bjffxe2xuh6vdkpspy63sjmuny.us-east-1.es.amazonaws.com/_plugin/kibana/#/discover/Steve-Slow-Train-Analysis-(2080s-and-2083s)?_g=(refreshInterval:(display:Off,section:0,value:0),time:(from:'2016-09-18 20:47:05-0600',mode:absolute,to:'2016-09-18 23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2" s="54" t="str">
        <f>IF(AA142&lt;IF(AG142="EC",23,5.65),"Y","N")</f>
        <v>N</v>
      </c>
      <c r="X142" s="168">
        <f>VALUE(LEFT(AD142,4))-VALUE(LEFT(AD141,4))</f>
        <v>1</v>
      </c>
      <c r="Y142" s="69">
        <f>RIGHT(D142,LEN(D142)-4)/10000</f>
        <v>23.296500000000002</v>
      </c>
      <c r="Z142" s="69">
        <f>RIGHT(H142,LEN(H142)-4)/10000</f>
        <v>1.4500000000000001E-2</v>
      </c>
      <c r="AA142" s="69">
        <f>ABS(Z142-Y142)</f>
        <v>23.282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>IF(LEN(A142)=6,"0"&amp;A142,A142)</f>
        <v>0230-18</v>
      </c>
      <c r="AE142" s="99" t="str">
        <f>"aws s3 cp "&amp;s3_bucket&amp;"/RTDC"&amp;B142&amp;"/"&amp;TEXT(F142,"YYYY-MM-DD")&amp;"/ "&amp;search_path&amp;"\RTDC"&amp;B142&amp;"\"&amp;TEXT(F142,"YYYY-MM-DD")&amp;" --recursive &amp; """&amp;walkandungz&amp;""" "&amp;search_path&amp;"\RTDC"&amp;B142&amp;"\"&amp;TEXT(F142,"YYYY-MM-DD")
&amp;" &amp; "&amp;"aws s3 cp "&amp;s3_bucket&amp;"/RTDC"&amp;B142&amp;"/"&amp;TEXT(F142+1,"YYYY-MM-DD")&amp;"/ "&amp;search_path&amp;"\RTDC"&amp;B142&amp;"\"&amp;TEXT(F142+1,"YYYY-MM-DD")&amp;" --recursive &amp; """&amp;walkandungz&amp;""" "&amp;search_path&amp;"\RTDC"&amp;B142&amp;"\"&amp;TEXT(F142+1,"YYYY-MM-DD")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42" s="96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/stypes="app*4043*20160919*" /stext=" 04:.+((SYSTEM_STATE.+slice.+state.+changed )|(ment ac)|(system.+state.+changed )|(\|lc)|(penalty)|(\[timeout)|(PRM\|1\|D)|(kpr)|(kdp))" /e /r /s</v>
      </c>
      <c r="AG142" s="1" t="str">
        <f>IFERROR(IF(VALUE(LEFT(AD142,2))&lt;=2,"EC",IF(OR(VALUE(LEFT(AD142,2))=8,VALUE(LEFT(AD142,2))=18),"NW","Other")),"Other")</f>
        <v>EC</v>
      </c>
      <c r="AH142" s="100" t="str">
        <f t="shared" si="7"/>
        <v>"%USERPROFILE%\Documents\GitHub\eaglep3\Utilities\RefineRTDCRunTimes.py" --tripid 230-18 --locoid 4043 --swversion DE.1.0.7.0 --startMP 204:232965 --initTime 2016-09-18T21:47:05 --startdatetime 2016-09-18T21:56:27 --delay 1 --endMP 204:145 --enddatetime 2016-09-18T22:36:07 --enforcementcount 0 &gt;&gt;C:\Users\stu\Documents\GitHub\eaglep3-reporting\EC\2016-09-18-refined-times.txt</v>
      </c>
      <c r="AI142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ID","value":"230-18"},{"id":16,"name":"Locomotive ID","value":"4043"},{"id":130,"name":"Impact","value":""},{"id":150,"name":"Time of Event (Mountain Time)","value":"22:36:07"},{"id":151,"name":"Denver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583</v>
      </c>
      <c r="B143" s="7">
        <v>4027</v>
      </c>
      <c r="C143" s="24" t="s">
        <v>106</v>
      </c>
      <c r="D143" s="24" t="s">
        <v>327</v>
      </c>
      <c r="E143" s="15">
        <v>42631.891944444447</v>
      </c>
      <c r="F143" s="15">
        <v>42631.896435185183</v>
      </c>
      <c r="G143" s="7">
        <v>6</v>
      </c>
      <c r="H143" s="15" t="s">
        <v>221</v>
      </c>
      <c r="I143" s="15">
        <v>42631.920405092591</v>
      </c>
      <c r="J143" s="7">
        <v>0</v>
      </c>
      <c r="K143" s="121" t="str">
        <f>IF(ISEVEN(B143),(B143-1)&amp;"/"&amp;B143,B143&amp;"/"&amp;(B143+1))</f>
        <v>4027/4028</v>
      </c>
      <c r="L143" s="24" t="str">
        <f>VLOOKUP(A143,'Trips&amp;Operators'!$C$1:$E$10000,3,FALSE)</f>
        <v>COOLAHAN</v>
      </c>
      <c r="M143" s="6">
        <f>I143-F143</f>
        <v>2.396990740817273E-2</v>
      </c>
      <c r="N143" s="7">
        <f>24*60*SUM($M143:$M143)</f>
        <v>34.516666667768732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https://search-rtdc-monitor-bjffxe2xuh6vdkpspy63sjmuny.us-east-1.es.amazonaws.com/_plugin/kibana/#/discover/Steve-Slow-Train-Analysis-(2080s-and-2083s)?_g=(refreshInterval:(display:Off,section:0,value:0),time:(from:'2016-09-18 20:24:24-0600',mode:absolute,to:'2016-09-18 23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43" s="54" t="str">
        <f>IF(AA143&lt;IF(AG143="EC",23,5.65),"Y","N")</f>
        <v>N</v>
      </c>
      <c r="X143" s="168">
        <f>VALUE(LEFT(AD143,4))-VALUE(LEFT(AD142,4))</f>
        <v>1</v>
      </c>
      <c r="Y143" s="69">
        <f>RIGHT(D143,LEN(D143)-4)/10000</f>
        <v>4.3999999999999997E-2</v>
      </c>
      <c r="Z143" s="69">
        <f>RIGHT(H143,LEN(H143)-4)/10000</f>
        <v>23.3291</v>
      </c>
      <c r="AA143" s="69">
        <f>ABS(Z143-Y143)</f>
        <v>23.2851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>IF(LEN(A143)=6,"0"&amp;A143,A143)</f>
        <v>0231-18</v>
      </c>
      <c r="AE143" s="99" t="str">
        <f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43" s="96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/stypes="app*4027*20160919*" /stext=" 04:.+((SYSTEM_STATE.+slice.+state.+changed )|(ment ac)|(system.+state.+changed )|(\|lc)|(penalty)|(\[timeout)|(PRM\|1\|D)|(kpr)|(kdp))" /e /r /s</v>
      </c>
      <c r="AG143" s="1" t="str">
        <f>IFERROR(IF(VALUE(LEFT(AD143,2))&lt;=2,"EC",IF(OR(VALUE(LEFT(AD143,2))=8,VALUE(LEFT(AD143,2))=18),"NW","Other")),"Other")</f>
        <v>EC</v>
      </c>
      <c r="AH143" s="100" t="str">
        <f t="shared" si="7"/>
        <v>"%USERPROFILE%\Documents\GitHub\eaglep3\Utilities\RefineRTDCRunTimes.py" --tripid 231-18 --locoid 4027 --swversion DE.1.0.7.0 --startMP 204:440 --initTime 2016-09-18T21:24:24 --startdatetime 2016-09-18T21:30:52 --delay 6 --endMP 204:233291 --enddatetime 2016-09-18T22:05:23 --enforcementcount 0 &gt;&gt;C:\Users\stu\Documents\GitHub\eaglep3-reporting\EC\2016-09-18-refined-times.txt</v>
      </c>
      <c r="AI143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ID","value":"231-18"},{"id":16,"name":"Locomotive ID","value":"4027"},{"id":130,"name":"Impact","value":""},{"id":150,"name":"Time of Event (Mountain Time)","value":"22:05:23"},{"id":151,"name":"Denver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588</v>
      </c>
      <c r="B144" s="7">
        <v>4028</v>
      </c>
      <c r="C144" s="24" t="s">
        <v>106</v>
      </c>
      <c r="D144" s="24" t="s">
        <v>234</v>
      </c>
      <c r="E144" s="15">
        <v>42631.930509259262</v>
      </c>
      <c r="F144" s="15">
        <v>42631.935127314813</v>
      </c>
      <c r="G144" s="7">
        <v>1</v>
      </c>
      <c r="H144" s="15" t="s">
        <v>127</v>
      </c>
      <c r="I144" s="15">
        <v>42631.961006944446</v>
      </c>
      <c r="J144" s="7">
        <v>0</v>
      </c>
      <c r="K144" s="121" t="str">
        <f>IF(ISEVEN(B144),(B144-1)&amp;"/"&amp;B144,B144&amp;"/"&amp;(B144+1))</f>
        <v>4027/4028</v>
      </c>
      <c r="L144" s="24" t="str">
        <f>VLOOKUP(A144,'Trips&amp;Operators'!$C$1:$E$10000,3,FALSE)</f>
        <v>COOLAHAN</v>
      </c>
      <c r="M144" s="6">
        <f>I144-F144</f>
        <v>2.587962963298196E-2</v>
      </c>
      <c r="N144" s="7">
        <f>24*60*SUM($M144:$M144)</f>
        <v>37.266666671494022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https://search-rtdc-monitor-bjffxe2xuh6vdkpspy63sjmuny.us-east-1.es.amazonaws.com/_plugin/kibana/#/discover/Steve-Slow-Train-Analysis-(2080s-and-2083s)?_g=(refreshInterval:(display:Off,section:0,value:0),time:(from:'2016-09-18 21:19:56-0600',mode:absolute,to:'2016-09-19 00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4" s="54" t="str">
        <f>IF(AA144&lt;IF(AG144="EC",23,5.65),"Y","N")</f>
        <v>N</v>
      </c>
      <c r="X144" s="168">
        <f>VALUE(LEFT(AD144,4))-VALUE(LEFT(AD143,4))</f>
        <v>1</v>
      </c>
      <c r="Y144" s="69">
        <f>RIGHT(D144,LEN(D144)-4)/10000</f>
        <v>23.298400000000001</v>
      </c>
      <c r="Z144" s="69">
        <f>RIGHT(H144,LEN(H144)-4)/10000</f>
        <v>1.54E-2</v>
      </c>
      <c r="AA144" s="69">
        <f>ABS(Z144-Y144)</f>
        <v>23.283000000000001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>IF(LEN(A144)=6,"0"&amp;A144,A144)</f>
        <v>0232-18</v>
      </c>
      <c r="AE144" s="99" t="str">
        <f>"aws s3 cp "&amp;s3_bucket&amp;"/RTDC"&amp;B144&amp;"/"&amp;TEXT(F144,"YYYY-MM-DD")&amp;"/ "&amp;search_path&amp;"\RTDC"&amp;B144&amp;"\"&amp;TEXT(F144,"YYYY-MM-DD")&amp;" --recursive &amp; """&amp;walkandungz&amp;""" "&amp;search_path&amp;"\RTDC"&amp;B144&amp;"\"&amp;TEXT(F144,"YYYY-MM-DD")
&amp;" &amp; "&amp;"aws s3 cp "&amp;s3_bucket&amp;"/RTDC"&amp;B144&amp;"/"&amp;TEXT(F144+1,"YYYY-MM-DD")&amp;"/ "&amp;search_path&amp;"\RTDC"&amp;B144&amp;"\"&amp;TEXT(F144+1,"YYYY-MM-DD")&amp;" --recursive &amp; """&amp;walkandungz&amp;""" "&amp;search_path&amp;"\RTDC"&amp;B144&amp;"\"&amp;TEXT(F144+1,"YYYY-MM-DD")</f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44" s="96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/stypes="app*4028*20160919*" /stext=" 05:.+((SYSTEM_STATE.+slice.+state.+changed )|(ment ac)|(system.+state.+changed )|(\|lc)|(penalty)|(\[timeout)|(PRM\|1\|D)|(kpr)|(kdp))" /e /r /s</v>
      </c>
      <c r="AG144" s="1" t="str">
        <f>IFERROR(IF(VALUE(LEFT(AD144,2))&lt;=2,"EC",IF(OR(VALUE(LEFT(AD144,2))=8,VALUE(LEFT(AD144,2))=18),"NW","Other")),"Other")</f>
        <v>EC</v>
      </c>
      <c r="AH144" s="100" t="str">
        <f t="shared" si="7"/>
        <v>"%USERPROFILE%\Documents\GitHub\eaglep3\Utilities\RefineRTDCRunTimes.py" --tripid 232-18 --locoid 4028 --swversion DE.1.0.7.0 --startMP 204:232984 --initTime 2016-09-18T22:19:56 --startdatetime 2016-09-18T22:26:35 --delay 1 --endMP 204:154 --enddatetime 2016-09-18T23:03:51 --enforcementcount 0 &gt;&gt;C:\Users\stu\Documents\GitHub\eaglep3-reporting\EC\2016-09-18-refined-times.txt</v>
      </c>
      <c r="AI144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ID","value":"232-18"},{"id":16,"name":"Locomotive ID","value":"4028"},{"id":130,"name":"Impact","value":""},{"id":150,"name":"Time of Event (Mountain Time)","value":"23:03:51"},{"id":151,"name":"Denver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426</v>
      </c>
      <c r="B145" s="7">
        <v>4016</v>
      </c>
      <c r="C145" s="24" t="s">
        <v>106</v>
      </c>
      <c r="D145" s="24" t="s">
        <v>223</v>
      </c>
      <c r="E145" s="15">
        <v>42631.911886574075</v>
      </c>
      <c r="F145" s="15">
        <v>42631.916817129626</v>
      </c>
      <c r="G145" s="7">
        <v>1</v>
      </c>
      <c r="H145" s="15" t="s">
        <v>322</v>
      </c>
      <c r="I145" s="15">
        <v>42631.941180555557</v>
      </c>
      <c r="J145" s="7">
        <v>0</v>
      </c>
      <c r="K145" s="121" t="str">
        <f>IF(ISEVEN(B145),(B145-1)&amp;"/"&amp;B145,B145&amp;"/"&amp;(B145+1))</f>
        <v>4015/4016</v>
      </c>
      <c r="L145" s="24" t="str">
        <f>VLOOKUP(A145,'Trips&amp;Operators'!$C$1:$E$10000,3,FALSE)</f>
        <v>NEWELL</v>
      </c>
      <c r="M145" s="6">
        <f>I145-F145</f>
        <v>2.436342593136942E-2</v>
      </c>
      <c r="N145" s="7">
        <f>24*60*SUM($M145:$M145)</f>
        <v>35.083333341171965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https://search-rtdc-monitor-bjffxe2xuh6vdkpspy63sjmuny.us-east-1.es.amazonaws.com/_plugin/kibana/#/discover/Steve-Slow-Train-Analysis-(2080s-and-2083s)?_g=(refreshInterval:(display:Off,section:0,value:0),time:(from:'2016-09-18 20:53:07-0600',mode:absolute,to:'2016-09-18 23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5" s="54" t="str">
        <f>IF(AA145&lt;IF(AG145="EC",23,5.65),"Y","N")</f>
        <v>N</v>
      </c>
      <c r="X145" s="168">
        <f>VALUE(LEFT(AD145,4))-VALUE(LEFT(AD144,4))</f>
        <v>1</v>
      </c>
      <c r="Y145" s="69">
        <f>RIGHT(D145,LEN(D145)-4)/10000</f>
        <v>4.5699999999999998E-2</v>
      </c>
      <c r="Z145" s="69">
        <f>RIGHT(H145,LEN(H145)-4)/10000</f>
        <v>23.326799999999999</v>
      </c>
      <c r="AA145" s="69">
        <f>ABS(Z145-Y145)</f>
        <v>23.281099999999999</v>
      </c>
      <c r="AB145" s="66" t="str">
        <f>VLOOKUP(A145,Enforcements!$C$7:$K$20,8,0)</f>
        <v>Speed (6)</v>
      </c>
      <c r="AC145" s="62" t="str">
        <f>VLOOKUP(A145,Enforcements!$C$7:$E$20,3,0)</f>
        <v>PERMANENT SPEED RESTRICTION</v>
      </c>
      <c r="AD145" s="63" t="str">
        <f>IF(LEN(A145)=6,"0"&amp;A145,A145)</f>
        <v>0233-18</v>
      </c>
      <c r="AE145" s="99" t="str">
        <f>"aws s3 cp "&amp;s3_bucket&amp;"/RTDC"&amp;B145&amp;"/"&amp;TEXT(F145,"YYYY-MM-DD")&amp;"/ "&amp;search_path&amp;"\RTDC"&amp;B145&amp;"\"&amp;TEXT(F145,"YYYY-MM-DD")&amp;" --recursive &amp; """&amp;walkandungz&amp;""" "&amp;search_path&amp;"\RTDC"&amp;B145&amp;"\"&amp;TEXT(F145,"YYYY-MM-DD")
&amp;" &amp; "&amp;"aws s3 cp "&amp;s3_bucket&amp;"/RTDC"&amp;B145&amp;"/"&amp;TEXT(F145+1,"YYYY-MM-DD")&amp;"/ "&amp;search_path&amp;"\RTDC"&amp;B145&amp;"\"&amp;TEXT(F145+1,"YYYY-MM-DD")&amp;" --recursive &amp; """&amp;walkandungz&amp;""" "&amp;search_path&amp;"\RTDC"&amp;B145&amp;"\"&amp;TEXT(F145+1,"YYYY-MM-DD")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45" s="96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/stypes="app*4016*20160919*" /stext=" 04:.+((SYSTEM_STATE.+slice.+state.+changed )|(ment ac)|(system.+state.+changed )|(\|lc)|(penalty)|(\[timeout)|(PRM\|1\|D)|(kpr)|(kdp))" /e /r /s</v>
      </c>
      <c r="AG145" s="1" t="str">
        <f>IFERROR(IF(VALUE(LEFT(AD145,2))&lt;=2,"EC",IF(OR(VALUE(LEFT(AD145,2))=8,VALUE(LEFT(AD145,2))=18),"NW","Other")),"Other")</f>
        <v>EC</v>
      </c>
      <c r="AH145" s="100" t="str">
        <f t="shared" si="7"/>
        <v>"%USERPROFILE%\Documents\GitHub\eaglep3\Utilities\RefineRTDCRunTimes.py" --tripid 233-18 --locoid 4016 --swversion DE.1.0.7.0 --startMP 204:457 --initTime 2016-09-18T21:53:07 --startdatetime 2016-09-18T22:00:13 --delay 1 --endMP 204:233268 --enddatetime 2016-09-18T22:35:18 --enforcementcount 0 &gt;&gt;C:\Users\stu\Documents\GitHub\eaglep3-reporting\EC\2016-09-18-refined-times.txt</v>
      </c>
      <c r="AI145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{"issue":{"subject":"","project_id":79,"tracker_id":40,"status_id":1,"priority_id":2,"assigned_to_id":23,"start_date":"2016-09-18","description":"","custom_fields":[{"id":1,"name":"Subdivision","value":"EC"},{"id":4,"name":"Milepost","value":"23.3268"},{"id":17,"name":"Train ID","value":"233-18"},{"id":16,"name":"Locomotive ID","value":"4016"},{"id":130,"name":"Impact","value":""},{"id":150,"name":"Time of Event (Mountain Time)","value":"22:35:18"},{"id":151,"name":"Denver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591</v>
      </c>
      <c r="B146" s="7">
        <v>4015</v>
      </c>
      <c r="C146" s="24" t="s">
        <v>106</v>
      </c>
      <c r="D146" s="24" t="s">
        <v>241</v>
      </c>
      <c r="E146" s="15">
        <v>42631.950891203705</v>
      </c>
      <c r="F146" s="15">
        <v>42631.955706018518</v>
      </c>
      <c r="G146" s="7">
        <v>1</v>
      </c>
      <c r="H146" s="15" t="s">
        <v>214</v>
      </c>
      <c r="I146" s="15">
        <v>42631.981909722221</v>
      </c>
      <c r="J146" s="7">
        <v>0</v>
      </c>
      <c r="K146" s="121" t="str">
        <f>IF(ISEVEN(B146),(B146-1)&amp;"/"&amp;B146,B146&amp;"/"&amp;(B146+1))</f>
        <v>4015/4016</v>
      </c>
      <c r="L146" s="24" t="str">
        <f>VLOOKUP(A146,'Trips&amp;Operators'!$C$1:$E$10000,3,FALSE)</f>
        <v>NEWELL</v>
      </c>
      <c r="M146" s="6">
        <f>I146-F146</f>
        <v>2.6203703702776693E-2</v>
      </c>
      <c r="N146" s="7">
        <f>24*60*SUM($M146:$M146)</f>
        <v>37.733333331998438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https://search-rtdc-monitor-bjffxe2xuh6vdkpspy63sjmuny.us-east-1.es.amazonaws.com/_plugin/kibana/#/discover/Steve-Slow-Train-Analysis-(2080s-and-2083s)?_g=(refreshInterval:(display:Off,section:0,value:0),time:(from:'2016-09-18 21:49:17-0600',mode:absolute,to:'2016-09-19 00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6" s="54" t="str">
        <f>IF(AA146&lt;IF(AG146="EC",23,5.65),"Y","N")</f>
        <v>N</v>
      </c>
      <c r="X146" s="168">
        <f>VALUE(LEFT(AD146,4))-VALUE(LEFT(AD145,4))</f>
        <v>1</v>
      </c>
      <c r="Y146" s="69">
        <f>RIGHT(D146,LEN(D146)-4)/10000</f>
        <v>23.297999999999998</v>
      </c>
      <c r="Z146" s="69">
        <f>RIGHT(H146,LEN(H146)-4)/10000</f>
        <v>1.6E-2</v>
      </c>
      <c r="AA146" s="69">
        <f>ABS(Z146-Y146)</f>
        <v>23.282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>IF(LEN(A146)=6,"0"&amp;A146,A146)</f>
        <v>0234-18</v>
      </c>
      <c r="AE146" s="99" t="str">
        <f>"aws s3 cp "&amp;s3_bucket&amp;"/RTDC"&amp;B146&amp;"/"&amp;TEXT(F146,"YYYY-MM-DD")&amp;"/ "&amp;search_path&amp;"\RTDC"&amp;B146&amp;"\"&amp;TEXT(F146,"YYYY-MM-DD")&amp;" --recursive &amp; """&amp;walkandungz&amp;""" "&amp;search_path&amp;"\RTDC"&amp;B146&amp;"\"&amp;TEXT(F146,"YYYY-MM-DD")
&amp;" &amp; "&amp;"aws s3 cp "&amp;s3_bucket&amp;"/RTDC"&amp;B146&amp;"/"&amp;TEXT(F146+1,"YYYY-MM-DD")&amp;"/ "&amp;search_path&amp;"\RTDC"&amp;B146&amp;"\"&amp;TEXT(F146+1,"YYYY-MM-DD")&amp;" --recursive &amp; """&amp;walkandungz&amp;""" "&amp;search_path&amp;"\RTDC"&amp;B146&amp;"\"&amp;TEXT(F146+1,"YYYY-MM-DD")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46" s="96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/stypes="app*4015*20160919*" /stext=" 05:.+((SYSTEM_STATE.+slice.+state.+changed )|(ment ac)|(system.+state.+changed )|(\|lc)|(penalty)|(\[timeout)|(PRM\|1\|D)|(kpr)|(kdp))" /e /r /s</v>
      </c>
      <c r="AG146" s="1" t="str">
        <f>IFERROR(IF(VALUE(LEFT(AD146,2))&lt;=2,"EC",IF(OR(VALUE(LEFT(AD146,2))=8,VALUE(LEFT(AD146,2))=18),"NW","Other")),"Other")</f>
        <v>EC</v>
      </c>
      <c r="AH146" s="100" t="str">
        <f t="shared" si="7"/>
        <v>"%USERPROFILE%\Documents\GitHub\eaglep3\Utilities\RefineRTDCRunTimes.py" --tripid 234-18 --locoid 4015 --swversion DE.1.0.7.0 --startMP 204:232980 --initTime 2016-09-18T22:49:17 --startdatetime 2016-09-18T22:56:13 --delay 1 --endMP 204:160 --enddatetime 2016-09-18T23:33:57 --enforcementcount 0 &gt;&gt;C:\Users\stu\Documents\GitHub\eaglep3-reporting\EC\2016-09-18-refined-times.txt</v>
      </c>
      <c r="AI146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ID","value":"234-18"},{"id":16,"name":"Locomotive ID","value":"4015"},{"id":130,"name":"Impact","value":""},{"id":150,"name":"Time of Event (Mountain Time)","value":"23:33:57"},{"id":151,"name":"Denver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589</v>
      </c>
      <c r="B147" s="7">
        <v>4009</v>
      </c>
      <c r="C147" s="24" t="s">
        <v>106</v>
      </c>
      <c r="D147" s="24" t="s">
        <v>244</v>
      </c>
      <c r="E147" s="15">
        <v>42631.937314814815</v>
      </c>
      <c r="F147" s="15">
        <v>42631.938530092593</v>
      </c>
      <c r="G147" s="7">
        <v>1</v>
      </c>
      <c r="H147" s="15" t="s">
        <v>365</v>
      </c>
      <c r="I147" s="15">
        <v>42631.962951388887</v>
      </c>
      <c r="J147" s="7">
        <v>0</v>
      </c>
      <c r="K147" s="121" t="str">
        <f>IF(ISEVEN(B147),(B147-1)&amp;"/"&amp;B147,B147&amp;"/"&amp;(B147+1))</f>
        <v>4009/4010</v>
      </c>
      <c r="L147" s="24" t="str">
        <f>VLOOKUP(A147,'Trips&amp;Operators'!$C$1:$E$10000,3,FALSE)</f>
        <v>CHANDLER</v>
      </c>
      <c r="M147" s="6">
        <f>I147-F147</f>
        <v>2.4421296293439809E-2</v>
      </c>
      <c r="N147" s="7">
        <f>24*60*SUM($M147:$M147)</f>
        <v>35.166666662553325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https://search-rtdc-monitor-bjffxe2xuh6vdkpspy63sjmuny.us-east-1.es.amazonaws.com/_plugin/kibana/#/discover/Steve-Slow-Train-Analysis-(2080s-and-2083s)?_g=(refreshInterval:(display:Off,section:0,value:0),time:(from:'2016-09-18 21:29:44-0600',mode:absolute,to:'2016-09-19 00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7" s="54" t="str">
        <f>IF(AA147&lt;IF(AG147="EC",23,5.65),"Y","N")</f>
        <v>N</v>
      </c>
      <c r="X147" s="168">
        <f>VALUE(LEFT(AD147,4))-VALUE(LEFT(AD146,4))</f>
        <v>1</v>
      </c>
      <c r="Y147" s="69">
        <f>RIGHT(D147,LEN(D147)-4)/10000</f>
        <v>4.6899999999999997E-2</v>
      </c>
      <c r="Z147" s="69">
        <f>RIGHT(H147,LEN(H147)-4)/10000</f>
        <v>23.328199999999999</v>
      </c>
      <c r="AA147" s="69">
        <f>ABS(Z147-Y147)</f>
        <v>23.281299999999998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>IF(LEN(A147)=6,"0"&amp;A147,A147)</f>
        <v>0235-18</v>
      </c>
      <c r="AE147" s="99" t="str">
        <f>"aws s3 cp "&amp;s3_bucket&amp;"/RTDC"&amp;B147&amp;"/"&amp;TEXT(F147,"YYYY-MM-DD")&amp;"/ "&amp;search_path&amp;"\RTDC"&amp;B147&amp;"\"&amp;TEXT(F147,"YYYY-MM-DD")&amp;" --recursive &amp; """&amp;walkandungz&amp;""" "&amp;search_path&amp;"\RTDC"&amp;B147&amp;"\"&amp;TEXT(F147,"YYYY-MM-DD")
&amp;" &amp; "&amp;"aws s3 cp "&amp;s3_bucket&amp;"/RTDC"&amp;B147&amp;"/"&amp;TEXT(F147+1,"YYYY-MM-DD")&amp;"/ "&amp;search_path&amp;"\RTDC"&amp;B147&amp;"\"&amp;TEXT(F147+1,"YYYY-MM-DD")&amp;" --recursive &amp; """&amp;walkandungz&amp;""" "&amp;search_path&amp;"\RTDC"&amp;B147&amp;"\"&amp;TEXT(F147+1,"YYYY-MM-DD")</f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47" s="96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/stypes="app*4009*20160919*" /stext=" 05:.+((SYSTEM_STATE.+slice.+state.+changed )|(ment ac)|(system.+state.+changed )|(\|lc)|(penalty)|(\[timeout)|(PRM\|1\|D)|(kpr)|(kdp))" /e /r /s</v>
      </c>
      <c r="AG147" s="1" t="str">
        <f>IFERROR(IF(VALUE(LEFT(AD147,2))&lt;=2,"EC",IF(OR(VALUE(LEFT(AD147,2))=8,VALUE(LEFT(AD147,2))=18),"NW","Other")),"Other")</f>
        <v>EC</v>
      </c>
      <c r="AH147" s="100" t="str">
        <f t="shared" si="7"/>
        <v>"%USERPROFILE%\Documents\GitHub\eaglep3\Utilities\RefineRTDCRunTimes.py" --tripid 235-18 --locoid 4009 --swversion DE.1.0.7.0 --startMP 204:469 --initTime 2016-09-18T22:29:44 --startdatetime 2016-09-18T22:31:29 --delay 1 --endMP 204:233282 --enddatetime 2016-09-18T23:06:39 --enforcementcount 0 &gt;&gt;C:\Users\stu\Documents\GitHub\eaglep3-reporting\EC\2016-09-18-refined-times.txt</v>
      </c>
      <c r="AI147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{"issue":{"subject":"","project_id":79,"tracker_id":40,"status_id":1,"priority_id":2,"assigned_to_id":23,"start_date":"2016-09-18","description":"","custom_fields":[{"id":1,"name":"Subdivision","value":"EC"},{"id":4,"name":"Milepost","value":"23.3282"},{"id":17,"name":"Train ID","value":"235-18"},{"id":16,"name":"Locomotive ID","value":"4009"},{"id":130,"name":"Impact","value":""},{"id":150,"name":"Time of Event (Mountain Time)","value":"23:06:39"},{"id":151,"name":"Denver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593</v>
      </c>
      <c r="B148" s="7">
        <v>4010</v>
      </c>
      <c r="C148" s="24" t="s">
        <v>106</v>
      </c>
      <c r="D148" s="24" t="s">
        <v>366</v>
      </c>
      <c r="E148" s="15">
        <v>42631.975011574075</v>
      </c>
      <c r="F148" s="15">
        <v>42631.976770833331</v>
      </c>
      <c r="G148" s="7">
        <v>1</v>
      </c>
      <c r="H148" s="15" t="s">
        <v>337</v>
      </c>
      <c r="I148" s="15">
        <v>42632.00445601852</v>
      </c>
      <c r="J148" s="7">
        <v>0</v>
      </c>
      <c r="K148" s="121" t="str">
        <f>IF(ISEVEN(B148),(B148-1)&amp;"/"&amp;B148,B148&amp;"/"&amp;(B148+1))</f>
        <v>4009/4010</v>
      </c>
      <c r="L148" s="24" t="str">
        <f>VLOOKUP(A148,'Trips&amp;Operators'!$C$1:$E$10000,3,FALSE)</f>
        <v>CHANDLER</v>
      </c>
      <c r="M148" s="6">
        <f>I148-F148</f>
        <v>2.768518518860219E-2</v>
      </c>
      <c r="N148" s="7">
        <f>24*60*SUM($M148:$M148)</f>
        <v>39.866666671587154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https://search-rtdc-monitor-bjffxe2xuh6vdkpspy63sjmuny.us-east-1.es.amazonaws.com/_plugin/kibana/#/discover/Steve-Slow-Train-Analysis-(2080s-and-2083s)?_g=(refreshInterval:(display:Off,section:0,value:0),time:(from:'2016-09-18 22:24:01-0600',mode:absolute,to:'2016-09-19 01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8" s="54" t="str">
        <f>IF(AA148&lt;IF(AG148="EC",23,5.65),"Y","N")</f>
        <v>N</v>
      </c>
      <c r="X148" s="168">
        <f>VALUE(LEFT(AD148,4))-VALUE(LEFT(AD147,4))</f>
        <v>1</v>
      </c>
      <c r="Y148" s="69">
        <f>RIGHT(D148,LEN(D148)-4)/10000</f>
        <v>23.296099999999999</v>
      </c>
      <c r="Z148" s="69">
        <f>RIGHT(H148,LEN(H148)-4)/10000</f>
        <v>1.67E-2</v>
      </c>
      <c r="AA148" s="69">
        <f>ABS(Z148-Y148)</f>
        <v>23.279399999999999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>IF(LEN(A148)=6,"0"&amp;A148,A148)</f>
        <v>0236-18</v>
      </c>
      <c r="AE148" s="99" t="str">
        <f>"aws s3 cp "&amp;s3_bucket&amp;"/RTDC"&amp;B148&amp;"/"&amp;TEXT(F148,"YYYY-MM-DD")&amp;"/ "&amp;search_path&amp;"\RTDC"&amp;B148&amp;"\"&amp;TEXT(F148,"YYYY-MM-DD")&amp;" --recursive &amp; """&amp;walkandungz&amp;""" "&amp;search_path&amp;"\RTDC"&amp;B148&amp;"\"&amp;TEXT(F148,"YYYY-MM-DD")
&amp;" &amp; "&amp;"aws s3 cp "&amp;s3_bucket&amp;"/RTDC"&amp;B148&amp;"/"&amp;TEXT(F148+1,"YYYY-MM-DD")&amp;"/ "&amp;search_path&amp;"\RTDC"&amp;B148&amp;"\"&amp;TEXT(F148+1,"YYYY-MM-DD")&amp;" --recursive &amp; """&amp;walkandungz&amp;""" "&amp;search_path&amp;"\RTDC"&amp;B148&amp;"\"&amp;TEXT(F148+1,"YYYY-MM-DD")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48" s="96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/stypes="app*4010*20160919*" /stext=" 06:.+((SYSTEM_STATE.+slice.+state.+changed )|(ment ac)|(system.+state.+changed )|(\|lc)|(penalty)|(\[timeout)|(PRM\|1\|D)|(kpr)|(kdp))" /e /r /s</v>
      </c>
      <c r="AG148" s="1" t="str">
        <f>IFERROR(IF(VALUE(LEFT(AD148,2))&lt;=2,"EC",IF(OR(VALUE(LEFT(AD148,2))=8,VALUE(LEFT(AD148,2))=18),"NW","Other")),"Other")</f>
        <v>EC</v>
      </c>
      <c r="AH148" s="100" t="str">
        <f t="shared" si="7"/>
        <v>"%USERPROFILE%\Documents\GitHub\eaglep3\Utilities\RefineRTDCRunTimes.py" --tripid 236-18 --locoid 4010 --swversion DE.1.0.7.0 --startMP 204:232961 --initTime 2016-09-18T23:24:01 --startdatetime 2016-09-18T23:26:33 --delay 1 --endMP 204:167 --enddatetime 2016-09-19T00:06:25 --enforcementcount 0 &gt;&gt;C:\Users\stu\Documents\GitHub\eaglep3-reporting\EC\2016-09-18-refined-times.txt</v>
      </c>
      <c r="AI148" s="134" t="str">
        <f t="shared" si="8"/>
        <v>echo {"issue":{"subject":"","project_id":79,"tracker_id":40,"status_id":1,"priority_id":2,"assigned_to_id":23,"start_date":"2016-09-19","description":"","custom_fields":[{"id":1,"name":"Subdivision","value":"EC"},{"id":4,"name":"Milepost","value":"0.0167"},{"id":17,"name":"Train ID","value":"236-18"},{"id":16,"name":"Locomotive ID","value":"4010"},{"id":130,"name":"Impact","value":""},{"id":150,"name":"Time of Event (Mountain Time)","value":"00:06:25"},{"id":151,"name":"Denver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592</v>
      </c>
      <c r="B149" s="7">
        <v>4044</v>
      </c>
      <c r="C149" s="24" t="s">
        <v>106</v>
      </c>
      <c r="D149" s="24" t="s">
        <v>224</v>
      </c>
      <c r="E149" s="15">
        <v>42631.955127314817</v>
      </c>
      <c r="F149" s="15">
        <v>42631.958518518521</v>
      </c>
      <c r="G149" s="7">
        <v>1</v>
      </c>
      <c r="H149" s="15" t="s">
        <v>375</v>
      </c>
      <c r="I149" s="15">
        <v>42631.984837962962</v>
      </c>
      <c r="J149" s="7">
        <v>0</v>
      </c>
      <c r="K149" s="121" t="str">
        <f>IF(ISEVEN(B149),(B149-1)&amp;"/"&amp;B149,B149&amp;"/"&amp;(B149+1))</f>
        <v>4043/4044</v>
      </c>
      <c r="L149" s="24" t="str">
        <f>VLOOKUP(A149,'Trips&amp;Operators'!$C$1:$E$10000,3,FALSE)</f>
        <v>LEVERE</v>
      </c>
      <c r="M149" s="6">
        <f>I149-F149</f>
        <v>2.6319444441469386E-2</v>
      </c>
      <c r="N149" s="7">
        <f>24*60*SUM($M149:$M149)</f>
        <v>37.899999995715916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https://search-rtdc-monitor-bjffxe2xuh6vdkpspy63sjmuny.us-east-1.es.amazonaws.com/_plugin/kibana/#/discover/Steve-Slow-Train-Analysis-(2080s-and-2083s)?_g=(refreshInterval:(display:Off,section:0,value:0),time:(from:'2016-09-18 21:55:23-0600',mode:absolute,to:'2016-09-19 00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9" s="54" t="str">
        <f>IF(AA149&lt;IF(AG149="EC",23,5.65),"Y","N")</f>
        <v>N</v>
      </c>
      <c r="X149" s="168">
        <f>VALUE(LEFT(AD149,4))-VALUE(LEFT(AD148,4))</f>
        <v>1</v>
      </c>
      <c r="Y149" s="69">
        <f>RIGHT(D149,LEN(D149)-4)/10000</f>
        <v>4.4699999999999997E-2</v>
      </c>
      <c r="Z149" s="69">
        <f>RIGHT(H149,LEN(H149)-4)/10000</f>
        <v>23.328900000000001</v>
      </c>
      <c r="AA149" s="69">
        <f>ABS(Z149-Y149)</f>
        <v>23.284200000000002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>IF(LEN(A149)=6,"0"&amp;A149,A149)</f>
        <v>0237-18</v>
      </c>
      <c r="AE149" s="99" t="str">
        <f>"aws s3 cp "&amp;s3_bucket&amp;"/RTDC"&amp;B149&amp;"/"&amp;TEXT(F149,"YYYY-MM-DD")&amp;"/ "&amp;search_path&amp;"\RTDC"&amp;B149&amp;"\"&amp;TEXT(F149,"YYYY-MM-DD")&amp;" --recursive &amp; """&amp;walkandungz&amp;""" "&amp;search_path&amp;"\RTDC"&amp;B149&amp;"\"&amp;TEXT(F149,"YYYY-MM-DD")
&amp;" &amp; "&amp;"aws s3 cp "&amp;s3_bucket&amp;"/RTDC"&amp;B149&amp;"/"&amp;TEXT(F149+1,"YYYY-MM-DD")&amp;"/ "&amp;search_path&amp;"\RTDC"&amp;B149&amp;"\"&amp;TEXT(F149+1,"YYYY-MM-DD")&amp;" --recursive &amp; """&amp;walkandungz&amp;""" "&amp;search_path&amp;"\RTDC"&amp;B149&amp;"\"&amp;TEXT(F149+1,"YYYY-MM-DD")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49" s="96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/stypes="app*4044*20160919*" /stext=" 05:.+((SYSTEM_STATE.+slice.+state.+changed )|(ment ac)|(system.+state.+changed )|(\|lc)|(penalty)|(\[timeout)|(PRM\|1\|D)|(kpr)|(kdp))" /e /r /s</v>
      </c>
      <c r="AG149" s="1" t="str">
        <f>IFERROR(IF(VALUE(LEFT(AD149,2))&lt;=2,"EC",IF(OR(VALUE(LEFT(AD149,2))=8,VALUE(LEFT(AD149,2))=18),"NW","Other")),"Other")</f>
        <v>EC</v>
      </c>
      <c r="AH149" s="100" t="str">
        <f t="shared" si="7"/>
        <v>"%USERPROFILE%\Documents\GitHub\eaglep3\Utilities\RefineRTDCRunTimes.py" --tripid 237-18 --locoid 4044 --swversion DE.1.0.7.0 --startMP 204:447 --initTime 2016-09-18T22:55:23 --startdatetime 2016-09-18T23:00:16 --delay 1 --endMP 204:233289 --enddatetime 2016-09-18T23:38:10 --enforcementcount 0 &gt;&gt;C:\Users\stu\Documents\GitHub\eaglep3-reporting\EC\2016-09-18-refined-times.txt</v>
      </c>
      <c r="AI149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{"issue":{"subject":"","project_id":79,"tracker_id":40,"status_id":1,"priority_id":2,"assigned_to_id":23,"start_date":"2016-09-18","description":"","custom_fields":[{"id":1,"name":"Subdivision","value":"EC"},{"id":4,"name":"Milepost","value":"23.3289"},{"id":17,"name":"Train ID","value":"237-18"},{"id":16,"name":"Locomotive ID","value":"4044"},{"id":130,"name":"Impact","value":""},{"id":150,"name":"Time of Event (Mountain Time)","value":"23:38:10"},{"id":151,"name":"Denver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595</v>
      </c>
      <c r="B150" s="7">
        <v>4043</v>
      </c>
      <c r="C150" s="24" t="s">
        <v>106</v>
      </c>
      <c r="D150" s="24" t="s">
        <v>239</v>
      </c>
      <c r="E150" s="15">
        <v>42631.992118055554</v>
      </c>
      <c r="F150" s="15">
        <v>42631.997453703705</v>
      </c>
      <c r="G150" s="7">
        <v>1</v>
      </c>
      <c r="H150" s="15" t="s">
        <v>213</v>
      </c>
      <c r="I150" s="15">
        <v>42632.025196759256</v>
      </c>
      <c r="J150" s="7">
        <v>0</v>
      </c>
      <c r="K150" s="121" t="str">
        <f>IF(ISEVEN(B150),(B150-1)&amp;"/"&amp;B150,B150&amp;"/"&amp;(B150+1))</f>
        <v>4043/4044</v>
      </c>
      <c r="L150" s="24" t="str">
        <f>VLOOKUP(A150,'Trips&amp;Operators'!$C$1:$E$10000,3,FALSE)</f>
        <v>LEVERE</v>
      </c>
      <c r="M150" s="6">
        <f>I150-F150</f>
        <v>2.774305555067258E-2</v>
      </c>
      <c r="N150" s="7">
        <f>24*60*SUM($M150:$M150)</f>
        <v>39.949999992968515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https://search-rtdc-monitor-bjffxe2xuh6vdkpspy63sjmuny.us-east-1.es.amazonaws.com/_plugin/kibana/#/discover/Steve-Slow-Train-Analysis-(2080s-and-2083s)?_g=(refreshInterval:(display:Off,section:0,value:0),time:(from:'2016-09-18 22:48:39-0600',mode:absolute,to:'2016-09-19 01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50" s="54" t="str">
        <f>IF(AA150&lt;IF(AG150="EC",23,5.65),"Y","N")</f>
        <v>N</v>
      </c>
      <c r="X150" s="168">
        <f>VALUE(LEFT(AD150,4))-VALUE(LEFT(AD149,4))</f>
        <v>1</v>
      </c>
      <c r="Y150" s="69">
        <f>RIGHT(D150,LEN(D150)-4)/10000</f>
        <v>23.297799999999999</v>
      </c>
      <c r="Z150" s="69">
        <f>RIGHT(H150,LEN(H150)-4)/10000</f>
        <v>1.49E-2</v>
      </c>
      <c r="AA150" s="69">
        <f>ABS(Z150-Y150)</f>
        <v>23.282899999999998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>IF(LEN(A150)=6,"0"&amp;A150,A150)</f>
        <v>0238-18</v>
      </c>
      <c r="AE150" s="99" t="str">
        <f>"aws s3 cp "&amp;s3_bucket&amp;"/RTDC"&amp;B150&amp;"/"&amp;TEXT(F150,"YYYY-MM-DD")&amp;"/ "&amp;search_path&amp;"\RTDC"&amp;B150&amp;"\"&amp;TEXT(F150,"YYYY-MM-DD")&amp;" --recursive &amp; """&amp;walkandungz&amp;""" "&amp;search_path&amp;"\RTDC"&amp;B150&amp;"\"&amp;TEXT(F150,"YYYY-MM-DD")
&amp;" &amp; "&amp;"aws s3 cp "&amp;s3_bucket&amp;"/RTDC"&amp;B150&amp;"/"&amp;TEXT(F150+1,"YYYY-MM-DD")&amp;"/ "&amp;search_path&amp;"\RTDC"&amp;B150&amp;"\"&amp;TEXT(F150+1,"YYYY-MM-DD")&amp;" --recursive &amp; """&amp;walkandungz&amp;""" "&amp;search_path&amp;"\RTDC"&amp;B150&amp;"\"&amp;TEXT(F150+1,"YYYY-MM-DD")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50" s="96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/stypes="app*4043*20160919*" /stext=" 06:.+((SYSTEM_STATE.+slice.+state.+changed )|(ment ac)|(system.+state.+changed )|(\|lc)|(penalty)|(\[timeout)|(PRM\|1\|D)|(kpr)|(kdp))" /e /r /s</v>
      </c>
      <c r="AG150" s="1" t="str">
        <f>IFERROR(IF(VALUE(LEFT(AD150,2))&lt;=2,"EC",IF(OR(VALUE(LEFT(AD150,2))=8,VALUE(LEFT(AD150,2))=18),"NW","Other")),"Other")</f>
        <v>EC</v>
      </c>
      <c r="AH150" s="100" t="str">
        <f t="shared" si="7"/>
        <v>"%USERPROFILE%\Documents\GitHub\eaglep3\Utilities\RefineRTDCRunTimes.py" --tripid 238-18 --locoid 4043 --swversion DE.1.0.7.0 --startMP 204:232978 --initTime 2016-09-18T23:48:39 --startdatetime 2016-09-18T23:56:20 --delay 1 --endMP 204:149 --enddatetime 2016-09-19T00:36:17 --enforcementcount 0 &gt;&gt;C:\Users\stu\Documents\GitHub\eaglep3-reporting\EC\2016-09-18-refined-times.txt</v>
      </c>
      <c r="AI150" s="134" t="str">
        <f t="shared" si="8"/>
        <v>echo {"issue":{"subject":"","project_id":79,"tracker_id":40,"status_id":1,"priority_id":2,"assigned_to_id":23,"start_date":"2016-09-19","description":"","custom_fields":[{"id":1,"name":"Subdivision","value":"EC"},{"id":4,"name":"Milepost","value":"0.0149"},{"id":17,"name":"Train ID","value":"238-18"},{"id":16,"name":"Locomotive ID","value":"4043"},{"id":130,"name":"Impact","value":""},{"id":150,"name":"Time of Event (Mountain Time)","value":"00:36:17"},{"id":151,"name":"Denver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594</v>
      </c>
      <c r="B151" s="7">
        <v>4027</v>
      </c>
      <c r="C151" s="24" t="s">
        <v>106</v>
      </c>
      <c r="D151" s="24" t="s">
        <v>227</v>
      </c>
      <c r="E151" s="15">
        <v>42631.975763888891</v>
      </c>
      <c r="F151" s="15">
        <v>42631.979409722226</v>
      </c>
      <c r="G151" s="7">
        <v>1</v>
      </c>
      <c r="H151" s="15" t="s">
        <v>363</v>
      </c>
      <c r="I151" s="15">
        <v>42632.003796296296</v>
      </c>
      <c r="J151" s="7">
        <v>0</v>
      </c>
      <c r="K151" s="121" t="str">
        <f>IF(ISEVEN(B151),(B151-1)&amp;"/"&amp;B151,B151&amp;"/"&amp;(B151+1))</f>
        <v>4027/4028</v>
      </c>
      <c r="L151" s="24" t="str">
        <f>VLOOKUP(A151,'Trips&amp;Operators'!$C$1:$E$10000,3,FALSE)</f>
        <v>COOLAHAN</v>
      </c>
      <c r="M151" s="6">
        <f>I151-F151</f>
        <v>2.438657407037681E-2</v>
      </c>
      <c r="N151" s="7">
        <f>24*60*SUM($M151:$M151)</f>
        <v>35.116666661342606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https://search-rtdc-monitor-bjffxe2xuh6vdkpspy63sjmuny.us-east-1.es.amazonaws.com/_plugin/kibana/#/discover/Steve-Slow-Train-Analysis-(2080s-and-2083s)?_g=(refreshInterval:(display:Off,section:0,value:0),time:(from:'2016-09-18 22:25:06-0600',mode:absolute,to:'2016-09-19 01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1" s="54" t="str">
        <f>IF(AA151&lt;IF(AG151="EC",23,5.65),"Y","N")</f>
        <v>N</v>
      </c>
      <c r="X151" s="168">
        <f>VALUE(LEFT(AD151,4))-VALUE(LEFT(AD150,4))</f>
        <v>1</v>
      </c>
      <c r="Y151" s="69">
        <f>RIGHT(D151,LEN(D151)-4)/10000</f>
        <v>4.5499999999999999E-2</v>
      </c>
      <c r="Z151" s="69">
        <f>RIGHT(H151,LEN(H151)-4)/10000</f>
        <v>23.3309</v>
      </c>
      <c r="AA151" s="69">
        <f>ABS(Z151-Y151)</f>
        <v>23.285399999999999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>IF(LEN(A151)=6,"0"&amp;A151,A151)</f>
        <v>0239-18</v>
      </c>
      <c r="AE151" s="99" t="str">
        <f>"aws s3 cp "&amp;s3_bucket&amp;"/RTDC"&amp;B151&amp;"/"&amp;TEXT(F151,"YYYY-MM-DD")&amp;"/ "&amp;search_path&amp;"\RTDC"&amp;B151&amp;"\"&amp;TEXT(F151,"YYYY-MM-DD")&amp;" --recursive &amp; """&amp;walkandungz&amp;""" "&amp;search_path&amp;"\RTDC"&amp;B151&amp;"\"&amp;TEXT(F151,"YYYY-MM-DD")
&amp;" &amp; "&amp;"aws s3 cp "&amp;s3_bucket&amp;"/RTDC"&amp;B151&amp;"/"&amp;TEXT(F151+1,"YYYY-MM-DD")&amp;"/ "&amp;search_path&amp;"\RTDC"&amp;B151&amp;"\"&amp;TEXT(F151+1,"YYYY-MM-DD")&amp;" --recursive &amp; """&amp;walkandungz&amp;""" "&amp;search_path&amp;"\RTDC"&amp;B151&amp;"\"&amp;TEXT(F151+1,"YYYY-MM-DD")</f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51" s="96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/stypes="app*4027*20160919*" /stext=" 06:.+((SYSTEM_STATE.+slice.+state.+changed )|(ment ac)|(system.+state.+changed )|(\|lc)|(penalty)|(\[timeout)|(PRM\|1\|D)|(kpr)|(kdp))" /e /r /s</v>
      </c>
      <c r="AG151" s="1" t="str">
        <f>IFERROR(IF(VALUE(LEFT(AD151,2))&lt;=2,"EC",IF(OR(VALUE(LEFT(AD151,2))=8,VALUE(LEFT(AD151,2))=18),"NW","Other")),"Other")</f>
        <v>EC</v>
      </c>
      <c r="AH151" s="100" t="str">
        <f t="shared" si="7"/>
        <v>"%USERPROFILE%\Documents\GitHub\eaglep3\Utilities\RefineRTDCRunTimes.py" --tripid 239-18 --locoid 4027 --swversion DE.1.0.7.0 --startMP 204:455 --initTime 2016-09-18T23:25:06 --startdatetime 2016-09-18T23:30:21 --delay 1 --endMP 204:233309 --enddatetime 2016-09-19T00:05:28 --enforcementcount 0 &gt;&gt;C:\Users\stu\Documents\GitHub\eaglep3-reporting\EC\2016-09-18-refined-times.txt</v>
      </c>
      <c r="AI151" s="134" t="str">
        <f t="shared" si="8"/>
        <v>echo {"issue":{"subject":"","project_id":79,"tracker_id":40,"status_id":1,"priority_id":2,"assigned_to_id":23,"start_date":"2016-09-19","description":"","custom_fields":[{"id":1,"name":"Subdivision","value":"EC"},{"id":4,"name":"Milepost","value":"23.3309"},{"id":17,"name":"Train ID","value":"239-18"},{"id":16,"name":"Locomotive ID","value":"4027"},{"id":130,"name":"Impact","value":""},{"id":150,"name":"Time of Event (Mountain Time)","value":"00:05:28"},{"id":151,"name":"Denver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597</v>
      </c>
      <c r="B152" s="7">
        <v>4028</v>
      </c>
      <c r="C152" s="24" t="s">
        <v>106</v>
      </c>
      <c r="D152" s="24" t="s">
        <v>364</v>
      </c>
      <c r="E152" s="15">
        <v>42632.01457175926</v>
      </c>
      <c r="F152" s="15">
        <v>42632.018229166664</v>
      </c>
      <c r="G152" s="7">
        <v>1</v>
      </c>
      <c r="H152" s="15" t="s">
        <v>337</v>
      </c>
      <c r="I152" s="15">
        <v>42632.043749999997</v>
      </c>
      <c r="J152" s="7">
        <v>0</v>
      </c>
      <c r="K152" s="121" t="str">
        <f>IF(ISEVEN(B152),(B152-1)&amp;"/"&amp;B152,B152&amp;"/"&amp;(B152+1))</f>
        <v>4027/4028</v>
      </c>
      <c r="L152" s="24" t="str">
        <f>VLOOKUP(A152,'Trips&amp;Operators'!$C$1:$E$10000,3,FALSE)</f>
        <v>COOLAHAN</v>
      </c>
      <c r="M152" s="6">
        <f>I152-F152</f>
        <v>2.5520833332848269E-2</v>
      </c>
      <c r="N152" s="7">
        <f>24*60*SUM($M152:$M152)</f>
        <v>36.749999999301508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https://search-rtdc-monitor-bjffxe2xuh6vdkpspy63sjmuny.us-east-1.es.amazonaws.com/_plugin/kibana/#/discover/Steve-Slow-Train-Analysis-(2080s-and-2083s)?_g=(refreshInterval:(display:Off,section:0,value:0),time:(from:'2016-09-18 23:20:59-0600',mode:absolute,to:'2016-09-19 02:03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52" s="54" t="str">
        <f>IF(AA152&lt;IF(AG152="EC",23,5.65),"Y","N")</f>
        <v>N</v>
      </c>
      <c r="X152" s="168">
        <f>VALUE(LEFT(AD152,4))-VALUE(LEFT(AD151,4))</f>
        <v>1</v>
      </c>
      <c r="Y152" s="69">
        <f>RIGHT(D152,LEN(D152)-4)/10000</f>
        <v>23.298999999999999</v>
      </c>
      <c r="Z152" s="69">
        <f>RIGHT(H152,LEN(H152)-4)/10000</f>
        <v>1.67E-2</v>
      </c>
      <c r="AA152" s="69">
        <f>ABS(Z152-Y152)</f>
        <v>23.282299999999999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>IF(LEN(A152)=6,"0"&amp;A152,A152)</f>
        <v>0240-18</v>
      </c>
      <c r="AE152" s="99" t="str">
        <f>"aws s3 cp "&amp;s3_bucket&amp;"/RTDC"&amp;B152&amp;"/"&amp;TEXT(F152,"YYYY-MM-DD")&amp;"/ "&amp;search_path&amp;"\RTDC"&amp;B152&amp;"\"&amp;TEXT(F152,"YYYY-MM-DD")&amp;" --recursive &amp; """&amp;walkandungz&amp;""" "&amp;search_path&amp;"\RTDC"&amp;B152&amp;"\"&amp;TEXT(F152,"YYYY-MM-DD")
&amp;" &amp; "&amp;"aws s3 cp "&amp;s3_bucket&amp;"/RTDC"&amp;B152&amp;"/"&amp;TEXT(F152+1,"YYYY-MM-DD")&amp;"/ "&amp;search_path&amp;"\RTDC"&amp;B152&amp;"\"&amp;TEXT(F152+1,"YYYY-MM-DD")&amp;" --recursive &amp; """&amp;walkandungz&amp;""" "&amp;search_path&amp;"\RTDC"&amp;B152&amp;"\"&amp;TEXT(F152+1,"YYYY-MM-DD")</f>
        <v>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 &amp; aws s3 cp s3://rtdc.mdm.uploadarchive/RTDC4028/2016-09-20/ "%USERPROFILE%\AppData\Local\Temp\OnboardLogs"\RTDC4028\2016-09-20 --recursive &amp; "%USERPROFILE%\Documents\GitHub\mrs-test-scripts\Headless Mode &amp; Sideloading\WalkAndUnGZ.bat" "%USERPROFILE%\AppData\Local\Temp\OnboardLogs"\RTDC4028\2016-09-20</v>
      </c>
      <c r="AF152" s="96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/stypes="app*4028*20160919*" /stext=" 07:.+((SYSTEM_STATE.+slice.+state.+changed )|(ment ac)|(system.+state.+changed )|(\|lc)|(penalty)|(\[timeout)|(PRM\|1\|D)|(kpr)|(kdp))" /e /r /s</v>
      </c>
      <c r="AG152" s="1" t="str">
        <f>IFERROR(IF(VALUE(LEFT(AD152,2))&lt;=2,"EC",IF(OR(VALUE(LEFT(AD152,2))=8,VALUE(LEFT(AD152,2))=18),"NW","Other")),"Other")</f>
        <v>EC</v>
      </c>
      <c r="AH152" s="100" t="str">
        <f t="shared" si="7"/>
        <v>"%USERPROFILE%\Documents\GitHub\eaglep3\Utilities\RefineRTDCRunTimes.py" --tripid 240-18 --locoid 4028 --swversion DE.1.0.7.0 --startMP 204:232990 --initTime 2016-09-19T00:20:59 --startdatetime 2016-09-19T00:26:15 --delay 1 --endMP 204:167 --enddatetime 2016-09-19T01:03:00 --enforcementcount 0 &gt;&gt;C:\Users\stu\Documents\GitHub\eaglep3-reporting\EC\2016-09-18-refined-times.txt</v>
      </c>
      <c r="AI152" s="134" t="str">
        <f t="shared" si="8"/>
        <v>echo {"issue":{"subject":"","project_id":79,"tracker_id":40,"status_id":1,"priority_id":2,"assigned_to_id":23,"start_date":"2016-09-19","description":"","custom_fields":[{"id":1,"name":"Subdivision","value":"EC"},{"id":4,"name":"Milepost","value":"0.0167"},{"id":17,"name":"Train ID","value":"240-18"},{"id":16,"name":"Locomotive ID","value":"4028"},{"id":130,"name":"Impact","value":""},{"id":150,"name":"Time of Event (Mountain Time)","value":"01:03:00"},{"id":151,"name":"Denver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596</v>
      </c>
      <c r="B153" s="7">
        <v>4016</v>
      </c>
      <c r="C153" s="24" t="s">
        <v>106</v>
      </c>
      <c r="D153" s="24" t="s">
        <v>246</v>
      </c>
      <c r="E153" s="15">
        <v>42631.994687500002</v>
      </c>
      <c r="F153" s="15">
        <v>42632.000150462962</v>
      </c>
      <c r="G153" s="7">
        <v>1</v>
      </c>
      <c r="H153" s="15" t="s">
        <v>328</v>
      </c>
      <c r="I153" s="15">
        <v>42632.024502314816</v>
      </c>
      <c r="J153" s="7">
        <v>0</v>
      </c>
      <c r="K153" s="121" t="str">
        <f>IF(ISEVEN(B153),(B153-1)&amp;"/"&amp;B153,B153&amp;"/"&amp;(B153+1))</f>
        <v>4015/4016</v>
      </c>
      <c r="L153" s="24" t="str">
        <f>VLOOKUP(A153,'Trips&amp;Operators'!$C$1:$E$10000,3,FALSE)</f>
        <v>NEWELL</v>
      </c>
      <c r="M153" s="6">
        <f>I153-F153</f>
        <v>2.4351851854589768E-2</v>
      </c>
      <c r="N153" s="7">
        <f>24*60*SUM($M153:$M153)</f>
        <v>35.066666670609266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https://search-rtdc-monitor-bjffxe2xuh6vdkpspy63sjmuny.us-east-1.es.amazonaws.com/_plugin/kibana/#/discover/Steve-Slow-Train-Analysis-(2080s-and-2083s)?_g=(refreshInterval:(display:Off,section:0,value:0),time:(from:'2016-09-18 22:52:21-0600',mode:absolute,to:'2016-09-19 01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3" s="54" t="str">
        <f>IF(AA153&lt;IF(AG153="EC",23,5.65),"Y","N")</f>
        <v>N</v>
      </c>
      <c r="X153" s="168">
        <f>VALUE(LEFT(AD153,4))-VALUE(LEFT(AD152,4))</f>
        <v>1</v>
      </c>
      <c r="Y153" s="69">
        <f>RIGHT(D153,LEN(D153)-4)/10000</f>
        <v>4.7500000000000001E-2</v>
      </c>
      <c r="Z153" s="69">
        <f>RIGHT(H153,LEN(H153)-4)/10000</f>
        <v>23.328600000000002</v>
      </c>
      <c r="AA153" s="69">
        <f>ABS(Z153-Y153)</f>
        <v>23.281100000000002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>IF(LEN(A153)=6,"0"&amp;A153,A153)</f>
        <v>0241-18</v>
      </c>
      <c r="AE153" s="99" t="str">
        <f>"aws s3 cp "&amp;s3_bucket&amp;"/RTDC"&amp;B153&amp;"/"&amp;TEXT(F153,"YYYY-MM-DD")&amp;"/ "&amp;search_path&amp;"\RTDC"&amp;B153&amp;"\"&amp;TEXT(F153,"YYYY-MM-DD")&amp;" --recursive &amp; """&amp;walkandungz&amp;""" "&amp;search_path&amp;"\RTDC"&amp;B153&amp;"\"&amp;TEXT(F153,"YYYY-MM-DD")
&amp;" &amp; "&amp;"aws s3 cp "&amp;s3_bucket&amp;"/RTDC"&amp;B153&amp;"/"&amp;TEXT(F153+1,"YYYY-MM-DD")&amp;"/ "&amp;search_path&amp;"\RTDC"&amp;B153&amp;"\"&amp;TEXT(F153+1,"YYYY-MM-DD")&amp;" --recursive &amp; """&amp;walkandungz&amp;""" "&amp;search_path&amp;"\RTDC"&amp;B153&amp;"\"&amp;TEXT(F153+1,"YYYY-MM-DD")</f>
        <v>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 &amp; aws s3 cp s3://rtdc.mdm.uploadarchive/RTDC4016/2016-09-20/ "%USERPROFILE%\AppData\Local\Temp\OnboardLogs"\RTDC4016\2016-09-20 --recursive &amp; "%USERPROFILE%\Documents\GitHub\mrs-test-scripts\Headless Mode &amp; Sideloading\WalkAndUnGZ.bat" "%USERPROFILE%\AppData\Local\Temp\OnboardLogs"\RTDC4016\2016-09-20</v>
      </c>
      <c r="AF153" s="96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/stypes="app*4016*20160919*" /stext=" 06:.+((SYSTEM_STATE.+slice.+state.+changed )|(ment ac)|(system.+state.+changed )|(\|lc)|(penalty)|(\[timeout)|(PRM\|1\|D)|(kpr)|(kdp))" /e /r /s</v>
      </c>
      <c r="AG153" s="1" t="str">
        <f>IFERROR(IF(VALUE(LEFT(AD153,2))&lt;=2,"EC",IF(OR(VALUE(LEFT(AD153,2))=8,VALUE(LEFT(AD153,2))=18),"NW","Other")),"Other")</f>
        <v>EC</v>
      </c>
      <c r="AH153" s="100" t="str">
        <f t="shared" si="7"/>
        <v>"%USERPROFILE%\Documents\GitHub\eaglep3\Utilities\RefineRTDCRunTimes.py" --tripid 241-18 --locoid 4016 --swversion DE.1.0.7.0 --startMP 204:475 --initTime 2016-09-18T23:52:21 --startdatetime 2016-09-19T00:00:13 --delay 1 --endMP 204:233286 --enddatetime 2016-09-19T00:35:17 --enforcementcount 0 &gt;&gt;C:\Users\stu\Documents\GitHub\eaglep3-reporting\EC\2016-09-18-refined-times.txt</v>
      </c>
      <c r="AI153" s="134" t="str">
        <f t="shared" si="8"/>
        <v>echo {"issue":{"subject":"","project_id":79,"tracker_id":40,"status_id":1,"priority_id":2,"assigned_to_id":23,"start_date":"2016-09-19","description":"","custom_fields":[{"id":1,"name":"Subdivision","value":"EC"},{"id":4,"name":"Milepost","value":"23.3286"},{"id":17,"name":"Train ID","value":"241-18"},{"id":16,"name":"Locomotive ID","value":"4016"},{"id":130,"name":"Impact","value":""},{"id":150,"name":"Time of Event (Mountain Time)","value":"00:35:17"},{"id":151,"name":"Denver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599</v>
      </c>
      <c r="B154" s="7">
        <v>4015</v>
      </c>
      <c r="C154" s="24" t="s">
        <v>106</v>
      </c>
      <c r="D154" s="24" t="s">
        <v>228</v>
      </c>
      <c r="E154" s="15">
        <v>42632.026689814818</v>
      </c>
      <c r="F154" s="15">
        <v>42632.039085648146</v>
      </c>
      <c r="G154" s="7">
        <v>1</v>
      </c>
      <c r="H154" s="15" t="s">
        <v>282</v>
      </c>
      <c r="I154" s="15">
        <v>42632.065694444442</v>
      </c>
      <c r="J154" s="7">
        <v>0</v>
      </c>
      <c r="K154" s="121" t="str">
        <f>IF(ISEVEN(B154),(B154-1)&amp;"/"&amp;B154,B154&amp;"/"&amp;(B154+1))</f>
        <v>4015/4016</v>
      </c>
      <c r="L154" s="24" t="str">
        <f>VLOOKUP(A154,'Trips&amp;Operators'!$C$1:$E$10000,3,FALSE)</f>
        <v>NEWELL</v>
      </c>
      <c r="M154" s="6">
        <f>I154-F154</f>
        <v>2.6608796295477077E-2</v>
      </c>
      <c r="N154" s="7">
        <f>24*60*SUM($M154:$M154)</f>
        <v>38.316666665486991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https://search-rtdc-monitor-bjffxe2xuh6vdkpspy63sjmuny.us-east-1.es.amazonaws.com/_plugin/kibana/#/discover/Steve-Slow-Train-Analysis-(2080s-and-2083s)?_g=(refreshInterval:(display:Off,section:0,value:0),time:(from:'2016-09-18 23:38:26-0600',mode:absolute,to:'2016-09-19 02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54" s="54" t="str">
        <f>IF(AA154&lt;IF(AG154="EC",23,5.65),"Y","N")</f>
        <v>N</v>
      </c>
      <c r="X154" s="168">
        <f>VALUE(LEFT(AD154,4))-VALUE(LEFT(AD153,4))</f>
        <v>1</v>
      </c>
      <c r="Y154" s="69">
        <f>RIGHT(D154,LEN(D154)-4)/10000</f>
        <v>23.297699999999999</v>
      </c>
      <c r="Z154" s="69">
        <f>RIGHT(H154,LEN(H154)-4)/10000</f>
        <v>1.2999999999999999E-2</v>
      </c>
      <c r="AA154" s="69">
        <f>ABS(Z154-Y154)</f>
        <v>23.284699999999997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>IF(LEN(A154)=6,"0"&amp;A154,A154)</f>
        <v>0242-18</v>
      </c>
      <c r="AE154" s="99" t="str">
        <f>"aws s3 cp "&amp;s3_bucket&amp;"/RTDC"&amp;B154&amp;"/"&amp;TEXT(F154,"YYYY-MM-DD")&amp;"/ "&amp;search_path&amp;"\RTDC"&amp;B154&amp;"\"&amp;TEXT(F154,"YYYY-MM-DD")&amp;" --recursive &amp; """&amp;walkandungz&amp;""" "&amp;search_path&amp;"\RTDC"&amp;B154&amp;"\"&amp;TEXT(F154,"YYYY-MM-DD")
&amp;" &amp; "&amp;"aws s3 cp "&amp;s3_bucket&amp;"/RTDC"&amp;B154&amp;"/"&amp;TEXT(F154+1,"YYYY-MM-DD")&amp;"/ "&amp;search_path&amp;"\RTDC"&amp;B154&amp;"\"&amp;TEXT(F154+1,"YYYY-MM-DD")&amp;" --recursive &amp; """&amp;walkandungz&amp;""" "&amp;search_path&amp;"\RTDC"&amp;B154&amp;"\"&amp;TEXT(F154+1,"YYYY-MM-DD")</f>
        <v>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 &amp; aws s3 cp s3://rtdc.mdm.uploadarchive/RTDC4015/2016-09-20/ "%USERPROFILE%\AppData\Local\Temp\OnboardLogs"\RTDC4015\2016-09-20 --recursive &amp; "%USERPROFILE%\Documents\GitHub\mrs-test-scripts\Headless Mode &amp; Sideloading\WalkAndUnGZ.bat" "%USERPROFILE%\AppData\Local\Temp\OnboardLogs"\RTDC4015\2016-09-20</v>
      </c>
      <c r="AF154" s="96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/stypes="app*4015*20160919*" /stext=" 07:.+((SYSTEM_STATE.+slice.+state.+changed )|(ment ac)|(system.+state.+changed )|(\|lc)|(penalty)|(\[timeout)|(PRM\|1\|D)|(kpr)|(kdp))" /e /r /s</v>
      </c>
      <c r="AG154" s="1" t="str">
        <f>IFERROR(IF(VALUE(LEFT(AD154,2))&lt;=2,"EC",IF(OR(VALUE(LEFT(AD154,2))=8,VALUE(LEFT(AD154,2))=18),"NW","Other")),"Other")</f>
        <v>EC</v>
      </c>
      <c r="AH154" s="100" t="str">
        <f t="shared" si="7"/>
        <v>"%USERPROFILE%\Documents\GitHub\eaglep3\Utilities\RefineRTDCRunTimes.py" --tripid 242-18 --locoid 4015 --swversion DE.1.0.7.0 --startMP 204:232977 --initTime 2016-09-19T00:38:26 --startdatetime 2016-09-19T00:56:17 --delay 1 --endMP 204:130 --enddatetime 2016-09-19T01:34:36 --enforcementcount 0 &gt;&gt;C:\Users\stu\Documents\GitHub\eaglep3-reporting\EC\2016-09-18-refined-times.txt</v>
      </c>
      <c r="AI154" s="134" t="str">
        <f t="shared" si="8"/>
        <v>echo {"issue":{"subject":"","project_id":79,"tracker_id":40,"status_id":1,"priority_id":2,"assigned_to_id":23,"start_date":"2016-09-19","description":"","custom_fields":[{"id":1,"name":"Subdivision","value":"EC"},{"id":4,"name":"Milepost","value":"0.013"},{"id":17,"name":"Train ID","value":"242-18"},{"id":16,"name":"Locomotive ID","value":"4015"},{"id":130,"name":"Impact","value":""},{"id":150,"name":"Time of Event (Mountain Time)","value":"01:34:36"},{"id":151,"name":"Denver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598</v>
      </c>
      <c r="B155" s="7">
        <v>4009</v>
      </c>
      <c r="C155" s="24" t="s">
        <v>106</v>
      </c>
      <c r="D155" s="24" t="s">
        <v>227</v>
      </c>
      <c r="E155" s="15">
        <v>42632.020150462966</v>
      </c>
      <c r="F155" s="15">
        <v>42632.021516203706</v>
      </c>
      <c r="G155" s="7">
        <v>1</v>
      </c>
      <c r="H155" s="15" t="s">
        <v>710</v>
      </c>
      <c r="I155" s="15">
        <v>42632.047199074077</v>
      </c>
      <c r="J155" s="7">
        <v>0</v>
      </c>
      <c r="K155" s="121" t="str">
        <f>IF(ISEVEN(B155),(B155-1)&amp;"/"&amp;B155,B155&amp;"/"&amp;(B155+1))</f>
        <v>4009/4010</v>
      </c>
      <c r="L155" s="24" t="str">
        <f>VLOOKUP(A155,'Trips&amp;Operators'!$C$1:$E$10000,3,FALSE)</f>
        <v>CHANDLER</v>
      </c>
      <c r="M155" s="6">
        <f>I155-F155</f>
        <v>2.5682870371383615E-2</v>
      </c>
      <c r="N155" s="7">
        <f>24*60*SUM($M155:$M155)</f>
        <v>36.983333334792405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https://search-rtdc-monitor-bjffxe2xuh6vdkpspy63sjmuny.us-east-1.es.amazonaws.com/_plugin/kibana/#/discover/Steve-Slow-Train-Analysis-(2080s-and-2083s)?_g=(refreshInterval:(display:Off,section:0,value:0),time:(from:'2016-09-18 23:29:01-0600',mode:absolute,to:'2016-09-19 02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5" s="54" t="str">
        <f>IF(AA155&lt;IF(AG155="EC",23,5.65),"Y","N")</f>
        <v>N</v>
      </c>
      <c r="X155" s="168">
        <f>VALUE(LEFT(AD155,4))-VALUE(LEFT(AD154,4))</f>
        <v>1</v>
      </c>
      <c r="Y155" s="69">
        <f>RIGHT(D155,LEN(D155)-4)/10000</f>
        <v>4.5499999999999999E-2</v>
      </c>
      <c r="Z155" s="69">
        <f>RIGHT(H155,LEN(H155)-4)/10000</f>
        <v>23.328399999999998</v>
      </c>
      <c r="AA155" s="69">
        <f>ABS(Z155-Y155)</f>
        <v>23.282899999999998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>IF(LEN(A155)=6,"0"&amp;A155,A155)</f>
        <v>0243-18</v>
      </c>
      <c r="AE155" s="99" t="str">
        <f>"aws s3 cp "&amp;s3_bucket&amp;"/RTDC"&amp;B155&amp;"/"&amp;TEXT(F155,"YYYY-MM-DD")&amp;"/ "&amp;search_path&amp;"\RTDC"&amp;B155&amp;"\"&amp;TEXT(F155,"YYYY-MM-DD")&amp;" --recursive &amp; """&amp;walkandungz&amp;""" "&amp;search_path&amp;"\RTDC"&amp;B155&amp;"\"&amp;TEXT(F155,"YYYY-MM-DD")
&amp;" &amp; "&amp;"aws s3 cp "&amp;s3_bucket&amp;"/RTDC"&amp;B155&amp;"/"&amp;TEXT(F155+1,"YYYY-MM-DD")&amp;"/ "&amp;search_path&amp;"\RTDC"&amp;B155&amp;"\"&amp;TEXT(F155+1,"YYYY-MM-DD")&amp;" --recursive &amp; """&amp;walkandungz&amp;""" "&amp;search_path&amp;"\RTDC"&amp;B155&amp;"\"&amp;TEXT(F155+1,"YYYY-MM-DD")</f>
        <v>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 &amp; 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</v>
      </c>
      <c r="AF155" s="96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/stypes="app*4009*20160919*" /stext=" 07:.+((SYSTEM_STATE.+slice.+state.+changed )|(ment ac)|(system.+state.+changed )|(\|lc)|(penalty)|(\[timeout)|(PRM\|1\|D)|(kpr)|(kdp))" /e /r /s</v>
      </c>
      <c r="AG155" s="1" t="str">
        <f>IFERROR(IF(VALUE(LEFT(AD155,2))&lt;=2,"EC",IF(OR(VALUE(LEFT(AD155,2))=8,VALUE(LEFT(AD155,2))=18),"NW","Other")),"Other")</f>
        <v>EC</v>
      </c>
      <c r="AH155" s="100" t="str">
        <f t="shared" si="7"/>
        <v>"%USERPROFILE%\Documents\GitHub\eaglep3\Utilities\RefineRTDCRunTimes.py" --tripid 243-18 --locoid 4009 --swversion DE.1.0.7.0 --startMP 204:455 --initTime 2016-09-19T00:29:01 --startdatetime 2016-09-19T00:30:59 --delay 1 --endMP 204:233284 --enddatetime 2016-09-19T01:07:58 --enforcementcount 0 &gt;&gt;C:\Users\stu\Documents\GitHub\eaglep3-reporting\EC\2016-09-18-refined-times.txt</v>
      </c>
      <c r="AI155" s="134" t="str">
        <f t="shared" si="8"/>
        <v>echo {"issue":{"subject":"","project_id":79,"tracker_id":40,"status_id":1,"priority_id":2,"assigned_to_id":23,"start_date":"2016-09-19","description":"","custom_fields":[{"id":1,"name":"Subdivision","value":"EC"},{"id":4,"name":"Milepost","value":"23.3284"},{"id":17,"name":"Train ID","value":"243-18"},{"id":16,"name":"Locomotive ID","value":"4009"},{"id":130,"name":"Impact","value":""},{"id":150,"name":"Time of Event (Mountain Time)","value":"01:07:58"},{"id":151,"name":"Denver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602</v>
      </c>
      <c r="B156" s="7">
        <v>4010</v>
      </c>
      <c r="C156" s="24" t="s">
        <v>106</v>
      </c>
      <c r="D156" s="24" t="s">
        <v>366</v>
      </c>
      <c r="E156" s="15">
        <v>42632.058437500003</v>
      </c>
      <c r="F156" s="15">
        <v>42632.060034722221</v>
      </c>
      <c r="G156" s="7">
        <v>1</v>
      </c>
      <c r="H156" s="15" t="s">
        <v>274</v>
      </c>
      <c r="I156" s="15">
        <v>42632.087025462963</v>
      </c>
      <c r="J156" s="7">
        <v>0</v>
      </c>
      <c r="K156" s="121" t="str">
        <f>IF(ISEVEN(B156),(B156-1)&amp;"/"&amp;B156,B156&amp;"/"&amp;(B156+1))</f>
        <v>4009/4010</v>
      </c>
      <c r="L156" s="24" t="str">
        <f>VLOOKUP(A156,'Trips&amp;Operators'!$C$1:$E$10000,3,FALSE)</f>
        <v>CHANDLER</v>
      </c>
      <c r="M156" s="6">
        <f>I156-F156</f>
        <v>2.6990740741894115E-2</v>
      </c>
      <c r="N156" s="7">
        <f>24*60*SUM($M156:$M156)</f>
        <v>38.866666668327525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https://search-rtdc-monitor-bjffxe2xuh6vdkpspy63sjmuny.us-east-1.es.amazonaws.com/_plugin/kibana/#/discover/Steve-Slow-Train-Analysis-(2080s-and-2083s)?_g=(refreshInterval:(display:Off,section:0,value:0),time:(from:'2016-09-19 00:24:09-0600',mode:absolute,to:'2016-09-19 03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6" s="54" t="str">
        <f>IF(AA156&lt;IF(AG156="EC",23,5.65),"Y","N")</f>
        <v>N</v>
      </c>
      <c r="X156" s="168">
        <f>VALUE(LEFT(AD156,4))-VALUE(LEFT(AD155,4))</f>
        <v>1</v>
      </c>
      <c r="Y156" s="69">
        <f>RIGHT(D156,LEN(D156)-4)/10000</f>
        <v>23.296099999999999</v>
      </c>
      <c r="Z156" s="69">
        <f>RIGHT(H156,LEN(H156)-4)/10000</f>
        <v>1.7000000000000001E-2</v>
      </c>
      <c r="AA156" s="69">
        <f>ABS(Z156-Y156)</f>
        <v>23.2791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>IF(LEN(A156)=6,"0"&amp;A156,A156)</f>
        <v>0244-18</v>
      </c>
      <c r="AE156" s="99" t="str">
        <f>"aws s3 cp "&amp;s3_bucket&amp;"/RTDC"&amp;B156&amp;"/"&amp;TEXT(F156,"YYYY-MM-DD")&amp;"/ "&amp;search_path&amp;"\RTDC"&amp;B156&amp;"\"&amp;TEXT(F156,"YYYY-MM-DD")&amp;" --recursive &amp; """&amp;walkandungz&amp;""" "&amp;search_path&amp;"\RTDC"&amp;B156&amp;"\"&amp;TEXT(F156,"YYYY-MM-DD")
&amp;" &amp; "&amp;"aws s3 cp "&amp;s3_bucket&amp;"/RTDC"&amp;B156&amp;"/"&amp;TEXT(F156+1,"YYYY-MM-DD")&amp;"/ "&amp;search_path&amp;"\RTDC"&amp;B156&amp;"\"&amp;TEXT(F156+1,"YYYY-MM-DD")&amp;" --recursive &amp; """&amp;walkandungz&amp;""" "&amp;search_path&amp;"\RTDC"&amp;B156&amp;"\"&amp;TEXT(F156+1,"YYYY-MM-DD")</f>
        <v>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 &amp; 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</v>
      </c>
      <c r="AF156" s="96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/stypes="app*4010*20160919*" /stext=" 08:.+((SYSTEM_STATE.+slice.+state.+changed )|(ment ac)|(system.+state.+changed )|(\|lc)|(penalty)|(\[timeout)|(PRM\|1\|D)|(kpr)|(kdp))" /e /r /s</v>
      </c>
      <c r="AG156" s="1" t="str">
        <f>IFERROR(IF(VALUE(LEFT(AD156,2))&lt;=2,"EC",IF(OR(VALUE(LEFT(AD156,2))=8,VALUE(LEFT(AD156,2))=18),"NW","Other")),"Other")</f>
        <v>EC</v>
      </c>
      <c r="AH156" s="100" t="str">
        <f t="shared" si="7"/>
        <v>"%USERPROFILE%\Documents\GitHub\eaglep3\Utilities\RefineRTDCRunTimes.py" --tripid 244-18 --locoid 4010 --swversion DE.1.0.7.0 --startMP 204:232961 --initTime 2016-09-19T01:24:09 --startdatetime 2016-09-19T01:26:27 --delay 1 --endMP 204:170 --enddatetime 2016-09-19T02:05:19 --enforcementcount 0 &gt;&gt;C:\Users\stu\Documents\GitHub\eaglep3-reporting\EC\2016-09-18-refined-times.txt</v>
      </c>
      <c r="AI156" s="134" t="str">
        <f t="shared" si="8"/>
        <v>echo {"issue":{"subject":"","project_id":79,"tracker_id":40,"status_id":1,"priority_id":2,"assigned_to_id":23,"start_date":"2016-09-19","description":"","custom_fields":[{"id":1,"name":"Subdivision","value":"EC"},{"id":4,"name":"Milepost","value":"0.017"},{"id":17,"name":"Train ID","value":"244-18"},{"id":16,"name":"Locomotive ID","value":"4010"},{"id":130,"name":"Impact","value":""},{"id":150,"name":"Time of Event (Mountain Time)","value":"02:05:19"},{"id":151,"name":"Denver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557</v>
      </c>
      <c r="B157" s="7">
        <v>4014</v>
      </c>
      <c r="C157" s="24" t="s">
        <v>106</v>
      </c>
      <c r="D157" s="24" t="s">
        <v>216</v>
      </c>
      <c r="E157" s="15">
        <v>42631.778414351851</v>
      </c>
      <c r="F157" s="15">
        <v>42631.781574074077</v>
      </c>
      <c r="G157" s="7">
        <v>2</v>
      </c>
      <c r="H157" s="15" t="s">
        <v>322</v>
      </c>
      <c r="I157" s="15">
        <v>42631.807858796295</v>
      </c>
      <c r="J157" s="7">
        <v>0</v>
      </c>
      <c r="K157" s="121" t="str">
        <f>IF(ISEVEN(B157),(B157-1)&amp;"/"&amp;B157,B157&amp;"/"&amp;(B157+1))</f>
        <v>4013/4014</v>
      </c>
      <c r="L157" s="24" t="str">
        <f>VLOOKUP(A157,'Trips&amp;Operators'!$C$1:$E$10000,3,FALSE)</f>
        <v>SWANSON</v>
      </c>
      <c r="M157" s="6">
        <f>I157-F157</f>
        <v>2.6284722218406387E-2</v>
      </c>
      <c r="N157" s="7">
        <f>24*60*SUM($M157:$M157)</f>
        <v>37.849999994505197</v>
      </c>
      <c r="O157" s="7"/>
      <c r="P157" s="7"/>
      <c r="Q157" s="25"/>
      <c r="R157" s="25"/>
      <c r="S157" s="37">
        <f>SUM(U157:U157)/IF(AG157="EC",12,1)</f>
        <v>1</v>
      </c>
      <c r="T157" s="52" t="s">
        <v>727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https://search-rtdc-monitor-bjffxe2xuh6vdkpspy63sjmuny.us-east-1.es.amazonaws.com/_plugin/kibana/#/discover/Steve-Slow-Train-Analysis-(2080s-and-2083s)?_g=(refreshInterval:(display:Off,section:0,value:0),time:(from:'2016-09-18 17:40:55-0600',mode:absolute,to:'2016-09-18 20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7" s="54" t="str">
        <f>IF(AA157&lt;IF(AG157="EC",23,5.65),"Y","N")</f>
        <v>N</v>
      </c>
      <c r="X157" s="168" t="e">
        <f>VALUE(LEFT(AD157,4))-VALUE(LEFT(AD211,4))</f>
        <v>#VALUE!</v>
      </c>
      <c r="Y157" s="69">
        <f>RIGHT(D157,LEN(D157)-4)/10000</f>
        <v>4.7100000000000003E-2</v>
      </c>
      <c r="Z157" s="69">
        <f>RIGHT(H157,LEN(H157)-4)/10000</f>
        <v>23.326799999999999</v>
      </c>
      <c r="AA157" s="69">
        <f>ABS(Z157-Y157)</f>
        <v>23.279699999999998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>IF(LEN(A157)=6,"0"&amp;A157,A157)</f>
        <v>BRONCO EXTRA 1-18</v>
      </c>
      <c r="AE157" s="99" t="str">
        <f>"aws s3 cp "&amp;s3_bucket&amp;"/RTDC"&amp;B157&amp;"/"&amp;TEXT(F157,"YYYY-MM-DD")&amp;"/ "&amp;search_path&amp;"\RTDC"&amp;B157&amp;"\"&amp;TEXT(F157,"YYYY-MM-DD")&amp;" --recursive &amp; """&amp;walkandungz&amp;""" "&amp;search_path&amp;"\RTDC"&amp;B157&amp;"\"&amp;TEXT(F157,"YYYY-MM-DD")
&amp;" &amp; "&amp;"aws s3 cp "&amp;s3_bucket&amp;"/RTDC"&amp;B157&amp;"/"&amp;TEXT(F157+1,"YYYY-MM-DD")&amp;"/ "&amp;search_path&amp;"\RTDC"&amp;B157&amp;"\"&amp;TEXT(F157+1,"YYYY-MM-DD")&amp;" --recursive &amp; """&amp;walkandungz&amp;""" "&amp;search_path&amp;"\RTDC"&amp;B157&amp;"\"&amp;TEXT(F157+1,"YYYY-MM-DD")</f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157" s="96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/stypes="app*4014*20160919*" /stext=" 01:.+((SYSTEM_STATE.+slice.+state.+changed )|(ment ac)|(system.+state.+changed )|(\|lc)|(penalty)|(\[timeout)|(PRM\|1\|D)|(kpr)|(kdp))" /e /r /s</v>
      </c>
      <c r="AG157" s="1" t="s">
        <v>113</v>
      </c>
      <c r="AH157" s="100" t="str">
        <f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BRONCO EXTRA 1-18 --locoid 4014 --swversion DE.1.0.7.0 --startMP 204:471 --initTime 2016-09-18T18:40:55 --startdatetime 2016-09-18T18:45:28 --delay 2 --endMP 204:233268 --enddatetime 2016-09-18T19:23:19 --enforcementcount 0 &gt;&gt;C:\Users\stu\Documents\GitHub\eaglep3-reporting\EC\2016-09-18-refined-times.txt</v>
      </c>
      <c r="AI157" s="134" t="str">
        <f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{"issue":{"subject":"","project_id":79,"tracker_id":40,"status_id":1,"priority_id":2,"assigned_to_id":23,"start_date":"2016-09-18","description":"","custom_fields":[{"id":1,"name":"Subdivision","value":"EC"},{"id":4,"name":"Milepost","value":"23.3268"},{"id":17,"name":"Train ID","value":"BRONCO EXTRA 1-18"},{"id":16,"name":"Locomotive ID","value":"4014"},{"id":130,"name":"Impact","value":""},{"id":150,"name":"Time of Event (Mountain Time)","value":"19:23:19"},{"id":151,"name":"Denver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581</v>
      </c>
      <c r="B158" s="7">
        <v>4038</v>
      </c>
      <c r="C158" s="24" t="s">
        <v>106</v>
      </c>
      <c r="D158" s="24" t="s">
        <v>724</v>
      </c>
      <c r="E158" s="15">
        <v>42631.799837962964</v>
      </c>
      <c r="F158" s="15">
        <v>42631.801122685189</v>
      </c>
      <c r="G158" s="7">
        <v>1</v>
      </c>
      <c r="H158" s="15" t="s">
        <v>725</v>
      </c>
      <c r="I158" s="15">
        <v>42631.82917824074</v>
      </c>
      <c r="J158" s="7">
        <v>0</v>
      </c>
      <c r="K158" s="121" t="str">
        <f>IF(ISEVEN(B158),(B158-1)&amp;"/"&amp;B158,B158&amp;"/"&amp;(B158+1))</f>
        <v>4037/4038</v>
      </c>
      <c r="L158" s="24" t="str">
        <f>VLOOKUP(A158,'Trips&amp;Operators'!$C$1:$E$10000,3,FALSE)</f>
        <v>MAHAN</v>
      </c>
      <c r="M158" s="6">
        <f>I158-F158</f>
        <v>2.8055555550963618E-2</v>
      </c>
      <c r="N158" s="7">
        <f>24*60*SUM($M158:$M158)</f>
        <v>40.39999999338761</v>
      </c>
      <c r="O158" s="7"/>
      <c r="P158" s="7"/>
      <c r="Q158" s="25"/>
      <c r="R158" s="25"/>
      <c r="S158" s="37">
        <f>SUM(U158:U158)/IF(AG158="EC",12,1)</f>
        <v>1</v>
      </c>
      <c r="T158" s="52" t="s">
        <v>727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https://search-rtdc-monitor-bjffxe2xuh6vdkpspy63sjmuny.us-east-1.es.amazonaws.com/_plugin/kibana/#/discover/Steve-Slow-Train-Analysis-(2080s-and-2083s)?_g=(refreshInterval:(display:Off,section:0,value:0),time:(from:'2016-09-18 18:11:46-0600',mode:absolute,to:'2016-09-18 20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8" s="54" t="str">
        <f>IF(AA158&lt;IF(AG158="EC",23,5.65),"Y","N")</f>
        <v>N</v>
      </c>
      <c r="X158" s="168" t="e">
        <f>VALUE(LEFT(AD158,4))-VALUE(LEFT(AD197,4))</f>
        <v>#VALUE!</v>
      </c>
      <c r="Y158" s="69">
        <f>RIGHT(D158,LEN(D158)-4)/10000</f>
        <v>4.3499999999999997E-2</v>
      </c>
      <c r="Z158" s="69">
        <f>RIGHT(H158,LEN(H158)-4)/10000</f>
        <v>23.3232</v>
      </c>
      <c r="AA158" s="69">
        <f>ABS(Z158-Y158)</f>
        <v>23.279699999999998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>IF(LEN(A158)=6,"0"&amp;A158,A158)</f>
        <v>BRONCOS EXT 2-18</v>
      </c>
      <c r="AE158" s="99" t="str">
        <f>"aws s3 cp "&amp;s3_bucket&amp;"/RTDC"&amp;B158&amp;"/"&amp;TEXT(F158,"YYYY-MM-DD")&amp;"/ "&amp;search_path&amp;"\RTDC"&amp;B158&amp;"\"&amp;TEXT(F158,"YYYY-MM-DD")&amp;" --recursive &amp; """&amp;walkandungz&amp;""" "&amp;search_path&amp;"\RTDC"&amp;B158&amp;"\"&amp;TEXT(F158,"YYYY-MM-DD")
&amp;" &amp; "&amp;"aws s3 cp "&amp;s3_bucket&amp;"/RTDC"&amp;B158&amp;"/"&amp;TEXT(F158+1,"YYYY-MM-DD")&amp;"/ "&amp;search_path&amp;"\RTDC"&amp;B158&amp;"\"&amp;TEXT(F158+1,"YYYY-MM-DD")&amp;" --recursive &amp; """&amp;walkandungz&amp;""" "&amp;search_path&amp;"\RTDC"&amp;B158&amp;"\"&amp;TEXT(F158+1,"YYYY-MM-DD")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58" s="96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/stypes="app*4038*20160919*" /stext=" 01:.+((SYSTEM_STATE.+slice.+state.+changed )|(ment ac)|(system.+state.+changed )|(\|lc)|(penalty)|(\[timeout)|(PRM\|1\|D)|(kpr)|(kdp))" /e /r /s</v>
      </c>
      <c r="AG158" s="1" t="s">
        <v>113</v>
      </c>
      <c r="AH158" s="100" t="str">
        <f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BRONCOS EXT 2-18 --locoid 4038 --swversion DE.1.0.7.0 --startMP 204:435 --initTime 2016-09-18T19:11:46 --startdatetime 2016-09-18T19:13:37 --delay 1 --endMP 204:233232 --enddatetime 2016-09-18T19:54:01 --enforcementcount 0 &gt;&gt;C:\Users\stu\Documents\GitHub\eaglep3-reporting\EC\2016-09-18-refined-times.txt</v>
      </c>
      <c r="AI158" s="134" t="str">
        <f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{"issue":{"subject":"","project_id":79,"tracker_id":40,"status_id":1,"priority_id":2,"assigned_to_id":23,"start_date":"2016-09-18","description":"","custom_fields":[{"id":1,"name":"Subdivision","value":"EC"},{"id":4,"name":"Milepost","value":"23.3232"},{"id":17,"name":"Train ID","value":"BRONCOS EXT 2-18"},{"id":16,"name":"Locomotive ID","value":"4038"},{"id":130,"name":"Impact","value":""},{"id":150,"name":"Time of Event (Mountain Time)","value":"19:54:01"},{"id":151,"name":"Denver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566</v>
      </c>
      <c r="B159" s="7">
        <v>4020</v>
      </c>
      <c r="C159" s="24" t="s">
        <v>106</v>
      </c>
      <c r="D159" s="24" t="s">
        <v>251</v>
      </c>
      <c r="E159" s="15">
        <v>42631.821805555555</v>
      </c>
      <c r="F159" s="15">
        <v>42631.823344907411</v>
      </c>
      <c r="G159" s="7">
        <v>1</v>
      </c>
      <c r="H159" s="15" t="s">
        <v>334</v>
      </c>
      <c r="I159" s="15">
        <v>42631.850613425922</v>
      </c>
      <c r="J159" s="7">
        <v>0</v>
      </c>
      <c r="K159" s="121" t="str">
        <f>IF(ISEVEN(B159),(B159-1)&amp;"/"&amp;B159,B159&amp;"/"&amp;(B159+1))</f>
        <v>4019/4020</v>
      </c>
      <c r="L159" s="24" t="str">
        <f>VLOOKUP(A159,'Trips&amp;Operators'!$C$1:$E$10000,3,FALSE)</f>
        <v>SMITH</v>
      </c>
      <c r="M159" s="6">
        <f>I159-F159</f>
        <v>2.7268518511846196E-2</v>
      </c>
      <c r="N159" s="7">
        <f>24*60*SUM($M159:$M159)</f>
        <v>39.266666657058522</v>
      </c>
      <c r="O159" s="7"/>
      <c r="P159" s="7"/>
      <c r="Q159" s="25"/>
      <c r="R159" s="25"/>
      <c r="S159" s="37">
        <f>SUM(U159:U159)/IF(AG159="EC",12,1)</f>
        <v>1</v>
      </c>
      <c r="T159" s="52" t="s">
        <v>727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https://search-rtdc-monitor-bjffxe2xuh6vdkpspy63sjmuny.us-east-1.es.amazonaws.com/_plugin/kibana/#/discover/Steve-Slow-Train-Analysis-(2080s-and-2083s)?_g=(refreshInterval:(display:Off,section:0,value:0),time:(from:'2016-09-18 18:43:24-0600',mode:absolute,to:'2016-09-18 21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9" s="54" t="str">
        <f>IF(AA159&lt;IF(AG159="EC",23,5.65),"Y","N")</f>
        <v>N</v>
      </c>
      <c r="X159" s="168" t="e">
        <f>VALUE(LEFT(AD159,4))-VALUE(LEFT(AD158,4))</f>
        <v>#VALUE!</v>
      </c>
      <c r="Y159" s="69">
        <f>RIGHT(D159,LEN(D159)-4)/10000</f>
        <v>4.6199999999999998E-2</v>
      </c>
      <c r="Z159" s="69">
        <f>RIGHT(H159,LEN(H159)-4)/10000</f>
        <v>23.327200000000001</v>
      </c>
      <c r="AA159" s="69">
        <f>ABS(Z159-Y159)</f>
        <v>23.281000000000002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>IF(LEN(A159)=6,"0"&amp;A159,A159)</f>
        <v>BRONCOS EXT 3-18</v>
      </c>
      <c r="AE159" s="99" t="str">
        <f>"aws s3 cp "&amp;s3_bucket&amp;"/RTDC"&amp;B159&amp;"/"&amp;TEXT(F159,"YYYY-MM-DD")&amp;"/ "&amp;search_path&amp;"\RTDC"&amp;B159&amp;"\"&amp;TEXT(F159,"YYYY-MM-DD")&amp;" --recursive &amp; """&amp;walkandungz&amp;""" "&amp;search_path&amp;"\RTDC"&amp;B159&amp;"\"&amp;TEXT(F159,"YYYY-MM-DD")
&amp;" &amp; "&amp;"aws s3 cp "&amp;s3_bucket&amp;"/RTDC"&amp;B159&amp;"/"&amp;TEXT(F159+1,"YYYY-MM-DD")&amp;"/ "&amp;search_path&amp;"\RTDC"&amp;B159&amp;"\"&amp;TEXT(F159+1,"YYYY-MM-DD")&amp;" --recursive &amp; """&amp;walkandungz&amp;""" "&amp;search_path&amp;"\RTDC"&amp;B159&amp;"\"&amp;TEXT(F159+1,"YYYY-MM-DD")</f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159" s="96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/stypes="app*4020*20160919*" /stext=" 02:.+((SYSTEM_STATE.+slice.+state.+changed )|(ment ac)|(system.+state.+changed )|(\|lc)|(penalty)|(\[timeout)|(PRM\|1\|D)|(kpr)|(kdp))" /e /r /s</v>
      </c>
      <c r="AG159" s="1" t="s">
        <v>113</v>
      </c>
      <c r="AH159" s="100" t="str">
        <f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BRONCOS EXT 3-18 --locoid 4020 --swversion DE.1.0.7.0 --startMP 204:462 --initTime 2016-09-18T19:43:24 --startdatetime 2016-09-18T19:45:37 --delay 1 --endMP 204:233272 --enddatetime 2016-09-18T20:24:53 --enforcementcount 0 &gt;&gt;C:\Users\stu\Documents\GitHub\eaglep3-reporting\EC\2016-09-18-refined-times.txt</v>
      </c>
      <c r="AI159" s="134" t="str">
        <f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{"issue":{"subject":"","project_id":79,"tracker_id":40,"status_id":1,"priority_id":2,"assigned_to_id":23,"start_date":"2016-09-18","description":"","custom_fields":[{"id":1,"name":"Subdivision","value":"EC"},{"id":4,"name":"Milepost","value":"23.3272"},{"id":17,"name":"Train ID","value":"BRONCOS EXT 3-18"},{"id":16,"name":"Locomotive ID","value":"4020"},{"id":130,"name":"Impact","value":""},{"id":150,"name":"Time of Event (Mountain Time)","value":"20:24:53"},{"id":151,"name":"Denver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564</v>
      </c>
      <c r="B160" s="7">
        <v>4013</v>
      </c>
      <c r="C160" s="24" t="s">
        <v>106</v>
      </c>
      <c r="D160" s="24" t="s">
        <v>283</v>
      </c>
      <c r="E160" s="15">
        <v>42631.809687499997</v>
      </c>
      <c r="F160" s="15">
        <v>42631.820659722223</v>
      </c>
      <c r="G160" s="7">
        <v>1</v>
      </c>
      <c r="H160" s="15" t="s">
        <v>222</v>
      </c>
      <c r="I160" s="15">
        <v>42631.849942129629</v>
      </c>
      <c r="J160" s="7">
        <v>0</v>
      </c>
      <c r="K160" s="121" t="str">
        <f>IF(ISEVEN(B160),(B160-1)&amp;"/"&amp;B160,B160&amp;"/"&amp;(B160+1))</f>
        <v>4013/4014</v>
      </c>
      <c r="L160" s="24" t="str">
        <f>VLOOKUP(A160,'Trips&amp;Operators'!$C$1:$E$10000,3,FALSE)</f>
        <v>SWANSON</v>
      </c>
      <c r="M160" s="6">
        <f>I160-F160</f>
        <v>2.9282407405844424E-2</v>
      </c>
      <c r="N160" s="7">
        <f>24*60*SUM($M160:$M160)</f>
        <v>42.16666666441597</v>
      </c>
      <c r="O160" s="7"/>
      <c r="P160" s="7"/>
      <c r="Q160" s="25"/>
      <c r="R160" s="25"/>
      <c r="S160" s="37">
        <f>SUM(U160:U160)/IF(AG160="EC",12,1)</f>
        <v>1</v>
      </c>
      <c r="T160" s="52" t="s">
        <v>728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https://search-rtdc-monitor-bjffxe2xuh6vdkpspy63sjmuny.us-east-1.es.amazonaws.com/_plugin/kibana/#/discover/Steve-Slow-Train-Analysis-(2080s-and-2083s)?_g=(refreshInterval:(display:Off,section:0,value:0),time:(from:'2016-09-18 18:25:57-0600',mode:absolute,to:'2016-09-18 21:23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0" s="54" t="str">
        <f>IF(AA160&lt;IF(AG160="EC",23,5.65),"Y","N")</f>
        <v>N</v>
      </c>
      <c r="X160" s="168" t="e">
        <f>VALUE(LEFT(AD160,4))-VALUE(LEFT(AD159,4))</f>
        <v>#VALUE!</v>
      </c>
      <c r="Y160" s="69">
        <f>RIGHT(D160,LEN(D160)-4)/10000</f>
        <v>23.2957</v>
      </c>
      <c r="Z160" s="69">
        <f>RIGHT(H160,LEN(H160)-4)/10000</f>
        <v>1.52E-2</v>
      </c>
      <c r="AA160" s="69">
        <f>ABS(Z160-Y160)</f>
        <v>23.2805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>IF(LEN(A160)=6,"0"&amp;A160,A160)</f>
        <v>BRONCOS EXT 4-18</v>
      </c>
      <c r="AE160" s="99" t="str">
        <f>"aws s3 cp "&amp;s3_bucket&amp;"/RTDC"&amp;B160&amp;"/"&amp;TEXT(F160,"YYYY-MM-DD")&amp;"/ "&amp;search_path&amp;"\RTDC"&amp;B160&amp;"\"&amp;TEXT(F160,"YYYY-MM-DD")&amp;" --recursive &amp; """&amp;walkandungz&amp;""" "&amp;search_path&amp;"\RTDC"&amp;B160&amp;"\"&amp;TEXT(F160,"YYYY-MM-DD")
&amp;" &amp; "&amp;"aws s3 cp "&amp;s3_bucket&amp;"/RTDC"&amp;B160&amp;"/"&amp;TEXT(F160+1,"YYYY-MM-DD")&amp;"/ "&amp;search_path&amp;"\RTDC"&amp;B160&amp;"\"&amp;TEXT(F160+1,"YYYY-MM-DD")&amp;" --recursive &amp; """&amp;walkandungz&amp;""" "&amp;search_path&amp;"\RTDC"&amp;B160&amp;"\"&amp;TEXT(F160+1,"YYYY-MM-DD")</f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60" s="96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/stypes="app*4013*20160919*" /stext=" 02:.+((SYSTEM_STATE.+slice.+state.+changed )|(ment ac)|(system.+state.+changed )|(\|lc)|(penalty)|(\[timeout)|(PRM\|1\|D)|(kpr)|(kdp))" /e /r /s</v>
      </c>
      <c r="AG160" s="1" t="s">
        <v>113</v>
      </c>
      <c r="AH160" s="100" t="str">
        <f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BRONCOS EXT 4-18 --locoid 4013 --swversion DE.1.0.7.0 --startMP 204:232957 --initTime 2016-09-18T19:25:57 --startdatetime 2016-09-18T19:41:45 --delay 1 --endMP 204:152 --enddatetime 2016-09-18T20:23:55 --enforcementcount 0 &gt;&gt;C:\Users\stu\Documents\GitHub\eaglep3-reporting\EC\2016-09-18-refined-times.txt</v>
      </c>
      <c r="AI160" s="134" t="str">
        <f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ID","value":"BRONCOS EXT 4-18"},{"id":16,"name":"Locomotive ID","value":"4013"},{"id":130,"name":"Impact","value":""},{"id":150,"name":"Time of Event (Mountain Time)","value":"20:23:55"},{"id":151,"name":"Denver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571</v>
      </c>
      <c r="B161" s="7">
        <v>4037</v>
      </c>
      <c r="C161" s="24" t="s">
        <v>106</v>
      </c>
      <c r="D161" s="24" t="s">
        <v>726</v>
      </c>
      <c r="E161" s="15">
        <v>42631.836365740739</v>
      </c>
      <c r="F161" s="15">
        <v>42631.84134259259</v>
      </c>
      <c r="G161" s="7">
        <v>1</v>
      </c>
      <c r="H161" s="15" t="s">
        <v>214</v>
      </c>
      <c r="I161" s="15">
        <v>42631.869664351849</v>
      </c>
      <c r="J161" s="7">
        <v>0</v>
      </c>
      <c r="K161" s="121" t="str">
        <f>IF(ISEVEN(B161),(B161-1)&amp;"/"&amp;B161,B161&amp;"/"&amp;(B161+1))</f>
        <v>4037/4038</v>
      </c>
      <c r="L161" s="24" t="str">
        <f>VLOOKUP(A161,'Trips&amp;Operators'!$C$1:$E$10000,3,FALSE)</f>
        <v>MAHAN</v>
      </c>
      <c r="M161" s="6">
        <f>I161-F161</f>
        <v>2.8321759258687962E-2</v>
      </c>
      <c r="N161" s="7">
        <f>24*60*SUM($M161:$M161)</f>
        <v>40.783333332510665</v>
      </c>
      <c r="O161" s="7"/>
      <c r="P161" s="7"/>
      <c r="Q161" s="25"/>
      <c r="R161" s="25"/>
      <c r="S161" s="37">
        <f>SUM(U161:U161)/IF(AG161="EC",12,1)</f>
        <v>1</v>
      </c>
      <c r="T161" s="52" t="s">
        <v>728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https://search-rtdc-monitor-bjffxe2xuh6vdkpspy63sjmuny.us-east-1.es.amazonaws.com/_plugin/kibana/#/discover/Steve-Slow-Train-Analysis-(2080s-and-2083s)?_g=(refreshInterval:(display:Off,section:0,value:0),time:(from:'2016-09-18 19:04:22-0600',mode:absolute,to:'2016-09-18 21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1" s="54" t="str">
        <f>IF(AA161&lt;IF(AG161="EC",23,5.65),"Y","N")</f>
        <v>N</v>
      </c>
      <c r="X161" s="168" t="e">
        <f>VALUE(LEFT(AD161,4))-VALUE(LEFT(AD160,4))</f>
        <v>#VALUE!</v>
      </c>
      <c r="Y161" s="69">
        <f>RIGHT(D161,LEN(D161)-4)/10000</f>
        <v>23.293199999999999</v>
      </c>
      <c r="Z161" s="69">
        <f>RIGHT(H161,LEN(H161)-4)/10000</f>
        <v>1.6E-2</v>
      </c>
      <c r="AA161" s="69">
        <f>ABS(Z161-Y161)</f>
        <v>23.277200000000001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>IF(LEN(A161)=6,"0"&amp;A161,A161)</f>
        <v>BRONCOS EXT 5-18</v>
      </c>
      <c r="AE161" s="99" t="str">
        <f>"aws s3 cp "&amp;s3_bucket&amp;"/RTDC"&amp;B161&amp;"/"&amp;TEXT(F161,"YYYY-MM-DD")&amp;"/ "&amp;search_path&amp;"\RTDC"&amp;B161&amp;"\"&amp;TEXT(F161,"YYYY-MM-DD")&amp;" --recursive &amp; """&amp;walkandungz&amp;""" "&amp;search_path&amp;"\RTDC"&amp;B161&amp;"\"&amp;TEXT(F161,"YYYY-MM-DD")
&amp;" &amp; "&amp;"aws s3 cp "&amp;s3_bucket&amp;"/RTDC"&amp;B161&amp;"/"&amp;TEXT(F161+1,"YYYY-MM-DD")&amp;"/ "&amp;search_path&amp;"\RTDC"&amp;B161&amp;"\"&amp;TEXT(F161+1,"YYYY-MM-DD")&amp;" --recursive &amp; """&amp;walkandungz&amp;""" "&amp;search_path&amp;"\RTDC"&amp;B161&amp;"\"&amp;TEXT(F161+1,"YYYY-MM-DD")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61" s="96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/stypes="app*4037*20160919*" /stext=" 02:.+((SYSTEM_STATE.+slice.+state.+changed )|(ment ac)|(system.+state.+changed )|(\|lc)|(penalty)|(\[timeout)|(PRM\|1\|D)|(kpr)|(kdp))" /e /r /s</v>
      </c>
      <c r="AG161" s="1" t="s">
        <v>113</v>
      </c>
      <c r="AH161" s="100" t="str">
        <f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BRONCOS EXT 5-18 --locoid 4037 --swversion DE.1.0.7.0 --startMP 204:232932 --initTime 2016-09-18T20:04:22 --startdatetime 2016-09-18T20:11:32 --delay 1 --endMP 204:160 --enddatetime 2016-09-18T20:52:19 --enforcementcount 0 &gt;&gt;C:\Users\stu\Documents\GitHub\eaglep3-reporting\EC\2016-09-18-refined-times.txt</v>
      </c>
      <c r="AI161" s="134" t="str">
        <f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ID","value":"BRONCOS EXT 5-18"},{"id":16,"name":"Locomotive ID","value":"4037"},{"id":130,"name":"Impact","value":""},{"id":150,"name":"Time of Event (Mountain Time)","value":"20:52:19"},{"id":151,"name":"Denver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578</v>
      </c>
      <c r="B162" s="7">
        <v>4019</v>
      </c>
      <c r="C162" s="24" t="s">
        <v>106</v>
      </c>
      <c r="D162" s="24" t="s">
        <v>362</v>
      </c>
      <c r="E162" s="15">
        <v>42631.86204861111</v>
      </c>
      <c r="F162" s="15">
        <v>42631.864872685182</v>
      </c>
      <c r="G162" s="7">
        <v>1</v>
      </c>
      <c r="H162" s="15" t="s">
        <v>333</v>
      </c>
      <c r="I162" s="15">
        <v>42631.891539351855</v>
      </c>
      <c r="J162" s="7">
        <v>0</v>
      </c>
      <c r="K162" s="121" t="str">
        <f>IF(ISEVEN(B162),(B162-1)&amp;"/"&amp;B162,B162&amp;"/"&amp;(B162+1))</f>
        <v>4019/4020</v>
      </c>
      <c r="L162" s="24" t="str">
        <f>VLOOKUP(A162,'Trips&amp;Operators'!$C$1:$E$10000,3,FALSE)</f>
        <v>SMITH</v>
      </c>
      <c r="M162" s="6">
        <f>I162-F162</f>
        <v>2.6666666672099382E-2</v>
      </c>
      <c r="N162" s="7">
        <f>24*60*SUM($M162:$M162)</f>
        <v>38.40000000782311</v>
      </c>
      <c r="O162" s="7"/>
      <c r="P162" s="7"/>
      <c r="Q162" s="25"/>
      <c r="R162" s="25"/>
      <c r="S162" s="37">
        <f>SUM(U162:U162)/IF(AG162="EC",12,1)</f>
        <v>1</v>
      </c>
      <c r="T162" s="52" t="s">
        <v>728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6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https://search-rtdc-monitor-bjffxe2xuh6vdkpspy63sjmuny.us-east-1.es.amazonaws.com/_plugin/kibana/#/discover/Steve-Slow-Train-Analysis-(2080s-and-2083s)?_g=(refreshInterval:(display:Off,section:0,value:0),time:(from:'2016-09-18 19:41:21-0600',mode:absolute,to:'2016-09-18 22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2" s="54" t="str">
        <f>IF(AA162&lt;IF(AG162="EC",23,5.65),"Y","N")</f>
        <v>N</v>
      </c>
      <c r="X162" s="168" t="e">
        <f>VALUE(LEFT(AD162,4))-VALUE(LEFT(AD161,4))</f>
        <v>#VALUE!</v>
      </c>
      <c r="Y162" s="69">
        <f>RIGHT(D162,LEN(D162)-4)/10000</f>
        <v>23.296199999999999</v>
      </c>
      <c r="Z162" s="69">
        <f>RIGHT(H162,LEN(H162)-4)/10000</f>
        <v>1.6500000000000001E-2</v>
      </c>
      <c r="AA162" s="69">
        <f>ABS(Z162-Y162)</f>
        <v>23.279699999999998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>IF(LEN(A162)=6,"0"&amp;A162,A162)</f>
        <v>BRONCOS EXT 6-18</v>
      </c>
      <c r="AE162" s="99" t="str">
        <f>"aws s3 cp "&amp;s3_bucket&amp;"/RTDC"&amp;B162&amp;"/"&amp;TEXT(F162,"YYYY-MM-DD")&amp;"/ "&amp;search_path&amp;"\RTDC"&amp;B162&amp;"\"&amp;TEXT(F162,"YYYY-MM-DD")&amp;" --recursive &amp; """&amp;walkandungz&amp;""" "&amp;search_path&amp;"\RTDC"&amp;B162&amp;"\"&amp;TEXT(F162,"YYYY-MM-DD")
&amp;" &amp; "&amp;"aws s3 cp "&amp;s3_bucket&amp;"/RTDC"&amp;B162&amp;"/"&amp;TEXT(F162+1,"YYYY-MM-DD")&amp;"/ "&amp;search_path&amp;"\RTDC"&amp;B162&amp;"\"&amp;TEXT(F162+1,"YYYY-MM-DD")&amp;" --recursive &amp; """&amp;walkandungz&amp;""" "&amp;search_path&amp;"\RTDC"&amp;B162&amp;"\"&amp;TEXT(F162+1,"YYYY-MM-DD")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62" s="96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/stypes="app*4019*20160919*" /stext=" 03:.+((SYSTEM_STATE.+slice.+state.+changed )|(ment ac)|(system.+state.+changed )|(\|lc)|(penalty)|(\[timeout)|(PRM\|1\|D)|(kpr)|(kdp))" /e /r /s</v>
      </c>
      <c r="AG162" s="1" t="s">
        <v>113</v>
      </c>
      <c r="AH162" s="100" t="str">
        <f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BRONCOS EXT 6-18 --locoid 4019 --swversion DE.1.0.7.0 --startMP 204:232962 --initTime 2016-09-18T20:41:21 --startdatetime 2016-09-18T20:45:25 --delay 1 --endMP 204:165 --enddatetime 2016-09-18T21:23:49 --enforcementcount 0 &gt;&gt;C:\Users\stu\Documents\GitHub\eaglep3-reporting\EC\2016-09-18-refined-times.txt</v>
      </c>
      <c r="AI162" s="134" t="str">
        <f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{"issue":{"subject":"","project_id":79,"tracker_id":40,"status_id":1,"priority_id":2,"assigned_to_id":23,"start_date":"2016-09-18","description":"","custom_fields":[{"id":1,"name":"Subdivision","value":"EC"},{"id":4,"name":"Milepost","value":"0.0165"},{"id":17,"name":"Train ID","value":"BRONCOS EXT 6-18"},{"id":16,"name":"Locomotive ID","value":"4019"},{"id":130,"name":"Impact","value":""},{"id":150,"name":"Time of Event (Mountain Time)","value":"21:23:49"},{"id":151,"name":"Denver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442</v>
      </c>
      <c r="B163" s="7">
        <v>4017</v>
      </c>
      <c r="C163" s="24" t="s">
        <v>106</v>
      </c>
      <c r="D163" s="24" t="s">
        <v>380</v>
      </c>
      <c r="E163" s="15">
        <v>42631.233981481484</v>
      </c>
      <c r="F163" s="15">
        <v>42631.235659722224</v>
      </c>
      <c r="G163" s="7">
        <v>1</v>
      </c>
      <c r="H163" s="15" t="s">
        <v>655</v>
      </c>
      <c r="I163" s="15">
        <v>42631.247152777774</v>
      </c>
      <c r="J163" s="7">
        <v>0</v>
      </c>
      <c r="K163" s="121" t="str">
        <f>IF(ISEVEN(B163),(B163-1)&amp;"/"&amp;B163,B163&amp;"/"&amp;(B163+1))</f>
        <v>4017/4018</v>
      </c>
      <c r="L163" s="24" t="str">
        <f>VLOOKUP(A163,'Trips&amp;Operators'!$C$1:$E$10000,3,FALSE)</f>
        <v>STARKS</v>
      </c>
      <c r="M163" s="6">
        <f>I163-F163</f>
        <v>1.1493055550090503E-2</v>
      </c>
      <c r="N163" s="7">
        <f>24*60*SUM($M163:$M163)</f>
        <v>16.549999992130324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https://search-rtdc-monitor-bjffxe2xuh6vdkpspy63sjmuny.us-east-1.es.amazonaws.com/_plugin/kibana/#/discover/Steve-Slow-Train-Analysis-(2080s-and-2083s)?_g=(refreshInterval:(display:Off,section:0,value:0),time:(from:'2016-09-18 04:36:56-0600',mode:absolute,to:'2016-09-18 06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3" s="54" t="str">
        <f>IF(AA163&lt;IF(AG163="EC",23,5.65),"Y","N")</f>
        <v>N</v>
      </c>
      <c r="X163" s="168" t="e">
        <f>VALUE(LEFT(AD163,4))-VALUE(LEFT(#REF!,4))</f>
        <v>#REF!</v>
      </c>
      <c r="Y163" s="69">
        <f>RIGHT(D163,LEN(D163)-4)/10000</f>
        <v>5.8619000000000003</v>
      </c>
      <c r="Z163" s="69">
        <f>RIGHT(H163,LEN(H163)-4)/10000</f>
        <v>7.8899999999999998E-2</v>
      </c>
      <c r="AA163" s="69">
        <f>ABS(Z163-Y163)</f>
        <v>5.7830000000000004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>IF(LEN(A163)=6,"0"&amp;A163,A163)</f>
        <v>1800-18</v>
      </c>
      <c r="AE163" s="99" t="str">
        <f>"aws s3 cp "&amp;s3_bucket&amp;"/RTDC"&amp;B163&amp;"/"&amp;TEXT(F163,"YYYY-MM-DD")&amp;"/ "&amp;search_path&amp;"\RTDC"&amp;B163&amp;"\"&amp;TEXT(F163,"YYYY-MM-DD")&amp;" --recursive &amp; """&amp;walkandungz&amp;""" "&amp;search_path&amp;"\RTDC"&amp;B163&amp;"\"&amp;TEXT(F163,"YYYY-MM-DD")
&amp;" &amp; "&amp;"aws s3 cp "&amp;s3_bucket&amp;"/RTDC"&amp;B163&amp;"/"&amp;TEXT(F163+1,"YYYY-MM-DD")&amp;"/ "&amp;search_path&amp;"\RTDC"&amp;B163&amp;"\"&amp;TEXT(F163+1,"YYYY-MM-DD")&amp;" --recursive &amp; """&amp;walkandungz&amp;""" "&amp;search_path&amp;"\RTDC"&amp;B163&amp;"\"&amp;TEXT(F163+1,"YYYY-MM-DD")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3" s="96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/stypes="app*4017*20160918*" /stext=" 11:.+((SYSTEM_STATE.+slice.+state.+changed )|(ment ac)|(system.+state.+changed )|(\|lc)|(penalty)|(\[timeout)|(PRM\|1\|D)|(kpr)|(kdp))" /e /r /s</v>
      </c>
      <c r="AG163" s="1" t="str">
        <f>IFERROR(IF(VALUE(LEFT(AD163,2))&lt;=2,"EC",IF(OR(VALUE(LEFT(AD163,2))=8,VALUE(LEFT(AD163,2))=18),"NW","Other")),"Other")</f>
        <v>NW</v>
      </c>
      <c r="AH163" s="100" t="str">
        <f t="shared" si="7"/>
        <v>"%USERPROFILE%\Documents\GitHub\eaglep3\Utilities\RefineRTDCRunTimes.py" --tripid 1800-18 --locoid 4017 --swversion DE.1.0.7.0 --startMP 300:58619 --initTime 2016-09-18T05:36:56 --startdatetime 2016-09-18T05:39:21 --delay 1 --endMP 204:789 --enddatetime 2016-09-18T05:55:54 --enforcementcount 0 &gt;&gt;C:\Users\stu\Documents\GitHub\eaglep3-reporting\EC\2016-09-18-refined-times.txt</v>
      </c>
      <c r="AI163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{"issue":{"subject":"","project_id":79,"tracker_id":40,"status_id":1,"priority_id":2,"assigned_to_id":23,"start_date":"2016-09-18","description":"","custom_fields":[{"id":1,"name":"Subdivision","value":"NW"},{"id":4,"name":"Milepost","value":"0.0789"},{"id":17,"name":"Train ID","value":"1800-18"},{"id":16,"name":"Locomotive ID","value":"4017"},{"id":130,"name":"Impact","value":""},{"id":150,"name":"Time of Event (Mountain Time)","value":"05:55:54"},{"id":151,"name":"Denver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449</v>
      </c>
      <c r="B164" s="7">
        <v>4018</v>
      </c>
      <c r="C164" s="24" t="s">
        <v>106</v>
      </c>
      <c r="D164" s="24" t="s">
        <v>656</v>
      </c>
      <c r="E164" s="15">
        <v>42631.26190972222</v>
      </c>
      <c r="F164" s="15">
        <v>42631.264756944445</v>
      </c>
      <c r="G164" s="7">
        <v>1</v>
      </c>
      <c r="H164" s="15" t="s">
        <v>269</v>
      </c>
      <c r="I164" s="15">
        <v>42631.274293981478</v>
      </c>
      <c r="J164" s="7">
        <v>0</v>
      </c>
      <c r="K164" s="121" t="str">
        <f>IF(ISEVEN(B164),(B164-1)&amp;"/"&amp;B164,B164&amp;"/"&amp;(B164+1))</f>
        <v>4017/4018</v>
      </c>
      <c r="L164" s="24" t="str">
        <f>VLOOKUP(A164,'Trips&amp;Operators'!$C$1:$E$10000,3,FALSE)</f>
        <v>STARKS</v>
      </c>
      <c r="M164" s="6">
        <f>I164-F164</f>
        <v>9.5370370327145793E-3</v>
      </c>
      <c r="N164" s="7">
        <f>24*60*SUM($M164:$M164)</f>
        <v>13.733333327108994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https://search-rtdc-monitor-bjffxe2xuh6vdkpspy63sjmuny.us-east-1.es.amazonaws.com/_plugin/kibana/#/discover/Steve-Slow-Train-Analysis-(2080s-and-2083s)?_g=(refreshInterval:(display:Off,section:0,value:0),time:(from:'2016-09-18 05:17:09-0600',mode:absolute,to:'2016-09-18 07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4" s="54" t="str">
        <f>IF(AA164&lt;IF(AG164="EC",23,5.65),"Y","N")</f>
        <v>N</v>
      </c>
      <c r="X164" s="168">
        <f>VALUE(LEFT(AD164,4))-VALUE(LEFT(AD163,4))</f>
        <v>1</v>
      </c>
      <c r="Y164" s="69">
        <f>RIGHT(D164,LEN(D164)-4)/10000</f>
        <v>0.10829999999999999</v>
      </c>
      <c r="Z164" s="69">
        <f>RIGHT(H164,LEN(H164)-4)/10000</f>
        <v>5.8943000000000003</v>
      </c>
      <c r="AA164" s="69">
        <f>ABS(Z164-Y164)</f>
        <v>5.7860000000000005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>IF(LEN(A164)=6,"0"&amp;A164,A164)</f>
        <v>1801-18</v>
      </c>
      <c r="AE164" s="99" t="str">
        <f>"aws s3 cp "&amp;s3_bucket&amp;"/RTDC"&amp;B164&amp;"/"&amp;TEXT(F164,"YYYY-MM-DD")&amp;"/ "&amp;search_path&amp;"\RTDC"&amp;B164&amp;"\"&amp;TEXT(F164,"YYYY-MM-DD")&amp;" --recursive &amp; """&amp;walkandungz&amp;""" "&amp;search_path&amp;"\RTDC"&amp;B164&amp;"\"&amp;TEXT(F164,"YYYY-MM-DD")
&amp;" &amp; "&amp;"aws s3 cp "&amp;s3_bucket&amp;"/RTDC"&amp;B164&amp;"/"&amp;TEXT(F164+1,"YYYY-MM-DD")&amp;"/ "&amp;search_path&amp;"\RTDC"&amp;B164&amp;"\"&amp;TEXT(F164+1,"YYYY-MM-DD")&amp;" --recursive &amp; """&amp;walkandungz&amp;""" "&amp;search_path&amp;"\RTDC"&amp;B164&amp;"\"&amp;TEXT(F164+1,"YYYY-MM-DD")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64" s="96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/stypes="app*4018*20160918*" /stext=" 12:.+((SYSTEM_STATE.+slice.+state.+changed )|(ment ac)|(system.+state.+changed )|(\|lc)|(penalty)|(\[timeout)|(PRM\|1\|D)|(kpr)|(kdp))" /e /r /s</v>
      </c>
      <c r="AG164" s="1" t="str">
        <f>IFERROR(IF(VALUE(LEFT(AD164,2))&lt;=2,"EC",IF(OR(VALUE(LEFT(AD164,2))=8,VALUE(LEFT(AD164,2))=18),"NW","Other")),"Other")</f>
        <v>NW</v>
      </c>
      <c r="AH164" s="100" t="str">
        <f t="shared" si="7"/>
        <v>"%USERPROFILE%\Documents\GitHub\eaglep3\Utilities\RefineRTDCRunTimes.py" --tripid 1801-18 --locoid 4018 --swversion DE.1.0.7.0 --startMP 204:1083 --initTime 2016-09-18T06:17:09 --startdatetime 2016-09-18T06:21:15 --delay 1 --endMP 300:58943 --enddatetime 2016-09-18T06:34:59 --enforcementcount 0 &gt;&gt;C:\Users\stu\Documents\GitHub\eaglep3-reporting\EC\2016-09-18-refined-times.txt</v>
      </c>
      <c r="AI164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{"issue":{"subject":"","project_id":79,"tracker_id":40,"status_id":1,"priority_id":2,"assigned_to_id":23,"start_date":"2016-09-18","description":"","custom_fields":[{"id":1,"name":"Subdivision","value":"NW"},{"id":4,"name":"Milepost","value":"5.8943"},{"id":17,"name":"Train ID","value":"1801-18"},{"id":16,"name":"Locomotive ID","value":"4018"},{"id":130,"name":"Impact","value":""},{"id":150,"name":"Time of Event (Mountain Time)","value":"06:34:59"},{"id":151,"name":"Denver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450</v>
      </c>
      <c r="B165" s="7">
        <v>4017</v>
      </c>
      <c r="C165" s="24" t="s">
        <v>106</v>
      </c>
      <c r="D165" s="24" t="s">
        <v>378</v>
      </c>
      <c r="E165" s="15">
        <v>42631.276134259257</v>
      </c>
      <c r="F165" s="15">
        <v>42631.277430555558</v>
      </c>
      <c r="G165" s="7">
        <v>1</v>
      </c>
      <c r="H165" s="15" t="s">
        <v>657</v>
      </c>
      <c r="I165" s="15">
        <v>42631.288310185184</v>
      </c>
      <c r="J165" s="7">
        <v>0</v>
      </c>
      <c r="K165" s="121" t="str">
        <f>IF(ISEVEN(B165),(B165-1)&amp;"/"&amp;B165,B165&amp;"/"&amp;(B165+1))</f>
        <v>4017/4018</v>
      </c>
      <c r="L165" s="24" t="str">
        <f>VLOOKUP(A165,'Trips&amp;Operators'!$C$1:$E$10000,3,FALSE)</f>
        <v>STARKS</v>
      </c>
      <c r="M165" s="6">
        <f>I165-F165</f>
        <v>1.0879629626288079E-2</v>
      </c>
      <c r="N165" s="7">
        <f>24*60*SUM($M165:$M165)</f>
        <v>15.666666661854833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https://search-rtdc-monitor-bjffxe2xuh6vdkpspy63sjmuny.us-east-1.es.amazonaws.com/_plugin/kibana/#/discover/Steve-Slow-Train-Analysis-(2080s-and-2083s)?_g=(refreshInterval:(display:Off,section:0,value:0),time:(from:'2016-09-18 05:37:38-0600',mode:absolute,to:'2016-09-18 07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5" s="54" t="str">
        <f>IF(AA165&lt;IF(AG165="EC",23,5.65),"Y","N")</f>
        <v>N</v>
      </c>
      <c r="X165" s="168">
        <f>VALUE(LEFT(AD165,4))-VALUE(LEFT(AD164,4))</f>
        <v>1</v>
      </c>
      <c r="Y165" s="69">
        <f>RIGHT(D165,LEN(D165)-4)/10000</f>
        <v>5.8620999999999999</v>
      </c>
      <c r="Z165" s="69">
        <f>RIGHT(H165,LEN(H165)-4)/10000</f>
        <v>7.1999999999999995E-2</v>
      </c>
      <c r="AA165" s="69">
        <f>ABS(Z165-Y165)</f>
        <v>5.7900999999999998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>IF(LEN(A165)=6,"0"&amp;A165,A165)</f>
        <v>1802-18</v>
      </c>
      <c r="AE165" s="99" t="str">
        <f>"aws s3 cp "&amp;s3_bucket&amp;"/RTDC"&amp;B165&amp;"/"&amp;TEXT(F165,"YYYY-MM-DD")&amp;"/ "&amp;search_path&amp;"\RTDC"&amp;B165&amp;"\"&amp;TEXT(F165,"YYYY-MM-DD")&amp;" --recursive &amp; """&amp;walkandungz&amp;""" "&amp;search_path&amp;"\RTDC"&amp;B165&amp;"\"&amp;TEXT(F165,"YYYY-MM-DD")
&amp;" &amp; "&amp;"aws s3 cp "&amp;s3_bucket&amp;"/RTDC"&amp;B165&amp;"/"&amp;TEXT(F165+1,"YYYY-MM-DD")&amp;"/ "&amp;search_path&amp;"\RTDC"&amp;B165&amp;"\"&amp;TEXT(F165+1,"YYYY-MM-DD")&amp;" --recursive &amp; """&amp;walkandungz&amp;""" "&amp;search_path&amp;"\RTDC"&amp;B165&amp;"\"&amp;TEXT(F165+1,"YYYY-MM-DD")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5" s="96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/stypes="app*4017*20160918*" /stext=" 12:.+((SYSTEM_STATE.+slice.+state.+changed )|(ment ac)|(system.+state.+changed )|(\|lc)|(penalty)|(\[timeout)|(PRM\|1\|D)|(kpr)|(kdp))" /e /r /s</v>
      </c>
      <c r="AG165" s="1" t="str">
        <f>IFERROR(IF(VALUE(LEFT(AD165,2))&lt;=2,"EC",IF(OR(VALUE(LEFT(AD165,2))=8,VALUE(LEFT(AD165,2))=18),"NW","Other")),"Other")</f>
        <v>NW</v>
      </c>
      <c r="AH165" s="100" t="str">
        <f t="shared" si="7"/>
        <v>"%USERPROFILE%\Documents\GitHub\eaglep3\Utilities\RefineRTDCRunTimes.py" --tripid 1802-18 --locoid 4017 --swversion DE.1.0.7.0 --startMP 300:58621 --initTime 2016-09-18T06:37:38 --startdatetime 2016-09-18T06:39:30 --delay 1 --endMP 204:720 --enddatetime 2016-09-18T06:55:10 --enforcementcount 0 &gt;&gt;C:\Users\stu\Documents\GitHub\eaglep3-reporting\EC\2016-09-18-refined-times.txt</v>
      </c>
      <c r="AI165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{"issue":{"subject":"","project_id":79,"tracker_id":40,"status_id":1,"priority_id":2,"assigned_to_id":23,"start_date":"2016-09-18","description":"","custom_fields":[{"id":1,"name":"Subdivision","value":"NW"},{"id":4,"name":"Milepost","value":"0.072"},{"id":17,"name":"Train ID","value":"1802-18"},{"id":16,"name":"Locomotive ID","value":"4017"},{"id":130,"name":"Impact","value":""},{"id":150,"name":"Time of Event (Mountain Time)","value":"06:55:10"},{"id":151,"name":"Denver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401</v>
      </c>
      <c r="B166" s="7">
        <v>4018</v>
      </c>
      <c r="C166" s="24" t="s">
        <v>106</v>
      </c>
      <c r="D166" s="24" t="s">
        <v>658</v>
      </c>
      <c r="E166" s="15">
        <v>42631.303310185183</v>
      </c>
      <c r="F166" s="15">
        <v>42631.306597222225</v>
      </c>
      <c r="G166" s="7">
        <v>1</v>
      </c>
      <c r="H166" s="15" t="s">
        <v>659</v>
      </c>
      <c r="I166" s="15">
        <v>42631.31621527778</v>
      </c>
      <c r="J166" s="7">
        <v>0</v>
      </c>
      <c r="K166" s="121" t="str">
        <f>IF(ISEVEN(B166),(B166-1)&amp;"/"&amp;B166,B166&amp;"/"&amp;(B166+1))</f>
        <v>4017/4018</v>
      </c>
      <c r="L166" s="24" t="str">
        <f>VLOOKUP(A166,'Trips&amp;Operators'!$C$1:$E$10000,3,FALSE)</f>
        <v>STARKS</v>
      </c>
      <c r="M166" s="6">
        <f>I166-F166</f>
        <v>9.6180555556202307E-3</v>
      </c>
      <c r="N166" s="7">
        <f>24*60*SUM($M166:$M166)</f>
        <v>13.850000000093132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https://search-rtdc-monitor-bjffxe2xuh6vdkpspy63sjmuny.us-east-1.es.amazonaws.com/_plugin/kibana/#/discover/Steve-Slow-Train-Analysis-(2080s-and-2083s)?_g=(refreshInterval:(display:Off,section:0,value:0),time:(from:'2016-09-18 06:16:46-0600',mode:absolute,to:'2016-09-18 08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6" s="54" t="str">
        <f>IF(AA166&lt;IF(AG166="EC",23,5.65),"Y","N")</f>
        <v>N</v>
      </c>
      <c r="X166" s="168">
        <f>VALUE(LEFT(AD166,4))-VALUE(LEFT(AD165,4))</f>
        <v>1</v>
      </c>
      <c r="Y166" s="69">
        <f>RIGHT(D166,LEN(D166)-4)/10000</f>
        <v>0.1016</v>
      </c>
      <c r="Z166" s="69">
        <f>RIGHT(H166,LEN(H166)-4)/10000</f>
        <v>5.8945999999999996</v>
      </c>
      <c r="AA166" s="69">
        <f>ABS(Z166-Y166)</f>
        <v>5.7929999999999993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>IF(LEN(A166)=6,"0"&amp;A166,A166)</f>
        <v>1803-18</v>
      </c>
      <c r="AE166" s="99" t="str">
        <f>"aws s3 cp "&amp;s3_bucket&amp;"/RTDC"&amp;B166&amp;"/"&amp;TEXT(F166,"YYYY-MM-DD")&amp;"/ "&amp;search_path&amp;"\RTDC"&amp;B166&amp;"\"&amp;TEXT(F166,"YYYY-MM-DD")&amp;" --recursive &amp; """&amp;walkandungz&amp;""" "&amp;search_path&amp;"\RTDC"&amp;B166&amp;"\"&amp;TEXT(F166,"YYYY-MM-DD")
&amp;" &amp; "&amp;"aws s3 cp "&amp;s3_bucket&amp;"/RTDC"&amp;B166&amp;"/"&amp;TEXT(F166+1,"YYYY-MM-DD")&amp;"/ "&amp;search_path&amp;"\RTDC"&amp;B166&amp;"\"&amp;TEXT(F166+1,"YYYY-MM-DD")&amp;" --recursive &amp; """&amp;walkandungz&amp;""" "&amp;search_path&amp;"\RTDC"&amp;B166&amp;"\"&amp;TEXT(F166+1,"YYYY-MM-DD")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66" s="96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/stypes="app*4018*20160918*" /stext=" 13:.+((SYSTEM_STATE.+slice.+state.+changed )|(ment ac)|(system.+state.+changed )|(\|lc)|(penalty)|(\[timeout)|(PRM\|1\|D)|(kpr)|(kdp))" /e /r /s</v>
      </c>
      <c r="AG166" s="1" t="str">
        <f>IFERROR(IF(VALUE(LEFT(AD166,2))&lt;=2,"EC",IF(OR(VALUE(LEFT(AD166,2))=8,VALUE(LEFT(AD166,2))=18),"NW","Other")),"Other")</f>
        <v>NW</v>
      </c>
      <c r="AH166" s="100" t="str">
        <f t="shared" si="7"/>
        <v>"%USERPROFILE%\Documents\GitHub\eaglep3\Utilities\RefineRTDCRunTimes.py" --tripid 1803-18 --locoid 4018 --swversion DE.1.0.7.0 --startMP 204:1016 --initTime 2016-09-18T07:16:46 --startdatetime 2016-09-18T07:21:30 --delay 1 --endMP 300:58946 --enddatetime 2016-09-18T07:35:21 --enforcementcount 0 &gt;&gt;C:\Users\stu\Documents\GitHub\eaglep3-reporting\EC\2016-09-18-refined-times.txt</v>
      </c>
      <c r="AI166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{"issue":{"subject":"","project_id":79,"tracker_id":40,"status_id":1,"priority_id":2,"assigned_to_id":23,"start_date":"2016-09-18","description":"","custom_fields":[{"id":1,"name":"Subdivision","value":"NW"},{"id":4,"name":"Milepost","value":"5.8946"},{"id":17,"name":"Train ID","value":"1803-18"},{"id":16,"name":"Locomotive ID","value":"4018"},{"id":130,"name":"Impact","value":""},{"id":150,"name":"Time of Event (Mountain Time)","value":"07:35:21"},{"id":151,"name":"Denver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456</v>
      </c>
      <c r="B167" s="7">
        <v>4017</v>
      </c>
      <c r="C167" s="24" t="s">
        <v>106</v>
      </c>
      <c r="D167" s="24" t="s">
        <v>380</v>
      </c>
      <c r="E167" s="15">
        <v>42631.317361111112</v>
      </c>
      <c r="F167" s="15">
        <v>42631.31890046296</v>
      </c>
      <c r="G167" s="7">
        <v>1</v>
      </c>
      <c r="H167" s="15" t="s">
        <v>660</v>
      </c>
      <c r="I167" s="15">
        <v>42631.329953703702</v>
      </c>
      <c r="J167" s="7">
        <v>0</v>
      </c>
      <c r="K167" s="121" t="str">
        <f>IF(ISEVEN(B167),(B167-1)&amp;"/"&amp;B167,B167&amp;"/"&amp;(B167+1))</f>
        <v>4017/4018</v>
      </c>
      <c r="L167" s="24" t="str">
        <f>VLOOKUP(A167,'Trips&amp;Operators'!$C$1:$E$10000,3,FALSE)</f>
        <v>STARKS</v>
      </c>
      <c r="M167" s="6">
        <f>I167-F167</f>
        <v>1.1053240741603076E-2</v>
      </c>
      <c r="N167" s="7">
        <f>24*60*SUM($M167:$M167)</f>
        <v>15.91666666790843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https://search-rtdc-monitor-bjffxe2xuh6vdkpspy63sjmuny.us-east-1.es.amazonaws.com/_plugin/kibana/#/discover/Steve-Slow-Train-Analysis-(2080s-and-2083s)?_g=(refreshInterval:(display:Off,section:0,value:0),time:(from:'2016-09-18 06:37:00-0600',mode:absolute,to:'2016-09-18 08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7" s="54" t="str">
        <f>IF(AA167&lt;IF(AG167="EC",23,5.65),"Y","N")</f>
        <v>N</v>
      </c>
      <c r="X167" s="168">
        <f>VALUE(LEFT(AD167,4))-VALUE(LEFT(AD166,4))</f>
        <v>1</v>
      </c>
      <c r="Y167" s="69">
        <f>RIGHT(D167,LEN(D167)-4)/10000</f>
        <v>5.8619000000000003</v>
      </c>
      <c r="Z167" s="69">
        <f>RIGHT(H167,LEN(H167)-4)/10000</f>
        <v>7.3099999999999998E-2</v>
      </c>
      <c r="AA167" s="69">
        <f>ABS(Z167-Y167)</f>
        <v>5.7888000000000002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>IF(LEN(A167)=6,"0"&amp;A167,A167)</f>
        <v>1804-18</v>
      </c>
      <c r="AE167" s="99" t="str">
        <f>"aws s3 cp "&amp;s3_bucket&amp;"/RTDC"&amp;B167&amp;"/"&amp;TEXT(F167,"YYYY-MM-DD")&amp;"/ "&amp;search_path&amp;"\RTDC"&amp;B167&amp;"\"&amp;TEXT(F167,"YYYY-MM-DD")&amp;" --recursive &amp; """&amp;walkandungz&amp;""" "&amp;search_path&amp;"\RTDC"&amp;B167&amp;"\"&amp;TEXT(F167,"YYYY-MM-DD")
&amp;" &amp; "&amp;"aws s3 cp "&amp;s3_bucket&amp;"/RTDC"&amp;B167&amp;"/"&amp;TEXT(F167+1,"YYYY-MM-DD")&amp;"/ "&amp;search_path&amp;"\RTDC"&amp;B167&amp;"\"&amp;TEXT(F167+1,"YYYY-MM-DD")&amp;" --recursive &amp; """&amp;walkandungz&amp;""" "&amp;search_path&amp;"\RTDC"&amp;B167&amp;"\"&amp;TEXT(F167+1,"YYYY-MM-DD")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7" s="96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/stypes="app*4017*20160918*" /stext=" 13:.+((SYSTEM_STATE.+slice.+state.+changed )|(ment ac)|(system.+state.+changed )|(\|lc)|(penalty)|(\[timeout)|(PRM\|1\|D)|(kpr)|(kdp))" /e /r /s</v>
      </c>
      <c r="AG167" s="1" t="str">
        <f>IFERROR(IF(VALUE(LEFT(AD167,2))&lt;=2,"EC",IF(OR(VALUE(LEFT(AD167,2))=8,VALUE(LEFT(AD167,2))=18),"NW","Other")),"Other")</f>
        <v>NW</v>
      </c>
      <c r="AH167" s="100" t="str">
        <f t="shared" si="7"/>
        <v>"%USERPROFILE%\Documents\GitHub\eaglep3\Utilities\RefineRTDCRunTimes.py" --tripid 1804-18 --locoid 4017 --swversion DE.1.0.7.0 --startMP 300:58619 --initTime 2016-09-18T07:37:00 --startdatetime 2016-09-18T07:39:13 --delay 1 --endMP 204:731 --enddatetime 2016-09-18T07:55:08 --enforcementcount 0 &gt;&gt;C:\Users\stu\Documents\GitHub\eaglep3-reporting\EC\2016-09-18-refined-times.txt</v>
      </c>
      <c r="AI167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{"issue":{"subject":"","project_id":79,"tracker_id":40,"status_id":1,"priority_id":2,"assigned_to_id":23,"start_date":"2016-09-18","description":"","custom_fields":[{"id":1,"name":"Subdivision","value":"NW"},{"id":4,"name":"Milepost","value":"0.0731"},{"id":17,"name":"Train ID","value":"1804-18"},{"id":16,"name":"Locomotive ID","value":"4017"},{"id":130,"name":"Impact","value":""},{"id":150,"name":"Time of Event (Mountain Time)","value":"07:55:08"},{"id":151,"name":"Denver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404</v>
      </c>
      <c r="B168" s="7">
        <v>4018</v>
      </c>
      <c r="C168" s="24" t="s">
        <v>106</v>
      </c>
      <c r="D168" s="24" t="s">
        <v>661</v>
      </c>
      <c r="E168" s="15">
        <v>42631.339456018519</v>
      </c>
      <c r="F168" s="15">
        <v>42631.348101851851</v>
      </c>
      <c r="G168" s="7">
        <v>1</v>
      </c>
      <c r="H168" s="15" t="s">
        <v>379</v>
      </c>
      <c r="I168" s="15">
        <v>42631.357372685183</v>
      </c>
      <c r="J168" s="7">
        <v>0</v>
      </c>
      <c r="K168" s="121" t="str">
        <f>IF(ISEVEN(B168),(B168-1)&amp;"/"&amp;B168,B168&amp;"/"&amp;(B168+1))</f>
        <v>4017/4018</v>
      </c>
      <c r="L168" s="24" t="str">
        <f>VLOOKUP(A168,'Trips&amp;Operators'!$C$1:$E$10000,3,FALSE)</f>
        <v>STARKS</v>
      </c>
      <c r="M168" s="6">
        <f>I168-F168</f>
        <v>9.2708333322661929E-3</v>
      </c>
      <c r="N168" s="7">
        <f>24*60*SUM($M168:$M168)</f>
        <v>13.349999998463318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https://search-rtdc-monitor-bjffxe2xuh6vdkpspy63sjmuny.us-east-1.es.amazonaws.com/_plugin/kibana/#/discover/Steve-Slow-Train-Analysis-(2080s-and-2083s)?_g=(refreshInterval:(display:Off,section:0,value:0),time:(from:'2016-09-18 07:08:49-0600',mode:absolute,to:'2016-09-18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8" s="54" t="str">
        <f>IF(AA168&lt;IF(AG168="EC",23,5.65),"Y","N")</f>
        <v>N</v>
      </c>
      <c r="X168" s="168">
        <f>VALUE(LEFT(AD168,4))-VALUE(LEFT(AD167,4))</f>
        <v>1</v>
      </c>
      <c r="Y168" s="69">
        <f>RIGHT(D168,LEN(D168)-4)/10000</f>
        <v>0.1014</v>
      </c>
      <c r="Z168" s="69">
        <f>RIGHT(H168,LEN(H168)-4)/10000</f>
        <v>5.8929</v>
      </c>
      <c r="AA168" s="69">
        <f>ABS(Z168-Y168)</f>
        <v>5.7915000000000001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>IF(LEN(A168)=6,"0"&amp;A168,A168)</f>
        <v>1805-18</v>
      </c>
      <c r="AE168" s="99" t="str">
        <f>"aws s3 cp "&amp;s3_bucket&amp;"/RTDC"&amp;B168&amp;"/"&amp;TEXT(F168,"YYYY-MM-DD")&amp;"/ "&amp;search_path&amp;"\RTDC"&amp;B168&amp;"\"&amp;TEXT(F168,"YYYY-MM-DD")&amp;" --recursive &amp; """&amp;walkandungz&amp;""" "&amp;search_path&amp;"\RTDC"&amp;B168&amp;"\"&amp;TEXT(F168,"YYYY-MM-DD")
&amp;" &amp; "&amp;"aws s3 cp "&amp;s3_bucket&amp;"/RTDC"&amp;B168&amp;"/"&amp;TEXT(F168+1,"YYYY-MM-DD")&amp;"/ "&amp;search_path&amp;"\RTDC"&amp;B168&amp;"\"&amp;TEXT(F168+1,"YYYY-MM-DD")&amp;" --recursive &amp; """&amp;walkandungz&amp;""" "&amp;search_path&amp;"\RTDC"&amp;B168&amp;"\"&amp;TEXT(F168+1,"YYYY-MM-DD")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68" s="96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/stypes="app*4018*20160918*" /stext=" 14:.+((SYSTEM_STATE.+slice.+state.+changed )|(ment ac)|(system.+state.+changed )|(\|lc)|(penalty)|(\[timeout)|(PRM\|1\|D)|(kpr)|(kdp))" /e /r /s</v>
      </c>
      <c r="AG168" s="1" t="str">
        <f>IFERROR(IF(VALUE(LEFT(AD168,2))&lt;=2,"EC",IF(OR(VALUE(LEFT(AD168,2))=8,VALUE(LEFT(AD168,2))=18),"NW","Other")),"Other")</f>
        <v>NW</v>
      </c>
      <c r="AH168" s="100" t="str">
        <f t="shared" si="7"/>
        <v>"%USERPROFILE%\Documents\GitHub\eaglep3\Utilities\RefineRTDCRunTimes.py" --tripid 1805-18 --locoid 4018 --swversion DE.1.0.7.0 --startMP 204:1014 --initTime 2016-09-18T08:08:49 --startdatetime 2016-09-18T08:21:16 --delay 1 --endMP 300:58929 --enddatetime 2016-09-18T08:34:37 --enforcementcount 0 &gt;&gt;C:\Users\stu\Documents\GitHub\eaglep3-reporting\EC\2016-09-18-refined-times.txt</v>
      </c>
      <c r="AI168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{"issue":{"subject":"","project_id":79,"tracker_id":40,"status_id":1,"priority_id":2,"assigned_to_id":23,"start_date":"2016-09-18","description":"","custom_fields":[{"id":1,"name":"Subdivision","value":"NW"},{"id":4,"name":"Milepost","value":"5.8929"},{"id":17,"name":"Train ID","value":"1805-18"},{"id":16,"name":"Locomotive ID","value":"4018"},{"id":130,"name":"Impact","value":""},{"id":150,"name":"Time of Event (Mountain Time)","value":"08:34:37"},{"id":151,"name":"Denver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463</v>
      </c>
      <c r="B169" s="7">
        <v>4017</v>
      </c>
      <c r="C169" s="24" t="s">
        <v>106</v>
      </c>
      <c r="D169" s="24" t="s">
        <v>662</v>
      </c>
      <c r="E169" s="15">
        <v>42631.358865740738</v>
      </c>
      <c r="F169" s="15">
        <v>42631.359976851854</v>
      </c>
      <c r="G169" s="7">
        <v>1</v>
      </c>
      <c r="H169" s="15" t="s">
        <v>663</v>
      </c>
      <c r="I169" s="15">
        <v>42631.371724537035</v>
      </c>
      <c r="J169" s="7">
        <v>0</v>
      </c>
      <c r="K169" s="121" t="str">
        <f>IF(ISEVEN(B169),(B169-1)&amp;"/"&amp;B169,B169&amp;"/"&amp;(B169+1))</f>
        <v>4017/4018</v>
      </c>
      <c r="L169" s="24" t="str">
        <f>VLOOKUP(A169,'Trips&amp;Operators'!$C$1:$E$10000,3,FALSE)</f>
        <v>STARKS</v>
      </c>
      <c r="M169" s="6">
        <f>I169-F169</f>
        <v>1.1747685181035195E-2</v>
      </c>
      <c r="N169" s="7">
        <f>24*60*SUM($M169:$M169)</f>
        <v>16.91666666069068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https://search-rtdc-monitor-bjffxe2xuh6vdkpspy63sjmuny.us-east-1.es.amazonaws.com/_plugin/kibana/#/discover/Steve-Slow-Train-Analysis-(2080s-and-2083s)?_g=(refreshInterval:(display:Off,section:0,value:0),time:(from:'2016-09-18 07:36:46-0600',mode:absolute,to:'2016-09-18 09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9" s="54" t="str">
        <f>IF(AA169&lt;IF(AG169="EC",23,5.65),"Y","N")</f>
        <v>N</v>
      </c>
      <c r="X169" s="168">
        <f>VALUE(LEFT(AD169,4))-VALUE(LEFT(AD168,4))</f>
        <v>1</v>
      </c>
      <c r="Y169" s="69">
        <f>RIGHT(D169,LEN(D169)-4)/10000</f>
        <v>5.8611000000000004</v>
      </c>
      <c r="Z169" s="69">
        <f>RIGHT(H169,LEN(H169)-4)/10000</f>
        <v>7.2900000000000006E-2</v>
      </c>
      <c r="AA169" s="69">
        <f>ABS(Z169-Y169)</f>
        <v>5.7882000000000007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>IF(LEN(A169)=6,"0"&amp;A169,A169)</f>
        <v>1806-18</v>
      </c>
      <c r="AE169" s="99" t="str">
        <f>"aws s3 cp "&amp;s3_bucket&amp;"/RTDC"&amp;B169&amp;"/"&amp;TEXT(F169,"YYYY-MM-DD")&amp;"/ "&amp;search_path&amp;"\RTDC"&amp;B169&amp;"\"&amp;TEXT(F169,"YYYY-MM-DD")&amp;" --recursive &amp; """&amp;walkandungz&amp;""" "&amp;search_path&amp;"\RTDC"&amp;B169&amp;"\"&amp;TEXT(F169,"YYYY-MM-DD")
&amp;" &amp; "&amp;"aws s3 cp "&amp;s3_bucket&amp;"/RTDC"&amp;B169&amp;"/"&amp;TEXT(F169+1,"YYYY-MM-DD")&amp;"/ "&amp;search_path&amp;"\RTDC"&amp;B169&amp;"\"&amp;TEXT(F169+1,"YYYY-MM-DD")&amp;" --recursive &amp; """&amp;walkandungz&amp;""" "&amp;search_path&amp;"\RTDC"&amp;B169&amp;"\"&amp;TEXT(F169+1,"YYYY-MM-DD")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9" s="96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/stypes="app*4017*20160918*" /stext=" 14:.+((SYSTEM_STATE.+slice.+state.+changed )|(ment ac)|(system.+state.+changed )|(\|lc)|(penalty)|(\[timeout)|(PRM\|1\|D)|(kpr)|(kdp))" /e /r /s</v>
      </c>
      <c r="AG169" s="1" t="str">
        <f>IFERROR(IF(VALUE(LEFT(AD169,2))&lt;=2,"EC",IF(OR(VALUE(LEFT(AD169,2))=8,VALUE(LEFT(AD169,2))=18),"NW","Other")),"Other")</f>
        <v>NW</v>
      </c>
      <c r="AH169" s="100" t="str">
        <f t="shared" si="7"/>
        <v>"%USERPROFILE%\Documents\GitHub\eaglep3\Utilities\RefineRTDCRunTimes.py" --tripid 1806-18 --locoid 4017 --swversion DE.1.0.7.0 --startMP 300:58611 --initTime 2016-09-18T08:36:46 --startdatetime 2016-09-18T08:38:22 --delay 1 --endMP 204:729 --enddatetime 2016-09-18T08:55:17 --enforcementcount 0 &gt;&gt;C:\Users\stu\Documents\GitHub\eaglep3-reporting\EC\2016-09-18-refined-times.txt</v>
      </c>
      <c r="AI169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{"issue":{"subject":"","project_id":79,"tracker_id":40,"status_id":1,"priority_id":2,"assigned_to_id":23,"start_date":"2016-09-18","description":"","custom_fields":[{"id":1,"name":"Subdivision","value":"NW"},{"id":4,"name":"Milepost","value":"0.0729"},{"id":17,"name":"Train ID","value":"1806-18"},{"id":16,"name":"Locomotive ID","value":"4017"},{"id":130,"name":"Impact","value":""},{"id":150,"name":"Time of Event (Mountain Time)","value":"08:55:17"},{"id":151,"name":"Denver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467</v>
      </c>
      <c r="B170" s="7">
        <v>4018</v>
      </c>
      <c r="C170" s="24" t="s">
        <v>106</v>
      </c>
      <c r="D170" s="24" t="s">
        <v>664</v>
      </c>
      <c r="E170" s="15">
        <v>42631.373425925929</v>
      </c>
      <c r="F170" s="15">
        <v>42631.402824074074</v>
      </c>
      <c r="G170" s="7">
        <v>1</v>
      </c>
      <c r="H170" s="15" t="s">
        <v>383</v>
      </c>
      <c r="I170" s="15">
        <v>42631.413726851853</v>
      </c>
      <c r="J170" s="7">
        <v>0</v>
      </c>
      <c r="K170" s="121" t="str">
        <f>IF(ISEVEN(B170),(B170-1)&amp;"/"&amp;B170,B170&amp;"/"&amp;(B170+1))</f>
        <v>4017/4018</v>
      </c>
      <c r="L170" s="24" t="str">
        <f>VLOOKUP(A170,'Trips&amp;Operators'!$C$1:$E$10000,3,FALSE)</f>
        <v>STARKS</v>
      </c>
      <c r="M170" s="6">
        <f>I170-F170</f>
        <v>1.0902777779847383E-2</v>
      </c>
      <c r="N170" s="7">
        <f>24*60*SUM($M170:$M170)</f>
        <v>15.700000002980232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https://search-rtdc-monitor-bjffxe2xuh6vdkpspy63sjmuny.us-east-1.es.amazonaws.com/_plugin/kibana/#/discover/Steve-Slow-Train-Analysis-(2080s-and-2083s)?_g=(refreshInterval:(display:Off,section:0,value:0),time:(from:'2016-09-18 07:57:44-0600',mode:absolute,to:'2016-09-18 10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0" s="54" t="str">
        <f>IF(AA170&lt;IF(AG170="EC",23,5.65),"Y","N")</f>
        <v>N</v>
      </c>
      <c r="X170" s="168">
        <f>VALUE(LEFT(AD170,4))-VALUE(LEFT(AD169,4))</f>
        <v>1</v>
      </c>
      <c r="Y170" s="69">
        <f>RIGHT(D170,LEN(D170)-4)/10000</f>
        <v>0.10059999999999999</v>
      </c>
      <c r="Z170" s="69">
        <f>RIGHT(H170,LEN(H170)-4)/10000</f>
        <v>5.8939000000000004</v>
      </c>
      <c r="AA170" s="69">
        <f>ABS(Z170-Y170)</f>
        <v>5.7933000000000003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>IF(LEN(A170)=6,"0"&amp;A170,A170)</f>
        <v>1807-18</v>
      </c>
      <c r="AE170" s="99" t="str">
        <f>"aws s3 cp "&amp;s3_bucket&amp;"/RTDC"&amp;B170&amp;"/"&amp;TEXT(F170,"YYYY-MM-DD")&amp;"/ "&amp;search_path&amp;"\RTDC"&amp;B170&amp;"\"&amp;TEXT(F170,"YYYY-MM-DD")&amp;" --recursive &amp; """&amp;walkandungz&amp;""" "&amp;search_path&amp;"\RTDC"&amp;B170&amp;"\"&amp;TEXT(F170,"YYYY-MM-DD")
&amp;" &amp; "&amp;"aws s3 cp "&amp;s3_bucket&amp;"/RTDC"&amp;B170&amp;"/"&amp;TEXT(F170+1,"YYYY-MM-DD")&amp;"/ "&amp;search_path&amp;"\RTDC"&amp;B170&amp;"\"&amp;TEXT(F170+1,"YYYY-MM-DD")&amp;" --recursive &amp; """&amp;walkandungz&amp;""" "&amp;search_path&amp;"\RTDC"&amp;B170&amp;"\"&amp;TEXT(F170+1,"YYYY-MM-DD")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0" s="96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/stypes="app*4018*20160918*" /stext=" 15:.+((SYSTEM_STATE.+slice.+state.+changed )|(ment ac)|(system.+state.+changed )|(\|lc)|(penalty)|(\[timeout)|(PRM\|1\|D)|(kpr)|(kdp))" /e /r /s</v>
      </c>
      <c r="AG170" s="1" t="str">
        <f>IFERROR(IF(VALUE(LEFT(AD170,2))&lt;=2,"EC",IF(OR(VALUE(LEFT(AD170,2))=8,VALUE(LEFT(AD170,2))=18),"NW","Other")),"Other")</f>
        <v>NW</v>
      </c>
      <c r="AH170" s="100" t="str">
        <f t="shared" si="7"/>
        <v>"%USERPROFILE%\Documents\GitHub\eaglep3\Utilities\RefineRTDCRunTimes.py" --tripid 1807-18 --locoid 4018 --swversion DE.1.0.7.0 --startMP 204:1006 --initTime 2016-09-18T08:57:44 --startdatetime 2016-09-18T09:40:04 --delay 1 --endMP 300:58939 --enddatetime 2016-09-18T09:55:46 --enforcementcount 0 &gt;&gt;C:\Users\stu\Documents\GitHub\eaglep3-reporting\EC\2016-09-18-refined-times.txt</v>
      </c>
      <c r="AI170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{"issue":{"subject":"","project_id":79,"tracker_id":40,"status_id":1,"priority_id":2,"assigned_to_id":23,"start_date":"2016-09-18","description":"","custom_fields":[{"id":1,"name":"Subdivision","value":"NW"},{"id":4,"name":"Milepost","value":"5.8939"},{"id":17,"name":"Train ID","value":"1807-18"},{"id":16,"name":"Locomotive ID","value":"4018"},{"id":130,"name":"Impact","value":""},{"id":150,"name":"Time of Event (Mountain Time)","value":"09:55:46"},{"id":151,"name":"Denver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472</v>
      </c>
      <c r="B171" s="7">
        <v>4017</v>
      </c>
      <c r="C171" s="24" t="s">
        <v>106</v>
      </c>
      <c r="D171" s="24" t="s">
        <v>665</v>
      </c>
      <c r="E171" s="15">
        <v>42631.401585648149</v>
      </c>
      <c r="F171" s="15">
        <v>42631.402824074074</v>
      </c>
      <c r="G171" s="7">
        <v>1</v>
      </c>
      <c r="H171" s="15" t="s">
        <v>666</v>
      </c>
      <c r="I171" s="15">
        <v>42631.413726851853</v>
      </c>
      <c r="J171" s="7">
        <v>0</v>
      </c>
      <c r="K171" s="121" t="str">
        <f>IF(ISEVEN(B171),(B171-1)&amp;"/"&amp;B171,B171&amp;"/"&amp;(B171+1))</f>
        <v>4017/4018</v>
      </c>
      <c r="L171" s="24" t="str">
        <f>VLOOKUP(A171,'Trips&amp;Operators'!$C$1:$E$10000,3,FALSE)</f>
        <v>STARKS</v>
      </c>
      <c r="M171" s="6">
        <f>I171-F171</f>
        <v>1.0902777779847383E-2</v>
      </c>
      <c r="N171" s="7">
        <f>24*60*SUM($M171:$M171)</f>
        <v>15.700000002980232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https://search-rtdc-monitor-bjffxe2xuh6vdkpspy63sjmuny.us-east-1.es.amazonaws.com/_plugin/kibana/#/discover/Steve-Slow-Train-Analysis-(2080s-and-2083s)?_g=(refreshInterval:(display:Off,section:0,value:0),time:(from:'2016-09-18 08:38:17-0600',mode:absolute,to:'2016-09-18 10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1" s="54" t="str">
        <f>IF(AA171&lt;IF(AG171="EC",23,5.65),"Y","N")</f>
        <v>N</v>
      </c>
      <c r="X171" s="168">
        <f>VALUE(LEFT(AD171,4))-VALUE(LEFT(AD170,4))</f>
        <v>1</v>
      </c>
      <c r="Y171" s="69">
        <f>RIGHT(D171,LEN(D171)-4)/10000</f>
        <v>5.8624000000000001</v>
      </c>
      <c r="Z171" s="69">
        <f>RIGHT(H171,LEN(H171)-4)/10000</f>
        <v>7.2400000000000006E-2</v>
      </c>
      <c r="AA171" s="69">
        <f>ABS(Z171-Y171)</f>
        <v>5.79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>IF(LEN(A171)=6,"0"&amp;A171,A171)</f>
        <v>1808-18</v>
      </c>
      <c r="AE171" s="99" t="str">
        <f>"aws s3 cp "&amp;s3_bucket&amp;"/RTDC"&amp;B171&amp;"/"&amp;TEXT(F171,"YYYY-MM-DD")&amp;"/ "&amp;search_path&amp;"\RTDC"&amp;B171&amp;"\"&amp;TEXT(F171,"YYYY-MM-DD")&amp;" --recursive &amp; """&amp;walkandungz&amp;""" "&amp;search_path&amp;"\RTDC"&amp;B171&amp;"\"&amp;TEXT(F171,"YYYY-MM-DD")
&amp;" &amp; "&amp;"aws s3 cp "&amp;s3_bucket&amp;"/RTDC"&amp;B171&amp;"/"&amp;TEXT(F171+1,"YYYY-MM-DD")&amp;"/ "&amp;search_path&amp;"\RTDC"&amp;B171&amp;"\"&amp;TEXT(F171+1,"YYYY-MM-DD")&amp;" --recursive &amp; """&amp;walkandungz&amp;""" "&amp;search_path&amp;"\RTDC"&amp;B171&amp;"\"&amp;TEXT(F171+1,"YYYY-MM-DD")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1" s="96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/stypes="app*4017*20160918*" /stext=" 15:.+((SYSTEM_STATE.+slice.+state.+changed )|(ment ac)|(system.+state.+changed )|(\|lc)|(penalty)|(\[timeout)|(PRM\|1\|D)|(kpr)|(kdp))" /e /r /s</v>
      </c>
      <c r="AG171" s="1" t="str">
        <f>IFERROR(IF(VALUE(LEFT(AD171,2))&lt;=2,"EC",IF(OR(VALUE(LEFT(AD171,2))=8,VALUE(LEFT(AD171,2))=18),"NW","Other")),"Other")</f>
        <v>NW</v>
      </c>
      <c r="AH171" s="100" t="str">
        <f t="shared" si="7"/>
        <v>"%USERPROFILE%\Documents\GitHub\eaglep3\Utilities\RefineRTDCRunTimes.py" --tripid 1808-18 --locoid 4017 --swversion DE.1.0.7.0 --startMP 300:58624 --initTime 2016-09-18T09:38:17 --startdatetime 2016-09-18T09:40:04 --delay 1 --endMP 204:724 --enddatetime 2016-09-18T09:55:46 --enforcementcount 0 &gt;&gt;C:\Users\stu\Documents\GitHub\eaglep3-reporting\EC\2016-09-18-refined-times.txt</v>
      </c>
      <c r="AI171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{"issue":{"subject":"","project_id":79,"tracker_id":40,"status_id":1,"priority_id":2,"assigned_to_id":23,"start_date":"2016-09-18","description":"","custom_fields":[{"id":1,"name":"Subdivision","value":"NW"},{"id":4,"name":"Milepost","value":"0.0724"},{"id":17,"name":"Train ID","value":"1808-18"},{"id":16,"name":"Locomotive ID","value":"4017"},{"id":130,"name":"Impact","value":""},{"id":150,"name":"Time of Event (Mountain Time)","value":"09:55:46"},{"id":151,"name":"Denver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476</v>
      </c>
      <c r="B172" s="7">
        <v>4018</v>
      </c>
      <c r="C172" s="24" t="s">
        <v>106</v>
      </c>
      <c r="D172" s="24" t="s">
        <v>667</v>
      </c>
      <c r="E172" s="15">
        <v>42631.429942129631</v>
      </c>
      <c r="F172" s="15">
        <v>42631.431435185186</v>
      </c>
      <c r="G172" s="7">
        <v>1</v>
      </c>
      <c r="H172" s="15" t="s">
        <v>381</v>
      </c>
      <c r="I172" s="15">
        <v>42631.441122685188</v>
      </c>
      <c r="J172" s="7">
        <v>0</v>
      </c>
      <c r="K172" s="121" t="str">
        <f>IF(ISEVEN(B172),(B172-1)&amp;"/"&amp;B172,B172&amp;"/"&amp;(B172+1))</f>
        <v>4017/4018</v>
      </c>
      <c r="L172" s="24" t="str">
        <f>VLOOKUP(A172,'Trips&amp;Operators'!$C$1:$E$10000,3,FALSE)</f>
        <v>STARKS</v>
      </c>
      <c r="M172" s="6">
        <f>I172-F172</f>
        <v>9.6875000017462298E-3</v>
      </c>
      <c r="N172" s="7">
        <f>24*60*SUM($M172:$M172)</f>
        <v>13.950000002514571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https://search-rtdc-monitor-bjffxe2xuh6vdkpspy63sjmuny.us-east-1.es.amazonaws.com/_plugin/kibana/#/discover/Steve-Slow-Train-Analysis-(2080s-and-2083s)?_g=(refreshInterval:(display:Off,section:0,value:0),time:(from:'2016-09-18 09:19:07-0600',mode:absolute,to:'2016-09-18 11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2" s="54" t="str">
        <f>IF(AA172&lt;IF(AG172="EC",23,5.65),"Y","N")</f>
        <v>N</v>
      </c>
      <c r="X172" s="168">
        <f>VALUE(LEFT(AD172,4))-VALUE(LEFT(AD171,4))</f>
        <v>1</v>
      </c>
      <c r="Y172" s="69">
        <f>RIGHT(D172,LEN(D172)-4)/10000</f>
        <v>0.1</v>
      </c>
      <c r="Z172" s="69">
        <f>RIGHT(H172,LEN(H172)-4)/10000</f>
        <v>5.8933</v>
      </c>
      <c r="AA172" s="69">
        <f>ABS(Z172-Y172)</f>
        <v>5.7933000000000003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>IF(LEN(A172)=6,"0"&amp;A172,A172)</f>
        <v>1809-18</v>
      </c>
      <c r="AE172" s="99" t="str">
        <f>"aws s3 cp "&amp;s3_bucket&amp;"/RTDC"&amp;B172&amp;"/"&amp;TEXT(F172,"YYYY-MM-DD")&amp;"/ "&amp;search_path&amp;"\RTDC"&amp;B172&amp;"\"&amp;TEXT(F172,"YYYY-MM-DD")&amp;" --recursive &amp; """&amp;walkandungz&amp;""" "&amp;search_path&amp;"\RTDC"&amp;B172&amp;"\"&amp;TEXT(F172,"YYYY-MM-DD")
&amp;" &amp; "&amp;"aws s3 cp "&amp;s3_bucket&amp;"/RTDC"&amp;B172&amp;"/"&amp;TEXT(F172+1,"YYYY-MM-DD")&amp;"/ "&amp;search_path&amp;"\RTDC"&amp;B172&amp;"\"&amp;TEXT(F172+1,"YYYY-MM-DD")&amp;" --recursive &amp; """&amp;walkandungz&amp;""" "&amp;search_path&amp;"\RTDC"&amp;B172&amp;"\"&amp;TEXT(F172+1,"YYYY-MM-DD")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2" s="96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/stypes="app*4018*20160918*" /stext=" 16:.+((SYSTEM_STATE.+slice.+state.+changed )|(ment ac)|(system.+state.+changed )|(\|lc)|(penalty)|(\[timeout)|(PRM\|1\|D)|(kpr)|(kdp))" /e /r /s</v>
      </c>
      <c r="AG172" s="1" t="str">
        <f>IFERROR(IF(VALUE(LEFT(AD172,2))&lt;=2,"EC",IF(OR(VALUE(LEFT(AD172,2))=8,VALUE(LEFT(AD172,2))=18),"NW","Other")),"Other")</f>
        <v>NW</v>
      </c>
      <c r="AH172" s="100" t="str">
        <f t="shared" si="7"/>
        <v>"%USERPROFILE%\Documents\GitHub\eaglep3\Utilities\RefineRTDCRunTimes.py" --tripid 1809-18 --locoid 4018 --swversion DE.1.0.7.0 --startMP 204:1000 --initTime 2016-09-18T10:19:07 --startdatetime 2016-09-18T10:21:16 --delay 1 --endMP 300:58933 --enddatetime 2016-09-18T10:35:13 --enforcementcount 0 &gt;&gt;C:\Users\stu\Documents\GitHub\eaglep3-reporting\EC\2016-09-18-refined-times.txt</v>
      </c>
      <c r="AI172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{"issue":{"subject":"","project_id":79,"tracker_id":40,"status_id":1,"priority_id":2,"assigned_to_id":23,"start_date":"2016-09-18","description":"","custom_fields":[{"id":1,"name":"Subdivision","value":"NW"},{"id":4,"name":"Milepost","value":"5.8933"},{"id":17,"name":"Train ID","value":"1809-18"},{"id":16,"name":"Locomotive ID","value":"4018"},{"id":130,"name":"Impact","value":""},{"id":150,"name":"Time of Event (Mountain Time)","value":"10:35:13"},{"id":151,"name":"Denver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479</v>
      </c>
      <c r="B173" s="7">
        <v>4017</v>
      </c>
      <c r="C173" s="24" t="s">
        <v>106</v>
      </c>
      <c r="D173" s="24" t="s">
        <v>378</v>
      </c>
      <c r="E173" s="15">
        <v>42631.442291666666</v>
      </c>
      <c r="F173" s="15">
        <v>42631.443819444445</v>
      </c>
      <c r="G173" s="7">
        <v>1</v>
      </c>
      <c r="H173" s="15" t="s">
        <v>663</v>
      </c>
      <c r="I173" s="15">
        <v>42631.454895833333</v>
      </c>
      <c r="J173" s="7">
        <v>0</v>
      </c>
      <c r="K173" s="121" t="str">
        <f>IF(ISEVEN(B173),(B173-1)&amp;"/"&amp;B173,B173&amp;"/"&amp;(B173+1))</f>
        <v>4017/4018</v>
      </c>
      <c r="L173" s="24" t="str">
        <f>VLOOKUP(A173,'Trips&amp;Operators'!$C$1:$E$10000,3,FALSE)</f>
        <v>STARKS</v>
      </c>
      <c r="M173" s="6">
        <f>I173-F173</f>
        <v>1.1076388887886424E-2</v>
      </c>
      <c r="N173" s="7">
        <f>24*60*SUM($M173:$M173)</f>
        <v>15.94999999855645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https://search-rtdc-monitor-bjffxe2xuh6vdkpspy63sjmuny.us-east-1.es.amazonaws.com/_plugin/kibana/#/discover/Steve-Slow-Train-Analysis-(2080s-and-2083s)?_g=(refreshInterval:(display:Off,section:0,value:0),time:(from:'2016-09-18 09:36:54-0600',mode:absolute,to:'2016-09-18 11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3" s="54" t="str">
        <f>IF(AA173&lt;IF(AG173="EC",23,5.65),"Y","N")</f>
        <v>N</v>
      </c>
      <c r="X173" s="168">
        <f>VALUE(LEFT(AD173,4))-VALUE(LEFT(AD172,4))</f>
        <v>1</v>
      </c>
      <c r="Y173" s="69">
        <f>RIGHT(D173,LEN(D173)-4)/10000</f>
        <v>5.8620999999999999</v>
      </c>
      <c r="Z173" s="69">
        <f>RIGHT(H173,LEN(H173)-4)/10000</f>
        <v>7.2900000000000006E-2</v>
      </c>
      <c r="AA173" s="69">
        <f>ABS(Z173-Y173)</f>
        <v>5.7892000000000001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>IF(LEN(A173)=6,"0"&amp;A173,A173)</f>
        <v>1810-18</v>
      </c>
      <c r="AE173" s="99" t="str">
        <f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3" s="96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/stypes="app*4017*20160918*" /stext=" 16:.+((SYSTEM_STATE.+slice.+state.+changed )|(ment ac)|(system.+state.+changed )|(\|lc)|(penalty)|(\[timeout)|(PRM\|1\|D)|(kpr)|(kdp))" /e /r /s</v>
      </c>
      <c r="AG173" s="1" t="str">
        <f>IFERROR(IF(VALUE(LEFT(AD173,2))&lt;=2,"EC",IF(OR(VALUE(LEFT(AD173,2))=8,VALUE(LEFT(AD173,2))=18),"NW","Other")),"Other")</f>
        <v>NW</v>
      </c>
      <c r="AH173" s="100" t="str">
        <f t="shared" si="7"/>
        <v>"%USERPROFILE%\Documents\GitHub\eaglep3\Utilities\RefineRTDCRunTimes.py" --tripid 1810-18 --locoid 4017 --swversion DE.1.0.7.0 --startMP 300:58621 --initTime 2016-09-18T10:36:54 --startdatetime 2016-09-18T10:39:06 --delay 1 --endMP 204:729 --enddatetime 2016-09-18T10:55:03 --enforcementcount 0 &gt;&gt;C:\Users\stu\Documents\GitHub\eaglep3-reporting\EC\2016-09-18-refined-times.txt</v>
      </c>
      <c r="AI173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{"issue":{"subject":"","project_id":79,"tracker_id":40,"status_id":1,"priority_id":2,"assigned_to_id":23,"start_date":"2016-09-18","description":"","custom_fields":[{"id":1,"name":"Subdivision","value":"NW"},{"id":4,"name":"Milepost","value":"0.0729"},{"id":17,"name":"Train ID","value":"1810-18"},{"id":16,"name":"Locomotive ID","value":"4017"},{"id":130,"name":"Impact","value":""},{"id":150,"name":"Time of Event (Mountain Time)","value":"10:55:03"},{"id":151,"name":"Denver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416</v>
      </c>
      <c r="B174" s="7">
        <v>4018</v>
      </c>
      <c r="C174" s="24" t="s">
        <v>106</v>
      </c>
      <c r="D174" s="24" t="s">
        <v>661</v>
      </c>
      <c r="E174" s="15">
        <v>42631.471666666665</v>
      </c>
      <c r="F174" s="15">
        <v>42631.47315972222</v>
      </c>
      <c r="G174" s="7">
        <v>0</v>
      </c>
      <c r="H174" s="15" t="s">
        <v>269</v>
      </c>
      <c r="I174" s="15">
        <v>42631.482673611114</v>
      </c>
      <c r="J174" s="7">
        <v>0</v>
      </c>
      <c r="K174" s="121" t="str">
        <f>IF(ISEVEN(B174),(B174-1)&amp;"/"&amp;B174,B174&amp;"/"&amp;(B174+1))</f>
        <v>4017/4018</v>
      </c>
      <c r="L174" s="24" t="str">
        <f>VLOOKUP(A174,'Trips&amp;Operators'!$C$1:$E$10000,3,FALSE)</f>
        <v>STARKS</v>
      </c>
      <c r="M174" s="6">
        <f>I174-F174</f>
        <v>9.5138888937071897E-3</v>
      </c>
      <c r="N174" s="7">
        <f>24*60*SUM($M174:$M174)</f>
        <v>13.700000006938353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https://search-rtdc-monitor-bjffxe2xuh6vdkpspy63sjmuny.us-east-1.es.amazonaws.com/_plugin/kibana/#/discover/Steve-Slow-Train-Analysis-(2080s-and-2083s)?_g=(refreshInterval:(display:Off,section:0,value:0),time:(from:'2016-09-18 10:19:12-0600',mode:absolute,to:'2016-09-18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4" s="54" t="str">
        <f>IF(AA174&lt;IF(AG174="EC",23,5.65),"Y","N")</f>
        <v>N</v>
      </c>
      <c r="X174" s="168">
        <f>VALUE(LEFT(AD174,4))-VALUE(LEFT(AD173,4))</f>
        <v>1</v>
      </c>
      <c r="Y174" s="69">
        <f>RIGHT(D174,LEN(D174)-4)/10000</f>
        <v>0.1014</v>
      </c>
      <c r="Z174" s="69">
        <f>RIGHT(H174,LEN(H174)-4)/10000</f>
        <v>5.8943000000000003</v>
      </c>
      <c r="AA174" s="69">
        <f>ABS(Z174-Y174)</f>
        <v>5.7929000000000004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>IF(LEN(A174)=6,"0"&amp;A174,A174)</f>
        <v>1811-18</v>
      </c>
      <c r="AE174" s="99" t="str">
        <f>"aws s3 cp "&amp;s3_bucket&amp;"/RTDC"&amp;B174&amp;"/"&amp;TEXT(F174,"YYYY-MM-DD")&amp;"/ "&amp;search_path&amp;"\RTDC"&amp;B174&amp;"\"&amp;TEXT(F174,"YYYY-MM-DD")&amp;" --recursive &amp; """&amp;walkandungz&amp;""" "&amp;search_path&amp;"\RTDC"&amp;B174&amp;"\"&amp;TEXT(F174,"YYYY-MM-DD")
&amp;" &amp; "&amp;"aws s3 cp "&amp;s3_bucket&amp;"/RTDC"&amp;B174&amp;"/"&amp;TEXT(F174+1,"YYYY-MM-DD")&amp;"/ "&amp;search_path&amp;"\RTDC"&amp;B174&amp;"\"&amp;TEXT(F174+1,"YYYY-MM-DD")&amp;" --recursive &amp; """&amp;walkandungz&amp;""" "&amp;search_path&amp;"\RTDC"&amp;B174&amp;"\"&amp;TEXT(F174+1,"YYYY-MM-DD")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4" s="96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/stypes="app*4018*20160918*" /stext=" 17:.+((SYSTEM_STATE.+slice.+state.+changed )|(ment ac)|(system.+state.+changed )|(\|lc)|(penalty)|(\[timeout)|(PRM\|1\|D)|(kpr)|(kdp))" /e /r /s</v>
      </c>
      <c r="AG174" s="1" t="str">
        <f>IFERROR(IF(VALUE(LEFT(AD174,2))&lt;=2,"EC",IF(OR(VALUE(LEFT(AD174,2))=8,VALUE(LEFT(AD174,2))=18),"NW","Other")),"Other")</f>
        <v>NW</v>
      </c>
      <c r="AH174" s="100" t="str">
        <f t="shared" si="7"/>
        <v>"%USERPROFILE%\Documents\GitHub\eaglep3\Utilities\RefineRTDCRunTimes.py" --tripid 1811-18 --locoid 4018 --swversion DE.1.0.7.0 --startMP 204:1014 --initTime 2016-09-18T11:19:12 --startdatetime 2016-09-18T11:21:21 --delay 0 --endMP 300:58943 --enddatetime 2016-09-18T11:35:03 --enforcementcount 0 &gt;&gt;C:\Users\stu\Documents\GitHub\eaglep3-reporting\EC\2016-09-18-refined-times.txt</v>
      </c>
      <c r="AI174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{"issue":{"subject":"","project_id":79,"tracker_id":40,"status_id":1,"priority_id":2,"assigned_to_id":23,"start_date":"2016-09-18","description":"","custom_fields":[{"id":1,"name":"Subdivision","value":"NW"},{"id":4,"name":"Milepost","value":"5.8943"},{"id":17,"name":"Train ID","value":"1811-18"},{"id":16,"name":"Locomotive ID","value":"4018"},{"id":130,"name":"Impact","value":""},{"id":150,"name":"Time of Event (Mountain Time)","value":"11:35:03"},{"id":151,"name":"Denver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417</v>
      </c>
      <c r="B175" s="7">
        <v>4017</v>
      </c>
      <c r="C175" s="24" t="s">
        <v>106</v>
      </c>
      <c r="D175" s="24" t="s">
        <v>378</v>
      </c>
      <c r="E175" s="15">
        <v>42631.484178240738</v>
      </c>
      <c r="F175" s="15">
        <v>42631.485798611109</v>
      </c>
      <c r="G175" s="7">
        <v>1</v>
      </c>
      <c r="H175" s="15" t="s">
        <v>666</v>
      </c>
      <c r="I175" s="15">
        <v>42631.497233796297</v>
      </c>
      <c r="J175" s="7">
        <v>0</v>
      </c>
      <c r="K175" s="121" t="str">
        <f>IF(ISEVEN(B175),(B175-1)&amp;"/"&amp;B175,B175&amp;"/"&amp;(B175+1))</f>
        <v>4017/4018</v>
      </c>
      <c r="L175" s="24" t="str">
        <f>VLOOKUP(A175,'Trips&amp;Operators'!$C$1:$E$10000,3,FALSE)</f>
        <v>STARKS</v>
      </c>
      <c r="M175" s="6">
        <f>I175-F175</f>
        <v>1.1435185188020114E-2</v>
      </c>
      <c r="N175" s="7">
        <f>24*60*SUM($M175:$M175)</f>
        <v>16.466666670748964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https://search-rtdc-monitor-bjffxe2xuh6vdkpspy63sjmuny.us-east-1.es.amazonaws.com/_plugin/kibana/#/discover/Steve-Slow-Train-Analysis-(2080s-and-2083s)?_g=(refreshInterval:(display:Off,section:0,value:0),time:(from:'2016-09-18 10:37:13-0600',mode:absolute,to:'2016-09-18 12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5" s="54" t="str">
        <f>IF(AA175&lt;IF(AG175="EC",23,5.65),"Y","N")</f>
        <v>N</v>
      </c>
      <c r="X175" s="168">
        <f>VALUE(LEFT(AD175,4))-VALUE(LEFT(AD174,4))</f>
        <v>1</v>
      </c>
      <c r="Y175" s="69">
        <f>RIGHT(D175,LEN(D175)-4)/10000</f>
        <v>5.8620999999999999</v>
      </c>
      <c r="Z175" s="69">
        <f>RIGHT(H175,LEN(H175)-4)/10000</f>
        <v>7.2400000000000006E-2</v>
      </c>
      <c r="AA175" s="69">
        <f>ABS(Z175-Y175)</f>
        <v>5.7896999999999998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>IF(LEN(A175)=6,"0"&amp;A175,A175)</f>
        <v>1812-18</v>
      </c>
      <c r="AE175" s="99" t="str">
        <f>"aws s3 cp "&amp;s3_bucket&amp;"/RTDC"&amp;B175&amp;"/"&amp;TEXT(F175,"YYYY-MM-DD")&amp;"/ "&amp;search_path&amp;"\RTDC"&amp;B175&amp;"\"&amp;TEXT(F175,"YYYY-MM-DD")&amp;" --recursive &amp; """&amp;walkandungz&amp;""" "&amp;search_path&amp;"\RTDC"&amp;B175&amp;"\"&amp;TEXT(F175,"YYYY-MM-DD")
&amp;" &amp; "&amp;"aws s3 cp "&amp;s3_bucket&amp;"/RTDC"&amp;B175&amp;"/"&amp;TEXT(F175+1,"YYYY-MM-DD")&amp;"/ "&amp;search_path&amp;"\RTDC"&amp;B175&amp;"\"&amp;TEXT(F175+1,"YYYY-MM-DD")&amp;" --recursive &amp; """&amp;walkandungz&amp;""" "&amp;search_path&amp;"\RTDC"&amp;B175&amp;"\"&amp;TEXT(F175+1,"YYYY-MM-DD")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5" s="96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/stypes="app*4017*20160918*" /stext=" 17:.+((SYSTEM_STATE.+slice.+state.+changed )|(ment ac)|(system.+state.+changed )|(\|lc)|(penalty)|(\[timeout)|(PRM\|1\|D)|(kpr)|(kdp))" /e /r /s</v>
      </c>
      <c r="AG175" s="1" t="str">
        <f>IFERROR(IF(VALUE(LEFT(AD175,2))&lt;=2,"EC",IF(OR(VALUE(LEFT(AD175,2))=8,VALUE(LEFT(AD175,2))=18),"NW","Other")),"Other")</f>
        <v>NW</v>
      </c>
      <c r="AH175" s="100" t="str">
        <f t="shared" si="7"/>
        <v>"%USERPROFILE%\Documents\GitHub\eaglep3\Utilities\RefineRTDCRunTimes.py" --tripid 1812-18 --locoid 4017 --swversion DE.1.0.7.0 --startMP 300:58621 --initTime 2016-09-18T11:37:13 --startdatetime 2016-09-18T11:39:33 --delay 1 --endMP 204:724 --enddatetime 2016-09-18T11:56:01 --enforcementcount 0 &gt;&gt;C:\Users\stu\Documents\GitHub\eaglep3-reporting\EC\2016-09-18-refined-times.txt</v>
      </c>
      <c r="AI175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{"issue":{"subject":"","project_id":79,"tracker_id":40,"status_id":1,"priority_id":2,"assigned_to_id":23,"start_date":"2016-09-18","description":"","custom_fields":[{"id":1,"name":"Subdivision","value":"NW"},{"id":4,"name":"Milepost","value":"0.0724"},{"id":17,"name":"Train ID","value":"1812-18"},{"id":16,"name":"Locomotive ID","value":"4017"},{"id":130,"name":"Impact","value":""},{"id":150,"name":"Time of Event (Mountain Time)","value":"11:56:01"},{"id":151,"name":"Denver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495</v>
      </c>
      <c r="B176" s="7">
        <v>4018</v>
      </c>
      <c r="C176" s="24" t="s">
        <v>106</v>
      </c>
      <c r="D176" s="24" t="s">
        <v>664</v>
      </c>
      <c r="E176" s="15">
        <v>42631.513356481482</v>
      </c>
      <c r="F176" s="15">
        <v>42631.514756944445</v>
      </c>
      <c r="G176" s="7">
        <v>1</v>
      </c>
      <c r="H176" s="15" t="s">
        <v>383</v>
      </c>
      <c r="I176" s="15">
        <v>42631.524259259262</v>
      </c>
      <c r="J176" s="7">
        <v>0</v>
      </c>
      <c r="K176" s="121" t="str">
        <f>IF(ISEVEN(B176),(B176-1)&amp;"/"&amp;B176,B176&amp;"/"&amp;(B176+1))</f>
        <v>4017/4018</v>
      </c>
      <c r="L176" s="24" t="str">
        <f>VLOOKUP(A176,'Trips&amp;Operators'!$C$1:$E$10000,3,FALSE)</f>
        <v>STARKS</v>
      </c>
      <c r="M176" s="6">
        <f>I176-F176</f>
        <v>9.5023148169275373E-3</v>
      </c>
      <c r="N176" s="7">
        <f>24*60*SUM($M176:$M176)</f>
        <v>13.683333336375654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https://search-rtdc-monitor-bjffxe2xuh6vdkpspy63sjmuny.us-east-1.es.amazonaws.com/_plugin/kibana/#/discover/Steve-Slow-Train-Analysis-(2080s-and-2083s)?_g=(refreshInterval:(display:Off,section:0,value:0),time:(from:'2016-09-18 11:19:14-0600',mode:absolute,to:'2016-09-18 13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6" s="54" t="str">
        <f>IF(AA176&lt;IF(AG176="EC",23,5.65),"Y","N")</f>
        <v>N</v>
      </c>
      <c r="X176" s="168">
        <f>VALUE(LEFT(AD176,4))-VALUE(LEFT(AD175,4))</f>
        <v>1</v>
      </c>
      <c r="Y176" s="69">
        <f>RIGHT(D176,LEN(D176)-4)/10000</f>
        <v>0.10059999999999999</v>
      </c>
      <c r="Z176" s="69">
        <f>RIGHT(H176,LEN(H176)-4)/10000</f>
        <v>5.8939000000000004</v>
      </c>
      <c r="AA176" s="69">
        <f>ABS(Z176-Y176)</f>
        <v>5.7933000000000003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>IF(LEN(A176)=6,"0"&amp;A176,A176)</f>
        <v>1813-18</v>
      </c>
      <c r="AE176" s="99" t="str">
        <f>"aws s3 cp "&amp;s3_bucket&amp;"/RTDC"&amp;B176&amp;"/"&amp;TEXT(F176,"YYYY-MM-DD")&amp;"/ "&amp;search_path&amp;"\RTDC"&amp;B176&amp;"\"&amp;TEXT(F176,"YYYY-MM-DD")&amp;" --recursive &amp; """&amp;walkandungz&amp;""" "&amp;search_path&amp;"\RTDC"&amp;B176&amp;"\"&amp;TEXT(F176,"YYYY-MM-DD")
&amp;" &amp; "&amp;"aws s3 cp "&amp;s3_bucket&amp;"/RTDC"&amp;B176&amp;"/"&amp;TEXT(F176+1,"YYYY-MM-DD")&amp;"/ "&amp;search_path&amp;"\RTDC"&amp;B176&amp;"\"&amp;TEXT(F176+1,"YYYY-MM-DD")&amp;" --recursive &amp; """&amp;walkandungz&amp;""" "&amp;search_path&amp;"\RTDC"&amp;B176&amp;"\"&amp;TEXT(F176+1,"YYYY-MM-DD")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6" s="96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/stypes="app*4018*20160918*" /stext=" 18:.+((SYSTEM_STATE.+slice.+state.+changed )|(ment ac)|(system.+state.+changed )|(\|lc)|(penalty)|(\[timeout)|(PRM\|1\|D)|(kpr)|(kdp))" /e /r /s</v>
      </c>
      <c r="AG176" s="1" t="str">
        <f>IFERROR(IF(VALUE(LEFT(AD176,2))&lt;=2,"EC",IF(OR(VALUE(LEFT(AD176,2))=8,VALUE(LEFT(AD176,2))=18),"NW","Other")),"Other")</f>
        <v>NW</v>
      </c>
      <c r="AH176" s="100" t="str">
        <f t="shared" si="7"/>
        <v>"%USERPROFILE%\Documents\GitHub\eaglep3\Utilities\RefineRTDCRunTimes.py" --tripid 1813-18 --locoid 4018 --swversion DE.1.0.7.0 --startMP 204:1006 --initTime 2016-09-18T12:19:14 --startdatetime 2016-09-18T12:21:15 --delay 1 --endMP 300:58939 --enddatetime 2016-09-18T12:34:56 --enforcementcount 0 &gt;&gt;C:\Users\stu\Documents\GitHub\eaglep3-reporting\EC\2016-09-18-refined-times.txt</v>
      </c>
      <c r="AI176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{"issue":{"subject":"","project_id":79,"tracker_id":40,"status_id":1,"priority_id":2,"assigned_to_id":23,"start_date":"2016-09-18","description":"","custom_fields":[{"id":1,"name":"Subdivision","value":"NW"},{"id":4,"name":"Milepost","value":"5.8939"},{"id":17,"name":"Train ID","value":"1813-18"},{"id":16,"name":"Locomotive ID","value":"4018"},{"id":130,"name":"Impact","value":""},{"id":150,"name":"Time of Event (Mountain Time)","value":"12:34:56"},{"id":151,"name":"Denver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499</v>
      </c>
      <c r="B177" s="7">
        <v>4017</v>
      </c>
      <c r="C177" s="24" t="s">
        <v>106</v>
      </c>
      <c r="D177" s="24" t="s">
        <v>385</v>
      </c>
      <c r="E177" s="15">
        <v>42631.525868055556</v>
      </c>
      <c r="F177" s="15">
        <v>42631.527407407404</v>
      </c>
      <c r="G177" s="7">
        <v>1</v>
      </c>
      <c r="H177" s="15" t="s">
        <v>660</v>
      </c>
      <c r="I177" s="15">
        <v>42631.5391087963</v>
      </c>
      <c r="J177" s="7">
        <v>0</v>
      </c>
      <c r="K177" s="121" t="str">
        <f>IF(ISEVEN(B177),(B177-1)&amp;"/"&amp;B177,B177&amp;"/"&amp;(B177+1))</f>
        <v>4017/4018</v>
      </c>
      <c r="L177" s="24" t="str">
        <f>VLOOKUP(A177,'Trips&amp;Operators'!$C$1:$E$10000,3,FALSE)</f>
        <v>STARKS</v>
      </c>
      <c r="M177" s="6">
        <f>I177-F177</f>
        <v>1.1701388895744458E-2</v>
      </c>
      <c r="N177" s="7">
        <f>24*60*SUM($M177:$M177)</f>
        <v>16.850000009872019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https://search-rtdc-monitor-bjffxe2xuh6vdkpspy63sjmuny.us-east-1.es.amazonaws.com/_plugin/kibana/#/discover/Steve-Slow-Train-Analysis-(2080s-and-2083s)?_g=(refreshInterval:(display:Off,section:0,value:0),time:(from:'2016-09-18 11:37:15-0600',mode:absolute,to:'2016-09-18 13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7" s="54" t="str">
        <f>IF(AA177&lt;IF(AG177="EC",23,5.65),"Y","N")</f>
        <v>N</v>
      </c>
      <c r="X177" s="168">
        <f>VALUE(LEFT(AD177,4))-VALUE(LEFT(AD176,4))</f>
        <v>1</v>
      </c>
      <c r="Y177" s="69">
        <f>RIGHT(D177,LEN(D177)-4)/10000</f>
        <v>5.8625999999999996</v>
      </c>
      <c r="Z177" s="69">
        <f>RIGHT(H177,LEN(H177)-4)/10000</f>
        <v>7.3099999999999998E-2</v>
      </c>
      <c r="AA177" s="69">
        <f>ABS(Z177-Y177)</f>
        <v>5.7894999999999994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>IF(LEN(A177)=6,"0"&amp;A177,A177)</f>
        <v>1814-18</v>
      </c>
      <c r="AE177" s="99" t="str">
        <f>"aws s3 cp "&amp;s3_bucket&amp;"/RTDC"&amp;B177&amp;"/"&amp;TEXT(F177,"YYYY-MM-DD")&amp;"/ "&amp;search_path&amp;"\RTDC"&amp;B177&amp;"\"&amp;TEXT(F177,"YYYY-MM-DD")&amp;" --recursive &amp; """&amp;walkandungz&amp;""" "&amp;search_path&amp;"\RTDC"&amp;B177&amp;"\"&amp;TEXT(F177,"YYYY-MM-DD")
&amp;" &amp; "&amp;"aws s3 cp "&amp;s3_bucket&amp;"/RTDC"&amp;B177&amp;"/"&amp;TEXT(F177+1,"YYYY-MM-DD")&amp;"/ "&amp;search_path&amp;"\RTDC"&amp;B177&amp;"\"&amp;TEXT(F177+1,"YYYY-MM-DD")&amp;" --recursive &amp; """&amp;walkandungz&amp;""" "&amp;search_path&amp;"\RTDC"&amp;B177&amp;"\"&amp;TEXT(F177+1,"YYYY-MM-DD")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7" s="96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/stypes="app*4017*20160918*" /stext=" 18:.+((SYSTEM_STATE.+slice.+state.+changed )|(ment ac)|(system.+state.+changed )|(\|lc)|(penalty)|(\[timeout)|(PRM\|1\|D)|(kpr)|(kdp))" /e /r /s</v>
      </c>
      <c r="AG177" s="1" t="str">
        <f>IFERROR(IF(VALUE(LEFT(AD177,2))&lt;=2,"EC",IF(OR(VALUE(LEFT(AD177,2))=8,VALUE(LEFT(AD177,2))=18),"NW","Other")),"Other")</f>
        <v>NW</v>
      </c>
      <c r="AH177" s="100" t="str">
        <f t="shared" si="7"/>
        <v>"%USERPROFILE%\Documents\GitHub\eaglep3\Utilities\RefineRTDCRunTimes.py" --tripid 1814-18 --locoid 4017 --swversion DE.1.0.7.0 --startMP 300:58626 --initTime 2016-09-18T12:37:15 --startdatetime 2016-09-18T12:39:28 --delay 1 --endMP 204:731 --enddatetime 2016-09-18T12:56:19 --enforcementcount 0 &gt;&gt;C:\Users\stu\Documents\GitHub\eaglep3-reporting\EC\2016-09-18-refined-times.txt</v>
      </c>
      <c r="AI177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{"issue":{"subject":"","project_id":79,"tracker_id":40,"status_id":1,"priority_id":2,"assigned_to_id":23,"start_date":"2016-09-18","description":"","custom_fields":[{"id":1,"name":"Subdivision","value":"NW"},{"id":4,"name":"Milepost","value":"0.0731"},{"id":17,"name":"Train ID","value":"1814-18"},{"id":16,"name":"Locomotive ID","value":"4017"},{"id":130,"name":"Impact","value":""},{"id":150,"name":"Time of Event (Mountain Time)","value":"12:56:19"},{"id":151,"name":"Denver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418</v>
      </c>
      <c r="B178" s="7">
        <v>4018</v>
      </c>
      <c r="C178" s="24" t="s">
        <v>106</v>
      </c>
      <c r="D178" s="24" t="s">
        <v>669</v>
      </c>
      <c r="E178" s="15">
        <v>42631.555497685185</v>
      </c>
      <c r="F178" s="15">
        <v>42631.556620370371</v>
      </c>
      <c r="G178" s="7">
        <v>1</v>
      </c>
      <c r="H178" s="15" t="s">
        <v>381</v>
      </c>
      <c r="I178" s="15">
        <v>42631.567094907405</v>
      </c>
      <c r="J178" s="7">
        <v>0</v>
      </c>
      <c r="K178" s="121" t="str">
        <f>IF(ISEVEN(B178),(B178-1)&amp;"/"&amp;B178,B178&amp;"/"&amp;(B178+1))</f>
        <v>4017/4018</v>
      </c>
      <c r="L178" s="24" t="str">
        <f>VLOOKUP(A178,'Trips&amp;Operators'!$C$1:$E$10000,3,FALSE)</f>
        <v>STARKS</v>
      </c>
      <c r="M178" s="6">
        <f>I178-F178</f>
        <v>1.0474537033587694E-2</v>
      </c>
      <c r="N178" s="7">
        <f>24*60*SUM($M178:$M178)</f>
        <v>15.08333332836628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https://search-rtdc-monitor-bjffxe2xuh6vdkpspy63sjmuny.us-east-1.es.amazonaws.com/_plugin/kibana/#/discover/Steve-Slow-Train-Analysis-(2080s-and-2083s)?_g=(refreshInterval:(display:Off,section:0,value:0),time:(from:'2016-09-18 12:19:55-0600',mode:absolute,to:'2016-09-18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8" s="54" t="str">
        <f>IF(AA178&lt;IF(AG178="EC",23,5.65),"Y","N")</f>
        <v>N</v>
      </c>
      <c r="X178" s="168">
        <f>VALUE(LEFT(AD178,4))-VALUE(LEFT(AD177,4))</f>
        <v>1</v>
      </c>
      <c r="Y178" s="69">
        <f>RIGHT(D178,LEN(D178)-4)/10000</f>
        <v>0.1009</v>
      </c>
      <c r="Z178" s="69">
        <f>RIGHT(H178,LEN(H178)-4)/10000</f>
        <v>5.8933</v>
      </c>
      <c r="AA178" s="69">
        <f>ABS(Z178-Y178)</f>
        <v>5.7923999999999998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>IF(LEN(A178)=6,"0"&amp;A178,A178)</f>
        <v>1815-18</v>
      </c>
      <c r="AE178" s="99" t="str">
        <f>"aws s3 cp "&amp;s3_bucket&amp;"/RTDC"&amp;B178&amp;"/"&amp;TEXT(F178,"YYYY-MM-DD")&amp;"/ "&amp;search_path&amp;"\RTDC"&amp;B178&amp;"\"&amp;TEXT(F178,"YYYY-MM-DD")&amp;" --recursive &amp; """&amp;walkandungz&amp;""" "&amp;search_path&amp;"\RTDC"&amp;B178&amp;"\"&amp;TEXT(F178,"YYYY-MM-DD")
&amp;" &amp; "&amp;"aws s3 cp "&amp;s3_bucket&amp;"/RTDC"&amp;B178&amp;"/"&amp;TEXT(F178+1,"YYYY-MM-DD")&amp;"/ "&amp;search_path&amp;"\RTDC"&amp;B178&amp;"\"&amp;TEXT(F178+1,"YYYY-MM-DD")&amp;" --recursive &amp; """&amp;walkandungz&amp;""" "&amp;search_path&amp;"\RTDC"&amp;B178&amp;"\"&amp;TEXT(F178+1,"YYYY-MM-DD")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8" s="96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/stypes="app*4018*20160918*" /stext=" 19:.+((SYSTEM_STATE.+slice.+state.+changed )|(ment ac)|(system.+state.+changed )|(\|lc)|(penalty)|(\[timeout)|(PRM\|1\|D)|(kpr)|(kdp))" /e /r /s</v>
      </c>
      <c r="AG178" s="1" t="str">
        <f>IFERROR(IF(VALUE(LEFT(AD178,2))&lt;=2,"EC",IF(OR(VALUE(LEFT(AD178,2))=8,VALUE(LEFT(AD178,2))=18),"NW","Other")),"Other")</f>
        <v>NW</v>
      </c>
      <c r="AH178" s="100" t="str">
        <f t="shared" si="7"/>
        <v>"%USERPROFILE%\Documents\GitHub\eaglep3\Utilities\RefineRTDCRunTimes.py" --tripid 1815-18 --locoid 4018 --swversion DE.1.0.7.0 --startMP 204:1009 --initTime 2016-09-18T13:19:55 --startdatetime 2016-09-18T13:21:32 --delay 1 --endMP 300:58933 --enddatetime 2016-09-18T13:36:37 --enforcementcount 0 &gt;&gt;C:\Users\stu\Documents\GitHub\eaglep3-reporting\EC\2016-09-18-refined-times.txt</v>
      </c>
      <c r="AI178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{"issue":{"subject":"","project_id":79,"tracker_id":40,"status_id":1,"priority_id":2,"assigned_to_id":23,"start_date":"2016-09-18","description":"","custom_fields":[{"id":1,"name":"Subdivision","value":"NW"},{"id":4,"name":"Milepost","value":"5.8933"},{"id":17,"name":"Train ID","value":"1815-18"},{"id":16,"name":"Locomotive ID","value":"4018"},{"id":130,"name":"Impact","value":""},{"id":150,"name":"Time of Event (Mountain Time)","value":"13:36:37"},{"id":151,"name":"Denver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419</v>
      </c>
      <c r="B179" s="7">
        <v>4017</v>
      </c>
      <c r="C179" s="24" t="s">
        <v>106</v>
      </c>
      <c r="D179" s="24" t="s">
        <v>254</v>
      </c>
      <c r="E179" s="15">
        <v>42631.568055555559</v>
      </c>
      <c r="F179" s="15">
        <v>42631.569236111114</v>
      </c>
      <c r="G179" s="7">
        <v>1</v>
      </c>
      <c r="H179" s="15" t="s">
        <v>670</v>
      </c>
      <c r="I179" s="15">
        <v>42631.580717592595</v>
      </c>
      <c r="J179" s="7">
        <v>0</v>
      </c>
      <c r="K179" s="121" t="str">
        <f>IF(ISEVEN(B179),(B179-1)&amp;"/"&amp;B179,B179&amp;"/"&amp;(B179+1))</f>
        <v>4017/4018</v>
      </c>
      <c r="L179" s="24" t="str">
        <f>VLOOKUP(A179,'Trips&amp;Operators'!$C$1:$E$10000,3,FALSE)</f>
        <v>STARKS</v>
      </c>
      <c r="M179" s="6">
        <f>I179-F179</f>
        <v>1.1481481480586808E-2</v>
      </c>
      <c r="N179" s="7">
        <f>24*60*SUM($M179:$M179)</f>
        <v>16.533333332045004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https://search-rtdc-monitor-bjffxe2xuh6vdkpspy63sjmuny.us-east-1.es.amazonaws.com/_plugin/kibana/#/discover/Steve-Slow-Train-Analysis-(2080s-and-2083s)?_g=(refreshInterval:(display:Off,section:0,value:0),time:(from:'2016-09-18 12:38:00-0600',mode:absolute,to:'2016-09-18 14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9" s="54" t="str">
        <f>IF(AA179&lt;IF(AG179="EC",23,5.65),"Y","N")</f>
        <v>N</v>
      </c>
      <c r="X179" s="168">
        <f>VALUE(LEFT(AD179,4))-VALUE(LEFT(AD178,4))</f>
        <v>1</v>
      </c>
      <c r="Y179" s="69">
        <f>RIGHT(D179,LEN(D179)-4)/10000</f>
        <v>5.8616999999999999</v>
      </c>
      <c r="Z179" s="69">
        <f>RIGHT(H179,LEN(H179)-4)/10000</f>
        <v>7.0499999999999993E-2</v>
      </c>
      <c r="AA179" s="69">
        <f>ABS(Z179-Y179)</f>
        <v>5.7911999999999999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>IF(LEN(A179)=6,"0"&amp;A179,A179)</f>
        <v>1816-18</v>
      </c>
      <c r="AE179" s="99" t="str">
        <f>"aws s3 cp "&amp;s3_bucket&amp;"/RTDC"&amp;B179&amp;"/"&amp;TEXT(F179,"YYYY-MM-DD")&amp;"/ "&amp;search_path&amp;"\RTDC"&amp;B179&amp;"\"&amp;TEXT(F179,"YYYY-MM-DD")&amp;" --recursive &amp; """&amp;walkandungz&amp;""" "&amp;search_path&amp;"\RTDC"&amp;B179&amp;"\"&amp;TEXT(F179,"YYYY-MM-DD")
&amp;" &amp; "&amp;"aws s3 cp "&amp;s3_bucket&amp;"/RTDC"&amp;B179&amp;"/"&amp;TEXT(F179+1,"YYYY-MM-DD")&amp;"/ "&amp;search_path&amp;"\RTDC"&amp;B179&amp;"\"&amp;TEXT(F179+1,"YYYY-MM-DD")&amp;" --recursive &amp; """&amp;walkandungz&amp;""" "&amp;search_path&amp;"\RTDC"&amp;B179&amp;"\"&amp;TEXT(F179+1,"YYYY-MM-DD")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9" s="96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/stypes="app*4017*20160918*" /stext=" 19:.+((SYSTEM_STATE.+slice.+state.+changed )|(ment ac)|(system.+state.+changed )|(\|lc)|(penalty)|(\[timeout)|(PRM\|1\|D)|(kpr)|(kdp))" /e /r /s</v>
      </c>
      <c r="AG179" s="1" t="str">
        <f>IFERROR(IF(VALUE(LEFT(AD179,2))&lt;=2,"EC",IF(OR(VALUE(LEFT(AD179,2))=8,VALUE(LEFT(AD179,2))=18),"NW","Other")),"Other")</f>
        <v>NW</v>
      </c>
      <c r="AH179" s="100" t="str">
        <f t="shared" si="7"/>
        <v>"%USERPROFILE%\Documents\GitHub\eaglep3\Utilities\RefineRTDCRunTimes.py" --tripid 1816-18 --locoid 4017 --swversion DE.1.0.7.0 --startMP 300:58617 --initTime 2016-09-18T13:38:00 --startdatetime 2016-09-18T13:39:42 --delay 1 --endMP 204:705 --enddatetime 2016-09-18T13:56:14 --enforcementcount 0 &gt;&gt;C:\Users\stu\Documents\GitHub\eaglep3-reporting\EC\2016-09-18-refined-times.txt</v>
      </c>
      <c r="AI179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{"issue":{"subject":"","project_id":79,"tracker_id":40,"status_id":1,"priority_id":2,"assigned_to_id":23,"start_date":"2016-09-18","description":"","custom_fields":[{"id":1,"name":"Subdivision","value":"NW"},{"id":4,"name":"Milepost","value":"0.0705"},{"id":17,"name":"Train ID","value":"1816-18"},{"id":16,"name":"Locomotive ID","value":"4017"},{"id":130,"name":"Impact","value":""},{"id":150,"name":"Time of Event (Mountain Time)","value":"13:56:14"},{"id":151,"name":"Denver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511</v>
      </c>
      <c r="B180" s="7">
        <v>4018</v>
      </c>
      <c r="C180" s="24" t="s">
        <v>106</v>
      </c>
      <c r="D180" s="24" t="s">
        <v>671</v>
      </c>
      <c r="E180" s="15">
        <v>42631.582858796297</v>
      </c>
      <c r="F180" s="15">
        <v>42631.598090277781</v>
      </c>
      <c r="G180" s="7">
        <v>8</v>
      </c>
      <c r="H180" s="15" t="s">
        <v>339</v>
      </c>
      <c r="I180" s="15">
        <v>42631.608495370368</v>
      </c>
      <c r="J180" s="7">
        <v>0</v>
      </c>
      <c r="K180" s="121" t="str">
        <f>IF(ISEVEN(B180),(B180-1)&amp;"/"&amp;B180,B180&amp;"/"&amp;(B180+1))</f>
        <v>4017/4018</v>
      </c>
      <c r="L180" s="24" t="str">
        <f>VLOOKUP(A180,'Trips&amp;Operators'!$C$1:$E$10000,3,FALSE)</f>
        <v>CRAYTON</v>
      </c>
      <c r="M180" s="6">
        <f>I180-F180</f>
        <v>1.0405092587461695E-2</v>
      </c>
      <c r="N180" s="7">
        <f>24*60*SUM($M180:$M180)</f>
        <v>14.983333325944841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https://search-rtdc-monitor-bjffxe2xuh6vdkpspy63sjmuny.us-east-1.es.amazonaws.com/_plugin/kibana/#/discover/Steve-Slow-Train-Analysis-(2080s-and-2083s)?_g=(refreshInterval:(display:Off,section:0,value:0),time:(from:'2016-09-18 12:59:19-0600',mode:absolute,to:'2016-09-18 15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0" s="54" t="str">
        <f>IF(AA180&lt;IF(AG180="EC",23,5.65),"Y","N")</f>
        <v>N</v>
      </c>
      <c r="X180" s="168">
        <f>VALUE(LEFT(AD180,4))-VALUE(LEFT(AD179,4))</f>
        <v>1</v>
      </c>
      <c r="Y180" s="69">
        <f>RIGHT(D180,LEN(D180)-4)/10000</f>
        <v>0.1004</v>
      </c>
      <c r="Z180" s="69">
        <f>RIGHT(H180,LEN(H180)-4)/10000</f>
        <v>5.8936999999999999</v>
      </c>
      <c r="AA180" s="69">
        <f>ABS(Z180-Y180)</f>
        <v>5.7933000000000003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>IF(LEN(A180)=6,"0"&amp;A180,A180)</f>
        <v>1817-18</v>
      </c>
      <c r="AE180" s="99" t="str">
        <f>"aws s3 cp "&amp;s3_bucket&amp;"/RTDC"&amp;B180&amp;"/"&amp;TEXT(F180,"YYYY-MM-DD")&amp;"/ "&amp;search_path&amp;"\RTDC"&amp;B180&amp;"\"&amp;TEXT(F180,"YYYY-MM-DD")&amp;" --recursive &amp; """&amp;walkandungz&amp;""" "&amp;search_path&amp;"\RTDC"&amp;B180&amp;"\"&amp;TEXT(F180,"YYYY-MM-DD")
&amp;" &amp; "&amp;"aws s3 cp "&amp;s3_bucket&amp;"/RTDC"&amp;B180&amp;"/"&amp;TEXT(F180+1,"YYYY-MM-DD")&amp;"/ "&amp;search_path&amp;"\RTDC"&amp;B180&amp;"\"&amp;TEXT(F180+1,"YYYY-MM-DD")&amp;" --recursive &amp; """&amp;walkandungz&amp;""" "&amp;search_path&amp;"\RTDC"&amp;B180&amp;"\"&amp;TEXT(F180+1,"YYYY-MM-DD")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0" s="96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/stypes="app*4018*20160918*" /stext=" 20:.+((SYSTEM_STATE.+slice.+state.+changed )|(ment ac)|(system.+state.+changed )|(\|lc)|(penalty)|(\[timeout)|(PRM\|1\|D)|(kpr)|(kdp))" /e /r /s</v>
      </c>
      <c r="AG180" s="1" t="str">
        <f>IFERROR(IF(VALUE(LEFT(AD180,2))&lt;=2,"EC",IF(OR(VALUE(LEFT(AD180,2))=8,VALUE(LEFT(AD180,2))=18),"NW","Other")),"Other")</f>
        <v>NW</v>
      </c>
      <c r="AH180" s="100" t="str">
        <f t="shared" si="7"/>
        <v>"%USERPROFILE%\Documents\GitHub\eaglep3\Utilities\RefineRTDCRunTimes.py" --tripid 1817-18 --locoid 4018 --swversion DE.1.0.7.0 --startMP 204:1004 --initTime 2016-09-18T13:59:19 --startdatetime 2016-09-18T14:21:15 --delay 8 --endMP 300:58937 --enddatetime 2016-09-18T14:36:14 --enforcementcount 0 &gt;&gt;C:\Users\stu\Documents\GitHub\eaglep3-reporting\EC\2016-09-18-refined-times.txt</v>
      </c>
      <c r="AI180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{"issue":{"subject":"","project_id":79,"tracker_id":40,"status_id":1,"priority_id":2,"assigned_to_id":23,"start_date":"2016-09-18","description":"","custom_fields":[{"id":1,"name":"Subdivision","value":"NW"},{"id":4,"name":"Milepost","value":"5.8937"},{"id":17,"name":"Train ID","value":"1817-18"},{"id":16,"name":"Locomotive ID","value":"4018"},{"id":130,"name":"Impact","value":""},{"id":150,"name":"Time of Event (Mountain Time)","value":"14:36:14"},{"id":151,"name":"Denver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517</v>
      </c>
      <c r="B181" s="7">
        <v>4017</v>
      </c>
      <c r="C181" s="24" t="s">
        <v>106</v>
      </c>
      <c r="D181" s="24" t="s">
        <v>387</v>
      </c>
      <c r="E181" s="15">
        <v>42631.609710648147</v>
      </c>
      <c r="F181" s="15">
        <v>42631.611377314817</v>
      </c>
      <c r="G181" s="7">
        <v>1</v>
      </c>
      <c r="H181" s="15" t="s">
        <v>672</v>
      </c>
      <c r="I181" s="15">
        <v>42631.622083333335</v>
      </c>
      <c r="J181" s="7">
        <v>0</v>
      </c>
      <c r="K181" s="121" t="str">
        <f>IF(ISEVEN(B181),(B181-1)&amp;"/"&amp;B181,B181&amp;"/"&amp;(B181+1))</f>
        <v>4017/4018</v>
      </c>
      <c r="L181" s="24" t="str">
        <f>VLOOKUP(A181,'Trips&amp;Operators'!$C$1:$E$10000,3,FALSE)</f>
        <v>CRAYTON</v>
      </c>
      <c r="M181" s="6">
        <f>I181-F181</f>
        <v>1.0706018518249039E-2</v>
      </c>
      <c r="N181" s="7">
        <f>24*60*SUM($M181:$M181)</f>
        <v>15.416666666278616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https://search-rtdc-monitor-bjffxe2xuh6vdkpspy63sjmuny.us-east-1.es.amazonaws.com/_plugin/kibana/#/discover/Steve-Slow-Train-Analysis-(2080s-and-2083s)?_g=(refreshInterval:(display:Off,section:0,value:0),time:(from:'2016-09-18 13:37:59-0600',mode:absolute,to:'2016-09-18 15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1" s="54" t="str">
        <f>IF(AA181&lt;IF(AG181="EC",23,5.65),"Y","N")</f>
        <v>N</v>
      </c>
      <c r="X181" s="168">
        <f>VALUE(LEFT(AD181,4))-VALUE(LEFT(AD180,4))</f>
        <v>1</v>
      </c>
      <c r="Y181" s="69">
        <f>RIGHT(D181,LEN(D181)-4)/10000</f>
        <v>5.8628</v>
      </c>
      <c r="Z181" s="69">
        <f>RIGHT(H181,LEN(H181)-4)/10000</f>
        <v>7.6100000000000001E-2</v>
      </c>
      <c r="AA181" s="69">
        <f>ABS(Z181-Y181)</f>
        <v>5.7866999999999997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>IF(LEN(A181)=6,"0"&amp;A181,A181)</f>
        <v>1818-18</v>
      </c>
      <c r="AE181" s="99" t="str">
        <f>"aws s3 cp "&amp;s3_bucket&amp;"/RTDC"&amp;B181&amp;"/"&amp;TEXT(F181,"YYYY-MM-DD")&amp;"/ "&amp;search_path&amp;"\RTDC"&amp;B181&amp;"\"&amp;TEXT(F181,"YYYY-MM-DD")&amp;" --recursive &amp; """&amp;walkandungz&amp;""" "&amp;search_path&amp;"\RTDC"&amp;B181&amp;"\"&amp;TEXT(F181,"YYYY-MM-DD")
&amp;" &amp; "&amp;"aws s3 cp "&amp;s3_bucket&amp;"/RTDC"&amp;B181&amp;"/"&amp;TEXT(F181+1,"YYYY-MM-DD")&amp;"/ "&amp;search_path&amp;"\RTDC"&amp;B181&amp;"\"&amp;TEXT(F181+1,"YYYY-MM-DD")&amp;" --recursive &amp; """&amp;walkandungz&amp;""" "&amp;search_path&amp;"\RTDC"&amp;B181&amp;"\"&amp;TEXT(F181+1,"YYYY-MM-DD")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1" s="96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/stypes="app*4017*20160918*" /stext=" 20:.+((SYSTEM_STATE.+slice.+state.+changed )|(ment ac)|(system.+state.+changed )|(\|lc)|(penalty)|(\[timeout)|(PRM\|1\|D)|(kpr)|(kdp))" /e /r /s</v>
      </c>
      <c r="AG181" s="1" t="str">
        <f>IFERROR(IF(VALUE(LEFT(AD181,2))&lt;=2,"EC",IF(OR(VALUE(LEFT(AD181,2))=8,VALUE(LEFT(AD181,2))=18),"NW","Other")),"Other")</f>
        <v>NW</v>
      </c>
      <c r="AH181" s="100" t="str">
        <f t="shared" si="7"/>
        <v>"%USERPROFILE%\Documents\GitHub\eaglep3\Utilities\RefineRTDCRunTimes.py" --tripid 1818-18 --locoid 4017 --swversion DE.1.0.7.0 --startMP 300:58628 --initTime 2016-09-18T14:37:59 --startdatetime 2016-09-18T14:40:23 --delay 1 --endMP 204:761 --enddatetime 2016-09-18T14:55:48 --enforcementcount 0 &gt;&gt;C:\Users\stu\Documents\GitHub\eaglep3-reporting\EC\2016-09-18-refined-times.txt</v>
      </c>
      <c r="AI181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{"issue":{"subject":"","project_id":79,"tracker_id":40,"status_id":1,"priority_id":2,"assigned_to_id":23,"start_date":"2016-09-18","description":"","custom_fields":[{"id":1,"name":"Subdivision","value":"NW"},{"id":4,"name":"Milepost","value":"0.0761"},{"id":17,"name":"Train ID","value":"1818-18"},{"id":16,"name":"Locomotive ID","value":"4017"},{"id":130,"name":"Impact","value":""},{"id":150,"name":"Time of Event (Mountain Time)","value":"14:55:48"},{"id":151,"name":"Denver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421</v>
      </c>
      <c r="B182" s="7">
        <v>4018</v>
      </c>
      <c r="C182" s="24" t="s">
        <v>106</v>
      </c>
      <c r="D182" s="24" t="s">
        <v>673</v>
      </c>
      <c r="E182" s="15">
        <v>42631.624548611115</v>
      </c>
      <c r="F182" s="15">
        <v>42631.639768518522</v>
      </c>
      <c r="G182" s="7">
        <v>1</v>
      </c>
      <c r="H182" s="15" t="s">
        <v>674</v>
      </c>
      <c r="I182" s="15">
        <v>42631.649768518517</v>
      </c>
      <c r="J182" s="7">
        <v>0</v>
      </c>
      <c r="K182" s="121" t="str">
        <f>IF(ISEVEN(B182),(B182-1)&amp;"/"&amp;B182,B182&amp;"/"&amp;(B182+1))</f>
        <v>4017/4018</v>
      </c>
      <c r="L182" s="24" t="str">
        <f>VLOOKUP(A182,'Trips&amp;Operators'!$C$1:$E$10000,3,FALSE)</f>
        <v>CRAYTON</v>
      </c>
      <c r="M182" s="6">
        <f>I182-F182</f>
        <v>9.9999999947613105E-3</v>
      </c>
      <c r="N182" s="7">
        <f>24*60*SUM($M182:$M182)</f>
        <v>14.399999992456287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https://search-rtdc-monitor-bjffxe2xuh6vdkpspy63sjmuny.us-east-1.es.amazonaws.com/_plugin/kibana/#/discover/Steve-Slow-Train-Analysis-(2080s-and-2083s)?_g=(refreshInterval:(display:Off,section:0,value:0),time:(from:'2016-09-18 13:59:21-0600',mode:absolute,to:'2016-09-18 16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2" s="54" t="str">
        <f>IF(AA182&lt;IF(AG182="EC",23,5.65),"Y","N")</f>
        <v>N</v>
      </c>
      <c r="X182" s="168">
        <f>VALUE(LEFT(AD182,4))-VALUE(LEFT(AD181,4))</f>
        <v>1</v>
      </c>
      <c r="Y182" s="69">
        <f>RIGHT(D182,LEN(D182)-4)/10000</f>
        <v>0.10349999999999999</v>
      </c>
      <c r="Z182" s="69">
        <f>RIGHT(H182,LEN(H182)-4)/10000</f>
        <v>5.8925999999999998</v>
      </c>
      <c r="AA182" s="69">
        <f>ABS(Z182-Y182)</f>
        <v>5.7890999999999995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>IF(LEN(A182)=6,"0"&amp;A182,A182)</f>
        <v>1819-18</v>
      </c>
      <c r="AE182" s="99" t="str">
        <f>"aws s3 cp "&amp;s3_bucket&amp;"/RTDC"&amp;B182&amp;"/"&amp;TEXT(F182,"YYYY-MM-DD")&amp;"/ "&amp;search_path&amp;"\RTDC"&amp;B182&amp;"\"&amp;TEXT(F182,"YYYY-MM-DD")&amp;" --recursive &amp; """&amp;walkandungz&amp;""" "&amp;search_path&amp;"\RTDC"&amp;B182&amp;"\"&amp;TEXT(F182,"YYYY-MM-DD")
&amp;" &amp; "&amp;"aws s3 cp "&amp;s3_bucket&amp;"/RTDC"&amp;B182&amp;"/"&amp;TEXT(F182+1,"YYYY-MM-DD")&amp;"/ "&amp;search_path&amp;"\RTDC"&amp;B182&amp;"\"&amp;TEXT(F182+1,"YYYY-MM-DD")&amp;" --recursive &amp; """&amp;walkandungz&amp;""" "&amp;search_path&amp;"\RTDC"&amp;B182&amp;"\"&amp;TEXT(F182+1,"YYYY-MM-DD")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2" s="96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/stypes="app*4018*20160918*" /stext=" 21:.+((SYSTEM_STATE.+slice.+state.+changed )|(ment ac)|(system.+state.+changed )|(\|lc)|(penalty)|(\[timeout)|(PRM\|1\|D)|(kpr)|(kdp))" /e /r /s</v>
      </c>
      <c r="AG182" s="1" t="str">
        <f>IFERROR(IF(VALUE(LEFT(AD182,2))&lt;=2,"EC",IF(OR(VALUE(LEFT(AD182,2))=8,VALUE(LEFT(AD182,2))=18),"NW","Other")),"Other")</f>
        <v>NW</v>
      </c>
      <c r="AH182" s="100" t="str">
        <f t="shared" si="7"/>
        <v>"%USERPROFILE%\Documents\GitHub\eaglep3\Utilities\RefineRTDCRunTimes.py" --tripid 1819-18 --locoid 4018 --swversion DE.1.0.7.0 --startMP 204:1035 --initTime 2016-09-18T14:59:21 --startdatetime 2016-09-18T15:21:16 --delay 1 --endMP 300:58926 --enddatetime 2016-09-18T15:35:40 --enforcementcount 0 &gt;&gt;C:\Users\stu\Documents\GitHub\eaglep3-reporting\EC\2016-09-18-refined-times.txt</v>
      </c>
      <c r="AI182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{"issue":{"subject":"","project_id":79,"tracker_id":40,"status_id":1,"priority_id":2,"assigned_to_id":23,"start_date":"2016-09-18","description":"","custom_fields":[{"id":1,"name":"Subdivision","value":"NW"},{"id":4,"name":"Milepost","value":"5.8926"},{"id":17,"name":"Train ID","value":"1819-18"},{"id":16,"name":"Locomotive ID","value":"4018"},{"id":130,"name":"Impact","value":""},{"id":150,"name":"Time of Event (Mountain Time)","value":"15:35:40"},{"id":151,"name":"Denver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524</v>
      </c>
      <c r="B183" s="7">
        <v>4017</v>
      </c>
      <c r="C183" s="24" t="s">
        <v>106</v>
      </c>
      <c r="D183" s="24" t="s">
        <v>662</v>
      </c>
      <c r="E183" s="15">
        <v>42631.651238425926</v>
      </c>
      <c r="F183" s="15">
        <v>42631.652789351851</v>
      </c>
      <c r="G183" s="7">
        <v>1</v>
      </c>
      <c r="H183" s="15" t="s">
        <v>676</v>
      </c>
      <c r="I183" s="15">
        <v>42631.663923611108</v>
      </c>
      <c r="J183" s="7">
        <v>0</v>
      </c>
      <c r="K183" s="121" t="str">
        <f>IF(ISEVEN(B183),(B183-1)&amp;"/"&amp;B183,B183&amp;"/"&amp;(B183+1))</f>
        <v>4017/4018</v>
      </c>
      <c r="L183" s="24" t="str">
        <f>VLOOKUP(A183,'Trips&amp;Operators'!$C$1:$E$10000,3,FALSE)</f>
        <v>CRAYTON</v>
      </c>
      <c r="M183" s="6">
        <f>I183-F183</f>
        <v>1.113425925723277E-2</v>
      </c>
      <c r="N183" s="7">
        <f>24*60*SUM($M183:$M183)</f>
        <v>16.033333330415189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https://search-rtdc-monitor-bjffxe2xuh6vdkpspy63sjmuny.us-east-1.es.amazonaws.com/_plugin/kibana/#/discover/Steve-Slow-Train-Analysis-(2080s-and-2083s)?_g=(refreshInterval:(display:Off,section:0,value:0),time:(from:'2016-09-18 14:37:47-0600',mode:absolute,to:'2016-09-18 16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3" s="54" t="str">
        <f>IF(AA183&lt;IF(AG183="EC",23,5.65),"Y","N")</f>
        <v>N</v>
      </c>
      <c r="X183" s="168">
        <f>VALUE(LEFT(AD183,4))-VALUE(LEFT(AD182,4))</f>
        <v>1</v>
      </c>
      <c r="Y183" s="69">
        <f>RIGHT(D183,LEN(D183)-4)/10000</f>
        <v>5.8611000000000004</v>
      </c>
      <c r="Z183" s="69">
        <f>RIGHT(H183,LEN(H183)-4)/10000</f>
        <v>7.4999999999999997E-2</v>
      </c>
      <c r="AA183" s="69">
        <f>ABS(Z183-Y183)</f>
        <v>5.7861000000000002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>IF(LEN(A183)=6,"0"&amp;A183,A183)</f>
        <v>1820-18</v>
      </c>
      <c r="AE183" s="99" t="str">
        <f>"aws s3 cp "&amp;s3_bucket&amp;"/RTDC"&amp;B183&amp;"/"&amp;TEXT(F183,"YYYY-MM-DD")&amp;"/ "&amp;search_path&amp;"\RTDC"&amp;B183&amp;"\"&amp;TEXT(F183,"YYYY-MM-DD")&amp;" --recursive &amp; """&amp;walkandungz&amp;""" "&amp;search_path&amp;"\RTDC"&amp;B183&amp;"\"&amp;TEXT(F183,"YYYY-MM-DD")
&amp;" &amp; "&amp;"aws s3 cp "&amp;s3_bucket&amp;"/RTDC"&amp;B183&amp;"/"&amp;TEXT(F183+1,"YYYY-MM-DD")&amp;"/ "&amp;search_path&amp;"\RTDC"&amp;B183&amp;"\"&amp;TEXT(F183+1,"YYYY-MM-DD")&amp;" --recursive &amp; """&amp;walkandungz&amp;""" "&amp;search_path&amp;"\RTDC"&amp;B183&amp;"\"&amp;TEXT(F183+1,"YYYY-MM-DD")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3" s="96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/stypes="app*4017*20160918*" /stext=" 21:.+((SYSTEM_STATE.+slice.+state.+changed )|(ment ac)|(system.+state.+changed )|(\|lc)|(penalty)|(\[timeout)|(PRM\|1\|D)|(kpr)|(kdp))" /e /r /s</v>
      </c>
      <c r="AG183" s="1" t="str">
        <f>IFERROR(IF(VALUE(LEFT(AD183,2))&lt;=2,"EC",IF(OR(VALUE(LEFT(AD183,2))=8,VALUE(LEFT(AD183,2))=18),"NW","Other")),"Other")</f>
        <v>NW</v>
      </c>
      <c r="AH183" s="100" t="str">
        <f t="shared" si="7"/>
        <v>"%USERPROFILE%\Documents\GitHub\eaglep3\Utilities\RefineRTDCRunTimes.py" --tripid 1820-18 --locoid 4017 --swversion DE.1.0.7.0 --startMP 300:58611 --initTime 2016-09-18T15:37:47 --startdatetime 2016-09-18T15:40:01 --delay 1 --endMP 204:750 --enddatetime 2016-09-18T15:56:03 --enforcementcount 0 &gt;&gt;C:\Users\stu\Documents\GitHub\eaglep3-reporting\EC\2016-09-18-refined-times.txt</v>
      </c>
      <c r="AI183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{"issue":{"subject":"","project_id":79,"tracker_id":40,"status_id":1,"priority_id":2,"assigned_to_id":23,"start_date":"2016-09-18","description":"","custom_fields":[{"id":1,"name":"Subdivision","value":"NW"},{"id":4,"name":"Milepost","value":"0.075"},{"id":17,"name":"Train ID","value":"1820-18"},{"id":16,"name":"Locomotive ID","value":"4017"},{"id":130,"name":"Impact","value":""},{"id":150,"name":"Time of Event (Mountain Time)","value":"15:56:03"},{"id":151,"name":"Denver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528</v>
      </c>
      <c r="B184" s="7">
        <v>4018</v>
      </c>
      <c r="C184" s="24" t="s">
        <v>106</v>
      </c>
      <c r="D184" s="24" t="s">
        <v>677</v>
      </c>
      <c r="E184" s="15">
        <v>42631.665555555555</v>
      </c>
      <c r="F184" s="15">
        <v>42631.681400462963</v>
      </c>
      <c r="G184" s="7">
        <v>1</v>
      </c>
      <c r="H184" s="15" t="s">
        <v>290</v>
      </c>
      <c r="I184" s="15">
        <v>42631.691724537035</v>
      </c>
      <c r="J184" s="7">
        <v>0</v>
      </c>
      <c r="K184" s="121" t="str">
        <f>IF(ISEVEN(B184),(B184-1)&amp;"/"&amp;B184,B184&amp;"/"&amp;(B184+1))</f>
        <v>4017/4018</v>
      </c>
      <c r="L184" s="24" t="str">
        <f>VLOOKUP(A184,'Trips&amp;Operators'!$C$1:$E$10000,3,FALSE)</f>
        <v>CRAYTON</v>
      </c>
      <c r="M184" s="6">
        <f>I184-F184</f>
        <v>1.0324074071832001E-2</v>
      </c>
      <c r="N184" s="7">
        <f>24*60*SUM($M184:$M184)</f>
        <v>14.866666663438082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https://search-rtdc-monitor-bjffxe2xuh6vdkpspy63sjmuny.us-east-1.es.amazonaws.com/_plugin/kibana/#/discover/Steve-Slow-Train-Analysis-(2080s-and-2083s)?_g=(refreshInterval:(display:Off,section:0,value:0),time:(from:'2016-09-18 14:58:24-0600',mode:absolute,to:'2016-09-18 17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4" s="54" t="str">
        <f>IF(AA184&lt;IF(AG184="EC",23,5.65),"Y","N")</f>
        <v>N</v>
      </c>
      <c r="X184" s="168">
        <f>VALUE(LEFT(AD184,4))-VALUE(LEFT(AD183,4))</f>
        <v>1</v>
      </c>
      <c r="Y184" s="69">
        <f>RIGHT(D184,LEN(D184)-4)/10000</f>
        <v>0.10340000000000001</v>
      </c>
      <c r="Z184" s="69">
        <f>RIGHT(H184,LEN(H184)-4)/10000</f>
        <v>5.8924000000000003</v>
      </c>
      <c r="AA184" s="69">
        <f>ABS(Z184-Y184)</f>
        <v>5.7890000000000006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>IF(LEN(A184)=6,"0"&amp;A184,A184)</f>
        <v>1821-18</v>
      </c>
      <c r="AE184" s="99" t="str">
        <f>"aws s3 cp "&amp;s3_bucket&amp;"/RTDC"&amp;B184&amp;"/"&amp;TEXT(F184,"YYYY-MM-DD")&amp;"/ "&amp;search_path&amp;"\RTDC"&amp;B184&amp;"\"&amp;TEXT(F184,"YYYY-MM-DD")&amp;" --recursive &amp; """&amp;walkandungz&amp;""" "&amp;search_path&amp;"\RTDC"&amp;B184&amp;"\"&amp;TEXT(F184,"YYYY-MM-DD")
&amp;" &amp; "&amp;"aws s3 cp "&amp;s3_bucket&amp;"/RTDC"&amp;B184&amp;"/"&amp;TEXT(F184+1,"YYYY-MM-DD")&amp;"/ "&amp;search_path&amp;"\RTDC"&amp;B184&amp;"\"&amp;TEXT(F184+1,"YYYY-MM-DD")&amp;" --recursive &amp; """&amp;walkandungz&amp;""" "&amp;search_path&amp;"\RTDC"&amp;B184&amp;"\"&amp;TEXT(F184+1,"YYYY-MM-DD")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4" s="96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/stypes="app*4018*20160918*" /stext=" 22:.+((SYSTEM_STATE.+slice.+state.+changed )|(ment ac)|(system.+state.+changed )|(\|lc)|(penalty)|(\[timeout)|(PRM\|1\|D)|(kpr)|(kdp))" /e /r /s</v>
      </c>
      <c r="AG184" s="1" t="str">
        <f>IFERROR(IF(VALUE(LEFT(AD184,2))&lt;=2,"EC",IF(OR(VALUE(LEFT(AD184,2))=8,VALUE(LEFT(AD184,2))=18),"NW","Other")),"Other")</f>
        <v>NW</v>
      </c>
      <c r="AH184" s="100" t="str">
        <f t="shared" si="7"/>
        <v>"%USERPROFILE%\Documents\GitHub\eaglep3\Utilities\RefineRTDCRunTimes.py" --tripid 1821-18 --locoid 4018 --swversion DE.1.0.7.0 --startMP 204:1034 --initTime 2016-09-18T15:58:24 --startdatetime 2016-09-18T16:21:13 --delay 1 --endMP 300:58924 --enddatetime 2016-09-18T16:36:05 --enforcementcount 0 &gt;&gt;C:\Users\stu\Documents\GitHub\eaglep3-reporting\EC\2016-09-18-refined-times.txt</v>
      </c>
      <c r="AI184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{"issue":{"subject":"","project_id":79,"tracker_id":40,"status_id":1,"priority_id":2,"assigned_to_id":23,"start_date":"2016-09-18","description":"","custom_fields":[{"id":1,"name":"Subdivision","value":"NW"},{"id":4,"name":"Milepost","value":"5.8924"},{"id":17,"name":"Train ID","value":"1821-18"},{"id":16,"name":"Locomotive ID","value":"4018"},{"id":130,"name":"Impact","value":""},{"id":150,"name":"Time of Event (Mountain Time)","value":"16:36:05"},{"id":151,"name":"Denver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534</v>
      </c>
      <c r="B185" s="7">
        <v>4017</v>
      </c>
      <c r="C185" s="24" t="s">
        <v>106</v>
      </c>
      <c r="D185" s="24" t="s">
        <v>678</v>
      </c>
      <c r="E185" s="15">
        <v>42631.692928240744</v>
      </c>
      <c r="F185" s="15">
        <v>42631.694548611114</v>
      </c>
      <c r="G185" s="7">
        <v>1</v>
      </c>
      <c r="H185" s="15" t="s">
        <v>679</v>
      </c>
      <c r="I185" s="15">
        <v>42631.705370370371</v>
      </c>
      <c r="J185" s="7">
        <v>0</v>
      </c>
      <c r="K185" s="121" t="str">
        <f>IF(ISEVEN(B185),(B185-1)&amp;"/"&amp;B185,B185&amp;"/"&amp;(B185+1))</f>
        <v>4017/4018</v>
      </c>
      <c r="L185" s="24" t="str">
        <f>VLOOKUP(A185,'Trips&amp;Operators'!$C$1:$E$10000,3,FALSE)</f>
        <v>CRAYTON</v>
      </c>
      <c r="M185" s="6">
        <f>I185-F185</f>
        <v>1.0821759256941732E-2</v>
      </c>
      <c r="N185" s="7">
        <f>24*60*SUM($M185:$M185)</f>
        <v>15.583333329996094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https://search-rtdc-monitor-bjffxe2xuh6vdkpspy63sjmuny.us-east-1.es.amazonaws.com/_plugin/kibana/#/discover/Steve-Slow-Train-Analysis-(2080s-and-2083s)?_g=(refreshInterval:(display:Off,section:0,value:0),time:(from:'2016-09-18 15:37:49-0600',mode:absolute,to:'2016-09-18 17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5" s="54" t="str">
        <f>IF(AA185&lt;IF(AG185="EC",23,5.65),"Y","N")</f>
        <v>N</v>
      </c>
      <c r="X185" s="168">
        <f>VALUE(LEFT(AD185,4))-VALUE(LEFT(AD184,4))</f>
        <v>1</v>
      </c>
      <c r="Y185" s="69">
        <f>RIGHT(D185,LEN(D185)-4)/10000</f>
        <v>5.8615000000000004</v>
      </c>
      <c r="Z185" s="69">
        <f>RIGHT(H185,LEN(H185)-4)/10000</f>
        <v>7.4499999999999997E-2</v>
      </c>
      <c r="AA185" s="69">
        <f>ABS(Z185-Y185)</f>
        <v>5.7870000000000008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>IF(LEN(A185)=6,"0"&amp;A185,A185)</f>
        <v>1822-18</v>
      </c>
      <c r="AE185" s="99" t="str">
        <f>"aws s3 cp "&amp;s3_bucket&amp;"/RTDC"&amp;B185&amp;"/"&amp;TEXT(F185,"YYYY-MM-DD")&amp;"/ "&amp;search_path&amp;"\RTDC"&amp;B185&amp;"\"&amp;TEXT(F185,"YYYY-MM-DD")&amp;" --recursive &amp; """&amp;walkandungz&amp;""" "&amp;search_path&amp;"\RTDC"&amp;B185&amp;"\"&amp;TEXT(F185,"YYYY-MM-DD")
&amp;" &amp; "&amp;"aws s3 cp "&amp;s3_bucket&amp;"/RTDC"&amp;B185&amp;"/"&amp;TEXT(F185+1,"YYYY-MM-DD")&amp;"/ "&amp;search_path&amp;"\RTDC"&amp;B185&amp;"\"&amp;TEXT(F185+1,"YYYY-MM-DD")&amp;" --recursive &amp; """&amp;walkandungz&amp;""" "&amp;search_path&amp;"\RTDC"&amp;B185&amp;"\"&amp;TEXT(F185+1,"YYYY-MM-DD")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5" s="96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/stypes="app*4017*20160918*" /stext=" 22:.+((SYSTEM_STATE.+slice.+state.+changed )|(ment ac)|(system.+state.+changed )|(\|lc)|(penalty)|(\[timeout)|(PRM\|1\|D)|(kpr)|(kdp))" /e /r /s</v>
      </c>
      <c r="AG185" s="1" t="str">
        <f>IFERROR(IF(VALUE(LEFT(AD185,2))&lt;=2,"EC",IF(OR(VALUE(LEFT(AD185,2))=8,VALUE(LEFT(AD185,2))=18),"NW","Other")),"Other")</f>
        <v>NW</v>
      </c>
      <c r="AH185" s="100" t="str">
        <f t="shared" si="7"/>
        <v>"%USERPROFILE%\Documents\GitHub\eaglep3\Utilities\RefineRTDCRunTimes.py" --tripid 1822-18 --locoid 4017 --swversion DE.1.0.7.0 --startMP 300:58615 --initTime 2016-09-18T16:37:49 --startdatetime 2016-09-18T16:40:09 --delay 1 --endMP 204:745 --enddatetime 2016-09-18T16:55:44 --enforcementcount 0 &gt;&gt;C:\Users\stu\Documents\GitHub\eaglep3-reporting\EC\2016-09-18-refined-times.txt</v>
      </c>
      <c r="AI185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{"issue":{"subject":"","project_id":79,"tracker_id":40,"status_id":1,"priority_id":2,"assigned_to_id":23,"start_date":"2016-09-18","description":"","custom_fields":[{"id":1,"name":"Subdivision","value":"NW"},{"id":4,"name":"Milepost","value":"0.0745"},{"id":17,"name":"Train ID","value":"1822-18"},{"id":16,"name":"Locomotive ID","value":"4017"},{"id":130,"name":"Impact","value":""},{"id":150,"name":"Time of Event (Mountain Time)","value":"16:55:44"},{"id":151,"name":"Denver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538</v>
      </c>
      <c r="B186" s="7">
        <v>4018</v>
      </c>
      <c r="C186" s="24" t="s">
        <v>106</v>
      </c>
      <c r="D186" s="24" t="s">
        <v>680</v>
      </c>
      <c r="E186" s="15">
        <v>42631.707951388889</v>
      </c>
      <c r="F186" s="15">
        <v>42631.723078703704</v>
      </c>
      <c r="G186" s="7">
        <v>1</v>
      </c>
      <c r="H186" s="15" t="s">
        <v>386</v>
      </c>
      <c r="I186" s="15">
        <v>42631.73333333333</v>
      </c>
      <c r="J186" s="7">
        <v>0</v>
      </c>
      <c r="K186" s="121" t="str">
        <f>IF(ISEVEN(B186),(B186-1)&amp;"/"&amp;B186,B186&amp;"/"&amp;(B186+1))</f>
        <v>4017/4018</v>
      </c>
      <c r="L186" s="24" t="str">
        <f>VLOOKUP(A186,'Trips&amp;Operators'!$C$1:$E$10000,3,FALSE)</f>
        <v>CRAYTON</v>
      </c>
      <c r="M186" s="6">
        <f>I186-F186</f>
        <v>1.0254629625706002E-2</v>
      </c>
      <c r="N186" s="7">
        <f>24*60*SUM($M186:$M186)</f>
        <v>14.766666661016643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https://search-rtdc-monitor-bjffxe2xuh6vdkpspy63sjmuny.us-east-1.es.amazonaws.com/_plugin/kibana/#/discover/Steve-Slow-Train-Analysis-(2080s-and-2083s)?_g=(refreshInterval:(display:Off,section:0,value:0),time:(from:'2016-09-18 15:59:27-0600',mode:absolute,to:'2016-09-18 18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6" s="54" t="str">
        <f>IF(AA186&lt;IF(AG186="EC",23,5.65),"Y","N")</f>
        <v>N</v>
      </c>
      <c r="X186" s="168">
        <f>VALUE(LEFT(AD186,4))-VALUE(LEFT(AD185,4))</f>
        <v>1</v>
      </c>
      <c r="Y186" s="69">
        <f>RIGHT(D186,LEN(D186)-4)/10000</f>
        <v>0.1023</v>
      </c>
      <c r="Z186" s="69">
        <f>RIGHT(H186,LEN(H186)-4)/10000</f>
        <v>5.8930999999999996</v>
      </c>
      <c r="AA186" s="69">
        <f>ABS(Z186-Y186)</f>
        <v>5.7907999999999999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>IF(LEN(A186)=6,"0"&amp;A186,A186)</f>
        <v>1823-18</v>
      </c>
      <c r="AE186" s="99" t="str">
        <f>"aws s3 cp "&amp;s3_bucket&amp;"/RTDC"&amp;B186&amp;"/"&amp;TEXT(F186,"YYYY-MM-DD")&amp;"/ "&amp;search_path&amp;"\RTDC"&amp;B186&amp;"\"&amp;TEXT(F186,"YYYY-MM-DD")&amp;" --recursive &amp; """&amp;walkandungz&amp;""" "&amp;search_path&amp;"\RTDC"&amp;B186&amp;"\"&amp;TEXT(F186,"YYYY-MM-DD")
&amp;" &amp; "&amp;"aws s3 cp "&amp;s3_bucket&amp;"/RTDC"&amp;B186&amp;"/"&amp;TEXT(F186+1,"YYYY-MM-DD")&amp;"/ "&amp;search_path&amp;"\RTDC"&amp;B186&amp;"\"&amp;TEXT(F186+1,"YYYY-MM-DD")&amp;" --recursive &amp; """&amp;walkandungz&amp;""" "&amp;search_path&amp;"\RTDC"&amp;B186&amp;"\"&amp;TEXT(F186+1,"YYYY-MM-DD")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6" s="96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/stypes="app*4018*20160918*" /stext=" 23:.+((SYSTEM_STATE.+slice.+state.+changed )|(ment ac)|(system.+state.+changed )|(\|lc)|(penalty)|(\[timeout)|(PRM\|1\|D)|(kpr)|(kdp))" /e /r /s</v>
      </c>
      <c r="AG186" s="1" t="str">
        <f>IFERROR(IF(VALUE(LEFT(AD186,2))&lt;=2,"EC",IF(OR(VALUE(LEFT(AD186,2))=8,VALUE(LEFT(AD186,2))=18),"NW","Other")),"Other")</f>
        <v>NW</v>
      </c>
      <c r="AH186" s="100" t="str">
        <f t="shared" si="7"/>
        <v>"%USERPROFILE%\Documents\GitHub\eaglep3\Utilities\RefineRTDCRunTimes.py" --tripid 1823-18 --locoid 4018 --swversion DE.1.0.7.0 --startMP 204:1023 --initTime 2016-09-18T16:59:27 --startdatetime 2016-09-18T17:21:14 --delay 1 --endMP 300:58931 --enddatetime 2016-09-18T17:36:00 --enforcementcount 0 &gt;&gt;C:\Users\stu\Documents\GitHub\eaglep3-reporting\EC\2016-09-18-refined-times.txt</v>
      </c>
      <c r="AI186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{"issue":{"subject":"","project_id":79,"tracker_id":40,"status_id":1,"priority_id":2,"assigned_to_id":23,"start_date":"2016-09-18","description":"","custom_fields":[{"id":1,"name":"Subdivision","value":"NW"},{"id":4,"name":"Milepost","value":"5.8931"},{"id":17,"name":"Train ID","value":"1823-18"},{"id":16,"name":"Locomotive ID","value":"4018"},{"id":130,"name":"Impact","value":""},{"id":150,"name":"Time of Event (Mountain Time)","value":"17:36:00"},{"id":151,"name":"Denver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545</v>
      </c>
      <c r="B187" s="7">
        <v>4017</v>
      </c>
      <c r="C187" s="24" t="s">
        <v>106</v>
      </c>
      <c r="D187" s="24" t="s">
        <v>681</v>
      </c>
      <c r="E187" s="15">
        <v>42631.734664351854</v>
      </c>
      <c r="F187" s="15">
        <v>42631.736250000002</v>
      </c>
      <c r="G187" s="7">
        <v>1</v>
      </c>
      <c r="H187" s="15" t="s">
        <v>682</v>
      </c>
      <c r="I187" s="15">
        <v>42631.746898148151</v>
      </c>
      <c r="J187" s="7">
        <v>0</v>
      </c>
      <c r="K187" s="121" t="str">
        <f>IF(ISEVEN(B187),(B187-1)&amp;"/"&amp;B187,B187&amp;"/"&amp;(B187+1))</f>
        <v>4017/4018</v>
      </c>
      <c r="L187" s="24" t="str">
        <f>VLOOKUP(A187,'Trips&amp;Operators'!$C$1:$E$10000,3,FALSE)</f>
        <v>CRAYTON</v>
      </c>
      <c r="M187" s="6">
        <f>I187-F187</f>
        <v>1.0648148148902692E-2</v>
      </c>
      <c r="N187" s="7">
        <f>24*60*SUM($M187:$M187)</f>
        <v>15.333333334419876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https://search-rtdc-monitor-bjffxe2xuh6vdkpspy63sjmuny.us-east-1.es.amazonaws.com/_plugin/kibana/#/discover/Steve-Slow-Train-Analysis-(2080s-and-2083s)?_g=(refreshInterval:(display:Off,section:0,value:0),time:(from:'2016-09-18 16:37:55-0600',mode:absolute,to:'2016-09-18 18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7" s="54" t="str">
        <f>IF(AA187&lt;IF(AG187="EC",23,5.65),"Y","N")</f>
        <v>N</v>
      </c>
      <c r="X187" s="168">
        <f>VALUE(LEFT(AD187,4))-VALUE(LEFT(AD186,4))</f>
        <v>1</v>
      </c>
      <c r="Y187" s="69">
        <f>RIGHT(D187,LEN(D187)-4)/10000</f>
        <v>5.8608000000000002</v>
      </c>
      <c r="Z187" s="69">
        <f>RIGHT(H187,LEN(H187)-4)/10000</f>
        <v>7.3800000000000004E-2</v>
      </c>
      <c r="AA187" s="69">
        <f>ABS(Z187-Y187)</f>
        <v>5.7869999999999999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>IF(LEN(A187)=6,"0"&amp;A187,A187)</f>
        <v>1824-18</v>
      </c>
      <c r="AE187" s="99" t="str">
        <f>"aws s3 cp "&amp;s3_bucket&amp;"/RTDC"&amp;B187&amp;"/"&amp;TEXT(F187,"YYYY-MM-DD")&amp;"/ "&amp;search_path&amp;"\RTDC"&amp;B187&amp;"\"&amp;TEXT(F187,"YYYY-MM-DD")&amp;" --recursive &amp; """&amp;walkandungz&amp;""" "&amp;search_path&amp;"\RTDC"&amp;B187&amp;"\"&amp;TEXT(F187,"YYYY-MM-DD")
&amp;" &amp; "&amp;"aws s3 cp "&amp;s3_bucket&amp;"/RTDC"&amp;B187&amp;"/"&amp;TEXT(F187+1,"YYYY-MM-DD")&amp;"/ "&amp;search_path&amp;"\RTDC"&amp;B187&amp;"\"&amp;TEXT(F187+1,"YYYY-MM-DD")&amp;" --recursive &amp; """&amp;walkandungz&amp;""" "&amp;search_path&amp;"\RTDC"&amp;B187&amp;"\"&amp;TEXT(F187+1,"YYYY-MM-DD")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7" s="96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/stypes="app*4017*20160918*" /stext=" 23:.+((SYSTEM_STATE.+slice.+state.+changed )|(ment ac)|(system.+state.+changed )|(\|lc)|(penalty)|(\[timeout)|(PRM\|1\|D)|(kpr)|(kdp))" /e /r /s</v>
      </c>
      <c r="AG187" s="1" t="str">
        <f>IFERROR(IF(VALUE(LEFT(AD187,2))&lt;=2,"EC",IF(OR(VALUE(LEFT(AD187,2))=8,VALUE(LEFT(AD187,2))=18),"NW","Other")),"Other")</f>
        <v>NW</v>
      </c>
      <c r="AH187" s="100" t="str">
        <f t="shared" si="7"/>
        <v>"%USERPROFILE%\Documents\GitHub\eaglep3\Utilities\RefineRTDCRunTimes.py" --tripid 1824-18 --locoid 4017 --swversion DE.1.0.7.0 --startMP 300:58608 --initTime 2016-09-18T17:37:55 --startdatetime 2016-09-18T17:40:12 --delay 1 --endMP 204:738 --enddatetime 2016-09-18T17:55:32 --enforcementcount 0 &gt;&gt;C:\Users\stu\Documents\GitHub\eaglep3-reporting\EC\2016-09-18-refined-times.txt</v>
      </c>
      <c r="AI187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{"issue":{"subject":"","project_id":79,"tracker_id":40,"status_id":1,"priority_id":2,"assigned_to_id":23,"start_date":"2016-09-18","description":"","custom_fields":[{"id":1,"name":"Subdivision","value":"NW"},{"id":4,"name":"Milepost","value":"0.0738"},{"id":17,"name":"Train ID","value":"1824-18"},{"id":16,"name":"Locomotive ID","value":"4017"},{"id":130,"name":"Impact","value":""},{"id":150,"name":"Time of Event (Mountain Time)","value":"17:55:32"},{"id":151,"name":"Denver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551</v>
      </c>
      <c r="B188" s="7">
        <v>4018</v>
      </c>
      <c r="C188" s="24" t="s">
        <v>106</v>
      </c>
      <c r="D188" s="24" t="s">
        <v>683</v>
      </c>
      <c r="E188" s="15">
        <v>42631.750300925924</v>
      </c>
      <c r="F188" s="15">
        <v>42631.764768518522</v>
      </c>
      <c r="G188" s="7">
        <v>1</v>
      </c>
      <c r="H188" s="15" t="s">
        <v>339</v>
      </c>
      <c r="I188" s="15">
        <v>42631.775046296294</v>
      </c>
      <c r="J188" s="7">
        <v>0</v>
      </c>
      <c r="K188" s="121" t="str">
        <f>IF(ISEVEN(B188),(B188-1)&amp;"/"&amp;B188,B188&amp;"/"&amp;(B188+1))</f>
        <v>4017/4018</v>
      </c>
      <c r="L188" s="24" t="str">
        <f>VLOOKUP(A188,'Trips&amp;Operators'!$C$1:$E$10000,3,FALSE)</f>
        <v>CRAYTON</v>
      </c>
      <c r="M188" s="6">
        <f>I188-F188</f>
        <v>1.0277777771989349E-2</v>
      </c>
      <c r="N188" s="7">
        <f>24*60*SUM($M188:$M188)</f>
        <v>14.799999991664663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https://search-rtdc-monitor-bjffxe2xuh6vdkpspy63sjmuny.us-east-1.es.amazonaws.com/_plugin/kibana/#/discover/Steve-Slow-Train-Analysis-(2080s-and-2083s)?_g=(refreshInterval:(display:Off,section:0,value:0),time:(from:'2016-09-18 17:00:26-0600',mode:absolute,to:'2016-09-18 19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8" s="54" t="str">
        <f>IF(AA188&lt;IF(AG188="EC",23,5.65),"Y","N")</f>
        <v>N</v>
      </c>
      <c r="X188" s="168">
        <f>VALUE(LEFT(AD188,4))-VALUE(LEFT(AD187,4))</f>
        <v>1</v>
      </c>
      <c r="Y188" s="69">
        <f>RIGHT(D188,LEN(D188)-4)/10000</f>
        <v>0.10249999999999999</v>
      </c>
      <c r="Z188" s="69">
        <f>RIGHT(H188,LEN(H188)-4)/10000</f>
        <v>5.8936999999999999</v>
      </c>
      <c r="AA188" s="69">
        <f>ABS(Z188-Y188)</f>
        <v>5.7911999999999999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>IF(LEN(A188)=6,"0"&amp;A188,A188)</f>
        <v>1825-18</v>
      </c>
      <c r="AE188" s="99" t="str">
        <f>"aws s3 cp "&amp;s3_bucket&amp;"/RTDC"&amp;B188&amp;"/"&amp;TEXT(F188,"YYYY-MM-DD")&amp;"/ "&amp;search_path&amp;"\RTDC"&amp;B188&amp;"\"&amp;TEXT(F188,"YYYY-MM-DD")&amp;" --recursive &amp; """&amp;walkandungz&amp;""" "&amp;search_path&amp;"\RTDC"&amp;B188&amp;"\"&amp;TEXT(F188,"YYYY-MM-DD")
&amp;" &amp; "&amp;"aws s3 cp "&amp;s3_bucket&amp;"/RTDC"&amp;B188&amp;"/"&amp;TEXT(F188+1,"YYYY-MM-DD")&amp;"/ "&amp;search_path&amp;"\RTDC"&amp;B188&amp;"\"&amp;TEXT(F188+1,"YYYY-MM-DD")&amp;" --recursive &amp; """&amp;walkandungz&amp;""" "&amp;search_path&amp;"\RTDC"&amp;B188&amp;"\"&amp;TEXT(F188+1,"YYYY-MM-DD")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8" s="96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/stypes="app*4018*20160919*" /stext=" 00:.+((SYSTEM_STATE.+slice.+state.+changed )|(ment ac)|(system.+state.+changed )|(\|lc)|(penalty)|(\[timeout)|(PRM\|1\|D)|(kpr)|(kdp))" /e /r /s</v>
      </c>
      <c r="AG188" s="1" t="str">
        <f>IFERROR(IF(VALUE(LEFT(AD188,2))&lt;=2,"EC",IF(OR(VALUE(LEFT(AD188,2))=8,VALUE(LEFT(AD188,2))=18),"NW","Other")),"Other")</f>
        <v>NW</v>
      </c>
      <c r="AH188" s="100" t="str">
        <f t="shared" si="7"/>
        <v>"%USERPROFILE%\Documents\GitHub\eaglep3\Utilities\RefineRTDCRunTimes.py" --tripid 1825-18 --locoid 4018 --swversion DE.1.0.7.0 --startMP 204:1025 --initTime 2016-09-18T18:00:26 --startdatetime 2016-09-18T18:21:16 --delay 1 --endMP 300:58937 --enddatetime 2016-09-18T18:36:04 --enforcementcount 0 &gt;&gt;C:\Users\stu\Documents\GitHub\eaglep3-reporting\EC\2016-09-18-refined-times.txt</v>
      </c>
      <c r="AI188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{"issue":{"subject":"","project_id":79,"tracker_id":40,"status_id":1,"priority_id":2,"assigned_to_id":23,"start_date":"2016-09-18","description":"","custom_fields":[{"id":1,"name":"Subdivision","value":"NW"},{"id":4,"name":"Milepost","value":"5.8937"},{"id":17,"name":"Train ID","value":"1825-18"},{"id":16,"name":"Locomotive ID","value":"4018"},{"id":130,"name":"Impact","value":""},{"id":150,"name":"Time of Event (Mountain Time)","value":"18:36:04"},{"id":151,"name":"Denver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550</v>
      </c>
      <c r="B189" s="7">
        <v>4017</v>
      </c>
      <c r="C189" s="24" t="s">
        <v>106</v>
      </c>
      <c r="D189" s="24" t="s">
        <v>380</v>
      </c>
      <c r="E189" s="15">
        <v>42631.776388888888</v>
      </c>
      <c r="F189" s="15">
        <v>42631.777789351851</v>
      </c>
      <c r="G189" s="7">
        <v>1</v>
      </c>
      <c r="H189" s="15" t="s">
        <v>340</v>
      </c>
      <c r="I189" s="15">
        <v>42631.788715277777</v>
      </c>
      <c r="J189" s="7">
        <v>0</v>
      </c>
      <c r="K189" s="121" t="str">
        <f>IF(ISEVEN(B189),(B189-1)&amp;"/"&amp;B189,B189&amp;"/"&amp;(B189+1))</f>
        <v>4017/4018</v>
      </c>
      <c r="L189" s="24" t="str">
        <f>VLOOKUP(A189,'Trips&amp;Operators'!$C$1:$E$10000,3,FALSE)</f>
        <v>CRAYTON</v>
      </c>
      <c r="M189" s="6">
        <f>I189-F189</f>
        <v>1.0925925926130731E-2</v>
      </c>
      <c r="N189" s="7">
        <f>24*60*SUM($M189:$M189)</f>
        <v>15.733333333628252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https://search-rtdc-monitor-bjffxe2xuh6vdkpspy63sjmuny.us-east-1.es.amazonaws.com/_plugin/kibana/#/discover/Steve-Slow-Train-Analysis-(2080s-and-2083s)?_g=(refreshInterval:(display:Off,section:0,value:0),time:(from:'2016-09-18 17:38:00-0600',mode:absolute,to:'2016-09-18 19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9" s="54" t="str">
        <f>IF(AA189&lt;IF(AG189="EC",23,5.65),"Y","N")</f>
        <v>N</v>
      </c>
      <c r="X189" s="168">
        <f>VALUE(LEFT(AD189,4))-VALUE(LEFT(AD188,4))</f>
        <v>1</v>
      </c>
      <c r="Y189" s="69">
        <f>RIGHT(D189,LEN(D189)-4)/10000</f>
        <v>5.8619000000000003</v>
      </c>
      <c r="Z189" s="69">
        <f>RIGHT(H189,LEN(H189)-4)/10000</f>
        <v>7.5899999999999995E-2</v>
      </c>
      <c r="AA189" s="69">
        <f>ABS(Z189-Y189)</f>
        <v>5.7860000000000005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>IF(LEN(A189)=6,"0"&amp;A189,A189)</f>
        <v>1826-18</v>
      </c>
      <c r="AE189" s="99" t="str">
        <f>"aws s3 cp "&amp;s3_bucket&amp;"/RTDC"&amp;B189&amp;"/"&amp;TEXT(F189,"YYYY-MM-DD")&amp;"/ "&amp;search_path&amp;"\RTDC"&amp;B189&amp;"\"&amp;TEXT(F189,"YYYY-MM-DD")&amp;" --recursive &amp; """&amp;walkandungz&amp;""" "&amp;search_path&amp;"\RTDC"&amp;B189&amp;"\"&amp;TEXT(F189,"YYYY-MM-DD")
&amp;" &amp; "&amp;"aws s3 cp "&amp;s3_bucket&amp;"/RTDC"&amp;B189&amp;"/"&amp;TEXT(F189+1,"YYYY-MM-DD")&amp;"/ "&amp;search_path&amp;"\RTDC"&amp;B189&amp;"\"&amp;TEXT(F189+1,"YYYY-MM-DD")&amp;" --recursive &amp; """&amp;walkandungz&amp;""" "&amp;search_path&amp;"\RTDC"&amp;B189&amp;"\"&amp;TEXT(F189+1,"YYYY-MM-DD")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9" s="96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/stypes="app*4017*20160919*" /stext=" 00:.+((SYSTEM_STATE.+slice.+state.+changed )|(ment ac)|(system.+state.+changed )|(\|lc)|(penalty)|(\[timeout)|(PRM\|1\|D)|(kpr)|(kdp))" /e /r /s</v>
      </c>
      <c r="AG189" s="1" t="str">
        <f>IFERROR(IF(VALUE(LEFT(AD189,2))&lt;=2,"EC",IF(OR(VALUE(LEFT(AD189,2))=8,VALUE(LEFT(AD189,2))=18),"NW","Other")),"Other")</f>
        <v>NW</v>
      </c>
      <c r="AH189" s="100" t="str">
        <f t="shared" si="7"/>
        <v>"%USERPROFILE%\Documents\GitHub\eaglep3\Utilities\RefineRTDCRunTimes.py" --tripid 1826-18 --locoid 4017 --swversion DE.1.0.7.0 --startMP 300:58619 --initTime 2016-09-18T18:38:00 --startdatetime 2016-09-18T18:40:01 --delay 1 --endMP 204:759 --enddatetime 2016-09-18T18:55:45 --enforcementcount 0 &gt;&gt;C:\Users\stu\Documents\GitHub\eaglep3-reporting\EC\2016-09-18-refined-times.txt</v>
      </c>
      <c r="AI189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{"issue":{"subject":"","project_id":79,"tracker_id":40,"status_id":1,"priority_id":2,"assigned_to_id":23,"start_date":"2016-09-18","description":"","custom_fields":[{"id":1,"name":"Subdivision","value":"NW"},{"id":4,"name":"Milepost","value":"0.0759"},{"id":17,"name":"Train ID","value":"1826-18"},{"id":16,"name":"Locomotive ID","value":"4017"},{"id":130,"name":"Impact","value":""},{"id":150,"name":"Time of Event (Mountain Time)","value":"18:55:45"},{"id":151,"name":"Denver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684</v>
      </c>
      <c r="B190" s="7">
        <v>4018</v>
      </c>
      <c r="C190" s="24" t="s">
        <v>106</v>
      </c>
      <c r="D190" s="24" t="s">
        <v>685</v>
      </c>
      <c r="E190" s="15">
        <v>42631.795775462961</v>
      </c>
      <c r="F190" s="15">
        <v>42631.806435185186</v>
      </c>
      <c r="G190" s="7">
        <v>1</v>
      </c>
      <c r="H190" s="15" t="s">
        <v>339</v>
      </c>
      <c r="I190" s="15">
        <v>42631.817141203705</v>
      </c>
      <c r="J190" s="7">
        <v>0</v>
      </c>
      <c r="K190" s="121" t="str">
        <f>IF(ISEVEN(B190),(B190-1)&amp;"/"&amp;B190,B190&amp;"/"&amp;(B190+1))</f>
        <v>4017/4018</v>
      </c>
      <c r="L190" s="24" t="s">
        <v>512</v>
      </c>
      <c r="M190" s="6">
        <f>I190-F190</f>
        <v>1.0706018518249039E-2</v>
      </c>
      <c r="N190" s="7">
        <f>24*60*SUM($M190:$M190)</f>
        <v>15.416666666278616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https://search-rtdc-monitor-bjffxe2xuh6vdkpspy63sjmuny.us-east-1.es.amazonaws.com/_plugin/kibana/#/discover/Steve-Slow-Train-Analysis-(2080s-and-2083s)?_g=(refreshInterval:(display:Off,section:0,value:0),time:(from:'2016-09-18 18:05:55-0600',mode:absolute,to:'2016-09-18 20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0" s="54" t="str">
        <f>IF(AA190&lt;IF(AG190="EC",23,5.65),"Y","N")</f>
        <v>N</v>
      </c>
      <c r="X190" s="168">
        <f>VALUE(LEFT(AD190,4))-VALUE(LEFT(AD189,4))</f>
        <v>1</v>
      </c>
      <c r="Y190" s="69">
        <f>RIGHT(D190,LEN(D190)-4)/10000</f>
        <v>0.1048</v>
      </c>
      <c r="Z190" s="69">
        <f>RIGHT(H190,LEN(H190)-4)/10000</f>
        <v>5.8936999999999999</v>
      </c>
      <c r="AA190" s="69">
        <f>ABS(Z190-Y190)</f>
        <v>5.7888999999999999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>IF(LEN(A190)=6,"0"&amp;A190,A190)</f>
        <v>1827-18</v>
      </c>
      <c r="AE190" s="99" t="str">
        <f>"aws s3 cp "&amp;s3_bucket&amp;"/RTDC"&amp;B190&amp;"/"&amp;TEXT(F190,"YYYY-MM-DD")&amp;"/ "&amp;search_path&amp;"\RTDC"&amp;B190&amp;"\"&amp;TEXT(F190,"YYYY-MM-DD")&amp;" --recursive &amp; """&amp;walkandungz&amp;""" "&amp;search_path&amp;"\RTDC"&amp;B190&amp;"\"&amp;TEXT(F190,"YYYY-MM-DD")
&amp;" &amp; "&amp;"aws s3 cp "&amp;s3_bucket&amp;"/RTDC"&amp;B190&amp;"/"&amp;TEXT(F190+1,"YYYY-MM-DD")&amp;"/ "&amp;search_path&amp;"\RTDC"&amp;B190&amp;"\"&amp;TEXT(F190+1,"YYYY-MM-DD")&amp;" --recursive &amp; """&amp;walkandungz&amp;""" "&amp;search_path&amp;"\RTDC"&amp;B190&amp;"\"&amp;TEXT(F190+1,"YYYY-MM-DD")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0" s="96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/stypes="app*4018*20160919*" /stext=" 01:.+((SYSTEM_STATE.+slice.+state.+changed )|(ment ac)|(system.+state.+changed )|(\|lc)|(penalty)|(\[timeout)|(PRM\|1\|D)|(kpr)|(kdp))" /e /r /s</v>
      </c>
      <c r="AG190" s="1" t="str">
        <f>IFERROR(IF(VALUE(LEFT(AD190,2))&lt;=2,"EC",IF(OR(VALUE(LEFT(AD190,2))=8,VALUE(LEFT(AD190,2))=18),"NW","Other")),"Other")</f>
        <v>NW</v>
      </c>
      <c r="AH190" s="100" t="str">
        <f t="shared" si="7"/>
        <v>"%USERPROFILE%\Documents\GitHub\eaglep3\Utilities\RefineRTDCRunTimes.py" --tripid 1827-18 --locoid 4018 --swversion DE.1.0.7.0 --startMP 204:1048 --initTime 2016-09-18T19:05:55 --startdatetime 2016-09-18T19:21:16 --delay 1 --endMP 300:58937 --enddatetime 2016-09-18T19:36:41 --enforcementcount 0 &gt;&gt;C:\Users\stu\Documents\GitHub\eaglep3-reporting\EC\2016-09-18-refined-times.txt</v>
      </c>
      <c r="AI190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{"issue":{"subject":"","project_id":79,"tracker_id":40,"status_id":1,"priority_id":2,"assigned_to_id":23,"start_date":"2016-09-18","description":"","custom_fields":[{"id":1,"name":"Subdivision","value":"NW"},{"id":4,"name":"Milepost","value":"5.8937"},{"id":17,"name":"Train ID","value":"1827-18"},{"id":16,"name":"Locomotive ID","value":"4018"},{"id":130,"name":"Impact","value":""},{"id":150,"name":"Time of Event (Mountain Time)","value":"19:36:41"},{"id":151,"name":"Denver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565</v>
      </c>
      <c r="B191" s="7">
        <v>4017</v>
      </c>
      <c r="C191" s="24" t="s">
        <v>106</v>
      </c>
      <c r="D191" s="24" t="s">
        <v>665</v>
      </c>
      <c r="E191" s="15">
        <v>42631.818402777775</v>
      </c>
      <c r="F191" s="15">
        <v>42631.819918981484</v>
      </c>
      <c r="G191" s="7">
        <v>1</v>
      </c>
      <c r="H191" s="15" t="s">
        <v>682</v>
      </c>
      <c r="I191" s="15">
        <v>42631.830694444441</v>
      </c>
      <c r="J191" s="7">
        <v>0</v>
      </c>
      <c r="K191" s="121" t="str">
        <f>IF(ISEVEN(B191),(B191-1)&amp;"/"&amp;B191,B191&amp;"/"&amp;(B191+1))</f>
        <v>4017/4018</v>
      </c>
      <c r="L191" s="24" t="str">
        <f>VLOOKUP(A191,'Trips&amp;Operators'!$C$1:$E$10000,3,FALSE)</f>
        <v>CRAYTON</v>
      </c>
      <c r="M191" s="6">
        <f>I191-F191</f>
        <v>1.077546295709908E-2</v>
      </c>
      <c r="N191" s="7">
        <f>24*60*SUM($M191:$M191)</f>
        <v>15.516666658222675</v>
      </c>
      <c r="O191" s="7"/>
      <c r="P191" s="7"/>
      <c r="Q191" s="25"/>
      <c r="R191" s="25"/>
      <c r="S191" s="37">
        <f>SUM(U191:U191)/IF(AG191="EC",12,1)</f>
        <v>1</v>
      </c>
      <c r="T191" s="52" t="str">
        <f>IF(ISEVEN(LEFT(AD191,4)),"Southbound","NorthBound")</f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https://search-rtdc-monitor-bjffxe2xuh6vdkpspy63sjmuny.us-east-1.es.amazonaws.com/_plugin/kibana/#/discover/Steve-Slow-Train-Analysis-(2080s-and-2083s)?_g=(refreshInterval:(display:Off,section:0,value:0),time:(from:'2016-09-18 18:38:30-0600',mode:absolute,to:'2016-09-18 20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1" s="54" t="str">
        <f>IF(AA191&lt;IF(AG191="EC",23,5.65),"Y","N")</f>
        <v>N</v>
      </c>
      <c r="X191" s="168">
        <f>VALUE(LEFT(AD191,4))-VALUE(LEFT(AD190,4))</f>
        <v>1</v>
      </c>
      <c r="Y191" s="69">
        <f>RIGHT(D191,LEN(D191)-4)/10000</f>
        <v>5.8624000000000001</v>
      </c>
      <c r="Z191" s="69">
        <f>RIGHT(H191,LEN(H191)-4)/10000</f>
        <v>7.3800000000000004E-2</v>
      </c>
      <c r="AA191" s="69">
        <f>ABS(Z191-Y191)</f>
        <v>5.7885999999999997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>IF(LEN(A191)=6,"0"&amp;A191,A191)</f>
        <v>1828-18</v>
      </c>
      <c r="AE191" s="99" t="str">
        <f>"aws s3 cp "&amp;s3_bucket&amp;"/RTDC"&amp;B191&amp;"/"&amp;TEXT(F191,"YYYY-MM-DD")&amp;"/ "&amp;search_path&amp;"\RTDC"&amp;B191&amp;"\"&amp;TEXT(F191,"YYYY-MM-DD")&amp;" --recursive &amp; """&amp;walkandungz&amp;""" "&amp;search_path&amp;"\RTDC"&amp;B191&amp;"\"&amp;TEXT(F191,"YYYY-MM-DD")
&amp;" &amp; "&amp;"aws s3 cp "&amp;s3_bucket&amp;"/RTDC"&amp;B191&amp;"/"&amp;TEXT(F191+1,"YYYY-MM-DD")&amp;"/ "&amp;search_path&amp;"\RTDC"&amp;B191&amp;"\"&amp;TEXT(F191+1,"YYYY-MM-DD")&amp;" --recursive &amp; """&amp;walkandungz&amp;""" "&amp;search_path&amp;"\RTDC"&amp;B191&amp;"\"&amp;TEXT(F191+1,"YYYY-MM-DD")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91" s="96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/stypes="app*4017*20160919*" /stext=" 01:.+((SYSTEM_STATE.+slice.+state.+changed )|(ment ac)|(system.+state.+changed )|(\|lc)|(penalty)|(\[timeout)|(PRM\|1\|D)|(kpr)|(kdp))" /e /r /s</v>
      </c>
      <c r="AG191" s="1" t="str">
        <f>IFERROR(IF(VALUE(LEFT(AD191,2))&lt;=2,"EC",IF(OR(VALUE(LEFT(AD191,2))=8,VALUE(LEFT(AD191,2))=18),"NW","Other")),"Other")</f>
        <v>NW</v>
      </c>
      <c r="AH191" s="100" t="str">
        <f t="shared" si="7"/>
        <v>"%USERPROFILE%\Documents\GitHub\eaglep3\Utilities\RefineRTDCRunTimes.py" --tripid 1828-18 --locoid 4017 --swversion DE.1.0.7.0 --startMP 300:58624 --initTime 2016-09-18T19:38:30 --startdatetime 2016-09-18T19:40:41 --delay 1 --endMP 204:738 --enddatetime 2016-09-18T19:56:12 --enforcementcount 0 &gt;&gt;C:\Users\stu\Documents\GitHub\eaglep3-reporting\EC\2016-09-18-refined-times.txt</v>
      </c>
      <c r="AI191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{"issue":{"subject":"","project_id":79,"tracker_id":40,"status_id":1,"priority_id":2,"assigned_to_id":23,"start_date":"2016-09-18","description":"","custom_fields":[{"id":1,"name":"Subdivision","value":"NW"},{"id":4,"name":"Milepost","value":"0.0738"},{"id":17,"name":"Train ID","value":"1828-18"},{"id":16,"name":"Locomotive ID","value":"4017"},{"id":130,"name":"Impact","value":""},{"id":150,"name":"Time of Event (Mountain Time)","value":"19:56:12"},{"id":151,"name":"Denver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570</v>
      </c>
      <c r="B192" s="7">
        <v>4018</v>
      </c>
      <c r="C192" s="24" t="s">
        <v>106</v>
      </c>
      <c r="D192" s="24" t="s">
        <v>686</v>
      </c>
      <c r="E192" s="15">
        <v>42631.832858796297</v>
      </c>
      <c r="F192" s="15">
        <v>42631.848067129627</v>
      </c>
      <c r="G192" s="7">
        <v>1</v>
      </c>
      <c r="H192" s="15" t="s">
        <v>674</v>
      </c>
      <c r="I192" s="15">
        <v>42631.858449074076</v>
      </c>
      <c r="J192" s="7">
        <v>0</v>
      </c>
      <c r="K192" s="121" t="str">
        <f>IF(ISEVEN(B192),(B192-1)&amp;"/"&amp;B192,B192&amp;"/"&amp;(B192+1))</f>
        <v>4017/4018</v>
      </c>
      <c r="L192" s="24" t="str">
        <f>VLOOKUP(A192,'Trips&amp;Operators'!$C$1:$E$10000,3,FALSE)</f>
        <v>CRAYTON</v>
      </c>
      <c r="M192" s="6">
        <f>I192-F192</f>
        <v>1.0381944448454306E-2</v>
      </c>
      <c r="N192" s="7">
        <f>24*60*SUM($M192:$M192)</f>
        <v>14.9500000057742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https://search-rtdc-monitor-bjffxe2xuh6vdkpspy63sjmuny.us-east-1.es.amazonaws.com/_plugin/kibana/#/discover/Steve-Slow-Train-Analysis-(2080s-and-2083s)?_g=(refreshInterval:(display:Off,section:0,value:0),time:(from:'2016-09-18 18:59:19-0600',mode:absolute,to:'2016-09-18 21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2" s="54" t="str">
        <f>IF(AA192&lt;IF(AG192="EC",23,5.65),"Y","N")</f>
        <v>N</v>
      </c>
      <c r="X192" s="168">
        <f>VALUE(LEFT(AD192,4))-VALUE(LEFT(AD191,4))</f>
        <v>1</v>
      </c>
      <c r="Y192" s="69">
        <f>RIGHT(D192,LEN(D192)-4)/10000</f>
        <v>0.1046</v>
      </c>
      <c r="Z192" s="69">
        <f>RIGHT(H192,LEN(H192)-4)/10000</f>
        <v>5.8925999999999998</v>
      </c>
      <c r="AA192" s="69">
        <f>ABS(Z192-Y192)</f>
        <v>5.7880000000000003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>IF(LEN(A192)=6,"0"&amp;A192,A192)</f>
        <v>1829-18</v>
      </c>
      <c r="AE192" s="99" t="str">
        <f>"aws s3 cp "&amp;s3_bucket&amp;"/RTDC"&amp;B192&amp;"/"&amp;TEXT(F192,"YYYY-MM-DD")&amp;"/ "&amp;search_path&amp;"\RTDC"&amp;B192&amp;"\"&amp;TEXT(F192,"YYYY-MM-DD")&amp;" --recursive &amp; """&amp;walkandungz&amp;""" "&amp;search_path&amp;"\RTDC"&amp;B192&amp;"\"&amp;TEXT(F192,"YYYY-MM-DD")
&amp;" &amp; "&amp;"aws s3 cp "&amp;s3_bucket&amp;"/RTDC"&amp;B192&amp;"/"&amp;TEXT(F192+1,"YYYY-MM-DD")&amp;"/ "&amp;search_path&amp;"\RTDC"&amp;B192&amp;"\"&amp;TEXT(F192+1,"YYYY-MM-DD")&amp;" --recursive &amp; """&amp;walkandungz&amp;""" "&amp;search_path&amp;"\RTDC"&amp;B192&amp;"\"&amp;TEXT(F192+1,"YYYY-MM-DD")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2" s="96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/stypes="app*4018*20160919*" /stext=" 02:.+((SYSTEM_STATE.+slice.+state.+changed )|(ment ac)|(system.+state.+changed )|(\|lc)|(penalty)|(\[timeout)|(PRM\|1\|D)|(kpr)|(kdp))" /e /r /s</v>
      </c>
      <c r="AG192" s="1" t="str">
        <f>IFERROR(IF(VALUE(LEFT(AD192,2))&lt;=2,"EC",IF(OR(VALUE(LEFT(AD192,2))=8,VALUE(LEFT(AD192,2))=18),"NW","Other")),"Other")</f>
        <v>NW</v>
      </c>
      <c r="AH192" s="100" t="str">
        <f t="shared" si="7"/>
        <v>"%USERPROFILE%\Documents\GitHub\eaglep3\Utilities\RefineRTDCRunTimes.py" --tripid 1829-18 --locoid 4018 --swversion DE.1.0.7.0 --startMP 204:1046 --initTime 2016-09-18T19:59:19 --startdatetime 2016-09-18T20:21:13 --delay 1 --endMP 300:58926 --enddatetime 2016-09-18T20:36:10 --enforcementcount 0 &gt;&gt;C:\Users\stu\Documents\GitHub\eaglep3-reporting\EC\2016-09-18-refined-times.txt</v>
      </c>
      <c r="AI192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{"issue":{"subject":"","project_id":79,"tracker_id":40,"status_id":1,"priority_id":2,"assigned_to_id":23,"start_date":"2016-09-18","description":"","custom_fields":[{"id":1,"name":"Subdivision","value":"NW"},{"id":4,"name":"Milepost","value":"5.8926"},{"id":17,"name":"Train ID","value":"1829-18"},{"id":16,"name":"Locomotive ID","value":"4018"},{"id":130,"name":"Impact","value":""},{"id":150,"name":"Time of Event (Mountain Time)","value":"20:36:10"},{"id":151,"name":"Denver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577</v>
      </c>
      <c r="B193" s="7">
        <v>4017</v>
      </c>
      <c r="C193" s="24" t="s">
        <v>106</v>
      </c>
      <c r="D193" s="24" t="s">
        <v>662</v>
      </c>
      <c r="E193" s="15">
        <v>42631.859895833331</v>
      </c>
      <c r="F193" s="15">
        <v>42631.861342592594</v>
      </c>
      <c r="G193" s="7">
        <v>1</v>
      </c>
      <c r="H193" s="15" t="s">
        <v>382</v>
      </c>
      <c r="I193" s="15">
        <v>42631.873206018521</v>
      </c>
      <c r="J193" s="7">
        <v>0</v>
      </c>
      <c r="K193" s="121" t="str">
        <f>IF(ISEVEN(B193),(B193-1)&amp;"/"&amp;B193,B193&amp;"/"&amp;(B193+1))</f>
        <v>4017/4018</v>
      </c>
      <c r="L193" s="24" t="str">
        <f>VLOOKUP(A193,'Trips&amp;Operators'!$C$1:$E$10000,3,FALSE)</f>
        <v>CRAYTON</v>
      </c>
      <c r="M193" s="6">
        <f>I193-F193</f>
        <v>1.1863425927003846E-2</v>
      </c>
      <c r="N193" s="7">
        <f>24*60*SUM($M193:$M193)</f>
        <v>17.083333334885538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https://search-rtdc-monitor-bjffxe2xuh6vdkpspy63sjmuny.us-east-1.es.amazonaws.com/_plugin/kibana/#/discover/Steve-Slow-Train-Analysis-(2080s-and-2083s)?_g=(refreshInterval:(display:Off,section:0,value:0),time:(from:'2016-09-18 19:38:15-0600',mode:absolute,to:'2016-09-18 21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3" s="54" t="str">
        <f>IF(AA193&lt;IF(AG193="EC",23,5.65),"Y","N")</f>
        <v>N</v>
      </c>
      <c r="X193" s="168">
        <f>VALUE(LEFT(AD193,4))-VALUE(LEFT(AD192,4))</f>
        <v>1</v>
      </c>
      <c r="Y193" s="69">
        <f>RIGHT(D193,LEN(D193)-4)/10000</f>
        <v>5.8611000000000004</v>
      </c>
      <c r="Z193" s="69">
        <f>RIGHT(H193,LEN(H193)-4)/10000</f>
        <v>7.6899999999999996E-2</v>
      </c>
      <c r="AA193" s="69">
        <f>ABS(Z193-Y193)</f>
        <v>5.7842000000000002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>IF(LEN(A193)=6,"0"&amp;A193,A193)</f>
        <v>1830-18</v>
      </c>
      <c r="AE193" s="99" t="str">
        <f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93" s="96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/stypes="app*4017*20160919*" /stext=" 02:.+((SYSTEM_STATE.+slice.+state.+changed )|(ment ac)|(system.+state.+changed )|(\|lc)|(penalty)|(\[timeout)|(PRM\|1\|D)|(kpr)|(kdp))" /e /r /s</v>
      </c>
      <c r="AG193" s="1" t="str">
        <f>IFERROR(IF(VALUE(LEFT(AD193,2))&lt;=2,"EC",IF(OR(VALUE(LEFT(AD193,2))=8,VALUE(LEFT(AD193,2))=18),"NW","Other")),"Other")</f>
        <v>NW</v>
      </c>
      <c r="AH193" s="100" t="str">
        <f t="shared" si="7"/>
        <v>"%USERPROFILE%\Documents\GitHub\eaglep3\Utilities\RefineRTDCRunTimes.py" --tripid 1830-18 --locoid 4017 --swversion DE.1.0.7.0 --startMP 300:58611 --initTime 2016-09-18T20:38:15 --startdatetime 2016-09-18T20:40:20 --delay 1 --endMP 204:769 --enddatetime 2016-09-18T20:57:25 --enforcementcount 0 &gt;&gt;C:\Users\stu\Documents\GitHub\eaglep3-reporting\EC\2016-09-18-refined-times.txt</v>
      </c>
      <c r="AI193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{"issue":{"subject":"","project_id":79,"tracker_id":40,"status_id":1,"priority_id":2,"assigned_to_id":23,"start_date":"2016-09-18","description":"","custom_fields":[{"id":1,"name":"Subdivision","value":"NW"},{"id":4,"name":"Milepost","value":"0.0769"},{"id":17,"name":"Train ID","value":"1830-18"},{"id":16,"name":"Locomotive ID","value":"4017"},{"id":130,"name":"Impact","value":""},{"id":150,"name":"Time of Event (Mountain Time)","value":"20:57:25"},{"id":151,"name":"Denver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580</v>
      </c>
      <c r="B194" s="7">
        <v>4018</v>
      </c>
      <c r="C194" s="24" t="s">
        <v>106</v>
      </c>
      <c r="D194" s="24" t="s">
        <v>688</v>
      </c>
      <c r="E194" s="15">
        <v>42631.875023148146</v>
      </c>
      <c r="F194" s="15">
        <v>42631.889745370368</v>
      </c>
      <c r="G194" s="7">
        <v>12</v>
      </c>
      <c r="H194" s="15" t="s">
        <v>381</v>
      </c>
      <c r="I194" s="15">
        <v>42631.899652777778</v>
      </c>
      <c r="J194" s="7">
        <v>0</v>
      </c>
      <c r="K194" s="121" t="str">
        <f>IF(ISEVEN(B194),(B194-1)&amp;"/"&amp;B194,B194&amp;"/"&amp;(B194+1))</f>
        <v>4017/4018</v>
      </c>
      <c r="L194" s="24" t="str">
        <f>VLOOKUP(A194,'Trips&amp;Operators'!$C$1:$E$10000,3,FALSE)</f>
        <v>CRAYTON</v>
      </c>
      <c r="M194" s="6">
        <f>I194-F194</f>
        <v>9.9074074096279219E-3</v>
      </c>
      <c r="N194" s="7">
        <f>24*60*SUM($M194:$M194)</f>
        <v>14.266666669864208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https://search-rtdc-monitor-bjffxe2xuh6vdkpspy63sjmuny.us-east-1.es.amazonaws.com/_plugin/kibana/#/discover/Steve-Slow-Train-Analysis-(2080s-and-2083s)?_g=(refreshInterval:(display:Off,section:0,value:0),time:(from:'2016-09-18 20:00:02-0600',mode:absolute,to:'2016-09-18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4" s="54" t="str">
        <f>IF(AA194&lt;IF(AG194="EC",23,5.65),"Y","N")</f>
        <v>N</v>
      </c>
      <c r="X194" s="168">
        <f>VALUE(LEFT(AD194,4))-VALUE(LEFT(AD193,4))</f>
        <v>1</v>
      </c>
      <c r="Y194" s="69">
        <f>RIGHT(D194,LEN(D194)-4)/10000</f>
        <v>0.106</v>
      </c>
      <c r="Z194" s="69">
        <f>RIGHT(H194,LEN(H194)-4)/10000</f>
        <v>5.8933</v>
      </c>
      <c r="AA194" s="69">
        <f>ABS(Z194-Y194)</f>
        <v>5.7873000000000001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>IF(LEN(A194)=6,"0"&amp;A194,A194)</f>
        <v>1831-18</v>
      </c>
      <c r="AE194" s="99" t="str">
        <f>"aws s3 cp "&amp;s3_bucket&amp;"/RTDC"&amp;B194&amp;"/"&amp;TEXT(F194,"YYYY-MM-DD")&amp;"/ "&amp;search_path&amp;"\RTDC"&amp;B194&amp;"\"&amp;TEXT(F194,"YYYY-MM-DD")&amp;" --recursive &amp; """&amp;walkandungz&amp;""" "&amp;search_path&amp;"\RTDC"&amp;B194&amp;"\"&amp;TEXT(F194,"YYYY-MM-DD")
&amp;" &amp; "&amp;"aws s3 cp "&amp;s3_bucket&amp;"/RTDC"&amp;B194&amp;"/"&amp;TEXT(F194+1,"YYYY-MM-DD")&amp;"/ "&amp;search_path&amp;"\RTDC"&amp;B194&amp;"\"&amp;TEXT(F194+1,"YYYY-MM-DD")&amp;" --recursive &amp; """&amp;walkandungz&amp;""" "&amp;search_path&amp;"\RTDC"&amp;B194&amp;"\"&amp;TEXT(F194+1,"YYYY-MM-DD")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4" s="96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/stypes="app*4018*20160919*" /stext=" 03:.+((SYSTEM_STATE.+slice.+state.+changed )|(ment ac)|(system.+state.+changed )|(\|lc)|(penalty)|(\[timeout)|(PRM\|1\|D)|(kpr)|(kdp))" /e /r /s</v>
      </c>
      <c r="AG194" s="1" t="str">
        <f>IFERROR(IF(VALUE(LEFT(AD194,2))&lt;=2,"EC",IF(OR(VALUE(LEFT(AD194,2))=8,VALUE(LEFT(AD194,2))=18),"NW","Other")),"Other")</f>
        <v>NW</v>
      </c>
      <c r="AH194" s="100" t="str">
        <f t="shared" si="7"/>
        <v>"%USERPROFILE%\Documents\GitHub\eaglep3\Utilities\RefineRTDCRunTimes.py" --tripid 1831-18 --locoid 4018 --swversion DE.1.0.7.0 --startMP 204:1060 --initTime 2016-09-18T21:00:02 --startdatetime 2016-09-18T21:21:14 --delay 12 --endMP 300:58933 --enddatetime 2016-09-18T21:35:30 --enforcementcount 0 &gt;&gt;C:\Users\stu\Documents\GitHub\eaglep3-reporting\EC\2016-09-18-refined-times.txt</v>
      </c>
      <c r="AI194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{"issue":{"subject":"","project_id":79,"tracker_id":40,"status_id":1,"priority_id":2,"assigned_to_id":23,"start_date":"2016-09-18","description":"","custom_fields":[{"id":1,"name":"Subdivision","value":"NW"},{"id":4,"name":"Milepost","value":"5.8933"},{"id":17,"name":"Train ID","value":"1831-18"},{"id":16,"name":"Locomotive ID","value":"4018"},{"id":130,"name":"Impact","value":""},{"id":150,"name":"Time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585</v>
      </c>
      <c r="B195" s="7">
        <v>4017</v>
      </c>
      <c r="C195" s="24" t="s">
        <v>106</v>
      </c>
      <c r="D195" s="24" t="s">
        <v>378</v>
      </c>
      <c r="E195" s="15">
        <v>42631.901041666664</v>
      </c>
      <c r="F195" s="15">
        <v>42631.902557870373</v>
      </c>
      <c r="G195" s="7">
        <v>1</v>
      </c>
      <c r="H195" s="15" t="s">
        <v>676</v>
      </c>
      <c r="I195" s="15">
        <v>42631.914861111109</v>
      </c>
      <c r="J195" s="7">
        <v>0</v>
      </c>
      <c r="K195" s="121" t="str">
        <f>IF(ISEVEN(B195),(B195-1)&amp;"/"&amp;B195,B195&amp;"/"&amp;(B195+1))</f>
        <v>4017/4018</v>
      </c>
      <c r="L195" s="24" t="str">
        <f>VLOOKUP(A195,'Trips&amp;Operators'!$C$1:$E$10000,3,FALSE)</f>
        <v>CRAYTON</v>
      </c>
      <c r="M195" s="6">
        <f>I195-F195</f>
        <v>1.2303240735491272E-2</v>
      </c>
      <c r="N195" s="7">
        <f>24*60*SUM($M195:$M195)</f>
        <v>17.716666659107432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https://search-rtdc-monitor-bjffxe2xuh6vdkpspy63sjmuny.us-east-1.es.amazonaws.com/_plugin/kibana/#/discover/Steve-Slow-Train-Analysis-(2080s-and-2083s)?_g=(refreshInterval:(display:Off,section:0,value:0),time:(from:'2016-09-18 20:37:30-0600',mode:absolute,to:'2016-09-18 22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5" s="54" t="str">
        <f>IF(AA195&lt;IF(AG195="EC",23,5.65),"Y","N")</f>
        <v>N</v>
      </c>
      <c r="X195" s="168">
        <f>VALUE(LEFT(AD195,4))-VALUE(LEFT(AD194,4))</f>
        <v>1</v>
      </c>
      <c r="Y195" s="69">
        <f>RIGHT(D195,LEN(D195)-4)/10000</f>
        <v>5.8620999999999999</v>
      </c>
      <c r="Z195" s="69">
        <f>RIGHT(H195,LEN(H195)-4)/10000</f>
        <v>7.4999999999999997E-2</v>
      </c>
      <c r="AA195" s="69">
        <f>ABS(Z195-Y195)</f>
        <v>5.7870999999999997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>IF(LEN(A195)=6,"0"&amp;A195,A195)</f>
        <v>1832-18</v>
      </c>
      <c r="AE195" s="99" t="str">
        <f>"aws s3 cp "&amp;s3_bucket&amp;"/RTDC"&amp;B195&amp;"/"&amp;TEXT(F195,"YYYY-MM-DD")&amp;"/ "&amp;search_path&amp;"\RTDC"&amp;B195&amp;"\"&amp;TEXT(F195,"YYYY-MM-DD")&amp;" --recursive &amp; """&amp;walkandungz&amp;""" "&amp;search_path&amp;"\RTDC"&amp;B195&amp;"\"&amp;TEXT(F195,"YYYY-MM-DD")
&amp;" &amp; "&amp;"aws s3 cp "&amp;s3_bucket&amp;"/RTDC"&amp;B195&amp;"/"&amp;TEXT(F195+1,"YYYY-MM-DD")&amp;"/ "&amp;search_path&amp;"\RTDC"&amp;B195&amp;"\"&amp;TEXT(F195+1,"YYYY-MM-DD")&amp;" --recursive &amp; """&amp;walkandungz&amp;""" "&amp;search_path&amp;"\RTDC"&amp;B195&amp;"\"&amp;TEXT(F195+1,"YYYY-MM-DD")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95" s="96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/stypes="app*4017*20160919*" /stext=" 03:.+((SYSTEM_STATE.+slice.+state.+changed )|(ment ac)|(system.+state.+changed )|(\|lc)|(penalty)|(\[timeout)|(PRM\|1\|D)|(kpr)|(kdp))" /e /r /s</v>
      </c>
      <c r="AG195" s="1" t="str">
        <f>IFERROR(IF(VALUE(LEFT(AD195,2))&lt;=2,"EC",IF(OR(VALUE(LEFT(AD195,2))=8,VALUE(LEFT(AD195,2))=18),"NW","Other")),"Other")</f>
        <v>NW</v>
      </c>
      <c r="AH195" s="100" t="str">
        <f t="shared" si="7"/>
        <v>"%USERPROFILE%\Documents\GitHub\eaglep3\Utilities\RefineRTDCRunTimes.py" --tripid 1832-18 --locoid 4017 --swversion DE.1.0.7.0 --startMP 300:58621 --initTime 2016-09-18T21:37:30 --startdatetime 2016-09-18T21:39:41 --delay 1 --endMP 204:750 --enddatetime 2016-09-18T21:57:24 --enforcementcount 0 &gt;&gt;C:\Users\stu\Documents\GitHub\eaglep3-reporting\EC\2016-09-18-refined-times.txt</v>
      </c>
      <c r="AI195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{"issue":{"subject":"","project_id":79,"tracker_id":40,"status_id":1,"priority_id":2,"assigned_to_id":23,"start_date":"2016-09-18","description":"","custom_fields":[{"id":1,"name":"Subdivision","value":"NW"},{"id":4,"name":"Milepost","value":"0.075"},{"id":17,"name":"Train ID","value":"1832-18"},{"id":16,"name":"Locomotive ID","value":"4017"},{"id":130,"name":"Impact","value":""},{"id":150,"name":"Time of Event (Mountain Time)","value":"21:57:24"},{"id":151,"name":"Denver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587</v>
      </c>
      <c r="B196" s="7">
        <v>4018</v>
      </c>
      <c r="C196" s="24" t="s">
        <v>106</v>
      </c>
      <c r="D196" s="24" t="s">
        <v>689</v>
      </c>
      <c r="E196" s="15">
        <v>42631.916759259257</v>
      </c>
      <c r="F196" s="15">
        <v>42631.931527777779</v>
      </c>
      <c r="G196" s="7">
        <v>1</v>
      </c>
      <c r="H196" s="15" t="s">
        <v>386</v>
      </c>
      <c r="I196" s="15">
        <v>42631.94190972222</v>
      </c>
      <c r="J196" s="7">
        <v>0</v>
      </c>
      <c r="K196" s="121" t="str">
        <f>IF(ISEVEN(B196),(B196-1)&amp;"/"&amp;B196,B196&amp;"/"&amp;(B196+1))</f>
        <v>4017/4018</v>
      </c>
      <c r="L196" s="24" t="str">
        <f>VLOOKUP(A196,'Trips&amp;Operators'!$C$1:$E$10000,3,FALSE)</f>
        <v>CRAYTON</v>
      </c>
      <c r="M196" s="6">
        <f>I196-F196</f>
        <v>1.0381944441178348E-2</v>
      </c>
      <c r="N196" s="7">
        <f>24*60*SUM($M196:$M196)</f>
        <v>14.949999995296821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https://search-rtdc-monitor-bjffxe2xuh6vdkpspy63sjmuny.us-east-1.es.amazonaws.com/_plugin/kibana/#/discover/Steve-Slow-Train-Analysis-(2080s-and-2083s)?_g=(refreshInterval:(display:Off,section:0,value:0),time:(from:'2016-09-18 21:00:08-0600',mode:absolute,to:'2016-09-18 23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6" s="54" t="str">
        <f>IF(AA196&lt;IF(AG196="EC",23,5.65),"Y","N")</f>
        <v>N</v>
      </c>
      <c r="X196" s="168">
        <f>VALUE(LEFT(AD196,4))-VALUE(LEFT(AD195,4))</f>
        <v>1</v>
      </c>
      <c r="Y196" s="69">
        <f>RIGHT(D196,LEN(D196)-4)/10000</f>
        <v>0.1051</v>
      </c>
      <c r="Z196" s="69">
        <f>RIGHT(H196,LEN(H196)-4)/10000</f>
        <v>5.8930999999999996</v>
      </c>
      <c r="AA196" s="69">
        <f>ABS(Z196-Y196)</f>
        <v>5.7879999999999994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>IF(LEN(A196)=6,"0"&amp;A196,A196)</f>
        <v>1833-18</v>
      </c>
      <c r="AE196" s="99" t="str">
        <f>"aws s3 cp "&amp;s3_bucket&amp;"/RTDC"&amp;B196&amp;"/"&amp;TEXT(F196,"YYYY-MM-DD")&amp;"/ "&amp;search_path&amp;"\RTDC"&amp;B196&amp;"\"&amp;TEXT(F196,"YYYY-MM-DD")&amp;" --recursive &amp; """&amp;walkandungz&amp;""" "&amp;search_path&amp;"\RTDC"&amp;B196&amp;"\"&amp;TEXT(F196,"YYYY-MM-DD")
&amp;" &amp; "&amp;"aws s3 cp "&amp;s3_bucket&amp;"/RTDC"&amp;B196&amp;"/"&amp;TEXT(F196+1,"YYYY-MM-DD")&amp;"/ "&amp;search_path&amp;"\RTDC"&amp;B196&amp;"\"&amp;TEXT(F196+1,"YYYY-MM-DD")&amp;" --recursive &amp; """&amp;walkandungz&amp;""" "&amp;search_path&amp;"\RTDC"&amp;B196&amp;"\"&amp;TEXT(F196+1,"YYYY-MM-DD")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6" s="96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/stypes="app*4018*20160919*" /stext=" 04:.+((SYSTEM_STATE.+slice.+state.+changed )|(ment ac)|(system.+state.+changed )|(\|lc)|(penalty)|(\[timeout)|(PRM\|1\|D)|(kpr)|(kdp))" /e /r /s</v>
      </c>
      <c r="AG196" s="1" t="str">
        <f>IFERROR(IF(VALUE(LEFT(AD196,2))&lt;=2,"EC",IF(OR(VALUE(LEFT(AD196,2))=8,VALUE(LEFT(AD196,2))=18),"NW","Other")),"Other")</f>
        <v>NW</v>
      </c>
      <c r="AH196" s="100" t="str">
        <f t="shared" si="7"/>
        <v>"%USERPROFILE%\Documents\GitHub\eaglep3\Utilities\RefineRTDCRunTimes.py" --tripid 1833-18 --locoid 4018 --swversion DE.1.0.7.0 --startMP 204:1051 --initTime 2016-09-18T22:00:08 --startdatetime 2016-09-18T22:21:24 --delay 1 --endMP 300:58931 --enddatetime 2016-09-18T22:36:21 --enforcementcount 0 &gt;&gt;C:\Users\stu\Documents\GitHub\eaglep3-reporting\EC\2016-09-18-refined-times.txt</v>
      </c>
      <c r="AI196" s="134" t="str">
        <f t="shared" si="8"/>
        <v>echo {"issue":{"subject":"","project_id":79,"tracker_id":40,"status_id":1,"priority_id":2,"assigned_to_id":23,"start_date":"2016-09-18","description":"","custom_fields":[{"id":1,"name":"Subdivision","value":"NW"},{"id":4,"name":"Milepost","value":"5.8931"},{"id":17,"name":"Train ID","value":"1833-18"},{"id":16,"name":"Locomotive ID","value":"4018"},{"id":130,"name":"Impact","value":""},{"id":150,"name":"Time of Event (Mountain Time)","value":"22:36:21"},{"id":151,"name":"Denver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581</v>
      </c>
      <c r="B197" s="7">
        <v>4038</v>
      </c>
      <c r="C197" s="24" t="s">
        <v>106</v>
      </c>
      <c r="D197" s="24" t="s">
        <v>224</v>
      </c>
      <c r="E197" s="15">
        <v>42631.876493055555</v>
      </c>
      <c r="F197" s="15">
        <v>42631.877800925926</v>
      </c>
      <c r="G197" s="7">
        <v>1</v>
      </c>
      <c r="H197" s="15" t="s">
        <v>715</v>
      </c>
      <c r="I197" s="15">
        <v>42631.889074074075</v>
      </c>
      <c r="J197" s="7">
        <v>0</v>
      </c>
      <c r="K197" s="121" t="str">
        <f>IF(ISEVEN(B197),(B197-1)&amp;"/"&amp;B197,B197&amp;"/"&amp;(B197+1))</f>
        <v>4037/4038</v>
      </c>
      <c r="L197" s="24" t="str">
        <f>VLOOKUP(A197,'Trips&amp;Operators'!$C$1:$E$10000,3,FALSE)</f>
        <v>MAHAN</v>
      </c>
      <c r="M197" s="6">
        <f>I197-F197</f>
        <v>1.1273148149484769E-2</v>
      </c>
      <c r="N197" s="7">
        <f>24*60*SUM($M197:$M197)</f>
        <v>16.233333335258067</v>
      </c>
      <c r="O197" s="7"/>
      <c r="P197" s="7"/>
      <c r="Q197" s="25"/>
      <c r="R197" s="25"/>
      <c r="S197" s="37">
        <f>SUM(U197:U197)/IF(AG197="EC",12,1)</f>
        <v>1</v>
      </c>
      <c r="T197" s="52" t="s">
        <v>727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https://search-rtdc-monitor-bjffxe2xuh6vdkpspy63sjmuny.us-east-1.es.amazonaws.com/_plugin/kibana/#/discover/Steve-Slow-Train-Analysis-(2080s-and-2083s)?_g=(refreshInterval:(display:Off,section:0,value:0),time:(from:'2016-09-18 20:02:09-0600',mode:absolute,to:'2016-09-18 22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97" s="54" t="str">
        <f>IF(AA197&lt;IF(AG197="EC",23,5.65),"Y","N")</f>
        <v>Y</v>
      </c>
      <c r="X197" s="168" t="e">
        <f>VALUE(LEFT(AD197,4))-VALUE(LEFT(AD157,4))</f>
        <v>#VALUE!</v>
      </c>
      <c r="Y197" s="69">
        <f>RIGHT(D197,LEN(D197)-4)/10000</f>
        <v>4.4699999999999997E-2</v>
      </c>
      <c r="Z197" s="69">
        <f>RIGHT(H197,LEN(H197)-4)/10000</f>
        <v>2.3304</v>
      </c>
      <c r="AA197" s="69">
        <f>ABS(Z197-Y197)</f>
        <v>2.2856999999999998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>IF(LEN(A197)=6,"0"&amp;A197,A197)</f>
        <v>BRONCOS EXT 2-18</v>
      </c>
      <c r="AE197" s="99" t="str">
        <f>"aws s3 cp "&amp;s3_bucket&amp;"/RTDC"&amp;B197&amp;"/"&amp;TEXT(F197,"YYYY-MM-DD")&amp;"/ "&amp;search_path&amp;"\RTDC"&amp;B197&amp;"\"&amp;TEXT(F197,"YYYY-MM-DD")&amp;" --recursive &amp; """&amp;walkandungz&amp;""" "&amp;search_path&amp;"\RTDC"&amp;B197&amp;"\"&amp;TEXT(F197,"YYYY-MM-DD")
&amp;" &amp; "&amp;"aws s3 cp "&amp;s3_bucket&amp;"/RTDC"&amp;B197&amp;"/"&amp;TEXT(F197+1,"YYYY-MM-DD")&amp;"/ "&amp;search_path&amp;"\RTDC"&amp;B197&amp;"\"&amp;TEXT(F197+1,"YYYY-MM-DD")&amp;" --recursive &amp; """&amp;walkandungz&amp;""" "&amp;search_path&amp;"\RTDC"&amp;B197&amp;"\"&amp;TEXT(F197+1,"YYYY-MM-DD")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97" s="96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/stypes="app*4038*20160919*" /stext=" 03:.+((SYSTEM_STATE.+slice.+state.+changed )|(ment ac)|(system.+state.+changed )|(\|lc)|(penalty)|(\[timeout)|(PRM\|1\|D)|(kpr)|(kdp))" /e /r /s</v>
      </c>
      <c r="AG197" s="1" t="s">
        <v>736</v>
      </c>
      <c r="AH197" s="100" t="str">
        <f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BRONCOS EXT 2-18 --locoid 4038 --swversion DE.1.0.7.0 --startMP 204:447 --initTime 2016-09-18T21:02:09 --startdatetime 2016-09-18T21:04:02 --delay 1 --endMP 300:23304 --enddatetime 2016-09-18T21:20:16 --enforcementcount 0 &gt;&gt;C:\Users\stu\Documents\GitHub\eaglep3-reporting\EC\2016-09-18-refined-times.txt</v>
      </c>
      <c r="AI197" s="134" t="str">
        <f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{"issue":{"subject":"","project_id":79,"tracker_id":40,"status_id":1,"priority_id":2,"assigned_to_id":23,"start_date":"2016-09-18","description":"","custom_fields":[{"id":1,"name":"Subdivision","value":"Other"},{"id":4,"name":"Milepost","value":"2.3304"},{"id":17,"name":"Train ID","value":"BRONCOS EXT 2-18"},{"id":16,"name":"Locomotive ID","value":"4038"},{"id":130,"name":"Impact","value":""},{"id":150,"name":"Time of Event (Mountain Time)","value":"21:20:16"},{"id":151,"name":"Denver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431</v>
      </c>
      <c r="B198" s="7">
        <v>4019</v>
      </c>
      <c r="C198" s="24" t="s">
        <v>106</v>
      </c>
      <c r="D198" s="24" t="s">
        <v>711</v>
      </c>
      <c r="E198" s="15">
        <v>42631.14539351852</v>
      </c>
      <c r="F198" s="15">
        <v>42631.146932870368</v>
      </c>
      <c r="G198" s="7">
        <v>2</v>
      </c>
      <c r="H198" s="15" t="s">
        <v>675</v>
      </c>
      <c r="I198" s="15">
        <v>42631.153726851851</v>
      </c>
      <c r="J198" s="7">
        <v>0</v>
      </c>
      <c r="K198" s="121" t="str">
        <f>IF(ISEVEN(B198),(B198-1)&amp;"/"&amp;B198,B198&amp;"/"&amp;(B198+1))</f>
        <v>4019/4020</v>
      </c>
      <c r="L198" s="24" t="str">
        <f>VLOOKUP(A198,'Trips&amp;Operators'!$C$1:$E$10000,3,FALSE)</f>
        <v>BROWN</v>
      </c>
      <c r="M198" s="6">
        <f>I198-F198</f>
        <v>6.7939814834971912E-3</v>
      </c>
      <c r="N198" s="7">
        <f>24*60*SUM($M198:$M198)</f>
        <v>9.7833333362359554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https://search-rtdc-monitor-bjffxe2xuh6vdkpspy63sjmuny.us-east-1.es.amazonaws.com/_plugin/kibana/#/discover/Steve-Slow-Train-Analysis-(2080s-and-2083s)?_g=(refreshInterval:(display:Off,section:0,value:0),time:(from:'2016-09-18 02:29:22-0600',mode:absolute,to:'2016-09-18 04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8" s="54" t="str">
        <f>IF(AA198&lt;IF(AG198="EC",23,5.65),"Y","N")</f>
        <v>Y</v>
      </c>
      <c r="X198" s="168">
        <f>VALUE(LEFT(AD198,4))-VALUE(LEFT(AD196,4))</f>
        <v>-1529</v>
      </c>
      <c r="Y198" s="69">
        <f>RIGHT(D198,LEN(D198)-4)/10000</f>
        <v>2.3334000000000001</v>
      </c>
      <c r="Z198" s="69">
        <f>RIGHT(H198,LEN(H198)-4)/10000</f>
        <v>1.3599999999999999E-2</v>
      </c>
      <c r="AA198" s="69">
        <f>ABS(Z198-Y198)</f>
        <v>2.3198000000000003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>IF(LEN(A198)=6,"0"&amp;A198,A198)</f>
        <v>0304-18</v>
      </c>
      <c r="AE198" s="99" t="str">
        <f>"aws s3 cp "&amp;s3_bucket&amp;"/RTDC"&amp;B198&amp;"/"&amp;TEXT(F198,"YYYY-MM-DD")&amp;"/ "&amp;search_path&amp;"\RTDC"&amp;B198&amp;"\"&amp;TEXT(F198,"YYYY-MM-DD")&amp;" --recursive &amp; """&amp;walkandungz&amp;""" "&amp;search_path&amp;"\RTDC"&amp;B198&amp;"\"&amp;TEXT(F198,"YYYY-MM-DD")
&amp;" &amp; "&amp;"aws s3 cp "&amp;s3_bucket&amp;"/RTDC"&amp;B198&amp;"/"&amp;TEXT(F198+1,"YYYY-MM-DD")&amp;"/ "&amp;search_path&amp;"\RTDC"&amp;B198&amp;"\"&amp;TEXT(F198+1,"YYYY-MM-DD")&amp;" --recursive &amp; """&amp;walkandungz&amp;""" "&amp;search_path&amp;"\RTDC"&amp;B198&amp;"\"&amp;TEXT(F198+1,"YYYY-MM-DD")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98" s="96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/stypes="app*4019*20160918*" /stext=" 09:.+((SYSTEM_STATE.+slice.+state.+changed )|(ment ac)|(system.+state.+changed )|(\|lc)|(penalty)|(\[timeout)|(PRM\|1\|D)|(kpr)|(kdp))" /e /r /s</v>
      </c>
      <c r="AG198" s="1" t="str">
        <f>IFERROR(IF(VALUE(LEFT(AD198,2))&lt;=2,"EC",IF(OR(VALUE(LEFT(AD198,2))=8,VALUE(LEFT(AD198,2))=18),"NW","Other")),"Other")</f>
        <v>Other</v>
      </c>
      <c r="AH198" s="100" t="str">
        <f t="shared" si="7"/>
        <v>"%USERPROFILE%\Documents\GitHub\eaglep3\Utilities\RefineRTDCRunTimes.py" --tripid 304-18 --locoid 4019 --swversion DE.1.0.7.0 --startMP 300:23334 --initTime 2016-09-18T03:29:22 --startdatetime 2016-09-18T03:31:35 --delay 2 --endMP 204:136 --enddatetime 2016-09-18T03:41:22 --enforcementcount 0 &gt;&gt;C:\Users\stu\Documents\GitHub\eaglep3-reporting\EC\2016-09-18-refined-times.txt</v>
      </c>
      <c r="AI198" s="134" t="str">
        <f t="shared" si="8"/>
        <v>echo {"issue":{"subject":"","project_id":79,"tracker_id":40,"status_id":1,"priority_id":2,"assigned_to_id":23,"start_date":"2016-09-18","description":"","custom_fields":[{"id":1,"name":"Subdivision","value":"Other"},{"id":4,"name":"Milepost","value":"0.0136"},{"id":17,"name":"Train ID","value":"304-18"},{"id":16,"name":"Locomotive ID","value":"4019"},{"id":130,"name":"Impact","value":""},{"id":150,"name":"Time of Event (Mountain Time)","value":"03:41:22"},{"id":151,"name":"Denver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584</v>
      </c>
      <c r="B199" s="7">
        <v>4020</v>
      </c>
      <c r="C199" s="24" t="s">
        <v>106</v>
      </c>
      <c r="D199" s="24" t="s">
        <v>712</v>
      </c>
      <c r="E199" s="15">
        <v>42631.901875000003</v>
      </c>
      <c r="F199" s="15">
        <v>25568.958333333332</v>
      </c>
      <c r="G199" s="7">
        <v>2</v>
      </c>
      <c r="H199" s="15" t="s">
        <v>713</v>
      </c>
      <c r="I199" s="15">
        <v>25568.958333333332</v>
      </c>
      <c r="J199" s="7">
        <v>0</v>
      </c>
      <c r="K199" s="121" t="str">
        <f>IF(ISEVEN(B199),(B199-1)&amp;"/"&amp;B199,B199&amp;"/"&amp;(B199+1))</f>
        <v>4019/4020</v>
      </c>
      <c r="L199" s="24" t="str">
        <f>VLOOKUP(A199,'Trips&amp;Operators'!$C$1:$E$10000,3,FALSE)</f>
        <v>SMITH</v>
      </c>
      <c r="M199" s="6">
        <f>I199-F199</f>
        <v>0</v>
      </c>
      <c r="N199" s="7">
        <f>24*60*SUM($M199:$M199)</f>
        <v>0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https://search-rtdc-monitor-bjffxe2xuh6vdkpspy63sjmuny.us-east-1.es.amazonaws.com/_plugin/kibana/#/discover/Steve-Slow-Train-Analysis-(2080s-and-2083s)?_g=(refreshInterval:(display:Off,section:0,value:0),time:(from:'2016-09-18 20:38:42-0600',mode:absolute,to:'1970-01-01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9" s="54" t="str">
        <f>IF(AA199&lt;IF(AG199="EC",23,5.65),"Y","N")</f>
        <v>Y</v>
      </c>
      <c r="X199" s="168">
        <f>VALUE(LEFT(AD199,4))-VALUE(LEFT(AD198,4))</f>
        <v>3</v>
      </c>
      <c r="Y199" s="69">
        <f>RIGHT(D199,LEN(D199)-4)/10000</f>
        <v>0.25009999999999999</v>
      </c>
      <c r="Z199" s="69">
        <f>RIGHT(H199,LEN(H199)-4)/10000</f>
        <v>2.3294999999999999</v>
      </c>
      <c r="AA199" s="69">
        <f>ABS(Z199-Y199)</f>
        <v>2.0793999999999997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>IF(LEN(A199)=6,"0"&amp;A199,A199)</f>
        <v>0307-18</v>
      </c>
      <c r="AE199" s="99" t="str">
        <f>"aws s3 cp "&amp;s3_bucket&amp;"/RTDC"&amp;B199&amp;"/"&amp;TEXT(F199,"YYYY-MM-DD")&amp;"/ "&amp;search_path&amp;"\RTDC"&amp;B199&amp;"\"&amp;TEXT(F199,"YYYY-MM-DD")&amp;" --recursive &amp; """&amp;walkandungz&amp;""" "&amp;search_path&amp;"\RTDC"&amp;B199&amp;"\"&amp;TEXT(F199,"YYYY-MM-DD")
&amp;" &amp; "&amp;"aws s3 cp "&amp;s3_bucket&amp;"/RTDC"&amp;B199&amp;"/"&amp;TEXT(F199+1,"YYYY-MM-DD")&amp;"/ "&amp;search_path&amp;"\RTDC"&amp;B199&amp;"\"&amp;TEXT(F199+1,"YYYY-MM-DD")&amp;" --recursive &amp; """&amp;walkandungz&amp;""" "&amp;search_path&amp;"\RTDC"&amp;B199&amp;"\"&amp;TEXT(F199+1,"YYYY-MM-DD")</f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199" s="96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/stypes="app*4020*19700101*" /stext=" 05:.+((SYSTEM_STATE.+slice.+state.+changed )|(ment ac)|(system.+state.+changed )|(\|lc)|(penalty)|(\[timeout)|(PRM\|1\|D)|(kpr)|(kdp))" /e /r /s</v>
      </c>
      <c r="AG199" s="1" t="str">
        <f>IFERROR(IF(VALUE(LEFT(AD199,2))&lt;=2,"EC",IF(OR(VALUE(LEFT(AD199,2))=8,VALUE(LEFT(AD199,2))=18),"NW","Other")),"Other")</f>
        <v>Other</v>
      </c>
      <c r="AH199" s="100" t="str">
        <f t="shared" si="7"/>
        <v>"%USERPROFILE%\Documents\GitHub\eaglep3\Utilities\RefineRTDCRunTimes.py" --tripid 307-18 --locoid 4020 --swversion DE.1.0.7.0 --startMP 204:2501 --initTime 2016-09-18T21:38:42 --startdatetime 1969-12-31T23:00:00 --delay 2 --endMP 300:23295 --enddatetime 1969-12-31T23:00:00 --enforcementcount 0 &gt;&gt;C:\Users\stu\Documents\GitHub\eaglep3-reporting\EC\2016-09-18-refined-times.txt</v>
      </c>
      <c r="AI199" s="134" t="str">
        <f t="shared" si="8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ID","value":"307-18"},{"id":16,"name":"Locomotive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584</v>
      </c>
      <c r="B200" s="7">
        <v>4020</v>
      </c>
      <c r="C200" s="24" t="s">
        <v>106</v>
      </c>
      <c r="D200" s="24" t="s">
        <v>227</v>
      </c>
      <c r="E200" s="15">
        <v>42631.894884259258</v>
      </c>
      <c r="F200" s="15">
        <v>25568.958333333332</v>
      </c>
      <c r="G200" s="7">
        <v>7</v>
      </c>
      <c r="H200" s="15" t="s">
        <v>713</v>
      </c>
      <c r="I200" s="15">
        <v>25568.958333333332</v>
      </c>
      <c r="J200" s="7">
        <v>0</v>
      </c>
      <c r="K200" s="121" t="str">
        <f>IF(ISEVEN(B200),(B200-1)&amp;"/"&amp;B200,B200&amp;"/"&amp;(B200+1))</f>
        <v>4019/4020</v>
      </c>
      <c r="L200" s="24" t="str">
        <f>VLOOKUP(A200,'Trips&amp;Operators'!$C$1:$E$10000,3,FALSE)</f>
        <v>SMITH</v>
      </c>
      <c r="M200" s="6">
        <f>I200-F200</f>
        <v>0</v>
      </c>
      <c r="N200" s="7">
        <f>24*60*SUM($M200:$M200)</f>
        <v>0</v>
      </c>
      <c r="O200" s="7"/>
      <c r="P200" s="7"/>
      <c r="Q200" s="25"/>
      <c r="R200" s="25"/>
      <c r="S200" s="37">
        <f>SUM(U200:U200)/IF(AG200="EC",12,1)</f>
        <v>1</v>
      </c>
      <c r="T200" s="52" t="str">
        <f>IF(ISEVEN(LEFT(AD200,4)),"Southbound","NorthBound")</f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https://search-rtdc-monitor-bjffxe2xuh6vdkpspy63sjmuny.us-east-1.es.amazonaws.com/_plugin/kibana/#/discover/Steve-Slow-Train-Analysis-(2080s-and-2083s)?_g=(refreshInterval:(display:Off,section:0,value:0),time:(from:'2016-09-18 20:28:38-0600',mode:absolute,to:'1970-01-01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0" s="54" t="str">
        <f>IF(AA200&lt;IF(AG200="EC",23,5.65),"Y","N")</f>
        <v>Y</v>
      </c>
      <c r="X200" s="168">
        <f>VALUE(LEFT(AD200,4))-VALUE(LEFT(AD199,4))</f>
        <v>0</v>
      </c>
      <c r="Y200" s="69">
        <f>RIGHT(D200,LEN(D200)-4)/10000</f>
        <v>4.5499999999999999E-2</v>
      </c>
      <c r="Z200" s="69">
        <f>RIGHT(H200,LEN(H200)-4)/10000</f>
        <v>2.3294999999999999</v>
      </c>
      <c r="AA200" s="69">
        <f>ABS(Z200-Y200)</f>
        <v>2.2839999999999998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>IF(LEN(A200)=6,"0"&amp;A200,A200)</f>
        <v>0307-18</v>
      </c>
      <c r="AE200" s="99" t="str">
        <f>"aws s3 cp "&amp;s3_bucket&amp;"/RTDC"&amp;B200&amp;"/"&amp;TEXT(F200,"YYYY-MM-DD")&amp;"/ "&amp;search_path&amp;"\RTDC"&amp;B200&amp;"\"&amp;TEXT(F200,"YYYY-MM-DD")&amp;" --recursive &amp; """&amp;walkandungz&amp;""" "&amp;search_path&amp;"\RTDC"&amp;B200&amp;"\"&amp;TEXT(F200,"YYYY-MM-DD")
&amp;" &amp; "&amp;"aws s3 cp "&amp;s3_bucket&amp;"/RTDC"&amp;B200&amp;"/"&amp;TEXT(F200+1,"YYYY-MM-DD")&amp;"/ "&amp;search_path&amp;"\RTDC"&amp;B200&amp;"\"&amp;TEXT(F200+1,"YYYY-MM-DD")&amp;" --recursive &amp; """&amp;walkandungz&amp;""" "&amp;search_path&amp;"\RTDC"&amp;B200&amp;"\"&amp;TEXT(F200+1,"YYYY-MM-DD")</f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00" s="96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/stypes="app*4020*19700101*" /stext=" 05:.+((SYSTEM_STATE.+slice.+state.+changed )|(ment ac)|(system.+state.+changed )|(\|lc)|(penalty)|(\[timeout)|(PRM\|1\|D)|(kpr)|(kdp))" /e /r /s</v>
      </c>
      <c r="AG200" s="1" t="str">
        <f>IFERROR(IF(VALUE(LEFT(AD200,2))&lt;=2,"EC",IF(OR(VALUE(LEFT(AD200,2))=8,VALUE(LEFT(AD200,2))=18),"NW","Other")),"Other")</f>
        <v>Other</v>
      </c>
      <c r="AH200" s="100" t="str">
        <f t="shared" si="7"/>
        <v>"%USERPROFILE%\Documents\GitHub\eaglep3\Utilities\RefineRTDCRunTimes.py" --tripid 307-18 --locoid 4020 --swversion DE.1.0.7.0 --startMP 204:455 --initTime 2016-09-18T21:28:38 --startdatetime 1969-12-31T23:00:00 --delay 7 --endMP 300:23295 --enddatetime 1969-12-31T23:00:00 --enforcementcount 0 &gt;&gt;C:\Users\stu\Documents\GitHub\eaglep3-reporting\EC\2016-09-18-refined-times.txt</v>
      </c>
      <c r="AI200" s="134" t="str">
        <f t="shared" si="8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ID","value":"307-18"},{"id":16,"name":"Locomotive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600</v>
      </c>
      <c r="B201" s="7">
        <v>4044</v>
      </c>
      <c r="C201" s="24" t="s">
        <v>106</v>
      </c>
      <c r="D201" s="24" t="s">
        <v>244</v>
      </c>
      <c r="E201" s="15">
        <v>42632.029467592591</v>
      </c>
      <c r="F201" s="15">
        <v>42632.033113425925</v>
      </c>
      <c r="G201" s="7">
        <v>1</v>
      </c>
      <c r="H201" s="15" t="s">
        <v>714</v>
      </c>
      <c r="I201" s="15">
        <v>42632.039594907408</v>
      </c>
      <c r="J201" s="7">
        <v>0</v>
      </c>
      <c r="K201" s="121" t="str">
        <f>IF(ISEVEN(B201),(B201-1)&amp;"/"&amp;B201,B201&amp;"/"&amp;(B201+1))</f>
        <v>4043/4044</v>
      </c>
      <c r="L201" s="24" t="str">
        <f>VLOOKUP(A201,'Trips&amp;Operators'!$C$1:$E$10000,3,FALSE)</f>
        <v>LEVERE</v>
      </c>
      <c r="M201" s="6">
        <f>I201-F201</f>
        <v>6.4814814832061529E-3</v>
      </c>
      <c r="N201" s="7">
        <f>24*60*SUM($M201:$M201)</f>
        <v>9.3333333358168602</v>
      </c>
      <c r="O201" s="7"/>
      <c r="P201" s="7"/>
      <c r="Q201" s="25"/>
      <c r="R201" s="25"/>
      <c r="S201" s="37">
        <f>SUM(U201:U201)/IF(AG201="EC",12,1)</f>
        <v>1</v>
      </c>
      <c r="T201" s="52" t="str">
        <f>IF(ISEVEN(LEFT(AD201,4)),"Southbound","NorthBound")</f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https://search-rtdc-monitor-bjffxe2xuh6vdkpspy63sjmuny.us-east-1.es.amazonaws.com/_plugin/kibana/#/discover/Steve-Slow-Train-Analysis-(2080s-and-2083s)?_g=(refreshInterval:(display:Off,section:0,value:0),time:(from:'2016-09-18 23:42:26-0600',mode:absolute,to:'2016-09-19 01:57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1" s="54" t="str">
        <f>IF(AA201&lt;IF(AG201="EC",23,5.65),"Y","N")</f>
        <v>Y</v>
      </c>
      <c r="X201" s="168">
        <f>VALUE(LEFT(AD201,4))-VALUE(LEFT(AD200,4))</f>
        <v>2</v>
      </c>
      <c r="Y201" s="69">
        <f>RIGHT(D201,LEN(D201)-4)/10000</f>
        <v>4.6899999999999997E-2</v>
      </c>
      <c r="Z201" s="69">
        <f>RIGHT(H201,LEN(H201)-4)/10000</f>
        <v>2.2835000000000001</v>
      </c>
      <c r="AA201" s="69">
        <f>ABS(Z201-Y201)</f>
        <v>2.2366000000000001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>IF(LEN(A201)=6,"0"&amp;A201,A201)</f>
        <v>0309-18</v>
      </c>
      <c r="AE201" s="99" t="str">
        <f>"aws s3 cp "&amp;s3_bucket&amp;"/RTDC"&amp;B201&amp;"/"&amp;TEXT(F201,"YYYY-MM-DD")&amp;"/ "&amp;search_path&amp;"\RTDC"&amp;B201&amp;"\"&amp;TEXT(F201,"YYYY-MM-DD")&amp;" --recursive &amp; """&amp;walkandungz&amp;""" "&amp;search_path&amp;"\RTDC"&amp;B201&amp;"\"&amp;TEXT(F201,"YYYY-MM-DD")
&amp;" &amp; "&amp;"aws s3 cp "&amp;s3_bucket&amp;"/RTDC"&amp;B201&amp;"/"&amp;TEXT(F201+1,"YYYY-MM-DD")&amp;"/ "&amp;search_path&amp;"\RTDC"&amp;B201&amp;"\"&amp;TEXT(F201+1,"YYYY-MM-DD")&amp;" --recursive &amp; """&amp;walkandungz&amp;""" "&amp;search_path&amp;"\RTDC"&amp;B201&amp;"\"&amp;TEXT(F201+1,"YYYY-MM-DD")</f>
        <v>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 &amp; aws s3 cp s3://rtdc.mdm.uploadarchive/RTDC4044/2016-09-20/ "%USERPROFILE%\AppData\Local\Temp\OnboardLogs"\RTDC4044\2016-09-20 --recursive &amp; "%USERPROFILE%\Documents\GitHub\mrs-test-scripts\Headless Mode &amp; Sideloading\WalkAndUnGZ.bat" "%USERPROFILE%\AppData\Local\Temp\OnboardLogs"\RTDC4044\2016-09-20</v>
      </c>
      <c r="AF201" s="96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/stypes="app*4044*20160919*" /stext=" 06:.+((SYSTEM_STATE.+slice.+state.+changed )|(ment ac)|(system.+state.+changed )|(\|lc)|(penalty)|(\[timeout)|(PRM\|1\|D)|(kpr)|(kdp))" /e /r /s</v>
      </c>
      <c r="AG201" s="1" t="str">
        <f>IFERROR(IF(VALUE(LEFT(AD201,2))&lt;=2,"EC",IF(OR(VALUE(LEFT(AD201,2))=8,VALUE(LEFT(AD201,2))=18),"NW","Other")),"Other")</f>
        <v>Other</v>
      </c>
      <c r="AH201" s="100" t="str">
        <f t="shared" si="7"/>
        <v>"%USERPROFILE%\Documents\GitHub\eaglep3\Utilities\RefineRTDCRunTimes.py" --tripid 309-18 --locoid 4044 --swversion DE.1.0.7.0 --startMP 204:469 --initTime 2016-09-19T00:42:26 --startdatetime 2016-09-19T00:47:41 --delay 1 --endMP 300:22835 --enddatetime 2016-09-19T00:57:01 --enforcementcount 0 &gt;&gt;C:\Users\stu\Documents\GitHub\eaglep3-reporting\EC\2016-09-18-refined-times.txt</v>
      </c>
      <c r="AI201" s="134" t="str">
        <f t="shared" si="8"/>
        <v>echo {"issue":{"subject":"","project_id":79,"tracker_id":40,"status_id":1,"priority_id":2,"assigned_to_id":23,"start_date":"2016-09-19","description":"","custom_fields":[{"id":1,"name":"Subdivision","value":"Other"},{"id":4,"name":"Milepost","value":"2.2835"},{"id":17,"name":"Train ID","value":"309-18"},{"id":16,"name":"Locomotive ID","value":"4044"},{"id":130,"name":"Impact","value":""},{"id":150,"name":"Time of Event (Mountain Time)","value":"00:57:01"},{"id":151,"name":"Denver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356</v>
      </c>
      <c r="B202" s="7">
        <v>4011</v>
      </c>
      <c r="C202" s="24" t="s">
        <v>106</v>
      </c>
      <c r="D202" s="24" t="s">
        <v>246</v>
      </c>
      <c r="E202" s="15">
        <v>42631.074745370373</v>
      </c>
      <c r="F202" s="15">
        <v>42631.077094907407</v>
      </c>
      <c r="G202" s="7">
        <v>1</v>
      </c>
      <c r="H202" s="15" t="s">
        <v>390</v>
      </c>
      <c r="I202" s="15">
        <v>42631.083692129629</v>
      </c>
      <c r="J202" s="7">
        <v>0</v>
      </c>
      <c r="K202" s="121" t="str">
        <f>IF(ISEVEN(B202),(B202-1)&amp;"/"&amp;B202,B202&amp;"/"&amp;(B202+1))</f>
        <v>4011/4012</v>
      </c>
      <c r="L202" s="24" t="str">
        <f>VLOOKUP(A202,'Trips&amp;Operators'!$C$1:$E$10000,3,FALSE)</f>
        <v>CHANDLER</v>
      </c>
      <c r="M202" s="6">
        <f>I202-F202</f>
        <v>6.5972222218988463E-3</v>
      </c>
      <c r="N202" s="7">
        <f>24*60*SUM($M202:$M202)</f>
        <v>9.4999999995343387</v>
      </c>
      <c r="O202" s="7"/>
      <c r="P202" s="7"/>
      <c r="Q202" s="25"/>
      <c r="R202" s="25"/>
      <c r="S202" s="37">
        <f>SUM(U202:U202)/IF(AG202="EC",12,1)</f>
        <v>1</v>
      </c>
      <c r="T202" s="52" t="str">
        <f>IF(ISEVEN(LEFT(AD202,4)),"Southbound","NorthBound")</f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https://search-rtdc-monitor-bjffxe2xuh6vdkpspy63sjmuny.us-east-1.es.amazonaws.com/_plugin/kibana/#/discover/Steve-Slow-Train-Analysis-(2080s-and-2083s)?_g=(refreshInterval:(display:Off,section:0,value:0),time:(from:'2016-09-18 00:47:38-0600',mode:absolute,to:'2016-09-18 03:00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2" s="54" t="str">
        <f>IF(AA202&lt;IF(AG202="EC",23,5.65),"Y","N")</f>
        <v>Y</v>
      </c>
      <c r="X202" s="168">
        <f>VALUE(LEFT(AD202,4))-VALUE(LEFT(AD201,4))</f>
        <v>2</v>
      </c>
      <c r="Y202" s="69">
        <f>RIGHT(D202,LEN(D202)-4)/10000</f>
        <v>4.7500000000000001E-2</v>
      </c>
      <c r="Z202" s="69">
        <f>RIGHT(H202,LEN(H202)-4)/10000</f>
        <v>2.2269000000000001</v>
      </c>
      <c r="AA202" s="69">
        <f>ABS(Z202-Y202)</f>
        <v>2.1794000000000002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>IF(LEN(A202)=6,"0"&amp;A202,A202)</f>
        <v>0311-17</v>
      </c>
      <c r="AE202" s="99" t="str">
        <f>"aws s3 cp "&amp;s3_bucket&amp;"/RTDC"&amp;B202&amp;"/"&amp;TEXT(F202,"YYYY-MM-DD")&amp;"/ "&amp;search_path&amp;"\RTDC"&amp;B202&amp;"\"&amp;TEXT(F202,"YYYY-MM-DD")&amp;" --recursive &amp; """&amp;walkandungz&amp;""" "&amp;search_path&amp;"\RTDC"&amp;B202&amp;"\"&amp;TEXT(F202,"YYYY-MM-DD")
&amp;" &amp; "&amp;"aws s3 cp "&amp;s3_bucket&amp;"/RTDC"&amp;B202&amp;"/"&amp;TEXT(F202+1,"YYYY-MM-DD")&amp;"/ "&amp;search_path&amp;"\RTDC"&amp;B202&amp;"\"&amp;TEXT(F202+1,"YYYY-MM-DD")&amp;" --recursive &amp; """&amp;walkandungz&amp;""" "&amp;search_path&amp;"\RTDC"&amp;B202&amp;"\"&amp;TEXT(F202+1,"YYYY-MM-DD")</f>
        <v>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 &amp; 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</v>
      </c>
      <c r="AF202" s="96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/stypes="app*4011*20160918*" /stext=" 08:.+((SYSTEM_STATE.+slice.+state.+changed )|(ment ac)|(system.+state.+changed )|(\|lc)|(penalty)|(\[timeout)|(PRM\|1\|D)|(kpr)|(kdp))" /e /r /s</v>
      </c>
      <c r="AG202" s="1" t="str">
        <f>IFERROR(IF(VALUE(LEFT(AD202,2))&lt;=2,"EC",IF(OR(VALUE(LEFT(AD202,2))=8,VALUE(LEFT(AD202,2))=18),"NW","Other")),"Other")</f>
        <v>Other</v>
      </c>
      <c r="AH202" s="100" t="str">
        <f t="shared" si="7"/>
        <v>"%USERPROFILE%\Documents\GitHub\eaglep3\Utilities\RefineRTDCRunTimes.py" --tripid 311-17 --locoid 4011 --swversion DE.1.0.7.0 --startMP 204:475 --initTime 2016-09-18T01:47:38 --startdatetime 2016-09-18T01:51:01 --delay 1 --endMP 300:22269 --enddatetime 2016-09-18T02:00:31 --enforcementcount 0 &gt;&gt;C:\Users\stu\Documents\GitHub\eaglep3-reporting\EC\2016-09-18-refined-times.txt</v>
      </c>
      <c r="AI202" s="134" t="str">
        <f t="shared" si="8"/>
        <v>echo {"issue":{"subject":"","project_id":79,"tracker_id":40,"status_id":1,"priority_id":2,"assigned_to_id":23,"start_date":"2016-09-18","description":"","custom_fields":[{"id":1,"name":"Subdivision","value":"Other"},{"id":4,"name":"Milepost","value":"2.2269"},{"id":17,"name":"Train ID","value":"311-17"},{"id":16,"name":"Locomotive ID","value":"4011"},{"id":130,"name":"Impact","value":""},{"id":150,"name":"Time of Event (Mountain Time)","value":"02:00:31"},{"id":151,"name":"Denver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601</v>
      </c>
      <c r="B203" s="7">
        <v>4027</v>
      </c>
      <c r="C203" s="24" t="s">
        <v>106</v>
      </c>
      <c r="D203" s="24" t="s">
        <v>235</v>
      </c>
      <c r="E203" s="15">
        <v>42632.046631944446</v>
      </c>
      <c r="F203" s="15">
        <v>25568.958333333332</v>
      </c>
      <c r="G203" s="7">
        <v>1</v>
      </c>
      <c r="H203" s="15" t="s">
        <v>715</v>
      </c>
      <c r="I203" s="15">
        <v>25568.958333333332</v>
      </c>
      <c r="J203" s="7">
        <v>0</v>
      </c>
      <c r="K203" s="121" t="str">
        <f>IF(ISEVEN(B203),(B203-1)&amp;"/"&amp;B203,B203&amp;"/"&amp;(B203+1))</f>
        <v>4027/4028</v>
      </c>
      <c r="L203" s="24" t="str">
        <f>VLOOKUP(A203,'Trips&amp;Operators'!$C$1:$E$10000,3,FALSE)</f>
        <v>COOLAHAN</v>
      </c>
      <c r="M203" s="6">
        <f>I203-F203</f>
        <v>0</v>
      </c>
      <c r="N203" s="7">
        <f>24*60*SUM($M203:$M203)</f>
        <v>0</v>
      </c>
      <c r="O203" s="7"/>
      <c r="P203" s="7"/>
      <c r="Q203" s="25"/>
      <c r="R203" s="25"/>
      <c r="S203" s="37">
        <f>SUM(U203:U203)/IF(AG203="EC",12,1)</f>
        <v>1</v>
      </c>
      <c r="T203" s="52" t="str">
        <f>IF(ISEVEN(LEFT(AD203,4)),"Southbound","NorthBound")</f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https://search-rtdc-monitor-bjffxe2xuh6vdkpspy63sjmuny.us-east-1.es.amazonaws.com/_plugin/kibana/#/discover/Steve-Slow-Train-Analysis-(2080s-and-2083s)?_g=(refreshInterval:(display:Off,section:0,value:0),time:(from:'2016-09-19 00:07:09-0600',mode:absolute,to:'1970-01-01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03" s="54" t="str">
        <f>IF(AA203&lt;IF(AG203="EC",23,5.65),"Y","N")</f>
        <v>Y</v>
      </c>
      <c r="X203" s="168">
        <f>VALUE(LEFT(AD203,4))-VALUE(LEFT(AD202,4))</f>
        <v>0</v>
      </c>
      <c r="Y203" s="69">
        <f>RIGHT(D203,LEN(D203)-4)/10000</f>
        <v>4.6699999999999998E-2</v>
      </c>
      <c r="Z203" s="69">
        <f>RIGHT(H203,LEN(H203)-4)/10000</f>
        <v>2.3304</v>
      </c>
      <c r="AA203" s="69">
        <f>ABS(Z203-Y203)</f>
        <v>2.2837000000000001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>IF(LEN(A203)=6,"0"&amp;A203,A203)</f>
        <v>0311-18</v>
      </c>
      <c r="AE203" s="99" t="str">
        <f>"aws s3 cp "&amp;s3_bucket&amp;"/RTDC"&amp;B203&amp;"/"&amp;TEXT(F203,"YYYY-MM-DD")&amp;"/ "&amp;search_path&amp;"\RTDC"&amp;B203&amp;"\"&amp;TEXT(F203,"YYYY-MM-DD")&amp;" --recursive &amp; """&amp;walkandungz&amp;""" "&amp;search_path&amp;"\RTDC"&amp;B203&amp;"\"&amp;TEXT(F203,"YYYY-MM-DD")
&amp;" &amp; "&amp;"aws s3 cp "&amp;s3_bucket&amp;"/RTDC"&amp;B203&amp;"/"&amp;TEXT(F203+1,"YYYY-MM-DD")&amp;"/ "&amp;search_path&amp;"\RTDC"&amp;B203&amp;"\"&amp;TEXT(F203+1,"YYYY-MM-DD")&amp;" --recursive &amp; """&amp;walkandungz&amp;""" "&amp;search_path&amp;"\RTDC"&amp;B203&amp;"\"&amp;TEXT(F203+1,"YYYY-MM-DD")</f>
        <v>aws s3 cp s3://rtdc.mdm.uploadarchive/RTDC4027/1969-12-31/ "%USERPROFILE%\AppData\Local\Temp\OnboardLogs"\RTDC4027\1969-12-31 --recursive &amp; "%USERPROFILE%\Documents\GitHub\mrs-test-scripts\Headless Mode &amp; Sideloading\WalkAndUnGZ.bat" "%USERPROFILE%\AppData\Local\Temp\OnboardLogs"\RTDC4027\1969-12-31 &amp; aws s3 cp s3://rtdc.mdm.uploadarchive/RTDC4027/1970-01-01/ "%USERPROFILE%\AppData\Local\Temp\OnboardLogs"\RTDC4027\1970-01-01 --recursive &amp; "%USERPROFILE%\Documents\GitHub\mrs-test-scripts\Headless Mode &amp; Sideloading\WalkAndUnGZ.bat" "%USERPROFILE%\AppData\Local\Temp\OnboardLogs"\RTDC4027\1970-01-01</v>
      </c>
      <c r="AF203" s="96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/stypes="app*4027*19700101*" /stext=" 05:.+((SYSTEM_STATE.+slice.+state.+changed )|(ment ac)|(system.+state.+changed )|(\|lc)|(penalty)|(\[timeout)|(PRM\|1\|D)|(kpr)|(kdp))" /e /r /s</v>
      </c>
      <c r="AG203" s="1" t="str">
        <f>IFERROR(IF(VALUE(LEFT(AD203,2))&lt;=2,"EC",IF(OR(VALUE(LEFT(AD203,2))=8,VALUE(LEFT(AD203,2))=18),"NW","Other")),"Other")</f>
        <v>Other</v>
      </c>
      <c r="AH203" s="100" t="str">
        <f t="shared" si="7"/>
        <v>"%USERPROFILE%\Documents\GitHub\eaglep3\Utilities\RefineRTDCRunTimes.py" --tripid 311-18 --locoid 4027 --swversion DE.1.0.7.0 --startMP 204:467 --initTime 2016-09-19T01:07:09 --startdatetime 1969-12-31T23:00:00 --delay 1 --endMP 300:23304 --enddatetime 1969-12-31T23:00:00 --enforcementcount 0 &gt;&gt;C:\Users\stu\Documents\GitHub\eaglep3-reporting\EC\2016-09-18-refined-times.txt</v>
      </c>
      <c r="AI203" s="134" t="str">
        <f t="shared" si="8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ID","value":"311-18"},{"id":16,"name":"Locomotive ID","value":"4027"},{"id":130,"name":"Impact","value":""},{"id":150,"name":"Time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358</v>
      </c>
      <c r="B204" s="7">
        <v>4040</v>
      </c>
      <c r="C204" s="24" t="s">
        <v>106</v>
      </c>
      <c r="D204" s="24" t="s">
        <v>289</v>
      </c>
      <c r="E204" s="15">
        <v>42631.091574074075</v>
      </c>
      <c r="F204" s="15">
        <v>42631.093206018515</v>
      </c>
      <c r="G204" s="7">
        <v>2</v>
      </c>
      <c r="H204" s="15" t="s">
        <v>391</v>
      </c>
      <c r="I204" s="15">
        <v>42631.099386574075</v>
      </c>
      <c r="J204" s="7">
        <v>0</v>
      </c>
      <c r="K204" s="121" t="str">
        <f>IF(ISEVEN(B204),(B204-1)&amp;"/"&amp;B204,B204&amp;"/"&amp;(B204+1))</f>
        <v>4039/4040</v>
      </c>
      <c r="L204" s="24" t="str">
        <f>VLOOKUP(A204,'Trips&amp;Operators'!$C$1:$E$10000,3,FALSE)</f>
        <v>STURGEON</v>
      </c>
      <c r="M204" s="6">
        <f>I204-F204</f>
        <v>6.180555559694767E-3</v>
      </c>
      <c r="N204" s="7">
        <f>24*60*SUM($M204:$M204)</f>
        <v>8.9000000059604645</v>
      </c>
      <c r="O204" s="7"/>
      <c r="P204" s="7"/>
      <c r="Q204" s="25"/>
      <c r="R204" s="25"/>
      <c r="S204" s="37">
        <f>SUM(U204:U204)/IF(AG204="EC",12,1)</f>
        <v>1</v>
      </c>
      <c r="T204" s="52" t="str">
        <f>IF(ISEVEN(LEFT(AD204,4)),"Southbound","NorthBound")</f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https://search-rtdc-monitor-bjffxe2xuh6vdkpspy63sjmuny.us-east-1.es.amazonaws.com/_plugin/kibana/#/discover/Steve-Slow-Train-Analysis-(2080s-and-2083s)?_g=(refreshInterval:(display:Off,section:0,value:0),time:(from:'2016-09-18 01:11:52-0600',mode:absolute,to:'2016-09-18 03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04" s="54" t="str">
        <f>IF(AA204&lt;IF(AG204="EC",23,5.65),"Y","N")</f>
        <v>Y</v>
      </c>
      <c r="X204" s="168">
        <f>VALUE(LEFT(AD204,4))-VALUE(LEFT(AD203,4))</f>
        <v>2</v>
      </c>
      <c r="Y204" s="69">
        <f>RIGHT(D204,LEN(D204)-4)/10000</f>
        <v>4.7800000000000002E-2</v>
      </c>
      <c r="Z204" s="69">
        <f>RIGHT(H204,LEN(H204)-4)/10000</f>
        <v>2.3298999999999999</v>
      </c>
      <c r="AA204" s="69">
        <f>ABS(Z204-Y204)</f>
        <v>2.2820999999999998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>IF(LEN(A204)=6,"0"&amp;A204,A204)</f>
        <v>0313-17</v>
      </c>
      <c r="AE204" s="99" t="str">
        <f>"aws s3 cp "&amp;s3_bucket&amp;"/RTDC"&amp;B204&amp;"/"&amp;TEXT(F204,"YYYY-MM-DD")&amp;"/ "&amp;search_path&amp;"\RTDC"&amp;B204&amp;"\"&amp;TEXT(F204,"YYYY-MM-DD")&amp;" --recursive &amp; """&amp;walkandungz&amp;""" "&amp;search_path&amp;"\RTDC"&amp;B204&amp;"\"&amp;TEXT(F204,"YYYY-MM-DD")
&amp;" &amp; "&amp;"aws s3 cp "&amp;s3_bucket&amp;"/RTDC"&amp;B204&amp;"/"&amp;TEXT(F204+1,"YYYY-MM-DD")&amp;"/ "&amp;search_path&amp;"\RTDC"&amp;B204&amp;"\"&amp;TEXT(F204+1,"YYYY-MM-DD")&amp;" --recursive &amp; """&amp;walkandungz&amp;""" "&amp;search_path&amp;"\RTDC"&amp;B204&amp;"\"&amp;TEXT(F204+1,"YYYY-MM-DD")</f>
        <v>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 &amp; 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</v>
      </c>
      <c r="AF204" s="96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/stypes="app*4040*20160918*" /stext=" 08:.+((SYSTEM_STATE.+slice.+state.+changed )|(ment ac)|(system.+state.+changed )|(\|lc)|(penalty)|(\[timeout)|(PRM\|1\|D)|(kpr)|(kdp))" /e /r /s</v>
      </c>
      <c r="AG204" s="1" t="str">
        <f>IFERROR(IF(VALUE(LEFT(AD204,2))&lt;=2,"EC",IF(OR(VALUE(LEFT(AD204,2))=8,VALUE(LEFT(AD204,2))=18),"NW","Other")),"Other")</f>
        <v>Other</v>
      </c>
      <c r="AH204" s="100" t="str">
        <f t="shared" si="7"/>
        <v>"%USERPROFILE%\Documents\GitHub\eaglep3\Utilities\RefineRTDCRunTimes.py" --tripid 313-17 --locoid 4040 --swversion DE.1.0.7.0 --startMP 204:478 --initTime 2016-09-18T02:11:52 --startdatetime 2016-09-18T02:14:13 --delay 2 --endMP 300:23299 --enddatetime 2016-09-18T02:23:07 --enforcementcount 0 &gt;&gt;C:\Users\stu\Documents\GitHub\eaglep3-reporting\EC\2016-09-18-refined-times.txt</v>
      </c>
      <c r="AI204" s="134" t="str">
        <f t="shared" si="8"/>
        <v>echo {"issue":{"subject":"","project_id":79,"tracker_id":40,"status_id":1,"priority_id":2,"assigned_to_id":23,"start_date":"2016-09-18","description":"","custom_fields":[{"id":1,"name":"Subdivision","value":"Other"},{"id":4,"name":"Milepost","value":"2.3299"},{"id":17,"name":"Train ID","value":"313-17"},{"id":16,"name":"Locomotive ID","value":"4040"},{"id":130,"name":"Impact","value":""},{"id":150,"name":"Time of Event (Mountain Time)","value":"02:23:07"},{"id":151,"name":"Denver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603</v>
      </c>
      <c r="B205" s="7">
        <v>4016</v>
      </c>
      <c r="C205" s="24" t="s">
        <v>106</v>
      </c>
      <c r="D205" s="24" t="s">
        <v>226</v>
      </c>
      <c r="E205" s="15">
        <v>42632.068402777775</v>
      </c>
      <c r="F205" s="15">
        <v>25568.958333333332</v>
      </c>
      <c r="G205" s="7">
        <v>1</v>
      </c>
      <c r="H205" s="15" t="s">
        <v>716</v>
      </c>
      <c r="I205" s="15">
        <v>25568.958333333332</v>
      </c>
      <c r="J205" s="7">
        <v>0</v>
      </c>
      <c r="K205" s="121" t="str">
        <f>IF(ISEVEN(B205),(B205-1)&amp;"/"&amp;B205,B205&amp;"/"&amp;(B205+1))</f>
        <v>4015/4016</v>
      </c>
      <c r="L205" s="24" t="str">
        <f>VLOOKUP(A205,'Trips&amp;Operators'!$C$1:$E$10000,3,FALSE)</f>
        <v>NEWELL</v>
      </c>
      <c r="M205" s="6">
        <f>I205-F205</f>
        <v>0</v>
      </c>
      <c r="N205" s="7">
        <f>24*60*SUM($M205:$M205)</f>
        <v>0</v>
      </c>
      <c r="O205" s="7"/>
      <c r="P205" s="7"/>
      <c r="Q205" s="25"/>
      <c r="R205" s="25"/>
      <c r="S205" s="37">
        <f>SUM(U205:U205)/IF(AG205="EC",12,1)</f>
        <v>1</v>
      </c>
      <c r="T205" s="52" t="str">
        <f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https://search-rtdc-monitor-bjffxe2xuh6vdkpspy63sjmuny.us-east-1.es.amazonaws.com/_plugin/kibana/#/discover/Steve-Slow-Train-Analysis-(2080s-and-2083s)?_g=(refreshInterval:(display:Off,section:0,value:0),time:(from:'2016-09-19 00:38:30-0600',mode:absolute,to:'1970-01-01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5" s="54" t="str">
        <f>IF(AA205&lt;IF(AG205="EC",23,5.65),"Y","N")</f>
        <v>Y</v>
      </c>
      <c r="X205" s="168">
        <f>VALUE(LEFT(AD205,4))-VALUE(LEFT(AD204,4))</f>
        <v>0</v>
      </c>
      <c r="Y205" s="69">
        <f>RIGHT(D205,LEN(D205)-4)/10000</f>
        <v>4.5100000000000001E-2</v>
      </c>
      <c r="Z205" s="69">
        <f>RIGHT(H205,LEN(H205)-4)/10000</f>
        <v>2.3306</v>
      </c>
      <c r="AA205" s="69">
        <f>ABS(Z205-Y205)</f>
        <v>2.2854999999999999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>IF(LEN(A205)=6,"0"&amp;A205,A205)</f>
        <v>0313-18</v>
      </c>
      <c r="AE205" s="99" t="str">
        <f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205" s="96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/stypes="app*4016*19700101*" /stext=" 05:.+((SYSTEM_STATE.+slice.+state.+changed )|(ment ac)|(system.+state.+changed )|(\|lc)|(penalty)|(\[timeout)|(PRM\|1\|D)|(kpr)|(kdp))" /e /r /s</v>
      </c>
      <c r="AG205" s="1" t="str">
        <f>IFERROR(IF(VALUE(LEFT(AD205,2))&lt;=2,"EC",IF(OR(VALUE(LEFT(AD205,2))=8,VALUE(LEFT(AD205,2))=18),"NW","Other")),"Other")</f>
        <v>Other</v>
      </c>
      <c r="AH205" s="100" t="str">
        <f t="shared" si="7"/>
        <v>"%USERPROFILE%\Documents\GitHub\eaglep3\Utilities\RefineRTDCRunTimes.py" --tripid 313-18 --locoid 4016 --swversion DE.1.0.7.0 --startMP 204:451 --initTime 2016-09-19T01:38:30 --startdatetime 1969-12-31T23:00:00 --delay 1 --endMP 300:23306 --enddatetime 1969-12-31T23:00:00 --enforcementcount 0 &gt;&gt;C:\Users\stu\Documents\GitHub\eaglep3-reporting\EC\2016-09-18-refined-times.txt</v>
      </c>
      <c r="AI205" s="134" t="str">
        <f t="shared" si="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ID","value":"313-18"},{"id":16,"name":"Locomotive ID","value":"4016"},{"id":130,"name":"Impact","value":""},{"id":150,"name":"Time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s="23" customFormat="1" x14ac:dyDescent="0.25">
      <c r="A206" s="39" t="s">
        <v>604</v>
      </c>
      <c r="B206" s="7">
        <v>4009</v>
      </c>
      <c r="C206" s="24" t="s">
        <v>106</v>
      </c>
      <c r="D206" s="24" t="s">
        <v>338</v>
      </c>
      <c r="E206" s="15">
        <v>42632.090428240743</v>
      </c>
      <c r="F206" s="15">
        <v>42632.091550925928</v>
      </c>
      <c r="G206" s="7">
        <v>1</v>
      </c>
      <c r="H206" s="15" t="s">
        <v>717</v>
      </c>
      <c r="I206" s="15">
        <v>42632.097777777781</v>
      </c>
      <c r="J206" s="7">
        <v>0</v>
      </c>
      <c r="K206" s="121" t="str">
        <f>IF(ISEVEN(B206),(B206-1)&amp;"/"&amp;B206,B206&amp;"/"&amp;(B206+1))</f>
        <v>4009/4010</v>
      </c>
      <c r="L206" s="24" t="str">
        <f>VLOOKUP(A206,'Trips&amp;Operators'!$C$1:$E$10000,3,FALSE)</f>
        <v>CHANDLER</v>
      </c>
      <c r="M206" s="6">
        <f>I206-F206</f>
        <v>6.2268518522614613E-3</v>
      </c>
      <c r="N206" s="7">
        <f>24*60*SUM($M206:$M206)</f>
        <v>8.9666666672565043</v>
      </c>
      <c r="O206" s="7"/>
      <c r="P206" s="7"/>
      <c r="Q206" s="25"/>
      <c r="R206" s="25"/>
      <c r="S206" s="37">
        <f>SUM(U206:U206)/IF(AG206="EC",12,1)</f>
        <v>1</v>
      </c>
      <c r="T206" s="52" t="str">
        <f>IF(ISEVEN(LEFT(AD206,4)),"Southbound","NorthBound")</f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https://search-rtdc-monitor-bjffxe2xuh6vdkpspy63sjmuny.us-east-1.es.amazonaws.com/_plugin/kibana/#/discover/Steve-Slow-Train-Analysis-(2080s-and-2083s)?_g=(refreshInterval:(display:Off,section:0,value:0),time:(from:'2016-09-19 01:10:13-0600',mode:absolute,to:'2016-09-19 03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06" s="54" t="str">
        <f>IF(AA206&lt;IF(AG206="EC",23,5.65),"Y","N")</f>
        <v>Y</v>
      </c>
      <c r="X206" s="168">
        <f>VALUE(LEFT(AD206,4))-VALUE(LEFT(AD205,4))</f>
        <v>2</v>
      </c>
      <c r="Y206" s="69">
        <f>RIGHT(D206,LEN(D206)-4)/10000</f>
        <v>4.8000000000000001E-2</v>
      </c>
      <c r="Z206" s="69">
        <f>RIGHT(H206,LEN(H206)-4)/10000</f>
        <v>2.2839</v>
      </c>
      <c r="AA206" s="69">
        <f>ABS(Z206-Y206)</f>
        <v>2.2359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>IF(LEN(A206)=6,"0"&amp;A206,A206)</f>
        <v>0315-18</v>
      </c>
      <c r="AE206" s="99" t="str">
        <f>"aws s3 cp "&amp;s3_bucket&amp;"/RTDC"&amp;B206&amp;"/"&amp;TEXT(F206,"YYYY-MM-DD")&amp;"/ "&amp;search_path&amp;"\RTDC"&amp;B206&amp;"\"&amp;TEXT(F206,"YYYY-MM-DD")&amp;" --recursive &amp; """&amp;walkandungz&amp;""" "&amp;search_path&amp;"\RTDC"&amp;B206&amp;"\"&amp;TEXT(F206,"YYYY-MM-DD")
&amp;" &amp; "&amp;"aws s3 cp "&amp;s3_bucket&amp;"/RTDC"&amp;B206&amp;"/"&amp;TEXT(F206+1,"YYYY-MM-DD")&amp;"/ "&amp;search_path&amp;"\RTDC"&amp;B206&amp;"\"&amp;TEXT(F206+1,"YYYY-MM-DD")&amp;" --recursive &amp; """&amp;walkandungz&amp;""" "&amp;search_path&amp;"\RTDC"&amp;B206&amp;"\"&amp;TEXT(F206+1,"YYYY-MM-DD")</f>
        <v>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 &amp; 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</v>
      </c>
      <c r="AF206" s="96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/stypes="app*4009*20160919*" /stext=" 08:.+((SYSTEM_STATE.+slice.+state.+changed )|(ment ac)|(system.+state.+changed )|(\|lc)|(penalty)|(\[timeout)|(PRM\|1\|D)|(kpr)|(kdp))" /e /r /s</v>
      </c>
      <c r="AG206" s="1" t="str">
        <f>IFERROR(IF(VALUE(LEFT(AD206,2))&lt;=2,"EC",IF(OR(VALUE(LEFT(AD206,2))=8,VALUE(LEFT(AD206,2))=18),"NW","Other")),"Other")</f>
        <v>Other</v>
      </c>
      <c r="AH206" s="100" t="str">
        <f t="shared" si="7"/>
        <v>"%USERPROFILE%\Documents\GitHub\eaglep3\Utilities\RefineRTDCRunTimes.py" --tripid 315-18 --locoid 4009 --swversion DE.1.0.7.0 --startMP 204:480 --initTime 2016-09-19T02:10:13 --startdatetime 2016-09-19T02:11:50 --delay 1 --endMP 300:22839 --enddatetime 2016-09-19T02:20:48 --enforcementcount 0 &gt;&gt;C:\Users\stu\Documents\GitHub\eaglep3-reporting\EC\2016-09-18-refined-times.txt</v>
      </c>
      <c r="AI206" s="134" t="str">
        <f t="shared" si="8"/>
        <v>echo {"issue":{"subject":"","project_id":79,"tracker_id":40,"status_id":1,"priority_id":2,"assigned_to_id":23,"start_date":"2016-09-19","description":"","custom_fields":[{"id":1,"name":"Subdivision","value":"Other"},{"id":4,"name":"Milepost","value":"2.2839"},{"id":17,"name":"Train ID","value":"315-18"},{"id":16,"name":"Locomotive ID","value":"4009"},{"id":130,"name":"Impact","value":""},{"id":150,"name":"Time of Event (Mountain Time)","value":"02:20:48"},{"id":151,"name":"Denver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s="23" customFormat="1" x14ac:dyDescent="0.25">
      <c r="A207" s="39" t="s">
        <v>590</v>
      </c>
      <c r="B207" s="7">
        <v>4017</v>
      </c>
      <c r="C207" s="24" t="s">
        <v>106</v>
      </c>
      <c r="D207" s="24" t="s">
        <v>662</v>
      </c>
      <c r="E207" s="15">
        <v>42631.943067129629</v>
      </c>
      <c r="F207" s="15">
        <v>42631.944606481484</v>
      </c>
      <c r="G207" s="7">
        <v>1</v>
      </c>
      <c r="H207" s="15" t="s">
        <v>695</v>
      </c>
      <c r="I207" s="15">
        <v>42631.949537037035</v>
      </c>
      <c r="J207" s="7">
        <v>0</v>
      </c>
      <c r="K207" s="121" t="str">
        <f>IF(ISEVEN(B207),(B207-1)&amp;"/"&amp;B207,B207&amp;"/"&amp;(B207+1))</f>
        <v>4017/4018</v>
      </c>
      <c r="L207" s="24" t="str">
        <f>VLOOKUP(A207,'Trips&amp;Operators'!$C$1:$E$10000,3,FALSE)</f>
        <v>CRAYTON</v>
      </c>
      <c r="M207" s="6">
        <f>I207-F207</f>
        <v>4.9305555512546562E-3</v>
      </c>
      <c r="N207" s="7">
        <f>24*60*SUM($M207:$M207)</f>
        <v>7.0999999938067049</v>
      </c>
      <c r="O207" s="7"/>
      <c r="P207" s="7"/>
      <c r="Q207" s="25"/>
      <c r="R207" s="25"/>
      <c r="S207" s="37">
        <f>SUM(U207:U207)/IF(AG207="EC",12,1)</f>
        <v>0</v>
      </c>
      <c r="T207" s="52" t="str">
        <f>IF(ISEVEN(LEFT(AD207,4)),"Southbound","NorthBound")</f>
        <v>Southbound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https://search-rtdc-monitor-bjffxe2xuh6vdkpspy63sjmuny.us-east-1.es.amazonaws.com/_plugin/kibana/#/discover/Steve-Slow-Train-Analysis-(2080s-and-2083s)?_g=(refreshInterval:(display:Off,section:0,value:0),time:(from:'2016-09-18 21:38:01-0600',mode:absolute,to:'2016-09-18 23:47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07" s="54" t="str">
        <f>IF(AA207&lt;IF(AG207="EC",23,5.65),"Y","N")</f>
        <v>Y</v>
      </c>
      <c r="X207" s="168">
        <f>VALUE(LEFT(AD207,4))-VALUE(LEFT(AD206,4))</f>
        <v>1587</v>
      </c>
      <c r="Y207" s="69">
        <f>RIGHT(D207,LEN(D207)-4)/10000</f>
        <v>5.8611000000000004</v>
      </c>
      <c r="Z207" s="69">
        <f>RIGHT(H207,LEN(H207)-4)/10000</f>
        <v>2.1804999999999999</v>
      </c>
      <c r="AA207" s="69">
        <f>ABS(Z207-Y207)</f>
        <v>3.6806000000000005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>IF(LEN(A207)=6,"0"&amp;A207,A207)</f>
        <v>1902-18</v>
      </c>
      <c r="AE207" s="99" t="str">
        <f>"aws s3 cp "&amp;s3_bucket&amp;"/RTDC"&amp;B207&amp;"/"&amp;TEXT(F207,"YYYY-MM-DD")&amp;"/ "&amp;search_path&amp;"\RTDC"&amp;B207&amp;"\"&amp;TEXT(F207,"YYYY-MM-DD")&amp;" --recursive &amp; """&amp;walkandungz&amp;""" "&amp;search_path&amp;"\RTDC"&amp;B207&amp;"\"&amp;TEXT(F207,"YYYY-MM-DD")
&amp;" &amp; "&amp;"aws s3 cp "&amp;s3_bucket&amp;"/RTDC"&amp;B207&amp;"/"&amp;TEXT(F207+1,"YYYY-MM-DD")&amp;"/ "&amp;search_path&amp;"\RTDC"&amp;B207&amp;"\"&amp;TEXT(F207+1,"YYYY-MM-DD")&amp;" --recursive &amp; """&amp;walkandungz&amp;""" "&amp;search_path&amp;"\RTDC"&amp;B207&amp;"\"&amp;TEXT(F207+1,"YYYY-MM-DD")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207" s="96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/stypes="app*4017*20160919*" /stext=" 04:.+((SYSTEM_STATE.+slice.+state.+changed )|(ment ac)|(system.+state.+changed )|(\|lc)|(penalty)|(\[timeout)|(PRM\|1\|D)|(kpr)|(kdp))" /e /r /s</v>
      </c>
      <c r="AG207" s="1" t="str">
        <f>IFERROR(IF(VALUE(LEFT(AD207,2))&lt;=2,"EC",IF(OR(VALUE(LEFT(AD207,2))=8,VALUE(LEFT(AD207,2))=18),"NW","Other")),"Other")</f>
        <v>Other</v>
      </c>
      <c r="AH207" s="100" t="str">
        <f t="shared" si="7"/>
        <v>"%USERPROFILE%\Documents\GitHub\eaglep3\Utilities\RefineRTDCRunTimes.py" --tripid 1902-18 --locoid 4017 --swversion DE.1.0.7.0 --startMP 300:58611 --initTime 2016-09-18T22:38:01 --startdatetime 2016-09-18T22:40:14 --delay 1 --endMP 300:21805 --enddatetime 2016-09-18T22:47:20 --enforcementcount 0 &gt;&gt;C:\Users\stu\Documents\GitHub\eaglep3-reporting\EC\2016-09-18-refined-times.txt</v>
      </c>
      <c r="AI207" s="134" t="str">
        <f t="shared" si="8"/>
        <v>echo {"issue":{"subject":"","project_id":79,"tracker_id":40,"status_id":1,"priority_id":2,"assigned_to_id":23,"start_date":"2016-09-18","description":"","custom_fields":[{"id":1,"name":"Subdivision","value":"Other"},{"id":4,"name":"Milepost","value":"2.1805"},{"id":17,"name":"Train ID","value":"1902-18"},{"id":16,"name":"Locomotive ID","value":"4017"},{"id":130,"name":"Impact","value":""},{"id":150,"name":"Time of Event (Mountain Time)","value":"22:47:20"},{"id":151,"name":"Denver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486</v>
      </c>
      <c r="B208" s="7">
        <v>4005</v>
      </c>
      <c r="C208" s="24" t="s">
        <v>106</v>
      </c>
      <c r="D208" s="24" t="s">
        <v>718</v>
      </c>
      <c r="E208" s="15">
        <v>42631.477812500001</v>
      </c>
      <c r="F208" s="15">
        <v>42631.478761574072</v>
      </c>
      <c r="G208" s="7">
        <v>1</v>
      </c>
      <c r="H208" s="15" t="s">
        <v>719</v>
      </c>
      <c r="I208" s="15">
        <v>42631.484444444446</v>
      </c>
      <c r="J208" s="7">
        <v>0</v>
      </c>
      <c r="K208" s="121" t="str">
        <f>IF(ISEVEN(B208),(B208-1)&amp;"/"&amp;B208,B208&amp;"/"&amp;(B208+1))</f>
        <v>4005/4006</v>
      </c>
      <c r="L208" s="24" t="str">
        <f>VLOOKUP(A208,'Trips&amp;Operators'!$C$1:$E$10000,3,FALSE)</f>
        <v>OUN</v>
      </c>
      <c r="M208" s="6">
        <f>I208-F208</f>
        <v>5.6828703745850362E-3</v>
      </c>
      <c r="N208" s="7">
        <f>24*60*SUM($M208:$M208)</f>
        <v>8.1833333394024521</v>
      </c>
      <c r="O208" s="7"/>
      <c r="P208" s="7"/>
      <c r="Q208" s="25"/>
      <c r="R208" s="25"/>
      <c r="S208" s="37">
        <f>SUM(U208:U208)/IF(AG208="EC",12,1)</f>
        <v>0</v>
      </c>
      <c r="T208" s="52" t="e">
        <f>IF(ISEVEN(LEFT(AD208,4)),"Southbound","NorthBound")</f>
        <v>#VALUE!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6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https://search-rtdc-monitor-bjffxe2xuh6vdkpspy63sjmuny.us-east-1.es.amazonaws.com/_plugin/kibana/#/discover/Steve-Slow-Train-Analysis-(2080s-and-2083s)?_g=(refreshInterval:(display:Off,section:0,value:0),time:(from:'2016-09-18 10:28:03-0600',mode:absolute,to:'2016-09-18 12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08" s="54" t="str">
        <f>IF(AA208&lt;IF(AG208="EC",23,5.65),"Y","N")</f>
        <v>Y</v>
      </c>
      <c r="X208" s="168" t="e">
        <f>VALUE(LEFT(AD208,4))-VALUE(LEFT(AD207,4))</f>
        <v>#VALUE!</v>
      </c>
      <c r="Y208" s="69">
        <f>RIGHT(D208,LEN(D208)-4)/10000</f>
        <v>2.3504</v>
      </c>
      <c r="Z208" s="69">
        <f>RIGHT(H208,LEN(H208)-4)/10000</f>
        <v>1.4800000000000001E-2</v>
      </c>
      <c r="AA208" s="69">
        <f>ABS(Z208-Y208)</f>
        <v>2.3355999999999999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>IF(LEN(A208)=6,"0"&amp;A208,A208)</f>
        <v>54-18</v>
      </c>
      <c r="AE208" s="99" t="str">
        <f>"aws s3 cp "&amp;s3_bucket&amp;"/RTDC"&amp;B208&amp;"/"&amp;TEXT(F208,"YYYY-MM-DD")&amp;"/ "&amp;search_path&amp;"\RTDC"&amp;B208&amp;"\"&amp;TEXT(F208,"YYYY-MM-DD")&amp;" --recursive &amp; """&amp;walkandungz&amp;""" "&amp;search_path&amp;"\RTDC"&amp;B208&amp;"\"&amp;TEXT(F208,"YYYY-MM-DD")
&amp;" &amp; "&amp;"aws s3 cp "&amp;s3_bucket&amp;"/RTDC"&amp;B208&amp;"/"&amp;TEXT(F208+1,"YYYY-MM-DD")&amp;"/ "&amp;search_path&amp;"\RTDC"&amp;B208&amp;"\"&amp;TEXT(F208+1,"YYYY-MM-DD")&amp;" --recursive &amp; """&amp;walkandungz&amp;""" "&amp;search_path&amp;"\RTDC"&amp;B208&amp;"\"&amp;TEXT(F208+1,"YYYY-MM-DD")</f>
        <v>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 &amp; aws s3 cp s3://rtdc.mdm.uploadarchive/RTDC4005/2016-09-19/ "%USERPROFILE%\AppData\Local\Temp\OnboardLogs"\RTDC4005\2016-09-19 --recursive &amp; "%USERPROFILE%\Documents\GitHub\mrs-test-scripts\Headless Mode &amp; Sideloading\WalkAndUnGZ.bat" "%USERPROFILE%\AppData\Local\Temp\OnboardLogs"\RTDC4005\2016-09-19</v>
      </c>
      <c r="AF208" s="96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/stypes="app*4005*20160918*" /stext=" 17:.+((SYSTEM_STATE.+slice.+state.+changed )|(ment ac)|(system.+state.+changed )|(\|lc)|(penalty)|(\[timeout)|(PRM\|1\|D)|(kpr)|(kdp))" /e /r /s</v>
      </c>
      <c r="AG208" s="1" t="str">
        <f>IFERROR(IF(VALUE(LEFT(AD208,2))&lt;=2,"EC",IF(OR(VALUE(LEFT(AD208,2))=8,VALUE(LEFT(AD208,2))=18),"NW","Other")),"Other")</f>
        <v>Other</v>
      </c>
      <c r="AH208" s="100" t="str">
        <f t="shared" si="7"/>
        <v>"%USERPROFILE%\Documents\GitHub\eaglep3\Utilities\RefineRTDCRunTimes.py" --tripid 54-18 --locoid 4005 --swversion DE.1.0.7.0 --startMP 300:23504 --initTime 2016-09-18T11:28:03 --startdatetime 2016-09-18T11:29:25 --delay 1 --endMP 204:148 --enddatetime 2016-09-18T11:37:36 --enforcementcount 0 &gt;&gt;C:\Users\stu\Documents\GitHub\eaglep3-reporting\EC\2016-09-18-refined-times.txt</v>
      </c>
      <c r="AI208" s="134" t="str">
        <f t="shared" si="8"/>
        <v>echo {"issue":{"subject":"","project_id":79,"tracker_id":40,"status_id":1,"priority_id":2,"assigned_to_id":23,"start_date":"2016-09-18","description":"","custom_fields":[{"id":1,"name":"Subdivision","value":"Other"},{"id":4,"name":"Milepost","value":"0.0148"},{"id":17,"name":"Train ID","value":"54-18"},{"id":16,"name":"Locomotive ID","value":"4005"},{"id":130,"name":"Impact","value":""},{"id":150,"name":"Time of Event (Mountain Time)","value":"11:37:36"},{"id":151,"name":"Denver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493</v>
      </c>
      <c r="B209" s="7">
        <v>4006</v>
      </c>
      <c r="C209" s="24" t="s">
        <v>106</v>
      </c>
      <c r="D209" s="24" t="s">
        <v>223</v>
      </c>
      <c r="E209" s="15">
        <v>42631.500347222223</v>
      </c>
      <c r="F209" s="15">
        <v>25568.958333333332</v>
      </c>
      <c r="G209" s="7">
        <v>1</v>
      </c>
      <c r="H209" s="15" t="s">
        <v>392</v>
      </c>
      <c r="I209" s="15">
        <v>25568.958333333332</v>
      </c>
      <c r="J209" s="7">
        <v>0</v>
      </c>
      <c r="K209" s="121" t="str">
        <f>IF(ISEVEN(B209),(B209-1)&amp;"/"&amp;B209,B209&amp;"/"&amp;(B209+1))</f>
        <v>4005/4006</v>
      </c>
      <c r="L209" s="24" t="str">
        <f>VLOOKUP(A209,'Trips&amp;Operators'!$C$1:$E$10000,3,FALSE)</f>
        <v>STRICKLAND</v>
      </c>
      <c r="M209" s="6">
        <f>I209-F209</f>
        <v>0</v>
      </c>
      <c r="N209" s="7">
        <f>24*60*SUM($M209:$M209)</f>
        <v>0</v>
      </c>
      <c r="O209" s="7"/>
      <c r="P209" s="7"/>
      <c r="Q209" s="25"/>
      <c r="R209" s="25"/>
      <c r="S209" s="37">
        <f>SUM(U209:U209)/IF(AG209="EC",12,1)</f>
        <v>0</v>
      </c>
      <c r="T209" s="52" t="e">
        <f>IF(ISEVEN(LEFT(AD209,4)),"Southbound","NorthBound")</f>
        <v>#VALUE!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6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https://search-rtdc-monitor-bjffxe2xuh6vdkpspy63sjmuny.us-east-1.es.amazonaws.com/_plugin/kibana/#/discover/Steve-Slow-Train-Analysis-(2080s-and-2083s)?_g=(refreshInterval:(display:Off,section:0,value:0),time:(from:'2016-09-18 11:00:30-0600',mode:absolute,to:'1970-01-01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09" s="54" t="str">
        <f>IF(AA209&lt;IF(AG209="EC",23,5.65),"Y","N")</f>
        <v>Y</v>
      </c>
      <c r="X209" s="168" t="e">
        <f>VALUE(LEFT(AD209,4))-VALUE(LEFT(AD208,4))</f>
        <v>#VALUE!</v>
      </c>
      <c r="Y209" s="69">
        <f>RIGHT(D209,LEN(D209)-4)/10000</f>
        <v>4.5699999999999998E-2</v>
      </c>
      <c r="Z209" s="69">
        <f>RIGHT(H209,LEN(H209)-4)/10000</f>
        <v>2.4214000000000002</v>
      </c>
      <c r="AA209" s="69">
        <f>ABS(Z209-Y209)</f>
        <v>2.3757000000000001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>IF(LEN(A209)=6,"0"&amp;A209,A209)</f>
        <v>55-18</v>
      </c>
      <c r="AE209" s="99" t="str">
        <f>"aws s3 cp "&amp;s3_bucket&amp;"/RTDC"&amp;B209&amp;"/"&amp;TEXT(F209,"YYYY-MM-DD")&amp;"/ "&amp;search_path&amp;"\RTDC"&amp;B209&amp;"\"&amp;TEXT(F209,"YYYY-MM-DD")&amp;" --recursive &amp; """&amp;walkandungz&amp;""" "&amp;search_path&amp;"\RTDC"&amp;B209&amp;"\"&amp;TEXT(F209,"YYYY-MM-DD")
&amp;" &amp; "&amp;"aws s3 cp "&amp;s3_bucket&amp;"/RTDC"&amp;B209&amp;"/"&amp;TEXT(F209+1,"YYYY-MM-DD")&amp;"/ "&amp;search_path&amp;"\RTDC"&amp;B209&amp;"\"&amp;TEXT(F209+1,"YYYY-MM-DD")&amp;" --recursive &amp; """&amp;walkandungz&amp;""" "&amp;search_path&amp;"\RTDC"&amp;B209&amp;"\"&amp;TEXT(F209+1,"YYYY-MM-DD")</f>
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</c>
      <c r="AF209" s="96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/stypes="app*4006*19700101*" /stext=" 05:.+((SYSTEM_STATE.+slice.+state.+changed )|(ment ac)|(system.+state.+changed )|(\|lc)|(penalty)|(\[timeout)|(PRM\|1\|D)|(kpr)|(kdp))" /e /r /s</v>
      </c>
      <c r="AG209" s="1" t="str">
        <f>IFERROR(IF(VALUE(LEFT(AD209,2))&lt;=2,"EC",IF(OR(VALUE(LEFT(AD209,2))=8,VALUE(LEFT(AD209,2))=18),"NW","Other")),"Other")</f>
        <v>Other</v>
      </c>
      <c r="AH209" s="100" t="str">
        <f t="shared" si="7"/>
        <v>"%USERPROFILE%\Documents\GitHub\eaglep3\Utilities\RefineRTDCRunTimes.py" --tripid 55-18 --locoid 4006 --swversion DE.1.0.7.0 --startMP 204:457 --initTime 2016-09-18T12:00:30 --startdatetime 1969-12-31T23:00:00 --delay 1 --endMP 300:24214 --enddatetime 1969-12-31T23:00:00 --enforcementcount 0 &gt;&gt;C:\Users\stu\Documents\GitHub\eaglep3-reporting\EC\2016-09-18-refined-times.txt</v>
      </c>
      <c r="AI209" s="134" t="str">
        <f t="shared" si="8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ID","value":"55-18"},{"id":16,"name":"Locomotive ID","value":"4006"},{"id":130,"name":"Impact","value":""},{"id":150,"name":"Time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554</v>
      </c>
      <c r="B210" s="7">
        <v>4006</v>
      </c>
      <c r="C210" s="24" t="s">
        <v>106</v>
      </c>
      <c r="D210" s="24" t="s">
        <v>720</v>
      </c>
      <c r="E210" s="15">
        <v>42631.769120370373</v>
      </c>
      <c r="F210" s="15">
        <v>42631.771041666667</v>
      </c>
      <c r="G210" s="7">
        <v>1</v>
      </c>
      <c r="H210" s="15" t="s">
        <v>721</v>
      </c>
      <c r="I210" s="15">
        <v>42631.775995370372</v>
      </c>
      <c r="J210" s="7">
        <v>0</v>
      </c>
      <c r="K210" s="121" t="str">
        <f>IF(ISEVEN(B210),(B210-1)&amp;"/"&amp;B210,B210&amp;"/"&amp;(B210+1))</f>
        <v>4005/4006</v>
      </c>
      <c r="L210" s="24" t="str">
        <f>VLOOKUP(A210,'Trips&amp;Operators'!$C$1:$E$10000,3,FALSE)</f>
        <v>BRUDER</v>
      </c>
      <c r="M210" s="6">
        <f>I210-F210</f>
        <v>4.9537037048139609E-3</v>
      </c>
      <c r="N210" s="7">
        <f>24*60*SUM($M210:$M210)</f>
        <v>7.1333333349321038</v>
      </c>
      <c r="O210" s="7"/>
      <c r="P210" s="7"/>
      <c r="Q210" s="25"/>
      <c r="R210" s="25"/>
      <c r="S210" s="37">
        <f>SUM(U210:U210)/IF(AG210="EC",12,1)</f>
        <v>0</v>
      </c>
      <c r="T210" s="52" t="e">
        <f>IF(ISEVEN(LEFT(AD210,4)),"Southbound","NorthBound")</f>
        <v>#VALUE!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https://search-rtdc-monitor-bjffxe2xuh6vdkpspy63sjmuny.us-east-1.es.amazonaws.com/_plugin/kibana/#/discover/Steve-Slow-Train-Analysis-(2080s-and-2083s)?_g=(refreshInterval:(display:Off,section:0,value:0),time:(from:'2016-09-18 17:27:32-0600',mode:absolute,to:'2016-09-18 19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0" s="54" t="str">
        <f>IF(AA210&lt;IF(AG210="EC",23,5.65),"Y","N")</f>
        <v>Y</v>
      </c>
      <c r="X210" s="168" t="e">
        <f>VALUE(LEFT(AD210,4))-VALUE(LEFT(AD209,4))</f>
        <v>#VALUE!</v>
      </c>
      <c r="Y210" s="69">
        <f>RIGHT(D210,LEN(D210)-4)/10000</f>
        <v>3.39E-2</v>
      </c>
      <c r="Z210" s="69">
        <f>RIGHT(H210,LEN(H210)-4)/10000</f>
        <v>2.4262999999999999</v>
      </c>
      <c r="AA210" s="69">
        <f>ABS(Z210-Y210)</f>
        <v>2.3923999999999999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>IF(LEN(A210)=6,"0"&amp;A210,A210)</f>
        <v>58-18</v>
      </c>
      <c r="AE210" s="99" t="str">
        <f>"aws s3 cp "&amp;s3_bucket&amp;"/RTDC"&amp;B210&amp;"/"&amp;TEXT(F210,"YYYY-MM-DD")&amp;"/ "&amp;search_path&amp;"\RTDC"&amp;B210&amp;"\"&amp;TEXT(F210,"YYYY-MM-DD")&amp;" --recursive &amp; """&amp;walkandungz&amp;""" "&amp;search_path&amp;"\RTDC"&amp;B210&amp;"\"&amp;TEXT(F210,"YYYY-MM-DD")
&amp;" &amp; "&amp;"aws s3 cp "&amp;s3_bucket&amp;"/RTDC"&amp;B210&amp;"/"&amp;TEXT(F210+1,"YYYY-MM-DD")&amp;"/ "&amp;search_path&amp;"\RTDC"&amp;B210&amp;"\"&amp;TEXT(F210+1,"YYYY-MM-DD")&amp;" --recursive &amp; """&amp;walkandungz&amp;""" "&amp;search_path&amp;"\RTDC"&amp;B210&amp;"\"&amp;TEXT(F210+1,"YYYY-MM-DD")</f>
        <v>aws s3 cp s3://rtdc.mdm.uploadarchive/RTDC4006/2016-09-18/ "%USERPROFILE%\AppData\Local\Temp\OnboardLogs"\RTDC4006\2016-09-18 --recursive &amp; "%USERPROFILE%\Documents\GitHub\mrs-test-scripts\Headless Mode &amp; Sideloading\WalkAndUnGZ.bat" "%USERPROFILE%\AppData\Local\Temp\OnboardLogs"\RTDC4006\2016-09-18 &amp; aws s3 cp s3://rtdc.mdm.uploadarchive/RTDC4006/2016-09-19/ "%USERPROFILE%\AppData\Local\Temp\OnboardLogs"\RTDC4006\2016-09-19 --recursive &amp; "%USERPROFILE%\Documents\GitHub\mrs-test-scripts\Headless Mode &amp; Sideloading\WalkAndUnGZ.bat" "%USERPROFILE%\AppData\Local\Temp\OnboardLogs"\RTDC4006\2016-09-19</v>
      </c>
      <c r="AF210" s="96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/stypes="app*4006*20160919*" /stext=" 00:.+((SYSTEM_STATE.+slice.+state.+changed )|(ment ac)|(system.+state.+changed )|(\|lc)|(penalty)|(\[timeout)|(PRM\|1\|D)|(kpr)|(kdp))" /e /r /s</v>
      </c>
      <c r="AG210" s="1" t="str">
        <f>IFERROR(IF(VALUE(LEFT(AD210,2))&lt;=2,"EC",IF(OR(VALUE(LEFT(AD210,2))=8,VALUE(LEFT(AD210,2))=18),"NW","Other")),"Other")</f>
        <v>Other</v>
      </c>
      <c r="AH210" s="100" t="str">
        <f t="shared" si="7"/>
        <v>"%USERPROFILE%\Documents\GitHub\eaglep3\Utilities\RefineRTDCRunTimes.py" --tripid 58-18 --locoid 4006 --swversion DE.1.0.7.0 --startMP 204:339 --initTime 2016-09-18T18:27:32 --startdatetime 2016-09-18T18:30:18 --delay 1 --endMP 300:24263 --enddatetime 2016-09-18T18:37:26 --enforcementcount 0 &gt;&gt;C:\Users\stu\Documents\GitHub\eaglep3-reporting\EC\2016-09-18-refined-times.txt</v>
      </c>
      <c r="AI210" s="134" t="str">
        <f t="shared" si="8"/>
        <v>echo {"issue":{"subject":"","project_id":79,"tracker_id":40,"status_id":1,"priority_id":2,"assigned_to_id":23,"start_date":"2016-09-18","description":"","custom_fields":[{"id":1,"name":"Subdivision","value":"Other"},{"id":4,"name":"Milepost","value":"2.4263"},{"id":17,"name":"Train ID","value":"58-18"},{"id":16,"name":"Locomotive ID","value":"4006"},{"id":130,"name":"Impact","value":""},{"id":150,"name":"Time of Event (Mountain Time)","value":"18:37:26"},{"id":151,"name":"Denver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s="23" customFormat="1" x14ac:dyDescent="0.25">
      <c r="A211" s="39" t="s">
        <v>544</v>
      </c>
      <c r="B211" s="7">
        <v>4045</v>
      </c>
      <c r="C211" s="24" t="s">
        <v>106</v>
      </c>
      <c r="D211" s="24" t="s">
        <v>722</v>
      </c>
      <c r="E211" s="15">
        <v>42631.731516203705</v>
      </c>
      <c r="F211" s="15">
        <v>42631.737314814818</v>
      </c>
      <c r="G211" s="7">
        <v>7</v>
      </c>
      <c r="H211" s="15" t="s">
        <v>723</v>
      </c>
      <c r="I211" s="15">
        <v>42631.743993055556</v>
      </c>
      <c r="J211" s="7">
        <v>0</v>
      </c>
      <c r="K211" s="121" t="str">
        <f>IF(ISEVEN(B211),(B211-1)&amp;"/"&amp;B211,B211&amp;"/"&amp;(B211+1))</f>
        <v>4045/4046</v>
      </c>
      <c r="L211" s="24" t="str">
        <f>VLOOKUP(A211,'Trips&amp;Operators'!$C$1:$E$10000,3,FALSE)</f>
        <v>ARVIDSON</v>
      </c>
      <c r="M211" s="6">
        <f>I211-F211</f>
        <v>6.6782407375285402E-3</v>
      </c>
      <c r="N211" s="7">
        <f>24*60*SUM($M211:$M211)</f>
        <v>9.6166666620410979</v>
      </c>
      <c r="O211" s="7"/>
      <c r="P211" s="7"/>
      <c r="Q211" s="25"/>
      <c r="R211" s="25"/>
      <c r="S211" s="37">
        <f>SUM(U211:U211)/IF(AG211="EC",12,1)</f>
        <v>0</v>
      </c>
      <c r="T211" s="52" t="e">
        <f>IF(ISEVEN(LEFT(AD211,4)),"Southbound","NorthBound")</f>
        <v>#VALUE!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https://search-rtdc-monitor-bjffxe2xuh6vdkpspy63sjmuny.us-east-1.es.amazonaws.com/_plugin/kibana/#/discover/Steve-Slow-Train-Analysis-(2080s-and-2083s)?_g=(refreshInterval:(display:Off,section:0,value:0),time:(from:'2016-09-18 16:33:23-0600',mode:absolute,to:'2016-09-18 18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11" s="54" t="str">
        <f>IF(AA211&lt;IF(AG211="EC",23,5.65),"Y","N")</f>
        <v>Y</v>
      </c>
      <c r="X211" s="168" t="e">
        <f>VALUE(LEFT(AD211,4))-VALUE(LEFT(AD210,4))</f>
        <v>#VALUE!</v>
      </c>
      <c r="Y211" s="69">
        <f>RIGHT(D211,LEN(D211)-4)/10000</f>
        <v>2.1789000000000001</v>
      </c>
      <c r="Z211" s="69">
        <f>RIGHT(H211,LEN(H211)-4)/10000</f>
        <v>8.9300000000000004E-2</v>
      </c>
      <c r="AA211" s="69">
        <f>ABS(Z211-Y211)</f>
        <v>2.0895999999999999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>IF(LEN(A211)=6,"0"&amp;A211,A211)</f>
        <v>66-18</v>
      </c>
      <c r="AE211" s="99" t="str">
        <f>"aws s3 cp "&amp;s3_bucket&amp;"/RTDC"&amp;B211&amp;"/"&amp;TEXT(F211,"YYYY-MM-DD")&amp;"/ "&amp;search_path&amp;"\RTDC"&amp;B211&amp;"\"&amp;TEXT(F211,"YYYY-MM-DD")&amp;" --recursive &amp; """&amp;walkandungz&amp;""" "&amp;search_path&amp;"\RTDC"&amp;B211&amp;"\"&amp;TEXT(F211,"YYYY-MM-DD")
&amp;" &amp; "&amp;"aws s3 cp "&amp;s3_bucket&amp;"/RTDC"&amp;B211&amp;"/"&amp;TEXT(F211+1,"YYYY-MM-DD")&amp;"/ "&amp;search_path&amp;"\RTDC"&amp;B211&amp;"\"&amp;TEXT(F211+1,"YYYY-MM-DD")&amp;" --recursive &amp; """&amp;walkandungz&amp;""" "&amp;search_path&amp;"\RTDC"&amp;B211&amp;"\"&amp;TEXT(F211+1,"YYYY-MM-DD")</f>
        <v>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 &amp; aws s3 cp s3://rtdc.mdm.uploadarchive/RTDC4045/2016-09-19/ "%USERPROFILE%\AppData\Local\Temp\OnboardLogs"\RTDC4045\2016-09-19 --recursive &amp; "%USERPROFILE%\Documents\GitHub\mrs-test-scripts\Headless Mode &amp; Sideloading\WalkAndUnGZ.bat" "%USERPROFILE%\AppData\Local\Temp\OnboardLogs"\RTDC4045\2016-09-19</v>
      </c>
      <c r="AF211" s="96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/stypes="app*4045*20160918*" /stext=" 23:.+((SYSTEM_STATE.+slice.+state.+changed )|(ment ac)|(system.+state.+changed )|(\|lc)|(penalty)|(\[timeout)|(PRM\|1\|D)|(kpr)|(kdp))" /e /r /s</v>
      </c>
      <c r="AG211" s="1" t="str">
        <f>IFERROR(IF(VALUE(LEFT(AD211,2))&lt;=2,"EC",IF(OR(VALUE(LEFT(AD211,2))=8,VALUE(LEFT(AD211,2))=18),"NW","Other")),"Other")</f>
        <v>Other</v>
      </c>
      <c r="AH211" s="100" t="str">
        <f t="shared" ref="AH211" si="9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66-18 --locoid 4045 --swversion DE.1.0.7.0 --startMP 300:21789 --initTime 2016-09-18T17:33:23 --startdatetime 2016-09-18T17:41:44 --delay 7 --endMP 204:893 --enddatetime 2016-09-18T17:51:21 --enforcementcount 0 &gt;&gt;C:\Users\stu\Documents\GitHub\eaglep3-reporting\EC\2016-09-18-refined-times.txt</v>
      </c>
      <c r="AI211" s="134" t="str">
        <f t="shared" ref="AI211" si="10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{"issue":{"subject":"","project_id":79,"tracker_id":40,"status_id":1,"priority_id":2,"assigned_to_id":23,"start_date":"2016-09-18","description":"","custom_fields":[{"id":1,"name":"Subdivision","value":"Other"},{"id":4,"name":"Milepost","value":"0.0893"},{"id":17,"name":"Train ID","value":"66-18"},{"id":16,"name":"Locomotive ID","value":"4045"},{"id":130,"name":"Impact","value":""},{"id":150,"name":"Time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21"/>
      <c r="L212" s="24"/>
      <c r="M212" s="6"/>
      <c r="N212" s="7"/>
      <c r="O212" s="7"/>
      <c r="P212" s="7"/>
      <c r="Q212" s="25"/>
      <c r="R212" s="25"/>
      <c r="S212" s="37"/>
      <c r="T212" s="52"/>
      <c r="U212" s="163"/>
      <c r="V212" s="106"/>
      <c r="W212" s="54"/>
      <c r="X212" s="168"/>
      <c r="Y212" s="69"/>
      <c r="Z212" s="69"/>
      <c r="AA212" s="69"/>
      <c r="AB212" s="66"/>
      <c r="AC212" s="62"/>
      <c r="AD212" s="63"/>
      <c r="AE212" s="99"/>
      <c r="AF212" s="96"/>
      <c r="AG212" s="1"/>
      <c r="AI212" s="134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21"/>
      <c r="L213" s="24"/>
      <c r="M213" s="6"/>
      <c r="N213" s="7"/>
      <c r="O213" s="7"/>
      <c r="P213" s="7"/>
      <c r="Q213" s="25"/>
      <c r="R213" s="25"/>
      <c r="S213" s="37"/>
      <c r="T213" s="52"/>
      <c r="U213" s="163"/>
      <c r="V213" s="106"/>
      <c r="W213" s="54"/>
      <c r="X213" s="168"/>
      <c r="Y213" s="69"/>
      <c r="Z213" s="69"/>
      <c r="AA213" s="69"/>
      <c r="AB213" s="66"/>
      <c r="AC213" s="62"/>
      <c r="AD213" s="63"/>
      <c r="AE213" s="99"/>
      <c r="AF213" s="96"/>
      <c r="AG213" s="1"/>
      <c r="AI213" s="134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21"/>
      <c r="L214" s="24"/>
      <c r="M214" s="6"/>
      <c r="N214" s="7"/>
      <c r="O214" s="7"/>
      <c r="P214" s="7"/>
      <c r="Q214" s="25"/>
      <c r="R214" s="25"/>
      <c r="S214" s="37"/>
      <c r="T214" s="52"/>
      <c r="U214" s="163"/>
      <c r="V214" s="106"/>
      <c r="W214" s="54"/>
      <c r="X214" s="168"/>
      <c r="Y214" s="69"/>
      <c r="Z214" s="69"/>
      <c r="AA214" s="69"/>
      <c r="AB214" s="66"/>
      <c r="AC214" s="62"/>
      <c r="AD214" s="63"/>
      <c r="AE214" s="99"/>
      <c r="AF214" s="96"/>
      <c r="AG214" s="1"/>
      <c r="AI214" s="134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21"/>
      <c r="L215" s="24"/>
      <c r="M215" s="6"/>
      <c r="N215" s="7"/>
      <c r="O215" s="7"/>
      <c r="P215" s="7"/>
      <c r="Q215" s="25"/>
      <c r="R215" s="25"/>
      <c r="S215" s="37"/>
      <c r="T215" s="52"/>
      <c r="U215" s="163"/>
      <c r="V215" s="106"/>
      <c r="W215" s="54"/>
      <c r="X215" s="168"/>
      <c r="Y215" s="69"/>
      <c r="Z215" s="69"/>
      <c r="AA215" s="69"/>
      <c r="AB215" s="66"/>
      <c r="AC215" s="62"/>
      <c r="AD215" s="63"/>
      <c r="AE215" s="99"/>
      <c r="AF215" s="96"/>
      <c r="AG215" s="1"/>
      <c r="AI215" s="134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21"/>
      <c r="L216" s="24"/>
      <c r="M216" s="6"/>
      <c r="N216" s="7"/>
      <c r="O216" s="7"/>
      <c r="P216" s="7"/>
      <c r="Q216" s="25"/>
      <c r="R216" s="25"/>
      <c r="S216" s="37"/>
      <c r="T216" s="52"/>
      <c r="U216" s="163"/>
      <c r="V216" s="106"/>
      <c r="W216" s="54"/>
      <c r="X216" s="168"/>
      <c r="Y216" s="69"/>
      <c r="Z216" s="69"/>
      <c r="AA216" s="69"/>
      <c r="AB216" s="66"/>
      <c r="AC216" s="62"/>
      <c r="AD216" s="63"/>
      <c r="AE216" s="99"/>
      <c r="AF216" s="96"/>
      <c r="AG216" s="1"/>
      <c r="AI216" s="134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21"/>
      <c r="L217" s="24"/>
      <c r="M217" s="6"/>
      <c r="N217" s="7"/>
      <c r="O217" s="7"/>
      <c r="P217" s="7"/>
      <c r="Q217" s="25"/>
      <c r="R217" s="25"/>
      <c r="S217" s="37"/>
      <c r="T217" s="52"/>
      <c r="U217" s="163"/>
      <c r="V217" s="106"/>
      <c r="W217" s="54"/>
      <c r="X217" s="168"/>
      <c r="Y217" s="69"/>
      <c r="Z217" s="69"/>
      <c r="AA217" s="69"/>
      <c r="AB217" s="66"/>
      <c r="AC217" s="62"/>
      <c r="AD217" s="63"/>
      <c r="AE217" s="99"/>
      <c r="AF217" s="96"/>
      <c r="AG217" s="1"/>
      <c r="AI217" s="134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21"/>
      <c r="L218" s="24"/>
      <c r="M218" s="6"/>
      <c r="N218" s="7"/>
      <c r="O218" s="7"/>
      <c r="P218" s="7"/>
      <c r="Q218" s="25"/>
      <c r="R218" s="25"/>
      <c r="S218" s="37"/>
      <c r="T218" s="52"/>
      <c r="U218" s="163"/>
      <c r="V218" s="106"/>
      <c r="W218" s="54"/>
      <c r="X218" s="168"/>
      <c r="Y218" s="69"/>
      <c r="Z218" s="69"/>
      <c r="AA218" s="69"/>
      <c r="AB218" s="66"/>
      <c r="AC218" s="62"/>
      <c r="AD218" s="63"/>
      <c r="AE218" s="99"/>
      <c r="AF218" s="96"/>
      <c r="AG218" s="1"/>
      <c r="AI218" s="134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1"/>
      <c r="L219" s="24"/>
      <c r="M219" s="6"/>
      <c r="N219" s="7"/>
      <c r="O219" s="7"/>
      <c r="P219" s="7"/>
      <c r="Q219" s="25"/>
      <c r="R219" s="25"/>
      <c r="S219" s="37"/>
      <c r="T219" s="52"/>
      <c r="U219" s="163"/>
      <c r="V219" s="106"/>
      <c r="W219" s="54"/>
      <c r="X219" s="168"/>
      <c r="Y219" s="69"/>
      <c r="Z219" s="69"/>
      <c r="AA219" s="69"/>
      <c r="AB219" s="66"/>
      <c r="AC219" s="62"/>
      <c r="AD219" s="63"/>
      <c r="AE219" s="99"/>
      <c r="AF219" s="96"/>
      <c r="AG219" s="1"/>
      <c r="AI219" s="134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</sheetData>
  <autoFilter ref="A12:AG252">
    <sortState ref="A13:AG254">
      <sortCondition ref="AG13:AG213"/>
      <sortCondition ref="AD13:AD213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52">
    <cfRule type="expression" dxfId="6" priority="262">
      <formula>$O13&gt;0</formula>
    </cfRule>
  </conditionalFormatting>
  <conditionalFormatting sqref="A13:S252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A217:S252 S13:S216 A13:Q216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AK13:AK158 AK159:AK252</xm:sqref>
        </x14:dataValidation>
        <x14:dataValidation type="list" allowBlank="1" showInputMessage="1" showErrorMessage="1">
          <x14:formula1>
            <xm:f>'Redmine List Values'!$C$2:$C$20</xm:f>
          </x14:formula1>
          <xm:sqref>AL13:AL158 AL159:AL252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abSelected="1" topLeftCell="A2" workbookViewId="0">
      <selection activeCell="AC7" sqref="AC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9" max="29" width="6.57031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2</v>
      </c>
      <c r="P2" s="123"/>
      <c r="R2" s="97"/>
      <c r="S2" s="109"/>
      <c r="T2" s="94"/>
      <c r="V2" s="50"/>
      <c r="AC2" s="175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30</v>
      </c>
      <c r="P3" s="123"/>
      <c r="R3" s="97"/>
      <c r="S3" s="109"/>
      <c r="T3" s="94"/>
      <c r="V3" s="50"/>
      <c r="AC3" s="175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5"/>
    </row>
    <row r="5" spans="1:29" s="11" customFormat="1" ht="15" customHeight="1" x14ac:dyDescent="0.25">
      <c r="A5" s="179" t="str">
        <f>"Eagle P3 Braking Events - "&amp;TEXT(Variables!$A$2,"YYYY-mm-dd")</f>
        <v>Eagle P3 Braking Events - 2016-09-18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7"/>
      <c r="S5" s="110"/>
      <c r="T5" s="112"/>
      <c r="V5" s="51"/>
      <c r="AC5" s="176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179</v>
      </c>
      <c r="J6" s="136" t="s">
        <v>30</v>
      </c>
      <c r="K6" s="137" t="s">
        <v>29</v>
      </c>
      <c r="L6" s="149" t="s">
        <v>28</v>
      </c>
      <c r="M6" s="137" t="s">
        <v>180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161</v>
      </c>
      <c r="Z6" s="145" t="s">
        <v>162</v>
      </c>
      <c r="AA6" s="145" t="s">
        <v>135</v>
      </c>
      <c r="AB6" s="145" t="s">
        <v>163</v>
      </c>
      <c r="AC6" s="177" t="s">
        <v>395</v>
      </c>
    </row>
    <row r="7" spans="1:29" s="1" customFormat="1" x14ac:dyDescent="0.25">
      <c r="A7" s="38">
        <v>42631.474652777775</v>
      </c>
      <c r="B7" s="33" t="s">
        <v>229</v>
      </c>
      <c r="C7" s="33" t="s">
        <v>415</v>
      </c>
      <c r="D7" s="33" t="s">
        <v>49</v>
      </c>
      <c r="E7" s="33" t="s">
        <v>169</v>
      </c>
      <c r="F7" s="49">
        <v>0</v>
      </c>
      <c r="G7" s="49">
        <v>336</v>
      </c>
      <c r="H7" s="49">
        <v>33083</v>
      </c>
      <c r="I7" s="49">
        <v>33615</v>
      </c>
      <c r="J7" s="33" t="s">
        <v>168</v>
      </c>
      <c r="K7" s="49">
        <v>33137</v>
      </c>
      <c r="L7" s="150" t="s">
        <v>52</v>
      </c>
      <c r="M7" s="153">
        <f>CONVERT((I7-K7)/10000,"mi","ft")*IF(L7="Increasing Mileposts (1)",-1,1)</f>
        <v>-252.38399999999999</v>
      </c>
      <c r="N7" s="92" t="str">
        <f>VLOOKUP(C7,'Trips&amp;Operators'!$C$1:$E$99999,3,FALSE)</f>
        <v>BARTLETT</v>
      </c>
      <c r="O7" s="174" t="s">
        <v>86</v>
      </c>
      <c r="P7" s="10" t="s">
        <v>247</v>
      </c>
      <c r="Q7" s="33"/>
      <c r="R7" s="108" t="str">
        <f>VLOOKUP(C7,'Train Runs'!$A$13:$AE$10015,31,0)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S7" s="111" t="str">
        <f>VLOOKUP(C7,'Train Runs'!$A$13:$AE$10015,22,0)</f>
        <v>https://search-rtdc-monitor-bjffxe2xuh6vdkpspy63sjmuny.us-east-1.es.amazonaws.com/_plugin/kibana/#/discover/Steve-Slow-Train-Analysis-(2080s-and-2083s)?_g=(refreshInterval:(display:Off,section:0,value:0),time:(from:'2016-09-18 10:12:03-0600',mode:absolute,to:'2016-09-18 12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7" s="113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/stypes="*4016*201609181*" /stext=" 17:.+((SYSTEM_STATE.+slice.+state.+changed )|(ment ac)|(system.+state.+changed )|(\|lc)|(penalty)|(\[timeout)|(PRM\|1\|D)|(kpr)|(kdp))" /e /r /s</v>
      </c>
      <c r="U7" s="9" t="str">
        <f>MID(B7,13,4)</f>
        <v>4016</v>
      </c>
      <c r="V7" s="38">
        <f>A7+6/24</f>
        <v>42631.724652777775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3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arrival","project_id":79,"tracker_id":40,"status_id":1,"priority_id":2,"assigned_to_id":23,"start_date":"2016-09-18","description":"","custom_fields":[{"id":1,"name":"Subdivision","value":"EC"},{"id":4,"name":"Milepost","value":"3.3137"},{"id":17,"name":"Train ID","value":"161-18"},{"id":16,"name":"Locomotive ID","value":"4016"},{"id":130,"name":"Impact","value":""},{"id":150,"name":"Time of Event (Mountain Time)","value":"11:23:30"},{"id":151,"name":"Denver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"%USERPROFILE%\AppData\Local\Temp\OnboardLogs"\RTDC4016\*4016*201609181* | grep -SE "((Enforcement Ac)|(PRM))" -</v>
      </c>
    </row>
    <row r="8" spans="1:29" s="1" customFormat="1" x14ac:dyDescent="0.25">
      <c r="A8" s="38">
        <v>42631.443368055552</v>
      </c>
      <c r="B8" s="33" t="s">
        <v>164</v>
      </c>
      <c r="C8" s="33" t="s">
        <v>411</v>
      </c>
      <c r="D8" s="33" t="s">
        <v>49</v>
      </c>
      <c r="E8" s="33" t="s">
        <v>169</v>
      </c>
      <c r="F8" s="49">
        <v>0</v>
      </c>
      <c r="G8" s="49">
        <v>129</v>
      </c>
      <c r="H8" s="49">
        <v>59387</v>
      </c>
      <c r="I8" s="49">
        <v>59260</v>
      </c>
      <c r="J8" s="33" t="s">
        <v>168</v>
      </c>
      <c r="K8" s="49">
        <v>58904</v>
      </c>
      <c r="L8" s="150" t="s">
        <v>53</v>
      </c>
      <c r="M8" s="153">
        <f>CONVERT((I8-K8)/10000,"mi","ft")*IF(L8="Increasing Mileposts (1)",-1,1)</f>
        <v>187.96799999999999</v>
      </c>
      <c r="N8" s="92" t="str">
        <f>VLOOKUP(C8,'Trips&amp;Operators'!$C$1:$E$99999,3,FALSE)</f>
        <v>BROWN</v>
      </c>
      <c r="O8" s="174" t="s">
        <v>86</v>
      </c>
      <c r="P8" s="10" t="s">
        <v>394</v>
      </c>
      <c r="Q8" s="33"/>
      <c r="R8" s="108" t="str">
        <f>VLOOKUP(C8,'Train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8" s="111" t="str">
        <f>VLOOKUP(C8,'Train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09:00:08-0600',mode:absolute,to:'2016-09-18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8" s="113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/stypes="*4019*201609181*" /stext=" 16:.+((SYSTEM_STATE.+slice.+state.+changed )|(ment ac)|(system.+state.+changed )|(\|lc)|(penalty)|(\[timeout)|(PRM\|1\|D)|(kpr)|(kdp))" /e /r /s</v>
      </c>
      <c r="U8" s="9" t="str">
        <f>MID(B8,13,4)</f>
        <v>4019</v>
      </c>
      <c r="V8" s="38">
        <f>A8+6/24</f>
        <v>42631.693368055552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3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C","project_id":79,"tracker_id":40,"status_id":1,"priority_id":2,"assigned_to_id":23,"start_date":"2016-09-18","description":"","custom_fields":[{"id":1,"name":"Subdivision","value":"EC"},{"id":4,"name":"Milepost","value":"5.8904"},{"id":17,"name":"Train ID","value":"146-18"},{"id":16,"name":"Locomotive ID","value":"4019"},{"id":130,"name":"Impact","value":""},{"id":150,"name":"Time of Event (Mountain Time)","value":"10:38:27"},{"id":151,"name":"Denver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"%USERPROFILE%\AppData\Local\Temp\OnboardLogs"\RTDC4019\*4019*201609181* | grep -SE "((Enforcement Ac)|(PRM))" -</v>
      </c>
    </row>
    <row r="9" spans="1:29" s="1" customFormat="1" x14ac:dyDescent="0.25">
      <c r="A9" s="38">
        <v>42631.444027777776</v>
      </c>
      <c r="B9" s="33" t="s">
        <v>164</v>
      </c>
      <c r="C9" s="33" t="s">
        <v>411</v>
      </c>
      <c r="D9" s="33" t="s">
        <v>49</v>
      </c>
      <c r="E9" s="33" t="s">
        <v>169</v>
      </c>
      <c r="F9" s="49">
        <v>0</v>
      </c>
      <c r="G9" s="49">
        <v>61</v>
      </c>
      <c r="H9" s="49">
        <v>59040</v>
      </c>
      <c r="I9" s="49">
        <v>58965</v>
      </c>
      <c r="J9" s="33" t="s">
        <v>168</v>
      </c>
      <c r="K9" s="49">
        <v>58904</v>
      </c>
      <c r="L9" s="150" t="s">
        <v>53</v>
      </c>
      <c r="M9" s="153">
        <f>CONVERT((I9-K9)/10000,"mi","ft")*IF(L9="Increasing Mileposts (1)",-1,1)</f>
        <v>32.207999999999998</v>
      </c>
      <c r="N9" s="92" t="str">
        <f>VLOOKUP(C9,'Trips&amp;Operators'!$C$1:$E$99999,3,FALSE)</f>
        <v>BROWN</v>
      </c>
      <c r="O9" s="174" t="s">
        <v>86</v>
      </c>
      <c r="P9" s="10" t="s">
        <v>394</v>
      </c>
      <c r="Q9" s="33"/>
      <c r="R9" s="108" t="str">
        <f>VLOOKUP(C9,'Train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9" s="111" t="str">
        <f>VLOOKUP(C9,'Train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09:00:08-0600',mode:absolute,to:'2016-09-18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9" s="113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/stypes="*4019*201609181*" /stext=" 16:.+((SYSTEM_STATE.+slice.+state.+changed )|(ment ac)|(system.+state.+changed )|(\|lc)|(penalty)|(\[timeout)|(PRM\|1\|D)|(kpr)|(kdp))" /e /r /s</v>
      </c>
      <c r="U9" s="9" t="str">
        <f>MID(B9,13,4)</f>
        <v>4019</v>
      </c>
      <c r="V9" s="38">
        <f>A9+6/24</f>
        <v>42631.694027777776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3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C","project_id":79,"tracker_id":40,"status_id":1,"priority_id":2,"assigned_to_id":23,"start_date":"2016-09-18","description":"","custom_fields":[{"id":1,"name":"Subdivision","value":"EC"},{"id":4,"name":"Milepost","value":"5.8904"},{"id":17,"name":"Train ID","value":"146-18"},{"id":16,"name":"Locomotive ID","value":"4019"},{"id":130,"name":"Impact","value":""},{"id":150,"name":"Time of Event (Mountain Time)","value":"10:39:24"},{"id":151,"name":"Denver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"%USERPROFILE%\AppData\Local\Temp\OnboardLogs"\RTDC4019\*4019*201609181* | grep -SE "((Enforcement Ac)|(PRM))" -</v>
      </c>
    </row>
    <row r="10" spans="1:29" s="1" customFormat="1" x14ac:dyDescent="0.25">
      <c r="A10" s="38">
        <v>42631.274872685186</v>
      </c>
      <c r="B10" s="33" t="s">
        <v>301</v>
      </c>
      <c r="C10" s="33" t="s">
        <v>397</v>
      </c>
      <c r="D10" s="33" t="s">
        <v>248</v>
      </c>
      <c r="E10" s="33" t="s">
        <v>169</v>
      </c>
      <c r="F10" s="49">
        <v>0</v>
      </c>
      <c r="G10" s="49">
        <v>87</v>
      </c>
      <c r="H10" s="49">
        <v>63222</v>
      </c>
      <c r="I10" s="49">
        <v>63157</v>
      </c>
      <c r="J10" s="33" t="s">
        <v>168</v>
      </c>
      <c r="K10" s="49">
        <v>63309</v>
      </c>
      <c r="L10" s="150" t="s">
        <v>53</v>
      </c>
      <c r="M10" s="153">
        <f>CONVERT((I10-K10)/10000,"mi","ft")*IF(L10="Increasing Mileposts (1)",-1,1)</f>
        <v>-80.256</v>
      </c>
      <c r="N10" s="92" t="str">
        <f>VLOOKUP(C10,'Trips&amp;Operators'!$C$1:$E$99999,3,FALSE)</f>
        <v>KILLION</v>
      </c>
      <c r="O10" s="174" t="s">
        <v>86</v>
      </c>
      <c r="P10" s="10" t="s">
        <v>247</v>
      </c>
      <c r="Q10" s="33"/>
      <c r="R10" s="108" t="str">
        <f>VLOOKUP(C10,'Train Runs'!$A$13:$AE$10015,31,0)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S10" s="111" t="str">
        <f>VLOOKUP(C10,'Train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05:04:31-0600',mode:absolute,to:'2016-09-18 07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10" s="113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/stypes="*4037*201609181*" /stext=" 12:.+((SYSTEM_STATE.+slice.+state.+changed )|(ment ac)|(system.+state.+changed )|(\|lc)|(penalty)|(\[timeout)|(PRM\|1\|D)|(kpr)|(kdp))" /e /r /s</v>
      </c>
      <c r="U10" s="9" t="str">
        <f>MID(B10,13,4)</f>
        <v>4037</v>
      </c>
      <c r="V10" s="38">
        <f>A10+6/24</f>
        <v>42631.524872685186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3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arrival","project_id":79,"tracker_id":40,"status_id":1,"priority_id":2,"assigned_to_id":23,"start_date":"2016-09-18","description":"","custom_fields":[{"id":1,"name":"Subdivision","value":"EC"},{"id":4,"name":"Milepost","value":"6.3309"},{"id":17,"name":"Train ID","value":"114-18"},{"id":16,"name":"Locomotive ID","value":"4037"},{"id":130,"name":"Impact","value":""},{"id":150,"name":"Time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"%USERPROFILE%\AppData\Local\Temp\OnboardLogs"\RTDC4037\*4037*201609181* | grep -SE "((Enforcement Ac)|(PRM))" -</v>
      </c>
    </row>
    <row r="11" spans="1:29" s="1" customFormat="1" x14ac:dyDescent="0.25">
      <c r="A11" s="38">
        <v>42631.40997685185</v>
      </c>
      <c r="B11" s="33" t="s">
        <v>261</v>
      </c>
      <c r="C11" s="33" t="s">
        <v>409</v>
      </c>
      <c r="D11" s="33" t="s">
        <v>248</v>
      </c>
      <c r="E11" s="33" t="s">
        <v>169</v>
      </c>
      <c r="F11" s="49">
        <v>0</v>
      </c>
      <c r="G11" s="49">
        <v>235</v>
      </c>
      <c r="H11" s="49">
        <v>78391</v>
      </c>
      <c r="I11" s="49">
        <v>77886</v>
      </c>
      <c r="J11" s="33" t="s">
        <v>168</v>
      </c>
      <c r="K11" s="49">
        <v>78469</v>
      </c>
      <c r="L11" s="150" t="s">
        <v>53</v>
      </c>
      <c r="M11" s="153">
        <f>CONVERT((I11-K11)/10000,"mi","ft")*IF(L11="Increasing Mileposts (1)",-1,1)</f>
        <v>-307.82400000000001</v>
      </c>
      <c r="N11" s="92" t="str">
        <f>VLOOKUP(C11,'Trips&amp;Operators'!$C$1:$E$99999,3,FALSE)</f>
        <v>STRICKLAND</v>
      </c>
      <c r="O11" s="174" t="s">
        <v>86</v>
      </c>
      <c r="P11" s="10" t="s">
        <v>247</v>
      </c>
      <c r="Q11" s="33"/>
      <c r="R11" s="108" t="str">
        <f>VLOOKUP(C11,'Train Runs'!$A$13:$AE$10015,31,0)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S11" s="111" t="str">
        <f>VLOOKUP(C11,'Train Runs'!$A$13:$AE$10015,22,0)</f>
        <v>https://search-rtdc-monitor-bjffxe2xuh6vdkpspy63sjmuny.us-east-1.es.amazonaws.com/_plugin/kibana/#/discover/Steve-Slow-Train-Analysis-(2080s-and-2083s)?_g=(refreshInterval:(display:Off,section:0,value:0),time:(from:'2016-09-18 08:20:39-0600',mode:absolute,to:'2016-09-18 11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11" s="113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/stypes="*4043*201609181*" /stext=" 15:.+((SYSTEM_STATE.+slice.+state.+changed )|(ment ac)|(system.+state.+changed )|(\|lc)|(penalty)|(\[timeout)|(PRM\|1\|D)|(kpr)|(kdp))" /e /r /s</v>
      </c>
      <c r="U11" s="9" t="str">
        <f>MID(B11,13,4)</f>
        <v>4043</v>
      </c>
      <c r="V11" s="38">
        <f>A11+6/24</f>
        <v>42631.65997685185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3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arrival","project_id":79,"tracker_id":40,"status_id":1,"priority_id":2,"assigned_to_id":23,"start_date":"2016-09-18","description":"","custom_fields":[{"id":1,"name":"Subdivision","value":"EC"},{"id":4,"name":"Milepost","value":"7.8469"},{"id":17,"name":"Train ID","value":"140-18"},{"id":16,"name":"Locomotive ID","value":"4043"},{"id":130,"name":"Impact","value":""},{"id":150,"name":"Time of Event (Mountain Time)","value":"09:50:22"},{"id":151,"name":"Denver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"%USERPROFILE%\AppData\Local\Temp\OnboardLogs"\RTDC4043\*4043*201609181* | grep -SE "((Enforcement Ac)|(PRM))" -</v>
      </c>
    </row>
    <row r="12" spans="1:29" s="1" customFormat="1" x14ac:dyDescent="0.25">
      <c r="A12" s="38">
        <v>42631.282453703701</v>
      </c>
      <c r="B12" s="33" t="s">
        <v>258</v>
      </c>
      <c r="C12" s="33" t="s">
        <v>398</v>
      </c>
      <c r="D12" s="33" t="s">
        <v>105</v>
      </c>
      <c r="E12" s="33" t="s">
        <v>56</v>
      </c>
      <c r="F12" s="49">
        <v>150</v>
      </c>
      <c r="G12" s="49">
        <v>205</v>
      </c>
      <c r="H12" s="49">
        <v>3116</v>
      </c>
      <c r="I12" s="49">
        <v>3556</v>
      </c>
      <c r="J12" s="33" t="s">
        <v>57</v>
      </c>
      <c r="K12" s="49">
        <v>0</v>
      </c>
      <c r="L12" s="150" t="s">
        <v>52</v>
      </c>
      <c r="M12" s="153">
        <f>CONVERT((I12-K12)/10000,"mi","ft")*IF(L12="Increasing Mileposts (1)",-1,1)</f>
        <v>-1877.568</v>
      </c>
      <c r="N12" s="92" t="str">
        <f>VLOOKUP(C12,'Trips&amp;Operators'!$C$1:$E$99999,3,FALSE)</f>
        <v>STRICKLAND</v>
      </c>
      <c r="O12" s="174" t="s">
        <v>86</v>
      </c>
      <c r="P12" s="10"/>
      <c r="Q12" s="33"/>
      <c r="R12" s="108" t="str">
        <f>VLOOKUP(C12,'Train Runs'!$A$13:$AE$10015,31,0)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S12" s="111" t="str">
        <f>VLOOKUP(C12,'Train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05:37:27-0600',mode:absolute,to:'2016-09-18 08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12" s="113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/stypes="*4044*201609181*" /stext=" 12:.+((SYSTEM_STATE.+slice.+state.+changed )|(ment ac)|(system.+state.+changed )|(\|lc)|(penalty)|(\[timeout)|(PRM\|1\|D)|(kpr)|(kdp))" /e /r /s</v>
      </c>
      <c r="U12" s="9" t="str">
        <f>MID(B12,13,4)</f>
        <v>4044</v>
      </c>
      <c r="V12" s="38">
        <f>A12+6/24</f>
        <v>42631.532453703701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3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{"issue":{"subject":"","project_id":79,"tracker_id":40,"status_id":1,"priority_id":2,"assigned_to_id":23,"start_date":"2016-09-18","description":"","custom_fields":[{"id":1,"name":"Subdivision","value":"EC"},{"id":4,"name":"Milepost","value":"0"},{"id":17,"name":"Train ID","value":"125-18"},{"id":16,"name":"Locomotive ID","value":"4044"},{"id":130,"name":"Impact","value":""},{"id":150,"name":"Time of Event (Mountain Time)","value":"06:46:44"},{"id":151,"name":"Denver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"%USERPROFILE%\AppData\Local\Temp\OnboardLogs"\RTDC4044\*4044*201609181* | grep -SE "((Enforcement Ac)|(PRM))" -</v>
      </c>
    </row>
    <row r="13" spans="1:29" s="1" customFormat="1" x14ac:dyDescent="0.25">
      <c r="A13" s="38">
        <v>42631.918113425927</v>
      </c>
      <c r="B13" s="33" t="s">
        <v>229</v>
      </c>
      <c r="C13" s="33" t="s">
        <v>426</v>
      </c>
      <c r="D13" s="33" t="s">
        <v>105</v>
      </c>
      <c r="E13" s="33" t="s">
        <v>56</v>
      </c>
      <c r="F13" s="49">
        <v>200</v>
      </c>
      <c r="G13" s="49">
        <v>251</v>
      </c>
      <c r="H13" s="49">
        <v>5181</v>
      </c>
      <c r="I13" s="49">
        <v>5574</v>
      </c>
      <c r="J13" s="33" t="s">
        <v>57</v>
      </c>
      <c r="K13" s="49">
        <v>4677</v>
      </c>
      <c r="L13" s="150" t="s">
        <v>52</v>
      </c>
      <c r="M13" s="153">
        <f>CONVERT((I13-K13)/10000,"mi","ft")*IF(L13="Increasing Mileposts (1)",-1,1)</f>
        <v>-473.61599999999999</v>
      </c>
      <c r="N13" s="92" t="str">
        <f>VLOOKUP(C13,'Trips&amp;Operators'!$C$1:$E$99999,3,FALSE)</f>
        <v>NEWELL</v>
      </c>
      <c r="O13" s="174" t="s">
        <v>86</v>
      </c>
      <c r="P13" s="10"/>
      <c r="Q13" s="33"/>
      <c r="R13" s="108" t="str">
        <f>VLOOKUP(C13,'Train Runs'!$A$13:$AE$10015,31,0)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S13" s="111" t="str">
        <f>VLOOKUP(C13,'Train Runs'!$A$13:$AE$10015,22,0)</f>
        <v>https://search-rtdc-monitor-bjffxe2xuh6vdkpspy63sjmuny.us-east-1.es.amazonaws.com/_plugin/kibana/#/discover/Steve-Slow-Train-Analysis-(2080s-and-2083s)?_g=(refreshInterval:(display:Off,section:0,value:0),time:(from:'2016-09-18 20:53:07-0600',mode:absolute,to:'2016-09-18 23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3" s="113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/stypes="*4016*201609190*" /stext=" 04:.+((SYSTEM_STATE.+slice.+state.+changed )|(ment ac)|(system.+state.+changed )|(\|lc)|(penalty)|(\[timeout)|(PRM\|1\|D)|(kpr)|(kdp))" /e /r /s</v>
      </c>
      <c r="U13" s="9" t="str">
        <f>MID(B13,13,4)</f>
        <v>4016</v>
      </c>
      <c r="V13" s="38">
        <f>A13+6/24</f>
        <v>42632.168113425927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3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{"issue":{"subject":"","project_id":79,"tracker_id":40,"status_id":1,"priority_id":2,"assigned_to_id":23,"start_date":"2016-09-18","description":"","custom_fields":[{"id":1,"name":"Subdivision","value":"EC"},{"id":4,"name":"Milepost","value":"0.4677"},{"id":17,"name":"Train ID","value":"233-18"},{"id":16,"name":"Locomotive ID","value":"4016"},{"id":130,"name":"Impact","value":""},{"id":150,"name":"Time of Event (Mountain Time)","value":"22:02:05"},{"id":151,"name":"Denver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"%USERPROFILE%\AppData\Local\Temp\OnboardLogs"\RTDC4016\*4016*201609190* | grep -SE "((Enforcement Ac)|(PRM))" -</v>
      </c>
    </row>
    <row r="14" spans="1:29" s="1" customFormat="1" x14ac:dyDescent="0.25">
      <c r="A14" s="38">
        <v>42631.376759259256</v>
      </c>
      <c r="B14" s="33" t="s">
        <v>164</v>
      </c>
      <c r="C14" s="33" t="s">
        <v>406</v>
      </c>
      <c r="D14" s="33" t="s">
        <v>49</v>
      </c>
      <c r="E14" s="33" t="s">
        <v>56</v>
      </c>
      <c r="F14" s="49">
        <v>450</v>
      </c>
      <c r="G14" s="49">
        <v>500</v>
      </c>
      <c r="H14" s="49">
        <v>15659</v>
      </c>
      <c r="I14" s="49">
        <v>13407</v>
      </c>
      <c r="J14" s="33" t="s">
        <v>57</v>
      </c>
      <c r="K14" s="49">
        <v>15167</v>
      </c>
      <c r="L14" s="150" t="s">
        <v>53</v>
      </c>
      <c r="M14" s="153">
        <f>CONVERT((I14-K14)/10000,"mi","ft")*IF(L14="Increasing Mileposts (1)",-1,1)</f>
        <v>-929.28</v>
      </c>
      <c r="N14" s="92" t="str">
        <f>VLOOKUP(C14,'Trips&amp;Operators'!$C$1:$E$99999,3,FALSE)</f>
        <v>BROWN</v>
      </c>
      <c r="O14" s="174" t="s">
        <v>86</v>
      </c>
      <c r="P14" s="10"/>
      <c r="Q14" s="33"/>
      <c r="R14" s="108" t="str">
        <f>VLOOKUP(C14,'Train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14" s="111" t="str">
        <f>VLOOKUP(C14,'Train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07:13:38-0600',mode:absolute,to:'2016-09-18 10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4" s="113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/stypes="*4019*201609181*" /stext=" 15:.+((SYSTEM_STATE.+slice.+state.+changed )|(ment ac)|(system.+state.+changed )|(\|lc)|(penalty)|(\[timeout)|(PRM\|1\|D)|(kpr)|(kdp))" /e /r /s</v>
      </c>
      <c r="U14" s="9" t="str">
        <f>MID(B14,13,4)</f>
        <v>4019</v>
      </c>
      <c r="V14" s="38">
        <f>A14+6/24</f>
        <v>42631.626759259256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3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{"issue":{"subject":"","project_id":79,"tracker_id":40,"status_id":1,"priority_id":2,"assigned_to_id":23,"start_date":"2016-09-18","description":"","custom_fields":[{"id":1,"name":"Subdivision","value":"EC"},{"id":4,"name":"Milepost","value":"1.5167"},{"id":17,"name":"Train ID","value":"132-18"},{"id":16,"name":"Locomotive ID","value":"4019"},{"id":130,"name":"Impact","value":""},{"id":150,"name":"Time of Event (Mountain Time)","value":"09:02:32"},{"id":151,"name":"Denver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"%USERPROFILE%\AppData\Local\Temp\OnboardLogs"\RTDC4019\*4019*201609181* | grep -SE "((Enforcement Ac)|(PRM))" -</v>
      </c>
    </row>
    <row r="15" spans="1:29" s="1" customFormat="1" x14ac:dyDescent="0.25">
      <c r="A15" s="38">
        <v>42631.28466435185</v>
      </c>
      <c r="B15" s="33" t="s">
        <v>258</v>
      </c>
      <c r="C15" s="33" t="s">
        <v>398</v>
      </c>
      <c r="D15" s="33" t="s">
        <v>49</v>
      </c>
      <c r="E15" s="33" t="s">
        <v>56</v>
      </c>
      <c r="F15" s="49">
        <v>400</v>
      </c>
      <c r="G15" s="49">
        <v>487</v>
      </c>
      <c r="H15" s="49">
        <v>17265</v>
      </c>
      <c r="I15" s="49">
        <v>18114</v>
      </c>
      <c r="J15" s="33" t="s">
        <v>57</v>
      </c>
      <c r="K15" s="49">
        <v>17867</v>
      </c>
      <c r="L15" s="150" t="s">
        <v>52</v>
      </c>
      <c r="M15" s="153">
        <f>CONVERT((I15-K15)/10000,"mi","ft")*IF(L15="Increasing Mileposts (1)",-1,1)</f>
        <v>-130.416</v>
      </c>
      <c r="N15" s="92" t="str">
        <f>VLOOKUP(C15,'Trips&amp;Operators'!$C$1:$E$99999,3,FALSE)</f>
        <v>STRICKLAND</v>
      </c>
      <c r="O15" s="174" t="s">
        <v>86</v>
      </c>
      <c r="P15" s="10"/>
      <c r="Q15" s="33"/>
      <c r="R15" s="108" t="str">
        <f>VLOOKUP(C15,'Train Runs'!$A$13:$AE$10015,31,0)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S15" s="111" t="str">
        <f>VLOOKUP(C15,'Train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05:37:27-0600',mode:absolute,to:'2016-09-18 08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15" s="113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/stypes="*4044*201609181*" /stext=" 12:.+((SYSTEM_STATE.+slice.+state.+changed )|(ment ac)|(system.+state.+changed )|(\|lc)|(penalty)|(\[timeout)|(PRM\|1\|D)|(kpr)|(kdp))" /e /r /s</v>
      </c>
      <c r="U15" s="9" t="str">
        <f>MID(B15,13,4)</f>
        <v>4044</v>
      </c>
      <c r="V15" s="38">
        <f>A15+6/24</f>
        <v>42631.53466435185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3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{"issue":{"subject":"","project_id":79,"tracker_id":40,"status_id":1,"priority_id":2,"assigned_to_id":23,"start_date":"2016-09-18","description":"","custom_fields":[{"id":1,"name":"Subdivision","value":"EC"},{"id":4,"name":"Milepost","value":"1.7867"},{"id":17,"name":"Train ID","value":"125-18"},{"id":16,"name":"Locomotive ID","value":"4044"},{"id":130,"name":"Impact","value":""},{"id":150,"name":"Time of Event (Mountain Time)","value":"06:49:55"},{"id":151,"name":"Denver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"%USERPROFILE%\AppData\Local\Temp\OnboardLogs"\RTDC4044\*4044*201609181* | grep -SE "((Enforcement Ac)|(PRM))" -</v>
      </c>
    </row>
    <row r="16" spans="1:29" s="1" customFormat="1" x14ac:dyDescent="0.25">
      <c r="A16" s="38">
        <v>42631.239907407406</v>
      </c>
      <c r="B16" s="33" t="s">
        <v>243</v>
      </c>
      <c r="C16" s="33" t="s">
        <v>396</v>
      </c>
      <c r="D16" s="33" t="s">
        <v>49</v>
      </c>
      <c r="E16" s="33" t="s">
        <v>56</v>
      </c>
      <c r="F16" s="49">
        <v>300</v>
      </c>
      <c r="G16" s="49">
        <v>420</v>
      </c>
      <c r="H16" s="49">
        <v>23521</v>
      </c>
      <c r="I16" s="49">
        <v>22111</v>
      </c>
      <c r="J16" s="33" t="s">
        <v>57</v>
      </c>
      <c r="K16" s="49">
        <v>21848</v>
      </c>
      <c r="L16" s="150" t="s">
        <v>53</v>
      </c>
      <c r="M16" s="153">
        <f>CONVERT((I16-K16)/10000,"mi","ft")*IF(L16="Increasing Mileposts (1)",-1,1)</f>
        <v>138.864</v>
      </c>
      <c r="N16" s="92" t="str">
        <f>VLOOKUP(C16,'Trips&amp;Operators'!$C$1:$E$99999,3,FALSE)</f>
        <v>MAELZER</v>
      </c>
      <c r="O16" s="174" t="s">
        <v>86</v>
      </c>
      <c r="P16" s="10"/>
      <c r="Q16" s="33"/>
      <c r="R16" s="108" t="str">
        <f>VLOOKUP(C16,'Train Runs'!$A$13:$AE$10015,31,0)</f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S16" s="111" t="str">
        <f>VLOOKUP(C16,'Train Runs'!$A$13:$AE$10015,22,0)</f>
        <v>https://search-rtdc-monitor-bjffxe2xuh6vdkpspy63sjmuny.us-east-1.es.amazonaws.com/_plugin/kibana/#/discover/Steve-Slow-Train-Analysis-(2080s-and-2083s)?_g=(refreshInterval:(display:Off,section:0,value:0),time:(from:'2016-09-18 04:01:52-0600',mode:absolute,to:'2016-09-18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6" s="113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/stypes="*4013*201609181*" /stext=" 11:.+((SYSTEM_STATE.+slice.+state.+changed )|(ment ac)|(system.+state.+changed )|(\|lc)|(penalty)|(\[timeout)|(PRM\|1\|D)|(kpr)|(kdp))" /e /r /s</v>
      </c>
      <c r="U16" s="9" t="str">
        <f>MID(B16,13,4)</f>
        <v>4013</v>
      </c>
      <c r="V16" s="38">
        <f>A16+6/24</f>
        <v>42631.489907407406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3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{"issue":{"subject":"","project_id":79,"tracker_id":40,"status_id":1,"priority_id":2,"assigned_to_id":23,"start_date":"2016-09-18","description":"","custom_fields":[{"id":1,"name":"Subdivision","value":"EC"},{"id":4,"name":"Milepost","value":"2.1848"},{"id":17,"name":"Train ID","value":"106-18"},{"id":16,"name":"Locomotive ID","value":"4013"},{"id":130,"name":"Impact","value":""},{"id":150,"name":"Time of Event (Mountain Time)","value":"05:45:28"},{"id":151,"name":"Denver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"%USERPROFILE%\AppData\Local\Temp\OnboardLogs"\RTDC4013\*4013*201609181* | grep -SE "((Enforcement Ac)|(PRM))" -</v>
      </c>
    </row>
    <row r="17" spans="1:29" s="1" customFormat="1" x14ac:dyDescent="0.25">
      <c r="A17" s="38">
        <v>42631.366249999999</v>
      </c>
      <c r="B17" s="33" t="s">
        <v>297</v>
      </c>
      <c r="C17" s="33" t="s">
        <v>405</v>
      </c>
      <c r="D17" s="33" t="s">
        <v>105</v>
      </c>
      <c r="E17" s="33" t="s">
        <v>56</v>
      </c>
      <c r="F17" s="49">
        <v>700</v>
      </c>
      <c r="G17" s="49">
        <v>753</v>
      </c>
      <c r="H17" s="49">
        <v>174491</v>
      </c>
      <c r="I17" s="49">
        <v>177164</v>
      </c>
      <c r="J17" s="33" t="s">
        <v>57</v>
      </c>
      <c r="K17" s="49">
        <v>161962</v>
      </c>
      <c r="L17" s="150" t="s">
        <v>52</v>
      </c>
      <c r="M17" s="153">
        <f>CONVERT((I17-K17)/10000,"mi","ft")*IF(L17="Increasing Mileposts (1)",-1,1)</f>
        <v>-8026.6559999999999</v>
      </c>
      <c r="N17" s="92" t="str">
        <f>VLOOKUP(C17,'Trips&amp;Operators'!$C$1:$E$99999,3,FALSE)</f>
        <v>MALAVE</v>
      </c>
      <c r="O17" s="174" t="s">
        <v>86</v>
      </c>
      <c r="P17" s="10"/>
      <c r="Q17" s="33"/>
      <c r="R17" s="108" t="str">
        <f>VLOOKUP(C17,'Train Runs'!$A$13:$AE$10015,31,0)</f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S17" s="111" t="str">
        <f>VLOOKUP(C17,'Train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07:13:11-0600',mode:absolute,to:'2016-09-18 09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7" s="113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/stypes="*4003*201609181*" /stext=" 14:.+((SYSTEM_STATE.+slice.+state.+changed )|(ment ac)|(system.+state.+changed )|(\|lc)|(penalty)|(\[timeout)|(PRM\|1\|D)|(kpr)|(kdp))" /e /r /s</v>
      </c>
      <c r="U17" s="9" t="str">
        <f>MID(B17,13,4)</f>
        <v>4003</v>
      </c>
      <c r="V17" s="38">
        <f>A17+6/24</f>
        <v>42631.616249999999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3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{"issue":{"subject":"","project_id":79,"tracker_id":40,"status_id":1,"priority_id":2,"assigned_to_id":23,"start_date":"2016-09-18","description":"","custom_fields":[{"id":1,"name":"Subdivision","value":"EC"},{"id":4,"name":"Milepost","value":"16.1962"},{"id":17,"name":"Train ID","value":"137-18"},{"id":16,"name":"Locomotive ID","value":"4003"},{"id":130,"name":"Impact","value":""},{"id":150,"name":"Time of Event (Mountain Time)","value":"08:47:24"},{"id":151,"name":"Denver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"%USERPROFILE%\AppData\Local\Temp\OnboardLogs"\RTDC4003\*4003*201609181* | grep -SE "((Enforcement Ac)|(PRM))" -</v>
      </c>
    </row>
    <row r="18" spans="1:29" s="1" customFormat="1" x14ac:dyDescent="0.25">
      <c r="A18" s="38">
        <v>42631.418113425927</v>
      </c>
      <c r="B18" s="33" t="s">
        <v>229</v>
      </c>
      <c r="C18" s="33" t="s">
        <v>410</v>
      </c>
      <c r="D18" s="33" t="s">
        <v>49</v>
      </c>
      <c r="E18" s="33" t="s">
        <v>56</v>
      </c>
      <c r="F18" s="49">
        <v>600</v>
      </c>
      <c r="G18" s="49">
        <v>735</v>
      </c>
      <c r="H18" s="49">
        <v>181175</v>
      </c>
      <c r="I18" s="49">
        <v>184014</v>
      </c>
      <c r="J18" s="33" t="s">
        <v>57</v>
      </c>
      <c r="K18" s="49">
        <v>183829</v>
      </c>
      <c r="L18" s="150" t="s">
        <v>52</v>
      </c>
      <c r="M18" s="153">
        <f>CONVERT((I18-K18)/10000,"mi","ft")*IF(L18="Increasing Mileposts (1)",-1,1)</f>
        <v>-97.68</v>
      </c>
      <c r="N18" s="92" t="str">
        <f>VLOOKUP(C18,'Trips&amp;Operators'!$C$1:$E$99999,3,FALSE)</f>
        <v>MAELZER</v>
      </c>
      <c r="O18" s="174" t="s">
        <v>86</v>
      </c>
      <c r="P18" s="10"/>
      <c r="Q18" s="33"/>
      <c r="R18" s="108" t="str">
        <f>VLOOKUP(C18,'Train Runs'!$A$13:$AE$10015,31,0)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S18" s="111" t="str">
        <f>VLOOKUP(C18,'Train Runs'!$A$13:$AE$10015,22,0)</f>
        <v>https://search-rtdc-monitor-bjffxe2xuh6vdkpspy63sjmuny.us-east-1.es.amazonaws.com/_plugin/kibana/#/discover/Steve-Slow-Train-Analysis-(2080s-and-2083s)?_g=(refreshInterval:(display:Off,section:0,value:0),time:(from:'2016-09-18 08:25:10-0600',mode:absolute,to:'2016-09-18 11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8" s="113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/stypes="*4016*201609181*" /stext=" 16:.+((SYSTEM_STATE.+slice.+state.+changed )|(ment ac)|(system.+state.+changed )|(\|lc)|(penalty)|(\[timeout)|(PRM\|1\|D)|(kpr)|(kdp))" /e /r /s</v>
      </c>
      <c r="U18" s="9" t="str">
        <f>MID(B18,13,4)</f>
        <v>4016</v>
      </c>
      <c r="V18" s="38">
        <f>A18+6/24</f>
        <v>42631.668113425927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3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{"issue":{"subject":"","project_id":79,"tracker_id":40,"status_id":1,"priority_id":2,"assigned_to_id":23,"start_date":"2016-09-18","description":"","custom_fields":[{"id":1,"name":"Subdivision","value":"EC"},{"id":4,"name":"Milepost","value":"18.3829"},{"id":17,"name":"Train ID","value":"147-18"},{"id":16,"name":"Locomotive ID","value":"4016"},{"id":130,"name":"Impact","value":""},{"id":150,"name":"Time of Event (Mountain Time)","value":"10:02:05"},{"id":151,"name":"Denver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"%USERPROFILE%\AppData\Local\Temp\OnboardLogs"\RTDC4016\*4016*201609181* | grep -SE "((Enforcement Ac)|(PRM))" -</v>
      </c>
    </row>
    <row r="19" spans="1:29" s="1" customFormat="1" x14ac:dyDescent="0.25">
      <c r="A19" s="38">
        <v>42631.314976851849</v>
      </c>
      <c r="B19" s="33" t="s">
        <v>300</v>
      </c>
      <c r="C19" s="33" t="s">
        <v>403</v>
      </c>
      <c r="D19" s="33" t="s">
        <v>105</v>
      </c>
      <c r="E19" s="33" t="s">
        <v>56</v>
      </c>
      <c r="F19" s="49">
        <v>600</v>
      </c>
      <c r="G19" s="49">
        <v>650</v>
      </c>
      <c r="H19" s="49">
        <v>184601</v>
      </c>
      <c r="I19" s="49">
        <v>181524</v>
      </c>
      <c r="J19" s="33" t="s">
        <v>57</v>
      </c>
      <c r="K19" s="49">
        <v>190834</v>
      </c>
      <c r="L19" s="150" t="s">
        <v>53</v>
      </c>
      <c r="M19" s="153">
        <f>CONVERT((I19-K19)/10000,"mi","ft")*IF(L19="Increasing Mileposts (1)",-1,1)</f>
        <v>-4915.68</v>
      </c>
      <c r="N19" s="92" t="str">
        <f>VLOOKUP(C19,'Trips&amp;Operators'!$C$1:$E$99999,3,FALSE)</f>
        <v>MALAVE</v>
      </c>
      <c r="O19" s="174" t="s">
        <v>86</v>
      </c>
      <c r="P19" s="10"/>
      <c r="Q19" s="33"/>
      <c r="R19" s="108" t="str">
        <f>VLOOKUP(C19,'Train Runs'!$A$13:$AE$10015,31,0)</f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S19" s="111" t="str">
        <f>VLOOKUP(C19,'Train Runs'!$A$13:$AE$10015,22,0)</f>
        <v>https://search-rtdc-monitor-bjffxe2xuh6vdkpspy63sjmuny.us-east-1.es.amazonaws.com/_plugin/kibana/#/discover/Steve-Slow-Train-Analysis-(2080s-and-2083s)?_g=(refreshInterval:(display:Off,section:0,value:0),time:(from:'2016-09-18 06:23:56-0600',mode:absolute,to:'2016-09-18 09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9" s="113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/stypes="*4004*201609181*" /stext=" 13:.+((SYSTEM_STATE.+slice.+state.+changed )|(ment ac)|(system.+state.+changed )|(\|lc)|(penalty)|(\[timeout)|(PRM\|1\|D)|(kpr)|(kdp))" /e /r /s</v>
      </c>
      <c r="U19" s="9" t="str">
        <f>MID(B19,13,4)</f>
        <v>4004</v>
      </c>
      <c r="V19" s="38">
        <f>A19+6/24</f>
        <v>42631.564976851849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3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{"issue":{"subject":"","project_id":79,"tracker_id":40,"status_id":1,"priority_id":2,"assigned_to_id":23,"start_date":"2016-09-18","description":"","custom_fields":[{"id":1,"name":"Subdivision","value":"EC"},{"id":4,"name":"Milepost","value":"19.0834"},{"id":17,"name":"Train ID","value":"124-18"},{"id":16,"name":"Locomotive ID","value":"4004"},{"id":130,"name":"Impact","value":""},{"id":150,"name":"Time of Event (Mountain Time)","value":"07:33:34"},{"id":151,"name":"Denver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"%USERPROFILE%\AppData\Local\Temp\OnboardLogs"\RTDC4004\*4004*201609181* | grep -SE "((Enforcement Ac)|(PRM))" -</v>
      </c>
    </row>
    <row r="20" spans="1:29" s="1" customFormat="1" x14ac:dyDescent="0.25">
      <c r="A20" s="38">
        <v>42631.294490740744</v>
      </c>
      <c r="B20" s="33" t="s">
        <v>297</v>
      </c>
      <c r="C20" s="33" t="s">
        <v>399</v>
      </c>
      <c r="D20" s="33" t="s">
        <v>49</v>
      </c>
      <c r="E20" s="33" t="s">
        <v>56</v>
      </c>
      <c r="F20" s="49">
        <v>350</v>
      </c>
      <c r="G20" s="49">
        <v>521</v>
      </c>
      <c r="H20" s="49">
        <v>222841</v>
      </c>
      <c r="I20" s="49">
        <v>224324</v>
      </c>
      <c r="J20" s="33" t="s">
        <v>57</v>
      </c>
      <c r="K20" s="49">
        <v>224578</v>
      </c>
      <c r="L20" s="150" t="s">
        <v>52</v>
      </c>
      <c r="M20" s="153">
        <f>CONVERT((I20-K20)/10000,"mi","ft")*IF(L20="Increasing Mileposts (1)",-1,1)</f>
        <v>134.11199999999999</v>
      </c>
      <c r="N20" s="92" t="str">
        <f>VLOOKUP(C20,'Trips&amp;Operators'!$C$1:$E$99999,3,FALSE)</f>
        <v>MALAVE</v>
      </c>
      <c r="O20" s="174" t="s">
        <v>86</v>
      </c>
      <c r="P20" s="10"/>
      <c r="Q20" s="33"/>
      <c r="R20" s="108" t="str">
        <f>VLOOKUP(C20,'Train Runs'!$A$13:$AE$10015,31,0)</f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S20" s="111" t="str">
        <f>VLOOKUP(C20,'Train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05:28:29-0600',mode:absolute,to:'2016-09-18 08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0" s="113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/stypes="*4003*201609181*" /stext=" 13:.+((SYSTEM_STATE.+slice.+state.+changed )|(ment ac)|(system.+state.+changed )|(\|lc)|(penalty)|(\[timeout)|(PRM\|1\|D)|(kpr)|(kdp))" /e /r /s</v>
      </c>
      <c r="U20" s="9" t="str">
        <f>MID(B20,13,4)</f>
        <v>4003</v>
      </c>
      <c r="V20" s="38">
        <f>A20+6/24</f>
        <v>42631.544490740744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3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{"issue":{"subject":"","project_id":79,"tracker_id":40,"status_id":1,"priority_id":2,"assigned_to_id":23,"start_date":"2016-09-18","description":"","custom_fields":[{"id":1,"name":"Subdivision","value":"EC"},{"id":4,"name":"Milepost","value":"22.4578"},{"id":17,"name":"Train ID","value":"123-18"},{"id":16,"name":"Locomotive ID","value":"4003"},{"id":130,"name":"Impact","value":""},{"id":150,"name":"Time of Event (Mountain Time)","value":"07:04:04"},{"id":151,"name":"Denver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"%USERPROFILE%\AppData\Local\Temp\OnboardLogs"\RTDC4003\*4003*201609181* | grep -SE "((Enforcement Ac)|(PRM))" -</v>
      </c>
    </row>
    <row r="21" spans="1:29" x14ac:dyDescent="0.25">
      <c r="A21" s="38">
        <v>42631.770590277774</v>
      </c>
      <c r="B21" s="33" t="s">
        <v>301</v>
      </c>
      <c r="C21" s="33" t="s">
        <v>425</v>
      </c>
      <c r="D21" s="33" t="s">
        <v>105</v>
      </c>
      <c r="E21" s="33" t="s">
        <v>56</v>
      </c>
      <c r="F21" s="49">
        <v>350</v>
      </c>
      <c r="G21" s="49">
        <v>402</v>
      </c>
      <c r="H21" s="49">
        <v>225972</v>
      </c>
      <c r="I21" s="49">
        <v>224993</v>
      </c>
      <c r="J21" s="33" t="s">
        <v>57</v>
      </c>
      <c r="K21" s="49">
        <v>228668</v>
      </c>
      <c r="L21" s="150" t="s">
        <v>53</v>
      </c>
      <c r="M21" s="153">
        <f>CONVERT((I21-K21)/10000,"mi","ft")*IF(L21="Increasing Mileposts (1)",-1,1)</f>
        <v>-1940.4</v>
      </c>
      <c r="N21" s="92" t="str">
        <f>VLOOKUP(C21,'Trips&amp;Operators'!$C$1:$E$99999,3,FALSE)</f>
        <v>OUN</v>
      </c>
      <c r="O21" s="174" t="s">
        <v>86</v>
      </c>
      <c r="P21" s="10"/>
      <c r="Q21" s="33"/>
      <c r="R21" s="108" t="str">
        <f>VLOOKUP(C21,'Train Runs'!$A$13:$AE$10015,31,0)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S21" s="111" t="str">
        <f>VLOOKUP(C21,'Train Runs'!$A$13:$AE$10015,22,0)</f>
        <v>https://search-rtdc-monitor-bjffxe2xuh6vdkpspy63sjmuny.us-east-1.es.amazonaws.com/_plugin/kibana/#/discover/Steve-Slow-Train-Analysis-(2080s-and-2083s)?_g=(refreshInterval:(display:Off,section:0,value:0),time:(from:'2016-09-18 17:19:02-0600',mode:absolute,to:'2016-09-18 20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1" s="113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/stypes="*4037*201609190*" /stext=" 00:.+((SYSTEM_STATE.+slice.+state.+changed )|(ment ac)|(system.+state.+changed )|(\|lc)|(penalty)|(\[timeout)|(PRM\|1\|D)|(kpr)|(kdp))" /e /r /s</v>
      </c>
      <c r="U21" s="9" t="str">
        <f>MID(B21,13,4)</f>
        <v>4037</v>
      </c>
      <c r="V21" s="38">
        <f>A21+6/24</f>
        <v>42632.020590277774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3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{"issue":{"subject":"","project_id":79,"tracker_id":40,"status_id":1,"priority_id":2,"assigned_to_id":23,"start_date":"2016-09-18","description":"","custom_fields":[{"id":1,"name":"Subdivision","value":"EC"},{"id":4,"name":"Milepost","value":"22.8668"},{"id":17,"name":"Train ID","value":"212-18"},{"id":16,"name":"Locomotive ID","value":"4037"},{"id":130,"name":"Impact","value":""},{"id":150,"name":"Time of Event (Mountain Time)","value":"18:29:39"},{"id":151,"name":"Denver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"%USERPROFILE%\AppData\Local\Temp\OnboardLogs"\RTDC4037\*4037*201609190* | grep -SE "((Enforcement Ac)|(PRM))" -</v>
      </c>
    </row>
    <row r="22" spans="1:29" x14ac:dyDescent="0.25">
      <c r="A22" s="38">
        <v>42631.445023148146</v>
      </c>
      <c r="B22" s="33" t="s">
        <v>407</v>
      </c>
      <c r="C22" s="33" t="s">
        <v>412</v>
      </c>
      <c r="D22" s="33" t="s">
        <v>49</v>
      </c>
      <c r="E22" s="33" t="s">
        <v>54</v>
      </c>
      <c r="F22" s="49">
        <v>0</v>
      </c>
      <c r="G22" s="49">
        <v>94</v>
      </c>
      <c r="H22" s="49">
        <v>127913</v>
      </c>
      <c r="I22" s="49">
        <v>127816</v>
      </c>
      <c r="J22" s="33" t="s">
        <v>55</v>
      </c>
      <c r="K22" s="49">
        <v>127587</v>
      </c>
      <c r="L22" s="150" t="s">
        <v>53</v>
      </c>
      <c r="M22" s="153">
        <f>CONVERT((I22-K22)/10000,"mi","ft")*IF(L22="Increasing Mileposts (1)",-1,1)</f>
        <v>120.91200000000001</v>
      </c>
      <c r="N22" s="92" t="str">
        <f>VLOOKUP(C22,'Trips&amp;Operators'!$C$1:$E$99999,3,FALSE)</f>
        <v>MAELZER</v>
      </c>
      <c r="O22" s="174" t="s">
        <v>86</v>
      </c>
      <c r="P22" s="10" t="s">
        <v>729</v>
      </c>
      <c r="Q22" s="33"/>
      <c r="R22" s="108" t="str">
        <f>VLOOKUP(C22,'Train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2" s="111" t="str">
        <f>VLOOKUP(C22,'Train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09:18:37-0600',mode:absolute,to:'2016-09-18 12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2" s="113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/stypes="*4015*201609181*" /stext=" 16:.+((SYSTEM_STATE.+slice.+state.+changed )|(ment ac)|(system.+state.+changed )|(\|lc)|(penalty)|(\[timeout)|(PRM\|1\|D)|(kpr)|(kdp))" /e /r /s</v>
      </c>
      <c r="U22" s="9" t="str">
        <f>MID(B22,13,4)</f>
        <v>4015</v>
      </c>
      <c r="V22" s="38">
        <f>A22+6/24</f>
        <v>42631.695023148146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3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afterward","project_id":79,"tracker_id":40,"status_id":1,"priority_id":2,"assigned_to_id":23,"start_date":"2016-09-18","description":"","custom_fields":[{"id":1,"name":"Subdivision","value":"EC"},{"id":4,"name":"Milepost","value":"12.7587"},{"id":17,"name":"Train ID","value":"148-18"},{"id":16,"name":"Locomotive ID","value":"4015"},{"id":130,"name":"Impact","value":""},{"id":150,"name":"Time of Event (Mountain Time)","value":"10:40:50"},{"id":151,"name":"Denver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"%USERPROFILE%\AppData\Local\Temp\OnboardLogs"\RTDC4015\*4015*201609181* | grep -SE "((Enforcement Ac)|(PRM))" -</v>
      </c>
    </row>
    <row r="23" spans="1:29" x14ac:dyDescent="0.25">
      <c r="A23" s="38">
        <v>42631.600439814814</v>
      </c>
      <c r="B23" s="33" t="s">
        <v>177</v>
      </c>
      <c r="C23" s="33" t="s">
        <v>420</v>
      </c>
      <c r="D23" s="33" t="s">
        <v>49</v>
      </c>
      <c r="E23" s="33" t="s">
        <v>54</v>
      </c>
      <c r="F23" s="49">
        <v>0</v>
      </c>
      <c r="G23" s="49">
        <v>316</v>
      </c>
      <c r="H23" s="49">
        <v>128654</v>
      </c>
      <c r="I23" s="49">
        <v>128113</v>
      </c>
      <c r="J23" s="33" t="s">
        <v>55</v>
      </c>
      <c r="K23" s="49">
        <v>127587</v>
      </c>
      <c r="L23" s="150" t="s">
        <v>53</v>
      </c>
      <c r="M23" s="153">
        <f>CONVERT((I23-K23)/10000,"mi","ft")*IF(L23="Increasing Mileposts (1)",-1,1)</f>
        <v>277.72800000000001</v>
      </c>
      <c r="N23" s="92" t="str">
        <f>VLOOKUP(C23,'Trips&amp;Operators'!$C$1:$E$99999,3,FALSE)</f>
        <v>BRUDER</v>
      </c>
      <c r="O23" s="174" t="s">
        <v>86</v>
      </c>
      <c r="P23" s="10" t="s">
        <v>729</v>
      </c>
      <c r="Q23" s="33"/>
      <c r="R23" s="108" t="str">
        <f>VLOOKUP(C23,'Train Runs'!$A$13:$AE$10015,31,0)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S23" s="111" t="str">
        <f>VLOOKUP(C23,'Train Runs'!$A$13:$AE$10015,22,0)</f>
        <v>https://search-rtdc-monitor-bjffxe2xuh6vdkpspy63sjmuny.us-east-1.es.amazonaws.com/_plugin/kibana/#/discover/Steve-Slow-Train-Analysis-(2080s-and-2083s)?_g=(refreshInterval:(display:Off,section:0,value:0),time:(from:'2016-09-18 13:02:58-0600',mode:absolute,to:'2016-09-18 15:49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23" s="113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/stypes="*4010*201609182*" /stext=" 20:.+((SYSTEM_STATE.+slice.+state.+changed )|(ment ac)|(system.+state.+changed )|(\|lc)|(penalty)|(\[timeout)|(PRM\|1\|D)|(kpr)|(kdp))" /e /r /s</v>
      </c>
      <c r="U23" s="9" t="str">
        <f>MID(B23,13,4)</f>
        <v>4010</v>
      </c>
      <c r="V23" s="38">
        <f>A23+6/24</f>
        <v>42631.850439814814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3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afterward","project_id":79,"tracker_id":40,"status_id":1,"priority_id":2,"assigned_to_id":23,"start_date":"2016-09-18","description":"","custom_fields":[{"id":1,"name":"Subdivision","value":"EC"},{"id":4,"name":"Milepost","value":"12.7587"},{"id":17,"name":"Train ID","value":"178-18"},{"id":16,"name":"Locomotive ID","value":"4010"},{"id":130,"name":"Impact","value":""},{"id":150,"name":"Time of Event (Mountain Time)","value":"14:24:38"},{"id":151,"name":"Denver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"%USERPROFILE%\AppData\Local\Temp\OnboardLogs"\RTDC4010\*4010*201609182* | grep -SE "((Enforcement Ac)|(PRM))" -</v>
      </c>
    </row>
    <row r="24" spans="1:29" ht="15" customHeight="1" x14ac:dyDescent="0.25">
      <c r="A24" s="38">
        <v>42631.744039351855</v>
      </c>
      <c r="B24" s="33" t="s">
        <v>258</v>
      </c>
      <c r="C24" s="33" t="s">
        <v>424</v>
      </c>
      <c r="D24" s="33" t="s">
        <v>49</v>
      </c>
      <c r="E24" s="33" t="s">
        <v>54</v>
      </c>
      <c r="F24" s="49">
        <v>0</v>
      </c>
      <c r="G24" s="49">
        <v>102</v>
      </c>
      <c r="H24" s="49">
        <v>228069</v>
      </c>
      <c r="I24" s="49">
        <v>228187</v>
      </c>
      <c r="J24" s="33" t="s">
        <v>55</v>
      </c>
      <c r="K24" s="49">
        <v>228572</v>
      </c>
      <c r="L24" s="150" t="s">
        <v>52</v>
      </c>
      <c r="M24" s="153">
        <f>CONVERT((I24-K24)/10000,"mi","ft")*IF(L24="Increasing Mileposts (1)",-1,1)</f>
        <v>203.28</v>
      </c>
      <c r="N24" s="92" t="str">
        <f>VLOOKUP(C24,'Trips&amp;Operators'!$C$1:$E$99999,3,FALSE)</f>
        <v>LEVERE</v>
      </c>
      <c r="O24" s="174" t="s">
        <v>427</v>
      </c>
      <c r="P24" s="10" t="s">
        <v>732</v>
      </c>
      <c r="Q24" s="33"/>
      <c r="R24" s="108" t="str">
        <f>VLOOKUP(C24,'Train Runs'!$A$13:$AE$10015,31,0)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S24" s="111" t="str">
        <f>VLOOKUP(C24,'Train Runs'!$A$13:$AE$10015,22,0)</f>
        <v>https://search-rtdc-monitor-bjffxe2xuh6vdkpspy63sjmuny.us-east-1.es.amazonaws.com/_plugin/kibana/#/discover/Steve-Slow-Train-Analysis-(2080s-and-2083s)?_g=(refreshInterval:(display:Off,section:0,value:0),time:(from:'2016-09-18 16:09:18-0600',mode:absolute,to:'2016-09-18 18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24" s="113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/stypes="*4044*201609182*" /stext=" 23:.+((SYSTEM_STATE.+slice.+state.+changed )|(ment ac)|(system.+state.+changed )|(\|lc)|(penalty)|(\[timeout)|(PRM\|1\|D)|(kpr)|(kdp))" /e /r /s</v>
      </c>
      <c r="U24" s="9" t="str">
        <f>MID(B24,13,4)</f>
        <v>4044</v>
      </c>
      <c r="V24" s="38">
        <f>A24+6/24</f>
        <v>42631.994039351855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3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{"issue":{"subject":"DIA 2N stuck at STOP, used PSS successfully","project_id":79,"tracker_id":40,"status_id":1,"priority_id":2,"assigned_to_id":23,"start_date":"2016-09-18","description":"Logs show that from 17:34:25 to 18:01:48, DIA 2N was STOP. There was a PSS issued during this timeframe (at 2016-09-18 17:51:38.000). What is the root cause for why the signal wasn't able to clear? Was there traffic conditions preventing a signal clear? Dispatcher error? Or a TMDS issue?","custom_fields":[{"id":1,"name":"Subdivision","value":"EC"},{"id":4,"name":"Milepost","value":"22.8572"},{"id":17,"name":"Train ID","value":"209-18"},{"id":16,"name":"Locomotive ID","value":"4044"},{"id":130,"name":"Impact","value":"Enforcement"},{"id":150,"name":"Time of Event (Mountain Time)","value":"17:51:25"},{"id":151,"name":"Denver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Z24" s="55" t="s">
        <v>731</v>
      </c>
      <c r="AA24" s="55" t="s">
        <v>138</v>
      </c>
      <c r="AB24" s="23" t="s">
        <v>147</v>
      </c>
      <c r="AC24" s="17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"%USERPROFILE%\AppData\Local\Temp\OnboardLogs"\RTDC4044\*4044*201609182* | grep -SE "((Enforcement Ac)|(PRM))" -</v>
      </c>
    </row>
    <row r="25" spans="1:29" x14ac:dyDescent="0.25">
      <c r="A25" s="38">
        <v>42631.462106481478</v>
      </c>
      <c r="B25" s="33" t="s">
        <v>407</v>
      </c>
      <c r="C25" s="33" t="s">
        <v>412</v>
      </c>
      <c r="D25" s="33" t="s">
        <v>49</v>
      </c>
      <c r="E25" s="33" t="s">
        <v>413</v>
      </c>
      <c r="F25" s="49">
        <v>0</v>
      </c>
      <c r="G25" s="49">
        <v>266</v>
      </c>
      <c r="H25" s="49">
        <v>18420</v>
      </c>
      <c r="I25" s="49">
        <v>18024</v>
      </c>
      <c r="J25" s="33" t="s">
        <v>414</v>
      </c>
      <c r="K25" s="49">
        <v>17100</v>
      </c>
      <c r="L25" s="150" t="s">
        <v>53</v>
      </c>
      <c r="M25" s="153">
        <f>CONVERT((I25-K25)/10000,"mi","ft")*IF(L25="Increasing Mileposts (1)",-1,1)</f>
        <v>487.87200000000001</v>
      </c>
      <c r="N25" s="92" t="str">
        <f>VLOOKUP(C25,'Trips&amp;Operators'!$C$1:$E$99999,3,FALSE)</f>
        <v>MAELZER</v>
      </c>
      <c r="O25" s="174" t="s">
        <v>427</v>
      </c>
      <c r="P25" s="10" t="s">
        <v>730</v>
      </c>
      <c r="Q25" s="33"/>
      <c r="R25" s="108" t="str">
        <f>VLOOKUP(C25,'Train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5" s="111" t="str">
        <f>VLOOKUP(C25,'Train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09:18:37-0600',mode:absolute,to:'2016-09-18 12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5" s="113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/stypes="*4015*201609181*" /stext=" 17:.+((SYSTEM_STATE.+slice.+state.+changed )|(ment ac)|(system.+state.+changed )|(\|lc)|(penalty)|(\[timeout)|(PRM\|1\|D)|(kpr)|(kdp))" /e /r /s</v>
      </c>
      <c r="U25" s="9" t="str">
        <f>MID(B25,13,4)</f>
        <v>4015</v>
      </c>
      <c r="V25" s="38">
        <f>A25+6/24</f>
        <v>42631.712106481478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3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outage","project_id":79,"tracker_id":40,"status_id":1,"priority_id":2,"assigned_to_id":23,"start_date":"2016-09-18","description":"","custom_fields":[{"id":1,"name":"Subdivision","value":"EC"},{"id":4,"name":"Milepost","value":"1.71"},{"id":17,"name":"Train ID","value":"148-18"},{"id":16,"name":"Locomotive ID","value":"4015"},{"id":130,"name":"Impact","value":""},{"id":150,"name":"Time of Event (Mountain Time)","value":"11:05:26"},{"id":151,"name":"Denver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"%USERPROFILE%\AppData\Local\Temp\OnboardLogs"\RTDC4015\*4015*201609181* | grep -SE "((Enforcement Ac)|(PRM))" -</v>
      </c>
    </row>
    <row r="26" spans="1:29" x14ac:dyDescent="0.25">
      <c r="A26" s="38">
        <v>42631.30541666667</v>
      </c>
      <c r="B26" s="33" t="s">
        <v>164</v>
      </c>
      <c r="C26" s="33" t="s">
        <v>400</v>
      </c>
      <c r="D26" s="33" t="s">
        <v>49</v>
      </c>
      <c r="E26" s="33" t="s">
        <v>50</v>
      </c>
      <c r="F26" s="49">
        <v>0</v>
      </c>
      <c r="G26" s="49">
        <v>52</v>
      </c>
      <c r="H26" s="49">
        <v>192</v>
      </c>
      <c r="I26" s="49">
        <v>136</v>
      </c>
      <c r="J26" s="33" t="s">
        <v>51</v>
      </c>
      <c r="K26" s="49">
        <v>1</v>
      </c>
      <c r="L26" s="150" t="s">
        <v>53</v>
      </c>
      <c r="M26" s="153">
        <f>CONVERT((I26-K26)/10000,"mi","ft")*IF(L26="Increasing Mileposts (1)",-1,1)</f>
        <v>71.28</v>
      </c>
      <c r="N26" s="92" t="str">
        <f>VLOOKUP(C26,'Trips&amp;Operators'!$C$1:$E$99999,3,FALSE)</f>
        <v>BROWN</v>
      </c>
      <c r="O26" s="174" t="s">
        <v>86</v>
      </c>
      <c r="P26" s="10"/>
      <c r="Q26" s="33"/>
      <c r="R26" s="108" t="str">
        <f>VLOOKUP(C26,'Train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26" s="111" t="str">
        <f>VLOOKUP(C26,'Train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05:38:04-0600',mode:absolute,to:'2016-09-18 08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6" s="113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/stypes="*4019*201609181*" /stext=" 13:.+((SYSTEM_STATE.+slice.+state.+changed )|(ment ac)|(system.+state.+changed )|(\|lc)|(penalty)|(\[timeout)|(PRM\|1\|D)|(kpr)|(kdp))" /e /r /s</v>
      </c>
      <c r="U26" s="9" t="str">
        <f>MID(B26,13,4)</f>
        <v>4019</v>
      </c>
      <c r="V26" s="38">
        <f>A26+6/24</f>
        <v>42631.55541666667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3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ID","value":"118-18"},{"id":16,"name":"Locomotive ID","value":"4019"},{"id":130,"name":"Impact","value":""},{"id":150,"name":"Time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"%USERPROFILE%\AppData\Local\Temp\OnboardLogs"\RTDC4019\*4019*201609181* | grep -SE "((Enforcement Ac)|(PRM))" -</v>
      </c>
    </row>
    <row r="27" spans="1:29" x14ac:dyDescent="0.25">
      <c r="A27" s="38">
        <v>42631.39025462963</v>
      </c>
      <c r="B27" s="33" t="s">
        <v>407</v>
      </c>
      <c r="C27" s="33" t="s">
        <v>408</v>
      </c>
      <c r="D27" s="33" t="s">
        <v>49</v>
      </c>
      <c r="E27" s="33" t="s">
        <v>50</v>
      </c>
      <c r="F27" s="49">
        <v>0</v>
      </c>
      <c r="G27" s="49">
        <v>38</v>
      </c>
      <c r="H27" s="49">
        <v>149</v>
      </c>
      <c r="I27" s="49">
        <v>119</v>
      </c>
      <c r="J27" s="33" t="s">
        <v>51</v>
      </c>
      <c r="K27" s="49">
        <v>1</v>
      </c>
      <c r="L27" s="150" t="s">
        <v>53</v>
      </c>
      <c r="M27" s="153">
        <f>CONVERT((I27-K27)/10000,"mi","ft")*IF(L27="Increasing Mileposts (1)",-1,1)</f>
        <v>62.304000000000002</v>
      </c>
      <c r="N27" s="92" t="str">
        <f>VLOOKUP(C27,'Trips&amp;Operators'!$C$1:$E$99999,3,FALSE)</f>
        <v>MAELZER</v>
      </c>
      <c r="O27" s="174" t="s">
        <v>86</v>
      </c>
      <c r="P27" s="10"/>
      <c r="Q27" s="33"/>
      <c r="R27" s="108" t="str">
        <f>VLOOKUP(C27,'Train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7" s="111" t="str">
        <f>VLOOKUP(C27,'Train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07:30:05-0600',mode:absolute,to:'2016-09-18 10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7" s="113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/stypes="*4015*201609181*" /stext=" 15:.+((SYSTEM_STATE.+slice.+state.+changed )|(ment ac)|(system.+state.+changed )|(\|lc)|(penalty)|(\[timeout)|(PRM\|1\|D)|(kpr)|(kdp))" /e /r /s</v>
      </c>
      <c r="U27" s="9" t="str">
        <f>MID(B27,13,4)</f>
        <v>4015</v>
      </c>
      <c r="V27" s="38">
        <f>A27+6/24</f>
        <v>42631.64025462963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3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ID","value":"134-18"},{"id":16,"name":"Locomotive ID","value":"4015"},{"id":130,"name":"Impact","value":""},{"id":150,"name":"Time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"%USERPROFILE%\AppData\Local\Temp\OnboardLogs"\RTDC4015\*4015*201609181* | grep -SE "((Enforcement Ac)|(PRM))" -</v>
      </c>
    </row>
    <row r="28" spans="1:29" x14ac:dyDescent="0.25">
      <c r="A28" s="38">
        <v>42631.669583333336</v>
      </c>
      <c r="B28" s="33" t="s">
        <v>164</v>
      </c>
      <c r="C28" s="33" t="s">
        <v>422</v>
      </c>
      <c r="D28" s="33" t="s">
        <v>49</v>
      </c>
      <c r="E28" s="33" t="s">
        <v>50</v>
      </c>
      <c r="F28" s="49">
        <v>0</v>
      </c>
      <c r="G28" s="49">
        <v>71</v>
      </c>
      <c r="H28" s="49">
        <v>243</v>
      </c>
      <c r="I28" s="49">
        <v>150</v>
      </c>
      <c r="J28" s="33" t="s">
        <v>51</v>
      </c>
      <c r="K28" s="49">
        <v>1</v>
      </c>
      <c r="L28" s="150" t="s">
        <v>53</v>
      </c>
      <c r="M28" s="153">
        <f>CONVERT((I28-K28)/10000,"mi","ft")*IF(L28="Increasing Mileposts (1)",-1,1)</f>
        <v>78.671999999999997</v>
      </c>
      <c r="N28" s="92" t="str">
        <f>VLOOKUP(C28,'Trips&amp;Operators'!$C$1:$E$99999,3,FALSE)</f>
        <v>STEWART</v>
      </c>
      <c r="O28" s="174" t="s">
        <v>86</v>
      </c>
      <c r="P28" s="10"/>
      <c r="Q28" s="33"/>
      <c r="R28" s="108" t="str">
        <f>VLOOKUP(C28,'Train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28" s="111" t="str">
        <f>VLOOKUP(C28,'Train Runs'!$A$13:$AE$10015,22,0)</f>
        <v>https://search-rtdc-monitor-bjffxe2xuh6vdkpspy63sjmuny.us-east-1.es.amazonaws.com/_plugin/kibana/#/discover/Steve-Slow-Train-Analysis-(2080s-and-2083s)?_g=(refreshInterval:(display:Off,section:0,value:0),time:(from:'2016-09-18 14:21:19-0600',mode:absolute,to:'2016-09-18 17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8" s="113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/stypes="*4019*201609182*" /stext=" 22:.+((SYSTEM_STATE.+slice.+state.+changed )|(ment ac)|(system.+state.+changed )|(\|lc)|(penalty)|(\[timeout)|(PRM\|1\|D)|(kpr)|(kdp))" /e /r /s</v>
      </c>
      <c r="U28" s="9" t="str">
        <f>MID(B28,13,4)</f>
        <v>4019</v>
      </c>
      <c r="V28" s="38">
        <f>A28+6/24</f>
        <v>42631.919583333336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3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ID","value":"188-18"},{"id":16,"name":"Locomotive ID","value":"4019"},{"id":130,"name":"Impact","value":""},{"id":150,"name":"Time of Event (Mountain Time)","value":"16:04:12"},{"id":151,"name":"Denver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"%USERPROFILE%\AppData\Local\Temp\OnboardLogs"\RTDC4019\*4019*201609182* | grep -SE "((Enforcement Ac)|(PRM))" -</v>
      </c>
    </row>
    <row r="29" spans="1:29" x14ac:dyDescent="0.25">
      <c r="A29" s="38">
        <v>42631.680428240739</v>
      </c>
      <c r="B29" s="33" t="s">
        <v>407</v>
      </c>
      <c r="C29" s="33" t="s">
        <v>423</v>
      </c>
      <c r="D29" s="33" t="s">
        <v>49</v>
      </c>
      <c r="E29" s="33" t="s">
        <v>50</v>
      </c>
      <c r="F29" s="49">
        <v>0</v>
      </c>
      <c r="G29" s="49">
        <v>39</v>
      </c>
      <c r="H29" s="49">
        <v>149</v>
      </c>
      <c r="I29" s="49">
        <v>119</v>
      </c>
      <c r="J29" s="33" t="s">
        <v>51</v>
      </c>
      <c r="K29" s="49">
        <v>1</v>
      </c>
      <c r="L29" s="150" t="s">
        <v>53</v>
      </c>
      <c r="M29" s="153">
        <f>CONVERT((I29-K29)/10000,"mi","ft")*IF(L29="Increasing Mileposts (1)",-1,1)</f>
        <v>62.304000000000002</v>
      </c>
      <c r="N29" s="92" t="str">
        <f>VLOOKUP(C29,'Trips&amp;Operators'!$C$1:$E$99999,3,FALSE)</f>
        <v>BARTLETT</v>
      </c>
      <c r="O29" s="174" t="s">
        <v>86</v>
      </c>
      <c r="P29" s="10"/>
      <c r="Q29" s="33"/>
      <c r="R29" s="108" t="str">
        <f>VLOOKUP(C29,'Train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9" s="111" t="str">
        <f>VLOOKUP(C29,'Train Runs'!$A$13:$AE$10015,22,0)</f>
        <v>https://search-rtdc-monitor-bjffxe2xuh6vdkpspy63sjmuny.us-east-1.es.amazonaws.com/_plugin/kibana/#/discover/Steve-Slow-Train-Analysis-(2080s-and-2083s)?_g=(refreshInterval:(display:Off,section:0,value:0),time:(from:'2016-09-18 14:24:36-0600',mode:absolute,to:'2016-09-18 17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9" s="113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/stypes="*4015*201609182*" /stext=" 22:.+((SYSTEM_STATE.+slice.+state.+changed )|(ment ac)|(system.+state.+changed )|(\|lc)|(penalty)|(\[timeout)|(PRM\|1\|D)|(kpr)|(kdp))" /e /r /s</v>
      </c>
      <c r="U29" s="9" t="str">
        <f>MID(B29,13,4)</f>
        <v>4015</v>
      </c>
      <c r="V29" s="38">
        <f>A29+6/24</f>
        <v>42631.930428240739</v>
      </c>
      <c r="W29" s="52" t="str">
        <f>IF(VALUE(LEFT(IF(LEN(C29)=6,"0"&amp;C29,C29),2))&lt;=2,"EC",IF(OR(VALUE(LEFT(IF(LEN(C29)=6,"0"&amp;C29,C29),2))=8,VALUE(LEFT(IF(LEN(C29)=6,"0"&amp;C29,C29),2))=18),"NW","Other"))</f>
        <v>EC</v>
      </c>
      <c r="X29" s="52" t="str">
        <f>IF(AND(E29="TRACK WARRANT AUTHORITY",G29&lt;10),"OMIT","KEEP")</f>
        <v>KEEP</v>
      </c>
      <c r="Y29" s="13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ID","value":"190-18"},{"id":16,"name":"Locomotive ID","value":"4015"},{"id":130,"name":"Impact","value":""},{"id":150,"name":"Time of Event (Mountain Time)","value":"16:19:49"},{"id":151,"name":"Denver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"%USERPROFILE%\AppData\Local\Temp\OnboardLogs"\RTDC4015\*4015*201609182* | grep -SE "((Enforcement Ac)|(PRM))" -</v>
      </c>
    </row>
    <row r="30" spans="1:29" x14ac:dyDescent="0.25">
      <c r="A30" s="38">
        <v>42631.578645833331</v>
      </c>
      <c r="B30" s="33" t="s">
        <v>255</v>
      </c>
      <c r="C30" s="33" t="s">
        <v>419</v>
      </c>
      <c r="D30" s="33" t="s">
        <v>49</v>
      </c>
      <c r="E30" s="33" t="s">
        <v>56</v>
      </c>
      <c r="F30" s="49">
        <v>200</v>
      </c>
      <c r="G30" s="49">
        <v>252</v>
      </c>
      <c r="H30" s="49">
        <v>6170</v>
      </c>
      <c r="I30" s="49">
        <v>5654</v>
      </c>
      <c r="J30" s="33" t="s">
        <v>57</v>
      </c>
      <c r="K30" s="49">
        <v>5782</v>
      </c>
      <c r="L30" s="150" t="s">
        <v>53</v>
      </c>
      <c r="M30" s="153">
        <f>CONVERT((I30-K30)/10000,"mi","ft")*IF(L30="Increasing Mileposts (1)",-1,1)</f>
        <v>-67.584000000000003</v>
      </c>
      <c r="N30" s="92" t="str">
        <f>VLOOKUP(C30,'Trips&amp;Operators'!$C$1:$E$99999,3,FALSE)</f>
        <v>STARKS</v>
      </c>
      <c r="O30" s="174" t="s">
        <v>86</v>
      </c>
      <c r="P30" s="10"/>
      <c r="Q30" s="33"/>
      <c r="R30" s="108" t="str">
        <f>VLOOKUP(C30,'Train Runs'!$A$13:$AE$10015,31,0)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S30" s="111" t="str">
        <f>VLOOKUP(C30,'Train Runs'!$A$13:$AE$10015,22,0)</f>
        <v>https://search-rtdc-monitor-bjffxe2xuh6vdkpspy63sjmuny.us-east-1.es.amazonaws.com/_plugin/kibana/#/discover/Steve-Slow-Train-Analysis-(2080s-and-2083s)?_g=(refreshInterval:(display:Off,section:0,value:0),time:(from:'2016-09-18 12:38:00-0600',mode:absolute,to:'2016-09-18 14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0" s="113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/stypes="*4017*201609181*" /stext=" 19:.+((SYSTEM_STATE.+slice.+state.+changed )|(ment ac)|(system.+state.+changed )|(\|lc)|(penalty)|(\[timeout)|(PRM\|1\|D)|(kpr)|(kdp))" /e /r /s</v>
      </c>
      <c r="U30" s="9" t="str">
        <f>MID(B30,13,4)</f>
        <v>4017</v>
      </c>
      <c r="V30" s="38">
        <f>A30+6/24</f>
        <v>42631.828645833331</v>
      </c>
      <c r="W30" s="52" t="str">
        <f>IF(VALUE(LEFT(IF(LEN(C30)=6,"0"&amp;C30,C30),2))&lt;=2,"EC",IF(OR(VALUE(LEFT(IF(LEN(C30)=6,"0"&amp;C30,C30),2))=8,VALUE(LEFT(IF(LEN(C30)=6,"0"&amp;C30,C30),2))=18),"NW","Other"))</f>
        <v>NW</v>
      </c>
      <c r="X30" s="52" t="str">
        <f>IF(AND(E30="TRACK WARRANT AUTHORITY",G30&lt;10),"OMIT","KEEP")</f>
        <v>KEEP</v>
      </c>
      <c r="Y30" s="13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{"issue":{"subject":"","project_id":79,"tracker_id":40,"status_id":1,"priority_id":2,"assigned_to_id":23,"start_date":"2016-09-18","description":"","custom_fields":[{"id":1,"name":"Subdivision","value":"NW"},{"id":4,"name":"Milepost","value":"0.5782"},{"id":17,"name":"Train ID","value":"1816-18"},{"id":16,"name":"Locomotive ID","value":"4017"},{"id":130,"name":"Impact","value":""},{"id":150,"name":"Time of Event (Mountain Time)","value":"13:53:15"},{"id":151,"name":"Denver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"%USERPROFILE%\AppData\Local\Temp\OnboardLogs"\RTDC4017\*4017*201609181* | grep -SE "((Enforcement Ac)|(PRM))" -</v>
      </c>
    </row>
    <row r="31" spans="1:29" ht="15" customHeight="1" x14ac:dyDescent="0.25">
      <c r="A31" s="38">
        <v>42631.562638888892</v>
      </c>
      <c r="B31" s="33" t="s">
        <v>230</v>
      </c>
      <c r="C31" s="33" t="s">
        <v>418</v>
      </c>
      <c r="D31" s="33" t="s">
        <v>49</v>
      </c>
      <c r="E31" s="33" t="s">
        <v>56</v>
      </c>
      <c r="F31" s="49">
        <v>300</v>
      </c>
      <c r="G31" s="49">
        <v>370</v>
      </c>
      <c r="H31" s="49">
        <v>38820</v>
      </c>
      <c r="I31" s="49">
        <v>39710</v>
      </c>
      <c r="J31" s="33" t="s">
        <v>57</v>
      </c>
      <c r="K31" s="49">
        <v>39716</v>
      </c>
      <c r="L31" s="150" t="s">
        <v>52</v>
      </c>
      <c r="M31" s="153">
        <f>CONVERT((I31-K31)/10000,"mi","ft")*IF(L31="Increasing Mileposts (1)",-1,1)</f>
        <v>3.1680000000000001</v>
      </c>
      <c r="N31" s="92" t="str">
        <f>VLOOKUP(C31,'Trips&amp;Operators'!$C$1:$E$99999,3,FALSE)</f>
        <v>STARKS</v>
      </c>
      <c r="O31" s="174" t="s">
        <v>86</v>
      </c>
      <c r="P31" s="10"/>
      <c r="Q31" s="33"/>
      <c r="R31" s="108" t="str">
        <f>VLOOKUP(C31,'Train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1" s="111" t="str">
        <f>VLOOKUP(C31,'Train Runs'!$A$13:$AE$10015,22,0)</f>
        <v>https://search-rtdc-monitor-bjffxe2xuh6vdkpspy63sjmuny.us-east-1.es.amazonaws.com/_plugin/kibana/#/discover/Steve-Slow-Train-Analysis-(2080s-and-2083s)?_g=(refreshInterval:(display:Off,section:0,value:0),time:(from:'2016-09-18 12:19:55-0600',mode:absolute,to:'2016-09-18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1" s="113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/stypes="*4018*201609181*" /stext=" 19:.+((SYSTEM_STATE.+slice.+state.+changed )|(ment ac)|(system.+state.+changed )|(\|lc)|(penalty)|(\[timeout)|(PRM\|1\|D)|(kpr)|(kdp))" /e /r /s</v>
      </c>
      <c r="U31" s="9" t="str">
        <f>MID(B31,13,4)</f>
        <v>4018</v>
      </c>
      <c r="V31" s="38">
        <f>A31+6/24</f>
        <v>42631.812638888892</v>
      </c>
      <c r="W31" s="52" t="str">
        <f>IF(VALUE(LEFT(IF(LEN(C31)=6,"0"&amp;C31,C31),2))&lt;=2,"EC",IF(OR(VALUE(LEFT(IF(LEN(C31)=6,"0"&amp;C31,C31),2))=8,VALUE(LEFT(IF(LEN(C31)=6,"0"&amp;C31,C31),2))=18),"NW","Other"))</f>
        <v>NW</v>
      </c>
      <c r="X31" s="52" t="str">
        <f>IF(AND(E31="TRACK WARRANT AUTHORITY",G31&lt;10),"OMIT","KEEP")</f>
        <v>KEEP</v>
      </c>
      <c r="Y31" s="13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{"issue":{"subject":"","project_id":79,"tracker_id":40,"status_id":1,"priority_id":2,"assigned_to_id":23,"start_date":"2016-09-18","description":"","custom_fields":[{"id":1,"name":"Subdivision","value":"NW"},{"id":4,"name":"Milepost","value":"3.9716"},{"id":17,"name":"Train ID","value":"1815-18"},{"id":16,"name":"Locomotive ID","value":"4018"},{"id":130,"name":"Impact","value":""},{"id":150,"name":"Time of Event (Mountain Time)","value":"13:30:12"},{"id":151,"name":"Denver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"%USERPROFILE%\AppData\Local\Temp\OnboardLogs"\RTDC4018\*4018*201609181* | grep -SE "((Enforcement Ac)|(PRM))" -</v>
      </c>
    </row>
    <row r="32" spans="1:29" x14ac:dyDescent="0.25">
      <c r="A32" s="38">
        <v>42631.564942129633</v>
      </c>
      <c r="B32" s="33" t="s">
        <v>230</v>
      </c>
      <c r="C32" s="33" t="s">
        <v>418</v>
      </c>
      <c r="D32" s="33" t="s">
        <v>49</v>
      </c>
      <c r="E32" s="33" t="s">
        <v>56</v>
      </c>
      <c r="F32" s="49">
        <v>150</v>
      </c>
      <c r="G32" s="49">
        <v>299</v>
      </c>
      <c r="H32" s="49">
        <v>56055</v>
      </c>
      <c r="I32" s="49">
        <v>56627</v>
      </c>
      <c r="J32" s="33" t="s">
        <v>57</v>
      </c>
      <c r="K32" s="49">
        <v>57008</v>
      </c>
      <c r="L32" s="150" t="s">
        <v>52</v>
      </c>
      <c r="M32" s="153">
        <f>CONVERT((I32-K32)/10000,"mi","ft")*IF(L32="Increasing Mileposts (1)",-1,1)</f>
        <v>201.16800000000001</v>
      </c>
      <c r="N32" s="92" t="str">
        <f>VLOOKUP(C32,'Trips&amp;Operators'!$C$1:$E$99999,3,FALSE)</f>
        <v>STARKS</v>
      </c>
      <c r="O32" s="174" t="s">
        <v>86</v>
      </c>
      <c r="P32" s="10"/>
      <c r="Q32" s="33"/>
      <c r="R32" s="108" t="str">
        <f>VLOOKUP(C32,'Train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2" s="111" t="str">
        <f>VLOOKUP(C32,'Train Runs'!$A$13:$AE$10015,22,0)</f>
        <v>https://search-rtdc-monitor-bjffxe2xuh6vdkpspy63sjmuny.us-east-1.es.amazonaws.com/_plugin/kibana/#/discover/Steve-Slow-Train-Analysis-(2080s-and-2083s)?_g=(refreshInterval:(display:Off,section:0,value:0),time:(from:'2016-09-18 12:19:55-0600',mode:absolute,to:'2016-09-18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2" s="113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/stypes="*4018*201609181*" /stext=" 19:.+((SYSTEM_STATE.+slice.+state.+changed )|(ment ac)|(system.+state.+changed )|(\|lc)|(penalty)|(\[timeout)|(PRM\|1\|D)|(kpr)|(kdp))" /e /r /s</v>
      </c>
      <c r="U32" s="9" t="str">
        <f>MID(B32,13,4)</f>
        <v>4018</v>
      </c>
      <c r="V32" s="38">
        <f>A32+6/24</f>
        <v>42631.814942129633</v>
      </c>
      <c r="W32" s="52" t="str">
        <f>IF(VALUE(LEFT(IF(LEN(C32)=6,"0"&amp;C32,C32),2))&lt;=2,"EC",IF(OR(VALUE(LEFT(IF(LEN(C32)=6,"0"&amp;C32,C32),2))=8,VALUE(LEFT(IF(LEN(C32)=6,"0"&amp;C32,C32),2))=18),"NW","Other"))</f>
        <v>NW</v>
      </c>
      <c r="X32" s="52" t="str">
        <f>IF(AND(E32="TRACK WARRANT AUTHORITY",G32&lt;10),"OMIT","KEEP")</f>
        <v>KEEP</v>
      </c>
      <c r="Y32" s="13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{"issue":{"subject":"","project_id":79,"tracker_id":40,"status_id":1,"priority_id":2,"assigned_to_id":23,"start_date":"2016-09-18","description":"","custom_fields":[{"id":1,"name":"Subdivision","value":"NW"},{"id":4,"name":"Milepost","value":"5.7008"},{"id":17,"name":"Train ID","value":"1815-18"},{"id":16,"name":"Locomotive ID","value":"4018"},{"id":130,"name":"Impact","value":""},{"id":150,"name":"Time of Event (Mountain Time)","value":"13:33:31"},{"id":151,"name":"Denver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"%USERPROFILE%\AppData\Local\Temp\OnboardLogs"\RTDC4018\*4018*201609181* | grep -SE "((Enforcement Ac)|(PRM))" -</v>
      </c>
    </row>
    <row r="33" spans="1:29" ht="15" customHeight="1" x14ac:dyDescent="0.25">
      <c r="A33" s="38">
        <v>42631.488865740743</v>
      </c>
      <c r="B33" s="33" t="s">
        <v>255</v>
      </c>
      <c r="C33" s="33" t="s">
        <v>417</v>
      </c>
      <c r="D33" s="33" t="s">
        <v>105</v>
      </c>
      <c r="E33" s="33" t="s">
        <v>56</v>
      </c>
      <c r="F33" s="49">
        <v>150</v>
      </c>
      <c r="G33" s="49">
        <v>207</v>
      </c>
      <c r="H33" s="49">
        <v>56690</v>
      </c>
      <c r="I33" s="49">
        <v>56181</v>
      </c>
      <c r="J33" s="33" t="s">
        <v>57</v>
      </c>
      <c r="K33" s="49">
        <v>59050</v>
      </c>
      <c r="L33" s="150" t="s">
        <v>53</v>
      </c>
      <c r="M33" s="153">
        <f>CONVERT((I33-K33)/10000,"mi","ft")*IF(L33="Increasing Mileposts (1)",-1,1)</f>
        <v>-1514.8320000000001</v>
      </c>
      <c r="N33" s="92" t="str">
        <f>VLOOKUP(C33,'Trips&amp;Operators'!$C$1:$E$99999,3,FALSE)</f>
        <v>STARKS</v>
      </c>
      <c r="O33" s="174" t="s">
        <v>86</v>
      </c>
      <c r="P33" s="10"/>
      <c r="Q33" s="33"/>
      <c r="R33" s="108" t="str">
        <f>VLOOKUP(C33,'Train Runs'!$A$13:$AE$10015,31,0)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S33" s="111" t="str">
        <f>VLOOKUP(C33,'Train Runs'!$A$13:$AE$10015,22,0)</f>
        <v>https://search-rtdc-monitor-bjffxe2xuh6vdkpspy63sjmuny.us-east-1.es.amazonaws.com/_plugin/kibana/#/discover/Steve-Slow-Train-Analysis-(2080s-and-2083s)?_g=(refreshInterval:(display:Off,section:0,value:0),time:(from:'2016-09-18 10:37:13-0600',mode:absolute,to:'2016-09-18 12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3" s="113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/stypes="*4017*201609181*" /stext=" 17:.+((SYSTEM_STATE.+slice.+state.+changed )|(ment ac)|(system.+state.+changed )|(\|lc)|(penalty)|(\[timeout)|(PRM\|1\|D)|(kpr)|(kdp))" /e /r /s</v>
      </c>
      <c r="U33" s="9" t="str">
        <f>MID(B33,13,4)</f>
        <v>4017</v>
      </c>
      <c r="V33" s="38">
        <f>A33+6/24</f>
        <v>42631.738865740743</v>
      </c>
      <c r="W33" s="52" t="str">
        <f>IF(VALUE(LEFT(IF(LEN(C33)=6,"0"&amp;C33,C33),2))&lt;=2,"EC",IF(OR(VALUE(LEFT(IF(LEN(C33)=6,"0"&amp;C33,C33),2))=8,VALUE(LEFT(IF(LEN(C33)=6,"0"&amp;C33,C33),2))=18),"NW","Other"))</f>
        <v>NW</v>
      </c>
      <c r="X33" s="52" t="str">
        <f>IF(AND(E33="TRACK WARRANT AUTHORITY",G33&lt;10),"OMIT","KEEP")</f>
        <v>KEEP</v>
      </c>
      <c r="Y33" s="13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{"issue":{"subject":"","project_id":79,"tracker_id":40,"status_id":1,"priority_id":2,"assigned_to_id":23,"start_date":"2016-09-18","description":"","custom_fields":[{"id":1,"name":"Subdivision","value":"NW"},{"id":4,"name":"Milepost","value":"5.905"},{"id":17,"name":"Train ID","value":"1812-18"},{"id":16,"name":"Locomotive ID","value":"4017"},{"id":130,"name":"Impact","value":""},{"id":150,"name":"Time of Event (Mountain Time)","value":"11:43:58"},{"id":151,"name":"Denver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"%USERPROFILE%\AppData\Local\Temp\OnboardLogs"\RTDC4017\*4017*201609181* | grep -SE "((Enforcement Ac)|(PRM))" -</v>
      </c>
    </row>
    <row r="34" spans="1:29" x14ac:dyDescent="0.25">
      <c r="A34" s="38">
        <v>42631.308576388888</v>
      </c>
      <c r="B34" s="33" t="s">
        <v>230</v>
      </c>
      <c r="C34" s="33" t="s">
        <v>401</v>
      </c>
      <c r="D34" s="33" t="s">
        <v>49</v>
      </c>
      <c r="E34" s="33" t="s">
        <v>402</v>
      </c>
      <c r="F34" s="49">
        <v>100</v>
      </c>
      <c r="G34" s="49">
        <v>327</v>
      </c>
      <c r="H34" s="49">
        <v>8672</v>
      </c>
      <c r="I34" s="49">
        <v>9578</v>
      </c>
      <c r="J34" s="33" t="s">
        <v>168</v>
      </c>
      <c r="K34" s="49">
        <v>10701</v>
      </c>
      <c r="L34" s="150" t="s">
        <v>52</v>
      </c>
      <c r="M34" s="153">
        <f>CONVERT((I34-K34)/10000,"mi","ft")*IF(L34="Increasing Mileposts (1)",-1,1)</f>
        <v>592.94399999999996</v>
      </c>
      <c r="N34" s="92" t="str">
        <f>VLOOKUP(C34,'Trips&amp;Operators'!$C$1:$E$99999,3,FALSE)</f>
        <v>STARKS</v>
      </c>
      <c r="O34" s="174" t="s">
        <v>86</v>
      </c>
      <c r="P34" s="10"/>
      <c r="Q34" s="33"/>
      <c r="R34" s="108" t="str">
        <f>VLOOKUP(C34,'Train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4" s="111" t="str">
        <f>VLOOKUP(C34,'Train Runs'!$A$13:$AE$10015,22,0)</f>
        <v>https://search-rtdc-monitor-bjffxe2xuh6vdkpspy63sjmuny.us-east-1.es.amazonaws.com/_plugin/kibana/#/discover/Steve-Slow-Train-Analysis-(2080s-and-2083s)?_g=(refreshInterval:(display:Off,section:0,value:0),time:(from:'2016-09-18 06:16:46-0600',mode:absolute,to:'2016-09-18 08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4" s="113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/stypes="*4018*201609181*" /stext=" 13:.+((SYSTEM_STATE.+slice.+state.+changed )|(ment ac)|(system.+state.+changed )|(\|lc)|(penalty)|(\[timeout)|(PRM\|1\|D)|(kpr)|(kdp))" /e /r /s</v>
      </c>
      <c r="U34" s="9" t="str">
        <f>MID(B34,13,4)</f>
        <v>4018</v>
      </c>
      <c r="V34" s="38">
        <f>A34+6/24</f>
        <v>42631.558576388888</v>
      </c>
      <c r="W34" s="52" t="str">
        <f>IF(VALUE(LEFT(IF(LEN(C34)=6,"0"&amp;C34,C34),2))&lt;=2,"EC",IF(OR(VALUE(LEFT(IF(LEN(C34)=6,"0"&amp;C34,C34),2))=8,VALUE(LEFT(IF(LEN(C34)=6,"0"&amp;C34,C34),2))=18),"NW","Other"))</f>
        <v>NW</v>
      </c>
      <c r="X34" s="52" t="str">
        <f>IF(AND(E34="TRACK WARRANT AUTHORITY",G34&lt;10),"OMIT","KEEP")</f>
        <v>KEEP</v>
      </c>
      <c r="Y34" s="13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{"issue":{"subject":"","project_id":79,"tracker_id":40,"status_id":1,"priority_id":2,"assigned_to_id":23,"start_date":"2016-09-18","description":"","custom_fields":[{"id":1,"name":"Subdivision","value":"NW"},{"id":4,"name":"Milepost","value":"1.0701"},{"id":17,"name":"Train ID","value":"1803-18"},{"id":16,"name":"Locomotive ID","value":"4018"},{"id":130,"name":"Impact","value":""},{"id":150,"name":"Time of Event (Mountain Time)","value":"07:24:21"},{"id":151,"name":"Denver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"%USERPROFILE%\AppData\Local\Temp\OnboardLogs"\RTDC4018\*4018*201609181* | grep -SE "((Enforcement Ac)|(PRM))" -</v>
      </c>
    </row>
    <row r="35" spans="1:29" x14ac:dyDescent="0.25">
      <c r="A35" s="38">
        <v>42631.357361111113</v>
      </c>
      <c r="B35" s="33" t="s">
        <v>230</v>
      </c>
      <c r="C35" s="33" t="s">
        <v>404</v>
      </c>
      <c r="D35" s="33" t="s">
        <v>49</v>
      </c>
      <c r="E35" s="33" t="s">
        <v>50</v>
      </c>
      <c r="F35" s="49">
        <v>0</v>
      </c>
      <c r="G35" s="49">
        <v>56</v>
      </c>
      <c r="H35" s="49">
        <v>58835</v>
      </c>
      <c r="I35" s="49">
        <v>58899</v>
      </c>
      <c r="J35" s="33" t="s">
        <v>51</v>
      </c>
      <c r="K35" s="49">
        <v>59048</v>
      </c>
      <c r="L35" s="150" t="s">
        <v>52</v>
      </c>
      <c r="M35" s="153">
        <f>CONVERT((I35-K35)/10000,"mi","ft")*IF(L35="Increasing Mileposts (1)",-1,1)</f>
        <v>78.671999999999997</v>
      </c>
      <c r="N35" s="92" t="str">
        <f>VLOOKUP(C35,'Trips&amp;Operators'!$C$1:$E$99999,3,FALSE)</f>
        <v>STARKS</v>
      </c>
      <c r="O35" s="174" t="s">
        <v>86</v>
      </c>
      <c r="P35" s="10"/>
      <c r="Q35" s="33"/>
      <c r="R35" s="108" t="str">
        <f>VLOOKUP(C35,'Train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5" s="111" t="str">
        <f>VLOOKUP(C35,'Train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07:08:49-0600',mode:absolute,to:'2016-09-18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5" s="113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/stypes="*4018*201609181*" /stext=" 14:.+((SYSTEM_STATE.+slice.+state.+changed )|(ment ac)|(system.+state.+changed )|(\|lc)|(penalty)|(\[timeout)|(PRM\|1\|D)|(kpr)|(kdp))" /e /r /s</v>
      </c>
      <c r="U35" s="9" t="str">
        <f>MID(B35,13,4)</f>
        <v>4018</v>
      </c>
      <c r="V35" s="38">
        <f>A35+6/24</f>
        <v>42631.607361111113</v>
      </c>
      <c r="W35" s="52" t="str">
        <f>IF(VALUE(LEFT(IF(LEN(C35)=6,"0"&amp;C35,C35),2))&lt;=2,"EC",IF(OR(VALUE(LEFT(IF(LEN(C35)=6,"0"&amp;C35,C35),2))=8,VALUE(LEFT(IF(LEN(C35)=6,"0"&amp;C35,C35),2))=18),"NW","Other"))</f>
        <v>NW</v>
      </c>
      <c r="X35" s="52" t="str">
        <f>IF(AND(E35="TRACK WARRANT AUTHORITY",G35&lt;10),"OMIT","KEEP")</f>
        <v>KEEP</v>
      </c>
      <c r="Y35" s="13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ID","value":"1805-18"},{"id":16,"name":"Locomotive ID","value":"4018"},{"id":130,"name":"Impact","value":""},{"id":150,"name":"Time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"%USERPROFILE%\AppData\Local\Temp\OnboardLogs"\RTDC4018\*4018*201609181* | grep -SE "((Enforcement Ac)|(PRM))" -</v>
      </c>
    </row>
    <row r="36" spans="1:29" x14ac:dyDescent="0.25">
      <c r="A36" s="38">
        <v>42631.357719907406</v>
      </c>
      <c r="B36" s="33" t="s">
        <v>230</v>
      </c>
      <c r="C36" s="33" t="s">
        <v>404</v>
      </c>
      <c r="D36" s="33" t="s">
        <v>49</v>
      </c>
      <c r="E36" s="33" t="s">
        <v>50</v>
      </c>
      <c r="F36" s="49">
        <v>0</v>
      </c>
      <c r="G36" s="49">
        <v>34</v>
      </c>
      <c r="H36" s="49">
        <v>58914</v>
      </c>
      <c r="I36" s="49">
        <v>58963</v>
      </c>
      <c r="J36" s="33" t="s">
        <v>51</v>
      </c>
      <c r="K36" s="49">
        <v>59048</v>
      </c>
      <c r="L36" s="150" t="s">
        <v>52</v>
      </c>
      <c r="M36" s="153">
        <f>CONVERT((I36-K36)/10000,"mi","ft")*IF(L36="Increasing Mileposts (1)",-1,1)</f>
        <v>44.88</v>
      </c>
      <c r="N36" s="92" t="str">
        <f>VLOOKUP(C36,'Trips&amp;Operators'!$C$1:$E$99999,3,FALSE)</f>
        <v>STARKS</v>
      </c>
      <c r="O36" s="174" t="s">
        <v>86</v>
      </c>
      <c r="P36" s="10"/>
      <c r="Q36" s="33"/>
      <c r="R36" s="108" t="str">
        <f>VLOOKUP(C36,'Train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6" s="111" t="str">
        <f>VLOOKUP(C36,'Train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07:08:49-0600',mode:absolute,to:'2016-09-18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6" s="113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/stypes="*4018*201609181*" /stext=" 14:.+((SYSTEM_STATE.+slice.+state.+changed )|(ment ac)|(system.+state.+changed )|(\|lc)|(penalty)|(\[timeout)|(PRM\|1\|D)|(kpr)|(kdp))" /e /r /s</v>
      </c>
      <c r="U36" s="9" t="str">
        <f>MID(B36,13,4)</f>
        <v>4018</v>
      </c>
      <c r="V36" s="38">
        <f>A36+6/24</f>
        <v>42631.607719907406</v>
      </c>
      <c r="W36" s="52" t="str">
        <f>IF(VALUE(LEFT(IF(LEN(C36)=6,"0"&amp;C36,C36),2))&lt;=2,"EC",IF(OR(VALUE(LEFT(IF(LEN(C36)=6,"0"&amp;C36,C36),2))=8,VALUE(LEFT(IF(LEN(C36)=6,"0"&amp;C36,C36),2))=18),"NW","Other"))</f>
        <v>NW</v>
      </c>
      <c r="X36" s="52" t="str">
        <f>IF(AND(E36="TRACK WARRANT AUTHORITY",G36&lt;10),"OMIT","KEEP")</f>
        <v>KEEP</v>
      </c>
      <c r="Y36" s="13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ID","value":"1805-18"},{"id":16,"name":"Locomotive ID","value":"4018"},{"id":130,"name":"Impact","value":""},{"id":150,"name":"Time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"%USERPROFILE%\AppData\Local\Temp\OnboardLogs"\RTDC4018\*4018*201609181* | grep -SE "((Enforcement Ac)|(PRM))" -</v>
      </c>
    </row>
    <row r="37" spans="1:29" ht="15" customHeight="1" x14ac:dyDescent="0.25">
      <c r="A37" s="38">
        <v>42631.482662037037</v>
      </c>
      <c r="B37" s="33" t="s">
        <v>230</v>
      </c>
      <c r="C37" s="33" t="s">
        <v>416</v>
      </c>
      <c r="D37" s="33" t="s">
        <v>49</v>
      </c>
      <c r="E37" s="33" t="s">
        <v>50</v>
      </c>
      <c r="F37" s="49">
        <v>0</v>
      </c>
      <c r="G37" s="49">
        <v>29</v>
      </c>
      <c r="H37" s="49">
        <v>58961</v>
      </c>
      <c r="I37" s="49">
        <v>58975</v>
      </c>
      <c r="J37" s="33" t="s">
        <v>51</v>
      </c>
      <c r="K37" s="49">
        <v>59048</v>
      </c>
      <c r="L37" s="150" t="s">
        <v>52</v>
      </c>
      <c r="M37" s="153">
        <f>CONVERT((I37-K37)/10000,"mi","ft")*IF(L37="Increasing Mileposts (1)",-1,1)</f>
        <v>38.543999999999997</v>
      </c>
      <c r="N37" s="92" t="str">
        <f>VLOOKUP(C37,'Trips&amp;Operators'!$C$1:$E$99999,3,FALSE)</f>
        <v>STARKS</v>
      </c>
      <c r="O37" s="174" t="s">
        <v>86</v>
      </c>
      <c r="P37" s="10"/>
      <c r="Q37" s="33"/>
      <c r="R37" s="108" t="str">
        <f>VLOOKUP(C37,'Train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7" s="111" t="str">
        <f>VLOOKUP(C37,'Train Runs'!$A$13:$AE$10015,22,0)</f>
        <v>https://search-rtdc-monitor-bjffxe2xuh6vdkpspy63sjmuny.us-east-1.es.amazonaws.com/_plugin/kibana/#/discover/Steve-Slow-Train-Analysis-(2080s-and-2083s)?_g=(refreshInterval:(display:Off,section:0,value:0),time:(from:'2016-09-18 10:19:12-0600',mode:absolute,to:'2016-09-18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7" s="113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/stypes="*4018*201609181*" /stext=" 17:.+((SYSTEM_STATE.+slice.+state.+changed )|(ment ac)|(system.+state.+changed )|(\|lc)|(penalty)|(\[timeout)|(PRM\|1\|D)|(kpr)|(kdp))" /e /r /s</v>
      </c>
      <c r="U37" s="9" t="str">
        <f>MID(B37,13,4)</f>
        <v>4018</v>
      </c>
      <c r="V37" s="38">
        <f>A37+6/24</f>
        <v>42631.732662037037</v>
      </c>
      <c r="W37" s="52" t="str">
        <f>IF(VALUE(LEFT(IF(LEN(C37)=6,"0"&amp;C37,C37),2))&lt;=2,"EC",IF(OR(VALUE(LEFT(IF(LEN(C37)=6,"0"&amp;C37,C37),2))=8,VALUE(LEFT(IF(LEN(C37)=6,"0"&amp;C37,C37),2))=18),"NW","Other"))</f>
        <v>NW</v>
      </c>
      <c r="X37" s="52" t="str">
        <f>IF(AND(E37="TRACK WARRANT AUTHORITY",G37&lt;10),"OMIT","KEEP")</f>
        <v>KEEP</v>
      </c>
      <c r="Y37" s="13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ID","value":"1811-18"},{"id":16,"name":"Locomotive ID","value":"4018"},{"id":130,"name":"Impact","value":""},{"id":150,"name":"Time of Event (Mountain Time)","value":"11:35:02"},{"id":151,"name":"Denver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"%USERPROFILE%\AppData\Local\Temp\OnboardLogs"\RTDC4018\*4018*201609181* | grep -SE "((Enforcement Ac)|(PRM))" -</v>
      </c>
    </row>
    <row r="38" spans="1:29" x14ac:dyDescent="0.25">
      <c r="A38" s="38">
        <v>42631.649756944447</v>
      </c>
      <c r="B38" s="33" t="s">
        <v>230</v>
      </c>
      <c r="C38" s="33" t="s">
        <v>421</v>
      </c>
      <c r="D38" s="33" t="s">
        <v>49</v>
      </c>
      <c r="E38" s="33" t="s">
        <v>50</v>
      </c>
      <c r="F38" s="49">
        <v>0</v>
      </c>
      <c r="G38" s="49">
        <v>37</v>
      </c>
      <c r="H38" s="49">
        <v>58886</v>
      </c>
      <c r="I38" s="49">
        <v>58960</v>
      </c>
      <c r="J38" s="33" t="s">
        <v>51</v>
      </c>
      <c r="K38" s="49">
        <v>59048</v>
      </c>
      <c r="L38" s="150" t="s">
        <v>52</v>
      </c>
      <c r="M38" s="153">
        <f>CONVERT((I38-K38)/10000,"mi","ft")*IF(L38="Increasing Mileposts (1)",-1,1)</f>
        <v>46.463999999999999</v>
      </c>
      <c r="N38" s="92" t="str">
        <f>VLOOKUP(C38,'Trips&amp;Operators'!$C$1:$E$99999,3,FALSE)</f>
        <v>CRAYTON</v>
      </c>
      <c r="O38" s="174" t="s">
        <v>86</v>
      </c>
      <c r="P38" s="10"/>
      <c r="Q38" s="33"/>
      <c r="R38" s="108" t="str">
        <f>VLOOKUP(C38,'Train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8" s="111" t="str">
        <f>VLOOKUP(C38,'Train Runs'!$A$13:$AE$10015,22,0)</f>
        <v>https://search-rtdc-monitor-bjffxe2xuh6vdkpspy63sjmuny.us-east-1.es.amazonaws.com/_plugin/kibana/#/discover/Steve-Slow-Train-Analysis-(2080s-and-2083s)?_g=(refreshInterval:(display:Off,section:0,value:0),time:(from:'2016-09-18 13:59:21-0600',mode:absolute,to:'2016-09-18 16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8" s="113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/stypes="*4018*201609182*" /stext=" 21:.+((SYSTEM_STATE.+slice.+state.+changed )|(ment ac)|(system.+state.+changed )|(\|lc)|(penalty)|(\[timeout)|(PRM\|1\|D)|(kpr)|(kdp))" /e /r /s</v>
      </c>
      <c r="U38" s="9" t="str">
        <f>MID(B38,13,4)</f>
        <v>4018</v>
      </c>
      <c r="V38" s="38">
        <f>A38+6/24</f>
        <v>42631.899756944447</v>
      </c>
      <c r="W38" s="52" t="str">
        <f>IF(VALUE(LEFT(IF(LEN(C38)=6,"0"&amp;C38,C38),2))&lt;=2,"EC",IF(OR(VALUE(LEFT(IF(LEN(C38)=6,"0"&amp;C38,C38),2))=8,VALUE(LEFT(IF(LEN(C38)=6,"0"&amp;C38,C38),2))=18),"NW","Other"))</f>
        <v>NW</v>
      </c>
      <c r="X38" s="52" t="str">
        <f>IF(AND(E38="TRACK WARRANT AUTHORITY",G38&lt;10),"OMIT","KEEP")</f>
        <v>KEEP</v>
      </c>
      <c r="Y38" s="13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ID","value":"1819-18"},{"id":16,"name":"Locomotive ID","value":"4018"},{"id":130,"name":"Impact","value":""},{"id":150,"name":"Time of Event (Mountain Time)","value":"15:35:39"},{"id":151,"name":"Denver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"%USERPROFILE%\AppData\Local\Temp\OnboardLogs"\RTDC4018\*4018*201609182* | grep -SE "((Enforcement Ac)|(PRM))" -</v>
      </c>
    </row>
    <row r="39" spans="1:29" x14ac:dyDescent="0.25">
      <c r="A39" s="38"/>
      <c r="B39" s="33"/>
      <c r="C39" s="33"/>
      <c r="D39" s="33"/>
      <c r="E39" s="33"/>
      <c r="F39" s="49"/>
      <c r="G39" s="49"/>
      <c r="H39" s="49"/>
      <c r="I39" s="49"/>
      <c r="J39" s="33"/>
      <c r="K39" s="49"/>
      <c r="L39" s="150"/>
      <c r="M39" s="153"/>
      <c r="N39" s="92"/>
      <c r="O39" s="174"/>
      <c r="P39" s="10"/>
      <c r="Q39" s="33"/>
      <c r="R39" s="108"/>
      <c r="S39" s="111"/>
      <c r="T39" s="113"/>
      <c r="U39" s="9"/>
      <c r="V39" s="38"/>
      <c r="W39" s="52"/>
      <c r="X39" s="52"/>
      <c r="Y39" s="134"/>
      <c r="Z39" s="55"/>
      <c r="AA39" s="55"/>
      <c r="AB39" s="23"/>
      <c r="AC39" s="178"/>
    </row>
    <row r="40" spans="1:29" x14ac:dyDescent="0.25">
      <c r="A40" s="38"/>
      <c r="B40" s="33"/>
      <c r="C40" s="33"/>
      <c r="D40" s="33"/>
      <c r="E40" s="33"/>
      <c r="F40" s="49"/>
      <c r="G40" s="49"/>
      <c r="H40" s="49"/>
      <c r="I40" s="49"/>
      <c r="J40" s="33"/>
      <c r="K40" s="49"/>
      <c r="L40" s="150"/>
      <c r="M40" s="153"/>
      <c r="N40" s="92"/>
      <c r="O40" s="174"/>
      <c r="P40" s="10"/>
      <c r="Q40" s="33"/>
      <c r="R40" s="108"/>
      <c r="S40" s="111"/>
      <c r="T40" s="113"/>
      <c r="U40" s="9"/>
      <c r="V40" s="38"/>
      <c r="W40" s="52"/>
      <c r="X40" s="52"/>
      <c r="Y40" s="134"/>
      <c r="Z40" s="55"/>
      <c r="AA40" s="55"/>
      <c r="AB40" s="23"/>
      <c r="AC40" s="178"/>
    </row>
    <row r="41" spans="1:29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50"/>
      <c r="M41" s="153"/>
      <c r="N41" s="92"/>
      <c r="O41" s="174"/>
      <c r="P41" s="10"/>
      <c r="Q41" s="33"/>
      <c r="R41" s="108"/>
      <c r="S41" s="111"/>
      <c r="T41" s="113"/>
      <c r="U41" s="9"/>
      <c r="V41" s="38"/>
      <c r="W41" s="52"/>
      <c r="X41" s="52"/>
      <c r="Y41" s="134"/>
      <c r="Z41" s="55"/>
      <c r="AA41" s="55"/>
      <c r="AB41" s="23"/>
      <c r="AC41" s="178"/>
    </row>
    <row r="42" spans="1:29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50"/>
      <c r="M42" s="153"/>
      <c r="N42" s="92"/>
      <c r="O42" s="174"/>
      <c r="P42" s="10"/>
      <c r="Q42" s="33"/>
      <c r="R42" s="108"/>
      <c r="S42" s="111"/>
      <c r="T42" s="113"/>
      <c r="U42" s="9"/>
      <c r="V42" s="38"/>
      <c r="W42" s="52"/>
      <c r="X42" s="52"/>
      <c r="Y42" s="134"/>
      <c r="Z42" s="55"/>
      <c r="AA42" s="55"/>
      <c r="AB42" s="23"/>
      <c r="AC42" s="178"/>
    </row>
    <row r="43" spans="1:29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50"/>
      <c r="M43" s="153"/>
      <c r="N43" s="92"/>
      <c r="O43" s="174"/>
      <c r="P43" s="10"/>
      <c r="Q43" s="33"/>
      <c r="R43" s="108"/>
      <c r="S43" s="111"/>
      <c r="T43" s="113"/>
      <c r="U43" s="9"/>
      <c r="V43" s="38"/>
      <c r="W43" s="52"/>
      <c r="X43" s="52"/>
      <c r="Y43" s="134"/>
      <c r="Z43" s="55"/>
      <c r="AA43" s="55"/>
      <c r="AB43" s="23"/>
      <c r="AC43" s="178"/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50"/>
      <c r="M44" s="153"/>
      <c r="N44" s="92"/>
      <c r="O44" s="174"/>
      <c r="P44" s="10"/>
      <c r="Q44" s="33"/>
      <c r="R44" s="108"/>
      <c r="S44" s="111"/>
      <c r="T44" s="113"/>
      <c r="U44" s="9"/>
      <c r="V44" s="38"/>
      <c r="W44" s="52"/>
      <c r="X44" s="52"/>
      <c r="Y44" s="134"/>
      <c r="Z44" s="55"/>
      <c r="AA44" s="55"/>
      <c r="AB44" s="23"/>
      <c r="AC44" s="178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50"/>
      <c r="M45" s="153"/>
      <c r="N45" s="92"/>
      <c r="O45" s="174"/>
      <c r="P45" s="10"/>
      <c r="Q45" s="33"/>
      <c r="R45" s="108"/>
      <c r="S45" s="111"/>
      <c r="T45" s="113"/>
      <c r="U45" s="9"/>
      <c r="V45" s="38"/>
      <c r="W45" s="52"/>
      <c r="X45" s="52"/>
      <c r="Y45" s="134"/>
      <c r="Z45" s="55"/>
      <c r="AA45" s="55"/>
      <c r="AB45" s="55"/>
      <c r="AC45" s="178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50"/>
      <c r="M46" s="153"/>
      <c r="N46" s="92"/>
      <c r="O46" s="174"/>
      <c r="P46" s="10"/>
      <c r="Q46" s="33"/>
      <c r="R46" s="108"/>
      <c r="S46" s="111"/>
      <c r="T46" s="113"/>
      <c r="U46" s="9"/>
      <c r="V46" s="38"/>
      <c r="W46" s="52"/>
      <c r="X46" s="52"/>
      <c r="Y46" s="134"/>
      <c r="Z46" s="55"/>
      <c r="AA46" s="55"/>
      <c r="AB46" s="23"/>
      <c r="AC46" s="178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50"/>
      <c r="M47" s="153"/>
      <c r="N47" s="92"/>
      <c r="O47" s="174"/>
      <c r="P47" s="10"/>
      <c r="Q47" s="33"/>
      <c r="R47" s="108"/>
      <c r="S47" s="111"/>
      <c r="T47" s="113"/>
      <c r="U47" s="9"/>
      <c r="V47" s="38"/>
      <c r="W47" s="52"/>
      <c r="X47" s="52"/>
      <c r="Y47" s="134"/>
      <c r="Z47" s="55"/>
      <c r="AA47" s="55"/>
      <c r="AB47" s="23"/>
      <c r="AC47" s="178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50"/>
      <c r="M48" s="153"/>
      <c r="N48" s="92"/>
      <c r="O48" s="174"/>
      <c r="P48" s="10"/>
      <c r="Q48" s="33"/>
      <c r="R48" s="108"/>
      <c r="S48" s="111"/>
      <c r="T48" s="113"/>
      <c r="U48" s="9"/>
      <c r="V48" s="38"/>
      <c r="W48" s="52"/>
      <c r="X48" s="52"/>
      <c r="Y48" s="134"/>
      <c r="Z48" s="55"/>
      <c r="AA48" s="55"/>
      <c r="AB48" s="23"/>
      <c r="AC48" s="178"/>
    </row>
    <row r="49" spans="1:29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0"/>
      <c r="M49" s="153"/>
      <c r="N49" s="92"/>
      <c r="O49" s="174"/>
      <c r="P49" s="10"/>
      <c r="Q49" s="33"/>
      <c r="R49" s="108"/>
      <c r="S49" s="111"/>
      <c r="T49" s="113"/>
      <c r="U49" s="9"/>
      <c r="V49" s="38"/>
      <c r="W49" s="52"/>
      <c r="X49" s="52"/>
      <c r="Y49" s="134"/>
      <c r="Z49" s="55"/>
      <c r="AA49" s="55"/>
      <c r="AB49" s="23"/>
      <c r="AC49" s="178"/>
    </row>
    <row r="50" spans="1:29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0"/>
      <c r="M50" s="153"/>
      <c r="N50" s="92"/>
      <c r="O50" s="174"/>
      <c r="P50" s="10"/>
      <c r="Q50" s="33"/>
      <c r="R50" s="108"/>
      <c r="S50" s="111"/>
      <c r="T50" s="113"/>
      <c r="U50" s="9"/>
      <c r="V50" s="38"/>
      <c r="W50" s="52"/>
      <c r="X50" s="52"/>
      <c r="Y50" s="134"/>
      <c r="Z50" s="55"/>
      <c r="AA50" s="55"/>
      <c r="AB50" s="23"/>
      <c r="AC50" s="178"/>
    </row>
    <row r="51" spans="1:29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0"/>
      <c r="M51" s="153"/>
      <c r="N51" s="92"/>
      <c r="O51" s="174"/>
      <c r="P51" s="10"/>
      <c r="Q51" s="33"/>
      <c r="R51" s="108"/>
      <c r="S51" s="111"/>
      <c r="T51" s="113"/>
      <c r="U51" s="9"/>
      <c r="V51" s="38"/>
      <c r="W51" s="52"/>
      <c r="X51" s="52"/>
      <c r="Y51" s="134"/>
      <c r="Z51" s="55"/>
      <c r="AA51" s="55"/>
      <c r="AB51" s="23"/>
      <c r="AC51" s="178"/>
    </row>
    <row r="52" spans="1:29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0"/>
      <c r="M52" s="153"/>
      <c r="N52" s="92"/>
      <c r="O52" s="174"/>
      <c r="P52" s="10"/>
      <c r="Q52" s="33"/>
      <c r="R52" s="108"/>
      <c r="S52" s="111"/>
      <c r="T52" s="113"/>
      <c r="U52" s="9"/>
      <c r="V52" s="38"/>
      <c r="W52" s="52"/>
      <c r="X52" s="52"/>
      <c r="Y52" s="134"/>
      <c r="Z52" s="55"/>
      <c r="AA52" s="55"/>
      <c r="AB52" s="23"/>
      <c r="AC52" s="178"/>
    </row>
    <row r="53" spans="1:29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0"/>
      <c r="M53" s="153"/>
      <c r="N53" s="92"/>
      <c r="O53" s="174"/>
      <c r="P53" s="10"/>
      <c r="Q53" s="33"/>
      <c r="R53" s="108"/>
      <c r="S53" s="111"/>
      <c r="T53" s="113"/>
      <c r="U53" s="9"/>
      <c r="V53" s="38"/>
      <c r="W53" s="52"/>
      <c r="X53" s="52"/>
      <c r="Y53" s="134"/>
      <c r="Z53" s="55"/>
      <c r="AA53" s="55"/>
      <c r="AB53" s="23"/>
      <c r="AC53" s="178"/>
    </row>
    <row r="54" spans="1:29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0"/>
      <c r="M54" s="153"/>
      <c r="N54" s="92"/>
      <c r="O54" s="174"/>
      <c r="P54" s="10"/>
      <c r="Q54" s="33"/>
      <c r="R54" s="108"/>
      <c r="S54" s="111"/>
      <c r="T54" s="113"/>
      <c r="U54" s="9"/>
      <c r="V54" s="38"/>
      <c r="W54" s="52"/>
      <c r="X54" s="52"/>
      <c r="Y54" s="134"/>
      <c r="Z54" s="55"/>
      <c r="AA54" s="55"/>
      <c r="AB54" s="23"/>
      <c r="AC54" s="178"/>
    </row>
    <row r="55" spans="1:29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0"/>
      <c r="M55" s="153"/>
      <c r="N55" s="92"/>
      <c r="O55" s="174"/>
      <c r="P55" s="10"/>
      <c r="Q55" s="33"/>
      <c r="R55" s="108"/>
      <c r="S55" s="111"/>
      <c r="T55" s="113"/>
      <c r="U55" s="9"/>
      <c r="V55" s="38"/>
      <c r="W55" s="52"/>
      <c r="X55" s="52"/>
      <c r="Y55" s="134"/>
      <c r="Z55" s="55"/>
      <c r="AA55" s="55"/>
      <c r="AB55" s="23"/>
      <c r="AC55" s="178"/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  <c r="AC56" s="178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  <c r="AC57" s="178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  <c r="AC58" s="178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  <c r="AC59" s="178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  <c r="AC60" s="178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  <c r="AC61" s="178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  <c r="AC62" s="178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  <c r="AC63" s="178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  <c r="AC64" s="178"/>
    </row>
    <row r="65" spans="1:29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  <c r="AC65" s="178"/>
    </row>
    <row r="66" spans="1:29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  <c r="AC66" s="178"/>
    </row>
    <row r="67" spans="1:29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  <c r="AC67" s="178"/>
    </row>
    <row r="68" spans="1:29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  <c r="AC68" s="178"/>
    </row>
    <row r="69" spans="1:29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  <c r="AC69" s="178"/>
    </row>
    <row r="70" spans="1:29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  <c r="AC70" s="178"/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  <c r="AC71" s="178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  <c r="AC72" s="178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  <c r="AC73" s="178"/>
    </row>
    <row r="74" spans="1:29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  <c r="AC74" s="178"/>
    </row>
    <row r="75" spans="1:29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  <c r="AC75" s="178"/>
    </row>
    <row r="76" spans="1:29" x14ac:dyDescent="0.25">
      <c r="B76" s="23"/>
      <c r="C76" s="23"/>
      <c r="D76" s="23"/>
      <c r="E76" s="23"/>
      <c r="J76" s="23"/>
    </row>
  </sheetData>
  <autoFilter ref="A6:AC38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5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0" t="str">
        <f>"Trips that did not appear in PTC Data "&amp;TEXT(Variables!$A$2,"YYYY-mm-dd")</f>
        <v>Trips that did not appear in PTC Data 2016-09-18</v>
      </c>
      <c r="C1" s="180"/>
      <c r="D1" s="180"/>
      <c r="E1" s="180"/>
      <c r="F1" s="180"/>
    </row>
    <row r="2" spans="1:11" s="26" customFormat="1" ht="45" x14ac:dyDescent="0.25">
      <c r="A2" s="170" t="s">
        <v>170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-18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-18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-18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-18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-18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-18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-18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-18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activeCell="C14" sqref="C1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42631.037824074076</v>
      </c>
      <c r="B1" s="23" t="s">
        <v>171</v>
      </c>
      <c r="C1" s="23" t="s">
        <v>353</v>
      </c>
      <c r="D1" s="23">
        <v>1300000</v>
      </c>
      <c r="E1" s="23" t="s">
        <v>121</v>
      </c>
      <c r="F1" s="23" t="str">
        <f>B1</f>
        <v>rtdc.l.rtdc.4025:itc</v>
      </c>
      <c r="G1" s="8">
        <f>A1</f>
        <v>42631.037824074076</v>
      </c>
    </row>
    <row r="2" spans="1:7" x14ac:dyDescent="0.25">
      <c r="A2" s="8">
        <v>42631.038784722223</v>
      </c>
      <c r="B2" s="23" t="s">
        <v>348</v>
      </c>
      <c r="C2" s="23" t="s">
        <v>354</v>
      </c>
      <c r="D2" s="23">
        <v>1800000</v>
      </c>
      <c r="E2" s="23" t="s">
        <v>305</v>
      </c>
      <c r="F2" s="23" t="str">
        <f t="shared" ref="F2:F65" si="0">B2</f>
        <v>rtdc.l.rtdc.4012:itc</v>
      </c>
      <c r="G2" s="8">
        <f t="shared" ref="G2:G65" si="1">A2</f>
        <v>42631.038784722223</v>
      </c>
    </row>
    <row r="3" spans="1:7" x14ac:dyDescent="0.25">
      <c r="A3" s="8">
        <v>42631.039467592593</v>
      </c>
      <c r="B3" s="23" t="s">
        <v>171</v>
      </c>
      <c r="C3" s="23" t="s">
        <v>353</v>
      </c>
      <c r="D3" s="23">
        <v>1300000</v>
      </c>
      <c r="E3" s="23" t="s">
        <v>121</v>
      </c>
      <c r="F3" s="23" t="str">
        <f t="shared" si="0"/>
        <v>rtdc.l.rtdc.4025:itc</v>
      </c>
      <c r="G3" s="8">
        <f t="shared" si="1"/>
        <v>42631.039467592593</v>
      </c>
    </row>
    <row r="4" spans="1:7" x14ac:dyDescent="0.25">
      <c r="A4" s="8">
        <v>42631.048148148147</v>
      </c>
      <c r="B4" s="23" t="s">
        <v>171</v>
      </c>
      <c r="C4" s="23" t="s">
        <v>353</v>
      </c>
      <c r="D4" s="23">
        <v>1300000</v>
      </c>
      <c r="E4" s="23" t="s">
        <v>121</v>
      </c>
      <c r="F4" s="23" t="str">
        <f t="shared" si="0"/>
        <v>rtdc.l.rtdc.4025:itc</v>
      </c>
      <c r="G4" s="8">
        <f t="shared" si="1"/>
        <v>42631.048148148147</v>
      </c>
    </row>
    <row r="5" spans="1:7" x14ac:dyDescent="0.25">
      <c r="A5" s="8">
        <v>42631.052094907405</v>
      </c>
      <c r="B5" s="23" t="s">
        <v>171</v>
      </c>
      <c r="C5" s="23" t="s">
        <v>353</v>
      </c>
      <c r="D5" s="23">
        <v>1300000</v>
      </c>
      <c r="E5" s="23" t="s">
        <v>121</v>
      </c>
      <c r="F5" s="23" t="str">
        <f t="shared" si="0"/>
        <v>rtdc.l.rtdc.4025:itc</v>
      </c>
      <c r="G5" s="8">
        <f t="shared" si="1"/>
        <v>42631.052094907405</v>
      </c>
    </row>
    <row r="6" spans="1:7" x14ac:dyDescent="0.25">
      <c r="A6" s="8">
        <v>42631.053842592592</v>
      </c>
      <c r="B6" s="23" t="s">
        <v>345</v>
      </c>
      <c r="C6" s="23" t="s">
        <v>355</v>
      </c>
      <c r="D6" s="23">
        <v>1480000</v>
      </c>
      <c r="E6" s="23" t="s">
        <v>263</v>
      </c>
      <c r="F6" s="23" t="str">
        <f t="shared" si="0"/>
        <v>rtdc.l.rtdc.4039:itc</v>
      </c>
      <c r="G6" s="8">
        <f t="shared" si="1"/>
        <v>42631.053842592592</v>
      </c>
    </row>
    <row r="7" spans="1:7" x14ac:dyDescent="0.25">
      <c r="A7" s="8">
        <v>42631.075138888889</v>
      </c>
      <c r="B7" s="23" t="s">
        <v>341</v>
      </c>
      <c r="C7" s="23" t="s">
        <v>356</v>
      </c>
      <c r="D7" s="23">
        <v>1800000</v>
      </c>
      <c r="E7" s="23" t="s">
        <v>305</v>
      </c>
      <c r="F7" s="23" t="str">
        <f t="shared" si="0"/>
        <v>rtdc.l.rtdc.4011:itc</v>
      </c>
      <c r="G7" s="8">
        <f t="shared" si="1"/>
        <v>42631.075138888889</v>
      </c>
    </row>
    <row r="8" spans="1:7" x14ac:dyDescent="0.25">
      <c r="A8" s="8">
        <v>42631.076631944445</v>
      </c>
      <c r="B8" s="23" t="s">
        <v>172</v>
      </c>
      <c r="C8" s="23" t="s">
        <v>357</v>
      </c>
      <c r="D8" s="23">
        <v>1300000</v>
      </c>
      <c r="E8" s="23" t="s">
        <v>121</v>
      </c>
      <c r="F8" s="23" t="str">
        <f t="shared" si="0"/>
        <v>rtdc.l.rtdc.4026:itc</v>
      </c>
      <c r="G8" s="8">
        <f t="shared" si="1"/>
        <v>42631.076631944445</v>
      </c>
    </row>
    <row r="9" spans="1:7" ht="15.75" thickBot="1" x14ac:dyDescent="0.3">
      <c r="A9" s="27">
        <v>42631.091909722221</v>
      </c>
      <c r="B9" s="23" t="s">
        <v>342</v>
      </c>
      <c r="C9" s="23" t="s">
        <v>358</v>
      </c>
      <c r="D9" s="23">
        <v>1480000</v>
      </c>
      <c r="E9" s="23" t="s">
        <v>263</v>
      </c>
      <c r="F9" s="23" t="str">
        <f t="shared" si="0"/>
        <v>rtdc.l.rtdc.4040:itc</v>
      </c>
      <c r="G9" s="8">
        <f t="shared" si="1"/>
        <v>42631.091909722221</v>
      </c>
    </row>
    <row r="10" spans="1:7" x14ac:dyDescent="0.25">
      <c r="A10" s="8">
        <v>42631.111284722225</v>
      </c>
      <c r="B10" s="23" t="s">
        <v>178</v>
      </c>
      <c r="C10" s="23" t="s">
        <v>359</v>
      </c>
      <c r="D10" s="23">
        <v>1300000</v>
      </c>
      <c r="E10" s="23" t="s">
        <v>121</v>
      </c>
      <c r="F10" s="23" t="str">
        <f t="shared" si="0"/>
        <v>rtdc.l.rtdc.4042:itc</v>
      </c>
      <c r="G10" s="8">
        <f t="shared" si="1"/>
        <v>42631.111284722225</v>
      </c>
    </row>
    <row r="11" spans="1:7" x14ac:dyDescent="0.25">
      <c r="A11" s="8">
        <v>42631.131458333337</v>
      </c>
      <c r="B11" s="23" t="s">
        <v>258</v>
      </c>
      <c r="C11" s="23" t="s">
        <v>428</v>
      </c>
      <c r="D11" s="23">
        <v>2030000</v>
      </c>
      <c r="E11" s="23" t="s">
        <v>343</v>
      </c>
      <c r="F11" s="23" t="str">
        <f t="shared" si="0"/>
        <v>rtdc.l.rtdc.4044:itc</v>
      </c>
      <c r="G11" s="8">
        <f t="shared" si="1"/>
        <v>42631.131458333337</v>
      </c>
    </row>
    <row r="12" spans="1:7" x14ac:dyDescent="0.25">
      <c r="A12" s="8">
        <v>42631.145150462966</v>
      </c>
      <c r="B12" s="23" t="s">
        <v>164</v>
      </c>
      <c r="C12" s="23" t="s">
        <v>429</v>
      </c>
      <c r="D12" s="23">
        <v>2270000</v>
      </c>
      <c r="E12" s="23" t="s">
        <v>430</v>
      </c>
      <c r="F12" s="23" t="str">
        <f t="shared" si="0"/>
        <v>rtdc.l.rtdc.4019:itc</v>
      </c>
      <c r="G12" s="8">
        <f t="shared" si="1"/>
        <v>42631.145150462966</v>
      </c>
    </row>
    <row r="13" spans="1:7" x14ac:dyDescent="0.25">
      <c r="A13" s="8">
        <v>42631.145995370367</v>
      </c>
      <c r="B13" s="23" t="s">
        <v>164</v>
      </c>
      <c r="C13" s="23" t="s">
        <v>431</v>
      </c>
      <c r="D13" s="23">
        <v>2270000</v>
      </c>
      <c r="E13" s="23" t="s">
        <v>430</v>
      </c>
      <c r="F13" s="23" t="str">
        <f t="shared" si="0"/>
        <v>rtdc.l.rtdc.4019:itc</v>
      </c>
      <c r="G13" s="8">
        <f t="shared" si="1"/>
        <v>42631.145995370367</v>
      </c>
    </row>
    <row r="14" spans="1:7" x14ac:dyDescent="0.25">
      <c r="A14" s="8">
        <v>42631.157870370371</v>
      </c>
      <c r="B14" s="23" t="s">
        <v>347</v>
      </c>
      <c r="C14" s="23" t="s">
        <v>429</v>
      </c>
      <c r="D14" s="23">
        <v>2270000</v>
      </c>
      <c r="E14" s="23" t="s">
        <v>430</v>
      </c>
      <c r="F14" s="23" t="str">
        <f t="shared" si="0"/>
        <v>rtdc.l.rtdc.4027:itc</v>
      </c>
      <c r="G14" s="8">
        <f t="shared" si="1"/>
        <v>42631.157870370371</v>
      </c>
    </row>
    <row r="15" spans="1:7" x14ac:dyDescent="0.25">
      <c r="A15" s="8">
        <v>42631.165358796294</v>
      </c>
      <c r="B15" s="23" t="s">
        <v>301</v>
      </c>
      <c r="C15" s="23" t="s">
        <v>432</v>
      </c>
      <c r="D15" s="23">
        <v>2030000</v>
      </c>
      <c r="E15" s="23" t="s">
        <v>343</v>
      </c>
      <c r="F15" s="23" t="str">
        <f t="shared" si="0"/>
        <v>rtdc.l.rtdc.4037:itc</v>
      </c>
      <c r="G15" s="8">
        <f t="shared" si="1"/>
        <v>42631.165358796294</v>
      </c>
    </row>
    <row r="16" spans="1:7" x14ac:dyDescent="0.25">
      <c r="A16" s="8">
        <v>42631.167569444442</v>
      </c>
      <c r="B16" s="23" t="s">
        <v>229</v>
      </c>
      <c r="C16" s="23" t="s">
        <v>433</v>
      </c>
      <c r="D16" s="23">
        <v>2010000</v>
      </c>
      <c r="E16" s="23" t="s">
        <v>259</v>
      </c>
      <c r="F16" s="23" t="str">
        <f t="shared" si="0"/>
        <v>rtdc.l.rtdc.4016:itc</v>
      </c>
      <c r="G16" s="8">
        <f t="shared" si="1"/>
        <v>42631.167569444442</v>
      </c>
    </row>
    <row r="17" spans="1:7" x14ac:dyDescent="0.25">
      <c r="A17" s="8">
        <v>42631.186284722222</v>
      </c>
      <c r="B17" s="23" t="s">
        <v>128</v>
      </c>
      <c r="C17" s="23" t="s">
        <v>434</v>
      </c>
      <c r="D17" s="23">
        <v>1990000</v>
      </c>
      <c r="E17" s="23" t="s">
        <v>299</v>
      </c>
      <c r="F17" s="23" t="str">
        <f t="shared" si="0"/>
        <v>rtdc.l.rtdc.4009:itc</v>
      </c>
      <c r="G17" s="8">
        <f t="shared" si="1"/>
        <v>42631.186284722222</v>
      </c>
    </row>
    <row r="18" spans="1:7" x14ac:dyDescent="0.25">
      <c r="A18" s="8">
        <v>42631.192280092589</v>
      </c>
      <c r="B18" s="23" t="s">
        <v>164</v>
      </c>
      <c r="C18" s="23" t="s">
        <v>435</v>
      </c>
      <c r="D18" s="23">
        <v>2270000</v>
      </c>
      <c r="E18" s="23" t="s">
        <v>430</v>
      </c>
      <c r="F18" s="23" t="str">
        <f t="shared" si="0"/>
        <v>rtdc.l.rtdc.4019:itc</v>
      </c>
      <c r="G18" s="8">
        <f t="shared" si="1"/>
        <v>42631.192280092589</v>
      </c>
    </row>
    <row r="19" spans="1:7" x14ac:dyDescent="0.25">
      <c r="A19" s="8">
        <v>42631.196840277778</v>
      </c>
      <c r="B19" s="23" t="s">
        <v>297</v>
      </c>
      <c r="C19" s="23" t="s">
        <v>436</v>
      </c>
      <c r="D19" s="23">
        <v>1310000</v>
      </c>
      <c r="E19" s="23" t="s">
        <v>293</v>
      </c>
      <c r="F19" s="23" t="str">
        <f t="shared" si="0"/>
        <v>rtdc.l.rtdc.4003:itc</v>
      </c>
      <c r="G19" s="8">
        <f t="shared" si="1"/>
        <v>42631.196840277778</v>
      </c>
    </row>
    <row r="20" spans="1:7" x14ac:dyDescent="0.25">
      <c r="A20" s="8">
        <v>42631.204479166663</v>
      </c>
      <c r="B20" s="23" t="s">
        <v>258</v>
      </c>
      <c r="C20" s="23" t="s">
        <v>437</v>
      </c>
      <c r="D20" s="23">
        <v>1760000</v>
      </c>
      <c r="E20" s="23" t="s">
        <v>260</v>
      </c>
      <c r="F20" s="23" t="str">
        <f t="shared" si="0"/>
        <v>rtdc.l.rtdc.4044:itc</v>
      </c>
      <c r="G20" s="8">
        <f t="shared" si="1"/>
        <v>42631.204479166663</v>
      </c>
    </row>
    <row r="21" spans="1:7" x14ac:dyDescent="0.25">
      <c r="A21" s="8">
        <v>42631.20553240741</v>
      </c>
      <c r="B21" s="23" t="s">
        <v>298</v>
      </c>
      <c r="C21" s="23" t="s">
        <v>438</v>
      </c>
      <c r="D21" s="23">
        <v>2030000</v>
      </c>
      <c r="E21" s="23" t="s">
        <v>343</v>
      </c>
      <c r="F21" s="23" t="str">
        <f t="shared" si="0"/>
        <v>rtdc.l.rtdc.4038:itc</v>
      </c>
      <c r="G21" s="8">
        <f t="shared" si="1"/>
        <v>42631.20553240741</v>
      </c>
    </row>
    <row r="22" spans="1:7" x14ac:dyDescent="0.25">
      <c r="A22" s="29">
        <v>42631.210150462961</v>
      </c>
      <c r="B22" s="23" t="s">
        <v>243</v>
      </c>
      <c r="C22" s="23" t="s">
        <v>396</v>
      </c>
      <c r="D22" s="23">
        <v>2010000</v>
      </c>
      <c r="E22" s="23" t="s">
        <v>259</v>
      </c>
      <c r="F22" s="23" t="str">
        <f t="shared" si="0"/>
        <v>rtdc.l.rtdc.4013:itc</v>
      </c>
      <c r="G22" s="8">
        <f t="shared" si="1"/>
        <v>42631.210150462961</v>
      </c>
    </row>
    <row r="23" spans="1:7" x14ac:dyDescent="0.25">
      <c r="A23" s="8">
        <v>42631.223055555558</v>
      </c>
      <c r="B23" s="23" t="s">
        <v>177</v>
      </c>
      <c r="C23" s="23" t="s">
        <v>439</v>
      </c>
      <c r="D23" s="23">
        <v>1990000</v>
      </c>
      <c r="E23" s="23" t="s">
        <v>299</v>
      </c>
      <c r="F23" s="23" t="str">
        <f t="shared" si="0"/>
        <v>rtdc.l.rtdc.4010:itc</v>
      </c>
      <c r="G23" s="8">
        <f t="shared" si="1"/>
        <v>42631.223055555558</v>
      </c>
    </row>
    <row r="24" spans="1:7" x14ac:dyDescent="0.25">
      <c r="A24" s="8">
        <v>42631.226747685185</v>
      </c>
      <c r="B24" s="23" t="s">
        <v>347</v>
      </c>
      <c r="C24" s="23" t="s">
        <v>440</v>
      </c>
      <c r="D24" s="23">
        <v>1830000</v>
      </c>
      <c r="E24" s="23" t="s">
        <v>346</v>
      </c>
      <c r="F24" s="23" t="str">
        <f t="shared" si="0"/>
        <v>rtdc.l.rtdc.4027:itc</v>
      </c>
      <c r="G24" s="8">
        <f t="shared" si="1"/>
        <v>42631.226747685185</v>
      </c>
    </row>
    <row r="25" spans="1:7" x14ac:dyDescent="0.25">
      <c r="A25" s="8">
        <v>42631.232604166667</v>
      </c>
      <c r="B25" s="23" t="s">
        <v>165</v>
      </c>
      <c r="C25" s="23" t="s">
        <v>441</v>
      </c>
      <c r="D25" s="23">
        <v>2270000</v>
      </c>
      <c r="E25" s="23" t="s">
        <v>430</v>
      </c>
      <c r="F25" s="23" t="str">
        <f t="shared" si="0"/>
        <v>rtdc.l.rtdc.4020:itc</v>
      </c>
      <c r="G25" s="8">
        <f t="shared" si="1"/>
        <v>42631.232604166667</v>
      </c>
    </row>
    <row r="26" spans="1:7" x14ac:dyDescent="0.25">
      <c r="A26" s="8">
        <v>42631.234629629631</v>
      </c>
      <c r="B26" s="23" t="s">
        <v>255</v>
      </c>
      <c r="C26" s="23" t="s">
        <v>442</v>
      </c>
      <c r="D26" s="23">
        <v>1110000</v>
      </c>
      <c r="E26" s="23" t="s">
        <v>443</v>
      </c>
      <c r="F26" s="23" t="str">
        <f t="shared" si="0"/>
        <v>rtdc.l.rtdc.4017:itc</v>
      </c>
      <c r="G26" s="8">
        <f t="shared" si="1"/>
        <v>42631.234629629631</v>
      </c>
    </row>
    <row r="27" spans="1:7" x14ac:dyDescent="0.25">
      <c r="A27" s="8">
        <v>42631.236319444448</v>
      </c>
      <c r="B27" s="23" t="s">
        <v>300</v>
      </c>
      <c r="C27" s="23" t="s">
        <v>444</v>
      </c>
      <c r="D27" s="23">
        <v>1310000</v>
      </c>
      <c r="E27" s="23" t="s">
        <v>293</v>
      </c>
      <c r="F27" s="23" t="str">
        <f t="shared" si="0"/>
        <v>rtdc.l.rtdc.4004:itc</v>
      </c>
      <c r="G27" s="8">
        <f t="shared" si="1"/>
        <v>42631.236319444448</v>
      </c>
    </row>
    <row r="28" spans="1:7" x14ac:dyDescent="0.25">
      <c r="A28" s="8">
        <v>42631.244525462964</v>
      </c>
      <c r="B28" s="23" t="s">
        <v>261</v>
      </c>
      <c r="C28" s="23" t="s">
        <v>445</v>
      </c>
      <c r="D28" s="23">
        <v>1760000</v>
      </c>
      <c r="E28" s="23" t="s">
        <v>260</v>
      </c>
      <c r="F28" s="23" t="str">
        <f t="shared" si="0"/>
        <v>rtdc.l.rtdc.4043:itc</v>
      </c>
      <c r="G28" s="8">
        <f t="shared" si="1"/>
        <v>42631.244525462964</v>
      </c>
    </row>
    <row r="29" spans="1:7" x14ac:dyDescent="0.25">
      <c r="A29" s="8">
        <v>42631.247789351852</v>
      </c>
      <c r="B29" s="23" t="s">
        <v>229</v>
      </c>
      <c r="C29" s="23" t="s">
        <v>446</v>
      </c>
      <c r="D29" s="23">
        <v>2010000</v>
      </c>
      <c r="E29" s="23" t="s">
        <v>259</v>
      </c>
      <c r="F29" s="23" t="str">
        <f t="shared" si="0"/>
        <v>rtdc.l.rtdc.4016:itc</v>
      </c>
      <c r="G29" s="8">
        <f t="shared" si="1"/>
        <v>42631.247789351852</v>
      </c>
    </row>
    <row r="30" spans="1:7" x14ac:dyDescent="0.25">
      <c r="A30" s="8">
        <v>42631.253553240742</v>
      </c>
      <c r="B30" s="23" t="s">
        <v>301</v>
      </c>
      <c r="C30" s="23" t="s">
        <v>397</v>
      </c>
      <c r="D30" s="23">
        <v>2030000</v>
      </c>
      <c r="E30" s="23" t="s">
        <v>343</v>
      </c>
      <c r="F30" s="23" t="str">
        <f t="shared" si="0"/>
        <v>rtdc.l.rtdc.4037:itc</v>
      </c>
      <c r="G30" s="8">
        <f t="shared" si="1"/>
        <v>42631.253553240742</v>
      </c>
    </row>
    <row r="31" spans="1:7" x14ac:dyDescent="0.25">
      <c r="A31" s="8">
        <v>42631.255243055559</v>
      </c>
      <c r="B31" s="23" t="s">
        <v>344</v>
      </c>
      <c r="C31" s="23" t="s">
        <v>447</v>
      </c>
      <c r="D31" s="23">
        <v>1830000</v>
      </c>
      <c r="E31" s="23" t="s">
        <v>346</v>
      </c>
      <c r="F31" s="23" t="str">
        <f t="shared" si="0"/>
        <v>rtdc.l.rtdc.4028:itc</v>
      </c>
      <c r="G31" s="8">
        <f t="shared" si="1"/>
        <v>42631.255243055559</v>
      </c>
    </row>
    <row r="32" spans="1:7" x14ac:dyDescent="0.25">
      <c r="A32" s="8">
        <v>42631.25613425926</v>
      </c>
      <c r="B32" s="23" t="s">
        <v>344</v>
      </c>
      <c r="C32" s="23" t="s">
        <v>447</v>
      </c>
      <c r="D32" s="23">
        <v>1830000</v>
      </c>
      <c r="E32" s="23" t="s">
        <v>346</v>
      </c>
      <c r="F32" s="23" t="str">
        <f t="shared" si="0"/>
        <v>rtdc.l.rtdc.4028:itc</v>
      </c>
      <c r="G32" s="8">
        <f t="shared" si="1"/>
        <v>42631.25613425926</v>
      </c>
    </row>
    <row r="33" spans="1:7" x14ac:dyDescent="0.25">
      <c r="A33" s="8">
        <v>42631.257835648146</v>
      </c>
      <c r="B33" s="23" t="s">
        <v>128</v>
      </c>
      <c r="C33" s="23" t="s">
        <v>448</v>
      </c>
      <c r="D33" s="23">
        <v>1990000</v>
      </c>
      <c r="E33" s="23" t="s">
        <v>299</v>
      </c>
      <c r="F33" s="23" t="str">
        <f t="shared" si="0"/>
        <v>rtdc.l.rtdc.4009:itc</v>
      </c>
      <c r="G33" s="8">
        <f t="shared" si="1"/>
        <v>42631.257835648146</v>
      </c>
    </row>
    <row r="34" spans="1:7" x14ac:dyDescent="0.25">
      <c r="A34" s="8">
        <v>42631.262604166666</v>
      </c>
      <c r="B34" s="23" t="s">
        <v>230</v>
      </c>
      <c r="C34" s="23" t="s">
        <v>449</v>
      </c>
      <c r="D34" s="23">
        <v>1110000</v>
      </c>
      <c r="E34" s="23" t="s">
        <v>443</v>
      </c>
      <c r="F34" s="23" t="str">
        <f t="shared" si="0"/>
        <v>rtdc.l.rtdc.4018:itc</v>
      </c>
      <c r="G34" s="8">
        <f t="shared" si="1"/>
        <v>42631.262604166666</v>
      </c>
    </row>
    <row r="35" spans="1:7" x14ac:dyDescent="0.25">
      <c r="A35" s="8">
        <v>42631.27003472222</v>
      </c>
      <c r="B35" s="23" t="s">
        <v>297</v>
      </c>
      <c r="C35" s="23" t="s">
        <v>399</v>
      </c>
      <c r="D35" s="23">
        <v>1310000</v>
      </c>
      <c r="E35" s="23" t="s">
        <v>293</v>
      </c>
      <c r="F35" s="23" t="str">
        <f t="shared" si="0"/>
        <v>rtdc.l.rtdc.4003:itc</v>
      </c>
      <c r="G35" s="8">
        <f t="shared" si="1"/>
        <v>42631.27003472222</v>
      </c>
    </row>
    <row r="36" spans="1:7" x14ac:dyDescent="0.25">
      <c r="A36" s="8">
        <v>42631.27648148148</v>
      </c>
      <c r="B36" s="23" t="s">
        <v>255</v>
      </c>
      <c r="C36" s="23" t="s">
        <v>450</v>
      </c>
      <c r="D36" s="23">
        <v>1110000</v>
      </c>
      <c r="E36" s="23" t="s">
        <v>443</v>
      </c>
      <c r="F36" s="23" t="str">
        <f t="shared" si="0"/>
        <v>rtdc.l.rtdc.4017:itc</v>
      </c>
      <c r="G36" s="8">
        <f t="shared" si="1"/>
        <v>42631.27648148148</v>
      </c>
    </row>
    <row r="37" spans="1:7" x14ac:dyDescent="0.25">
      <c r="A37" s="8">
        <v>42631.27684027778</v>
      </c>
      <c r="B37" s="23" t="s">
        <v>164</v>
      </c>
      <c r="C37" s="23" t="s">
        <v>400</v>
      </c>
      <c r="D37" s="23">
        <v>2270000</v>
      </c>
      <c r="E37" s="23" t="s">
        <v>430</v>
      </c>
      <c r="F37" s="23" t="str">
        <f t="shared" si="0"/>
        <v>rtdc.l.rtdc.4019:itc</v>
      </c>
      <c r="G37" s="8">
        <f t="shared" si="1"/>
        <v>42631.27684027778</v>
      </c>
    </row>
    <row r="38" spans="1:7" x14ac:dyDescent="0.25">
      <c r="A38" s="8">
        <v>42631.277094907404</v>
      </c>
      <c r="B38" s="23" t="s">
        <v>258</v>
      </c>
      <c r="C38" s="23" t="s">
        <v>398</v>
      </c>
      <c r="D38" s="23">
        <v>1760000</v>
      </c>
      <c r="E38" s="23" t="s">
        <v>260</v>
      </c>
      <c r="F38" s="23" t="str">
        <f t="shared" si="0"/>
        <v>rtdc.l.rtdc.4044:itc</v>
      </c>
      <c r="G38" s="8">
        <f t="shared" si="1"/>
        <v>42631.277094907404</v>
      </c>
    </row>
    <row r="39" spans="1:7" x14ac:dyDescent="0.25">
      <c r="A39" s="8">
        <v>42631.285034722219</v>
      </c>
      <c r="B39" s="23" t="s">
        <v>407</v>
      </c>
      <c r="C39" s="23" t="s">
        <v>451</v>
      </c>
      <c r="D39" s="23">
        <v>2010000</v>
      </c>
      <c r="E39" s="23" t="s">
        <v>259</v>
      </c>
      <c r="F39" s="23" t="str">
        <f t="shared" si="0"/>
        <v>rtdc.l.rtdc.4015:itc</v>
      </c>
      <c r="G39" s="8">
        <f t="shared" si="1"/>
        <v>42631.285034722219</v>
      </c>
    </row>
    <row r="40" spans="1:7" x14ac:dyDescent="0.25">
      <c r="A40" s="8">
        <v>42631.287164351852</v>
      </c>
      <c r="B40" s="28" t="s">
        <v>298</v>
      </c>
      <c r="C40" s="23" t="s">
        <v>452</v>
      </c>
      <c r="D40" s="23">
        <v>2030000</v>
      </c>
      <c r="E40" s="23" t="s">
        <v>343</v>
      </c>
      <c r="F40" s="23" t="str">
        <f t="shared" si="0"/>
        <v>rtdc.l.rtdc.4038:itc</v>
      </c>
      <c r="G40" s="8">
        <f t="shared" si="1"/>
        <v>42631.287164351852</v>
      </c>
    </row>
    <row r="41" spans="1:7" x14ac:dyDescent="0.25">
      <c r="A41" s="8">
        <v>42631.29346064815</v>
      </c>
      <c r="B41" s="23" t="s">
        <v>177</v>
      </c>
      <c r="C41" s="23" t="s">
        <v>453</v>
      </c>
      <c r="D41" s="23">
        <v>1990000</v>
      </c>
      <c r="E41" s="23" t="s">
        <v>299</v>
      </c>
      <c r="F41" s="23" t="str">
        <f t="shared" si="0"/>
        <v>rtdc.l.rtdc.4010:itc</v>
      </c>
      <c r="G41" s="8">
        <f t="shared" si="1"/>
        <v>42631.29346064815</v>
      </c>
    </row>
    <row r="42" spans="1:7" x14ac:dyDescent="0.25">
      <c r="A42" s="8">
        <v>42631.296041666668</v>
      </c>
      <c r="B42" s="23" t="s">
        <v>347</v>
      </c>
      <c r="C42" s="23" t="s">
        <v>454</v>
      </c>
      <c r="D42" s="23">
        <v>1830000</v>
      </c>
      <c r="E42" s="23" t="s">
        <v>346</v>
      </c>
      <c r="F42" s="23" t="str">
        <f t="shared" si="0"/>
        <v>rtdc.l.rtdc.4027:itc</v>
      </c>
      <c r="G42" s="8">
        <f t="shared" si="1"/>
        <v>42631.296041666668</v>
      </c>
    </row>
    <row r="43" spans="1:7" x14ac:dyDescent="0.25">
      <c r="A43" s="8">
        <v>42631.30363425926</v>
      </c>
      <c r="B43" s="23" t="s">
        <v>230</v>
      </c>
      <c r="C43" s="23" t="s">
        <v>401</v>
      </c>
      <c r="D43" s="23">
        <v>1110000</v>
      </c>
      <c r="E43" s="23" t="s">
        <v>443</v>
      </c>
      <c r="F43" s="23" t="str">
        <f t="shared" si="0"/>
        <v>rtdc.l.rtdc.4018:itc</v>
      </c>
      <c r="G43" s="8">
        <f t="shared" si="1"/>
        <v>42631.30363425926</v>
      </c>
    </row>
    <row r="44" spans="1:7" x14ac:dyDescent="0.25">
      <c r="A44" s="8">
        <v>42631.308564814812</v>
      </c>
      <c r="B44" s="23" t="s">
        <v>300</v>
      </c>
      <c r="C44" s="23" t="s">
        <v>403</v>
      </c>
      <c r="D44" s="23">
        <v>1310000</v>
      </c>
      <c r="E44" s="23" t="s">
        <v>293</v>
      </c>
      <c r="F44" s="23" t="str">
        <f t="shared" si="0"/>
        <v>rtdc.l.rtdc.4004:itc</v>
      </c>
      <c r="G44" s="8">
        <f t="shared" si="1"/>
        <v>42631.308564814812</v>
      </c>
    </row>
    <row r="45" spans="1:7" x14ac:dyDescent="0.25">
      <c r="A45" s="8">
        <v>42631.311319444445</v>
      </c>
      <c r="B45" s="23" t="s">
        <v>165</v>
      </c>
      <c r="C45" s="23" t="s">
        <v>455</v>
      </c>
      <c r="D45" s="23">
        <v>2270000</v>
      </c>
      <c r="E45" s="23" t="s">
        <v>430</v>
      </c>
      <c r="F45" s="23" t="str">
        <f t="shared" si="0"/>
        <v>rtdc.l.rtdc.4020:itc</v>
      </c>
      <c r="G45" s="8">
        <f t="shared" si="1"/>
        <v>42631.311319444445</v>
      </c>
    </row>
    <row r="46" spans="1:7" x14ac:dyDescent="0.25">
      <c r="A46" s="8">
        <v>42631.317754629628</v>
      </c>
      <c r="B46" s="23" t="s">
        <v>255</v>
      </c>
      <c r="C46" s="23" t="s">
        <v>456</v>
      </c>
      <c r="D46" s="23">
        <v>1110000</v>
      </c>
      <c r="E46" s="23" t="s">
        <v>443</v>
      </c>
      <c r="F46" s="23" t="str">
        <f t="shared" si="0"/>
        <v>rtdc.l.rtdc.4017:itc</v>
      </c>
      <c r="G46" s="8">
        <f t="shared" si="1"/>
        <v>42631.317754629628</v>
      </c>
    </row>
    <row r="47" spans="1:7" x14ac:dyDescent="0.25">
      <c r="A47" s="8">
        <v>42631.317789351851</v>
      </c>
      <c r="B47" s="23" t="s">
        <v>261</v>
      </c>
      <c r="C47" s="23" t="s">
        <v>457</v>
      </c>
      <c r="D47" s="23">
        <v>1760000</v>
      </c>
      <c r="E47" s="23" t="s">
        <v>260</v>
      </c>
      <c r="F47" s="23" t="str">
        <f t="shared" si="0"/>
        <v>rtdc.l.rtdc.4043:itc</v>
      </c>
      <c r="G47" s="8">
        <f t="shared" si="1"/>
        <v>42631.317789351851</v>
      </c>
    </row>
    <row r="48" spans="1:7" x14ac:dyDescent="0.25">
      <c r="A48" s="8">
        <v>42631.318831018521</v>
      </c>
      <c r="B48" s="23" t="s">
        <v>229</v>
      </c>
      <c r="C48" s="23" t="s">
        <v>458</v>
      </c>
      <c r="D48" s="23">
        <v>2010000</v>
      </c>
      <c r="E48" s="23" t="s">
        <v>259</v>
      </c>
      <c r="F48" s="23" t="str">
        <f t="shared" si="0"/>
        <v>rtdc.l.rtdc.4016:itc</v>
      </c>
      <c r="G48" s="8">
        <f t="shared" si="1"/>
        <v>42631.318831018521</v>
      </c>
    </row>
    <row r="49" spans="1:7" x14ac:dyDescent="0.25">
      <c r="A49" s="8">
        <v>42631.324999999997</v>
      </c>
      <c r="B49" s="23" t="s">
        <v>301</v>
      </c>
      <c r="C49" s="23" t="s">
        <v>459</v>
      </c>
      <c r="D49" s="23">
        <v>2030000</v>
      </c>
      <c r="E49" s="23" t="s">
        <v>343</v>
      </c>
      <c r="F49" s="23" t="str">
        <f t="shared" si="0"/>
        <v>rtdc.l.rtdc.4037:itc</v>
      </c>
      <c r="G49" s="8">
        <f t="shared" si="1"/>
        <v>42631.324999999997</v>
      </c>
    </row>
    <row r="50" spans="1:7" x14ac:dyDescent="0.25">
      <c r="A50" s="8">
        <v>42631.328726851854</v>
      </c>
      <c r="B50" s="23" t="s">
        <v>344</v>
      </c>
      <c r="C50" s="23" t="s">
        <v>460</v>
      </c>
      <c r="D50" s="23">
        <v>1830000</v>
      </c>
      <c r="E50" s="23" t="s">
        <v>346</v>
      </c>
      <c r="F50" s="23" t="str">
        <f t="shared" si="0"/>
        <v>rtdc.l.rtdc.4028:itc</v>
      </c>
      <c r="G50" s="8">
        <f t="shared" si="1"/>
        <v>42631.328726851854</v>
      </c>
    </row>
    <row r="51" spans="1:7" x14ac:dyDescent="0.25">
      <c r="A51" s="8">
        <v>42631.330752314818</v>
      </c>
      <c r="B51" s="23" t="s">
        <v>128</v>
      </c>
      <c r="C51" s="23" t="s">
        <v>461</v>
      </c>
      <c r="D51" s="23">
        <v>1990000</v>
      </c>
      <c r="E51" s="23" t="s">
        <v>299</v>
      </c>
      <c r="F51" s="23" t="str">
        <f t="shared" si="0"/>
        <v>rtdc.l.rtdc.4009:itc</v>
      </c>
      <c r="G51" s="8">
        <f t="shared" si="1"/>
        <v>42631.330752314818</v>
      </c>
    </row>
    <row r="52" spans="1:7" x14ac:dyDescent="0.25">
      <c r="A52" s="8">
        <v>42631.339768518519</v>
      </c>
      <c r="B52" s="23" t="s">
        <v>230</v>
      </c>
      <c r="C52" s="23" t="s">
        <v>404</v>
      </c>
      <c r="D52" s="23">
        <v>1110000</v>
      </c>
      <c r="E52" s="23" t="s">
        <v>443</v>
      </c>
      <c r="F52" s="23" t="str">
        <f t="shared" si="0"/>
        <v>rtdc.l.rtdc.4018:itc</v>
      </c>
      <c r="G52" s="8">
        <f t="shared" si="1"/>
        <v>42631.339768518519</v>
      </c>
    </row>
    <row r="53" spans="1:7" x14ac:dyDescent="0.25">
      <c r="A53" s="8">
        <v>42631.342731481483</v>
      </c>
      <c r="B53" s="23" t="s">
        <v>297</v>
      </c>
      <c r="C53" s="23" t="s">
        <v>405</v>
      </c>
      <c r="D53" s="23">
        <v>1310000</v>
      </c>
      <c r="E53" s="23" t="s">
        <v>293</v>
      </c>
      <c r="F53" s="23" t="str">
        <f t="shared" si="0"/>
        <v>rtdc.l.rtdc.4003:itc</v>
      </c>
      <c r="G53" s="8">
        <f t="shared" si="1"/>
        <v>42631.342731481483</v>
      </c>
    </row>
    <row r="54" spans="1:7" x14ac:dyDescent="0.25">
      <c r="A54" s="8">
        <v>42631.343240740738</v>
      </c>
      <c r="B54" s="23" t="s">
        <v>164</v>
      </c>
      <c r="C54" s="23" t="s">
        <v>406</v>
      </c>
      <c r="D54" s="23">
        <v>2270000</v>
      </c>
      <c r="E54" s="23" t="s">
        <v>430</v>
      </c>
      <c r="F54" s="23" t="str">
        <f t="shared" si="0"/>
        <v>rtdc.l.rtdc.4019:itc</v>
      </c>
      <c r="G54" s="8">
        <f t="shared" si="1"/>
        <v>42631.343240740738</v>
      </c>
    </row>
    <row r="55" spans="1:7" x14ac:dyDescent="0.25">
      <c r="A55" s="8">
        <v>42631.353055555555</v>
      </c>
      <c r="B55" s="23" t="s">
        <v>258</v>
      </c>
      <c r="C55" s="23" t="s">
        <v>462</v>
      </c>
      <c r="D55" s="23">
        <v>1760000</v>
      </c>
      <c r="E55" s="23" t="s">
        <v>260</v>
      </c>
      <c r="F55" s="23" t="str">
        <f t="shared" si="0"/>
        <v>rtdc.l.rtdc.4044:itc</v>
      </c>
      <c r="G55" s="8">
        <f t="shared" si="1"/>
        <v>42631.353055555555</v>
      </c>
    </row>
    <row r="56" spans="1:7" x14ac:dyDescent="0.25">
      <c r="A56" s="8">
        <v>42631.354594907411</v>
      </c>
      <c r="B56" s="23" t="s">
        <v>407</v>
      </c>
      <c r="C56" s="23" t="s">
        <v>408</v>
      </c>
      <c r="D56" s="23">
        <v>2010000</v>
      </c>
      <c r="E56" s="23" t="s">
        <v>259</v>
      </c>
      <c r="F56" s="23" t="str">
        <f t="shared" si="0"/>
        <v>rtdc.l.rtdc.4015:itc</v>
      </c>
      <c r="G56" s="8">
        <f t="shared" si="1"/>
        <v>42631.354594907411</v>
      </c>
    </row>
    <row r="57" spans="1:7" x14ac:dyDescent="0.25">
      <c r="A57" s="8">
        <v>42631.359259259261</v>
      </c>
      <c r="B57" s="23" t="s">
        <v>255</v>
      </c>
      <c r="C57" s="23" t="s">
        <v>463</v>
      </c>
      <c r="D57" s="23">
        <v>1110000</v>
      </c>
      <c r="E57" s="23" t="s">
        <v>443</v>
      </c>
      <c r="F57" s="23" t="str">
        <f t="shared" si="0"/>
        <v>rtdc.l.rtdc.4017:itc</v>
      </c>
      <c r="G57" s="8">
        <f t="shared" si="1"/>
        <v>42631.359259259261</v>
      </c>
    </row>
    <row r="58" spans="1:7" x14ac:dyDescent="0.25">
      <c r="A58" s="8">
        <v>42631.361504629633</v>
      </c>
      <c r="B58" s="23" t="s">
        <v>298</v>
      </c>
      <c r="C58" s="23" t="s">
        <v>464</v>
      </c>
      <c r="D58" s="23">
        <v>2030000</v>
      </c>
      <c r="E58" s="23" t="s">
        <v>343</v>
      </c>
      <c r="F58" s="23" t="str">
        <f t="shared" si="0"/>
        <v>rtdc.l.rtdc.4038:itc</v>
      </c>
      <c r="G58" s="8">
        <f t="shared" si="1"/>
        <v>42631.361504629633</v>
      </c>
    </row>
    <row r="59" spans="1:7" x14ac:dyDescent="0.25">
      <c r="A59" s="8">
        <v>42631.371099537035</v>
      </c>
      <c r="B59" s="23" t="s">
        <v>177</v>
      </c>
      <c r="C59" s="23" t="s">
        <v>465</v>
      </c>
      <c r="D59" s="23">
        <v>1990000</v>
      </c>
      <c r="E59" s="23" t="s">
        <v>299</v>
      </c>
      <c r="F59" s="23" t="str">
        <f t="shared" si="0"/>
        <v>rtdc.l.rtdc.4010:itc</v>
      </c>
      <c r="G59" s="8">
        <f t="shared" si="1"/>
        <v>42631.371099537035</v>
      </c>
    </row>
    <row r="60" spans="1:7" x14ac:dyDescent="0.25">
      <c r="A60" s="8">
        <v>42631.371377314812</v>
      </c>
      <c r="B60" s="23" t="s">
        <v>347</v>
      </c>
      <c r="C60" s="23" t="s">
        <v>466</v>
      </c>
      <c r="D60" s="23">
        <v>1830000</v>
      </c>
      <c r="E60" s="23" t="s">
        <v>346</v>
      </c>
      <c r="F60" s="23" t="str">
        <f t="shared" si="0"/>
        <v>rtdc.l.rtdc.4027:itc</v>
      </c>
      <c r="G60" s="8">
        <f t="shared" si="1"/>
        <v>42631.371377314812</v>
      </c>
    </row>
    <row r="61" spans="1:7" x14ac:dyDescent="0.25">
      <c r="A61" s="8">
        <v>42631.373819444445</v>
      </c>
      <c r="B61" s="23" t="s">
        <v>230</v>
      </c>
      <c r="C61" s="23" t="s">
        <v>467</v>
      </c>
      <c r="D61" s="23">
        <v>1110000</v>
      </c>
      <c r="E61" s="23" t="s">
        <v>443</v>
      </c>
      <c r="F61" s="23" t="str">
        <f t="shared" si="0"/>
        <v>rtdc.l.rtdc.4018:itc</v>
      </c>
      <c r="G61" s="8">
        <f t="shared" si="1"/>
        <v>42631.373819444445</v>
      </c>
    </row>
    <row r="62" spans="1:7" x14ac:dyDescent="0.25">
      <c r="A62" s="8">
        <v>42631.382800925923</v>
      </c>
      <c r="B62" s="23" t="s">
        <v>300</v>
      </c>
      <c r="C62" s="23" t="s">
        <v>468</v>
      </c>
      <c r="D62" s="23">
        <v>1310000</v>
      </c>
      <c r="E62" s="23" t="s">
        <v>293</v>
      </c>
      <c r="F62" s="23" t="str">
        <f t="shared" si="0"/>
        <v>rtdc.l.rtdc.4004:itc</v>
      </c>
      <c r="G62" s="8">
        <f t="shared" si="1"/>
        <v>42631.382800925923</v>
      </c>
    </row>
    <row r="63" spans="1:7" x14ac:dyDescent="0.25">
      <c r="A63" s="8">
        <v>42631.383576388886</v>
      </c>
      <c r="B63" s="23" t="s">
        <v>165</v>
      </c>
      <c r="C63" s="23" t="s">
        <v>469</v>
      </c>
      <c r="D63" s="23">
        <v>2270000</v>
      </c>
      <c r="E63" s="23" t="s">
        <v>430</v>
      </c>
      <c r="F63" s="23" t="str">
        <f t="shared" si="0"/>
        <v>rtdc.l.rtdc.4020:itc</v>
      </c>
      <c r="G63" s="8">
        <f t="shared" si="1"/>
        <v>42631.383576388886</v>
      </c>
    </row>
    <row r="64" spans="1:7" x14ac:dyDescent="0.25">
      <c r="A64" s="29">
        <v>42631.389756944445</v>
      </c>
      <c r="B64" s="23" t="s">
        <v>261</v>
      </c>
      <c r="C64" s="23" t="s">
        <v>409</v>
      </c>
      <c r="D64" s="23">
        <v>1760000</v>
      </c>
      <c r="E64" s="23" t="s">
        <v>260</v>
      </c>
      <c r="F64" s="23" t="str">
        <f t="shared" si="0"/>
        <v>rtdc.l.rtdc.4043:itc</v>
      </c>
      <c r="G64" s="8">
        <f t="shared" si="1"/>
        <v>42631.389756944445</v>
      </c>
    </row>
    <row r="65" spans="1:7" x14ac:dyDescent="0.25">
      <c r="A65" s="8">
        <v>42631.392777777779</v>
      </c>
      <c r="B65" s="23" t="s">
        <v>229</v>
      </c>
      <c r="C65" s="23" t="s">
        <v>410</v>
      </c>
      <c r="D65" s="23">
        <v>2010000</v>
      </c>
      <c r="E65" s="23" t="s">
        <v>259</v>
      </c>
      <c r="F65" s="23" t="str">
        <f t="shared" si="0"/>
        <v>rtdc.l.rtdc.4016:itc</v>
      </c>
      <c r="G65" s="8">
        <f t="shared" si="1"/>
        <v>42631.392777777779</v>
      </c>
    </row>
    <row r="66" spans="1:7" x14ac:dyDescent="0.25">
      <c r="A66" s="8">
        <v>42631.396087962959</v>
      </c>
      <c r="B66" s="23" t="s">
        <v>301</v>
      </c>
      <c r="C66" s="23" t="s">
        <v>470</v>
      </c>
      <c r="D66" s="23">
        <v>2030000</v>
      </c>
      <c r="E66" s="23" t="s">
        <v>343</v>
      </c>
      <c r="F66" s="23" t="str">
        <f t="shared" ref="F66:F129" si="2">B66</f>
        <v>rtdc.l.rtdc.4037:itc</v>
      </c>
      <c r="G66" s="8">
        <f t="shared" ref="G66:G129" si="3">A66</f>
        <v>42631.396087962959</v>
      </c>
    </row>
    <row r="67" spans="1:7" x14ac:dyDescent="0.25">
      <c r="A67" s="8">
        <v>42631.396458333336</v>
      </c>
      <c r="B67" s="23" t="s">
        <v>300</v>
      </c>
      <c r="C67" s="23" t="s">
        <v>471</v>
      </c>
      <c r="D67" s="23">
        <v>1310000</v>
      </c>
      <c r="E67" s="23" t="s">
        <v>293</v>
      </c>
      <c r="F67" s="23" t="str">
        <f t="shared" si="2"/>
        <v>rtdc.l.rtdc.4004:itc</v>
      </c>
      <c r="G67" s="8">
        <f t="shared" si="3"/>
        <v>42631.396458333336</v>
      </c>
    </row>
    <row r="68" spans="1:7" x14ac:dyDescent="0.25">
      <c r="A68" s="8">
        <v>42631.397083333337</v>
      </c>
      <c r="B68" s="23" t="s">
        <v>300</v>
      </c>
      <c r="C68" s="23" t="s">
        <v>468</v>
      </c>
      <c r="D68" s="23">
        <v>1310000</v>
      </c>
      <c r="E68" s="23" t="s">
        <v>293</v>
      </c>
      <c r="F68" s="23" t="str">
        <f t="shared" si="2"/>
        <v>rtdc.l.rtdc.4004:itc</v>
      </c>
      <c r="G68" s="8">
        <f t="shared" si="3"/>
        <v>42631.397083333337</v>
      </c>
    </row>
    <row r="69" spans="1:7" x14ac:dyDescent="0.25">
      <c r="A69" s="8">
        <v>42631.401296296295</v>
      </c>
      <c r="B69" s="23" t="s">
        <v>255</v>
      </c>
      <c r="C69" s="23" t="s">
        <v>467</v>
      </c>
      <c r="D69" s="23">
        <v>1110000</v>
      </c>
      <c r="E69" s="23" t="s">
        <v>443</v>
      </c>
      <c r="F69" s="23" t="str">
        <f t="shared" si="2"/>
        <v>rtdc.l.rtdc.4017:itc</v>
      </c>
      <c r="G69" s="8">
        <f t="shared" si="3"/>
        <v>42631.401296296295</v>
      </c>
    </row>
    <row r="70" spans="1:7" x14ac:dyDescent="0.25">
      <c r="A70" s="8">
        <v>42631.401932870373</v>
      </c>
      <c r="B70" s="23" t="s">
        <v>255</v>
      </c>
      <c r="C70" s="23" t="s">
        <v>472</v>
      </c>
      <c r="D70" s="23">
        <v>1110000</v>
      </c>
      <c r="E70" s="23" t="s">
        <v>443</v>
      </c>
      <c r="F70" s="23" t="str">
        <f t="shared" si="2"/>
        <v>rtdc.l.rtdc.4017:itc</v>
      </c>
      <c r="G70" s="8">
        <f t="shared" si="3"/>
        <v>42631.401932870373</v>
      </c>
    </row>
    <row r="71" spans="1:7" x14ac:dyDescent="0.25">
      <c r="A71" s="8">
        <v>42631.402361111112</v>
      </c>
      <c r="B71" s="23" t="s">
        <v>128</v>
      </c>
      <c r="C71" s="23" t="s">
        <v>473</v>
      </c>
      <c r="D71" s="23">
        <v>1990000</v>
      </c>
      <c r="E71" s="23" t="s">
        <v>299</v>
      </c>
      <c r="F71" s="23" t="str">
        <f t="shared" si="2"/>
        <v>rtdc.l.rtdc.4009:itc</v>
      </c>
      <c r="G71" s="8">
        <f t="shared" si="3"/>
        <v>42631.402361111112</v>
      </c>
    </row>
    <row r="72" spans="1:7" x14ac:dyDescent="0.25">
      <c r="A72" s="8">
        <v>42631.402743055558</v>
      </c>
      <c r="B72" s="23" t="s">
        <v>344</v>
      </c>
      <c r="C72" s="23" t="s">
        <v>474</v>
      </c>
      <c r="D72" s="23">
        <v>1830000</v>
      </c>
      <c r="E72" s="23" t="s">
        <v>346</v>
      </c>
      <c r="F72" s="23" t="str">
        <f t="shared" si="2"/>
        <v>rtdc.l.rtdc.4028:itc</v>
      </c>
      <c r="G72" s="8">
        <f t="shared" si="3"/>
        <v>42631.402743055558</v>
      </c>
    </row>
    <row r="73" spans="1:7" x14ac:dyDescent="0.25">
      <c r="A73" s="8">
        <v>42631.403773148151</v>
      </c>
      <c r="B73" s="23" t="s">
        <v>344</v>
      </c>
      <c r="C73" s="23" t="s">
        <v>474</v>
      </c>
      <c r="D73" s="23">
        <v>1830000</v>
      </c>
      <c r="E73" s="23" t="s">
        <v>346</v>
      </c>
      <c r="F73" s="23" t="str">
        <f t="shared" si="2"/>
        <v>rtdc.l.rtdc.4028:itc</v>
      </c>
      <c r="G73" s="8">
        <f t="shared" si="3"/>
        <v>42631.403773148151</v>
      </c>
    </row>
    <row r="74" spans="1:7" x14ac:dyDescent="0.25">
      <c r="A74" s="8">
        <v>42631.417280092595</v>
      </c>
      <c r="B74" s="23" t="s">
        <v>164</v>
      </c>
      <c r="C74" s="23" t="s">
        <v>411</v>
      </c>
      <c r="D74" s="23">
        <v>2270000</v>
      </c>
      <c r="E74" s="23" t="s">
        <v>430</v>
      </c>
      <c r="F74" s="23" t="str">
        <f t="shared" si="2"/>
        <v>rtdc.l.rtdc.4019:itc</v>
      </c>
      <c r="G74" s="8">
        <f t="shared" si="3"/>
        <v>42631.417280092595</v>
      </c>
    </row>
    <row r="75" spans="1:7" x14ac:dyDescent="0.25">
      <c r="A75" s="8">
        <v>42631.419733796298</v>
      </c>
      <c r="B75" s="23" t="s">
        <v>297</v>
      </c>
      <c r="C75" s="23" t="s">
        <v>471</v>
      </c>
      <c r="D75" s="23">
        <v>1780000</v>
      </c>
      <c r="E75" s="23" t="s">
        <v>352</v>
      </c>
      <c r="F75" s="23" t="str">
        <f t="shared" si="2"/>
        <v>rtdc.l.rtdc.4003:itc</v>
      </c>
      <c r="G75" s="8">
        <f t="shared" si="3"/>
        <v>42631.419733796298</v>
      </c>
    </row>
    <row r="76" spans="1:7" x14ac:dyDescent="0.25">
      <c r="A76" s="8">
        <v>42631.42496527778</v>
      </c>
      <c r="B76" s="23" t="s">
        <v>258</v>
      </c>
      <c r="C76" s="23" t="s">
        <v>475</v>
      </c>
      <c r="D76" s="23">
        <v>1760000</v>
      </c>
      <c r="E76" s="23" t="s">
        <v>260</v>
      </c>
      <c r="F76" s="23" t="str">
        <f t="shared" si="2"/>
        <v>rtdc.l.rtdc.4044:itc</v>
      </c>
      <c r="G76" s="8">
        <f t="shared" si="3"/>
        <v>42631.42496527778</v>
      </c>
    </row>
    <row r="77" spans="1:7" x14ac:dyDescent="0.25">
      <c r="A77" s="8">
        <v>42631.430358796293</v>
      </c>
      <c r="B77" s="23" t="s">
        <v>230</v>
      </c>
      <c r="C77" s="23" t="s">
        <v>476</v>
      </c>
      <c r="D77" s="23">
        <v>1110000</v>
      </c>
      <c r="E77" s="23" t="s">
        <v>443</v>
      </c>
      <c r="F77" s="23" t="str">
        <f t="shared" si="2"/>
        <v>rtdc.l.rtdc.4018:itc</v>
      </c>
      <c r="G77" s="8">
        <f t="shared" si="3"/>
        <v>42631.430358796293</v>
      </c>
    </row>
    <row r="78" spans="1:7" x14ac:dyDescent="0.25">
      <c r="A78" s="8">
        <v>42631.43068287037</v>
      </c>
      <c r="B78" s="23" t="s">
        <v>407</v>
      </c>
      <c r="C78" s="23" t="s">
        <v>412</v>
      </c>
      <c r="D78" s="23">
        <v>2010000</v>
      </c>
      <c r="E78" s="23" t="s">
        <v>259</v>
      </c>
      <c r="F78" s="23" t="str">
        <f t="shared" si="2"/>
        <v>rtdc.l.rtdc.4015:itc</v>
      </c>
      <c r="G78" s="8">
        <f t="shared" si="3"/>
        <v>42631.43068287037</v>
      </c>
    </row>
    <row r="79" spans="1:7" x14ac:dyDescent="0.25">
      <c r="A79" s="8">
        <v>42631.438020833331</v>
      </c>
      <c r="B79" s="23" t="s">
        <v>298</v>
      </c>
      <c r="C79" s="23" t="s">
        <v>477</v>
      </c>
      <c r="D79" s="23">
        <v>930000</v>
      </c>
      <c r="E79" s="23" t="s">
        <v>303</v>
      </c>
      <c r="F79" s="23" t="str">
        <f t="shared" si="2"/>
        <v>rtdc.l.rtdc.4038:itc</v>
      </c>
      <c r="G79" s="8">
        <f t="shared" si="3"/>
        <v>42631.438020833331</v>
      </c>
    </row>
    <row r="80" spans="1:7" x14ac:dyDescent="0.25">
      <c r="A80" s="8">
        <v>42631.442083333335</v>
      </c>
      <c r="B80" s="23" t="s">
        <v>177</v>
      </c>
      <c r="C80" s="23" t="s">
        <v>478</v>
      </c>
      <c r="D80" s="23">
        <v>1990000</v>
      </c>
      <c r="E80" s="23" t="s">
        <v>299</v>
      </c>
      <c r="F80" s="23" t="str">
        <f t="shared" si="2"/>
        <v>rtdc.l.rtdc.4010:itc</v>
      </c>
      <c r="G80" s="8">
        <f t="shared" si="3"/>
        <v>42631.442083333335</v>
      </c>
    </row>
    <row r="81" spans="1:7" x14ac:dyDescent="0.25">
      <c r="A81" s="8">
        <v>42631.442858796298</v>
      </c>
      <c r="B81" s="23" t="s">
        <v>255</v>
      </c>
      <c r="C81" s="23" t="s">
        <v>479</v>
      </c>
      <c r="D81" s="23">
        <v>1110000</v>
      </c>
      <c r="E81" s="23" t="s">
        <v>443</v>
      </c>
      <c r="F81" s="23" t="str">
        <f t="shared" si="2"/>
        <v>rtdc.l.rtdc.4017:itc</v>
      </c>
      <c r="G81" s="8">
        <f t="shared" si="3"/>
        <v>42631.442858796298</v>
      </c>
    </row>
    <row r="82" spans="1:7" x14ac:dyDescent="0.25">
      <c r="A82" s="8">
        <v>42631.445150462961</v>
      </c>
      <c r="B82" s="23" t="s">
        <v>347</v>
      </c>
      <c r="C82" s="23" t="s">
        <v>480</v>
      </c>
      <c r="D82" s="23">
        <v>1830000</v>
      </c>
      <c r="E82" s="23" t="s">
        <v>346</v>
      </c>
      <c r="F82" s="23" t="str">
        <f t="shared" si="2"/>
        <v>rtdc.l.rtdc.4027:itc</v>
      </c>
      <c r="G82" s="8">
        <f t="shared" si="3"/>
        <v>42631.445150462961</v>
      </c>
    </row>
    <row r="83" spans="1:7" x14ac:dyDescent="0.25">
      <c r="A83" s="8">
        <v>42631.452893518515</v>
      </c>
      <c r="B83" s="23" t="s">
        <v>300</v>
      </c>
      <c r="C83" s="23" t="s">
        <v>481</v>
      </c>
      <c r="D83" s="23">
        <v>1780000</v>
      </c>
      <c r="E83" s="23" t="s">
        <v>352</v>
      </c>
      <c r="F83" s="23" t="str">
        <f t="shared" si="2"/>
        <v>rtdc.l.rtdc.4004:itc</v>
      </c>
      <c r="G83" s="8">
        <f t="shared" si="3"/>
        <v>42631.452893518515</v>
      </c>
    </row>
    <row r="84" spans="1:7" x14ac:dyDescent="0.25">
      <c r="A84" s="8">
        <v>42631.45752314815</v>
      </c>
      <c r="B84" s="23" t="s">
        <v>165</v>
      </c>
      <c r="C84" s="23" t="s">
        <v>482</v>
      </c>
      <c r="D84" s="23">
        <v>880000</v>
      </c>
      <c r="E84" s="23" t="s">
        <v>302</v>
      </c>
      <c r="F84" s="23" t="str">
        <f t="shared" si="2"/>
        <v>rtdc.l.rtdc.4020:itc</v>
      </c>
      <c r="G84" s="8">
        <f t="shared" si="3"/>
        <v>42631.45752314815</v>
      </c>
    </row>
    <row r="85" spans="1:7" x14ac:dyDescent="0.25">
      <c r="A85" s="8">
        <v>42631.460578703707</v>
      </c>
      <c r="B85" s="23" t="s">
        <v>261</v>
      </c>
      <c r="C85" s="23" t="s">
        <v>483</v>
      </c>
      <c r="D85" s="23">
        <v>1760000</v>
      </c>
      <c r="E85" s="23" t="s">
        <v>260</v>
      </c>
      <c r="F85" s="23" t="str">
        <f t="shared" si="2"/>
        <v>rtdc.l.rtdc.4043:itc</v>
      </c>
      <c r="G85" s="8">
        <f t="shared" si="3"/>
        <v>42631.460578703707</v>
      </c>
    </row>
    <row r="86" spans="1:7" x14ac:dyDescent="0.25">
      <c r="A86" s="8">
        <v>42631.467187499999</v>
      </c>
      <c r="B86" s="23" t="s">
        <v>229</v>
      </c>
      <c r="C86" s="23" t="s">
        <v>415</v>
      </c>
      <c r="D86" s="23">
        <v>1280000</v>
      </c>
      <c r="E86" s="23" t="s">
        <v>349</v>
      </c>
      <c r="F86" s="23" t="str">
        <f t="shared" si="2"/>
        <v>rtdc.l.rtdc.4016:itc</v>
      </c>
      <c r="G86" s="8">
        <f t="shared" si="3"/>
        <v>42631.467187499999</v>
      </c>
    </row>
    <row r="87" spans="1:7" x14ac:dyDescent="0.25">
      <c r="A87" s="8">
        <v>42631.471967592595</v>
      </c>
      <c r="B87" s="23" t="s">
        <v>230</v>
      </c>
      <c r="C87" s="23" t="s">
        <v>416</v>
      </c>
      <c r="D87" s="23">
        <v>1110000</v>
      </c>
      <c r="E87" s="23" t="s">
        <v>443</v>
      </c>
      <c r="F87" s="23" t="str">
        <f t="shared" si="2"/>
        <v>rtdc.l.rtdc.4018:itc</v>
      </c>
      <c r="G87" s="8">
        <f t="shared" si="3"/>
        <v>42631.471967592595</v>
      </c>
    </row>
    <row r="88" spans="1:7" x14ac:dyDescent="0.25">
      <c r="A88" s="8">
        <v>42631.474050925928</v>
      </c>
      <c r="B88" s="23" t="s">
        <v>301</v>
      </c>
      <c r="C88" s="23" t="s">
        <v>484</v>
      </c>
      <c r="D88" s="23">
        <v>930000</v>
      </c>
      <c r="E88" s="23" t="s">
        <v>303</v>
      </c>
      <c r="F88" s="23" t="str">
        <f t="shared" si="2"/>
        <v>rtdc.l.rtdc.4037:itc</v>
      </c>
      <c r="G88" s="8">
        <f t="shared" si="3"/>
        <v>42631.474050925928</v>
      </c>
    </row>
    <row r="89" spans="1:7" x14ac:dyDescent="0.25">
      <c r="A89" s="8">
        <v>42631.475023148145</v>
      </c>
      <c r="B89" s="23" t="s">
        <v>344</v>
      </c>
      <c r="C89" s="23" t="s">
        <v>485</v>
      </c>
      <c r="D89" s="23">
        <v>1830000</v>
      </c>
      <c r="E89" s="23" t="s">
        <v>346</v>
      </c>
      <c r="F89" s="23" t="str">
        <f t="shared" si="2"/>
        <v>rtdc.l.rtdc.4028:itc</v>
      </c>
      <c r="G89" s="8">
        <f t="shared" si="3"/>
        <v>42631.475023148145</v>
      </c>
    </row>
    <row r="90" spans="1:7" x14ac:dyDescent="0.25">
      <c r="A90" s="8">
        <v>42631.478182870371</v>
      </c>
      <c r="B90" s="23" t="s">
        <v>292</v>
      </c>
      <c r="C90" s="23" t="s">
        <v>486</v>
      </c>
      <c r="D90" s="23">
        <v>2110000</v>
      </c>
      <c r="E90" s="23" t="s">
        <v>238</v>
      </c>
      <c r="F90" s="23" t="str">
        <f t="shared" si="2"/>
        <v>rtdc.l.rtdc.4005:itc</v>
      </c>
      <c r="G90" s="8">
        <f t="shared" si="3"/>
        <v>42631.478182870371</v>
      </c>
    </row>
    <row r="91" spans="1:7" x14ac:dyDescent="0.25">
      <c r="A91" s="8">
        <v>42631.48101851852</v>
      </c>
      <c r="B91" s="23" t="s">
        <v>128</v>
      </c>
      <c r="C91" s="23" t="s">
        <v>487</v>
      </c>
      <c r="D91" s="23">
        <v>1770000</v>
      </c>
      <c r="E91" s="23" t="s">
        <v>351</v>
      </c>
      <c r="F91" s="23" t="str">
        <f t="shared" si="2"/>
        <v>rtdc.l.rtdc.4009:itc</v>
      </c>
      <c r="G91" s="8">
        <f t="shared" si="3"/>
        <v>42631.48101851852</v>
      </c>
    </row>
    <row r="92" spans="1:7" x14ac:dyDescent="0.25">
      <c r="A92" s="8">
        <v>42631.484780092593</v>
      </c>
      <c r="B92" s="23" t="s">
        <v>255</v>
      </c>
      <c r="C92" s="23" t="s">
        <v>417</v>
      </c>
      <c r="D92" s="23">
        <v>1110000</v>
      </c>
      <c r="E92" s="23" t="s">
        <v>443</v>
      </c>
      <c r="F92" s="23" t="str">
        <f t="shared" si="2"/>
        <v>rtdc.l.rtdc.4017:itc</v>
      </c>
      <c r="G92" s="8">
        <f t="shared" si="3"/>
        <v>42631.484780092593</v>
      </c>
    </row>
    <row r="93" spans="1:7" x14ac:dyDescent="0.25">
      <c r="A93" s="8">
        <v>42631.488379629627</v>
      </c>
      <c r="B93" s="23" t="s">
        <v>488</v>
      </c>
      <c r="C93" s="23" t="s">
        <v>489</v>
      </c>
      <c r="D93" s="23">
        <v>2040000</v>
      </c>
      <c r="E93" s="23" t="s">
        <v>262</v>
      </c>
      <c r="F93" s="23" t="str">
        <f t="shared" si="2"/>
        <v>rtdc.l.rtdc.4014:itc</v>
      </c>
      <c r="G93" s="8">
        <f t="shared" si="3"/>
        <v>42631.488379629627</v>
      </c>
    </row>
    <row r="94" spans="1:7" x14ac:dyDescent="0.25">
      <c r="A94" s="8">
        <v>42631.495555555557</v>
      </c>
      <c r="B94" s="23" t="s">
        <v>164</v>
      </c>
      <c r="C94" s="23" t="s">
        <v>490</v>
      </c>
      <c r="D94" s="23">
        <v>880000</v>
      </c>
      <c r="E94" s="23" t="s">
        <v>302</v>
      </c>
      <c r="F94" s="23" t="str">
        <f t="shared" si="2"/>
        <v>rtdc.l.rtdc.4019:itc</v>
      </c>
      <c r="G94" s="8">
        <f t="shared" si="3"/>
        <v>42631.495555555557</v>
      </c>
    </row>
    <row r="95" spans="1:7" x14ac:dyDescent="0.25">
      <c r="A95" s="8">
        <v>42631.496689814812</v>
      </c>
      <c r="B95" s="23" t="s">
        <v>407</v>
      </c>
      <c r="C95" s="23" t="s">
        <v>491</v>
      </c>
      <c r="D95" s="23">
        <v>1280000</v>
      </c>
      <c r="E95" s="23" t="s">
        <v>349</v>
      </c>
      <c r="F95" s="23" t="str">
        <f t="shared" si="2"/>
        <v>rtdc.l.rtdc.4015:itc</v>
      </c>
      <c r="G95" s="8">
        <f t="shared" si="3"/>
        <v>42631.496689814812</v>
      </c>
    </row>
    <row r="96" spans="1:7" x14ac:dyDescent="0.25">
      <c r="A96" s="8">
        <v>42631.499814814815</v>
      </c>
      <c r="B96" s="23" t="s">
        <v>258</v>
      </c>
      <c r="C96" s="23" t="s">
        <v>492</v>
      </c>
      <c r="D96" s="23">
        <v>2110000</v>
      </c>
      <c r="E96" s="23" t="s">
        <v>238</v>
      </c>
      <c r="F96" s="23" t="str">
        <f t="shared" si="2"/>
        <v>rtdc.l.rtdc.4044:itc</v>
      </c>
      <c r="G96" s="8">
        <f t="shared" si="3"/>
        <v>42631.499814814815</v>
      </c>
    </row>
    <row r="97" spans="1:7" x14ac:dyDescent="0.25">
      <c r="A97" s="8">
        <v>42631.500960648147</v>
      </c>
      <c r="B97" s="23" t="s">
        <v>295</v>
      </c>
      <c r="C97" s="23" t="s">
        <v>493</v>
      </c>
      <c r="D97" s="23">
        <v>1760000</v>
      </c>
      <c r="E97" s="23" t="s">
        <v>260</v>
      </c>
      <c r="F97" s="23" t="str">
        <f t="shared" si="2"/>
        <v>rtdc.l.rtdc.4006:itc</v>
      </c>
      <c r="G97" s="8">
        <f t="shared" si="3"/>
        <v>42631.500960648147</v>
      </c>
    </row>
    <row r="98" spans="1:7" x14ac:dyDescent="0.25">
      <c r="A98" s="8">
        <v>42631.508888888886</v>
      </c>
      <c r="B98" s="23" t="s">
        <v>298</v>
      </c>
      <c r="C98" s="23" t="s">
        <v>494</v>
      </c>
      <c r="D98" s="23">
        <v>930000</v>
      </c>
      <c r="E98" s="23" t="s">
        <v>303</v>
      </c>
      <c r="F98" s="23" t="str">
        <f t="shared" si="2"/>
        <v>rtdc.l.rtdc.4038:itc</v>
      </c>
      <c r="G98" s="8">
        <f t="shared" si="3"/>
        <v>42631.508888888886</v>
      </c>
    </row>
    <row r="99" spans="1:7" x14ac:dyDescent="0.25">
      <c r="A99" s="8">
        <v>42631.513749999998</v>
      </c>
      <c r="B99" s="23" t="s">
        <v>230</v>
      </c>
      <c r="C99" s="23" t="s">
        <v>495</v>
      </c>
      <c r="D99" s="23">
        <v>1110000</v>
      </c>
      <c r="E99" s="23" t="s">
        <v>443</v>
      </c>
      <c r="F99" s="23" t="str">
        <f t="shared" si="2"/>
        <v>rtdc.l.rtdc.4018:itc</v>
      </c>
      <c r="G99" s="8">
        <f t="shared" si="3"/>
        <v>42631.513749999998</v>
      </c>
    </row>
    <row r="100" spans="1:7" x14ac:dyDescent="0.25">
      <c r="A100" s="8">
        <v>42631.516238425924</v>
      </c>
      <c r="B100" s="23" t="s">
        <v>177</v>
      </c>
      <c r="C100" s="23" t="s">
        <v>496</v>
      </c>
      <c r="D100" s="23">
        <v>1770000</v>
      </c>
      <c r="E100" s="23" t="s">
        <v>351</v>
      </c>
      <c r="F100" s="23" t="str">
        <f t="shared" si="2"/>
        <v>rtdc.l.rtdc.4010:itc</v>
      </c>
      <c r="G100" s="8">
        <f t="shared" si="3"/>
        <v>42631.516238425924</v>
      </c>
    </row>
    <row r="101" spans="1:7" x14ac:dyDescent="0.25">
      <c r="A101" s="8">
        <v>42631.518101851849</v>
      </c>
      <c r="B101" s="23" t="s">
        <v>347</v>
      </c>
      <c r="C101" s="23" t="s">
        <v>497</v>
      </c>
      <c r="D101" s="23">
        <v>2020000</v>
      </c>
      <c r="E101" s="23" t="s">
        <v>350</v>
      </c>
      <c r="F101" s="23" t="str">
        <f t="shared" si="2"/>
        <v>rtdc.l.rtdc.4027:itc</v>
      </c>
      <c r="G101" s="8">
        <f t="shared" si="3"/>
        <v>42631.518101851849</v>
      </c>
    </row>
    <row r="102" spans="1:7" x14ac:dyDescent="0.25">
      <c r="A102" s="8">
        <v>42631.524097222224</v>
      </c>
      <c r="B102" s="23" t="s">
        <v>243</v>
      </c>
      <c r="C102" s="23" t="s">
        <v>498</v>
      </c>
      <c r="D102" s="23">
        <v>2040000</v>
      </c>
      <c r="E102" s="23" t="s">
        <v>262</v>
      </c>
      <c r="F102" s="23" t="str">
        <f t="shared" si="2"/>
        <v>rtdc.l.rtdc.4013:itc</v>
      </c>
      <c r="G102" s="8">
        <f t="shared" si="3"/>
        <v>42631.524097222224</v>
      </c>
    </row>
    <row r="103" spans="1:7" x14ac:dyDescent="0.25">
      <c r="A103" s="8">
        <v>42631.525613425925</v>
      </c>
      <c r="B103" s="23" t="s">
        <v>255</v>
      </c>
      <c r="C103" s="23" t="s">
        <v>418</v>
      </c>
      <c r="D103" s="23">
        <v>1110000</v>
      </c>
      <c r="E103" s="23" t="s">
        <v>443</v>
      </c>
      <c r="F103" s="23" t="str">
        <f t="shared" si="2"/>
        <v>rtdc.l.rtdc.4017:itc</v>
      </c>
      <c r="G103" s="8">
        <f t="shared" si="3"/>
        <v>42631.525613425925</v>
      </c>
    </row>
    <row r="104" spans="1:7" x14ac:dyDescent="0.25">
      <c r="A104" s="8">
        <v>42631.526388888888</v>
      </c>
      <c r="B104" s="23" t="s">
        <v>255</v>
      </c>
      <c r="C104" s="23" t="s">
        <v>499</v>
      </c>
      <c r="D104" s="23">
        <v>1110000</v>
      </c>
      <c r="E104" s="23" t="s">
        <v>443</v>
      </c>
      <c r="F104" s="23" t="str">
        <f t="shared" si="2"/>
        <v>rtdc.l.rtdc.4017:itc</v>
      </c>
      <c r="G104" s="8">
        <f t="shared" si="3"/>
        <v>42631.526388888888</v>
      </c>
    </row>
    <row r="105" spans="1:7" x14ac:dyDescent="0.25">
      <c r="A105" s="8">
        <v>42631.52857638889</v>
      </c>
      <c r="B105" s="23" t="s">
        <v>165</v>
      </c>
      <c r="C105" s="23" t="s">
        <v>500</v>
      </c>
      <c r="D105" s="23">
        <v>880000</v>
      </c>
      <c r="E105" s="23" t="s">
        <v>302</v>
      </c>
      <c r="F105" s="23" t="str">
        <f t="shared" si="2"/>
        <v>rtdc.l.rtdc.4020:itc</v>
      </c>
      <c r="G105" s="8">
        <f t="shared" si="3"/>
        <v>42631.52857638889</v>
      </c>
    </row>
    <row r="106" spans="1:7" x14ac:dyDescent="0.25">
      <c r="A106" s="8">
        <v>42631.533321759256</v>
      </c>
      <c r="B106" s="23" t="s">
        <v>261</v>
      </c>
      <c r="C106" s="23" t="s">
        <v>501</v>
      </c>
      <c r="D106" s="23">
        <v>2110000</v>
      </c>
      <c r="E106" s="23" t="s">
        <v>238</v>
      </c>
      <c r="F106" s="23" t="str">
        <f t="shared" si="2"/>
        <v>rtdc.l.rtdc.4043:itc</v>
      </c>
      <c r="G106" s="8">
        <f t="shared" si="3"/>
        <v>42631.533321759256</v>
      </c>
    </row>
    <row r="107" spans="1:7" x14ac:dyDescent="0.25">
      <c r="A107" s="8">
        <v>42631.538946759261</v>
      </c>
      <c r="B107" s="23" t="s">
        <v>229</v>
      </c>
      <c r="C107" s="23" t="s">
        <v>502</v>
      </c>
      <c r="D107" s="23">
        <v>1280000</v>
      </c>
      <c r="E107" s="23" t="s">
        <v>349</v>
      </c>
      <c r="F107" s="23" t="str">
        <f t="shared" si="2"/>
        <v>rtdc.l.rtdc.4016:itc</v>
      </c>
      <c r="G107" s="8">
        <f t="shared" si="3"/>
        <v>42631.538946759261</v>
      </c>
    </row>
    <row r="108" spans="1:7" x14ac:dyDescent="0.25">
      <c r="A108" s="8">
        <v>42631.545578703706</v>
      </c>
      <c r="B108" s="23" t="s">
        <v>301</v>
      </c>
      <c r="C108" s="23" t="s">
        <v>503</v>
      </c>
      <c r="D108" s="23">
        <v>930000</v>
      </c>
      <c r="E108" s="23" t="s">
        <v>303</v>
      </c>
      <c r="F108" s="23" t="str">
        <f t="shared" si="2"/>
        <v>rtdc.l.rtdc.4037:itc</v>
      </c>
      <c r="G108" s="8">
        <f t="shared" si="3"/>
        <v>42631.545578703706</v>
      </c>
    </row>
    <row r="109" spans="1:7" x14ac:dyDescent="0.25">
      <c r="A109" s="8">
        <v>42631.547812500001</v>
      </c>
      <c r="B109" s="23" t="s">
        <v>128</v>
      </c>
      <c r="C109" s="23" t="s">
        <v>504</v>
      </c>
      <c r="D109" s="23">
        <v>1770000</v>
      </c>
      <c r="E109" s="23" t="s">
        <v>351</v>
      </c>
      <c r="F109" s="23" t="str">
        <f t="shared" si="2"/>
        <v>rtdc.l.rtdc.4009:itc</v>
      </c>
      <c r="G109" s="8">
        <f t="shared" si="3"/>
        <v>42631.547812500001</v>
      </c>
    </row>
    <row r="110" spans="1:7" x14ac:dyDescent="0.25">
      <c r="A110" s="8">
        <v>42631.555335648147</v>
      </c>
      <c r="B110" s="23" t="s">
        <v>344</v>
      </c>
      <c r="C110" s="23" t="s">
        <v>505</v>
      </c>
      <c r="D110" s="23">
        <v>2020000</v>
      </c>
      <c r="E110" s="23" t="s">
        <v>350</v>
      </c>
      <c r="F110" s="23" t="str">
        <f t="shared" si="2"/>
        <v>rtdc.l.rtdc.4028:itc</v>
      </c>
      <c r="G110" s="8">
        <f t="shared" si="3"/>
        <v>42631.555335648147</v>
      </c>
    </row>
    <row r="111" spans="1:7" x14ac:dyDescent="0.25">
      <c r="A111" s="8">
        <v>42631.555810185186</v>
      </c>
      <c r="B111" s="23" t="s">
        <v>230</v>
      </c>
      <c r="C111" s="23" t="s">
        <v>418</v>
      </c>
      <c r="D111" s="23">
        <v>1110000</v>
      </c>
      <c r="E111" s="23" t="s">
        <v>443</v>
      </c>
      <c r="F111" s="23" t="str">
        <f t="shared" si="2"/>
        <v>rtdc.l.rtdc.4018:itc</v>
      </c>
      <c r="G111" s="8">
        <f t="shared" si="3"/>
        <v>42631.555810185186</v>
      </c>
    </row>
    <row r="112" spans="1:7" x14ac:dyDescent="0.25">
      <c r="A112" s="8">
        <v>42631.559270833335</v>
      </c>
      <c r="B112" s="23" t="s">
        <v>488</v>
      </c>
      <c r="C112" s="23" t="s">
        <v>506</v>
      </c>
      <c r="D112" s="23">
        <v>2040000</v>
      </c>
      <c r="E112" s="23" t="s">
        <v>262</v>
      </c>
      <c r="F112" s="23" t="str">
        <f t="shared" si="2"/>
        <v>rtdc.l.rtdc.4014:itc</v>
      </c>
      <c r="G112" s="8">
        <f t="shared" si="3"/>
        <v>42631.559270833335</v>
      </c>
    </row>
    <row r="113" spans="1:7" x14ac:dyDescent="0.25">
      <c r="A113" s="8">
        <v>42631.56763888889</v>
      </c>
      <c r="B113" s="23" t="s">
        <v>164</v>
      </c>
      <c r="C113" s="23" t="s">
        <v>507</v>
      </c>
      <c r="D113" s="23">
        <v>880000</v>
      </c>
      <c r="E113" s="23" t="s">
        <v>302</v>
      </c>
      <c r="F113" s="23" t="str">
        <f t="shared" si="2"/>
        <v>rtdc.l.rtdc.4019:itc</v>
      </c>
      <c r="G113" s="8">
        <f t="shared" si="3"/>
        <v>42631.56763888889</v>
      </c>
    </row>
    <row r="114" spans="1:7" x14ac:dyDescent="0.25">
      <c r="A114" s="8">
        <v>42631.568356481483</v>
      </c>
      <c r="B114" s="23" t="s">
        <v>258</v>
      </c>
      <c r="C114" s="23" t="s">
        <v>508</v>
      </c>
      <c r="D114" s="23">
        <v>2110000</v>
      </c>
      <c r="E114" s="23" t="s">
        <v>238</v>
      </c>
      <c r="F114" s="23" t="str">
        <f t="shared" si="2"/>
        <v>rtdc.l.rtdc.4044:itc</v>
      </c>
      <c r="G114" s="8">
        <f t="shared" si="3"/>
        <v>42631.568356481483</v>
      </c>
    </row>
    <row r="115" spans="1:7" x14ac:dyDescent="0.25">
      <c r="A115" s="8">
        <v>42631.568379629629</v>
      </c>
      <c r="B115" s="23" t="s">
        <v>255</v>
      </c>
      <c r="C115" s="23" t="s">
        <v>419</v>
      </c>
      <c r="D115" s="23">
        <v>1110000</v>
      </c>
      <c r="E115" s="23" t="s">
        <v>443</v>
      </c>
      <c r="F115" s="23" t="str">
        <f t="shared" si="2"/>
        <v>rtdc.l.rtdc.4017:itc</v>
      </c>
      <c r="G115" s="8">
        <f t="shared" si="3"/>
        <v>42631.568379629629</v>
      </c>
    </row>
    <row r="116" spans="1:7" x14ac:dyDescent="0.25">
      <c r="A116" s="8">
        <v>42631.569398148145</v>
      </c>
      <c r="B116" s="23" t="s">
        <v>407</v>
      </c>
      <c r="C116" s="23" t="s">
        <v>509</v>
      </c>
      <c r="D116" s="23">
        <v>1280000</v>
      </c>
      <c r="E116" s="23" t="s">
        <v>349</v>
      </c>
      <c r="F116" s="23" t="str">
        <f t="shared" si="2"/>
        <v>rtdc.l.rtdc.4015:itc</v>
      </c>
      <c r="G116" s="8">
        <f t="shared" si="3"/>
        <v>42631.569398148145</v>
      </c>
    </row>
    <row r="117" spans="1:7" x14ac:dyDescent="0.25">
      <c r="A117" s="8">
        <v>42631.582002314812</v>
      </c>
      <c r="B117" s="23" t="s">
        <v>298</v>
      </c>
      <c r="C117" s="23" t="s">
        <v>510</v>
      </c>
      <c r="D117" s="23">
        <v>930000</v>
      </c>
      <c r="E117" s="23" t="s">
        <v>303</v>
      </c>
      <c r="F117" s="23" t="str">
        <f t="shared" si="2"/>
        <v>rtdc.l.rtdc.4038:itc</v>
      </c>
      <c r="G117" s="8">
        <f t="shared" si="3"/>
        <v>42631.582002314812</v>
      </c>
    </row>
    <row r="118" spans="1:7" x14ac:dyDescent="0.25">
      <c r="A118" s="8">
        <v>42631.585752314815</v>
      </c>
      <c r="B118" s="23" t="s">
        <v>177</v>
      </c>
      <c r="C118" s="23" t="s">
        <v>420</v>
      </c>
      <c r="D118" s="23">
        <v>1770000</v>
      </c>
      <c r="E118" s="23" t="s">
        <v>351</v>
      </c>
      <c r="F118" s="23" t="str">
        <f t="shared" si="2"/>
        <v>rtdc.l.rtdc.4010:itc</v>
      </c>
      <c r="G118" s="8">
        <f t="shared" si="3"/>
        <v>42631.585752314815</v>
      </c>
    </row>
    <row r="119" spans="1:7" x14ac:dyDescent="0.25">
      <c r="A119" s="8">
        <v>42631.588078703702</v>
      </c>
      <c r="B119" s="23" t="s">
        <v>230</v>
      </c>
      <c r="C119" s="23" t="s">
        <v>511</v>
      </c>
      <c r="D119" s="23">
        <v>2250000</v>
      </c>
      <c r="E119" s="23" t="s">
        <v>512</v>
      </c>
      <c r="F119" s="23" t="str">
        <f t="shared" si="2"/>
        <v>rtdc.l.rtdc.4018:itc</v>
      </c>
      <c r="G119" s="8">
        <f t="shared" si="3"/>
        <v>42631.588078703702</v>
      </c>
    </row>
    <row r="120" spans="1:7" x14ac:dyDescent="0.25">
      <c r="A120" s="8">
        <v>42631.588125000002</v>
      </c>
      <c r="B120" s="23" t="s">
        <v>347</v>
      </c>
      <c r="C120" s="23" t="s">
        <v>513</v>
      </c>
      <c r="D120" s="23">
        <v>2020000</v>
      </c>
      <c r="E120" s="23" t="s">
        <v>350</v>
      </c>
      <c r="F120" s="23" t="str">
        <f t="shared" si="2"/>
        <v>rtdc.l.rtdc.4027:itc</v>
      </c>
      <c r="G120" s="8">
        <f t="shared" si="3"/>
        <v>42631.588125000002</v>
      </c>
    </row>
    <row r="121" spans="1:7" x14ac:dyDescent="0.25">
      <c r="A121" s="8">
        <v>42631.597326388888</v>
      </c>
      <c r="B121" s="23" t="s">
        <v>243</v>
      </c>
      <c r="C121" s="23" t="s">
        <v>514</v>
      </c>
      <c r="D121" s="23">
        <v>2040000</v>
      </c>
      <c r="E121" s="23" t="s">
        <v>262</v>
      </c>
      <c r="F121" s="23" t="str">
        <f t="shared" si="2"/>
        <v>rtdc.l.rtdc.4013:itc</v>
      </c>
      <c r="G121" s="8">
        <f t="shared" si="3"/>
        <v>42631.597326388888</v>
      </c>
    </row>
    <row r="122" spans="1:7" x14ac:dyDescent="0.25">
      <c r="A122" s="8">
        <v>42631.59814814815</v>
      </c>
      <c r="B122" s="28" t="s">
        <v>347</v>
      </c>
      <c r="C122" s="23" t="s">
        <v>513</v>
      </c>
      <c r="D122" s="23">
        <v>2020000</v>
      </c>
      <c r="E122" s="23" t="s">
        <v>350</v>
      </c>
      <c r="F122" s="23" t="str">
        <f t="shared" si="2"/>
        <v>rtdc.l.rtdc.4027:itc</v>
      </c>
      <c r="G122" s="8">
        <f t="shared" si="3"/>
        <v>42631.59814814815</v>
      </c>
    </row>
    <row r="123" spans="1:7" x14ac:dyDescent="0.25">
      <c r="A123" s="8">
        <v>42631.600081018521</v>
      </c>
      <c r="B123" s="23" t="s">
        <v>165</v>
      </c>
      <c r="C123" s="23" t="s">
        <v>507</v>
      </c>
      <c r="D123" s="23">
        <v>880000</v>
      </c>
      <c r="E123" s="23" t="s">
        <v>302</v>
      </c>
      <c r="F123" s="23" t="str">
        <f t="shared" si="2"/>
        <v>rtdc.l.rtdc.4020:itc</v>
      </c>
      <c r="G123" s="8">
        <f t="shared" si="3"/>
        <v>42631.600081018521</v>
      </c>
    </row>
    <row r="124" spans="1:7" x14ac:dyDescent="0.25">
      <c r="A124" s="8">
        <v>42631.601157407407</v>
      </c>
      <c r="B124" s="23" t="s">
        <v>165</v>
      </c>
      <c r="C124" s="23" t="s">
        <v>515</v>
      </c>
      <c r="D124" s="23">
        <v>880000</v>
      </c>
      <c r="E124" s="23" t="s">
        <v>302</v>
      </c>
      <c r="F124" s="23" t="str">
        <f t="shared" si="2"/>
        <v>rtdc.l.rtdc.4020:itc</v>
      </c>
      <c r="G124" s="8">
        <f t="shared" si="3"/>
        <v>42631.601157407407</v>
      </c>
    </row>
    <row r="125" spans="1:7" x14ac:dyDescent="0.25">
      <c r="A125" s="8">
        <v>42631.60765046296</v>
      </c>
      <c r="B125" s="23" t="s">
        <v>261</v>
      </c>
      <c r="C125" s="23" t="s">
        <v>516</v>
      </c>
      <c r="D125" s="23">
        <v>2110000</v>
      </c>
      <c r="E125" s="23" t="s">
        <v>238</v>
      </c>
      <c r="F125" s="23" t="str">
        <f t="shared" si="2"/>
        <v>rtdc.l.rtdc.4043:itc</v>
      </c>
      <c r="G125" s="8">
        <f t="shared" si="3"/>
        <v>42631.60765046296</v>
      </c>
    </row>
    <row r="126" spans="1:7" x14ac:dyDescent="0.25">
      <c r="A126" s="8">
        <v>42631.610289351855</v>
      </c>
      <c r="B126" s="23" t="s">
        <v>255</v>
      </c>
      <c r="C126" s="23" t="s">
        <v>517</v>
      </c>
      <c r="D126" s="23">
        <v>2250000</v>
      </c>
      <c r="E126" s="23" t="s">
        <v>512</v>
      </c>
      <c r="F126" s="23" t="str">
        <f t="shared" si="2"/>
        <v>rtdc.l.rtdc.4017:itc</v>
      </c>
      <c r="G126" s="8">
        <f t="shared" si="3"/>
        <v>42631.610289351855</v>
      </c>
    </row>
    <row r="127" spans="1:7" x14ac:dyDescent="0.25">
      <c r="A127" s="8">
        <v>42631.610358796293</v>
      </c>
      <c r="B127" s="23" t="s">
        <v>229</v>
      </c>
      <c r="C127" s="23" t="s">
        <v>518</v>
      </c>
      <c r="D127" s="23">
        <v>1280000</v>
      </c>
      <c r="E127" s="23" t="s">
        <v>349</v>
      </c>
      <c r="F127" s="23" t="str">
        <f t="shared" si="2"/>
        <v>rtdc.l.rtdc.4016:itc</v>
      </c>
      <c r="G127" s="8">
        <f t="shared" si="3"/>
        <v>42631.610358796293</v>
      </c>
    </row>
    <row r="128" spans="1:7" x14ac:dyDescent="0.25">
      <c r="A128" s="8">
        <v>42631.616388888891</v>
      </c>
      <c r="B128" s="23" t="s">
        <v>301</v>
      </c>
      <c r="C128" s="23" t="s">
        <v>519</v>
      </c>
      <c r="D128" s="23">
        <v>930000</v>
      </c>
      <c r="E128" s="23" t="s">
        <v>303</v>
      </c>
      <c r="F128" s="23" t="str">
        <f t="shared" si="2"/>
        <v>rtdc.l.rtdc.4037:itc</v>
      </c>
      <c r="G128" s="8">
        <f t="shared" si="3"/>
        <v>42631.616388888891</v>
      </c>
    </row>
    <row r="129" spans="1:7" x14ac:dyDescent="0.25">
      <c r="A129" s="8">
        <v>42631.619942129626</v>
      </c>
      <c r="B129" s="23" t="s">
        <v>128</v>
      </c>
      <c r="C129" s="23" t="s">
        <v>520</v>
      </c>
      <c r="D129" s="23">
        <v>1770000</v>
      </c>
      <c r="E129" s="23" t="s">
        <v>351</v>
      </c>
      <c r="F129" s="23" t="str">
        <f t="shared" si="2"/>
        <v>rtdc.l.rtdc.4009:itc</v>
      </c>
      <c r="G129" s="8">
        <f t="shared" si="3"/>
        <v>42631.619942129626</v>
      </c>
    </row>
    <row r="130" spans="1:7" x14ac:dyDescent="0.25">
      <c r="A130" s="8">
        <v>42631.624930555554</v>
      </c>
      <c r="B130" s="23" t="s">
        <v>230</v>
      </c>
      <c r="C130" s="23" t="s">
        <v>421</v>
      </c>
      <c r="D130" s="23">
        <v>2250000</v>
      </c>
      <c r="E130" s="23" t="s">
        <v>512</v>
      </c>
      <c r="F130" s="23" t="str">
        <f t="shared" ref="F130:F193" si="4">B130</f>
        <v>rtdc.l.rtdc.4018:itc</v>
      </c>
      <c r="G130" s="8">
        <f t="shared" ref="G130:G193" si="5">A130</f>
        <v>42631.624930555554</v>
      </c>
    </row>
    <row r="131" spans="1:7" x14ac:dyDescent="0.25">
      <c r="A131" s="8">
        <v>42631.627141203702</v>
      </c>
      <c r="B131" s="23" t="s">
        <v>344</v>
      </c>
      <c r="C131" s="23" t="s">
        <v>521</v>
      </c>
      <c r="D131" s="23">
        <v>2020000</v>
      </c>
      <c r="E131" s="23" t="s">
        <v>350</v>
      </c>
      <c r="F131" s="23" t="str">
        <f t="shared" si="4"/>
        <v>rtdc.l.rtdc.4028:itc</v>
      </c>
      <c r="G131" s="8">
        <f t="shared" si="5"/>
        <v>42631.627141203702</v>
      </c>
    </row>
    <row r="132" spans="1:7" x14ac:dyDescent="0.25">
      <c r="A132" s="8">
        <v>42631.633692129632</v>
      </c>
      <c r="B132" s="23" t="s">
        <v>488</v>
      </c>
      <c r="C132" s="23" t="s">
        <v>522</v>
      </c>
      <c r="D132" s="23">
        <v>2040000</v>
      </c>
      <c r="E132" s="23" t="s">
        <v>262</v>
      </c>
      <c r="F132" s="23" t="str">
        <f t="shared" si="4"/>
        <v>rtdc.l.rtdc.4014:itc</v>
      </c>
      <c r="G132" s="8">
        <f t="shared" si="5"/>
        <v>42631.633692129632</v>
      </c>
    </row>
    <row r="133" spans="1:7" x14ac:dyDescent="0.25">
      <c r="A133" s="8">
        <v>42631.640682870369</v>
      </c>
      <c r="B133" s="23" t="s">
        <v>164</v>
      </c>
      <c r="C133" s="23" t="s">
        <v>422</v>
      </c>
      <c r="D133" s="23">
        <v>880000</v>
      </c>
      <c r="E133" s="23" t="s">
        <v>302</v>
      </c>
      <c r="F133" s="23" t="str">
        <f t="shared" si="4"/>
        <v>rtdc.l.rtdc.4019:itc</v>
      </c>
      <c r="G133" s="8">
        <f t="shared" si="5"/>
        <v>42631.640682870369</v>
      </c>
    </row>
    <row r="134" spans="1:7" x14ac:dyDescent="0.25">
      <c r="A134" s="8">
        <v>42631.642222222225</v>
      </c>
      <c r="B134" s="23" t="s">
        <v>258</v>
      </c>
      <c r="C134" s="23" t="s">
        <v>523</v>
      </c>
      <c r="D134" s="23">
        <v>2110000</v>
      </c>
      <c r="E134" s="23" t="s">
        <v>238</v>
      </c>
      <c r="F134" s="23" t="str">
        <f t="shared" si="4"/>
        <v>rtdc.l.rtdc.4044:itc</v>
      </c>
      <c r="G134" s="8">
        <f t="shared" si="5"/>
        <v>42631.642222222225</v>
      </c>
    </row>
    <row r="135" spans="1:7" x14ac:dyDescent="0.25">
      <c r="A135" s="8">
        <v>42631.642488425925</v>
      </c>
      <c r="B135" s="23" t="s">
        <v>407</v>
      </c>
      <c r="C135" s="23" t="s">
        <v>423</v>
      </c>
      <c r="D135" s="23">
        <v>1280000</v>
      </c>
      <c r="E135" s="23" t="s">
        <v>349</v>
      </c>
      <c r="F135" s="23" t="str">
        <f t="shared" si="4"/>
        <v>rtdc.l.rtdc.4015:itc</v>
      </c>
      <c r="G135" s="8">
        <f t="shared" si="5"/>
        <v>42631.642488425925</v>
      </c>
    </row>
    <row r="136" spans="1:7" x14ac:dyDescent="0.25">
      <c r="A136" s="8">
        <v>42631.651863425926</v>
      </c>
      <c r="B136" s="23" t="s">
        <v>255</v>
      </c>
      <c r="C136" s="23" t="s">
        <v>524</v>
      </c>
      <c r="D136" s="23">
        <v>2250000</v>
      </c>
      <c r="E136" s="23" t="s">
        <v>512</v>
      </c>
      <c r="F136" s="23" t="str">
        <f t="shared" si="4"/>
        <v>rtdc.l.rtdc.4017:itc</v>
      </c>
      <c r="G136" s="8">
        <f t="shared" si="5"/>
        <v>42631.651863425926</v>
      </c>
    </row>
    <row r="137" spans="1:7" x14ac:dyDescent="0.25">
      <c r="A137" s="8">
        <v>42631.654594907406</v>
      </c>
      <c r="B137" s="23" t="s">
        <v>298</v>
      </c>
      <c r="C137" s="23" t="s">
        <v>525</v>
      </c>
      <c r="D137" s="23">
        <v>930000</v>
      </c>
      <c r="E137" s="23" t="s">
        <v>303</v>
      </c>
      <c r="F137" s="23" t="str">
        <f t="shared" si="4"/>
        <v>rtdc.l.rtdc.4038:itc</v>
      </c>
      <c r="G137" s="8">
        <f t="shared" si="5"/>
        <v>42631.654594907406</v>
      </c>
    </row>
    <row r="138" spans="1:7" x14ac:dyDescent="0.25">
      <c r="A138" s="8">
        <v>42631.659062500003</v>
      </c>
      <c r="B138" s="23" t="s">
        <v>177</v>
      </c>
      <c r="C138" s="23" t="s">
        <v>526</v>
      </c>
      <c r="D138" s="23">
        <v>1770000</v>
      </c>
      <c r="E138" s="23" t="s">
        <v>351</v>
      </c>
      <c r="F138" s="23" t="str">
        <f t="shared" si="4"/>
        <v>rtdc.l.rtdc.4010:itc</v>
      </c>
      <c r="G138" s="8">
        <f t="shared" si="5"/>
        <v>42631.659062500003</v>
      </c>
    </row>
    <row r="139" spans="1:7" x14ac:dyDescent="0.25">
      <c r="A139" s="8">
        <v>42631.663287037038</v>
      </c>
      <c r="B139" s="23" t="s">
        <v>347</v>
      </c>
      <c r="C139" s="23" t="s">
        <v>527</v>
      </c>
      <c r="D139" s="23">
        <v>2020000</v>
      </c>
      <c r="E139" s="23" t="s">
        <v>350</v>
      </c>
      <c r="F139" s="23" t="str">
        <f t="shared" si="4"/>
        <v>rtdc.l.rtdc.4027:itc</v>
      </c>
      <c r="G139" s="8">
        <f t="shared" si="5"/>
        <v>42631.663287037038</v>
      </c>
    </row>
    <row r="140" spans="1:7" x14ac:dyDescent="0.25">
      <c r="A140" s="8">
        <v>42631.665879629632</v>
      </c>
      <c r="B140" s="23" t="s">
        <v>230</v>
      </c>
      <c r="C140" s="23" t="s">
        <v>528</v>
      </c>
      <c r="D140" s="23">
        <v>2250000</v>
      </c>
      <c r="E140" s="23" t="s">
        <v>512</v>
      </c>
      <c r="F140" s="23" t="str">
        <f t="shared" si="4"/>
        <v>rtdc.l.rtdc.4018:itc</v>
      </c>
      <c r="G140" s="8">
        <f t="shared" si="5"/>
        <v>42631.665879629632</v>
      </c>
    </row>
    <row r="141" spans="1:7" x14ac:dyDescent="0.25">
      <c r="A141" s="8">
        <v>42631.671805555554</v>
      </c>
      <c r="B141" s="23" t="s">
        <v>243</v>
      </c>
      <c r="C141" s="23" t="s">
        <v>529</v>
      </c>
      <c r="D141" s="23">
        <v>2040000</v>
      </c>
      <c r="E141" s="23" t="s">
        <v>262</v>
      </c>
      <c r="F141" s="23" t="str">
        <f t="shared" si="4"/>
        <v>rtdc.l.rtdc.4013:itc</v>
      </c>
      <c r="G141" s="8">
        <f t="shared" si="5"/>
        <v>42631.671805555554</v>
      </c>
    </row>
    <row r="142" spans="1:7" x14ac:dyDescent="0.25">
      <c r="A142" s="8">
        <v>42631.672835648147</v>
      </c>
      <c r="B142" s="23" t="s">
        <v>165</v>
      </c>
      <c r="C142" s="23" t="s">
        <v>530</v>
      </c>
      <c r="D142" s="23">
        <v>880000</v>
      </c>
      <c r="E142" s="23" t="s">
        <v>302</v>
      </c>
      <c r="F142" s="23" t="str">
        <f t="shared" si="4"/>
        <v>rtdc.l.rtdc.4020:itc</v>
      </c>
      <c r="G142" s="8">
        <f t="shared" si="5"/>
        <v>42631.672835648147</v>
      </c>
    </row>
    <row r="143" spans="1:7" x14ac:dyDescent="0.25">
      <c r="A143" s="8">
        <v>42631.680081018516</v>
      </c>
      <c r="B143" s="23" t="s">
        <v>261</v>
      </c>
      <c r="C143" s="23" t="s">
        <v>531</v>
      </c>
      <c r="D143" s="23">
        <v>2110000</v>
      </c>
      <c r="E143" s="23" t="s">
        <v>238</v>
      </c>
      <c r="F143" s="23" t="str">
        <f t="shared" si="4"/>
        <v>rtdc.l.rtdc.4043:itc</v>
      </c>
      <c r="G143" s="8">
        <f t="shared" si="5"/>
        <v>42631.680081018516</v>
      </c>
    </row>
    <row r="144" spans="1:7" x14ac:dyDescent="0.25">
      <c r="A144" s="8">
        <v>42631.683356481481</v>
      </c>
      <c r="B144" s="23" t="s">
        <v>229</v>
      </c>
      <c r="C144" s="23" t="s">
        <v>532</v>
      </c>
      <c r="D144" s="23">
        <v>1280000</v>
      </c>
      <c r="E144" s="23" t="s">
        <v>349</v>
      </c>
      <c r="F144" s="23" t="str">
        <f t="shared" si="4"/>
        <v>rtdc.l.rtdc.4016:itc</v>
      </c>
      <c r="G144" s="8">
        <f t="shared" si="5"/>
        <v>42631.683356481481</v>
      </c>
    </row>
    <row r="145" spans="1:7" x14ac:dyDescent="0.25">
      <c r="A145" s="8">
        <v>42631.691342592596</v>
      </c>
      <c r="B145" s="23" t="s">
        <v>301</v>
      </c>
      <c r="C145" s="23" t="s">
        <v>533</v>
      </c>
      <c r="D145" s="23">
        <v>930000</v>
      </c>
      <c r="E145" s="23" t="s">
        <v>303</v>
      </c>
      <c r="F145" s="23" t="str">
        <f t="shared" si="4"/>
        <v>rtdc.l.rtdc.4037:itc</v>
      </c>
      <c r="G145" s="8">
        <f t="shared" si="5"/>
        <v>42631.691342592596</v>
      </c>
    </row>
    <row r="146" spans="1:7" x14ac:dyDescent="0.25">
      <c r="A146" s="8">
        <v>42631.693483796298</v>
      </c>
      <c r="B146" s="23" t="s">
        <v>255</v>
      </c>
      <c r="C146" s="23" t="s">
        <v>534</v>
      </c>
      <c r="D146" s="23">
        <v>2250000</v>
      </c>
      <c r="E146" s="23" t="s">
        <v>512</v>
      </c>
      <c r="F146" s="23" t="str">
        <f t="shared" si="4"/>
        <v>rtdc.l.rtdc.4017:itc</v>
      </c>
      <c r="G146" s="8">
        <f t="shared" si="5"/>
        <v>42631.693483796298</v>
      </c>
    </row>
    <row r="147" spans="1:7" x14ac:dyDescent="0.25">
      <c r="A147" s="8">
        <v>42631.693784722222</v>
      </c>
      <c r="B147" s="23" t="s">
        <v>128</v>
      </c>
      <c r="C147" s="23" t="s">
        <v>535</v>
      </c>
      <c r="D147" s="23">
        <v>1770000</v>
      </c>
      <c r="E147" s="23" t="s">
        <v>351</v>
      </c>
      <c r="F147" s="23" t="str">
        <f t="shared" si="4"/>
        <v>rtdc.l.rtdc.4009:itc</v>
      </c>
      <c r="G147" s="8">
        <f t="shared" si="5"/>
        <v>42631.693784722222</v>
      </c>
    </row>
    <row r="148" spans="1:7" x14ac:dyDescent="0.25">
      <c r="A148" s="8">
        <v>42631.701898148145</v>
      </c>
      <c r="B148" s="23" t="s">
        <v>344</v>
      </c>
      <c r="C148" s="23" t="s">
        <v>536</v>
      </c>
      <c r="D148" s="23">
        <v>2020000</v>
      </c>
      <c r="E148" s="23" t="s">
        <v>350</v>
      </c>
      <c r="F148" s="23" t="str">
        <f t="shared" si="4"/>
        <v>rtdc.l.rtdc.4028:itc</v>
      </c>
      <c r="G148" s="8">
        <f t="shared" si="5"/>
        <v>42631.701898148145</v>
      </c>
    </row>
    <row r="149" spans="1:7" x14ac:dyDescent="0.25">
      <c r="A149" s="8">
        <v>42631.705370370371</v>
      </c>
      <c r="B149" s="23" t="s">
        <v>488</v>
      </c>
      <c r="C149" s="23" t="s">
        <v>537</v>
      </c>
      <c r="D149" s="23">
        <v>2040000</v>
      </c>
      <c r="E149" s="23" t="s">
        <v>262</v>
      </c>
      <c r="F149" s="23" t="str">
        <f t="shared" si="4"/>
        <v>rtdc.l.rtdc.4014:itc</v>
      </c>
      <c r="G149" s="8">
        <f t="shared" si="5"/>
        <v>42631.705370370371</v>
      </c>
    </row>
    <row r="150" spans="1:7" x14ac:dyDescent="0.25">
      <c r="A150" s="8">
        <v>42631.708611111113</v>
      </c>
      <c r="B150" s="23" t="s">
        <v>230</v>
      </c>
      <c r="C150" s="23" t="s">
        <v>538</v>
      </c>
      <c r="D150" s="23">
        <v>2250000</v>
      </c>
      <c r="E150" s="23" t="s">
        <v>512</v>
      </c>
      <c r="F150" s="23" t="str">
        <f t="shared" si="4"/>
        <v>rtdc.l.rtdc.4018:itc</v>
      </c>
      <c r="G150" s="8">
        <f t="shared" si="5"/>
        <v>42631.708611111113</v>
      </c>
    </row>
    <row r="151" spans="1:7" x14ac:dyDescent="0.25">
      <c r="A151" s="8">
        <v>42631.713900462964</v>
      </c>
      <c r="B151" s="23" t="s">
        <v>164</v>
      </c>
      <c r="C151" s="23" t="s">
        <v>539</v>
      </c>
      <c r="D151" s="23">
        <v>880000</v>
      </c>
      <c r="E151" s="23" t="s">
        <v>302</v>
      </c>
      <c r="F151" s="23" t="str">
        <f t="shared" si="4"/>
        <v>rtdc.l.rtdc.4019:itc</v>
      </c>
      <c r="G151" s="8">
        <f t="shared" si="5"/>
        <v>42631.713900462964</v>
      </c>
    </row>
    <row r="152" spans="1:7" x14ac:dyDescent="0.25">
      <c r="A152" s="8">
        <v>42631.715439814812</v>
      </c>
      <c r="B152" s="23" t="s">
        <v>407</v>
      </c>
      <c r="C152" s="23" t="s">
        <v>540</v>
      </c>
      <c r="D152" s="23">
        <v>1280000</v>
      </c>
      <c r="E152" s="23" t="s">
        <v>349</v>
      </c>
      <c r="F152" s="23" t="str">
        <f t="shared" si="4"/>
        <v>rtdc.l.rtdc.4015:itc</v>
      </c>
      <c r="G152" s="8">
        <f t="shared" si="5"/>
        <v>42631.715439814812</v>
      </c>
    </row>
    <row r="153" spans="1:7" x14ac:dyDescent="0.25">
      <c r="A153" s="8">
        <v>42631.715636574074</v>
      </c>
      <c r="B153" s="23" t="s">
        <v>258</v>
      </c>
      <c r="C153" s="23" t="s">
        <v>424</v>
      </c>
      <c r="D153" s="23">
        <v>1180000</v>
      </c>
      <c r="E153" s="23" t="s">
        <v>541</v>
      </c>
      <c r="F153" s="23" t="str">
        <f t="shared" si="4"/>
        <v>rtdc.l.rtdc.4044:itc</v>
      </c>
      <c r="G153" s="8">
        <f t="shared" si="5"/>
        <v>42631.715636574074</v>
      </c>
    </row>
    <row r="154" spans="1:7" x14ac:dyDescent="0.25">
      <c r="A154" s="8">
        <v>42631.726689814815</v>
      </c>
      <c r="B154" s="23" t="s">
        <v>298</v>
      </c>
      <c r="C154" s="23" t="s">
        <v>542</v>
      </c>
      <c r="D154" s="23">
        <v>2110000</v>
      </c>
      <c r="E154" s="23" t="s">
        <v>238</v>
      </c>
      <c r="F154" s="23" t="str">
        <f t="shared" si="4"/>
        <v>rtdc.l.rtdc.4038:itc</v>
      </c>
      <c r="G154" s="8">
        <f t="shared" si="5"/>
        <v>42631.726689814815</v>
      </c>
    </row>
    <row r="155" spans="1:7" x14ac:dyDescent="0.25">
      <c r="A155" s="8">
        <v>42631.731377314813</v>
      </c>
      <c r="B155" s="23" t="s">
        <v>177</v>
      </c>
      <c r="C155" s="23" t="s">
        <v>543</v>
      </c>
      <c r="D155" s="23">
        <v>1770000</v>
      </c>
      <c r="E155" s="23" t="s">
        <v>351</v>
      </c>
      <c r="F155" s="23" t="str">
        <f t="shared" si="4"/>
        <v>rtdc.l.rtdc.4010:itc</v>
      </c>
      <c r="G155" s="8">
        <f t="shared" si="5"/>
        <v>42631.731377314813</v>
      </c>
    </row>
    <row r="156" spans="1:7" x14ac:dyDescent="0.25">
      <c r="A156" s="8">
        <v>42631.732256944444</v>
      </c>
      <c r="B156" s="23" t="s">
        <v>291</v>
      </c>
      <c r="C156" s="23" t="s">
        <v>544</v>
      </c>
      <c r="D156" s="23">
        <v>2260000</v>
      </c>
      <c r="E156" s="23" t="s">
        <v>130</v>
      </c>
      <c r="F156" s="23" t="str">
        <f t="shared" si="4"/>
        <v>rtdc.l.rtdc.4045:itc</v>
      </c>
      <c r="G156" s="8">
        <f t="shared" si="5"/>
        <v>42631.732256944444</v>
      </c>
    </row>
    <row r="157" spans="1:7" x14ac:dyDescent="0.25">
      <c r="A157" s="8">
        <v>42631.735069444447</v>
      </c>
      <c r="B157" s="23" t="s">
        <v>255</v>
      </c>
      <c r="C157" s="23" t="s">
        <v>545</v>
      </c>
      <c r="D157" s="23">
        <v>2250000</v>
      </c>
      <c r="E157" s="23" t="s">
        <v>512</v>
      </c>
      <c r="F157" s="23" t="str">
        <f t="shared" si="4"/>
        <v>rtdc.l.rtdc.4017:itc</v>
      </c>
      <c r="G157" s="8">
        <f t="shared" si="5"/>
        <v>42631.735069444447</v>
      </c>
    </row>
    <row r="158" spans="1:7" x14ac:dyDescent="0.25">
      <c r="A158" s="8">
        <v>42631.735381944447</v>
      </c>
      <c r="B158" s="23" t="s">
        <v>347</v>
      </c>
      <c r="C158" s="23" t="s">
        <v>546</v>
      </c>
      <c r="D158" s="23">
        <v>1290000</v>
      </c>
      <c r="E158" s="23" t="s">
        <v>173</v>
      </c>
      <c r="F158" s="23" t="str">
        <f t="shared" si="4"/>
        <v>rtdc.l.rtdc.4027:itc</v>
      </c>
      <c r="G158" s="8">
        <f t="shared" si="5"/>
        <v>42631.735381944447</v>
      </c>
    </row>
    <row r="159" spans="1:7" x14ac:dyDescent="0.25">
      <c r="A159" s="8">
        <v>42631.744571759256</v>
      </c>
      <c r="B159" s="23" t="s">
        <v>243</v>
      </c>
      <c r="C159" s="23" t="s">
        <v>547</v>
      </c>
      <c r="D159" s="23">
        <v>2040000</v>
      </c>
      <c r="E159" s="23" t="s">
        <v>262</v>
      </c>
      <c r="F159" s="23" t="str">
        <f t="shared" si="4"/>
        <v>rtdc.l.rtdc.4013:itc</v>
      </c>
      <c r="G159" s="8">
        <f t="shared" si="5"/>
        <v>42631.744571759256</v>
      </c>
    </row>
    <row r="160" spans="1:7" x14ac:dyDescent="0.25">
      <c r="A160" s="8">
        <v>42631.745694444442</v>
      </c>
      <c r="B160" s="23" t="s">
        <v>292</v>
      </c>
      <c r="C160" s="23" t="s">
        <v>548</v>
      </c>
      <c r="D160" s="23">
        <v>1800000</v>
      </c>
      <c r="E160" s="23" t="s">
        <v>305</v>
      </c>
      <c r="F160" s="23" t="str">
        <f t="shared" si="4"/>
        <v>rtdc.l.rtdc.4005:itc</v>
      </c>
      <c r="G160" s="8">
        <f t="shared" si="5"/>
        <v>42631.745694444442</v>
      </c>
    </row>
    <row r="161" spans="1:7" x14ac:dyDescent="0.25">
      <c r="A161" s="8">
        <v>42631.745694444442</v>
      </c>
      <c r="B161" s="23" t="s">
        <v>165</v>
      </c>
      <c r="C161" s="23" t="s">
        <v>549</v>
      </c>
      <c r="D161" s="23">
        <v>2020000</v>
      </c>
      <c r="E161" s="23" t="s">
        <v>350</v>
      </c>
      <c r="F161" s="23" t="str">
        <f t="shared" si="4"/>
        <v>rtdc.l.rtdc.4020:itc</v>
      </c>
      <c r="G161" s="8">
        <f t="shared" si="5"/>
        <v>42631.745694444442</v>
      </c>
    </row>
    <row r="162" spans="1:7" x14ac:dyDescent="0.25">
      <c r="A162" s="8">
        <v>42631.750069444446</v>
      </c>
      <c r="B162" s="23" t="s">
        <v>230</v>
      </c>
      <c r="C162" s="23" t="s">
        <v>550</v>
      </c>
      <c r="D162" s="23">
        <v>2250000</v>
      </c>
      <c r="E162" s="23" t="s">
        <v>512</v>
      </c>
      <c r="F162" s="23" t="str">
        <f t="shared" si="4"/>
        <v>rtdc.l.rtdc.4018:itc</v>
      </c>
      <c r="G162" s="8">
        <f t="shared" si="5"/>
        <v>42631.750069444446</v>
      </c>
    </row>
    <row r="163" spans="1:7" x14ac:dyDescent="0.25">
      <c r="A163" s="8">
        <v>42631.750625000001</v>
      </c>
      <c r="B163" s="23" t="s">
        <v>230</v>
      </c>
      <c r="C163" s="23" t="s">
        <v>551</v>
      </c>
      <c r="D163" s="23">
        <v>2250000</v>
      </c>
      <c r="E163" s="23" t="s">
        <v>512</v>
      </c>
      <c r="F163" s="23" t="str">
        <f t="shared" si="4"/>
        <v>rtdc.l.rtdc.4018:itc</v>
      </c>
      <c r="G163" s="8">
        <f t="shared" si="5"/>
        <v>42631.750625000001</v>
      </c>
    </row>
    <row r="164" spans="1:7" x14ac:dyDescent="0.25">
      <c r="A164" s="8">
        <v>42631.754826388889</v>
      </c>
      <c r="B164" s="23" t="s">
        <v>261</v>
      </c>
      <c r="C164" s="23" t="s">
        <v>552</v>
      </c>
      <c r="D164" s="23">
        <v>1180000</v>
      </c>
      <c r="E164" s="23" t="s">
        <v>541</v>
      </c>
      <c r="F164" s="23" t="str">
        <f t="shared" si="4"/>
        <v>rtdc.l.rtdc.4043:itc</v>
      </c>
      <c r="G164" s="8">
        <f t="shared" si="5"/>
        <v>42631.754826388889</v>
      </c>
    </row>
    <row r="165" spans="1:7" x14ac:dyDescent="0.25">
      <c r="A165" s="8">
        <v>42631.756597222222</v>
      </c>
      <c r="B165" s="23" t="s">
        <v>229</v>
      </c>
      <c r="C165" s="23" t="s">
        <v>553</v>
      </c>
      <c r="D165" s="23">
        <v>1810000</v>
      </c>
      <c r="E165" s="23" t="s">
        <v>294</v>
      </c>
      <c r="F165" s="23" t="str">
        <f t="shared" si="4"/>
        <v>rtdc.l.rtdc.4016:itc</v>
      </c>
      <c r="G165" s="8">
        <f t="shared" si="5"/>
        <v>42631.756597222222</v>
      </c>
    </row>
    <row r="166" spans="1:7" x14ac:dyDescent="0.25">
      <c r="A166" s="8">
        <v>42631.763807870368</v>
      </c>
      <c r="B166" s="23" t="s">
        <v>301</v>
      </c>
      <c r="C166" s="23" t="s">
        <v>425</v>
      </c>
      <c r="D166" s="23">
        <v>2110000</v>
      </c>
      <c r="E166" s="23" t="s">
        <v>238</v>
      </c>
      <c r="F166" s="23" t="str">
        <f t="shared" si="4"/>
        <v>rtdc.l.rtdc.4037:itc</v>
      </c>
      <c r="G166" s="8">
        <f t="shared" si="5"/>
        <v>42631.763807870368</v>
      </c>
    </row>
    <row r="167" spans="1:7" x14ac:dyDescent="0.25">
      <c r="A167" s="8">
        <v>42631.769745370373</v>
      </c>
      <c r="B167" s="23" t="s">
        <v>295</v>
      </c>
      <c r="C167" s="23" t="s">
        <v>554</v>
      </c>
      <c r="D167" s="23">
        <v>1770000</v>
      </c>
      <c r="E167" s="23" t="s">
        <v>351</v>
      </c>
      <c r="F167" s="23" t="str">
        <f t="shared" si="4"/>
        <v>rtdc.l.rtdc.4006:itc</v>
      </c>
      <c r="G167" s="8">
        <f t="shared" si="5"/>
        <v>42631.769745370373</v>
      </c>
    </row>
    <row r="168" spans="1:7" x14ac:dyDescent="0.25">
      <c r="A168" s="8">
        <v>42631.770775462966</v>
      </c>
      <c r="B168" s="23" t="s">
        <v>128</v>
      </c>
      <c r="C168" s="23" t="s">
        <v>555</v>
      </c>
      <c r="D168" s="23">
        <v>1800000</v>
      </c>
      <c r="E168" s="23" t="s">
        <v>305</v>
      </c>
      <c r="F168" s="23" t="str">
        <f t="shared" si="4"/>
        <v>rtdc.l.rtdc.4009:itc</v>
      </c>
      <c r="G168" s="8">
        <f t="shared" si="5"/>
        <v>42631.770775462966</v>
      </c>
    </row>
    <row r="169" spans="1:7" x14ac:dyDescent="0.25">
      <c r="A169" s="8">
        <v>42631.775555555556</v>
      </c>
      <c r="B169" s="23" t="s">
        <v>344</v>
      </c>
      <c r="C169" s="23" t="s">
        <v>556</v>
      </c>
      <c r="D169" s="23">
        <v>1290000</v>
      </c>
      <c r="E169" s="23" t="s">
        <v>173</v>
      </c>
      <c r="F169" s="23" t="str">
        <f t="shared" si="4"/>
        <v>rtdc.l.rtdc.4028:itc</v>
      </c>
      <c r="G169" s="8">
        <f t="shared" si="5"/>
        <v>42631.775555555556</v>
      </c>
    </row>
    <row r="170" spans="1:7" x14ac:dyDescent="0.25">
      <c r="A170" s="8">
        <v>42631.776747685188</v>
      </c>
      <c r="B170" s="23" t="s">
        <v>255</v>
      </c>
      <c r="C170" s="23" t="s">
        <v>550</v>
      </c>
      <c r="D170" s="23">
        <v>2250000</v>
      </c>
      <c r="E170" s="23" t="s">
        <v>512</v>
      </c>
      <c r="F170" s="23" t="str">
        <f t="shared" si="4"/>
        <v>rtdc.l.rtdc.4017:itc</v>
      </c>
      <c r="G170" s="8">
        <f t="shared" si="5"/>
        <v>42631.776747685188</v>
      </c>
    </row>
    <row r="171" spans="1:7" x14ac:dyDescent="0.25">
      <c r="A171" s="8">
        <v>42631.779710648145</v>
      </c>
      <c r="B171" s="23" t="s">
        <v>488</v>
      </c>
      <c r="C171" s="23" t="s">
        <v>557</v>
      </c>
      <c r="D171" s="23">
        <v>2150000</v>
      </c>
      <c r="E171" s="23" t="s">
        <v>558</v>
      </c>
      <c r="F171" s="23" t="str">
        <f t="shared" si="4"/>
        <v>rtdc.l.rtdc.4014:itc</v>
      </c>
      <c r="G171" s="8">
        <f t="shared" si="5"/>
        <v>42631.779710648145</v>
      </c>
    </row>
    <row r="172" spans="1:7" x14ac:dyDescent="0.25">
      <c r="A172" s="8">
        <v>42631.784016203703</v>
      </c>
      <c r="B172" s="23" t="s">
        <v>164</v>
      </c>
      <c r="C172" s="23" t="s">
        <v>559</v>
      </c>
      <c r="D172" s="23">
        <v>2020000</v>
      </c>
      <c r="E172" s="23" t="s">
        <v>350</v>
      </c>
      <c r="F172" s="23" t="str">
        <f t="shared" si="4"/>
        <v>rtdc.l.rtdc.4019:itc</v>
      </c>
      <c r="G172" s="8">
        <f t="shared" si="5"/>
        <v>42631.784016203703</v>
      </c>
    </row>
    <row r="173" spans="1:7" x14ac:dyDescent="0.25">
      <c r="A173" s="8">
        <v>42631.787326388891</v>
      </c>
      <c r="B173" s="23" t="s">
        <v>258</v>
      </c>
      <c r="C173" s="23" t="s">
        <v>560</v>
      </c>
      <c r="D173" s="23">
        <v>1180000</v>
      </c>
      <c r="E173" s="23" t="s">
        <v>541</v>
      </c>
      <c r="F173" s="23" t="str">
        <f t="shared" si="4"/>
        <v>rtdc.l.rtdc.4044:itc</v>
      </c>
      <c r="G173" s="8">
        <f t="shared" si="5"/>
        <v>42631.787326388891</v>
      </c>
    </row>
    <row r="174" spans="1:7" x14ac:dyDescent="0.25">
      <c r="A174" s="8">
        <v>42631.787812499999</v>
      </c>
      <c r="B174" s="23" t="s">
        <v>407</v>
      </c>
      <c r="C174" s="23" t="s">
        <v>561</v>
      </c>
      <c r="D174" s="23">
        <v>1810000</v>
      </c>
      <c r="E174" s="23" t="s">
        <v>294</v>
      </c>
      <c r="F174" s="23" t="str">
        <f t="shared" si="4"/>
        <v>rtdc.l.rtdc.4015:itc</v>
      </c>
      <c r="G174" s="8">
        <f t="shared" si="5"/>
        <v>42631.787812499999</v>
      </c>
    </row>
    <row r="175" spans="1:7" x14ac:dyDescent="0.25">
      <c r="A175" s="8">
        <v>42631.807997685188</v>
      </c>
      <c r="B175" s="23" t="s">
        <v>347</v>
      </c>
      <c r="C175" s="23" t="s">
        <v>562</v>
      </c>
      <c r="D175" s="23">
        <v>1290000</v>
      </c>
      <c r="E175" s="23" t="s">
        <v>173</v>
      </c>
      <c r="F175" s="23" t="str">
        <f t="shared" si="4"/>
        <v>rtdc.l.rtdc.4027:itc</v>
      </c>
      <c r="G175" s="8">
        <f t="shared" si="5"/>
        <v>42631.807997685188</v>
      </c>
    </row>
    <row r="176" spans="1:7" x14ac:dyDescent="0.25">
      <c r="A176" s="8">
        <v>42631.809363425928</v>
      </c>
      <c r="B176" s="23" t="s">
        <v>177</v>
      </c>
      <c r="C176" s="23" t="s">
        <v>563</v>
      </c>
      <c r="D176" s="23">
        <v>1800000</v>
      </c>
      <c r="E176" s="23" t="s">
        <v>305</v>
      </c>
      <c r="F176" s="23" t="str">
        <f t="shared" si="4"/>
        <v>rtdc.l.rtdc.4010:itc</v>
      </c>
      <c r="G176" s="8">
        <f t="shared" si="5"/>
        <v>42631.809363425928</v>
      </c>
    </row>
    <row r="177" spans="1:7" x14ac:dyDescent="0.25">
      <c r="A177" s="8">
        <v>42631.810208333336</v>
      </c>
      <c r="B177" s="23" t="s">
        <v>243</v>
      </c>
      <c r="C177" s="23" t="s">
        <v>564</v>
      </c>
      <c r="D177" s="23">
        <v>2150000</v>
      </c>
      <c r="E177" s="23" t="s">
        <v>558</v>
      </c>
      <c r="F177" s="23" t="str">
        <f t="shared" si="4"/>
        <v>rtdc.l.rtdc.4013:itc</v>
      </c>
      <c r="G177" s="8">
        <f t="shared" si="5"/>
        <v>42631.810208333336</v>
      </c>
    </row>
    <row r="178" spans="1:7" x14ac:dyDescent="0.25">
      <c r="A178" s="8">
        <v>42631.818773148145</v>
      </c>
      <c r="B178" s="23" t="s">
        <v>255</v>
      </c>
      <c r="C178" s="23" t="s">
        <v>565</v>
      </c>
      <c r="D178" s="23">
        <v>2250000</v>
      </c>
      <c r="E178" s="23" t="s">
        <v>512</v>
      </c>
      <c r="F178" s="23" t="str">
        <f t="shared" si="4"/>
        <v>rtdc.l.rtdc.4017:itc</v>
      </c>
      <c r="G178" s="8">
        <f t="shared" si="5"/>
        <v>42631.818773148145</v>
      </c>
    </row>
    <row r="179" spans="1:7" x14ac:dyDescent="0.25">
      <c r="A179" s="8">
        <v>42631.82240740741</v>
      </c>
      <c r="B179" s="23" t="s">
        <v>165</v>
      </c>
      <c r="C179" s="23" t="s">
        <v>566</v>
      </c>
      <c r="D179" s="23">
        <v>2230000</v>
      </c>
      <c r="E179" s="23" t="s">
        <v>567</v>
      </c>
      <c r="F179" s="23" t="str">
        <f t="shared" si="4"/>
        <v>rtdc.l.rtdc.4020:itc</v>
      </c>
      <c r="G179" s="8">
        <f t="shared" si="5"/>
        <v>42631.82240740741</v>
      </c>
    </row>
    <row r="180" spans="1:7" x14ac:dyDescent="0.25">
      <c r="A180" s="8">
        <v>42631.824305555558</v>
      </c>
      <c r="B180" s="23" t="s">
        <v>261</v>
      </c>
      <c r="C180" s="23" t="s">
        <v>568</v>
      </c>
      <c r="D180" s="23">
        <v>1180000</v>
      </c>
      <c r="E180" s="23" t="s">
        <v>541</v>
      </c>
      <c r="F180" s="23" t="str">
        <f t="shared" si="4"/>
        <v>rtdc.l.rtdc.4043:itc</v>
      </c>
      <c r="G180" s="8">
        <f t="shared" si="5"/>
        <v>42631.824305555558</v>
      </c>
    </row>
    <row r="181" spans="1:7" x14ac:dyDescent="0.25">
      <c r="A181" s="8">
        <v>42631.828541666669</v>
      </c>
      <c r="B181" s="23" t="s">
        <v>229</v>
      </c>
      <c r="C181" s="23" t="s">
        <v>569</v>
      </c>
      <c r="D181" s="23">
        <v>1810000</v>
      </c>
      <c r="E181" s="23" t="s">
        <v>294</v>
      </c>
      <c r="F181" s="23" t="str">
        <f t="shared" si="4"/>
        <v>rtdc.l.rtdc.4016:itc</v>
      </c>
      <c r="G181" s="8">
        <f t="shared" si="5"/>
        <v>42631.828541666669</v>
      </c>
    </row>
    <row r="182" spans="1:7" x14ac:dyDescent="0.25">
      <c r="A182" s="8">
        <v>42631.833425925928</v>
      </c>
      <c r="B182" s="23" t="s">
        <v>230</v>
      </c>
      <c r="C182" s="23" t="s">
        <v>570</v>
      </c>
      <c r="D182" s="23">
        <v>2250000</v>
      </c>
      <c r="E182" s="23" t="s">
        <v>512</v>
      </c>
      <c r="F182" s="23" t="str">
        <f t="shared" si="4"/>
        <v>rtdc.l.rtdc.4018:itc</v>
      </c>
      <c r="G182" s="8">
        <f t="shared" si="5"/>
        <v>42631.833425925928</v>
      </c>
    </row>
    <row r="183" spans="1:7" x14ac:dyDescent="0.25">
      <c r="A183" s="8">
        <v>42631.83693287037</v>
      </c>
      <c r="B183" s="23" t="s">
        <v>301</v>
      </c>
      <c r="C183" s="23" t="s">
        <v>571</v>
      </c>
      <c r="D183" s="23">
        <v>2280000</v>
      </c>
      <c r="E183" s="23" t="s">
        <v>572</v>
      </c>
      <c r="F183" s="23" t="str">
        <f t="shared" si="4"/>
        <v>rtdc.l.rtdc.4037:itc</v>
      </c>
      <c r="G183" s="8">
        <f t="shared" si="5"/>
        <v>42631.83693287037</v>
      </c>
    </row>
    <row r="184" spans="1:7" x14ac:dyDescent="0.25">
      <c r="A184" s="8">
        <v>42631.847222222219</v>
      </c>
      <c r="B184" s="23" t="s">
        <v>344</v>
      </c>
      <c r="C184" s="23" t="s">
        <v>573</v>
      </c>
      <c r="D184" s="23">
        <v>1290000</v>
      </c>
      <c r="E184" s="23" t="s">
        <v>173</v>
      </c>
      <c r="F184" s="23" t="str">
        <f t="shared" si="4"/>
        <v>rtdc.l.rtdc.4028:itc</v>
      </c>
      <c r="G184" s="8">
        <f t="shared" si="5"/>
        <v>42631.847222222219</v>
      </c>
    </row>
    <row r="185" spans="1:7" x14ac:dyDescent="0.25">
      <c r="A185" s="8">
        <v>42631.852476851855</v>
      </c>
      <c r="B185" s="23" t="s">
        <v>128</v>
      </c>
      <c r="C185" s="23" t="s">
        <v>574</v>
      </c>
      <c r="D185" s="23">
        <v>1800000</v>
      </c>
      <c r="E185" s="23" t="s">
        <v>305</v>
      </c>
      <c r="F185" s="23" t="str">
        <f t="shared" si="4"/>
        <v>rtdc.l.rtdc.4009:itc</v>
      </c>
      <c r="G185" s="8">
        <f t="shared" si="5"/>
        <v>42631.852476851855</v>
      </c>
    </row>
    <row r="186" spans="1:7" x14ac:dyDescent="0.25">
      <c r="A186" s="8">
        <v>42631.853356481479</v>
      </c>
      <c r="B186" s="23" t="s">
        <v>488</v>
      </c>
      <c r="C186" s="23" t="s">
        <v>575</v>
      </c>
      <c r="D186" s="23">
        <v>2150000</v>
      </c>
      <c r="E186" s="23" t="s">
        <v>558</v>
      </c>
      <c r="F186" s="23" t="str">
        <f t="shared" si="4"/>
        <v>rtdc.l.rtdc.4014:itc</v>
      </c>
      <c r="G186" s="8">
        <f t="shared" si="5"/>
        <v>42631.853356481479</v>
      </c>
    </row>
    <row r="187" spans="1:7" x14ac:dyDescent="0.25">
      <c r="A187" s="8">
        <v>42631.860243055555</v>
      </c>
      <c r="B187" s="23" t="s">
        <v>407</v>
      </c>
      <c r="C187" s="23" t="s">
        <v>576</v>
      </c>
      <c r="D187" s="23">
        <v>1810000</v>
      </c>
      <c r="E187" s="23" t="s">
        <v>294</v>
      </c>
      <c r="F187" s="23" t="str">
        <f t="shared" si="4"/>
        <v>rtdc.l.rtdc.4015:itc</v>
      </c>
      <c r="G187" s="8">
        <f t="shared" si="5"/>
        <v>42631.860243055555</v>
      </c>
    </row>
    <row r="188" spans="1:7" x14ac:dyDescent="0.25">
      <c r="A188" s="8">
        <v>42631.860277777778</v>
      </c>
      <c r="B188" s="23" t="s">
        <v>255</v>
      </c>
      <c r="C188" s="23" t="s">
        <v>577</v>
      </c>
      <c r="D188" s="23">
        <v>2250000</v>
      </c>
      <c r="E188" s="23" t="s">
        <v>512</v>
      </c>
      <c r="F188" s="23" t="str">
        <f t="shared" si="4"/>
        <v>rtdc.l.rtdc.4017:itc</v>
      </c>
      <c r="G188" s="8">
        <f t="shared" si="5"/>
        <v>42631.860277777778</v>
      </c>
    </row>
    <row r="189" spans="1:7" x14ac:dyDescent="0.25">
      <c r="A189" s="8">
        <v>42631.862708333334</v>
      </c>
      <c r="B189" s="23" t="s">
        <v>164</v>
      </c>
      <c r="C189" s="23" t="s">
        <v>578</v>
      </c>
      <c r="D189" s="23">
        <v>2230000</v>
      </c>
      <c r="E189" s="23" t="s">
        <v>567</v>
      </c>
      <c r="F189" s="23" t="str">
        <f t="shared" si="4"/>
        <v>rtdc.l.rtdc.4019:itc</v>
      </c>
      <c r="G189" s="8">
        <f t="shared" si="5"/>
        <v>42631.862708333334</v>
      </c>
    </row>
    <row r="190" spans="1:7" x14ac:dyDescent="0.25">
      <c r="A190" s="8">
        <v>42631.871377314812</v>
      </c>
      <c r="B190" s="23" t="s">
        <v>258</v>
      </c>
      <c r="C190" s="23" t="s">
        <v>579</v>
      </c>
      <c r="D190" s="23">
        <v>1180000</v>
      </c>
      <c r="E190" s="23" t="s">
        <v>541</v>
      </c>
      <c r="F190" s="23" t="str">
        <f t="shared" si="4"/>
        <v>rtdc.l.rtdc.4044:itc</v>
      </c>
      <c r="G190" s="8">
        <f t="shared" si="5"/>
        <v>42631.871377314812</v>
      </c>
    </row>
    <row r="191" spans="1:7" x14ac:dyDescent="0.25">
      <c r="A191" s="8">
        <v>42631.875393518516</v>
      </c>
      <c r="B191" s="23" t="s">
        <v>230</v>
      </c>
      <c r="C191" s="23" t="s">
        <v>580</v>
      </c>
      <c r="D191" s="23">
        <v>2250000</v>
      </c>
      <c r="E191" s="23" t="s">
        <v>512</v>
      </c>
      <c r="F191" s="23" t="str">
        <f t="shared" si="4"/>
        <v>rtdc.l.rtdc.4018:itc</v>
      </c>
      <c r="G191" s="8">
        <f t="shared" si="5"/>
        <v>42631.875393518516</v>
      </c>
    </row>
    <row r="192" spans="1:7" x14ac:dyDescent="0.25">
      <c r="A192" s="8">
        <v>42631.877129629633</v>
      </c>
      <c r="B192" s="23" t="s">
        <v>298</v>
      </c>
      <c r="C192" s="23" t="s">
        <v>581</v>
      </c>
      <c r="D192" s="23">
        <v>2280000</v>
      </c>
      <c r="E192" s="23" t="s">
        <v>572</v>
      </c>
      <c r="F192" s="23" t="str">
        <f t="shared" si="4"/>
        <v>rtdc.l.rtdc.4038:itc</v>
      </c>
      <c r="G192" s="8">
        <f t="shared" si="5"/>
        <v>42631.877129629633</v>
      </c>
    </row>
    <row r="193" spans="1:7" x14ac:dyDescent="0.25">
      <c r="A193" s="8">
        <v>42631.891145833331</v>
      </c>
      <c r="B193" s="23" t="s">
        <v>177</v>
      </c>
      <c r="C193" s="23" t="s">
        <v>582</v>
      </c>
      <c r="D193" s="23">
        <v>1800000</v>
      </c>
      <c r="E193" s="23" t="s">
        <v>305</v>
      </c>
      <c r="F193" s="23" t="str">
        <f t="shared" si="4"/>
        <v>rtdc.l.rtdc.4010:itc</v>
      </c>
      <c r="G193" s="8">
        <f t="shared" si="5"/>
        <v>42631.891145833331</v>
      </c>
    </row>
    <row r="194" spans="1:7" x14ac:dyDescent="0.25">
      <c r="A194" s="8">
        <v>42631.892557870371</v>
      </c>
      <c r="B194" s="23" t="s">
        <v>347</v>
      </c>
      <c r="C194" s="23" t="s">
        <v>583</v>
      </c>
      <c r="D194" s="23">
        <v>1290000</v>
      </c>
      <c r="E194" s="23" t="s">
        <v>173</v>
      </c>
      <c r="F194" s="23" t="str">
        <f t="shared" ref="F194:F235" si="6">B194</f>
        <v>rtdc.l.rtdc.4027:itc</v>
      </c>
      <c r="G194" s="8">
        <f t="shared" ref="G194:G235" si="7">A194</f>
        <v>42631.892557870371</v>
      </c>
    </row>
    <row r="195" spans="1:7" x14ac:dyDescent="0.25">
      <c r="A195" s="8">
        <v>42631.896053240744</v>
      </c>
      <c r="B195" s="23" t="s">
        <v>165</v>
      </c>
      <c r="C195" s="23" t="s">
        <v>584</v>
      </c>
      <c r="D195" s="23">
        <v>2230000</v>
      </c>
      <c r="E195" s="23" t="s">
        <v>567</v>
      </c>
      <c r="F195" s="23" t="str">
        <f t="shared" si="6"/>
        <v>rtdc.l.rtdc.4020:itc</v>
      </c>
      <c r="G195" s="8">
        <f t="shared" si="7"/>
        <v>42631.896053240744</v>
      </c>
    </row>
    <row r="196" spans="1:7" x14ac:dyDescent="0.25">
      <c r="A196" s="8">
        <v>42631.90148148148</v>
      </c>
      <c r="B196" s="23" t="s">
        <v>255</v>
      </c>
      <c r="C196" s="23" t="s">
        <v>585</v>
      </c>
      <c r="D196" s="23">
        <v>2250000</v>
      </c>
      <c r="E196" s="23" t="s">
        <v>512</v>
      </c>
      <c r="F196" s="23" t="str">
        <f t="shared" si="6"/>
        <v>rtdc.l.rtdc.4017:itc</v>
      </c>
      <c r="G196" s="8">
        <f t="shared" si="7"/>
        <v>42631.90148148148</v>
      </c>
    </row>
    <row r="197" spans="1:7" x14ac:dyDescent="0.25">
      <c r="A197" s="8">
        <v>42631.902754629627</v>
      </c>
      <c r="B197" s="23" t="s">
        <v>165</v>
      </c>
      <c r="C197" s="23" t="s">
        <v>584</v>
      </c>
      <c r="D197" s="23">
        <v>2230000</v>
      </c>
      <c r="E197" s="23" t="s">
        <v>567</v>
      </c>
      <c r="F197" s="23" t="str">
        <f t="shared" si="6"/>
        <v>rtdc.l.rtdc.4020:itc</v>
      </c>
      <c r="G197" s="8">
        <f t="shared" si="7"/>
        <v>42631.902754629627</v>
      </c>
    </row>
    <row r="198" spans="1:7" x14ac:dyDescent="0.25">
      <c r="A198" s="8">
        <v>42631.908055555556</v>
      </c>
      <c r="B198" s="23" t="s">
        <v>261</v>
      </c>
      <c r="C198" s="23" t="s">
        <v>586</v>
      </c>
      <c r="D198" s="23">
        <v>1180000</v>
      </c>
      <c r="E198" s="23" t="s">
        <v>541</v>
      </c>
      <c r="F198" s="23" t="str">
        <f t="shared" si="6"/>
        <v>rtdc.l.rtdc.4043:itc</v>
      </c>
      <c r="G198" s="8">
        <f t="shared" si="7"/>
        <v>42631.908055555556</v>
      </c>
    </row>
    <row r="199" spans="1:7" x14ac:dyDescent="0.25">
      <c r="A199" s="8">
        <v>42631.912268518521</v>
      </c>
      <c r="B199" s="23" t="s">
        <v>229</v>
      </c>
      <c r="C199" s="23" t="s">
        <v>426</v>
      </c>
      <c r="D199" s="23">
        <v>1810000</v>
      </c>
      <c r="E199" s="23" t="s">
        <v>294</v>
      </c>
      <c r="F199" s="23" t="str">
        <f t="shared" si="6"/>
        <v>rtdc.l.rtdc.4016:itc</v>
      </c>
      <c r="G199" s="8">
        <f t="shared" si="7"/>
        <v>42631.912268518521</v>
      </c>
    </row>
    <row r="200" spans="1:7" x14ac:dyDescent="0.25">
      <c r="A200" s="8">
        <v>42631.917129629626</v>
      </c>
      <c r="B200" s="23" t="s">
        <v>230</v>
      </c>
      <c r="C200" s="23" t="s">
        <v>587</v>
      </c>
      <c r="D200" s="23">
        <v>2250000</v>
      </c>
      <c r="E200" s="23" t="s">
        <v>512</v>
      </c>
      <c r="F200" s="23" t="str">
        <f t="shared" si="6"/>
        <v>rtdc.l.rtdc.4018:itc</v>
      </c>
      <c r="G200" s="8">
        <f t="shared" si="7"/>
        <v>42631.917129629626</v>
      </c>
    </row>
    <row r="201" spans="1:7" x14ac:dyDescent="0.25">
      <c r="A201" s="8">
        <v>42631.93109953704</v>
      </c>
      <c r="B201" s="23" t="s">
        <v>344</v>
      </c>
      <c r="C201" s="23" t="s">
        <v>588</v>
      </c>
      <c r="D201" s="23">
        <v>1290000</v>
      </c>
      <c r="E201" s="23" t="s">
        <v>173</v>
      </c>
      <c r="F201" s="23" t="str">
        <f t="shared" si="6"/>
        <v>rtdc.l.rtdc.4028:itc</v>
      </c>
      <c r="G201" s="8">
        <f t="shared" si="7"/>
        <v>42631.93109953704</v>
      </c>
    </row>
    <row r="202" spans="1:7" x14ac:dyDescent="0.25">
      <c r="A202" s="29">
        <v>42631.937824074077</v>
      </c>
      <c r="B202" s="23" t="s">
        <v>128</v>
      </c>
      <c r="C202" s="23" t="s">
        <v>589</v>
      </c>
      <c r="D202" s="23">
        <v>1800000</v>
      </c>
      <c r="E202" s="23" t="s">
        <v>305</v>
      </c>
      <c r="F202" s="23" t="str">
        <f t="shared" si="6"/>
        <v>rtdc.l.rtdc.4009:itc</v>
      </c>
      <c r="G202" s="8">
        <f t="shared" si="7"/>
        <v>42631.937824074077</v>
      </c>
    </row>
    <row r="203" spans="1:7" x14ac:dyDescent="0.25">
      <c r="A203" s="8">
        <v>42631.943460648145</v>
      </c>
      <c r="B203" s="23" t="s">
        <v>255</v>
      </c>
      <c r="C203" s="23" t="s">
        <v>590</v>
      </c>
      <c r="D203" s="23">
        <v>2250000</v>
      </c>
      <c r="E203" s="23" t="s">
        <v>512</v>
      </c>
      <c r="F203" s="23" t="str">
        <f t="shared" si="6"/>
        <v>rtdc.l.rtdc.4017:itc</v>
      </c>
      <c r="G203" s="8">
        <f t="shared" si="7"/>
        <v>42631.943460648145</v>
      </c>
    </row>
    <row r="204" spans="1:7" x14ac:dyDescent="0.25">
      <c r="A204" s="8">
        <v>42631.951307870368</v>
      </c>
      <c r="B204" s="23" t="s">
        <v>407</v>
      </c>
      <c r="C204" s="23" t="s">
        <v>591</v>
      </c>
      <c r="D204" s="23">
        <v>1810000</v>
      </c>
      <c r="E204" s="23" t="s">
        <v>294</v>
      </c>
      <c r="F204" s="23" t="str">
        <f t="shared" si="6"/>
        <v>rtdc.l.rtdc.4015:itc</v>
      </c>
      <c r="G204" s="8">
        <f t="shared" si="7"/>
        <v>42631.951307870368</v>
      </c>
    </row>
    <row r="205" spans="1:7" x14ac:dyDescent="0.25">
      <c r="A205" s="8">
        <v>42631.955567129633</v>
      </c>
      <c r="B205" s="23" t="s">
        <v>258</v>
      </c>
      <c r="C205" s="23" t="s">
        <v>592</v>
      </c>
      <c r="D205" s="23">
        <v>1180000</v>
      </c>
      <c r="E205" s="23" t="s">
        <v>541</v>
      </c>
      <c r="F205" s="23" t="str">
        <f t="shared" si="6"/>
        <v>rtdc.l.rtdc.4044:itc</v>
      </c>
      <c r="G205" s="8">
        <f t="shared" si="7"/>
        <v>42631.955567129633</v>
      </c>
    </row>
    <row r="206" spans="1:7" x14ac:dyDescent="0.25">
      <c r="A206" s="8">
        <v>42631.975335648145</v>
      </c>
      <c r="B206" s="23" t="s">
        <v>177</v>
      </c>
      <c r="C206" s="23" t="s">
        <v>593</v>
      </c>
      <c r="D206" s="23">
        <v>1800000</v>
      </c>
      <c r="E206" s="23" t="s">
        <v>305</v>
      </c>
      <c r="F206" s="23" t="str">
        <f t="shared" si="6"/>
        <v>rtdc.l.rtdc.4010:itc</v>
      </c>
      <c r="G206" s="8">
        <f t="shared" si="7"/>
        <v>42631.975335648145</v>
      </c>
    </row>
    <row r="207" spans="1:7" x14ac:dyDescent="0.25">
      <c r="A207" s="8">
        <v>42631.976261574076</v>
      </c>
      <c r="B207" s="23" t="s">
        <v>347</v>
      </c>
      <c r="C207" s="23" t="s">
        <v>594</v>
      </c>
      <c r="D207" s="23">
        <v>1290000</v>
      </c>
      <c r="E207" s="23" t="s">
        <v>173</v>
      </c>
      <c r="F207" s="23" t="str">
        <f t="shared" si="6"/>
        <v>rtdc.l.rtdc.4027:itc</v>
      </c>
      <c r="G207" s="8">
        <f t="shared" si="7"/>
        <v>42631.976261574076</v>
      </c>
    </row>
    <row r="208" spans="1:7" x14ac:dyDescent="0.25">
      <c r="A208" s="8">
        <v>42631.992638888885</v>
      </c>
      <c r="B208" s="23" t="s">
        <v>261</v>
      </c>
      <c r="C208" s="23" t="s">
        <v>595</v>
      </c>
      <c r="D208" s="23">
        <v>1180000</v>
      </c>
      <c r="E208" s="23" t="s">
        <v>541</v>
      </c>
      <c r="F208" s="23" t="str">
        <f t="shared" si="6"/>
        <v>rtdc.l.rtdc.4043:itc</v>
      </c>
      <c r="G208" s="8">
        <f t="shared" si="7"/>
        <v>42631.992638888885</v>
      </c>
    </row>
    <row r="209" spans="1:7" x14ac:dyDescent="0.25">
      <c r="A209" s="8">
        <v>42631.995069444441</v>
      </c>
      <c r="B209" s="23" t="s">
        <v>229</v>
      </c>
      <c r="C209" s="23" t="s">
        <v>596</v>
      </c>
      <c r="D209" s="23">
        <v>1810000</v>
      </c>
      <c r="E209" s="23" t="s">
        <v>294</v>
      </c>
      <c r="F209" s="23" t="str">
        <f t="shared" si="6"/>
        <v>rtdc.l.rtdc.4016:itc</v>
      </c>
      <c r="G209" s="8">
        <f t="shared" si="7"/>
        <v>42631.995069444441</v>
      </c>
    </row>
    <row r="210" spans="1:7" x14ac:dyDescent="0.25">
      <c r="A210" s="8">
        <v>42632.015011574076</v>
      </c>
      <c r="B210" s="23" t="s">
        <v>344</v>
      </c>
      <c r="C210" s="23" t="s">
        <v>597</v>
      </c>
      <c r="D210" s="23">
        <v>1290000</v>
      </c>
      <c r="E210" s="23" t="s">
        <v>173</v>
      </c>
      <c r="F210" s="23" t="str">
        <f t="shared" si="6"/>
        <v>rtdc.l.rtdc.4028:itc</v>
      </c>
      <c r="G210" s="8">
        <f t="shared" si="7"/>
        <v>42632.015011574076</v>
      </c>
    </row>
    <row r="211" spans="1:7" x14ac:dyDescent="0.25">
      <c r="A211" s="8">
        <v>42632.020729166667</v>
      </c>
      <c r="B211" s="23" t="s">
        <v>128</v>
      </c>
      <c r="C211" s="23" t="s">
        <v>598</v>
      </c>
      <c r="D211" s="23">
        <v>1800000</v>
      </c>
      <c r="E211" s="23" t="s">
        <v>305</v>
      </c>
      <c r="F211" s="23" t="str">
        <f t="shared" si="6"/>
        <v>rtdc.l.rtdc.4009:itc</v>
      </c>
      <c r="G211" s="8">
        <f t="shared" si="7"/>
        <v>42632.020729166667</v>
      </c>
    </row>
    <row r="212" spans="1:7" x14ac:dyDescent="0.25">
      <c r="A212" s="8">
        <v>42632.02715277778</v>
      </c>
      <c r="B212" s="23" t="s">
        <v>407</v>
      </c>
      <c r="C212" s="23" t="s">
        <v>599</v>
      </c>
      <c r="D212" s="23">
        <v>1810000</v>
      </c>
      <c r="E212" s="23" t="s">
        <v>294</v>
      </c>
      <c r="F212" s="23" t="str">
        <f t="shared" si="6"/>
        <v>rtdc.l.rtdc.4015:itc</v>
      </c>
      <c r="G212" s="8">
        <f t="shared" si="7"/>
        <v>42632.02715277778</v>
      </c>
    </row>
    <row r="213" spans="1:7" x14ac:dyDescent="0.25">
      <c r="A213" s="8">
        <v>42632.028761574074</v>
      </c>
      <c r="B213" s="23" t="s">
        <v>258</v>
      </c>
      <c r="C213" s="23" t="s">
        <v>600</v>
      </c>
      <c r="D213" s="23">
        <v>1180000</v>
      </c>
      <c r="E213" s="23" t="s">
        <v>541</v>
      </c>
      <c r="F213" s="23" t="str">
        <f t="shared" si="6"/>
        <v>rtdc.l.rtdc.4044:itc</v>
      </c>
      <c r="G213" s="8">
        <f t="shared" si="7"/>
        <v>42632.028761574074</v>
      </c>
    </row>
    <row r="214" spans="1:7" x14ac:dyDescent="0.25">
      <c r="A214" s="8">
        <v>42632.029907407406</v>
      </c>
      <c r="B214" s="23" t="s">
        <v>258</v>
      </c>
      <c r="C214" s="23" t="s">
        <v>600</v>
      </c>
      <c r="D214" s="23">
        <v>1180000</v>
      </c>
      <c r="E214" s="23" t="s">
        <v>541</v>
      </c>
      <c r="F214" s="23" t="str">
        <f t="shared" si="6"/>
        <v>rtdc.l.rtdc.4044:itc</v>
      </c>
      <c r="G214" s="8">
        <f t="shared" si="7"/>
        <v>42632.029907407406</v>
      </c>
    </row>
    <row r="215" spans="1:7" x14ac:dyDescent="0.25">
      <c r="A215" s="8">
        <v>42632.045706018522</v>
      </c>
      <c r="B215" s="23" t="s">
        <v>347</v>
      </c>
      <c r="C215" s="23" t="s">
        <v>601</v>
      </c>
      <c r="D215" s="23">
        <v>1290000</v>
      </c>
      <c r="E215" s="23" t="s">
        <v>173</v>
      </c>
      <c r="F215" s="23" t="str">
        <f t="shared" si="6"/>
        <v>rtdc.l.rtdc.4027:itc</v>
      </c>
      <c r="G215" s="8">
        <f t="shared" si="7"/>
        <v>42632.045706018522</v>
      </c>
    </row>
    <row r="216" spans="1:7" x14ac:dyDescent="0.25">
      <c r="A216" s="8">
        <v>42632.046944444446</v>
      </c>
      <c r="B216" s="23" t="s">
        <v>347</v>
      </c>
      <c r="C216" s="23" t="s">
        <v>601</v>
      </c>
      <c r="D216" s="23">
        <v>1290000</v>
      </c>
      <c r="E216" s="23" t="s">
        <v>173</v>
      </c>
      <c r="F216" s="23" t="str">
        <f t="shared" si="6"/>
        <v>rtdc.l.rtdc.4027:itc</v>
      </c>
      <c r="G216" s="8">
        <f t="shared" si="7"/>
        <v>42632.046944444446</v>
      </c>
    </row>
    <row r="217" spans="1:7" x14ac:dyDescent="0.25">
      <c r="A217" s="8">
        <v>42632.058819444443</v>
      </c>
      <c r="B217" s="23" t="s">
        <v>177</v>
      </c>
      <c r="C217" s="23" t="s">
        <v>602</v>
      </c>
      <c r="D217" s="23">
        <v>1800000</v>
      </c>
      <c r="E217" s="23" t="s">
        <v>305</v>
      </c>
      <c r="F217" s="23" t="str">
        <f t="shared" si="6"/>
        <v>rtdc.l.rtdc.4010:itc</v>
      </c>
      <c r="G217" s="8">
        <f t="shared" si="7"/>
        <v>42632.058819444443</v>
      </c>
    </row>
    <row r="218" spans="1:7" x14ac:dyDescent="0.25">
      <c r="A218" s="8">
        <v>42632.068738425929</v>
      </c>
      <c r="B218" s="23" t="s">
        <v>229</v>
      </c>
      <c r="C218" s="23" t="s">
        <v>603</v>
      </c>
      <c r="D218" s="23">
        <v>1810000</v>
      </c>
      <c r="E218" s="23" t="s">
        <v>294</v>
      </c>
      <c r="F218" s="23" t="str">
        <f t="shared" si="6"/>
        <v>rtdc.l.rtdc.4016:itc</v>
      </c>
      <c r="G218" s="8">
        <f t="shared" si="7"/>
        <v>42632.068738425929</v>
      </c>
    </row>
    <row r="219" spans="1:7" x14ac:dyDescent="0.25">
      <c r="A219" s="8">
        <v>42632.08971064815</v>
      </c>
      <c r="B219" s="23" t="s">
        <v>128</v>
      </c>
      <c r="C219" s="23" t="s">
        <v>604</v>
      </c>
      <c r="D219" s="23">
        <v>1800000</v>
      </c>
      <c r="E219" s="23" t="s">
        <v>305</v>
      </c>
      <c r="F219" s="23" t="str">
        <f t="shared" si="6"/>
        <v>rtdc.l.rtdc.4009:itc</v>
      </c>
      <c r="G219" s="8">
        <f t="shared" si="7"/>
        <v>42632.08971064815</v>
      </c>
    </row>
    <row r="220" spans="1:7" x14ac:dyDescent="0.25">
      <c r="A220" s="8">
        <v>42632.090763888889</v>
      </c>
      <c r="B220" s="23" t="s">
        <v>128</v>
      </c>
      <c r="C220" s="23" t="s">
        <v>604</v>
      </c>
      <c r="D220" s="23">
        <v>1800000</v>
      </c>
      <c r="E220" s="23" t="s">
        <v>305</v>
      </c>
      <c r="F220" s="23" t="str">
        <f t="shared" si="6"/>
        <v>rtdc.l.rtdc.4009:itc</v>
      </c>
      <c r="G220" s="8">
        <f t="shared" si="7"/>
        <v>42632.090763888889</v>
      </c>
    </row>
    <row r="221" spans="1:7" x14ac:dyDescent="0.25">
      <c r="B221" s="23"/>
      <c r="C221" s="23"/>
      <c r="D221" s="23"/>
      <c r="E221" s="23"/>
      <c r="F221" s="23">
        <f t="shared" si="6"/>
        <v>0</v>
      </c>
      <c r="G221" s="8">
        <f t="shared" si="7"/>
        <v>0</v>
      </c>
    </row>
    <row r="222" spans="1:7" x14ac:dyDescent="0.25">
      <c r="A222" s="8">
        <v>42629.953993055555</v>
      </c>
      <c r="B222" s="23" t="s">
        <v>261</v>
      </c>
      <c r="C222" s="23" t="s">
        <v>306</v>
      </c>
      <c r="D222" s="23">
        <v>1800000</v>
      </c>
      <c r="E222" s="23" t="s">
        <v>305</v>
      </c>
      <c r="F222" s="23" t="str">
        <f t="shared" si="6"/>
        <v>rtdc.l.rtdc.4043:itc</v>
      </c>
      <c r="G222" s="8">
        <f t="shared" si="7"/>
        <v>42629.953993055555</v>
      </c>
    </row>
    <row r="223" spans="1:7" x14ac:dyDescent="0.25">
      <c r="A223" s="8">
        <v>42629.97152777778</v>
      </c>
      <c r="B223" s="23" t="s">
        <v>177</v>
      </c>
      <c r="C223" s="23" t="s">
        <v>307</v>
      </c>
      <c r="D223" s="23">
        <v>1480000</v>
      </c>
      <c r="E223" s="23" t="s">
        <v>263</v>
      </c>
      <c r="F223" s="23" t="str">
        <f t="shared" si="6"/>
        <v>rtdc.l.rtdc.4010:itc</v>
      </c>
      <c r="G223" s="8">
        <f t="shared" si="7"/>
        <v>42629.97152777778</v>
      </c>
    </row>
    <row r="224" spans="1:7" x14ac:dyDescent="0.25">
      <c r="A224" s="8">
        <v>42629.975023148145</v>
      </c>
      <c r="B224" t="s">
        <v>298</v>
      </c>
      <c r="C224" t="s">
        <v>308</v>
      </c>
      <c r="D224">
        <v>1230000</v>
      </c>
      <c r="E224" t="s">
        <v>304</v>
      </c>
      <c r="F224" s="23" t="str">
        <f t="shared" si="6"/>
        <v>rtdc.l.rtdc.4038:itc</v>
      </c>
      <c r="G224" s="8">
        <f t="shared" si="7"/>
        <v>42629.975023148145</v>
      </c>
    </row>
    <row r="225" spans="1:7" x14ac:dyDescent="0.25">
      <c r="A225" s="8">
        <v>42629.991770833331</v>
      </c>
      <c r="B225" t="s">
        <v>298</v>
      </c>
      <c r="C225" t="s">
        <v>308</v>
      </c>
      <c r="D225">
        <v>1230000</v>
      </c>
      <c r="E225" t="s">
        <v>304</v>
      </c>
      <c r="F225" s="23" t="str">
        <f t="shared" si="6"/>
        <v>rtdc.l.rtdc.4038:itc</v>
      </c>
      <c r="G225" s="8">
        <f t="shared" si="7"/>
        <v>42629.991770833331</v>
      </c>
    </row>
    <row r="226" spans="1:7" x14ac:dyDescent="0.25">
      <c r="A226" s="8">
        <v>42629.991967592592</v>
      </c>
      <c r="B226" t="s">
        <v>300</v>
      </c>
      <c r="C226" t="s">
        <v>309</v>
      </c>
      <c r="D226">
        <v>1300000</v>
      </c>
      <c r="E226" t="s">
        <v>121</v>
      </c>
      <c r="F226" s="23" t="str">
        <f t="shared" si="6"/>
        <v>rtdc.l.rtdc.4004:itc</v>
      </c>
      <c r="G226" s="8">
        <f t="shared" si="7"/>
        <v>42629.991967592592</v>
      </c>
    </row>
    <row r="227" spans="1:7" x14ac:dyDescent="0.25">
      <c r="A227" s="8">
        <v>42629.996574074074</v>
      </c>
      <c r="B227" t="s">
        <v>258</v>
      </c>
      <c r="C227" t="s">
        <v>310</v>
      </c>
      <c r="D227">
        <v>1800000</v>
      </c>
      <c r="E227" t="s">
        <v>305</v>
      </c>
      <c r="F227" s="23" t="str">
        <f t="shared" si="6"/>
        <v>rtdc.l.rtdc.4044:itc</v>
      </c>
      <c r="G227" s="8">
        <f t="shared" si="7"/>
        <v>42629.996574074074</v>
      </c>
    </row>
    <row r="228" spans="1:7" x14ac:dyDescent="0.25">
      <c r="A228" s="8">
        <v>42630.002569444441</v>
      </c>
      <c r="B228" t="s">
        <v>177</v>
      </c>
      <c r="C228" t="s">
        <v>307</v>
      </c>
      <c r="D228">
        <v>1480000</v>
      </c>
      <c r="E228" t="s">
        <v>263</v>
      </c>
      <c r="F228" s="23" t="str">
        <f t="shared" si="6"/>
        <v>rtdc.l.rtdc.4010:itc</v>
      </c>
      <c r="G228" s="8">
        <f t="shared" si="7"/>
        <v>42630.002569444441</v>
      </c>
    </row>
    <row r="229" spans="1:7" x14ac:dyDescent="0.25">
      <c r="A229" s="8">
        <v>42630.011365740742</v>
      </c>
      <c r="B229" t="s">
        <v>301</v>
      </c>
      <c r="C229" t="s">
        <v>311</v>
      </c>
      <c r="D229">
        <v>1230000</v>
      </c>
      <c r="E229" t="s">
        <v>304</v>
      </c>
      <c r="F229" s="23" t="str">
        <f t="shared" si="6"/>
        <v>rtdc.l.rtdc.4037:itc</v>
      </c>
      <c r="G229" s="8">
        <f t="shared" si="7"/>
        <v>42630.011365740742</v>
      </c>
    </row>
    <row r="230" spans="1:7" x14ac:dyDescent="0.25">
      <c r="A230" s="8">
        <v>42630.014675925922</v>
      </c>
      <c r="B230" t="s">
        <v>128</v>
      </c>
      <c r="C230" t="s">
        <v>312</v>
      </c>
      <c r="D230">
        <v>1480000</v>
      </c>
      <c r="E230" t="s">
        <v>263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297</v>
      </c>
      <c r="C231" t="s">
        <v>313</v>
      </c>
      <c r="D231">
        <v>1300000</v>
      </c>
      <c r="E231" t="s">
        <v>121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261</v>
      </c>
      <c r="C232" t="s">
        <v>314</v>
      </c>
      <c r="D232">
        <v>1800000</v>
      </c>
      <c r="E232" t="s">
        <v>305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298</v>
      </c>
      <c r="C233" t="s">
        <v>315</v>
      </c>
      <c r="D233">
        <v>1230000</v>
      </c>
      <c r="E233" t="s">
        <v>304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177</v>
      </c>
      <c r="C234" t="s">
        <v>316</v>
      </c>
      <c r="D234">
        <v>1480000</v>
      </c>
      <c r="E234" t="s">
        <v>263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300</v>
      </c>
      <c r="C235" t="s">
        <v>317</v>
      </c>
      <c r="D235">
        <v>1300000</v>
      </c>
      <c r="E235" t="s">
        <v>121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258</v>
      </c>
      <c r="C236" t="s">
        <v>318</v>
      </c>
      <c r="D236">
        <v>1800000</v>
      </c>
      <c r="E236" t="s">
        <v>305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128</v>
      </c>
      <c r="C237" t="s">
        <v>319</v>
      </c>
      <c r="D237">
        <v>1480000</v>
      </c>
      <c r="E237" t="s">
        <v>263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297</v>
      </c>
      <c r="C238" t="s">
        <v>320</v>
      </c>
      <c r="D238">
        <v>1300000</v>
      </c>
      <c r="E238" t="s">
        <v>121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34" sqref="I34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204</v>
      </c>
      <c r="B1" s="155" t="s">
        <v>207</v>
      </c>
      <c r="C1" s="155" t="s">
        <v>200</v>
      </c>
      <c r="D1" s="155" t="s">
        <v>237</v>
      </c>
      <c r="E1" s="155" t="s">
        <v>201</v>
      </c>
      <c r="F1" s="155" t="s">
        <v>199</v>
      </c>
      <c r="G1" s="155" t="s">
        <v>197</v>
      </c>
      <c r="H1" s="155" t="s">
        <v>210</v>
      </c>
      <c r="I1" s="155" t="s">
        <v>211</v>
      </c>
      <c r="J1" s="155" t="s">
        <v>205</v>
      </c>
      <c r="K1" s="155" t="s">
        <v>203</v>
      </c>
      <c r="L1" s="155" t="s">
        <v>198</v>
      </c>
      <c r="M1" s="155" t="s">
        <v>208</v>
      </c>
      <c r="N1" s="155" t="s">
        <v>202</v>
      </c>
      <c r="O1" s="155" t="s">
        <v>209</v>
      </c>
      <c r="P1" s="155" t="s">
        <v>206</v>
      </c>
      <c r="Q1" s="155" t="s">
        <v>206</v>
      </c>
    </row>
    <row r="2" spans="1:17" x14ac:dyDescent="0.25">
      <c r="A2" s="154">
        <v>58.17</v>
      </c>
      <c r="B2" s="154">
        <v>0.08</v>
      </c>
      <c r="C2" s="154">
        <v>32.26</v>
      </c>
      <c r="D2" s="169">
        <v>42631</v>
      </c>
      <c r="E2" s="154">
        <v>0.37</v>
      </c>
      <c r="F2" s="154" t="s">
        <v>270</v>
      </c>
      <c r="G2" s="154">
        <v>281.14</v>
      </c>
      <c r="H2" s="154">
        <v>0</v>
      </c>
      <c r="I2" s="154">
        <v>0</v>
      </c>
      <c r="J2" s="154">
        <v>1016.05</v>
      </c>
      <c r="K2" s="154" t="s">
        <v>271</v>
      </c>
      <c r="L2" s="154">
        <v>58.17</v>
      </c>
      <c r="M2" s="154">
        <v>1474178400</v>
      </c>
      <c r="N2" s="154">
        <v>9.14</v>
      </c>
      <c r="O2" s="154">
        <v>218</v>
      </c>
      <c r="P2" s="154">
        <v>4.46</v>
      </c>
      <c r="Q2" s="154">
        <v>0.61</v>
      </c>
    </row>
    <row r="3" spans="1:17" x14ac:dyDescent="0.25">
      <c r="A3" s="154">
        <v>56.34</v>
      </c>
      <c r="B3" s="154">
        <v>0.02</v>
      </c>
      <c r="C3" s="154">
        <v>31.03</v>
      </c>
      <c r="D3" s="169">
        <v>42631.041666666664</v>
      </c>
      <c r="E3" s="154">
        <v>0.38</v>
      </c>
      <c r="F3" s="154" t="s">
        <v>270</v>
      </c>
      <c r="G3" s="154">
        <v>280.16000000000003</v>
      </c>
      <c r="H3" s="154">
        <v>0</v>
      </c>
      <c r="I3" s="154">
        <v>0</v>
      </c>
      <c r="J3" s="154">
        <v>1016.49</v>
      </c>
      <c r="K3" s="154" t="s">
        <v>271</v>
      </c>
      <c r="L3" s="154">
        <v>56.34</v>
      </c>
      <c r="M3" s="154">
        <v>1474182000</v>
      </c>
      <c r="N3" s="154">
        <v>9.24</v>
      </c>
      <c r="O3" s="154">
        <v>225</v>
      </c>
      <c r="P3" s="154">
        <v>4.54</v>
      </c>
      <c r="Q3" s="154">
        <v>0.95</v>
      </c>
    </row>
    <row r="4" spans="1:17" x14ac:dyDescent="0.25">
      <c r="A4" s="154">
        <v>55.44</v>
      </c>
      <c r="B4" s="154">
        <v>0.02</v>
      </c>
      <c r="C4" s="154">
        <v>30.26</v>
      </c>
      <c r="D4" s="169">
        <v>42631.083333333336</v>
      </c>
      <c r="E4" s="154">
        <v>0.38</v>
      </c>
      <c r="F4" s="154" t="s">
        <v>270</v>
      </c>
      <c r="G4" s="154">
        <v>279.18</v>
      </c>
      <c r="H4" s="154">
        <v>0</v>
      </c>
      <c r="I4" s="154">
        <v>0</v>
      </c>
      <c r="J4" s="154">
        <v>1016.88</v>
      </c>
      <c r="K4" s="154" t="s">
        <v>271</v>
      </c>
      <c r="L4" s="154">
        <v>55.44</v>
      </c>
      <c r="M4" s="154">
        <v>1474185600</v>
      </c>
      <c r="N4" s="154">
        <v>9.26</v>
      </c>
      <c r="O4" s="154">
        <v>230</v>
      </c>
      <c r="P4" s="154">
        <v>4.54</v>
      </c>
      <c r="Q4" s="154">
        <v>1.58</v>
      </c>
    </row>
    <row r="5" spans="1:17" x14ac:dyDescent="0.25">
      <c r="A5" s="154">
        <v>53.94</v>
      </c>
      <c r="B5" s="154">
        <v>0.02</v>
      </c>
      <c r="C5" s="154">
        <v>28.57</v>
      </c>
      <c r="D5" s="169">
        <v>42631.125</v>
      </c>
      <c r="E5" s="154">
        <v>0.37</v>
      </c>
      <c r="F5" s="154" t="s">
        <v>270</v>
      </c>
      <c r="G5" s="154">
        <v>278.19</v>
      </c>
      <c r="H5" s="154">
        <v>0</v>
      </c>
      <c r="I5" s="154">
        <v>0</v>
      </c>
      <c r="J5" s="154">
        <v>1017.24</v>
      </c>
      <c r="K5" s="154" t="s">
        <v>271</v>
      </c>
      <c r="L5" s="154">
        <v>53.94</v>
      </c>
      <c r="M5" s="154">
        <v>1474189200</v>
      </c>
      <c r="N5" s="154">
        <v>9.1999999999999993</v>
      </c>
      <c r="O5" s="154">
        <v>233</v>
      </c>
      <c r="P5" s="154">
        <v>4.8099999999999996</v>
      </c>
      <c r="Q5" s="154">
        <v>1.84</v>
      </c>
    </row>
    <row r="6" spans="1:17" x14ac:dyDescent="0.25">
      <c r="A6" s="154">
        <v>52.88</v>
      </c>
      <c r="B6" s="154">
        <v>0.02</v>
      </c>
      <c r="C6" s="154">
        <v>27.66</v>
      </c>
      <c r="D6" s="169">
        <v>42631.166666666664</v>
      </c>
      <c r="E6" s="154">
        <v>0.38</v>
      </c>
      <c r="F6" s="154" t="s">
        <v>270</v>
      </c>
      <c r="G6" s="154">
        <v>277.14</v>
      </c>
      <c r="H6" s="154">
        <v>0</v>
      </c>
      <c r="I6" s="154">
        <v>0</v>
      </c>
      <c r="J6" s="154">
        <v>1016.83</v>
      </c>
      <c r="K6" s="154" t="s">
        <v>271</v>
      </c>
      <c r="L6" s="154">
        <v>52.88</v>
      </c>
      <c r="M6" s="154">
        <v>1474192800</v>
      </c>
      <c r="N6" s="154">
        <v>9.2799999999999994</v>
      </c>
      <c r="O6" s="154">
        <v>232</v>
      </c>
      <c r="P6" s="154">
        <v>4.33</v>
      </c>
      <c r="Q6" s="154">
        <v>2.68</v>
      </c>
    </row>
    <row r="7" spans="1:17" x14ac:dyDescent="0.25">
      <c r="A7" s="154">
        <v>52.12</v>
      </c>
      <c r="B7" s="154">
        <v>0.06</v>
      </c>
      <c r="C7" s="154">
        <v>27.22</v>
      </c>
      <c r="D7" s="169">
        <v>42631.208333333336</v>
      </c>
      <c r="E7" s="154">
        <v>0.38</v>
      </c>
      <c r="F7" s="154" t="s">
        <v>270</v>
      </c>
      <c r="G7" s="154">
        <v>276.08999999999997</v>
      </c>
      <c r="H7" s="154">
        <v>0</v>
      </c>
      <c r="I7" s="154">
        <v>0</v>
      </c>
      <c r="J7" s="154">
        <v>1015.99</v>
      </c>
      <c r="K7" s="154" t="s">
        <v>271</v>
      </c>
      <c r="L7" s="154">
        <v>52.12</v>
      </c>
      <c r="M7" s="154">
        <v>1474196400</v>
      </c>
      <c r="N7" s="154">
        <v>9.2100000000000009</v>
      </c>
      <c r="O7" s="154">
        <v>225</v>
      </c>
      <c r="P7" s="154">
        <v>4.2699999999999996</v>
      </c>
      <c r="Q7" s="154">
        <v>3.47</v>
      </c>
    </row>
    <row r="8" spans="1:17" x14ac:dyDescent="0.25">
      <c r="A8" s="154">
        <v>52.67</v>
      </c>
      <c r="B8" s="154">
        <v>0.09</v>
      </c>
      <c r="C8" s="154">
        <v>27.9</v>
      </c>
      <c r="D8" s="169">
        <v>42631.25</v>
      </c>
      <c r="E8" s="154">
        <v>0.38</v>
      </c>
      <c r="F8" s="154" t="s">
        <v>270</v>
      </c>
      <c r="G8" s="154">
        <v>275.3</v>
      </c>
      <c r="H8" s="154">
        <v>0</v>
      </c>
      <c r="I8" s="154">
        <v>0</v>
      </c>
      <c r="J8" s="154">
        <v>1015.4</v>
      </c>
      <c r="K8" s="154" t="s">
        <v>271</v>
      </c>
      <c r="L8" s="154">
        <v>52.67</v>
      </c>
      <c r="M8" s="154">
        <v>1474200000</v>
      </c>
      <c r="N8" s="154">
        <v>8.81</v>
      </c>
      <c r="O8" s="154">
        <v>232</v>
      </c>
      <c r="P8" s="154">
        <v>4.6399999999999997</v>
      </c>
      <c r="Q8" s="154">
        <v>2.65</v>
      </c>
    </row>
    <row r="9" spans="1:17" x14ac:dyDescent="0.25">
      <c r="A9" s="154">
        <v>54.33</v>
      </c>
      <c r="B9" s="154">
        <v>0.09</v>
      </c>
      <c r="C9" s="154">
        <v>28.73</v>
      </c>
      <c r="D9" s="169">
        <v>42631.291666666664</v>
      </c>
      <c r="E9" s="154">
        <v>0.37</v>
      </c>
      <c r="F9" s="154" t="s">
        <v>296</v>
      </c>
      <c r="G9" s="154">
        <v>275</v>
      </c>
      <c r="H9" s="154">
        <v>0</v>
      </c>
      <c r="I9" s="154">
        <v>0</v>
      </c>
      <c r="J9" s="154">
        <v>1015.43</v>
      </c>
      <c r="K9" s="154" t="s">
        <v>271</v>
      </c>
      <c r="L9" s="154">
        <v>54.33</v>
      </c>
      <c r="M9" s="154">
        <v>1474203600</v>
      </c>
      <c r="N9" s="154">
        <v>8.4700000000000006</v>
      </c>
      <c r="O9" s="154">
        <v>237</v>
      </c>
      <c r="P9" s="154">
        <v>4.63</v>
      </c>
      <c r="Q9" s="154">
        <v>2.54</v>
      </c>
    </row>
    <row r="10" spans="1:17" x14ac:dyDescent="0.25">
      <c r="A10" s="154">
        <v>59.33</v>
      </c>
      <c r="B10" s="154">
        <v>0.06</v>
      </c>
      <c r="C10" s="154">
        <v>29.8</v>
      </c>
      <c r="D10" s="169">
        <v>42631.333333333336</v>
      </c>
      <c r="E10" s="154">
        <v>0.32</v>
      </c>
      <c r="F10" s="154" t="s">
        <v>296</v>
      </c>
      <c r="G10" s="154">
        <v>274.95</v>
      </c>
      <c r="H10" s="154">
        <v>0</v>
      </c>
      <c r="I10" s="154">
        <v>0</v>
      </c>
      <c r="J10" s="154">
        <v>1015.65</v>
      </c>
      <c r="K10" s="154" t="s">
        <v>271</v>
      </c>
      <c r="L10" s="154">
        <v>59.33</v>
      </c>
      <c r="M10" s="154">
        <v>1474207200</v>
      </c>
      <c r="N10" s="154">
        <v>8.27</v>
      </c>
      <c r="O10" s="154">
        <v>244</v>
      </c>
      <c r="P10" s="154">
        <v>4.46</v>
      </c>
      <c r="Q10" s="154">
        <v>2.4300000000000002</v>
      </c>
    </row>
    <row r="11" spans="1:17" x14ac:dyDescent="0.25">
      <c r="A11" s="154">
        <v>65.48</v>
      </c>
      <c r="B11" s="154">
        <v>0.05</v>
      </c>
      <c r="C11" s="154">
        <v>30.56</v>
      </c>
      <c r="D11" s="169">
        <v>42631.375</v>
      </c>
      <c r="E11" s="154">
        <v>0.27</v>
      </c>
      <c r="F11" s="154" t="s">
        <v>296</v>
      </c>
      <c r="G11" s="154">
        <v>274.64999999999998</v>
      </c>
      <c r="H11" s="154">
        <v>0</v>
      </c>
      <c r="I11" s="154">
        <v>0</v>
      </c>
      <c r="J11" s="154">
        <v>1015.55</v>
      </c>
      <c r="K11" s="154" t="s">
        <v>271</v>
      </c>
      <c r="L11" s="154">
        <v>65.48</v>
      </c>
      <c r="M11" s="154">
        <v>1474210800</v>
      </c>
      <c r="N11" s="154">
        <v>8.1999999999999993</v>
      </c>
      <c r="O11" s="154">
        <v>252</v>
      </c>
      <c r="P11" s="154">
        <v>4.6399999999999997</v>
      </c>
      <c r="Q11" s="154">
        <v>1.78</v>
      </c>
    </row>
    <row r="12" spans="1:17" x14ac:dyDescent="0.25">
      <c r="A12" s="154">
        <v>72.89</v>
      </c>
      <c r="B12" s="154">
        <v>0.04</v>
      </c>
      <c r="C12" s="154">
        <v>33.47</v>
      </c>
      <c r="D12" s="169">
        <v>42631.416666666664</v>
      </c>
      <c r="E12" s="154">
        <v>0.24</v>
      </c>
      <c r="F12" s="154" t="s">
        <v>296</v>
      </c>
      <c r="G12" s="154">
        <v>273.76</v>
      </c>
      <c r="H12" s="154">
        <v>0</v>
      </c>
      <c r="I12" s="154">
        <v>0</v>
      </c>
      <c r="J12" s="154">
        <v>1014.76</v>
      </c>
      <c r="K12" s="154" t="s">
        <v>271</v>
      </c>
      <c r="L12" s="154">
        <v>72.89</v>
      </c>
      <c r="M12" s="154">
        <v>1474214400</v>
      </c>
      <c r="N12" s="154">
        <v>5.24</v>
      </c>
      <c r="O12" s="154">
        <v>234</v>
      </c>
      <c r="P12" s="154">
        <v>3.79</v>
      </c>
      <c r="Q12" s="154">
        <v>2</v>
      </c>
    </row>
    <row r="13" spans="1:17" x14ac:dyDescent="0.25">
      <c r="A13" s="154">
        <v>78.510000000000005</v>
      </c>
      <c r="B13" s="154">
        <v>0.08</v>
      </c>
      <c r="C13" s="154">
        <v>33.65</v>
      </c>
      <c r="D13" s="169">
        <v>42631.458333333336</v>
      </c>
      <c r="E13" s="154">
        <v>0.2</v>
      </c>
      <c r="F13" s="154" t="s">
        <v>296</v>
      </c>
      <c r="G13" s="154">
        <v>272.62</v>
      </c>
      <c r="H13" s="154">
        <v>0</v>
      </c>
      <c r="I13" s="154">
        <v>0</v>
      </c>
      <c r="J13" s="154">
        <v>1013.72</v>
      </c>
      <c r="K13" s="154" t="s">
        <v>271</v>
      </c>
      <c r="L13" s="154">
        <v>78.510000000000005</v>
      </c>
      <c r="M13" s="154">
        <v>1474218000</v>
      </c>
      <c r="N13" s="154">
        <v>4.92</v>
      </c>
      <c r="O13" s="154">
        <v>257</v>
      </c>
      <c r="P13" s="154">
        <v>3.33</v>
      </c>
      <c r="Q13" s="154">
        <v>1.51</v>
      </c>
    </row>
    <row r="14" spans="1:17" x14ac:dyDescent="0.25">
      <c r="A14" s="154">
        <v>80.08</v>
      </c>
      <c r="B14" s="154">
        <v>0.09</v>
      </c>
      <c r="C14" s="154">
        <v>34.33</v>
      </c>
      <c r="D14" s="169">
        <v>42631.5</v>
      </c>
      <c r="E14" s="154">
        <v>0.18</v>
      </c>
      <c r="F14" s="154" t="s">
        <v>296</v>
      </c>
      <c r="G14" s="154">
        <v>271.75</v>
      </c>
      <c r="H14" s="154">
        <v>0</v>
      </c>
      <c r="I14" s="154">
        <v>0</v>
      </c>
      <c r="J14" s="154">
        <v>1012.84</v>
      </c>
      <c r="K14" s="154" t="s">
        <v>271</v>
      </c>
      <c r="L14" s="154">
        <v>82.45</v>
      </c>
      <c r="M14" s="154">
        <v>1474221600</v>
      </c>
      <c r="N14" s="154">
        <v>4.87</v>
      </c>
      <c r="O14" s="154">
        <v>290</v>
      </c>
      <c r="P14" s="154">
        <v>4.87</v>
      </c>
      <c r="Q14" s="154">
        <v>2.93</v>
      </c>
    </row>
    <row r="15" spans="1:17" x14ac:dyDescent="0.25">
      <c r="A15" s="154">
        <v>81.650000000000006</v>
      </c>
      <c r="B15" s="154">
        <v>0.11</v>
      </c>
      <c r="C15" s="154">
        <v>32.99</v>
      </c>
      <c r="D15" s="169">
        <v>42631.541666666664</v>
      </c>
      <c r="E15" s="154">
        <v>0.16</v>
      </c>
      <c r="F15" s="154" t="s">
        <v>296</v>
      </c>
      <c r="G15" s="154">
        <v>271.35000000000002</v>
      </c>
      <c r="H15" s="154">
        <v>0</v>
      </c>
      <c r="I15" s="154">
        <v>0</v>
      </c>
      <c r="J15" s="154">
        <v>1012.17</v>
      </c>
      <c r="K15" s="154" t="s">
        <v>271</v>
      </c>
      <c r="L15" s="154">
        <v>84.68</v>
      </c>
      <c r="M15" s="154">
        <v>1474225200</v>
      </c>
      <c r="N15" s="154">
        <v>4.9000000000000004</v>
      </c>
      <c r="O15" s="154">
        <v>339</v>
      </c>
      <c r="P15" s="154">
        <v>2.56</v>
      </c>
      <c r="Q15" s="154">
        <v>2.48</v>
      </c>
    </row>
    <row r="16" spans="1:17" x14ac:dyDescent="0.25">
      <c r="A16" s="154">
        <v>83.27</v>
      </c>
      <c r="B16" s="154">
        <v>0.14000000000000001</v>
      </c>
      <c r="C16" s="154">
        <v>33.880000000000003</v>
      </c>
      <c r="D16" s="169">
        <v>42631.583333333336</v>
      </c>
      <c r="E16" s="154">
        <v>0.15</v>
      </c>
      <c r="F16" s="154" t="s">
        <v>296</v>
      </c>
      <c r="G16" s="154">
        <v>271.23</v>
      </c>
      <c r="H16" s="154">
        <v>0</v>
      </c>
      <c r="I16" s="154">
        <v>0</v>
      </c>
      <c r="J16" s="154">
        <v>1011.56</v>
      </c>
      <c r="K16" s="154" t="s">
        <v>271</v>
      </c>
      <c r="L16" s="154">
        <v>86.77</v>
      </c>
      <c r="M16" s="154">
        <v>1474228800</v>
      </c>
      <c r="N16" s="154">
        <v>4.93</v>
      </c>
      <c r="O16" s="154">
        <v>7</v>
      </c>
      <c r="P16" s="154">
        <v>1.57</v>
      </c>
      <c r="Q16" s="154">
        <v>1.1100000000000001</v>
      </c>
    </row>
    <row r="17" spans="1:17" x14ac:dyDescent="0.25">
      <c r="A17" s="154">
        <v>83.78</v>
      </c>
      <c r="B17" s="154">
        <v>0.16</v>
      </c>
      <c r="C17" s="154">
        <v>33.57</v>
      </c>
      <c r="D17" s="169">
        <v>42631.625</v>
      </c>
      <c r="E17" s="154">
        <v>0.15</v>
      </c>
      <c r="F17" s="154" t="s">
        <v>296</v>
      </c>
      <c r="G17" s="154">
        <v>271.3</v>
      </c>
      <c r="H17" s="154">
        <v>0</v>
      </c>
      <c r="I17" s="154">
        <v>0</v>
      </c>
      <c r="J17" s="154">
        <v>1011.04</v>
      </c>
      <c r="K17" s="154" t="s">
        <v>271</v>
      </c>
      <c r="L17" s="154">
        <v>87.41</v>
      </c>
      <c r="M17" s="154">
        <v>1474232400</v>
      </c>
      <c r="N17" s="154">
        <v>4.8600000000000003</v>
      </c>
      <c r="O17" s="154">
        <v>38</v>
      </c>
      <c r="P17" s="154">
        <v>1.57</v>
      </c>
      <c r="Q17" s="154">
        <v>1.1200000000000001</v>
      </c>
    </row>
    <row r="18" spans="1:17" x14ac:dyDescent="0.25">
      <c r="A18" s="154">
        <v>83.86</v>
      </c>
      <c r="B18" s="154">
        <v>0.17</v>
      </c>
      <c r="C18" s="154">
        <v>34.42</v>
      </c>
      <c r="D18" s="169">
        <v>42631.666666666664</v>
      </c>
      <c r="E18" s="154">
        <v>0.15</v>
      </c>
      <c r="F18" s="154" t="s">
        <v>296</v>
      </c>
      <c r="G18" s="154">
        <v>271.68</v>
      </c>
      <c r="H18" s="154">
        <v>0</v>
      </c>
      <c r="I18" s="154">
        <v>0</v>
      </c>
      <c r="J18" s="154">
        <v>1010.52</v>
      </c>
      <c r="K18" s="154" t="s">
        <v>271</v>
      </c>
      <c r="L18" s="154">
        <v>87.5</v>
      </c>
      <c r="M18" s="154">
        <v>1474236000</v>
      </c>
      <c r="N18" s="154">
        <v>4.8600000000000003</v>
      </c>
      <c r="O18" s="154">
        <v>74</v>
      </c>
      <c r="P18" s="154">
        <v>1.48</v>
      </c>
      <c r="Q18" s="154">
        <v>2.41</v>
      </c>
    </row>
    <row r="19" spans="1:17" x14ac:dyDescent="0.25">
      <c r="A19" s="154">
        <v>82.99</v>
      </c>
      <c r="B19" s="154">
        <v>0.22</v>
      </c>
      <c r="C19" s="154">
        <v>33.71</v>
      </c>
      <c r="D19" s="169">
        <v>42631.708333333336</v>
      </c>
      <c r="E19" s="154">
        <v>0.15</v>
      </c>
      <c r="F19" s="154" t="s">
        <v>296</v>
      </c>
      <c r="G19" s="154">
        <v>272.27</v>
      </c>
      <c r="H19" s="154">
        <v>0</v>
      </c>
      <c r="I19" s="154">
        <v>0</v>
      </c>
      <c r="J19" s="154">
        <v>1010.13</v>
      </c>
      <c r="K19" s="154" t="s">
        <v>271</v>
      </c>
      <c r="L19" s="154">
        <v>86.42</v>
      </c>
      <c r="M19" s="154">
        <v>1474239600</v>
      </c>
      <c r="N19" s="154">
        <v>4.93</v>
      </c>
      <c r="O19" s="154">
        <v>83</v>
      </c>
      <c r="P19" s="154">
        <v>1.33</v>
      </c>
      <c r="Q19" s="154">
        <v>3.14</v>
      </c>
    </row>
    <row r="20" spans="1:17" x14ac:dyDescent="0.25">
      <c r="A20" s="154">
        <v>80.94</v>
      </c>
      <c r="B20" s="154">
        <v>0.14000000000000001</v>
      </c>
      <c r="C20" s="154">
        <v>33.74</v>
      </c>
      <c r="D20" s="169">
        <v>42631.75</v>
      </c>
      <c r="E20" s="154">
        <v>0.17</v>
      </c>
      <c r="F20" s="154" t="s">
        <v>296</v>
      </c>
      <c r="G20" s="154">
        <v>272.64</v>
      </c>
      <c r="H20" s="154">
        <v>0</v>
      </c>
      <c r="I20" s="154">
        <v>0</v>
      </c>
      <c r="J20" s="154">
        <v>1010.17</v>
      </c>
      <c r="K20" s="154" t="s">
        <v>271</v>
      </c>
      <c r="L20" s="154">
        <v>83.7</v>
      </c>
      <c r="M20" s="154">
        <v>1474243200</v>
      </c>
      <c r="N20" s="154">
        <v>5.25</v>
      </c>
      <c r="O20" s="154">
        <v>102</v>
      </c>
      <c r="P20" s="154">
        <v>0.97</v>
      </c>
      <c r="Q20" s="154">
        <v>3.14</v>
      </c>
    </row>
    <row r="21" spans="1:17" x14ac:dyDescent="0.25">
      <c r="A21" s="154">
        <v>78.75</v>
      </c>
      <c r="B21" s="154">
        <v>0.05</v>
      </c>
      <c r="C21" s="154">
        <v>35.909999999999997</v>
      </c>
      <c r="D21" s="169">
        <v>42631.791666666664</v>
      </c>
      <c r="E21" s="154">
        <v>0.21</v>
      </c>
      <c r="F21" s="154" t="s">
        <v>270</v>
      </c>
      <c r="G21" s="154">
        <v>272.66000000000003</v>
      </c>
      <c r="H21" s="154">
        <v>0</v>
      </c>
      <c r="I21" s="154">
        <v>0</v>
      </c>
      <c r="J21" s="154">
        <v>1010.62</v>
      </c>
      <c r="K21" s="154" t="s">
        <v>271</v>
      </c>
      <c r="L21" s="154">
        <v>78.75</v>
      </c>
      <c r="M21" s="154">
        <v>1474246800</v>
      </c>
      <c r="N21" s="154">
        <v>6.85</v>
      </c>
      <c r="O21" s="154">
        <v>199</v>
      </c>
      <c r="P21" s="154">
        <v>0.47</v>
      </c>
      <c r="Q21" s="154">
        <v>2.44</v>
      </c>
    </row>
    <row r="22" spans="1:17" x14ac:dyDescent="0.25">
      <c r="A22" s="154">
        <v>72.36</v>
      </c>
      <c r="B22" s="154">
        <v>0.06</v>
      </c>
      <c r="C22" s="154">
        <v>37.74</v>
      </c>
      <c r="D22" s="169">
        <v>42631.833333333336</v>
      </c>
      <c r="E22" s="154">
        <v>0.28000000000000003</v>
      </c>
      <c r="F22" s="154" t="s">
        <v>270</v>
      </c>
      <c r="G22" s="154">
        <v>272.47000000000003</v>
      </c>
      <c r="H22" s="154">
        <v>0</v>
      </c>
      <c r="I22" s="154">
        <v>0</v>
      </c>
      <c r="J22" s="154">
        <v>1011.74</v>
      </c>
      <c r="K22" s="154" t="s">
        <v>271</v>
      </c>
      <c r="L22" s="154">
        <v>72.36</v>
      </c>
      <c r="M22" s="154">
        <v>1474250400</v>
      </c>
      <c r="N22" s="154">
        <v>7.67</v>
      </c>
      <c r="O22" s="154">
        <v>234</v>
      </c>
      <c r="P22" s="154">
        <v>1.85</v>
      </c>
      <c r="Q22" s="154">
        <v>0.49</v>
      </c>
    </row>
    <row r="23" spans="1:17" x14ac:dyDescent="0.25">
      <c r="A23" s="154">
        <v>68.36</v>
      </c>
      <c r="B23" s="154">
        <v>0.08</v>
      </c>
      <c r="C23" s="154">
        <v>36.85</v>
      </c>
      <c r="D23" s="169">
        <v>42631.875</v>
      </c>
      <c r="E23" s="154">
        <v>0.31</v>
      </c>
      <c r="F23" s="154" t="s">
        <v>270</v>
      </c>
      <c r="G23" s="154">
        <v>272.14</v>
      </c>
      <c r="H23" s="154">
        <v>0</v>
      </c>
      <c r="I23" s="154">
        <v>0</v>
      </c>
      <c r="J23" s="154">
        <v>1012.88</v>
      </c>
      <c r="K23" s="154" t="s">
        <v>271</v>
      </c>
      <c r="L23" s="154">
        <v>68.36</v>
      </c>
      <c r="M23" s="154">
        <v>1474254000</v>
      </c>
      <c r="N23" s="154">
        <v>8.43</v>
      </c>
      <c r="O23" s="154">
        <v>212</v>
      </c>
      <c r="P23" s="154">
        <v>2.62</v>
      </c>
      <c r="Q23" s="154">
        <v>2.5099999999999998</v>
      </c>
    </row>
    <row r="24" spans="1:17" x14ac:dyDescent="0.25">
      <c r="A24" s="154">
        <v>66.83</v>
      </c>
      <c r="B24" s="154">
        <v>0.1</v>
      </c>
      <c r="C24" s="154">
        <v>36.74</v>
      </c>
      <c r="D24" s="169">
        <v>42631.916666666664</v>
      </c>
      <c r="E24" s="154">
        <v>0.33</v>
      </c>
      <c r="F24" s="154" t="s">
        <v>270</v>
      </c>
      <c r="G24" s="154">
        <v>271.58999999999997</v>
      </c>
      <c r="H24" s="154">
        <v>0</v>
      </c>
      <c r="I24" s="154">
        <v>0</v>
      </c>
      <c r="J24" s="154">
        <v>1013.69</v>
      </c>
      <c r="K24" s="154" t="s">
        <v>271</v>
      </c>
      <c r="L24" s="154">
        <v>66.83</v>
      </c>
      <c r="M24" s="154">
        <v>1474257600</v>
      </c>
      <c r="N24" s="154">
        <v>8.76</v>
      </c>
      <c r="O24" s="154">
        <v>215</v>
      </c>
      <c r="P24" s="154">
        <v>2.8</v>
      </c>
      <c r="Q24" s="154">
        <v>2.95</v>
      </c>
    </row>
    <row r="25" spans="1:17" x14ac:dyDescent="0.25">
      <c r="A25" s="154">
        <v>64.819999999999993</v>
      </c>
      <c r="B25" s="154">
        <v>0.06</v>
      </c>
      <c r="C25" s="154">
        <v>36.68</v>
      </c>
      <c r="D25" s="169">
        <v>42631.958333333336</v>
      </c>
      <c r="E25" s="154">
        <v>0.35</v>
      </c>
      <c r="F25" s="154" t="s">
        <v>270</v>
      </c>
      <c r="G25" s="154">
        <v>270.89999999999998</v>
      </c>
      <c r="H25" s="154">
        <v>0</v>
      </c>
      <c r="I25" s="154">
        <v>0</v>
      </c>
      <c r="J25" s="154">
        <v>1014.39</v>
      </c>
      <c r="K25" s="154" t="s">
        <v>271</v>
      </c>
      <c r="L25" s="154">
        <v>64.819999999999993</v>
      </c>
      <c r="M25" s="154">
        <v>1474261200</v>
      </c>
      <c r="N25" s="154">
        <v>8.77</v>
      </c>
      <c r="O25" s="154">
        <v>244</v>
      </c>
      <c r="P25" s="154">
        <v>3.38</v>
      </c>
      <c r="Q25" s="154">
        <v>4.4800000000000004</v>
      </c>
    </row>
    <row r="26" spans="1:17" x14ac:dyDescent="0.25">
      <c r="A26" s="154">
        <v>62.82</v>
      </c>
      <c r="B26" s="154">
        <v>0.02</v>
      </c>
      <c r="C26" s="154">
        <v>36.14</v>
      </c>
      <c r="D26" s="169">
        <v>42632</v>
      </c>
      <c r="E26" s="154">
        <v>0.37</v>
      </c>
      <c r="F26" s="154" t="s">
        <v>270</v>
      </c>
      <c r="G26" s="154">
        <v>270.39999999999998</v>
      </c>
      <c r="H26" s="154">
        <v>0</v>
      </c>
      <c r="I26" s="154">
        <v>0</v>
      </c>
      <c r="J26" s="154">
        <v>1015.53</v>
      </c>
      <c r="K26" s="154" t="s">
        <v>271</v>
      </c>
      <c r="L26" s="154">
        <v>62.82</v>
      </c>
      <c r="M26" s="154">
        <v>1474264800</v>
      </c>
      <c r="N26" s="154">
        <v>8.89</v>
      </c>
      <c r="O26" s="154">
        <v>245</v>
      </c>
      <c r="P26" s="154">
        <v>3.6</v>
      </c>
      <c r="Q26" s="154">
        <v>4.62</v>
      </c>
    </row>
    <row r="27" spans="1:17" x14ac:dyDescent="0.25">
      <c r="A27" s="154">
        <v>59.7</v>
      </c>
      <c r="B27" s="154">
        <v>0.03</v>
      </c>
      <c r="C27" s="154">
        <v>34.83</v>
      </c>
      <c r="D27" s="169">
        <v>42632.041666666664</v>
      </c>
      <c r="E27" s="154">
        <v>0.39</v>
      </c>
      <c r="F27" s="154" t="s">
        <v>270</v>
      </c>
      <c r="G27" s="154">
        <v>270.39999999999998</v>
      </c>
      <c r="H27" s="154">
        <v>0</v>
      </c>
      <c r="I27" s="154">
        <v>0</v>
      </c>
      <c r="J27" s="154">
        <v>1016.3</v>
      </c>
      <c r="K27" s="154" t="s">
        <v>271</v>
      </c>
      <c r="L27" s="154">
        <v>59.7</v>
      </c>
      <c r="M27" s="154">
        <v>1474268400</v>
      </c>
      <c r="N27" s="154">
        <v>8.9499999999999993</v>
      </c>
      <c r="O27" s="154">
        <v>244</v>
      </c>
      <c r="P27" s="154">
        <v>2.82</v>
      </c>
      <c r="Q27" s="154">
        <v>4.55</v>
      </c>
    </row>
    <row r="28" spans="1:17" x14ac:dyDescent="0.25">
      <c r="A28" s="154">
        <v>58.82</v>
      </c>
      <c r="B28" s="154">
        <v>0.03</v>
      </c>
      <c r="C28" s="154">
        <v>34.83</v>
      </c>
      <c r="D28" s="169">
        <v>42632.083333333336</v>
      </c>
      <c r="E28" s="154">
        <v>0.4</v>
      </c>
      <c r="F28" s="154" t="s">
        <v>270</v>
      </c>
      <c r="G28" s="154">
        <v>270.39999999999998</v>
      </c>
      <c r="H28" s="154">
        <v>0</v>
      </c>
      <c r="I28" s="154">
        <v>0</v>
      </c>
      <c r="J28" s="154">
        <v>1017.02</v>
      </c>
      <c r="K28" s="154" t="s">
        <v>271</v>
      </c>
      <c r="L28" s="154">
        <v>58.82</v>
      </c>
      <c r="M28" s="154">
        <v>1474272000</v>
      </c>
      <c r="N28" s="154">
        <v>8.9499999999999993</v>
      </c>
      <c r="O28" s="154">
        <v>230</v>
      </c>
      <c r="P28" s="154">
        <v>2.79</v>
      </c>
      <c r="Q28" s="154">
        <v>4.1399999999999997</v>
      </c>
    </row>
    <row r="29" spans="1:17" x14ac:dyDescent="0.25">
      <c r="A29" s="154">
        <v>56.87</v>
      </c>
      <c r="B29" s="154">
        <v>0.06</v>
      </c>
      <c r="C29" s="154">
        <v>33.58</v>
      </c>
      <c r="D29" s="169">
        <v>42632.125</v>
      </c>
      <c r="E29" s="154">
        <v>0.41</v>
      </c>
      <c r="F29" s="154" t="s">
        <v>270</v>
      </c>
      <c r="G29" s="154">
        <v>270.39999999999998</v>
      </c>
      <c r="H29" s="154">
        <v>0</v>
      </c>
      <c r="I29" s="154">
        <v>0</v>
      </c>
      <c r="J29" s="154">
        <v>1017.69</v>
      </c>
      <c r="K29" s="154" t="s">
        <v>271</v>
      </c>
      <c r="L29" s="154">
        <v>56.87</v>
      </c>
      <c r="M29" s="154">
        <v>1474275600</v>
      </c>
      <c r="N29" s="154">
        <v>8.84</v>
      </c>
      <c r="O29" s="154">
        <v>233</v>
      </c>
      <c r="P29" s="154">
        <v>3.01</v>
      </c>
      <c r="Q29" s="154">
        <v>4.43</v>
      </c>
    </row>
    <row r="31" spans="1:17" x14ac:dyDescent="0.25">
      <c r="A31" s="154" t="s">
        <v>605</v>
      </c>
    </row>
    <row r="33" spans="1:1" x14ac:dyDescent="0.25">
      <c r="A33" s="154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107</v>
      </c>
      <c r="D1" s="74" t="s">
        <v>108</v>
      </c>
      <c r="J1" s="34" t="s">
        <v>109</v>
      </c>
      <c r="K1" s="34" t="s">
        <v>72</v>
      </c>
      <c r="L1" s="34" t="s">
        <v>73</v>
      </c>
      <c r="O1" s="77" t="s">
        <v>110</v>
      </c>
    </row>
    <row r="2" spans="1:16" ht="15.75" thickBot="1" x14ac:dyDescent="0.3">
      <c r="A2" s="14">
        <v>42631</v>
      </c>
      <c r="B2" s="4"/>
      <c r="C2" s="75">
        <v>50</v>
      </c>
      <c r="D2" s="76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C:\Users\stu\Documents\GitHub\eaglep3-reporting\EC\2016-09-18-refined-times.txt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135</v>
      </c>
      <c r="B1" s="127" t="s">
        <v>136</v>
      </c>
      <c r="C1" s="128" t="s">
        <v>137</v>
      </c>
      <c r="H1" t="s">
        <v>131</v>
      </c>
      <c r="I1" s="129" t="s">
        <v>133</v>
      </c>
      <c r="J1"/>
    </row>
    <row r="2" spans="1:11" x14ac:dyDescent="0.25">
      <c r="A2" s="128" t="s">
        <v>138</v>
      </c>
      <c r="B2" s="128" t="s">
        <v>139</v>
      </c>
      <c r="C2" s="128" t="s">
        <v>140</v>
      </c>
      <c r="H2" t="s">
        <v>132</v>
      </c>
      <c r="I2" s="114" t="s">
        <v>134</v>
      </c>
      <c r="J2"/>
    </row>
    <row r="3" spans="1:11" x14ac:dyDescent="0.25">
      <c r="A3" s="128" t="s">
        <v>141</v>
      </c>
      <c r="B3" s="128" t="s">
        <v>142</v>
      </c>
      <c r="C3" s="128" t="s">
        <v>143</v>
      </c>
      <c r="H3" t="s">
        <v>157</v>
      </c>
      <c r="I3" s="114">
        <v>1</v>
      </c>
      <c r="J3"/>
      <c r="K3" s="70"/>
    </row>
    <row r="4" spans="1:11" x14ac:dyDescent="0.25">
      <c r="A4" s="128" t="s">
        <v>144</v>
      </c>
      <c r="C4" s="128" t="s">
        <v>145</v>
      </c>
      <c r="H4" t="s">
        <v>158</v>
      </c>
      <c r="I4" s="114">
        <v>2</v>
      </c>
      <c r="J4"/>
      <c r="K4" s="70"/>
    </row>
    <row r="5" spans="1:11" x14ac:dyDescent="0.25">
      <c r="A5" s="128" t="s">
        <v>146</v>
      </c>
      <c r="C5" s="128" t="s">
        <v>147</v>
      </c>
      <c r="H5" t="s">
        <v>159</v>
      </c>
      <c r="I5" s="114">
        <v>23</v>
      </c>
      <c r="J5"/>
      <c r="K5" s="70"/>
    </row>
    <row r="6" spans="1:11" x14ac:dyDescent="0.25">
      <c r="A6" s="128" t="s">
        <v>148</v>
      </c>
      <c r="C6" s="128" t="s">
        <v>149</v>
      </c>
      <c r="H6" s="131" t="s">
        <v>160</v>
      </c>
      <c r="I6" s="132" t="s">
        <v>139</v>
      </c>
    </row>
    <row r="7" spans="1:11" x14ac:dyDescent="0.25">
      <c r="A7" s="128" t="s">
        <v>150</v>
      </c>
      <c r="C7" s="128" t="s">
        <v>151</v>
      </c>
    </row>
    <row r="8" spans="1:11" x14ac:dyDescent="0.25">
      <c r="C8" s="128" t="s">
        <v>152</v>
      </c>
    </row>
    <row r="9" spans="1:11" x14ac:dyDescent="0.25">
      <c r="C9" s="131" t="s">
        <v>272</v>
      </c>
    </row>
    <row r="10" spans="1:11" x14ac:dyDescent="0.25">
      <c r="C10" s="128" t="s">
        <v>153</v>
      </c>
    </row>
    <row r="11" spans="1:11" x14ac:dyDescent="0.25">
      <c r="C11" s="128" t="s">
        <v>154</v>
      </c>
    </row>
    <row r="12" spans="1:11" x14ac:dyDescent="0.25">
      <c r="C12" s="128" t="s">
        <v>155</v>
      </c>
    </row>
    <row r="13" spans="1:11" x14ac:dyDescent="0.25">
      <c r="C13" s="128" t="s">
        <v>156</v>
      </c>
    </row>
    <row r="14" spans="1:11" x14ac:dyDescent="0.25">
      <c r="C14" s="131" t="s">
        <v>273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2016-09-19T19:59:34Z</dcterms:modified>
</cp:coreProperties>
</file>