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Trips'!$A$2:$J$137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9" l="1"/>
  <c r="C58" i="9" s="1"/>
  <c r="B59" i="9"/>
  <c r="C59" i="9"/>
  <c r="B60" i="9"/>
  <c r="C60" i="9" s="1"/>
  <c r="B61" i="9"/>
  <c r="C61" i="9"/>
  <c r="B62" i="9"/>
  <c r="C62" i="9" s="1"/>
  <c r="B63" i="9"/>
  <c r="C63" i="9"/>
  <c r="B64" i="9"/>
  <c r="C64" i="9" s="1"/>
  <c r="B65" i="9"/>
  <c r="C65" i="9"/>
  <c r="B66" i="9"/>
  <c r="C66" i="9" s="1"/>
  <c r="B67" i="9"/>
  <c r="C67" i="9"/>
  <c r="B68" i="9"/>
  <c r="C68" i="9" s="1"/>
  <c r="B69" i="9"/>
  <c r="C69" i="9"/>
  <c r="B70" i="9"/>
  <c r="C70" i="9" s="1"/>
  <c r="B71" i="9"/>
  <c r="C71" i="9"/>
  <c r="B72" i="9"/>
  <c r="C72" i="9" s="1"/>
  <c r="B73" i="9"/>
  <c r="C73" i="9"/>
  <c r="B74" i="9"/>
  <c r="C74" i="9" s="1"/>
  <c r="B75" i="9"/>
  <c r="C75" i="9"/>
  <c r="B76" i="9"/>
  <c r="C76" i="9" s="1"/>
  <c r="B77" i="9"/>
  <c r="C77" i="9"/>
  <c r="B78" i="9"/>
  <c r="C78" i="9" s="1"/>
  <c r="B79" i="9"/>
  <c r="C79" i="9"/>
  <c r="B80" i="9"/>
  <c r="C80" i="9" s="1"/>
  <c r="B81" i="9"/>
  <c r="C81" i="9"/>
  <c r="B82" i="9"/>
  <c r="C82" i="9" s="1"/>
  <c r="B83" i="9"/>
  <c r="C83" i="9"/>
  <c r="B84" i="9"/>
  <c r="C84" i="9" s="1"/>
  <c r="B85" i="9"/>
  <c r="C85" i="9"/>
  <c r="B86" i="9"/>
  <c r="C86" i="9" s="1"/>
  <c r="B87" i="9"/>
  <c r="C87" i="9"/>
  <c r="B88" i="9"/>
  <c r="C88" i="9" s="1"/>
  <c r="B89" i="9"/>
  <c r="C89" i="9"/>
  <c r="B90" i="9"/>
  <c r="C90" i="9" s="1"/>
  <c r="B91" i="9"/>
  <c r="C91" i="9"/>
  <c r="B92" i="9"/>
  <c r="C92" i="9" s="1"/>
  <c r="B93" i="9"/>
  <c r="C93" i="9"/>
  <c r="B94" i="9"/>
  <c r="C94" i="9" s="1"/>
  <c r="B95" i="9"/>
  <c r="C95" i="9"/>
  <c r="B96" i="9"/>
  <c r="C96" i="9" s="1"/>
  <c r="B97" i="9"/>
  <c r="C97" i="9"/>
  <c r="B98" i="9"/>
  <c r="C98" i="9" s="1"/>
  <c r="B99" i="9"/>
  <c r="C99" i="9"/>
  <c r="B100" i="9"/>
  <c r="C100" i="9" s="1"/>
  <c r="B101" i="9"/>
  <c r="C101" i="9"/>
  <c r="B102" i="9"/>
  <c r="C102" i="9" s="1"/>
  <c r="B103" i="9"/>
  <c r="C103" i="9"/>
  <c r="B104" i="9"/>
  <c r="C104" i="9" s="1"/>
  <c r="B105" i="9"/>
  <c r="C105" i="9"/>
  <c r="B106" i="9"/>
  <c r="C106" i="9" s="1"/>
  <c r="B107" i="9"/>
  <c r="C107" i="9"/>
  <c r="B108" i="9"/>
  <c r="C108" i="9" s="1"/>
  <c r="B109" i="9"/>
  <c r="C109" i="9"/>
  <c r="B110" i="9"/>
  <c r="C110" i="9" s="1"/>
  <c r="X156" i="1"/>
  <c r="X157" i="1"/>
  <c r="X158" i="1"/>
  <c r="K148" i="1"/>
  <c r="L148" i="1"/>
  <c r="M148" i="1"/>
  <c r="V148" i="1"/>
  <c r="Y148" i="1"/>
  <c r="Z148" i="1"/>
  <c r="AA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V149" i="1"/>
  <c r="X149" i="1"/>
  <c r="Y149" i="1"/>
  <c r="Z149" i="1"/>
  <c r="AA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T150" i="1"/>
  <c r="V150" i="1"/>
  <c r="X150" i="1"/>
  <c r="Y150" i="1"/>
  <c r="AA150" i="1" s="1"/>
  <c r="Z150" i="1"/>
  <c r="AB150" i="1"/>
  <c r="AC150" i="1"/>
  <c r="AD150" i="1"/>
  <c r="AE150" i="1"/>
  <c r="AF150" i="1"/>
  <c r="AG150" i="1"/>
  <c r="AH150" i="1"/>
  <c r="AM150" i="1"/>
  <c r="AN150" i="1"/>
  <c r="K151" i="1"/>
  <c r="L151" i="1"/>
  <c r="M151" i="1"/>
  <c r="V151" i="1"/>
  <c r="Y151" i="1"/>
  <c r="Z151" i="1"/>
  <c r="AA151" i="1" s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V152" i="1"/>
  <c r="Y152" i="1"/>
  <c r="Z152" i="1"/>
  <c r="AA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V153" i="1"/>
  <c r="Y153" i="1"/>
  <c r="Z153" i="1"/>
  <c r="AA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T154" i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V156" i="1"/>
  <c r="Y156" i="1"/>
  <c r="Z156" i="1"/>
  <c r="AA156" i="1"/>
  <c r="AB156" i="1"/>
  <c r="AC156" i="1"/>
  <c r="AD156" i="1"/>
  <c r="T156" i="1" s="1"/>
  <c r="AE156" i="1"/>
  <c r="AF156" i="1"/>
  <c r="AH156" i="1"/>
  <c r="AM156" i="1"/>
  <c r="AN156" i="1"/>
  <c r="X146" i="1"/>
  <c r="X147" i="1"/>
  <c r="K146" i="1"/>
  <c r="L146" i="1"/>
  <c r="M146" i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P144" i="1"/>
  <c r="P135" i="1"/>
  <c r="X34" i="1"/>
  <c r="X35" i="1"/>
  <c r="X36" i="1"/>
  <c r="X37" i="1"/>
  <c r="X38" i="1"/>
  <c r="X39" i="1"/>
  <c r="X40" i="1"/>
  <c r="X26" i="1"/>
  <c r="X3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I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5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9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T31" i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17" i="3" s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18" i="3" s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T47" i="1"/>
  <c r="V47" i="1"/>
  <c r="Y47" i="1"/>
  <c r="Z47" i="1"/>
  <c r="AB47" i="1"/>
  <c r="AC47" i="1"/>
  <c r="AD47" i="1"/>
  <c r="X47" i="1" s="1"/>
  <c r="AE47" i="1"/>
  <c r="R25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X50" i="1"/>
  <c r="Y50" i="1"/>
  <c r="Z50" i="1"/>
  <c r="AB50" i="1"/>
  <c r="AC50" i="1"/>
  <c r="AD50" i="1"/>
  <c r="T50" i="1" s="1"/>
  <c r="AE50" i="1"/>
  <c r="AF50" i="1"/>
  <c r="AG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20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R10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W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I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29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/>
  <c r="V88" i="1"/>
  <c r="Y88" i="1"/>
  <c r="Z88" i="1"/>
  <c r="AA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T89" i="1"/>
  <c r="V89" i="1"/>
  <c r="Y89" i="1"/>
  <c r="Z89" i="1"/>
  <c r="AA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/>
  <c r="V92" i="1"/>
  <c r="Y92" i="1"/>
  <c r="Z92" i="1"/>
  <c r="AA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T93" i="1"/>
  <c r="V93" i="1"/>
  <c r="Y93" i="1"/>
  <c r="Z93" i="1"/>
  <c r="AA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12" i="3" s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/>
  <c r="V104" i="1"/>
  <c r="Y104" i="1"/>
  <c r="AA104" i="1" s="1"/>
  <c r="Z104" i="1"/>
  <c r="AB104" i="1"/>
  <c r="AC104" i="1"/>
  <c r="AD104" i="1"/>
  <c r="AG104" i="1" s="1"/>
  <c r="AE104" i="1"/>
  <c r="AF104" i="1"/>
  <c r="AH104" i="1"/>
  <c r="AI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G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W115" i="1" s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T116" i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S30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S21" i="3" s="1"/>
  <c r="Y124" i="1"/>
  <c r="Z124" i="1"/>
  <c r="AB124" i="1"/>
  <c r="AC124" i="1"/>
  <c r="AD124" i="1"/>
  <c r="X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S22" i="3" s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/>
  <c r="V130" i="1"/>
  <c r="S11" i="3" s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I131" i="1" s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K135" i="1"/>
  <c r="L135" i="1"/>
  <c r="M135" i="1"/>
  <c r="T135" i="1"/>
  <c r="V135" i="1"/>
  <c r="Y135" i="1"/>
  <c r="AA135" i="1" s="1"/>
  <c r="Z135" i="1"/>
  <c r="AB135" i="1"/>
  <c r="AC135" i="1"/>
  <c r="AD135" i="1"/>
  <c r="AG135" i="1" s="1"/>
  <c r="AE135" i="1"/>
  <c r="AF135" i="1"/>
  <c r="AH135" i="1"/>
  <c r="AI135" i="1"/>
  <c r="AM135" i="1"/>
  <c r="AN135" i="1"/>
  <c r="K136" i="1"/>
  <c r="L136" i="1"/>
  <c r="M136" i="1"/>
  <c r="N136" i="1" s="1"/>
  <c r="V136" i="1"/>
  <c r="S24" i="3" s="1"/>
  <c r="Y136" i="1"/>
  <c r="Z136" i="1"/>
  <c r="AB136" i="1"/>
  <c r="AC136" i="1"/>
  <c r="AD136" i="1"/>
  <c r="AE136" i="1"/>
  <c r="R24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23" i="3" s="1"/>
  <c r="Y138" i="1"/>
  <c r="Z138" i="1"/>
  <c r="AB138" i="1"/>
  <c r="AC138" i="1"/>
  <c r="AD138" i="1"/>
  <c r="AE138" i="1"/>
  <c r="R23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S9" i="3" s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V144" i="1"/>
  <c r="S16" i="3" s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AE207" i="1"/>
  <c r="AF207" i="1"/>
  <c r="AH160" i="1"/>
  <c r="AM160" i="1"/>
  <c r="AN160" i="1"/>
  <c r="K208" i="1"/>
  <c r="L208" i="1"/>
  <c r="M208" i="1"/>
  <c r="N208" i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6" i="1"/>
  <c r="AM166" i="1"/>
  <c r="AN16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7" i="1"/>
  <c r="AM167" i="1"/>
  <c r="AN167" i="1"/>
  <c r="K220" i="1"/>
  <c r="L220" i="1"/>
  <c r="M220" i="1"/>
  <c r="N220" i="1" s="1"/>
  <c r="V220" i="1"/>
  <c r="S54" i="3" s="1"/>
  <c r="Y220" i="1"/>
  <c r="Z220" i="1"/>
  <c r="AB220" i="1"/>
  <c r="AC220" i="1"/>
  <c r="AD220" i="1"/>
  <c r="AE220" i="1"/>
  <c r="R53" i="3" s="1"/>
  <c r="AF220" i="1"/>
  <c r="AH168" i="1"/>
  <c r="AM168" i="1"/>
  <c r="AN168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169" i="1"/>
  <c r="AM169" i="1"/>
  <c r="AN169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0" i="1"/>
  <c r="AM170" i="1"/>
  <c r="AN17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AE224" i="1"/>
  <c r="R51" i="3" s="1"/>
  <c r="AF224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3" i="1"/>
  <c r="AM173" i="1"/>
  <c r="AN17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7" i="1"/>
  <c r="AM177" i="1"/>
  <c r="AN177" i="1"/>
  <c r="K230" i="1"/>
  <c r="L230" i="1"/>
  <c r="M230" i="1"/>
  <c r="N230" i="1"/>
  <c r="V230" i="1"/>
  <c r="Y230" i="1"/>
  <c r="AA230" i="1" s="1"/>
  <c r="Z230" i="1"/>
  <c r="AB230" i="1"/>
  <c r="AC230" i="1"/>
  <c r="AD230" i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AM180" i="1"/>
  <c r="AN180" i="1"/>
  <c r="K233" i="1"/>
  <c r="L233" i="1"/>
  <c r="M233" i="1"/>
  <c r="N233" i="1"/>
  <c r="V233" i="1"/>
  <c r="Y233" i="1"/>
  <c r="Z233" i="1"/>
  <c r="AB233" i="1"/>
  <c r="AC233" i="1"/>
  <c r="AD233" i="1"/>
  <c r="AG233" i="1" s="1"/>
  <c r="AE233" i="1"/>
  <c r="AF233" i="1"/>
  <c r="AH181" i="1"/>
  <c r="AM181" i="1"/>
  <c r="AN18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6" i="1"/>
  <c r="AM186" i="1"/>
  <c r="AN186" i="1"/>
  <c r="K162" i="1"/>
  <c r="L162" i="1"/>
  <c r="M162" i="1"/>
  <c r="N162" i="1" s="1"/>
  <c r="V162" i="1"/>
  <c r="S34" i="3" s="1"/>
  <c r="Y162" i="1"/>
  <c r="Z162" i="1"/>
  <c r="AB162" i="1"/>
  <c r="AC162" i="1"/>
  <c r="AD162" i="1"/>
  <c r="T162" i="1" s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8" i="1"/>
  <c r="AM188" i="1"/>
  <c r="AN18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7" i="1"/>
  <c r="AM197" i="1"/>
  <c r="AN19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V175" i="1"/>
  <c r="S36" i="3" s="1"/>
  <c r="Y175" i="1"/>
  <c r="Z175" i="1"/>
  <c r="AB175" i="1"/>
  <c r="AC175" i="1"/>
  <c r="AD175" i="1"/>
  <c r="T175" i="1" s="1"/>
  <c r="AE175" i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AE177" i="1"/>
  <c r="R37" i="3" s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3" i="1"/>
  <c r="AM203" i="1"/>
  <c r="AN20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4" i="1"/>
  <c r="AM204" i="1"/>
  <c r="AN204" i="1"/>
  <c r="K180" i="1"/>
  <c r="L180" i="1"/>
  <c r="M180" i="1"/>
  <c r="N180" i="1" s="1"/>
  <c r="V180" i="1"/>
  <c r="S44" i="3" s="1"/>
  <c r="Y180" i="1"/>
  <c r="Z180" i="1"/>
  <c r="AA180" i="1" s="1"/>
  <c r="AB180" i="1"/>
  <c r="AC180" i="1"/>
  <c r="AD180" i="1"/>
  <c r="AE180" i="1"/>
  <c r="R44" i="3" s="1"/>
  <c r="AF180" i="1"/>
  <c r="AH205" i="1"/>
  <c r="AM205" i="1"/>
  <c r="AN205" i="1"/>
  <c r="K181" i="1"/>
  <c r="L181" i="1"/>
  <c r="M181" i="1"/>
  <c r="N181" i="1"/>
  <c r="V181" i="1"/>
  <c r="Y181" i="1"/>
  <c r="Z181" i="1"/>
  <c r="AB181" i="1"/>
  <c r="AC181" i="1"/>
  <c r="AD181" i="1"/>
  <c r="AE181" i="1"/>
  <c r="AF181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K184" i="1"/>
  <c r="L184" i="1"/>
  <c r="M184" i="1"/>
  <c r="N184" i="1" s="1"/>
  <c r="V184" i="1"/>
  <c r="S45" i="3" s="1"/>
  <c r="Y184" i="1"/>
  <c r="Z184" i="1"/>
  <c r="AB184" i="1"/>
  <c r="AC184" i="1"/>
  <c r="AD184" i="1"/>
  <c r="AG184" i="1" s="1"/>
  <c r="AE184" i="1"/>
  <c r="R45" i="3" s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1" i="1"/>
  <c r="AM211" i="1"/>
  <c r="AN21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12" i="1"/>
  <c r="AM212" i="1"/>
  <c r="AN212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13" i="1"/>
  <c r="AM213" i="1"/>
  <c r="AN213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14" i="1"/>
  <c r="AM214" i="1"/>
  <c r="AN214" i="1"/>
  <c r="K187" i="1"/>
  <c r="L187" i="1"/>
  <c r="M187" i="1"/>
  <c r="N187" i="1" s="1"/>
  <c r="V187" i="1"/>
  <c r="Y187" i="1"/>
  <c r="Z187" i="1"/>
  <c r="AB187" i="1"/>
  <c r="AC187" i="1"/>
  <c r="AD187" i="1"/>
  <c r="X188" i="1" s="1"/>
  <c r="AE187" i="1"/>
  <c r="AF187" i="1"/>
  <c r="AH215" i="1"/>
  <c r="AM215" i="1"/>
  <c r="AN215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6" i="1"/>
  <c r="AM216" i="1"/>
  <c r="AN216" i="1"/>
  <c r="K189" i="1"/>
  <c r="L189" i="1"/>
  <c r="M189" i="1"/>
  <c r="N189" i="1" s="1"/>
  <c r="V189" i="1"/>
  <c r="S40" i="3" s="1"/>
  <c r="Y189" i="1"/>
  <c r="Z189" i="1"/>
  <c r="AB189" i="1"/>
  <c r="AC189" i="1"/>
  <c r="AD189" i="1"/>
  <c r="AG189" i="1" s="1"/>
  <c r="AE189" i="1"/>
  <c r="R40" i="3" s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R41" i="3" s="1"/>
  <c r="AF193" i="1"/>
  <c r="AH221" i="1"/>
  <c r="AM221" i="1"/>
  <c r="AN221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2" i="1"/>
  <c r="AM222" i="1"/>
  <c r="AN22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3" i="1"/>
  <c r="AM223" i="1"/>
  <c r="AN223" i="1"/>
  <c r="K196" i="1"/>
  <c r="L196" i="1"/>
  <c r="M196" i="1"/>
  <c r="N196" i="1" s="1"/>
  <c r="V196" i="1"/>
  <c r="S49" i="3" s="1"/>
  <c r="Y196" i="1"/>
  <c r="Z196" i="1"/>
  <c r="AA196" i="1" s="1"/>
  <c r="AB196" i="1"/>
  <c r="AC196" i="1"/>
  <c r="AD196" i="1"/>
  <c r="AG196" i="1" s="1"/>
  <c r="AE196" i="1"/>
  <c r="R49" i="3" s="1"/>
  <c r="AF196" i="1"/>
  <c r="AH224" i="1"/>
  <c r="AM224" i="1"/>
  <c r="AN224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225" i="1"/>
  <c r="AM225" i="1"/>
  <c r="AN225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26" i="1"/>
  <c r="AM226" i="1"/>
  <c r="AN226" i="1"/>
  <c r="K197" i="1"/>
  <c r="L197" i="1"/>
  <c r="M197" i="1"/>
  <c r="N197" i="1" s="1"/>
  <c r="V197" i="1"/>
  <c r="S42" i="3" s="1"/>
  <c r="Y197" i="1"/>
  <c r="Z197" i="1"/>
  <c r="AB197" i="1"/>
  <c r="AC197" i="1"/>
  <c r="AD197" i="1"/>
  <c r="AG197" i="1" s="1"/>
  <c r="AE197" i="1"/>
  <c r="AF197" i="1"/>
  <c r="AH227" i="1"/>
  <c r="AM227" i="1"/>
  <c r="AN227" i="1"/>
  <c r="K198" i="1"/>
  <c r="L198" i="1"/>
  <c r="M198" i="1"/>
  <c r="N198" i="1" s="1"/>
  <c r="V198" i="1"/>
  <c r="S35" i="3" s="1"/>
  <c r="Y198" i="1"/>
  <c r="Z198" i="1"/>
  <c r="AB198" i="1"/>
  <c r="AC198" i="1"/>
  <c r="AD198" i="1"/>
  <c r="T198" i="1" s="1"/>
  <c r="AE198" i="1"/>
  <c r="R35" i="3" s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9" i="1"/>
  <c r="AM229" i="1"/>
  <c r="AN229" i="1"/>
  <c r="K200" i="1"/>
  <c r="L200" i="1"/>
  <c r="M200" i="1"/>
  <c r="N200" i="1" s="1"/>
  <c r="V200" i="1"/>
  <c r="Y200" i="1"/>
  <c r="Z200" i="1"/>
  <c r="AA200" i="1" s="1"/>
  <c r="W200" i="1" s="1"/>
  <c r="AB200" i="1"/>
  <c r="AC200" i="1"/>
  <c r="AD200" i="1"/>
  <c r="AG200" i="1" s="1"/>
  <c r="AE200" i="1"/>
  <c r="AF200" i="1"/>
  <c r="AH230" i="1"/>
  <c r="AM230" i="1"/>
  <c r="AN230" i="1"/>
  <c r="K201" i="1"/>
  <c r="L201" i="1"/>
  <c r="M201" i="1"/>
  <c r="N201" i="1"/>
  <c r="V201" i="1"/>
  <c r="S43" i="3" s="1"/>
  <c r="Y201" i="1"/>
  <c r="Z201" i="1"/>
  <c r="AB201" i="1"/>
  <c r="AC201" i="1"/>
  <c r="AD201" i="1"/>
  <c r="AG201" i="1" s="1"/>
  <c r="AE201" i="1"/>
  <c r="AF201" i="1"/>
  <c r="AH231" i="1"/>
  <c r="AI231" i="1"/>
  <c r="AM231" i="1"/>
  <c r="AN231" i="1"/>
  <c r="K202" i="1"/>
  <c r="L202" i="1"/>
  <c r="M202" i="1"/>
  <c r="N202" i="1" s="1"/>
  <c r="V202" i="1"/>
  <c r="S32" i="3" s="1"/>
  <c r="Y202" i="1"/>
  <c r="Z202" i="1"/>
  <c r="AB202" i="1"/>
  <c r="AC202" i="1"/>
  <c r="AD202" i="1"/>
  <c r="AG202" i="1" s="1"/>
  <c r="AE202" i="1"/>
  <c r="R32" i="3" s="1"/>
  <c r="AF202" i="1"/>
  <c r="AH232" i="1"/>
  <c r="AM232" i="1"/>
  <c r="AN232" i="1"/>
  <c r="K203" i="1"/>
  <c r="L203" i="1"/>
  <c r="M203" i="1"/>
  <c r="N203" i="1" s="1"/>
  <c r="V203" i="1"/>
  <c r="S50" i="3" s="1"/>
  <c r="Y203" i="1"/>
  <c r="Z203" i="1"/>
  <c r="AB203" i="1"/>
  <c r="AC203" i="1"/>
  <c r="AD203" i="1"/>
  <c r="AE203" i="1"/>
  <c r="AF203" i="1"/>
  <c r="AH233" i="1"/>
  <c r="AM233" i="1"/>
  <c r="AN233" i="1"/>
  <c r="K213" i="1"/>
  <c r="L213" i="1"/>
  <c r="M213" i="1"/>
  <c r="N213" i="1" s="1"/>
  <c r="V213" i="1"/>
  <c r="S55" i="3" s="1"/>
  <c r="Y213" i="1"/>
  <c r="Z213" i="1"/>
  <c r="AB213" i="1"/>
  <c r="AC213" i="1"/>
  <c r="AD213" i="1"/>
  <c r="AE213" i="1"/>
  <c r="R55" i="3" s="1"/>
  <c r="AF213" i="1"/>
  <c r="AH234" i="1"/>
  <c r="AM234" i="1"/>
  <c r="AN234" i="1"/>
  <c r="K214" i="1"/>
  <c r="L214" i="1"/>
  <c r="M214" i="1"/>
  <c r="N214" i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235" i="1"/>
  <c r="AM235" i="1"/>
  <c r="AN23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36" i="1"/>
  <c r="AM236" i="1"/>
  <c r="AN23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37" i="1"/>
  <c r="AM237" i="1"/>
  <c r="AN23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38" i="1"/>
  <c r="AM238" i="1"/>
  <c r="AN238" i="1"/>
  <c r="M55" i="3"/>
  <c r="U55" i="3"/>
  <c r="T55" i="3" s="1"/>
  <c r="V55" i="3"/>
  <c r="W55" i="3"/>
  <c r="X55" i="3"/>
  <c r="AC55" i="3"/>
  <c r="M15" i="3"/>
  <c r="S15" i="3"/>
  <c r="U15" i="3"/>
  <c r="AD18" i="3" s="1"/>
  <c r="V15" i="3"/>
  <c r="W15" i="3"/>
  <c r="X15" i="3"/>
  <c r="M13" i="3"/>
  <c r="S13" i="3"/>
  <c r="U13" i="3"/>
  <c r="AC13" i="3" s="1"/>
  <c r="V13" i="3"/>
  <c r="W13" i="3"/>
  <c r="Y13" i="3" s="1"/>
  <c r="X13" i="3"/>
  <c r="M34" i="3"/>
  <c r="R34" i="3"/>
  <c r="U34" i="3"/>
  <c r="AC34" i="3" s="1"/>
  <c r="V34" i="3"/>
  <c r="W34" i="3"/>
  <c r="X34" i="3"/>
  <c r="M17" i="3"/>
  <c r="R17" i="3"/>
  <c r="U17" i="3"/>
  <c r="T17" i="3" s="1"/>
  <c r="V17" i="3"/>
  <c r="W17" i="3"/>
  <c r="X17" i="3"/>
  <c r="AC17" i="3"/>
  <c r="M25" i="3"/>
  <c r="S25" i="3"/>
  <c r="U25" i="3"/>
  <c r="AD25" i="3" s="1"/>
  <c r="V25" i="3"/>
  <c r="W25" i="3"/>
  <c r="X25" i="3"/>
  <c r="M26" i="3"/>
  <c r="R26" i="3"/>
  <c r="S26" i="3"/>
  <c r="U26" i="3"/>
  <c r="AC26" i="3" s="1"/>
  <c r="V26" i="3"/>
  <c r="W26" i="3"/>
  <c r="X26" i="3"/>
  <c r="M18" i="3"/>
  <c r="R18" i="3"/>
  <c r="T18" i="3"/>
  <c r="U18" i="3"/>
  <c r="AC18" i="3" s="1"/>
  <c r="V18" i="3"/>
  <c r="W18" i="3"/>
  <c r="X18" i="3"/>
  <c r="M19" i="3"/>
  <c r="R19" i="3"/>
  <c r="S19" i="3"/>
  <c r="U19" i="3"/>
  <c r="T19" i="3" s="1"/>
  <c r="V19" i="3"/>
  <c r="W19" i="3"/>
  <c r="Y19" i="3" s="1"/>
  <c r="X19" i="3"/>
  <c r="AC19" i="3"/>
  <c r="M7" i="3"/>
  <c r="R7" i="3"/>
  <c r="S7" i="3"/>
  <c r="U7" i="3"/>
  <c r="V7" i="3"/>
  <c r="W7" i="3"/>
  <c r="Y7" i="3" s="1"/>
  <c r="X7" i="3"/>
  <c r="M27" i="3"/>
  <c r="R27" i="3"/>
  <c r="S27" i="3"/>
  <c r="U27" i="3"/>
  <c r="AC27" i="3" s="1"/>
  <c r="V27" i="3"/>
  <c r="W27" i="3"/>
  <c r="X27" i="3"/>
  <c r="M20" i="3"/>
  <c r="S20" i="3"/>
  <c r="U20" i="3"/>
  <c r="AC20" i="3" s="1"/>
  <c r="V20" i="3"/>
  <c r="W20" i="3"/>
  <c r="X20" i="3"/>
  <c r="AD20" i="3"/>
  <c r="M10" i="3"/>
  <c r="S10" i="3"/>
  <c r="U10" i="3"/>
  <c r="T10" i="3" s="1"/>
  <c r="V10" i="3"/>
  <c r="W10" i="3"/>
  <c r="X10" i="3"/>
  <c r="AC10" i="3"/>
  <c r="M53" i="3"/>
  <c r="S53" i="3"/>
  <c r="U53" i="3"/>
  <c r="V53" i="3"/>
  <c r="W53" i="3"/>
  <c r="X53" i="3"/>
  <c r="M54" i="3"/>
  <c r="U54" i="3"/>
  <c r="AC54" i="3" s="1"/>
  <c r="V54" i="3"/>
  <c r="W54" i="3"/>
  <c r="X54" i="3"/>
  <c r="M36" i="3"/>
  <c r="R36" i="3"/>
  <c r="U36" i="3"/>
  <c r="AC36" i="3" s="1"/>
  <c r="V36" i="3"/>
  <c r="W36" i="3"/>
  <c r="X36" i="3"/>
  <c r="M37" i="3"/>
  <c r="S37" i="3"/>
  <c r="U37" i="3"/>
  <c r="T37" i="3" s="1"/>
  <c r="V37" i="3"/>
  <c r="W37" i="3"/>
  <c r="X37" i="3"/>
  <c r="AC37" i="3"/>
  <c r="M38" i="3"/>
  <c r="S38" i="3"/>
  <c r="U38" i="3"/>
  <c r="V38" i="3"/>
  <c r="W38" i="3"/>
  <c r="X38" i="3"/>
  <c r="M28" i="3"/>
  <c r="R28" i="3"/>
  <c r="S28" i="3"/>
  <c r="U28" i="3"/>
  <c r="AC28" i="3" s="1"/>
  <c r="V28" i="3"/>
  <c r="W28" i="3"/>
  <c r="X28" i="3"/>
  <c r="M29" i="3"/>
  <c r="S29" i="3"/>
  <c r="U29" i="3"/>
  <c r="AC29" i="3" s="1"/>
  <c r="V29" i="3"/>
  <c r="W29" i="3"/>
  <c r="X29" i="3"/>
  <c r="AD29" i="3"/>
  <c r="M39" i="3"/>
  <c r="R39" i="3"/>
  <c r="S39" i="3"/>
  <c r="U39" i="3"/>
  <c r="T39" i="3" s="1"/>
  <c r="V39" i="3"/>
  <c r="W39" i="3"/>
  <c r="X39" i="3"/>
  <c r="AC39" i="3"/>
  <c r="M14" i="3"/>
  <c r="R14" i="3"/>
  <c r="S14" i="3"/>
  <c r="U14" i="3"/>
  <c r="V14" i="3"/>
  <c r="W14" i="3"/>
  <c r="X14" i="3"/>
  <c r="M12" i="3"/>
  <c r="R12" i="3"/>
  <c r="U12" i="3"/>
  <c r="AC12" i="3" s="1"/>
  <c r="V12" i="3"/>
  <c r="W12" i="3"/>
  <c r="X12" i="3"/>
  <c r="M44" i="3"/>
  <c r="U44" i="3"/>
  <c r="V44" i="3"/>
  <c r="W44" i="3"/>
  <c r="X44" i="3"/>
  <c r="M45" i="3"/>
  <c r="U45" i="3"/>
  <c r="V45" i="3"/>
  <c r="W45" i="3"/>
  <c r="X45" i="3"/>
  <c r="AC45" i="3"/>
  <c r="M46" i="3"/>
  <c r="U46" i="3"/>
  <c r="V46" i="3"/>
  <c r="W46" i="3"/>
  <c r="X46" i="3"/>
  <c r="M47" i="3"/>
  <c r="U47" i="3"/>
  <c r="AC47" i="3" s="1"/>
  <c r="V47" i="3"/>
  <c r="W47" i="3"/>
  <c r="X47" i="3"/>
  <c r="M48" i="3"/>
  <c r="U48" i="3"/>
  <c r="AC48" i="3" s="1"/>
  <c r="V48" i="3"/>
  <c r="W48" i="3"/>
  <c r="X48" i="3"/>
  <c r="M51" i="3"/>
  <c r="S51" i="3"/>
  <c r="U51" i="3"/>
  <c r="V51" i="3"/>
  <c r="W51" i="3"/>
  <c r="X51" i="3"/>
  <c r="AC51" i="3"/>
  <c r="M40" i="3"/>
  <c r="U40" i="3"/>
  <c r="V40" i="3"/>
  <c r="W40" i="3"/>
  <c r="X40" i="3"/>
  <c r="M30" i="3"/>
  <c r="R30" i="3"/>
  <c r="U30" i="3"/>
  <c r="AC30" i="3" s="1"/>
  <c r="V30" i="3"/>
  <c r="W30" i="3"/>
  <c r="X30" i="3"/>
  <c r="M33" i="3"/>
  <c r="S33" i="3"/>
  <c r="U33" i="3"/>
  <c r="AC33" i="3" s="1"/>
  <c r="V33" i="3"/>
  <c r="W33" i="3"/>
  <c r="X33" i="3"/>
  <c r="M31" i="3"/>
  <c r="S31" i="3"/>
  <c r="U31" i="3"/>
  <c r="T31" i="3" s="1"/>
  <c r="V31" i="3"/>
  <c r="W31" i="3"/>
  <c r="X31" i="3"/>
  <c r="AC31" i="3"/>
  <c r="M41" i="3"/>
  <c r="U41" i="3"/>
  <c r="AC41" i="3" s="1"/>
  <c r="V41" i="3"/>
  <c r="W41" i="3"/>
  <c r="Y41" i="3" s="1"/>
  <c r="X41" i="3"/>
  <c r="M21" i="3"/>
  <c r="R21" i="3"/>
  <c r="U21" i="3"/>
  <c r="AC21" i="3" s="1"/>
  <c r="V21" i="3"/>
  <c r="W21" i="3"/>
  <c r="X21" i="3"/>
  <c r="M49" i="3"/>
  <c r="U49" i="3"/>
  <c r="T49" i="3" s="1"/>
  <c r="V49" i="3"/>
  <c r="W49" i="3"/>
  <c r="X49" i="3"/>
  <c r="AC49" i="3"/>
  <c r="M35" i="3"/>
  <c r="U35" i="3"/>
  <c r="V35" i="3"/>
  <c r="W35" i="3"/>
  <c r="X35" i="3"/>
  <c r="AC35" i="3"/>
  <c r="M22" i="3"/>
  <c r="R22" i="3"/>
  <c r="U22" i="3"/>
  <c r="AC22" i="3" s="1"/>
  <c r="V22" i="3"/>
  <c r="W22" i="3"/>
  <c r="X22" i="3"/>
  <c r="M11" i="3"/>
  <c r="R11" i="3"/>
  <c r="U11" i="3"/>
  <c r="AC11" i="3" s="1"/>
  <c r="V11" i="3"/>
  <c r="W11" i="3"/>
  <c r="X11" i="3"/>
  <c r="AD11" i="3"/>
  <c r="M42" i="3"/>
  <c r="R42" i="3"/>
  <c r="U42" i="3"/>
  <c r="V42" i="3"/>
  <c r="W42" i="3"/>
  <c r="X42" i="3"/>
  <c r="AC42" i="3"/>
  <c r="M8" i="3"/>
  <c r="R8" i="3"/>
  <c r="S8" i="3"/>
  <c r="U8" i="3"/>
  <c r="V8" i="3"/>
  <c r="W8" i="3"/>
  <c r="X8" i="3"/>
  <c r="M24" i="3"/>
  <c r="U24" i="3"/>
  <c r="AC24" i="3" s="1"/>
  <c r="V24" i="3"/>
  <c r="W24" i="3"/>
  <c r="X24" i="3"/>
  <c r="M32" i="3"/>
  <c r="U32" i="3"/>
  <c r="AC32" i="3" s="1"/>
  <c r="V32" i="3"/>
  <c r="W32" i="3"/>
  <c r="X32" i="3"/>
  <c r="M23" i="3"/>
  <c r="U23" i="3"/>
  <c r="AD36" i="3" s="1"/>
  <c r="V23" i="3"/>
  <c r="W23" i="3"/>
  <c r="X23" i="3"/>
  <c r="AC23" i="3"/>
  <c r="M9" i="3"/>
  <c r="R9" i="3"/>
  <c r="U9" i="3"/>
  <c r="V9" i="3"/>
  <c r="W9" i="3"/>
  <c r="X9" i="3"/>
  <c r="AC9" i="3"/>
  <c r="M43" i="3"/>
  <c r="R43" i="3"/>
  <c r="U43" i="3"/>
  <c r="AC43" i="3" s="1"/>
  <c r="V43" i="3"/>
  <c r="W43" i="3"/>
  <c r="Y43" i="3" s="1"/>
  <c r="X43" i="3"/>
  <c r="M50" i="3"/>
  <c r="R50" i="3"/>
  <c r="U50" i="3"/>
  <c r="AC50" i="3" s="1"/>
  <c r="V50" i="3"/>
  <c r="W50" i="3"/>
  <c r="X50" i="3"/>
  <c r="M16" i="3"/>
  <c r="R16" i="3"/>
  <c r="U16" i="3"/>
  <c r="T16" i="3" s="1"/>
  <c r="V16" i="3"/>
  <c r="W16" i="3"/>
  <c r="X16" i="3"/>
  <c r="AC16" i="3"/>
  <c r="Y9" i="3" l="1"/>
  <c r="Y8" i="3"/>
  <c r="Y47" i="3"/>
  <c r="Y38" i="3"/>
  <c r="Y53" i="3"/>
  <c r="AE20" i="3"/>
  <c r="AD30" i="3"/>
  <c r="Y46" i="3"/>
  <c r="Y36" i="3"/>
  <c r="AD51" i="3"/>
  <c r="AD21" i="3"/>
  <c r="AE11" i="3"/>
  <c r="W153" i="1"/>
  <c r="X154" i="1"/>
  <c r="T153" i="1"/>
  <c r="U153" i="1" s="1"/>
  <c r="AG154" i="1"/>
  <c r="W154" i="1" s="1"/>
  <c r="X153" i="1"/>
  <c r="W150" i="1"/>
  <c r="T149" i="1"/>
  <c r="U149" i="1" s="1"/>
  <c r="AI149" i="1"/>
  <c r="AI153" i="1"/>
  <c r="W149" i="1"/>
  <c r="U154" i="1"/>
  <c r="U150" i="1"/>
  <c r="AG155" i="1"/>
  <c r="AG151" i="1"/>
  <c r="W151" i="1" s="1"/>
  <c r="AG156" i="1"/>
  <c r="W156" i="1" s="1"/>
  <c r="X155" i="1"/>
  <c r="AG152" i="1"/>
  <c r="W152" i="1" s="1"/>
  <c r="X151" i="1"/>
  <c r="AI150" i="1"/>
  <c r="AG148" i="1"/>
  <c r="W148" i="1" s="1"/>
  <c r="X152" i="1"/>
  <c r="X148" i="1"/>
  <c r="AG146" i="1"/>
  <c r="R38" i="3"/>
  <c r="AA202" i="1"/>
  <c r="AA197" i="1"/>
  <c r="AA176" i="1"/>
  <c r="AG175" i="1"/>
  <c r="AI175" i="1" s="1"/>
  <c r="X175" i="1"/>
  <c r="AA231" i="1"/>
  <c r="W231" i="1" s="1"/>
  <c r="AA108" i="1"/>
  <c r="AA21" i="1"/>
  <c r="T124" i="1"/>
  <c r="X116" i="1"/>
  <c r="X94" i="1"/>
  <c r="T78" i="1"/>
  <c r="AA62" i="1"/>
  <c r="AG59" i="1"/>
  <c r="U59" i="1" s="1"/>
  <c r="S59" i="1" s="1"/>
  <c r="X59" i="1"/>
  <c r="AG58" i="1"/>
  <c r="X32" i="1"/>
  <c r="X28" i="1"/>
  <c r="Y48" i="3"/>
  <c r="Y27" i="3"/>
  <c r="Y34" i="3"/>
  <c r="AA189" i="1"/>
  <c r="W189" i="1" s="1"/>
  <c r="AG188" i="1"/>
  <c r="AI188" i="1" s="1"/>
  <c r="AD8" i="3"/>
  <c r="AD49" i="3"/>
  <c r="Y30" i="3"/>
  <c r="AE26" i="3"/>
  <c r="AE29" i="3"/>
  <c r="AD38" i="3"/>
  <c r="Y10" i="3"/>
  <c r="AD7" i="3"/>
  <c r="Y25" i="3"/>
  <c r="T214" i="1"/>
  <c r="X203" i="1"/>
  <c r="X190" i="1"/>
  <c r="AA190" i="1"/>
  <c r="AA187" i="1"/>
  <c r="X236" i="1"/>
  <c r="X179" i="1"/>
  <c r="AG178" i="1"/>
  <c r="X178" i="1"/>
  <c r="AA175" i="1"/>
  <c r="W175" i="1" s="1"/>
  <c r="AA158" i="1"/>
  <c r="T231" i="1"/>
  <c r="AA119" i="1"/>
  <c r="AA95" i="1"/>
  <c r="W95" i="1" s="1"/>
  <c r="AI48" i="1"/>
  <c r="AA45" i="1"/>
  <c r="X27" i="1"/>
  <c r="X215" i="1"/>
  <c r="T215" i="1"/>
  <c r="S41" i="3"/>
  <c r="AA186" i="1"/>
  <c r="W186" i="1" s="1"/>
  <c r="T159" i="1"/>
  <c r="U159" i="1" s="1"/>
  <c r="S159" i="1" s="1"/>
  <c r="X159" i="1"/>
  <c r="AG159" i="1"/>
  <c r="AG143" i="1"/>
  <c r="AI143" i="1" s="1"/>
  <c r="X143" i="1"/>
  <c r="T108" i="1"/>
  <c r="X108" i="1"/>
  <c r="AG108" i="1"/>
  <c r="T194" i="1"/>
  <c r="AG194" i="1"/>
  <c r="T39" i="1"/>
  <c r="AG39" i="1"/>
  <c r="T17" i="1"/>
  <c r="U17" i="1" s="1"/>
  <c r="S17" i="1" s="1"/>
  <c r="AG17" i="1"/>
  <c r="AE50" i="3"/>
  <c r="Y23" i="3"/>
  <c r="T11" i="3"/>
  <c r="Y14" i="3"/>
  <c r="Y39" i="3"/>
  <c r="AE18" i="3"/>
  <c r="W197" i="1"/>
  <c r="T158" i="1"/>
  <c r="AG158" i="1"/>
  <c r="X66" i="1"/>
  <c r="AG66" i="1"/>
  <c r="AI66" i="1" s="1"/>
  <c r="R13" i="3"/>
  <c r="R15" i="3"/>
  <c r="T23" i="3"/>
  <c r="Y33" i="3"/>
  <c r="AD50" i="3"/>
  <c r="Y22" i="3"/>
  <c r="Y40" i="3"/>
  <c r="T51" i="3"/>
  <c r="AD23" i="3"/>
  <c r="AC44" i="3"/>
  <c r="T44" i="3"/>
  <c r="AA203" i="1"/>
  <c r="X197" i="1"/>
  <c r="X195" i="1"/>
  <c r="W176" i="1"/>
  <c r="W143" i="1"/>
  <c r="T112" i="1"/>
  <c r="X112" i="1"/>
  <c r="AG112" i="1"/>
  <c r="AI112" i="1" s="1"/>
  <c r="W104" i="1"/>
  <c r="AG97" i="1"/>
  <c r="AI97" i="1" s="1"/>
  <c r="X97" i="1"/>
  <c r="T38" i="1"/>
  <c r="AG38" i="1"/>
  <c r="T21" i="1"/>
  <c r="X21" i="1"/>
  <c r="AG21" i="1"/>
  <c r="W21" i="1" s="1"/>
  <c r="AA204" i="1"/>
  <c r="W204" i="1" s="1"/>
  <c r="X140" i="1"/>
  <c r="AA126" i="1"/>
  <c r="AA114" i="1"/>
  <c r="AA110" i="1"/>
  <c r="AA70" i="1"/>
  <c r="X67" i="1"/>
  <c r="AA19" i="1"/>
  <c r="AA15" i="1"/>
  <c r="AG94" i="1"/>
  <c r="AG82" i="1"/>
  <c r="X82" i="1"/>
  <c r="AG78" i="1"/>
  <c r="AI78" i="1" s="1"/>
  <c r="AG74" i="1"/>
  <c r="AG70" i="1"/>
  <c r="AG32" i="1"/>
  <c r="AI32" i="1" s="1"/>
  <c r="Y28" i="3"/>
  <c r="Y18" i="3"/>
  <c r="Y26" i="3"/>
  <c r="AG209" i="1"/>
  <c r="U209" i="1" s="1"/>
  <c r="S209" i="1" s="1"/>
  <c r="X209" i="1"/>
  <c r="X139" i="1"/>
  <c r="AE23" i="3"/>
  <c r="Y24" i="3"/>
  <c r="AD35" i="3"/>
  <c r="AD47" i="3"/>
  <c r="AE30" i="3"/>
  <c r="Y54" i="3"/>
  <c r="T34" i="3"/>
  <c r="Y15" i="3"/>
  <c r="Y55" i="3"/>
  <c r="AI201" i="1"/>
  <c r="AA181" i="1"/>
  <c r="AA172" i="1"/>
  <c r="AA225" i="1"/>
  <c r="AA221" i="1"/>
  <c r="AA208" i="1"/>
  <c r="AA147" i="1"/>
  <c r="AA142" i="1"/>
  <c r="T140" i="1"/>
  <c r="AI139" i="1"/>
  <c r="AG132" i="1"/>
  <c r="X132" i="1"/>
  <c r="T131" i="1"/>
  <c r="U131" i="1" s="1"/>
  <c r="S131" i="1" s="1"/>
  <c r="AA127" i="1"/>
  <c r="W127" i="1" s="1"/>
  <c r="AA125" i="1"/>
  <c r="W125" i="1" s="1"/>
  <c r="AA116" i="1"/>
  <c r="AI115" i="1"/>
  <c r="AA107" i="1"/>
  <c r="AA97" i="1"/>
  <c r="W97" i="1" s="1"/>
  <c r="AA96" i="1"/>
  <c r="X86" i="1"/>
  <c r="AG85" i="1"/>
  <c r="AI85" i="1" s="1"/>
  <c r="AA80" i="1"/>
  <c r="AA69" i="1"/>
  <c r="AA58" i="1"/>
  <c r="W58" i="1" s="1"/>
  <c r="AG55" i="1"/>
  <c r="U55" i="1" s="1"/>
  <c r="S55" i="1" s="1"/>
  <c r="X55" i="1"/>
  <c r="AA50" i="1"/>
  <c r="AA20" i="1"/>
  <c r="W20" i="1" s="1"/>
  <c r="AA14" i="1"/>
  <c r="AA223" i="1"/>
  <c r="AA218" i="1"/>
  <c r="AA81" i="1"/>
  <c r="W81" i="1" s="1"/>
  <c r="T62" i="1"/>
  <c r="AG62" i="1"/>
  <c r="W62" i="1" s="1"/>
  <c r="AG35" i="1"/>
  <c r="T35" i="1"/>
  <c r="U35" i="1" s="1"/>
  <c r="S35" i="1" s="1"/>
  <c r="R31" i="3"/>
  <c r="AI217" i="1"/>
  <c r="AG166" i="1"/>
  <c r="U166" i="1" s="1"/>
  <c r="AG123" i="1"/>
  <c r="W123" i="1" s="1"/>
  <c r="T123" i="1"/>
  <c r="T24" i="1"/>
  <c r="AG24" i="1"/>
  <c r="AI24" i="1" s="1"/>
  <c r="AG185" i="1"/>
  <c r="X185" i="1"/>
  <c r="AG169" i="1"/>
  <c r="AI169" i="1" s="1"/>
  <c r="X169" i="1"/>
  <c r="T136" i="1"/>
  <c r="U136" i="1" s="1"/>
  <c r="S136" i="1" s="1"/>
  <c r="X136" i="1"/>
  <c r="AG136" i="1"/>
  <c r="AG193" i="1"/>
  <c r="AI193" i="1" s="1"/>
  <c r="T193" i="1"/>
  <c r="AG182" i="1"/>
  <c r="U182" i="1" s="1"/>
  <c r="S182" i="1" s="1"/>
  <c r="AG174" i="1"/>
  <c r="R33" i="3"/>
  <c r="R46" i="3"/>
  <c r="AG237" i="1"/>
  <c r="T237" i="1"/>
  <c r="X186" i="1"/>
  <c r="T169" i="1"/>
  <c r="X224" i="1"/>
  <c r="T224" i="1"/>
  <c r="AG223" i="1"/>
  <c r="U223" i="1" s="1"/>
  <c r="S223" i="1" s="1"/>
  <c r="X223" i="1"/>
  <c r="R47" i="3"/>
  <c r="AA216" i="1"/>
  <c r="X202" i="1"/>
  <c r="X237" i="1"/>
  <c r="AA192" i="1"/>
  <c r="AA174" i="1"/>
  <c r="AA169" i="1"/>
  <c r="W169" i="1" s="1"/>
  <c r="AA165" i="1"/>
  <c r="AA161" i="1"/>
  <c r="AG227" i="1"/>
  <c r="W227" i="1" s="1"/>
  <c r="X227" i="1"/>
  <c r="W225" i="1"/>
  <c r="AA138" i="1"/>
  <c r="U132" i="1"/>
  <c r="AI127" i="1"/>
  <c r="AG124" i="1"/>
  <c r="AA54" i="1"/>
  <c r="W54" i="1" s="1"/>
  <c r="AA121" i="1"/>
  <c r="AA86" i="1"/>
  <c r="W70" i="1"/>
  <c r="AA66" i="1"/>
  <c r="X62" i="1"/>
  <c r="T54" i="1"/>
  <c r="U54" i="1" s="1"/>
  <c r="S54" i="1" s="1"/>
  <c r="AA53" i="1"/>
  <c r="W50" i="1"/>
  <c r="X46" i="1"/>
  <c r="AI38" i="1"/>
  <c r="AA33" i="1"/>
  <c r="AA76" i="1"/>
  <c r="U70" i="1"/>
  <c r="S70" i="1" s="1"/>
  <c r="AA48" i="1"/>
  <c r="W48" i="1" s="1"/>
  <c r="AA37" i="1"/>
  <c r="AA36" i="1"/>
  <c r="AA27" i="1"/>
  <c r="W27" i="1" s="1"/>
  <c r="AA24" i="1"/>
  <c r="W24" i="1" s="1"/>
  <c r="AA16" i="1"/>
  <c r="AI214" i="1"/>
  <c r="AA213" i="1"/>
  <c r="AA201" i="1"/>
  <c r="W201" i="1" s="1"/>
  <c r="AA198" i="1"/>
  <c r="AA237" i="1"/>
  <c r="AA194" i="1"/>
  <c r="W194" i="1" s="1"/>
  <c r="AA236" i="1"/>
  <c r="W236" i="1" s="1"/>
  <c r="AA235" i="1"/>
  <c r="AA170" i="1"/>
  <c r="W170" i="1" s="1"/>
  <c r="AA164" i="1"/>
  <c r="AA209" i="1"/>
  <c r="AA141" i="1"/>
  <c r="W141" i="1" s="1"/>
  <c r="AA139" i="1"/>
  <c r="W139" i="1" s="1"/>
  <c r="AA131" i="1"/>
  <c r="W131" i="1" s="1"/>
  <c r="X127" i="1"/>
  <c r="T115" i="1"/>
  <c r="U115" i="1" s="1"/>
  <c r="S115" i="1" s="1"/>
  <c r="AA106" i="1"/>
  <c r="T105" i="1"/>
  <c r="U105" i="1" s="1"/>
  <c r="S105" i="1" s="1"/>
  <c r="AA85" i="1"/>
  <c r="W85" i="1" s="1"/>
  <c r="AA75" i="1"/>
  <c r="AA74" i="1"/>
  <c r="T67" i="1"/>
  <c r="AA61" i="1"/>
  <c r="AA57" i="1"/>
  <c r="AA46" i="1"/>
  <c r="W46" i="1" s="1"/>
  <c r="AA42" i="1"/>
  <c r="W42" i="1" s="1"/>
  <c r="AA38" i="1"/>
  <c r="W38" i="1" s="1"/>
  <c r="AA31" i="1"/>
  <c r="AA30" i="1"/>
  <c r="AI202" i="1"/>
  <c r="W196" i="1"/>
  <c r="R48" i="3"/>
  <c r="AG198" i="1"/>
  <c r="T186" i="1"/>
  <c r="U186" i="1" s="1"/>
  <c r="S186" i="1" s="1"/>
  <c r="AG162" i="1"/>
  <c r="U162" i="1" s="1"/>
  <c r="S162" i="1" s="1"/>
  <c r="X162" i="1"/>
  <c r="U231" i="1"/>
  <c r="S231" i="1" s="1"/>
  <c r="AG228" i="1"/>
  <c r="X228" i="1"/>
  <c r="AG219" i="1"/>
  <c r="U219" i="1" s="1"/>
  <c r="S219" i="1" s="1"/>
  <c r="X219" i="1"/>
  <c r="T101" i="1"/>
  <c r="AG101" i="1"/>
  <c r="AI101" i="1" s="1"/>
  <c r="W202" i="1"/>
  <c r="T170" i="1"/>
  <c r="U170" i="1" s="1"/>
  <c r="S170" i="1" s="1"/>
  <c r="X163" i="1"/>
  <c r="AG163" i="1"/>
  <c r="U163" i="1" s="1"/>
  <c r="S163" i="1" s="1"/>
  <c r="AG111" i="1"/>
  <c r="T111" i="1"/>
  <c r="X111" i="1"/>
  <c r="AI105" i="1"/>
  <c r="U89" i="1"/>
  <c r="S89" i="1" s="1"/>
  <c r="AI89" i="1"/>
  <c r="U74" i="1"/>
  <c r="S74" i="1" s="1"/>
  <c r="AI74" i="1"/>
  <c r="AA217" i="1"/>
  <c r="W217" i="1" s="1"/>
  <c r="AA215" i="1"/>
  <c r="W215" i="1" s="1"/>
  <c r="T202" i="1"/>
  <c r="U202" i="1" s="1"/>
  <c r="S202" i="1" s="1"/>
  <c r="X201" i="1"/>
  <c r="T196" i="1"/>
  <c r="U196" i="1" s="1"/>
  <c r="S196" i="1" s="1"/>
  <c r="AG192" i="1"/>
  <c r="U192" i="1" s="1"/>
  <c r="S192" i="1" s="1"/>
  <c r="AG190" i="1"/>
  <c r="U190" i="1" s="1"/>
  <c r="S190" i="1" s="1"/>
  <c r="AG187" i="1"/>
  <c r="W187" i="1" s="1"/>
  <c r="R54" i="3"/>
  <c r="AG216" i="1"/>
  <c r="U216" i="1" s="1"/>
  <c r="S216" i="1" s="1"/>
  <c r="X216" i="1"/>
  <c r="AG215" i="1"/>
  <c r="AA238" i="1"/>
  <c r="W238" i="1" s="1"/>
  <c r="AA195" i="1"/>
  <c r="X193" i="1"/>
  <c r="T190" i="1"/>
  <c r="U188" i="1"/>
  <c r="S188" i="1" s="1"/>
  <c r="AA185" i="1"/>
  <c r="T185" i="1"/>
  <c r="AA183" i="1"/>
  <c r="AA177" i="1"/>
  <c r="AA173" i="1"/>
  <c r="X170" i="1"/>
  <c r="AI194" i="1"/>
  <c r="T167" i="1"/>
  <c r="X167" i="1"/>
  <c r="AG167" i="1"/>
  <c r="AI167" i="1" s="1"/>
  <c r="T163" i="1"/>
  <c r="U158" i="1"/>
  <c r="S158" i="1" s="1"/>
  <c r="AG232" i="1"/>
  <c r="AI232" i="1" s="1"/>
  <c r="X232" i="1"/>
  <c r="AA226" i="1"/>
  <c r="AG224" i="1"/>
  <c r="AI224" i="1" s="1"/>
  <c r="AA222" i="1"/>
  <c r="AG221" i="1"/>
  <c r="AI221" i="1" s="1"/>
  <c r="T221" i="1"/>
  <c r="T218" i="1"/>
  <c r="U218" i="1" s="1"/>
  <c r="S218" i="1" s="1"/>
  <c r="AA212" i="1"/>
  <c r="X205" i="1"/>
  <c r="AG205" i="1"/>
  <c r="U205" i="1" s="1"/>
  <c r="S205" i="1" s="1"/>
  <c r="AA205" i="1"/>
  <c r="X144" i="1"/>
  <c r="AG144" i="1"/>
  <c r="AI144" i="1" s="1"/>
  <c r="AA144" i="1"/>
  <c r="X90" i="1"/>
  <c r="AG90" i="1"/>
  <c r="T90" i="1"/>
  <c r="T187" i="1"/>
  <c r="T201" i="1"/>
  <c r="U201" i="1" s="1"/>
  <c r="S201" i="1" s="1"/>
  <c r="X199" i="1"/>
  <c r="AA191" i="1"/>
  <c r="T183" i="1"/>
  <c r="X183" i="1"/>
  <c r="AG183" i="1"/>
  <c r="AI183" i="1" s="1"/>
  <c r="AG177" i="1"/>
  <c r="U177" i="1" s="1"/>
  <c r="S177" i="1" s="1"/>
  <c r="T177" i="1"/>
  <c r="U174" i="1"/>
  <c r="S174" i="1" s="1"/>
  <c r="AG173" i="1"/>
  <c r="AI173" i="1" s="1"/>
  <c r="X173" i="1"/>
  <c r="AA162" i="1"/>
  <c r="AA228" i="1"/>
  <c r="T208" i="1"/>
  <c r="U208" i="1" s="1"/>
  <c r="S208" i="1" s="1"/>
  <c r="X204" i="1"/>
  <c r="AA145" i="1"/>
  <c r="W145" i="1" s="1"/>
  <c r="X102" i="1"/>
  <c r="W105" i="1"/>
  <c r="W89" i="1"/>
  <c r="T86" i="1"/>
  <c r="T81" i="1"/>
  <c r="U81" i="1" s="1"/>
  <c r="S81" i="1" s="1"/>
  <c r="X71" i="1"/>
  <c r="AG71" i="1"/>
  <c r="T71" i="1"/>
  <c r="AI27" i="1"/>
  <c r="T143" i="1"/>
  <c r="U143" i="1" s="1"/>
  <c r="S143" i="1" s="1"/>
  <c r="AA140" i="1"/>
  <c r="X128" i="1"/>
  <c r="AG128" i="1"/>
  <c r="U128" i="1" s="1"/>
  <c r="S128" i="1" s="1"/>
  <c r="AA128" i="1"/>
  <c r="X120" i="1"/>
  <c r="AG120" i="1"/>
  <c r="U120" i="1" s="1"/>
  <c r="AA120" i="1"/>
  <c r="AG116" i="1"/>
  <c r="U116" i="1" s="1"/>
  <c r="S116" i="1" s="1"/>
  <c r="T102" i="1"/>
  <c r="T97" i="1"/>
  <c r="U97" i="1" s="1"/>
  <c r="S97" i="1" s="1"/>
  <c r="AG93" i="1"/>
  <c r="W93" i="1" s="1"/>
  <c r="AG86" i="1"/>
  <c r="U86" i="1" s="1"/>
  <c r="S86" i="1" s="1"/>
  <c r="X75" i="1"/>
  <c r="AG75" i="1"/>
  <c r="U75" i="1" s="1"/>
  <c r="W74" i="1"/>
  <c r="X51" i="1"/>
  <c r="AG51" i="1"/>
  <c r="T51" i="1"/>
  <c r="AI46" i="1"/>
  <c r="X43" i="1"/>
  <c r="AG43" i="1"/>
  <c r="U43" i="1" s="1"/>
  <c r="S43" i="1" s="1"/>
  <c r="AG31" i="1"/>
  <c r="AG25" i="1"/>
  <c r="U25" i="1" s="1"/>
  <c r="X16" i="1"/>
  <c r="AG16" i="1"/>
  <c r="X17" i="1"/>
  <c r="AA184" i="1"/>
  <c r="AA182" i="1"/>
  <c r="W182" i="1" s="1"/>
  <c r="AA178" i="1"/>
  <c r="W178" i="1" s="1"/>
  <c r="U175" i="1"/>
  <c r="S175" i="1" s="1"/>
  <c r="AA168" i="1"/>
  <c r="W168" i="1" s="1"/>
  <c r="AA166" i="1"/>
  <c r="W166" i="1" s="1"/>
  <c r="AA159" i="1"/>
  <c r="W159" i="1" s="1"/>
  <c r="AA157" i="1"/>
  <c r="AA233" i="1"/>
  <c r="T204" i="1"/>
  <c r="U204" i="1" s="1"/>
  <c r="S204" i="1" s="1"/>
  <c r="AG140" i="1"/>
  <c r="AI140" i="1" s="1"/>
  <c r="AA137" i="1"/>
  <c r="AA136" i="1"/>
  <c r="W136" i="1" s="1"/>
  <c r="AA130" i="1"/>
  <c r="X123" i="1"/>
  <c r="AG119" i="1"/>
  <c r="AI119" i="1" s="1"/>
  <c r="T119" i="1"/>
  <c r="AA111" i="1"/>
  <c r="W111" i="1" s="1"/>
  <c r="AG107" i="1"/>
  <c r="X107" i="1"/>
  <c r="AG102" i="1"/>
  <c r="AA101" i="1"/>
  <c r="W101" i="1" s="1"/>
  <c r="AG98" i="1"/>
  <c r="U98" i="1" s="1"/>
  <c r="S98" i="1" s="1"/>
  <c r="X98" i="1"/>
  <c r="AA90" i="1"/>
  <c r="W90" i="1" s="1"/>
  <c r="X81" i="1"/>
  <c r="X63" i="1"/>
  <c r="AG63" i="1"/>
  <c r="AI63" i="1" s="1"/>
  <c r="T63" i="1"/>
  <c r="U42" i="1"/>
  <c r="S42" i="1" s="1"/>
  <c r="AI42" i="1"/>
  <c r="T27" i="1"/>
  <c r="U27" i="1" s="1"/>
  <c r="S27" i="1" s="1"/>
  <c r="T16" i="1"/>
  <c r="T66" i="1"/>
  <c r="U66" i="1" s="1"/>
  <c r="S66" i="1" s="1"/>
  <c r="AA65" i="1"/>
  <c r="AA64" i="1"/>
  <c r="W64" i="1" s="1"/>
  <c r="AA60" i="1"/>
  <c r="U58" i="1"/>
  <c r="S58" i="1" s="1"/>
  <c r="U50" i="1"/>
  <c r="S50" i="1" s="1"/>
  <c r="T46" i="1"/>
  <c r="U46" i="1" s="1"/>
  <c r="S46" i="1" s="1"/>
  <c r="AA43" i="1"/>
  <c r="AA41" i="1"/>
  <c r="AA25" i="1"/>
  <c r="X20" i="1"/>
  <c r="AI70" i="1"/>
  <c r="AI62" i="1"/>
  <c r="AI58" i="1"/>
  <c r="AI50" i="1"/>
  <c r="AA47" i="1"/>
  <c r="W33" i="1"/>
  <c r="AA28" i="1"/>
  <c r="T28" i="1"/>
  <c r="T20" i="1"/>
  <c r="U20" i="1" s="1"/>
  <c r="S20" i="1" s="1"/>
  <c r="W18" i="1"/>
  <c r="T139" i="1"/>
  <c r="U139" i="1" s="1"/>
  <c r="S139" i="1" s="1"/>
  <c r="AA132" i="1"/>
  <c r="W132" i="1" s="1"/>
  <c r="T127" i="1"/>
  <c r="U127" i="1" s="1"/>
  <c r="S127" i="1" s="1"/>
  <c r="AA124" i="1"/>
  <c r="W124" i="1" s="1"/>
  <c r="AA112" i="1"/>
  <c r="AA109" i="1"/>
  <c r="W109" i="1" s="1"/>
  <c r="AA100" i="1"/>
  <c r="AA99" i="1"/>
  <c r="AA84" i="1"/>
  <c r="AA83" i="1"/>
  <c r="W83" i="1" s="1"/>
  <c r="AA78" i="1"/>
  <c r="AG67" i="1"/>
  <c r="AI67" i="1" s="1"/>
  <c r="AA59" i="1"/>
  <c r="AA49" i="1"/>
  <c r="AG47" i="1"/>
  <c r="AI47" i="1" s="1"/>
  <c r="AA39" i="1"/>
  <c r="AG28" i="1"/>
  <c r="AI28" i="1" s="1"/>
  <c r="AA23" i="1"/>
  <c r="AA22" i="1"/>
  <c r="T199" i="1"/>
  <c r="AG181" i="1"/>
  <c r="T181" i="1"/>
  <c r="X182" i="1"/>
  <c r="X181" i="1"/>
  <c r="AI238" i="1"/>
  <c r="AI236" i="1"/>
  <c r="X214" i="1"/>
  <c r="T203" i="1"/>
  <c r="AG199" i="1"/>
  <c r="AI199" i="1" s="1"/>
  <c r="T172" i="1"/>
  <c r="X172" i="1"/>
  <c r="AG172" i="1"/>
  <c r="X171" i="1"/>
  <c r="AG171" i="1"/>
  <c r="AI171" i="1" s="1"/>
  <c r="T200" i="1"/>
  <c r="U200" i="1" s="1"/>
  <c r="S200" i="1" s="1"/>
  <c r="X200" i="1"/>
  <c r="AG195" i="1"/>
  <c r="AI195" i="1" s="1"/>
  <c r="X196" i="1"/>
  <c r="T213" i="1"/>
  <c r="X213" i="1"/>
  <c r="T217" i="1"/>
  <c r="U217" i="1" s="1"/>
  <c r="S217" i="1" s="1"/>
  <c r="X217" i="1"/>
  <c r="AG213" i="1"/>
  <c r="AG203" i="1"/>
  <c r="X198" i="1"/>
  <c r="T197" i="1"/>
  <c r="U197" i="1" s="1"/>
  <c r="S197" i="1" s="1"/>
  <c r="AI225" i="1"/>
  <c r="AG191" i="1"/>
  <c r="AI191" i="1" s="1"/>
  <c r="X192" i="1"/>
  <c r="T191" i="1"/>
  <c r="X191" i="1"/>
  <c r="W184" i="1"/>
  <c r="S166" i="1"/>
  <c r="AG165" i="1"/>
  <c r="T165" i="1"/>
  <c r="X166" i="1"/>
  <c r="X165" i="1"/>
  <c r="U214" i="1"/>
  <c r="S214" i="1" s="1"/>
  <c r="AA199" i="1"/>
  <c r="T238" i="1"/>
  <c r="U238" i="1" s="1"/>
  <c r="S238" i="1" s="1"/>
  <c r="X238" i="1"/>
  <c r="T195" i="1"/>
  <c r="AI218" i="1"/>
  <c r="T235" i="1"/>
  <c r="X235" i="1"/>
  <c r="AG235" i="1"/>
  <c r="AI235" i="1" s="1"/>
  <c r="X234" i="1"/>
  <c r="AG234" i="1"/>
  <c r="AI208" i="1"/>
  <c r="T180" i="1"/>
  <c r="X180" i="1"/>
  <c r="T179" i="1"/>
  <c r="AI200" i="1"/>
  <c r="W167" i="1"/>
  <c r="T164" i="1"/>
  <c r="X164" i="1"/>
  <c r="AI184" i="1"/>
  <c r="W233" i="1"/>
  <c r="T229" i="1"/>
  <c r="X229" i="1"/>
  <c r="T226" i="1"/>
  <c r="X226" i="1"/>
  <c r="AG226" i="1"/>
  <c r="AI226" i="1" s="1"/>
  <c r="T210" i="1"/>
  <c r="X210" i="1"/>
  <c r="AG210" i="1"/>
  <c r="AI210" i="1" s="1"/>
  <c r="AG207" i="1"/>
  <c r="AI207" i="1" s="1"/>
  <c r="T207" i="1"/>
  <c r="X207" i="1"/>
  <c r="X208" i="1"/>
  <c r="AI129" i="1"/>
  <c r="AG114" i="1"/>
  <c r="W114" i="1" s="1"/>
  <c r="T114" i="1"/>
  <c r="X114" i="1"/>
  <c r="X115" i="1"/>
  <c r="AI108" i="1"/>
  <c r="U108" i="1"/>
  <c r="S108" i="1" s="1"/>
  <c r="X187" i="1"/>
  <c r="T236" i="1"/>
  <c r="U236" i="1" s="1"/>
  <c r="S236" i="1" s="1"/>
  <c r="AA234" i="1"/>
  <c r="T184" i="1"/>
  <c r="U184" i="1" s="1"/>
  <c r="S184" i="1" s="1"/>
  <c r="X184" i="1"/>
  <c r="AG180" i="1"/>
  <c r="AG179" i="1"/>
  <c r="AI179" i="1" s="1"/>
  <c r="U178" i="1"/>
  <c r="S178" i="1" s="1"/>
  <c r="X174" i="1"/>
  <c r="T173" i="1"/>
  <c r="U173" i="1" s="1"/>
  <c r="S173" i="1" s="1"/>
  <c r="AA171" i="1"/>
  <c r="T168" i="1"/>
  <c r="U168" i="1" s="1"/>
  <c r="S168" i="1" s="1"/>
  <c r="X168" i="1"/>
  <c r="AG164" i="1"/>
  <c r="AA160" i="1"/>
  <c r="T233" i="1"/>
  <c r="U233" i="1" s="1"/>
  <c r="S233" i="1" s="1"/>
  <c r="X233" i="1"/>
  <c r="AA232" i="1"/>
  <c r="T230" i="1"/>
  <c r="X230" i="1"/>
  <c r="AG230" i="1"/>
  <c r="AI230" i="1" s="1"/>
  <c r="AG229" i="1"/>
  <c r="AI172" i="1"/>
  <c r="AA220" i="1"/>
  <c r="W218" i="1"/>
  <c r="W208" i="1"/>
  <c r="AI145" i="1"/>
  <c r="W135" i="1"/>
  <c r="T117" i="1"/>
  <c r="X117" i="1"/>
  <c r="AG117" i="1"/>
  <c r="T160" i="1"/>
  <c r="X160" i="1"/>
  <c r="T157" i="1"/>
  <c r="AG157" i="1"/>
  <c r="AI157" i="1" s="1"/>
  <c r="AI176" i="1"/>
  <c r="T220" i="1"/>
  <c r="X220" i="1"/>
  <c r="AI166" i="1"/>
  <c r="AG212" i="1"/>
  <c r="X212" i="1"/>
  <c r="T212" i="1"/>
  <c r="X218" i="1"/>
  <c r="T206" i="1"/>
  <c r="X206" i="1"/>
  <c r="U135" i="1"/>
  <c r="S135" i="1" s="1"/>
  <c r="AG130" i="1"/>
  <c r="T130" i="1"/>
  <c r="X130" i="1"/>
  <c r="X131" i="1"/>
  <c r="AI124" i="1"/>
  <c r="U124" i="1"/>
  <c r="S124" i="1" s="1"/>
  <c r="AI113" i="1"/>
  <c r="T87" i="1"/>
  <c r="X87" i="1"/>
  <c r="AG87" i="1"/>
  <c r="AG77" i="1"/>
  <c r="W77" i="1" s="1"/>
  <c r="X77" i="1"/>
  <c r="T77" i="1"/>
  <c r="T53" i="1"/>
  <c r="X53" i="1"/>
  <c r="AG53" i="1"/>
  <c r="W53" i="1" s="1"/>
  <c r="X54" i="1"/>
  <c r="S48" i="3"/>
  <c r="S47" i="3"/>
  <c r="S46" i="3"/>
  <c r="X194" i="1"/>
  <c r="T189" i="1"/>
  <c r="U189" i="1" s="1"/>
  <c r="S189" i="1" s="1"/>
  <c r="X189" i="1"/>
  <c r="AA179" i="1"/>
  <c r="AI203" i="1"/>
  <c r="X177" i="1"/>
  <c r="T176" i="1"/>
  <c r="U176" i="1" s="1"/>
  <c r="S176" i="1" s="1"/>
  <c r="X176" i="1"/>
  <c r="U169" i="1"/>
  <c r="S169" i="1" s="1"/>
  <c r="AA163" i="1"/>
  <c r="T161" i="1"/>
  <c r="X161" i="1"/>
  <c r="AG161" i="1"/>
  <c r="AI161" i="1" s="1"/>
  <c r="AG160" i="1"/>
  <c r="AI180" i="1"/>
  <c r="X231" i="1"/>
  <c r="AA229" i="1"/>
  <c r="T225" i="1"/>
  <c r="U225" i="1" s="1"/>
  <c r="S225" i="1" s="1"/>
  <c r="X225" i="1"/>
  <c r="AA224" i="1"/>
  <c r="T222" i="1"/>
  <c r="X222" i="1"/>
  <c r="AG222" i="1"/>
  <c r="AI222" i="1" s="1"/>
  <c r="X221" i="1"/>
  <c r="AG220" i="1"/>
  <c r="AI220" i="1" s="1"/>
  <c r="AA210" i="1"/>
  <c r="AG206" i="1"/>
  <c r="AG147" i="1"/>
  <c r="W147" i="1" s="1"/>
  <c r="T147" i="1"/>
  <c r="T133" i="1"/>
  <c r="X133" i="1"/>
  <c r="AG133" i="1"/>
  <c r="T103" i="1"/>
  <c r="X103" i="1"/>
  <c r="X104" i="1"/>
  <c r="AG103" i="1"/>
  <c r="AI94" i="1"/>
  <c r="U94" i="1"/>
  <c r="S94" i="1" s="1"/>
  <c r="T137" i="1"/>
  <c r="X137" i="1"/>
  <c r="AG134" i="1"/>
  <c r="T134" i="1"/>
  <c r="X134" i="1"/>
  <c r="T121" i="1"/>
  <c r="X121" i="1"/>
  <c r="AG118" i="1"/>
  <c r="W118" i="1" s="1"/>
  <c r="T118" i="1"/>
  <c r="X118" i="1"/>
  <c r="AI99" i="1"/>
  <c r="T91" i="1"/>
  <c r="X91" i="1"/>
  <c r="AG91" i="1"/>
  <c r="W91" i="1" s="1"/>
  <c r="AI83" i="1"/>
  <c r="T69" i="1"/>
  <c r="X69" i="1"/>
  <c r="AG69" i="1"/>
  <c r="W69" i="1" s="1"/>
  <c r="X70" i="1"/>
  <c r="T26" i="1"/>
  <c r="AG26" i="1"/>
  <c r="AI22" i="1"/>
  <c r="U221" i="1"/>
  <c r="S221" i="1" s="1"/>
  <c r="AG211" i="1"/>
  <c r="AI211" i="1" s="1"/>
  <c r="T211" i="1"/>
  <c r="X211" i="1"/>
  <c r="AI158" i="1"/>
  <c r="T141" i="1"/>
  <c r="U141" i="1" s="1"/>
  <c r="S141" i="1" s="1"/>
  <c r="X141" i="1"/>
  <c r="AG138" i="1"/>
  <c r="T138" i="1"/>
  <c r="X138" i="1"/>
  <c r="AG137" i="1"/>
  <c r="W137" i="1" s="1"/>
  <c r="X135" i="1"/>
  <c r="S132" i="1"/>
  <c r="AI132" i="1"/>
  <c r="W129" i="1"/>
  <c r="T125" i="1"/>
  <c r="U125" i="1" s="1"/>
  <c r="S125" i="1" s="1"/>
  <c r="X125" i="1"/>
  <c r="AG122" i="1"/>
  <c r="T122" i="1"/>
  <c r="X122" i="1"/>
  <c r="AG121" i="1"/>
  <c r="W121" i="1" s="1"/>
  <c r="X119" i="1"/>
  <c r="W113" i="1"/>
  <c r="T109" i="1"/>
  <c r="U109" i="1" s="1"/>
  <c r="S109" i="1" s="1"/>
  <c r="X109" i="1"/>
  <c r="X106" i="1"/>
  <c r="AG106" i="1"/>
  <c r="AI98" i="1"/>
  <c r="AI95" i="1"/>
  <c r="AG88" i="1"/>
  <c r="T88" i="1"/>
  <c r="X88" i="1"/>
  <c r="X89" i="1"/>
  <c r="AI82" i="1"/>
  <c r="U82" i="1"/>
  <c r="S82" i="1" s="1"/>
  <c r="AI79" i="1"/>
  <c r="T60" i="1"/>
  <c r="X60" i="1"/>
  <c r="AG60" i="1"/>
  <c r="T56" i="1"/>
  <c r="X56" i="1"/>
  <c r="AG56" i="1"/>
  <c r="T44" i="1"/>
  <c r="X44" i="1"/>
  <c r="AG44" i="1"/>
  <c r="T41" i="1"/>
  <c r="X41" i="1"/>
  <c r="AG41" i="1"/>
  <c r="X42" i="1"/>
  <c r="T29" i="1"/>
  <c r="AG29" i="1"/>
  <c r="AA219" i="1"/>
  <c r="AI162" i="1"/>
  <c r="AA206" i="1"/>
  <c r="T145" i="1"/>
  <c r="U145" i="1" s="1"/>
  <c r="S145" i="1" s="1"/>
  <c r="X145" i="1"/>
  <c r="AG142" i="1"/>
  <c r="T142" i="1"/>
  <c r="X142" i="1"/>
  <c r="AI141" i="1"/>
  <c r="AI136" i="1"/>
  <c r="AA133" i="1"/>
  <c r="T129" i="1"/>
  <c r="U129" i="1" s="1"/>
  <c r="S129" i="1" s="1"/>
  <c r="X129" i="1"/>
  <c r="AG126" i="1"/>
  <c r="T126" i="1"/>
  <c r="X126" i="1"/>
  <c r="AI125" i="1"/>
  <c r="S120" i="1"/>
  <c r="AI120" i="1"/>
  <c r="AA117" i="1"/>
  <c r="W117" i="1" s="1"/>
  <c r="T113" i="1"/>
  <c r="U113" i="1" s="1"/>
  <c r="S113" i="1" s="1"/>
  <c r="X113" i="1"/>
  <c r="U112" i="1"/>
  <c r="S112" i="1" s="1"/>
  <c r="AG110" i="1"/>
  <c r="T110" i="1"/>
  <c r="X110" i="1"/>
  <c r="AI109" i="1"/>
  <c r="AG100" i="1"/>
  <c r="T100" i="1"/>
  <c r="X100" i="1"/>
  <c r="X101" i="1"/>
  <c r="AG84" i="1"/>
  <c r="T84" i="1"/>
  <c r="X84" i="1"/>
  <c r="X85" i="1"/>
  <c r="T76" i="1"/>
  <c r="X76" i="1"/>
  <c r="AG76" i="1"/>
  <c r="T72" i="1"/>
  <c r="X72" i="1"/>
  <c r="AG72" i="1"/>
  <c r="X105" i="1"/>
  <c r="T104" i="1"/>
  <c r="U104" i="1" s="1"/>
  <c r="S104" i="1" s="1"/>
  <c r="AA103" i="1"/>
  <c r="T99" i="1"/>
  <c r="U99" i="1" s="1"/>
  <c r="S99" i="1" s="1"/>
  <c r="X99" i="1"/>
  <c r="AA98" i="1"/>
  <c r="W98" i="1" s="1"/>
  <c r="AG96" i="1"/>
  <c r="T96" i="1"/>
  <c r="X96" i="1"/>
  <c r="AI90" i="1"/>
  <c r="AA87" i="1"/>
  <c r="T83" i="1"/>
  <c r="U83" i="1" s="1"/>
  <c r="S83" i="1" s="1"/>
  <c r="X83" i="1"/>
  <c r="AA82" i="1"/>
  <c r="W82" i="1" s="1"/>
  <c r="AG80" i="1"/>
  <c r="T80" i="1"/>
  <c r="X80" i="1"/>
  <c r="T73" i="1"/>
  <c r="X73" i="1"/>
  <c r="AG73" i="1"/>
  <c r="W73" i="1" s="1"/>
  <c r="X74" i="1"/>
  <c r="AA71" i="1"/>
  <c r="T57" i="1"/>
  <c r="X57" i="1"/>
  <c r="AG57" i="1"/>
  <c r="X58" i="1"/>
  <c r="AA55" i="1"/>
  <c r="AI40" i="1"/>
  <c r="AI35" i="1"/>
  <c r="AA29" i="1"/>
  <c r="AI102" i="1"/>
  <c r="W99" i="1"/>
  <c r="T95" i="1"/>
  <c r="U95" i="1" s="1"/>
  <c r="S95" i="1" s="1"/>
  <c r="X95" i="1"/>
  <c r="W94" i="1"/>
  <c r="AG92" i="1"/>
  <c r="T92" i="1"/>
  <c r="X92" i="1"/>
  <c r="T79" i="1"/>
  <c r="U79" i="1" s="1"/>
  <c r="S79" i="1" s="1"/>
  <c r="X79" i="1"/>
  <c r="AI68" i="1"/>
  <c r="U67" i="1"/>
  <c r="S67" i="1" s="1"/>
  <c r="AI52" i="1"/>
  <c r="U51" i="1"/>
  <c r="AI36" i="1"/>
  <c r="AI17" i="1"/>
  <c r="T14" i="1"/>
  <c r="AG14" i="1"/>
  <c r="S75" i="1"/>
  <c r="AA72" i="1"/>
  <c r="T68" i="1"/>
  <c r="U68" i="1" s="1"/>
  <c r="S68" i="1" s="1"/>
  <c r="X68" i="1"/>
  <c r="AA67" i="1"/>
  <c r="W67" i="1" s="1"/>
  <c r="T65" i="1"/>
  <c r="X65" i="1"/>
  <c r="AG65" i="1"/>
  <c r="W65" i="1" s="1"/>
  <c r="AI64" i="1"/>
  <c r="AA56" i="1"/>
  <c r="T52" i="1"/>
  <c r="U52" i="1" s="1"/>
  <c r="S52" i="1" s="1"/>
  <c r="X52" i="1"/>
  <c r="AA51" i="1"/>
  <c r="AG49" i="1"/>
  <c r="W49" i="1" s="1"/>
  <c r="X49" i="1"/>
  <c r="AA44" i="1"/>
  <c r="T40" i="1"/>
  <c r="U40" i="1" s="1"/>
  <c r="S40" i="1" s="1"/>
  <c r="U24" i="1"/>
  <c r="S24" i="1" s="1"/>
  <c r="T23" i="1"/>
  <c r="X23" i="1"/>
  <c r="AG23" i="1"/>
  <c r="X24" i="1"/>
  <c r="AA68" i="1"/>
  <c r="W68" i="1" s="1"/>
  <c r="T64" i="1"/>
  <c r="U64" i="1" s="1"/>
  <c r="S64" i="1" s="1"/>
  <c r="X64" i="1"/>
  <c r="AA63" i="1"/>
  <c r="T61" i="1"/>
  <c r="X61" i="1"/>
  <c r="AG61" i="1"/>
  <c r="AA52" i="1"/>
  <c r="W52" i="1" s="1"/>
  <c r="T37" i="1"/>
  <c r="AG37" i="1"/>
  <c r="W37" i="1" s="1"/>
  <c r="U21" i="1"/>
  <c r="S21" i="1" s="1"/>
  <c r="T48" i="1"/>
  <c r="U48" i="1" s="1"/>
  <c r="S48" i="1" s="1"/>
  <c r="X48" i="1"/>
  <c r="T45" i="1"/>
  <c r="X45" i="1"/>
  <c r="AG45" i="1"/>
  <c r="W36" i="1"/>
  <c r="T33" i="1"/>
  <c r="U33" i="1" s="1"/>
  <c r="S33" i="1" s="1"/>
  <c r="X33" i="1"/>
  <c r="AA32" i="1"/>
  <c r="T30" i="1"/>
  <c r="AG30" i="1"/>
  <c r="S25" i="1"/>
  <c r="AI25" i="1"/>
  <c r="W22" i="1"/>
  <c r="T18" i="1"/>
  <c r="U18" i="1" s="1"/>
  <c r="S18" i="1" s="1"/>
  <c r="X18" i="1"/>
  <c r="AA17" i="1"/>
  <c r="W17" i="1" s="1"/>
  <c r="T15" i="1"/>
  <c r="X15" i="1"/>
  <c r="AG15" i="1"/>
  <c r="W47" i="1"/>
  <c r="AI43" i="1"/>
  <c r="AA40" i="1"/>
  <c r="W40" i="1" s="1"/>
  <c r="T36" i="1"/>
  <c r="U36" i="1" s="1"/>
  <c r="S36" i="1" s="1"/>
  <c r="AA35" i="1"/>
  <c r="W35" i="1" s="1"/>
  <c r="T34" i="1"/>
  <c r="AG34" i="1"/>
  <c r="AI33" i="1"/>
  <c r="AA26" i="1"/>
  <c r="W26" i="1" s="1"/>
  <c r="T22" i="1"/>
  <c r="U22" i="1" s="1"/>
  <c r="S22" i="1" s="1"/>
  <c r="X22" i="1"/>
  <c r="T19" i="1"/>
  <c r="X19" i="1"/>
  <c r="AG19" i="1"/>
  <c r="AI18" i="1"/>
  <c r="Y16" i="3"/>
  <c r="Y35" i="3"/>
  <c r="Y21" i="3"/>
  <c r="AD45" i="3"/>
  <c r="AD53" i="3"/>
  <c r="T50" i="3"/>
  <c r="Y32" i="3"/>
  <c r="AD42" i="3"/>
  <c r="Y11" i="3"/>
  <c r="AC40" i="3"/>
  <c r="Y44" i="3"/>
  <c r="AD14" i="3"/>
  <c r="T29" i="3"/>
  <c r="AD10" i="3"/>
  <c r="AE10" i="3"/>
  <c r="T20" i="3"/>
  <c r="AE34" i="3"/>
  <c r="AD15" i="3"/>
  <c r="AE44" i="3"/>
  <c r="Y12" i="3"/>
  <c r="Y29" i="3"/>
  <c r="Y37" i="3"/>
  <c r="AE54" i="3"/>
  <c r="Y17" i="3"/>
  <c r="AD34" i="3"/>
  <c r="AD55" i="3"/>
  <c r="AD32" i="3"/>
  <c r="AE49" i="3"/>
  <c r="AD31" i="3"/>
  <c r="T33" i="3"/>
  <c r="AD48" i="3"/>
  <c r="AE48" i="3"/>
  <c r="AD44" i="3"/>
  <c r="T54" i="3"/>
  <c r="AD17" i="3"/>
  <c r="AD16" i="3"/>
  <c r="AE16" i="3"/>
  <c r="AE32" i="3"/>
  <c r="AC8" i="3"/>
  <c r="T42" i="3"/>
  <c r="T21" i="3"/>
  <c r="AD33" i="3"/>
  <c r="AE33" i="3"/>
  <c r="Y51" i="3"/>
  <c r="AE47" i="3"/>
  <c r="AC46" i="3"/>
  <c r="T45" i="3"/>
  <c r="AE12" i="3"/>
  <c r="AD39" i="3"/>
  <c r="AE39" i="3"/>
  <c r="T28" i="3"/>
  <c r="AE36" i="3"/>
  <c r="Y20" i="3"/>
  <c r="AE27" i="3"/>
  <c r="AD19" i="3"/>
  <c r="T13" i="3"/>
  <c r="Y42" i="3"/>
  <c r="Y45" i="3"/>
  <c r="Y50" i="3"/>
  <c r="T32" i="3"/>
  <c r="AE42" i="3"/>
  <c r="Y49" i="3"/>
  <c r="AE21" i="3"/>
  <c r="T48" i="3"/>
  <c r="T12" i="3"/>
  <c r="AE28" i="3"/>
  <c r="AD37" i="3"/>
  <c r="AE37" i="3"/>
  <c r="T36" i="3"/>
  <c r="T27" i="3"/>
  <c r="AE13" i="3"/>
  <c r="Y31" i="3"/>
  <c r="T26" i="3"/>
  <c r="AC14" i="3"/>
  <c r="AC38" i="3"/>
  <c r="AC53" i="3"/>
  <c r="AC7" i="3"/>
  <c r="AC25" i="3"/>
  <c r="AC15" i="3"/>
  <c r="AE22" i="3"/>
  <c r="T22" i="3"/>
  <c r="AE40" i="3"/>
  <c r="T30" i="3"/>
  <c r="AE41" i="3"/>
  <c r="T41" i="3"/>
  <c r="AD43" i="3"/>
  <c r="T9" i="3"/>
  <c r="AD24" i="3"/>
  <c r="AE8" i="3"/>
  <c r="T8" i="3"/>
  <c r="AD22" i="3"/>
  <c r="AE35" i="3"/>
  <c r="T35" i="3"/>
  <c r="AD41" i="3"/>
  <c r="AE31" i="3"/>
  <c r="AD40" i="3"/>
  <c r="AE51" i="3"/>
  <c r="T40" i="3"/>
  <c r="AD46" i="3"/>
  <c r="AE45" i="3"/>
  <c r="T46" i="3"/>
  <c r="AD12" i="3"/>
  <c r="AE14" i="3"/>
  <c r="T14" i="3"/>
  <c r="AD28" i="3"/>
  <c r="AE38" i="3"/>
  <c r="T38" i="3"/>
  <c r="AD54" i="3"/>
  <c r="AE53" i="3"/>
  <c r="T53" i="3"/>
  <c r="AD27" i="3"/>
  <c r="AE7" i="3"/>
  <c r="T7" i="3"/>
  <c r="AD26" i="3"/>
  <c r="AE25" i="3"/>
  <c r="T25" i="3"/>
  <c r="AD13" i="3"/>
  <c r="AE15" i="3"/>
  <c r="T15" i="3"/>
  <c r="AE43" i="3"/>
  <c r="T43" i="3"/>
  <c r="AE24" i="3"/>
  <c r="T24" i="3"/>
  <c r="AE46" i="3"/>
  <c r="T47" i="3"/>
  <c r="AE19" i="3"/>
  <c r="AE17" i="3"/>
  <c r="AE55" i="3"/>
  <c r="V13" i="1"/>
  <c r="M23" i="5"/>
  <c r="S52" i="3"/>
  <c r="M52" i="3"/>
  <c r="R52" i="3"/>
  <c r="U52" i="3"/>
  <c r="T52" i="3" s="1"/>
  <c r="V52" i="3"/>
  <c r="W52" i="3"/>
  <c r="X52" i="3"/>
  <c r="W56" i="1" l="1"/>
  <c r="W55" i="1"/>
  <c r="AI128" i="1"/>
  <c r="W229" i="1"/>
  <c r="W163" i="1"/>
  <c r="U78" i="1"/>
  <c r="S78" i="1" s="1"/>
  <c r="W144" i="1"/>
  <c r="W162" i="1"/>
  <c r="W205" i="1"/>
  <c r="U167" i="1"/>
  <c r="S167" i="1" s="1"/>
  <c r="W66" i="1"/>
  <c r="AI59" i="1"/>
  <c r="U85" i="1"/>
  <c r="S85" i="1" s="1"/>
  <c r="W181" i="1"/>
  <c r="W59" i="1"/>
  <c r="W25" i="1"/>
  <c r="W107" i="1"/>
  <c r="W128" i="1"/>
  <c r="W108" i="1"/>
  <c r="AI55" i="1"/>
  <c r="W14" i="1"/>
  <c r="W78" i="1"/>
  <c r="U185" i="1"/>
  <c r="S185" i="1" s="1"/>
  <c r="U38" i="1"/>
  <c r="S38" i="1" s="1"/>
  <c r="U39" i="1"/>
  <c r="S39" i="1" s="1"/>
  <c r="AI154" i="1"/>
  <c r="AI155" i="1"/>
  <c r="U155" i="1"/>
  <c r="W155" i="1"/>
  <c r="U156" i="1"/>
  <c r="AI156" i="1"/>
  <c r="U152" i="1"/>
  <c r="AI152" i="1"/>
  <c r="AI151" i="1"/>
  <c r="U151" i="1"/>
  <c r="U148" i="1"/>
  <c r="AI148" i="1"/>
  <c r="AI146" i="1"/>
  <c r="U146" i="1"/>
  <c r="S146" i="1" s="1"/>
  <c r="W146" i="1"/>
  <c r="Y52" i="3"/>
  <c r="W32" i="1"/>
  <c r="AI39" i="1"/>
  <c r="AI21" i="1"/>
  <c r="W63" i="1"/>
  <c r="U47" i="1"/>
  <c r="S47" i="1" s="1"/>
  <c r="W206" i="1"/>
  <c r="W41" i="1"/>
  <c r="U63" i="1"/>
  <c r="S63" i="1" s="1"/>
  <c r="W209" i="1"/>
  <c r="W119" i="1"/>
  <c r="W179" i="1"/>
  <c r="U119" i="1"/>
  <c r="S119" i="1" s="1"/>
  <c r="W43" i="1"/>
  <c r="W158" i="1"/>
  <c r="W57" i="1"/>
  <c r="W100" i="1"/>
  <c r="U32" i="1"/>
  <c r="S32" i="1" s="1"/>
  <c r="AI209" i="1"/>
  <c r="W112" i="1"/>
  <c r="W188" i="1"/>
  <c r="W19" i="1"/>
  <c r="AI75" i="1"/>
  <c r="W171" i="1"/>
  <c r="AI192" i="1"/>
  <c r="W39" i="1"/>
  <c r="U102" i="1"/>
  <c r="S102" i="1" s="1"/>
  <c r="U123" i="1"/>
  <c r="S123" i="1" s="1"/>
  <c r="W185" i="1"/>
  <c r="U194" i="1"/>
  <c r="S194" i="1" s="1"/>
  <c r="U101" i="1"/>
  <c r="S101" i="1" s="1"/>
  <c r="W86" i="1"/>
  <c r="U237" i="1"/>
  <c r="S237" i="1" s="1"/>
  <c r="W223" i="1"/>
  <c r="W234" i="1"/>
  <c r="W199" i="1"/>
  <c r="U62" i="1"/>
  <c r="S62" i="1" s="1"/>
  <c r="W116" i="1"/>
  <c r="W60" i="1"/>
  <c r="AI181" i="1"/>
  <c r="W232" i="1"/>
  <c r="AI216" i="1"/>
  <c r="AI237" i="1"/>
  <c r="U193" i="1"/>
  <c r="S193" i="1" s="1"/>
  <c r="W130" i="1"/>
  <c r="W120" i="1"/>
  <c r="AI123" i="1"/>
  <c r="W140" i="1"/>
  <c r="W177" i="1"/>
  <c r="W237" i="1"/>
  <c r="W193" i="1"/>
  <c r="W28" i="1"/>
  <c r="AI116" i="1"/>
  <c r="U224" i="1"/>
  <c r="S224" i="1" s="1"/>
  <c r="U140" i="1"/>
  <c r="S140" i="1" s="1"/>
  <c r="W190" i="1"/>
  <c r="W228" i="1"/>
  <c r="U227" i="1"/>
  <c r="S227" i="1" s="1"/>
  <c r="AI227" i="1"/>
  <c r="W174" i="1"/>
  <c r="AI86" i="1"/>
  <c r="W210" i="1"/>
  <c r="W224" i="1"/>
  <c r="W216" i="1"/>
  <c r="W23" i="1"/>
  <c r="S51" i="1"/>
  <c r="W51" i="1"/>
  <c r="AI51" i="1"/>
  <c r="W71" i="1"/>
  <c r="U183" i="1"/>
  <c r="S183" i="1" s="1"/>
  <c r="W207" i="1"/>
  <c r="U28" i="1"/>
  <c r="S28" i="1" s="1"/>
  <c r="U90" i="1"/>
  <c r="S90" i="1" s="1"/>
  <c r="U215" i="1"/>
  <c r="S215" i="1" s="1"/>
  <c r="AI215" i="1"/>
  <c r="U187" i="1"/>
  <c r="S187" i="1" s="1"/>
  <c r="AI187" i="1"/>
  <c r="W221" i="1"/>
  <c r="U232" i="1"/>
  <c r="S232" i="1" s="1"/>
  <c r="W192" i="1"/>
  <c r="U16" i="1"/>
  <c r="S16" i="1" s="1"/>
  <c r="AI16" i="1"/>
  <c r="U144" i="1"/>
  <c r="S144" i="1" s="1"/>
  <c r="W160" i="1"/>
  <c r="W157" i="1"/>
  <c r="W195" i="1"/>
  <c r="U31" i="1"/>
  <c r="S31" i="1" s="1"/>
  <c r="AI31" i="1"/>
  <c r="W31" i="1"/>
  <c r="W75" i="1"/>
  <c r="U198" i="1"/>
  <c r="S198" i="1" s="1"/>
  <c r="AI198" i="1"/>
  <c r="W198" i="1"/>
  <c r="U111" i="1"/>
  <c r="S111" i="1" s="1"/>
  <c r="AI111" i="1"/>
  <c r="AI71" i="1"/>
  <c r="W133" i="1"/>
  <c r="W219" i="1"/>
  <c r="W183" i="1"/>
  <c r="U107" i="1"/>
  <c r="S107" i="1" s="1"/>
  <c r="AI107" i="1"/>
  <c r="U93" i="1"/>
  <c r="S93" i="1" s="1"/>
  <c r="AI93" i="1"/>
  <c r="W16" i="1"/>
  <c r="U71" i="1"/>
  <c r="S71" i="1" s="1"/>
  <c r="W102" i="1"/>
  <c r="W173" i="1"/>
  <c r="U228" i="1"/>
  <c r="S228" i="1" s="1"/>
  <c r="AI228" i="1"/>
  <c r="U84" i="1"/>
  <c r="S84" i="1" s="1"/>
  <c r="AI84" i="1"/>
  <c r="AI44" i="1"/>
  <c r="U44" i="1"/>
  <c r="S44" i="1" s="1"/>
  <c r="W84" i="1"/>
  <c r="U88" i="1"/>
  <c r="S88" i="1" s="1"/>
  <c r="AI88" i="1"/>
  <c r="AI106" i="1"/>
  <c r="U106" i="1"/>
  <c r="S106" i="1" s="1"/>
  <c r="U103" i="1"/>
  <c r="S103" i="1" s="1"/>
  <c r="AI103" i="1"/>
  <c r="AI168" i="1"/>
  <c r="U220" i="1"/>
  <c r="S220" i="1" s="1"/>
  <c r="U77" i="1"/>
  <c r="S77" i="1" s="1"/>
  <c r="AI77" i="1"/>
  <c r="AI87" i="1"/>
  <c r="U87" i="1"/>
  <c r="S87" i="1" s="1"/>
  <c r="U212" i="1"/>
  <c r="S212" i="1" s="1"/>
  <c r="AI165" i="1"/>
  <c r="AI205" i="1"/>
  <c r="U180" i="1"/>
  <c r="S180" i="1" s="1"/>
  <c r="W180" i="1"/>
  <c r="U114" i="1"/>
  <c r="S114" i="1" s="1"/>
  <c r="AI114" i="1"/>
  <c r="AI213" i="1"/>
  <c r="U235" i="1"/>
  <c r="S235" i="1" s="1"/>
  <c r="U191" i="1"/>
  <c r="S191" i="1" s="1"/>
  <c r="AI219" i="1"/>
  <c r="W191" i="1"/>
  <c r="U34" i="1"/>
  <c r="S34" i="1" s="1"/>
  <c r="AI34" i="1"/>
  <c r="W34" i="1"/>
  <c r="U37" i="1"/>
  <c r="S37" i="1" s="1"/>
  <c r="AI37" i="1"/>
  <c r="U61" i="1"/>
  <c r="S61" i="1" s="1"/>
  <c r="AI61" i="1"/>
  <c r="W61" i="1"/>
  <c r="W44" i="1"/>
  <c r="W72" i="1"/>
  <c r="W29" i="1"/>
  <c r="U57" i="1"/>
  <c r="S57" i="1" s="1"/>
  <c r="AI57" i="1"/>
  <c r="U80" i="1"/>
  <c r="S80" i="1" s="1"/>
  <c r="AI80" i="1"/>
  <c r="W80" i="1"/>
  <c r="W87" i="1"/>
  <c r="AI76" i="1"/>
  <c r="U76" i="1"/>
  <c r="S76" i="1" s="1"/>
  <c r="U100" i="1"/>
  <c r="S100" i="1" s="1"/>
  <c r="AI100" i="1"/>
  <c r="U110" i="1"/>
  <c r="S110" i="1" s="1"/>
  <c r="AI110" i="1"/>
  <c r="W110" i="1"/>
  <c r="U142" i="1"/>
  <c r="S142" i="1" s="1"/>
  <c r="AI142" i="1"/>
  <c r="W142" i="1"/>
  <c r="U41" i="1"/>
  <c r="S41" i="1" s="1"/>
  <c r="AI41" i="1"/>
  <c r="W76" i="1"/>
  <c r="U138" i="1"/>
  <c r="S138" i="1" s="1"/>
  <c r="AI138" i="1"/>
  <c r="W138" i="1"/>
  <c r="AI91" i="1"/>
  <c r="U91" i="1"/>
  <c r="S91" i="1" s="1"/>
  <c r="AI159" i="1"/>
  <c r="U206" i="1"/>
  <c r="S206" i="1" s="1"/>
  <c r="U130" i="1"/>
  <c r="S130" i="1" s="1"/>
  <c r="AI130" i="1"/>
  <c r="U157" i="1"/>
  <c r="S157" i="1" s="1"/>
  <c r="AI182" i="1"/>
  <c r="W220" i="1"/>
  <c r="AI177" i="1"/>
  <c r="U229" i="1"/>
  <c r="S229" i="1" s="1"/>
  <c r="U207" i="1"/>
  <c r="S207" i="1" s="1"/>
  <c r="AI160" i="1"/>
  <c r="AI233" i="1"/>
  <c r="U203" i="1"/>
  <c r="S203" i="1" s="1"/>
  <c r="W212" i="1"/>
  <c r="AI196" i="1"/>
  <c r="U171" i="1"/>
  <c r="S171" i="1" s="1"/>
  <c r="AI229" i="1"/>
  <c r="U199" i="1"/>
  <c r="S199" i="1" s="1"/>
  <c r="S14" i="1"/>
  <c r="AI14" i="1"/>
  <c r="U14" i="1"/>
  <c r="U92" i="1"/>
  <c r="S92" i="1" s="1"/>
  <c r="AI92" i="1"/>
  <c r="W92" i="1"/>
  <c r="AI121" i="1"/>
  <c r="U121" i="1"/>
  <c r="S121" i="1" s="1"/>
  <c r="W88" i="1"/>
  <c r="U147" i="1"/>
  <c r="S147" i="1" s="1"/>
  <c r="AI147" i="1"/>
  <c r="U30" i="1"/>
  <c r="S30" i="1" s="1"/>
  <c r="AI30" i="1"/>
  <c r="U49" i="1"/>
  <c r="S49" i="1" s="1"/>
  <c r="AI49" i="1"/>
  <c r="W30" i="1"/>
  <c r="U96" i="1"/>
  <c r="S96" i="1" s="1"/>
  <c r="AI96" i="1"/>
  <c r="W96" i="1"/>
  <c r="W103" i="1"/>
  <c r="AI72" i="1"/>
  <c r="U72" i="1"/>
  <c r="S72" i="1" s="1"/>
  <c r="AI29" i="1"/>
  <c r="U29" i="1"/>
  <c r="S29" i="1" s="1"/>
  <c r="AI60" i="1"/>
  <c r="U60" i="1"/>
  <c r="S60" i="1" s="1"/>
  <c r="AI137" i="1"/>
  <c r="U137" i="1"/>
  <c r="S137" i="1" s="1"/>
  <c r="U211" i="1"/>
  <c r="S211" i="1" s="1"/>
  <c r="AI164" i="1"/>
  <c r="W106" i="1"/>
  <c r="U134" i="1"/>
  <c r="S134" i="1" s="1"/>
  <c r="AI134" i="1"/>
  <c r="AI133" i="1"/>
  <c r="U133" i="1"/>
  <c r="S133" i="1" s="1"/>
  <c r="U222" i="1"/>
  <c r="S222" i="1" s="1"/>
  <c r="AI170" i="1"/>
  <c r="AI185" i="1"/>
  <c r="U160" i="1"/>
  <c r="S160" i="1" s="1"/>
  <c r="W134" i="1"/>
  <c r="AI117" i="1"/>
  <c r="U117" i="1"/>
  <c r="S117" i="1" s="1"/>
  <c r="U230" i="1"/>
  <c r="S230" i="1" s="1"/>
  <c r="AI178" i="1"/>
  <c r="AI163" i="1"/>
  <c r="U210" i="1"/>
  <c r="S210" i="1" s="1"/>
  <c r="U226" i="1"/>
  <c r="S226" i="1" s="1"/>
  <c r="AI174" i="1"/>
  <c r="W211" i="1"/>
  <c r="AI212" i="1"/>
  <c r="U234" i="1"/>
  <c r="S234" i="1" s="1"/>
  <c r="U165" i="1"/>
  <c r="S165" i="1" s="1"/>
  <c r="AI190" i="1"/>
  <c r="U213" i="1"/>
  <c r="S213" i="1" s="1"/>
  <c r="AI234" i="1"/>
  <c r="W226" i="1"/>
  <c r="U195" i="1"/>
  <c r="S195" i="1" s="1"/>
  <c r="AI223" i="1"/>
  <c r="W230" i="1"/>
  <c r="U15" i="1"/>
  <c r="S15" i="1" s="1"/>
  <c r="AI15" i="1"/>
  <c r="W15" i="1"/>
  <c r="U19" i="1"/>
  <c r="S19" i="1" s="1"/>
  <c r="AI19" i="1"/>
  <c r="U45" i="1"/>
  <c r="S45" i="1" s="1"/>
  <c r="AI45" i="1"/>
  <c r="W45" i="1"/>
  <c r="U23" i="1"/>
  <c r="S23" i="1" s="1"/>
  <c r="AI23" i="1"/>
  <c r="U65" i="1"/>
  <c r="S65" i="1" s="1"/>
  <c r="AI65" i="1"/>
  <c r="U73" i="1"/>
  <c r="S73" i="1" s="1"/>
  <c r="AI73" i="1"/>
  <c r="U126" i="1"/>
  <c r="S126" i="1" s="1"/>
  <c r="AI126" i="1"/>
  <c r="W126" i="1"/>
  <c r="AI56" i="1"/>
  <c r="U56" i="1"/>
  <c r="S56" i="1" s="1"/>
  <c r="U122" i="1"/>
  <c r="S122" i="1" s="1"/>
  <c r="AI122" i="1"/>
  <c r="W122" i="1"/>
  <c r="AI26" i="1"/>
  <c r="U26" i="1"/>
  <c r="S26" i="1" s="1"/>
  <c r="U69" i="1"/>
  <c r="S69" i="1" s="1"/>
  <c r="AI69" i="1"/>
  <c r="U118" i="1"/>
  <c r="S118" i="1" s="1"/>
  <c r="AI118" i="1"/>
  <c r="U161" i="1"/>
  <c r="S161" i="1"/>
  <c r="AI186" i="1"/>
  <c r="U53" i="1"/>
  <c r="S53" i="1" s="1"/>
  <c r="AI53" i="1"/>
  <c r="AI189" i="1"/>
  <c r="U164" i="1"/>
  <c r="S164" i="1" s="1"/>
  <c r="AI204" i="1"/>
  <c r="U179" i="1"/>
  <c r="S179" i="1" s="1"/>
  <c r="W222" i="1"/>
  <c r="W235" i="1"/>
  <c r="W161" i="1"/>
  <c r="W165" i="1"/>
  <c r="AI197" i="1"/>
  <c r="U172" i="1"/>
  <c r="S172" i="1" s="1"/>
  <c r="W172" i="1"/>
  <c r="U181" i="1"/>
  <c r="S181" i="1" s="1"/>
  <c r="AI206" i="1"/>
  <c r="W203" i="1"/>
  <c r="W164" i="1"/>
  <c r="W213" i="1"/>
  <c r="AE9" i="3"/>
  <c r="AC52" i="3"/>
  <c r="AD9" i="3"/>
  <c r="AD52" i="3" l="1"/>
  <c r="AE52" i="3"/>
  <c r="M28" i="5"/>
  <c r="AN13" i="1" l="1"/>
  <c r="B31" i="9" l="1"/>
  <c r="C32" i="9" s="1"/>
  <c r="B32" i="9"/>
  <c r="B33" i="9"/>
  <c r="B34" i="9"/>
  <c r="C34" i="9" s="1"/>
  <c r="B35" i="9"/>
  <c r="B36" i="9"/>
  <c r="B37" i="9"/>
  <c r="B38" i="9"/>
  <c r="C39" i="9" s="1"/>
  <c r="B39" i="9"/>
  <c r="B40" i="9"/>
  <c r="B41" i="9"/>
  <c r="B42" i="9"/>
  <c r="C42" i="9" s="1"/>
  <c r="B43" i="9"/>
  <c r="B44" i="9"/>
  <c r="B45" i="9"/>
  <c r="B46" i="9"/>
  <c r="B47" i="9"/>
  <c r="B48" i="9"/>
  <c r="B49" i="9"/>
  <c r="C50" i="9" s="1"/>
  <c r="B50" i="9"/>
  <c r="B51" i="9"/>
  <c r="B52" i="9"/>
  <c r="B53" i="9"/>
  <c r="B54" i="9"/>
  <c r="B55" i="9"/>
  <c r="B56" i="9"/>
  <c r="B57" i="9"/>
  <c r="C57" i="9" l="1"/>
  <c r="C41" i="9"/>
  <c r="C55" i="9"/>
  <c r="C47" i="9"/>
  <c r="C49" i="9"/>
  <c r="C56" i="9"/>
  <c r="C44" i="9"/>
  <c r="C40" i="9"/>
  <c r="C52" i="9"/>
  <c r="C48" i="9"/>
  <c r="C54" i="9"/>
  <c r="C53" i="9"/>
  <c r="C46" i="9"/>
  <c r="C45" i="9"/>
  <c r="C38" i="9"/>
  <c r="C37" i="9"/>
  <c r="C33" i="9"/>
  <c r="C51" i="9"/>
  <c r="C43" i="9"/>
  <c r="C36" i="9"/>
  <c r="C35" i="9"/>
  <c r="Z13" i="1" l="1"/>
  <c r="Y13" i="1"/>
  <c r="AM13" i="1" l="1"/>
  <c r="B3" i="6" l="1"/>
  <c r="I3" i="6" s="1"/>
  <c r="G3" i="6" l="1"/>
  <c r="J3" i="6"/>
  <c r="F3" i="6"/>
  <c r="H3" i="6"/>
  <c r="B4" i="6"/>
  <c r="I4" i="6" s="1"/>
  <c r="B5" i="6" l="1"/>
  <c r="I5" i="6" s="1"/>
  <c r="G4" i="6"/>
  <c r="H4" i="6"/>
  <c r="F4" i="6"/>
  <c r="J4" i="6"/>
  <c r="B6" i="6" l="1"/>
  <c r="I6" i="6" s="1"/>
  <c r="G5" i="6"/>
  <c r="F5" i="6"/>
  <c r="J5" i="6"/>
  <c r="H5" i="6"/>
  <c r="B7" i="6" l="1"/>
  <c r="I7" i="6" s="1"/>
  <c r="F6" i="6"/>
  <c r="J6" i="6"/>
  <c r="G6" i="6"/>
  <c r="H6" i="6"/>
  <c r="G7" i="6" l="1"/>
  <c r="J7" i="6"/>
  <c r="F7" i="6"/>
  <c r="H7" i="6"/>
  <c r="B8" i="6"/>
  <c r="I8" i="6" s="1"/>
  <c r="G8" i="6" l="1"/>
  <c r="H8" i="6"/>
  <c r="J8" i="6"/>
  <c r="F8" i="6"/>
  <c r="B9" i="6"/>
  <c r="I9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55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34" i="3" s="1"/>
  <c r="G45" i="4"/>
  <c r="G46" i="4"/>
  <c r="G47" i="4"/>
  <c r="G48" i="4"/>
  <c r="G49" i="4"/>
  <c r="G50" i="4"/>
  <c r="G51" i="4"/>
  <c r="G52" i="4"/>
  <c r="G53" i="4"/>
  <c r="G54" i="4"/>
  <c r="G55" i="4"/>
  <c r="N17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8" i="3" s="1"/>
  <c r="G72" i="4"/>
  <c r="G73" i="4"/>
  <c r="G74" i="4"/>
  <c r="G75" i="4"/>
  <c r="N19" i="3" s="1"/>
  <c r="G76" i="4"/>
  <c r="G77" i="4"/>
  <c r="G78" i="4"/>
  <c r="G79" i="4"/>
  <c r="G80" i="4"/>
  <c r="G81" i="4"/>
  <c r="G82" i="4"/>
  <c r="G83" i="4"/>
  <c r="G84" i="4"/>
  <c r="G85" i="4"/>
  <c r="N20" i="3" s="1"/>
  <c r="G86" i="4"/>
  <c r="G87" i="4"/>
  <c r="G88" i="4"/>
  <c r="G89" i="4"/>
  <c r="G90" i="4"/>
  <c r="G91" i="4"/>
  <c r="G92" i="4"/>
  <c r="G93" i="4"/>
  <c r="G94" i="4"/>
  <c r="N10" i="3" s="1"/>
  <c r="G95" i="4"/>
  <c r="G96" i="4"/>
  <c r="N52" i="3" s="1"/>
  <c r="G97" i="4"/>
  <c r="G98" i="4"/>
  <c r="G99" i="4"/>
  <c r="G100" i="4"/>
  <c r="G101" i="4"/>
  <c r="G102" i="4"/>
  <c r="G103" i="4"/>
  <c r="G104" i="4"/>
  <c r="G105" i="4"/>
  <c r="N36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39" i="3" s="1"/>
  <c r="G126" i="4"/>
  <c r="G127" i="4"/>
  <c r="G128" i="4"/>
  <c r="G129" i="4"/>
  <c r="G130" i="4"/>
  <c r="N14" i="3" s="1"/>
  <c r="G131" i="4"/>
  <c r="G132" i="4"/>
  <c r="G133" i="4"/>
  <c r="N44" i="3" s="1"/>
  <c r="G134" i="4"/>
  <c r="G135" i="4"/>
  <c r="N12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N30" i="3" s="1"/>
  <c r="G165" i="4"/>
  <c r="G166" i="4"/>
  <c r="N51" i="3" s="1"/>
  <c r="G167" i="4"/>
  <c r="N40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1" i="3" s="1"/>
  <c r="G186" i="4"/>
  <c r="G187" i="4"/>
  <c r="G188" i="4"/>
  <c r="N49" i="3" s="1"/>
  <c r="G189" i="4"/>
  <c r="G190" i="4"/>
  <c r="G191" i="4"/>
  <c r="N22" i="3" s="1"/>
  <c r="G192" i="4"/>
  <c r="G193" i="4"/>
  <c r="N11" i="3" s="1"/>
  <c r="G194" i="4"/>
  <c r="G195" i="4"/>
  <c r="G196" i="4"/>
  <c r="G197" i="4"/>
  <c r="N35" i="3" s="1"/>
  <c r="G198" i="4"/>
  <c r="G199" i="4"/>
  <c r="N42" i="3" s="1"/>
  <c r="G200" i="4"/>
  <c r="G201" i="4"/>
  <c r="G202" i="4"/>
  <c r="G203" i="4"/>
  <c r="G204" i="4"/>
  <c r="N8" i="3" s="1"/>
  <c r="G205" i="4"/>
  <c r="N24" i="3" s="1"/>
  <c r="G206" i="4"/>
  <c r="G207" i="4"/>
  <c r="G208" i="4"/>
  <c r="N23" i="3" s="1"/>
  <c r="G209" i="4"/>
  <c r="G210" i="4"/>
  <c r="N32" i="3" s="1"/>
  <c r="G211" i="4"/>
  <c r="G212" i="4"/>
  <c r="N9" i="3" s="1"/>
  <c r="G213" i="4"/>
  <c r="N43" i="3" s="1"/>
  <c r="G214" i="4"/>
  <c r="G215" i="4"/>
  <c r="G216" i="4"/>
  <c r="N50" i="3" s="1"/>
  <c r="G217" i="4"/>
  <c r="G218" i="4"/>
  <c r="N16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29" i="3"/>
  <c r="N53" i="3"/>
  <c r="N54" i="3"/>
  <c r="N37" i="3"/>
  <c r="N38" i="3"/>
  <c r="N7" i="3"/>
  <c r="N27" i="3"/>
  <c r="N41" i="3"/>
  <c r="N33" i="3"/>
  <c r="N31" i="3"/>
  <c r="N45" i="3"/>
  <c r="N46" i="3"/>
  <c r="N47" i="3"/>
  <c r="N48" i="3"/>
  <c r="N25" i="3"/>
  <c r="N26" i="3"/>
  <c r="N15" i="3"/>
  <c r="N13" i="3"/>
  <c r="B10" i="6"/>
  <c r="I10" i="6" s="1"/>
  <c r="G9" i="6"/>
  <c r="F9" i="6"/>
  <c r="J9" i="6"/>
  <c r="H9" i="6"/>
  <c r="L13" i="1"/>
  <c r="F10" i="6" l="1"/>
  <c r="J10" i="6"/>
  <c r="G10" i="6"/>
  <c r="H10" i="6"/>
  <c r="B11" i="6"/>
  <c r="I11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1" i="6" l="1"/>
  <c r="J11" i="6"/>
  <c r="F11" i="6"/>
  <c r="H11" i="6"/>
  <c r="B12" i="6"/>
  <c r="I12" i="6" s="1"/>
  <c r="K13" i="1"/>
  <c r="M13" i="1"/>
  <c r="N13" i="1" s="1"/>
  <c r="AB13" i="1"/>
  <c r="AC13" i="1"/>
  <c r="AD13" i="1"/>
  <c r="X14" i="1" s="1"/>
  <c r="AE13" i="1"/>
  <c r="G12" i="6" l="1"/>
  <c r="H12" i="6"/>
  <c r="F12" i="6"/>
  <c r="J12" i="6"/>
  <c r="B13" i="6"/>
  <c r="I13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4" i="6" l="1"/>
  <c r="I14" i="6" s="1"/>
  <c r="G13" i="6"/>
  <c r="F13" i="6"/>
  <c r="J13" i="6"/>
  <c r="H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15" i="6" l="1"/>
  <c r="I15" i="6" s="1"/>
  <c r="F14" i="6"/>
  <c r="J14" i="6"/>
  <c r="G14" i="6"/>
  <c r="H14" i="6"/>
  <c r="M30" i="5"/>
  <c r="M29" i="5"/>
  <c r="M27" i="5"/>
  <c r="G15" i="6" l="1"/>
  <c r="J15" i="6"/>
  <c r="F15" i="6"/>
  <c r="H15" i="6"/>
  <c r="B16" i="6"/>
  <c r="I16" i="6" s="1"/>
  <c r="M26" i="5"/>
  <c r="G16" i="6" l="1"/>
  <c r="H16" i="6"/>
  <c r="F16" i="6"/>
  <c r="J16" i="6"/>
  <c r="B17" i="6"/>
  <c r="I17" i="6" s="1"/>
  <c r="AH13" i="1"/>
  <c r="J7" i="1"/>
  <c r="B18" i="6" l="1"/>
  <c r="I18" i="6" s="1"/>
  <c r="G17" i="6"/>
  <c r="F17" i="6"/>
  <c r="J17" i="6"/>
  <c r="H17" i="6"/>
  <c r="X6" i="1"/>
  <c r="W6" i="1"/>
  <c r="V6" i="1"/>
  <c r="S6" i="1"/>
  <c r="R2" i="1"/>
  <c r="I2" i="1"/>
  <c r="O6" i="1"/>
  <c r="N6" i="1"/>
  <c r="M6" i="1"/>
  <c r="J6" i="1"/>
  <c r="F18" i="6" l="1"/>
  <c r="J18" i="6"/>
  <c r="G18" i="6"/>
  <c r="H18" i="6"/>
  <c r="B19" i="6"/>
  <c r="I19" i="6" s="1"/>
  <c r="P3" i="5"/>
  <c r="G19" i="6" l="1"/>
  <c r="J19" i="6"/>
  <c r="F19" i="6"/>
  <c r="H19" i="6"/>
  <c r="B20" i="6"/>
  <c r="I20" i="6" s="1"/>
  <c r="M18" i="5"/>
  <c r="G20" i="6" l="1"/>
  <c r="H20" i="6"/>
  <c r="F20" i="6"/>
  <c r="J20" i="6"/>
  <c r="B21" i="6"/>
  <c r="I21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2" i="6" l="1"/>
  <c r="I22" i="6" s="1"/>
  <c r="G21" i="6"/>
  <c r="F21" i="6"/>
  <c r="J21" i="6"/>
  <c r="H21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3" i="6" l="1"/>
  <c r="I23" i="6" s="1"/>
  <c r="F22" i="6"/>
  <c r="J22" i="6"/>
  <c r="G22" i="6"/>
  <c r="H22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3" i="6" l="1"/>
  <c r="J23" i="6"/>
  <c r="G23" i="6"/>
  <c r="H23" i="6"/>
  <c r="B24" i="6"/>
  <c r="I24" i="6" s="1"/>
  <c r="M14" i="5"/>
  <c r="M13" i="5"/>
  <c r="M12" i="5"/>
  <c r="M11" i="5"/>
  <c r="M10" i="5"/>
  <c r="M9" i="5"/>
  <c r="M8" i="5"/>
  <c r="M7" i="5"/>
  <c r="M6" i="5"/>
  <c r="M5" i="5"/>
  <c r="M4" i="5"/>
  <c r="M3" i="5"/>
  <c r="F24" i="6" l="1"/>
  <c r="H24" i="6"/>
  <c r="J24" i="6"/>
  <c r="G24" i="6"/>
  <c r="B25" i="6"/>
  <c r="I25" i="6" s="1"/>
  <c r="U13" i="1"/>
  <c r="S13" i="1" s="1"/>
  <c r="O2" i="3"/>
  <c r="O3" i="3" s="1"/>
  <c r="F25" i="6" l="1"/>
  <c r="J25" i="6"/>
  <c r="G25" i="6"/>
  <c r="H25" i="6"/>
  <c r="B26" i="6"/>
  <c r="I26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6" i="6" l="1"/>
  <c r="F26" i="6"/>
  <c r="G26" i="6"/>
  <c r="H26" i="6"/>
  <c r="B27" i="6"/>
  <c r="I27" i="6" s="1"/>
  <c r="J8" i="1"/>
  <c r="J4" i="1"/>
  <c r="S8" i="1"/>
  <c r="S4" i="1"/>
  <c r="F27" i="6" l="1"/>
  <c r="J27" i="6"/>
  <c r="H27" i="6"/>
  <c r="G27" i="6"/>
  <c r="B28" i="6"/>
  <c r="I28" i="6" s="1"/>
  <c r="S9" i="1"/>
  <c r="J9" i="1"/>
  <c r="B29" i="6" l="1"/>
  <c r="I29" i="6" s="1"/>
  <c r="F28" i="6"/>
  <c r="G28" i="6"/>
  <c r="J28" i="6"/>
  <c r="H28" i="6"/>
  <c r="S11" i="1"/>
  <c r="A11" i="1"/>
  <c r="B30" i="6" l="1"/>
  <c r="I30" i="6" s="1"/>
  <c r="G29" i="6"/>
  <c r="H29" i="6"/>
  <c r="J29" i="6"/>
  <c r="F29" i="6"/>
  <c r="B1" i="6"/>
  <c r="A5" i="3"/>
  <c r="G30" i="6" l="1"/>
  <c r="F30" i="6"/>
  <c r="J30" i="6"/>
  <c r="H30" i="6"/>
  <c r="B31" i="6"/>
  <c r="I31" i="6" s="1"/>
  <c r="F31" i="6" l="1"/>
  <c r="J31" i="6"/>
  <c r="G31" i="6"/>
  <c r="H31" i="6"/>
  <c r="B32" i="6"/>
  <c r="I32" i="6" s="1"/>
  <c r="B33" i="6" l="1"/>
  <c r="I33" i="6" s="1"/>
  <c r="J32" i="6"/>
  <c r="G32" i="6"/>
  <c r="F32" i="6"/>
  <c r="H32" i="6"/>
  <c r="F33" i="6" l="1"/>
  <c r="G33" i="6"/>
  <c r="H33" i="6"/>
  <c r="J33" i="6"/>
  <c r="B34" i="6"/>
  <c r="I34" i="6" s="1"/>
  <c r="J34" i="6" l="1"/>
  <c r="H34" i="6"/>
  <c r="F34" i="6"/>
  <c r="G34" i="6"/>
  <c r="B35" i="6"/>
  <c r="I35" i="6" s="1"/>
  <c r="B36" i="6" l="1"/>
  <c r="I36" i="6" s="1"/>
  <c r="J35" i="6"/>
  <c r="F35" i="6"/>
  <c r="H35" i="6"/>
  <c r="G35" i="6"/>
  <c r="F36" i="6" l="1"/>
  <c r="G36" i="6"/>
  <c r="H36" i="6"/>
  <c r="J36" i="6"/>
  <c r="B37" i="6"/>
  <c r="I37" i="6" s="1"/>
  <c r="G37" i="6" l="1"/>
  <c r="H37" i="6"/>
  <c r="J37" i="6"/>
  <c r="F37" i="6"/>
  <c r="B38" i="6"/>
  <c r="I38" i="6" s="1"/>
  <c r="F38" i="6" l="1"/>
  <c r="H38" i="6"/>
  <c r="J38" i="6"/>
  <c r="G38" i="6"/>
  <c r="B39" i="6"/>
  <c r="I39" i="6" s="1"/>
  <c r="F39" i="6" l="1"/>
  <c r="J39" i="6"/>
  <c r="G39" i="6"/>
  <c r="H39" i="6"/>
  <c r="B40" i="6"/>
  <c r="I40" i="6" s="1"/>
  <c r="B41" i="6" l="1"/>
  <c r="I41" i="6" s="1"/>
  <c r="F40" i="6"/>
  <c r="H40" i="6"/>
  <c r="J40" i="6"/>
  <c r="G40" i="6"/>
  <c r="F41" i="6" l="1"/>
  <c r="H41" i="6"/>
  <c r="J41" i="6"/>
  <c r="G41" i="6"/>
  <c r="B42" i="6"/>
  <c r="I42" i="6" s="1"/>
  <c r="J42" i="6" l="1"/>
  <c r="H42" i="6"/>
  <c r="F42" i="6"/>
  <c r="G42" i="6"/>
  <c r="B43" i="6"/>
  <c r="I43" i="6" s="1"/>
  <c r="B44" i="6" l="1"/>
  <c r="I44" i="6" s="1"/>
  <c r="F43" i="6"/>
  <c r="G43" i="6"/>
  <c r="H43" i="6"/>
  <c r="J43" i="6"/>
  <c r="B45" i="6" l="1"/>
  <c r="I45" i="6" s="1"/>
  <c r="H44" i="6"/>
  <c r="F44" i="6"/>
  <c r="J44" i="6"/>
  <c r="G44" i="6"/>
  <c r="B46" i="6" l="1"/>
  <c r="I46" i="6" s="1"/>
  <c r="F45" i="6"/>
  <c r="H45" i="6"/>
  <c r="J45" i="6"/>
  <c r="G45" i="6"/>
  <c r="F46" i="6" l="1"/>
  <c r="G46" i="6"/>
  <c r="J46" i="6"/>
  <c r="H46" i="6"/>
  <c r="B47" i="6"/>
  <c r="I47" i="6" s="1"/>
  <c r="F47" i="6" l="1"/>
  <c r="J47" i="6"/>
  <c r="H47" i="6"/>
  <c r="G47" i="6"/>
  <c r="B48" i="6"/>
  <c r="I48" i="6" s="1"/>
  <c r="F48" i="6" l="1"/>
  <c r="H48" i="6"/>
  <c r="G48" i="6"/>
  <c r="J48" i="6"/>
  <c r="B49" i="6"/>
  <c r="I49" i="6" s="1"/>
  <c r="B50" i="6" l="1"/>
  <c r="I50" i="6" s="1"/>
  <c r="G49" i="6"/>
  <c r="F49" i="6"/>
  <c r="H49" i="6"/>
  <c r="J49" i="6"/>
  <c r="J50" i="6" l="1"/>
  <c r="H50" i="6"/>
  <c r="F50" i="6"/>
  <c r="G50" i="6"/>
  <c r="B51" i="6"/>
  <c r="I51" i="6" s="1"/>
  <c r="H51" i="6" l="1"/>
  <c r="J51" i="6"/>
  <c r="F51" i="6"/>
  <c r="G51" i="6"/>
  <c r="B52" i="6"/>
  <c r="I52" i="6" s="1"/>
  <c r="H52" i="6" l="1"/>
  <c r="J52" i="6"/>
  <c r="F52" i="6"/>
  <c r="G52" i="6"/>
  <c r="B53" i="6"/>
  <c r="I53" i="6" s="1"/>
  <c r="H53" i="6" l="1"/>
  <c r="J53" i="6"/>
  <c r="F53" i="6"/>
  <c r="G53" i="6"/>
  <c r="B54" i="6"/>
  <c r="I54" i="6" s="1"/>
  <c r="G54" i="6" l="1"/>
  <c r="F54" i="6"/>
  <c r="H54" i="6"/>
  <c r="J54" i="6"/>
  <c r="B55" i="6"/>
  <c r="I55" i="6" s="1"/>
  <c r="B56" i="6" l="1"/>
  <c r="I56" i="6" s="1"/>
  <c r="J55" i="6"/>
  <c r="G55" i="6"/>
  <c r="F55" i="6"/>
  <c r="H55" i="6"/>
  <c r="B57" i="6" l="1"/>
  <c r="I57" i="6" s="1"/>
  <c r="J56" i="6"/>
  <c r="G56" i="6"/>
  <c r="F56" i="6"/>
  <c r="H56" i="6"/>
  <c r="F57" i="6" l="1"/>
  <c r="H57" i="6"/>
  <c r="J57" i="6"/>
  <c r="G57" i="6"/>
  <c r="B58" i="6"/>
  <c r="I58" i="6" s="1"/>
  <c r="B59" i="6" l="1"/>
  <c r="I59" i="6" s="1"/>
  <c r="F58" i="6"/>
  <c r="G58" i="6"/>
  <c r="J58" i="6"/>
  <c r="H58" i="6"/>
  <c r="G59" i="6" l="1"/>
  <c r="F59" i="6"/>
  <c r="H59" i="6"/>
  <c r="J59" i="6"/>
  <c r="B60" i="6"/>
  <c r="I60" i="6" s="1"/>
  <c r="F60" i="6" l="1"/>
  <c r="J60" i="6"/>
  <c r="G60" i="6"/>
  <c r="H60" i="6"/>
  <c r="B61" i="6"/>
  <c r="I61" i="6" s="1"/>
  <c r="G61" i="6" l="1"/>
  <c r="H61" i="6"/>
  <c r="J61" i="6"/>
  <c r="F61" i="6"/>
  <c r="B62" i="6"/>
  <c r="I62" i="6" s="1"/>
  <c r="B63" i="6" l="1"/>
  <c r="I63" i="6" s="1"/>
  <c r="J62" i="6"/>
  <c r="H62" i="6"/>
  <c r="F62" i="6"/>
  <c r="G62" i="6"/>
  <c r="J63" i="6" l="1"/>
  <c r="G63" i="6"/>
  <c r="F63" i="6"/>
  <c r="H63" i="6"/>
  <c r="B64" i="6"/>
  <c r="I64" i="6" s="1"/>
  <c r="B65" i="6" l="1"/>
  <c r="I65" i="6" s="1"/>
  <c r="G64" i="6"/>
  <c r="J64" i="6"/>
  <c r="F64" i="6"/>
  <c r="H64" i="6"/>
  <c r="F65" i="6" l="1"/>
  <c r="G65" i="6"/>
  <c r="J65" i="6"/>
  <c r="H65" i="6"/>
  <c r="B66" i="6"/>
  <c r="I66" i="6" s="1"/>
  <c r="B67" i="6" l="1"/>
  <c r="I67" i="6" s="1"/>
  <c r="F66" i="6"/>
  <c r="G66" i="6"/>
  <c r="J66" i="6"/>
  <c r="H66" i="6"/>
  <c r="G67" i="6" l="1"/>
  <c r="H67" i="6"/>
  <c r="J67" i="6"/>
  <c r="F67" i="6"/>
  <c r="B68" i="6"/>
  <c r="I68" i="6" s="1"/>
  <c r="B69" i="6" l="1"/>
  <c r="I69" i="6" s="1"/>
  <c r="G68" i="6"/>
  <c r="H68" i="6"/>
  <c r="J68" i="6"/>
  <c r="F68" i="6"/>
  <c r="F69" i="6" l="1"/>
  <c r="G69" i="6"/>
  <c r="H69" i="6"/>
  <c r="J69" i="6"/>
  <c r="B70" i="6"/>
  <c r="I70" i="6" s="1"/>
  <c r="G70" i="6" l="1"/>
  <c r="F70" i="6"/>
  <c r="H70" i="6"/>
  <c r="J70" i="6"/>
  <c r="B71" i="6"/>
  <c r="I71" i="6" s="1"/>
  <c r="B72" i="6" l="1"/>
  <c r="I72" i="6" s="1"/>
  <c r="J71" i="6"/>
  <c r="G71" i="6"/>
  <c r="F71" i="6"/>
  <c r="H71" i="6"/>
  <c r="B73" i="6" l="1"/>
  <c r="I73" i="6" s="1"/>
  <c r="J72" i="6"/>
  <c r="G72" i="6"/>
  <c r="F72" i="6"/>
  <c r="H72" i="6"/>
  <c r="H73" i="6" l="1"/>
  <c r="F73" i="6"/>
  <c r="G73" i="6"/>
  <c r="J73" i="6"/>
  <c r="B74" i="6"/>
  <c r="I74" i="6" s="1"/>
  <c r="B75" i="6" l="1"/>
  <c r="I75" i="6" s="1"/>
  <c r="F74" i="6"/>
  <c r="G74" i="6"/>
  <c r="J74" i="6"/>
  <c r="H74" i="6"/>
  <c r="B76" i="6" l="1"/>
  <c r="I76" i="6" s="1"/>
  <c r="J75" i="6"/>
  <c r="F75" i="6"/>
  <c r="G75" i="6"/>
  <c r="H75" i="6"/>
  <c r="F76" i="6" l="1"/>
  <c r="J76" i="6"/>
  <c r="G76" i="6"/>
  <c r="H76" i="6"/>
  <c r="B77" i="6"/>
  <c r="I77" i="6" s="1"/>
  <c r="H77" i="6" l="1"/>
  <c r="J77" i="6"/>
  <c r="G77" i="6"/>
  <c r="F77" i="6"/>
  <c r="B78" i="6"/>
  <c r="I78" i="6" s="1"/>
  <c r="B79" i="6" l="1"/>
  <c r="I79" i="6" s="1"/>
  <c r="J78" i="6"/>
  <c r="H78" i="6"/>
  <c r="F78" i="6"/>
  <c r="G78" i="6"/>
  <c r="J79" i="6" l="1"/>
  <c r="G79" i="6"/>
  <c r="F79" i="6"/>
  <c r="H79" i="6"/>
  <c r="B80" i="6"/>
  <c r="I80" i="6" s="1"/>
  <c r="G80" i="6" l="1"/>
  <c r="H80" i="6"/>
  <c r="J80" i="6"/>
  <c r="F80" i="6"/>
  <c r="B81" i="6"/>
  <c r="I81" i="6" s="1"/>
  <c r="G81" i="6" l="1"/>
  <c r="F81" i="6"/>
  <c r="H81" i="6"/>
  <c r="J81" i="6"/>
  <c r="B82" i="6"/>
  <c r="I82" i="6" s="1"/>
  <c r="B83" i="6" l="1"/>
  <c r="I83" i="6" s="1"/>
  <c r="J82" i="6"/>
  <c r="F82" i="6"/>
  <c r="H82" i="6"/>
  <c r="G82" i="6"/>
  <c r="B84" i="6" l="1"/>
  <c r="I84" i="6" s="1"/>
  <c r="J83" i="6"/>
  <c r="F83" i="6"/>
  <c r="G83" i="6"/>
  <c r="H83" i="6"/>
  <c r="H84" i="6" l="1"/>
  <c r="G84" i="6"/>
  <c r="F84" i="6"/>
  <c r="J84" i="6"/>
  <c r="B85" i="6"/>
  <c r="I85" i="6" s="1"/>
  <c r="G85" i="6" l="1"/>
  <c r="H85" i="6"/>
  <c r="J85" i="6"/>
  <c r="F85" i="6"/>
  <c r="B86" i="6"/>
  <c r="I86" i="6" s="1"/>
  <c r="B87" i="6" l="1"/>
  <c r="I87" i="6" s="1"/>
  <c r="J86" i="6"/>
  <c r="F86" i="6"/>
  <c r="H86" i="6"/>
  <c r="G86" i="6"/>
  <c r="B88" i="6" l="1"/>
  <c r="I88" i="6" s="1"/>
  <c r="J87" i="6"/>
  <c r="F87" i="6"/>
  <c r="G87" i="6"/>
  <c r="H87" i="6"/>
  <c r="B89" i="6" l="1"/>
  <c r="I89" i="6" s="1"/>
  <c r="J88" i="6"/>
  <c r="F88" i="6"/>
  <c r="G88" i="6"/>
  <c r="H88" i="6"/>
  <c r="J89" i="6" l="1"/>
  <c r="F89" i="6"/>
  <c r="H89" i="6"/>
  <c r="G89" i="6"/>
  <c r="B90" i="6"/>
  <c r="I90" i="6" s="1"/>
  <c r="F90" i="6" l="1"/>
  <c r="J90" i="6"/>
  <c r="H90" i="6"/>
  <c r="G90" i="6"/>
  <c r="B91" i="6"/>
  <c r="I91" i="6" s="1"/>
  <c r="J91" i="6" l="1"/>
  <c r="G91" i="6"/>
  <c r="F91" i="6"/>
  <c r="H91" i="6"/>
  <c r="B92" i="6"/>
  <c r="I92" i="6" s="1"/>
  <c r="B93" i="6" l="1"/>
  <c r="I93" i="6" s="1"/>
  <c r="F92" i="6"/>
  <c r="G92" i="6"/>
  <c r="H92" i="6"/>
  <c r="J92" i="6"/>
  <c r="F93" i="6" l="1"/>
  <c r="G93" i="6"/>
  <c r="H93" i="6"/>
  <c r="J93" i="6"/>
  <c r="B94" i="6"/>
  <c r="I94" i="6" s="1"/>
  <c r="B95" i="6" l="1"/>
  <c r="I95" i="6" s="1"/>
  <c r="J94" i="6"/>
  <c r="F94" i="6"/>
  <c r="G94" i="6"/>
  <c r="H94" i="6"/>
  <c r="F95" i="6" l="1"/>
  <c r="H95" i="6"/>
  <c r="G95" i="6"/>
  <c r="J95" i="6"/>
  <c r="B96" i="6"/>
  <c r="I96" i="6" s="1"/>
  <c r="B97" i="6" l="1"/>
  <c r="I97" i="6" s="1"/>
  <c r="H96" i="6"/>
  <c r="G96" i="6"/>
  <c r="F96" i="6"/>
  <c r="J96" i="6"/>
  <c r="B98" i="6" l="1"/>
  <c r="I98" i="6" s="1"/>
  <c r="J97" i="6"/>
  <c r="H97" i="6"/>
  <c r="F97" i="6"/>
  <c r="G97" i="6"/>
  <c r="J98" i="6" l="1"/>
  <c r="H98" i="6"/>
  <c r="F98" i="6"/>
  <c r="G98" i="6"/>
  <c r="B99" i="6"/>
  <c r="I99" i="6" s="1"/>
  <c r="J99" i="6" l="1"/>
  <c r="F99" i="6"/>
  <c r="H99" i="6"/>
  <c r="G99" i="6"/>
  <c r="B100" i="6"/>
  <c r="I100" i="6" s="1"/>
  <c r="B101" i="6" l="1"/>
  <c r="I101" i="6" s="1"/>
  <c r="F100" i="6"/>
  <c r="J100" i="6"/>
  <c r="G100" i="6"/>
  <c r="H100" i="6"/>
  <c r="B102" i="6" l="1"/>
  <c r="I102" i="6" s="1"/>
  <c r="F101" i="6"/>
  <c r="G101" i="6"/>
  <c r="H101" i="6"/>
  <c r="J101" i="6"/>
  <c r="B103" i="6" l="1"/>
  <c r="I103" i="6" s="1"/>
  <c r="J102" i="6"/>
  <c r="H102" i="6"/>
  <c r="G102" i="6"/>
  <c r="F102" i="6"/>
  <c r="B104" i="6" l="1"/>
  <c r="I104" i="6" s="1"/>
  <c r="H103" i="6"/>
  <c r="J103" i="6"/>
  <c r="F103" i="6"/>
  <c r="G103" i="6"/>
  <c r="G104" i="6" l="1"/>
  <c r="H104" i="6"/>
  <c r="J104" i="6"/>
  <c r="F104" i="6"/>
  <c r="B105" i="6"/>
  <c r="I105" i="6" s="1"/>
  <c r="B106" i="6" l="1"/>
  <c r="I106" i="6" s="1"/>
  <c r="G105" i="6"/>
  <c r="J105" i="6"/>
  <c r="H105" i="6"/>
  <c r="F105" i="6"/>
  <c r="F106" i="6" l="1"/>
  <c r="H106" i="6"/>
  <c r="J106" i="6"/>
  <c r="G106" i="6"/>
  <c r="B107" i="6"/>
  <c r="I107" i="6" s="1"/>
  <c r="H107" i="6" l="1"/>
  <c r="F107" i="6"/>
  <c r="G107" i="6"/>
  <c r="J107" i="6"/>
  <c r="B108" i="6"/>
  <c r="I108" i="6" s="1"/>
  <c r="H108" i="6" l="1"/>
  <c r="G108" i="6"/>
  <c r="F108" i="6"/>
  <c r="J108" i="6"/>
  <c r="B109" i="6"/>
  <c r="I109" i="6" s="1"/>
  <c r="H109" i="6" l="1"/>
  <c r="J109" i="6"/>
  <c r="G109" i="6"/>
  <c r="F109" i="6"/>
  <c r="B110" i="6"/>
  <c r="I110" i="6" s="1"/>
  <c r="J110" i="6" l="1"/>
  <c r="G110" i="6"/>
  <c r="F110" i="6"/>
  <c r="H110" i="6"/>
  <c r="B111" i="6"/>
  <c r="I111" i="6" s="1"/>
  <c r="J111" i="6" l="1"/>
  <c r="F111" i="6"/>
  <c r="H111" i="6"/>
  <c r="G111" i="6"/>
  <c r="B112" i="6"/>
  <c r="I112" i="6" s="1"/>
  <c r="G112" i="6" l="1"/>
  <c r="H112" i="6"/>
  <c r="F112" i="6"/>
  <c r="J112" i="6"/>
  <c r="B113" i="6"/>
  <c r="I113" i="6" s="1"/>
  <c r="B114" i="6" l="1"/>
  <c r="I114" i="6" s="1"/>
  <c r="J113" i="6"/>
  <c r="G113" i="6"/>
  <c r="H113" i="6"/>
  <c r="F113" i="6"/>
  <c r="J114" i="6" l="1"/>
  <c r="F114" i="6"/>
  <c r="H114" i="6"/>
  <c r="G114" i="6"/>
  <c r="B115" i="6"/>
  <c r="I115" i="6" s="1"/>
  <c r="B116" i="6" l="1"/>
  <c r="I116" i="6" s="1"/>
  <c r="J115" i="6"/>
  <c r="G115" i="6"/>
  <c r="H115" i="6"/>
  <c r="F115" i="6"/>
  <c r="B117" i="6" l="1"/>
  <c r="I117" i="6" s="1"/>
  <c r="F116" i="6"/>
  <c r="H116" i="6"/>
  <c r="G116" i="6"/>
  <c r="J116" i="6"/>
  <c r="B118" i="6" l="1"/>
  <c r="I118" i="6" s="1"/>
  <c r="J117" i="6"/>
  <c r="F117" i="6"/>
  <c r="G117" i="6"/>
  <c r="H117" i="6"/>
  <c r="B119" i="6" l="1"/>
  <c r="I119" i="6" s="1"/>
  <c r="J118" i="6"/>
  <c r="H118" i="6"/>
  <c r="G118" i="6"/>
  <c r="F118" i="6"/>
  <c r="G119" i="6" l="1"/>
  <c r="H119" i="6"/>
  <c r="J119" i="6"/>
  <c r="F119" i="6"/>
  <c r="B120" i="6"/>
  <c r="I120" i="6" s="1"/>
  <c r="B121" i="6" l="1"/>
  <c r="I121" i="6" s="1"/>
  <c r="J120" i="6"/>
  <c r="F120" i="6"/>
  <c r="G120" i="6"/>
  <c r="H120" i="6"/>
  <c r="F121" i="6" l="1"/>
  <c r="G121" i="6"/>
  <c r="H121" i="6"/>
  <c r="J121" i="6"/>
  <c r="B122" i="6"/>
  <c r="I122" i="6" s="1"/>
  <c r="F122" i="6" l="1"/>
  <c r="H122" i="6"/>
  <c r="G122" i="6"/>
  <c r="J122" i="6"/>
  <c r="B123" i="6"/>
  <c r="I123" i="6" s="1"/>
  <c r="J123" i="6" l="1"/>
  <c r="H123" i="6"/>
  <c r="F123" i="6"/>
  <c r="G123" i="6"/>
  <c r="B124" i="6"/>
  <c r="I124" i="6" s="1"/>
  <c r="F124" i="6" l="1"/>
  <c r="H124" i="6"/>
  <c r="G124" i="6"/>
  <c r="J124" i="6"/>
  <c r="B125" i="6"/>
  <c r="I125" i="6" s="1"/>
  <c r="F125" i="6" l="1"/>
  <c r="H125" i="6"/>
  <c r="G125" i="6"/>
  <c r="J125" i="6"/>
  <c r="B126" i="6"/>
  <c r="I126" i="6" s="1"/>
  <c r="J126" i="6" l="1"/>
  <c r="F126" i="6"/>
  <c r="G126" i="6"/>
  <c r="H126" i="6"/>
  <c r="B127" i="6"/>
  <c r="I127" i="6" s="1"/>
  <c r="G127" i="6" l="1"/>
  <c r="H127" i="6"/>
  <c r="J127" i="6"/>
  <c r="F127" i="6"/>
  <c r="B128" i="6"/>
  <c r="I128" i="6" s="1"/>
  <c r="B129" i="6" l="1"/>
  <c r="I129" i="6" s="1"/>
  <c r="H128" i="6"/>
  <c r="G128" i="6"/>
  <c r="J128" i="6"/>
  <c r="F128" i="6"/>
  <c r="B130" i="6" l="1"/>
  <c r="I130" i="6" s="1"/>
  <c r="J129" i="6"/>
  <c r="G129" i="6"/>
  <c r="H129" i="6"/>
  <c r="F129" i="6"/>
  <c r="H130" i="6" l="1"/>
  <c r="F130" i="6"/>
  <c r="G130" i="6"/>
  <c r="J130" i="6"/>
  <c r="B131" i="6"/>
  <c r="I131" i="6" s="1"/>
  <c r="F131" i="6" l="1"/>
  <c r="H131" i="6"/>
  <c r="J131" i="6"/>
  <c r="G131" i="6"/>
  <c r="B132" i="6"/>
  <c r="I132" i="6" s="1"/>
  <c r="F132" i="6" l="1"/>
  <c r="G132" i="6"/>
  <c r="J132" i="6"/>
  <c r="H132" i="6"/>
  <c r="B133" i="6"/>
  <c r="I133" i="6" s="1"/>
  <c r="B134" i="6" l="1"/>
  <c r="I134" i="6" s="1"/>
  <c r="H133" i="6"/>
  <c r="J133" i="6"/>
  <c r="F133" i="6"/>
  <c r="G133" i="6"/>
  <c r="B135" i="6" l="1"/>
  <c r="I135" i="6" s="1"/>
  <c r="J134" i="6"/>
  <c r="H134" i="6"/>
  <c r="G134" i="6"/>
  <c r="F134" i="6"/>
  <c r="B137" i="6" l="1"/>
  <c r="I137" i="6" s="1"/>
  <c r="B136" i="6"/>
  <c r="I136" i="6" s="1"/>
  <c r="F135" i="6"/>
  <c r="G135" i="6"/>
  <c r="H135" i="6"/>
  <c r="J135" i="6"/>
  <c r="G136" i="6" l="1"/>
  <c r="H136" i="6"/>
  <c r="J136" i="6"/>
  <c r="F136" i="6"/>
  <c r="J137" i="6"/>
  <c r="F137" i="6"/>
  <c r="G137" i="6"/>
  <c r="H13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<sst xmlns="http://schemas.openxmlformats.org/spreadsheetml/2006/main" count="2761" uniqueCount="995">
  <si>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</si>
  <si>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</si>
  <si>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</si>
  <si>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</si>
  <si>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</si>
  <si>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</si>
  <si>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</si>
  <si>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</si>
  <si>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</si>
  <si>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</si>
  <si>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</si>
  <si>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</si>
  <si>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</si>
  <si>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</si>
  <si>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</si>
  <si>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</si>
  <si>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</si>
  <si>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</si>
  <si>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</si>
  <si>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</si>
  <si>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</si>
  <si>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</si>
  <si>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</si>
  <si>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</si>
  <si>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</si>
  <si>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</si>
  <si>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</si>
  <si>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</si>
  <si>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</si>
  <si>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</si>
  <si>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</si>
  <si>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</si>
  <si>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</si>
  <si>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</si>
  <si>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</si>
  <si>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</si>
  <si>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</si>
  <si>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</si>
  <si>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</si>
  <si>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</si>
  <si>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</si>
  <si>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</si>
  <si>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</si>
  <si>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</si>
  <si>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</si>
  <si>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</si>
  <si>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</si>
  <si>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</si>
  <si>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</si>
  <si>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</si>
  <si>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</si>
  <si>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</si>
  <si>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</si>
  <si>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</si>
  <si>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</si>
  <si>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</si>
  <si>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</si>
  <si>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</si>
  <si>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</si>
  <si>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</si>
  <si>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</si>
  <si>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</si>
  <si>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</si>
  <si>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</si>
  <si>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</si>
  <si>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</si>
  <si>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</si>
  <si>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</si>
  <si>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</si>
  <si>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</si>
  <si>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</si>
  <si>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</si>
  <si>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</si>
  <si>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</si>
  <si>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</si>
  <si>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</si>
  <si>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</si>
  <si>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</si>
  <si>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</si>
  <si>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</si>
  <si>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</si>
  <si>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</si>
  <si>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</si>
  <si>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</si>
  <si>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</si>
  <si>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</si>
  <si>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</si>
  <si>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</si>
  <si>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</si>
  <si>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</si>
  <si>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</si>
  <si>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</si>
  <si>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</si>
  <si>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</si>
  <si>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</si>
  <si>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</si>
  <si>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</si>
  <si>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</si>
  <si>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</si>
  <si>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</si>
  <si>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</si>
  <si>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</si>
  <si>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</si>
  <si>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</si>
  <si>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</si>
  <si>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</si>
  <si>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</si>
  <si>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</si>
  <si>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</si>
  <si>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</si>
  <si>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</si>
  <si>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</si>
  <si>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</si>
  <si>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</si>
  <si>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</si>
  <si>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</si>
  <si>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</si>
  <si>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</si>
  <si>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</si>
  <si>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</si>
  <si>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</si>
  <si>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</si>
  <si>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</si>
  <si>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</si>
  <si>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</si>
  <si>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</si>
  <si>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</si>
  <si>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</si>
  <si>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</si>
  <si>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</si>
  <si>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</si>
  <si>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</si>
  <si>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</si>
  <si>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</si>
  <si>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</si>
  <si>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</si>
  <si>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</si>
  <si>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</si>
  <si>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</si>
  <si>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</si>
  <si>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</si>
  <si>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</si>
  <si>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</si>
  <si>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</si>
  <si>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</si>
  <si>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</si>
  <si>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</si>
  <si>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</si>
  <si>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</si>
  <si>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</si>
  <si>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</si>
  <si>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</si>
  <si>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</si>
  <si>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</si>
  <si>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</si>
  <si>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</si>
  <si>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</si>
  <si>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</si>
  <si>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</si>
  <si>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</si>
  <si>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</si>
  <si>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</si>
  <si>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</si>
  <si>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</si>
  <si>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</si>
  <si>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</si>
  <si>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</si>
  <si>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</si>
  <si>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</si>
  <si>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</si>
  <si>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</si>
  <si>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</si>
  <si>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</si>
  <si>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</si>
  <si>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</si>
  <si>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</si>
  <si>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</si>
  <si>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</si>
  <si>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</si>
  <si>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</si>
  <si>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</si>
  <si>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</si>
  <si>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</si>
  <si>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</si>
  <si>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</si>
  <si>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</si>
  <si>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</si>
  <si>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</si>
  <si>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</si>
  <si>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</si>
  <si>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</si>
  <si>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</si>
  <si>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</si>
  <si>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</si>
  <si>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</si>
  <si>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</si>
  <si>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</si>
  <si>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</si>
  <si>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</si>
  <si>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</si>
  <si>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</si>
  <si>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</si>
  <si>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</si>
  <si>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</si>
  <si>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</si>
  <si>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</si>
  <si>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</si>
  <si>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</si>
  <si>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</si>
  <si>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</si>
  <si>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</si>
  <si>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</si>
  <si>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</si>
  <si>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</si>
  <si>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</si>
  <si>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</si>
  <si>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</si>
  <si>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</si>
  <si>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</si>
  <si>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</si>
  <si>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</si>
  <si>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</si>
  <si>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</si>
  <si>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</si>
  <si>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</si>
  <si>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</si>
  <si>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</si>
  <si>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</si>
  <si>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</si>
  <si>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</si>
  <si>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</si>
  <si>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</si>
  <si>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</si>
  <si>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</si>
  <si>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</si>
  <si>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</si>
  <si>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204:147</t>
  </si>
  <si>
    <t>204:139</t>
  </si>
  <si>
    <t>MICHAEL</t>
  </si>
  <si>
    <t>204:232977</t>
  </si>
  <si>
    <t>204:160</t>
  </si>
  <si>
    <t>204:462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</si>
  <si>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</si>
  <si>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</si>
  <si>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</si>
  <si>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</si>
  <si>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</si>
  <si>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</si>
  <si>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</si>
  <si>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OUN</t>
  </si>
  <si>
    <t>ZACK</t>
  </si>
  <si>
    <t>302-19</t>
  </si>
  <si>
    <t>204:152</t>
  </si>
  <si>
    <t>204:158</t>
  </si>
  <si>
    <t>204:232971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</si>
  <si>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</si>
  <si>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</si>
  <si>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</si>
  <si>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</si>
  <si>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</si>
  <si>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</si>
  <si>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rtdc.l.rtdc.4031:itc</t>
  </si>
  <si>
    <t>204:232983</t>
  </si>
  <si>
    <t>204:233298</t>
  </si>
  <si>
    <t>204:446</t>
  </si>
  <si>
    <t>rtdc.l.rtdc.4032:itc</t>
  </si>
  <si>
    <t>PERMANENT SPEED RESTRICTION</t>
  </si>
  <si>
    <t>Speed (6)</t>
  </si>
  <si>
    <t>Y</t>
  </si>
  <si>
    <t>204:469</t>
  </si>
  <si>
    <t>rtdc.l.rtdc.4001:itc</t>
  </si>
  <si>
    <t>204:232987</t>
  </si>
  <si>
    <t>204:233301</t>
  </si>
  <si>
    <t>204:233299</t>
  </si>
  <si>
    <t>204:233006</t>
  </si>
  <si>
    <t>rtdc.l.rtdc.4020:itc</t>
  </si>
  <si>
    <t>204:233293</t>
  </si>
  <si>
    <t>204:232969</t>
  </si>
  <si>
    <t>204:232994</t>
  </si>
  <si>
    <t>204:232984</t>
  </si>
  <si>
    <t>rtdc.l.rtdc.4026:itc</t>
  </si>
  <si>
    <t>204:138</t>
  </si>
  <si>
    <t>204:233304</t>
  </si>
  <si>
    <t>204:163</t>
  </si>
  <si>
    <t>204:154</t>
  </si>
  <si>
    <t>204:233297</t>
  </si>
  <si>
    <t>204:233312</t>
  </si>
  <si>
    <t>204:442</t>
  </si>
  <si>
    <t>204:458</t>
  </si>
  <si>
    <t>204:232991</t>
  </si>
  <si>
    <t>rtdc.l.rtdc.4008:itc</t>
  </si>
  <si>
    <t>HILLS</t>
  </si>
  <si>
    <t>DUSTIN</t>
  </si>
  <si>
    <t>204:233291</t>
  </si>
  <si>
    <t>300:58933</t>
  </si>
  <si>
    <t>rtdc.l.rtdc.4046:itc</t>
  </si>
  <si>
    <t>rtdc.l.rtdc.4045:itc</t>
  </si>
  <si>
    <t>GREGORY</t>
  </si>
  <si>
    <t>204:232967</t>
  </si>
  <si>
    <t>300:58638</t>
  </si>
  <si>
    <t>rtdc.l.rtdc.4021:itc</t>
  </si>
  <si>
    <t>Uncaught Wi-MAX GREP</t>
  </si>
  <si>
    <t>rtdc.l.rtdc.4028:itc</t>
  </si>
  <si>
    <t>rtdc.l.rtdc.4027:itc</t>
  </si>
  <si>
    <t>DAVID</t>
  </si>
  <si>
    <t>WHITED</t>
  </si>
  <si>
    <t>65-12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</si>
  <si>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</si>
  <si>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</si>
  <si>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</si>
  <si>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</si>
  <si>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</si>
  <si>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</si>
  <si>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</si>
  <si>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</si>
  <si>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</si>
  <si>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</si>
  <si>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204:143</t>
  </si>
  <si>
    <t>204:466</t>
  </si>
  <si>
    <t>204:233295</t>
  </si>
  <si>
    <t>204:132</t>
  </si>
  <si>
    <t>204:233302</t>
  </si>
  <si>
    <t>204:473</t>
  </si>
  <si>
    <t>204:232990</t>
  </si>
  <si>
    <t>204:169</t>
  </si>
  <si>
    <t>204:471</t>
  </si>
  <si>
    <t>204:440</t>
  </si>
  <si>
    <t>204:233311</t>
  </si>
  <si>
    <t>300:58937</t>
  </si>
  <si>
    <t>300:58960</t>
  </si>
  <si>
    <t>rtdc.l.rtdc.4015:itc</t>
  </si>
  <si>
    <t>rtdc.l.rtdc.4041:itc</t>
  </si>
  <si>
    <t>SAFIEF</t>
  </si>
  <si>
    <t>AEIMEN</t>
  </si>
  <si>
    <t>MAELZER</t>
  </si>
  <si>
    <t>KURT</t>
  </si>
  <si>
    <t>DAVIS</t>
  </si>
  <si>
    <t>rtdc.l.rtdc.4016:itc</t>
  </si>
  <si>
    <t>ROMERO</t>
  </si>
  <si>
    <t>CHAD</t>
  </si>
  <si>
    <t>STEWART</t>
  </si>
  <si>
    <t>SCOTT</t>
  </si>
  <si>
    <t>rtdc.l.rtdc.4029:itc</t>
  </si>
  <si>
    <t>204:741</t>
  </si>
  <si>
    <t>204:232982</t>
  </si>
  <si>
    <t>204:232978</t>
  </si>
  <si>
    <t>204:233002</t>
  </si>
  <si>
    <t>204:233320</t>
  </si>
  <si>
    <t>204:426</t>
  </si>
  <si>
    <t>204:962</t>
  </si>
  <si>
    <t>204:680</t>
  </si>
  <si>
    <t>204:659</t>
  </si>
  <si>
    <t>300:58935</t>
  </si>
  <si>
    <t>300:58630</t>
  </si>
  <si>
    <t>204:740</t>
  </si>
  <si>
    <t>204:451</t>
  </si>
  <si>
    <t>204:424</t>
  </si>
  <si>
    <t>204:495</t>
  </si>
  <si>
    <t>204:232970</t>
  </si>
  <si>
    <t>204:475</t>
  </si>
  <si>
    <t>204:233308</t>
  </si>
  <si>
    <t>204:457</t>
  </si>
  <si>
    <t>204:233025</t>
  </si>
  <si>
    <t>300:23346</t>
  </si>
  <si>
    <t>Early arrival</t>
  </si>
  <si>
    <t>STARKS</t>
  </si>
  <si>
    <t>ANGELINA</t>
  </si>
  <si>
    <t>SIMMONS</t>
  </si>
  <si>
    <t>SHYHESHA</t>
  </si>
  <si>
    <t>SWANSON</t>
  </si>
  <si>
    <t>BRYCE</t>
  </si>
  <si>
    <t>DUNCAN</t>
  </si>
  <si>
    <t>SHEILA</t>
  </si>
  <si>
    <t>rtdc.l.rtdc.4043:itc</t>
  </si>
  <si>
    <t>CLARK</t>
  </si>
  <si>
    <t>KATHLEEN</t>
  </si>
  <si>
    <t>YANG</t>
  </si>
  <si>
    <t>JAN</t>
  </si>
  <si>
    <t>rtdc.l.rtdc.4044:itc</t>
  </si>
  <si>
    <t>CRAYTON</t>
  </si>
  <si>
    <t>QUNTRELL</t>
  </si>
  <si>
    <t>YORK</t>
  </si>
  <si>
    <t>EDGAR</t>
  </si>
  <si>
    <t>STORY</t>
  </si>
  <si>
    <t>SAMANTHA</t>
  </si>
  <si>
    <t>241-16</t>
  </si>
  <si>
    <t>238-16</t>
  </si>
  <si>
    <t>243-16</t>
  </si>
  <si>
    <t>240-16</t>
  </si>
  <si>
    <t>309-16</t>
  </si>
  <si>
    <t>242-16</t>
  </si>
  <si>
    <t>311-16</t>
  </si>
  <si>
    <t>244-16</t>
  </si>
  <si>
    <t>313-16</t>
  </si>
  <si>
    <t>315-16</t>
  </si>
  <si>
    <t>Partly Cloudy</t>
  </si>
  <si>
    <t>partly-cloudy-night</t>
  </si>
  <si>
    <t>204:233344</t>
  </si>
  <si>
    <t>204:755</t>
  </si>
  <si>
    <t>204:724</t>
  </si>
  <si>
    <t>204:460</t>
  </si>
  <si>
    <t>204:233303</t>
  </si>
  <si>
    <t>204:233013</t>
  </si>
  <si>
    <t>204:233319</t>
  </si>
  <si>
    <t>204:232996</t>
  </si>
  <si>
    <t>204:233314</t>
  </si>
  <si>
    <t>204:233000</t>
  </si>
  <si>
    <t>204:233009</t>
  </si>
  <si>
    <t>204:232992</t>
  </si>
  <si>
    <t>204:467</t>
  </si>
  <si>
    <t>204:233321</t>
  </si>
  <si>
    <t>204:165</t>
  </si>
  <si>
    <t>204:233272</t>
  </si>
  <si>
    <t>204:232975</t>
  </si>
  <si>
    <t>204:233307</t>
  </si>
  <si>
    <t>204:233315</t>
  </si>
  <si>
    <t>204:170</t>
  </si>
  <si>
    <t>204:232963</t>
  </si>
  <si>
    <t>204:232993</t>
  </si>
  <si>
    <t>204:161</t>
  </si>
  <si>
    <t>204:232998</t>
  </si>
  <si>
    <t>204:233389</t>
  </si>
  <si>
    <t>204:232968</t>
  </si>
  <si>
    <t>204:504</t>
  </si>
  <si>
    <t>300:23312</t>
  </si>
  <si>
    <t>300:21886</t>
  </si>
  <si>
    <t>204:1179</t>
  </si>
  <si>
    <t>204:972</t>
  </si>
  <si>
    <t>300:58611</t>
  </si>
  <si>
    <t>204:747</t>
  </si>
  <si>
    <t>300:58922</t>
  </si>
  <si>
    <t>300:58608</t>
  </si>
  <si>
    <t>204:727</t>
  </si>
  <si>
    <t>300:58931</t>
  </si>
  <si>
    <t>300:58613</t>
  </si>
  <si>
    <t>204:1013</t>
  </si>
  <si>
    <t>300:58990</t>
  </si>
  <si>
    <t>300:58679</t>
  </si>
  <si>
    <t>204:757</t>
  </si>
  <si>
    <t>300:58929</t>
  </si>
  <si>
    <t>300:58609</t>
  </si>
  <si>
    <t>204:687</t>
  </si>
  <si>
    <t>204:752</t>
  </si>
  <si>
    <t>204:950</t>
  </si>
  <si>
    <t>300:58920</t>
  </si>
  <si>
    <t>300:58626</t>
  </si>
  <si>
    <t>204:663</t>
  </si>
  <si>
    <t>300:58924</t>
  </si>
  <si>
    <t>300:58928</t>
  </si>
  <si>
    <t>204:671</t>
  </si>
  <si>
    <t>204:957</t>
  </si>
  <si>
    <t>300:58948</t>
  </si>
  <si>
    <t>start /low /b %USERPROFILE%\Documents\GitHub\eaglep3\Utilities\DownloadLogsFromS3.py --loco 4042 --day 2017-01-17</t>
  </si>
  <si>
    <t>304-17</t>
  </si>
  <si>
    <t>rtdc.l.rtdc.4018:itc</t>
  </si>
  <si>
    <t>901-17</t>
  </si>
  <si>
    <t>rtdc.l.rtdc.4039:itc</t>
  </si>
  <si>
    <t>106-17</t>
  </si>
  <si>
    <t>805-17</t>
  </si>
  <si>
    <t>TEMPORARY SPEED RESTRICTION</t>
  </si>
  <si>
    <t>124-17</t>
  </si>
  <si>
    <t>135-17</t>
  </si>
  <si>
    <t>134-17</t>
  </si>
  <si>
    <t>138-17</t>
  </si>
  <si>
    <t>151-17</t>
  </si>
  <si>
    <t>146-17</t>
  </si>
  <si>
    <t>152-17</t>
  </si>
  <si>
    <t>52-17</t>
  </si>
  <si>
    <t>rtdc.l.rtdc.4019:itc</t>
  </si>
  <si>
    <t>818-17</t>
  </si>
  <si>
    <t>820-17</t>
  </si>
  <si>
    <t>rtdc.l.rtdc.4007:itc</t>
  </si>
  <si>
    <t>173-17</t>
  </si>
  <si>
    <t>822-17</t>
  </si>
  <si>
    <t>183-17</t>
  </si>
  <si>
    <t>187-17</t>
  </si>
  <si>
    <t>823-17</t>
  </si>
  <si>
    <t>827-17</t>
  </si>
  <si>
    <t>56-17</t>
  </si>
  <si>
    <t>rtdc.l.rtdc.4017:itc</t>
  </si>
  <si>
    <t>832-17</t>
  </si>
  <si>
    <t>207-17</t>
  </si>
  <si>
    <t>836-17</t>
  </si>
  <si>
    <t>212-17</t>
  </si>
  <si>
    <t>839-17</t>
  </si>
  <si>
    <t>841-17</t>
  </si>
  <si>
    <t>216-17</t>
  </si>
  <si>
    <t>218-17</t>
  </si>
  <si>
    <t>840-17</t>
  </si>
  <si>
    <t>227-17</t>
  </si>
  <si>
    <t>224-17</t>
  </si>
  <si>
    <t>845-17</t>
  </si>
  <si>
    <t>226-17</t>
  </si>
  <si>
    <t>228-17</t>
  </si>
  <si>
    <t>844-17</t>
  </si>
  <si>
    <t>847-17</t>
  </si>
  <si>
    <t>232-17</t>
  </si>
  <si>
    <t>302-17</t>
  </si>
  <si>
    <t>101-17</t>
  </si>
  <si>
    <t>103-17</t>
  </si>
  <si>
    <t>306-17</t>
  </si>
  <si>
    <t>102-17</t>
  </si>
  <si>
    <t>308-17</t>
  </si>
  <si>
    <t>105-17</t>
  </si>
  <si>
    <t>310-17</t>
  </si>
  <si>
    <t>COOLAHAN</t>
  </si>
  <si>
    <t>JOHN</t>
  </si>
  <si>
    <t>107-17</t>
  </si>
  <si>
    <t>104-17</t>
  </si>
  <si>
    <t>109-17</t>
  </si>
  <si>
    <t>111-17</t>
  </si>
  <si>
    <t>LOZA</t>
  </si>
  <si>
    <t>FIDEL</t>
  </si>
  <si>
    <t>113-17</t>
  </si>
  <si>
    <t>800-17</t>
  </si>
  <si>
    <t>108-17</t>
  </si>
  <si>
    <t>115-17</t>
  </si>
  <si>
    <t>BEAM</t>
  </si>
  <si>
    <t>ROSS</t>
  </si>
  <si>
    <t>117-17</t>
  </si>
  <si>
    <t>801-17</t>
  </si>
  <si>
    <t>110-17</t>
  </si>
  <si>
    <t>902-17</t>
  </si>
  <si>
    <t>BROWN</t>
  </si>
  <si>
    <t>JACOB</t>
  </si>
  <si>
    <t>112-17</t>
  </si>
  <si>
    <t>119-17</t>
  </si>
  <si>
    <t>114-17</t>
  </si>
  <si>
    <t>802-17</t>
  </si>
  <si>
    <t>121-17</t>
  </si>
  <si>
    <t>803-17</t>
  </si>
  <si>
    <t>116-17</t>
  </si>
  <si>
    <t>123-17</t>
  </si>
  <si>
    <t>118-17</t>
  </si>
  <si>
    <t>804-17</t>
  </si>
  <si>
    <t>125-17</t>
  </si>
  <si>
    <t>127-17</t>
  </si>
  <si>
    <t>120-17</t>
  </si>
  <si>
    <t>122-17</t>
  </si>
  <si>
    <t>806-17</t>
  </si>
  <si>
    <t>129-17</t>
  </si>
  <si>
    <t>807-17</t>
  </si>
  <si>
    <t>131-17</t>
  </si>
  <si>
    <t>809-17</t>
  </si>
  <si>
    <t>808-17</t>
  </si>
  <si>
    <t>126-17</t>
  </si>
  <si>
    <t>133-17</t>
  </si>
  <si>
    <t>128-17</t>
  </si>
  <si>
    <t>130-17</t>
  </si>
  <si>
    <t>810-17</t>
  </si>
  <si>
    <t>137-17</t>
  </si>
  <si>
    <t>132-17</t>
  </si>
  <si>
    <t>811-17</t>
  </si>
  <si>
    <t>903-17</t>
  </si>
  <si>
    <t>139-17</t>
  </si>
  <si>
    <t>812-17</t>
  </si>
  <si>
    <t>141-17</t>
  </si>
  <si>
    <t>136-17</t>
  </si>
  <si>
    <t>143-17</t>
  </si>
  <si>
    <t>145-17</t>
  </si>
  <si>
    <t>813-17</t>
  </si>
  <si>
    <t>140-17</t>
  </si>
  <si>
    <t>147-17</t>
  </si>
  <si>
    <t>142-17</t>
  </si>
  <si>
    <t>814-17</t>
  </si>
  <si>
    <t>149-17</t>
  </si>
  <si>
    <t>144-17</t>
  </si>
  <si>
    <t>153-17</t>
  </si>
  <si>
    <t>815-17</t>
  </si>
  <si>
    <t>148-17</t>
  </si>
  <si>
    <t>155-17</t>
  </si>
  <si>
    <t>50-17</t>
  </si>
  <si>
    <t>DE LA ROSA</t>
  </si>
  <si>
    <t>ALEX</t>
  </si>
  <si>
    <t>150-17</t>
  </si>
  <si>
    <t>816-17</t>
  </si>
  <si>
    <t>157-17</t>
  </si>
  <si>
    <t>159-17</t>
  </si>
  <si>
    <t>154-17</t>
  </si>
  <si>
    <t>156-17</t>
  </si>
  <si>
    <t>161-17</t>
  </si>
  <si>
    <t>51-17</t>
  </si>
  <si>
    <t>CUSHING</t>
  </si>
  <si>
    <t>HARRY</t>
  </si>
  <si>
    <t>817-17</t>
  </si>
  <si>
    <t>158-17</t>
  </si>
  <si>
    <t>SANTIZO</t>
  </si>
  <si>
    <t>D. EDY</t>
  </si>
  <si>
    <t>163-17</t>
  </si>
  <si>
    <t>165-17</t>
  </si>
  <si>
    <t>160-17</t>
  </si>
  <si>
    <t>167-17</t>
  </si>
  <si>
    <t>162-17</t>
  </si>
  <si>
    <t>169-17</t>
  </si>
  <si>
    <t>819-17</t>
  </si>
  <si>
    <t>164-17</t>
  </si>
  <si>
    <t>53-17</t>
  </si>
  <si>
    <t>171-17</t>
  </si>
  <si>
    <t>166-17</t>
  </si>
  <si>
    <t>168-17</t>
  </si>
  <si>
    <t>170-17</t>
  </si>
  <si>
    <t>175-17</t>
  </si>
  <si>
    <t>821-17</t>
  </si>
  <si>
    <t>177-17</t>
  </si>
  <si>
    <t>172-17</t>
  </si>
  <si>
    <t>179-17</t>
  </si>
  <si>
    <t>174-17</t>
  </si>
  <si>
    <t>181-17</t>
  </si>
  <si>
    <t>176-17</t>
  </si>
  <si>
    <t>178-17</t>
  </si>
  <si>
    <t>185-17</t>
  </si>
  <si>
    <t>180-17</t>
  </si>
  <si>
    <t>182-17</t>
  </si>
  <si>
    <t>824-17</t>
  </si>
  <si>
    <t>184-17</t>
  </si>
  <si>
    <t>189-17</t>
  </si>
  <si>
    <t>191-17</t>
  </si>
  <si>
    <t>186-17</t>
  </si>
  <si>
    <t>193-17</t>
  </si>
  <si>
    <t>825-17</t>
  </si>
  <si>
    <t>188-17</t>
  </si>
  <si>
    <t>195-17</t>
  </si>
  <si>
    <t>54-17</t>
  </si>
  <si>
    <t>826-17</t>
  </si>
  <si>
    <t>190-17</t>
  </si>
  <si>
    <t>197-17</t>
  </si>
  <si>
    <t>192-17</t>
  </si>
  <si>
    <t>199-17</t>
  </si>
  <si>
    <t>194-17</t>
  </si>
  <si>
    <t>828-17</t>
  </si>
  <si>
    <t>829-17</t>
  </si>
  <si>
    <t>201-17</t>
  </si>
  <si>
    <t>196-17</t>
  </si>
  <si>
    <t>198-17</t>
  </si>
  <si>
    <t>203-17</t>
  </si>
  <si>
    <t>831-17</t>
  </si>
  <si>
    <t>830-17</t>
  </si>
  <si>
    <t>205-17</t>
  </si>
  <si>
    <t>200-17</t>
  </si>
  <si>
    <t>202-17</t>
  </si>
  <si>
    <t>209-17</t>
  </si>
  <si>
    <t>833-17</t>
  </si>
  <si>
    <t>204-17</t>
  </si>
  <si>
    <t>211-17</t>
  </si>
  <si>
    <t>835-17</t>
  </si>
  <si>
    <t>206-17</t>
  </si>
  <si>
    <t>69-17</t>
  </si>
  <si>
    <t>834-17</t>
  </si>
  <si>
    <t>213-17</t>
  </si>
  <si>
    <t>208-17</t>
  </si>
  <si>
    <t>215-17</t>
  </si>
  <si>
    <t>58-17</t>
  </si>
  <si>
    <t>55-17</t>
  </si>
  <si>
    <t>210-17</t>
  </si>
  <si>
    <t>837-17</t>
  </si>
  <si>
    <t>217-17</t>
  </si>
  <si>
    <t>219-17</t>
  </si>
  <si>
    <t>214-17</t>
  </si>
  <si>
    <t>838-17</t>
  </si>
  <si>
    <t>303-17</t>
  </si>
  <si>
    <t>221-17</t>
  </si>
  <si>
    <t>305-17</t>
  </si>
  <si>
    <t>906-17</t>
  </si>
  <si>
    <t>220-17</t>
  </si>
  <si>
    <t>223-17</t>
  </si>
  <si>
    <t>KAMDEN</t>
  </si>
  <si>
    <t>307-17</t>
  </si>
  <si>
    <t>225-17</t>
  </si>
  <si>
    <t>222-17</t>
  </si>
  <si>
    <t>843-17</t>
  </si>
  <si>
    <t>842-17</t>
  </si>
  <si>
    <t>229-17</t>
  </si>
  <si>
    <t>231-17</t>
  </si>
  <si>
    <t>233-17</t>
  </si>
  <si>
    <t>230-17</t>
  </si>
  <si>
    <t>235-17</t>
  </si>
  <si>
    <t>908-17</t>
  </si>
  <si>
    <t>83-17</t>
  </si>
  <si>
    <t>71-17</t>
  </si>
  <si>
    <t>72-17</t>
  </si>
  <si>
    <t>84-17</t>
  </si>
  <si>
    <t>clear-night</t>
  </si>
  <si>
    <t>Clear</t>
  </si>
  <si>
    <t>clear-day</t>
  </si>
  <si>
    <t>204:232689</t>
  </si>
  <si>
    <t>204:774</t>
  </si>
  <si>
    <t>204:232690</t>
  </si>
  <si>
    <t>204:232650</t>
  </si>
  <si>
    <t>204:233263</t>
  </si>
  <si>
    <t>204:172</t>
  </si>
  <si>
    <t>204:233336</t>
  </si>
  <si>
    <t>204:233011</t>
  </si>
  <si>
    <t>204:429</t>
  </si>
  <si>
    <t>204:748</t>
  </si>
  <si>
    <t>204:233329</t>
  </si>
  <si>
    <t>204:233316</t>
  </si>
  <si>
    <t>204:218</t>
  </si>
  <si>
    <t>204:232980</t>
  </si>
  <si>
    <t>204:233364</t>
  </si>
  <si>
    <t>204:136</t>
  </si>
  <si>
    <t>204:233326</t>
  </si>
  <si>
    <t>204:493</t>
  </si>
  <si>
    <t>204:233278</t>
  </si>
  <si>
    <t>204:198</t>
  </si>
  <si>
    <t>204:524</t>
  </si>
  <si>
    <t>204:233274</t>
  </si>
  <si>
    <t>204:232942</t>
  </si>
  <si>
    <t>204:444</t>
  </si>
  <si>
    <t>204:511</t>
  </si>
  <si>
    <t>204:233332</t>
  </si>
  <si>
    <t>204:233200</t>
  </si>
  <si>
    <t>204:232885</t>
  </si>
  <si>
    <t>204:233283</t>
  </si>
  <si>
    <t>204:181</t>
  </si>
  <si>
    <t>204:233280</t>
  </si>
  <si>
    <t>204:114</t>
  </si>
  <si>
    <t>204:233309</t>
  </si>
  <si>
    <t>204:422</t>
  </si>
  <si>
    <t>204:110</t>
  </si>
  <si>
    <t>204:233366</t>
  </si>
  <si>
    <t>204:233042</t>
  </si>
  <si>
    <t>204:233028</t>
  </si>
  <si>
    <t>204:233288</t>
  </si>
  <si>
    <t>204:233287</t>
  </si>
  <si>
    <t>204:232976</t>
  </si>
  <si>
    <t>204:389</t>
  </si>
  <si>
    <t>204:233378</t>
  </si>
  <si>
    <t>204:233032</t>
  </si>
  <si>
    <t>204:233027</t>
  </si>
  <si>
    <t>204:478</t>
  </si>
  <si>
    <t>204:232972</t>
  </si>
  <si>
    <t>204:233215</t>
  </si>
  <si>
    <t>204:232896</t>
  </si>
  <si>
    <t>204:192</t>
  </si>
  <si>
    <t>204:212</t>
  </si>
  <si>
    <t>204:232959</t>
  </si>
  <si>
    <t>204:238</t>
  </si>
  <si>
    <t>204:96</t>
  </si>
  <si>
    <t>204:233096</t>
  </si>
  <si>
    <t>204:37197</t>
  </si>
  <si>
    <t>204:886</t>
  </si>
  <si>
    <t>204:233040</t>
  </si>
  <si>
    <t>204:233387</t>
  </si>
  <si>
    <t>204:233064</t>
  </si>
  <si>
    <t>204:118</t>
  </si>
  <si>
    <t>204:37801</t>
  </si>
  <si>
    <t>204:513</t>
  </si>
  <si>
    <t>204:233395</t>
  </si>
  <si>
    <t>300:23150</t>
  </si>
  <si>
    <t>204:502</t>
  </si>
  <si>
    <t>300:23308</t>
  </si>
  <si>
    <t>300:19271</t>
  </si>
  <si>
    <t>204:509</t>
  </si>
  <si>
    <t>300:23310</t>
  </si>
  <si>
    <t>300:22352</t>
  </si>
  <si>
    <t>204:540</t>
  </si>
  <si>
    <t>300:22181</t>
  </si>
  <si>
    <t>300:19235</t>
  </si>
  <si>
    <t>204:865</t>
  </si>
  <si>
    <t>300:24216</t>
  </si>
  <si>
    <t>300:21748</t>
  </si>
  <si>
    <t>204:958</t>
  </si>
  <si>
    <t>204:1277</t>
  </si>
  <si>
    <t>300:24227</t>
  </si>
  <si>
    <t>300:23091</t>
  </si>
  <si>
    <t>204:631</t>
  </si>
  <si>
    <t>300:23302</t>
  </si>
  <si>
    <t>300:23179</t>
  </si>
  <si>
    <t>204:151</t>
  </si>
  <si>
    <t>300:21990</t>
  </si>
  <si>
    <t>204:1769</t>
  </si>
  <si>
    <t>204:1488</t>
  </si>
  <si>
    <t>204:10413</t>
  </si>
  <si>
    <t>204:107403</t>
  </si>
  <si>
    <t>204:9689</t>
  </si>
  <si>
    <t>204:107225</t>
  </si>
  <si>
    <t>204:9694</t>
  </si>
  <si>
    <t>204:9879</t>
  </si>
  <si>
    <t>204:107543</t>
  </si>
  <si>
    <t>204:106899</t>
  </si>
  <si>
    <t>204:9538</t>
  </si>
  <si>
    <t>204:107086</t>
  </si>
  <si>
    <t>204:10176</t>
  </si>
  <si>
    <t>204:107212</t>
  </si>
  <si>
    <t>204:10185</t>
  </si>
  <si>
    <t>204:1035</t>
  </si>
  <si>
    <t>300:58606</t>
  </si>
  <si>
    <t>204:734</t>
  </si>
  <si>
    <t>204:1002</t>
  </si>
  <si>
    <t>300:58645</t>
  </si>
  <si>
    <t>204:1027</t>
  </si>
  <si>
    <t>300:58615</t>
  </si>
  <si>
    <t>204:1000</t>
  </si>
  <si>
    <t>204:1025</t>
  </si>
  <si>
    <t>300:58619</t>
  </si>
  <si>
    <t>204:832</t>
  </si>
  <si>
    <t>300:58952</t>
  </si>
  <si>
    <t>204:1021</t>
  </si>
  <si>
    <t>300:58961</t>
  </si>
  <si>
    <t>204:708</t>
  </si>
  <si>
    <t>204:993</t>
  </si>
  <si>
    <t>300:58956</t>
  </si>
  <si>
    <t>204:1018</t>
  </si>
  <si>
    <t>300:58971</t>
  </si>
  <si>
    <t>300:58649</t>
  </si>
  <si>
    <t>204:1007</t>
  </si>
  <si>
    <t>204:691</t>
  </si>
  <si>
    <t>300:58604</t>
  </si>
  <si>
    <t>204:967</t>
  </si>
  <si>
    <t>300:58617</t>
  </si>
  <si>
    <t>204:897</t>
  </si>
  <si>
    <t>300:58944</t>
  </si>
  <si>
    <t>204:939</t>
  </si>
  <si>
    <t>204:10276</t>
  </si>
  <si>
    <t>204:107177</t>
  </si>
  <si>
    <t>204:10456</t>
  </si>
  <si>
    <t>204:107069</t>
  </si>
  <si>
    <t>204:107077</t>
  </si>
  <si>
    <t>204:635</t>
  </si>
  <si>
    <t>204:964</t>
  </si>
  <si>
    <t>204:934</t>
  </si>
  <si>
    <t>300:58624</t>
  </si>
  <si>
    <t>204:673</t>
  </si>
  <si>
    <t>204:978</t>
  </si>
  <si>
    <t>300:58668</t>
  </si>
  <si>
    <t>204:948</t>
  </si>
  <si>
    <t>300:58965</t>
  </si>
  <si>
    <t>204:106738</t>
  </si>
  <si>
    <t>204:10043</t>
  </si>
  <si>
    <t>204:106754</t>
  </si>
  <si>
    <t>204:10219</t>
  </si>
  <si>
    <t>204:643</t>
  </si>
  <si>
    <t>300:58660</t>
  </si>
  <si>
    <t>204:649</t>
  </si>
  <si>
    <t>204:941</t>
  </si>
  <si>
    <t>300:58969</t>
  </si>
  <si>
    <t>204:943</t>
  </si>
  <si>
    <t>300:30256</t>
  </si>
  <si>
    <t>300:58939</t>
  </si>
  <si>
    <t>300:23317</t>
  </si>
  <si>
    <t>204:1121</t>
  </si>
  <si>
    <t>300:24201</t>
  </si>
  <si>
    <t>300:28761</t>
  </si>
  <si>
    <t>300:21437</t>
  </si>
  <si>
    <t>start /low /b %USERPROFILE%\Documents\GitHub\eaglep3\Utilities\DownloadLogsFromS3.py --loco 4022 --day 2017-01-17</t>
  </si>
  <si>
    <t>start /low /b %USERPROFILE%\Documents\GitHub\eaglep3\Utilities\DownloadLogsFromS3.py --loco 4015 --day 2017-01-17</t>
  </si>
  <si>
    <t>start /low /b %USERPROFILE%\Documents\GitHub\eaglep3\Utilities\DownloadLogsFromS3.py --loco 4031 --day 2017-01-18</t>
  </si>
  <si>
    <t>start /low /b %USERPROFILE%\Documents\GitHub\eaglep3\Utilities\DownloadLogsFromS3.py --loco 4032 --day 2017-01-18</t>
  </si>
  <si>
    <t>start /low /b %USERPROFILE%\Documents\GitHub\eaglep3\Utilities\DownloadLogsFromS3.py --loco 4041 --day 2017-01-17</t>
  </si>
  <si>
    <t>start /low /b %USERPROFILE%\Documents\GitHub\eaglep3\Utilities\DownloadLogsFromS3.py --loco 4001 --day 2017-01-18</t>
  </si>
  <si>
    <t>start /low /b %USERPROFILE%\Documents\GitHub\eaglep3\Utilities\DownloadLogsFromS3.py --loco 4007 --day 2017-01-17</t>
  </si>
  <si>
    <t>start /low /b %USERPROFILE%\Documents\GitHub\eaglep3\Utilities\DownloadLogsFromS3.py --loco 4039 --day 2017-01-17</t>
  </si>
  <si>
    <t>start /low /b %USERPROFILE%\Documents\GitHub\eaglep3\Utilities\DownloadLogsFromS3.py --loco 4027 --day 2017-01-17</t>
  </si>
  <si>
    <t>start /low /b %USERPROFILE%\Documents\GitHub\eaglep3\Utilities\DownloadLogsFromS3.py --loco 4015 --day 2017-01-18</t>
  </si>
  <si>
    <t>start /low /b %USERPROFILE%\Documents\GitHub\eaglep3\Utilities\DownloadLogsFromS3.py --loco 4001 --day 2017-01-17</t>
  </si>
  <si>
    <t>start /low /b %USERPROFILE%\Documents\GitHub\eaglep3\Utilities\DownloadLogsFromS3.py --loco 4008 --day 2017-01-17</t>
  </si>
  <si>
    <t>start /low /b %USERPROFILE%\Documents\GitHub\eaglep3\Utilities\DownloadLogsFromS3.py --loco 4028 --day 2017-01-18</t>
  </si>
  <si>
    <t>start /low /b %USERPROFILE%\Documents\GitHub\eaglep3\Utilities\DownloadLogsFromS3.py --loco 4008 --day 2017-01-18</t>
  </si>
  <si>
    <t>start /low /b %USERPROFILE%\Documents\GitHub\eaglep3\Utilities\DownloadLogsFromS3.py --loco 4021 --day 2017-01-18</t>
  </si>
  <si>
    <t>start /low /b %USERPROFILE%\Documents\GitHub\eaglep3\Utilities\DownloadLogsFromS3.py --loco 4031 --day 2017-01-17</t>
  </si>
  <si>
    <t>start /low /b %USERPROFILE%\Documents\GitHub\eaglep3\Utilities\DownloadLogsFromS3.py --loco 4042 --day 2017-01-18</t>
  </si>
  <si>
    <t>start /low /b %USERPROFILE%\Documents\GitHub\eaglep3\Utilities\DownloadLogsFromS3.py --loco 4017 --day 2017-01-18</t>
  </si>
  <si>
    <t>start /low /b %USERPROFILE%\Documents\GitHub\eaglep3\Utilities\DownloadLogsFromS3.py --loco 4020 --day 2017-01-18</t>
  </si>
  <si>
    <t>start /low /b %USERPROFILE%\Documents\GitHub\eaglep3\Utilities\DownloadLogsFromS3.py --loco 4018 --day 2017-01-17</t>
  </si>
  <si>
    <t>start /low /b %USERPROFILE%\Documents\GitHub\eaglep3\Utilities\DownloadLogsFromS3.py --loco 4019 --day 2017-01-17</t>
  </si>
  <si>
    <t>start /low /b %USERPROFILE%\Documents\GitHub\eaglep3\Utilities\DownloadLogsFromS3.py --loco 4019 --day 2017-01-18</t>
  </si>
  <si>
    <t>start /low /b %USERPROFILE%\Documents\GitHub\eaglep3\Utilities\DownloadLogsFromS3.py --loco 4020 --day 2017-01-17</t>
  </si>
  <si>
    <t>start /low /b %USERPROFILE%\Documents\GitHub\eaglep3\Utilities\DownloadLogsFromS3.py --loco 4018 --day 2017-01-18</t>
  </si>
  <si>
    <t>Banner w/o braking, onboard in-route failure</t>
  </si>
  <si>
    <t>EC0386RH 44-2T 2S premature downgrade</t>
  </si>
  <si>
    <t>At 22:52:36, EC0386RH 44-2T 2S dropped from 270 to STOP &amp; PROCEED. Do logs indicate anything unusual at this time?</t>
  </si>
  <si>
    <t>234-17</t>
  </si>
  <si>
    <t>Ran ATC - planned maintenance (EC 83)</t>
  </si>
  <si>
    <t>236-17</t>
  </si>
  <si>
    <t>237-17</t>
  </si>
  <si>
    <t>238-17</t>
  </si>
  <si>
    <t>239-17</t>
  </si>
  <si>
    <t>240-17</t>
  </si>
  <si>
    <t>241-17</t>
  </si>
  <si>
    <t>242-17</t>
  </si>
  <si>
    <t>243-17</t>
  </si>
  <si>
    <t>244-17</t>
  </si>
  <si>
    <t>Early arrival (41st)</t>
  </si>
  <si>
    <t>No signs of penalties from PTC</t>
  </si>
  <si>
    <t>Incident claims hard cab flips, data shows TRACK WARRANT enforcements</t>
  </si>
  <si>
    <t>SYS :2017/01/17 11:03:00.924:ENFORCEMENT:Reactive Enforcement Action:  Target Number: 00006014  Target Speed:   0.0  Current Speed:   9.2</t>
  </si>
  <si>
    <t>SYS :2017/01/17 12:01:09.957:ENFORCEMENT:Predictive Enforcement Action:  Target Number: 0000101B  Target Speed:   0.0  Current Speed:   4.5</t>
  </si>
  <si>
    <t>SYS :2017/01/17 12:01:10.205:ENFORCEMENT:Predictive Enforcement Action:  Target Number: 0000101B  Target Speed:   0.0  Current Speed:   4.8</t>
  </si>
  <si>
    <t>SYS :2017/01/17 12:01:10.381:ENFORCEMENT:Predictive Enforcement Action:  Target Number: 0000101B  Target Speed:   0.0  Current Speed:   4.5</t>
  </si>
  <si>
    <t>SYS :2017/01/17 12:12:28.075:ENFORCEMENT:Predictive Enforcement Action:  Target Number: 0001001B  Target Speed:  15.0  Current Speed:  20.4</t>
  </si>
  <si>
    <t>SYS :2017/01/17 12:12:28.571:ENFORCEMENT:Predictive Enforcement Action:  Target Number: 0001001B  Target Speed:  15.0  Current Speed:  20.4</t>
  </si>
  <si>
    <t>SYS :2017/01/17 12:44:00.072:ENFORCEMENT:Predictive Enforcement Action:  Target Number: 0001002A  Target Speed:  30.0  Current Speed:  41.4</t>
  </si>
  <si>
    <t>SYS :2017/01/17 12:44:00.573:ENFORCEMENT:Predictive Enforcement Action:  Target Number: 0001002A  Target Speed:  30.0  Current Speed:  41.4</t>
  </si>
  <si>
    <t>SYS :2017/01/17 12:44:01.046:ENFORCEMENT:Predictive Enforcement Action:  Target Number: 00010019  Target Speed:  30.0  Current Speed:  40.9</t>
  </si>
  <si>
    <t>SYS :2017/01/17 12:55:10.509:ENFORCEMENT:Reactive Enforcement Action:  Target Number: 000063D8  Target Speed:   0.0  Current Speed:  13.3</t>
  </si>
  <si>
    <t>SYS :2017/01/17 13:54:13.970:ENFORCEMENT:Predictive Enforcement Action:  Target Number: 0000A005  Target Speed:  10.0  Current Speed:  19.2</t>
  </si>
  <si>
    <t>SYS :2017/01/17 13:54:14.236:ENFORCEMENT:Predictive Enforcement Action:  Target Number: 0000A005  Target Speed:  10.0  Current Speed:  19.2</t>
  </si>
  <si>
    <t>SYS :2017/01/17 13:54:14.405:ENFORCEMENT:Predictive Enforcement Action:  Target Number: 0000A005  Target Speed:  10.0  Current Speed:  19.2</t>
  </si>
  <si>
    <t>SYS :2017/01/17 15:05:23.991:ENFORCEMENT:Predictive Enforcement Action:  Target Number: 00001009  Target Speed:   0.0  Current Speed:   8.0</t>
  </si>
  <si>
    <t>SYS :2017/01/17 15:05:24.016:ENFORCEMENT:Predictive Enforcement Action:  Target Number: 00001009  Target Speed:   0.0  Current Speed:   8.0</t>
  </si>
  <si>
    <t>SYS :2017/01/17 15:39:15.457:ENFORCEMENT:Predictive Enforcement Action:  Target Number: 00001007  Target Speed:   0.0  Current Speed:  13.5</t>
  </si>
  <si>
    <t>SYS :2017/01/17 15:39:15.477:ENFORCEMENT:Predictive Enforcement Action:  Target Number: 00001007  Target Speed:   0.0  Current Speed:  13.4</t>
  </si>
  <si>
    <t>SYS :2017/01/17 15:39:52.903:ENFORCEMENT:Predictive Enforcement Action:  Target Number: 00001007  Target Speed:   0.0  Current Speed:   5.6</t>
  </si>
  <si>
    <t>SYS :2017/01/17 15:39:53.461:ENFORCEMENT:Predictive Enforcement Action:  Target Number: 00001007  Target Speed:   0.0  Current Speed:   5.6</t>
  </si>
  <si>
    <t>SYS :2017/01/17 15:39:53.477:ENFORCEMENT:Predictive Enforcement Action:  Target Number: 00001007  Target Speed:   0.0  Current Speed:   6.2</t>
  </si>
  <si>
    <t>SYS :2017/01/17 16:20:04.370:ENFORCEMENT:Predictive Enforcement Action:  Target Number: 0000100C  Target Speed:   0.0  Current Speed:   5.8</t>
  </si>
  <si>
    <t>SYS :2017/01/17 16:20:04.389:ENFORCEMENT:Predictive Enforcement Action:  Target Number: 0000100C  Target Speed:   0.0  Current Speed:   5.8</t>
  </si>
  <si>
    <t>SYS :2017/01/17 16:50:34.989:ENFORCEMENT:Predictive Enforcement Action:  Target Number: 0000100A  Target Speed:   0.0  Current Speed:   6.3</t>
  </si>
  <si>
    <t>SYS :2017/01/17 16:50:35.028:ENFORCEMENT:Predictive Enforcement Action:  Target Number: 0000100A  Target Speed:   0.0  Current Speed:   6.3</t>
  </si>
  <si>
    <t>SYS :2017/01/17 16:50:35.489:ENFORCEMENT:Predictive Enforcement Action:  Target Number: 0000100A  Target Speed:   0.0  Current Speed:   6.3</t>
  </si>
  <si>
    <t>SYS :2017/01/17 17:08:03.385:ENFORCEMENT:Predictive Enforcement Action:  Target Number: 00017045  Target Speed:   0.0  Current Speed:  14.3</t>
  </si>
  <si>
    <t>SYS :2017/01/17 17:08:03.517:ENFORCEMENT:Predictive Enforcement Action:  Target Number: 00017045  Target Speed:   0.0  Current Speed:  14.3</t>
  </si>
  <si>
    <t>SYS :2017/01/17 17:37:51.513:ENFORCEMENT:Predictive Enforcement Action:  Target Number: 00001009  Target Speed:   0.0  Current Speed:  11.0</t>
  </si>
  <si>
    <t>SYS :2017/01/17 17:37:52.377:ENFORCEMENT:Predictive Enforcement Action:  Target Number: 00001009  Target Speed:   0.0  Current Speed:  11.0</t>
  </si>
  <si>
    <t>SYS :2017/01/17 17:55:09.929:ENFORCEMENT:Predictive Enforcement Action:  Target Number: 00001010  Target Speed:   0.0  Current Speed:  12.5</t>
  </si>
  <si>
    <t>SYS :2017/01/17 18:24:52.044:ENFORCEMENT:Predictive Enforcement Action:  Target Number: 00017060  Target Speed:  31.0  Current Speed:  37.3</t>
  </si>
  <si>
    <t>SYS :2017/01/17 18:24:52.513:ENFORCEMENT:Predictive Enforcement Action:  Target Number: 00017060  Target Speed:  31.0  Current Speed:  37.3</t>
  </si>
  <si>
    <t>SYS :2017/01/17 18:56:04.927:ENFORCEMENT:Predictive Enforcement Action:  Target Number: 00001013  Target Speed:   0.0  Current Speed:   5.1</t>
  </si>
  <si>
    <t>SYS :2017/01/17 18:56:05.107:ENFORCEMENT:Predictive Enforcement Action:  Target Number: 00001037  Target Speed:   0.0  Current Speed:   5.2</t>
  </si>
  <si>
    <t>SYS :2017/01/17 18:56:05.428:ENFORCEMENT:Predictive Enforcement Action:  Target Number: 00001070  Target Speed:   0.0  Current Speed:   5.2</t>
  </si>
  <si>
    <t>SYS :2017/01/17 19:55:31.928:ENFORCEMENT:Predictive Enforcement Action:  Target Number: 00001019  Target Speed:   0.0  Current Speed:  12.4</t>
  </si>
  <si>
    <t>SYS :2017/01/17 19:55:32.113:ENFORCEMENT:Predictive Enforcement Action:  Target Number: 0000103A  Target Speed:   0.0  Current Speed:  12.4</t>
  </si>
  <si>
    <t>SYS :2017/01/17 19:55:32.420:ENFORCEMENT:Predictive Enforcement Action:  Target Number: 00001074  Target Speed:   0.0  Current Speed:  12.4</t>
  </si>
  <si>
    <t>SYS :2017/01/17 19:56:26.928:ENFORCEMENT:Predictive Enforcement Action:  Target Number: 00001019  Target Speed:   0.0  Current Speed:   4.0</t>
  </si>
  <si>
    <t>SYS :2017/01/17 19:56:27.109:ENFORCEMENT:Predictive Enforcement Action:  Target Number: 0000103A  Target Speed:   0.0  Current Speed:   4.0</t>
  </si>
  <si>
    <t>SYS :2017/01/17 19:56:27.424:ENFORCEMENT:Predictive Enforcement Action:  Target Number: 00001074  Target Speed:   0.0  Current Speed:   4.0</t>
  </si>
  <si>
    <t>SYS :2017/01/17 20:23:05.613:ENFORCEMENT:Predictive Enforcement Action:  Target Number: 0000100B  Target Speed:   0.0  Current Speed:   7.9</t>
  </si>
  <si>
    <t>SYS :2017/01/17 20:23:06.413:ENFORCEMENT:Predictive Enforcement Action:  Target Number: 0000100B  Target Speed:   0.0  Current Speed:   8.2</t>
  </si>
  <si>
    <t>SYS :2017/01/17 20:23:06.493:ENFORCEMENT:Predictive Enforcement Action:  Target Number: 0000100B  Target Speed:   0.0  Current Speed:   8.2</t>
  </si>
  <si>
    <t>SYS :2017/01/17 20:23:49.619:ENFORCEMENT:Predictive Enforcement Action:  Target Number: 0000100B  Target Speed:   0.0  Current Speed:   4.4</t>
  </si>
  <si>
    <t>SYS :2017/01/17 20:23:50.411:ENFORCEMENT:Predictive Enforcement Action:  Target Number: 0000100B  Target Speed:   0.0  Current Speed:   6.1</t>
  </si>
  <si>
    <t>SYS :2017/01/17 20:23:50.492:ENFORCEMENT:Predictive Enforcement Action:  Target Number: 0000100B  Target Speed:   0.0  Current Speed:   6.1</t>
  </si>
  <si>
    <t>SYS :2017/01/17 20:55:08.419:ENFORCEMENT:Predictive Enforcement Action:  Target Number: 00001077  Target Speed:   0.0  Current Speed:   3.9</t>
  </si>
  <si>
    <t>SYS :2017/01/17 20:55:08.935:ENFORCEMENT:Predictive Enforcement Action:  Target Number: 0000101C  Target Speed:   0.0  Current Speed:   3.9</t>
  </si>
  <si>
    <t>SYS :2017/01/17 20:55:09.102:ENFORCEMENT:Predictive Enforcement Action:  Target Number: 0000103D  Target Speed:   0.0  Current Speed:   3.9</t>
  </si>
  <si>
    <t>SYS :2017/01/17 21:08:23.180:ENFORCEMENT:Reactive Enforcement Action:  Target Number: 0001709A  Target Speed:  28.0  Current Speed:  33.4</t>
  </si>
  <si>
    <t>SYS :2017/01/17 21:32:17.346:ENFORCEMENT:Predictive Enforcement Action:  Target Number: 00010234  Target Speed:  55.0  Current Speed:  79.7</t>
  </si>
  <si>
    <t>SYS :2017/01/17 21:32:53.636:ENFORCEMENT:Reactive Enforcement Action:  Target Number: 000100E6  Target Speed:  15.0  Current Speed:  20.5</t>
  </si>
  <si>
    <t>SYS :2017/01/17 21:32:54.501:ENFORCEMENT:Reactive Enforcement Action:  Target Number: 000100E8  Target Speed:  15.0  Current Speed:  20.5</t>
  </si>
  <si>
    <t>SYS :2017/01/17 21:32:54.531:ENFORCEMENT:Reactive Enforcement Action:  Target Number: 000100E7  Target Speed:  15.0  Current Speed:  20.5</t>
  </si>
  <si>
    <t>SYS :2017/01/17 21:34:39.843:ENFORCEMENT:Predictive Enforcement Action:  Target Number: 0000105D  Target Speed:   0.0  Current Speed:   5.6</t>
  </si>
  <si>
    <t>SYS :2017/01/17 21:34:40.008:ENFORCEMENT:Predictive Enforcement Action:  Target Number: 0000102C  Target Speed:   0.0  Current Speed:   5.8</t>
  </si>
  <si>
    <t>SYS :2017/01/17 21:34:40.181:ENFORCEMENT:Predictive Enforcement Action:  Target Number: 00001006  Target Speed:   0.0  Current Speed:   5.6</t>
  </si>
  <si>
    <t>SYS :2017/01/17 23:05:53.954:ENFORCEMENT:Predictive Enforcement Action:  Target Number: 0000102B  Target Speed:   0.0  Current Speed:   9.2</t>
  </si>
  <si>
    <t>SYS :2017/01/17 23:05:54.223:ENFORCEMENT:Predictive Enforcement Action:  Target Number: 0000102B  Target Speed:   0.0  Current Speed:   9.2</t>
  </si>
  <si>
    <t>SYS :2017/01/17 23:05:54.380:ENFORCEMENT:Predictive Enforcement Action:  Target Number: 0000102B  Target Speed:   0.0  Current Speed:   9.2</t>
  </si>
  <si>
    <t>SYS :2017/01/17 23:06:29.382:ENFORCEMENT:Predictive Enforcement Action:  Target Number: 0000102B  Target Speed:   0.0  Current Speed:   4.9</t>
  </si>
  <si>
    <t>SYS :2017/01/17 23:06:29.952:ENFORCEMENT:Predictive Enforcement Action:  Target Number: 0000102B  Target Speed:   0.0  Current Speed:   4.7</t>
  </si>
  <si>
    <t>SYS :2017/01/17 23:06:30.215:ENFORCEMENT:Predictive Enforcement Action:  Target Number: 0000102B  Target Speed:   0.0  Current Speed:   4.9</t>
  </si>
  <si>
    <t>SYS :2017/01/17 23:06:59.380:ENFORCEMENT:Predictive Enforcement Action:  Target Number: 0000102B  Target Speed:   0.0  Current Speed:   1.8</t>
  </si>
  <si>
    <t>SYS :2017/01/17 23:06:59.951:ENFORCEMENT:Predictive Enforcement Action:  Target Number: 0000102B  Target Speed:   0.0  Current Speed:   4.0</t>
  </si>
  <si>
    <t>SYS :2017/01/17 23:07:00.215:ENFORCEMENT:Predictive Enforcement Action:  Target Number: 0000102B  Target Speed:   0.0  Current Speed:   1.8</t>
  </si>
  <si>
    <t>SYS :2017/01/17 23:07:30.954:ENFORCEMENT:Predictive Enforcement Action:  Target Number: 0000102B  Target Speed:   0.0  Current Speed:   2.6</t>
  </si>
  <si>
    <t>SYS :2017/01/17 23:07:31.387:ENFORCEMENT:Predictive Enforcement Action:  Target Number: 0000102B  Target Speed:   0.0  Current Speed:   2.6</t>
  </si>
  <si>
    <t>SYS :2017/01/17 23:07:32.215:ENFORCEMENT:Predictive Enforcement Action:  Target Number: 0000102B  Target Speed:   0.0  Current Speed:   2.6</t>
  </si>
  <si>
    <t>SYS :2017/01/18 00:25:23.641:ENFORCEMENT:Predictive Enforcement Action:  Target Number: 0000102D  Target Speed:   0.0  Current Speed:   5.7</t>
  </si>
  <si>
    <t>SYS :2017/01/18 00:25:31.954:ENFORCEMENT:Predictive Enforcement Action:  Target Number: 0000102D  Target Speed:   0.0  Current Speed:   3.2</t>
  </si>
  <si>
    <t>SYS :2017/01/18 00:25:32.371:ENFORCEMENT:Predictive Enforcement Action:  Target Number: 00001024  Target Speed:   0.0  Current Speed:   3.2</t>
  </si>
  <si>
    <t>SYS :2017/01/18 00:38:58.385:ENFORCEMENT:Predictive Enforcement Action:  Target Number: 00001012  Target Speed:   0.0  Current Speed:   5.7</t>
  </si>
  <si>
    <t>SYS :2017/01/18 00:38:58.500:ENFORCEMENT:Predictive Enforcement Action:  Target Number: 00001012  Target Speed:   0.0  Current Speed:   5.7</t>
  </si>
  <si>
    <t>SYS :2017/01/18 01:16:49.966:ENFORCEMENT:Reactive Enforcement Action:  Target Number: 00010214  Target Speed:  40.0  Current Speed:  45.9</t>
  </si>
  <si>
    <t>SYS :2017/01/18 01:16:50.375:ENFORCEMENT:Reactive Enforcement Action:  Target Number: 0001018F  Target Speed:  40.0  Current Speed:  45.9</t>
  </si>
  <si>
    <t>SYS :2017/01/18 01:16:50.648:ENFORCEMENT:Reactive Enforcement Action:  Target Number: 00010215  Target Speed:  40.0  Current Speed:  45.9</t>
  </si>
  <si>
    <t>SYS :2017/01/18 01:21:55.659:ENFORCEMENT:Predictive Enforcement Action:  Target Number: 000170F3  Target Speed:  31.0  Current Speed:  45.9</t>
  </si>
  <si>
    <t>SYS :2017/01/18 01:21:56.383:ENFORCEMENT:Predictive Enforcement Action:  Target Number: 000170A0  Target Speed:  31.0  Current Speed:  46.0</t>
  </si>
  <si>
    <t>SYS :2017/01/18 01:21:56.976:ENFORCEMENT:Predictive Enforcement Action:  Target Number: 000170F3  Target Speed:  31.0  Current Speed:  45.8</t>
  </si>
  <si>
    <t>SYS :2017/01/18 01:29:12.619:ENFORCEMENT:Predictive Enforcement Action:  Target Number: 00001002  Target Speed:   0.0  Current Speed:   4.2</t>
  </si>
  <si>
    <t>SYS :2017/01/18 01:29:12.955:ENFORCEMENT:Predictive Enforcement Action:  Target Number: 00001030  Target Speed:   0.0  Current Speed:   4.2</t>
  </si>
  <si>
    <t>SYS :2017/01/18 01:29:13.642:ENFORCEMENT:Predictive Enforcement Action:  Target Number: 00001030  Target Speed:   0.0  Current Speed:   4.2</t>
  </si>
  <si>
    <t>SYS :2017/01/18 02:04:37.851:ENFORCEMENT:Predictive Enforcement Action:  Target Number: 00001035  Target Speed:   0.0  Current Speed:   7.0</t>
  </si>
  <si>
    <t>SYS :2017/01/18 02:04:37.927:ENFORCEMENT:Predictive Enforcement Action:  Target Number: 00001034  Target Speed:   0.0  Current Speed:   7.0</t>
  </si>
  <si>
    <t>SYS :2017/01/18 02:04:38.300:ENFORCEMENT:Predictive Enforcement Action:  Target Number: 00001035  Target Speed:   0.0  Current Speed:   7.0</t>
  </si>
  <si>
    <t>SYS :2017/01/18 02:06:41.948:ENFORCEMENT:Predictive Enforcement Action:  Target Number: 00001035  Target Speed:   0.0  Current Speed:   2.7</t>
  </si>
  <si>
    <t>SYS :2017/01/18 02:06:42.377:ENFORCEMENT:Predictive Enforcement Action:  Target Number: 00001035  Target Speed:   0.0  Current Speed:   2.7</t>
  </si>
  <si>
    <t>SYS :2017/01/18 02:25:12.859:ENFORCEMENT:Reactive Enforcement Action:  Target Number: 0000A043  Target Speed:  10.0  Current Speed:  15.0</t>
  </si>
  <si>
    <t>SYS :2017/01/18 02:25:13.039:ENFORCEMENT:Reactive Enforcement Action:  Target Number: 0000A01F  Target Speed:  10.0  Current Speed:  15.0</t>
  </si>
  <si>
    <t>SYS :2017/01/18 02:25:13.213:ENFORCEMENT:Reactive Enforcement Action:  Target Number: 0000A011  Target Speed:  10.0  Current Speed:  15.0</t>
  </si>
  <si>
    <t>SYS :2017/01/18 02:36:08.675:ENFORCEMENT:Predictive Enforcement Action:  Target Number: 00001009  Target Speed:   0.0  Current Speed:   7.4</t>
  </si>
  <si>
    <t>SYS :2017/01/18 02:36:08.874:ENFORCEMENT:Predictive Enforcement Action:  Target Number: 0000101B  Target Speed:   0.0  Current Speed:   7.4</t>
  </si>
  <si>
    <t>SYS :2017/01/18 02:36:09.111:ENFORCEMENT:Predictive Enforcement Action:  Target Number: 0000101B  Target Speed:   0.0  Current Speed:   7.4</t>
  </si>
  <si>
    <t>SYS :2017/01/18 02:38:45.404:ENFORCEMENT:Predictive Enforcement Action:  Target Number: 000170E7  Target Speed:  31.0  Current Speed:  38.2</t>
  </si>
  <si>
    <t>SYS :2017/01/18 02:38:45.417:ENFORCEMENT:Predictive Enforcement Action:  Target Number: 000170E7  Target Speed:  31.0  Current Speed:  38.2</t>
  </si>
  <si>
    <t>SYS :2017/01/18 02:49:37.935:ENFORCEMENT:Predictive Enforcement Action:  Target Number: 000061FC  Target Speed:   0.0  Current Speed:  26.3</t>
  </si>
  <si>
    <t>SYS :2017/01/18 02:49:38.111:ENFORCEMENT:Predictive Enforcement Action:  Target Number: 00006581  Target Speed:   0.0  Current Speed:  27.2</t>
  </si>
  <si>
    <t>SYS :2017/01/18 03:37:50.468:ENFORCEMENT:Predictive Enforcement Action:  Target Number: 000170CD  Target Speed:   0.0  Current Speed:  17.2</t>
  </si>
  <si>
    <t>SYS :2017/01/18 03:37:51.409:ENFORCEMENT:Predictive Enforcement Action:  Target Number: 00017057  Target Speed:   0.0  Current Speed:  16.8</t>
  </si>
  <si>
    <t>SYS :2017/01/18 03:37:51.915:ENFORCEMENT:Predictive Enforcement Action:  Target Number: 000170CD  Target Speed:   0.0  Current Speed:  16.8</t>
  </si>
  <si>
    <t>SYS :2017/01/18 04:33:54.369:ENFORCEMENT:Predictive Enforcement Action:  Target Number: 0000101B  Target Speed:   0.0  Current Speed:  10.3</t>
  </si>
  <si>
    <t>SYS :2017/01/18 04:33:54.386:ENFORCEMENT:Predictive Enforcement Action:  Target Number: 0000101B  Target Speed:   0.0  Current Speed:  10.3</t>
  </si>
  <si>
    <t>SYS :2017/01/18 04:54:53.484:ENFORCEMENT:Predictive Enforcement Action:  Target Number: 000170DF  Target Speed:   0.0  Current Speed:  24.3</t>
  </si>
  <si>
    <t>SYS :2017/01/18 04:54:53.554:ENFORCEMENT:Predictive Enforcement Action:  Target Number: 000170E1  Target Speed:   0.0  Current Speed:  24.3</t>
  </si>
  <si>
    <t>SYS :2017/01/18 04:54:53.627:ENFORCEMENT:Predictive Enforcement Action:  Target Number: 000170E1  Target Speed:   0.0  Current Speed:  24.0</t>
  </si>
  <si>
    <t>SYS :2017/01/18 05:52:37.753:ENFORCEMENT:Predictive Enforcement Action:  Target Number: 00006068  Target Speed:   0.0  Current Speed:  55.6</t>
  </si>
  <si>
    <t>SYS :2017/01/18 05:52:38.020:ENFORCEMENT:Predictive Enforcement Action:  Target Number: 00006061  Target Speed:   0.0  Current Speed:  55.6</t>
  </si>
  <si>
    <t>SYS :2017/01/18 05:52:38.465:ENFORCEMENT:Predictive Enforcement Action:  Target Number: 00006068  Target Speed:   0.0  Current Speed:  55.6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</si>
</sst>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7"/>
  <sheetViews>
    <sheetView tabSelected="1" topLeftCell="A126" workbookViewId="0">
      <selection activeCell="R134" sqref="R134:R13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42752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42752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COUNTIFS($N$13:$N$9380,"&gt;0",$AG$13:$AG$9380,I1)</f>
        <v>132</v>
      </c>
      <c r="K5" s="41"/>
      <c r="L5" s="41"/>
      <c r="M5" s="42">
        <f>AVERAGEIFS($N$13:$N$9380,$AG$13:$AG$9380,I1)</f>
        <v>38.163131313684225</v>
      </c>
      <c r="N5" s="40">
        <f t="array" ref="N5">MIN(IF($AG$13:$AG$9380=I1,IF(ISNUMBER($N$13:$N$9380),IF($N$13:$N$9380&gt;0,$N$13:$N$9380))))</f>
        <v>34.300000002840534</v>
      </c>
      <c r="O5" s="3">
        <f t="array" ref="O5">MAX(IF($AG$13:$AG$9380=I1,IF(ISNUMBER($N$13:$N$9380),IF($N$13:$N$9380&gt;0,$N$13:$N$9380))))</f>
        <v>46.533333335537463</v>
      </c>
      <c r="P5" s="2"/>
      <c r="R5" s="76" t="s">
        <v>17</v>
      </c>
      <c r="S5" s="52">
        <f>COUNTIFS($N$13:$N$9380,"&gt;0",$AG$13:$AG$9380,R1)</f>
        <v>47</v>
      </c>
      <c r="T5" s="41"/>
      <c r="U5" s="164"/>
      <c r="V5" s="42">
        <f>AVERAGEIFS($N$13:$N$9380,$AG$13:$AG$9380,R1)</f>
        <v>15.696453901077126</v>
      </c>
      <c r="W5" s="40">
        <f t="array" ref="W5">MIN(IF($AG$13:$AG$9380=R1,IF(ISNUMBER($N$13:$N$9380),IF($N$13:$N$9380&gt;0,$N$13:$N$9380))))</f>
        <v>12.933333339169621</v>
      </c>
      <c r="X5" s="169">
        <f t="array" ref="X5">MAX(IF($AG$13:$AG$9380=R1,IF(ISNUMBER($N$13:$N$9380),IF($N$13:$N$9380&gt;0,$N$13:$N$9380))))</f>
        <v>22.300000005634502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COUNT($O$13:$O$128)</f>
        <v>0</v>
      </c>
      <c r="K6" s="41"/>
      <c r="L6" s="41"/>
      <c r="M6" s="42">
        <f>IFERROR(AVERAGE($O$13:$O$128),0)</f>
        <v>0</v>
      </c>
      <c r="N6" s="40">
        <f>MIN($O$13:$O$128)</f>
        <v>0</v>
      </c>
      <c r="O6" s="3">
        <f>MAX($O$13:$O$128)</f>
        <v>0</v>
      </c>
      <c r="P6" s="2"/>
      <c r="R6" s="77" t="s">
        <v>43</v>
      </c>
      <c r="S6" s="52">
        <f>COUNT($O$13:$O$128)</f>
        <v>0</v>
      </c>
      <c r="T6" s="41"/>
      <c r="U6" s="164"/>
      <c r="V6" s="42">
        <f>IFERROR(AVERAGE($O$13:$O$128),0)</f>
        <v>0</v>
      </c>
      <c r="W6" s="40">
        <f>MIN($O$13:$O$128)</f>
        <v>0</v>
      </c>
      <c r="X6" s="169">
        <f>MAX($O$13:$O$128)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COUNTIFS($P$13:$P$9380,"&gt;0",$AG$13:$AG$9380,I1)</f>
        <v>12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COUNTIFS($P$13:$P$9380,"&gt;0",$AG$13:$AG$9380,R1)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132</v>
      </c>
      <c r="K8" s="41"/>
      <c r="L8" s="41"/>
      <c r="M8" s="42">
        <f>M5</f>
        <v>38.163131313684225</v>
      </c>
      <c r="N8" s="40">
        <f>N5</f>
        <v>34.300000002840534</v>
      </c>
      <c r="O8" s="3">
        <f>O5</f>
        <v>46.533333335537463</v>
      </c>
      <c r="P8" s="2"/>
      <c r="R8" s="76" t="s">
        <v>16</v>
      </c>
      <c r="S8" s="52">
        <f>S5</f>
        <v>47</v>
      </c>
      <c r="T8" s="41"/>
      <c r="U8" s="164"/>
      <c r="V8" s="42">
        <f>V5</f>
        <v>15.696453901077126</v>
      </c>
      <c r="W8" s="40">
        <f>W5</f>
        <v>12.933333339169621</v>
      </c>
      <c r="X8" s="169">
        <f>X5</f>
        <v>22.300000005634502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0.91666666666666663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- 2017-01-17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AVERAGE(S13:S92)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257</v>
      </c>
      <c r="AN12" s="48" t="s">
        <v>301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498</v>
      </c>
      <c r="B13" s="7">
        <v>4044</v>
      </c>
      <c r="C13" s="22" t="s">
        <v>201</v>
      </c>
      <c r="D13" s="22" t="s">
        <v>398</v>
      </c>
      <c r="E13" s="13">
        <v>42752.127962962964</v>
      </c>
      <c r="F13" s="13">
        <v>42752.135625000003</v>
      </c>
      <c r="G13" s="7">
        <v>1</v>
      </c>
      <c r="H13" s="22" t="s">
        <v>415</v>
      </c>
      <c r="I13" s="13">
        <v>42752.161226851851</v>
      </c>
      <c r="J13" s="7">
        <v>0</v>
      </c>
      <c r="K13" s="105" t="str">
        <f t="shared" ref="K13:K44" si="0">IF(ISEVEN(B13),(B13-1)&amp;"/"&amp;B13,B13&amp;"/"&amp;(B13+1))</f>
        <v>4043/4044</v>
      </c>
      <c r="L13" s="22" t="str">
        <f>VLOOKUP(A13,'Trips&amp;Operators'!$C$1:$G$99999,5,FALSE)</f>
        <v>OUN ZACK</v>
      </c>
      <c r="M13" s="6">
        <f t="shared" ref="M13:M44" si="1">I13-F13</f>
        <v>2.5601851848477963E-2</v>
      </c>
      <c r="N13" s="7">
        <f t="shared" ref="N13:N44" si="2">24*60*SUM($M13:$M13)</f>
        <v>36.866666661808267</v>
      </c>
      <c r="O13" s="7"/>
      <c r="P13" s="7"/>
      <c r="Q13" s="23"/>
      <c r="R13" s="23"/>
      <c r="S13" s="32">
        <f t="shared" ref="S13:S44" si="3">SUM(U13:U13)/IF(AG13="EC",12,1)</f>
        <v>1</v>
      </c>
      <c r="T13" s="47" t="str">
        <f t="shared" ref="T13:T44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-17T02:04:16-0700',mode:absolute,to:'2017-01-17T04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49" t="str">
        <f t="shared" ref="W13:W44" si="6">IF(AA13&lt;IF(AG13="EC",23,5.65),"Y","N")</f>
        <v>N</v>
      </c>
      <c r="X13" s="173" t="e">
        <f t="shared" ref="X13:X24" si="7">VALUE(LEFT(AD13,4))-VALUE(LEFT(AD12,4))</f>
        <v>#VALUE!</v>
      </c>
      <c r="Y13" s="64">
        <f t="shared" ref="Y13:Y44" si="8">RIGHT(D13,LEN(D13)-4)/10000</f>
        <v>7.5499999999999998E-2</v>
      </c>
      <c r="Z13" s="64">
        <f t="shared" ref="Z13:Z44" si="9">RIGHT(H13,LEN(H13)-4)/10000</f>
        <v>23.331499999999998</v>
      </c>
      <c r="AA13" s="64">
        <f t="shared" ref="AA13:AA44" si="10">ABS(Z13-Y13)</f>
        <v>23.255999999999997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44" si="11">IF(LEN(A13)=6,"0"&amp;A13,A13)</f>
        <v>0101-17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/stypes="app*4044*20170117*" /stext=" 10:.+((SYSTEM_STATE.+slice.+state.+changed )|(ment ac)|(multiple cpu faults)|(system.+state.+changed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4044 --swversion DE.1.0.8.0 --startMP 204:755 --initTime 2017-01-17T03:04:16 --startdatetime 2017-01-17T03:15:18 --delay 1 --endMP 204:233315 --enddatetime 2017-01-17T03:52:10 --enforcementcount 0 &gt;&gt;C:\Users\stu\Documents\GitHub\eaglep3-reporting\EC\2017-01-17-refined-times.txt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{"issue":{"subject":"","project_id":79,"tracker_id":40,"status_id":1,"priority_id":2,"assigned_to_id":23,"start_date":"2017-01-17","description":"","custom_fields":[{"id":1,"name":"Subdivision","value":"EC"},{"id":4,"name":"Milepost","value":"23.3315"},{"id":17,"name":"Train ID","value":"101-17"},{"id":16,"name":"Locomotive ID","value":"4044"},{"id":130,"name":"Impact","value":""},{"id":150,"name":"Time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4044 --day 2017-01-17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501</v>
      </c>
      <c r="B14" s="7">
        <v>4028</v>
      </c>
      <c r="C14" s="22" t="s">
        <v>201</v>
      </c>
      <c r="D14" s="22" t="s">
        <v>684</v>
      </c>
      <c r="E14" s="13">
        <v>42752.166192129633</v>
      </c>
      <c r="F14" s="13">
        <v>42752.174513888887</v>
      </c>
      <c r="G14" s="7">
        <v>1</v>
      </c>
      <c r="H14" s="22" t="s">
        <v>317</v>
      </c>
      <c r="I14" s="13">
        <v>42752.202824074076</v>
      </c>
      <c r="J14" s="7">
        <v>0</v>
      </c>
      <c r="K14" s="105" t="str">
        <f t="shared" si="0"/>
        <v>4027/4028</v>
      </c>
      <c r="L14" s="22" t="str">
        <f>VLOOKUP(A14,'Trips&amp;Operators'!$C$1:$G$99999,5,FALSE)</f>
        <v>OUN ZACK</v>
      </c>
      <c r="M14" s="6">
        <f t="shared" si="1"/>
        <v>2.8310185189184267E-2</v>
      </c>
      <c r="N14" s="7">
        <f t="shared" si="2"/>
        <v>40.766666672425345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-17T02:59:19-0700',mode:absolute,to:'2017-01-17T05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" s="49" t="str">
        <f t="shared" si="6"/>
        <v>N</v>
      </c>
      <c r="X14" s="173">
        <f t="shared" si="7"/>
        <v>1</v>
      </c>
      <c r="Y14" s="64">
        <f t="shared" si="8"/>
        <v>23.268899999999999</v>
      </c>
      <c r="Z14" s="64">
        <f t="shared" si="9"/>
        <v>1.43E-2</v>
      </c>
      <c r="AA14" s="64">
        <f t="shared" si="10"/>
        <v>23.2546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0102-17</v>
      </c>
      <c r="AE14" s="87" t="str">
        <f t="shared" si="12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14" s="84" t="str">
        <f t="shared" si="13"/>
        <v>"C:\Program Files (x86)\AstroGrep\AstroGrep.exe" /spath="%USERPROFILE%\AppData\Local\Temp\OnboardLogs" /stypes="app*4028*20170117*"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4028 --swversion DE.1.0.8.0 --startMP 204:232689 --initTime 2017-01-17T03:59:19 --startdatetime 2017-01-17T04:11:18 --delay 1 --endMP 204:143 --enddatetime 2017-01-17T04:52:04 --enforcementcount 0 &gt;&gt;C:\Users\stu\Documents\GitHub\eaglep3-reporting\EC\2017-01-17-refined-times.txt</v>
      </c>
      <c r="AI14" s="115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{"issue":{"subject":"","project_id":79,"tracker_id":40,"status_id":1,"priority_id":2,"assigned_to_id":23,"start_date":"2017-01-17","description":"","custom_fields":[{"id":1,"name":"Subdivision","value":"EC"},{"id":4,"name":"Milepost","value":"0.0143"},{"id":17,"name":"Train ID","value":"102-17"},{"id":16,"name":"Locomotive ID","value":"4028"},{"id":130,"name":"Impact","value":""},{"id":150,"name":"Time of Event (Mountain Time)","value":"04:52:04"},{"id":151,"name":"Denver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5" si="20">"start /low /b "&amp;dls3logs&amp;" --loco "&amp;B14&amp;" --day "&amp;TEXT(F14,"YYYY-MM-DD")</f>
        <v>start /low /b %USERPROFILE%\Documents\GitHub\eaglep3\Utilities\DownloadLogsFromS3.py --loco 4028 --day 2017-01-17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499</v>
      </c>
      <c r="B15" s="7">
        <v>4022</v>
      </c>
      <c r="C15" s="22" t="s">
        <v>201</v>
      </c>
      <c r="D15" s="22" t="s">
        <v>685</v>
      </c>
      <c r="E15" s="13">
        <v>42752.149143518516</v>
      </c>
      <c r="F15" s="13">
        <v>42752.156550925924</v>
      </c>
      <c r="G15" s="7">
        <v>2</v>
      </c>
      <c r="H15" s="22" t="s">
        <v>410</v>
      </c>
      <c r="I15" s="13">
        <v>42752.183298611111</v>
      </c>
      <c r="J15" s="7">
        <v>0</v>
      </c>
      <c r="K15" s="105" t="str">
        <f t="shared" si="0"/>
        <v>4021/4022</v>
      </c>
      <c r="L15" s="22" t="str">
        <f>VLOOKUP(A15,'Trips&amp;Operators'!$C$1:$G$99999,5,FALSE)</f>
        <v>MAELZER KURT</v>
      </c>
      <c r="M15" s="6">
        <f t="shared" si="1"/>
        <v>2.6747685187729076E-2</v>
      </c>
      <c r="N15" s="7">
        <f t="shared" si="2"/>
        <v>38.516666670329869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-17T02:34:46-0700',mode:absolute,to:'2017-01-17T05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49" t="str">
        <f t="shared" si="6"/>
        <v>N</v>
      </c>
      <c r="X15" s="173">
        <f t="shared" si="7"/>
        <v>1</v>
      </c>
      <c r="Y15" s="64">
        <f t="shared" si="8"/>
        <v>7.7399999999999997E-2</v>
      </c>
      <c r="Z15" s="64">
        <f t="shared" si="9"/>
        <v>23.332100000000001</v>
      </c>
      <c r="AA15" s="64">
        <f t="shared" si="10"/>
        <v>23.2547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0103-17</v>
      </c>
      <c r="AE15" s="87" t="str">
        <f t="shared" si="12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15" s="84" t="str">
        <f t="shared" si="13"/>
        <v>"C:\Program Files (x86)\AstroGrep\AstroGrep.exe" /spath="%USERPROFILE%\AppData\Local\Temp\OnboardLogs" /stypes="app*4022*20170117*"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103-17 --locoid 4022 --swversion DE.1.0.8.0 --startMP 204:774 --initTime 2017-01-17T03:34:46 --startdatetime 2017-01-17T03:45:26 --delay 2 --endMP 204:233321 --enddatetime 2017-01-17T04:23:57 --enforcementcount 0 &gt;&gt;C:\Users\stu\Documents\GitHub\eaglep3-reporting\EC\2017-01-17-refined-times.txt</v>
      </c>
      <c r="AI1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{"issue":{"subject":"","project_id":79,"tracker_id":40,"status_id":1,"priority_id":2,"assigned_to_id":23,"start_date":"2017-01-17","description":"","custom_fields":[{"id":1,"name":"Subdivision","value":"EC"},{"id":4,"name":"Milepost","value":"23.3321"},{"id":17,"name":"Train ID","value":"103-17"},{"id":16,"name":"Locomotive ID","value":"4022"},{"id":130,"name":"Impact","value":""},{"id":150,"name":"Time of Event (Mountain Time)","value":"04:23:57"},{"id":151,"name":"Denver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4022 --day 2017-01-17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508</v>
      </c>
      <c r="B16" s="7">
        <v>4008</v>
      </c>
      <c r="C16" s="22" t="s">
        <v>201</v>
      </c>
      <c r="D16" s="22" t="s">
        <v>686</v>
      </c>
      <c r="E16" s="13">
        <v>42752.191041666665</v>
      </c>
      <c r="F16" s="13">
        <v>42752.195439814815</v>
      </c>
      <c r="G16" s="7">
        <v>1</v>
      </c>
      <c r="H16" s="22" t="s">
        <v>237</v>
      </c>
      <c r="I16" s="13">
        <v>42752.222777777781</v>
      </c>
      <c r="J16" s="7">
        <v>0</v>
      </c>
      <c r="K16" s="105" t="str">
        <f t="shared" si="0"/>
        <v>4007/4008</v>
      </c>
      <c r="L16" s="22" t="str">
        <f>VLOOKUP(A16,'Trips&amp;Operators'!$C$1:$G$99999,5,FALSE)</f>
        <v>MAELZER KURT</v>
      </c>
      <c r="M16" s="6">
        <f t="shared" si="1"/>
        <v>2.7337962965248153E-2</v>
      </c>
      <c r="N16" s="7">
        <f t="shared" si="2"/>
        <v>39.36666666995734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-17T03:35:06-0700',mode:absolute,to:'2017-01-17T06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" s="49" t="str">
        <f t="shared" si="6"/>
        <v>N</v>
      </c>
      <c r="X16" s="173">
        <f t="shared" si="7"/>
        <v>1</v>
      </c>
      <c r="Y16" s="64">
        <f t="shared" si="8"/>
        <v>23.268999999999998</v>
      </c>
      <c r="Z16" s="64">
        <f t="shared" si="9"/>
        <v>1.3899999999999999E-2</v>
      </c>
      <c r="AA16" s="64">
        <f t="shared" si="10"/>
        <v>23.255099999999999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0104-17</v>
      </c>
      <c r="AE16" s="87" t="str">
        <f t="shared" si="12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16" s="84" t="str">
        <f t="shared" si="13"/>
        <v>"C:\Program Files (x86)\AstroGrep\AstroGrep.exe" /spath="%USERPROFILE%\AppData\Local\Temp\OnboardLogs" /stypes="app*4008*20170117*"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104-17 --locoid 4008 --swversion DE.1.0.8.0 --startMP 204:232690 --initTime 2017-01-17T04:35:06 --startdatetime 2017-01-17T04:41:26 --delay 1 --endMP 204:139 --enddatetime 2017-01-17T05:20:48 --enforcementcount 0 &gt;&gt;C:\Users\stu\Documents\GitHub\eaglep3-reporting\EC\2017-01-17-refined-times.txt</v>
      </c>
      <c r="AI1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{"issue":{"subject":"","project_id":79,"tracker_id":40,"status_id":1,"priority_id":2,"assigned_to_id":23,"start_date":"2017-01-17","description":"","custom_fields":[{"id":1,"name":"Subdivision","value":"EC"},{"id":4,"name":"Milepost","value":"0.0139"},{"id":17,"name":"Train ID","value":"104-17"},{"id":16,"name":"Locomotive ID","value":"4008"},{"id":130,"name":"Impact","value":""},{"id":150,"name":"Time of Event (Mountain Time)","value":"05:20:48"},{"id":151,"name":"Denver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4008 --day 2017-01-17</v>
      </c>
      <c r="AN16" s="18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503</v>
      </c>
      <c r="B17" s="7">
        <v>4002</v>
      </c>
      <c r="C17" s="22" t="s">
        <v>201</v>
      </c>
      <c r="D17" s="22" t="s">
        <v>398</v>
      </c>
      <c r="E17" s="13">
        <v>42752.175462962965</v>
      </c>
      <c r="F17" s="13">
        <v>42752.177349537036</v>
      </c>
      <c r="G17" s="7">
        <v>1</v>
      </c>
      <c r="H17" s="22" t="s">
        <v>243</v>
      </c>
      <c r="I17" s="13">
        <v>42752.202835648146</v>
      </c>
      <c r="J17" s="7">
        <v>0</v>
      </c>
      <c r="K17" s="105" t="str">
        <f t="shared" si="0"/>
        <v>4001/4002</v>
      </c>
      <c r="L17" s="22" t="str">
        <f>VLOOKUP(A17,'Trips&amp;Operators'!$C$1:$G$99999,5,FALSE)</f>
        <v>STARKS ANGELINA</v>
      </c>
      <c r="M17" s="6">
        <f t="shared" si="1"/>
        <v>2.548611110978527E-2</v>
      </c>
      <c r="N17" s="7">
        <f t="shared" si="2"/>
        <v>36.699999998090789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-17T03:12:40-0700',mode:absolute,to:'2017-01-17T05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49" t="str">
        <f t="shared" si="6"/>
        <v>N</v>
      </c>
      <c r="X17" s="173">
        <f t="shared" si="7"/>
        <v>1</v>
      </c>
      <c r="Y17" s="64">
        <f t="shared" si="8"/>
        <v>7.5499999999999998E-2</v>
      </c>
      <c r="Z17" s="64">
        <f t="shared" si="9"/>
        <v>23.328900000000001</v>
      </c>
      <c r="AA17" s="64">
        <f t="shared" si="10"/>
        <v>23.253399999999999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0105-17</v>
      </c>
      <c r="AE17" s="87" t="str">
        <f t="shared" si="12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7" s="84" t="str">
        <f t="shared" si="13"/>
        <v>"C:\Program Files (x86)\AstroGrep\AstroGrep.exe" /spath="%USERPROFILE%\AppData\Local\Temp\OnboardLogs" /stypes="app*4002*20170117*"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105-17 --locoid 4002 --swversion DE.1.0.8.0 --startMP 204:755 --initTime 2017-01-17T04:12:40 --startdatetime 2017-01-17T04:15:23 --delay 1 --endMP 204:233289 --enddatetime 2017-01-17T04:52:05 --enforcementcount 0 &gt;&gt;C:\Users\stu\Documents\GitHub\eaglep3-reporting\EC\2017-01-17-refined-times.txt</v>
      </c>
      <c r="AI1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{"issue":{"subject":"","project_id":79,"tracker_id":40,"status_id":1,"priority_id":2,"assigned_to_id":23,"start_date":"2017-01-17","description":"","custom_fields":[{"id":1,"name":"Subdivision","value":"EC"},{"id":4,"name":"Milepost","value":"23.3289"},{"id":17,"name":"Train ID","value":"105-17"},{"id":16,"name":"Locomotive ID","value":"4002"},{"id":130,"name":"Impact","value":""},{"id":150,"name":"Time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4002 --day 2017-01-17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457</v>
      </c>
      <c r="B18" s="7">
        <v>4039</v>
      </c>
      <c r="C18" s="22" t="s">
        <v>201</v>
      </c>
      <c r="D18" s="22" t="s">
        <v>687</v>
      </c>
      <c r="E18" s="13">
        <v>42752.212951388887</v>
      </c>
      <c r="F18" s="13">
        <v>42752.216168981482</v>
      </c>
      <c r="G18" s="7">
        <v>1</v>
      </c>
      <c r="H18" s="22" t="s">
        <v>255</v>
      </c>
      <c r="I18" s="13">
        <v>42752.24417824074</v>
      </c>
      <c r="J18" s="7">
        <v>0</v>
      </c>
      <c r="K18" s="105" t="str">
        <f t="shared" si="0"/>
        <v>4039/4040</v>
      </c>
      <c r="L18" s="22" t="str">
        <f>VLOOKUP(A18,'Trips&amp;Operators'!$C$1:$G$99999,5,FALSE)</f>
        <v>STARKS ANGELINA</v>
      </c>
      <c r="M18" s="6">
        <f t="shared" si="1"/>
        <v>2.8009259258396924E-2</v>
      </c>
      <c r="N18" s="7">
        <f t="shared" si="2"/>
        <v>40.33333333209157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-17T04:06:39-0700',mode:absolute,to:'2017-01-17T06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49" t="str">
        <f t="shared" si="6"/>
        <v>N</v>
      </c>
      <c r="X18" s="173">
        <f t="shared" si="7"/>
        <v>1</v>
      </c>
      <c r="Y18" s="64">
        <f t="shared" si="8"/>
        <v>23.265000000000001</v>
      </c>
      <c r="Z18" s="64">
        <f t="shared" si="9"/>
        <v>1.5599999999999999E-2</v>
      </c>
      <c r="AA18" s="64">
        <f t="shared" si="10"/>
        <v>23.249400000000001</v>
      </c>
      <c r="AB18" s="61" t="str">
        <f>VLOOKUP(A18,Enforcements!$C$7:$K$16,8,0)</f>
        <v>Speed (6)</v>
      </c>
      <c r="AC18" s="57" t="str">
        <f>VLOOKUP(A18,Enforcements!$C$7:$E$16,3,0)</f>
        <v>PERMANENT SPEED RESTRICTION</v>
      </c>
      <c r="AD18" s="58" t="str">
        <f t="shared" si="11"/>
        <v>0106-17</v>
      </c>
      <c r="AE18" s="87" t="str">
        <f t="shared" si="12"/>
        <v>aws s3 cp s3://rtdc.mdm.uploadarchive.raw/RTDC4039/ "%USERPROFILE%\AppData\Local\Temp\OnboardLogs"\RTDC4039\2017-01-17 --exclude "*" --recursive --include "*20170117*" &amp; "%USERPROFILE%\Documents\GitHub\mrs-test-scripts\Headless Mode &amp; Sideloading\WalkAndUnGZ.bat" "%USERPROFILE%\AppData\Local\Temp\OnboardLogs"\RTDC4039\2017-01-17 &amp; 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</v>
      </c>
      <c r="AF18" s="84" t="str">
        <f t="shared" si="13"/>
        <v>"C:\Program Files (x86)\AstroGrep\AstroGrep.exe" /spath="%USERPROFILE%\AppData\Local\Temp\OnboardLogs" /stypes="app*4039*20170117*"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106-17 --locoid 4039 --swversion DE.1.0.8.0 --startMP 204:232650 --initTime 2017-01-17T05:06:39 --startdatetime 2017-01-17T05:11:17 --delay 1 --endMP 204:156 --enddatetime 2017-01-17T05:51:37 --enforcementcount 0 &gt;&gt;C:\Users\stu\Documents\GitHub\eaglep3-reporting\EC\2017-01-17-refined-times.txt</v>
      </c>
      <c r="AI1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ID","value":"106-17"},{"id":16,"name":"Locomotive ID","value":"4039"},{"id":130,"name":"Impact","value":""},{"id":150,"name":"Time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4039 --day 2017-01-17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"%USERPROFILE%\AppData\Local\Temp\OnboardLogs"\RTDC4039\*4039*20170117* | grep -SE "(Enforcement Action)|(\[TIMEOUT)|(CHR.+\|PRM\|1\|D.+(SWITCH|SIGNAL).+UNKNOWN)" - &gt;&gt; 2017-01-17-UncaughtWiMAX.txt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507</v>
      </c>
      <c r="B19" s="7">
        <v>4031</v>
      </c>
      <c r="C19" s="22" t="s">
        <v>201</v>
      </c>
      <c r="D19" s="22" t="s">
        <v>322</v>
      </c>
      <c r="E19" s="13">
        <v>42752.18167824074</v>
      </c>
      <c r="F19" s="13">
        <v>42752.187662037039</v>
      </c>
      <c r="G19" s="7">
        <v>1</v>
      </c>
      <c r="H19" s="22" t="s">
        <v>286</v>
      </c>
      <c r="I19" s="13">
        <v>42752.214016203703</v>
      </c>
      <c r="J19" s="7">
        <v>0</v>
      </c>
      <c r="K19" s="105" t="str">
        <f t="shared" si="0"/>
        <v>4031/4032</v>
      </c>
      <c r="L19" s="22" t="str">
        <f>VLOOKUP(A19,'Trips&amp;Operators'!$C$1:$G$99999,5,FALSE)</f>
        <v>DUNCAN SHEILA</v>
      </c>
      <c r="M19" s="6">
        <f t="shared" si="1"/>
        <v>2.6354166664532386E-2</v>
      </c>
      <c r="N19" s="7">
        <f t="shared" si="2"/>
        <v>37.949999996926636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-17T03:21:37-0700',mode:absolute,to:'2017-01-17T06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" s="49" t="str">
        <f t="shared" si="6"/>
        <v>N</v>
      </c>
      <c r="X19" s="173">
        <f t="shared" si="7"/>
        <v>1</v>
      </c>
      <c r="Y19" s="64">
        <f t="shared" si="8"/>
        <v>4.7300000000000002E-2</v>
      </c>
      <c r="Z19" s="64">
        <f t="shared" si="9"/>
        <v>23.331199999999999</v>
      </c>
      <c r="AA19" s="64">
        <f t="shared" si="10"/>
        <v>23.283899999999999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0107-17</v>
      </c>
      <c r="AE19" s="87" t="str">
        <f t="shared" si="12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9" s="84" t="str">
        <f t="shared" si="13"/>
        <v>"C:\Program Files (x86)\AstroGrep\AstroGrep.exe" /spath="%USERPROFILE%\AppData\Local\Temp\OnboardLogs" /stypes="app*4031*20170117*"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107-17 --locoid 4031 --swversion DE.1.0.8.0 --startMP 204:473 --initTime 2017-01-17T04:21:37 --startdatetime 2017-01-17T04:30:14 --delay 1 --endMP 204:233312 --enddatetime 2017-01-17T05:08:11 --enforcementcount 0 &gt;&gt;C:\Users\stu\Documents\GitHub\eaglep3-reporting\EC\2017-01-17-refined-times.txt</v>
      </c>
      <c r="AI1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{"issue":{"subject":"","project_id":79,"tracker_id":40,"status_id":1,"priority_id":2,"assigned_to_id":23,"start_date":"2017-01-17","description":"","custom_fields":[{"id":1,"name":"Subdivision","value":"EC"},{"id":4,"name":"Milepost","value":"23.3312"},{"id":17,"name":"Train ID","value":"107-17"},{"id":16,"name":"Locomotive ID","value":"4031"},{"id":130,"name":"Impact","value":""},{"id":150,"name":"Time of Event (Mountain Time)","value":"05:08:11"},{"id":151,"name":"Denver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4031 --day 2017-01-17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515</v>
      </c>
      <c r="B20" s="7">
        <v>4032</v>
      </c>
      <c r="C20" s="22" t="s">
        <v>201</v>
      </c>
      <c r="D20" s="22" t="s">
        <v>274</v>
      </c>
      <c r="E20" s="13">
        <v>42752.221018518518</v>
      </c>
      <c r="F20" s="13">
        <v>42752.226550925923</v>
      </c>
      <c r="G20" s="7">
        <v>0</v>
      </c>
      <c r="H20" s="22" t="s">
        <v>236</v>
      </c>
      <c r="I20" s="13">
        <v>42752.254270833335</v>
      </c>
      <c r="J20" s="7">
        <v>0</v>
      </c>
      <c r="K20" s="105" t="str">
        <f t="shared" si="0"/>
        <v>4031/4032</v>
      </c>
      <c r="L20" s="22" t="str">
        <f>VLOOKUP(A20,'Trips&amp;Operators'!$C$1:$G$99999,5,FALSE)</f>
        <v>DUNCAN SHEILA</v>
      </c>
      <c r="M20" s="6">
        <f t="shared" si="1"/>
        <v>2.771990741166519E-2</v>
      </c>
      <c r="N20" s="7">
        <f t="shared" si="2"/>
        <v>39.916666672797874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-17T04:18:16-0700',mode:absolute,to:'2017-01-17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" s="49" t="str">
        <f t="shared" si="6"/>
        <v>N</v>
      </c>
      <c r="X20" s="173">
        <f t="shared" si="7"/>
        <v>1</v>
      </c>
      <c r="Y20" s="64">
        <f t="shared" si="8"/>
        <v>23.300599999999999</v>
      </c>
      <c r="Z20" s="64">
        <f t="shared" si="9"/>
        <v>1.47E-2</v>
      </c>
      <c r="AA20" s="64">
        <f t="shared" si="10"/>
        <v>23.285899999999998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0108-17</v>
      </c>
      <c r="AE20" s="87" t="str">
        <f t="shared" si="12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20" s="84" t="str">
        <f t="shared" si="13"/>
        <v>"C:\Program Files (x86)\AstroGrep\AstroGrep.exe" /spath="%USERPROFILE%\AppData\Local\Temp\OnboardLogs" /stypes="app*4032*20170117*"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108-17 --locoid 4032 --swversion DE.1.0.8.0 --startMP 204:233006 --initTime 2017-01-17T05:18:16 --startdatetime 2017-01-17T05:26:14 --delay 0 --endMP 204:147 --enddatetime 2017-01-17T06:06:09 --enforcementcount 0 &gt;&gt;C:\Users\stu\Documents\GitHub\eaglep3-reporting\EC\2017-01-17-refined-times.txt</v>
      </c>
      <c r="AI2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{"issue":{"subject":"","project_id":79,"tracker_id":40,"status_id":1,"priority_id":2,"assigned_to_id":23,"start_date":"2017-01-17","description":"","custom_fields":[{"id":1,"name":"Subdivision","value":"EC"},{"id":4,"name":"Milepost","value":"0.0147"},{"id":17,"name":"Train ID","value":"108-17"},{"id":16,"name":"Locomotive ID","value":"4032"},{"id":130,"name":"Impact","value":""},{"id":150,"name":"Time of Event (Mountain Time)","value":"06:06:09"},{"id":151,"name":"Denver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4032 --day 2017-01-17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509</v>
      </c>
      <c r="B21" s="7">
        <v>4042</v>
      </c>
      <c r="C21" s="22" t="s">
        <v>201</v>
      </c>
      <c r="D21" s="22" t="s">
        <v>288</v>
      </c>
      <c r="E21" s="13">
        <v>42752.193113425928</v>
      </c>
      <c r="F21" s="13">
        <v>42752.198379629626</v>
      </c>
      <c r="G21" s="7">
        <v>1</v>
      </c>
      <c r="H21" s="22" t="s">
        <v>414</v>
      </c>
      <c r="I21" s="13">
        <v>42752.223379629628</v>
      </c>
      <c r="J21" s="7">
        <v>0</v>
      </c>
      <c r="K21" s="105" t="str">
        <f t="shared" si="0"/>
        <v>4041/4042</v>
      </c>
      <c r="L21" s="22" t="str">
        <f>VLOOKUP(A21,'Trips&amp;Operators'!$C$1:$G$99999,5,FALSE)</f>
        <v>COOLAHAN JOHN</v>
      </c>
      <c r="M21" s="6">
        <f t="shared" si="1"/>
        <v>2.5000000001455192E-2</v>
      </c>
      <c r="N21" s="7">
        <f t="shared" si="2"/>
        <v>36.000000002095476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-17T03:38:05-0700',mode:absolute,to:'2017-01-17T06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49" t="str">
        <f t="shared" si="6"/>
        <v>N</v>
      </c>
      <c r="X21" s="173">
        <f t="shared" si="7"/>
        <v>1</v>
      </c>
      <c r="Y21" s="64">
        <f t="shared" si="8"/>
        <v>4.58E-2</v>
      </c>
      <c r="Z21" s="64">
        <f t="shared" si="9"/>
        <v>23.3307</v>
      </c>
      <c r="AA21" s="64">
        <f t="shared" si="10"/>
        <v>23.2849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0109-17</v>
      </c>
      <c r="AE21" s="87" t="str">
        <f t="shared" si="12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21" s="84" t="str">
        <f t="shared" si="13"/>
        <v>"C:\Program Files (x86)\AstroGrep\AstroGrep.exe" /spath="%USERPROFILE%\AppData\Local\Temp\OnboardLogs" /stypes="app*4042*20170117*"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109-17 --locoid 4042 --swversion DE.1.0.8.0 --startMP 204:458 --initTime 2017-01-17T04:38:05 --startdatetime 2017-01-17T04:45:40 --delay 1 --endMP 204:233307 --enddatetime 2017-01-17T05:21:40 --enforcementcount 0 &gt;&gt;C:\Users\stu\Documents\GitHub\eaglep3-reporting\EC\2017-01-17-refined-times.txt</v>
      </c>
      <c r="AI2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{"issue":{"subject":"","project_id":79,"tracker_id":40,"status_id":1,"priority_id":2,"assigned_to_id":23,"start_date":"2017-01-17","description":"","custom_fields":[{"id":1,"name":"Subdivision","value":"EC"},{"id":4,"name":"Milepost","value":"23.3307"},{"id":17,"name":"Train ID","value":"109-17"},{"id":16,"name":"Locomotive ID","value":"4042"},{"id":130,"name":"Impact","value":""},{"id":150,"name":"Time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4042 --day 2017-01-17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521</v>
      </c>
      <c r="B22" s="7">
        <v>4041</v>
      </c>
      <c r="C22" s="22" t="s">
        <v>201</v>
      </c>
      <c r="D22" s="22" t="s">
        <v>408</v>
      </c>
      <c r="E22" s="13">
        <v>42752.232476851852</v>
      </c>
      <c r="F22" s="13">
        <v>42752.23704861111</v>
      </c>
      <c r="G22" s="7">
        <v>1</v>
      </c>
      <c r="H22" s="22" t="s">
        <v>284</v>
      </c>
      <c r="I22" s="13">
        <v>42752.264282407406</v>
      </c>
      <c r="J22" s="7">
        <v>0</v>
      </c>
      <c r="K22" s="105" t="str">
        <f t="shared" si="0"/>
        <v>4041/4042</v>
      </c>
      <c r="L22" s="22" t="str">
        <f>VLOOKUP(A22,'Trips&amp;Operators'!$C$1:$G$99999,5,FALSE)</f>
        <v>COOLAHAN JOHN</v>
      </c>
      <c r="M22" s="6">
        <f t="shared" si="1"/>
        <v>2.7233796296059154E-2</v>
      </c>
      <c r="N22" s="7">
        <f t="shared" si="2"/>
        <v>39.216666666325182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-17T04:34:46-0700',mode:absolute,to:'2017-01-17T07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49" t="str">
        <f t="shared" si="6"/>
        <v>N</v>
      </c>
      <c r="X22" s="173">
        <f t="shared" si="7"/>
        <v>1</v>
      </c>
      <c r="Y22" s="64">
        <f t="shared" si="8"/>
        <v>23.299199999999999</v>
      </c>
      <c r="Z22" s="64">
        <f t="shared" si="9"/>
        <v>1.54E-2</v>
      </c>
      <c r="AA22" s="64">
        <f t="shared" si="10"/>
        <v>23.283799999999999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0110-17</v>
      </c>
      <c r="AE22" s="87" t="str">
        <f t="shared" si="12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22" s="84" t="str">
        <f t="shared" si="13"/>
        <v>"C:\Program Files (x86)\AstroGrep\AstroGrep.exe" /spath="%USERPROFILE%\AppData\Local\Temp\OnboardLogs" /stypes="app*4041*20170117*"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110-17 --locoid 4041 --swversion DE.1.0.8.0 --startMP 204:232992 --initTime 2017-01-17T05:34:46 --startdatetime 2017-01-17T05:41:21 --delay 1 --endMP 204:154 --enddatetime 2017-01-17T06:20:34 --enforcementcount 0 &gt;&gt;C:\Users\stu\Documents\GitHub\eaglep3-reporting\EC\2017-01-17-refined-times.txt</v>
      </c>
      <c r="AI2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{"issue":{"subject":"","project_id":79,"tracker_id":40,"status_id":1,"priority_id":2,"assigned_to_id":23,"start_date":"2017-01-17","description":"","custom_fields":[{"id":1,"name":"Subdivision","value":"EC"},{"id":4,"name":"Milepost","value":"0.0154"},{"id":17,"name":"Train ID","value":"110-17"},{"id":16,"name":"Locomotive ID","value":"4041"},{"id":130,"name":"Impact","value":""},{"id":150,"name":"Time of Event (Mountain Time)","value":"06:20:34"},{"id":151,"name":"Denver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4041 --day 2017-01-17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510</v>
      </c>
      <c r="B23" s="7">
        <v>4044</v>
      </c>
      <c r="C23" s="22" t="s">
        <v>201</v>
      </c>
      <c r="D23" s="22" t="s">
        <v>438</v>
      </c>
      <c r="E23" s="13">
        <v>42752.206469907411</v>
      </c>
      <c r="F23" s="13">
        <v>42752.20890046296</v>
      </c>
      <c r="G23" s="7">
        <v>1</v>
      </c>
      <c r="H23" s="22" t="s">
        <v>688</v>
      </c>
      <c r="I23" s="13">
        <v>42752.235092592593</v>
      </c>
      <c r="J23" s="7">
        <v>0</v>
      </c>
      <c r="K23" s="105" t="str">
        <f t="shared" si="0"/>
        <v>4043/4044</v>
      </c>
      <c r="L23" s="22" t="str">
        <f>VLOOKUP(A23,'Trips&amp;Operators'!$C$1:$G$99999,5,FALSE)</f>
        <v>LOZA FIDEL</v>
      </c>
      <c r="M23" s="6">
        <f t="shared" si="1"/>
        <v>2.6192129633272998E-2</v>
      </c>
      <c r="N23" s="7">
        <f t="shared" si="2"/>
        <v>37.716666671913117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-17T03:57:19-0700',mode:absolute,to:'2017-01-17T06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49" t="str">
        <f t="shared" si="6"/>
        <v>N</v>
      </c>
      <c r="X23" s="173">
        <f t="shared" si="7"/>
        <v>1</v>
      </c>
      <c r="Y23" s="64">
        <f t="shared" si="8"/>
        <v>7.5700000000000003E-2</v>
      </c>
      <c r="Z23" s="64">
        <f t="shared" si="9"/>
        <v>23.3263</v>
      </c>
      <c r="AA23" s="64">
        <f t="shared" si="10"/>
        <v>23.250599999999999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0111-17</v>
      </c>
      <c r="AE23" s="87" t="str">
        <f t="shared" si="12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23" s="84" t="str">
        <f t="shared" si="13"/>
        <v>"C:\Program Files (x86)\AstroGrep\AstroGrep.exe" /spath="%USERPROFILE%\AppData\Local\Temp\OnboardLogs" /stypes="app*4044*20170117*"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111-17 --locoid 4044 --swversion DE.1.0.8.0 --startMP 204:757 --initTime 2017-01-17T04:57:19 --startdatetime 2017-01-17T05:00:49 --delay 1 --endMP 204:233263 --enddatetime 2017-01-17T05:38:32 --enforcementcount 0 &gt;&gt;C:\Users\stu\Documents\GitHub\eaglep3-reporting\EC\2017-01-17-refined-times.txt</v>
      </c>
      <c r="AI2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{"issue":{"subject":"","project_id":79,"tracker_id":40,"status_id":1,"priority_id":2,"assigned_to_id":23,"start_date":"2017-01-17","description":"","custom_fields":[{"id":1,"name":"Subdivision","value":"EC"},{"id":4,"name":"Milepost","value":"23.3263"},{"id":17,"name":"Train ID","value":"111-17"},{"id":16,"name":"Locomotive ID","value":"4044"},{"id":130,"name":"Impact","value":""},{"id":150,"name":"Time of Event (Mountain Time)","value":"05:38:32"},{"id":151,"name":"Denver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4044 --day 2017-01-17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525</v>
      </c>
      <c r="B24" s="7">
        <v>4043</v>
      </c>
      <c r="C24" s="22" t="s">
        <v>201</v>
      </c>
      <c r="D24" s="22" t="s">
        <v>346</v>
      </c>
      <c r="E24" s="13">
        <v>42752.245856481481</v>
      </c>
      <c r="F24" s="13">
        <v>42752.247361111113</v>
      </c>
      <c r="G24" s="7">
        <v>1</v>
      </c>
      <c r="H24" s="22" t="s">
        <v>689</v>
      </c>
      <c r="I24" s="13">
        <v>42752.274143518516</v>
      </c>
      <c r="J24" s="7">
        <v>0</v>
      </c>
      <c r="K24" s="105" t="str">
        <f t="shared" si="0"/>
        <v>4043/4044</v>
      </c>
      <c r="L24" s="22" t="str">
        <f>VLOOKUP(A24,'Trips&amp;Operators'!$C$1:$G$99999,5,FALSE)</f>
        <v>LOZA FIDEL</v>
      </c>
      <c r="M24" s="6">
        <f t="shared" si="1"/>
        <v>2.6782407403516117E-2</v>
      </c>
      <c r="N24" s="7">
        <f t="shared" si="2"/>
        <v>38.566666661063209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-17T04:54:02-0700',mode:absolute,to:'2017-01-17T07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49" t="str">
        <f t="shared" si="6"/>
        <v>N</v>
      </c>
      <c r="X24" s="173">
        <f t="shared" si="7"/>
        <v>1</v>
      </c>
      <c r="Y24" s="64">
        <f t="shared" si="8"/>
        <v>23.3002</v>
      </c>
      <c r="Z24" s="64">
        <f t="shared" si="9"/>
        <v>1.72E-2</v>
      </c>
      <c r="AA24" s="64">
        <f t="shared" si="10"/>
        <v>23.283000000000001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0112-17</v>
      </c>
      <c r="AE24" s="87" t="str">
        <f t="shared" si="12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24" s="84" t="str">
        <f t="shared" si="13"/>
        <v>"C:\Program Files (x86)\AstroGrep\AstroGrep.exe" /spath="%USERPROFILE%\AppData\Local\Temp\OnboardLogs" /stypes="app*4043*20170117*"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112-17 --locoid 4043 --swversion DE.1.0.8.0 --startMP 204:233002 --initTime 2017-01-17T05:54:02 --startdatetime 2017-01-17T05:56:12 --delay 1 --endMP 204:172 --enddatetime 2017-01-17T06:34:46 --enforcementcount 0 &gt;&gt;C:\Users\stu\Documents\GitHub\eaglep3-reporting\EC\2017-01-17-refined-times.txt</v>
      </c>
      <c r="AI2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{"issue":{"subject":"","project_id":79,"tracker_id":40,"status_id":1,"priority_id":2,"assigned_to_id":23,"start_date":"2017-01-17","description":"","custom_fields":[{"id":1,"name":"Subdivision","value":"EC"},{"id":4,"name":"Milepost","value":"0.0172"},{"id":17,"name":"Train ID","value":"112-17"},{"id":16,"name":"Locomotive ID","value":"4043"},{"id":130,"name":"Impact","value":""},{"id":150,"name":"Time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4043 --day 2017-01-17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513</v>
      </c>
      <c r="B25" s="7">
        <v>4027</v>
      </c>
      <c r="C25" s="22" t="s">
        <v>201</v>
      </c>
      <c r="D25" s="22" t="s">
        <v>348</v>
      </c>
      <c r="E25" s="13">
        <v>42752.210150462961</v>
      </c>
      <c r="F25" s="13">
        <v>42752.218912037039</v>
      </c>
      <c r="G25" s="7">
        <v>1</v>
      </c>
      <c r="H25" s="22" t="s">
        <v>690</v>
      </c>
      <c r="I25" s="13">
        <v>42752.24422453704</v>
      </c>
      <c r="J25" s="7">
        <v>0</v>
      </c>
      <c r="K25" s="105" t="str">
        <f t="shared" si="0"/>
        <v>4027/4028</v>
      </c>
      <c r="L25" s="22" t="str">
        <f>VLOOKUP(A25,'Trips&amp;Operators'!$C$1:$G$99999,5,FALSE)</f>
        <v>OUN ZACK</v>
      </c>
      <c r="M25" s="6">
        <f t="shared" si="1"/>
        <v>2.531250000174623E-2</v>
      </c>
      <c r="N25" s="7">
        <f t="shared" si="2"/>
        <v>36.450000002514571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-17T04:02:37-0700',mode:absolute,to:'2017-01-17T06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" s="49" t="str">
        <f t="shared" si="6"/>
        <v>N</v>
      </c>
      <c r="X25" s="173">
        <f t="shared" ref="X25:X32" si="21">VALUE(LEFT(AD25,4))-VALUE(LEFT(AD24,4))</f>
        <v>1</v>
      </c>
      <c r="Y25" s="64">
        <f t="shared" si="8"/>
        <v>4.2599999999999999E-2</v>
      </c>
      <c r="Z25" s="64">
        <f t="shared" si="9"/>
        <v>23.333600000000001</v>
      </c>
      <c r="AA25" s="64">
        <f t="shared" si="10"/>
        <v>23.291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0113-17</v>
      </c>
      <c r="AE25" s="87" t="str">
        <f t="shared" si="12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25" s="84" t="str">
        <f t="shared" si="13"/>
        <v>"C:\Program Files (x86)\AstroGrep\AstroGrep.exe" /spath="%USERPROFILE%\AppData\Local\Temp\OnboardLogs" /stypes="app*4027*20170117*"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113-17 --locoid 4027 --swversion DE.1.0.8.0 --startMP 204:426 --initTime 2017-01-17T05:02:37 --startdatetime 2017-01-17T05:15:14 --delay 1 --endMP 204:233336 --enddatetime 2017-01-17T05:51:41 --enforcementcount 0 &gt;&gt;C:\Users\stu\Documents\GitHub\eaglep3-reporting\EC\2017-01-17-refined-times.txt</v>
      </c>
      <c r="AI2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{"issue":{"subject":"","project_id":79,"tracker_id":40,"status_id":1,"priority_id":2,"assigned_to_id":23,"start_date":"2017-01-17","description":"","custom_fields":[{"id":1,"name":"Subdivision","value":"EC"},{"id":4,"name":"Milepost","value":"23.3336"},{"id":17,"name":"Train ID","value":"113-17"},{"id":16,"name":"Locomotive ID","value":"4027"},{"id":130,"name":"Impact","value":""},{"id":150,"name":"Time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4027 --day 2017-01-17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527</v>
      </c>
      <c r="B26" s="7">
        <v>4028</v>
      </c>
      <c r="C26" s="22" t="s">
        <v>201</v>
      </c>
      <c r="D26" s="22" t="s">
        <v>691</v>
      </c>
      <c r="E26" s="13">
        <v>42752.252685185187</v>
      </c>
      <c r="F26" s="13">
        <v>42752.257870370369</v>
      </c>
      <c r="G26" s="7">
        <v>1</v>
      </c>
      <c r="H26" s="22" t="s">
        <v>284</v>
      </c>
      <c r="I26" s="13">
        <v>42752.284733796296</v>
      </c>
      <c r="J26" s="7">
        <v>0</v>
      </c>
      <c r="K26" s="105" t="str">
        <f t="shared" si="0"/>
        <v>4027/4028</v>
      </c>
      <c r="L26" s="22" t="str">
        <f>VLOOKUP(A26,'Trips&amp;Operators'!$C$1:$G$99999,5,FALSE)</f>
        <v>OUN ZACK</v>
      </c>
      <c r="M26" s="6">
        <f t="shared" si="1"/>
        <v>2.6863425926421769E-2</v>
      </c>
      <c r="N26" s="7">
        <f t="shared" si="2"/>
        <v>38.683333334047347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-17T05:03:52-0700',mode:absolute,to:'2017-01-17T07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6" s="49" t="str">
        <f t="shared" si="6"/>
        <v>N</v>
      </c>
      <c r="X26" s="173">
        <f t="shared" si="21"/>
        <v>1</v>
      </c>
      <c r="Y26" s="64">
        <f t="shared" si="8"/>
        <v>23.301100000000002</v>
      </c>
      <c r="Z26" s="64">
        <f t="shared" si="9"/>
        <v>1.54E-2</v>
      </c>
      <c r="AA26" s="64">
        <f t="shared" si="10"/>
        <v>23.285700000000002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0114-17</v>
      </c>
      <c r="AE26" s="87" t="str">
        <f t="shared" si="12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26" s="84" t="str">
        <f t="shared" si="13"/>
        <v>"C:\Program Files (x86)\AstroGrep\AstroGrep.exe" /spath="%USERPROFILE%\AppData\Local\Temp\OnboardLogs" /stypes="app*4028*20170117*"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114-17 --locoid 4028 --swversion DE.1.0.8.0 --startMP 204:233011 --initTime 2017-01-17T06:03:52 --startdatetime 2017-01-17T06:11:20 --delay 1 --endMP 204:154 --enddatetime 2017-01-17T06:50:01 --enforcementcount 0 &gt;&gt;C:\Users\stu\Documents\GitHub\eaglep3-reporting\EC\2017-01-17-refined-times.txt</v>
      </c>
      <c r="AI2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{"issue":{"subject":"","project_id":79,"tracker_id":40,"status_id":1,"priority_id":2,"assigned_to_id":23,"start_date":"2017-01-17","description":"","custom_fields":[{"id":1,"name":"Subdivision","value":"EC"},{"id":4,"name":"Milepost","value":"0.0154"},{"id":17,"name":"Train ID","value":"114-17"},{"id":16,"name":"Locomotive ID","value":"4028"},{"id":130,"name":"Impact","value":""},{"id":150,"name":"Time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4028 --day 2017-01-17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516</v>
      </c>
      <c r="B27" s="7">
        <v>4022</v>
      </c>
      <c r="C27" s="22" t="s">
        <v>201</v>
      </c>
      <c r="D27" s="22" t="s">
        <v>438</v>
      </c>
      <c r="E27" s="13">
        <v>42752.228877314818</v>
      </c>
      <c r="F27" s="13">
        <v>42752.230034722219</v>
      </c>
      <c r="G27" s="7">
        <v>0</v>
      </c>
      <c r="H27" s="22" t="s">
        <v>282</v>
      </c>
      <c r="I27" s="13">
        <v>42752.254976851851</v>
      </c>
      <c r="J27" s="7">
        <v>0</v>
      </c>
      <c r="K27" s="105" t="str">
        <f t="shared" si="0"/>
        <v>4021/4022</v>
      </c>
      <c r="L27" s="22" t="str">
        <f>VLOOKUP(A27,'Trips&amp;Operators'!$C$1:$G$99999,5,FALSE)</f>
        <v>BEAM ROSS</v>
      </c>
      <c r="M27" s="6">
        <f t="shared" si="1"/>
        <v>2.4942129632108845E-2</v>
      </c>
      <c r="N27" s="7">
        <f t="shared" si="2"/>
        <v>35.916666670236737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-17T04:29:35-0700',mode:absolute,to:'2017-01-17T07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49" t="str">
        <f t="shared" si="6"/>
        <v>N</v>
      </c>
      <c r="X27" s="173">
        <f t="shared" si="21"/>
        <v>1</v>
      </c>
      <c r="Y27" s="64">
        <f t="shared" si="8"/>
        <v>7.5700000000000003E-2</v>
      </c>
      <c r="Z27" s="64">
        <f t="shared" si="9"/>
        <v>23.330400000000001</v>
      </c>
      <c r="AA27" s="64">
        <f t="shared" si="10"/>
        <v>23.2547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0115-17</v>
      </c>
      <c r="AE27" s="87" t="str">
        <f t="shared" si="12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27" s="84" t="str">
        <f t="shared" si="13"/>
        <v>"C:\Program Files (x86)\AstroGrep\AstroGrep.exe" /spath="%USERPROFILE%\AppData\Local\Temp\OnboardLogs" /stypes="app*4022*20170117*"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115-17 --locoid 4022 --swversion DE.1.0.8.0 --startMP 204:757 --initTime 2017-01-17T05:29:35 --startdatetime 2017-01-17T05:31:15 --delay 0 --endMP 204:233304 --enddatetime 2017-01-17T06:07:10 --enforcementcount 0 &gt;&gt;C:\Users\stu\Documents\GitHub\eaglep3-reporting\EC\2017-01-17-refined-times.txt</v>
      </c>
      <c r="AI2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{"issue":{"subject":"","project_id":79,"tracker_id":40,"status_id":1,"priority_id":2,"assigned_to_id":23,"start_date":"2017-01-17","description":"","custom_fields":[{"id":1,"name":"Subdivision","value":"EC"},{"id":4,"name":"Milepost","value":"23.3304"},{"id":17,"name":"Train ID","value":"115-17"},{"id":16,"name":"Locomotive ID","value":"4022"},{"id":130,"name":"Impact","value":""},{"id":150,"name":"Time of Event (Mountain Time)","value":"06:07:10"},{"id":151,"name":"Denver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4022 --day 2017-01-17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531</v>
      </c>
      <c r="B28" s="7">
        <v>4021</v>
      </c>
      <c r="C28" s="22" t="s">
        <v>201</v>
      </c>
      <c r="D28" s="22" t="s">
        <v>404</v>
      </c>
      <c r="E28" s="13">
        <v>42752.26462962963</v>
      </c>
      <c r="F28" s="13">
        <v>42752.268287037034</v>
      </c>
      <c r="G28" s="7">
        <v>1</v>
      </c>
      <c r="H28" s="22" t="s">
        <v>281</v>
      </c>
      <c r="I28" s="13">
        <v>42752.294849537036</v>
      </c>
      <c r="J28" s="7">
        <v>0</v>
      </c>
      <c r="K28" s="105" t="str">
        <f t="shared" si="0"/>
        <v>4021/4022</v>
      </c>
      <c r="L28" s="22" t="str">
        <f>VLOOKUP(A28,'Trips&amp;Operators'!$C$1:$G$99999,5,FALSE)</f>
        <v>BEAM ROSS</v>
      </c>
      <c r="M28" s="6">
        <f t="shared" si="1"/>
        <v>2.6562500002910383E-2</v>
      </c>
      <c r="N28" s="7">
        <f t="shared" si="2"/>
        <v>38.250000004190952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-17T05:21:04-0700',mode:absolute,to:'2017-01-17T08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49" t="str">
        <f t="shared" si="6"/>
        <v>N</v>
      </c>
      <c r="X28" s="173">
        <f t="shared" si="21"/>
        <v>1</v>
      </c>
      <c r="Y28" s="64">
        <f t="shared" si="8"/>
        <v>23.299600000000002</v>
      </c>
      <c r="Z28" s="64">
        <f t="shared" si="9"/>
        <v>1.38E-2</v>
      </c>
      <c r="AA28" s="64">
        <f t="shared" si="10"/>
        <v>23.285800000000002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0116-17</v>
      </c>
      <c r="AE28" s="87" t="str">
        <f t="shared" si="12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28" s="84" t="str">
        <f t="shared" si="13"/>
        <v>"C:\Program Files (x86)\AstroGrep\AstroGrep.exe" /spath="%USERPROFILE%\AppData\Local\Temp\OnboardLogs" /stypes="app*4021*20170117*"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116-17 --locoid 4021 --swversion DE.1.0.8.0 --startMP 204:232996 --initTime 2017-01-17T06:21:04 --startdatetime 2017-01-17T06:26:20 --delay 1 --endMP 204:138 --enddatetime 2017-01-17T07:04:35 --enforcementcount 0 &gt;&gt;C:\Users\stu\Documents\GitHub\eaglep3-reporting\EC\2017-01-17-refined-times.txt</v>
      </c>
      <c r="AI2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{"issue":{"subject":"","project_id":79,"tracker_id":40,"status_id":1,"priority_id":2,"assigned_to_id":23,"start_date":"2017-01-17","description":"","custom_fields":[{"id":1,"name":"Subdivision","value":"EC"},{"id":4,"name":"Milepost","value":"0.0138"},{"id":17,"name":"Train ID","value":"116-17"},{"id":16,"name":"Locomotive ID","value":"4021"},{"id":130,"name":"Impact","value":""},{"id":150,"name":"Time of Event (Mountain Time)","value":"07:04:35"},{"id":151,"name":"Denver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4021 --day 2017-01-17</v>
      </c>
      <c r="AN28" s="18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519</v>
      </c>
      <c r="B29" s="7">
        <v>4007</v>
      </c>
      <c r="C29" s="22" t="s">
        <v>201</v>
      </c>
      <c r="D29" s="22" t="s">
        <v>692</v>
      </c>
      <c r="E29" s="13">
        <v>42752.226030092592</v>
      </c>
      <c r="F29" s="13">
        <v>42752.239895833336</v>
      </c>
      <c r="G29" s="7">
        <v>1</v>
      </c>
      <c r="H29" s="22" t="s">
        <v>401</v>
      </c>
      <c r="I29" s="13">
        <v>42752.264837962961</v>
      </c>
      <c r="J29" s="7">
        <v>0</v>
      </c>
      <c r="K29" s="105" t="str">
        <f t="shared" si="0"/>
        <v>4007/4008</v>
      </c>
      <c r="L29" s="22" t="str">
        <f>VLOOKUP(A29,'Trips&amp;Operators'!$C$1:$G$99999,5,FALSE)</f>
        <v>MAELZER KURT</v>
      </c>
      <c r="M29" s="6">
        <f t="shared" si="1"/>
        <v>2.4942129624832887E-2</v>
      </c>
      <c r="N29" s="7">
        <f t="shared" si="2"/>
        <v>35.916666659759358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-17T04:25:29-0700',mode:absolute,to:'2017-01-17T07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9" s="49" t="str">
        <f t="shared" si="6"/>
        <v>N</v>
      </c>
      <c r="X29" s="173">
        <f t="shared" si="21"/>
        <v>1</v>
      </c>
      <c r="Y29" s="64">
        <f t="shared" si="8"/>
        <v>4.2900000000000001E-2</v>
      </c>
      <c r="Z29" s="64">
        <f t="shared" si="9"/>
        <v>23.330300000000001</v>
      </c>
      <c r="AA29" s="64">
        <f t="shared" si="10"/>
        <v>23.287400000000002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0117-17</v>
      </c>
      <c r="AE29" s="87" t="str">
        <f t="shared" si="12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29" s="84" t="str">
        <f t="shared" si="13"/>
        <v>"C:\Program Files (x86)\AstroGrep\AstroGrep.exe" /spath="%USERPROFILE%\AppData\Local\Temp\OnboardLogs" /stypes="app*4007*20170117*"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117-17 --locoid 4007 --swversion DE.1.0.8.0 --startMP 204:429 --initTime 2017-01-17T05:25:29 --startdatetime 2017-01-17T05:45:27 --delay 1 --endMP 204:233303 --enddatetime 2017-01-17T06:21:22 --enforcementcount 0 &gt;&gt;C:\Users\stu\Documents\GitHub\eaglep3-reporting\EC\2017-01-17-refined-times.txt</v>
      </c>
      <c r="AI2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{"issue":{"subject":"","project_id":79,"tracker_id":40,"status_id":1,"priority_id":2,"assigned_to_id":23,"start_date":"2017-01-17","description":"","custom_fields":[{"id":1,"name":"Subdivision","value":"EC"},{"id":4,"name":"Milepost","value":"23.3303"},{"id":17,"name":"Train ID","value":"117-17"},{"id":16,"name":"Locomotive ID","value":"4007"},{"id":130,"name":"Impact","value":""},{"id":150,"name":"Time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4007 --day 2017-01-17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533</v>
      </c>
      <c r="B30" s="7">
        <v>4008</v>
      </c>
      <c r="C30" s="22" t="s">
        <v>201</v>
      </c>
      <c r="D30" s="22" t="s">
        <v>277</v>
      </c>
      <c r="E30" s="13">
        <v>42752.273518518516</v>
      </c>
      <c r="F30" s="13">
        <v>42752.278726851851</v>
      </c>
      <c r="G30" s="7">
        <v>0</v>
      </c>
      <c r="H30" s="22" t="s">
        <v>237</v>
      </c>
      <c r="I30" s="13">
        <v>42752.30667824074</v>
      </c>
      <c r="J30" s="7">
        <v>0</v>
      </c>
      <c r="K30" s="105" t="str">
        <f t="shared" si="0"/>
        <v>4007/4008</v>
      </c>
      <c r="L30" s="22" t="str">
        <f>VLOOKUP(A30,'Trips&amp;Operators'!$C$1:$G$99999,5,FALSE)</f>
        <v>MAELZER KURT</v>
      </c>
      <c r="M30" s="6">
        <f t="shared" si="1"/>
        <v>2.7951388889050577E-2</v>
      </c>
      <c r="N30" s="7">
        <f t="shared" si="2"/>
        <v>40.250000000232831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-17T05:33:52-0700',mode:absolute,to:'2017-01-17T08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49" t="str">
        <f t="shared" si="6"/>
        <v>N</v>
      </c>
      <c r="X30" s="173">
        <f t="shared" si="21"/>
        <v>1</v>
      </c>
      <c r="Y30" s="64">
        <f t="shared" si="8"/>
        <v>23.296900000000001</v>
      </c>
      <c r="Z30" s="64">
        <f t="shared" si="9"/>
        <v>1.3899999999999999E-2</v>
      </c>
      <c r="AA30" s="64">
        <f t="shared" si="10"/>
        <v>23.283000000000001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0118-17</v>
      </c>
      <c r="AE30" s="87" t="str">
        <f t="shared" si="12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30" s="84" t="str">
        <f t="shared" si="13"/>
        <v>"C:\Program Files (x86)\AstroGrep\AstroGrep.exe" /spath="%USERPROFILE%\AppData\Local\Temp\OnboardLogs" /stypes="app*4008*20170117*"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118-17 --locoid 4008 --swversion DE.1.0.8.0 --startMP 204:232969 --initTime 2017-01-17T06:33:52 --startdatetime 2017-01-17T06:41:22 --delay 0 --endMP 204:139 --enddatetime 2017-01-17T07:21:37 --enforcementcount 0 &gt;&gt;C:\Users\stu\Documents\GitHub\eaglep3-reporting\EC\2017-01-17-refined-times.txt</v>
      </c>
      <c r="AI3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{"issue":{"subject":"","project_id":79,"tracker_id":40,"status_id":1,"priority_id":2,"assigned_to_id":23,"start_date":"2017-01-17","description":"","custom_fields":[{"id":1,"name":"Subdivision","value":"EC"},{"id":4,"name":"Milepost","value":"0.0139"},{"id":17,"name":"Train ID","value":"118-17"},{"id":16,"name":"Locomotive ID","value":"4008"},{"id":130,"name":"Impact","value":""},{"id":150,"name":"Time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4008 --day 2017-01-17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526</v>
      </c>
      <c r="B31" s="7">
        <v>4002</v>
      </c>
      <c r="C31" s="22" t="s">
        <v>201</v>
      </c>
      <c r="D31" s="22" t="s">
        <v>693</v>
      </c>
      <c r="E31" s="13">
        <v>42752.24894675926</v>
      </c>
      <c r="F31" s="13">
        <v>42752.250254629631</v>
      </c>
      <c r="G31" s="7">
        <v>1</v>
      </c>
      <c r="H31" s="22" t="s">
        <v>694</v>
      </c>
      <c r="I31" s="13">
        <v>42752.275879629633</v>
      </c>
      <c r="J31" s="7">
        <v>0</v>
      </c>
      <c r="K31" s="105" t="str">
        <f t="shared" si="0"/>
        <v>4001/4002</v>
      </c>
      <c r="L31" s="22" t="str">
        <f>VLOOKUP(A31,'Trips&amp;Operators'!$C$1:$G$99999,5,FALSE)</f>
        <v>STARKS ANGELINA</v>
      </c>
      <c r="M31" s="6">
        <f t="shared" si="1"/>
        <v>2.5625000002037268E-2</v>
      </c>
      <c r="N31" s="7">
        <f t="shared" si="2"/>
        <v>36.900000002933666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-17T04:58:29-0700',mode:absolute,to:'2017-01-17T07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49" t="str">
        <f t="shared" si="6"/>
        <v>N</v>
      </c>
      <c r="X31" s="173">
        <f t="shared" si="21"/>
        <v>1</v>
      </c>
      <c r="Y31" s="64">
        <f t="shared" si="8"/>
        <v>7.4800000000000005E-2</v>
      </c>
      <c r="Z31" s="64">
        <f t="shared" si="9"/>
        <v>23.332899999999999</v>
      </c>
      <c r="AA31" s="64">
        <f t="shared" si="10"/>
        <v>23.258099999999999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0119-17</v>
      </c>
      <c r="AE31" s="87" t="str">
        <f t="shared" si="12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31" s="84" t="str">
        <f t="shared" si="13"/>
        <v>"C:\Program Files (x86)\AstroGrep\AstroGrep.exe" /spath="%USERPROFILE%\AppData\Local\Temp\OnboardLogs" /stypes="app*4002*20170117*"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119-17 --locoid 4002 --swversion DE.1.0.8.0 --startMP 204:748 --initTime 2017-01-17T05:58:29 --startdatetime 2017-01-17T06:00:22 --delay 1 --endMP 204:233329 --enddatetime 2017-01-17T06:37:16 --enforcementcount 0 &gt;&gt;C:\Users\stu\Documents\GitHub\eaglep3-reporting\EC\2017-01-17-refined-times.txt</v>
      </c>
      <c r="AI3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{"issue":{"subject":"","project_id":79,"tracker_id":40,"status_id":1,"priority_id":2,"assigned_to_id":23,"start_date":"2017-01-17","description":"","custom_fields":[{"id":1,"name":"Subdivision","value":"EC"},{"id":4,"name":"Milepost","value":"23.3329"},{"id":17,"name":"Train ID","value":"119-17"},{"id":16,"name":"Locomotive ID","value":"4002"},{"id":130,"name":"Impact","value":""},{"id":150,"name":"Time of Event (Mountain Time)","value":"06:37:16"},{"id":151,"name":"Denver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4002 --day 2017-01-17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537</v>
      </c>
      <c r="B32" s="7">
        <v>4001</v>
      </c>
      <c r="C32" s="22" t="s">
        <v>201</v>
      </c>
      <c r="D32" s="22" t="s">
        <v>404</v>
      </c>
      <c r="E32" s="13">
        <v>42752.287303240744</v>
      </c>
      <c r="F32" s="13">
        <v>42752.289178240739</v>
      </c>
      <c r="G32" s="7">
        <v>1</v>
      </c>
      <c r="H32" s="22" t="s">
        <v>281</v>
      </c>
      <c r="I32" s="13">
        <v>42752.316053240742</v>
      </c>
      <c r="J32" s="7">
        <v>0</v>
      </c>
      <c r="K32" s="105" t="str">
        <f t="shared" si="0"/>
        <v>4001/4002</v>
      </c>
      <c r="L32" s="22" t="str">
        <f>VLOOKUP(A32,'Trips&amp;Operators'!$C$1:$G$99999,5,FALSE)</f>
        <v>STARKS ANGELINA</v>
      </c>
      <c r="M32" s="6">
        <f t="shared" si="1"/>
        <v>2.6875000003201421E-2</v>
      </c>
      <c r="N32" s="7">
        <f t="shared" si="2"/>
        <v>38.700000004610047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-17T05:53:43-0700',mode:absolute,to:'2017-01-17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49" t="str">
        <f t="shared" si="6"/>
        <v>N</v>
      </c>
      <c r="X32" s="173">
        <f t="shared" si="21"/>
        <v>1</v>
      </c>
      <c r="Y32" s="64">
        <f t="shared" si="8"/>
        <v>23.299600000000002</v>
      </c>
      <c r="Z32" s="64">
        <f t="shared" si="9"/>
        <v>1.38E-2</v>
      </c>
      <c r="AA32" s="64">
        <f t="shared" si="10"/>
        <v>23.285800000000002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0120-17</v>
      </c>
      <c r="AE32" s="87" t="str">
        <f t="shared" si="12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32" s="84" t="str">
        <f t="shared" si="13"/>
        <v>"C:\Program Files (x86)\AstroGrep\AstroGrep.exe" /spath="%USERPROFILE%\AppData\Local\Temp\OnboardLogs" /stypes="app*4001*20170117*"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120-17 --locoid 4001 --swversion DE.1.0.8.0 --startMP 204:232996 --initTime 2017-01-17T06:53:43 --startdatetime 2017-01-17T06:56:25 --delay 1 --endMP 204:138 --enddatetime 2017-01-17T07:35:07 --enforcementcount 0 &gt;&gt;C:\Users\stu\Documents\GitHub\eaglep3-reporting\EC\2017-01-17-refined-times.txt</v>
      </c>
      <c r="AI3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{"issue":{"subject":"","project_id":79,"tracker_id":40,"status_id":1,"priority_id":2,"assigned_to_id":23,"start_date":"2017-01-17","description":"","custom_fields":[{"id":1,"name":"Subdivision","value":"EC"},{"id":4,"name":"Milepost","value":"0.0138"},{"id":17,"name":"Train ID","value":"120-17"},{"id":16,"name":"Locomotive ID","value":"4001"},{"id":130,"name":"Impact","value":""},{"id":150,"name":"Time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4001 --day 2017-01-17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529</v>
      </c>
      <c r="B33" s="7">
        <v>4031</v>
      </c>
      <c r="C33" s="22" t="s">
        <v>201</v>
      </c>
      <c r="D33" s="22" t="s">
        <v>361</v>
      </c>
      <c r="E33" s="13">
        <v>42752.25582175926</v>
      </c>
      <c r="F33" s="13">
        <v>42752.260740740741</v>
      </c>
      <c r="G33" s="7">
        <v>1</v>
      </c>
      <c r="H33" s="22" t="s">
        <v>695</v>
      </c>
      <c r="I33" s="13">
        <v>42752.28638888889</v>
      </c>
      <c r="J33" s="7">
        <v>0</v>
      </c>
      <c r="K33" s="105" t="str">
        <f t="shared" si="0"/>
        <v>4031/4032</v>
      </c>
      <c r="L33" s="22" t="str">
        <f>VLOOKUP(A33,'Trips&amp;Operators'!$C$1:$G$99999,5,FALSE)</f>
        <v>DUNCAN SHEILA</v>
      </c>
      <c r="M33" s="6">
        <f t="shared" si="1"/>
        <v>2.5648148148320615E-2</v>
      </c>
      <c r="N33" s="7">
        <f t="shared" si="2"/>
        <v>36.933333333581686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-17T05:08:23-0700',mode:absolute,to:'2017-01-17T07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49" t="str">
        <f t="shared" si="6"/>
        <v>N</v>
      </c>
      <c r="X33" s="173">
        <f>VALUE(LEFT(AD33,4))-VALUE(LEFT(AD32,4))</f>
        <v>1</v>
      </c>
      <c r="Y33" s="64">
        <f t="shared" si="8"/>
        <v>4.5699999999999998E-2</v>
      </c>
      <c r="Z33" s="64">
        <f t="shared" si="9"/>
        <v>23.331600000000002</v>
      </c>
      <c r="AA33" s="64">
        <f t="shared" si="10"/>
        <v>23.285900000000002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0121-17</v>
      </c>
      <c r="AE33" s="87" t="str">
        <f t="shared" si="12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33" s="84" t="str">
        <f t="shared" si="13"/>
        <v>"C:\Program Files (x86)\AstroGrep\AstroGrep.exe" /spath="%USERPROFILE%\AppData\Local\Temp\OnboardLogs" /stypes="app*4031*20170117*"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121-17 --locoid 4031 --swversion DE.1.0.8.0 --startMP 204:457 --initTime 2017-01-17T06:08:23 --startdatetime 2017-01-17T06:15:28 --delay 1 --endMP 204:233316 --enddatetime 2017-01-17T06:52:24 --enforcementcount 0 &gt;&gt;C:\Users\stu\Documents\GitHub\eaglep3-reporting\EC\2017-01-17-refined-times.txt</v>
      </c>
      <c r="AI3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{"issue":{"subject":"","project_id":79,"tracker_id":40,"status_id":1,"priority_id":2,"assigned_to_id":23,"start_date":"2017-01-17","description":"","custom_fields":[{"id":1,"name":"Subdivision","value":"EC"},{"id":4,"name":"Milepost","value":"23.3316"},{"id":17,"name":"Train ID","value":"121-17"},{"id":16,"name":"Locomotive ID","value":"4031"},{"id":130,"name":"Impact","value":""},{"id":150,"name":"Time of Event (Mountain Time)","value":"06:52:24"},{"id":151,"name":"Denver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4031 --day 2017-01-17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538</v>
      </c>
      <c r="B34" s="7">
        <v>4032</v>
      </c>
      <c r="C34" s="22" t="s">
        <v>201</v>
      </c>
      <c r="D34" s="22" t="s">
        <v>323</v>
      </c>
      <c r="E34" s="13">
        <v>42752.293321759258</v>
      </c>
      <c r="F34" s="13">
        <v>42752.29959490741</v>
      </c>
      <c r="G34" s="7">
        <v>0</v>
      </c>
      <c r="H34" s="22" t="s">
        <v>240</v>
      </c>
      <c r="I34" s="13">
        <v>42752.326631944445</v>
      </c>
      <c r="J34" s="7">
        <v>0</v>
      </c>
      <c r="K34" s="105" t="str">
        <f t="shared" si="0"/>
        <v>4031/4032</v>
      </c>
      <c r="L34" s="22" t="str">
        <f>VLOOKUP(A34,'Trips&amp;Operators'!$C$1:$G$99999,5,FALSE)</f>
        <v>DUNCAN SHEILA</v>
      </c>
      <c r="M34" s="6">
        <f t="shared" si="1"/>
        <v>2.7037037034460809E-2</v>
      </c>
      <c r="N34" s="7">
        <f t="shared" si="2"/>
        <v>38.933333329623565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-17T06:02:23-0700',mode:absolute,to:'2017-01-17T08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4" s="49" t="str">
        <f t="shared" si="6"/>
        <v>N</v>
      </c>
      <c r="X34" s="173">
        <f t="shared" ref="X34:X40" si="22">VALUE(LEFT(AD34,4))-VALUE(LEFT(AD33,4))</f>
        <v>1</v>
      </c>
      <c r="Y34" s="64">
        <f t="shared" si="8"/>
        <v>23.298999999999999</v>
      </c>
      <c r="Z34" s="64">
        <f t="shared" si="9"/>
        <v>1.6E-2</v>
      </c>
      <c r="AA34" s="64">
        <f t="shared" si="10"/>
        <v>23.283000000000001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0122-17</v>
      </c>
      <c r="AE34" s="87" t="str">
        <f t="shared" si="12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34" s="84" t="str">
        <f t="shared" si="13"/>
        <v>"C:\Program Files (x86)\AstroGrep\AstroGrep.exe" /spath="%USERPROFILE%\AppData\Local\Temp\OnboardLogs" /stypes="app*4032*20170117*"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122-17 --locoid 4032 --swversion DE.1.0.8.0 --startMP 204:232990 --initTime 2017-01-17T07:02:23 --startdatetime 2017-01-17T07:11:25 --delay 0 --endMP 204:160 --enddatetime 2017-01-17T07:50:21 --enforcementcount 0 &gt;&gt;C:\Users\stu\Documents\GitHub\eaglep3-reporting\EC\2017-01-17-refined-times.txt</v>
      </c>
      <c r="AI3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{"issue":{"subject":"","project_id":79,"tracker_id":40,"status_id":1,"priority_id":2,"assigned_to_id":23,"start_date":"2017-01-17","description":"","custom_fields":[{"id":1,"name":"Subdivision","value":"EC"},{"id":4,"name":"Milepost","value":"0.016"},{"id":17,"name":"Train ID","value":"122-17"},{"id":16,"name":"Locomotive ID","value":"4032"},{"id":130,"name":"Impact","value":""},{"id":150,"name":"Time of Event (Mountain Time)","value":"07:50:21"},{"id":151,"name":"Denver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4032 --day 2017-01-17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532</v>
      </c>
      <c r="B35" s="7">
        <v>4042</v>
      </c>
      <c r="C35" s="22" t="s">
        <v>201</v>
      </c>
      <c r="D35" s="22" t="s">
        <v>241</v>
      </c>
      <c r="E35" s="13">
        <v>42752.265949074077</v>
      </c>
      <c r="F35" s="13">
        <v>42752.271064814813</v>
      </c>
      <c r="G35" s="7">
        <v>1</v>
      </c>
      <c r="H35" s="22" t="s">
        <v>415</v>
      </c>
      <c r="I35" s="13">
        <v>42752.296631944446</v>
      </c>
      <c r="J35" s="7">
        <v>0</v>
      </c>
      <c r="K35" s="105" t="str">
        <f t="shared" si="0"/>
        <v>4041/4042</v>
      </c>
      <c r="L35" s="22" t="str">
        <f>VLOOKUP(A35,'Trips&amp;Operators'!$C$1:$G$99999,5,FALSE)</f>
        <v>COOLAHAN JOHN</v>
      </c>
      <c r="M35" s="6">
        <f t="shared" si="1"/>
        <v>2.5567129632690921E-2</v>
      </c>
      <c r="N35" s="7">
        <f t="shared" si="2"/>
        <v>36.816666671074927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-17T05:22:58-0700',mode:absolute,to:'2017-01-17T08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49" t="str">
        <f t="shared" si="6"/>
        <v>N</v>
      </c>
      <c r="X35" s="173">
        <f t="shared" si="22"/>
        <v>1</v>
      </c>
      <c r="Y35" s="64">
        <f t="shared" si="8"/>
        <v>4.6199999999999998E-2</v>
      </c>
      <c r="Z35" s="64">
        <f t="shared" si="9"/>
        <v>23.331499999999998</v>
      </c>
      <c r="AA35" s="64">
        <f t="shared" si="10"/>
        <v>23.285299999999999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0123-17</v>
      </c>
      <c r="AE35" s="87" t="str">
        <f t="shared" si="12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35" s="84" t="str">
        <f t="shared" si="13"/>
        <v>"C:\Program Files (x86)\AstroGrep\AstroGrep.exe" /spath="%USERPROFILE%\AppData\Local\Temp\OnboardLogs" /stypes="app*4042*20170117*"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123-17 --locoid 4042 --swversion DE.1.0.8.0 --startMP 204:462 --initTime 2017-01-17T06:22:58 --startdatetime 2017-01-17T06:30:20 --delay 1 --endMP 204:233315 --enddatetime 2017-01-17T07:07:09 --enforcementcount 0 &gt;&gt;C:\Users\stu\Documents\GitHub\eaglep3-reporting\EC\2017-01-17-refined-times.txt</v>
      </c>
      <c r="AI3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{"issue":{"subject":"","project_id":79,"tracker_id":40,"status_id":1,"priority_id":2,"assigned_to_id":23,"start_date":"2017-01-17","description":"","custom_fields":[{"id":1,"name":"Subdivision","value":"EC"},{"id":4,"name":"Milepost","value":"23.3315"},{"id":17,"name":"Train ID","value":"123-17"},{"id":16,"name":"Locomotive ID","value":"4042"},{"id":130,"name":"Impact","value":""},{"id":150,"name":"Time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4042 --day 2017-01-17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460</v>
      </c>
      <c r="B36" s="7">
        <v>4041</v>
      </c>
      <c r="C36" s="22" t="s">
        <v>201</v>
      </c>
      <c r="D36" s="22" t="s">
        <v>420</v>
      </c>
      <c r="E36" s="13">
        <v>42752.303726851853</v>
      </c>
      <c r="F36" s="13">
        <v>42752.31009259259</v>
      </c>
      <c r="G36" s="7">
        <v>3</v>
      </c>
      <c r="H36" s="22" t="s">
        <v>696</v>
      </c>
      <c r="I36" s="13">
        <v>42752.337164351855</v>
      </c>
      <c r="J36" s="7">
        <v>0</v>
      </c>
      <c r="K36" s="105" t="str">
        <f t="shared" si="0"/>
        <v>4041/4042</v>
      </c>
      <c r="L36" s="22" t="str">
        <f>VLOOKUP(A36,'Trips&amp;Operators'!$C$1:$G$99999,5,FALSE)</f>
        <v>COOLAHAN JOHN</v>
      </c>
      <c r="M36" s="6">
        <f t="shared" si="1"/>
        <v>2.7071759264799766E-2</v>
      </c>
      <c r="N36" s="7">
        <f t="shared" si="2"/>
        <v>38.983333341311663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-17T06:17:22-0700',mode:absolute,to:'2017-01-17T09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49" t="str">
        <f t="shared" si="6"/>
        <v>N</v>
      </c>
      <c r="X36" s="173">
        <f t="shared" si="22"/>
        <v>1</v>
      </c>
      <c r="Y36" s="64">
        <f t="shared" si="8"/>
        <v>23.299800000000001</v>
      </c>
      <c r="Z36" s="64">
        <f t="shared" si="9"/>
        <v>2.18E-2</v>
      </c>
      <c r="AA36" s="64">
        <f t="shared" si="10"/>
        <v>23.278000000000002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0124-17</v>
      </c>
      <c r="AE36" s="87" t="str">
        <f t="shared" si="12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36" s="84" t="str">
        <f t="shared" si="13"/>
        <v>"C:\Program Files (x86)\AstroGrep\AstroGrep.exe" /spath="%USERPROFILE%\AppData\Local\Temp\OnboardLogs" /stypes="app*4041*20170117*"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124-17 --locoid 4041 --swversion DE.1.0.8.0 --startMP 204:232998 --initTime 2017-01-17T07:17:22 --startdatetime 2017-01-17T07:26:32 --delay 3 --endMP 204:218 --enddatetime 2017-01-17T08:05:31 --enforcementcount 0 &gt;&gt;C:\Users\stu\Documents\GitHub\eaglep3-reporting\EC\2017-01-17-refined-times.txt</v>
      </c>
      <c r="AI3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{"issue":{"subject":"","project_id":79,"tracker_id":40,"status_id":1,"priority_id":2,"assigned_to_id":23,"start_date":"2017-01-17","description":"","custom_fields":[{"id":1,"name":"Subdivision","value":"EC"},{"id":4,"name":"Milepost","value":"0.0218"},{"id":17,"name":"Train ID","value":"124-17"},{"id":16,"name":"Locomotive ID","value":"4041"},{"id":130,"name":"Impact","value":""},{"id":150,"name":"Time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4041 --day 2017-01-17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535</v>
      </c>
      <c r="B37" s="7">
        <v>4044</v>
      </c>
      <c r="C37" s="22" t="s">
        <v>201</v>
      </c>
      <c r="D37" s="22" t="s">
        <v>247</v>
      </c>
      <c r="E37" s="13">
        <v>42752.276863425926</v>
      </c>
      <c r="F37" s="13">
        <v>42752.28162037037</v>
      </c>
      <c r="G37" s="7">
        <v>1</v>
      </c>
      <c r="H37" s="22" t="s">
        <v>293</v>
      </c>
      <c r="I37" s="13">
        <v>42752.306168981479</v>
      </c>
      <c r="J37" s="7">
        <v>0</v>
      </c>
      <c r="K37" s="105" t="str">
        <f t="shared" si="0"/>
        <v>4043/4044</v>
      </c>
      <c r="L37" s="22" t="str">
        <f>VLOOKUP(A37,'Trips&amp;Operators'!$C$1:$G$99999,5,FALSE)</f>
        <v>LOZA FIDEL</v>
      </c>
      <c r="M37" s="6">
        <f t="shared" si="1"/>
        <v>2.4548611108912155E-2</v>
      </c>
      <c r="N37" s="7">
        <f t="shared" si="2"/>
        <v>35.349999996833503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-17T05:38:41-0700',mode:absolute,to:'2017-01-17T08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49" t="str">
        <f t="shared" si="6"/>
        <v>N</v>
      </c>
      <c r="X37" s="173">
        <f t="shared" si="22"/>
        <v>1</v>
      </c>
      <c r="Y37" s="64">
        <f t="shared" si="8"/>
        <v>4.4900000000000002E-2</v>
      </c>
      <c r="Z37" s="64">
        <f t="shared" si="9"/>
        <v>23.3291</v>
      </c>
      <c r="AA37" s="64">
        <f t="shared" si="10"/>
        <v>23.284200000000002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0125-17</v>
      </c>
      <c r="AE37" s="87" t="str">
        <f t="shared" si="12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37" s="84" t="str">
        <f t="shared" si="13"/>
        <v>"C:\Program Files (x86)\AstroGrep\AstroGrep.exe" /spath="%USERPROFILE%\AppData\Local\Temp\OnboardLogs" /stypes="app*4044*20170117*"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125-17 --locoid 4044 --swversion DE.1.0.8.0 --startMP 204:449 --initTime 2017-01-17T06:38:41 --startdatetime 2017-01-17T06:45:32 --delay 1 --endMP 204:233291 --enddatetime 2017-01-17T07:20:53 --enforcementcount 0 &gt;&gt;C:\Users\stu\Documents\GitHub\eaglep3-reporting\EC\2017-01-17-refined-times.txt</v>
      </c>
      <c r="AI3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{"issue":{"subject":"","project_id":79,"tracker_id":40,"status_id":1,"priority_id":2,"assigned_to_id":23,"start_date":"2017-01-17","description":"","custom_fields":[{"id":1,"name":"Subdivision","value":"EC"},{"id":4,"name":"Milepost","value":"23.3291"},{"id":17,"name":"Train ID","value":"125-17"},{"id":16,"name":"Locomotive ID","value":"4044"},{"id":130,"name":"Impact","value":""},{"id":150,"name":"Time of Event (Mountain Time)","value":"07:20:53"},{"id":151,"name":"Denver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4044 --day 2017-01-17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545</v>
      </c>
      <c r="B38" s="7">
        <v>4043</v>
      </c>
      <c r="C38" s="22" t="s">
        <v>201</v>
      </c>
      <c r="D38" s="22" t="s">
        <v>697</v>
      </c>
      <c r="E38" s="13">
        <v>42752.317662037036</v>
      </c>
      <c r="F38" s="13">
        <v>42752.320428240739</v>
      </c>
      <c r="G38" s="7">
        <v>1</v>
      </c>
      <c r="H38" s="22" t="s">
        <v>419</v>
      </c>
      <c r="I38" s="13">
        <v>42752.347233796296</v>
      </c>
      <c r="J38" s="7">
        <v>0</v>
      </c>
      <c r="K38" s="105" t="str">
        <f t="shared" si="0"/>
        <v>4043/4044</v>
      </c>
      <c r="L38" s="22" t="str">
        <f>VLOOKUP(A38,'Trips&amp;Operators'!$C$1:$G$99999,5,FALSE)</f>
        <v>LOZA FIDEL</v>
      </c>
      <c r="M38" s="6">
        <f t="shared" si="1"/>
        <v>2.6805555557075422E-2</v>
      </c>
      <c r="N38" s="7">
        <f t="shared" si="2"/>
        <v>38.600000002188608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-17T06:37:26-0700',mode:absolute,to:'2017-01-17T09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49" t="str">
        <f t="shared" si="6"/>
        <v>N</v>
      </c>
      <c r="X38" s="173">
        <f t="shared" si="22"/>
        <v>1</v>
      </c>
      <c r="Y38" s="64">
        <f t="shared" si="8"/>
        <v>23.297999999999998</v>
      </c>
      <c r="Z38" s="64">
        <f t="shared" si="9"/>
        <v>1.61E-2</v>
      </c>
      <c r="AA38" s="64">
        <f t="shared" si="10"/>
        <v>23.281899999999997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0126-17</v>
      </c>
      <c r="AE38" s="87" t="str">
        <f t="shared" si="12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38" s="84" t="str">
        <f t="shared" si="13"/>
        <v>"C:\Program Files (x86)\AstroGrep\AstroGrep.exe" /spath="%USERPROFILE%\AppData\Local\Temp\OnboardLogs" /stypes="app*4043*20170117*"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126-17 --locoid 4043 --swversion DE.1.0.8.0 --startMP 204:232980 --initTime 2017-01-17T07:37:26 --startdatetime 2017-01-17T07:41:25 --delay 1 --endMP 204:161 --enddatetime 2017-01-17T08:20:01 --enforcementcount 0 &gt;&gt;C:\Users\stu\Documents\GitHub\eaglep3-reporting\EC\2017-01-17-refined-times.txt</v>
      </c>
      <c r="AI3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{"issue":{"subject":"","project_id":79,"tracker_id":40,"status_id":1,"priority_id":2,"assigned_to_id":23,"start_date":"2017-01-17","description":"","custom_fields":[{"id":1,"name":"Subdivision","value":"EC"},{"id":4,"name":"Milepost","value":"0.0161"},{"id":17,"name":"Train ID","value":"126-17"},{"id":16,"name":"Locomotive ID","value":"4043"},{"id":130,"name":"Impact","value":""},{"id":150,"name":"Time of Event (Mountain Time)","value":"08:20:01"},{"id":151,"name":"Denver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4043 --day 2017-01-17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536</v>
      </c>
      <c r="B39" s="7">
        <v>4027</v>
      </c>
      <c r="C39" s="22" t="s">
        <v>201</v>
      </c>
      <c r="D39" s="22" t="s">
        <v>318</v>
      </c>
      <c r="E39" s="13">
        <v>42752.286597222221</v>
      </c>
      <c r="F39" s="13">
        <v>42752.291828703703</v>
      </c>
      <c r="G39" s="7">
        <v>1</v>
      </c>
      <c r="H39" s="22" t="s">
        <v>698</v>
      </c>
      <c r="I39" s="13">
        <v>42752.316817129627</v>
      </c>
      <c r="J39" s="7">
        <v>0</v>
      </c>
      <c r="K39" s="105" t="str">
        <f t="shared" si="0"/>
        <v>4027/4028</v>
      </c>
      <c r="L39" s="22" t="str">
        <f>VLOOKUP(A39,'Trips&amp;Operators'!$C$1:$G$99999,5,FALSE)</f>
        <v>OUN ZACK</v>
      </c>
      <c r="M39" s="6">
        <f t="shared" si="1"/>
        <v>2.4988425924675539E-2</v>
      </c>
      <c r="N39" s="7">
        <f t="shared" si="2"/>
        <v>35.983333331532776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-17T05:52:42-0700',mode:absolute,to:'2017-01-17T08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49" t="str">
        <f t="shared" si="6"/>
        <v>N</v>
      </c>
      <c r="X39" s="173">
        <f t="shared" si="22"/>
        <v>1</v>
      </c>
      <c r="Y39" s="64">
        <f t="shared" si="8"/>
        <v>4.6600000000000003E-2</v>
      </c>
      <c r="Z39" s="64">
        <f t="shared" si="9"/>
        <v>23.336400000000001</v>
      </c>
      <c r="AA39" s="64">
        <f t="shared" si="10"/>
        <v>23.2898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0127-17</v>
      </c>
      <c r="AE39" s="87" t="str">
        <f t="shared" si="12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39" s="84" t="str">
        <f t="shared" si="13"/>
        <v>"C:\Program Files (x86)\AstroGrep\AstroGrep.exe" /spath="%USERPROFILE%\AppData\Local\Temp\OnboardLogs" /stypes="app*4027*20170117*"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127-17 --locoid 4027 --swversion DE.1.0.8.0 --startMP 204:466 --initTime 2017-01-17T06:52:42 --startdatetime 2017-01-17T07:00:14 --delay 1 --endMP 204:233364 --enddatetime 2017-01-17T07:36:13 --enforcementcount 0 &gt;&gt;C:\Users\stu\Documents\GitHub\eaglep3-reporting\EC\2017-01-17-refined-times.txt</v>
      </c>
      <c r="AI3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{"issue":{"subject":"","project_id":79,"tracker_id":40,"status_id":1,"priority_id":2,"assigned_to_id":23,"start_date":"2017-01-17","description":"","custom_fields":[{"id":1,"name":"Subdivision","value":"EC"},{"id":4,"name":"Milepost","value":"23.3364"},{"id":17,"name":"Train ID","value":"127-17"},{"id":16,"name":"Locomotive ID","value":"4027"},{"id":130,"name":"Impact","value":""},{"id":150,"name":"Time of Event (Mountain Time)","value":"07:36:13"},{"id":151,"name":"Denver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4027 --day 2017-01-17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547</v>
      </c>
      <c r="B40" s="7">
        <v>4028</v>
      </c>
      <c r="C40" s="22" t="s">
        <v>201</v>
      </c>
      <c r="D40" s="22" t="s">
        <v>402</v>
      </c>
      <c r="E40" s="13">
        <v>42752.32503472222</v>
      </c>
      <c r="F40" s="13">
        <v>42752.330763888887</v>
      </c>
      <c r="G40" s="7">
        <v>1</v>
      </c>
      <c r="H40" s="22" t="s">
        <v>699</v>
      </c>
      <c r="I40" s="13">
        <v>42752.357719907406</v>
      </c>
      <c r="J40" s="7">
        <v>0</v>
      </c>
      <c r="K40" s="105" t="str">
        <f t="shared" si="0"/>
        <v>4027/4028</v>
      </c>
      <c r="L40" s="22" t="str">
        <f>VLOOKUP(A40,'Trips&amp;Operators'!$C$1:$G$99999,5,FALSE)</f>
        <v>OUN ZACK</v>
      </c>
      <c r="M40" s="6">
        <f t="shared" si="1"/>
        <v>2.6956018518831115E-2</v>
      </c>
      <c r="N40" s="7">
        <f t="shared" si="2"/>
        <v>38.816666667116806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-17T06:48:03-0700',mode:absolute,to:'2017-01-17T09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0" s="49" t="str">
        <f t="shared" si="6"/>
        <v>N</v>
      </c>
      <c r="X40" s="173">
        <f t="shared" si="22"/>
        <v>1</v>
      </c>
      <c r="Y40" s="64">
        <f t="shared" si="8"/>
        <v>23.301300000000001</v>
      </c>
      <c r="Z40" s="64">
        <f t="shared" si="9"/>
        <v>1.3599999999999999E-2</v>
      </c>
      <c r="AA40" s="64">
        <f t="shared" si="10"/>
        <v>23.287700000000001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0128-17</v>
      </c>
      <c r="AE40" s="87" t="str">
        <f t="shared" si="12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40" s="84" t="str">
        <f t="shared" si="13"/>
        <v>"C:\Program Files (x86)\AstroGrep\AstroGrep.exe" /spath="%USERPROFILE%\AppData\Local\Temp\OnboardLogs" /stypes="app*4028*20170117*"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128-17 --locoid 4028 --swversion DE.1.0.8.0 --startMP 204:233013 --initTime 2017-01-17T07:48:03 --startdatetime 2017-01-17T07:56:18 --delay 1 --endMP 204:136 --enddatetime 2017-01-17T08:35:07 --enforcementcount 0 &gt;&gt;C:\Users\stu\Documents\GitHub\eaglep3-reporting\EC\2017-01-17-refined-times.txt</v>
      </c>
      <c r="AI4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{"issue":{"subject":"","project_id":79,"tracker_id":40,"status_id":1,"priority_id":2,"assigned_to_id":23,"start_date":"2017-01-17","description":"","custom_fields":[{"id":1,"name":"Subdivision","value":"EC"},{"id":4,"name":"Milepost","value":"0.0136"},{"id":17,"name":"Train ID","value":"128-17"},{"id":16,"name":"Locomotive ID","value":"4028"},{"id":130,"name":"Impact","value":""},{"id":150,"name":"Time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4028 --day 2017-01-17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540</v>
      </c>
      <c r="B41" s="7">
        <v>4022</v>
      </c>
      <c r="C41" s="22" t="s">
        <v>201</v>
      </c>
      <c r="D41" s="22" t="s">
        <v>287</v>
      </c>
      <c r="E41" s="13">
        <v>42752.297997685186</v>
      </c>
      <c r="F41" s="13">
        <v>42752.302476851852</v>
      </c>
      <c r="G41" s="7">
        <v>1</v>
      </c>
      <c r="H41" s="22" t="s">
        <v>700</v>
      </c>
      <c r="I41" s="13">
        <v>42752.326724537037</v>
      </c>
      <c r="J41" s="7">
        <v>0</v>
      </c>
      <c r="K41" s="105" t="str">
        <f t="shared" si="0"/>
        <v>4021/4022</v>
      </c>
      <c r="L41" s="22" t="str">
        <f>VLOOKUP(A41,'Trips&amp;Operators'!$C$1:$G$99999,5,FALSE)</f>
        <v>BEAM ROSS</v>
      </c>
      <c r="M41" s="6">
        <f t="shared" si="1"/>
        <v>2.4247685185400769E-2</v>
      </c>
      <c r="N41" s="7">
        <f t="shared" si="2"/>
        <v>34.916666666977108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-17T06:09:07-0700',mode:absolute,to:'2017-01-17T08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49" t="str">
        <f t="shared" si="6"/>
        <v>N</v>
      </c>
      <c r="X41" s="173">
        <f t="shared" ref="X41:X72" si="23">VALUE(LEFT(AD41,4))-VALUE(LEFT(AD40,4))</f>
        <v>1</v>
      </c>
      <c r="Y41" s="64">
        <f t="shared" si="8"/>
        <v>4.4200000000000003E-2</v>
      </c>
      <c r="Z41" s="64">
        <f t="shared" si="9"/>
        <v>23.332599999999999</v>
      </c>
      <c r="AA41" s="64">
        <f t="shared" si="10"/>
        <v>23.288399999999999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0129-17</v>
      </c>
      <c r="AE41" s="87" t="str">
        <f t="shared" si="12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41" s="84" t="str">
        <f t="shared" si="13"/>
        <v>"C:\Program Files (x86)\AstroGrep\AstroGrep.exe" /spath="%USERPROFILE%\AppData\Local\Temp\OnboardLogs" /stypes="app*4022*20170117*"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129-17 --locoid 4022 --swversion DE.1.0.8.0 --startMP 204:442 --initTime 2017-01-17T07:09:07 --startdatetime 2017-01-17T07:15:34 --delay 1 --endMP 204:233326 --enddatetime 2017-01-17T07:50:29 --enforcementcount 0 &gt;&gt;C:\Users\stu\Documents\GitHub\eaglep3-reporting\EC\2017-01-17-refined-times.txt</v>
      </c>
      <c r="AI4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{"issue":{"subject":"","project_id":79,"tracker_id":40,"status_id":1,"priority_id":2,"assigned_to_id":23,"start_date":"2017-01-17","description":"","custom_fields":[{"id":1,"name":"Subdivision","value":"EC"},{"id":4,"name":"Milepost","value":"23.3326"},{"id":17,"name":"Train ID","value":"129-17"},{"id":16,"name":"Locomotive ID","value":"4022"},{"id":130,"name":"Impact","value":""},{"id":150,"name":"Time of Event (Mountain Time)","value":"07:50:29"},{"id":151,"name":"Denver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4022 --day 2017-01-17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548</v>
      </c>
      <c r="B42" s="7">
        <v>4021</v>
      </c>
      <c r="C42" s="22" t="s">
        <v>201</v>
      </c>
      <c r="D42" s="22" t="s">
        <v>420</v>
      </c>
      <c r="E42" s="13">
        <v>42752.336921296293</v>
      </c>
      <c r="F42" s="13">
        <v>42752.341145833336</v>
      </c>
      <c r="G42" s="7">
        <v>1</v>
      </c>
      <c r="H42" s="22" t="s">
        <v>191</v>
      </c>
      <c r="I42" s="13">
        <v>42752.367719907408</v>
      </c>
      <c r="J42" s="7">
        <v>0</v>
      </c>
      <c r="K42" s="105" t="str">
        <f t="shared" si="0"/>
        <v>4021/4022</v>
      </c>
      <c r="L42" s="22" t="str">
        <f>VLOOKUP(A42,'Trips&amp;Operators'!$C$1:$G$99999,5,FALSE)</f>
        <v>BEAM ROSS</v>
      </c>
      <c r="M42" s="6">
        <f t="shared" si="1"/>
        <v>2.6574074072414078E-2</v>
      </c>
      <c r="N42" s="7">
        <f t="shared" si="2"/>
        <v>38.266666664276272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-17T07:05:10-0700',mode:absolute,to:'2017-01-17T09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49" t="str">
        <f t="shared" si="6"/>
        <v>N</v>
      </c>
      <c r="X42" s="173">
        <f t="shared" si="23"/>
        <v>1</v>
      </c>
      <c r="Y42" s="64">
        <f t="shared" si="8"/>
        <v>23.299800000000001</v>
      </c>
      <c r="Z42" s="64">
        <f t="shared" si="9"/>
        <v>1.49E-2</v>
      </c>
      <c r="AA42" s="64">
        <f t="shared" si="10"/>
        <v>23.2849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0130-17</v>
      </c>
      <c r="AE42" s="87" t="str">
        <f t="shared" si="12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42" s="84" t="str">
        <f t="shared" si="13"/>
        <v>"C:\Program Files (x86)\AstroGrep\AstroGrep.exe" /spath="%USERPROFILE%\AppData\Local\Temp\OnboardLogs" /stypes="app*4021*20170117*"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130-17 --locoid 4021 --swversion DE.1.0.8.0 --startMP 204:232998 --initTime 2017-01-17T08:05:10 --startdatetime 2017-01-17T08:11:15 --delay 1 --endMP 204:149 --enddatetime 2017-01-17T08:49:31 --enforcementcount 0 &gt;&gt;C:\Users\stu\Documents\GitHub\eaglep3-reporting\EC\2017-01-17-refined-times.txt</v>
      </c>
      <c r="AI4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{"issue":{"subject":"","project_id":79,"tracker_id":40,"status_id":1,"priority_id":2,"assigned_to_id":23,"start_date":"2017-01-17","description":"","custom_fields":[{"id":1,"name":"Subdivision","value":"EC"},{"id":4,"name":"Milepost","value":"0.0149"},{"id":17,"name":"Train ID","value":"130-17"},{"id":16,"name":"Locomotive ID","value":"4021"},{"id":130,"name":"Impact","value":""},{"id":150,"name":"Time of Event (Mountain Time)","value":"08:49:31"},{"id":151,"name":"Denver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4021 --day 2017-01-17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542</v>
      </c>
      <c r="B43" s="7">
        <v>4007</v>
      </c>
      <c r="C43" s="22" t="s">
        <v>201</v>
      </c>
      <c r="D43" s="22" t="s">
        <v>355</v>
      </c>
      <c r="E43" s="13">
        <v>42752.308993055558</v>
      </c>
      <c r="F43" s="13">
        <v>42752.312800925924</v>
      </c>
      <c r="G43" s="7">
        <v>1</v>
      </c>
      <c r="H43" s="22" t="s">
        <v>403</v>
      </c>
      <c r="I43" s="13">
        <v>42752.337962962964</v>
      </c>
      <c r="J43" s="7">
        <v>0</v>
      </c>
      <c r="K43" s="105" t="str">
        <f t="shared" si="0"/>
        <v>4007/4008</v>
      </c>
      <c r="L43" s="22" t="str">
        <f>VLOOKUP(A43,'Trips&amp;Operators'!$C$1:$G$99999,5,FALSE)</f>
        <v>MAELZER KURT</v>
      </c>
      <c r="M43" s="6">
        <f t="shared" si="1"/>
        <v>2.5162037039990537E-2</v>
      </c>
      <c r="N43" s="7">
        <f t="shared" si="2"/>
        <v>36.233333337586373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-17T06:24:57-0700',mode:absolute,to:'2017-01-17T09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3" s="49" t="str">
        <f t="shared" si="6"/>
        <v>N</v>
      </c>
      <c r="X43" s="173">
        <f t="shared" si="23"/>
        <v>1</v>
      </c>
      <c r="Y43" s="64">
        <f t="shared" si="8"/>
        <v>4.5100000000000001E-2</v>
      </c>
      <c r="Z43" s="64">
        <f t="shared" si="9"/>
        <v>23.331900000000001</v>
      </c>
      <c r="AA43" s="64">
        <f t="shared" si="10"/>
        <v>23.286799999999999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0131-17</v>
      </c>
      <c r="AE43" s="87" t="str">
        <f t="shared" si="12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43" s="84" t="str">
        <f t="shared" si="13"/>
        <v>"C:\Program Files (x86)\AstroGrep\AstroGrep.exe" /spath="%USERPROFILE%\AppData\Local\Temp\OnboardLogs" /stypes="app*4007*20170117*"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131-17 --locoid 4007 --swversion DE.1.0.8.0 --startMP 204:451 --initTime 2017-01-17T07:24:57 --startdatetime 2017-01-17T07:30:26 --delay 1 --endMP 204:233319 --enddatetime 2017-01-17T08:06:40 --enforcementcount 0 &gt;&gt;C:\Users\stu\Documents\GitHub\eaglep3-reporting\EC\2017-01-17-refined-times.txt</v>
      </c>
      <c r="AI4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{"issue":{"subject":"","project_id":79,"tracker_id":40,"status_id":1,"priority_id":2,"assigned_to_id":23,"start_date":"2017-01-17","description":"","custom_fields":[{"id":1,"name":"Subdivision","value":"EC"},{"id":4,"name":"Milepost","value":"23.3319"},{"id":17,"name":"Train ID","value":"131-17"},{"id":16,"name":"Locomotive ID","value":"4007"},{"id":130,"name":"Impact","value":""},{"id":150,"name":"Time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4007 --day 2017-01-17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551</v>
      </c>
      <c r="B44" s="7">
        <v>4008</v>
      </c>
      <c r="C44" s="22" t="s">
        <v>201</v>
      </c>
      <c r="D44" s="22" t="s">
        <v>346</v>
      </c>
      <c r="E44" s="13">
        <v>42752.343009259261</v>
      </c>
      <c r="F44" s="13">
        <v>42752.351643518516</v>
      </c>
      <c r="G44" s="7">
        <v>1</v>
      </c>
      <c r="H44" s="22" t="s">
        <v>253</v>
      </c>
      <c r="I44" s="13">
        <v>42752.381516203706</v>
      </c>
      <c r="J44" s="7">
        <v>0</v>
      </c>
      <c r="K44" s="105" t="str">
        <f t="shared" si="0"/>
        <v>4007/4008</v>
      </c>
      <c r="L44" s="22" t="str">
        <f>VLOOKUP(A44,'Trips&amp;Operators'!$C$1:$G$99999,5,FALSE)</f>
        <v>MAELZER KURT</v>
      </c>
      <c r="M44" s="6">
        <f t="shared" si="1"/>
        <v>2.9872685190639459E-2</v>
      </c>
      <c r="N44" s="7">
        <f t="shared" si="2"/>
        <v>43.01666667452082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-17T07:13:56-0700',mode:absolute,to:'2017-01-17T10:09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49" t="str">
        <f t="shared" si="6"/>
        <v>N</v>
      </c>
      <c r="X44" s="173">
        <f t="shared" si="23"/>
        <v>1</v>
      </c>
      <c r="Y44" s="64">
        <f t="shared" si="8"/>
        <v>23.3002</v>
      </c>
      <c r="Z44" s="64">
        <f t="shared" si="9"/>
        <v>1.5800000000000002E-2</v>
      </c>
      <c r="AA44" s="64">
        <f t="shared" si="10"/>
        <v>23.284400000000002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0132-17</v>
      </c>
      <c r="AE44" s="87" t="str">
        <f t="shared" si="12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44" s="84" t="str">
        <f t="shared" si="13"/>
        <v>"C:\Program Files (x86)\AstroGrep\AstroGrep.exe" /spath="%USERPROFILE%\AppData\Local\Temp\OnboardLogs" /stypes="app*4008*20170117*"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132-17 --locoid 4008 --swversion DE.1.0.8.0 --startMP 204:233002 --initTime 2017-01-17T08:13:56 --startdatetime 2017-01-17T08:26:22 --delay 1 --endMP 204:158 --enddatetime 2017-01-17T09:09:23 --enforcementcount 0 &gt;&gt;C:\Users\stu\Documents\GitHub\eaglep3-reporting\EC\2017-01-17-refined-times.txt</v>
      </c>
      <c r="AI4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{"issue":{"subject":"","project_id":79,"tracker_id":40,"status_id":1,"priority_id":2,"assigned_to_id":23,"start_date":"2017-01-17","description":"","custom_fields":[{"id":1,"name":"Subdivision","value":"EC"},{"id":4,"name":"Milepost","value":"0.0158"},{"id":17,"name":"Train ID","value":"132-17"},{"id":16,"name":"Locomotive ID","value":"4008"},{"id":130,"name":"Impact","value":""},{"id":150,"name":"Time of Event (Mountain Time)","value":"09:09:23"},{"id":151,"name":"Denver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4008 --day 2017-01-17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546</v>
      </c>
      <c r="B45" s="7">
        <v>4002</v>
      </c>
      <c r="C45" s="22" t="s">
        <v>201</v>
      </c>
      <c r="D45" s="22" t="s">
        <v>701</v>
      </c>
      <c r="E45" s="13">
        <v>42752.318171296298</v>
      </c>
      <c r="F45" s="13">
        <v>42752.32309027778</v>
      </c>
      <c r="G45" s="7">
        <v>1</v>
      </c>
      <c r="H45" s="22" t="s">
        <v>702</v>
      </c>
      <c r="I45" s="13">
        <v>42752.350219907406</v>
      </c>
      <c r="J45" s="7">
        <v>0</v>
      </c>
      <c r="K45" s="105" t="str">
        <f t="shared" ref="K45:K76" si="24">IF(ISEVEN(B45),(B45-1)&amp;"/"&amp;B45,B45&amp;"/"&amp;(B45+1))</f>
        <v>4001/4002</v>
      </c>
      <c r="L45" s="22" t="str">
        <f>VLOOKUP(A45,'Trips&amp;Operators'!$C$1:$G$99999,5,FALSE)</f>
        <v>STARKS ANGELINA</v>
      </c>
      <c r="M45" s="6">
        <f t="shared" ref="M45:M76" si="25">I45-F45</f>
        <v>2.7129629626870155E-2</v>
      </c>
      <c r="N45" s="7">
        <f t="shared" ref="N45:N76" si="26">24*60*SUM($M45:$M45)</f>
        <v>39.066666662693024</v>
      </c>
      <c r="O45" s="7"/>
      <c r="P45" s="7"/>
      <c r="Q45" s="23"/>
      <c r="R45" s="23"/>
      <c r="S45" s="32">
        <f t="shared" ref="S45:S76" si="27">SUM(U45:U45)/IF(AG45="EC",12,1)</f>
        <v>1</v>
      </c>
      <c r="T45" s="47" t="str">
        <f t="shared" ref="T45:T76" si="28">IF(ISEVEN(LEFT(AD45,4)),"Southbound","NorthBound")</f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-17T06:38:10-0700',mode:absolute,to:'2017-01-17T09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49" t="str">
        <f t="shared" ref="W45:W76" si="29">IF(AA45&lt;IF(AG45="EC",23,5.65),"Y","N")</f>
        <v>N</v>
      </c>
      <c r="X45" s="173">
        <f t="shared" si="23"/>
        <v>1</v>
      </c>
      <c r="Y45" s="64">
        <f t="shared" ref="Y45:Y76" si="30">RIGHT(D45,LEN(D45)-4)/10000</f>
        <v>4.9299999999999997E-2</v>
      </c>
      <c r="Z45" s="64">
        <f t="shared" ref="Z45:Z76" si="31">RIGHT(H45,LEN(H45)-4)/10000</f>
        <v>23.3278</v>
      </c>
      <c r="AA45" s="64">
        <f t="shared" ref="AA45:AA76" si="32">ABS(Z45-Y45)</f>
        <v>23.278500000000001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ref="AD45:AD76" si="33">IF(LEN(A45)=6,"0"&amp;A45,A45)</f>
        <v>0133-17</v>
      </c>
      <c r="AE45" s="87" t="str">
        <f t="shared" si="12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45" s="84" t="str">
        <f t="shared" si="13"/>
        <v>"C:\Program Files (x86)\AstroGrep\AstroGrep.exe" /spath="%USERPROFILE%\AppData\Local\Temp\OnboardLogs" /stypes="app*4002*20170117*" /stext=" 15:.+((SYSTEM_STATE.+slice.+state.+changed )|(ment ac)|(multiple cpu faults)|(system.+state.+changed )|(\[timeout)|(PRM\|1\|D)|(kpr)|(kdp)|(\|lc)|(penalty))" /e /r /s</v>
      </c>
      <c r="AG45" s="1" t="str">
        <f t="shared" ref="AG45:AG76" si="34">IFERROR(IF(VALUE(LEFT(AD45,2))&lt;=2,"EC",IF(OR(VALUE(LEFT(AD45,2))=8,VALUE(LEFT(AD45,2))=18),"NW","Other")),"Other")</f>
        <v>EC</v>
      </c>
      <c r="AH45" s="88" t="str">
        <f t="shared" si="18"/>
        <v>"%USERPROFILE%\Documents\GitHub\eaglep3\Utilities\RefineRTDCRunTimes.py" --tripid 133-17 --locoid 4002 --swversion DE.1.0.8.0 --startMP 204:493 --initTime 2017-01-17T07:38:10 --startdatetime 2017-01-17T07:45:15 --delay 1 --endMP 204:233278 --enddatetime 2017-01-17T08:24:19 --enforcementcount 0 &gt;&gt;C:\Users\stu\Documents\GitHub\eaglep3-reporting\EC\2017-01-17-refined-times.txt</v>
      </c>
      <c r="AI4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{"issue":{"subject":"","project_id":79,"tracker_id":40,"status_id":1,"priority_id":2,"assigned_to_id":23,"start_date":"2017-01-17","description":"","custom_fields":[{"id":1,"name":"Subdivision","value":"EC"},{"id":4,"name":"Milepost","value":"23.3278"},{"id":17,"name":"Train ID","value":"133-17"},{"id":16,"name":"Locomotive ID","value":"4002"},{"id":130,"name":"Impact","value":""},{"id":150,"name":"Time of Event (Mountain Time)","value":"08:24:19"},{"id":151,"name":"Denver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4002 --day 2017-01-17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462</v>
      </c>
      <c r="B46" s="7">
        <v>4001</v>
      </c>
      <c r="C46" s="22" t="s">
        <v>201</v>
      </c>
      <c r="D46" s="22" t="s">
        <v>298</v>
      </c>
      <c r="E46" s="13">
        <v>42752.361006944448</v>
      </c>
      <c r="F46" s="13">
        <v>42752.362118055556</v>
      </c>
      <c r="G46" s="7">
        <v>1</v>
      </c>
      <c r="H46" s="22" t="s">
        <v>703</v>
      </c>
      <c r="I46" s="13">
        <v>42752.389004629629</v>
      </c>
      <c r="J46" s="7">
        <v>0</v>
      </c>
      <c r="K46" s="105" t="str">
        <f t="shared" si="24"/>
        <v>4001/4002</v>
      </c>
      <c r="L46" s="22" t="str">
        <f>VLOOKUP(A46,'Trips&amp;Operators'!$C$1:$G$99999,5,FALSE)</f>
        <v>STARKS ANGELINA</v>
      </c>
      <c r="M46" s="6">
        <f t="shared" si="25"/>
        <v>2.6886574072705116E-2</v>
      </c>
      <c r="N46" s="7">
        <f t="shared" si="26"/>
        <v>38.716666664695367</v>
      </c>
      <c r="O46" s="7"/>
      <c r="P46" s="7"/>
      <c r="Q46" s="23"/>
      <c r="R46" s="23"/>
      <c r="S46" s="32">
        <f t="shared" si="27"/>
        <v>1</v>
      </c>
      <c r="T46" s="47" t="str">
        <f t="shared" si="28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-17T07:39:51-0700',mode:absolute,to:'2017-01-17T10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49" t="str">
        <f t="shared" si="29"/>
        <v>N</v>
      </c>
      <c r="X46" s="173">
        <f t="shared" si="23"/>
        <v>1</v>
      </c>
      <c r="Y46" s="64">
        <f t="shared" si="30"/>
        <v>23.296700000000001</v>
      </c>
      <c r="Z46" s="64">
        <f t="shared" si="31"/>
        <v>1.9800000000000002E-2</v>
      </c>
      <c r="AA46" s="64">
        <f t="shared" si="32"/>
        <v>23.276900000000001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33"/>
        <v>0134-17</v>
      </c>
      <c r="AE46" s="87" t="str">
        <f t="shared" si="12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46" s="84" t="str">
        <f t="shared" si="13"/>
        <v>"C:\Program Files (x86)\AstroGrep\AstroGrep.exe" /spath="%USERPROFILE%\AppData\Local\Temp\OnboardLogs" /stypes="app*4001*20170117*" /stext=" 16:.+((SYSTEM_STATE.+slice.+state.+changed )|(ment ac)|(multiple cpu faults)|(system.+state.+changed )|(\[timeout)|(PRM\|1\|D)|(kpr)|(kdp)|(\|lc)|(penalty))" /e /r /s</v>
      </c>
      <c r="AG46" s="1" t="str">
        <f t="shared" si="34"/>
        <v>EC</v>
      </c>
      <c r="AH46" s="88" t="str">
        <f t="shared" si="18"/>
        <v>"%USERPROFILE%\Documents\GitHub\eaglep3\Utilities\RefineRTDCRunTimes.py" --tripid 134-17 --locoid 4001 --swversion DE.1.0.8.0 --startMP 204:232967 --initTime 2017-01-17T08:39:51 --startdatetime 2017-01-17T08:41:27 --delay 1 --endMP 204:198 --enddatetime 2017-01-17T09:20:10 --enforcementcount 0 &gt;&gt;C:\Users\stu\Documents\GitHub\eaglep3-reporting\EC\2017-01-17-refined-times.txt</v>
      </c>
      <c r="AI4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{"issue":{"subject":"","project_id":79,"tracker_id":40,"status_id":1,"priority_id":2,"assigned_to_id":23,"start_date":"2017-01-17","description":"","custom_fields":[{"id":1,"name":"Subdivision","value":"EC"},{"id":4,"name":"Milepost","value":"0.0198"},{"id":17,"name":"Train ID","value":"134-17"},{"id":16,"name":"Locomotive ID","value":"4001"},{"id":130,"name":"Impact","value":""},{"id":150,"name":"Time of Event (Mountain Time)","value":"09:20:10"},{"id":151,"name":"Denver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4001 --day 2017-01-17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461</v>
      </c>
      <c r="B47" s="7">
        <v>4031</v>
      </c>
      <c r="C47" s="22" t="s">
        <v>201</v>
      </c>
      <c r="D47" s="22" t="s">
        <v>325</v>
      </c>
      <c r="E47" s="13">
        <v>42752.327534722222</v>
      </c>
      <c r="F47" s="13">
        <v>42752.333807870367</v>
      </c>
      <c r="G47" s="7">
        <v>1</v>
      </c>
      <c r="H47" s="22" t="s">
        <v>282</v>
      </c>
      <c r="I47" s="13">
        <v>42752.360092592593</v>
      </c>
      <c r="J47" s="7">
        <v>0</v>
      </c>
      <c r="K47" s="105" t="str">
        <f t="shared" si="24"/>
        <v>4031/4032</v>
      </c>
      <c r="L47" s="22" t="str">
        <f>VLOOKUP(A47,'Trips&amp;Operators'!$C$1:$G$99999,5,FALSE)</f>
        <v>DUNCAN SHEILA</v>
      </c>
      <c r="M47" s="6">
        <f t="shared" si="25"/>
        <v>2.6284722225682344E-2</v>
      </c>
      <c r="N47" s="7">
        <f t="shared" si="26"/>
        <v>37.850000004982576</v>
      </c>
      <c r="O47" s="7"/>
      <c r="P47" s="7"/>
      <c r="Q47" s="23"/>
      <c r="R47" s="23"/>
      <c r="S47" s="32">
        <f t="shared" si="27"/>
        <v>1</v>
      </c>
      <c r="T47" s="47" t="str">
        <f t="shared" si="28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-17T06:51:39-0700',mode:absolute,to:'2017-01-17T09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49" t="str">
        <f t="shared" si="29"/>
        <v>N</v>
      </c>
      <c r="X47" s="173">
        <f t="shared" si="23"/>
        <v>1</v>
      </c>
      <c r="Y47" s="64">
        <f t="shared" si="30"/>
        <v>4.7100000000000003E-2</v>
      </c>
      <c r="Z47" s="64">
        <f t="shared" si="31"/>
        <v>23.330400000000001</v>
      </c>
      <c r="AA47" s="64">
        <f t="shared" si="32"/>
        <v>23.283300000000001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33"/>
        <v>0135-17</v>
      </c>
      <c r="AE47" s="87" t="str">
        <f t="shared" si="12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47" s="84" t="str">
        <f t="shared" si="13"/>
        <v>"C:\Program Files (x86)\AstroGrep\AstroGrep.exe" /spath="%USERPROFILE%\AppData\Local\Temp\OnboardLogs" /stypes="app*4031*20170117*" /stext=" 15:.+((SYSTEM_STATE.+slice.+state.+changed )|(ment ac)|(multiple cpu faults)|(system.+state.+changed )|(\[timeout)|(PRM\|1\|D)|(kpr)|(kdp)|(\|lc)|(penalty))" /e /r /s</v>
      </c>
      <c r="AG47" s="1" t="str">
        <f t="shared" si="34"/>
        <v>EC</v>
      </c>
      <c r="AH47" s="88" t="str">
        <f t="shared" si="18"/>
        <v>"%USERPROFILE%\Documents\GitHub\eaglep3\Utilities\RefineRTDCRunTimes.py" --tripid 135-17 --locoid 4031 --swversion DE.1.0.8.0 --startMP 204:471 --initTime 2017-01-17T07:51:39 --startdatetime 2017-01-17T08:00:41 --delay 1 --endMP 204:233304 --enddatetime 2017-01-17T08:38:32 --enforcementcount 0 &gt;&gt;C:\Users\stu\Documents\GitHub\eaglep3-reporting\EC\2017-01-17-refined-times.txt</v>
      </c>
      <c r="AI4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{"issue":{"subject":"","project_id":79,"tracker_id":40,"status_id":1,"priority_id":2,"assigned_to_id":23,"start_date":"2017-01-17","description":"","custom_fields":[{"id":1,"name":"Subdivision","value":"EC"},{"id":4,"name":"Milepost","value":"23.3304"},{"id":17,"name":"Train ID","value":"135-17"},{"id":16,"name":"Locomotive ID","value":"4031"},{"id":130,"name":"Impact","value":""},{"id":150,"name":"Time of Event (Mountain Time)","value":"08:38:32"},{"id":151,"name":"Denver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4031 --day 2017-01-17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557</v>
      </c>
      <c r="B48" s="7">
        <v>4032</v>
      </c>
      <c r="C48" s="22" t="s">
        <v>201</v>
      </c>
      <c r="D48" s="22" t="s">
        <v>418</v>
      </c>
      <c r="E48" s="13">
        <v>42752.364814814813</v>
      </c>
      <c r="F48" s="13">
        <v>42752.372395833336</v>
      </c>
      <c r="G48" s="7">
        <v>1</v>
      </c>
      <c r="H48" s="22" t="s">
        <v>317</v>
      </c>
      <c r="I48" s="13">
        <v>42752.399710648147</v>
      </c>
      <c r="J48" s="7">
        <v>0</v>
      </c>
      <c r="K48" s="105" t="str">
        <f t="shared" si="24"/>
        <v>4031/4032</v>
      </c>
      <c r="L48" s="22" t="str">
        <f>VLOOKUP(A48,'Trips&amp;Operators'!$C$1:$G$99999,5,FALSE)</f>
        <v>DUNCAN SHEILA</v>
      </c>
      <c r="M48" s="6">
        <f t="shared" si="25"/>
        <v>2.7314814811688848E-2</v>
      </c>
      <c r="N48" s="7">
        <f t="shared" si="26"/>
        <v>39.333333328831941</v>
      </c>
      <c r="O48" s="7"/>
      <c r="P48" s="7"/>
      <c r="Q48" s="23"/>
      <c r="R48" s="23"/>
      <c r="S48" s="32">
        <f t="shared" si="27"/>
        <v>1</v>
      </c>
      <c r="T48" s="47" t="str">
        <f t="shared" si="28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-17T07:45:20-0700',mode:absolute,to:'2017-01-17T10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49" t="str">
        <f t="shared" si="29"/>
        <v>N</v>
      </c>
      <c r="X48" s="173">
        <f t="shared" si="23"/>
        <v>1</v>
      </c>
      <c r="Y48" s="64">
        <f t="shared" si="30"/>
        <v>23.299299999999999</v>
      </c>
      <c r="Z48" s="64">
        <f t="shared" si="31"/>
        <v>1.43E-2</v>
      </c>
      <c r="AA48" s="64">
        <f t="shared" si="32"/>
        <v>23.285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33"/>
        <v>0136-17</v>
      </c>
      <c r="AE48" s="87" t="str">
        <f t="shared" si="12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48" s="84" t="str">
        <f t="shared" si="13"/>
        <v>"C:\Program Files (x86)\AstroGrep\AstroGrep.exe" /spath="%USERPROFILE%\AppData\Local\Temp\OnboardLogs" /stypes="app*4032*20170117*" /stext=" 16:.+((SYSTEM_STATE.+slice.+state.+changed )|(ment ac)|(multiple cpu faults)|(system.+state.+changed )|(\[timeout)|(PRM\|1\|D)|(kpr)|(kdp)|(\|lc)|(penalty))" /e /r /s</v>
      </c>
      <c r="AG48" s="1" t="str">
        <f t="shared" si="34"/>
        <v>EC</v>
      </c>
      <c r="AH48" s="88" t="str">
        <f t="shared" si="18"/>
        <v>"%USERPROFILE%\Documents\GitHub\eaglep3\Utilities\RefineRTDCRunTimes.py" --tripid 136-17 --locoid 4032 --swversion DE.1.0.8.0 --startMP 204:232993 --initTime 2017-01-17T08:45:20 --startdatetime 2017-01-17T08:56:15 --delay 1 --endMP 204:143 --enddatetime 2017-01-17T09:35:35 --enforcementcount 0 &gt;&gt;C:\Users\stu\Documents\GitHub\eaglep3-reporting\EC\2017-01-17-refined-times.txt</v>
      </c>
      <c r="AI4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{"issue":{"subject":"","project_id":79,"tracker_id":40,"status_id":1,"priority_id":2,"assigned_to_id":23,"start_date":"2017-01-17","description":"","custom_fields":[{"id":1,"name":"Subdivision","value":"EC"},{"id":4,"name":"Milepost","value":"0.0143"},{"id":17,"name":"Train ID","value":"136-17"},{"id":16,"name":"Locomotive ID","value":"4032"},{"id":130,"name":"Impact","value":""},{"id":150,"name":"Time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4032 --day 2017-01-17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550</v>
      </c>
      <c r="B49" s="7">
        <v>4042</v>
      </c>
      <c r="C49" s="22" t="s">
        <v>201</v>
      </c>
      <c r="D49" s="22" t="s">
        <v>704</v>
      </c>
      <c r="E49" s="13">
        <v>42752.339050925926</v>
      </c>
      <c r="F49" s="13">
        <v>42752.343969907408</v>
      </c>
      <c r="G49" s="7">
        <v>1</v>
      </c>
      <c r="H49" s="22" t="s">
        <v>705</v>
      </c>
      <c r="I49" s="13">
        <v>42752.375821759262</v>
      </c>
      <c r="J49" s="7">
        <v>0</v>
      </c>
      <c r="K49" s="105" t="str">
        <f t="shared" si="24"/>
        <v>4041/4042</v>
      </c>
      <c r="L49" s="22" t="str">
        <f>VLOOKUP(A49,'Trips&amp;Operators'!$C$1:$G$99999,5,FALSE)</f>
        <v>COOLAHAN JOHN</v>
      </c>
      <c r="M49" s="6">
        <f t="shared" si="25"/>
        <v>3.1851851854298729E-2</v>
      </c>
      <c r="N49" s="7">
        <f t="shared" si="26"/>
        <v>45.86666667019017</v>
      </c>
      <c r="O49" s="7"/>
      <c r="P49" s="7"/>
      <c r="Q49" s="23"/>
      <c r="R49" s="23"/>
      <c r="S49" s="32">
        <f t="shared" si="27"/>
        <v>1</v>
      </c>
      <c r="T49" s="47" t="str">
        <f t="shared" si="28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-17T07:08:14-0700',mode:absolute,to:'2017-01-17T10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49" t="str">
        <f t="shared" si="29"/>
        <v>N</v>
      </c>
      <c r="X49" s="173">
        <f t="shared" si="23"/>
        <v>1</v>
      </c>
      <c r="Y49" s="64">
        <f t="shared" si="30"/>
        <v>5.2400000000000002E-2</v>
      </c>
      <c r="Z49" s="64">
        <f t="shared" si="31"/>
        <v>23.327400000000001</v>
      </c>
      <c r="AA49" s="64">
        <f t="shared" si="32"/>
        <v>23.275000000000002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33"/>
        <v>0137-17</v>
      </c>
      <c r="AE49" s="87" t="str">
        <f t="shared" si="12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49" s="84" t="str">
        <f t="shared" si="13"/>
        <v>"C:\Program Files (x86)\AstroGrep\AstroGrep.exe" /spath="%USERPROFILE%\AppData\Local\Temp\OnboardLogs" /stypes="app*4042*20170117*" /stext=" 16:.+((SYSTEM_STATE.+slice.+state.+changed )|(ment ac)|(multiple cpu faults)|(system.+state.+changed )|(\[timeout)|(PRM\|1\|D)|(kpr)|(kdp)|(\|lc)|(penalty))" /e /r /s</v>
      </c>
      <c r="AG49" s="1" t="str">
        <f t="shared" si="34"/>
        <v>EC</v>
      </c>
      <c r="AH49" s="88" t="str">
        <f t="shared" si="18"/>
        <v>"%USERPROFILE%\Documents\GitHub\eaglep3\Utilities\RefineRTDCRunTimes.py" --tripid 137-17 --locoid 4042 --swversion DE.1.0.8.0 --startMP 204:524 --initTime 2017-01-17T08:08:14 --startdatetime 2017-01-17T08:15:19 --delay 1 --endMP 204:233274 --enddatetime 2017-01-17T09:01:11 --enforcementcount 0 &gt;&gt;C:\Users\stu\Documents\GitHub\eaglep3-reporting\EC\2017-01-17-refined-times.txt</v>
      </c>
      <c r="AI4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{"issue":{"subject":"","project_id":79,"tracker_id":40,"status_id":1,"priority_id":2,"assigned_to_id":23,"start_date":"2017-01-17","description":"","custom_fields":[{"id":1,"name":"Subdivision","value":"EC"},{"id":4,"name":"Milepost","value":"23.3274"},{"id":17,"name":"Train ID","value":"137-17"},{"id":16,"name":"Locomotive ID","value":"4042"},{"id":130,"name":"Impact","value":""},{"id":150,"name":"Time of Event (Mountain Time)","value":"09:01:11"},{"id":151,"name":"Denver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4042 --day 2017-01-17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463</v>
      </c>
      <c r="B50" s="7">
        <v>4041</v>
      </c>
      <c r="C50" s="22" t="s">
        <v>201</v>
      </c>
      <c r="D50" s="22" t="s">
        <v>706</v>
      </c>
      <c r="E50" s="13">
        <v>42752.37736111111</v>
      </c>
      <c r="F50" s="13">
        <v>42752.382916666669</v>
      </c>
      <c r="G50" s="7">
        <v>3</v>
      </c>
      <c r="H50" s="22" t="s">
        <v>324</v>
      </c>
      <c r="I50" s="13">
        <v>42752.410208333335</v>
      </c>
      <c r="J50" s="7">
        <v>0</v>
      </c>
      <c r="K50" s="105" t="str">
        <f t="shared" si="24"/>
        <v>4041/4042</v>
      </c>
      <c r="L50" s="22" t="str">
        <f>VLOOKUP(A50,'Trips&amp;Operators'!$C$1:$G$99999,5,FALSE)</f>
        <v>COOLAHAN JOHN</v>
      </c>
      <c r="M50" s="6">
        <f t="shared" si="25"/>
        <v>2.7291666665405501E-2</v>
      </c>
      <c r="N50" s="7">
        <f t="shared" si="26"/>
        <v>39.299999998183921</v>
      </c>
      <c r="O50" s="7"/>
      <c r="P50" s="7"/>
      <c r="Q50" s="23"/>
      <c r="R50" s="23"/>
      <c r="S50" s="32">
        <f t="shared" si="27"/>
        <v>1</v>
      </c>
      <c r="T50" s="47" t="str">
        <f t="shared" si="28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-17T08:03:24-0700',mode:absolute,to:'2017-01-17T10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49" t="str">
        <f t="shared" si="29"/>
        <v>N</v>
      </c>
      <c r="X50" s="173">
        <f t="shared" si="23"/>
        <v>1</v>
      </c>
      <c r="Y50" s="64">
        <f t="shared" si="30"/>
        <v>23.2942</v>
      </c>
      <c r="Z50" s="64">
        <f t="shared" si="31"/>
        <v>1.6899999999999998E-2</v>
      </c>
      <c r="AA50" s="64">
        <f t="shared" si="32"/>
        <v>23.2773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33"/>
        <v>0138-17</v>
      </c>
      <c r="AE50" s="87" t="str">
        <f t="shared" si="12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50" s="84" t="str">
        <f t="shared" si="13"/>
        <v>"C:\Program Files (x86)\AstroGrep\AstroGrep.exe" /spath="%USERPROFILE%\AppData\Local\Temp\OnboardLogs" /stypes="app*4041*20170117*" /stext=" 16:.+((SYSTEM_STATE.+slice.+state.+changed )|(ment ac)|(multiple cpu faults)|(system.+state.+changed )|(\[timeout)|(PRM\|1\|D)|(kpr)|(kdp)|(\|lc)|(penalty))" /e /r /s</v>
      </c>
      <c r="AG50" s="1" t="str">
        <f t="shared" si="34"/>
        <v>EC</v>
      </c>
      <c r="AH50" s="88" t="str">
        <f t="shared" si="18"/>
        <v>"%USERPROFILE%\Documents\GitHub\eaglep3\Utilities\RefineRTDCRunTimes.py" --tripid 138-17 --locoid 4041 --swversion DE.1.0.8.0 --startMP 204:232942 --initTime 2017-01-17T09:03:24 --startdatetime 2017-01-17T09:11:24 --delay 3 --endMP 204:169 --enddatetime 2017-01-17T09:50:42 --enforcementcount 0 &gt;&gt;C:\Users\stu\Documents\GitHub\eaglep3-reporting\EC\2017-01-17-refined-times.txt</v>
      </c>
      <c r="AI5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{"issue":{"subject":"","project_id":79,"tracker_id":40,"status_id":1,"priority_id":2,"assigned_to_id":23,"start_date":"2017-01-17","description":"","custom_fields":[{"id":1,"name":"Subdivision","value":"EC"},{"id":4,"name":"Milepost","value":"0.0169"},{"id":17,"name":"Train ID","value":"138-17"},{"id":16,"name":"Locomotive ID","value":"4041"},{"id":130,"name":"Impact","value":""},{"id":150,"name":"Time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4041 --day 2017-01-17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554</v>
      </c>
      <c r="B51" s="7">
        <v>4044</v>
      </c>
      <c r="C51" s="22" t="s">
        <v>201</v>
      </c>
      <c r="D51" s="22" t="s">
        <v>707</v>
      </c>
      <c r="E51" s="13">
        <v>42752.352418981478</v>
      </c>
      <c r="F51" s="13">
        <v>42752.354560185187</v>
      </c>
      <c r="G51" s="7">
        <v>1</v>
      </c>
      <c r="H51" s="22" t="s">
        <v>360</v>
      </c>
      <c r="I51" s="13">
        <v>42752.379803240743</v>
      </c>
      <c r="J51" s="7">
        <v>0</v>
      </c>
      <c r="K51" s="105" t="str">
        <f t="shared" si="24"/>
        <v>4043/4044</v>
      </c>
      <c r="L51" s="22" t="str">
        <f>VLOOKUP(A51,'Trips&amp;Operators'!$C$1:$G$99999,5,FALSE)</f>
        <v>LOZA FIDEL</v>
      </c>
      <c r="M51" s="6">
        <f t="shared" si="25"/>
        <v>2.5243055555620231E-2</v>
      </c>
      <c r="N51" s="7">
        <f t="shared" si="26"/>
        <v>36.350000000093132</v>
      </c>
      <c r="O51" s="7"/>
      <c r="P51" s="7"/>
      <c r="Q51" s="23"/>
      <c r="R51" s="23"/>
      <c r="S51" s="32">
        <f t="shared" si="27"/>
        <v>1</v>
      </c>
      <c r="T51" s="47" t="str">
        <f t="shared" si="28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-17T07:27:29-0700',mode:absolute,to:'2017-01-17T10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49" t="str">
        <f t="shared" si="29"/>
        <v>N</v>
      </c>
      <c r="X51" s="173">
        <f t="shared" si="23"/>
        <v>1</v>
      </c>
      <c r="Y51" s="64">
        <f t="shared" si="30"/>
        <v>4.4400000000000002E-2</v>
      </c>
      <c r="Z51" s="64">
        <f t="shared" si="31"/>
        <v>23.3308</v>
      </c>
      <c r="AA51" s="64">
        <f t="shared" si="32"/>
        <v>23.2864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33"/>
        <v>0139-17</v>
      </c>
      <c r="AE51" s="87" t="str">
        <f t="shared" si="12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51" s="84" t="str">
        <f t="shared" si="13"/>
        <v>"C:\Program Files (x86)\AstroGrep\AstroGrep.exe" /spath="%USERPROFILE%\AppData\Local\Temp\OnboardLogs" /stypes="app*4044*20170117*" /stext=" 16:.+((SYSTEM_STATE.+slice.+state.+changed )|(ment ac)|(multiple cpu faults)|(system.+state.+changed )|(\[timeout)|(PRM\|1\|D)|(kpr)|(kdp)|(\|lc)|(penalty))" /e /r /s</v>
      </c>
      <c r="AG51" s="1" t="str">
        <f t="shared" si="34"/>
        <v>EC</v>
      </c>
      <c r="AH51" s="88" t="str">
        <f t="shared" si="18"/>
        <v>"%USERPROFILE%\Documents\GitHub\eaglep3\Utilities\RefineRTDCRunTimes.py" --tripid 139-17 --locoid 4044 --swversion DE.1.0.8.0 --startMP 204:444 --initTime 2017-01-17T08:27:29 --startdatetime 2017-01-17T08:30:34 --delay 1 --endMP 204:233308 --enddatetime 2017-01-17T09:06:55 --enforcementcount 0 &gt;&gt;C:\Users\stu\Documents\GitHub\eaglep3-reporting\EC\2017-01-17-refined-times.txt</v>
      </c>
      <c r="AI5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{"issue":{"subject":"","project_id":79,"tracker_id":40,"status_id":1,"priority_id":2,"assigned_to_id":23,"start_date":"2017-01-17","description":"","custom_fields":[{"id":1,"name":"Subdivision","value":"EC"},{"id":4,"name":"Milepost","value":"23.3308"},{"id":17,"name":"Train ID","value":"139-17"},{"id":16,"name":"Locomotive ID","value":"4044"},{"id":130,"name":"Impact","value":""},{"id":150,"name":"Time of Event (Mountain Time)","value":"09:06:55"},{"id":151,"name":"Denver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4044 --day 2017-01-17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561</v>
      </c>
      <c r="B52" s="7">
        <v>4043</v>
      </c>
      <c r="C52" s="22" t="s">
        <v>201</v>
      </c>
      <c r="D52" s="22" t="s">
        <v>404</v>
      </c>
      <c r="E52" s="13">
        <v>42752.391203703701</v>
      </c>
      <c r="F52" s="13">
        <v>42752.393391203703</v>
      </c>
      <c r="G52" s="7">
        <v>1</v>
      </c>
      <c r="H52" s="22" t="s">
        <v>236</v>
      </c>
      <c r="I52" s="13">
        <v>42752.422858796293</v>
      </c>
      <c r="J52" s="7">
        <v>0</v>
      </c>
      <c r="K52" s="105" t="str">
        <f t="shared" si="24"/>
        <v>4043/4044</v>
      </c>
      <c r="L52" s="22" t="str">
        <f>VLOOKUP(A52,'Trips&amp;Operators'!$C$1:$G$99999,5,FALSE)</f>
        <v>LOZA FIDEL</v>
      </c>
      <c r="M52" s="6">
        <f t="shared" si="25"/>
        <v>2.9467592590663116E-2</v>
      </c>
      <c r="N52" s="7">
        <f t="shared" si="26"/>
        <v>42.433333330554888</v>
      </c>
      <c r="O52" s="7"/>
      <c r="P52" s="7"/>
      <c r="Q52" s="23"/>
      <c r="R52" s="23"/>
      <c r="S52" s="32">
        <f t="shared" si="27"/>
        <v>1</v>
      </c>
      <c r="T52" s="47" t="str">
        <f t="shared" si="28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-17T08:23:20-0700',mode:absolute,to:'2017-01-17T11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49" t="str">
        <f t="shared" si="29"/>
        <v>N</v>
      </c>
      <c r="X52" s="173">
        <f t="shared" si="23"/>
        <v>1</v>
      </c>
      <c r="Y52" s="64">
        <f t="shared" si="30"/>
        <v>23.299600000000002</v>
      </c>
      <c r="Z52" s="64">
        <f t="shared" si="31"/>
        <v>1.47E-2</v>
      </c>
      <c r="AA52" s="64">
        <f t="shared" si="32"/>
        <v>23.2849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33"/>
        <v>0140-17</v>
      </c>
      <c r="AE52" s="87" t="str">
        <f t="shared" si="12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52" s="84" t="str">
        <f t="shared" si="13"/>
        <v>"C:\Program Files (x86)\AstroGrep\AstroGrep.exe" /spath="%USERPROFILE%\AppData\Local\Temp\OnboardLogs" /stypes="app*4043*20170117*" /stext=" 17:.+((SYSTEM_STATE.+slice.+state.+changed )|(ment ac)|(multiple cpu faults)|(system.+state.+changed )|(\[timeout)|(PRM\|1\|D)|(kpr)|(kdp)|(\|lc)|(penalty))" /e /r /s</v>
      </c>
      <c r="AG52" s="1" t="str">
        <f t="shared" si="34"/>
        <v>EC</v>
      </c>
      <c r="AH52" s="88" t="str">
        <f t="shared" si="18"/>
        <v>"%USERPROFILE%\Documents\GitHub\eaglep3\Utilities\RefineRTDCRunTimes.py" --tripid 140-17 --locoid 4043 --swversion DE.1.0.8.0 --startMP 204:232996 --initTime 2017-01-17T09:23:20 --startdatetime 2017-01-17T09:26:29 --delay 1 --endMP 204:147 --enddatetime 2017-01-17T10:08:55 --enforcementcount 0 &gt;&gt;C:\Users\stu\Documents\GitHub\eaglep3-reporting\EC\2017-01-17-refined-times.txt</v>
      </c>
      <c r="AI5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{"issue":{"subject":"","project_id":79,"tracker_id":40,"status_id":1,"priority_id":2,"assigned_to_id":23,"start_date":"2017-01-17","description":"","custom_fields":[{"id":1,"name":"Subdivision","value":"EC"},{"id":4,"name":"Milepost","value":"0.0147"},{"id":17,"name":"Train ID","value":"140-17"},{"id":16,"name":"Locomotive ID","value":"4043"},{"id":130,"name":"Impact","value":""},{"id":150,"name":"Time of Event (Mountain Time)","value":"10:08:55"},{"id":151,"name":"Denver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4043 --day 2017-01-17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556</v>
      </c>
      <c r="B53" s="7">
        <v>4027</v>
      </c>
      <c r="C53" s="22" t="s">
        <v>201</v>
      </c>
      <c r="D53" s="22" t="s">
        <v>707</v>
      </c>
      <c r="E53" s="13">
        <v>42752.361296296294</v>
      </c>
      <c r="F53" s="13">
        <v>42752.364791666667</v>
      </c>
      <c r="G53" s="7">
        <v>1</v>
      </c>
      <c r="H53" s="22" t="s">
        <v>347</v>
      </c>
      <c r="I53" s="13">
        <v>42752.389513888891</v>
      </c>
      <c r="J53" s="7">
        <v>0</v>
      </c>
      <c r="K53" s="105" t="str">
        <f t="shared" si="24"/>
        <v>4027/4028</v>
      </c>
      <c r="L53" s="22" t="str">
        <f>VLOOKUP(A53,'Trips&amp;Operators'!$C$1:$G$99999,5,FALSE)</f>
        <v>OUN ZACK</v>
      </c>
      <c r="M53" s="6">
        <f t="shared" si="25"/>
        <v>2.4722222224227153E-2</v>
      </c>
      <c r="N53" s="7">
        <f t="shared" si="26"/>
        <v>35.6000000028871</v>
      </c>
      <c r="O53" s="7"/>
      <c r="P53" s="7"/>
      <c r="Q53" s="23"/>
      <c r="R53" s="23"/>
      <c r="S53" s="32">
        <f t="shared" si="27"/>
        <v>1</v>
      </c>
      <c r="T53" s="47" t="str">
        <f t="shared" si="28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-17T07:40:16-0700',mode:absolute,to:'2017-01-17T10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49" t="str">
        <f t="shared" si="29"/>
        <v>N</v>
      </c>
      <c r="X53" s="173">
        <f t="shared" si="23"/>
        <v>1</v>
      </c>
      <c r="Y53" s="64">
        <f t="shared" si="30"/>
        <v>4.4400000000000002E-2</v>
      </c>
      <c r="Z53" s="64">
        <f t="shared" si="31"/>
        <v>23.332000000000001</v>
      </c>
      <c r="AA53" s="64">
        <f t="shared" si="32"/>
        <v>23.287600000000001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33"/>
        <v>0141-17</v>
      </c>
      <c r="AE53" s="87" t="str">
        <f t="shared" si="12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53" s="84" t="str">
        <f t="shared" si="13"/>
        <v>"C:\Program Files (x86)\AstroGrep\AstroGrep.exe" /spath="%USERPROFILE%\AppData\Local\Temp\OnboardLogs" /stypes="app*4027*20170117*" /stext=" 16:.+((SYSTEM_STATE.+slice.+state.+changed )|(ment ac)|(multiple cpu faults)|(system.+state.+changed )|(\[timeout)|(PRM\|1\|D)|(kpr)|(kdp)|(\|lc)|(penalty))" /e /r /s</v>
      </c>
      <c r="AG53" s="1" t="str">
        <f t="shared" si="34"/>
        <v>EC</v>
      </c>
      <c r="AH53" s="88" t="str">
        <f t="shared" si="18"/>
        <v>"%USERPROFILE%\Documents\GitHub\eaglep3\Utilities\RefineRTDCRunTimes.py" --tripid 141-17 --locoid 4027 --swversion DE.1.0.8.0 --startMP 204:444 --initTime 2017-01-17T08:40:16 --startdatetime 2017-01-17T08:45:18 --delay 1 --endMP 204:233320 --enddatetime 2017-01-17T09:20:54 --enforcementcount 0 &gt;&gt;C:\Users\stu\Documents\GitHub\eaglep3-reporting\EC\2017-01-17-refined-times.txt</v>
      </c>
      <c r="AI5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{"issue":{"subject":"","project_id":79,"tracker_id":40,"status_id":1,"priority_id":2,"assigned_to_id":23,"start_date":"2017-01-17","description":"","custom_fields":[{"id":1,"name":"Subdivision","value":"EC"},{"id":4,"name":"Milepost","value":"23.332"},{"id":17,"name":"Train ID","value":"141-17"},{"id":16,"name":"Locomotive ID","value":"4027"},{"id":130,"name":"Impact","value":""},{"id":150,"name":"Time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4027 --day 2017-01-17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563</v>
      </c>
      <c r="B54" s="7">
        <v>4028</v>
      </c>
      <c r="C54" s="22" t="s">
        <v>201</v>
      </c>
      <c r="D54" s="22" t="s">
        <v>407</v>
      </c>
      <c r="E54" s="13">
        <v>42752.399363425924</v>
      </c>
      <c r="F54" s="13">
        <v>42752.403749999998</v>
      </c>
      <c r="G54" s="7">
        <v>1</v>
      </c>
      <c r="H54" s="22" t="s">
        <v>237</v>
      </c>
      <c r="I54" s="13">
        <v>42752.430289351854</v>
      </c>
      <c r="J54" s="7">
        <v>0</v>
      </c>
      <c r="K54" s="105" t="str">
        <f t="shared" si="24"/>
        <v>4027/4028</v>
      </c>
      <c r="L54" s="22" t="str">
        <f>VLOOKUP(A54,'Trips&amp;Operators'!$C$1:$G$99999,5,FALSE)</f>
        <v>OUN ZACK</v>
      </c>
      <c r="M54" s="6">
        <f t="shared" si="25"/>
        <v>2.6539351856627036E-2</v>
      </c>
      <c r="N54" s="7">
        <f t="shared" si="26"/>
        <v>38.216666673542932</v>
      </c>
      <c r="O54" s="7"/>
      <c r="P54" s="7"/>
      <c r="Q54" s="23"/>
      <c r="R54" s="23"/>
      <c r="S54" s="32">
        <f t="shared" si="27"/>
        <v>1</v>
      </c>
      <c r="T54" s="47" t="str">
        <f t="shared" si="28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-17T08:35:05-0700',mode:absolute,to:'2017-01-17T11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49" t="str">
        <f t="shared" si="29"/>
        <v>N</v>
      </c>
      <c r="X54" s="173">
        <f t="shared" si="23"/>
        <v>1</v>
      </c>
      <c r="Y54" s="64">
        <f t="shared" si="30"/>
        <v>23.300899999999999</v>
      </c>
      <c r="Z54" s="64">
        <f t="shared" si="31"/>
        <v>1.3899999999999999E-2</v>
      </c>
      <c r="AA54" s="64">
        <f t="shared" si="32"/>
        <v>23.286999999999999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33"/>
        <v>0142-17</v>
      </c>
      <c r="AE54" s="87" t="str">
        <f t="shared" si="12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54" s="84" t="str">
        <f t="shared" si="13"/>
        <v>"C:\Program Files (x86)\AstroGrep\AstroGrep.exe" /spath="%USERPROFILE%\AppData\Local\Temp\OnboardLogs" /stypes="app*4028*20170117*" /stext=" 17:.+((SYSTEM_STATE.+slice.+state.+changed )|(ment ac)|(multiple cpu faults)|(system.+state.+changed )|(\[timeout)|(PRM\|1\|D)|(kpr)|(kdp)|(\|lc)|(penalty))" /e /r /s</v>
      </c>
      <c r="AG54" s="1" t="str">
        <f t="shared" si="34"/>
        <v>EC</v>
      </c>
      <c r="AH54" s="88" t="str">
        <f t="shared" si="18"/>
        <v>"%USERPROFILE%\Documents\GitHub\eaglep3\Utilities\RefineRTDCRunTimes.py" --tripid 142-17 --locoid 4028 --swversion DE.1.0.8.0 --startMP 204:233009 --initTime 2017-01-17T09:35:05 --startdatetime 2017-01-17T09:41:24 --delay 1 --endMP 204:139 --enddatetime 2017-01-17T10:19:37 --enforcementcount 0 &gt;&gt;C:\Users\stu\Documents\GitHub\eaglep3-reporting\EC\2017-01-17-refined-times.txt</v>
      </c>
      <c r="AI5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{"issue":{"subject":"","project_id":79,"tracker_id":40,"status_id":1,"priority_id":2,"assigned_to_id":23,"start_date":"2017-01-17","description":"","custom_fields":[{"id":1,"name":"Subdivision","value":"EC"},{"id":4,"name":"Milepost","value":"0.0139"},{"id":17,"name":"Train ID","value":"142-17"},{"id":16,"name":"Locomotive ID","value":"4028"},{"id":130,"name":"Impact","value":""},{"id":150,"name":"Time of Event (Mountain Time)","value":"10:19:37"},{"id":151,"name":"Denver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4028 --day 2017-01-17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558</v>
      </c>
      <c r="B55" s="7">
        <v>4022</v>
      </c>
      <c r="C55" s="22" t="s">
        <v>201</v>
      </c>
      <c r="D55" s="22" t="s">
        <v>220</v>
      </c>
      <c r="E55" s="13">
        <v>42752.371851851851</v>
      </c>
      <c r="F55" s="13">
        <v>42752.375509259262</v>
      </c>
      <c r="G55" s="7">
        <v>1</v>
      </c>
      <c r="H55" s="22" t="s">
        <v>405</v>
      </c>
      <c r="I55" s="13">
        <v>42752.40084490741</v>
      </c>
      <c r="J55" s="7">
        <v>0</v>
      </c>
      <c r="K55" s="105" t="str">
        <f t="shared" si="24"/>
        <v>4021/4022</v>
      </c>
      <c r="L55" s="22" t="str">
        <f>VLOOKUP(A55,'Trips&amp;Operators'!$C$1:$G$99999,5,FALSE)</f>
        <v>SIMMONS SHYHESHA</v>
      </c>
      <c r="M55" s="6">
        <f t="shared" si="25"/>
        <v>2.5335648148029577E-2</v>
      </c>
      <c r="N55" s="7">
        <f t="shared" si="26"/>
        <v>36.483333333162591</v>
      </c>
      <c r="O55" s="7"/>
      <c r="P55" s="7"/>
      <c r="Q55" s="23"/>
      <c r="R55" s="23"/>
      <c r="S55" s="32">
        <f t="shared" si="27"/>
        <v>1</v>
      </c>
      <c r="T55" s="47" t="str">
        <f t="shared" si="28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-17T07:55:28-0700',mode:absolute,to:'2017-01-17T10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49" t="str">
        <f t="shared" si="29"/>
        <v>N</v>
      </c>
      <c r="X55" s="173">
        <f t="shared" si="23"/>
        <v>1</v>
      </c>
      <c r="Y55" s="64">
        <f t="shared" si="30"/>
        <v>4.5499999999999999E-2</v>
      </c>
      <c r="Z55" s="64">
        <f t="shared" si="31"/>
        <v>23.331399999999999</v>
      </c>
      <c r="AA55" s="64">
        <f t="shared" si="32"/>
        <v>23.285899999999998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33"/>
        <v>0143-17</v>
      </c>
      <c r="AE55" s="87" t="str">
        <f t="shared" si="12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55" s="84" t="str">
        <f t="shared" si="13"/>
        <v>"C:\Program Files (x86)\AstroGrep\AstroGrep.exe" /spath="%USERPROFILE%\AppData\Local\Temp\OnboardLogs" /stypes="app*4022*20170117*" /stext=" 16:.+((SYSTEM_STATE.+slice.+state.+changed )|(ment ac)|(multiple cpu faults)|(system.+state.+changed )|(\[timeout)|(PRM\|1\|D)|(kpr)|(kdp)|(\|lc)|(penalty))" /e /r /s</v>
      </c>
      <c r="AG55" s="1" t="str">
        <f t="shared" si="34"/>
        <v>EC</v>
      </c>
      <c r="AH55" s="88" t="str">
        <f t="shared" si="18"/>
        <v>"%USERPROFILE%\Documents\GitHub\eaglep3\Utilities\RefineRTDCRunTimes.py" --tripid 143-17 --locoid 4022 --swversion DE.1.0.8.0 --startMP 204:455 --initTime 2017-01-17T08:55:28 --startdatetime 2017-01-17T09:00:44 --delay 1 --endMP 204:233314 --enddatetime 2017-01-17T09:37:13 --enforcementcount 0 &gt;&gt;C:\Users\stu\Documents\GitHub\eaglep3-reporting\EC\2017-01-17-refined-times.txt</v>
      </c>
      <c r="AI5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{"issue":{"subject":"","project_id":79,"tracker_id":40,"status_id":1,"priority_id":2,"assigned_to_id":23,"start_date":"2017-01-17","description":"","custom_fields":[{"id":1,"name":"Subdivision","value":"EC"},{"id":4,"name":"Milepost","value":"23.3314"},{"id":17,"name":"Train ID","value":"143-17"},{"id":16,"name":"Locomotive ID","value":"4022"},{"id":130,"name":"Impact","value":""},{"id":150,"name":"Time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4022 --day 2017-01-17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566</v>
      </c>
      <c r="B56" s="7">
        <v>4021</v>
      </c>
      <c r="C56" s="22" t="s">
        <v>201</v>
      </c>
      <c r="D56" s="22" t="s">
        <v>278</v>
      </c>
      <c r="E56" s="13">
        <v>42752.411770833336</v>
      </c>
      <c r="F56" s="13">
        <v>42752.414224537039</v>
      </c>
      <c r="G56" s="7">
        <v>1</v>
      </c>
      <c r="H56" s="22" t="s">
        <v>416</v>
      </c>
      <c r="I56" s="13">
        <v>42752.441770833335</v>
      </c>
      <c r="J56" s="7">
        <v>0</v>
      </c>
      <c r="K56" s="105" t="str">
        <f t="shared" si="24"/>
        <v>4021/4022</v>
      </c>
      <c r="L56" s="22" t="str">
        <f>VLOOKUP(A56,'Trips&amp;Operators'!$C$1:$G$99999,5,FALSE)</f>
        <v>SIMMONS SHYHESHA</v>
      </c>
      <c r="M56" s="6">
        <f t="shared" si="25"/>
        <v>2.7546296296350192E-2</v>
      </c>
      <c r="N56" s="7">
        <f t="shared" si="26"/>
        <v>39.666666666744277</v>
      </c>
      <c r="O56" s="7"/>
      <c r="P56" s="7"/>
      <c r="Q56" s="23"/>
      <c r="R56" s="23"/>
      <c r="S56" s="32">
        <f t="shared" si="27"/>
        <v>1</v>
      </c>
      <c r="T56" s="47" t="str">
        <f t="shared" si="28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-17T08:52:57-0700',mode:absolute,to:'2017-01-17T11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49" t="str">
        <f t="shared" si="29"/>
        <v>N</v>
      </c>
      <c r="X56" s="173">
        <f t="shared" si="23"/>
        <v>1</v>
      </c>
      <c r="Y56" s="64">
        <f t="shared" si="30"/>
        <v>23.299399999999999</v>
      </c>
      <c r="Z56" s="64">
        <f t="shared" si="31"/>
        <v>1.7000000000000001E-2</v>
      </c>
      <c r="AA56" s="64">
        <f t="shared" si="32"/>
        <v>23.282399999999999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33"/>
        <v>0144-17</v>
      </c>
      <c r="AE56" s="87" t="str">
        <f t="shared" si="12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56" s="84" t="str">
        <f t="shared" si="13"/>
        <v>"C:\Program Files (x86)\AstroGrep\AstroGrep.exe" /spath="%USERPROFILE%\AppData\Local\Temp\OnboardLogs" /stypes="app*4021*20170117*" /stext=" 17:.+((SYSTEM_STATE.+slice.+state.+changed )|(ment ac)|(multiple cpu faults)|(system.+state.+changed )|(\[timeout)|(PRM\|1\|D)|(kpr)|(kdp)|(\|lc)|(penalty))" /e /r /s</v>
      </c>
      <c r="AG56" s="1" t="str">
        <f t="shared" si="34"/>
        <v>EC</v>
      </c>
      <c r="AH56" s="88" t="str">
        <f t="shared" si="18"/>
        <v>"%USERPROFILE%\Documents\GitHub\eaglep3\Utilities\RefineRTDCRunTimes.py" --tripid 144-17 --locoid 4021 --swversion DE.1.0.8.0 --startMP 204:232994 --initTime 2017-01-17T09:52:57 --startdatetime 2017-01-17T09:56:29 --delay 1 --endMP 204:170 --enddatetime 2017-01-17T10:36:09 --enforcementcount 0 &gt;&gt;C:\Users\stu\Documents\GitHub\eaglep3-reporting\EC\2017-01-17-refined-times.txt</v>
      </c>
      <c r="AI5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{"issue":{"subject":"","project_id":79,"tracker_id":40,"status_id":1,"priority_id":2,"assigned_to_id":23,"start_date":"2017-01-17","description":"","custom_fields":[{"id":1,"name":"Subdivision","value":"EC"},{"id":4,"name":"Milepost","value":"0.017"},{"id":17,"name":"Train ID","value":"144-17"},{"id":16,"name":"Locomotive ID","value":"4021"},{"id":130,"name":"Impact","value":""},{"id":150,"name":"Time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4021 --day 2017-01-17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559</v>
      </c>
      <c r="B57" s="7">
        <v>4007</v>
      </c>
      <c r="C57" s="22" t="s">
        <v>201</v>
      </c>
      <c r="D57" s="22" t="s">
        <v>241</v>
      </c>
      <c r="E57" s="13">
        <v>42752.383321759262</v>
      </c>
      <c r="F57" s="13">
        <v>42752.385601851849</v>
      </c>
      <c r="G57" s="7">
        <v>1</v>
      </c>
      <c r="H57" s="22" t="s">
        <v>414</v>
      </c>
      <c r="I57" s="13">
        <v>42752.417916666665</v>
      </c>
      <c r="J57" s="7">
        <v>0</v>
      </c>
      <c r="K57" s="105" t="str">
        <f t="shared" si="24"/>
        <v>4007/4008</v>
      </c>
      <c r="L57" s="22" t="str">
        <f>VLOOKUP(A57,'Trips&amp;Operators'!$C$1:$G$99999,5,FALSE)</f>
        <v>MAELZER KURT</v>
      </c>
      <c r="M57" s="6">
        <f t="shared" si="25"/>
        <v>3.2314814816345461E-2</v>
      </c>
      <c r="N57" s="7">
        <f t="shared" si="26"/>
        <v>46.533333335537463</v>
      </c>
      <c r="O57" s="7"/>
      <c r="P57" s="7"/>
      <c r="Q57" s="23"/>
      <c r="R57" s="23"/>
      <c r="S57" s="32">
        <f t="shared" si="27"/>
        <v>1</v>
      </c>
      <c r="T57" s="47" t="str">
        <f t="shared" si="28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-17T08:11:59-0700',mode:absolute,to:'2017-01-17T11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7" s="49" t="str">
        <f t="shared" si="29"/>
        <v>N</v>
      </c>
      <c r="X57" s="173">
        <f t="shared" si="23"/>
        <v>1</v>
      </c>
      <c r="Y57" s="64">
        <f t="shared" si="30"/>
        <v>4.6199999999999998E-2</v>
      </c>
      <c r="Z57" s="64">
        <f t="shared" si="31"/>
        <v>23.3307</v>
      </c>
      <c r="AA57" s="64">
        <f t="shared" si="32"/>
        <v>23.284500000000001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33"/>
        <v>0145-17</v>
      </c>
      <c r="AE57" s="87" t="str">
        <f t="shared" si="12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57" s="84" t="str">
        <f t="shared" si="13"/>
        <v>"C:\Program Files (x86)\AstroGrep\AstroGrep.exe" /spath="%USERPROFILE%\AppData\Local\Temp\OnboardLogs" /stypes="app*4007*20170117*" /stext=" 17:.+((SYSTEM_STATE.+slice.+state.+changed )|(ment ac)|(multiple cpu faults)|(system.+state.+changed )|(\[timeout)|(PRM\|1\|D)|(kpr)|(kdp)|(\|lc)|(penalty))" /e /r /s</v>
      </c>
      <c r="AG57" s="1" t="str">
        <f t="shared" si="34"/>
        <v>EC</v>
      </c>
      <c r="AH57" s="88" t="str">
        <f t="shared" si="18"/>
        <v>"%USERPROFILE%\Documents\GitHub\eaglep3\Utilities\RefineRTDCRunTimes.py" --tripid 145-17 --locoid 4007 --swversion DE.1.0.8.0 --startMP 204:462 --initTime 2017-01-17T09:11:59 --startdatetime 2017-01-17T09:15:16 --delay 1 --endMP 204:233307 --enddatetime 2017-01-17T10:01:48 --enforcementcount 0 &gt;&gt;C:\Users\stu\Documents\GitHub\eaglep3-reporting\EC\2017-01-17-refined-times.txt</v>
      </c>
      <c r="AI5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{"issue":{"subject":"","project_id":79,"tracker_id":40,"status_id":1,"priority_id":2,"assigned_to_id":23,"start_date":"2017-01-17","description":"","custom_fields":[{"id":1,"name":"Subdivision","value":"EC"},{"id":4,"name":"Milepost","value":"23.3307"},{"id":17,"name":"Train ID","value":"145-17"},{"id":16,"name":"Locomotive ID","value":"4007"},{"id":130,"name":"Impact","value":""},{"id":150,"name":"Time of Event (Mountain Time)","value":"10:01:48"},{"id":151,"name":"Denver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4007 --day 2017-01-17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465</v>
      </c>
      <c r="B58" s="7">
        <v>4008</v>
      </c>
      <c r="C58" s="22" t="s">
        <v>201</v>
      </c>
      <c r="D58" s="22" t="s">
        <v>406</v>
      </c>
      <c r="E58" s="13">
        <v>42752.423495370371</v>
      </c>
      <c r="F58" s="13">
        <v>42752.424895833334</v>
      </c>
      <c r="G58" s="7">
        <v>1</v>
      </c>
      <c r="H58" s="22" t="s">
        <v>223</v>
      </c>
      <c r="I58" s="13">
        <v>42752.451377314814</v>
      </c>
      <c r="J58" s="7">
        <v>0</v>
      </c>
      <c r="K58" s="105" t="str">
        <f t="shared" si="24"/>
        <v>4007/4008</v>
      </c>
      <c r="L58" s="22" t="str">
        <f>VLOOKUP(A58,'Trips&amp;Operators'!$C$1:$G$99999,5,FALSE)</f>
        <v>MAELZER KURT</v>
      </c>
      <c r="M58" s="6">
        <f t="shared" si="25"/>
        <v>2.6481481480004732E-2</v>
      </c>
      <c r="N58" s="7">
        <f t="shared" si="26"/>
        <v>38.133333331206813</v>
      </c>
      <c r="O58" s="7"/>
      <c r="P58" s="7"/>
      <c r="Q58" s="23"/>
      <c r="R58" s="23"/>
      <c r="S58" s="32">
        <f t="shared" si="27"/>
        <v>1</v>
      </c>
      <c r="T58" s="47" t="str">
        <f t="shared" si="28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-17T09:09:50-0700',mode:absolute,to:'2017-01-17T11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49" t="str">
        <f t="shared" si="29"/>
        <v>N</v>
      </c>
      <c r="X58" s="173">
        <f t="shared" si="23"/>
        <v>1</v>
      </c>
      <c r="Y58" s="64">
        <f t="shared" si="30"/>
        <v>23.3</v>
      </c>
      <c r="Z58" s="64">
        <f t="shared" si="31"/>
        <v>1.4500000000000001E-2</v>
      </c>
      <c r="AA58" s="64">
        <f t="shared" si="32"/>
        <v>23.285499999999999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33"/>
        <v>0146-17</v>
      </c>
      <c r="AE58" s="87" t="str">
        <f t="shared" si="12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58" s="84" t="str">
        <f t="shared" si="13"/>
        <v>"C:\Program Files (x86)\AstroGrep\AstroGrep.exe" /spath="%USERPROFILE%\AppData\Local\Temp\OnboardLogs" /stypes="app*4008*20170117*" /stext=" 17:.+((SYSTEM_STATE.+slice.+state.+changed )|(ment ac)|(multiple cpu faults)|(system.+state.+changed )|(\[timeout)|(PRM\|1\|D)|(kpr)|(kdp)|(\|lc)|(penalty))" /e /r /s</v>
      </c>
      <c r="AG58" s="1" t="str">
        <f t="shared" si="34"/>
        <v>EC</v>
      </c>
      <c r="AH58" s="88" t="str">
        <f t="shared" si="18"/>
        <v>"%USERPROFILE%\Documents\GitHub\eaglep3\Utilities\RefineRTDCRunTimes.py" --tripid 146-17 --locoid 4008 --swversion DE.1.0.8.0 --startMP 204:233000 --initTime 2017-01-17T10:09:50 --startdatetime 2017-01-17T10:11:51 --delay 1 --endMP 204:145 --enddatetime 2017-01-17T10:49:59 --enforcementcount 0 &gt;&gt;C:\Users\stu\Documents\GitHub\eaglep3-reporting\EC\2017-01-17-refined-times.txt</v>
      </c>
      <c r="AI5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{"issue":{"subject":"","project_id":79,"tracker_id":40,"status_id":1,"priority_id":2,"assigned_to_id":23,"start_date":"2017-01-17","description":"","custom_fields":[{"id":1,"name":"Subdivision","value":"EC"},{"id":4,"name":"Milepost","value":"0.0145"},{"id":17,"name":"Train ID","value":"146-17"},{"id":16,"name":"Locomotive ID","value":"4008"},{"id":130,"name":"Impact","value":""},{"id":150,"name":"Time of Event (Mountain Time)","value":"10:49:59"},{"id":151,"name":"Denver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4008 --day 2017-01-17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562</v>
      </c>
      <c r="B59" s="7">
        <v>4002</v>
      </c>
      <c r="C59" s="22" t="s">
        <v>201</v>
      </c>
      <c r="D59" s="22" t="s">
        <v>708</v>
      </c>
      <c r="E59" s="13">
        <v>42752.391828703701</v>
      </c>
      <c r="F59" s="13">
        <v>42752.396018518521</v>
      </c>
      <c r="G59" s="7">
        <v>1</v>
      </c>
      <c r="H59" s="22" t="s">
        <v>263</v>
      </c>
      <c r="I59" s="13">
        <v>42752.421168981484</v>
      </c>
      <c r="J59" s="7">
        <v>0</v>
      </c>
      <c r="K59" s="105" t="str">
        <f t="shared" si="24"/>
        <v>4001/4002</v>
      </c>
      <c r="L59" s="22" t="str">
        <f>VLOOKUP(A59,'Trips&amp;Operators'!$C$1:$G$99999,5,FALSE)</f>
        <v>STARKS ANGELINA</v>
      </c>
      <c r="M59" s="6">
        <f t="shared" si="25"/>
        <v>2.5150462963210884E-2</v>
      </c>
      <c r="N59" s="7">
        <f t="shared" si="26"/>
        <v>36.216666667023674</v>
      </c>
      <c r="O59" s="7"/>
      <c r="P59" s="7"/>
      <c r="Q59" s="23"/>
      <c r="R59" s="23"/>
      <c r="S59" s="32">
        <f t="shared" si="27"/>
        <v>1</v>
      </c>
      <c r="T59" s="47" t="str">
        <f t="shared" si="28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-17T08:24:14-0700',mode:absolute,to:'2017-01-17T11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49" t="str">
        <f t="shared" si="29"/>
        <v>N</v>
      </c>
      <c r="X59" s="173">
        <f t="shared" si="23"/>
        <v>1</v>
      </c>
      <c r="Y59" s="64">
        <f t="shared" si="30"/>
        <v>5.11E-2</v>
      </c>
      <c r="Z59" s="64">
        <f t="shared" si="31"/>
        <v>23.329799999999999</v>
      </c>
      <c r="AA59" s="64">
        <f t="shared" si="32"/>
        <v>23.278699999999997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33"/>
        <v>0147-17</v>
      </c>
      <c r="AE59" s="87" t="str">
        <f t="shared" si="12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59" s="84" t="str">
        <f t="shared" si="13"/>
        <v>"C:\Program Files (x86)\AstroGrep\AstroGrep.exe" /spath="%USERPROFILE%\AppData\Local\Temp\OnboardLogs" /stypes="app*4002*20170117*" /stext=" 17:.+((SYSTEM_STATE.+slice.+state.+changed )|(ment ac)|(multiple cpu faults)|(system.+state.+changed )|(\[timeout)|(PRM\|1\|D)|(kpr)|(kdp)|(\|lc)|(penalty))" /e /r /s</v>
      </c>
      <c r="AG59" s="1" t="str">
        <f t="shared" si="34"/>
        <v>EC</v>
      </c>
      <c r="AH59" s="88" t="str">
        <f t="shared" si="18"/>
        <v>"%USERPROFILE%\Documents\GitHub\eaglep3\Utilities\RefineRTDCRunTimes.py" --tripid 147-17 --locoid 4002 --swversion DE.1.0.8.0 --startMP 204:511 --initTime 2017-01-17T09:24:14 --startdatetime 2017-01-17T09:30:16 --delay 1 --endMP 204:233298 --enddatetime 2017-01-17T10:06:29 --enforcementcount 0 &gt;&gt;C:\Users\stu\Documents\GitHub\eaglep3-reporting\EC\2017-01-17-refined-times.txt</v>
      </c>
      <c r="AI5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{"issue":{"subject":"","project_id":79,"tracker_id":40,"status_id":1,"priority_id":2,"assigned_to_id":23,"start_date":"2017-01-17","description":"","custom_fields":[{"id":1,"name":"Subdivision","value":"EC"},{"id":4,"name":"Milepost","value":"23.3298"},{"id":17,"name":"Train ID","value":"147-17"},{"id":16,"name":"Locomotive ID","value":"4002"},{"id":130,"name":"Impact","value":""},{"id":150,"name":"Time of Event (Mountain Time)","value":"10:06:29"},{"id":151,"name":"Denver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4002 --day 2017-01-17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569</v>
      </c>
      <c r="B60" s="7">
        <v>4001</v>
      </c>
      <c r="C60" s="22" t="s">
        <v>201</v>
      </c>
      <c r="D60" s="22" t="s">
        <v>271</v>
      </c>
      <c r="E60" s="13">
        <v>42752.431157407409</v>
      </c>
      <c r="F60" s="13">
        <v>42752.434930555559</v>
      </c>
      <c r="G60" s="7">
        <v>1</v>
      </c>
      <c r="H60" s="22" t="s">
        <v>206</v>
      </c>
      <c r="I60" s="13">
        <v>42752.462395833332</v>
      </c>
      <c r="J60" s="7">
        <v>0</v>
      </c>
      <c r="K60" s="105" t="str">
        <f t="shared" si="24"/>
        <v>4001/4002</v>
      </c>
      <c r="L60" s="22" t="str">
        <f>VLOOKUP(A60,'Trips&amp;Operators'!$C$1:$G$99999,5,FALSE)</f>
        <v>STARKS ANGELINA</v>
      </c>
      <c r="M60" s="6">
        <f t="shared" si="25"/>
        <v>2.7465277773444541E-2</v>
      </c>
      <c r="N60" s="7">
        <f t="shared" si="26"/>
        <v>39.549999993760139</v>
      </c>
      <c r="O60" s="7"/>
      <c r="P60" s="7"/>
      <c r="Q60" s="23"/>
      <c r="R60" s="23"/>
      <c r="S60" s="32">
        <f t="shared" si="27"/>
        <v>1</v>
      </c>
      <c r="T60" s="47" t="str">
        <f t="shared" si="28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-17T09:20:52-0700',mode:absolute,to:'2017-01-17T12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49" t="str">
        <f t="shared" si="29"/>
        <v>N</v>
      </c>
      <c r="X60" s="173">
        <f t="shared" si="23"/>
        <v>1</v>
      </c>
      <c r="Y60" s="64">
        <f t="shared" si="30"/>
        <v>23.2987</v>
      </c>
      <c r="Z60" s="64">
        <f t="shared" si="31"/>
        <v>1.4999999999999999E-2</v>
      </c>
      <c r="AA60" s="64">
        <f t="shared" si="32"/>
        <v>23.2837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33"/>
        <v>0148-17</v>
      </c>
      <c r="AE60" s="87" t="str">
        <f t="shared" si="12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60" s="84" t="str">
        <f t="shared" si="13"/>
        <v>"C:\Program Files (x86)\AstroGrep\AstroGrep.exe" /spath="%USERPROFILE%\AppData\Local\Temp\OnboardLogs" /stypes="app*4001*20170117*" /stext=" 18:.+((SYSTEM_STATE.+slice.+state.+changed )|(ment ac)|(multiple cpu faults)|(system.+state.+changed )|(\[timeout)|(PRM\|1\|D)|(kpr)|(kdp)|(\|lc)|(penalty))" /e /r /s</v>
      </c>
      <c r="AG60" s="1" t="str">
        <f t="shared" si="34"/>
        <v>EC</v>
      </c>
      <c r="AH60" s="88" t="str">
        <f t="shared" si="18"/>
        <v>"%USERPROFILE%\Documents\GitHub\eaglep3\Utilities\RefineRTDCRunTimes.py" --tripid 148-17 --locoid 4001 --swversion DE.1.0.8.0 --startMP 204:232987 --initTime 2017-01-17T10:20:52 --startdatetime 2017-01-17T10:26:18 --delay 1 --endMP 204:150 --enddatetime 2017-01-17T11:05:51 --enforcementcount 0 &gt;&gt;C:\Users\stu\Documents\GitHub\eaglep3-reporting\EC\2017-01-17-refined-times.txt</v>
      </c>
      <c r="AI6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{"issue":{"subject":"","project_id":79,"tracker_id":40,"status_id":1,"priority_id":2,"assigned_to_id":23,"start_date":"2017-01-17","description":"","custom_fields":[{"id":1,"name":"Subdivision","value":"EC"},{"id":4,"name":"Milepost","value":"0.015"},{"id":17,"name":"Train ID","value":"148-17"},{"id":16,"name":"Locomotive ID","value":"4001"},{"id":130,"name":"Impact","value":""},{"id":150,"name":"Time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4001 --day 2017-01-17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565</v>
      </c>
      <c r="B61" s="7">
        <v>4031</v>
      </c>
      <c r="C61" s="22" t="s">
        <v>201</v>
      </c>
      <c r="D61" s="22" t="s">
        <v>287</v>
      </c>
      <c r="E61" s="13">
        <v>42752.40079861111</v>
      </c>
      <c r="F61" s="13">
        <v>42752.406388888892</v>
      </c>
      <c r="G61" s="7">
        <v>1</v>
      </c>
      <c r="H61" s="22" t="s">
        <v>709</v>
      </c>
      <c r="I61" s="13">
        <v>42752.431122685186</v>
      </c>
      <c r="J61" s="7">
        <v>0</v>
      </c>
      <c r="K61" s="105" t="str">
        <f t="shared" si="24"/>
        <v>4031/4032</v>
      </c>
      <c r="L61" s="22" t="str">
        <f>VLOOKUP(A61,'Trips&amp;Operators'!$C$1:$G$99999,5,FALSE)</f>
        <v>DUNCAN SHEILA</v>
      </c>
      <c r="M61" s="6">
        <f t="shared" si="25"/>
        <v>2.4733796293730848E-2</v>
      </c>
      <c r="N61" s="7">
        <f t="shared" si="26"/>
        <v>35.61666666297242</v>
      </c>
      <c r="O61" s="7"/>
      <c r="P61" s="7"/>
      <c r="Q61" s="23"/>
      <c r="R61" s="23"/>
      <c r="S61" s="32">
        <f t="shared" si="27"/>
        <v>1</v>
      </c>
      <c r="T61" s="47" t="str">
        <f t="shared" si="28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-17T08:37:09-0700',mode:absolute,to:'2017-01-17T11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1" s="49" t="str">
        <f t="shared" si="29"/>
        <v>N</v>
      </c>
      <c r="X61" s="173">
        <f t="shared" si="23"/>
        <v>1</v>
      </c>
      <c r="Y61" s="64">
        <f t="shared" si="30"/>
        <v>4.4200000000000003E-2</v>
      </c>
      <c r="Z61" s="64">
        <f t="shared" si="31"/>
        <v>23.333200000000001</v>
      </c>
      <c r="AA61" s="64">
        <f t="shared" si="32"/>
        <v>23.289000000000001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33"/>
        <v>0149-17</v>
      </c>
      <c r="AE61" s="87" t="str">
        <f t="shared" si="12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61" s="84" t="str">
        <f t="shared" si="13"/>
        <v>"C:\Program Files (x86)\AstroGrep\AstroGrep.exe" /spath="%USERPROFILE%\AppData\Local\Temp\OnboardLogs" /stypes="app*4031*20170117*" /stext=" 17:.+((SYSTEM_STATE.+slice.+state.+changed )|(ment ac)|(multiple cpu faults)|(system.+state.+changed )|(\[timeout)|(PRM\|1\|D)|(kpr)|(kdp)|(\|lc)|(penalty))" /e /r /s</v>
      </c>
      <c r="AG61" s="1" t="str">
        <f t="shared" si="34"/>
        <v>EC</v>
      </c>
      <c r="AH61" s="88" t="str">
        <f t="shared" si="18"/>
        <v>"%USERPROFILE%\Documents\GitHub\eaglep3\Utilities\RefineRTDCRunTimes.py" --tripid 149-17 --locoid 4031 --swversion DE.1.0.8.0 --startMP 204:442 --initTime 2017-01-17T09:37:09 --startdatetime 2017-01-17T09:45:12 --delay 1 --endMP 204:233332 --enddatetime 2017-01-17T10:20:49 --enforcementcount 0 &gt;&gt;C:\Users\stu\Documents\GitHub\eaglep3-reporting\EC\2017-01-17-refined-times.txt</v>
      </c>
      <c r="AI6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{"issue":{"subject":"","project_id":79,"tracker_id":40,"status_id":1,"priority_id":2,"assigned_to_id":23,"start_date":"2017-01-17","description":"","custom_fields":[{"id":1,"name":"Subdivision","value":"EC"},{"id":4,"name":"Milepost","value":"23.3332"},{"id":17,"name":"Train ID","value":"149-17"},{"id":16,"name":"Locomotive ID","value":"4031"},{"id":130,"name":"Impact","value":""},{"id":150,"name":"Time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4031 --day 2017-01-17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574</v>
      </c>
      <c r="B62" s="7">
        <v>4032</v>
      </c>
      <c r="C62" s="22" t="s">
        <v>201</v>
      </c>
      <c r="D62" s="22" t="s">
        <v>407</v>
      </c>
      <c r="E62" s="13">
        <v>42752.435787037037</v>
      </c>
      <c r="F62" s="13">
        <v>42752.4452662037</v>
      </c>
      <c r="G62" s="7">
        <v>1</v>
      </c>
      <c r="H62" s="22" t="s">
        <v>255</v>
      </c>
      <c r="I62" s="13">
        <v>42752.473391203705</v>
      </c>
      <c r="J62" s="7">
        <v>0</v>
      </c>
      <c r="K62" s="105" t="str">
        <f t="shared" si="24"/>
        <v>4031/4032</v>
      </c>
      <c r="L62" s="22" t="str">
        <f>VLOOKUP(A62,'Trips&amp;Operators'!$C$1:$G$99999,5,FALSE)</f>
        <v>DUNCAN SHEILA</v>
      </c>
      <c r="M62" s="6">
        <f t="shared" si="25"/>
        <v>2.8125000004365575E-2</v>
      </c>
      <c r="N62" s="7">
        <f t="shared" si="26"/>
        <v>40.500000006286427</v>
      </c>
      <c r="O62" s="7"/>
      <c r="P62" s="7"/>
      <c r="Q62" s="23"/>
      <c r="R62" s="23"/>
      <c r="S62" s="32">
        <f t="shared" si="27"/>
        <v>1</v>
      </c>
      <c r="T62" s="47" t="str">
        <f t="shared" si="28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-17T09:27:32-0700',mode:absolute,to:'2017-01-17T12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49" t="str">
        <f t="shared" si="29"/>
        <v>N</v>
      </c>
      <c r="X62" s="173">
        <f t="shared" si="23"/>
        <v>1</v>
      </c>
      <c r="Y62" s="64">
        <f t="shared" si="30"/>
        <v>23.300899999999999</v>
      </c>
      <c r="Z62" s="64">
        <f t="shared" si="31"/>
        <v>1.5599999999999999E-2</v>
      </c>
      <c r="AA62" s="64">
        <f t="shared" si="32"/>
        <v>23.285299999999999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33"/>
        <v>0150-17</v>
      </c>
      <c r="AE62" s="87" t="str">
        <f t="shared" si="12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62" s="84" t="str">
        <f t="shared" si="13"/>
        <v>"C:\Program Files (x86)\AstroGrep\AstroGrep.exe" /spath="%USERPROFILE%\AppData\Local\Temp\OnboardLogs" /stypes="app*4032*20170117*" /stext=" 18:.+((SYSTEM_STATE.+slice.+state.+changed )|(ment ac)|(multiple cpu faults)|(system.+state.+changed )|(\[timeout)|(PRM\|1\|D)|(kpr)|(kdp)|(\|lc)|(penalty))" /e /r /s</v>
      </c>
      <c r="AG62" s="1" t="str">
        <f t="shared" si="34"/>
        <v>EC</v>
      </c>
      <c r="AH62" s="88" t="str">
        <f t="shared" si="18"/>
        <v>"%USERPROFILE%\Documents\GitHub\eaglep3\Utilities\RefineRTDCRunTimes.py" --tripid 150-17 --locoid 4032 --swversion DE.1.0.8.0 --startMP 204:233009 --initTime 2017-01-17T10:27:32 --startdatetime 2017-01-17T10:41:11 --delay 1 --endMP 204:156 --enddatetime 2017-01-17T11:21:41 --enforcementcount 0 &gt;&gt;C:\Users\stu\Documents\GitHub\eaglep3-reporting\EC\2017-01-17-refined-times.txt</v>
      </c>
      <c r="AI6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ID","value":"150-17"},{"id":16,"name":"Locomotive ID","value":"4032"},{"id":130,"name":"Impact","value":""},{"id":150,"name":"Time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4032 --day 2017-01-17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464</v>
      </c>
      <c r="B63" s="7">
        <v>4042</v>
      </c>
      <c r="C63" s="22" t="s">
        <v>201</v>
      </c>
      <c r="D63" s="22" t="s">
        <v>269</v>
      </c>
      <c r="E63" s="13">
        <v>42752.412673611114</v>
      </c>
      <c r="F63" s="13">
        <v>42752.416875000003</v>
      </c>
      <c r="G63" s="7">
        <v>2</v>
      </c>
      <c r="H63" s="22" t="s">
        <v>710</v>
      </c>
      <c r="I63" s="13">
        <v>42752.442569444444</v>
      </c>
      <c r="J63" s="7">
        <v>0</v>
      </c>
      <c r="K63" s="105" t="str">
        <f t="shared" si="24"/>
        <v>4041/4042</v>
      </c>
      <c r="L63" s="22" t="str">
        <f>VLOOKUP(A63,'Trips&amp;Operators'!$C$1:$G$99999,5,FALSE)</f>
        <v>COOLAHAN JOHN</v>
      </c>
      <c r="M63" s="6">
        <f t="shared" si="25"/>
        <v>2.569444444088731E-2</v>
      </c>
      <c r="N63" s="7">
        <f t="shared" si="26"/>
        <v>36.999999994877726</v>
      </c>
      <c r="O63" s="7"/>
      <c r="P63" s="7"/>
      <c r="Q63" s="23"/>
      <c r="R63" s="23"/>
      <c r="S63" s="32">
        <f t="shared" si="27"/>
        <v>1</v>
      </c>
      <c r="T63" s="47" t="str">
        <f t="shared" si="28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-17T08:54:15-0700',mode:absolute,to:'2017-01-17T11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49" t="str">
        <f t="shared" si="29"/>
        <v>N</v>
      </c>
      <c r="X63" s="173">
        <f t="shared" si="23"/>
        <v>1</v>
      </c>
      <c r="Y63" s="64">
        <f t="shared" si="30"/>
        <v>4.6899999999999997E-2</v>
      </c>
      <c r="Z63" s="64">
        <f t="shared" si="31"/>
        <v>23.32</v>
      </c>
      <c r="AA63" s="64">
        <f t="shared" si="32"/>
        <v>23.273099999999999</v>
      </c>
      <c r="AB63" s="61" t="str">
        <f>VLOOKUP(A63,Enforcements!$C$7:$K$16,8,0)</f>
        <v>Bulletin (2)</v>
      </c>
      <c r="AC63" s="57" t="str">
        <f>VLOOKUP(A63,Enforcements!$C$7:$E$16,3,0)</f>
        <v>GRADE CROSSING</v>
      </c>
      <c r="AD63" s="58" t="str">
        <f t="shared" si="33"/>
        <v>0151-17</v>
      </c>
      <c r="AE63" s="87" t="str">
        <f t="shared" si="12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63" s="84" t="str">
        <f t="shared" si="13"/>
        <v>"C:\Program Files (x86)\AstroGrep\AstroGrep.exe" /spath="%USERPROFILE%\AppData\Local\Temp\OnboardLogs" /stypes="app*4042*20170117*" /stext=" 17:.+((SYSTEM_STATE.+slice.+state.+changed )|(ment ac)|(multiple cpu faults)|(system.+state.+changed )|(\[timeout)|(PRM\|1\|D)|(kpr)|(kdp)|(\|lc)|(penalty))" /e /r /s</v>
      </c>
      <c r="AG63" s="1" t="str">
        <f t="shared" si="34"/>
        <v>EC</v>
      </c>
      <c r="AH63" s="88" t="str">
        <f t="shared" si="18"/>
        <v>"%USERPROFILE%\Documents\GitHub\eaglep3\Utilities\RefineRTDCRunTimes.py" --tripid 151-17 --locoid 4042 --swversion DE.1.0.8.0 --startMP 204:469 --initTime 2017-01-17T09:54:15 --startdatetime 2017-01-17T10:00:18 --delay 2 --endMP 204:233200 --enddatetime 2017-01-17T10:37:18 --enforcementcount 0 &gt;&gt;C:\Users\stu\Documents\GitHub\eaglep3-reporting\EC\2017-01-17-refined-times.txt</v>
      </c>
      <c r="AI6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{"issue":{"subject":"","project_id":79,"tracker_id":40,"status_id":1,"priority_id":2,"assigned_to_id":23,"start_date":"2017-01-17","description":"","custom_fields":[{"id":1,"name":"Subdivision","value":"EC"},{"id":4,"name":"Milepost","value":"23.32"},{"id":17,"name":"Train ID","value":"151-17"},{"id":16,"name":"Locomotive ID","value":"4042"},{"id":130,"name":"Impact","value":""},{"id":150,"name":"Time of Event (Mountain Time)","value":"10:37:18"},{"id":151,"name":"Denver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4042 --day 2017-01-17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466</v>
      </c>
      <c r="B64" s="7">
        <v>4041</v>
      </c>
      <c r="C64" s="22" t="s">
        <v>201</v>
      </c>
      <c r="D64" s="22" t="s">
        <v>711</v>
      </c>
      <c r="E64" s="13">
        <v>42752.448738425926</v>
      </c>
      <c r="F64" s="13">
        <v>42752.455821759257</v>
      </c>
      <c r="G64" s="7">
        <v>2</v>
      </c>
      <c r="H64" s="22" t="s">
        <v>206</v>
      </c>
      <c r="I64" s="13">
        <v>42752.483171296299</v>
      </c>
      <c r="J64" s="7">
        <v>0</v>
      </c>
      <c r="K64" s="105" t="str">
        <f t="shared" si="24"/>
        <v>4041/4042</v>
      </c>
      <c r="L64" s="22" t="str">
        <f>VLOOKUP(A64,'Trips&amp;Operators'!$C$1:$G$99999,5,FALSE)</f>
        <v>COOLAHAN JOHN</v>
      </c>
      <c r="M64" s="6">
        <f t="shared" si="25"/>
        <v>2.7349537042027805E-2</v>
      </c>
      <c r="N64" s="7">
        <f t="shared" si="26"/>
        <v>39.383333340520039</v>
      </c>
      <c r="O64" s="7"/>
      <c r="P64" s="7"/>
      <c r="Q64" s="23"/>
      <c r="R64" s="23"/>
      <c r="S64" s="32">
        <f t="shared" si="27"/>
        <v>1</v>
      </c>
      <c r="T64" s="47" t="str">
        <f t="shared" si="28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-17T09:46:11-0700',mode:absolute,to:'2017-01-17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49" t="str">
        <f t="shared" si="29"/>
        <v>N</v>
      </c>
      <c r="X64" s="173">
        <f t="shared" si="23"/>
        <v>1</v>
      </c>
      <c r="Y64" s="64">
        <f t="shared" si="30"/>
        <v>23.288499999999999</v>
      </c>
      <c r="Z64" s="64">
        <f t="shared" si="31"/>
        <v>1.4999999999999999E-2</v>
      </c>
      <c r="AA64" s="64">
        <f t="shared" si="32"/>
        <v>23.273499999999999</v>
      </c>
      <c r="AB64" s="61" t="str">
        <f>VLOOKUP(A64,Enforcements!$C$7:$K$16,8,0)</f>
        <v>Bulletin (2)</v>
      </c>
      <c r="AC64" s="57" t="str">
        <f>VLOOKUP(A64,Enforcements!$C$7:$E$16,3,0)</f>
        <v>GRADE CROSSING</v>
      </c>
      <c r="AD64" s="58" t="str">
        <f t="shared" si="33"/>
        <v>0152-17</v>
      </c>
      <c r="AE64" s="87" t="str">
        <f t="shared" si="12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64" s="84" t="str">
        <f t="shared" si="13"/>
        <v>"C:\Program Files (x86)\AstroGrep\AstroGrep.exe" /spath="%USERPROFILE%\AppData\Local\Temp\OnboardLogs" /stypes="app*4041*20170117*" /stext=" 18:.+((SYSTEM_STATE.+slice.+state.+changed )|(ment ac)|(multiple cpu faults)|(system.+state.+changed )|(\[timeout)|(PRM\|1\|D)|(kpr)|(kdp)|(\|lc)|(penalty))" /e /r /s</v>
      </c>
      <c r="AG64" s="1" t="str">
        <f t="shared" si="34"/>
        <v>EC</v>
      </c>
      <c r="AH64" s="88" t="str">
        <f t="shared" si="18"/>
        <v>"%USERPROFILE%\Documents\GitHub\eaglep3\Utilities\RefineRTDCRunTimes.py" --tripid 152-17 --locoid 4041 --swversion DE.1.0.8.0 --startMP 204:232885 --initTime 2017-01-17T10:46:11 --startdatetime 2017-01-17T10:56:23 --delay 2 --endMP 204:150 --enddatetime 2017-01-17T11:35:46 --enforcementcount 0 &gt;&gt;C:\Users\stu\Documents\GitHub\eaglep3-reporting\EC\2017-01-17-refined-times.txt</v>
      </c>
      <c r="AI6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{"issue":{"subject":"","project_id":79,"tracker_id":40,"status_id":1,"priority_id":2,"assigned_to_id":23,"start_date":"2017-01-17","description":"","custom_fields":[{"id":1,"name":"Subdivision","value":"EC"},{"id":4,"name":"Milepost","value":"0.015"},{"id":17,"name":"Train ID","value":"152-17"},{"id":16,"name":"Locomotive ID","value":"4041"},{"id":130,"name":"Impact","value":""},{"id":150,"name":"Time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4041 --day 2017-01-17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567</v>
      </c>
      <c r="B65" s="7">
        <v>4044</v>
      </c>
      <c r="C65" s="22" t="s">
        <v>201</v>
      </c>
      <c r="D65" s="22" t="s">
        <v>220</v>
      </c>
      <c r="E65" s="13">
        <v>42752.42496527778</v>
      </c>
      <c r="F65" s="13">
        <v>42752.427534722221</v>
      </c>
      <c r="G65" s="7">
        <v>1</v>
      </c>
      <c r="H65" s="22" t="s">
        <v>319</v>
      </c>
      <c r="I65" s="13">
        <v>42752.453333333331</v>
      </c>
      <c r="J65" s="7">
        <v>0</v>
      </c>
      <c r="K65" s="105" t="str">
        <f t="shared" si="24"/>
        <v>4043/4044</v>
      </c>
      <c r="L65" s="22" t="str">
        <f>VLOOKUP(A65,'Trips&amp;Operators'!$C$1:$G$99999,5,FALSE)</f>
        <v>LOZA FIDEL</v>
      </c>
      <c r="M65" s="6">
        <f t="shared" si="25"/>
        <v>2.5798611110076308E-2</v>
      </c>
      <c r="N65" s="7">
        <f t="shared" si="26"/>
        <v>37.149999998509884</v>
      </c>
      <c r="O65" s="7"/>
      <c r="P65" s="7"/>
      <c r="Q65" s="23"/>
      <c r="R65" s="23"/>
      <c r="S65" s="32">
        <f t="shared" si="27"/>
        <v>1</v>
      </c>
      <c r="T65" s="47" t="str">
        <f t="shared" si="28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-17T09:11:57-0700',mode:absolute,to:'2017-01-17T11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49" t="str">
        <f t="shared" si="29"/>
        <v>N</v>
      </c>
      <c r="X65" s="173">
        <f t="shared" si="23"/>
        <v>1</v>
      </c>
      <c r="Y65" s="64">
        <f t="shared" si="30"/>
        <v>4.5499999999999999E-2</v>
      </c>
      <c r="Z65" s="64">
        <f t="shared" si="31"/>
        <v>23.329499999999999</v>
      </c>
      <c r="AA65" s="64">
        <f t="shared" si="32"/>
        <v>23.283999999999999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33"/>
        <v>0153-17</v>
      </c>
      <c r="AE65" s="87" t="str">
        <f t="shared" si="12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65" s="84" t="str">
        <f t="shared" si="13"/>
        <v>"C:\Program Files (x86)\AstroGrep\AstroGrep.exe" /spath="%USERPROFILE%\AppData\Local\Temp\OnboardLogs" /stypes="app*4044*20170117*" /stext=" 17:.+((SYSTEM_STATE.+slice.+state.+changed )|(ment ac)|(multiple cpu faults)|(system.+state.+changed )|(\[timeout)|(PRM\|1\|D)|(kpr)|(kdp)|(\|lc)|(penalty))" /e /r /s</v>
      </c>
      <c r="AG65" s="1" t="str">
        <f t="shared" si="34"/>
        <v>EC</v>
      </c>
      <c r="AH65" s="88" t="str">
        <f t="shared" si="18"/>
        <v>"%USERPROFILE%\Documents\GitHub\eaglep3\Utilities\RefineRTDCRunTimes.py" --tripid 153-17 --locoid 4044 --swversion DE.1.0.8.0 --startMP 204:455 --initTime 2017-01-17T10:11:57 --startdatetime 2017-01-17T10:15:39 --delay 1 --endMP 204:233295 --enddatetime 2017-01-17T10:52:48 --enforcementcount 0 &gt;&gt;C:\Users\stu\Documents\GitHub\eaglep3-reporting\EC\2017-01-17-refined-times.txt</v>
      </c>
      <c r="AI6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{"issue":{"subject":"","project_id":79,"tracker_id":40,"status_id":1,"priority_id":2,"assigned_to_id":23,"start_date":"2017-01-17","description":"","custom_fields":[{"id":1,"name":"Subdivision","value":"EC"},{"id":4,"name":"Milepost","value":"23.3295"},{"id":17,"name":"Train ID","value":"153-17"},{"id":16,"name":"Locomotive ID","value":"4044"},{"id":130,"name":"Impact","value":""},{"id":150,"name":"Time of Event (Mountain Time)","value":"10:52:48"},{"id":151,"name":"Denver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4044 --day 2017-01-17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578</v>
      </c>
      <c r="B66" s="7">
        <v>4043</v>
      </c>
      <c r="C66" s="22" t="s">
        <v>201</v>
      </c>
      <c r="D66" s="22" t="s">
        <v>345</v>
      </c>
      <c r="E66" s="13">
        <v>42752.462604166663</v>
      </c>
      <c r="F66" s="13">
        <v>42752.466273148151</v>
      </c>
      <c r="G66" s="7">
        <v>1</v>
      </c>
      <c r="H66" s="22" t="s">
        <v>191</v>
      </c>
      <c r="I66" s="13">
        <v>42752.493344907409</v>
      </c>
      <c r="J66" s="7">
        <v>0</v>
      </c>
      <c r="K66" s="105" t="str">
        <f t="shared" si="24"/>
        <v>4043/4044</v>
      </c>
      <c r="L66" s="22" t="str">
        <f>VLOOKUP(A66,'Trips&amp;Operators'!$C$1:$G$99999,5,FALSE)</f>
        <v>LOZA FIDEL</v>
      </c>
      <c r="M66" s="6">
        <f t="shared" si="25"/>
        <v>2.7071759257523809E-2</v>
      </c>
      <c r="N66" s="7">
        <f t="shared" si="26"/>
        <v>38.983333330834284</v>
      </c>
      <c r="O66" s="7"/>
      <c r="P66" s="7"/>
      <c r="Q66" s="23"/>
      <c r="R66" s="23"/>
      <c r="S66" s="32">
        <f t="shared" si="27"/>
        <v>1</v>
      </c>
      <c r="T66" s="47" t="str">
        <f t="shared" si="28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-17T10:06:09-0700',mode:absolute,to:'2017-01-17T12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49" t="str">
        <f t="shared" si="29"/>
        <v>N</v>
      </c>
      <c r="X66" s="173">
        <f t="shared" si="23"/>
        <v>1</v>
      </c>
      <c r="Y66" s="64">
        <f t="shared" si="30"/>
        <v>23.297799999999999</v>
      </c>
      <c r="Z66" s="64">
        <f t="shared" si="31"/>
        <v>1.49E-2</v>
      </c>
      <c r="AA66" s="64">
        <f t="shared" si="32"/>
        <v>23.282899999999998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33"/>
        <v>0154-17</v>
      </c>
      <c r="AE66" s="87" t="str">
        <f t="shared" si="12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66" s="84" t="str">
        <f t="shared" si="13"/>
        <v>"C:\Program Files (x86)\AstroGrep\AstroGrep.exe" /spath="%USERPROFILE%\AppData\Local\Temp\OnboardLogs" /stypes="app*4043*20170117*" /stext=" 18:.+((SYSTEM_STATE.+slice.+state.+changed )|(ment ac)|(multiple cpu faults)|(system.+state.+changed )|(\[timeout)|(PRM\|1\|D)|(kpr)|(kdp)|(\|lc)|(penalty))" /e /r /s</v>
      </c>
      <c r="AG66" s="1" t="str">
        <f t="shared" si="34"/>
        <v>EC</v>
      </c>
      <c r="AH66" s="88" t="str">
        <f t="shared" si="18"/>
        <v>"%USERPROFILE%\Documents\GitHub\eaglep3\Utilities\RefineRTDCRunTimes.py" --tripid 154-17 --locoid 4043 --swversion DE.1.0.8.0 --startMP 204:232978 --initTime 2017-01-17T11:06:09 --startdatetime 2017-01-17T11:11:26 --delay 1 --endMP 204:149 --enddatetime 2017-01-17T11:50:25 --enforcementcount 0 &gt;&gt;C:\Users\stu\Documents\GitHub\eaglep3-reporting\EC\2017-01-17-refined-times.txt</v>
      </c>
      <c r="AI66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{"issue":{"subject":"","project_id":79,"tracker_id":40,"status_id":1,"priority_id":2,"assigned_to_id":23,"start_date":"2017-01-17","description":"","custom_fields":[{"id":1,"name":"Subdivision","value":"EC"},{"id":4,"name":"Milepost","value":"0.0149"},{"id":17,"name":"Train ID","value":"154-17"},{"id":16,"name":"Locomotive ID","value":"4043"},{"id":130,"name":"Impact","value":""},{"id":150,"name":"Time of Event (Mountain Time)","value":"11:50:25"},{"id":151,"name":"Denver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4043 --day 2017-01-17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570</v>
      </c>
      <c r="B67" s="7">
        <v>4027</v>
      </c>
      <c r="C67" s="22" t="s">
        <v>201</v>
      </c>
      <c r="D67" s="22" t="s">
        <v>409</v>
      </c>
      <c r="E67" s="13">
        <v>42752.434988425928</v>
      </c>
      <c r="F67" s="13">
        <v>42752.437696759262</v>
      </c>
      <c r="G67" s="7">
        <v>1</v>
      </c>
      <c r="H67" s="22" t="s">
        <v>321</v>
      </c>
      <c r="I67" s="13">
        <v>42752.46230324074</v>
      </c>
      <c r="J67" s="7">
        <v>0</v>
      </c>
      <c r="K67" s="105" t="str">
        <f t="shared" si="24"/>
        <v>4027/4028</v>
      </c>
      <c r="L67" s="22" t="str">
        <f>VLOOKUP(A67,'Trips&amp;Operators'!$C$1:$G$99999,5,FALSE)</f>
        <v>YORK EDGAR</v>
      </c>
      <c r="M67" s="6">
        <f t="shared" si="25"/>
        <v>2.4606481478258502E-2</v>
      </c>
      <c r="N67" s="7">
        <f t="shared" si="26"/>
        <v>35.433333328692243</v>
      </c>
      <c r="O67" s="7"/>
      <c r="P67" s="7"/>
      <c r="Q67" s="23"/>
      <c r="R67" s="23"/>
      <c r="S67" s="32">
        <f t="shared" si="27"/>
        <v>1</v>
      </c>
      <c r="T67" s="47" t="str">
        <f t="shared" si="28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-17T09:26:23-0700',mode:absolute,to:'2017-01-17T12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49" t="str">
        <f t="shared" si="29"/>
        <v>N</v>
      </c>
      <c r="X67" s="173">
        <f t="shared" si="23"/>
        <v>1</v>
      </c>
      <c r="Y67" s="64">
        <f t="shared" si="30"/>
        <v>4.6699999999999998E-2</v>
      </c>
      <c r="Z67" s="64">
        <f t="shared" si="31"/>
        <v>23.330200000000001</v>
      </c>
      <c r="AA67" s="64">
        <f t="shared" si="32"/>
        <v>23.2835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33"/>
        <v>0155-17</v>
      </c>
      <c r="AE67" s="87" t="str">
        <f t="shared" si="12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67" s="84" t="str">
        <f t="shared" si="13"/>
        <v>"C:\Program Files (x86)\AstroGrep\AstroGrep.exe" /spath="%USERPROFILE%\AppData\Local\Temp\OnboardLogs" /stypes="app*4027*20170117*" /stext=" 18:.+((SYSTEM_STATE.+slice.+state.+changed )|(ment ac)|(multiple cpu faults)|(system.+state.+changed )|(\[timeout)|(PRM\|1\|D)|(kpr)|(kdp)|(\|lc)|(penalty))" /e /r /s</v>
      </c>
      <c r="AG67" s="1" t="str">
        <f t="shared" si="34"/>
        <v>EC</v>
      </c>
      <c r="AH67" s="88" t="str">
        <f t="shared" si="18"/>
        <v>"%USERPROFILE%\Documents\GitHub\eaglep3\Utilities\RefineRTDCRunTimes.py" --tripid 155-17 --locoid 4027 --swversion DE.1.0.8.0 --startMP 204:467 --initTime 2017-01-17T10:26:23 --startdatetime 2017-01-17T10:30:17 --delay 1 --endMP 204:233302 --enddatetime 2017-01-17T11:05:43 --enforcementcount 0 &gt;&gt;C:\Users\stu\Documents\GitHub\eaglep3-reporting\EC\2017-01-17-refined-times.txt</v>
      </c>
      <c r="AI67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{"issue":{"subject":"","project_id":79,"tracker_id":40,"status_id":1,"priority_id":2,"assigned_to_id":23,"start_date":"2017-01-17","description":"","custom_fields":[{"id":1,"name":"Subdivision","value":"EC"},{"id":4,"name":"Milepost","value":"23.3302"},{"id":17,"name":"Train ID","value":"155-17"},{"id":16,"name":"Locomotive ID","value":"4027"},{"id":130,"name":"Impact","value":""},{"id":150,"name":"Time of Event (Mountain Time)","value":"11:05:43"},{"id":151,"name":"Denver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4027 --day 2017-01-17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579</v>
      </c>
      <c r="B68" s="7">
        <v>4028</v>
      </c>
      <c r="C68" s="22" t="s">
        <v>201</v>
      </c>
      <c r="D68" s="22" t="s">
        <v>262</v>
      </c>
      <c r="E68" s="13">
        <v>42752.463206018518</v>
      </c>
      <c r="F68" s="13">
        <v>42752.477129629631</v>
      </c>
      <c r="G68" s="7">
        <v>0</v>
      </c>
      <c r="H68" s="22" t="s">
        <v>416</v>
      </c>
      <c r="I68" s="13">
        <v>42752.503298611111</v>
      </c>
      <c r="J68" s="7">
        <v>0</v>
      </c>
      <c r="K68" s="105" t="str">
        <f t="shared" si="24"/>
        <v>4027/4028</v>
      </c>
      <c r="L68" s="22" t="str">
        <f>VLOOKUP(A68,'Trips&amp;Operators'!$C$1:$G$99999,5,FALSE)</f>
        <v>YORK EDGAR</v>
      </c>
      <c r="M68" s="6">
        <f t="shared" si="25"/>
        <v>2.6168981479713693E-2</v>
      </c>
      <c r="N68" s="7">
        <f t="shared" si="26"/>
        <v>37.683333330787718</v>
      </c>
      <c r="O68" s="7"/>
      <c r="P68" s="7"/>
      <c r="Q68" s="23"/>
      <c r="R68" s="23"/>
      <c r="S68" s="32">
        <f t="shared" si="27"/>
        <v>1</v>
      </c>
      <c r="T68" s="47" t="str">
        <f t="shared" si="28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-17T10:07:01-0700',mode:absolute,to:'2017-01-17T13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49" t="str">
        <f t="shared" si="29"/>
        <v>N</v>
      </c>
      <c r="X68" s="173">
        <f t="shared" si="23"/>
        <v>1</v>
      </c>
      <c r="Y68" s="64">
        <f t="shared" si="30"/>
        <v>23.298300000000001</v>
      </c>
      <c r="Z68" s="64">
        <f t="shared" si="31"/>
        <v>1.7000000000000001E-2</v>
      </c>
      <c r="AA68" s="64">
        <f t="shared" si="32"/>
        <v>23.281300000000002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33"/>
        <v>0156-17</v>
      </c>
      <c r="AE68" s="87" t="str">
        <f t="shared" si="12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68" s="84" t="str">
        <f t="shared" si="13"/>
        <v>"C:\Program Files (x86)\AstroGrep\AstroGrep.exe" /spath="%USERPROFILE%\AppData\Local\Temp\OnboardLogs" /stypes="app*4028*20170117*" /stext=" 19:.+((SYSTEM_STATE.+slice.+state.+changed )|(ment ac)|(multiple cpu faults)|(system.+state.+changed )|(\[timeout)|(PRM\|1\|D)|(kpr)|(kdp)|(\|lc)|(penalty))" /e /r /s</v>
      </c>
      <c r="AG68" s="1" t="str">
        <f t="shared" si="34"/>
        <v>EC</v>
      </c>
      <c r="AH68" s="88" t="str">
        <f t="shared" si="18"/>
        <v>"%USERPROFILE%\Documents\GitHub\eaglep3\Utilities\RefineRTDCRunTimes.py" --tripid 156-17 --locoid 4028 --swversion DE.1.0.8.0 --startMP 204:232983 --initTime 2017-01-17T11:07:01 --startdatetime 2017-01-17T11:27:04 --delay 0 --endMP 204:170 --enddatetime 2017-01-17T12:04:45 --enforcementcount 0 &gt;&gt;C:\Users\stu\Documents\GitHub\eaglep3-reporting\EC\2017-01-17-refined-times.txt</v>
      </c>
      <c r="AI68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{"issue":{"subject":"","project_id":79,"tracker_id":40,"status_id":1,"priority_id":2,"assigned_to_id":23,"start_date":"2017-01-17","description":"","custom_fields":[{"id":1,"name":"Subdivision","value":"EC"},{"id":4,"name":"Milepost","value":"0.017"},{"id":17,"name":"Train ID","value":"156-17"},{"id":16,"name":"Locomotive ID","value":"4028"},{"id":130,"name":"Impact","value":""},{"id":150,"name":"Time of Event (Mountain Time)","value":"12:04:45"},{"id":151,"name":"Denver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4028 --day 2017-01-17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576</v>
      </c>
      <c r="B69" s="7">
        <v>4022</v>
      </c>
      <c r="C69" s="22" t="s">
        <v>201</v>
      </c>
      <c r="D69" s="22" t="s">
        <v>322</v>
      </c>
      <c r="E69" s="13">
        <v>42752.44462962963</v>
      </c>
      <c r="F69" s="13">
        <v>42752.448634259257</v>
      </c>
      <c r="G69" s="7">
        <v>1</v>
      </c>
      <c r="H69" s="22" t="s">
        <v>414</v>
      </c>
      <c r="I69" s="13">
        <v>42752.472453703704</v>
      </c>
      <c r="J69" s="7">
        <v>0</v>
      </c>
      <c r="K69" s="105" t="str">
        <f t="shared" si="24"/>
        <v>4021/4022</v>
      </c>
      <c r="L69" s="22" t="str">
        <f>VLOOKUP(A69,'Trips&amp;Operators'!$C$1:$G$99999,5,FALSE)</f>
        <v>BEAM ROSS</v>
      </c>
      <c r="M69" s="6">
        <f t="shared" si="25"/>
        <v>2.3819444446417037E-2</v>
      </c>
      <c r="N69" s="7">
        <f t="shared" si="26"/>
        <v>34.300000002840534</v>
      </c>
      <c r="O69" s="7"/>
      <c r="P69" s="7"/>
      <c r="Q69" s="23"/>
      <c r="R69" s="23"/>
      <c r="S69" s="32">
        <f t="shared" si="27"/>
        <v>1</v>
      </c>
      <c r="T69" s="47" t="str">
        <f t="shared" si="28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-17T09:40:16-0700',mode:absolute,to:'2017-01-17T12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49" t="str">
        <f t="shared" si="29"/>
        <v>N</v>
      </c>
      <c r="X69" s="173">
        <f t="shared" si="23"/>
        <v>1</v>
      </c>
      <c r="Y69" s="64">
        <f t="shared" si="30"/>
        <v>4.7300000000000002E-2</v>
      </c>
      <c r="Z69" s="64">
        <f t="shared" si="31"/>
        <v>23.3307</v>
      </c>
      <c r="AA69" s="64">
        <f t="shared" si="32"/>
        <v>23.2834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33"/>
        <v>0157-17</v>
      </c>
      <c r="AE69" s="87" t="str">
        <f t="shared" si="12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69" s="84" t="str">
        <f t="shared" si="13"/>
        <v>"C:\Program Files (x86)\AstroGrep\AstroGrep.exe" /spath="%USERPROFILE%\AppData\Local\Temp\OnboardLogs" /stypes="app*4022*20170117*" /stext=" 18:.+((SYSTEM_STATE.+slice.+state.+changed )|(ment ac)|(multiple cpu faults)|(system.+state.+changed )|(\[timeout)|(PRM\|1\|D)|(kpr)|(kdp)|(\|lc)|(penalty))" /e /r /s</v>
      </c>
      <c r="AG69" s="1" t="str">
        <f t="shared" si="34"/>
        <v>EC</v>
      </c>
      <c r="AH69" s="88" t="str">
        <f t="shared" si="18"/>
        <v>"%USERPROFILE%\Documents\GitHub\eaglep3\Utilities\RefineRTDCRunTimes.py" --tripid 157-17 --locoid 4022 --swversion DE.1.0.8.0 --startMP 204:473 --initTime 2017-01-17T10:40:16 --startdatetime 2017-01-17T10:46:02 --delay 1 --endMP 204:233307 --enddatetime 2017-01-17T11:20:20 --enforcementcount 0 &gt;&gt;C:\Users\stu\Documents\GitHub\eaglep3-reporting\EC\2017-01-17-refined-times.txt</v>
      </c>
      <c r="AI69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{"issue":{"subject":"","project_id":79,"tracker_id":40,"status_id":1,"priority_id":2,"assigned_to_id":23,"start_date":"2017-01-17","description":"","custom_fields":[{"id":1,"name":"Subdivision","value":"EC"},{"id":4,"name":"Milepost","value":"23.3307"},{"id":17,"name":"Train ID","value":"157-17"},{"id":16,"name":"Locomotive ID","value":"4022"},{"id":130,"name":"Impact","value":""},{"id":150,"name":"Time of Event (Mountain Time)","value":"11:20:20"},{"id":151,"name":"Denver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4022 --day 2017-01-17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585</v>
      </c>
      <c r="B70" s="7">
        <v>4021</v>
      </c>
      <c r="C70" s="22" t="s">
        <v>201</v>
      </c>
      <c r="D70" s="22" t="s">
        <v>277</v>
      </c>
      <c r="E70" s="13">
        <v>42752.474317129629</v>
      </c>
      <c r="F70" s="13">
        <v>42752.487083333333</v>
      </c>
      <c r="G70" s="7">
        <v>2</v>
      </c>
      <c r="H70" s="22" t="s">
        <v>317</v>
      </c>
      <c r="I70" s="13">
        <v>42752.51290509259</v>
      </c>
      <c r="J70" s="7">
        <v>0</v>
      </c>
      <c r="K70" s="105" t="str">
        <f t="shared" si="24"/>
        <v>4021/4022</v>
      </c>
      <c r="L70" s="22" t="str">
        <f>VLOOKUP(A70,'Trips&amp;Operators'!$C$1:$G$99999,5,FALSE)</f>
        <v>SANTIZO D. EDY</v>
      </c>
      <c r="M70" s="6">
        <f t="shared" si="25"/>
        <v>2.5821759256359655E-2</v>
      </c>
      <c r="N70" s="7">
        <f t="shared" si="26"/>
        <v>37.183333329157904</v>
      </c>
      <c r="O70" s="7"/>
      <c r="P70" s="7"/>
      <c r="Q70" s="23"/>
      <c r="R70" s="23"/>
      <c r="S70" s="32">
        <f t="shared" si="27"/>
        <v>1</v>
      </c>
      <c r="T70" s="47" t="str">
        <f t="shared" si="28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-17T10:23:01-0700',mode:absolute,to:'2017-01-17T13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49" t="str">
        <f t="shared" si="29"/>
        <v>N</v>
      </c>
      <c r="X70" s="173">
        <f t="shared" si="23"/>
        <v>1</v>
      </c>
      <c r="Y70" s="64">
        <f t="shared" si="30"/>
        <v>23.296900000000001</v>
      </c>
      <c r="Z70" s="64">
        <f t="shared" si="31"/>
        <v>1.43E-2</v>
      </c>
      <c r="AA70" s="64">
        <f t="shared" si="32"/>
        <v>23.282600000000002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33"/>
        <v>0158-17</v>
      </c>
      <c r="AE70" s="87" t="str">
        <f t="shared" si="12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70" s="84" t="str">
        <f t="shared" si="13"/>
        <v>"C:\Program Files (x86)\AstroGrep\AstroGrep.exe" /spath="%USERPROFILE%\AppData\Local\Temp\OnboardLogs" /stypes="app*4021*20170117*" /stext=" 19:.+((SYSTEM_STATE.+slice.+state.+changed )|(ment ac)|(multiple cpu faults)|(system.+state.+changed )|(\[timeout)|(PRM\|1\|D)|(kpr)|(kdp)|(\|lc)|(penalty))" /e /r /s</v>
      </c>
      <c r="AG70" s="1" t="str">
        <f t="shared" si="34"/>
        <v>EC</v>
      </c>
      <c r="AH70" s="88" t="str">
        <f t="shared" si="18"/>
        <v>"%USERPROFILE%\Documents\GitHub\eaglep3\Utilities\RefineRTDCRunTimes.py" --tripid 158-17 --locoid 4021 --swversion DE.1.0.8.0 --startMP 204:232969 --initTime 2017-01-17T11:23:01 --startdatetime 2017-01-17T11:41:24 --delay 2 --endMP 204:143 --enddatetime 2017-01-17T12:18:35 --enforcementcount 0 &gt;&gt;C:\Users\stu\Documents\GitHub\eaglep3-reporting\EC\2017-01-17-refined-times.txt</v>
      </c>
      <c r="AI70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{"issue":{"subject":"","project_id":79,"tracker_id":40,"status_id":1,"priority_id":2,"assigned_to_id":23,"start_date":"2017-01-17","description":"","custom_fields":[{"id":1,"name":"Subdivision","value":"EC"},{"id":4,"name":"Milepost","value":"0.0143"},{"id":17,"name":"Train ID","value":"158-17"},{"id":16,"name":"Locomotive ID","value":"4021"},{"id":130,"name":"Impact","value":""},{"id":150,"name":"Time of Event (Mountain Time)","value":"12:18:35"},{"id":151,"name":"Denver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4021 --day 2017-01-17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577</v>
      </c>
      <c r="B71" s="7">
        <v>4007</v>
      </c>
      <c r="C71" s="22" t="s">
        <v>201</v>
      </c>
      <c r="D71" s="22" t="s">
        <v>326</v>
      </c>
      <c r="E71" s="13">
        <v>42752.453773148147</v>
      </c>
      <c r="F71" s="13">
        <v>42752.458657407406</v>
      </c>
      <c r="G71" s="7">
        <v>2</v>
      </c>
      <c r="H71" s="22" t="s">
        <v>712</v>
      </c>
      <c r="I71" s="13">
        <v>42752.485810185186</v>
      </c>
      <c r="J71" s="7">
        <v>0</v>
      </c>
      <c r="K71" s="105" t="str">
        <f t="shared" si="24"/>
        <v>4007/4008</v>
      </c>
      <c r="L71" s="22" t="str">
        <f>VLOOKUP(A71,'Trips&amp;Operators'!$C$1:$G$99999,5,FALSE)</f>
        <v>DAVIS MICHAEL</v>
      </c>
      <c r="M71" s="6">
        <f t="shared" si="25"/>
        <v>2.715277778042946E-2</v>
      </c>
      <c r="N71" s="7">
        <f t="shared" si="26"/>
        <v>39.100000003818423</v>
      </c>
      <c r="O71" s="7"/>
      <c r="P71" s="7"/>
      <c r="Q71" s="23"/>
      <c r="R71" s="23"/>
      <c r="S71" s="32">
        <f t="shared" si="27"/>
        <v>1</v>
      </c>
      <c r="T71" s="47" t="str">
        <f t="shared" si="28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-17T09:53:26-0700',mode:absolute,to:'2017-01-17T12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49" t="str">
        <f t="shared" si="29"/>
        <v>N</v>
      </c>
      <c r="X71" s="173">
        <f t="shared" si="23"/>
        <v>1</v>
      </c>
      <c r="Y71" s="64">
        <f t="shared" si="30"/>
        <v>4.3999999999999997E-2</v>
      </c>
      <c r="Z71" s="64">
        <f t="shared" si="31"/>
        <v>23.328299999999999</v>
      </c>
      <c r="AA71" s="64">
        <f t="shared" si="32"/>
        <v>23.284299999999998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33"/>
        <v>0159-17</v>
      </c>
      <c r="AE71" s="87" t="str">
        <f t="shared" si="12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71" s="84" t="str">
        <f t="shared" si="13"/>
        <v>"C:\Program Files (x86)\AstroGrep\AstroGrep.exe" /spath="%USERPROFILE%\AppData\Local\Temp\OnboardLogs" /stypes="app*4007*20170117*" /stext=" 18:.+((SYSTEM_STATE.+slice.+state.+changed )|(ment ac)|(multiple cpu faults)|(system.+state.+changed )|(\[timeout)|(PRM\|1\|D)|(kpr)|(kdp)|(\|lc)|(penalty))" /e /r /s</v>
      </c>
      <c r="AG71" s="1" t="str">
        <f t="shared" si="34"/>
        <v>EC</v>
      </c>
      <c r="AH71" s="88" t="str">
        <f t="shared" si="18"/>
        <v>"%USERPROFILE%\Documents\GitHub\eaglep3\Utilities\RefineRTDCRunTimes.py" --tripid 159-17 --locoid 4007 --swversion DE.1.0.8.0 --startMP 204:440 --initTime 2017-01-17T10:53:26 --startdatetime 2017-01-17T11:00:28 --delay 2 --endMP 204:233283 --enddatetime 2017-01-17T11:39:34 --enforcementcount 0 &gt;&gt;C:\Users\stu\Documents\GitHub\eaglep3-reporting\EC\2017-01-17-refined-times.txt</v>
      </c>
      <c r="AI71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{"issue":{"subject":"","project_id":79,"tracker_id":40,"status_id":1,"priority_id":2,"assigned_to_id":23,"start_date":"2017-01-17","description":"","custom_fields":[{"id":1,"name":"Subdivision","value":"EC"},{"id":4,"name":"Milepost","value":"23.3283"},{"id":17,"name":"Train ID","value":"159-17"},{"id":16,"name":"Locomotive ID","value":"4007"},{"id":130,"name":"Impact","value":""},{"id":150,"name":"Time of Event (Mountain Time)","value":"11:39:34"},{"id":151,"name":"Denver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4007 --day 2017-01-17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590</v>
      </c>
      <c r="B72" s="7">
        <v>4008</v>
      </c>
      <c r="C72" s="22" t="s">
        <v>201</v>
      </c>
      <c r="D72" s="22" t="s">
        <v>358</v>
      </c>
      <c r="E72" s="13">
        <v>42752.493842592594</v>
      </c>
      <c r="F72" s="13">
        <v>42752.497569444444</v>
      </c>
      <c r="G72" s="7">
        <v>1</v>
      </c>
      <c r="H72" s="22" t="s">
        <v>713</v>
      </c>
      <c r="I72" s="13">
        <v>42752.525717592594</v>
      </c>
      <c r="J72" s="7">
        <v>0</v>
      </c>
      <c r="K72" s="105" t="str">
        <f t="shared" si="24"/>
        <v>4007/4008</v>
      </c>
      <c r="L72" s="22" t="str">
        <f>VLOOKUP(A72,'Trips&amp;Operators'!$C$1:$G$99999,5,FALSE)</f>
        <v>DAVIS MICHAEL</v>
      </c>
      <c r="M72" s="6">
        <f t="shared" si="25"/>
        <v>2.8148148150648922E-2</v>
      </c>
      <c r="N72" s="7">
        <f t="shared" si="26"/>
        <v>40.533333336934447</v>
      </c>
      <c r="O72" s="7"/>
      <c r="P72" s="7"/>
      <c r="Q72" s="23"/>
      <c r="R72" s="23"/>
      <c r="S72" s="32">
        <f t="shared" si="27"/>
        <v>1</v>
      </c>
      <c r="T72" s="47" t="str">
        <f t="shared" si="28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-17T10:51:08-0700',mode:absolute,to:'2017-01-17T13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49" t="str">
        <f t="shared" si="29"/>
        <v>N</v>
      </c>
      <c r="X72" s="173">
        <f t="shared" si="23"/>
        <v>1</v>
      </c>
      <c r="Y72" s="64">
        <f t="shared" si="30"/>
        <v>23.297000000000001</v>
      </c>
      <c r="Z72" s="64">
        <f t="shared" si="31"/>
        <v>1.8100000000000002E-2</v>
      </c>
      <c r="AA72" s="64">
        <f t="shared" si="32"/>
        <v>23.2789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33"/>
        <v>0160-17</v>
      </c>
      <c r="AE72" s="87" t="str">
        <f t="shared" si="12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72" s="84" t="str">
        <f t="shared" si="13"/>
        <v>"C:\Program Files (x86)\AstroGrep\AstroGrep.exe" /spath="%USERPROFILE%\AppData\Local\Temp\OnboardLogs" /stypes="app*4008*20170117*" /stext=" 19:.+((SYSTEM_STATE.+slice.+state.+changed )|(ment ac)|(multiple cpu faults)|(system.+state.+changed )|(\[timeout)|(PRM\|1\|D)|(kpr)|(kdp)|(\|lc)|(penalty))" /e /r /s</v>
      </c>
      <c r="AG72" s="1" t="str">
        <f t="shared" si="34"/>
        <v>EC</v>
      </c>
      <c r="AH72" s="88" t="str">
        <f t="shared" si="18"/>
        <v>"%USERPROFILE%\Documents\GitHub\eaglep3\Utilities\RefineRTDCRunTimes.py" --tripid 160-17 --locoid 4008 --swversion DE.1.0.8.0 --startMP 204:232970 --initTime 2017-01-17T11:51:08 --startdatetime 2017-01-17T11:56:30 --delay 1 --endMP 204:181 --enddatetime 2017-01-17T12:37:02 --enforcementcount 0 &gt;&gt;C:\Users\stu\Documents\GitHub\eaglep3-reporting\EC\2017-01-17-refined-times.txt</v>
      </c>
      <c r="AI72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{"issue":{"subject":"","project_id":79,"tracker_id":40,"status_id":1,"priority_id":2,"assigned_to_id":23,"start_date":"2017-01-17","description":"","custom_fields":[{"id":1,"name":"Subdivision","value":"EC"},{"id":4,"name":"Milepost","value":"0.0181"},{"id":17,"name":"Train ID","value":"160-17"},{"id":16,"name":"Locomotive ID","value":"4008"},{"id":130,"name":"Impact","value":""},{"id":150,"name":"Time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4008 --day 2017-01-17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580</v>
      </c>
      <c r="B73" s="7">
        <v>4002</v>
      </c>
      <c r="C73" s="22" t="s">
        <v>201</v>
      </c>
      <c r="D73" s="22" t="s">
        <v>192</v>
      </c>
      <c r="E73" s="13">
        <v>42752.464444444442</v>
      </c>
      <c r="F73" s="13">
        <v>42752.468958333331</v>
      </c>
      <c r="G73" s="7">
        <v>1</v>
      </c>
      <c r="H73" s="22" t="s">
        <v>293</v>
      </c>
      <c r="I73" s="13">
        <v>42752.493854166663</v>
      </c>
      <c r="J73" s="7">
        <v>0</v>
      </c>
      <c r="K73" s="105" t="str">
        <f t="shared" si="24"/>
        <v>4001/4002</v>
      </c>
      <c r="L73" s="22" t="str">
        <f>VLOOKUP(A73,'Trips&amp;Operators'!$C$1:$G$99999,5,FALSE)</f>
        <v>STEWART MICHAEL</v>
      </c>
      <c r="M73" s="6">
        <f t="shared" si="25"/>
        <v>2.4895833332266193E-2</v>
      </c>
      <c r="N73" s="7">
        <f t="shared" si="26"/>
        <v>35.849999998463318</v>
      </c>
      <c r="O73" s="7"/>
      <c r="P73" s="7"/>
      <c r="Q73" s="23"/>
      <c r="R73" s="23"/>
      <c r="S73" s="32">
        <f t="shared" si="27"/>
        <v>1</v>
      </c>
      <c r="T73" s="47" t="str">
        <f t="shared" si="28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-17T10:08:48-0700',mode:absolute,to:'2017-01-17T12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49" t="str">
        <f t="shared" si="29"/>
        <v>N</v>
      </c>
      <c r="X73" s="173">
        <f t="shared" ref="X73:X104" si="35">VALUE(LEFT(AD73,4))-VALUE(LEFT(AD72,4))</f>
        <v>1</v>
      </c>
      <c r="Y73" s="64">
        <f t="shared" si="30"/>
        <v>4.4699999999999997E-2</v>
      </c>
      <c r="Z73" s="64">
        <f t="shared" si="31"/>
        <v>23.3291</v>
      </c>
      <c r="AA73" s="64">
        <f t="shared" si="32"/>
        <v>23.284400000000002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33"/>
        <v>0161-17</v>
      </c>
      <c r="AE73" s="87" t="str">
        <f t="shared" si="12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73" s="84" t="str">
        <f t="shared" si="13"/>
        <v>"C:\Program Files (x86)\AstroGrep\AstroGrep.exe" /spath="%USERPROFILE%\AppData\Local\Temp\OnboardLogs" /stypes="app*4002*20170117*" /stext=" 18:.+((SYSTEM_STATE.+slice.+state.+changed )|(ment ac)|(multiple cpu faults)|(system.+state.+changed )|(\[timeout)|(PRM\|1\|D)|(kpr)|(kdp)|(\|lc)|(penalty))" /e /r /s</v>
      </c>
      <c r="AG73" s="1" t="str">
        <f t="shared" si="34"/>
        <v>EC</v>
      </c>
      <c r="AH73" s="88" t="str">
        <f t="shared" si="18"/>
        <v>"%USERPROFILE%\Documents\GitHub\eaglep3\Utilities\RefineRTDCRunTimes.py" --tripid 161-17 --locoid 4002 --swversion DE.1.0.8.0 --startMP 204:447 --initTime 2017-01-17T11:08:48 --startdatetime 2017-01-17T11:15:18 --delay 1 --endMP 204:233291 --enddatetime 2017-01-17T11:51:09 --enforcementcount 0 &gt;&gt;C:\Users\stu\Documents\GitHub\eaglep3-reporting\EC\2017-01-17-refined-times.txt</v>
      </c>
      <c r="AI73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{"issue":{"subject":"","project_id":79,"tracker_id":40,"status_id":1,"priority_id":2,"assigned_to_id":23,"start_date":"2017-01-17","description":"","custom_fields":[{"id":1,"name":"Subdivision","value":"EC"},{"id":4,"name":"Milepost","value":"23.3291"},{"id":17,"name":"Train ID","value":"161-17"},{"id":16,"name":"Locomotive ID","value":"4002"},{"id":130,"name":"Impact","value":""},{"id":150,"name":"Time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4002 --day 2017-01-17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592</v>
      </c>
      <c r="B74" s="7">
        <v>4001</v>
      </c>
      <c r="C74" s="22" t="s">
        <v>201</v>
      </c>
      <c r="D74" s="22" t="s">
        <v>254</v>
      </c>
      <c r="E74" s="13">
        <v>42752.502997685187</v>
      </c>
      <c r="F74" s="13">
        <v>42752.507962962962</v>
      </c>
      <c r="G74" s="7">
        <v>2</v>
      </c>
      <c r="H74" s="22" t="s">
        <v>324</v>
      </c>
      <c r="I74" s="13">
        <v>42752.534837962965</v>
      </c>
      <c r="J74" s="7">
        <v>0</v>
      </c>
      <c r="K74" s="105" t="str">
        <f t="shared" si="24"/>
        <v>4001/4002</v>
      </c>
      <c r="L74" s="22" t="str">
        <f>VLOOKUP(A74,'Trips&amp;Operators'!$C$1:$G$99999,5,FALSE)</f>
        <v>STEWART MICHAEL</v>
      </c>
      <c r="M74" s="6">
        <f t="shared" si="25"/>
        <v>2.6875000003201421E-2</v>
      </c>
      <c r="N74" s="7">
        <f t="shared" si="26"/>
        <v>38.700000004610047</v>
      </c>
      <c r="O74" s="7"/>
      <c r="P74" s="7"/>
      <c r="Q74" s="23"/>
      <c r="R74" s="23"/>
      <c r="S74" s="32">
        <f t="shared" si="27"/>
        <v>1</v>
      </c>
      <c r="T74" s="47" t="str">
        <f t="shared" si="28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-17T11:04:19-0700',mode:absolute,to:'2017-01-17T13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49" t="str">
        <f t="shared" si="29"/>
        <v>N</v>
      </c>
      <c r="X74" s="173">
        <f t="shared" si="35"/>
        <v>1</v>
      </c>
      <c r="Y74" s="64">
        <f t="shared" si="30"/>
        <v>23.2971</v>
      </c>
      <c r="Z74" s="64">
        <f t="shared" si="31"/>
        <v>1.6899999999999998E-2</v>
      </c>
      <c r="AA74" s="64">
        <f t="shared" si="32"/>
        <v>23.280200000000001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33"/>
        <v>0162-17</v>
      </c>
      <c r="AE74" s="87" t="str">
        <f t="shared" si="12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74" s="84" t="str">
        <f t="shared" si="13"/>
        <v>"C:\Program Files (x86)\AstroGrep\AstroGrep.exe" /spath="%USERPROFILE%\AppData\Local\Temp\OnboardLogs" /stypes="app*4001*20170117*" /stext=" 19:.+((SYSTEM_STATE.+slice.+state.+changed )|(ment ac)|(multiple cpu faults)|(system.+state.+changed )|(\[timeout)|(PRM\|1\|D)|(kpr)|(kdp)|(\|lc)|(penalty))" /e /r /s</v>
      </c>
      <c r="AG74" s="1" t="str">
        <f t="shared" si="34"/>
        <v>EC</v>
      </c>
      <c r="AH74" s="88" t="str">
        <f t="shared" si="18"/>
        <v>"%USERPROFILE%\Documents\GitHub\eaglep3\Utilities\RefineRTDCRunTimes.py" --tripid 162-17 --locoid 4001 --swversion DE.1.0.8.0 --startMP 204:232971 --initTime 2017-01-17T12:04:19 --startdatetime 2017-01-17T12:11:28 --delay 2 --endMP 204:169 --enddatetime 2017-01-17T12:50:10 --enforcementcount 0 &gt;&gt;C:\Users\stu\Documents\GitHub\eaglep3-reporting\EC\2017-01-17-refined-times.txt</v>
      </c>
      <c r="AI74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{"issue":{"subject":"","project_id":79,"tracker_id":40,"status_id":1,"priority_id":2,"assigned_to_id":23,"start_date":"2017-01-17","description":"","custom_fields":[{"id":1,"name":"Subdivision","value":"EC"},{"id":4,"name":"Milepost","value":"0.0169"},{"id":17,"name":"Train ID","value":"162-17"},{"id":16,"name":"Locomotive ID","value":"4001"},{"id":130,"name":"Impact","value":""},{"id":150,"name":"Time of Event (Mountain Time)","value":"12:50:10"},{"id":151,"name":"Denver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4001 --day 2017-01-17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588</v>
      </c>
      <c r="B75" s="7">
        <v>4031</v>
      </c>
      <c r="C75" s="22" t="s">
        <v>201</v>
      </c>
      <c r="D75" s="22" t="s">
        <v>247</v>
      </c>
      <c r="E75" s="13">
        <v>42752.475868055553</v>
      </c>
      <c r="F75" s="13">
        <v>42752.479479166665</v>
      </c>
      <c r="G75" s="7">
        <v>2</v>
      </c>
      <c r="H75" s="22" t="s">
        <v>276</v>
      </c>
      <c r="I75" s="13">
        <v>42752.504849537036</v>
      </c>
      <c r="J75" s="7">
        <v>0</v>
      </c>
      <c r="K75" s="105" t="str">
        <f t="shared" si="24"/>
        <v>4031/4032</v>
      </c>
      <c r="L75" s="22" t="str">
        <f>VLOOKUP(A75,'Trips&amp;Operators'!$C$1:$G$99999,5,FALSE)</f>
        <v>YANG JAN</v>
      </c>
      <c r="M75" s="6">
        <f t="shared" si="25"/>
        <v>2.5370370371092577E-2</v>
      </c>
      <c r="N75" s="7">
        <f t="shared" si="26"/>
        <v>36.53333333437331</v>
      </c>
      <c r="O75" s="7"/>
      <c r="P75" s="7"/>
      <c r="Q75" s="23"/>
      <c r="R75" s="23"/>
      <c r="S75" s="32">
        <f t="shared" si="27"/>
        <v>1</v>
      </c>
      <c r="T75" s="47" t="str">
        <f t="shared" si="28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-17T10:25:15-0700',mode:absolute,to:'2017-01-17T13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5" s="49" t="str">
        <f t="shared" si="29"/>
        <v>N</v>
      </c>
      <c r="X75" s="173">
        <f t="shared" si="35"/>
        <v>1</v>
      </c>
      <c r="Y75" s="64">
        <f t="shared" si="30"/>
        <v>4.4900000000000002E-2</v>
      </c>
      <c r="Z75" s="64">
        <f t="shared" si="31"/>
        <v>23.3293</v>
      </c>
      <c r="AA75" s="64">
        <f t="shared" si="32"/>
        <v>23.284400000000002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33"/>
        <v>0163-17</v>
      </c>
      <c r="AE75" s="87" t="str">
        <f t="shared" si="12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75" s="84" t="str">
        <f t="shared" si="13"/>
        <v>"C:\Program Files (x86)\AstroGrep\AstroGrep.exe" /spath="%USERPROFILE%\AppData\Local\Temp\OnboardLogs" /stypes="app*4031*20170117*" /stext=" 19:.+((SYSTEM_STATE.+slice.+state.+changed )|(ment ac)|(multiple cpu faults)|(system.+state.+changed )|(\[timeout)|(PRM\|1\|D)|(kpr)|(kdp)|(\|lc)|(penalty))" /e /r /s</v>
      </c>
      <c r="AG75" s="1" t="str">
        <f t="shared" si="34"/>
        <v>EC</v>
      </c>
      <c r="AH75" s="88" t="str">
        <f t="shared" si="18"/>
        <v>"%USERPROFILE%\Documents\GitHub\eaglep3\Utilities\RefineRTDCRunTimes.py" --tripid 163-17 --locoid 4031 --swversion DE.1.0.8.0 --startMP 204:449 --initTime 2017-01-17T11:25:15 --startdatetime 2017-01-17T11:30:27 --delay 2 --endMP 204:233293 --enddatetime 2017-01-17T12:06:59 --enforcementcount 0 &gt;&gt;C:\Users\stu\Documents\GitHub\eaglep3-reporting\EC\2017-01-17-refined-times.txt</v>
      </c>
      <c r="AI75" s="115" t="str">
        <f t="shared" si="19"/>
        <v>echo {"issue":{"subject":"","project_id":79,"tracker_id":40,"status_id":1,"priority_id":2,"assigned_to_id":23,"start_date":"2017-01-17","description":"","custom_fields":[{"id":1,"name":"Subdivision","value":"EC"},{"id":4,"name":"Milepost","value":"23.3293"},{"id":17,"name":"Train ID","value":"163-17"},{"id":16,"name":"Locomotive ID","value":"4031"},{"id":130,"name":"Impact","value":""},{"id":150,"name":"Time of Event (Mountain Time)","value":"12:06:59"},{"id":151,"name":"Denver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4031 --day 2017-01-17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595</v>
      </c>
      <c r="B76" s="7">
        <v>4032</v>
      </c>
      <c r="C76" s="22" t="s">
        <v>201</v>
      </c>
      <c r="D76" s="22" t="s">
        <v>278</v>
      </c>
      <c r="E76" s="13">
        <v>42752.511550925927</v>
      </c>
      <c r="F76" s="13">
        <v>42752.518472222226</v>
      </c>
      <c r="G76" s="7">
        <v>1</v>
      </c>
      <c r="H76" s="22" t="s">
        <v>240</v>
      </c>
      <c r="I76" s="13">
        <v>42752.546689814815</v>
      </c>
      <c r="J76" s="7">
        <v>0</v>
      </c>
      <c r="K76" s="105" t="str">
        <f t="shared" si="24"/>
        <v>4031/4032</v>
      </c>
      <c r="L76" s="22" t="str">
        <f>VLOOKUP(A76,'Trips&amp;Operators'!$C$1:$G$99999,5,FALSE)</f>
        <v>YANG JAN</v>
      </c>
      <c r="M76" s="6">
        <f t="shared" si="25"/>
        <v>2.8217592589498963E-2</v>
      </c>
      <c r="N76" s="7">
        <f t="shared" si="26"/>
        <v>40.633333328878507</v>
      </c>
      <c r="O76" s="7"/>
      <c r="P76" s="7"/>
      <c r="Q76" s="23"/>
      <c r="R76" s="23"/>
      <c r="S76" s="32">
        <f t="shared" si="27"/>
        <v>1</v>
      </c>
      <c r="T76" s="47" t="str">
        <f t="shared" si="28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-17T11:16:38-0700',mode:absolute,to:'2017-01-17T14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49" t="str">
        <f t="shared" si="29"/>
        <v>N</v>
      </c>
      <c r="X76" s="173">
        <f t="shared" si="35"/>
        <v>1</v>
      </c>
      <c r="Y76" s="64">
        <f t="shared" si="30"/>
        <v>23.299399999999999</v>
      </c>
      <c r="Z76" s="64">
        <f t="shared" si="31"/>
        <v>1.6E-2</v>
      </c>
      <c r="AA76" s="64">
        <f t="shared" si="32"/>
        <v>23.2834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33"/>
        <v>0164-17</v>
      </c>
      <c r="AE76" s="87" t="str">
        <f t="shared" si="12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76" s="84" t="str">
        <f t="shared" si="13"/>
        <v>"C:\Program Files (x86)\AstroGrep\AstroGrep.exe" /spath="%USERPROFILE%\AppData\Local\Temp\OnboardLogs" /stypes="app*4032*20170117*" /stext=" 20:.+((SYSTEM_STATE.+slice.+state.+changed )|(ment ac)|(multiple cpu faults)|(system.+state.+changed )|(\[timeout)|(PRM\|1\|D)|(kpr)|(kdp)|(\|lc)|(penalty))" /e /r /s</v>
      </c>
      <c r="AG76" s="1" t="str">
        <f t="shared" si="34"/>
        <v>EC</v>
      </c>
      <c r="AH76" s="88" t="str">
        <f t="shared" ref="AH76:AH139" si="3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164-17 --locoid 4032 --swversion DE.1.0.8.0 --startMP 204:232994 --initTime 2017-01-17T12:16:38 --startdatetime 2017-01-17T12:26:36 --delay 1 --endMP 204:160 --enddatetime 2017-01-17T13:07:14 --enforcementcount 0 &gt;&gt;C:\Users\stu\Documents\GitHub\eaglep3-reporting\EC\2017-01-17-refined-times.txt</v>
      </c>
      <c r="AI76" s="115" t="str">
        <f t="shared" ref="AI76:AI139" si="3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{"issue":{"subject":"","project_id":79,"tracker_id":40,"status_id":1,"priority_id":2,"assigned_to_id":23,"start_date":"2017-01-17","description":"","custom_fields":[{"id":1,"name":"Subdivision","value":"EC"},{"id":4,"name":"Milepost","value":"0.016"},{"id":17,"name":"Train ID","value":"164-17"},{"id":16,"name":"Locomotive ID","value":"4032"},{"id":130,"name":"Impact","value":""},{"id":150,"name":"Time of Event (Mountain Time)","value":"13:07:14"},{"id":151,"name":"Denver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ref="AM76:AM139" si="38">"start /low /b "&amp;dls3logs&amp;" --loco "&amp;B76&amp;" --day "&amp;TEXT(F76,"YYYY-MM-DD")</f>
        <v>start /low /b %USERPROFILE%\Documents\GitHub\eaglep3\Utilities\DownloadLogsFromS3.py --loco 4032 --day 2017-01-17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589</v>
      </c>
      <c r="B77" s="7">
        <v>4042</v>
      </c>
      <c r="C77" s="22" t="s">
        <v>201</v>
      </c>
      <c r="D77" s="22" t="s">
        <v>247</v>
      </c>
      <c r="E77" s="13">
        <v>42752.485335648147</v>
      </c>
      <c r="F77" s="13">
        <v>42752.489791666667</v>
      </c>
      <c r="G77" s="7">
        <v>1</v>
      </c>
      <c r="H77" s="22" t="s">
        <v>714</v>
      </c>
      <c r="I77" s="13">
        <v>42752.515694444446</v>
      </c>
      <c r="J77" s="7">
        <v>0</v>
      </c>
      <c r="K77" s="105" t="str">
        <f t="shared" ref="K77:K108" si="39">IF(ISEVEN(B77),(B77-1)&amp;"/"&amp;B77,B77&amp;"/"&amp;(B77+1))</f>
        <v>4041/4042</v>
      </c>
      <c r="L77" s="22" t="str">
        <f>VLOOKUP(A77,'Trips&amp;Operators'!$C$1:$G$99999,5,FALSE)</f>
        <v>CLARK KATHLEEN</v>
      </c>
      <c r="M77" s="6">
        <f t="shared" ref="M77:M108" si="40">I77-F77</f>
        <v>2.5902777779265307E-2</v>
      </c>
      <c r="N77" s="7">
        <f t="shared" ref="N77:N108" si="41">24*60*SUM($M77:$M77)</f>
        <v>37.300000002142042</v>
      </c>
      <c r="O77" s="7"/>
      <c r="P77" s="7"/>
      <c r="Q77" s="23"/>
      <c r="R77" s="23"/>
      <c r="S77" s="32">
        <f t="shared" ref="S77:S108" si="42">SUM(U77:U77)/IF(AG77="EC",12,1)</f>
        <v>1</v>
      </c>
      <c r="T77" s="47" t="str">
        <f t="shared" ref="T77:T108" si="43">IF(ISEVEN(LEFT(AD77,4)),"Southbound","NorthBound")</f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-17T10:38:53-0700',mode:absolute,to:'2017-01-17T13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49" t="str">
        <f t="shared" ref="W77:W108" si="45">IF(AA77&lt;IF(AG77="EC",23,5.65),"Y","N")</f>
        <v>N</v>
      </c>
      <c r="X77" s="173">
        <f t="shared" si="35"/>
        <v>1</v>
      </c>
      <c r="Y77" s="64">
        <f t="shared" ref="Y77:Y108" si="46">RIGHT(D77,LEN(D77)-4)/10000</f>
        <v>4.4900000000000002E-2</v>
      </c>
      <c r="Z77" s="64">
        <f t="shared" ref="Z77:Z108" si="47">RIGHT(H77,LEN(H77)-4)/10000</f>
        <v>23.327999999999999</v>
      </c>
      <c r="AA77" s="64">
        <f t="shared" ref="AA77:AA108" si="48">ABS(Z77-Y77)</f>
        <v>23.283100000000001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08" si="49">IF(LEN(A77)=6,"0"&amp;A77,A77)</f>
        <v>0165-17</v>
      </c>
      <c r="AE77" s="87" t="str">
        <f t="shared" ref="AE77:AE140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77" s="84" t="str">
        <f t="shared" ref="AF77:AF140" si="5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/stypes="app*4042*20170117*" /stext=" 19:.+((SYSTEM_STATE.+slice.+state.+changed )|(ment ac)|(multiple cpu faults)|(system.+state.+changed )|(\[timeout)|(PRM\|1\|D)|(kpr)|(kdp)|(\|lc)|(penalty))" /e /r /s</v>
      </c>
      <c r="AG77" s="1" t="str">
        <f t="shared" ref="AG77:AG108" si="52">IFERROR(IF(VALUE(LEFT(AD77,2))&lt;=2,"EC",IF(OR(VALUE(LEFT(AD77,2))=8,VALUE(LEFT(AD77,2))=18),"NW","Other")),"Other")</f>
        <v>EC</v>
      </c>
      <c r="AH77" s="88" t="str">
        <f t="shared" si="36"/>
        <v>"%USERPROFILE%\Documents\GitHub\eaglep3\Utilities\RefineRTDCRunTimes.py" --tripid 165-17 --locoid 4042 --swversion DE.1.0.8.0 --startMP 204:449 --initTime 2017-01-17T11:38:53 --startdatetime 2017-01-17T11:45:18 --delay 1 --endMP 204:233280 --enddatetime 2017-01-17T12:22:36 --enforcementcount 0 &gt;&gt;C:\Users\stu\Documents\GitHub\eaglep3-reporting\EC\2017-01-17-refined-times.txt</v>
      </c>
      <c r="AI7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{"issue":{"subject":"","project_id":79,"tracker_id":40,"status_id":1,"priority_id":2,"assigned_to_id":23,"start_date":"2017-01-17","description":"","custom_fields":[{"id":1,"name":"Subdivision","value":"EC"},{"id":4,"name":"Milepost","value":"23.328"},{"id":17,"name":"Train ID","value":"165-17"},{"id":16,"name":"Locomotive ID","value":"4042"},{"id":130,"name":"Impact","value":""},{"id":150,"name":"Time of Event (Mountain Time)","value":"12:22:36"},{"id":151,"name":"Denver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38"/>
        <v>start /low /b %USERPROFILE%\Documents\GitHub\eaglep3\Utilities\DownloadLogsFromS3.py --loco 4042 --day 2017-01-17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598</v>
      </c>
      <c r="B78" s="7">
        <v>4041</v>
      </c>
      <c r="C78" s="22" t="s">
        <v>201</v>
      </c>
      <c r="D78" s="22" t="s">
        <v>413</v>
      </c>
      <c r="E78" s="13">
        <v>42752.524074074077</v>
      </c>
      <c r="F78" s="13">
        <v>42752.528645833336</v>
      </c>
      <c r="G78" s="7">
        <v>1</v>
      </c>
      <c r="H78" s="22" t="s">
        <v>411</v>
      </c>
      <c r="I78" s="13">
        <v>42752.557974537034</v>
      </c>
      <c r="J78" s="7">
        <v>0</v>
      </c>
      <c r="K78" s="105" t="str">
        <f t="shared" si="39"/>
        <v>4041/4042</v>
      </c>
      <c r="L78" s="22" t="str">
        <f>VLOOKUP(A78,'Trips&amp;Operators'!$C$1:$G$99999,5,FALSE)</f>
        <v>CLARK KATHLEEN</v>
      </c>
      <c r="M78" s="6">
        <f t="shared" si="40"/>
        <v>2.9328703698411118E-2</v>
      </c>
      <c r="N78" s="7">
        <f t="shared" si="41"/>
        <v>42.23333332571201</v>
      </c>
      <c r="O78" s="7"/>
      <c r="P78" s="7"/>
      <c r="Q78" s="23"/>
      <c r="R78" s="23"/>
      <c r="S78" s="32">
        <f t="shared" si="42"/>
        <v>1</v>
      </c>
      <c r="T78" s="47" t="str">
        <f t="shared" si="43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4"/>
        <v>https://d0f6bd738d7f1b3e5a7ca70fe4ff75f0.us-east-1.aws.found.io/app/kibana#/discover/Steve-Slow-Train-Analysis-(2080s-and-2083s)?_g=(refreshInterval:(display:Off,pause:!f,section:0,value:0),time:(from:'2017-01-17T11:34:40-0700',mode:absolute,to:'2017-01-17T14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49" t="str">
        <f t="shared" si="45"/>
        <v>N</v>
      </c>
      <c r="X78" s="173">
        <f t="shared" si="35"/>
        <v>1</v>
      </c>
      <c r="Y78" s="64">
        <f t="shared" si="46"/>
        <v>23.297499999999999</v>
      </c>
      <c r="Z78" s="64">
        <f t="shared" si="47"/>
        <v>1.6500000000000001E-2</v>
      </c>
      <c r="AA78" s="64">
        <f t="shared" si="48"/>
        <v>23.280999999999999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9"/>
        <v>0166-17</v>
      </c>
      <c r="AE78" s="87" t="str">
        <f t="shared" si="50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78" s="84" t="str">
        <f t="shared" si="51"/>
        <v>"C:\Program Files (x86)\AstroGrep\AstroGrep.exe" /spath="%USERPROFILE%\AppData\Local\Temp\OnboardLogs" /stypes="app*4041*20170117*" /stext=" 20:.+((SYSTEM_STATE.+slice.+state.+changed )|(ment ac)|(multiple cpu faults)|(system.+state.+changed )|(\[timeout)|(PRM\|1\|D)|(kpr)|(kdp)|(\|lc)|(penalty))" /e /r /s</v>
      </c>
      <c r="AG78" s="1" t="str">
        <f t="shared" si="52"/>
        <v>EC</v>
      </c>
      <c r="AH78" s="88" t="str">
        <f t="shared" si="36"/>
        <v>"%USERPROFILE%\Documents\GitHub\eaglep3\Utilities\RefineRTDCRunTimes.py" --tripid 166-17 --locoid 4041 --swversion DE.1.0.8.0 --startMP 204:232975 --initTime 2017-01-17T12:34:40 --startdatetime 2017-01-17T12:41:15 --delay 1 --endMP 204:165 --enddatetime 2017-01-17T13:23:29 --enforcementcount 0 &gt;&gt;C:\Users\stu\Documents\GitHub\eaglep3-reporting\EC\2017-01-17-refined-times.txt</v>
      </c>
      <c r="AI7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{"issue":{"subject":"","project_id":79,"tracker_id":40,"status_id":1,"priority_id":2,"assigned_to_id":23,"start_date":"2017-01-17","description":"","custom_fields":[{"id":1,"name":"Subdivision","value":"EC"},{"id":4,"name":"Milepost","value":"0.0165"},{"id":17,"name":"Train ID","value":"166-17"},{"id":16,"name":"Locomotive ID","value":"4041"},{"id":130,"name":"Impact","value":""},{"id":150,"name":"Time of Event (Mountain Time)","value":"13:23:29"},{"id":151,"name":"Denver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38"/>
        <v>start /low /b %USERPROFILE%\Documents\GitHub\eaglep3\Utilities\DownloadLogsFromS3.py --loco 4041 --day 2017-01-17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591</v>
      </c>
      <c r="B79" s="7">
        <v>4044</v>
      </c>
      <c r="C79" s="22" t="s">
        <v>201</v>
      </c>
      <c r="D79" s="22" t="s">
        <v>355</v>
      </c>
      <c r="E79" s="13">
        <v>42752.495405092595</v>
      </c>
      <c r="F79" s="13">
        <v>42752.500324074077</v>
      </c>
      <c r="G79" s="7">
        <v>1</v>
      </c>
      <c r="H79" s="22" t="s">
        <v>263</v>
      </c>
      <c r="I79" s="13">
        <v>42752.525497685187</v>
      </c>
      <c r="J79" s="7">
        <v>0</v>
      </c>
      <c r="K79" s="105" t="str">
        <f t="shared" si="39"/>
        <v>4043/4044</v>
      </c>
      <c r="L79" s="22" t="str">
        <f>VLOOKUP(A79,'Trips&amp;Operators'!$C$1:$G$99999,5,FALSE)</f>
        <v>CRAYTON QUNTRELL</v>
      </c>
      <c r="M79" s="6">
        <f t="shared" si="40"/>
        <v>2.5173611109494232E-2</v>
      </c>
      <c r="N79" s="7">
        <f t="shared" si="41"/>
        <v>36.249999997671694</v>
      </c>
      <c r="O79" s="7"/>
      <c r="P79" s="7"/>
      <c r="Q79" s="23"/>
      <c r="R79" s="23"/>
      <c r="S79" s="32">
        <f t="shared" si="42"/>
        <v>1</v>
      </c>
      <c r="T79" s="47" t="str">
        <f t="shared" si="43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44"/>
        <v>https://d0f6bd738d7f1b3e5a7ca70fe4ff75f0.us-east-1.aws.found.io/app/kibana#/discover/Steve-Slow-Train-Analysis-(2080s-and-2083s)?_g=(refreshInterval:(display:Off,pause:!f,section:0,value:0),time:(from:'2017-01-17T10:53:23-0700',mode:absolute,to:'2017-01-17T13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49" t="str">
        <f t="shared" si="45"/>
        <v>N</v>
      </c>
      <c r="X79" s="173">
        <f t="shared" si="35"/>
        <v>1</v>
      </c>
      <c r="Y79" s="64">
        <f t="shared" si="46"/>
        <v>4.5100000000000001E-2</v>
      </c>
      <c r="Z79" s="64">
        <f t="shared" si="47"/>
        <v>23.329799999999999</v>
      </c>
      <c r="AA79" s="64">
        <f t="shared" si="48"/>
        <v>23.284699999999997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9"/>
        <v>0167-17</v>
      </c>
      <c r="AE79" s="87" t="str">
        <f t="shared" si="50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79" s="84" t="str">
        <f t="shared" si="51"/>
        <v>"C:\Program Files (x86)\AstroGrep\AstroGrep.exe" /spath="%USERPROFILE%\AppData\Local\Temp\OnboardLogs" /stypes="app*4044*20170117*" /stext=" 19:.+((SYSTEM_STATE.+slice.+state.+changed )|(ment ac)|(multiple cpu faults)|(system.+state.+changed )|(\[timeout)|(PRM\|1\|D)|(kpr)|(kdp)|(\|lc)|(penalty))" /e /r /s</v>
      </c>
      <c r="AG79" s="1" t="str">
        <f t="shared" si="52"/>
        <v>EC</v>
      </c>
      <c r="AH79" s="88" t="str">
        <f t="shared" si="36"/>
        <v>"%USERPROFILE%\Documents\GitHub\eaglep3\Utilities\RefineRTDCRunTimes.py" --tripid 167-17 --locoid 4044 --swversion DE.1.0.8.0 --startMP 204:451 --initTime 2017-01-17T11:53:23 --startdatetime 2017-01-17T12:00:28 --delay 1 --endMP 204:233298 --enddatetime 2017-01-17T12:36:43 --enforcementcount 0 &gt;&gt;C:\Users\stu\Documents\GitHub\eaglep3-reporting\EC\2017-01-17-refined-times.txt</v>
      </c>
      <c r="AI7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{"issue":{"subject":"","project_id":79,"tracker_id":40,"status_id":1,"priority_id":2,"assigned_to_id":23,"start_date":"2017-01-17","description":"","custom_fields":[{"id":1,"name":"Subdivision","value":"EC"},{"id":4,"name":"Milepost","value":"23.3298"},{"id":17,"name":"Train ID","value":"167-17"},{"id":16,"name":"Locomotive ID","value":"4044"},{"id":130,"name":"Impact","value":""},{"id":150,"name":"Time of Event (Mountain Time)","value":"12:36:43"},{"id":151,"name":"Denver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8"/>
        <v>start /low /b %USERPROFILE%\Documents\GitHub\eaglep3\Utilities\DownloadLogsFromS3.py --loco 4044 --day 2017-01-17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599</v>
      </c>
      <c r="B80" s="7">
        <v>4043</v>
      </c>
      <c r="C80" s="22" t="s">
        <v>201</v>
      </c>
      <c r="D80" s="22" t="s">
        <v>420</v>
      </c>
      <c r="E80" s="13">
        <v>42752.533634259256</v>
      </c>
      <c r="F80" s="13">
        <v>42752.573425925926</v>
      </c>
      <c r="G80" s="7">
        <v>1</v>
      </c>
      <c r="H80" s="22" t="s">
        <v>317</v>
      </c>
      <c r="I80" s="13">
        <v>42752.59883101852</v>
      </c>
      <c r="J80" s="7">
        <v>0</v>
      </c>
      <c r="K80" s="105" t="str">
        <f t="shared" si="39"/>
        <v>4043/4044</v>
      </c>
      <c r="L80" s="22" t="str">
        <f>VLOOKUP(A80,'Trips&amp;Operators'!$C$1:$G$99999,5,FALSE)</f>
        <v>CRAYTON QUNTRELL</v>
      </c>
      <c r="M80" s="6">
        <f t="shared" si="40"/>
        <v>2.5405092594155576E-2</v>
      </c>
      <c r="N80" s="7">
        <f t="shared" si="41"/>
        <v>36.58333333558403</v>
      </c>
      <c r="O80" s="7"/>
      <c r="P80" s="7"/>
      <c r="Q80" s="23"/>
      <c r="R80" s="23"/>
      <c r="S80" s="32">
        <f t="shared" si="42"/>
        <v>1</v>
      </c>
      <c r="T80" s="47" t="str">
        <f t="shared" si="43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44"/>
        <v>https://d0f6bd738d7f1b3e5a7ca70fe4ff75f0.us-east-1.aws.found.io/app/kibana#/discover/Steve-Slow-Train-Analysis-(2080s-and-2083s)?_g=(refreshInterval:(display:Off,pause:!f,section:0,value:0),time:(from:'2017-01-17T11:48:26-0700',mode:absolute,to:'2017-01-17T15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49" t="str">
        <f t="shared" si="45"/>
        <v>N</v>
      </c>
      <c r="X80" s="173">
        <f t="shared" si="35"/>
        <v>1</v>
      </c>
      <c r="Y80" s="64">
        <f t="shared" si="46"/>
        <v>23.299800000000001</v>
      </c>
      <c r="Z80" s="64">
        <f t="shared" si="47"/>
        <v>1.43E-2</v>
      </c>
      <c r="AA80" s="64">
        <f t="shared" si="48"/>
        <v>23.285500000000003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49"/>
        <v>0168-17</v>
      </c>
      <c r="AE80" s="87" t="str">
        <f t="shared" si="5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80" s="84" t="str">
        <f t="shared" si="51"/>
        <v>"C:\Program Files (x86)\AstroGrep\AstroGrep.exe" /spath="%USERPROFILE%\AppData\Local\Temp\OnboardLogs" /stypes="app*4043*20170117*" /stext=" 21:.+((SYSTEM_STATE.+slice.+state.+changed )|(ment ac)|(multiple cpu faults)|(system.+state.+changed )|(\[timeout)|(PRM\|1\|D)|(kpr)|(kdp)|(\|lc)|(penalty))" /e /r /s</v>
      </c>
      <c r="AG80" s="1" t="str">
        <f t="shared" si="52"/>
        <v>EC</v>
      </c>
      <c r="AH80" s="88" t="str">
        <f t="shared" si="36"/>
        <v>"%USERPROFILE%\Documents\GitHub\eaglep3\Utilities\RefineRTDCRunTimes.py" --tripid 168-17 --locoid 4043 --swversion DE.1.0.8.0 --startMP 204:232998 --initTime 2017-01-17T12:48:26 --startdatetime 2017-01-17T13:45:44 --delay 1 --endMP 204:143 --enddatetime 2017-01-17T14:22:19 --enforcementcount 0 &gt;&gt;C:\Users\stu\Documents\GitHub\eaglep3-reporting\EC\2017-01-17-refined-times.txt</v>
      </c>
      <c r="AI8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{"issue":{"subject":"","project_id":79,"tracker_id":40,"status_id":1,"priority_id":2,"assigned_to_id":23,"start_date":"2017-01-17","description":"","custom_fields":[{"id":1,"name":"Subdivision","value":"EC"},{"id":4,"name":"Milepost","value":"0.0143"},{"id":17,"name":"Train ID","value":"168-17"},{"id":16,"name":"Locomotive ID","value":"4043"},{"id":130,"name":"Impact","value":""},{"id":150,"name":"Time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8"/>
        <v>start /low /b %USERPROFILE%\Documents\GitHub\eaglep3\Utilities\DownloadLogsFromS3.py --loco 4043 --day 2017-01-17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593</v>
      </c>
      <c r="B81" s="7">
        <v>4027</v>
      </c>
      <c r="C81" s="22" t="s">
        <v>201</v>
      </c>
      <c r="D81" s="22" t="s">
        <v>355</v>
      </c>
      <c r="E81" s="13">
        <v>42752.505694444444</v>
      </c>
      <c r="F81" s="13">
        <v>42752.510567129626</v>
      </c>
      <c r="G81" s="7">
        <v>1</v>
      </c>
      <c r="H81" s="22" t="s">
        <v>327</v>
      </c>
      <c r="I81" s="13">
        <v>42752.534745370373</v>
      </c>
      <c r="J81" s="7">
        <v>0</v>
      </c>
      <c r="K81" s="105" t="str">
        <f t="shared" si="39"/>
        <v>4027/4028</v>
      </c>
      <c r="L81" s="22" t="str">
        <f>VLOOKUP(A81,'Trips&amp;Operators'!$C$1:$G$99999,5,FALSE)</f>
        <v>ROMERO CHAD</v>
      </c>
      <c r="M81" s="6">
        <f t="shared" si="40"/>
        <v>2.4178240746550728E-2</v>
      </c>
      <c r="N81" s="7">
        <f t="shared" si="41"/>
        <v>34.816666675033048</v>
      </c>
      <c r="O81" s="7"/>
      <c r="P81" s="7"/>
      <c r="Q81" s="23"/>
      <c r="R81" s="23"/>
      <c r="S81" s="32">
        <f t="shared" si="42"/>
        <v>1</v>
      </c>
      <c r="T81" s="47" t="str">
        <f t="shared" si="43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4"/>
        <v>https://d0f6bd738d7f1b3e5a7ca70fe4ff75f0.us-east-1.aws.found.io/app/kibana#/discover/Steve-Slow-Train-Analysis-(2080s-and-2083s)?_g=(refreshInterval:(display:Off,pause:!f,section:0,value:0),time:(from:'2017-01-17T11:08:12-0700',mode:absolute,to:'2017-01-17T13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1" s="49" t="str">
        <f t="shared" si="45"/>
        <v>N</v>
      </c>
      <c r="X81" s="173">
        <f t="shared" si="35"/>
        <v>1</v>
      </c>
      <c r="Y81" s="64">
        <f t="shared" si="46"/>
        <v>4.5100000000000001E-2</v>
      </c>
      <c r="Z81" s="64">
        <f t="shared" si="47"/>
        <v>23.331099999999999</v>
      </c>
      <c r="AA81" s="64">
        <f t="shared" si="48"/>
        <v>23.285999999999998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9"/>
        <v>0169-17</v>
      </c>
      <c r="AE81" s="87" t="str">
        <f t="shared" si="50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81" s="84" t="str">
        <f t="shared" si="51"/>
        <v>"C:\Program Files (x86)\AstroGrep\AstroGrep.exe" /spath="%USERPROFILE%\AppData\Local\Temp\OnboardLogs" /stypes="app*4027*20170117*" /stext=" 19:.+((SYSTEM_STATE.+slice.+state.+changed )|(ment ac)|(multiple cpu faults)|(system.+state.+changed )|(\[timeout)|(PRM\|1\|D)|(kpr)|(kdp)|(\|lc)|(penalty))" /e /r /s</v>
      </c>
      <c r="AG81" s="1" t="str">
        <f t="shared" si="52"/>
        <v>EC</v>
      </c>
      <c r="AH81" s="88" t="str">
        <f t="shared" si="36"/>
        <v>"%USERPROFILE%\Documents\GitHub\eaglep3\Utilities\RefineRTDCRunTimes.py" --tripid 169-17 --locoid 4027 --swversion DE.1.0.8.0 --startMP 204:451 --initTime 2017-01-17T12:08:12 --startdatetime 2017-01-17T12:15:13 --delay 1 --endMP 204:233311 --enddatetime 2017-01-17T12:50:02 --enforcementcount 0 &gt;&gt;C:\Users\stu\Documents\GitHub\eaglep3-reporting\EC\2017-01-17-refined-times.txt</v>
      </c>
      <c r="AI8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{"issue":{"subject":"","project_id":79,"tracker_id":40,"status_id":1,"priority_id":2,"assigned_to_id":23,"start_date":"2017-01-17","description":"","custom_fields":[{"id":1,"name":"Subdivision","value":"EC"},{"id":4,"name":"Milepost","value":"23.3311"},{"id":17,"name":"Train ID","value":"169-17"},{"id":16,"name":"Locomotive ID","value":"4027"},{"id":130,"name":"Impact","value":""},{"id":150,"name":"Time of Event (Mountain Time)","value":"12:50:02"},{"id":151,"name":"Denver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8"/>
        <v>start /low /b %USERPROFILE%\Documents\GitHub\eaglep3\Utilities\DownloadLogsFromS3.py --loco 4027 --day 2017-01-17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600</v>
      </c>
      <c r="B82" s="7">
        <v>4028</v>
      </c>
      <c r="C82" s="22" t="s">
        <v>201</v>
      </c>
      <c r="D82" s="22" t="s">
        <v>344</v>
      </c>
      <c r="E82" s="13">
        <v>42752.536226851851</v>
      </c>
      <c r="F82" s="13">
        <v>42752.549537037034</v>
      </c>
      <c r="G82" s="7">
        <v>1</v>
      </c>
      <c r="H82" s="22" t="s">
        <v>715</v>
      </c>
      <c r="I82" s="13">
        <v>42752.575671296298</v>
      </c>
      <c r="J82" s="7">
        <v>0</v>
      </c>
      <c r="K82" s="105" t="str">
        <f t="shared" si="39"/>
        <v>4027/4028</v>
      </c>
      <c r="L82" s="22" t="str">
        <f>VLOOKUP(A82,'Trips&amp;Operators'!$C$1:$G$99999,5,FALSE)</f>
        <v>ROMERO CHAD</v>
      </c>
      <c r="M82" s="6">
        <f t="shared" si="40"/>
        <v>2.6134259263926651E-2</v>
      </c>
      <c r="N82" s="7">
        <f t="shared" si="41"/>
        <v>37.633333340054378</v>
      </c>
      <c r="O82" s="7"/>
      <c r="P82" s="7"/>
      <c r="Q82" s="23"/>
      <c r="R82" s="23"/>
      <c r="S82" s="32">
        <f t="shared" si="42"/>
        <v>1</v>
      </c>
      <c r="T82" s="47" t="str">
        <f t="shared" si="43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4"/>
        <v>https://d0f6bd738d7f1b3e5a7ca70fe4ff75f0.us-east-1.aws.found.io/app/kibana#/discover/Steve-Slow-Train-Analysis-(2080s-and-2083s)?_g=(refreshInterval:(display:Off,pause:!f,section:0,value:0),time:(from:'2017-01-17T11:52:10-0700',mode:absolute,to:'2017-01-17T14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49" t="str">
        <f t="shared" si="45"/>
        <v>N</v>
      </c>
      <c r="X82" s="173">
        <f t="shared" si="35"/>
        <v>1</v>
      </c>
      <c r="Y82" s="64">
        <f t="shared" si="46"/>
        <v>23.298200000000001</v>
      </c>
      <c r="Z82" s="64">
        <f t="shared" si="47"/>
        <v>1.14E-2</v>
      </c>
      <c r="AA82" s="64">
        <f t="shared" si="48"/>
        <v>23.286800000000003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9"/>
        <v>0170-17</v>
      </c>
      <c r="AE82" s="87" t="str">
        <f t="shared" si="50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82" s="84" t="str">
        <f t="shared" si="51"/>
        <v>"C:\Program Files (x86)\AstroGrep\AstroGrep.exe" /spath="%USERPROFILE%\AppData\Local\Temp\OnboardLogs" /stypes="app*4028*20170117*" /stext=" 20:.+((SYSTEM_STATE.+slice.+state.+changed )|(ment ac)|(multiple cpu faults)|(system.+state.+changed )|(\[timeout)|(PRM\|1\|D)|(kpr)|(kdp)|(\|lc)|(penalty))" /e /r /s</v>
      </c>
      <c r="AG82" s="1" t="str">
        <f t="shared" si="52"/>
        <v>EC</v>
      </c>
      <c r="AH82" s="88" t="str">
        <f t="shared" si="36"/>
        <v>"%USERPROFILE%\Documents\GitHub\eaglep3\Utilities\RefineRTDCRunTimes.py" --tripid 170-17 --locoid 4028 --swversion DE.1.0.8.0 --startMP 204:232982 --initTime 2017-01-17T12:52:10 --startdatetime 2017-01-17T13:11:20 --delay 1 --endMP 204:114 --enddatetime 2017-01-17T13:48:58 --enforcementcount 0 &gt;&gt;C:\Users\stu\Documents\GitHub\eaglep3-reporting\EC\2017-01-17-refined-times.txt</v>
      </c>
      <c r="AI8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{"issue":{"subject":"","project_id":79,"tracker_id":40,"status_id":1,"priority_id":2,"assigned_to_id":23,"start_date":"2017-01-17","description":"","custom_fields":[{"id":1,"name":"Subdivision","value":"EC"},{"id":4,"name":"Milepost","value":"0.0114"},{"id":17,"name":"Train ID","value":"170-17"},{"id":16,"name":"Locomotive ID","value":"4028"},{"id":130,"name":"Impact","value":""},{"id":150,"name":"Time of Event (Mountain Time)","value":"13:48:58"},{"id":151,"name":"Denver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8"/>
        <v>start /low /b %USERPROFILE%\Documents\GitHub\eaglep3\Utilities\DownloadLogsFromS3.py --loco 4028 --day 2017-01-17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597</v>
      </c>
      <c r="B83" s="7">
        <v>4022</v>
      </c>
      <c r="C83" s="22" t="s">
        <v>201</v>
      </c>
      <c r="D83" s="22" t="s">
        <v>288</v>
      </c>
      <c r="E83" s="13">
        <v>42752.51489583333</v>
      </c>
      <c r="F83" s="13">
        <v>42752.521111111113</v>
      </c>
      <c r="G83" s="7">
        <v>2</v>
      </c>
      <c r="H83" s="22" t="s">
        <v>410</v>
      </c>
      <c r="I83" s="13">
        <v>42752.548842592594</v>
      </c>
      <c r="J83" s="7">
        <v>0</v>
      </c>
      <c r="K83" s="105" t="str">
        <f t="shared" si="39"/>
        <v>4021/4022</v>
      </c>
      <c r="L83" s="22" t="str">
        <f>VLOOKUP(A83,'Trips&amp;Operators'!$C$1:$G$99999,5,FALSE)</f>
        <v>SWANSON BRYCE</v>
      </c>
      <c r="M83" s="6">
        <f t="shared" si="40"/>
        <v>2.7731481481168885E-2</v>
      </c>
      <c r="N83" s="7">
        <f t="shared" si="41"/>
        <v>39.933333332883194</v>
      </c>
      <c r="O83" s="7"/>
      <c r="P83" s="7"/>
      <c r="Q83" s="23"/>
      <c r="R83" s="23" t="s">
        <v>883</v>
      </c>
      <c r="S83" s="32">
        <f t="shared" si="42"/>
        <v>1</v>
      </c>
      <c r="T83" s="47" t="str">
        <f t="shared" si="43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4"/>
        <v>https://d0f6bd738d7f1b3e5a7ca70fe4ff75f0.us-east-1.aws.found.io/app/kibana#/discover/Steve-Slow-Train-Analysis-(2080s-and-2083s)?_g=(refreshInterval:(display:Off,pause:!f,section:0,value:0),time:(from:'2017-01-17T11:21:27-0700',mode:absolute,to:'2017-01-17T14:10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49" t="str">
        <f t="shared" si="45"/>
        <v>N</v>
      </c>
      <c r="X83" s="173">
        <f t="shared" si="35"/>
        <v>1</v>
      </c>
      <c r="Y83" s="64">
        <f t="shared" si="46"/>
        <v>4.58E-2</v>
      </c>
      <c r="Z83" s="64">
        <f t="shared" si="47"/>
        <v>23.332100000000001</v>
      </c>
      <c r="AA83" s="64">
        <f t="shared" si="48"/>
        <v>23.286300000000001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9"/>
        <v>0171-17</v>
      </c>
      <c r="AE83" s="87" t="str">
        <f t="shared" si="50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83" s="84" t="str">
        <f t="shared" si="51"/>
        <v>"C:\Program Files (x86)\AstroGrep\AstroGrep.exe" /spath="%USERPROFILE%\AppData\Local\Temp\OnboardLogs" /stypes="app*4022*20170117*" /stext=" 20:.+((SYSTEM_STATE.+slice.+state.+changed )|(ment ac)|(multiple cpu faults)|(system.+state.+changed )|(\[timeout)|(PRM\|1\|D)|(kpr)|(kdp)|(\|lc)|(penalty))" /e /r /s</v>
      </c>
      <c r="AG83" s="1" t="str">
        <f t="shared" si="52"/>
        <v>EC</v>
      </c>
      <c r="AH83" s="88" t="str">
        <f t="shared" si="36"/>
        <v>"%USERPROFILE%\Documents\GitHub\eaglep3\Utilities\RefineRTDCRunTimes.py" --tripid 171-17 --locoid 4022 --swversion DE.1.0.8.0 --startMP 204:458 --initTime 2017-01-17T12:21:27 --startdatetime 2017-01-17T12:30:24 --delay 2 --endMP 204:233321 --enddatetime 2017-01-17T13:10:20 --enforcementcount 0 &gt;&gt;C:\Users\stu\Documents\GitHub\eaglep3-reporting\EC\2017-01-17-refined-times.txt</v>
      </c>
      <c r="AI83" s="115" t="str">
        <f t="shared" si="37"/>
        <v>echo {"issue":{"subject":"No signs of penalties from PTC","project_id":79,"tracker_id":40,"status_id":1,"priority_id":2,"assigned_to_id":23,"start_date":"2017-01-17","description":"","custom_fields":[{"id":1,"name":"Subdivision","value":"EC"},{"id":4,"name":"Milepost","value":"23.3321"},{"id":17,"name":"Train ID","value":"171-17"},{"id":16,"name":"Locomotive ID","value":"4022"},{"id":130,"name":"Impact","value":""},{"id":150,"name":"Time of Event (Mountain Time)","value":"13:10:20"},{"id":151,"name":"Denver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8"/>
        <v>start /low /b %USERPROFILE%\Documents\GitHub\eaglep3\Utilities\DownloadLogsFromS3.py --loco 4022 --day 2017-01-17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604</v>
      </c>
      <c r="B84" s="7">
        <v>4021</v>
      </c>
      <c r="C84" s="22" t="s">
        <v>201</v>
      </c>
      <c r="D84" s="22" t="s">
        <v>274</v>
      </c>
      <c r="E84" s="13">
        <v>42752.551550925928</v>
      </c>
      <c r="F84" s="13">
        <v>42752.560011574074</v>
      </c>
      <c r="G84" s="7">
        <v>1</v>
      </c>
      <c r="H84" s="22" t="s">
        <v>237</v>
      </c>
      <c r="I84" s="13">
        <v>42752.587280092594</v>
      </c>
      <c r="J84" s="7">
        <v>0</v>
      </c>
      <c r="K84" s="105" t="str">
        <f t="shared" si="39"/>
        <v>4021/4022</v>
      </c>
      <c r="L84" s="22" t="str">
        <f>VLOOKUP(A84,'Trips&amp;Operators'!$C$1:$G$99999,5,FALSE)</f>
        <v>SWANSON BRYCE</v>
      </c>
      <c r="M84" s="6">
        <f t="shared" si="40"/>
        <v>2.7268518519122154E-2</v>
      </c>
      <c r="N84" s="7">
        <f t="shared" si="41"/>
        <v>39.266666667535901</v>
      </c>
      <c r="O84" s="7"/>
      <c r="P84" s="7"/>
      <c r="Q84" s="23"/>
      <c r="R84" s="23"/>
      <c r="S84" s="32">
        <f t="shared" si="42"/>
        <v>1</v>
      </c>
      <c r="T84" s="47" t="str">
        <f t="shared" si="43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44"/>
        <v>https://d0f6bd738d7f1b3e5a7ca70fe4ff75f0.us-east-1.aws.found.io/app/kibana#/discover/Steve-Slow-Train-Analysis-(2080s-and-2083s)?_g=(refreshInterval:(display:Off,pause:!f,section:0,value:0),time:(from:'2017-01-17T12:14:14-0700',mode:absolute,to:'2017-01-17T15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49" t="str">
        <f t="shared" si="45"/>
        <v>N</v>
      </c>
      <c r="X84" s="173">
        <f t="shared" si="35"/>
        <v>1</v>
      </c>
      <c r="Y84" s="64">
        <f t="shared" si="46"/>
        <v>23.300599999999999</v>
      </c>
      <c r="Z84" s="64">
        <f t="shared" si="47"/>
        <v>1.3899999999999999E-2</v>
      </c>
      <c r="AA84" s="64">
        <f t="shared" si="48"/>
        <v>23.2867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9"/>
        <v>0172-17</v>
      </c>
      <c r="AE84" s="87" t="str">
        <f t="shared" si="50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84" s="84" t="str">
        <f t="shared" si="51"/>
        <v>"C:\Program Files (x86)\AstroGrep\AstroGrep.exe" /spath="%USERPROFILE%\AppData\Local\Temp\OnboardLogs" /stypes="app*4021*20170117*" /stext=" 21:.+((SYSTEM_STATE.+slice.+state.+changed )|(ment ac)|(multiple cpu faults)|(system.+state.+changed )|(\[timeout)|(PRM\|1\|D)|(kpr)|(kdp)|(\|lc)|(penalty))" /e /r /s</v>
      </c>
      <c r="AG84" s="1" t="str">
        <f t="shared" si="52"/>
        <v>EC</v>
      </c>
      <c r="AH84" s="88" t="str">
        <f t="shared" si="36"/>
        <v>"%USERPROFILE%\Documents\GitHub\eaglep3\Utilities\RefineRTDCRunTimes.py" --tripid 172-17 --locoid 4021 --swversion DE.1.0.8.0 --startMP 204:233006 --initTime 2017-01-17T13:14:14 --startdatetime 2017-01-17T13:26:25 --delay 1 --endMP 204:139 --enddatetime 2017-01-17T14:05:41 --enforcementcount 0 &gt;&gt;C:\Users\stu\Documents\GitHub\eaglep3-reporting\EC\2017-01-17-refined-times.txt</v>
      </c>
      <c r="AI8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{"issue":{"subject":"","project_id":79,"tracker_id":40,"status_id":1,"priority_id":2,"assigned_to_id":23,"start_date":"2017-01-17","description":"","custom_fields":[{"id":1,"name":"Subdivision","value":"EC"},{"id":4,"name":"Milepost","value":"0.0139"},{"id":17,"name":"Train ID","value":"172-17"},{"id":16,"name":"Locomotive ID","value":"4021"},{"id":130,"name":"Impact","value":""},{"id":150,"name":"Time of Event (Mountain Time)","value":"14:05:41"},{"id":151,"name":"Denver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8"/>
        <v>start /low /b %USERPROFILE%\Documents\GitHub\eaglep3\Utilities\DownloadLogsFromS3.py --loco 4021 --day 2017-01-17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472</v>
      </c>
      <c r="B85" s="7">
        <v>4007</v>
      </c>
      <c r="C85" s="22" t="s">
        <v>201</v>
      </c>
      <c r="D85" s="22" t="s">
        <v>318</v>
      </c>
      <c r="E85" s="13">
        <v>42752.528993055559</v>
      </c>
      <c r="F85" s="13">
        <v>42752.531736111108</v>
      </c>
      <c r="G85" s="7">
        <v>1</v>
      </c>
      <c r="H85" s="22" t="s">
        <v>716</v>
      </c>
      <c r="I85" s="13">
        <v>42752.557789351849</v>
      </c>
      <c r="J85" s="7">
        <v>0</v>
      </c>
      <c r="K85" s="105" t="str">
        <f t="shared" si="39"/>
        <v>4007/4008</v>
      </c>
      <c r="L85" s="22" t="str">
        <f>VLOOKUP(A85,'Trips&amp;Operators'!$C$1:$G$99999,5,FALSE)</f>
        <v>DAVIS MICHAEL</v>
      </c>
      <c r="M85" s="6">
        <f t="shared" si="40"/>
        <v>2.6053240741021E-2</v>
      </c>
      <c r="N85" s="7">
        <f t="shared" si="41"/>
        <v>37.51666666707024</v>
      </c>
      <c r="O85" s="7"/>
      <c r="P85" s="7"/>
      <c r="Q85" s="23"/>
      <c r="R85" s="23" t="s">
        <v>884</v>
      </c>
      <c r="S85" s="32">
        <f t="shared" si="42"/>
        <v>1</v>
      </c>
      <c r="T85" s="47" t="str">
        <f t="shared" si="43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44"/>
        <v>https://d0f6bd738d7f1b3e5a7ca70fe4ff75f0.us-east-1.aws.found.io/app/kibana#/discover/Steve-Slow-Train-Analysis-(2080s-and-2083s)?_g=(refreshInterval:(display:Off,pause:!f,section:0,value:0),time:(from:'2017-01-17T11:41:45-0700',mode:absolute,to:'2017-01-17T14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49" t="str">
        <f t="shared" si="45"/>
        <v>N</v>
      </c>
      <c r="X85" s="173">
        <f t="shared" si="35"/>
        <v>1</v>
      </c>
      <c r="Y85" s="64">
        <f t="shared" si="46"/>
        <v>4.6600000000000003E-2</v>
      </c>
      <c r="Z85" s="64">
        <f t="shared" si="47"/>
        <v>23.3309</v>
      </c>
      <c r="AA85" s="64">
        <f t="shared" si="48"/>
        <v>23.284299999999998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9"/>
        <v>0173-17</v>
      </c>
      <c r="AE85" s="87" t="str">
        <f t="shared" si="50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85" s="84" t="str">
        <f t="shared" si="51"/>
        <v>"C:\Program Files (x86)\AstroGrep\AstroGrep.exe" /spath="%USERPROFILE%\AppData\Local\Temp\OnboardLogs" /stypes="app*4007*20170117*" /stext=" 20:.+((SYSTEM_STATE.+slice.+state.+changed )|(ment ac)|(multiple cpu faults)|(system.+state.+changed )|(\[timeout)|(PRM\|1\|D)|(kpr)|(kdp)|(\|lc)|(penalty))" /e /r /s</v>
      </c>
      <c r="AG85" s="1" t="str">
        <f t="shared" si="52"/>
        <v>EC</v>
      </c>
      <c r="AH85" s="88" t="str">
        <f t="shared" si="36"/>
        <v>"%USERPROFILE%\Documents\GitHub\eaglep3\Utilities\RefineRTDCRunTimes.py" --tripid 173-17 --locoid 4007 --swversion DE.1.0.8.0 --startMP 204:466 --initTime 2017-01-17T12:41:45 --startdatetime 2017-01-17T12:45:42 --delay 1 --endMP 204:233309 --enddatetime 2017-01-17T13:23:13 --enforcementcount 0 &gt;&gt;C:\Users\stu\Documents\GitHub\eaglep3-reporting\EC\2017-01-17-refined-times.txt</v>
      </c>
      <c r="AI85" s="115" t="str">
        <f t="shared" si="37"/>
        <v>echo {"issue":{"subject":"Incident claims hard cab flips, data shows TRACK WARRANT enforcements","project_id":79,"tracker_id":40,"status_id":1,"priority_id":2,"assigned_to_id":23,"start_date":"2017-01-17","description":"","custom_fields":[{"id":1,"name":"Subdivision","value":"EC"},{"id":4,"name":"Milepost","value":"23.3309"},{"id":17,"name":"Train ID","value":"173-17"},{"id":16,"name":"Locomotive ID","value":"4007"},{"id":130,"name":"Impact","value":""},{"id":150,"name":"Time of Event (Mountain Time)","value":"13:23:13"},{"id":151,"name":"Denver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8"/>
        <v>start /low /b %USERPROFILE%\Documents\GitHub\eaglep3\Utilities\DownloadLogsFromS3.py --loco 4007 --day 2017-01-17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606</v>
      </c>
      <c r="B86" s="7">
        <v>4008</v>
      </c>
      <c r="C86" s="22" t="s">
        <v>201</v>
      </c>
      <c r="D86" s="22" t="s">
        <v>344</v>
      </c>
      <c r="E86" s="13">
        <v>42752.568043981482</v>
      </c>
      <c r="F86" s="13">
        <v>42752.57068287037</v>
      </c>
      <c r="G86" s="7">
        <v>1</v>
      </c>
      <c r="H86" s="22" t="s">
        <v>320</v>
      </c>
      <c r="I86" s="13">
        <v>42752.599178240744</v>
      </c>
      <c r="J86" s="7">
        <v>0</v>
      </c>
      <c r="K86" s="105" t="str">
        <f t="shared" si="39"/>
        <v>4007/4008</v>
      </c>
      <c r="L86" s="22" t="str">
        <f>VLOOKUP(A86,'Trips&amp;Operators'!$C$1:$G$99999,5,FALSE)</f>
        <v>DAVIS MICHAEL</v>
      </c>
      <c r="M86" s="6">
        <f t="shared" si="40"/>
        <v>2.849537037400296E-2</v>
      </c>
      <c r="N86" s="7">
        <f t="shared" si="41"/>
        <v>41.033333338564262</v>
      </c>
      <c r="O86" s="7"/>
      <c r="P86" s="7"/>
      <c r="Q86" s="23"/>
      <c r="R86" s="23"/>
      <c r="S86" s="32">
        <f t="shared" si="42"/>
        <v>1</v>
      </c>
      <c r="T86" s="47" t="str">
        <f t="shared" si="43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4"/>
        <v>https://d0f6bd738d7f1b3e5a7ca70fe4ff75f0.us-east-1.aws.found.io/app/kibana#/discover/Steve-Slow-Train-Analysis-(2080s-and-2083s)?_g=(refreshInterval:(display:Off,pause:!f,section:0,value:0),time:(from:'2017-01-17T12:37:59-0700',mode:absolute,to:'2017-01-17T15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49" t="str">
        <f t="shared" si="45"/>
        <v>N</v>
      </c>
      <c r="X86" s="173">
        <f t="shared" si="35"/>
        <v>1</v>
      </c>
      <c r="Y86" s="64">
        <f t="shared" si="46"/>
        <v>23.298200000000001</v>
      </c>
      <c r="Z86" s="64">
        <f t="shared" si="47"/>
        <v>1.32E-2</v>
      </c>
      <c r="AA86" s="64">
        <f t="shared" si="48"/>
        <v>23.285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9"/>
        <v>0174-17</v>
      </c>
      <c r="AE86" s="87" t="str">
        <f t="shared" si="50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86" s="84" t="str">
        <f t="shared" si="51"/>
        <v>"C:\Program Files (x86)\AstroGrep\AstroGrep.exe" /spath="%USERPROFILE%\AppData\Local\Temp\OnboardLogs" /stypes="app*4008*20170117*" /stext=" 21:.+((SYSTEM_STATE.+slice.+state.+changed )|(ment ac)|(multiple cpu faults)|(system.+state.+changed )|(\[timeout)|(PRM\|1\|D)|(kpr)|(kdp)|(\|lc)|(penalty))" /e /r /s</v>
      </c>
      <c r="AG86" s="1" t="str">
        <f t="shared" si="52"/>
        <v>EC</v>
      </c>
      <c r="AH86" s="88" t="str">
        <f t="shared" si="36"/>
        <v>"%USERPROFILE%\Documents\GitHub\eaglep3\Utilities\RefineRTDCRunTimes.py" --tripid 174-17 --locoid 4008 --swversion DE.1.0.8.0 --startMP 204:232982 --initTime 2017-01-17T13:37:59 --startdatetime 2017-01-17T13:41:47 --delay 1 --endMP 204:132 --enddatetime 2017-01-17T14:22:49 --enforcementcount 0 &gt;&gt;C:\Users\stu\Documents\GitHub\eaglep3-reporting\EC\2017-01-17-refined-times.txt</v>
      </c>
      <c r="AI8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{"issue":{"subject":"","project_id":79,"tracker_id":40,"status_id":1,"priority_id":2,"assigned_to_id":23,"start_date":"2017-01-17","description":"","custom_fields":[{"id":1,"name":"Subdivision","value":"EC"},{"id":4,"name":"Milepost","value":"0.0132"},{"id":17,"name":"Train ID","value":"174-17"},{"id":16,"name":"Locomotive ID","value":"4008"},{"id":130,"name":"Impact","value":""},{"id":150,"name":"Time of Event (Mountain Time)","value":"14:22:49"},{"id":151,"name":"Denver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8"/>
        <v>start /low /b %USERPROFILE%\Documents\GitHub\eaglep3\Utilities\DownloadLogsFromS3.py --loco 4008 --day 2017-01-17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601</v>
      </c>
      <c r="B87" s="7">
        <v>4002</v>
      </c>
      <c r="C87" s="22" t="s">
        <v>201</v>
      </c>
      <c r="D87" s="22" t="s">
        <v>241</v>
      </c>
      <c r="E87" s="13">
        <v>42752.537604166668</v>
      </c>
      <c r="F87" s="13">
        <v>42752.541921296295</v>
      </c>
      <c r="G87" s="7">
        <v>1</v>
      </c>
      <c r="H87" s="22" t="s">
        <v>282</v>
      </c>
      <c r="I87" s="13">
        <v>42752.566689814812</v>
      </c>
      <c r="J87" s="7">
        <v>0</v>
      </c>
      <c r="K87" s="105" t="str">
        <f t="shared" si="39"/>
        <v>4001/4002</v>
      </c>
      <c r="L87" s="22" t="str">
        <f>VLOOKUP(A87,'Trips&amp;Operators'!$C$1:$G$99999,5,FALSE)</f>
        <v>STEWART MICHAEL</v>
      </c>
      <c r="M87" s="6">
        <f t="shared" si="40"/>
        <v>2.4768518516793847E-2</v>
      </c>
      <c r="N87" s="7">
        <f t="shared" si="41"/>
        <v>35.66666666418314</v>
      </c>
      <c r="O87" s="7"/>
      <c r="P87" s="7"/>
      <c r="Q87" s="23"/>
      <c r="R87" s="23"/>
      <c r="S87" s="32">
        <f t="shared" si="42"/>
        <v>1</v>
      </c>
      <c r="T87" s="47" t="str">
        <f t="shared" si="43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4"/>
        <v>https://d0f6bd738d7f1b3e5a7ca70fe4ff75f0.us-east-1.aws.found.io/app/kibana#/discover/Steve-Slow-Train-Analysis-(2080s-and-2083s)?_g=(refreshInterval:(display:Off,pause:!f,section:0,value:0),time:(from:'2017-01-17T11:54:09-0700',mode:absolute,to:'2017-01-17T14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49" t="str">
        <f t="shared" si="45"/>
        <v>N</v>
      </c>
      <c r="X87" s="173">
        <f t="shared" si="35"/>
        <v>1</v>
      </c>
      <c r="Y87" s="64">
        <f t="shared" si="46"/>
        <v>4.6199999999999998E-2</v>
      </c>
      <c r="Z87" s="64">
        <f t="shared" si="47"/>
        <v>23.330400000000001</v>
      </c>
      <c r="AA87" s="64">
        <f t="shared" si="48"/>
        <v>23.284200000000002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9"/>
        <v>0175-17</v>
      </c>
      <c r="AE87" s="87" t="str">
        <f t="shared" si="5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87" s="84" t="str">
        <f t="shared" si="51"/>
        <v>"C:\Program Files (x86)\AstroGrep\AstroGrep.exe" /spath="%USERPROFILE%\AppData\Local\Temp\OnboardLogs" /stypes="app*4002*20170117*" /stext=" 20:.+((SYSTEM_STATE.+slice.+state.+changed )|(ment ac)|(multiple cpu faults)|(system.+state.+changed )|(\[timeout)|(PRM\|1\|D)|(kpr)|(kdp)|(\|lc)|(penalty))" /e /r /s</v>
      </c>
      <c r="AG87" s="1" t="str">
        <f t="shared" si="52"/>
        <v>EC</v>
      </c>
      <c r="AH87" s="88" t="str">
        <f t="shared" si="36"/>
        <v>"%USERPROFILE%\Documents\GitHub\eaglep3\Utilities\RefineRTDCRunTimes.py" --tripid 175-17 --locoid 4002 --swversion DE.1.0.8.0 --startMP 204:462 --initTime 2017-01-17T12:54:09 --startdatetime 2017-01-17T13:00:22 --delay 1 --endMP 204:233304 --enddatetime 2017-01-17T13:36:02 --enforcementcount 0 &gt;&gt;C:\Users\stu\Documents\GitHub\eaglep3-reporting\EC\2017-01-17-refined-times.txt</v>
      </c>
      <c r="AI8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{"issue":{"subject":"","project_id":79,"tracker_id":40,"status_id":1,"priority_id":2,"assigned_to_id":23,"start_date":"2017-01-17","description":"","custom_fields":[{"id":1,"name":"Subdivision","value":"EC"},{"id":4,"name":"Milepost","value":"23.3304"},{"id":17,"name":"Train ID","value":"175-17"},{"id":16,"name":"Locomotive ID","value":"4002"},{"id":130,"name":"Impact","value":""},{"id":150,"name":"Time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8"/>
        <v>start /low /b %USERPROFILE%\Documents\GitHub\eaglep3\Utilities\DownloadLogsFromS3.py --loco 4002 --day 2017-01-17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608</v>
      </c>
      <c r="B88" s="7">
        <v>4001</v>
      </c>
      <c r="C88" s="22" t="s">
        <v>201</v>
      </c>
      <c r="D88" s="22" t="s">
        <v>289</v>
      </c>
      <c r="E88" s="13">
        <v>42752.5781712963</v>
      </c>
      <c r="F88" s="13">
        <v>42752.580740740741</v>
      </c>
      <c r="G88" s="7">
        <v>1</v>
      </c>
      <c r="H88" s="22" t="s">
        <v>253</v>
      </c>
      <c r="I88" s="13">
        <v>42752.61041666667</v>
      </c>
      <c r="J88" s="7">
        <v>0</v>
      </c>
      <c r="K88" s="105" t="str">
        <f t="shared" si="39"/>
        <v>4001/4002</v>
      </c>
      <c r="L88" s="22" t="str">
        <f>VLOOKUP(A88,'Trips&amp;Operators'!$C$1:$G$99999,5,FALSE)</f>
        <v>STEWART MICHAEL</v>
      </c>
      <c r="M88" s="6">
        <f t="shared" si="40"/>
        <v>2.9675925929041114E-2</v>
      </c>
      <c r="N88" s="7">
        <f t="shared" si="41"/>
        <v>42.733333337819204</v>
      </c>
      <c r="O88" s="7"/>
      <c r="P88" s="7"/>
      <c r="Q88" s="23"/>
      <c r="R88" s="23"/>
      <c r="S88" s="32">
        <f t="shared" si="42"/>
        <v>1</v>
      </c>
      <c r="T88" s="47" t="str">
        <f t="shared" si="43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4"/>
        <v>https://d0f6bd738d7f1b3e5a7ca70fe4ff75f0.us-east-1.aws.found.io/app/kibana#/discover/Steve-Slow-Train-Analysis-(2080s-and-2083s)?_g=(refreshInterval:(display:Off,pause:!f,section:0,value:0),time:(from:'2017-01-17T12:52:34-0700',mode:absolute,to:'2017-01-17T15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49" t="str">
        <f t="shared" si="45"/>
        <v>N</v>
      </c>
      <c r="X88" s="173">
        <f t="shared" si="35"/>
        <v>1</v>
      </c>
      <c r="Y88" s="64">
        <f t="shared" si="46"/>
        <v>23.299099999999999</v>
      </c>
      <c r="Z88" s="64">
        <f t="shared" si="47"/>
        <v>1.5800000000000002E-2</v>
      </c>
      <c r="AA88" s="64">
        <f t="shared" si="48"/>
        <v>23.283300000000001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49"/>
        <v>0176-17</v>
      </c>
      <c r="AE88" s="87" t="str">
        <f t="shared" si="50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88" s="84" t="str">
        <f t="shared" si="51"/>
        <v>"C:\Program Files (x86)\AstroGrep\AstroGrep.exe" /spath="%USERPROFILE%\AppData\Local\Temp\OnboardLogs" /stypes="app*4001*20170117*" /stext=" 21:.+((SYSTEM_STATE.+slice.+state.+changed )|(ment ac)|(multiple cpu faults)|(system.+state.+changed )|(\[timeout)|(PRM\|1\|D)|(kpr)|(kdp)|(\|lc)|(penalty))" /e /r /s</v>
      </c>
      <c r="AG88" s="1" t="str">
        <f t="shared" si="52"/>
        <v>EC</v>
      </c>
      <c r="AH88" s="88" t="str">
        <f t="shared" si="36"/>
        <v>"%USERPROFILE%\Documents\GitHub\eaglep3\Utilities\RefineRTDCRunTimes.py" --tripid 176-17 --locoid 4001 --swversion DE.1.0.8.0 --startMP 204:232991 --initTime 2017-01-17T13:52:34 --startdatetime 2017-01-17T13:56:16 --delay 1 --endMP 204:158 --enddatetime 2017-01-17T14:39:00 --enforcementcount 0 &gt;&gt;C:\Users\stu\Documents\GitHub\eaglep3-reporting\EC\2017-01-17-refined-times.txt</v>
      </c>
      <c r="AI8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{"issue":{"subject":"","project_id":79,"tracker_id":40,"status_id":1,"priority_id":2,"assigned_to_id":23,"start_date":"2017-01-17","description":"","custom_fields":[{"id":1,"name":"Subdivision","value":"EC"},{"id":4,"name":"Milepost","value":"0.0158"},{"id":17,"name":"Train ID","value":"176-17"},{"id":16,"name":"Locomotive ID","value":"4001"},{"id":130,"name":"Impact","value":""},{"id":150,"name":"Time of Event (Mountain Time)","value":"14:39:00"},{"id":151,"name":"Denver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8"/>
        <v>start /low /b %USERPROFILE%\Documents\GitHub\eaglep3\Utilities\DownloadLogsFromS3.py --loco 4001 --day 2017-01-17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4" t="s">
        <v>603</v>
      </c>
      <c r="B89" s="7">
        <v>4031</v>
      </c>
      <c r="C89" s="22" t="s">
        <v>201</v>
      </c>
      <c r="D89" s="22" t="s">
        <v>361</v>
      </c>
      <c r="E89" s="13">
        <v>42752.548750000002</v>
      </c>
      <c r="F89" s="13">
        <v>42752.552465277775</v>
      </c>
      <c r="G89" s="7">
        <v>1</v>
      </c>
      <c r="H89" s="22" t="s">
        <v>716</v>
      </c>
      <c r="I89" s="13">
        <v>42752.577326388891</v>
      </c>
      <c r="J89" s="7">
        <v>0</v>
      </c>
      <c r="K89" s="105" t="str">
        <f t="shared" si="39"/>
        <v>4031/4032</v>
      </c>
      <c r="L89" s="22" t="str">
        <f>VLOOKUP(A89,'Trips&amp;Operators'!$C$1:$G$99999,5,FALSE)</f>
        <v>YANG JAN</v>
      </c>
      <c r="M89" s="6">
        <f t="shared" si="40"/>
        <v>2.4861111116479151E-2</v>
      </c>
      <c r="N89" s="7">
        <f t="shared" si="41"/>
        <v>35.800000007729977</v>
      </c>
      <c r="O89" s="7"/>
      <c r="P89" s="7"/>
      <c r="Q89" s="23"/>
      <c r="R89" s="23"/>
      <c r="S89" s="32">
        <f t="shared" si="42"/>
        <v>1</v>
      </c>
      <c r="T89" s="47" t="str">
        <f t="shared" si="43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44"/>
        <v>https://d0f6bd738d7f1b3e5a7ca70fe4ff75f0.us-east-1.aws.found.io/app/kibana#/discover/Steve-Slow-Train-Analysis-(2080s-and-2083s)?_g=(refreshInterval:(display:Off,pause:!f,section:0,value:0),time:(from:'2017-01-17T12:10:12-0700',mode:absolute,to:'2017-01-17T14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9" s="49" t="str">
        <f t="shared" si="45"/>
        <v>N</v>
      </c>
      <c r="X89" s="173">
        <f t="shared" si="35"/>
        <v>1</v>
      </c>
      <c r="Y89" s="64">
        <f t="shared" si="46"/>
        <v>4.5699999999999998E-2</v>
      </c>
      <c r="Z89" s="64">
        <f t="shared" si="47"/>
        <v>23.3309</v>
      </c>
      <c r="AA89" s="64">
        <f t="shared" si="48"/>
        <v>23.2852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9"/>
        <v>0177-17</v>
      </c>
      <c r="AE89" s="87" t="str">
        <f t="shared" si="5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89" s="84" t="str">
        <f t="shared" si="51"/>
        <v>"C:\Program Files (x86)\AstroGrep\AstroGrep.exe" /spath="%USERPROFILE%\AppData\Local\Temp\OnboardLogs" /stypes="app*4031*20170117*" /stext=" 20:.+((SYSTEM_STATE.+slice.+state.+changed )|(ment ac)|(multiple cpu faults)|(system.+state.+changed )|(\[timeout)|(PRM\|1\|D)|(kpr)|(kdp)|(\|lc)|(penalty))" /e /r /s</v>
      </c>
      <c r="AG89" s="1" t="str">
        <f t="shared" si="52"/>
        <v>EC</v>
      </c>
      <c r="AH89" s="88" t="str">
        <f t="shared" si="36"/>
        <v>"%USERPROFILE%\Documents\GitHub\eaglep3\Utilities\RefineRTDCRunTimes.py" --tripid 177-17 --locoid 4031 --swversion DE.1.0.8.0 --startMP 204:457 --initTime 2017-01-17T13:10:12 --startdatetime 2017-01-17T13:15:33 --delay 1 --endMP 204:233309 --enddatetime 2017-01-17T13:51:21 --enforcementcount 0 &gt;&gt;C:\Users\stu\Documents\GitHub\eaglep3-reporting\EC\2017-01-17-refined-times.txt</v>
      </c>
      <c r="AI8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{"issue":{"subject":"","project_id":79,"tracker_id":40,"status_id":1,"priority_id":2,"assigned_to_id":23,"start_date":"2017-01-17","description":"","custom_fields":[{"id":1,"name":"Subdivision","value":"EC"},{"id":4,"name":"Milepost","value":"23.3309"},{"id":17,"name":"Train ID","value":"177-17"},{"id":16,"name":"Locomotive ID","value":"4031"},{"id":130,"name":"Impact","value":""},{"id":150,"name":"Time of Event (Mountain Time)","value":"13:51:21"},{"id":151,"name":"Denver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8"/>
        <v>start /low /b %USERPROFILE%\Documents\GitHub\eaglep3\Utilities\DownloadLogsFromS3.py --loco 4031 --day 2017-01-17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</row>
    <row r="90" spans="1:91" x14ac:dyDescent="0.25">
      <c r="A90" s="34" t="s">
        <v>609</v>
      </c>
      <c r="B90" s="7">
        <v>4032</v>
      </c>
      <c r="C90" s="22" t="s">
        <v>201</v>
      </c>
      <c r="D90" s="22" t="s">
        <v>244</v>
      </c>
      <c r="E90" s="13">
        <v>42752.584768518522</v>
      </c>
      <c r="F90" s="13">
        <v>42752.591180555559</v>
      </c>
      <c r="G90" s="7">
        <v>1</v>
      </c>
      <c r="H90" s="22" t="s">
        <v>283</v>
      </c>
      <c r="I90" s="13">
        <v>42752.618402777778</v>
      </c>
      <c r="J90" s="7">
        <v>0</v>
      </c>
      <c r="K90" s="105" t="str">
        <f t="shared" si="39"/>
        <v>4031/4032</v>
      </c>
      <c r="L90" s="22" t="str">
        <f>VLOOKUP(A90,'Trips&amp;Operators'!$C$1:$G$99999,5,FALSE)</f>
        <v>YANG JAN</v>
      </c>
      <c r="M90" s="6">
        <f t="shared" si="40"/>
        <v>2.7222222219279502E-2</v>
      </c>
      <c r="N90" s="7">
        <f t="shared" si="41"/>
        <v>39.199999995762482</v>
      </c>
      <c r="O90" s="7"/>
      <c r="P90" s="7"/>
      <c r="Q90" s="23"/>
      <c r="R90" s="23"/>
      <c r="S90" s="32">
        <f t="shared" si="42"/>
        <v>1</v>
      </c>
      <c r="T90" s="47" t="str">
        <f t="shared" si="43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44"/>
        <v>https://d0f6bd738d7f1b3e5a7ca70fe4ff75f0.us-east-1.aws.found.io/app/kibana#/discover/Steve-Slow-Train-Analysis-(2080s-and-2083s)?_g=(refreshInterval:(display:Off,pause:!f,section:0,value:0),time:(from:'2017-01-17T13:02:04-0700',mode:absolute,to:'2017-01-17T15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49" t="str">
        <f t="shared" si="45"/>
        <v>N</v>
      </c>
      <c r="X90" s="173">
        <f t="shared" si="35"/>
        <v>1</v>
      </c>
      <c r="Y90" s="64">
        <f t="shared" si="46"/>
        <v>23.2986</v>
      </c>
      <c r="Z90" s="64">
        <f t="shared" si="47"/>
        <v>1.6299999999999999E-2</v>
      </c>
      <c r="AA90" s="64">
        <f t="shared" si="48"/>
        <v>23.282299999999999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9"/>
        <v>0178-17</v>
      </c>
      <c r="AE90" s="87" t="str">
        <f t="shared" si="50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90" s="84" t="str">
        <f t="shared" si="51"/>
        <v>"C:\Program Files (x86)\AstroGrep\AstroGrep.exe" /spath="%USERPROFILE%\AppData\Local\Temp\OnboardLogs" /stypes="app*4032*20170117*" /stext=" 21:.+((SYSTEM_STATE.+slice.+state.+changed )|(ment ac)|(multiple cpu faults)|(system.+state.+changed )|(\[timeout)|(PRM\|1\|D)|(kpr)|(kdp)|(\|lc)|(penalty))" /e /r /s</v>
      </c>
      <c r="AG90" s="1" t="str">
        <f t="shared" si="52"/>
        <v>EC</v>
      </c>
      <c r="AH90" s="88" t="str">
        <f t="shared" si="36"/>
        <v>"%USERPROFILE%\Documents\GitHub\eaglep3\Utilities\RefineRTDCRunTimes.py" --tripid 178-17 --locoid 4032 --swversion DE.1.0.8.0 --startMP 204:232986 --initTime 2017-01-17T14:02:04 --startdatetime 2017-01-17T14:11:18 --delay 1 --endMP 204:163 --enddatetime 2017-01-17T14:50:30 --enforcementcount 0 &gt;&gt;C:\Users\stu\Documents\GitHub\eaglep3-reporting\EC\2017-01-17-refined-times.txt</v>
      </c>
      <c r="AI9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{"issue":{"subject":"","project_id":79,"tracker_id":40,"status_id":1,"priority_id":2,"assigned_to_id":23,"start_date":"2017-01-17","description":"","custom_fields":[{"id":1,"name":"Subdivision","value":"EC"},{"id":4,"name":"Milepost","value":"0.0163"},{"id":17,"name":"Train ID","value":"178-17"},{"id":16,"name":"Locomotive ID","value":"4032"},{"id":130,"name":"Impact","value":""},{"id":150,"name":"Time of Event (Mountain Time)","value":"14:50:30"},{"id":151,"name":"Denver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8"/>
        <v>start /low /b %USERPROFILE%\Documents\GitHub\eaglep3\Utilities\DownloadLogsFromS3.py --loco 4032 --day 2017-01-17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</row>
    <row r="91" spans="1:91" s="21" customFormat="1" x14ac:dyDescent="0.25">
      <c r="A91" s="34" t="s">
        <v>605</v>
      </c>
      <c r="B91" s="7">
        <v>4042</v>
      </c>
      <c r="C91" s="22" t="s">
        <v>201</v>
      </c>
      <c r="D91" s="22" t="s">
        <v>359</v>
      </c>
      <c r="E91" s="13">
        <v>42752.559270833335</v>
      </c>
      <c r="F91" s="13">
        <v>42752.562731481485</v>
      </c>
      <c r="G91" s="7">
        <v>1</v>
      </c>
      <c r="H91" s="22" t="s">
        <v>319</v>
      </c>
      <c r="I91" s="13">
        <v>42752.590370370373</v>
      </c>
      <c r="J91" s="7">
        <v>0</v>
      </c>
      <c r="K91" s="105" t="str">
        <f t="shared" si="39"/>
        <v>4041/4042</v>
      </c>
      <c r="L91" s="22" t="str">
        <f>VLOOKUP(A91,'Trips&amp;Operators'!$C$1:$G$99999,5,FALSE)</f>
        <v>CLARK KATHLEEN</v>
      </c>
      <c r="M91" s="6">
        <f t="shared" si="40"/>
        <v>2.7638888888759539E-2</v>
      </c>
      <c r="N91" s="7">
        <f t="shared" si="41"/>
        <v>39.799999999813735</v>
      </c>
      <c r="O91" s="7"/>
      <c r="P91" s="7"/>
      <c r="Q91" s="23"/>
      <c r="R91" s="23"/>
      <c r="S91" s="32">
        <f t="shared" si="42"/>
        <v>1</v>
      </c>
      <c r="T91" s="47" t="str">
        <f t="shared" si="43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4"/>
        <v>https://d0f6bd738d7f1b3e5a7ca70fe4ff75f0.us-east-1.aws.found.io/app/kibana#/discover/Steve-Slow-Train-Analysis-(2080s-and-2083s)?_g=(refreshInterval:(display:Off,pause:!f,section:0,value:0),time:(from:'2017-01-17T12:25:21-0700',mode:absolute,to:'2017-01-17T15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49" t="str">
        <f t="shared" si="45"/>
        <v>N</v>
      </c>
      <c r="X91" s="173">
        <f t="shared" si="35"/>
        <v>1</v>
      </c>
      <c r="Y91" s="64">
        <f t="shared" si="46"/>
        <v>4.7500000000000001E-2</v>
      </c>
      <c r="Z91" s="64">
        <f t="shared" si="47"/>
        <v>23.329499999999999</v>
      </c>
      <c r="AA91" s="64">
        <f t="shared" si="48"/>
        <v>23.282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9"/>
        <v>0179-17</v>
      </c>
      <c r="AE91" s="87" t="str">
        <f t="shared" si="50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91" s="84" t="str">
        <f t="shared" si="51"/>
        <v>"C:\Program Files (x86)\AstroGrep\AstroGrep.exe" /spath="%USERPROFILE%\AppData\Local\Temp\OnboardLogs" /stypes="app*4042*20170117*" /stext=" 21:.+((SYSTEM_STATE.+slice.+state.+changed )|(ment ac)|(multiple cpu faults)|(system.+state.+changed )|(\[timeout)|(PRM\|1\|D)|(kpr)|(kdp)|(\|lc)|(penalty))" /e /r /s</v>
      </c>
      <c r="AG91" s="1" t="str">
        <f t="shared" si="52"/>
        <v>EC</v>
      </c>
      <c r="AH91" s="88" t="str">
        <f t="shared" si="36"/>
        <v>"%USERPROFILE%\Documents\GitHub\eaglep3\Utilities\RefineRTDCRunTimes.py" --tripid 179-17 --locoid 4042 --swversion DE.1.0.8.0 --startMP 204:475 --initTime 2017-01-17T13:25:21 --startdatetime 2017-01-17T13:30:20 --delay 1 --endMP 204:233295 --enddatetime 2017-01-17T14:10:08 --enforcementcount 0 &gt;&gt;C:\Users\stu\Documents\GitHub\eaglep3-reporting\EC\2017-01-17-refined-times.txt</v>
      </c>
      <c r="AI9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{"issue":{"subject":"","project_id":79,"tracker_id":40,"status_id":1,"priority_id":2,"assigned_to_id":23,"start_date":"2017-01-17","description":"","custom_fields":[{"id":1,"name":"Subdivision","value":"EC"},{"id":4,"name":"Milepost","value":"23.3295"},{"id":17,"name":"Train ID","value":"179-17"},{"id":16,"name":"Locomotive ID","value":"4042"},{"id":130,"name":"Impact","value":""},{"id":150,"name":"Time of Event (Mountain Time)","value":"14:10:08"},{"id":151,"name":"Denver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8"/>
        <v>start /low /b %USERPROFILE%\Documents\GitHub\eaglep3\Utilities\DownloadLogsFromS3.py --loco 4042 --day 2017-01-17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611</v>
      </c>
      <c r="B92" s="7">
        <v>4041</v>
      </c>
      <c r="C92" s="22" t="s">
        <v>201</v>
      </c>
      <c r="D92" s="22" t="s">
        <v>422</v>
      </c>
      <c r="E92" s="13">
        <v>42752.597037037034</v>
      </c>
      <c r="F92" s="13">
        <v>42752.601574074077</v>
      </c>
      <c r="G92" s="7">
        <v>1</v>
      </c>
      <c r="H92" s="22" t="s">
        <v>324</v>
      </c>
      <c r="I92" s="13">
        <v>42752.62903935185</v>
      </c>
      <c r="J92" s="7">
        <v>0</v>
      </c>
      <c r="K92" s="105" t="str">
        <f t="shared" si="39"/>
        <v>4041/4042</v>
      </c>
      <c r="L92" s="22" t="str">
        <f>VLOOKUP(A92,'Trips&amp;Operators'!$C$1:$G$99999,5,FALSE)</f>
        <v>CLARK KATHLEEN</v>
      </c>
      <c r="M92" s="6">
        <f t="shared" si="40"/>
        <v>2.7465277773444541E-2</v>
      </c>
      <c r="N92" s="7">
        <f t="shared" si="41"/>
        <v>39.549999993760139</v>
      </c>
      <c r="O92" s="7"/>
      <c r="P92" s="7"/>
      <c r="Q92" s="23"/>
      <c r="R92" s="23"/>
      <c r="S92" s="32">
        <f t="shared" si="42"/>
        <v>1</v>
      </c>
      <c r="T92" s="47" t="str">
        <f t="shared" si="43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4"/>
        <v>https://d0f6bd738d7f1b3e5a7ca70fe4ff75f0.us-east-1.aws.found.io/app/kibana#/discover/Steve-Slow-Train-Analysis-(2080s-and-2083s)?_g=(refreshInterval:(display:Off,pause:!f,section:0,value:0),time:(from:'2017-01-17T13:19:44-0700',mode:absolute,to:'2017-01-17T16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49" t="str">
        <f t="shared" si="45"/>
        <v>N</v>
      </c>
      <c r="X92" s="173">
        <f t="shared" si="35"/>
        <v>1</v>
      </c>
      <c r="Y92" s="64">
        <f t="shared" si="46"/>
        <v>23.296800000000001</v>
      </c>
      <c r="Z92" s="64">
        <f t="shared" si="47"/>
        <v>1.6899999999999998E-2</v>
      </c>
      <c r="AA92" s="64">
        <f t="shared" si="48"/>
        <v>23.279900000000001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9"/>
        <v>0180-17</v>
      </c>
      <c r="AE92" s="87" t="str">
        <f t="shared" si="50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92" s="84" t="str">
        <f t="shared" si="51"/>
        <v>"C:\Program Files (x86)\AstroGrep\AstroGrep.exe" /spath="%USERPROFILE%\AppData\Local\Temp\OnboardLogs" /stypes="app*4041*20170117*" /stext=" 22:.+((SYSTEM_STATE.+slice.+state.+changed )|(ment ac)|(multiple cpu faults)|(system.+state.+changed )|(\[timeout)|(PRM\|1\|D)|(kpr)|(kdp)|(\|lc)|(penalty))" /e /r /s</v>
      </c>
      <c r="AG92" s="1" t="str">
        <f t="shared" si="52"/>
        <v>EC</v>
      </c>
      <c r="AH92" s="88" t="str">
        <f t="shared" si="36"/>
        <v>"%USERPROFILE%\Documents\GitHub\eaglep3\Utilities\RefineRTDCRunTimes.py" --tripid 180-17 --locoid 4041 --swversion DE.1.0.8.0 --startMP 204:232968 --initTime 2017-01-17T14:19:44 --startdatetime 2017-01-17T14:26:16 --delay 1 --endMP 204:169 --enddatetime 2017-01-17T15:05:49 --enforcementcount 0 &gt;&gt;C:\Users\stu\Documents\GitHub\eaglep3-reporting\EC\2017-01-17-refined-times.txt</v>
      </c>
      <c r="AI9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{"issue":{"subject":"","project_id":79,"tracker_id":40,"status_id":1,"priority_id":2,"assigned_to_id":23,"start_date":"2017-01-17","description":"","custom_fields":[{"id":1,"name":"Subdivision","value":"EC"},{"id":4,"name":"Milepost","value":"0.0169"},{"id":17,"name":"Train ID","value":"180-17"},{"id":16,"name":"Locomotive ID","value":"4041"},{"id":130,"name":"Impact","value":""},{"id":150,"name":"Time of Event (Mountain Time)","value":"15:05:49"},{"id":151,"name":"Denver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8"/>
        <v>start /low /b %USERPROFILE%\Documents\GitHub\eaglep3\Utilities\DownloadLogsFromS3.py --loco 4041 --day 2017-01-17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607</v>
      </c>
      <c r="B93" s="7">
        <v>4044</v>
      </c>
      <c r="C93" s="22" t="s">
        <v>201</v>
      </c>
      <c r="D93" s="22" t="s">
        <v>717</v>
      </c>
      <c r="E93" s="13">
        <v>42752.569918981484</v>
      </c>
      <c r="F93" s="13">
        <v>42752.573425925926</v>
      </c>
      <c r="G93" s="7">
        <v>1</v>
      </c>
      <c r="H93" s="22" t="s">
        <v>293</v>
      </c>
      <c r="I93" s="13">
        <v>42752.59883101852</v>
      </c>
      <c r="J93" s="7">
        <v>0</v>
      </c>
      <c r="K93" s="105" t="str">
        <f t="shared" si="39"/>
        <v>4043/4044</v>
      </c>
      <c r="L93" s="22" t="str">
        <f>VLOOKUP(A93,'Trips&amp;Operators'!$C$1:$G$99999,5,FALSE)</f>
        <v>CRAYTON QUNTRELL</v>
      </c>
      <c r="M93" s="6">
        <f t="shared" si="40"/>
        <v>2.5405092594155576E-2</v>
      </c>
      <c r="N93" s="7">
        <f t="shared" si="41"/>
        <v>36.58333333558403</v>
      </c>
      <c r="O93" s="7"/>
      <c r="P93" s="7"/>
      <c r="Q93" s="23"/>
      <c r="R93" s="23"/>
      <c r="S93" s="32">
        <f t="shared" si="42"/>
        <v>1</v>
      </c>
      <c r="T93" s="47" t="str">
        <f t="shared" si="43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4"/>
        <v>https://d0f6bd738d7f1b3e5a7ca70fe4ff75f0.us-east-1.aws.found.io/app/kibana#/discover/Steve-Slow-Train-Analysis-(2080s-and-2083s)?_g=(refreshInterval:(display:Off,pause:!f,section:0,value:0),time:(from:'2017-01-17T12:40:41-0700',mode:absolute,to:'2017-01-17T15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49" t="str">
        <f t="shared" si="45"/>
        <v>N</v>
      </c>
      <c r="X93" s="173">
        <f t="shared" si="35"/>
        <v>1</v>
      </c>
      <c r="Y93" s="64">
        <f t="shared" si="46"/>
        <v>4.2200000000000001E-2</v>
      </c>
      <c r="Z93" s="64">
        <f t="shared" si="47"/>
        <v>23.3291</v>
      </c>
      <c r="AA93" s="64">
        <f t="shared" si="48"/>
        <v>23.286899999999999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9"/>
        <v>0181-17</v>
      </c>
      <c r="AE93" s="87" t="str">
        <f t="shared" si="50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93" s="84" t="str">
        <f t="shared" si="51"/>
        <v>"C:\Program Files (x86)\AstroGrep\AstroGrep.exe" /spath="%USERPROFILE%\AppData\Local\Temp\OnboardLogs" /stypes="app*4044*20170117*" /stext=" 21:.+((SYSTEM_STATE.+slice.+state.+changed )|(ment ac)|(multiple cpu faults)|(system.+state.+changed )|(\[timeout)|(PRM\|1\|D)|(kpr)|(kdp)|(\|lc)|(penalty))" /e /r /s</v>
      </c>
      <c r="AG93" s="1" t="str">
        <f t="shared" si="52"/>
        <v>EC</v>
      </c>
      <c r="AH93" s="88" t="str">
        <f t="shared" si="36"/>
        <v>"%USERPROFILE%\Documents\GitHub\eaglep3\Utilities\RefineRTDCRunTimes.py" --tripid 181-17 --locoid 4044 --swversion DE.1.0.8.0 --startMP 204:422 --initTime 2017-01-17T13:40:41 --startdatetime 2017-01-17T13:45:44 --delay 1 --endMP 204:233291 --enddatetime 2017-01-17T14:22:19 --enforcementcount 0 &gt;&gt;C:\Users\stu\Documents\GitHub\eaglep3-reporting\EC\2017-01-17-refined-times.txt</v>
      </c>
      <c r="AI93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{"issue":{"subject":"","project_id":79,"tracker_id":40,"status_id":1,"priority_id":2,"assigned_to_id":23,"start_date":"2017-01-17","description":"","custom_fields":[{"id":1,"name":"Subdivision","value":"EC"},{"id":4,"name":"Milepost","value":"23.3291"},{"id":17,"name":"Train ID","value":"181-17"},{"id":16,"name":"Locomotive ID","value":"4044"},{"id":130,"name":"Impact","value":""},{"id":150,"name":"Time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8"/>
        <v>start /low /b %USERPROFILE%\Documents\GitHub\eaglep3\Utilities\DownloadLogsFromS3.py --loco 4044 --day 2017-01-17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612</v>
      </c>
      <c r="B94" s="7">
        <v>4043</v>
      </c>
      <c r="C94" s="22" t="s">
        <v>201</v>
      </c>
      <c r="D94" s="22" t="s">
        <v>298</v>
      </c>
      <c r="E94" s="13">
        <v>42752.604027777779</v>
      </c>
      <c r="F94" s="13">
        <v>42752.612164351849</v>
      </c>
      <c r="G94" s="7">
        <v>1</v>
      </c>
      <c r="H94" s="22" t="s">
        <v>252</v>
      </c>
      <c r="I94" s="13">
        <v>42752.639976851853</v>
      </c>
      <c r="J94" s="7">
        <v>0</v>
      </c>
      <c r="K94" s="105" t="str">
        <f t="shared" si="39"/>
        <v>4043/4044</v>
      </c>
      <c r="L94" s="22" t="str">
        <f>VLOOKUP(A94,'Trips&amp;Operators'!$C$1:$G$99999,5,FALSE)</f>
        <v>CRAYTON QUNTRELL</v>
      </c>
      <c r="M94" s="6">
        <f t="shared" si="40"/>
        <v>2.7812500004074536E-2</v>
      </c>
      <c r="N94" s="7">
        <f t="shared" si="41"/>
        <v>40.050000005867332</v>
      </c>
      <c r="O94" s="7"/>
      <c r="P94" s="7"/>
      <c r="Q94" s="23"/>
      <c r="R94" s="23"/>
      <c r="S94" s="32">
        <f t="shared" si="42"/>
        <v>1</v>
      </c>
      <c r="T94" s="47" t="str">
        <f t="shared" si="43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4"/>
        <v>https://d0f6bd738d7f1b3e5a7ca70fe4ff75f0.us-east-1.aws.found.io/app/kibana#/discover/Steve-Slow-Train-Analysis-(2080s-and-2083s)?_g=(refreshInterval:(display:Off,pause:!f,section:0,value:0),time:(from:'2017-01-17T13:29:48-0700',mode:absolute,to:'2017-01-17T16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49" t="str">
        <f t="shared" si="45"/>
        <v>N</v>
      </c>
      <c r="X94" s="173">
        <f t="shared" si="35"/>
        <v>1</v>
      </c>
      <c r="Y94" s="64">
        <f t="shared" si="46"/>
        <v>23.296700000000001</v>
      </c>
      <c r="Z94" s="64">
        <f t="shared" si="47"/>
        <v>1.52E-2</v>
      </c>
      <c r="AA94" s="64">
        <f t="shared" si="48"/>
        <v>23.281500000000001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9"/>
        <v>0182-17</v>
      </c>
      <c r="AE94" s="87" t="str">
        <f t="shared" si="5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94" s="84" t="str">
        <f t="shared" si="51"/>
        <v>"C:\Program Files (x86)\AstroGrep\AstroGrep.exe" /spath="%USERPROFILE%\AppData\Local\Temp\OnboardLogs" /stypes="app*4043*20170117*" /stext=" 22:.+((SYSTEM_STATE.+slice.+state.+changed )|(ment ac)|(multiple cpu faults)|(system.+state.+changed )|(\[timeout)|(PRM\|1\|D)|(kpr)|(kdp)|(\|lc)|(penalty))" /e /r /s</v>
      </c>
      <c r="AG94" s="1" t="str">
        <f t="shared" si="52"/>
        <v>EC</v>
      </c>
      <c r="AH94" s="88" t="str">
        <f t="shared" si="36"/>
        <v>"%USERPROFILE%\Documents\GitHub\eaglep3\Utilities\RefineRTDCRunTimes.py" --tripid 182-17 --locoid 4043 --swversion DE.1.0.8.0 --startMP 204:232967 --initTime 2017-01-17T14:29:48 --startdatetime 2017-01-17T14:41:31 --delay 1 --endMP 204:152 --enddatetime 2017-01-17T15:21:34 --enforcementcount 0 &gt;&gt;C:\Users\stu\Documents\GitHub\eaglep3-reporting\EC\2017-01-17-refined-times.txt</v>
      </c>
      <c r="AI9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{"issue":{"subject":"","project_id":79,"tracker_id":40,"status_id":1,"priority_id":2,"assigned_to_id":23,"start_date":"2017-01-17","description":"","custom_fields":[{"id":1,"name":"Subdivision","value":"EC"},{"id":4,"name":"Milepost","value":"0.0152"},{"id":17,"name":"Train ID","value":"182-17"},{"id":16,"name":"Locomotive ID","value":"4043"},{"id":130,"name":"Impact","value":""},{"id":150,"name":"Time of Event (Mountain Time)","value":"15:21:34"},{"id":151,"name":"Denver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8"/>
        <v>start /low /b %USERPROFILE%\Documents\GitHub\eaglep3\Utilities\DownloadLogsFromS3.py --loco 4043 --day 2017-01-17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474</v>
      </c>
      <c r="B95" s="7">
        <v>4027</v>
      </c>
      <c r="C95" s="22" t="s">
        <v>201</v>
      </c>
      <c r="D95" s="22" t="s">
        <v>356</v>
      </c>
      <c r="E95" s="13">
        <v>42752.580057870371</v>
      </c>
      <c r="F95" s="13">
        <v>42752.583587962959</v>
      </c>
      <c r="G95" s="7">
        <v>1</v>
      </c>
      <c r="H95" s="22" t="s">
        <v>243</v>
      </c>
      <c r="I95" s="13">
        <v>42752.608541666668</v>
      </c>
      <c r="J95" s="7">
        <v>0</v>
      </c>
      <c r="K95" s="105" t="str">
        <f t="shared" si="39"/>
        <v>4027/4028</v>
      </c>
      <c r="L95" s="22" t="str">
        <f>VLOOKUP(A95,'Trips&amp;Operators'!$C$1:$G$99999,5,FALSE)</f>
        <v>ROMERO CHAD</v>
      </c>
      <c r="M95" s="6">
        <f t="shared" si="40"/>
        <v>2.4953703708888497E-2</v>
      </c>
      <c r="N95" s="7">
        <f t="shared" si="41"/>
        <v>35.933333340799436</v>
      </c>
      <c r="O95" s="7"/>
      <c r="P95" s="7"/>
      <c r="Q95" s="23"/>
      <c r="R95" s="23"/>
      <c r="S95" s="32">
        <f t="shared" si="42"/>
        <v>1</v>
      </c>
      <c r="T95" s="47" t="str">
        <f t="shared" si="43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4"/>
        <v>https://d0f6bd738d7f1b3e5a7ca70fe4ff75f0.us-east-1.aws.found.io/app/kibana#/discover/Steve-Slow-Train-Analysis-(2080s-and-2083s)?_g=(refreshInterval:(display:Off,pause:!f,section:0,value:0),time:(from:'2017-01-17T12:55:17-0700',mode:absolute,to:'2017-01-17T15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5" s="49" t="str">
        <f t="shared" si="45"/>
        <v>N</v>
      </c>
      <c r="X95" s="173">
        <f t="shared" si="35"/>
        <v>1</v>
      </c>
      <c r="Y95" s="64">
        <f t="shared" si="46"/>
        <v>4.24E-2</v>
      </c>
      <c r="Z95" s="64">
        <f t="shared" si="47"/>
        <v>23.328900000000001</v>
      </c>
      <c r="AA95" s="64">
        <f t="shared" si="48"/>
        <v>23.2865</v>
      </c>
      <c r="AB95" s="61" t="str">
        <f>VLOOKUP(A95,Enforcements!$C$7:$K$16,8,0)</f>
        <v>Speed (6)</v>
      </c>
      <c r="AC95" s="57" t="str">
        <f>VLOOKUP(A95,Enforcements!$C$7:$E$16,3,0)</f>
        <v>PERMANENT SPEED RESTRICTION</v>
      </c>
      <c r="AD95" s="58" t="str">
        <f t="shared" si="49"/>
        <v>0183-17</v>
      </c>
      <c r="AE95" s="87" t="str">
        <f t="shared" si="50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95" s="84" t="str">
        <f t="shared" si="51"/>
        <v>"C:\Program Files (x86)\AstroGrep\AstroGrep.exe" /spath="%USERPROFILE%\AppData\Local\Temp\OnboardLogs" /stypes="app*4027*20170117*" /stext=" 21:.+((SYSTEM_STATE.+slice.+state.+changed )|(ment ac)|(multiple cpu faults)|(system.+state.+changed )|(\[timeout)|(PRM\|1\|D)|(kpr)|(kdp)|(\|lc)|(penalty))" /e /r /s</v>
      </c>
      <c r="AG95" s="1" t="str">
        <f t="shared" si="52"/>
        <v>EC</v>
      </c>
      <c r="AH95" s="88" t="str">
        <f t="shared" si="36"/>
        <v>"%USERPROFILE%\Documents\GitHub\eaglep3\Utilities\RefineRTDCRunTimes.py" --tripid 183-17 --locoid 4027 --swversion DE.1.0.8.0 --startMP 204:424 --initTime 2017-01-17T13:55:17 --startdatetime 2017-01-17T14:00:22 --delay 1 --endMP 204:233289 --enddatetime 2017-01-17T14:36:18 --enforcementcount 0 &gt;&gt;C:\Users\stu\Documents\GitHub\eaglep3-reporting\EC\2017-01-17-refined-times.txt</v>
      </c>
      <c r="AI95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{"issue":{"subject":"","project_id":79,"tracker_id":40,"status_id":1,"priority_id":2,"assigned_to_id":23,"start_date":"2017-01-17","description":"","custom_fields":[{"id":1,"name":"Subdivision","value":"EC"},{"id":4,"name":"Milepost","value":"23.3289"},{"id":17,"name":"Train ID","value":"183-17"},{"id":16,"name":"Locomotive ID","value":"4027"},{"id":130,"name":"Impact","value":""},{"id":150,"name":"Time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8"/>
        <v>start /low /b %USERPROFILE%\Documents\GitHub\eaglep3\Utilities\DownloadLogsFromS3.py --loco 4027 --day 2017-01-17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4" t="s">
        <v>614</v>
      </c>
      <c r="B96" s="7">
        <v>4028</v>
      </c>
      <c r="C96" s="22" t="s">
        <v>201</v>
      </c>
      <c r="D96" s="22" t="s">
        <v>362</v>
      </c>
      <c r="E96" s="13">
        <v>42752.609560185185</v>
      </c>
      <c r="F96" s="13">
        <v>42752.622442129628</v>
      </c>
      <c r="G96" s="7">
        <v>0</v>
      </c>
      <c r="H96" s="22" t="s">
        <v>718</v>
      </c>
      <c r="I96" s="13">
        <v>42752.650312500002</v>
      </c>
      <c r="J96" s="7">
        <v>0</v>
      </c>
      <c r="K96" s="105" t="str">
        <f t="shared" si="39"/>
        <v>4027/4028</v>
      </c>
      <c r="L96" s="22" t="str">
        <f>VLOOKUP(A96,'Trips&amp;Operators'!$C$1:$G$99999,5,FALSE)</f>
        <v>ROMERO CHAD</v>
      </c>
      <c r="M96" s="6">
        <f t="shared" si="40"/>
        <v>2.7870370373420883E-2</v>
      </c>
      <c r="N96" s="7">
        <f t="shared" si="41"/>
        <v>40.133333337726071</v>
      </c>
      <c r="O96" s="7"/>
      <c r="P96" s="7"/>
      <c r="Q96" s="23"/>
      <c r="R96" s="23"/>
      <c r="S96" s="32">
        <f t="shared" si="42"/>
        <v>1</v>
      </c>
      <c r="T96" s="47" t="str">
        <f t="shared" si="43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4"/>
        <v>https://d0f6bd738d7f1b3e5a7ca70fe4ff75f0.us-east-1.aws.found.io/app/kibana#/discover/Steve-Slow-Train-Analysis-(2080s-and-2083s)?_g=(refreshInterval:(display:Off,pause:!f,section:0,value:0),time:(from:'2017-01-17T13:37:46-0700',mode:absolute,to:'2017-01-17T16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49" t="str">
        <f t="shared" si="45"/>
        <v>N</v>
      </c>
      <c r="X96" s="173">
        <f t="shared" si="35"/>
        <v>1</v>
      </c>
      <c r="Y96" s="64">
        <f t="shared" si="46"/>
        <v>23.302499999999998</v>
      </c>
      <c r="Z96" s="64">
        <f t="shared" si="47"/>
        <v>1.0999999999999999E-2</v>
      </c>
      <c r="AA96" s="64">
        <f t="shared" si="48"/>
        <v>23.291499999999999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9"/>
        <v>0184-17</v>
      </c>
      <c r="AE96" s="87" t="str">
        <f t="shared" si="50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96" s="84" t="str">
        <f t="shared" si="51"/>
        <v>"C:\Program Files (x86)\AstroGrep\AstroGrep.exe" /spath="%USERPROFILE%\AppData\Local\Temp\OnboardLogs" /stypes="app*4028*20170117*" /stext=" 22:.+((SYSTEM_STATE.+slice.+state.+changed )|(ment ac)|(multiple cpu faults)|(system.+state.+changed )|(\[timeout)|(PRM\|1\|D)|(kpr)|(kdp)|(\|lc)|(penalty))" /e /r /s</v>
      </c>
      <c r="AG96" s="1" t="str">
        <f t="shared" si="52"/>
        <v>EC</v>
      </c>
      <c r="AH96" s="88" t="str">
        <f t="shared" si="36"/>
        <v>"%USERPROFILE%\Documents\GitHub\eaglep3\Utilities\RefineRTDCRunTimes.py" --tripid 184-17 --locoid 4028 --swversion DE.1.0.8.0 --startMP 204:233025 --initTime 2017-01-17T14:37:46 --startdatetime 2017-01-17T14:56:19 --delay 0 --endMP 204:110 --enddatetime 2017-01-17T15:36:27 --enforcementcount 0 &gt;&gt;C:\Users\stu\Documents\GitHub\eaglep3-reporting\EC\2017-01-17-refined-times.txt</v>
      </c>
      <c r="AI9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{"issue":{"subject":"","project_id":79,"tracker_id":40,"status_id":1,"priority_id":2,"assigned_to_id":23,"start_date":"2017-01-17","description":"","custom_fields":[{"id":1,"name":"Subdivision","value":"EC"},{"id":4,"name":"Milepost","value":"0.011"},{"id":17,"name":"Train ID","value":"184-17"},{"id":16,"name":"Locomotive ID","value":"4028"},{"id":130,"name":"Impact","value":""},{"id":150,"name":"Time of Event (Mountain Time)","value":"15:36:27"},{"id":151,"name":"Denver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8"/>
        <v>start /low /b %USERPROFILE%\Documents\GitHub\eaglep3\Utilities\DownloadLogsFromS3.py --loco 4028 --day 2017-01-17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</row>
    <row r="97" spans="1:91" s="21" customFormat="1" x14ac:dyDescent="0.25">
      <c r="A97" s="34" t="s">
        <v>610</v>
      </c>
      <c r="B97" s="7">
        <v>4022</v>
      </c>
      <c r="C97" s="22" t="s">
        <v>201</v>
      </c>
      <c r="D97" s="22" t="s">
        <v>325</v>
      </c>
      <c r="E97" s="13">
        <v>42752.588842592595</v>
      </c>
      <c r="F97" s="13">
        <v>42752.593946759262</v>
      </c>
      <c r="G97" s="7">
        <v>1</v>
      </c>
      <c r="H97" s="22" t="s">
        <v>719</v>
      </c>
      <c r="I97" s="13">
        <v>42752.619930555556</v>
      </c>
      <c r="J97" s="7">
        <v>0</v>
      </c>
      <c r="K97" s="105" t="str">
        <f t="shared" si="39"/>
        <v>4021/4022</v>
      </c>
      <c r="L97" s="22" t="str">
        <f>VLOOKUP(A97,'Trips&amp;Operators'!$C$1:$G$99999,5,FALSE)</f>
        <v>SWANSON BRYCE</v>
      </c>
      <c r="M97" s="6">
        <f t="shared" si="40"/>
        <v>2.5983796294895001E-2</v>
      </c>
      <c r="N97" s="7">
        <f t="shared" si="41"/>
        <v>37.416666664648801</v>
      </c>
      <c r="O97" s="7"/>
      <c r="P97" s="7"/>
      <c r="Q97" s="23"/>
      <c r="R97" s="23"/>
      <c r="S97" s="32">
        <f t="shared" si="42"/>
        <v>1</v>
      </c>
      <c r="T97" s="47" t="str">
        <f t="shared" si="43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4"/>
        <v>https://d0f6bd738d7f1b3e5a7ca70fe4ff75f0.us-east-1.aws.found.io/app/kibana#/discover/Steve-Slow-Train-Analysis-(2080s-and-2083s)?_g=(refreshInterval:(display:Off,pause:!f,section:0,value:0),time:(from:'2017-01-17T13:07:56-0700',mode:absolute,to:'2017-01-17T15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49" t="str">
        <f t="shared" si="45"/>
        <v>N</v>
      </c>
      <c r="X97" s="173">
        <f t="shared" si="35"/>
        <v>1</v>
      </c>
      <c r="Y97" s="64">
        <f t="shared" si="46"/>
        <v>4.7100000000000003E-2</v>
      </c>
      <c r="Z97" s="64">
        <f t="shared" si="47"/>
        <v>23.336600000000001</v>
      </c>
      <c r="AA97" s="64">
        <f t="shared" si="48"/>
        <v>23.2895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9"/>
        <v>0185-17</v>
      </c>
      <c r="AE97" s="87" t="str">
        <f t="shared" si="50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97" s="84" t="str">
        <f t="shared" si="51"/>
        <v>"C:\Program Files (x86)\AstroGrep\AstroGrep.exe" /spath="%USERPROFILE%\AppData\Local\Temp\OnboardLogs" /stypes="app*4022*20170117*" /stext=" 21:.+((SYSTEM_STATE.+slice.+state.+changed )|(ment ac)|(multiple cpu faults)|(system.+state.+changed )|(\[timeout)|(PRM\|1\|D)|(kpr)|(kdp)|(\|lc)|(penalty))" /e /r /s</v>
      </c>
      <c r="AG97" s="1" t="str">
        <f t="shared" si="52"/>
        <v>EC</v>
      </c>
      <c r="AH97" s="88" t="str">
        <f t="shared" si="36"/>
        <v>"%USERPROFILE%\Documents\GitHub\eaglep3\Utilities\RefineRTDCRunTimes.py" --tripid 185-17 --locoid 4022 --swversion DE.1.0.8.0 --startMP 204:471 --initTime 2017-01-17T14:07:56 --startdatetime 2017-01-17T14:15:17 --delay 1 --endMP 204:233366 --enddatetime 2017-01-17T14:52:42 --enforcementcount 0 &gt;&gt;C:\Users\stu\Documents\GitHub\eaglep3-reporting\EC\2017-01-17-refined-times.txt</v>
      </c>
      <c r="AI9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{"issue":{"subject":"","project_id":79,"tracker_id":40,"status_id":1,"priority_id":2,"assigned_to_id":23,"start_date":"2017-01-17","description":"","custom_fields":[{"id":1,"name":"Subdivision","value":"EC"},{"id":4,"name":"Milepost","value":"23.3366"},{"id":17,"name":"Train ID","value":"185-17"},{"id":16,"name":"Locomotive ID","value":"4022"},{"id":130,"name":"Impact","value":""},{"id":150,"name":"Time of Event (Mountain Time)","value":"14:52:42"},{"id":151,"name":"Denver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8"/>
        <v>start /low /b %USERPROFILE%\Documents\GitHub\eaglep3\Utilities\DownloadLogsFromS3.py --loco 4022 --day 2017-01-17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617</v>
      </c>
      <c r="B98" s="7">
        <v>4021</v>
      </c>
      <c r="C98" s="22" t="s">
        <v>201</v>
      </c>
      <c r="D98" s="22" t="s">
        <v>720</v>
      </c>
      <c r="E98" s="13">
        <v>42752.622824074075</v>
      </c>
      <c r="F98" s="13">
        <v>42752.6328125</v>
      </c>
      <c r="G98" s="7">
        <v>1</v>
      </c>
      <c r="H98" s="22" t="s">
        <v>320</v>
      </c>
      <c r="I98" s="13">
        <v>42752.660844907405</v>
      </c>
      <c r="J98" s="7">
        <v>0</v>
      </c>
      <c r="K98" s="105" t="str">
        <f t="shared" si="39"/>
        <v>4021/4022</v>
      </c>
      <c r="L98" s="22" t="str">
        <f>VLOOKUP(A98,'Trips&amp;Operators'!$C$1:$G$99999,5,FALSE)</f>
        <v>SWANSON BRYCE</v>
      </c>
      <c r="M98" s="6">
        <f t="shared" si="40"/>
        <v>2.8032407404680271E-2</v>
      </c>
      <c r="N98" s="7">
        <f t="shared" si="41"/>
        <v>40.36666666273959</v>
      </c>
      <c r="O98" s="7"/>
      <c r="P98" s="7"/>
      <c r="Q98" s="23"/>
      <c r="R98" s="23"/>
      <c r="S98" s="32">
        <f t="shared" si="42"/>
        <v>1</v>
      </c>
      <c r="T98" s="47" t="str">
        <f t="shared" si="43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4"/>
        <v>https://d0f6bd738d7f1b3e5a7ca70fe4ff75f0.us-east-1.aws.found.io/app/kibana#/discover/Steve-Slow-Train-Analysis-(2080s-and-2083s)?_g=(refreshInterval:(display:Off,pause:!f,section:0,value:0),time:(from:'2017-01-17T13:56:52-0700',mode:absolute,to:'2017-01-17T16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49" t="str">
        <f t="shared" si="45"/>
        <v>N</v>
      </c>
      <c r="X98" s="173">
        <f t="shared" si="35"/>
        <v>1</v>
      </c>
      <c r="Y98" s="64">
        <f t="shared" si="46"/>
        <v>23.304200000000002</v>
      </c>
      <c r="Z98" s="64">
        <f t="shared" si="47"/>
        <v>1.32E-2</v>
      </c>
      <c r="AA98" s="64">
        <f t="shared" si="48"/>
        <v>23.291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9"/>
        <v>0186-17</v>
      </c>
      <c r="AE98" s="87" t="str">
        <f t="shared" si="50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98" s="84" t="str">
        <f t="shared" si="51"/>
        <v>"C:\Program Files (x86)\AstroGrep\AstroGrep.exe" /spath="%USERPROFILE%\AppData\Local\Temp\OnboardLogs" /stypes="app*4021*20170117*" /stext=" 22:.+((SYSTEM_STATE.+slice.+state.+changed )|(ment ac)|(multiple cpu faults)|(system.+state.+changed )|(\[timeout)|(PRM\|1\|D)|(kpr)|(kdp)|(\|lc)|(penalty))" /e /r /s</v>
      </c>
      <c r="AG98" s="1" t="str">
        <f t="shared" si="52"/>
        <v>EC</v>
      </c>
      <c r="AH98" s="88" t="str">
        <f t="shared" si="36"/>
        <v>"%USERPROFILE%\Documents\GitHub\eaglep3\Utilities\RefineRTDCRunTimes.py" --tripid 186-17 --locoid 4021 --swversion DE.1.0.8.0 --startMP 204:233042 --initTime 2017-01-17T14:56:52 --startdatetime 2017-01-17T15:11:15 --delay 1 --endMP 204:132 --enddatetime 2017-01-17T15:51:37 --enforcementcount 0 &gt;&gt;C:\Users\stu\Documents\GitHub\eaglep3-reporting\EC\2017-01-17-refined-times.txt</v>
      </c>
      <c r="AI9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{"issue":{"subject":"","project_id":79,"tracker_id":40,"status_id":1,"priority_id":2,"assigned_to_id":23,"start_date":"2017-01-17","description":"","custom_fields":[{"id":1,"name":"Subdivision","value":"EC"},{"id":4,"name":"Milepost","value":"0.0132"},{"id":17,"name":"Train ID","value":"186-17"},{"id":16,"name":"Locomotive ID","value":"4021"},{"id":130,"name":"Impact","value":""},{"id":150,"name":"Time of Event (Mountain Time)","value":"15:51:37"},{"id":151,"name":"Denver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8"/>
        <v>start /low /b %USERPROFILE%\Documents\GitHub\eaglep3\Utilities\DownloadLogsFromS3.py --loco 4021 --day 2017-01-17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"%USERPROFILE%\AppData\Local\Temp\OnboardLogs"\RTDC4021\*4021*20170117* | grep -SE "(Enforcement Action)|(\[TIMEOUT)|(CHR.+\|PRM\|1\|D.+(SWITCH|SIGNAL).+UNKNOWN)" - &gt;&gt; 2017-01-17-UncaughtWiMAX.txt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475</v>
      </c>
      <c r="B99" s="7">
        <v>4007</v>
      </c>
      <c r="C99" s="22" t="s">
        <v>201</v>
      </c>
      <c r="D99" s="22" t="s">
        <v>361</v>
      </c>
      <c r="E99" s="13">
        <v>42752.601319444446</v>
      </c>
      <c r="F99" s="13">
        <v>42752.604884259257</v>
      </c>
      <c r="G99" s="7">
        <v>1</v>
      </c>
      <c r="H99" s="22" t="s">
        <v>690</v>
      </c>
      <c r="I99" s="13">
        <v>42752.631469907406</v>
      </c>
      <c r="J99" s="7">
        <v>0</v>
      </c>
      <c r="K99" s="105" t="str">
        <f t="shared" si="39"/>
        <v>4007/4008</v>
      </c>
      <c r="L99" s="22" t="str">
        <f>VLOOKUP(A99,'Trips&amp;Operators'!$C$1:$G$99999,5,FALSE)</f>
        <v>DAVIS MICHAEL</v>
      </c>
      <c r="M99" s="6">
        <f t="shared" si="40"/>
        <v>2.658564814919373E-2</v>
      </c>
      <c r="N99" s="7">
        <f t="shared" si="41"/>
        <v>38.283333334838971</v>
      </c>
      <c r="O99" s="7"/>
      <c r="P99" s="7"/>
      <c r="Q99" s="23"/>
      <c r="R99" s="23"/>
      <c r="S99" s="32">
        <f t="shared" si="42"/>
        <v>1</v>
      </c>
      <c r="T99" s="47" t="str">
        <f t="shared" si="43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4"/>
        <v>https://d0f6bd738d7f1b3e5a7ca70fe4ff75f0.us-east-1.aws.found.io/app/kibana#/discover/Steve-Slow-Train-Analysis-(2080s-and-2083s)?_g=(refreshInterval:(display:Off,pause:!f,section:0,value:0),time:(from:'2017-01-17T13:25:54-0700',mode:absolute,to:'2017-01-17T16:09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49" t="str">
        <f t="shared" si="45"/>
        <v>N</v>
      </c>
      <c r="X99" s="173">
        <f t="shared" si="35"/>
        <v>1</v>
      </c>
      <c r="Y99" s="64">
        <f t="shared" si="46"/>
        <v>4.5699999999999998E-2</v>
      </c>
      <c r="Z99" s="64">
        <f t="shared" si="47"/>
        <v>23.333600000000001</v>
      </c>
      <c r="AA99" s="64">
        <f t="shared" si="48"/>
        <v>23.2879</v>
      </c>
      <c r="AB99" s="61" t="str">
        <f>VLOOKUP(A99,Enforcements!$C$7:$K$16,8,0)</f>
        <v>Speed (6)</v>
      </c>
      <c r="AC99" s="57" t="str">
        <f>VLOOKUP(A99,Enforcements!$C$7:$E$16,3,0)</f>
        <v>PERMANENT SPEED RESTRICTION</v>
      </c>
      <c r="AD99" s="58" t="str">
        <f t="shared" si="49"/>
        <v>0187-17</v>
      </c>
      <c r="AE99" s="87" t="str">
        <f t="shared" si="50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99" s="84" t="str">
        <f t="shared" si="51"/>
        <v>"C:\Program Files (x86)\AstroGrep\AstroGrep.exe" /spath="%USERPROFILE%\AppData\Local\Temp\OnboardLogs" /stypes="app*4007*20170117*" /stext=" 22:.+((SYSTEM_STATE.+slice.+state.+changed )|(ment ac)|(multiple cpu faults)|(system.+state.+changed )|(\[timeout)|(PRM\|1\|D)|(kpr)|(kdp)|(\|lc)|(penalty))" /e /r /s</v>
      </c>
      <c r="AG99" s="1" t="str">
        <f t="shared" si="52"/>
        <v>EC</v>
      </c>
      <c r="AH99" s="88" t="str">
        <f t="shared" si="36"/>
        <v>"%USERPROFILE%\Documents\GitHub\eaglep3\Utilities\RefineRTDCRunTimes.py" --tripid 187-17 --locoid 4007 --swversion DE.1.0.8.0 --startMP 204:457 --initTime 2017-01-17T14:25:54 --startdatetime 2017-01-17T14:31:02 --delay 1 --endMP 204:233336 --enddatetime 2017-01-17T15:09:19 --enforcementcount 0 &gt;&gt;C:\Users\stu\Documents\GitHub\eaglep3-reporting\EC\2017-01-17-refined-times.txt</v>
      </c>
      <c r="AI9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{"issue":{"subject":"","project_id":79,"tracker_id":40,"status_id":1,"priority_id":2,"assigned_to_id":23,"start_date":"2017-01-17","description":"","custom_fields":[{"id":1,"name":"Subdivision","value":"EC"},{"id":4,"name":"Milepost","value":"23.3336"},{"id":17,"name":"Train ID","value":"187-17"},{"id":16,"name":"Locomotive ID","value":"4007"},{"id":130,"name":"Impact","value":""},{"id":150,"name":"Time of Event (Mountain Time)","value":"15:09:19"},{"id":151,"name":"Denver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8"/>
        <v>start /low /b %USERPROFILE%\Documents\GitHub\eaglep3\Utilities\DownloadLogsFromS3.py --loco 4007 --day 2017-01-17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620</v>
      </c>
      <c r="B100" s="7">
        <v>4008</v>
      </c>
      <c r="C100" s="22" t="s">
        <v>201</v>
      </c>
      <c r="D100" s="22" t="s">
        <v>721</v>
      </c>
      <c r="E100" s="13">
        <v>42752.640023148146</v>
      </c>
      <c r="F100" s="13">
        <v>42752.643460648149</v>
      </c>
      <c r="G100" s="7">
        <v>1</v>
      </c>
      <c r="H100" s="22" t="s">
        <v>255</v>
      </c>
      <c r="I100" s="13">
        <v>42752.672314814816</v>
      </c>
      <c r="J100" s="7">
        <v>0</v>
      </c>
      <c r="K100" s="105" t="str">
        <f t="shared" si="39"/>
        <v>4007/4008</v>
      </c>
      <c r="L100" s="22" t="str">
        <f>VLOOKUP(A100,'Trips&amp;Operators'!$C$1:$G$99999,5,FALSE)</f>
        <v>DAVIS MICHAEL</v>
      </c>
      <c r="M100" s="6">
        <f t="shared" si="40"/>
        <v>2.8854166666860692E-2</v>
      </c>
      <c r="N100" s="7">
        <f t="shared" si="41"/>
        <v>41.550000000279397</v>
      </c>
      <c r="O100" s="7"/>
      <c r="P100" s="7"/>
      <c r="Q100" s="23"/>
      <c r="R100" s="23"/>
      <c r="S100" s="32">
        <f t="shared" si="42"/>
        <v>1</v>
      </c>
      <c r="T100" s="47" t="str">
        <f t="shared" si="43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4"/>
        <v>https://d0f6bd738d7f1b3e5a7ca70fe4ff75f0.us-east-1.aws.found.io/app/kibana#/discover/Steve-Slow-Train-Analysis-(2080s-and-2083s)?_g=(refreshInterval:(display:Off,pause:!f,section:0,value:0),time:(from:'2017-01-17T14:21:38-0700',mode:absolute,to:'2017-01-17T17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49" t="str">
        <f t="shared" si="45"/>
        <v>N</v>
      </c>
      <c r="X100" s="173">
        <f t="shared" si="35"/>
        <v>1</v>
      </c>
      <c r="Y100" s="64">
        <f t="shared" si="46"/>
        <v>23.302800000000001</v>
      </c>
      <c r="Z100" s="64">
        <f t="shared" si="47"/>
        <v>1.5599999999999999E-2</v>
      </c>
      <c r="AA100" s="64">
        <f t="shared" si="48"/>
        <v>23.287200000000002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9"/>
        <v>0188-17</v>
      </c>
      <c r="AE100" s="87" t="str">
        <f t="shared" si="50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100" s="84" t="str">
        <f t="shared" si="51"/>
        <v>"C:\Program Files (x86)\AstroGrep\AstroGrep.exe" /spath="%USERPROFILE%\AppData\Local\Temp\OnboardLogs" /stypes="app*4008*20170117*" /stext=" 23:.+((SYSTEM_STATE.+slice.+state.+changed )|(ment ac)|(multiple cpu faults)|(system.+state.+changed )|(\[timeout)|(PRM\|1\|D)|(kpr)|(kdp)|(\|lc)|(penalty))" /e /r /s</v>
      </c>
      <c r="AG100" s="1" t="str">
        <f t="shared" si="52"/>
        <v>EC</v>
      </c>
      <c r="AH100" s="88" t="str">
        <f t="shared" si="36"/>
        <v>"%USERPROFILE%\Documents\GitHub\eaglep3\Utilities\RefineRTDCRunTimes.py" --tripid 188-17 --locoid 4008 --swversion DE.1.0.8.0 --startMP 204:233028 --initTime 2017-01-17T15:21:38 --startdatetime 2017-01-17T15:26:35 --delay 1 --endMP 204:156 --enddatetime 2017-01-17T16:08:08 --enforcementcount 0 &gt;&gt;C:\Users\stu\Documents\GitHub\eaglep3-reporting\EC\2017-01-17-refined-times.txt</v>
      </c>
      <c r="AI10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ID","value":"188-17"},{"id":16,"name":"Locomotive ID","value":"4008"},{"id":130,"name":"Impact","value":""},{"id":150,"name":"Time of Event (Mountain Time)","value":"16:08:08"},{"id":151,"name":"Denver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8"/>
        <v>start /low /b %USERPROFILE%\Documents\GitHub\eaglep3\Utilities\DownloadLogsFromS3.py --loco 4008 --day 2017-01-17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615</v>
      </c>
      <c r="B101" s="7">
        <v>4002</v>
      </c>
      <c r="C101" s="22" t="s">
        <v>201</v>
      </c>
      <c r="D101" s="22" t="s">
        <v>361</v>
      </c>
      <c r="E101" s="13">
        <v>42752.612442129626</v>
      </c>
      <c r="F101" s="13">
        <v>42752.614976851852</v>
      </c>
      <c r="G101" s="7">
        <v>1</v>
      </c>
      <c r="H101" s="22" t="s">
        <v>273</v>
      </c>
      <c r="I101" s="13">
        <v>42752.640416666669</v>
      </c>
      <c r="J101" s="7">
        <v>0</v>
      </c>
      <c r="K101" s="105" t="str">
        <f t="shared" si="39"/>
        <v>4001/4002</v>
      </c>
      <c r="L101" s="22" t="str">
        <f>VLOOKUP(A101,'Trips&amp;Operators'!$C$1:$G$99999,5,FALSE)</f>
        <v>STEWART MICHAEL</v>
      </c>
      <c r="M101" s="6">
        <f t="shared" si="40"/>
        <v>2.5439814817218576E-2</v>
      </c>
      <c r="N101" s="7">
        <f t="shared" si="41"/>
        <v>36.633333336794749</v>
      </c>
      <c r="O101" s="7"/>
      <c r="P101" s="7"/>
      <c r="Q101" s="23"/>
      <c r="R101" s="23"/>
      <c r="S101" s="32">
        <f t="shared" si="42"/>
        <v>1</v>
      </c>
      <c r="T101" s="47" t="str">
        <f t="shared" si="43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4"/>
        <v>https://d0f6bd738d7f1b3e5a7ca70fe4ff75f0.us-east-1.aws.found.io/app/kibana#/discover/Steve-Slow-Train-Analysis-(2080s-and-2083s)?_g=(refreshInterval:(display:Off,pause:!f,section:0,value:0),time:(from:'2017-01-17T13:41:55-0700',mode:absolute,to:'2017-01-17T16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49" t="str">
        <f t="shared" si="45"/>
        <v>N</v>
      </c>
      <c r="X101" s="173">
        <f t="shared" si="35"/>
        <v>1</v>
      </c>
      <c r="Y101" s="64">
        <f t="shared" si="46"/>
        <v>4.5699999999999998E-2</v>
      </c>
      <c r="Z101" s="64">
        <f t="shared" si="47"/>
        <v>23.329899999999999</v>
      </c>
      <c r="AA101" s="64">
        <f t="shared" si="48"/>
        <v>23.284199999999998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9"/>
        <v>0189-17</v>
      </c>
      <c r="AE101" s="87" t="str">
        <f t="shared" si="5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01" s="84" t="str">
        <f t="shared" si="51"/>
        <v>"C:\Program Files (x86)\AstroGrep\AstroGrep.exe" /spath="%USERPROFILE%\AppData\Local\Temp\OnboardLogs" /stypes="app*4002*20170117*" /stext=" 22:.+((SYSTEM_STATE.+slice.+state.+changed )|(ment ac)|(multiple cpu faults)|(system.+state.+changed )|(\[timeout)|(PRM\|1\|D)|(kpr)|(kdp)|(\|lc)|(penalty))" /e /r /s</v>
      </c>
      <c r="AG101" s="1" t="str">
        <f t="shared" si="52"/>
        <v>EC</v>
      </c>
      <c r="AH101" s="88" t="str">
        <f t="shared" si="36"/>
        <v>"%USERPROFILE%\Documents\GitHub\eaglep3\Utilities\RefineRTDCRunTimes.py" --tripid 189-17 --locoid 4002 --swversion DE.1.0.8.0 --startMP 204:457 --initTime 2017-01-17T14:41:55 --startdatetime 2017-01-17T14:45:34 --delay 1 --endMP 204:233299 --enddatetime 2017-01-17T15:22:12 --enforcementcount 0 &gt;&gt;C:\Users\stu\Documents\GitHub\eaglep3-reporting\EC\2017-01-17-refined-times.txt</v>
      </c>
      <c r="AI10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{"issue":{"subject":"","project_id":79,"tracker_id":40,"status_id":1,"priority_id":2,"assigned_to_id":23,"start_date":"2017-01-17","description":"","custom_fields":[{"id":1,"name":"Subdivision","value":"EC"},{"id":4,"name":"Milepost","value":"23.3299"},{"id":17,"name":"Train ID","value":"189-17"},{"id":16,"name":"Locomotive ID","value":"4002"},{"id":130,"name":"Impact","value":""},{"id":150,"name":"Time of Event (Mountain Time)","value":"15:22:12"},{"id":151,"name":"Denver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8"/>
        <v>start /low /b %USERPROFILE%\Documents\GitHub\eaglep3\Utilities\DownloadLogsFromS3.py --loco 4002 --day 2017-01-17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624</v>
      </c>
      <c r="B102" s="7">
        <v>4001</v>
      </c>
      <c r="C102" s="22" t="s">
        <v>201</v>
      </c>
      <c r="D102" s="22" t="s">
        <v>413</v>
      </c>
      <c r="E102" s="13">
        <v>42752.650682870371</v>
      </c>
      <c r="F102" s="13">
        <v>42752.653668981482</v>
      </c>
      <c r="G102" s="7">
        <v>1</v>
      </c>
      <c r="H102" s="22" t="s">
        <v>255</v>
      </c>
      <c r="I102" s="13">
        <v>42752.680879629632</v>
      </c>
      <c r="J102" s="7">
        <v>0</v>
      </c>
      <c r="K102" s="105" t="str">
        <f t="shared" si="39"/>
        <v>4001/4002</v>
      </c>
      <c r="L102" s="22" t="str">
        <f>VLOOKUP(A102,'Trips&amp;Operators'!$C$1:$G$99999,5,FALSE)</f>
        <v>STEWART MICHAEL</v>
      </c>
      <c r="M102" s="6">
        <f t="shared" si="40"/>
        <v>2.7210648149775807E-2</v>
      </c>
      <c r="N102" s="7">
        <f t="shared" si="41"/>
        <v>39.183333335677162</v>
      </c>
      <c r="O102" s="7"/>
      <c r="P102" s="7"/>
      <c r="Q102" s="23"/>
      <c r="R102" s="23"/>
      <c r="S102" s="32">
        <f t="shared" si="42"/>
        <v>1</v>
      </c>
      <c r="T102" s="47" t="str">
        <f t="shared" si="43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4"/>
        <v>https://d0f6bd738d7f1b3e5a7ca70fe4ff75f0.us-east-1.aws.found.io/app/kibana#/discover/Steve-Slow-Train-Analysis-(2080s-and-2083s)?_g=(refreshInterval:(display:Off,pause:!f,section:0,value:0),time:(from:'2017-01-17T14:36:59-0700',mode:absolute,to:'2017-01-17T17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49" t="str">
        <f t="shared" si="45"/>
        <v>N</v>
      </c>
      <c r="X102" s="173">
        <f t="shared" si="35"/>
        <v>1</v>
      </c>
      <c r="Y102" s="64">
        <f t="shared" si="46"/>
        <v>23.297499999999999</v>
      </c>
      <c r="Z102" s="64">
        <f t="shared" si="47"/>
        <v>1.5599999999999999E-2</v>
      </c>
      <c r="AA102" s="64">
        <f t="shared" si="48"/>
        <v>23.2819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 t="shared" si="49"/>
        <v>0190-17</v>
      </c>
      <c r="AE102" s="87" t="str">
        <f t="shared" si="50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102" s="84" t="str">
        <f t="shared" si="51"/>
        <v>"C:\Program Files (x86)\AstroGrep\AstroGrep.exe" /spath="%USERPROFILE%\AppData\Local\Temp\OnboardLogs" /stypes="app*4001*20170117*" /stext=" 23:.+((SYSTEM_STATE.+slice.+state.+changed )|(ment ac)|(multiple cpu faults)|(system.+state.+changed )|(\[timeout)|(PRM\|1\|D)|(kpr)|(kdp)|(\|lc)|(penalty))" /e /r /s</v>
      </c>
      <c r="AG102" s="1" t="str">
        <f t="shared" si="52"/>
        <v>EC</v>
      </c>
      <c r="AH102" s="88" t="str">
        <f t="shared" si="36"/>
        <v>"%USERPROFILE%\Documents\GitHub\eaglep3\Utilities\RefineRTDCRunTimes.py" --tripid 190-17 --locoid 4001 --swversion DE.1.0.8.0 --startMP 204:232975 --initTime 2017-01-17T15:36:59 --startdatetime 2017-01-17T15:41:17 --delay 1 --endMP 204:156 --enddatetime 2017-01-17T16:20:28 --enforcementcount 0 &gt;&gt;C:\Users\stu\Documents\GitHub\eaglep3-reporting\EC\2017-01-17-refined-times.txt</v>
      </c>
      <c r="AI10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ID","value":"190-17"},{"id":16,"name":"Locomotive ID","value":"4001"},{"id":130,"name":"Impact","value":""},{"id":150,"name":"Time of Event (Mountain Time)","value":"16:20:28"},{"id":151,"name":"Denver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8"/>
        <v>start /low /b %USERPROFILE%\Documents\GitHub\eaglep3\Utilities\DownloadLogsFromS3.py --loco 4001 --day 2017-01-17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"%USERPROFILE%\AppData\Local\Temp\OnboardLogs"\RTDC4001\*4001*20170117* | grep -SE "(Enforcement Action)|(\[TIMEOUT)|(CHR.+\|PRM\|1\|D.+(SWITCH|SIGNAL).+UNKNOWN)" - &gt;&gt; 2017-01-17-UncaughtWiMAX.txt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616</v>
      </c>
      <c r="B103" s="7">
        <v>4031</v>
      </c>
      <c r="C103" s="22" t="s">
        <v>201</v>
      </c>
      <c r="D103" s="22" t="s">
        <v>269</v>
      </c>
      <c r="E103" s="13">
        <v>42752.620625000003</v>
      </c>
      <c r="F103" s="13">
        <v>42752.625428240739</v>
      </c>
      <c r="G103" s="7">
        <v>1</v>
      </c>
      <c r="H103" s="22" t="s">
        <v>405</v>
      </c>
      <c r="I103" s="13">
        <v>42752.650694444441</v>
      </c>
      <c r="J103" s="7">
        <v>0</v>
      </c>
      <c r="K103" s="105" t="str">
        <f t="shared" si="39"/>
        <v>4031/4032</v>
      </c>
      <c r="L103" s="22" t="str">
        <f>VLOOKUP(A103,'Trips&amp;Operators'!$C$1:$G$99999,5,FALSE)</f>
        <v>YANG JAN</v>
      </c>
      <c r="M103" s="6">
        <f t="shared" si="40"/>
        <v>2.5266203701903578E-2</v>
      </c>
      <c r="N103" s="7">
        <f t="shared" si="41"/>
        <v>36.383333330741152</v>
      </c>
      <c r="O103" s="7"/>
      <c r="P103" s="7"/>
      <c r="Q103" s="23"/>
      <c r="R103" s="23"/>
      <c r="S103" s="32">
        <f t="shared" si="42"/>
        <v>1</v>
      </c>
      <c r="T103" s="47" t="str">
        <f t="shared" si="43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4"/>
        <v>https://d0f6bd738d7f1b3e5a7ca70fe4ff75f0.us-east-1.aws.found.io/app/kibana#/discover/Steve-Slow-Train-Analysis-(2080s-and-2083s)?_g=(refreshInterval:(display:Off,pause:!f,section:0,value:0),time:(from:'2017-01-17T13:53:42-0700',mode:absolute,to:'2017-01-17T16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49" t="str">
        <f t="shared" si="45"/>
        <v>N</v>
      </c>
      <c r="X103" s="173">
        <f t="shared" si="35"/>
        <v>1</v>
      </c>
      <c r="Y103" s="64">
        <f t="shared" si="46"/>
        <v>4.6899999999999997E-2</v>
      </c>
      <c r="Z103" s="64">
        <f t="shared" si="47"/>
        <v>23.331399999999999</v>
      </c>
      <c r="AA103" s="64">
        <f t="shared" si="48"/>
        <v>23.284499999999998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9"/>
        <v>0191-17</v>
      </c>
      <c r="AE103" s="87" t="str">
        <f t="shared" si="5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03" s="84" t="str">
        <f t="shared" si="51"/>
        <v>"C:\Program Files (x86)\AstroGrep\AstroGrep.exe" /spath="%USERPROFILE%\AppData\Local\Temp\OnboardLogs" /stypes="app*4031*20170117*" /stext=" 22:.+((SYSTEM_STATE.+slice.+state.+changed )|(ment ac)|(multiple cpu faults)|(system.+state.+changed )|(\[timeout)|(PRM\|1\|D)|(kpr)|(kdp)|(\|lc)|(penalty))" /e /r /s</v>
      </c>
      <c r="AG103" s="1" t="str">
        <f t="shared" si="52"/>
        <v>EC</v>
      </c>
      <c r="AH103" s="88" t="str">
        <f t="shared" si="36"/>
        <v>"%USERPROFILE%\Documents\GitHub\eaglep3\Utilities\RefineRTDCRunTimes.py" --tripid 191-17 --locoid 4031 --swversion DE.1.0.8.0 --startMP 204:469 --initTime 2017-01-17T14:53:42 --startdatetime 2017-01-17T15:00:37 --delay 1 --endMP 204:233314 --enddatetime 2017-01-17T15:37:00 --enforcementcount 0 &gt;&gt;C:\Users\stu\Documents\GitHub\eaglep3-reporting\EC\2017-01-17-refined-times.txt</v>
      </c>
      <c r="AI103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{"issue":{"subject":"","project_id":79,"tracker_id":40,"status_id":1,"priority_id":2,"assigned_to_id":23,"start_date":"2017-01-17","description":"","custom_fields":[{"id":1,"name":"Subdivision","value":"EC"},{"id":4,"name":"Milepost","value":"23.3314"},{"id":17,"name":"Train ID","value":"191-17"},{"id":16,"name":"Locomotive ID","value":"4031"},{"id":130,"name":"Impact","value":""},{"id":150,"name":"Time of Event (Mountain Time)","value":"15:37:00"},{"id":151,"name":"Denver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8"/>
        <v>start /low /b %USERPROFILE%\Documents\GitHub\eaglep3\Utilities\DownloadLogsFromS3.py --loco 4031 --day 2017-01-17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"%USERPROFILE%\AppData\Local\Temp\OnboardLogs"\RTDC4031\*4031*20170117* | grep -SE "(Enforcement Action)|(\[TIMEOUT)|(CHR.+\|PRM\|1\|D.+(SWITCH|SIGNAL).+UNKNOWN)" - &gt;&gt; 2017-01-17-UncaughtWiMAX.txt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626</v>
      </c>
      <c r="B104" s="7">
        <v>4032</v>
      </c>
      <c r="C104" s="22" t="s">
        <v>201</v>
      </c>
      <c r="D104" s="22" t="s">
        <v>289</v>
      </c>
      <c r="E104" s="13">
        <v>42752.659560185188</v>
      </c>
      <c r="F104" s="13">
        <v>42752.664224537039</v>
      </c>
      <c r="G104" s="7">
        <v>1</v>
      </c>
      <c r="H104" s="22" t="s">
        <v>191</v>
      </c>
      <c r="I104" s="13">
        <v>42752.691354166665</v>
      </c>
      <c r="J104" s="7">
        <v>0</v>
      </c>
      <c r="K104" s="105" t="str">
        <f t="shared" si="39"/>
        <v>4031/4032</v>
      </c>
      <c r="L104" s="22" t="str">
        <f>VLOOKUP(A104,'Trips&amp;Operators'!$C$1:$G$99999,5,FALSE)</f>
        <v>YANG JAN</v>
      </c>
      <c r="M104" s="6">
        <f t="shared" si="40"/>
        <v>2.7129629626870155E-2</v>
      </c>
      <c r="N104" s="7">
        <f t="shared" si="41"/>
        <v>39.066666662693024</v>
      </c>
      <c r="O104" s="7"/>
      <c r="P104" s="7"/>
      <c r="Q104" s="23"/>
      <c r="R104" s="23"/>
      <c r="S104" s="32">
        <f t="shared" si="42"/>
        <v>1</v>
      </c>
      <c r="T104" s="47" t="str">
        <f t="shared" si="43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4"/>
        <v>https://d0f6bd738d7f1b3e5a7ca70fe4ff75f0.us-east-1.aws.found.io/app/kibana#/discover/Steve-Slow-Train-Analysis-(2080s-and-2083s)?_g=(refreshInterval:(display:Off,pause:!f,section:0,value:0),time:(from:'2017-01-17T14:49:46-0700',mode:absolute,to:'2017-01-17T17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49" t="str">
        <f t="shared" si="45"/>
        <v>N</v>
      </c>
      <c r="X104" s="173">
        <f t="shared" si="35"/>
        <v>1</v>
      </c>
      <c r="Y104" s="64">
        <f t="shared" si="46"/>
        <v>23.299099999999999</v>
      </c>
      <c r="Z104" s="64">
        <f t="shared" si="47"/>
        <v>1.49E-2</v>
      </c>
      <c r="AA104" s="64">
        <f t="shared" si="48"/>
        <v>23.284199999999998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9"/>
        <v>0192-17</v>
      </c>
      <c r="AE104" s="87" t="str">
        <f t="shared" si="50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104" s="84" t="str">
        <f t="shared" si="51"/>
        <v>"C:\Program Files (x86)\AstroGrep\AstroGrep.exe" /spath="%USERPROFILE%\AppData\Local\Temp\OnboardLogs" /stypes="app*4032*20170117*" /stext=" 23:.+((SYSTEM_STATE.+slice.+state.+changed )|(ment ac)|(multiple cpu faults)|(system.+state.+changed )|(\[timeout)|(PRM\|1\|D)|(kpr)|(kdp)|(\|lc)|(penalty))" /e /r /s</v>
      </c>
      <c r="AG104" s="1" t="str">
        <f t="shared" si="52"/>
        <v>EC</v>
      </c>
      <c r="AH104" s="88" t="str">
        <f t="shared" si="36"/>
        <v>"%USERPROFILE%\Documents\GitHub\eaglep3\Utilities\RefineRTDCRunTimes.py" --tripid 192-17 --locoid 4032 --swversion DE.1.0.8.0 --startMP 204:232991 --initTime 2017-01-17T15:49:46 --startdatetime 2017-01-17T15:56:29 --delay 1 --endMP 204:149 --enddatetime 2017-01-17T16:35:33 --enforcementcount 0 &gt;&gt;C:\Users\stu\Documents\GitHub\eaglep3-reporting\EC\2017-01-17-refined-times.txt</v>
      </c>
      <c r="AI10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{"issue":{"subject":"","project_id":79,"tracker_id":40,"status_id":1,"priority_id":2,"assigned_to_id":23,"start_date":"2017-01-17","description":"","custom_fields":[{"id":1,"name":"Subdivision","value":"EC"},{"id":4,"name":"Milepost","value":"0.0149"},{"id":17,"name":"Train ID","value":"192-17"},{"id":16,"name":"Locomotive ID","value":"4032"},{"id":130,"name":"Impact","value":""},{"id":150,"name":"Time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8"/>
        <v>start /low /b %USERPROFILE%\Documents\GitHub\eaglep3\Utilities\DownloadLogsFromS3.py --loco 4032 --day 2017-01-17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618</v>
      </c>
      <c r="B105" s="7">
        <v>4042</v>
      </c>
      <c r="C105" s="22" t="s">
        <v>201</v>
      </c>
      <c r="D105" s="22" t="s">
        <v>235</v>
      </c>
      <c r="E105" s="13">
        <v>42752.630532407406</v>
      </c>
      <c r="F105" s="13">
        <v>42752.63559027778</v>
      </c>
      <c r="G105" s="7">
        <v>0</v>
      </c>
      <c r="H105" s="22" t="s">
        <v>722</v>
      </c>
      <c r="I105" s="13">
        <v>42752.662685185183</v>
      </c>
      <c r="J105" s="7">
        <v>0</v>
      </c>
      <c r="K105" s="105" t="str">
        <f t="shared" si="39"/>
        <v>4041/4042</v>
      </c>
      <c r="L105" s="22" t="str">
        <f>VLOOKUP(A105,'Trips&amp;Operators'!$C$1:$G$99999,5,FALSE)</f>
        <v>CLARK KATHLEEN</v>
      </c>
      <c r="M105" s="6">
        <f t="shared" si="40"/>
        <v>2.7094907403807156E-2</v>
      </c>
      <c r="N105" s="7">
        <f t="shared" si="41"/>
        <v>39.016666661482304</v>
      </c>
      <c r="O105" s="7"/>
      <c r="P105" s="7"/>
      <c r="Q105" s="23"/>
      <c r="R105" s="23"/>
      <c r="S105" s="32">
        <f t="shared" si="42"/>
        <v>1</v>
      </c>
      <c r="T105" s="47" t="str">
        <f t="shared" si="43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4"/>
        <v>https://d0f6bd738d7f1b3e5a7ca70fe4ff75f0.us-east-1.aws.found.io/app/kibana#/discover/Steve-Slow-Train-Analysis-(2080s-and-2083s)?_g=(refreshInterval:(display:Off,pause:!f,section:0,value:0),time:(from:'2017-01-17T14:07:58-0700',mode:absolute,to:'2017-01-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49" t="str">
        <f t="shared" si="45"/>
        <v>N</v>
      </c>
      <c r="X105" s="173">
        <f t="shared" ref="X105:X136" si="53">VALUE(LEFT(AD105,4))-VALUE(LEFT(AD104,4))</f>
        <v>1</v>
      </c>
      <c r="Y105" s="64">
        <f t="shared" si="46"/>
        <v>4.53E-2</v>
      </c>
      <c r="Z105" s="64">
        <f t="shared" si="47"/>
        <v>23.328800000000001</v>
      </c>
      <c r="AA105" s="64">
        <f t="shared" si="48"/>
        <v>23.2835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9"/>
        <v>0193-17</v>
      </c>
      <c r="AE105" s="87" t="str">
        <f t="shared" si="50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105" s="84" t="str">
        <f t="shared" si="51"/>
        <v>"C:\Program Files (x86)\AstroGrep\AstroGrep.exe" /spath="%USERPROFILE%\AppData\Local\Temp\OnboardLogs" /stypes="app*4042*20170117*" /stext=" 22:.+((SYSTEM_STATE.+slice.+state.+changed )|(ment ac)|(multiple cpu faults)|(system.+state.+changed )|(\[timeout)|(PRM\|1\|D)|(kpr)|(kdp)|(\|lc)|(penalty))" /e /r /s</v>
      </c>
      <c r="AG105" s="1" t="str">
        <f t="shared" si="52"/>
        <v>EC</v>
      </c>
      <c r="AH105" s="88" t="str">
        <f t="shared" si="36"/>
        <v>"%USERPROFILE%\Documents\GitHub\eaglep3\Utilities\RefineRTDCRunTimes.py" --tripid 193-17 --locoid 4042 --swversion DE.1.0.8.0 --startMP 204:453 --initTime 2017-01-17T15:07:58 --startdatetime 2017-01-17T15:15:15 --delay 0 --endMP 204:233288 --enddatetime 2017-01-17T15:54:16 --enforcementcount 0 &gt;&gt;C:\Users\stu\Documents\GitHub\eaglep3-reporting\EC\2017-01-17-refined-times.txt</v>
      </c>
      <c r="AI105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{"issue":{"subject":"","project_id":79,"tracker_id":40,"status_id":1,"priority_id":2,"assigned_to_id":23,"start_date":"2017-01-17","description":"","custom_fields":[{"id":1,"name":"Subdivision","value":"EC"},{"id":4,"name":"Milepost","value":"23.3288"},{"id":17,"name":"Train ID","value":"193-17"},{"id":16,"name":"Locomotive ID","value":"4042"},{"id":130,"name":"Impact","value":""},{"id":150,"name":"Time of Event (Mountain Time)","value":"15:54:16"},{"id":151,"name":"Denver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8"/>
        <v>start /low /b %USERPROFILE%\Documents\GitHub\eaglep3\Utilities\DownloadLogsFromS3.py --loco 4042 --day 2017-01-17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"%USERPROFILE%\AppData\Local\Temp\OnboardLogs"\RTDC4042\*4042*20170117* | grep -SE "(Enforcement Action)|(\[TIMEOUT)|(CHR.+\|PRM\|1\|D.+(SWITCH|SIGNAL).+UNKNOWN)" - &gt;&gt; 2017-01-17-UncaughtWiMAX.txt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628</v>
      </c>
      <c r="B106" s="7">
        <v>4041</v>
      </c>
      <c r="C106" s="22" t="s">
        <v>201</v>
      </c>
      <c r="D106" s="22" t="s">
        <v>248</v>
      </c>
      <c r="E106" s="13">
        <v>42752.670266203706</v>
      </c>
      <c r="F106" s="13">
        <v>42752.674467592595</v>
      </c>
      <c r="G106" s="7">
        <v>0</v>
      </c>
      <c r="H106" s="22" t="s">
        <v>411</v>
      </c>
      <c r="I106" s="13">
        <v>42752.702268518522</v>
      </c>
      <c r="J106" s="7">
        <v>0</v>
      </c>
      <c r="K106" s="105" t="str">
        <f t="shared" si="39"/>
        <v>4041/4042</v>
      </c>
      <c r="L106" s="22" t="str">
        <f>VLOOKUP(A106,'Trips&amp;Operators'!$C$1:$G$99999,5,FALSE)</f>
        <v>CLARK KATHLEEN</v>
      </c>
      <c r="M106" s="6">
        <f t="shared" si="40"/>
        <v>2.7800925927294884E-2</v>
      </c>
      <c r="N106" s="7">
        <f t="shared" si="41"/>
        <v>40.033333335304633</v>
      </c>
      <c r="O106" s="7"/>
      <c r="P106" s="7"/>
      <c r="Q106" s="23"/>
      <c r="R106" s="23"/>
      <c r="S106" s="32">
        <f t="shared" si="42"/>
        <v>1</v>
      </c>
      <c r="T106" s="47" t="str">
        <f t="shared" si="43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4"/>
        <v>https://d0f6bd738d7f1b3e5a7ca70fe4ff75f0.us-east-1.aws.found.io/app/kibana#/discover/Steve-Slow-Train-Analysis-(2080s-and-2083s)?_g=(refreshInterval:(display:Off,pause:!f,section:0,value:0),time:(from:'2017-01-17T15:05:11-0700',mode:absolute,to:'2017-01-17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49" t="str">
        <f t="shared" si="45"/>
        <v>N</v>
      </c>
      <c r="X106" s="173">
        <f t="shared" si="53"/>
        <v>1</v>
      </c>
      <c r="Y106" s="64">
        <f t="shared" si="46"/>
        <v>23.2973</v>
      </c>
      <c r="Z106" s="64">
        <f t="shared" si="47"/>
        <v>1.6500000000000001E-2</v>
      </c>
      <c r="AA106" s="64">
        <f t="shared" si="48"/>
        <v>23.280799999999999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9"/>
        <v>0194-17</v>
      </c>
      <c r="AE106" s="87" t="str">
        <f t="shared" si="50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106" s="84" t="str">
        <f t="shared" si="51"/>
        <v>"C:\Program Files (x86)\AstroGrep\AstroGrep.exe" /spath="%USERPROFILE%\AppData\Local\Temp\OnboardLogs" /stypes="app*4041*20170117*" /stext=" 23:.+((SYSTEM_STATE.+slice.+state.+changed )|(ment ac)|(multiple cpu faults)|(system.+state.+changed )|(\[timeout)|(PRM\|1\|D)|(kpr)|(kdp)|(\|lc)|(penalty))" /e /r /s</v>
      </c>
      <c r="AG106" s="1" t="str">
        <f t="shared" si="52"/>
        <v>EC</v>
      </c>
      <c r="AH106" s="88" t="str">
        <f t="shared" si="36"/>
        <v>"%USERPROFILE%\Documents\GitHub\eaglep3\Utilities\RefineRTDCRunTimes.py" --tripid 194-17 --locoid 4041 --swversion DE.1.0.8.0 --startMP 204:232973 --initTime 2017-01-17T16:05:11 --startdatetime 2017-01-17T16:11:14 --delay 0 --endMP 204:165 --enddatetime 2017-01-17T16:51:16 --enforcementcount 0 &gt;&gt;C:\Users\stu\Documents\GitHub\eaglep3-reporting\EC\2017-01-17-refined-times.txt</v>
      </c>
      <c r="AI10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{"issue":{"subject":"","project_id":79,"tracker_id":40,"status_id":1,"priority_id":2,"assigned_to_id":23,"start_date":"2017-01-17","description":"","custom_fields":[{"id":1,"name":"Subdivision","value":"EC"},{"id":4,"name":"Milepost","value":"0.0165"},{"id":17,"name":"Train ID","value":"194-17"},{"id":16,"name":"Locomotive ID","value":"4041"},{"id":130,"name":"Impact","value":""},{"id":150,"name":"Time of Event (Mountain Time)","value":"16:51:16"},{"id":151,"name":"Denver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8"/>
        <v>start /low /b %USERPROFILE%\Documents\GitHub\eaglep3\Utilities\DownloadLogsFromS3.py --loco 4041 --day 2017-01-17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621</v>
      </c>
      <c r="B107" s="7">
        <v>4044</v>
      </c>
      <c r="C107" s="22" t="s">
        <v>201</v>
      </c>
      <c r="D107" s="22" t="s">
        <v>264</v>
      </c>
      <c r="E107" s="13">
        <v>42752.641446759262</v>
      </c>
      <c r="F107" s="13">
        <v>42752.646261574075</v>
      </c>
      <c r="G107" s="7">
        <v>1</v>
      </c>
      <c r="H107" s="22" t="s">
        <v>723</v>
      </c>
      <c r="I107" s="13">
        <v>42752.671331018515</v>
      </c>
      <c r="J107" s="7">
        <v>0</v>
      </c>
      <c r="K107" s="105" t="str">
        <f t="shared" si="39"/>
        <v>4043/4044</v>
      </c>
      <c r="L107" s="22" t="str">
        <f>VLOOKUP(A107,'Trips&amp;Operators'!$C$1:$G$99999,5,FALSE)</f>
        <v>CRAYTON QUNTRELL</v>
      </c>
      <c r="M107" s="6">
        <f t="shared" si="40"/>
        <v>2.5069444440305233E-2</v>
      </c>
      <c r="N107" s="7">
        <f t="shared" si="41"/>
        <v>36.099999994039536</v>
      </c>
      <c r="O107" s="7"/>
      <c r="P107" s="7"/>
      <c r="Q107" s="23"/>
      <c r="R107" s="23"/>
      <c r="S107" s="32">
        <f t="shared" si="42"/>
        <v>1</v>
      </c>
      <c r="T107" s="47" t="str">
        <f t="shared" si="43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4"/>
        <v>https://d0f6bd738d7f1b3e5a7ca70fe4ff75f0.us-east-1.aws.found.io/app/kibana#/discover/Steve-Slow-Train-Analysis-(2080s-and-2083s)?_g=(refreshInterval:(display:Off,pause:!f,section:0,value:0),time:(from:'2017-01-17T14:23:41-0700',mode:absolute,to:'2017-01-17T17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49" t="str">
        <f t="shared" si="45"/>
        <v>N</v>
      </c>
      <c r="X107" s="173">
        <f t="shared" si="53"/>
        <v>1</v>
      </c>
      <c r="Y107" s="64">
        <f t="shared" si="46"/>
        <v>4.4600000000000001E-2</v>
      </c>
      <c r="Z107" s="64">
        <f t="shared" si="47"/>
        <v>23.328700000000001</v>
      </c>
      <c r="AA107" s="64">
        <f t="shared" si="48"/>
        <v>23.284100000000002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9"/>
        <v>0195-17</v>
      </c>
      <c r="AE107" s="87" t="str">
        <f t="shared" si="50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107" s="84" t="str">
        <f t="shared" si="51"/>
        <v>"C:\Program Files (x86)\AstroGrep\AstroGrep.exe" /spath="%USERPROFILE%\AppData\Local\Temp\OnboardLogs" /stypes="app*4044*20170117*" /stext=" 23:.+((SYSTEM_STATE.+slice.+state.+changed )|(ment ac)|(multiple cpu faults)|(system.+state.+changed )|(\[timeout)|(PRM\|1\|D)|(kpr)|(kdp)|(\|lc)|(penalty))" /e /r /s</v>
      </c>
      <c r="AG107" s="1" t="str">
        <f t="shared" si="52"/>
        <v>EC</v>
      </c>
      <c r="AH107" s="88" t="str">
        <f t="shared" si="36"/>
        <v>"%USERPROFILE%\Documents\GitHub\eaglep3\Utilities\RefineRTDCRunTimes.py" --tripid 195-17 --locoid 4044 --swversion DE.1.0.8.0 --startMP 204:446 --initTime 2017-01-17T15:23:41 --startdatetime 2017-01-17T15:30:37 --delay 1 --endMP 204:233287 --enddatetime 2017-01-17T16:06:43 --enforcementcount 0 &gt;&gt;C:\Users\stu\Documents\GitHub\eaglep3-reporting\EC\2017-01-17-refined-times.txt</v>
      </c>
      <c r="AI10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{"issue":{"subject":"","project_id":79,"tracker_id":40,"status_id":1,"priority_id":2,"assigned_to_id":23,"start_date":"2017-01-17","description":"","custom_fields":[{"id":1,"name":"Subdivision","value":"EC"},{"id":4,"name":"Milepost","value":"23.3287"},{"id":17,"name":"Train ID","value":"195-17"},{"id":16,"name":"Locomotive ID","value":"4044"},{"id":130,"name":"Impact","value":""},{"id":150,"name":"Time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8"/>
        <v>start /low /b %USERPROFILE%\Documents\GitHub\eaglep3\Utilities\DownloadLogsFromS3.py --loco 4044 --day 2017-01-17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"%USERPROFILE%\AppData\Local\Temp\OnboardLogs"\RTDC4044\*4044*20170117* | grep -SE "(Enforcement Action)|(\[TIMEOUT)|(CHR.+\|PRM\|1\|D.+(SWITCH|SIGNAL).+UNKNOWN)" - &gt;&gt; 2017-01-17-UncaughtWiMAX.txt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4" t="s">
        <v>632</v>
      </c>
      <c r="B108" s="7">
        <v>4043</v>
      </c>
      <c r="C108" s="22" t="s">
        <v>201</v>
      </c>
      <c r="D108" s="22" t="s">
        <v>724</v>
      </c>
      <c r="E108" s="13">
        <v>42752.678310185183</v>
      </c>
      <c r="F108" s="13">
        <v>42752.685034722221</v>
      </c>
      <c r="G108" s="7">
        <v>1</v>
      </c>
      <c r="H108" s="22" t="s">
        <v>253</v>
      </c>
      <c r="I108" s="13">
        <v>42752.711631944447</v>
      </c>
      <c r="J108" s="7">
        <v>0</v>
      </c>
      <c r="K108" s="105" t="str">
        <f t="shared" si="39"/>
        <v>4043/4044</v>
      </c>
      <c r="L108" s="22" t="str">
        <f>VLOOKUP(A108,'Trips&amp;Operators'!$C$1:$G$99999,5,FALSE)</f>
        <v>CRAYTON QUNTRELL</v>
      </c>
      <c r="M108" s="6">
        <f t="shared" si="40"/>
        <v>2.6597222225973383E-2</v>
      </c>
      <c r="N108" s="7">
        <f t="shared" si="41"/>
        <v>38.300000005401671</v>
      </c>
      <c r="O108" s="7"/>
      <c r="P108" s="7"/>
      <c r="Q108" s="23"/>
      <c r="R108" s="23"/>
      <c r="S108" s="32">
        <f t="shared" si="42"/>
        <v>1</v>
      </c>
      <c r="T108" s="47" t="str">
        <f t="shared" si="43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4"/>
        <v>https://d0f6bd738d7f1b3e5a7ca70fe4ff75f0.us-east-1.aws.found.io/app/kibana#/discover/Steve-Slow-Train-Analysis-(2080s-and-2083s)?_g=(refreshInterval:(display:Off,pause:!f,section:0,value:0),time:(from:'2017-01-17T15:16:46-0700',mode:absolute,to:'2017-01-17T18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49" t="str">
        <f t="shared" si="45"/>
        <v>N</v>
      </c>
      <c r="X108" s="173">
        <f t="shared" si="53"/>
        <v>1</v>
      </c>
      <c r="Y108" s="64">
        <f t="shared" si="46"/>
        <v>23.297599999999999</v>
      </c>
      <c r="Z108" s="64">
        <f t="shared" si="47"/>
        <v>1.5800000000000002E-2</v>
      </c>
      <c r="AA108" s="64">
        <f t="shared" si="48"/>
        <v>23.2818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9"/>
        <v>0196-17</v>
      </c>
      <c r="AE108" s="87" t="str">
        <f t="shared" si="5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108" s="84" t="str">
        <f t="shared" si="51"/>
        <v>"C:\Program Files (x86)\AstroGrep\AstroGrep.exe" /spath="%USERPROFILE%\AppData\Local\Temp\OnboardLogs" /stypes="app*4043*20170118*" /stext=" 00:.+((SYSTEM_STATE.+slice.+state.+changed )|(ment ac)|(multiple cpu faults)|(system.+state.+changed )|(\[timeout)|(PRM\|1\|D)|(kpr)|(kdp)|(\|lc)|(penalty))" /e /r /s</v>
      </c>
      <c r="AG108" s="1" t="str">
        <f t="shared" si="52"/>
        <v>EC</v>
      </c>
      <c r="AH108" s="88" t="str">
        <f t="shared" si="36"/>
        <v>"%USERPROFILE%\Documents\GitHub\eaglep3\Utilities\RefineRTDCRunTimes.py" --tripid 196-17 --locoid 4043 --swversion DE.1.0.8.0 --startMP 204:232976 --initTime 2017-01-17T16:16:46 --startdatetime 2017-01-17T16:26:27 --delay 1 --endMP 204:158 --enddatetime 2017-01-17T17:04:45 --enforcementcount 0 &gt;&gt;C:\Users\stu\Documents\GitHub\eaglep3-reporting\EC\2017-01-17-refined-times.txt</v>
      </c>
      <c r="AI10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{"issue":{"subject":"","project_id":79,"tracker_id":40,"status_id":1,"priority_id":2,"assigned_to_id":23,"start_date":"2017-01-17","description":"","custom_fields":[{"id":1,"name":"Subdivision","value":"EC"},{"id":4,"name":"Milepost","value":"0.0158"},{"id":17,"name":"Train ID","value":"196-17"},{"id":16,"name":"Locomotive ID","value":"4043"},{"id":130,"name":"Impact","value":""},{"id":150,"name":"Time of Event (Mountain Time)","value":"17:04:45"},{"id":151,"name":"Denver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8"/>
        <v>start /low /b %USERPROFILE%\Documents\GitHub\eaglep3\Utilities\DownloadLogsFromS3.py --loco 4043 --day 2017-01-17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"%USERPROFILE%\AppData\Local\Temp\OnboardLogs"\RTDC4043\*4043*20170117* | grep -SE "(Enforcement Action)|(\[TIMEOUT)|(CHR.+\|PRM\|1\|D.+(SWITCH|SIGNAL).+UNKNOWN)" - &gt;&gt; 2017-01-17-UncaughtWiMAX.txt</v>
      </c>
    </row>
    <row r="109" spans="1:91" s="21" customFormat="1" x14ac:dyDescent="0.25">
      <c r="A109" s="34" t="s">
        <v>625</v>
      </c>
      <c r="B109" s="7">
        <v>4027</v>
      </c>
      <c r="C109" s="22" t="s">
        <v>201</v>
      </c>
      <c r="D109" s="22" t="s">
        <v>725</v>
      </c>
      <c r="E109" s="13">
        <v>42752.651747685188</v>
      </c>
      <c r="F109" s="13">
        <v>42752.656770833331</v>
      </c>
      <c r="G109" s="7">
        <v>1</v>
      </c>
      <c r="H109" s="22" t="s">
        <v>726</v>
      </c>
      <c r="I109" s="13">
        <v>42752.681446759256</v>
      </c>
      <c r="J109" s="7">
        <v>0</v>
      </c>
      <c r="K109" s="105" t="str">
        <f t="shared" ref="K109:K140" si="54">IF(ISEVEN(B109),(B109-1)&amp;"/"&amp;B109,B109&amp;"/"&amp;(B109+1))</f>
        <v>4027/4028</v>
      </c>
      <c r="L109" s="22" t="str">
        <f>VLOOKUP(A109,'Trips&amp;Operators'!$C$1:$G$99999,5,FALSE)</f>
        <v>ROMERO CHAD</v>
      </c>
      <c r="M109" s="6">
        <f t="shared" ref="M109:M140" si="55">I109-F109</f>
        <v>2.4675925924384501E-2</v>
      </c>
      <c r="N109" s="7">
        <f t="shared" ref="N109:N134" si="56">24*60*SUM($M109:$M109)</f>
        <v>35.533333331113681</v>
      </c>
      <c r="O109" s="7"/>
      <c r="P109" s="7"/>
      <c r="Q109" s="23"/>
      <c r="R109" s="23"/>
      <c r="S109" s="32">
        <f t="shared" ref="S109:S140" si="57">SUM(U109:U109)/IF(AG109="EC",12,1)</f>
        <v>1</v>
      </c>
      <c r="T109" s="47" t="str">
        <f t="shared" ref="T109:T140" si="58">IF(ISEVEN(LEFT(AD109,4)),"Southbound","NorthBound")</f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44"/>
        <v>https://d0f6bd738d7f1b3e5a7ca70fe4ff75f0.us-east-1.aws.found.io/app/kibana#/discover/Steve-Slow-Train-Analysis-(2080s-and-2083s)?_g=(refreshInterval:(display:Off,pause:!f,section:0,value:0),time:(from:'2017-01-17T14:38:31-0700',mode:absolute,to:'2017-01-17T17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49" t="str">
        <f t="shared" ref="W109:W140" si="59">IF(AA109&lt;IF(AG109="EC",23,5.65),"Y","N")</f>
        <v>N</v>
      </c>
      <c r="X109" s="173">
        <f t="shared" si="53"/>
        <v>1</v>
      </c>
      <c r="Y109" s="64">
        <f t="shared" ref="Y109:Y140" si="60">RIGHT(D109,LEN(D109)-4)/10000</f>
        <v>3.8899999999999997E-2</v>
      </c>
      <c r="Z109" s="64">
        <f t="shared" ref="Z109:Z140" si="61">RIGHT(H109,LEN(H109)-4)/10000</f>
        <v>23.337800000000001</v>
      </c>
      <c r="AA109" s="64">
        <f t="shared" ref="AA109:AA140" si="62">ABS(Z109-Y109)</f>
        <v>23.2989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ref="AD109:AD140" si="63">IF(LEN(A109)=6,"0"&amp;A109,A109)</f>
        <v>0197-17</v>
      </c>
      <c r="AE109" s="87" t="str">
        <f t="shared" si="50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109" s="84" t="str">
        <f t="shared" si="51"/>
        <v>"C:\Program Files (x86)\AstroGrep\AstroGrep.exe" /spath="%USERPROFILE%\AppData\Local\Temp\OnboardLogs" /stypes="app*4027*20170117*" /stext=" 23:.+((SYSTEM_STATE.+slice.+state.+changed )|(ment ac)|(multiple cpu faults)|(system.+state.+changed )|(\[timeout)|(PRM\|1\|D)|(kpr)|(kdp)|(\|lc)|(penalty))" /e /r /s</v>
      </c>
      <c r="AG109" s="1" t="str">
        <f t="shared" ref="AG109:AG140" si="64">IFERROR(IF(VALUE(LEFT(AD109,2))&lt;=2,"EC",IF(OR(VALUE(LEFT(AD109,2))=8,VALUE(LEFT(AD109,2))=18),"NW","Other")),"Other")</f>
        <v>EC</v>
      </c>
      <c r="AH109" s="88" t="str">
        <f t="shared" si="36"/>
        <v>"%USERPROFILE%\Documents\GitHub\eaglep3\Utilities\RefineRTDCRunTimes.py" --tripid 197-17 --locoid 4027 --swversion DE.1.0.8.0 --startMP 204:389 --initTime 2017-01-17T15:38:31 --startdatetime 2017-01-17T15:45:45 --delay 1 --endMP 204:233378 --enddatetime 2017-01-17T16:21:17 --enforcementcount 0 &gt;&gt;C:\Users\stu\Documents\GitHub\eaglep3-reporting\EC\2017-01-17-refined-times.txt</v>
      </c>
      <c r="AI10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{"issue":{"subject":"","project_id":79,"tracker_id":40,"status_id":1,"priority_id":2,"assigned_to_id":23,"start_date":"2017-01-17","description":"","custom_fields":[{"id":1,"name":"Subdivision","value":"EC"},{"id":4,"name":"Milepost","value":"23.3378"},{"id":17,"name":"Train ID","value":"197-17"},{"id":16,"name":"Locomotive ID","value":"4027"},{"id":130,"name":"Impact","value":""},{"id":150,"name":"Time of Event (Mountain Time)","value":"16:21:17"},{"id":151,"name":"Denver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8"/>
        <v>start /low /b %USERPROFILE%\Documents\GitHub\eaglep3\Utilities\DownloadLogsFromS3.py --loco 4027 --day 2017-01-17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"%USERPROFILE%\AppData\Local\Temp\OnboardLogs"\RTDC4027\*4027*20170117* | grep -SE "(Enforcement Action)|(\[TIMEOUT)|(CHR.+\|PRM\|1\|D.+(SWITCH|SIGNAL).+UNKNOWN)" - &gt;&gt; 2017-01-17-UncaughtWiMAX.txt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633</v>
      </c>
      <c r="B110" s="7">
        <v>4028</v>
      </c>
      <c r="C110" s="22" t="s">
        <v>201</v>
      </c>
      <c r="D110" s="22" t="s">
        <v>727</v>
      </c>
      <c r="E110" s="13">
        <v>42752.68277777778</v>
      </c>
      <c r="F110" s="13">
        <v>42752.695451388892</v>
      </c>
      <c r="G110" s="7">
        <v>0</v>
      </c>
      <c r="H110" s="22" t="s">
        <v>223</v>
      </c>
      <c r="I110" s="13">
        <v>42752.721018518518</v>
      </c>
      <c r="J110" s="7">
        <v>0</v>
      </c>
      <c r="K110" s="105" t="str">
        <f t="shared" si="54"/>
        <v>4027/4028</v>
      </c>
      <c r="L110" s="22" t="str">
        <f>VLOOKUP(A110,'Trips&amp;Operators'!$C$1:$G$99999,5,FALSE)</f>
        <v>ROMERO CHAD</v>
      </c>
      <c r="M110" s="6">
        <f t="shared" si="55"/>
        <v>2.5567129625414964E-2</v>
      </c>
      <c r="N110" s="7">
        <f t="shared" si="56"/>
        <v>36.816666660597548</v>
      </c>
      <c r="O110" s="7"/>
      <c r="P110" s="7"/>
      <c r="Q110" s="23"/>
      <c r="R110" s="23"/>
      <c r="S110" s="32">
        <f t="shared" si="57"/>
        <v>1</v>
      </c>
      <c r="T110" s="47" t="str">
        <f t="shared" si="58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44"/>
        <v>https://d0f6bd738d7f1b3e5a7ca70fe4ff75f0.us-east-1.aws.found.io/app/kibana#/discover/Steve-Slow-Train-Analysis-(2080s-and-2083s)?_g=(refreshInterval:(display:Off,pause:!f,section:0,value:0),time:(from:'2017-01-17T15:23:12-0700',mode:absolute,to:'2017-01-17T18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49" t="str">
        <f t="shared" si="59"/>
        <v>N</v>
      </c>
      <c r="X110" s="173">
        <f t="shared" si="53"/>
        <v>1</v>
      </c>
      <c r="Y110" s="64">
        <f t="shared" si="60"/>
        <v>23.3032</v>
      </c>
      <c r="Z110" s="64">
        <f t="shared" si="61"/>
        <v>1.4500000000000001E-2</v>
      </c>
      <c r="AA110" s="64">
        <f t="shared" si="62"/>
        <v>23.288699999999999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63"/>
        <v>0198-17</v>
      </c>
      <c r="AE110" s="87" t="str">
        <f t="shared" si="50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110" s="84" t="str">
        <f t="shared" si="51"/>
        <v>"C:\Program Files (x86)\AstroGrep\AstroGrep.exe" /spath="%USERPROFILE%\AppData\Local\Temp\OnboardLogs" /stypes="app*4028*20170118*" /stext=" 00:.+((SYSTEM_STATE.+slice.+state.+changed )|(ment ac)|(multiple cpu faults)|(system.+state.+changed )|(\[timeout)|(PRM\|1\|D)|(kpr)|(kdp)|(\|lc)|(penalty))" /e /r /s</v>
      </c>
      <c r="AG110" s="1" t="str">
        <f t="shared" si="64"/>
        <v>EC</v>
      </c>
      <c r="AH110" s="88" t="str">
        <f t="shared" si="36"/>
        <v>"%USERPROFILE%\Documents\GitHub\eaglep3\Utilities\RefineRTDCRunTimes.py" --tripid 198-17 --locoid 4028 --swversion DE.1.0.8.0 --startMP 204:233032 --initTime 2017-01-17T16:23:12 --startdatetime 2017-01-17T16:41:27 --delay 0 --endMP 204:145 --enddatetime 2017-01-17T17:18:16 --enforcementcount 0 &gt;&gt;C:\Users\stu\Documents\GitHub\eaglep3-reporting\EC\2017-01-17-refined-times.txt</v>
      </c>
      <c r="AI11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{"issue":{"subject":"","project_id":79,"tracker_id":40,"status_id":1,"priority_id":2,"assigned_to_id":23,"start_date":"2017-01-17","description":"","custom_fields":[{"id":1,"name":"Subdivision","value":"EC"},{"id":4,"name":"Milepost","value":"0.0145"},{"id":17,"name":"Train ID","value":"198-17"},{"id":16,"name":"Locomotive ID","value":"4028"},{"id":130,"name":"Impact","value":""},{"id":150,"name":"Time of Event (Mountain Time)","value":"17:18:16"},{"id":151,"name":"Denver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8"/>
        <v>start /low /b %USERPROFILE%\Documents\GitHub\eaglep3\Utilities\DownloadLogsFromS3.py --loco 4028 --day 2017-01-17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627</v>
      </c>
      <c r="B111" s="7">
        <v>4022</v>
      </c>
      <c r="C111" s="22" t="s">
        <v>201</v>
      </c>
      <c r="D111" s="22" t="s">
        <v>192</v>
      </c>
      <c r="E111" s="13">
        <v>42752.662789351853</v>
      </c>
      <c r="F111" s="13">
        <v>42752.66684027778</v>
      </c>
      <c r="G111" s="7">
        <v>1</v>
      </c>
      <c r="H111" s="22" t="s">
        <v>282</v>
      </c>
      <c r="I111" s="13">
        <v>42752.692326388889</v>
      </c>
      <c r="J111" s="7">
        <v>0</v>
      </c>
      <c r="K111" s="105" t="str">
        <f t="shared" si="54"/>
        <v>4021/4022</v>
      </c>
      <c r="L111" s="22" t="str">
        <f>VLOOKUP(A111,'Trips&amp;Operators'!$C$1:$G$99999,5,FALSE)</f>
        <v>SWANSON BRYCE</v>
      </c>
      <c r="M111" s="6">
        <f t="shared" si="55"/>
        <v>2.548611110978527E-2</v>
      </c>
      <c r="N111" s="7">
        <f t="shared" si="56"/>
        <v>36.699999998090789</v>
      </c>
      <c r="O111" s="7"/>
      <c r="P111" s="7"/>
      <c r="Q111" s="23"/>
      <c r="R111" s="23"/>
      <c r="S111" s="32">
        <f t="shared" si="57"/>
        <v>1</v>
      </c>
      <c r="T111" s="47" t="str">
        <f t="shared" si="58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4"/>
        <v>https://d0f6bd738d7f1b3e5a7ca70fe4ff75f0.us-east-1.aws.found.io/app/kibana#/discover/Steve-Slow-Train-Analysis-(2080s-and-2083s)?_g=(refreshInterval:(display:Off,pause:!f,section:0,value:0),time:(from:'2017-01-17T14:54:25-0700',mode:absolute,to:'2017-01-17T17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49" t="str">
        <f t="shared" si="59"/>
        <v>N</v>
      </c>
      <c r="X111" s="173">
        <f t="shared" si="53"/>
        <v>1</v>
      </c>
      <c r="Y111" s="64">
        <f t="shared" si="60"/>
        <v>4.4699999999999997E-2</v>
      </c>
      <c r="Z111" s="64">
        <f t="shared" si="61"/>
        <v>23.330400000000001</v>
      </c>
      <c r="AA111" s="64">
        <f t="shared" si="62"/>
        <v>23.285700000000002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63"/>
        <v>0199-17</v>
      </c>
      <c r="AE111" s="87" t="str">
        <f t="shared" si="50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111" s="84" t="str">
        <f t="shared" si="51"/>
        <v>"C:\Program Files (x86)\AstroGrep\AstroGrep.exe" /spath="%USERPROFILE%\AppData\Local\Temp\OnboardLogs" /stypes="app*4022*20170117*" /stext=" 23:.+((SYSTEM_STATE.+slice.+state.+changed )|(ment ac)|(multiple cpu faults)|(system.+state.+changed )|(\[timeout)|(PRM\|1\|D)|(kpr)|(kdp)|(\|lc)|(penalty))" /e /r /s</v>
      </c>
      <c r="AG111" s="1" t="str">
        <f t="shared" si="64"/>
        <v>EC</v>
      </c>
      <c r="AH111" s="88" t="str">
        <f t="shared" si="36"/>
        <v>"%USERPROFILE%\Documents\GitHub\eaglep3\Utilities\RefineRTDCRunTimes.py" --tripid 199-17 --locoid 4022 --swversion DE.1.0.8.0 --startMP 204:447 --initTime 2017-01-17T15:54:25 --startdatetime 2017-01-17T16:00:15 --delay 1 --endMP 204:233304 --enddatetime 2017-01-17T16:36:57 --enforcementcount 0 &gt;&gt;C:\Users\stu\Documents\GitHub\eaglep3-reporting\EC\2017-01-17-refined-times.txt</v>
      </c>
      <c r="AI11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{"issue":{"subject":"","project_id":79,"tracker_id":40,"status_id":1,"priority_id":2,"assigned_to_id":23,"start_date":"2017-01-17","description":"","custom_fields":[{"id":1,"name":"Subdivision","value":"EC"},{"id":4,"name":"Milepost","value":"23.3304"},{"id":17,"name":"Train ID","value":"199-17"},{"id":16,"name":"Locomotive ID","value":"4022"},{"id":130,"name":"Impact","value":""},{"id":150,"name":"Time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8"/>
        <v>start /low /b %USERPROFILE%\Documents\GitHub\eaglep3\Utilities\DownloadLogsFromS3.py --loco 4022 --day 2017-01-17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"%USERPROFILE%\AppData\Local\Temp\OnboardLogs"\RTDC4022\*4022*20170117* | grep -SE "(Enforcement Action)|(\[TIMEOUT)|(CHR.+\|PRM\|1\|D.+(SWITCH|SIGNAL).+UNKNOWN)" - &gt;&gt; 2017-01-17-UncaughtWiMAX.txt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638</v>
      </c>
      <c r="B112" s="7">
        <v>4021</v>
      </c>
      <c r="C112" s="22" t="s">
        <v>201</v>
      </c>
      <c r="D112" s="22" t="s">
        <v>728</v>
      </c>
      <c r="E112" s="13">
        <v>42752.696157407408</v>
      </c>
      <c r="F112" s="13">
        <v>42752.705833333333</v>
      </c>
      <c r="G112" s="7">
        <v>1</v>
      </c>
      <c r="H112" s="22" t="s">
        <v>236</v>
      </c>
      <c r="I112" s="13">
        <v>42752.733888888892</v>
      </c>
      <c r="J112" s="7">
        <v>0</v>
      </c>
      <c r="K112" s="105" t="str">
        <f t="shared" si="54"/>
        <v>4021/4022</v>
      </c>
      <c r="L112" s="22" t="str">
        <f>VLOOKUP(A112,'Trips&amp;Operators'!$C$1:$G$99999,5,FALSE)</f>
        <v>SWANSON BRYCE</v>
      </c>
      <c r="M112" s="6">
        <f t="shared" si="55"/>
        <v>2.8055555558239575E-2</v>
      </c>
      <c r="N112" s="7">
        <f t="shared" si="56"/>
        <v>40.400000003864989</v>
      </c>
      <c r="O112" s="7"/>
      <c r="P112" s="7"/>
      <c r="Q112" s="23"/>
      <c r="R112" s="23"/>
      <c r="S112" s="32">
        <f t="shared" si="57"/>
        <v>1</v>
      </c>
      <c r="T112" s="47" t="str">
        <f t="shared" si="58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4"/>
        <v>https://d0f6bd738d7f1b3e5a7ca70fe4ff75f0.us-east-1.aws.found.io/app/kibana#/discover/Steve-Slow-Train-Analysis-(2080s-and-2083s)?_g=(refreshInterval:(display:Off,pause:!f,section:0,value:0),time:(from:'2017-01-17T15:42:28-0700',mode:absolute,to:'2017-01-17T18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49" t="str">
        <f t="shared" si="59"/>
        <v>N</v>
      </c>
      <c r="X112" s="173">
        <f t="shared" si="53"/>
        <v>1</v>
      </c>
      <c r="Y112" s="64">
        <f t="shared" si="60"/>
        <v>23.302700000000002</v>
      </c>
      <c r="Z112" s="64">
        <f t="shared" si="61"/>
        <v>1.47E-2</v>
      </c>
      <c r="AA112" s="64">
        <f t="shared" si="62"/>
        <v>23.288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63"/>
        <v>0200-17</v>
      </c>
      <c r="AE112" s="87" t="str">
        <f t="shared" si="50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112" s="84" t="str">
        <f t="shared" si="51"/>
        <v>"C:\Program Files (x86)\AstroGrep\AstroGrep.exe" /spath="%USERPROFILE%\AppData\Local\Temp\OnboardLogs" /stypes="app*4021*20170118*" /stext=" 00:.+((SYSTEM_STATE.+slice.+state.+changed )|(ment ac)|(multiple cpu faults)|(system.+state.+changed )|(\[timeout)|(PRM\|1\|D)|(kpr)|(kdp)|(\|lc)|(penalty))" /e /r /s</v>
      </c>
      <c r="AG112" s="1" t="str">
        <f t="shared" si="64"/>
        <v>EC</v>
      </c>
      <c r="AH112" s="88" t="str">
        <f t="shared" si="36"/>
        <v>"%USERPROFILE%\Documents\GitHub\eaglep3\Utilities\RefineRTDCRunTimes.py" --tripid 200-17 --locoid 4021 --swversion DE.1.0.8.0 --startMP 204:233027 --initTime 2017-01-17T16:42:28 --startdatetime 2017-01-17T16:56:24 --delay 1 --endMP 204:147 --enddatetime 2017-01-17T17:36:48 --enforcementcount 0 &gt;&gt;C:\Users\stu\Documents\GitHub\eaglep3-reporting\EC\2017-01-17-refined-times.txt</v>
      </c>
      <c r="AI11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{"issue":{"subject":"","project_id":79,"tracker_id":40,"status_id":1,"priority_id":2,"assigned_to_id":23,"start_date":"2017-01-17","description":"","custom_fields":[{"id":1,"name":"Subdivision","value":"EC"},{"id":4,"name":"Milepost","value":"0.0147"},{"id":17,"name":"Train ID","value":"200-17"},{"id":16,"name":"Locomotive ID","value":"4021"},{"id":130,"name":"Impact","value":""},{"id":150,"name":"Time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8"/>
        <v>start /low /b %USERPROFILE%\Documents\GitHub\eaglep3\Utilities\DownloadLogsFromS3.py --loco 4021 --day 2017-01-17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631</v>
      </c>
      <c r="B113" s="7">
        <v>4007</v>
      </c>
      <c r="C113" s="22" t="s">
        <v>201</v>
      </c>
      <c r="D113" s="22" t="s">
        <v>318</v>
      </c>
      <c r="E113" s="13">
        <v>42752.675023148149</v>
      </c>
      <c r="F113" s="13">
        <v>42752.677418981482</v>
      </c>
      <c r="G113" s="7">
        <v>1</v>
      </c>
      <c r="H113" s="22" t="s">
        <v>272</v>
      </c>
      <c r="I113" s="13">
        <v>42752.703981481478</v>
      </c>
      <c r="J113" s="7">
        <v>0</v>
      </c>
      <c r="K113" s="105" t="str">
        <f t="shared" si="54"/>
        <v>4007/4008</v>
      </c>
      <c r="L113" s="22" t="str">
        <f>VLOOKUP(A113,'Trips&amp;Operators'!$C$1:$G$99999,5,FALSE)</f>
        <v>DAVIS MICHAEL</v>
      </c>
      <c r="M113" s="6">
        <f t="shared" si="55"/>
        <v>2.6562499995634425E-2</v>
      </c>
      <c r="N113" s="7">
        <f t="shared" si="56"/>
        <v>38.249999993713573</v>
      </c>
      <c r="O113" s="7"/>
      <c r="P113" s="7"/>
      <c r="Q113" s="23"/>
      <c r="R113" s="23"/>
      <c r="S113" s="32">
        <f t="shared" si="57"/>
        <v>1</v>
      </c>
      <c r="T113" s="47" t="str">
        <f t="shared" si="58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4"/>
        <v>https://d0f6bd738d7f1b3e5a7ca70fe4ff75f0.us-east-1.aws.found.io/app/kibana#/discover/Steve-Slow-Train-Analysis-(2080s-and-2083s)?_g=(refreshInterval:(display:Off,pause:!f,section:0,value:0),time:(from:'2017-01-17T15:12:02-0700',mode:absolute,to:'2017-01-17T17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49" t="str">
        <f t="shared" si="59"/>
        <v>N</v>
      </c>
      <c r="X113" s="173">
        <f t="shared" si="53"/>
        <v>1</v>
      </c>
      <c r="Y113" s="64">
        <f t="shared" si="60"/>
        <v>4.6600000000000003E-2</v>
      </c>
      <c r="Z113" s="64">
        <f t="shared" si="61"/>
        <v>23.330100000000002</v>
      </c>
      <c r="AA113" s="64">
        <f t="shared" si="62"/>
        <v>23.2835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63"/>
        <v>0201-17</v>
      </c>
      <c r="AE113" s="87" t="str">
        <f t="shared" si="50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113" s="84" t="str">
        <f t="shared" si="51"/>
        <v>"C:\Program Files (x86)\AstroGrep\AstroGrep.exe" /spath="%USERPROFILE%\AppData\Local\Temp\OnboardLogs" /stypes="app*4007*20170117*" /stext=" 23:.+((SYSTEM_STATE.+slice.+state.+changed )|(ment ac)|(multiple cpu faults)|(system.+state.+changed )|(\[timeout)|(PRM\|1\|D)|(kpr)|(kdp)|(\|lc)|(penalty))" /e /r /s</v>
      </c>
      <c r="AG113" s="1" t="str">
        <f t="shared" si="64"/>
        <v>EC</v>
      </c>
      <c r="AH113" s="88" t="str">
        <f t="shared" si="36"/>
        <v>"%USERPROFILE%\Documents\GitHub\eaglep3\Utilities\RefineRTDCRunTimes.py" --tripid 201-17 --locoid 4007 --swversion DE.1.0.8.0 --startMP 204:466 --initTime 2017-01-17T16:12:02 --startdatetime 2017-01-17T16:15:29 --delay 1 --endMP 204:233301 --enddatetime 2017-01-17T16:53:44 --enforcementcount 0 &gt;&gt;C:\Users\stu\Documents\GitHub\eaglep3-reporting\EC\2017-01-17-refined-times.txt</v>
      </c>
      <c r="AI113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{"issue":{"subject":"","project_id":79,"tracker_id":40,"status_id":1,"priority_id":2,"assigned_to_id":23,"start_date":"2017-01-17","description":"","custom_fields":[{"id":1,"name":"Subdivision","value":"EC"},{"id":4,"name":"Milepost","value":"23.3301"},{"id":17,"name":"Train ID","value":"201-17"},{"id":16,"name":"Locomotive ID","value":"4007"},{"id":130,"name":"Impact","value":""},{"id":150,"name":"Time of Event (Mountain Time)","value":"16:53:44"},{"id":151,"name":"Denver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8"/>
        <v>start /low /b %USERPROFILE%\Documents\GitHub\eaglep3\Utilities\DownloadLogsFromS3.py --loco 4007 --day 2017-01-17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"%USERPROFILE%\AppData\Local\Temp\OnboardLogs"\RTDC4007\*4007*20170117* | grep -SE "(Enforcement Action)|(\[TIMEOUT)|(CHR.+\|PRM\|1\|D.+(SWITCH|SIGNAL).+UNKNOWN)" - &gt;&gt; 2017-01-17-UncaughtWiMAX.txt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639</v>
      </c>
      <c r="B114" s="7">
        <v>4008</v>
      </c>
      <c r="C114" s="22" t="s">
        <v>201</v>
      </c>
      <c r="D114" s="22" t="s">
        <v>279</v>
      </c>
      <c r="E114" s="13">
        <v>42752.712129629632</v>
      </c>
      <c r="F114" s="13">
        <v>42752.71638888889</v>
      </c>
      <c r="G114" s="7">
        <v>1</v>
      </c>
      <c r="H114" s="22" t="s">
        <v>240</v>
      </c>
      <c r="I114" s="13">
        <v>42752.74490740741</v>
      </c>
      <c r="J114" s="7">
        <v>0</v>
      </c>
      <c r="K114" s="105" t="str">
        <f t="shared" si="54"/>
        <v>4007/4008</v>
      </c>
      <c r="L114" s="22" t="str">
        <f>VLOOKUP(A114,'Trips&amp;Operators'!$C$1:$G$99999,5,FALSE)</f>
        <v>DAVIS MICHAEL</v>
      </c>
      <c r="M114" s="6">
        <f t="shared" si="55"/>
        <v>2.8518518520286307E-2</v>
      </c>
      <c r="N114" s="7">
        <f t="shared" si="56"/>
        <v>41.066666669212282</v>
      </c>
      <c r="O114" s="7"/>
      <c r="P114" s="7"/>
      <c r="Q114" s="23"/>
      <c r="R114" s="23"/>
      <c r="S114" s="32">
        <f t="shared" si="57"/>
        <v>1</v>
      </c>
      <c r="T114" s="47" t="str">
        <f t="shared" si="58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4"/>
        <v>https://d0f6bd738d7f1b3e5a7ca70fe4ff75f0.us-east-1.aws.found.io/app/kibana#/discover/Steve-Slow-Train-Analysis-(2080s-and-2083s)?_g=(refreshInterval:(display:Off,pause:!f,section:0,value:0),time:(from:'2017-01-17T16:05:28-0700',mode:absolute,to:'2017-01-17T18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49" t="str">
        <f t="shared" si="59"/>
        <v>N</v>
      </c>
      <c r="X114" s="173">
        <f t="shared" si="53"/>
        <v>1</v>
      </c>
      <c r="Y114" s="64">
        <f t="shared" si="60"/>
        <v>23.298400000000001</v>
      </c>
      <c r="Z114" s="64">
        <f t="shared" si="61"/>
        <v>1.6E-2</v>
      </c>
      <c r="AA114" s="64">
        <f t="shared" si="62"/>
        <v>23.282400000000003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63"/>
        <v>0202-17</v>
      </c>
      <c r="AE114" s="87" t="str">
        <f t="shared" si="50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114" s="84" t="str">
        <f t="shared" si="51"/>
        <v>"C:\Program Files (x86)\AstroGrep\AstroGrep.exe" /spath="%USERPROFILE%\AppData\Local\Temp\OnboardLogs" /stypes="app*4008*20170118*" /stext=" 00:.+((SYSTEM_STATE.+slice.+state.+changed )|(ment ac)|(multiple cpu faults)|(system.+state.+changed )|(\[timeout)|(PRM\|1\|D)|(kpr)|(kdp)|(\|lc)|(penalty))" /e /r /s</v>
      </c>
      <c r="AG114" s="1" t="str">
        <f t="shared" si="64"/>
        <v>EC</v>
      </c>
      <c r="AH114" s="88" t="str">
        <f t="shared" si="36"/>
        <v>"%USERPROFILE%\Documents\GitHub\eaglep3\Utilities\RefineRTDCRunTimes.py" --tripid 202-17 --locoid 4008 --swversion DE.1.0.8.0 --startMP 204:232984 --initTime 2017-01-17T17:05:28 --startdatetime 2017-01-17T17:11:36 --delay 1 --endMP 204:160 --enddatetime 2017-01-17T17:52:40 --enforcementcount 0 &gt;&gt;C:\Users\stu\Documents\GitHub\eaglep3-reporting\EC\2017-01-17-refined-times.txt</v>
      </c>
      <c r="AI11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{"issue":{"subject":"","project_id":79,"tracker_id":40,"status_id":1,"priority_id":2,"assigned_to_id":23,"start_date":"2017-01-17","description":"","custom_fields":[{"id":1,"name":"Subdivision","value":"EC"},{"id":4,"name":"Milepost","value":"0.016"},{"id":17,"name":"Train ID","value":"202-17"},{"id":16,"name":"Locomotive ID","value":"4008"},{"id":130,"name":"Impact","value":""},{"id":150,"name":"Time of Event (Mountain Time)","value":"17:52:40"},{"id":151,"name":"Denver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8"/>
        <v>start /low /b %USERPROFILE%\Documents\GitHub\eaglep3\Utilities\DownloadLogsFromS3.py --loco 4008 --day 2017-01-17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634</v>
      </c>
      <c r="B115" s="7">
        <v>4002</v>
      </c>
      <c r="C115" s="22" t="s">
        <v>201</v>
      </c>
      <c r="D115" s="22" t="s">
        <v>729</v>
      </c>
      <c r="E115" s="13">
        <v>42752.682928240742</v>
      </c>
      <c r="F115" s="13">
        <v>42752.685196759259</v>
      </c>
      <c r="G115" s="7">
        <v>1</v>
      </c>
      <c r="H115" s="22" t="s">
        <v>285</v>
      </c>
      <c r="I115" s="13">
        <v>42752.712881944448</v>
      </c>
      <c r="J115" s="7">
        <v>0</v>
      </c>
      <c r="K115" s="105" t="str">
        <f t="shared" si="54"/>
        <v>4001/4002</v>
      </c>
      <c r="L115" s="22" t="str">
        <f>VLOOKUP(A115,'Trips&amp;Operators'!$C$1:$G$99999,5,FALSE)</f>
        <v>STEWART MICHAEL</v>
      </c>
      <c r="M115" s="6">
        <f t="shared" si="55"/>
        <v>2.768518518860219E-2</v>
      </c>
      <c r="N115" s="7">
        <f t="shared" si="56"/>
        <v>39.866666671587154</v>
      </c>
      <c r="O115" s="7"/>
      <c r="P115" s="7"/>
      <c r="Q115" s="23"/>
      <c r="R115" s="23"/>
      <c r="S115" s="32">
        <f t="shared" si="57"/>
        <v>1</v>
      </c>
      <c r="T115" s="47" t="str">
        <f t="shared" si="58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4"/>
        <v>https://d0f6bd738d7f1b3e5a7ca70fe4ff75f0.us-east-1.aws.found.io/app/kibana#/discover/Steve-Slow-Train-Analysis-(2080s-and-2083s)?_g=(refreshInterval:(display:Off,pause:!f,section:0,value:0),time:(from:'2017-01-17T15:23:25-0700',mode:absolute,to:'2017-01-17T18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49" t="str">
        <f t="shared" si="59"/>
        <v>N</v>
      </c>
      <c r="X115" s="173">
        <f t="shared" si="53"/>
        <v>1</v>
      </c>
      <c r="Y115" s="64">
        <f t="shared" si="60"/>
        <v>4.7800000000000002E-2</v>
      </c>
      <c r="Z115" s="64">
        <f t="shared" si="61"/>
        <v>23.329699999999999</v>
      </c>
      <c r="AA115" s="64">
        <f t="shared" si="62"/>
        <v>23.2819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63"/>
        <v>0203-17</v>
      </c>
      <c r="AE115" s="87" t="str">
        <f t="shared" si="5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15" s="84" t="str">
        <f t="shared" si="51"/>
        <v>"C:\Program Files (x86)\AstroGrep\AstroGrep.exe" /spath="%USERPROFILE%\AppData\Local\Temp\OnboardLogs" /stypes="app*4002*20170118*" /stext=" 00:.+((SYSTEM_STATE.+slice.+state.+changed )|(ment ac)|(multiple cpu faults)|(system.+state.+changed )|(\[timeout)|(PRM\|1\|D)|(kpr)|(kdp)|(\|lc)|(penalty))" /e /r /s</v>
      </c>
      <c r="AG115" s="1" t="str">
        <f t="shared" si="64"/>
        <v>EC</v>
      </c>
      <c r="AH115" s="88" t="str">
        <f t="shared" si="36"/>
        <v>"%USERPROFILE%\Documents\GitHub\eaglep3\Utilities\RefineRTDCRunTimes.py" --tripid 203-17 --locoid 4002 --swversion DE.1.0.8.0 --startMP 204:478 --initTime 2017-01-17T16:23:25 --startdatetime 2017-01-17T16:26:41 --delay 1 --endMP 204:233297 --enddatetime 2017-01-17T17:06:33 --enforcementcount 0 &gt;&gt;C:\Users\stu\Documents\GitHub\eaglep3-reporting\EC\2017-01-17-refined-times.txt</v>
      </c>
      <c r="AI115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{"issue":{"subject":"","project_id":79,"tracker_id":40,"status_id":1,"priority_id":2,"assigned_to_id":23,"start_date":"2017-01-17","description":"","custom_fields":[{"id":1,"name":"Subdivision","value":"EC"},{"id":4,"name":"Milepost","value":"23.3297"},{"id":17,"name":"Train ID","value":"203-17"},{"id":16,"name":"Locomotive ID","value":"4002"},{"id":130,"name":"Impact","value":""},{"id":150,"name":"Time of Event (Mountain Time)","value":"17:06:33"},{"id":151,"name":"Denver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8"/>
        <v>start /low /b %USERPROFILE%\Documents\GitHub\eaglep3\Utilities\DownloadLogsFromS3.py --loco 4002 --day 2017-01-17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"%USERPROFILE%\AppData\Local\Temp\OnboardLogs"\RTDC4002\*4002*20170117* | grep -SE "(Enforcement Action)|(\[TIMEOUT)|(CHR.+\|PRM\|1\|D.+(SWITCH|SIGNAL).+UNKNOWN)" - &gt;&gt; 2017-01-17-UncaughtWiMAX.txt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642</v>
      </c>
      <c r="B116" s="7">
        <v>4001</v>
      </c>
      <c r="C116" s="22" t="s">
        <v>201</v>
      </c>
      <c r="D116" s="22" t="s">
        <v>730</v>
      </c>
      <c r="E116" s="13">
        <v>42752.72115740741</v>
      </c>
      <c r="F116" s="13">
        <v>42752.726736111108</v>
      </c>
      <c r="G116" s="7">
        <v>1</v>
      </c>
      <c r="H116" s="22" t="s">
        <v>206</v>
      </c>
      <c r="I116" s="13">
        <v>42752.755636574075</v>
      </c>
      <c r="J116" s="7">
        <v>0</v>
      </c>
      <c r="K116" s="105" t="str">
        <f t="shared" si="54"/>
        <v>4001/4002</v>
      </c>
      <c r="L116" s="22" t="str">
        <f>VLOOKUP(A116,'Trips&amp;Operators'!$C$1:$G$99999,5,FALSE)</f>
        <v>STEWART MICHAEL</v>
      </c>
      <c r="M116" s="6">
        <f t="shared" si="55"/>
        <v>2.8900462966703344E-2</v>
      </c>
      <c r="N116" s="7">
        <f t="shared" si="56"/>
        <v>41.616666672052816</v>
      </c>
      <c r="O116" s="7"/>
      <c r="P116" s="7"/>
      <c r="Q116" s="23"/>
      <c r="R116" s="23"/>
      <c r="S116" s="32">
        <f t="shared" si="57"/>
        <v>1</v>
      </c>
      <c r="T116" s="47" t="str">
        <f t="shared" si="58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4"/>
        <v>https://d0f6bd738d7f1b3e5a7ca70fe4ff75f0.us-east-1.aws.found.io/app/kibana#/discover/Steve-Slow-Train-Analysis-(2080s-and-2083s)?_g=(refreshInterval:(display:Off,pause:!f,section:0,value:0),time:(from:'2017-01-17T16:18:28-0700',mode:absolute,to:'2017-01-17T19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49" t="str">
        <f t="shared" si="59"/>
        <v>N</v>
      </c>
      <c r="X116" s="173">
        <f t="shared" si="53"/>
        <v>1</v>
      </c>
      <c r="Y116" s="64">
        <f t="shared" si="60"/>
        <v>23.2972</v>
      </c>
      <c r="Z116" s="64">
        <f t="shared" si="61"/>
        <v>1.4999999999999999E-2</v>
      </c>
      <c r="AA116" s="64">
        <f t="shared" si="62"/>
        <v>23.2822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63"/>
        <v>0204-17</v>
      </c>
      <c r="AE116" s="87" t="str">
        <f t="shared" si="50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116" s="84" t="str">
        <f t="shared" si="51"/>
        <v>"C:\Program Files (x86)\AstroGrep\AstroGrep.exe" /spath="%USERPROFILE%\AppData\Local\Temp\OnboardLogs" /stypes="app*4001*20170118*" /stext=" 01:.+((SYSTEM_STATE.+slice.+state.+changed )|(ment ac)|(multiple cpu faults)|(system.+state.+changed )|(\[timeout)|(PRM\|1\|D)|(kpr)|(kdp)|(\|lc)|(penalty))" /e /r /s</v>
      </c>
      <c r="AG116" s="1" t="str">
        <f t="shared" si="64"/>
        <v>EC</v>
      </c>
      <c r="AH116" s="88" t="str">
        <f t="shared" si="36"/>
        <v>"%USERPROFILE%\Documents\GitHub\eaglep3\Utilities\RefineRTDCRunTimes.py" --tripid 204-17 --locoid 4001 --swversion DE.1.0.8.0 --startMP 204:232972 --initTime 2017-01-17T17:18:28 --startdatetime 2017-01-17T17:26:30 --delay 1 --endMP 204:150 --enddatetime 2017-01-17T18:08:07 --enforcementcount 0 &gt;&gt;C:\Users\stu\Documents\GitHub\eaglep3-reporting\EC\2017-01-17-refined-times.txt</v>
      </c>
      <c r="AI11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{"issue":{"subject":"","project_id":79,"tracker_id":40,"status_id":1,"priority_id":2,"assigned_to_id":23,"start_date":"2017-01-17","description":"","custom_fields":[{"id":1,"name":"Subdivision","value":"EC"},{"id":4,"name":"Milepost","value":"0.015"},{"id":17,"name":"Train ID","value":"204-17"},{"id":16,"name":"Locomotive ID","value":"4001"},{"id":130,"name":"Impact","value":""},{"id":150,"name":"Time of Event (Mountain Time)","value":"18:08:07"},{"id":151,"name":"Denver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8"/>
        <v>start /low /b %USERPROFILE%\Documents\GitHub\eaglep3\Utilities\DownloadLogsFromS3.py --loco 4001 --day 2017-01-17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"%USERPROFILE%\AppData\Local\Temp\OnboardLogs"\RTDC4001\*4001*20170118* | grep -SE "(Enforcement Action)|(\[TIMEOUT)|(CHR.+\|PRM\|1\|D.+(SWITCH|SIGNAL).+UNKNOWN)" - &gt;&gt; 2017-01-17-UncaughtWiMAX.txt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637</v>
      </c>
      <c r="B117" s="7">
        <v>4031</v>
      </c>
      <c r="C117" s="22" t="s">
        <v>201</v>
      </c>
      <c r="D117" s="22" t="s">
        <v>357</v>
      </c>
      <c r="E117" s="13">
        <v>42752.693344907406</v>
      </c>
      <c r="F117" s="13">
        <v>42752.698495370372</v>
      </c>
      <c r="G117" s="7">
        <v>1</v>
      </c>
      <c r="H117" s="22" t="s">
        <v>276</v>
      </c>
      <c r="I117" s="13">
        <v>42752.72457175926</v>
      </c>
      <c r="J117" s="7">
        <v>0</v>
      </c>
      <c r="K117" s="105" t="str">
        <f t="shared" si="54"/>
        <v>4031/4032</v>
      </c>
      <c r="L117" s="22" t="str">
        <f>VLOOKUP(A117,'Trips&amp;Operators'!$C$1:$G$99999,5,FALSE)</f>
        <v>YANG JAN</v>
      </c>
      <c r="M117" s="6">
        <f t="shared" si="55"/>
        <v>2.6076388887304347E-2</v>
      </c>
      <c r="N117" s="7">
        <f t="shared" si="56"/>
        <v>37.54999999771826</v>
      </c>
      <c r="O117" s="7"/>
      <c r="P117" s="7"/>
      <c r="Q117" s="23"/>
      <c r="R117" s="23"/>
      <c r="S117" s="32">
        <f t="shared" si="57"/>
        <v>1</v>
      </c>
      <c r="T117" s="47" t="str">
        <f t="shared" si="58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4"/>
        <v>https://d0f6bd738d7f1b3e5a7ca70fe4ff75f0.us-east-1.aws.found.io/app/kibana#/discover/Steve-Slow-Train-Analysis-(2080s-and-2083s)?_g=(refreshInterval:(display:Off,pause:!f,section:0,value:0),time:(from:'2017-01-17T15:38:25-0700',mode:absolute,to:'2017-01-17T18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49" t="str">
        <f t="shared" si="59"/>
        <v>N</v>
      </c>
      <c r="X117" s="173">
        <f t="shared" si="53"/>
        <v>1</v>
      </c>
      <c r="Y117" s="64">
        <f t="shared" si="60"/>
        <v>4.9500000000000002E-2</v>
      </c>
      <c r="Z117" s="64">
        <f t="shared" si="61"/>
        <v>23.3293</v>
      </c>
      <c r="AA117" s="64">
        <f t="shared" si="62"/>
        <v>23.279800000000002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63"/>
        <v>0205-17</v>
      </c>
      <c r="AE117" s="87" t="str">
        <f t="shared" si="5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17" s="84" t="str">
        <f t="shared" si="51"/>
        <v>"C:\Program Files (x86)\AstroGrep\AstroGrep.exe" /spath="%USERPROFILE%\AppData\Local\Temp\OnboardLogs" /stypes="app*4031*20170118*" /stext=" 00:.+((SYSTEM_STATE.+slice.+state.+changed )|(ment ac)|(multiple cpu faults)|(system.+state.+changed )|(\[timeout)|(PRM\|1\|D)|(kpr)|(kdp)|(\|lc)|(penalty))" /e /r /s</v>
      </c>
      <c r="AG117" s="1" t="str">
        <f t="shared" si="64"/>
        <v>EC</v>
      </c>
      <c r="AH117" s="88" t="str">
        <f t="shared" si="36"/>
        <v>"%USERPROFILE%\Documents\GitHub\eaglep3\Utilities\RefineRTDCRunTimes.py" --tripid 205-17 --locoid 4031 --swversion DE.1.0.8.0 --startMP 204:495 --initTime 2017-01-17T16:38:25 --startdatetime 2017-01-17T16:45:50 --delay 1 --endMP 204:233293 --enddatetime 2017-01-17T17:23:23 --enforcementcount 0 &gt;&gt;C:\Users\stu\Documents\GitHub\eaglep3-reporting\EC\2017-01-17-refined-times.txt</v>
      </c>
      <c r="AI11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{"issue":{"subject":"","project_id":79,"tracker_id":40,"status_id":1,"priority_id":2,"assigned_to_id":23,"start_date":"2017-01-17","description":"","custom_fields":[{"id":1,"name":"Subdivision","value":"EC"},{"id":4,"name":"Milepost","value":"23.3293"},{"id":17,"name":"Train ID","value":"205-17"},{"id":16,"name":"Locomotive ID","value":"4031"},{"id":130,"name":"Impact","value":""},{"id":150,"name":"Time of Event (Mountain Time)","value":"17:23:23"},{"id":151,"name":"Denver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8"/>
        <v>start /low /b %USERPROFILE%\Documents\GitHub\eaglep3\Utilities\DownloadLogsFromS3.py --loco 4031 --day 2017-01-17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"%USERPROFILE%\AppData\Local\Temp\OnboardLogs"\RTDC4031\*4031*20170118* | grep -SE "(Enforcement Action)|(\[TIMEOUT)|(CHR.+\|PRM\|1\|D.+(SWITCH|SIGNAL).+UNKNOWN)" - &gt;&gt; 2017-01-17-UncaughtWiMAX.txt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645</v>
      </c>
      <c r="B118" s="7">
        <v>4032</v>
      </c>
      <c r="C118" s="22" t="s">
        <v>201</v>
      </c>
      <c r="D118" s="22" t="s">
        <v>254</v>
      </c>
      <c r="E118" s="13">
        <v>42752.731944444444</v>
      </c>
      <c r="F118" s="13">
        <v>42752.73704861111</v>
      </c>
      <c r="G118" s="7">
        <v>1</v>
      </c>
      <c r="H118" s="22" t="s">
        <v>252</v>
      </c>
      <c r="I118" s="13">
        <v>42752.764606481483</v>
      </c>
      <c r="J118" s="7">
        <v>0</v>
      </c>
      <c r="K118" s="105" t="str">
        <f t="shared" si="54"/>
        <v>4031/4032</v>
      </c>
      <c r="L118" s="22" t="str">
        <f>VLOOKUP(A118,'Trips&amp;Operators'!$C$1:$G$99999,5,FALSE)</f>
        <v>YANG JAN</v>
      </c>
      <c r="M118" s="6">
        <f t="shared" si="55"/>
        <v>2.7557870373129845E-2</v>
      </c>
      <c r="N118" s="7">
        <f t="shared" si="56"/>
        <v>39.683333337306976</v>
      </c>
      <c r="O118" s="7"/>
      <c r="P118" s="7"/>
      <c r="Q118" s="23"/>
      <c r="R118" s="23"/>
      <c r="S118" s="32">
        <f t="shared" si="57"/>
        <v>1</v>
      </c>
      <c r="T118" s="47" t="str">
        <f t="shared" si="58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4"/>
        <v>https://d0f6bd738d7f1b3e5a7ca70fe4ff75f0.us-east-1.aws.found.io/app/kibana#/discover/Steve-Slow-Train-Analysis-(2080s-and-2083s)?_g=(refreshInterval:(display:Off,pause:!f,section:0,value:0),time:(from:'2017-01-17T16:34:00-0700',mode:absolute,to:'2017-01-17T19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49" t="str">
        <f t="shared" si="59"/>
        <v>N</v>
      </c>
      <c r="X118" s="173">
        <f t="shared" si="53"/>
        <v>1</v>
      </c>
      <c r="Y118" s="64">
        <f t="shared" si="60"/>
        <v>23.2971</v>
      </c>
      <c r="Z118" s="64">
        <f t="shared" si="61"/>
        <v>1.52E-2</v>
      </c>
      <c r="AA118" s="64">
        <f t="shared" si="62"/>
        <v>23.2819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63"/>
        <v>0206-17</v>
      </c>
      <c r="AE118" s="87" t="str">
        <f t="shared" si="50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118" s="84" t="str">
        <f t="shared" si="51"/>
        <v>"C:\Program Files (x86)\AstroGrep\AstroGrep.exe" /spath="%USERPROFILE%\AppData\Local\Temp\OnboardLogs" /stypes="app*4032*20170118*" /stext=" 01:.+((SYSTEM_STATE.+slice.+state.+changed )|(ment ac)|(multiple cpu faults)|(system.+state.+changed )|(\[timeout)|(PRM\|1\|D)|(kpr)|(kdp)|(\|lc)|(penalty))" /e /r /s</v>
      </c>
      <c r="AG118" s="1" t="str">
        <f t="shared" si="64"/>
        <v>EC</v>
      </c>
      <c r="AH118" s="88" t="str">
        <f t="shared" si="36"/>
        <v>"%USERPROFILE%\Documents\GitHub\eaglep3\Utilities\RefineRTDCRunTimes.py" --tripid 206-17 --locoid 4032 --swversion DE.1.0.8.0 --startMP 204:232971 --initTime 2017-01-17T17:34:00 --startdatetime 2017-01-17T17:41:21 --delay 1 --endMP 204:152 --enddatetime 2017-01-17T18:21:02 --enforcementcount 0 &gt;&gt;C:\Users\stu\Documents\GitHub\eaglep3-reporting\EC\2017-01-17-refined-times.txt</v>
      </c>
      <c r="AI11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{"issue":{"subject":"","project_id":79,"tracker_id":40,"status_id":1,"priority_id":2,"assigned_to_id":23,"start_date":"2017-01-17","description":"","custom_fields":[{"id":1,"name":"Subdivision","value":"EC"},{"id":4,"name":"Milepost","value":"0.0152"},{"id":17,"name":"Train ID","value":"206-17"},{"id":16,"name":"Locomotive ID","value":"4032"},{"id":130,"name":"Impact","value":""},{"id":150,"name":"Time of Event (Mountain Time)","value":"18:21:02"},{"id":151,"name":"Denver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8"/>
        <v>start /low /b %USERPROFILE%\Documents\GitHub\eaglep3\Utilities\DownloadLogsFromS3.py --loco 4032 --day 2017-01-17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"%USERPROFILE%\AppData\Local\Temp\OnboardLogs"\RTDC4032\*4032*20170118* | grep -SE "(Enforcement Action)|(\[TIMEOUT)|(CHR.+\|PRM\|1\|D.+(SWITCH|SIGNAL).+UNKNOWN)" - &gt;&gt; 2017-01-17-UncaughtWiMAX.txt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481</v>
      </c>
      <c r="B119" s="7">
        <v>4042</v>
      </c>
      <c r="C119" s="22" t="s">
        <v>201</v>
      </c>
      <c r="D119" s="22" t="s">
        <v>325</v>
      </c>
      <c r="E119" s="13">
        <v>42752.703564814816</v>
      </c>
      <c r="F119" s="13">
        <v>42752.708541666667</v>
      </c>
      <c r="G119" s="7">
        <v>1</v>
      </c>
      <c r="H119" s="22" t="s">
        <v>731</v>
      </c>
      <c r="I119" s="13">
        <v>42752.735474537039</v>
      </c>
      <c r="J119" s="7">
        <v>0</v>
      </c>
      <c r="K119" s="105" t="str">
        <f t="shared" si="54"/>
        <v>4041/4042</v>
      </c>
      <c r="L119" s="22" t="str">
        <f>VLOOKUP(A119,'Trips&amp;Operators'!$C$1:$G$99999,5,FALSE)</f>
        <v>CLARK KATHLEEN</v>
      </c>
      <c r="M119" s="6">
        <f t="shared" si="55"/>
        <v>2.6932870372547768E-2</v>
      </c>
      <c r="N119" s="7">
        <f t="shared" si="56"/>
        <v>38.783333336468786</v>
      </c>
      <c r="O119" s="7"/>
      <c r="P119" s="7"/>
      <c r="Q119" s="23"/>
      <c r="R119" s="23"/>
      <c r="S119" s="32">
        <f t="shared" si="57"/>
        <v>1</v>
      </c>
      <c r="T119" s="47" t="str">
        <f t="shared" si="58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4"/>
        <v>https://d0f6bd738d7f1b3e5a7ca70fe4ff75f0.us-east-1.aws.found.io/app/kibana#/discover/Steve-Slow-Train-Analysis-(2080s-and-2083s)?_g=(refreshInterval:(display:Off,pause:!f,section:0,value:0),time:(from:'2017-01-17T15:53:08-0700',mode:absolute,to:'2017-01-17T18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49" t="str">
        <f t="shared" si="59"/>
        <v>N</v>
      </c>
      <c r="X119" s="173">
        <f t="shared" si="53"/>
        <v>1</v>
      </c>
      <c r="Y119" s="64">
        <f t="shared" si="60"/>
        <v>4.7100000000000003E-2</v>
      </c>
      <c r="Z119" s="64">
        <f t="shared" si="61"/>
        <v>23.3215</v>
      </c>
      <c r="AA119" s="64">
        <f t="shared" si="62"/>
        <v>23.2744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63"/>
        <v>0207-17</v>
      </c>
      <c r="AE119" s="87" t="str">
        <f t="shared" si="50"/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119" s="84" t="str">
        <f t="shared" si="51"/>
        <v>"C:\Program Files (x86)\AstroGrep\AstroGrep.exe" /spath="%USERPROFILE%\AppData\Local\Temp\OnboardLogs" /stypes="app*4042*20170118*" /stext=" 00:.+((SYSTEM_STATE.+slice.+state.+changed )|(ment ac)|(multiple cpu faults)|(system.+state.+changed )|(\[timeout)|(PRM\|1\|D)|(kpr)|(kdp)|(\|lc)|(penalty))" /e /r /s</v>
      </c>
      <c r="AG119" s="1" t="str">
        <f t="shared" si="64"/>
        <v>EC</v>
      </c>
      <c r="AH119" s="88" t="str">
        <f t="shared" si="36"/>
        <v>"%USERPROFILE%\Documents\GitHub\eaglep3\Utilities\RefineRTDCRunTimes.py" --tripid 207-17 --locoid 4042 --swversion DE.1.0.8.0 --startMP 204:471 --initTime 2017-01-17T16:53:08 --startdatetime 2017-01-17T17:00:18 --delay 1 --endMP 204:233215 --enddatetime 2017-01-17T17:39:05 --enforcementcount 0 &gt;&gt;C:\Users\stu\Documents\GitHub\eaglep3-reporting\EC\2017-01-17-refined-times.txt</v>
      </c>
      <c r="AI11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{"issue":{"subject":"","project_id":79,"tracker_id":40,"status_id":1,"priority_id":2,"assigned_to_id":23,"start_date":"2017-01-17","description":"","custom_fields":[{"id":1,"name":"Subdivision","value":"EC"},{"id":4,"name":"Milepost","value":"23.3215"},{"id":17,"name":"Train ID","value":"207-17"},{"id":16,"name":"Locomotive ID","value":"4042"},{"id":130,"name":"Impact","value":""},{"id":150,"name":"Time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8"/>
        <v>start /low /b %USERPROFILE%\Documents\GitHub\eaglep3\Utilities\DownloadLogsFromS3.py --loco 4042 --day 2017-01-17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"%USERPROFILE%\AppData\Local\Temp\OnboardLogs"\RTDC4042\*4042*20170118* | grep -SE "(Enforcement Action)|(\[TIMEOUT)|(CHR.+\|PRM\|1\|D.+(SWITCH|SIGNAL).+UNKNOWN)" - &gt;&gt; 2017-01-17-UncaughtWiMAX.txt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649</v>
      </c>
      <c r="B120" s="7">
        <v>4041</v>
      </c>
      <c r="C120" s="22" t="s">
        <v>201</v>
      </c>
      <c r="D120" s="22" t="s">
        <v>732</v>
      </c>
      <c r="E120" s="13">
        <v>42752.741226851853</v>
      </c>
      <c r="F120" s="13">
        <v>42752.747372685182</v>
      </c>
      <c r="G120" s="7">
        <v>1</v>
      </c>
      <c r="H120" s="22" t="s">
        <v>733</v>
      </c>
      <c r="I120" s="13">
        <v>42752.775706018518</v>
      </c>
      <c r="J120" s="7">
        <v>0</v>
      </c>
      <c r="K120" s="105" t="str">
        <f t="shared" si="54"/>
        <v>4041/4042</v>
      </c>
      <c r="L120" s="22" t="str">
        <f>VLOOKUP(A120,'Trips&amp;Operators'!$C$1:$G$99999,5,FALSE)</f>
        <v>CLARK KATHLEEN</v>
      </c>
      <c r="M120" s="6">
        <f t="shared" si="55"/>
        <v>2.8333333335467614E-2</v>
      </c>
      <c r="N120" s="7">
        <f t="shared" si="56"/>
        <v>40.800000003073364</v>
      </c>
      <c r="O120" s="7"/>
      <c r="P120" s="7"/>
      <c r="Q120" s="23"/>
      <c r="R120" s="23"/>
      <c r="S120" s="32">
        <f t="shared" si="57"/>
        <v>1</v>
      </c>
      <c r="T120" s="47" t="str">
        <f t="shared" si="58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4"/>
        <v>https://d0f6bd738d7f1b3e5a7ca70fe4ff75f0.us-east-1.aws.found.io/app/kibana#/discover/Steve-Slow-Train-Analysis-(2080s-and-2083s)?_g=(refreshInterval:(display:Off,pause:!f,section:0,value:0),time:(from:'2017-01-17T16:47:22-0700',mode:absolute,to:'2017-01-17T19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49" t="str">
        <f t="shared" si="59"/>
        <v>N</v>
      </c>
      <c r="X120" s="173">
        <f t="shared" si="53"/>
        <v>1</v>
      </c>
      <c r="Y120" s="64">
        <f t="shared" si="60"/>
        <v>23.2896</v>
      </c>
      <c r="Z120" s="64">
        <f t="shared" si="61"/>
        <v>1.9199999999999998E-2</v>
      </c>
      <c r="AA120" s="64">
        <f t="shared" si="62"/>
        <v>23.270399999999999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63"/>
        <v>0208-17</v>
      </c>
      <c r="AE120" s="87" t="str">
        <f t="shared" si="50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120" s="84" t="str">
        <f t="shared" si="51"/>
        <v>"C:\Program Files (x86)\AstroGrep\AstroGrep.exe" /spath="%USERPROFILE%\AppData\Local\Temp\OnboardLogs" /stypes="app*4041*20170118*" /stext=" 01:.+((SYSTEM_STATE.+slice.+state.+changed )|(ment ac)|(multiple cpu faults)|(system.+state.+changed )|(\[timeout)|(PRM\|1\|D)|(kpr)|(kdp)|(\|lc)|(penalty))" /e /r /s</v>
      </c>
      <c r="AG120" s="1" t="str">
        <f t="shared" si="64"/>
        <v>EC</v>
      </c>
      <c r="AH120" s="88" t="str">
        <f t="shared" si="36"/>
        <v>"%USERPROFILE%\Documents\GitHub\eaglep3\Utilities\RefineRTDCRunTimes.py" --tripid 208-17 --locoid 4041 --swversion DE.1.0.8.0 --startMP 204:232896 --initTime 2017-01-17T17:47:22 --startdatetime 2017-01-17T17:56:13 --delay 1 --endMP 204:192 --enddatetime 2017-01-17T18:37:01 --enforcementcount 0 &gt;&gt;C:\Users\stu\Documents\GitHub\eaglep3-reporting\EC\2017-01-17-refined-times.txt</v>
      </c>
      <c r="AI12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{"issue":{"subject":"","project_id":79,"tracker_id":40,"status_id":1,"priority_id":2,"assigned_to_id":23,"start_date":"2017-01-17","description":"","custom_fields":[{"id":1,"name":"Subdivision","value":"EC"},{"id":4,"name":"Milepost","value":"0.0192"},{"id":17,"name":"Train ID","value":"208-17"},{"id":16,"name":"Locomotive ID","value":"4041"},{"id":130,"name":"Impact","value":""},{"id":150,"name":"Time of Event (Mountain Time)","value":"18:37:01"},{"id":151,"name":"Denver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8"/>
        <v>start /low /b %USERPROFILE%\Documents\GitHub\eaglep3\Utilities\DownloadLogsFromS3.py --loco 4041 --day 2017-01-17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"%USERPROFILE%\AppData\Local\Temp\OnboardLogs"\RTDC4041\*4041*20170118* | grep -SE "(Enforcement Action)|(\[TIMEOUT)|(CHR.+\|PRM\|1\|D.+(SWITCH|SIGNAL).+UNKNOWN)" - &gt;&gt; 2017-01-17-UncaughtWiMAX.txt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640</v>
      </c>
      <c r="B121" s="7">
        <v>4044</v>
      </c>
      <c r="C121" s="22" t="s">
        <v>201</v>
      </c>
      <c r="D121" s="22" t="s">
        <v>400</v>
      </c>
      <c r="E121" s="13">
        <v>42752.715543981481</v>
      </c>
      <c r="F121" s="13">
        <v>42752.719074074077</v>
      </c>
      <c r="G121" s="7">
        <v>1</v>
      </c>
      <c r="H121" s="22" t="s">
        <v>722</v>
      </c>
      <c r="I121" s="13">
        <v>42752.745173611111</v>
      </c>
      <c r="J121" s="7">
        <v>0</v>
      </c>
      <c r="K121" s="105" t="str">
        <f t="shared" si="54"/>
        <v>4043/4044</v>
      </c>
      <c r="L121" s="22" t="str">
        <f>VLOOKUP(A121,'Trips&amp;Operators'!$C$1:$G$99999,5,FALSE)</f>
        <v>CHANDLER KELVIN</v>
      </c>
      <c r="M121" s="6">
        <f t="shared" si="55"/>
        <v>2.6099537033587694E-2</v>
      </c>
      <c r="N121" s="7">
        <f t="shared" si="56"/>
        <v>37.58333332836628</v>
      </c>
      <c r="O121" s="7"/>
      <c r="P121" s="7"/>
      <c r="Q121" s="23"/>
      <c r="R121" s="23"/>
      <c r="S121" s="32">
        <f t="shared" si="57"/>
        <v>1</v>
      </c>
      <c r="T121" s="47" t="str">
        <f t="shared" si="58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4"/>
        <v>https://d0f6bd738d7f1b3e5a7ca70fe4ff75f0.us-east-1.aws.found.io/app/kibana#/discover/Steve-Slow-Train-Analysis-(2080s-and-2083s)?_g=(refreshInterval:(display:Off,pause:!f,section:0,value:0),time:(from:'2017-01-17T16:10:23-0700',mode:absolute,to:'2017-01-17T18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49" t="str">
        <f t="shared" si="59"/>
        <v>N</v>
      </c>
      <c r="X121" s="173">
        <f t="shared" si="53"/>
        <v>1</v>
      </c>
      <c r="Y121" s="64">
        <f t="shared" si="60"/>
        <v>4.5999999999999999E-2</v>
      </c>
      <c r="Z121" s="64">
        <f t="shared" si="61"/>
        <v>23.328800000000001</v>
      </c>
      <c r="AA121" s="64">
        <f t="shared" si="62"/>
        <v>23.282800000000002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63"/>
        <v>0209-17</v>
      </c>
      <c r="AE121" s="87" t="str">
        <f t="shared" si="50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121" s="84" t="str">
        <f t="shared" si="51"/>
        <v>"C:\Program Files (x86)\AstroGrep\AstroGrep.exe" /spath="%USERPROFILE%\AppData\Local\Temp\OnboardLogs" /stypes="app*4044*20170118*" /stext=" 00:.+((SYSTEM_STATE.+slice.+state.+changed )|(ment ac)|(multiple cpu faults)|(system.+state.+changed )|(\[timeout)|(PRM\|1\|D)|(kpr)|(kdp)|(\|lc)|(penalty))" /e /r /s</v>
      </c>
      <c r="AG121" s="1" t="str">
        <f t="shared" si="64"/>
        <v>EC</v>
      </c>
      <c r="AH121" s="88" t="str">
        <f t="shared" si="36"/>
        <v>"%USERPROFILE%\Documents\GitHub\eaglep3\Utilities\RefineRTDCRunTimes.py" --tripid 209-17 --locoid 4044 --swversion DE.1.0.8.0 --startMP 204:460 --initTime 2017-01-17T17:10:23 --startdatetime 2017-01-17T17:15:28 --delay 1 --endMP 204:233288 --enddatetime 2017-01-17T17:53:03 --enforcementcount 0 &gt;&gt;C:\Users\stu\Documents\GitHub\eaglep3-reporting\EC\2017-01-17-refined-times.txt</v>
      </c>
      <c r="AI12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{"issue":{"subject":"","project_id":79,"tracker_id":40,"status_id":1,"priority_id":2,"assigned_to_id":23,"start_date":"2017-01-17","description":"","custom_fields":[{"id":1,"name":"Subdivision","value":"EC"},{"id":4,"name":"Milepost","value":"23.3288"},{"id":17,"name":"Train ID","value":"209-17"},{"id":16,"name":"Locomotive ID","value":"4044"},{"id":130,"name":"Impact","value":""},{"id":150,"name":"Time of Event (Mountain Time)","value":"17:53:03"},{"id":151,"name":"Denver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8"/>
        <v>start /low /b %USERPROFILE%\Documents\GitHub\eaglep3\Utilities\DownloadLogsFromS3.py --loco 4044 --day 2017-01-17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"%USERPROFILE%\AppData\Local\Temp\OnboardLogs"\RTDC4044\*4044*20170118* | grep -SE "(Enforcement Action)|(\[TIMEOUT)|(CHR.+\|PRM\|1\|D.+(SWITCH|SIGNAL).+UNKNOWN)" - &gt;&gt; 2017-01-17-UncaughtWiMAX.txt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653</v>
      </c>
      <c r="B122" s="7">
        <v>4043</v>
      </c>
      <c r="C122" s="22" t="s">
        <v>201</v>
      </c>
      <c r="D122" s="22" t="s">
        <v>417</v>
      </c>
      <c r="E122" s="13">
        <v>42752.753819444442</v>
      </c>
      <c r="F122" s="13">
        <v>42752.757916666669</v>
      </c>
      <c r="G122" s="7">
        <v>1</v>
      </c>
      <c r="H122" s="22" t="s">
        <v>255</v>
      </c>
      <c r="I122" s="13">
        <v>42752.785138888888</v>
      </c>
      <c r="J122" s="7">
        <v>0</v>
      </c>
      <c r="K122" s="105" t="str">
        <f t="shared" si="54"/>
        <v>4043/4044</v>
      </c>
      <c r="L122" s="22" t="str">
        <f>VLOOKUP(A122,'Trips&amp;Operators'!$C$1:$G$99999,5,FALSE)</f>
        <v>CHANDLER KELVIN</v>
      </c>
      <c r="M122" s="6">
        <f t="shared" si="55"/>
        <v>2.7222222219279502E-2</v>
      </c>
      <c r="N122" s="7">
        <f t="shared" si="56"/>
        <v>39.199999995762482</v>
      </c>
      <c r="O122" s="7"/>
      <c r="P122" s="7"/>
      <c r="Q122" s="23"/>
      <c r="R122" s="23"/>
      <c r="S122" s="32">
        <f t="shared" si="57"/>
        <v>1</v>
      </c>
      <c r="T122" s="47" t="str">
        <f t="shared" si="58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4"/>
        <v>https://d0f6bd738d7f1b3e5a7ca70fe4ff75f0.us-east-1.aws.found.io/app/kibana#/discover/Steve-Slow-Train-Analysis-(2080s-and-2083s)?_g=(refreshInterval:(display:Off,pause:!f,section:0,value:0),time:(from:'2017-01-17T17:05:30-0700',mode:absolute,to:'2017-01-17T19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49" t="str">
        <f t="shared" si="59"/>
        <v>N</v>
      </c>
      <c r="X122" s="173">
        <f t="shared" si="53"/>
        <v>1</v>
      </c>
      <c r="Y122" s="64">
        <f t="shared" si="60"/>
        <v>23.296299999999999</v>
      </c>
      <c r="Z122" s="64">
        <f t="shared" si="61"/>
        <v>1.5599999999999999E-2</v>
      </c>
      <c r="AA122" s="64">
        <f t="shared" si="62"/>
        <v>23.2807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63"/>
        <v>0210-17</v>
      </c>
      <c r="AE122" s="87" t="str">
        <f t="shared" si="5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122" s="84" t="str">
        <f t="shared" si="51"/>
        <v>"C:\Program Files (x86)\AstroGrep\AstroGrep.exe" /spath="%USERPROFILE%\AppData\Local\Temp\OnboardLogs" /stypes="app*4043*20170118*" /stext=" 01:.+((SYSTEM_STATE.+slice.+state.+changed )|(ment ac)|(multiple cpu faults)|(system.+state.+changed )|(\[timeout)|(PRM\|1\|D)|(kpr)|(kdp)|(\|lc)|(penalty))" /e /r /s</v>
      </c>
      <c r="AG122" s="1" t="str">
        <f t="shared" si="64"/>
        <v>EC</v>
      </c>
      <c r="AH122" s="88" t="str">
        <f t="shared" si="36"/>
        <v>"%USERPROFILE%\Documents\GitHub\eaglep3\Utilities\RefineRTDCRunTimes.py" --tripid 210-17 --locoid 4043 --swversion DE.1.0.8.0 --startMP 204:232963 --initTime 2017-01-17T18:05:30 --startdatetime 2017-01-17T18:11:24 --delay 1 --endMP 204:156 --enddatetime 2017-01-17T18:50:36 --enforcementcount 0 &gt;&gt;C:\Users\stu\Documents\GitHub\eaglep3-reporting\EC\2017-01-17-refined-times.txt</v>
      </c>
      <c r="AI12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ID","value":"210-17"},{"id":16,"name":"Locomotive ID","value":"4043"},{"id":130,"name":"Impact","value":""},{"id":150,"name":"Time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8"/>
        <v>start /low /b %USERPROFILE%\Documents\GitHub\eaglep3\Utilities\DownloadLogsFromS3.py --loco 4043 --day 2017-01-17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"%USERPROFILE%\AppData\Local\Temp\OnboardLogs"\RTDC4043\*4043*20170118* | grep -SE "(Enforcement Action)|(\[TIMEOUT)|(CHR.+\|PRM\|1\|D.+(SWITCH|SIGNAL).+UNKNOWN)" - &gt;&gt; 2017-01-17-UncaughtWiMAX.txt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643</v>
      </c>
      <c r="B123" s="7">
        <v>4027</v>
      </c>
      <c r="C123" s="22" t="s">
        <v>201</v>
      </c>
      <c r="D123" s="22" t="s">
        <v>359</v>
      </c>
      <c r="E123" s="13">
        <v>42752.722546296296</v>
      </c>
      <c r="F123" s="13">
        <v>42752.729409722226</v>
      </c>
      <c r="G123" s="7">
        <v>1</v>
      </c>
      <c r="H123" s="22" t="s">
        <v>286</v>
      </c>
      <c r="I123" s="13">
        <v>42752.754965277774</v>
      </c>
      <c r="J123" s="7">
        <v>0</v>
      </c>
      <c r="K123" s="105" t="str">
        <f t="shared" si="54"/>
        <v>4027/4028</v>
      </c>
      <c r="L123" s="22" t="str">
        <f>VLOOKUP(A123,'Trips&amp;Operators'!$C$1:$G$99999,5,FALSE)</f>
        <v>CRAYTON QUNTRELL</v>
      </c>
      <c r="M123" s="6">
        <f t="shared" si="55"/>
        <v>2.5555555548635311E-2</v>
      </c>
      <c r="N123" s="7">
        <f t="shared" si="56"/>
        <v>36.799999990034848</v>
      </c>
      <c r="O123" s="7"/>
      <c r="P123" s="7"/>
      <c r="Q123" s="23"/>
      <c r="R123" s="23"/>
      <c r="S123" s="32">
        <f t="shared" si="57"/>
        <v>1</v>
      </c>
      <c r="T123" s="47" t="str">
        <f t="shared" si="58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4"/>
        <v>https://d0f6bd738d7f1b3e5a7ca70fe4ff75f0.us-east-1.aws.found.io/app/kibana#/discover/Steve-Slow-Train-Analysis-(2080s-and-2083s)?_g=(refreshInterval:(display:Off,pause:!f,section:0,value:0),time:(from:'2017-01-17T16:20:28-0700',mode:absolute,to:'2017-01-17T19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49" t="str">
        <f t="shared" si="59"/>
        <v>N</v>
      </c>
      <c r="X123" s="173">
        <f t="shared" si="53"/>
        <v>1</v>
      </c>
      <c r="Y123" s="64">
        <f t="shared" si="60"/>
        <v>4.7500000000000001E-2</v>
      </c>
      <c r="Z123" s="64">
        <f t="shared" si="61"/>
        <v>23.331199999999999</v>
      </c>
      <c r="AA123" s="64">
        <f t="shared" si="62"/>
        <v>23.2837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63"/>
        <v>0211-17</v>
      </c>
      <c r="AE123" s="87" t="str">
        <f t="shared" si="50"/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AF123" s="84" t="str">
        <f t="shared" si="51"/>
        <v>"C:\Program Files (x86)\AstroGrep\AstroGrep.exe" /spath="%USERPROFILE%\AppData\Local\Temp\OnboardLogs" /stypes="app*4027*20170118*" /stext=" 01:.+((SYSTEM_STATE.+slice.+state.+changed )|(ment ac)|(multiple cpu faults)|(system.+state.+changed )|(\[timeout)|(PRM\|1\|D)|(kpr)|(kdp)|(\|lc)|(penalty))" /e /r /s</v>
      </c>
      <c r="AG123" s="1" t="str">
        <f t="shared" si="64"/>
        <v>EC</v>
      </c>
      <c r="AH123" s="88" t="str">
        <f t="shared" si="36"/>
        <v>"%USERPROFILE%\Documents\GitHub\eaglep3\Utilities\RefineRTDCRunTimes.py" --tripid 211-17 --locoid 4027 --swversion DE.1.0.8.0 --startMP 204:475 --initTime 2017-01-17T17:20:28 --startdatetime 2017-01-17T17:30:21 --delay 1 --endMP 204:233312 --enddatetime 2017-01-17T18:07:09 --enforcementcount 0 &gt;&gt;C:\Users\stu\Documents\GitHub\eaglep3-reporting\EC\2017-01-17-refined-times.txt</v>
      </c>
      <c r="AI123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{"issue":{"subject":"","project_id":79,"tracker_id":40,"status_id":1,"priority_id":2,"assigned_to_id":23,"start_date":"2017-01-17","description":"","custom_fields":[{"id":1,"name":"Subdivision","value":"EC"},{"id":4,"name":"Milepost","value":"23.3312"},{"id":17,"name":"Train ID","value":"211-17"},{"id":16,"name":"Locomotive ID","value":"4027"},{"id":130,"name":"Impact","value":""},{"id":150,"name":"Time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8"/>
        <v>start /low /b %USERPROFILE%\Documents\GitHub\eaglep3\Utilities\DownloadLogsFromS3.py --loco 4027 --day 2017-01-17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"%USERPROFILE%\AppData\Local\Temp\OnboardLogs"\RTDC4027\*4027*20170118* | grep -SE "(Enforcement Action)|(\[TIMEOUT)|(CHR.+\|PRM\|1\|D.+(SWITCH|SIGNAL).+UNKNOWN)" - &gt;&gt; 2017-01-17-UncaughtWiMAX.txt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483</v>
      </c>
      <c r="B124" s="7">
        <v>4028</v>
      </c>
      <c r="C124" s="22" t="s">
        <v>201</v>
      </c>
      <c r="D124" s="22" t="s">
        <v>289</v>
      </c>
      <c r="E124" s="13">
        <v>42752.762372685182</v>
      </c>
      <c r="F124" s="13">
        <v>42752.76829861111</v>
      </c>
      <c r="G124" s="7">
        <v>1</v>
      </c>
      <c r="H124" s="22" t="s">
        <v>734</v>
      </c>
      <c r="I124" s="13">
        <v>42752.794942129629</v>
      </c>
      <c r="J124" s="7">
        <v>0</v>
      </c>
      <c r="K124" s="105" t="str">
        <f t="shared" si="54"/>
        <v>4027/4028</v>
      </c>
      <c r="L124" s="22" t="str">
        <f>VLOOKUP(A124,'Trips&amp;Operators'!$C$1:$G$99999,5,FALSE)</f>
        <v>CRAYTON QUNTRELL</v>
      </c>
      <c r="M124" s="6">
        <f t="shared" si="55"/>
        <v>2.6643518518540077E-2</v>
      </c>
      <c r="N124" s="7">
        <f t="shared" si="56"/>
        <v>38.366666666697711</v>
      </c>
      <c r="O124" s="7"/>
      <c r="P124" s="7"/>
      <c r="Q124" s="23"/>
      <c r="R124" s="23"/>
      <c r="S124" s="32">
        <f t="shared" si="57"/>
        <v>1</v>
      </c>
      <c r="T124" s="47" t="str">
        <f t="shared" si="58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4"/>
        <v>https://d0f6bd738d7f1b3e5a7ca70fe4ff75f0.us-east-1.aws.found.io/app/kibana#/discover/Steve-Slow-Train-Analysis-(2080s-and-2083s)?_g=(refreshInterval:(display:Off,pause:!f,section:0,value:0),time:(from:'2017-01-17T17:17:49-0700',mode:absolute,to:'2017-01-17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49" t="str">
        <f t="shared" si="59"/>
        <v>N</v>
      </c>
      <c r="X124" s="173">
        <f t="shared" si="53"/>
        <v>1</v>
      </c>
      <c r="Y124" s="64">
        <f t="shared" si="60"/>
        <v>23.299099999999999</v>
      </c>
      <c r="Z124" s="64">
        <f t="shared" si="61"/>
        <v>2.12E-2</v>
      </c>
      <c r="AA124" s="64">
        <f t="shared" si="62"/>
        <v>23.277899999999999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63"/>
        <v>0212-17</v>
      </c>
      <c r="AE124" s="87" t="str">
        <f t="shared" si="50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124" s="84" t="str">
        <f t="shared" si="51"/>
        <v>"C:\Program Files (x86)\AstroGrep\AstroGrep.exe" /spath="%USERPROFILE%\AppData\Local\Temp\OnboardLogs" /stypes="app*4028*20170118*" /stext=" 02:.+((SYSTEM_STATE.+slice.+state.+changed )|(ment ac)|(multiple cpu faults)|(system.+state.+changed )|(\[timeout)|(PRM\|1\|D)|(kpr)|(kdp)|(\|lc)|(penalty))" /e /r /s</v>
      </c>
      <c r="AG124" s="1" t="str">
        <f t="shared" si="64"/>
        <v>EC</v>
      </c>
      <c r="AH124" s="88" t="str">
        <f t="shared" si="36"/>
        <v>"%USERPROFILE%\Documents\GitHub\eaglep3\Utilities\RefineRTDCRunTimes.py" --tripid 212-17 --locoid 4028 --swversion DE.1.0.8.0 --startMP 204:232991 --initTime 2017-01-17T18:17:49 --startdatetime 2017-01-17T18:26:21 --delay 1 --endMP 204:212 --enddatetime 2017-01-17T19:04:43 --enforcementcount 0 &gt;&gt;C:\Users\stu\Documents\GitHub\eaglep3-reporting\EC\2017-01-17-refined-times.txt</v>
      </c>
      <c r="AI12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{"issue":{"subject":"","project_id":79,"tracker_id":40,"status_id":1,"priority_id":2,"assigned_to_id":23,"start_date":"2017-01-17","description":"","custom_fields":[{"id":1,"name":"Subdivision","value":"EC"},{"id":4,"name":"Milepost","value":"0.0212"},{"id":17,"name":"Train ID","value":"212-17"},{"id":16,"name":"Locomotive ID","value":"4028"},{"id":130,"name":"Impact","value":""},{"id":150,"name":"Time of Event (Mountain Time)","value":"19:04:43"},{"id":151,"name":"Denver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8"/>
        <v>start /low /b %USERPROFILE%\Documents\GitHub\eaglep3\Utilities\DownloadLogsFromS3.py --loco 4028 --day 2017-01-17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"%USERPROFILE%\AppData\Local\Temp\OnboardLogs"\RTDC4028\*4028*20170118* | grep -SE "(Enforcement Action)|(\[TIMEOUT)|(CHR.+\|PRM\|1\|D.+(SWITCH|SIGNAL).+UNKNOWN)" - &gt;&gt; 2017-01-17-UncaughtWiMAX.txt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4" t="s">
        <v>648</v>
      </c>
      <c r="B125" s="7">
        <v>4022</v>
      </c>
      <c r="C125" s="22" t="s">
        <v>201</v>
      </c>
      <c r="D125" s="22" t="s">
        <v>264</v>
      </c>
      <c r="E125" s="13">
        <v>42752.736631944441</v>
      </c>
      <c r="F125" s="13">
        <v>42752.73978009259</v>
      </c>
      <c r="G125" s="7">
        <v>1</v>
      </c>
      <c r="H125" s="22" t="s">
        <v>273</v>
      </c>
      <c r="I125" s="13">
        <v>42752.764907407407</v>
      </c>
      <c r="J125" s="7">
        <v>0</v>
      </c>
      <c r="K125" s="105" t="str">
        <f t="shared" si="54"/>
        <v>4021/4022</v>
      </c>
      <c r="L125" s="22" t="str">
        <f>VLOOKUP(A125,'Trips&amp;Operators'!$C$1:$G$99999,5,FALSE)</f>
        <v>NEWELL JAMES</v>
      </c>
      <c r="M125" s="6">
        <f t="shared" si="55"/>
        <v>2.5127314816927537E-2</v>
      </c>
      <c r="N125" s="7">
        <f t="shared" si="56"/>
        <v>36.183333336375654</v>
      </c>
      <c r="O125" s="7"/>
      <c r="P125" s="7"/>
      <c r="Q125" s="23"/>
      <c r="R125" s="23"/>
      <c r="S125" s="32">
        <f t="shared" si="57"/>
        <v>1</v>
      </c>
      <c r="T125" s="47" t="str">
        <f t="shared" si="58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4"/>
        <v>https://d0f6bd738d7f1b3e5a7ca70fe4ff75f0.us-east-1.aws.found.io/app/kibana#/discover/Steve-Slow-Train-Analysis-(2080s-and-2083s)?_g=(refreshInterval:(display:Off,pause:!f,section:0,value:0),time:(from:'2017-01-17T16:40:45-0700',mode:absolute,to:'2017-01-17T19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49" t="str">
        <f t="shared" si="59"/>
        <v>N</v>
      </c>
      <c r="X125" s="173">
        <f t="shared" si="53"/>
        <v>1</v>
      </c>
      <c r="Y125" s="64">
        <f t="shared" si="60"/>
        <v>4.4600000000000001E-2</v>
      </c>
      <c r="Z125" s="64">
        <f t="shared" si="61"/>
        <v>23.329899999999999</v>
      </c>
      <c r="AA125" s="64">
        <f t="shared" si="62"/>
        <v>23.285299999999999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63"/>
        <v>0213-17</v>
      </c>
      <c r="AE125" s="87" t="str">
        <f t="shared" si="50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125" s="84" t="str">
        <f t="shared" si="51"/>
        <v>"C:\Program Files (x86)\AstroGrep\AstroGrep.exe" /spath="%USERPROFILE%\AppData\Local\Temp\OnboardLogs" /stypes="app*4022*20170118*" /stext=" 01:.+((SYSTEM_STATE.+slice.+state.+changed )|(ment ac)|(multiple cpu faults)|(system.+state.+changed )|(\[timeout)|(PRM\|1\|D)|(kpr)|(kdp)|(\|lc)|(penalty))" /e /r /s</v>
      </c>
      <c r="AG125" s="1" t="str">
        <f t="shared" si="64"/>
        <v>EC</v>
      </c>
      <c r="AH125" s="88" t="str">
        <f t="shared" si="36"/>
        <v>"%USERPROFILE%\Documents\GitHub\eaglep3\Utilities\RefineRTDCRunTimes.py" --tripid 213-17 --locoid 4022 --swversion DE.1.0.8.0 --startMP 204:446 --initTime 2017-01-17T17:40:45 --startdatetime 2017-01-17T17:45:17 --delay 1 --endMP 204:233299 --enddatetime 2017-01-17T18:21:28 --enforcementcount 0 &gt;&gt;C:\Users\stu\Documents\GitHub\eaglep3-reporting\EC\2017-01-17-refined-times.txt</v>
      </c>
      <c r="AI125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{"issue":{"subject":"","project_id":79,"tracker_id":40,"status_id":1,"priority_id":2,"assigned_to_id":23,"start_date":"2017-01-17","description":"","custom_fields":[{"id":1,"name":"Subdivision","value":"EC"},{"id":4,"name":"Milepost","value":"23.3299"},{"id":17,"name":"Train ID","value":"213-17"},{"id":16,"name":"Locomotive ID","value":"4022"},{"id":130,"name":"Impact","value":""},{"id":150,"name":"Time of Event (Mountain Time)","value":"18:21:28"},{"id":151,"name":"Denver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8"/>
        <v>start /low /b %USERPROFILE%\Documents\GitHub\eaglep3\Utilities\DownloadLogsFromS3.py --loco 4022 --day 2017-01-17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2017-01-17-UncaughtWiMAX.txt</v>
      </c>
    </row>
    <row r="126" spans="1:91" s="21" customFormat="1" x14ac:dyDescent="0.25">
      <c r="A126" s="34" t="s">
        <v>657</v>
      </c>
      <c r="B126" s="7">
        <v>4021</v>
      </c>
      <c r="C126" s="22" t="s">
        <v>201</v>
      </c>
      <c r="D126" s="22" t="s">
        <v>278</v>
      </c>
      <c r="E126" s="13">
        <v>42752.77003472222</v>
      </c>
      <c r="F126" s="13">
        <v>42752.778645833336</v>
      </c>
      <c r="G126" s="7">
        <v>1</v>
      </c>
      <c r="H126" s="22" t="s">
        <v>252</v>
      </c>
      <c r="I126" s="13">
        <v>42752.804837962962</v>
      </c>
      <c r="J126" s="7">
        <v>0</v>
      </c>
      <c r="K126" s="105" t="str">
        <f t="shared" si="54"/>
        <v>4021/4022</v>
      </c>
      <c r="L126" s="22" t="str">
        <f>VLOOKUP(A126,'Trips&amp;Operators'!$C$1:$G$99999,5,FALSE)</f>
        <v>NEWELL JAMES</v>
      </c>
      <c r="M126" s="6">
        <f t="shared" si="55"/>
        <v>2.619212962599704E-2</v>
      </c>
      <c r="N126" s="7">
        <f t="shared" si="56"/>
        <v>37.716666661435738</v>
      </c>
      <c r="O126" s="7"/>
      <c r="P126" s="7"/>
      <c r="Q126" s="23"/>
      <c r="R126" s="23"/>
      <c r="S126" s="32">
        <f t="shared" si="57"/>
        <v>1</v>
      </c>
      <c r="T126" s="47" t="str">
        <f t="shared" si="58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4"/>
        <v>https://d0f6bd738d7f1b3e5a7ca70fe4ff75f0.us-east-1.aws.found.io/app/kibana#/discover/Steve-Slow-Train-Analysis-(2080s-and-2083s)?_g=(refreshInterval:(display:Off,pause:!f,section:0,value:0),time:(from:'2017-01-17T17:28:51-0700',mode:absolute,to:'2017-01-17T20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49" t="str">
        <f t="shared" si="59"/>
        <v>N</v>
      </c>
      <c r="X126" s="173">
        <f t="shared" si="53"/>
        <v>1</v>
      </c>
      <c r="Y126" s="64">
        <f t="shared" si="60"/>
        <v>23.299399999999999</v>
      </c>
      <c r="Z126" s="64">
        <f t="shared" si="61"/>
        <v>1.52E-2</v>
      </c>
      <c r="AA126" s="64">
        <f t="shared" si="62"/>
        <v>23.284199999999998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63"/>
        <v>0214-17</v>
      </c>
      <c r="AE126" s="87" t="str">
        <f t="shared" si="50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126" s="84" t="str">
        <f t="shared" si="51"/>
        <v>"C:\Program Files (x86)\AstroGrep\AstroGrep.exe" /spath="%USERPROFILE%\AppData\Local\Temp\OnboardLogs" /stypes="app*4021*20170118*" /stext=" 02:.+((SYSTEM_STATE.+slice.+state.+changed )|(ment ac)|(multiple cpu faults)|(system.+state.+changed )|(\[timeout)|(PRM\|1\|D)|(kpr)|(kdp)|(\|lc)|(penalty))" /e /r /s</v>
      </c>
      <c r="AG126" s="1" t="str">
        <f t="shared" si="64"/>
        <v>EC</v>
      </c>
      <c r="AH126" s="88" t="str">
        <f t="shared" si="36"/>
        <v>"%USERPROFILE%\Documents\GitHub\eaglep3\Utilities\RefineRTDCRunTimes.py" --tripid 214-17 --locoid 4021 --swversion DE.1.0.8.0 --startMP 204:232994 --initTime 2017-01-17T18:28:51 --startdatetime 2017-01-17T18:41:15 --delay 1 --endMP 204:152 --enddatetime 2017-01-17T19:18:58 --enforcementcount 0 &gt;&gt;C:\Users\stu\Documents\GitHub\eaglep3-reporting\EC\2017-01-17-refined-times.txt</v>
      </c>
      <c r="AI12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{"issue":{"subject":"","project_id":79,"tracker_id":40,"status_id":1,"priority_id":2,"assigned_to_id":23,"start_date":"2017-01-17","description":"","custom_fields":[{"id":1,"name":"Subdivision","value":"EC"},{"id":4,"name":"Milepost","value":"0.0152"},{"id":17,"name":"Train ID","value":"214-17"},{"id":16,"name":"Locomotive ID","value":"4021"},{"id":130,"name":"Impact","value":""},{"id":150,"name":"Time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8"/>
        <v>start /low /b %USERPROFILE%\Documents\GitHub\eaglep3\Utilities\DownloadLogsFromS3.py --loco 4021 --day 2017-01-17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650</v>
      </c>
      <c r="B127" s="7">
        <v>4007</v>
      </c>
      <c r="C127" s="22" t="s">
        <v>201</v>
      </c>
      <c r="D127" s="22" t="s">
        <v>247</v>
      </c>
      <c r="E127" s="13">
        <v>42752.746504629627</v>
      </c>
      <c r="F127" s="13">
        <v>42752.7503125</v>
      </c>
      <c r="G127" s="7">
        <v>1</v>
      </c>
      <c r="H127" s="22" t="s">
        <v>412</v>
      </c>
      <c r="I127" s="13">
        <v>42752.776064814818</v>
      </c>
      <c r="J127" s="7">
        <v>0</v>
      </c>
      <c r="K127" s="105" t="str">
        <f t="shared" si="54"/>
        <v>4007/4008</v>
      </c>
      <c r="L127" s="22" t="str">
        <f>VLOOKUP(A127,'Trips&amp;Operators'!$C$1:$G$99999,5,FALSE)</f>
        <v>SWANSON BRYCE</v>
      </c>
      <c r="M127" s="6">
        <f t="shared" si="55"/>
        <v>2.5752314817509614E-2</v>
      </c>
      <c r="N127" s="7">
        <f t="shared" si="56"/>
        <v>37.083333337213844</v>
      </c>
      <c r="O127" s="7"/>
      <c r="P127" s="7"/>
      <c r="Q127" s="23"/>
      <c r="R127" s="23"/>
      <c r="S127" s="32">
        <f t="shared" si="57"/>
        <v>1</v>
      </c>
      <c r="T127" s="47" t="str">
        <f t="shared" si="58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4"/>
        <v>https://d0f6bd738d7f1b3e5a7ca70fe4ff75f0.us-east-1.aws.found.io/app/kibana#/discover/Steve-Slow-Train-Analysis-(2080s-and-2083s)?_g=(refreshInterval:(display:Off,pause:!f,section:0,value:0),time:(from:'2017-01-17T16:54:58-0700',mode:absolute,to:'2017-01-17T19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49" t="str">
        <f t="shared" si="59"/>
        <v>N</v>
      </c>
      <c r="X127" s="173">
        <f t="shared" si="53"/>
        <v>1</v>
      </c>
      <c r="Y127" s="64">
        <f t="shared" si="60"/>
        <v>4.4900000000000002E-2</v>
      </c>
      <c r="Z127" s="64">
        <f t="shared" si="61"/>
        <v>23.327200000000001</v>
      </c>
      <c r="AA127" s="64">
        <f t="shared" si="62"/>
        <v>23.282300000000003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63"/>
        <v>0215-17</v>
      </c>
      <c r="AE127" s="87" t="str">
        <f t="shared" si="50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127" s="84" t="str">
        <f t="shared" si="51"/>
        <v>"C:\Program Files (x86)\AstroGrep\AstroGrep.exe" /spath="%USERPROFILE%\AppData\Local\Temp\OnboardLogs" /stypes="app*4007*20170118*" /stext=" 01:.+((SYSTEM_STATE.+slice.+state.+changed )|(ment ac)|(multiple cpu faults)|(system.+state.+changed )|(\[timeout)|(PRM\|1\|D)|(kpr)|(kdp)|(\|lc)|(penalty))" /e /r /s</v>
      </c>
      <c r="AG127" s="1" t="str">
        <f t="shared" si="64"/>
        <v>EC</v>
      </c>
      <c r="AH127" s="88" t="str">
        <f t="shared" si="36"/>
        <v>"%USERPROFILE%\Documents\GitHub\eaglep3\Utilities\RefineRTDCRunTimes.py" --tripid 215-17 --locoid 4007 --swversion DE.1.0.8.0 --startMP 204:449 --initTime 2017-01-17T17:54:58 --startdatetime 2017-01-17T18:00:27 --delay 1 --endMP 204:233272 --enddatetime 2017-01-17T18:37:32 --enforcementcount 0 &gt;&gt;C:\Users\stu\Documents\GitHub\eaglep3-reporting\EC\2017-01-17-refined-times.txt</v>
      </c>
      <c r="AI12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{"issue":{"subject":"","project_id":79,"tracker_id":40,"status_id":1,"priority_id":2,"assigned_to_id":23,"start_date":"2017-01-17","description":"","custom_fields":[{"id":1,"name":"Subdivision","value":"EC"},{"id":4,"name":"Milepost","value":"23.3272"},{"id":17,"name":"Train ID","value":"215-17"},{"id":16,"name":"Locomotive ID","value":"4007"},{"id":130,"name":"Impact","value":""},{"id":150,"name":"Time of Event (Mountain Time)","value":"18:37:32"},{"id":151,"name":"Denver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8"/>
        <v>start /low /b %USERPROFILE%\Documents\GitHub\eaglep3\Utilities\DownloadLogsFromS3.py --loco 4007 --day 2017-01-17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2017-01-17-UncaughtWiMAX.txt</v>
      </c>
    </row>
    <row r="128" spans="1:91" s="21" customFormat="1" x14ac:dyDescent="0.25">
      <c r="A128" s="34" t="s">
        <v>486</v>
      </c>
      <c r="B128" s="7">
        <v>4008</v>
      </c>
      <c r="C128" s="22" t="s">
        <v>201</v>
      </c>
      <c r="D128" s="22" t="s">
        <v>735</v>
      </c>
      <c r="E128" s="13">
        <v>42752.779108796298</v>
      </c>
      <c r="F128" s="13">
        <v>42752.789317129631</v>
      </c>
      <c r="G128" s="7">
        <v>1</v>
      </c>
      <c r="H128" s="22" t="s">
        <v>736</v>
      </c>
      <c r="I128" s="13">
        <v>42752.816840277781</v>
      </c>
      <c r="J128" s="7">
        <v>0</v>
      </c>
      <c r="K128" s="105" t="str">
        <f t="shared" si="54"/>
        <v>4007/4008</v>
      </c>
      <c r="L128" s="22" t="str">
        <f>VLOOKUP(A128,'Trips&amp;Operators'!$C$1:$G$99999,5,FALSE)</f>
        <v>SWANSON BRYCE</v>
      </c>
      <c r="M128" s="6">
        <f t="shared" si="55"/>
        <v>2.7523148150066845E-2</v>
      </c>
      <c r="N128" s="7">
        <f t="shared" si="56"/>
        <v>39.633333336096257</v>
      </c>
      <c r="O128" s="7"/>
      <c r="P128" s="7"/>
      <c r="Q128" s="23"/>
      <c r="R128" s="23"/>
      <c r="S128" s="32">
        <f t="shared" si="57"/>
        <v>1</v>
      </c>
      <c r="T128" s="47" t="str">
        <f t="shared" si="58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4"/>
        <v>https://d0f6bd738d7f1b3e5a7ca70fe4ff75f0.us-east-1.aws.found.io/app/kibana#/discover/Steve-Slow-Train-Analysis-(2080s-and-2083s)?_g=(refreshInterval:(display:Off,pause:!f,section:0,value:0),time:(from:'2017-01-17T17:41:55-0700',mode:absolute,to:'2017-01-17T20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49" t="str">
        <f t="shared" si="59"/>
        <v>N</v>
      </c>
      <c r="X128" s="173">
        <f t="shared" si="53"/>
        <v>1</v>
      </c>
      <c r="Y128" s="64">
        <f t="shared" si="60"/>
        <v>23.2959</v>
      </c>
      <c r="Z128" s="64">
        <f t="shared" si="61"/>
        <v>2.3800000000000002E-2</v>
      </c>
      <c r="AA128" s="64">
        <f t="shared" si="62"/>
        <v>23.272099999999998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63"/>
        <v>0216-17</v>
      </c>
      <c r="AE128" s="87" t="str">
        <f t="shared" si="50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128" s="84" t="str">
        <f t="shared" si="51"/>
        <v>"C:\Program Files (x86)\AstroGrep\AstroGrep.exe" /spath="%USERPROFILE%\AppData\Local\Temp\OnboardLogs" /stypes="app*4008*20170118*" /stext=" 02:.+((SYSTEM_STATE.+slice.+state.+changed )|(ment ac)|(multiple cpu faults)|(system.+state.+changed )|(\[timeout)|(PRM\|1\|D)|(kpr)|(kdp)|(\|lc)|(penalty))" /e /r /s</v>
      </c>
      <c r="AG128" s="1" t="str">
        <f t="shared" si="64"/>
        <v>EC</v>
      </c>
      <c r="AH128" s="88" t="str">
        <f t="shared" si="36"/>
        <v>"%USERPROFILE%\Documents\GitHub\eaglep3\Utilities\RefineRTDCRunTimes.py" --tripid 216-17 --locoid 4008 --swversion DE.1.0.8.0 --startMP 204:232959 --initTime 2017-01-17T18:41:55 --startdatetime 2017-01-17T18:56:37 --delay 1 --endMP 204:238 --enddatetime 2017-01-17T19:36:15 --enforcementcount 0 &gt;&gt;C:\Users\stu\Documents\GitHub\eaglep3-reporting\EC\2017-01-17-refined-times.txt</v>
      </c>
      <c r="AI12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{"issue":{"subject":"","project_id":79,"tracker_id":40,"status_id":1,"priority_id":2,"assigned_to_id":23,"start_date":"2017-01-17","description":"","custom_fields":[{"id":1,"name":"Subdivision","value":"EC"},{"id":4,"name":"Milepost","value":"0.0238"},{"id":17,"name":"Train ID","value":"216-17"},{"id":16,"name":"Locomotive ID","value":"4008"},{"id":130,"name":"Impact","value":""},{"id":150,"name":"Time of Event (Mountain Time)","value":"19:36:15"},{"id":151,"name":"Denver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8"/>
        <v>start /low /b %USERPROFILE%\Documents\GitHub\eaglep3\Utilities\DownloadLogsFromS3.py --loco 4008 --day 2017-01-17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"%USERPROFILE%\AppData\Local\Temp\OnboardLogs"\RTDC4008\*4008*20170118* | grep -SE "(Enforcement Action)|(\[TIMEOUT)|(CHR.+\|PRM\|1\|D.+(SWITCH|SIGNAL).+UNKNOWN)" - &gt;&gt; 2017-01-17-UncaughtWiMAX.txt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655</v>
      </c>
      <c r="B129" s="7">
        <v>4002</v>
      </c>
      <c r="C129" s="22" t="s">
        <v>201</v>
      </c>
      <c r="D129" s="22" t="s">
        <v>318</v>
      </c>
      <c r="E129" s="13">
        <v>42752.75986111111</v>
      </c>
      <c r="F129" s="13">
        <v>42752.761180555557</v>
      </c>
      <c r="G129" s="7">
        <v>1</v>
      </c>
      <c r="H129" s="22" t="s">
        <v>401</v>
      </c>
      <c r="I129" s="13">
        <v>42752.786226851851</v>
      </c>
      <c r="J129" s="7">
        <v>0</v>
      </c>
      <c r="K129" s="105" t="str">
        <f t="shared" si="54"/>
        <v>4001/4002</v>
      </c>
      <c r="L129" s="22" t="str">
        <f>VLOOKUP(A129,'Trips&amp;Operators'!$C$1:$G$99999,5,FALSE)</f>
        <v>STORY SAMANTHA</v>
      </c>
      <c r="M129" s="6">
        <f t="shared" si="55"/>
        <v>2.5046296294021886E-2</v>
      </c>
      <c r="N129" s="7">
        <f t="shared" si="56"/>
        <v>36.066666663391516</v>
      </c>
      <c r="O129" s="7"/>
      <c r="P129" s="7"/>
      <c r="Q129" s="23"/>
      <c r="R129" s="23"/>
      <c r="S129" s="32">
        <f t="shared" si="57"/>
        <v>1</v>
      </c>
      <c r="T129" s="47" t="str">
        <f t="shared" si="58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4"/>
        <v>https://d0f6bd738d7f1b3e5a7ca70fe4ff75f0.us-east-1.aws.found.io/app/kibana#/discover/Steve-Slow-Train-Analysis-(2080s-and-2083s)?_g=(refreshInterval:(display:Off,pause:!f,section:0,value:0),time:(from:'2017-01-17T17:14:12-0700',mode:absolute,to:'2017-01-17T19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49" t="str">
        <f t="shared" si="59"/>
        <v>N</v>
      </c>
      <c r="X129" s="173">
        <f t="shared" si="53"/>
        <v>1</v>
      </c>
      <c r="Y129" s="64">
        <f t="shared" si="60"/>
        <v>4.6600000000000003E-2</v>
      </c>
      <c r="Z129" s="64">
        <f t="shared" si="61"/>
        <v>23.330300000000001</v>
      </c>
      <c r="AA129" s="64">
        <f t="shared" si="62"/>
        <v>23.2837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63"/>
        <v>0217-17</v>
      </c>
      <c r="AE129" s="87" t="str">
        <f t="shared" si="5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29" s="84" t="str">
        <f t="shared" si="51"/>
        <v>"C:\Program Files (x86)\AstroGrep\AstroGrep.exe" /spath="%USERPROFILE%\AppData\Local\Temp\OnboardLogs" /stypes="app*4002*20170118*" /stext=" 01:.+((SYSTEM_STATE.+slice.+state.+changed )|(ment ac)|(multiple cpu faults)|(system.+state.+changed )|(\[timeout)|(PRM\|1\|D)|(kpr)|(kdp)|(\|lc)|(penalty))" /e /r /s</v>
      </c>
      <c r="AG129" s="1" t="str">
        <f t="shared" si="64"/>
        <v>EC</v>
      </c>
      <c r="AH129" s="88" t="str">
        <f t="shared" si="36"/>
        <v>"%USERPROFILE%\Documents\GitHub\eaglep3\Utilities\RefineRTDCRunTimes.py" --tripid 217-17 --locoid 4002 --swversion DE.1.0.8.0 --startMP 204:466 --initTime 2017-01-17T18:14:12 --startdatetime 2017-01-17T18:16:06 --delay 1 --endMP 204:233303 --enddatetime 2017-01-17T18:52:10 --enforcementcount 0 &gt;&gt;C:\Users\stu\Documents\GitHub\eaglep3-reporting\EC\2017-01-17-refined-times.txt</v>
      </c>
      <c r="AI12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{"issue":{"subject":"","project_id":79,"tracker_id":40,"status_id":1,"priority_id":2,"assigned_to_id":23,"start_date":"2017-01-17","description":"","custom_fields":[{"id":1,"name":"Subdivision","value":"EC"},{"id":4,"name":"Milepost","value":"23.3303"},{"id":17,"name":"Train ID","value":"217-17"},{"id":16,"name":"Locomotive ID","value":"4002"},{"id":130,"name":"Impact","value":""},{"id":150,"name":"Time of Event (Mountain Time)","value":"18:52:10"},{"id":151,"name":"Denver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8"/>
        <v>start /low /b %USERPROFILE%\Documents\GitHub\eaglep3\Utilities\DownloadLogsFromS3.py --loco 4002 --day 2017-01-17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"%USERPROFILE%\AppData\Local\Temp\OnboardLogs"\RTDC4002\*4002*20170118* | grep -SE "(Enforcement Action)|(\[TIMEOUT)|(CHR.+\|PRM\|1\|D.+(SWITCH|SIGNAL).+UNKNOWN)" - &gt;&gt; 2017-01-17-UncaughtWiMAX.txt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487</v>
      </c>
      <c r="B130" s="7">
        <v>4001</v>
      </c>
      <c r="C130" s="22" t="s">
        <v>201</v>
      </c>
      <c r="D130" s="22" t="s">
        <v>239</v>
      </c>
      <c r="E130" s="13">
        <v>42752.79478009259</v>
      </c>
      <c r="F130" s="13">
        <v>42752.833622685182</v>
      </c>
      <c r="G130" s="7">
        <v>3</v>
      </c>
      <c r="H130" s="22" t="s">
        <v>737</v>
      </c>
      <c r="I130" s="13">
        <v>42752.858043981483</v>
      </c>
      <c r="J130" s="7">
        <v>0</v>
      </c>
      <c r="K130" s="105" t="str">
        <f t="shared" si="54"/>
        <v>4001/4002</v>
      </c>
      <c r="L130" s="22" t="str">
        <f>VLOOKUP(A130,'Trips&amp;Operators'!$C$1:$G$99999,5,FALSE)</f>
        <v>STORY SAMANTHA</v>
      </c>
      <c r="M130" s="6">
        <f t="shared" si="55"/>
        <v>2.4421296300715767E-2</v>
      </c>
      <c r="N130" s="7">
        <f t="shared" si="56"/>
        <v>35.166666673030704</v>
      </c>
      <c r="O130" s="7"/>
      <c r="P130" s="7"/>
      <c r="Q130" s="23"/>
      <c r="R130" s="23"/>
      <c r="S130" s="32">
        <f t="shared" si="57"/>
        <v>1</v>
      </c>
      <c r="T130" s="47" t="str">
        <f t="shared" si="58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4"/>
        <v>https://d0f6bd738d7f1b3e5a7ca70fe4ff75f0.us-east-1.aws.found.io/app/kibana#/discover/Steve-Slow-Train-Analysis-(2080s-and-2083s)?_g=(refreshInterval:(display:Off,pause:!f,section:0,value:0),time:(from:'2017-01-17T18:04:29-0700',mode:absolute,to:'2017-01-17T21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49" t="str">
        <f t="shared" si="59"/>
        <v>N</v>
      </c>
      <c r="X130" s="173">
        <f t="shared" si="53"/>
        <v>1</v>
      </c>
      <c r="Y130" s="64">
        <f t="shared" si="60"/>
        <v>23.297699999999999</v>
      </c>
      <c r="Z130" s="64">
        <f t="shared" si="61"/>
        <v>9.5999999999999992E-3</v>
      </c>
      <c r="AA130" s="64">
        <f t="shared" si="62"/>
        <v>23.2881</v>
      </c>
      <c r="AB130" s="61" t="str">
        <f>VLOOKUP(A130,Enforcements!$C$7:$K$16,8,0)</f>
        <v>Bulletin (2)</v>
      </c>
      <c r="AC130" s="57" t="str">
        <f>VLOOKUP(A130,Enforcements!$C$7:$E$16,3,0)</f>
        <v>GRADE CROSSING</v>
      </c>
      <c r="AD130" s="58" t="str">
        <f t="shared" si="63"/>
        <v>0218-17</v>
      </c>
      <c r="AE130" s="87" t="str">
        <f t="shared" si="50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130" s="84" t="str">
        <f t="shared" si="51"/>
        <v>"C:\Program Files (x86)\AstroGrep\AstroGrep.exe" /spath="%USERPROFILE%\AppData\Local\Temp\OnboardLogs" /stypes="app*4001*20170118*" /stext=" 03:.+((SYSTEM_STATE.+slice.+state.+changed )|(ment ac)|(multiple cpu faults)|(system.+state.+changed )|(\[timeout)|(PRM\|1\|D)|(kpr)|(kdp)|(\|lc)|(penalty))" /e /r /s</v>
      </c>
      <c r="AG130" s="1" t="str">
        <f t="shared" si="64"/>
        <v>EC</v>
      </c>
      <c r="AH130" s="88" t="str">
        <f t="shared" si="36"/>
        <v>"%USERPROFILE%\Documents\GitHub\eaglep3\Utilities\RefineRTDCRunTimes.py" --tripid 218-17 --locoid 4001 --swversion DE.1.0.8.0 --startMP 204:232977 --initTime 2017-01-17T19:04:29 --startdatetime 2017-01-17T20:00:25 --delay 3 --endMP 204:96 --enddatetime 2017-01-17T20:35:35 --enforcementcount 0 &gt;&gt;C:\Users\stu\Documents\GitHub\eaglep3-reporting\EC\2017-01-17-refined-times.txt</v>
      </c>
      <c r="AI130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{"issue":{"subject":"","project_id":79,"tracker_id":40,"status_id":1,"priority_id":2,"assigned_to_id":23,"start_date":"2017-01-17","description":"","custom_fields":[{"id":1,"name":"Subdivision","value":"EC"},{"id":4,"name":"Milepost","value":"0.0096"},{"id":17,"name":"Train ID","value":"218-17"},{"id":16,"name":"Locomotive ID","value":"4001"},{"id":130,"name":"Impact","value":""},{"id":150,"name":"Time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8"/>
        <v>start /low /b %USERPROFILE%\Documents\GitHub\eaglep3\Utilities\DownloadLogsFromS3.py --loco 4001 --day 2017-01-17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"%USERPROFILE%\AppData\Local\Temp\OnboardLogs"\RTDC4001\*4001*20170118* | grep -SE "(Enforcement Action)|(\[TIMEOUT)|(CHR.+\|PRM\|1\|D.+(SWITCH|SIGNAL).+UNKNOWN)" - &gt;&gt; 2017-01-17-UncaughtWiMAX.txt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656</v>
      </c>
      <c r="B131" s="7">
        <v>4031</v>
      </c>
      <c r="C131" s="22" t="s">
        <v>201</v>
      </c>
      <c r="D131" s="22" t="s">
        <v>325</v>
      </c>
      <c r="E131" s="13">
        <v>42752.766574074078</v>
      </c>
      <c r="F131" s="13">
        <v>42752.771122685182</v>
      </c>
      <c r="G131" s="7">
        <v>1</v>
      </c>
      <c r="H131" s="22" t="s">
        <v>421</v>
      </c>
      <c r="I131" s="13">
        <v>42752.795613425929</v>
      </c>
      <c r="J131" s="7">
        <v>0</v>
      </c>
      <c r="K131" s="105" t="str">
        <f t="shared" si="54"/>
        <v>4031/4032</v>
      </c>
      <c r="L131" s="22" t="str">
        <f>VLOOKUP(A131,'Trips&amp;Operators'!$C$1:$G$99999,5,FALSE)</f>
        <v>STAMBAUGH JAMES</v>
      </c>
      <c r="M131" s="6">
        <f t="shared" si="55"/>
        <v>2.4490740746841766E-2</v>
      </c>
      <c r="N131" s="7">
        <f t="shared" si="56"/>
        <v>35.266666675452143</v>
      </c>
      <c r="O131" s="7"/>
      <c r="P131" s="7"/>
      <c r="Q131" s="23"/>
      <c r="R131" s="23"/>
      <c r="S131" s="32">
        <f t="shared" si="57"/>
        <v>1</v>
      </c>
      <c r="T131" s="47" t="str">
        <f t="shared" si="58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4"/>
        <v>https://d0f6bd738d7f1b3e5a7ca70fe4ff75f0.us-east-1.aws.found.io/app/kibana#/discover/Steve-Slow-Train-Analysis-(2080s-and-2083s)?_g=(refreshInterval:(display:Off,pause:!f,section:0,value:0),time:(from:'2017-01-17T17:23:52-0700',mode:absolute,to:'2017-01-17T20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49" t="str">
        <f t="shared" si="59"/>
        <v>N</v>
      </c>
      <c r="X131" s="173">
        <f t="shared" si="53"/>
        <v>1</v>
      </c>
      <c r="Y131" s="64">
        <f t="shared" si="60"/>
        <v>4.7100000000000003E-2</v>
      </c>
      <c r="Z131" s="64">
        <f t="shared" si="61"/>
        <v>23.338899999999999</v>
      </c>
      <c r="AA131" s="64">
        <f t="shared" si="62"/>
        <v>23.291799999999999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63"/>
        <v>0219-17</v>
      </c>
      <c r="AE131" s="87" t="str">
        <f t="shared" si="5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31" s="84" t="str">
        <f t="shared" si="51"/>
        <v>"C:\Program Files (x86)\AstroGrep\AstroGrep.exe" /spath="%USERPROFILE%\AppData\Local\Temp\OnboardLogs" /stypes="app*4031*20170118*" /stext=" 02:.+((SYSTEM_STATE.+slice.+state.+changed )|(ment ac)|(multiple cpu faults)|(system.+state.+changed )|(\[timeout)|(PRM\|1\|D)|(kpr)|(kdp)|(\|lc)|(penalty))" /e /r /s</v>
      </c>
      <c r="AG131" s="1" t="str">
        <f t="shared" si="64"/>
        <v>EC</v>
      </c>
      <c r="AH131" s="88" t="str">
        <f t="shared" si="36"/>
        <v>"%USERPROFILE%\Documents\GitHub\eaglep3\Utilities\RefineRTDCRunTimes.py" --tripid 219-17 --locoid 4031 --swversion DE.1.0.8.0 --startMP 204:471 --initTime 2017-01-17T18:23:52 --startdatetime 2017-01-17T18:30:25 --delay 1 --endMP 204:233389 --enddatetime 2017-01-17T19:05:41 --enforcementcount 0 &gt;&gt;C:\Users\stu\Documents\GitHub\eaglep3-reporting\EC\2017-01-17-refined-times.txt</v>
      </c>
      <c r="AI131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{"issue":{"subject":"","project_id":79,"tracker_id":40,"status_id":1,"priority_id":2,"assigned_to_id":23,"start_date":"2017-01-17","description":"","custom_fields":[{"id":1,"name":"Subdivision","value":"EC"},{"id":4,"name":"Milepost","value":"23.3389"},{"id":17,"name":"Train ID","value":"219-17"},{"id":16,"name":"Locomotive ID","value":"4031"},{"id":130,"name":"Impact","value":""},{"id":150,"name":"Time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8"/>
        <v>start /low /b %USERPROFILE%\Documents\GitHub\eaglep3\Utilities\DownloadLogsFromS3.py --loco 4031 --day 2017-01-17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"%USERPROFILE%\AppData\Local\Temp\OnboardLogs"\RTDC4031\*4031*20170118* | grep -SE "(Enforcement Action)|(\[TIMEOUT)|(CHR.+\|PRM\|1\|D.+(SWITCH|SIGNAL).+UNKNOWN)" - &gt;&gt; 2017-01-17-UncaughtWiMAX.txt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663</v>
      </c>
      <c r="B132" s="7">
        <v>4032</v>
      </c>
      <c r="C132" s="22" t="s">
        <v>201</v>
      </c>
      <c r="D132" s="22" t="s">
        <v>738</v>
      </c>
      <c r="E132" s="13">
        <v>42752.799120370371</v>
      </c>
      <c r="F132" s="13">
        <v>42752.809965277775</v>
      </c>
      <c r="G132" s="7">
        <v>1</v>
      </c>
      <c r="H132" s="22" t="s">
        <v>317</v>
      </c>
      <c r="I132" s="13">
        <v>42752.8358912037</v>
      </c>
      <c r="J132" s="7">
        <v>0</v>
      </c>
      <c r="K132" s="105" t="str">
        <f t="shared" si="54"/>
        <v>4031/4032</v>
      </c>
      <c r="L132" s="22" t="str">
        <f>VLOOKUP(A132,'Trips&amp;Operators'!$C$1:$G$99999,5,FALSE)</f>
        <v>STAMBAUGH JAMES</v>
      </c>
      <c r="M132" s="6">
        <f t="shared" si="55"/>
        <v>2.5925925925548654E-2</v>
      </c>
      <c r="N132" s="7">
        <f t="shared" si="56"/>
        <v>37.333333332790062</v>
      </c>
      <c r="O132" s="7"/>
      <c r="P132" s="7"/>
      <c r="Q132" s="23"/>
      <c r="R132" s="23"/>
      <c r="S132" s="32">
        <f t="shared" si="57"/>
        <v>1</v>
      </c>
      <c r="T132" s="47" t="str">
        <f t="shared" si="58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4"/>
        <v>https://d0f6bd738d7f1b3e5a7ca70fe4ff75f0.us-east-1.aws.found.io/app/kibana#/discover/Steve-Slow-Train-Analysis-(2080s-and-2083s)?_g=(refreshInterval:(display:Off,pause:!f,section:0,value:0),time:(from:'2017-01-17T18:10:44-0700',mode:absolute,to:'2017-01-17T21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49" t="str">
        <f t="shared" si="59"/>
        <v>N</v>
      </c>
      <c r="X132" s="173">
        <f t="shared" si="53"/>
        <v>1</v>
      </c>
      <c r="Y132" s="64">
        <f t="shared" si="60"/>
        <v>23.3096</v>
      </c>
      <c r="Z132" s="64">
        <f t="shared" si="61"/>
        <v>1.43E-2</v>
      </c>
      <c r="AA132" s="64">
        <f t="shared" si="62"/>
        <v>23.295300000000001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63"/>
        <v>0220-17</v>
      </c>
      <c r="AE132" s="87" t="str">
        <f t="shared" si="50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132" s="84" t="str">
        <f t="shared" si="51"/>
        <v>"C:\Program Files (x86)\AstroGrep\AstroGrep.exe" /spath="%USERPROFILE%\AppData\Local\Temp\OnboardLogs" /stypes="app*4032*20170118*" /stext=" 03:.+((SYSTEM_STATE.+slice.+state.+changed )|(ment ac)|(multiple cpu faults)|(system.+state.+changed )|(\[timeout)|(PRM\|1\|D)|(kpr)|(kdp)|(\|lc)|(penalty))" /e /r /s</v>
      </c>
      <c r="AG132" s="1" t="str">
        <f t="shared" si="64"/>
        <v>EC</v>
      </c>
      <c r="AH132" s="88" t="str">
        <f t="shared" si="36"/>
        <v>"%USERPROFILE%\Documents\GitHub\eaglep3\Utilities\RefineRTDCRunTimes.py" --tripid 220-17 --locoid 4032 --swversion DE.1.0.8.0 --startMP 204:233096 --initTime 2017-01-17T19:10:44 --startdatetime 2017-01-17T19:26:21 --delay 1 --endMP 204:143 --enddatetime 2017-01-17T20:03:41 --enforcementcount 0 &gt;&gt;C:\Users\stu\Documents\GitHub\eaglep3-reporting\EC\2017-01-17-refined-times.txt</v>
      </c>
      <c r="AI132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{"issue":{"subject":"","project_id":79,"tracker_id":40,"status_id":1,"priority_id":2,"assigned_to_id":23,"start_date":"2017-01-17","description":"","custom_fields":[{"id":1,"name":"Subdivision","value":"EC"},{"id":4,"name":"Milepost","value":"0.0143"},{"id":17,"name":"Train ID","value":"220-17"},{"id":16,"name":"Locomotive ID","value":"4032"},{"id":130,"name":"Impact","value":""},{"id":150,"name":"Time of Event (Mountain Time)","value":"20:03:41"},{"id":151,"name":"Denver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8"/>
        <v>start /low /b %USERPROFILE%\Documents\GitHub\eaglep3\Utilities\DownloadLogsFromS3.py --loco 4032 --day 2017-01-17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"%USERPROFILE%\AppData\Local\Temp\OnboardLogs"\RTDC4032\*4032*20170118* | grep -SE "(Enforcement Action)|(\[TIMEOUT)|(CHR.+\|PRM\|1\|D.+(SWITCH|SIGNAL).+UNKNOWN)" - &gt;&gt; 2017-01-17-UncaughtWiMAX.txt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660</v>
      </c>
      <c r="B133" s="7">
        <v>4044</v>
      </c>
      <c r="C133" s="22" t="s">
        <v>201</v>
      </c>
      <c r="D133" s="22" t="s">
        <v>359</v>
      </c>
      <c r="E133" s="13">
        <v>42752.788391203707</v>
      </c>
      <c r="F133" s="13">
        <v>42752.791932870372</v>
      </c>
      <c r="G133" s="7">
        <v>1</v>
      </c>
      <c r="H133" s="22" t="s">
        <v>705</v>
      </c>
      <c r="I133" s="13">
        <v>42752.816851851851</v>
      </c>
      <c r="J133" s="7">
        <v>0</v>
      </c>
      <c r="K133" s="105" t="str">
        <f t="shared" si="54"/>
        <v>4043/4044</v>
      </c>
      <c r="L133" s="22" t="str">
        <f>VLOOKUP(A133,'Trips&amp;Operators'!$C$1:$G$99999,5,FALSE)</f>
        <v>CHANDLER KELVIN</v>
      </c>
      <c r="M133" s="6">
        <f t="shared" si="55"/>
        <v>2.491898147854954E-2</v>
      </c>
      <c r="N133" s="7">
        <f t="shared" si="56"/>
        <v>35.883333329111338</v>
      </c>
      <c r="O133" s="7"/>
      <c r="P133" s="7"/>
      <c r="Q133" s="23"/>
      <c r="R133" s="23"/>
      <c r="S133" s="32">
        <f t="shared" si="57"/>
        <v>1</v>
      </c>
      <c r="T133" s="47" t="str">
        <f t="shared" si="58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4"/>
        <v>https://d0f6bd738d7f1b3e5a7ca70fe4ff75f0.us-east-1.aws.found.io/app/kibana#/discover/Steve-Slow-Train-Analysis-(2080s-and-2083s)?_g=(refreshInterval:(display:Off,pause:!f,section:0,value:0),time:(from:'2017-01-17T17:55:17-0700',mode:absolute,to:'2017-01-17T20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49" t="str">
        <f t="shared" si="59"/>
        <v>N</v>
      </c>
      <c r="X133" s="173">
        <f t="shared" si="53"/>
        <v>1</v>
      </c>
      <c r="Y133" s="64">
        <f t="shared" si="60"/>
        <v>4.7500000000000001E-2</v>
      </c>
      <c r="Z133" s="64">
        <f t="shared" si="61"/>
        <v>23.327400000000001</v>
      </c>
      <c r="AA133" s="64">
        <f t="shared" si="62"/>
        <v>23.279900000000001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63"/>
        <v>0221-17</v>
      </c>
      <c r="AE133" s="87" t="str">
        <f t="shared" si="50"/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133" s="84" t="str">
        <f t="shared" si="51"/>
        <v>"C:\Program Files (x86)\AstroGrep\AstroGrep.exe" /spath="%USERPROFILE%\AppData\Local\Temp\OnboardLogs" /stypes="app*4044*20170118*" /stext=" 02:.+((SYSTEM_STATE.+slice.+state.+changed )|(ment ac)|(multiple cpu faults)|(system.+state.+changed )|(\[timeout)|(PRM\|1\|D)|(kpr)|(kdp)|(\|lc)|(penalty))" /e /r /s</v>
      </c>
      <c r="AG133" s="1" t="str">
        <f t="shared" si="64"/>
        <v>EC</v>
      </c>
      <c r="AH133" s="88" t="str">
        <f t="shared" si="36"/>
        <v>"%USERPROFILE%\Documents\GitHub\eaglep3\Utilities\RefineRTDCRunTimes.py" --tripid 221-17 --locoid 4044 --swversion DE.1.0.8.0 --startMP 204:475 --initTime 2017-01-17T18:55:17 --startdatetime 2017-01-17T19:00:23 --delay 1 --endMP 204:233274 --enddatetime 2017-01-17T19:36:16 --enforcementcount 0 &gt;&gt;C:\Users\stu\Documents\GitHub\eaglep3-reporting\EC\2017-01-17-refined-times.txt</v>
      </c>
      <c r="AI133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{"issue":{"subject":"","project_id":79,"tracker_id":40,"status_id":1,"priority_id":2,"assigned_to_id":23,"start_date":"2017-01-17","description":"","custom_fields":[{"id":1,"name":"Subdivision","value":"EC"},{"id":4,"name":"Milepost","value":"23.3274"},{"id":17,"name":"Train ID","value":"221-17"},{"id":16,"name":"Locomotive ID","value":"4044"},{"id":130,"name":"Impact","value":""},{"id":150,"name":"Time of Event (Mountain Time)","value":"19:36:16"},{"id":151,"name":"Denver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8"/>
        <v>start /low /b %USERPROFILE%\Documents\GitHub\eaglep3\Utilities\DownloadLogsFromS3.py --loco 4044 --day 2017-01-17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"%USERPROFILE%\AppData\Local\Temp\OnboardLogs"\RTDC4044\*4044*20170118* | grep -SE "(Enforcement Action)|(\[TIMEOUT)|(CHR.+\|PRM\|1\|D.+(SWITCH|SIGNAL).+UNKNOWN)" - &gt;&gt; 2017-01-17-UncaughtWiMAX.txt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668</v>
      </c>
      <c r="B134" s="7">
        <v>4043</v>
      </c>
      <c r="C134" s="22" t="s">
        <v>201</v>
      </c>
      <c r="D134" s="22" t="s">
        <v>422</v>
      </c>
      <c r="E134" s="13">
        <v>42752.829606481479</v>
      </c>
      <c r="F134" s="13">
        <v>42752.830821759257</v>
      </c>
      <c r="G134" s="7">
        <v>1</v>
      </c>
      <c r="H134" s="22" t="s">
        <v>252</v>
      </c>
      <c r="I134" s="13">
        <v>42752.860150462962</v>
      </c>
      <c r="J134" s="7">
        <v>0</v>
      </c>
      <c r="K134" s="105" t="str">
        <f t="shared" si="54"/>
        <v>4043/4044</v>
      </c>
      <c r="L134" s="22" t="str">
        <f>VLOOKUP(A134,'Trips&amp;Operators'!$C$1:$G$99999,5,FALSE)</f>
        <v>CHANDLER KELVIN</v>
      </c>
      <c r="M134" s="6">
        <f t="shared" si="55"/>
        <v>2.9328703705687076E-2</v>
      </c>
      <c r="N134" s="7">
        <f t="shared" si="56"/>
        <v>42.233333336189389</v>
      </c>
      <c r="O134" s="7"/>
      <c r="P134" s="7"/>
      <c r="Q134" s="23"/>
      <c r="R134" s="23"/>
      <c r="S134" s="32">
        <f t="shared" si="57"/>
        <v>1</v>
      </c>
      <c r="T134" s="47" t="str">
        <f t="shared" si="58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4"/>
        <v>https://d0f6bd738d7f1b3e5a7ca70fe4ff75f0.us-east-1.aws.found.io/app/kibana#/discover/Steve-Slow-Train-Analysis-(2080s-and-2083s)?_g=(refreshInterval:(display:Off,pause:!f,section:0,value:0),time:(from:'2017-01-17T18:54:38-0700',mode:absolute,to:'2017-01-17T21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49" t="str">
        <f t="shared" si="59"/>
        <v>N</v>
      </c>
      <c r="X134" s="173">
        <f t="shared" si="53"/>
        <v>1</v>
      </c>
      <c r="Y134" s="64">
        <f t="shared" si="60"/>
        <v>23.296800000000001</v>
      </c>
      <c r="Z134" s="64">
        <f t="shared" si="61"/>
        <v>1.52E-2</v>
      </c>
      <c r="AA134" s="64">
        <f t="shared" si="62"/>
        <v>23.281600000000001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63"/>
        <v>0222-17</v>
      </c>
      <c r="AE134" s="87" t="str">
        <f t="shared" si="5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134" s="84" t="str">
        <f t="shared" si="51"/>
        <v>"C:\Program Files (x86)\AstroGrep\AstroGrep.exe" /spath="%USERPROFILE%\AppData\Local\Temp\OnboardLogs" /stypes="app*4043*20170118*" /stext=" 03:.+((SYSTEM_STATE.+slice.+state.+changed )|(ment ac)|(multiple cpu faults)|(system.+state.+changed )|(\[timeout)|(PRM\|1\|D)|(kpr)|(kdp)|(\|lc)|(penalty))" /e /r /s</v>
      </c>
      <c r="AG134" s="1" t="str">
        <f t="shared" si="64"/>
        <v>EC</v>
      </c>
      <c r="AH134" s="88" t="str">
        <f t="shared" si="36"/>
        <v>"%USERPROFILE%\Documents\GitHub\eaglep3\Utilities\RefineRTDCRunTimes.py" --tripid 222-17 --locoid 4043 --swversion DE.1.0.8.0 --startMP 204:232968 --initTime 2017-01-17T19:54:38 --startdatetime 2017-01-17T19:56:23 --delay 1 --endMP 204:152 --enddatetime 2017-01-17T20:38:37 --enforcementcount 0 &gt;&gt;C:\Users\stu\Documents\GitHub\eaglep3-reporting\EC\2017-01-17-refined-times.txt</v>
      </c>
      <c r="AI134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{"issue":{"subject":"","project_id":79,"tracker_id":40,"status_id":1,"priority_id":2,"assigned_to_id":23,"start_date":"2017-01-17","description":"","custom_fields":[{"id":1,"name":"Subdivision","value":"EC"},{"id":4,"name":"Milepost","value":"0.0152"},{"id":17,"name":"Train ID","value":"222-17"},{"id":16,"name":"Locomotive ID","value":"4043"},{"id":130,"name":"Impact","value":""},{"id":150,"name":"Time of Event (Mountain Time)","value":"20:38:37"},{"id":151,"name":"Denver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38"/>
        <v>start /low /b %USERPROFILE%\Documents\GitHub\eaglep3\Utilities\DownloadLogsFromS3.py --loco 4043 --day 2017-01-17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"%USERPROFILE%\AppData\Local\Temp\OnboardLogs"\RTDC4043\*4043*20170118* | grep -SE "(Enforcement Action)|(\[TIMEOUT)|(CHR.+\|PRM\|1\|D.+(SWITCH|SIGNAL).+UNKNOWN)" - &gt;&gt; 2017-01-17-UncaughtWiMAX.txt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664</v>
      </c>
      <c r="B135" s="7">
        <v>4022</v>
      </c>
      <c r="C135" s="22" t="s">
        <v>201</v>
      </c>
      <c r="D135" s="22" t="s">
        <v>355</v>
      </c>
      <c r="E135" s="13">
        <v>42752.809421296297</v>
      </c>
      <c r="F135" s="13">
        <v>42752.812743055554</v>
      </c>
      <c r="G135" s="7">
        <v>1</v>
      </c>
      <c r="H135" s="22" t="s">
        <v>739</v>
      </c>
      <c r="I135" s="13">
        <v>42752.819363425922</v>
      </c>
      <c r="J135" s="7">
        <v>0</v>
      </c>
      <c r="K135" s="105" t="str">
        <f t="shared" si="54"/>
        <v>4021/4022</v>
      </c>
      <c r="L135" s="22" t="str">
        <f>VLOOKUP(A135,'Trips&amp;Operators'!$C$1:$G$99999,5,FALSE)</f>
        <v>HOLCOMB KAMDEN</v>
      </c>
      <c r="M135" s="6">
        <f t="shared" si="55"/>
        <v>6.6203703681821935E-3</v>
      </c>
      <c r="N135" s="7"/>
      <c r="O135" s="7"/>
      <c r="P135" s="7">
        <f>24*60*SUM($M135:$M135)</f>
        <v>9.5333333301823586</v>
      </c>
      <c r="Q135" s="23"/>
      <c r="R135" s="23" t="s">
        <v>868</v>
      </c>
      <c r="S135" s="32">
        <f t="shared" si="57"/>
        <v>0.25</v>
      </c>
      <c r="T135" s="47" t="str">
        <f t="shared" si="58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3</v>
      </c>
      <c r="V135" s="94" t="str">
        <f t="shared" si="44"/>
        <v>https://d0f6bd738d7f1b3e5a7ca70fe4ff75f0.us-east-1.aws.found.io/app/kibana#/discover/Steve-Slow-Train-Analysis-(2080s-and-2083s)?_g=(refreshInterval:(display:Off,pause:!f,section:0,value:0),time:(from:'2017-01-17T18:25:34-0700',mode:absolute,to:'2017-01-17T20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49" t="str">
        <f t="shared" si="59"/>
        <v>Y</v>
      </c>
      <c r="X135" s="173">
        <f t="shared" si="53"/>
        <v>1</v>
      </c>
      <c r="Y135" s="64">
        <f t="shared" si="60"/>
        <v>4.5100000000000001E-2</v>
      </c>
      <c r="Z135" s="64">
        <f t="shared" si="61"/>
        <v>3.7197</v>
      </c>
      <c r="AA135" s="64">
        <f t="shared" si="62"/>
        <v>3.6745999999999999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63"/>
        <v>0223-17</v>
      </c>
      <c r="AE135" s="87" t="str">
        <f t="shared" si="50"/>
        <v>aws s3 cp s3://rtdc.mdm.uploadarchive.raw/RTDC4022/ "%USERPROFILE%\AppData\Local\Temp\OnboardLogs"\RTDC4022\2017-01-17 --exclude "*" --recursive --include "*20170117*" &amp; "%USERPROFILE%\Documents\GitHub\mrs-test-scripts\Headless Mode &amp; Sideloading\WalkAndUnGZ.bat" "%USERPROFILE%\AppData\Local\Temp\OnboardLogs"\RTDC4022\2017-01-17 &amp; 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</v>
      </c>
      <c r="AF135" s="84" t="str">
        <f t="shared" si="51"/>
        <v>"C:\Program Files (x86)\AstroGrep\AstroGrep.exe" /spath="%USERPROFILE%\AppData\Local\Temp\OnboardLogs" /stypes="app*4022*20170118*" /stext=" 02:.+((SYSTEM_STATE.+slice.+state.+changed )|(ment ac)|(multiple cpu faults)|(system.+state.+changed )|(\[timeout)|(PRM\|1\|D)|(kpr)|(kdp)|(\|lc)|(penalty))" /e /r /s</v>
      </c>
      <c r="AG135" s="1" t="str">
        <f t="shared" si="64"/>
        <v>EC</v>
      </c>
      <c r="AH135" s="88" t="str">
        <f t="shared" si="36"/>
        <v>"%USERPROFILE%\Documents\GitHub\eaglep3\Utilities\RefineRTDCRunTimes.py" --tripid 223-17 --locoid 4022 --swversion DE.1.0.8.0 --startMP 204:451 --initTime 2017-01-17T19:25:34 --startdatetime 2017-01-17T19:30:21 --delay 1 --endMP 204:37197 --enddatetime 2017-01-17T19:39:53 --enforcementcount 0 &gt;&gt;C:\Users\stu\Documents\GitHub\eaglep3-reporting\EC\2017-01-17-refined-times.txt</v>
      </c>
      <c r="AI135" s="115" t="str">
        <f t="shared" si="37"/>
        <v>echo {"issue":{"subject":"Banner w/o braking, onboard in-route failure","project_id":79,"tracker_id":40,"status_id":1,"priority_id":2,"assigned_to_id":23,"start_date":"2017-01-17","description":"","custom_fields":[{"id":1,"name":"Subdivision","value":"EC"},{"id":4,"name":"Milepost","value":"3.7197"},{"id":17,"name":"Train ID","value":"223-17"},{"id":16,"name":"Locomotive ID","value":"4022"},{"id":130,"name":"Impact","value":""},{"id":150,"name":"Time of Event (Mountain Time)","value":"19:39:53"},{"id":151,"name":"Denver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8"/>
        <v>start /low /b %USERPROFILE%\Documents\GitHub\eaglep3\Utilities\DownloadLogsFromS3.py --loco 4022 --day 2017-01-17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490</v>
      </c>
      <c r="B136" s="7">
        <v>4021</v>
      </c>
      <c r="C136" s="22" t="s">
        <v>201</v>
      </c>
      <c r="D136" s="22" t="s">
        <v>262</v>
      </c>
      <c r="E136" s="13">
        <v>42752.841377314813</v>
      </c>
      <c r="F136" s="13">
        <v>42752.851759259262</v>
      </c>
      <c r="G136" s="7">
        <v>1</v>
      </c>
      <c r="H136" s="22" t="s">
        <v>740</v>
      </c>
      <c r="I136" s="13">
        <v>42752.878599537034</v>
      </c>
      <c r="J136" s="7">
        <v>0</v>
      </c>
      <c r="K136" s="105" t="str">
        <f t="shared" si="54"/>
        <v>4021/4022</v>
      </c>
      <c r="L136" s="22" t="str">
        <f>VLOOKUP(A136,'Trips&amp;Operators'!$C$1:$G$99999,5,FALSE)</f>
        <v>HOLCOMB KAMDEN</v>
      </c>
      <c r="M136" s="6">
        <f t="shared" si="55"/>
        <v>2.6840277772862464E-2</v>
      </c>
      <c r="N136" s="7">
        <f t="shared" ref="N136:N143" si="65">24*60*SUM($M136:$M136)</f>
        <v>38.649999992921948</v>
      </c>
      <c r="O136" s="7"/>
      <c r="P136" s="7"/>
      <c r="Q136" s="23"/>
      <c r="R136" s="23"/>
      <c r="S136" s="32">
        <f t="shared" si="57"/>
        <v>1</v>
      </c>
      <c r="T136" s="47" t="str">
        <f t="shared" si="58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4"/>
        <v>https://d0f6bd738d7f1b3e5a7ca70fe4ff75f0.us-east-1.aws.found.io/app/kibana#/discover/Steve-Slow-Train-Analysis-(2080s-and-2083s)?_g=(refreshInterval:(display:Off,pause:!f,section:0,value:0),time:(from:'2017-01-17T19:11:35-0700',mode:absolute,to:'2017-01-17T22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49" t="str">
        <f t="shared" si="59"/>
        <v>N</v>
      </c>
      <c r="X136" s="173">
        <f t="shared" si="53"/>
        <v>1</v>
      </c>
      <c r="Y136" s="64">
        <f t="shared" si="60"/>
        <v>23.298300000000001</v>
      </c>
      <c r="Z136" s="64">
        <f t="shared" si="61"/>
        <v>8.8599999999999998E-2</v>
      </c>
      <c r="AA136" s="64">
        <f t="shared" si="62"/>
        <v>23.209700000000002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63"/>
        <v>0224-17</v>
      </c>
      <c r="AE136" s="87" t="str">
        <f t="shared" si="50"/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AF136" s="84" t="str">
        <f t="shared" si="51"/>
        <v>"C:\Program Files (x86)\AstroGrep\AstroGrep.exe" /spath="%USERPROFILE%\AppData\Local\Temp\OnboardLogs" /stypes="app*4021*20170118*" /stext=" 04:.+((SYSTEM_STATE.+slice.+state.+changed )|(ment ac)|(multiple cpu faults)|(system.+state.+changed )|(\[timeout)|(PRM\|1\|D)|(kpr)|(kdp)|(\|lc)|(penalty))" /e /r /s</v>
      </c>
      <c r="AG136" s="1" t="str">
        <f t="shared" si="64"/>
        <v>EC</v>
      </c>
      <c r="AH136" s="88" t="str">
        <f t="shared" si="36"/>
        <v>"%USERPROFILE%\Documents\GitHub\eaglep3\Utilities\RefineRTDCRunTimes.py" --tripid 224-17 --locoid 4021 --swversion DE.1.0.8.0 --startMP 204:232983 --initTime 2017-01-17T20:11:35 --startdatetime 2017-01-17T20:26:32 --delay 1 --endMP 204:886 --enddatetime 2017-01-17T21:05:11 --enforcementcount 0 &gt;&gt;C:\Users\stu\Documents\GitHub\eaglep3-reporting\EC\2017-01-17-refined-times.txt</v>
      </c>
      <c r="AI136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{"issue":{"subject":"","project_id":79,"tracker_id":40,"status_id":1,"priority_id":2,"assigned_to_id":23,"start_date":"2017-01-17","description":"","custom_fields":[{"id":1,"name":"Subdivision","value":"EC"},{"id":4,"name":"Milepost","value":"0.0886"},{"id":17,"name":"Train ID","value":"224-17"},{"id":16,"name":"Locomotive ID","value":"4021"},{"id":130,"name":"Impact","value":""},{"id":150,"name":"Time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8"/>
        <v>start /low /b %USERPROFILE%\Documents\GitHub\eaglep3\Utilities\DownloadLogsFromS3.py --loco 4021 --day 2017-01-17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667</v>
      </c>
      <c r="B137" s="7">
        <v>4002</v>
      </c>
      <c r="C137" s="22" t="s">
        <v>201</v>
      </c>
      <c r="D137" s="22" t="s">
        <v>725</v>
      </c>
      <c r="E137" s="13">
        <v>42752.828101851854</v>
      </c>
      <c r="F137" s="13">
        <v>42752.833622685182</v>
      </c>
      <c r="G137" s="7">
        <v>2</v>
      </c>
      <c r="H137" s="22" t="s">
        <v>690</v>
      </c>
      <c r="I137" s="13">
        <v>42752.858043981483</v>
      </c>
      <c r="J137" s="7">
        <v>0</v>
      </c>
      <c r="K137" s="105" t="str">
        <f t="shared" si="54"/>
        <v>4001/4002</v>
      </c>
      <c r="L137" s="22" t="str">
        <f>VLOOKUP(A137,'Trips&amp;Operators'!$C$1:$G$99999,5,FALSE)</f>
        <v>STORY SAMANTHA</v>
      </c>
      <c r="M137" s="6">
        <f t="shared" si="55"/>
        <v>2.4421296300715767E-2</v>
      </c>
      <c r="N137" s="7">
        <f t="shared" si="65"/>
        <v>35.166666673030704</v>
      </c>
      <c r="O137" s="7"/>
      <c r="P137" s="7"/>
      <c r="Q137" s="23"/>
      <c r="R137" s="23"/>
      <c r="S137" s="32">
        <f t="shared" si="57"/>
        <v>1</v>
      </c>
      <c r="T137" s="47" t="str">
        <f t="shared" si="58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4"/>
        <v>https://d0f6bd738d7f1b3e5a7ca70fe4ff75f0.us-east-1.aws.found.io/app/kibana#/discover/Steve-Slow-Train-Analysis-(2080s-and-2083s)?_g=(refreshInterval:(display:Off,pause:!f,section:0,value:0),time:(from:'2017-01-17T18:52:28-0700',mode:absolute,to:'2017-01-17T21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49" t="str">
        <f t="shared" si="59"/>
        <v>N</v>
      </c>
      <c r="X137" s="173">
        <f t="shared" ref="X137:X145" si="66">VALUE(LEFT(AD137,4))-VALUE(LEFT(AD136,4))</f>
        <v>1</v>
      </c>
      <c r="Y137" s="64">
        <f t="shared" si="60"/>
        <v>3.8899999999999997E-2</v>
      </c>
      <c r="Z137" s="64">
        <f t="shared" si="61"/>
        <v>23.333600000000001</v>
      </c>
      <c r="AA137" s="64">
        <f t="shared" si="62"/>
        <v>23.294699999999999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63"/>
        <v>0225-17</v>
      </c>
      <c r="AE137" s="87" t="str">
        <f t="shared" si="5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37" s="84" t="str">
        <f t="shared" si="51"/>
        <v>"C:\Program Files (x86)\AstroGrep\AstroGrep.exe" /spath="%USERPROFILE%\AppData\Local\Temp\OnboardLogs" /stypes="app*4002*20170118*" /stext=" 03:.+((SYSTEM_STATE.+slice.+state.+changed )|(ment ac)|(multiple cpu faults)|(system.+state.+changed )|(\[timeout)|(PRM\|1\|D)|(kpr)|(kdp)|(\|lc)|(penalty))" /e /r /s</v>
      </c>
      <c r="AG137" s="1" t="str">
        <f t="shared" si="64"/>
        <v>EC</v>
      </c>
      <c r="AH137" s="88" t="str">
        <f t="shared" si="36"/>
        <v>"%USERPROFILE%\Documents\GitHub\eaglep3\Utilities\RefineRTDCRunTimes.py" --tripid 225-17 --locoid 4002 --swversion DE.1.0.8.0 --startMP 204:389 --initTime 2017-01-17T19:52:28 --startdatetime 2017-01-17T20:00:25 --delay 2 --endMP 204:233336 --enddatetime 2017-01-17T20:35:35 --enforcementcount 0 &gt;&gt;C:\Users\stu\Documents\GitHub\eaglep3-reporting\EC\2017-01-17-refined-times.txt</v>
      </c>
      <c r="AI137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{"issue":{"subject":"","project_id":79,"tracker_id":40,"status_id":1,"priority_id":2,"assigned_to_id":23,"start_date":"2017-01-17","description":"","custom_fields":[{"id":1,"name":"Subdivision","value":"EC"},{"id":4,"name":"Milepost","value":"23.3336"},{"id":17,"name":"Train ID","value":"225-17"},{"id":16,"name":"Locomotive ID","value":"4002"},{"id":130,"name":"Impact","value":""},{"id":150,"name":"Time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8"/>
        <v>start /low /b %USERPROFILE%\Documents\GitHub\eaglep3\Utilities\DownloadLogsFromS3.py --loco 4002 --day 2017-01-17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"%USERPROFILE%\AppData\Local\Temp\OnboardLogs"\RTDC4002\*4002*20170118* | grep -SE "(Enforcement Action)|(\[TIMEOUT)|(CHR.+\|PRM\|1\|D.+(SWITCH|SIGNAL).+UNKNOWN)" - &gt;&gt; 2017-01-17-UncaughtWiMAX.txt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492</v>
      </c>
      <c r="B138" s="7">
        <v>4001</v>
      </c>
      <c r="C138" s="22" t="s">
        <v>201</v>
      </c>
      <c r="D138" s="22" t="s">
        <v>741</v>
      </c>
      <c r="E138" s="13">
        <v>42752.867581018516</v>
      </c>
      <c r="F138" s="13">
        <v>42752.872534722221</v>
      </c>
      <c r="G138" s="7">
        <v>1</v>
      </c>
      <c r="H138" s="22" t="s">
        <v>696</v>
      </c>
      <c r="I138" s="13">
        <v>42752.898634259262</v>
      </c>
      <c r="J138" s="7">
        <v>0</v>
      </c>
      <c r="K138" s="105" t="str">
        <f t="shared" si="54"/>
        <v>4001/4002</v>
      </c>
      <c r="L138" s="22" t="str">
        <f>VLOOKUP(A138,'Trips&amp;Operators'!$C$1:$G$99999,5,FALSE)</f>
        <v>STORY SAMANTHA</v>
      </c>
      <c r="M138" s="6">
        <f t="shared" si="55"/>
        <v>2.6099537040863652E-2</v>
      </c>
      <c r="N138" s="7">
        <f t="shared" si="65"/>
        <v>37.583333338843659</v>
      </c>
      <c r="O138" s="7"/>
      <c r="P138" s="7"/>
      <c r="Q138" s="23"/>
      <c r="R138" s="23"/>
      <c r="S138" s="32">
        <f t="shared" si="57"/>
        <v>1</v>
      </c>
      <c r="T138" s="47" t="str">
        <f t="shared" si="58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4"/>
        <v>https://d0f6bd738d7f1b3e5a7ca70fe4ff75f0.us-east-1.aws.found.io/app/kibana#/discover/Steve-Slow-Train-Analysis-(2080s-and-2083s)?_g=(refreshInterval:(display:Off,pause:!f,section:0,value:0),time:(from:'2017-01-17T19:49:19-0700',mode:absolute,to:'2017-01-17T22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49" t="str">
        <f t="shared" si="59"/>
        <v>N</v>
      </c>
      <c r="X138" s="173">
        <f t="shared" si="66"/>
        <v>1</v>
      </c>
      <c r="Y138" s="64">
        <f t="shared" si="60"/>
        <v>23.303999999999998</v>
      </c>
      <c r="Z138" s="64">
        <f t="shared" si="61"/>
        <v>2.18E-2</v>
      </c>
      <c r="AA138" s="64">
        <f t="shared" si="62"/>
        <v>23.2822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63"/>
        <v>0226-17</v>
      </c>
      <c r="AE138" s="87" t="str">
        <f t="shared" si="50"/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AF138" s="84" t="str">
        <f t="shared" si="51"/>
        <v>"C:\Program Files (x86)\AstroGrep\AstroGrep.exe" /spath="%USERPROFILE%\AppData\Local\Temp\OnboardLogs" /stypes="app*4001*20170118*" /stext=" 04:.+((SYSTEM_STATE.+slice.+state.+changed )|(ment ac)|(multiple cpu faults)|(system.+state.+changed )|(\[timeout)|(PRM\|1\|D)|(kpr)|(kdp)|(\|lc)|(penalty))" /e /r /s</v>
      </c>
      <c r="AG138" s="1" t="str">
        <f t="shared" si="64"/>
        <v>EC</v>
      </c>
      <c r="AH138" s="88" t="str">
        <f t="shared" si="36"/>
        <v>"%USERPROFILE%\Documents\GitHub\eaglep3\Utilities\RefineRTDCRunTimes.py" --tripid 226-17 --locoid 4001 --swversion DE.1.0.8.0 --startMP 204:233040 --initTime 2017-01-17T20:49:19 --startdatetime 2017-01-17T20:56:27 --delay 1 --endMP 204:218 --enddatetime 2017-01-17T21:34:02 --enforcementcount 0 &gt;&gt;C:\Users\stu\Documents\GitHub\eaglep3-reporting\EC\2017-01-17-refined-times.txt</v>
      </c>
      <c r="AI138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{"issue":{"subject":"","project_id":79,"tracker_id":40,"status_id":1,"priority_id":2,"assigned_to_id":23,"start_date":"2017-01-17","description":"","custom_fields":[{"id":1,"name":"Subdivision","value":"EC"},{"id":4,"name":"Milepost","value":"0.0218"},{"id":17,"name":"Train ID","value":"226-17"},{"id":16,"name":"Locomotive ID","value":"4001"},{"id":130,"name":"Impact","value":""},{"id":150,"name":"Time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8"/>
        <v>start /low /b %USERPROFILE%\Documents\GitHub\eaglep3\Utilities\DownloadLogsFromS3.py --loco 4001 --day 2017-01-17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"%USERPROFILE%\AppData\Local\Temp\OnboardLogs"\RTDC4001\*4001*20170118* | grep -SE "(Enforcement Action)|(\[TIMEOUT)|(CHR.+\|PRM\|1\|D.+(SWITCH|SIGNAL).+UNKNOWN)" - &gt;&gt; 2017-01-17-UncaughtWiMAX.txt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489</v>
      </c>
      <c r="B139" s="7">
        <v>4031</v>
      </c>
      <c r="C139" s="22" t="s">
        <v>201</v>
      </c>
      <c r="D139" s="22" t="s">
        <v>325</v>
      </c>
      <c r="E139" s="13">
        <v>42752.837430555555</v>
      </c>
      <c r="F139" s="13">
        <v>42752.854571759257</v>
      </c>
      <c r="G139" s="7">
        <v>4</v>
      </c>
      <c r="H139" s="22" t="s">
        <v>742</v>
      </c>
      <c r="I139" s="13">
        <v>42752.879062499997</v>
      </c>
      <c r="J139" s="7">
        <v>0</v>
      </c>
      <c r="K139" s="105" t="str">
        <f t="shared" si="54"/>
        <v>4031/4032</v>
      </c>
      <c r="L139" s="22" t="str">
        <f>VLOOKUP(A139,'Trips&amp;Operators'!$C$1:$G$99999,5,FALSE)</f>
        <v>STAMBAUGH JAMES</v>
      </c>
      <c r="M139" s="6">
        <f t="shared" si="55"/>
        <v>2.4490740739565808E-2</v>
      </c>
      <c r="N139" s="7">
        <f t="shared" si="65"/>
        <v>35.266666664974764</v>
      </c>
      <c r="O139" s="7"/>
      <c r="P139" s="7"/>
      <c r="Q139" s="23"/>
      <c r="R139" s="23"/>
      <c r="S139" s="32">
        <f t="shared" si="57"/>
        <v>1</v>
      </c>
      <c r="T139" s="47" t="str">
        <f t="shared" si="58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4"/>
        <v>https://d0f6bd738d7f1b3e5a7ca70fe4ff75f0.us-east-1.aws.found.io/app/kibana#/discover/Steve-Slow-Train-Analysis-(2080s-and-2083s)?_g=(refreshInterval:(display:Off,pause:!f,section:0,value:0),time:(from:'2017-01-17T19:05:54-0700',mode:absolute,to:'2017-01-17T22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49" t="str">
        <f t="shared" si="59"/>
        <v>N</v>
      </c>
      <c r="X139" s="173">
        <f t="shared" si="66"/>
        <v>1</v>
      </c>
      <c r="Y139" s="64">
        <f t="shared" si="60"/>
        <v>4.7100000000000003E-2</v>
      </c>
      <c r="Z139" s="64">
        <f t="shared" si="61"/>
        <v>23.338699999999999</v>
      </c>
      <c r="AA139" s="64">
        <f t="shared" si="62"/>
        <v>23.291599999999999</v>
      </c>
      <c r="AB139" s="61" t="str">
        <f>VLOOKUP(A139,Enforcements!$C$7:$K$16,8,0)</f>
        <v>Bulletin (2)</v>
      </c>
      <c r="AC139" s="57" t="str">
        <f>VLOOKUP(A139,Enforcements!$C$7:$E$16,3,0)</f>
        <v>GRADE CROSSING</v>
      </c>
      <c r="AD139" s="58" t="str">
        <f t="shared" si="63"/>
        <v>0227-17</v>
      </c>
      <c r="AE139" s="87" t="str">
        <f t="shared" si="5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39" s="84" t="str">
        <f t="shared" si="51"/>
        <v>"C:\Program Files (x86)\AstroGrep\AstroGrep.exe" /spath="%USERPROFILE%\AppData\Local\Temp\OnboardLogs" /stypes="app*4031*20170118*" /stext=" 04:.+((SYSTEM_STATE.+slice.+state.+changed )|(ment ac)|(multiple cpu faults)|(system.+state.+changed )|(\[timeout)|(PRM\|1\|D)|(kpr)|(kdp)|(\|lc)|(penalty))" /e /r /s</v>
      </c>
      <c r="AG139" s="1" t="str">
        <f t="shared" si="64"/>
        <v>EC</v>
      </c>
      <c r="AH139" s="88" t="str">
        <f t="shared" si="36"/>
        <v>"%USERPROFILE%\Documents\GitHub\eaglep3\Utilities\RefineRTDCRunTimes.py" --tripid 227-17 --locoid 4031 --swversion DE.1.0.8.0 --startMP 204:471 --initTime 2017-01-17T20:05:54 --startdatetime 2017-01-17T20:30:35 --delay 4 --endMP 204:233387 --enddatetime 2017-01-17T21:05:51 --enforcementcount 0 &gt;&gt;C:\Users\stu\Documents\GitHub\eaglep3-reporting\EC\2017-01-17-refined-times.txt</v>
      </c>
      <c r="AI139" s="115" t="str">
        <f t="shared" si="37"/>
        <v>echo {"issue":{"subject":"","project_id":79,"tracker_id":40,"status_id":1,"priority_id":2,"assigned_to_id":23,"start_date":"2017-01-17","description":"","custom_fields":[{"id":1,"name":"Subdivision","value":"EC"},{"id":4,"name":"Milepost","value":"23.3387"},{"id":17,"name":"Train ID","value":"227-17"},{"id":16,"name":"Locomotive ID","value":"4031"},{"id":130,"name":"Impact","value":""},{"id":150,"name":"Time of Event (Mountain Time)","value":"21:05:51"},{"id":151,"name":"Denver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38"/>
        <v>start /low /b %USERPROFILE%\Documents\GitHub\eaglep3\Utilities\DownloadLogsFromS3.py --loco 4031 --day 2017-01-17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"%USERPROFILE%\AppData\Local\Temp\OnboardLogs"\RTDC4031\*4031*20170118* | grep -SE "(Enforcement Action)|(\[TIMEOUT)|(CHR.+\|PRM\|1\|D.+(SWITCH|SIGNAL).+UNKNOWN)" - &gt;&gt; 2017-01-17-UncaughtWiMAX.txt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493</v>
      </c>
      <c r="B140" s="7">
        <v>4032</v>
      </c>
      <c r="C140" s="22" t="s">
        <v>201</v>
      </c>
      <c r="D140" s="22" t="s">
        <v>743</v>
      </c>
      <c r="E140" s="13">
        <v>42752.891342592593</v>
      </c>
      <c r="F140" s="13">
        <v>42752.893449074072</v>
      </c>
      <c r="G140" s="7">
        <v>1</v>
      </c>
      <c r="H140" s="22" t="s">
        <v>744</v>
      </c>
      <c r="I140" s="13">
        <v>42752.91920138889</v>
      </c>
      <c r="J140" s="7">
        <v>0</v>
      </c>
      <c r="K140" s="105" t="str">
        <f t="shared" si="54"/>
        <v>4031/4032</v>
      </c>
      <c r="L140" s="22" t="str">
        <f>VLOOKUP(A140,'Trips&amp;Operators'!$C$1:$G$99999,5,FALSE)</f>
        <v>STAMBAUGH JAMES</v>
      </c>
      <c r="M140" s="6">
        <f t="shared" si="55"/>
        <v>2.5752314817509614E-2</v>
      </c>
      <c r="N140" s="7">
        <f t="shared" si="65"/>
        <v>37.083333337213844</v>
      </c>
      <c r="O140" s="7"/>
      <c r="P140" s="7"/>
      <c r="Q140" s="23"/>
      <c r="R140" s="23"/>
      <c r="S140" s="32">
        <f t="shared" si="57"/>
        <v>1</v>
      </c>
      <c r="T140" s="47" t="str">
        <f t="shared" si="58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44"/>
        <v>https://d0f6bd738d7f1b3e5a7ca70fe4ff75f0.us-east-1.aws.found.io/app/kibana#/discover/Steve-Slow-Train-Analysis-(2080s-and-2083s)?_g=(refreshInterval:(display:Off,pause:!f,section:0,value:0),time:(from:'2017-01-17T20:23:32-0700',mode:absolute,to:'2017-01-17T23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49" t="str">
        <f t="shared" si="59"/>
        <v>N</v>
      </c>
      <c r="X140" s="173">
        <f t="shared" si="66"/>
        <v>1</v>
      </c>
      <c r="Y140" s="64">
        <f t="shared" si="60"/>
        <v>23.3064</v>
      </c>
      <c r="Z140" s="64">
        <f t="shared" si="61"/>
        <v>1.18E-2</v>
      </c>
      <c r="AA140" s="64">
        <f t="shared" si="62"/>
        <v>23.294599999999999</v>
      </c>
      <c r="AB140" s="61" t="str">
        <f>VLOOKUP(A140,Enforcements!$C$7:$K$16,8,0)</f>
        <v>Bulletin (2)</v>
      </c>
      <c r="AC140" s="57" t="str">
        <f>VLOOKUP(A140,Enforcements!$C$7:$E$16,3,0)</f>
        <v>GRADE CROSSING</v>
      </c>
      <c r="AD140" s="58" t="str">
        <f t="shared" si="63"/>
        <v>0228-17</v>
      </c>
      <c r="AE140" s="87" t="str">
        <f t="shared" si="50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140" s="84" t="str">
        <f t="shared" si="51"/>
        <v>"C:\Program Files (x86)\AstroGrep\AstroGrep.exe" /spath="%USERPROFILE%\AppData\Local\Temp\OnboardLogs" /stypes="app*4032*20170118*" /stext=" 05:.+((SYSTEM_STATE.+slice.+state.+changed )|(ment ac)|(multiple cpu faults)|(system.+state.+changed )|(\[timeout)|(PRM\|1\|D)|(kpr)|(kdp)|(\|lc)|(penalty))" /e /r /s</v>
      </c>
      <c r="AG140" s="1" t="str">
        <f t="shared" si="64"/>
        <v>EC</v>
      </c>
      <c r="AH140" s="88" t="str">
        <f t="shared" ref="AH140:AH213" si="6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228-17 --locoid 4032 --swversion DE.1.0.8.0 --startMP 204:233064 --initTime 2017-01-17T21:23:32 --startdatetime 2017-01-17T21:26:34 --delay 1 --endMP 204:118 --enddatetime 2017-01-17T22:03:39 --enforcementcount 0 &gt;&gt;C:\Users\stu\Documents\GitHub\eaglep3-reporting\EC\2017-01-17-refined-times.txt</v>
      </c>
      <c r="AI140" s="115" t="str">
        <f t="shared" ref="AI140:AI213" si="6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{"issue":{"subject":"","project_id":79,"tracker_id":40,"status_id":1,"priority_id":2,"assigned_to_id":23,"start_date":"2017-01-17","description":"","custom_fields":[{"id":1,"name":"Subdivision","value":"EC"},{"id":4,"name":"Milepost","value":"0.0118"},{"id":17,"name":"Train ID","value":"228-17"},{"id":16,"name":"Locomotive ID","value":"4032"},{"id":130,"name":"Impact","value":""},{"id":150,"name":"Time of Event (Mountain Time)","value":"22:03:39"},{"id":151,"name":"Denver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ref="AM140:AM213" si="69">"start /low /b "&amp;dls3logs&amp;" --loco "&amp;B140&amp;" --day "&amp;TEXT(F140,"YYYY-MM-DD")</f>
        <v>start /low /b %USERPROFILE%\Documents\GitHub\eaglep3\Utilities\DownloadLogsFromS3.py --loco 4032 --day 2017-01-17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"%USERPROFILE%\AppData\Local\Temp\OnboardLogs"\RTDC4032\*4032*20170118* | grep -SE "(Enforcement Action)|(\[TIMEOUT)|(CHR.+\|PRM\|1\|D.+(SWITCH|SIGNAL).+UNKNOWN)" - &gt;&gt; 2017-01-17-UncaughtWiMAX.txt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671</v>
      </c>
      <c r="B141" s="7">
        <v>4044</v>
      </c>
      <c r="C141" s="22" t="s">
        <v>201</v>
      </c>
      <c r="D141" s="22" t="s">
        <v>288</v>
      </c>
      <c r="E141" s="13">
        <v>42752.872557870367</v>
      </c>
      <c r="F141" s="13">
        <v>42752.875277777777</v>
      </c>
      <c r="G141" s="7">
        <v>0</v>
      </c>
      <c r="H141" s="22" t="s">
        <v>723</v>
      </c>
      <c r="I141" s="13">
        <v>42752.900289351855</v>
      </c>
      <c r="J141" s="7">
        <v>0</v>
      </c>
      <c r="K141" s="105" t="str">
        <f t="shared" ref="K141:K147" si="70">IF(ISEVEN(B141),(B141-1)&amp;"/"&amp;B141,B141&amp;"/"&amp;(B141+1))</f>
        <v>4043/4044</v>
      </c>
      <c r="L141" s="22" t="str">
        <f>VLOOKUP(A141,'Trips&amp;Operators'!$C$1:$G$99999,5,FALSE)</f>
        <v>CHANDLER KELVIN</v>
      </c>
      <c r="M141" s="6">
        <f t="shared" ref="M141:M147" si="71">I141-F141</f>
        <v>2.5011574078234844E-2</v>
      </c>
      <c r="N141" s="7">
        <f t="shared" si="65"/>
        <v>36.016666672658175</v>
      </c>
      <c r="O141" s="7"/>
      <c r="P141" s="7"/>
      <c r="Q141" s="23"/>
      <c r="R141" s="23"/>
      <c r="S141" s="32">
        <f t="shared" ref="S141:S147" si="72">SUM(U141:U141)/IF(AG141="EC",12,1)</f>
        <v>1</v>
      </c>
      <c r="T141" s="47" t="str">
        <f t="shared" ref="T141:T147" si="73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-17T19:56:29-0700',mode:absolute,to:'2017-01-17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49" t="str">
        <f t="shared" ref="W141:W147" si="75">IF(AA141&lt;IF(AG141="EC",23,5.65),"Y","N")</f>
        <v>N</v>
      </c>
      <c r="X141" s="173">
        <f t="shared" si="66"/>
        <v>1</v>
      </c>
      <c r="Y141" s="64">
        <f t="shared" ref="Y141:Y147" si="76">RIGHT(D141,LEN(D141)-4)/10000</f>
        <v>4.58E-2</v>
      </c>
      <c r="Z141" s="64">
        <f t="shared" ref="Z141:Z147" si="77">RIGHT(H141,LEN(H141)-4)/10000</f>
        <v>23.328700000000001</v>
      </c>
      <c r="AA141" s="64">
        <f t="shared" ref="AA141:AA147" si="78">ABS(Z141-Y141)</f>
        <v>23.282900000000001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147" si="79">IF(LEN(A141)=6,"0"&amp;A141,A141)</f>
        <v>0229-17</v>
      </c>
      <c r="AE141" s="87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"%USERPROFILE%\AppData\Local\Temp\OnboardLogs"\RTDC4044\2017-01-17 --exclude "*" --recursive --include "*20170117*" &amp; "%USERPROFILE%\Documents\GitHub\mrs-test-scripts\Headless Mode &amp; Sideloading\WalkAndUnGZ.bat" "%USERPROFILE%\AppData\Local\Temp\OnboardLogs"\RTDC4044\2017-01-17 &amp; aws s3 cp s3://rtdc.mdm.uploadarchive.raw/RTDC4044/ "%USERPROFILE%\AppData\Local\Temp\OnboardLogs"\RTDC4044\2017-01-18 --exclude "*" --recursive --include "*20170118*" &amp; "%USERPROFILE%\Documents\GitHub\mrs-test-scripts\Headless Mode &amp; Sideloading\WalkAndUnGZ.bat" "%USERPROFILE%\AppData\Local\Temp\OnboardLogs"\RTDC4044\2017-01-18</v>
      </c>
      <c r="AF141" s="84" t="str">
        <f t="shared" ref="AF141:AF204" si="8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/stypes="app*4044*20170118*" /stext=" 04:.+((SYSTEM_STATE.+slice.+state.+changed )|(ment ac)|(multiple cpu faults)|(system.+state.+changed )|(\[timeout)|(PRM\|1\|D)|(kpr)|(kdp)|(\|lc)|(penalty))" /e /r /s</v>
      </c>
      <c r="AG141" s="1" t="str">
        <f t="shared" ref="AG141:AG147" si="82">IFERROR(IF(VALUE(LEFT(AD141,2))&lt;=2,"EC",IF(OR(VALUE(LEFT(AD141,2))=8,VALUE(LEFT(AD141,2))=18),"NW","Other")),"Other")</f>
        <v>EC</v>
      </c>
      <c r="AH141" s="88" t="str">
        <f t="shared" si="67"/>
        <v>"%USERPROFILE%\Documents\GitHub\eaglep3\Utilities\RefineRTDCRunTimes.py" --tripid 229-17 --locoid 4044 --swversion DE.1.0.8.0 --startMP 204:458 --initTime 2017-01-17T20:56:29 --startdatetime 2017-01-17T21:00:24 --delay 0 --endMP 204:233287 --enddatetime 2017-01-17T21:36:25 --enforcementcount 0 &gt;&gt;C:\Users\stu\Documents\GitHub\eaglep3-reporting\EC\2017-01-17-refined-times.txt</v>
      </c>
      <c r="AI141" s="115" t="str">
        <f t="shared" si="68"/>
        <v>echo {"issue":{"subject":"","project_id":79,"tracker_id":40,"status_id":1,"priority_id":2,"assigned_to_id":23,"start_date":"2017-01-17","description":"","custom_fields":[{"id":1,"name":"Subdivision","value":"EC"},{"id":4,"name":"Milepost","value":"23.3287"},{"id":17,"name":"Train ID","value":"229-17"},{"id":16,"name":"Locomotive ID","value":"4044"},{"id":130,"name":"Impact","value":""},{"id":150,"name":"Time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69"/>
        <v>start /low /b %USERPROFILE%\Documents\GitHub\eaglep3\Utilities\DownloadLogsFromS3.py --loco 4044 --day 2017-01-17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"%USERPROFILE%\AppData\Local\Temp\OnboardLogs"\RTDC4044\*4044*20170118* | grep -SE "(Enforcement Action)|(\[TIMEOUT)|(CHR.+\|PRM\|1\|D.+(SWITCH|SIGNAL).+UNKNOWN)" - &gt;&gt; 2017-01-17-UncaughtWiMAX.txt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674</v>
      </c>
      <c r="B142" s="7">
        <v>4043</v>
      </c>
      <c r="C142" s="22" t="s">
        <v>201</v>
      </c>
      <c r="D142" s="22" t="s">
        <v>239</v>
      </c>
      <c r="E142" s="13">
        <v>42752.91070601852</v>
      </c>
      <c r="F142" s="13">
        <v>42752.914421296293</v>
      </c>
      <c r="G142" s="7">
        <v>1</v>
      </c>
      <c r="H142" s="22" t="s">
        <v>255</v>
      </c>
      <c r="I142" s="13">
        <v>42752.941516203704</v>
      </c>
      <c r="J142" s="7">
        <v>0</v>
      </c>
      <c r="K142" s="105" t="str">
        <f t="shared" si="70"/>
        <v>4043/4044</v>
      </c>
      <c r="L142" s="22" t="str">
        <f>VLOOKUP(A142,'Trips&amp;Operators'!$C$1:$G$99999,5,FALSE)</f>
        <v>CHANDLER KELVIN</v>
      </c>
      <c r="M142" s="6">
        <f t="shared" si="71"/>
        <v>2.7094907411083113E-2</v>
      </c>
      <c r="N142" s="7">
        <f t="shared" si="65"/>
        <v>39.016666671959683</v>
      </c>
      <c r="O142" s="7"/>
      <c r="P142" s="7"/>
      <c r="Q142" s="23"/>
      <c r="R142" s="23"/>
      <c r="S142" s="32">
        <f t="shared" si="72"/>
        <v>1</v>
      </c>
      <c r="T142" s="47" t="str">
        <f t="shared" si="73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74"/>
        <v>https://d0f6bd738d7f1b3e5a7ca70fe4ff75f0.us-east-1.aws.found.io/app/kibana#/discover/Steve-Slow-Train-Analysis-(2080s-and-2083s)?_g=(refreshInterval:(display:Off,pause:!f,section:0,value:0),time:(from:'2017-01-17T20:51:25-0700',mode:absolute,to:'2017-01-17T23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49" t="str">
        <f t="shared" si="75"/>
        <v>N</v>
      </c>
      <c r="X142" s="173">
        <f t="shared" si="66"/>
        <v>1</v>
      </c>
      <c r="Y142" s="64">
        <f t="shared" si="76"/>
        <v>23.297699999999999</v>
      </c>
      <c r="Z142" s="64">
        <f t="shared" si="77"/>
        <v>1.5599999999999999E-2</v>
      </c>
      <c r="AA142" s="64">
        <f t="shared" si="78"/>
        <v>23.2821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79"/>
        <v>0230-17</v>
      </c>
      <c r="AE142" s="87" t="str">
        <f t="shared" si="80"/>
        <v>aws s3 cp s3://rtdc.mdm.uploadarchive.raw/RTDC4043/ "%USERPROFILE%\AppData\Local\Temp\OnboardLogs"\RTDC4043\2017-01-17 --exclude "*" --recursive --include "*20170117*" &amp; "%USERPROFILE%\Documents\GitHub\mrs-test-scripts\Headless Mode &amp; Sideloading\WalkAndUnGZ.bat" "%USERPROFILE%\AppData\Local\Temp\OnboardLogs"\RTDC4043\2017-01-17 &amp; aws s3 cp s3://rtdc.mdm.uploadarchive.raw/RTDC4043/ "%USERPROFILE%\AppData\Local\Temp\OnboardLogs"\RTDC4043\2017-01-18 --exclude "*" --recursive --include "*20170118*" &amp; "%USERPROFILE%\Documents\GitHub\mrs-test-scripts\Headless Mode &amp; Sideloading\WalkAndUnGZ.bat" "%USERPROFILE%\AppData\Local\Temp\OnboardLogs"\RTDC4043\2017-01-18</v>
      </c>
      <c r="AF142" s="84" t="str">
        <f t="shared" si="81"/>
        <v>"C:\Program Files (x86)\AstroGrep\AstroGrep.exe" /spath="%USERPROFILE%\AppData\Local\Temp\OnboardLogs" /stypes="app*4043*20170118*" /stext=" 05:.+((SYSTEM_STATE.+slice.+state.+changed )|(ment ac)|(multiple cpu faults)|(system.+state.+changed )|(\[timeout)|(PRM\|1\|D)|(kpr)|(kdp)|(\|lc)|(penalty))" /e /r /s</v>
      </c>
      <c r="AG142" s="1" t="str">
        <f t="shared" si="82"/>
        <v>EC</v>
      </c>
      <c r="AH142" s="88" t="str">
        <f t="shared" si="67"/>
        <v>"%USERPROFILE%\Documents\GitHub\eaglep3\Utilities\RefineRTDCRunTimes.py" --tripid 230-17 --locoid 4043 --swversion DE.1.0.8.0 --startMP 204:232977 --initTime 2017-01-17T21:51:25 --startdatetime 2017-01-17T21:56:46 --delay 1 --endMP 204:156 --enddatetime 2017-01-17T22:35:47 --enforcementcount 0 &gt;&gt;C:\Users\stu\Documents\GitHub\eaglep3-reporting\EC\2017-01-17-refined-times.txt</v>
      </c>
      <c r="AI142" s="115" t="str">
        <f t="shared" si="68"/>
        <v>echo {"issue":{"subject":"","project_id":79,"tracker_id":40,"status_id":1,"priority_id":2,"assigned_to_id":23,"start_date":"2017-01-17","description":"","custom_fields":[{"id":1,"name":"Subdivision","value":"EC"},{"id":4,"name":"Milepost","value":"0.0156"},{"id":17,"name":"Train ID","value":"230-17"},{"id":16,"name":"Locomotive ID","value":"4043"},{"id":130,"name":"Impact","value":""},{"id":150,"name":"Time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9"/>
        <v>start /low /b %USERPROFILE%\Documents\GitHub\eaglep3\Utilities\DownloadLogsFromS3.py --loco 4043 --day 2017-01-17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"%USERPROFILE%\AppData\Local\Temp\OnboardLogs"\RTDC4043\*4043*20170118* | grep -SE "(Enforcement Action)|(\[TIMEOUT)|(CHR.+\|PRM\|1\|D.+(SWITCH|SIGNAL).+UNKNOWN)" - &gt;&gt; 2017-01-17-UncaughtWiMAX.txt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672</v>
      </c>
      <c r="B143" s="7">
        <v>4016</v>
      </c>
      <c r="C143" s="22" t="s">
        <v>201</v>
      </c>
      <c r="D143" s="22" t="s">
        <v>361</v>
      </c>
      <c r="E143" s="13">
        <v>42752.880671296298</v>
      </c>
      <c r="F143" s="13">
        <v>42752.895983796298</v>
      </c>
      <c r="G143" s="7">
        <v>1</v>
      </c>
      <c r="H143" s="22" t="s">
        <v>415</v>
      </c>
      <c r="I143" s="13">
        <v>42752.920717592591</v>
      </c>
      <c r="J143" s="7">
        <v>0</v>
      </c>
      <c r="K143" s="105" t="str">
        <f t="shared" si="70"/>
        <v>4015/4016</v>
      </c>
      <c r="L143" s="22" t="str">
        <f>VLOOKUP(A143,'Trips&amp;Operators'!$C$1:$G$99999,5,FALSE)</f>
        <v>NEWELL JAMES</v>
      </c>
      <c r="M143" s="6">
        <f t="shared" si="71"/>
        <v>2.4733796293730848E-2</v>
      </c>
      <c r="N143" s="7">
        <f t="shared" si="65"/>
        <v>35.61666666297242</v>
      </c>
      <c r="O143" s="7"/>
      <c r="P143" s="7"/>
      <c r="Q143" s="23"/>
      <c r="R143" s="23"/>
      <c r="S143" s="32">
        <f t="shared" si="72"/>
        <v>1</v>
      </c>
      <c r="T143" s="47" t="str">
        <f t="shared" si="73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74"/>
        <v>https://d0f6bd738d7f1b3e5a7ca70fe4ff75f0.us-east-1.aws.found.io/app/kibana#/discover/Steve-Slow-Train-Analysis-(2080s-and-2083s)?_g=(refreshInterval:(display:Off,pause:!f,section:0,value:0),time:(from:'2017-01-17T20:08:10-0700',mode:absolute,to:'2017-01-17T23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3" s="49" t="str">
        <f t="shared" si="75"/>
        <v>N</v>
      </c>
      <c r="X143" s="173">
        <f t="shared" si="66"/>
        <v>1</v>
      </c>
      <c r="Y143" s="64">
        <f t="shared" si="76"/>
        <v>4.5699999999999998E-2</v>
      </c>
      <c r="Z143" s="64">
        <f t="shared" si="77"/>
        <v>23.331499999999998</v>
      </c>
      <c r="AA143" s="64">
        <f t="shared" si="78"/>
        <v>23.285799999999998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79"/>
        <v>0231-17</v>
      </c>
      <c r="AE143" s="87" t="str">
        <f t="shared" si="80"/>
        <v>aws s3 cp s3://rtdc.mdm.uploadarchive.raw/RTDC4016/ "%USERPROFILE%\AppData\Local\Temp\OnboardLogs"\RTDC4016\2017-01-17 --exclude "*" --recursive --include "*20170117*" &amp; "%USERPROFILE%\Documents\GitHub\mrs-test-scripts\Headless Mode &amp; Sideloading\WalkAndUnGZ.bat" "%USERPROFILE%\AppData\Local\Temp\OnboardLogs"\RTDC4016\2017-01-17 &amp; 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</v>
      </c>
      <c r="AF143" s="84" t="str">
        <f t="shared" si="81"/>
        <v>"C:\Program Files (x86)\AstroGrep\AstroGrep.exe" /spath="%USERPROFILE%\AppData\Local\Temp\OnboardLogs" /stypes="app*4016*20170118*" /stext=" 05:.+((SYSTEM_STATE.+slice.+state.+changed )|(ment ac)|(multiple cpu faults)|(system.+state.+changed )|(\[timeout)|(PRM\|1\|D)|(kpr)|(kdp)|(\|lc)|(penalty))" /e /r /s</v>
      </c>
      <c r="AG143" s="1" t="str">
        <f t="shared" si="82"/>
        <v>EC</v>
      </c>
      <c r="AH143" s="88" t="str">
        <f t="shared" si="67"/>
        <v>"%USERPROFILE%\Documents\GitHub\eaglep3\Utilities\RefineRTDCRunTimes.py" --tripid 231-17 --locoid 4016 --swversion DE.1.0.8.0 --startMP 204:457 --initTime 2017-01-17T21:08:10 --startdatetime 2017-01-17T21:30:13 --delay 1 --endMP 204:233315 --enddatetime 2017-01-17T22:05:50 --enforcementcount 0 &gt;&gt;C:\Users\stu\Documents\GitHub\eaglep3-reporting\EC\2017-01-17-refined-times.txt</v>
      </c>
      <c r="AI143" s="115" t="str">
        <f t="shared" si="68"/>
        <v>echo {"issue":{"subject":"","project_id":79,"tracker_id":40,"status_id":1,"priority_id":2,"assigned_to_id":23,"start_date":"2017-01-17","description":"","custom_fields":[{"id":1,"name":"Subdivision","value":"EC"},{"id":4,"name":"Milepost","value":"23.3315"},{"id":17,"name":"Train ID","value":"231-17"},{"id":16,"name":"Locomotive ID","value":"4016"},{"id":130,"name":"Impact","value":""},{"id":150,"name":"Time of Event (Mountain Time)","value":"22:05:50"},{"id":151,"name":"Denver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69"/>
        <v>start /low /b %USERPROFILE%\Documents\GitHub\eaglep3\Utilities\DownloadLogsFromS3.py --loco 4016 --day 2017-01-17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496</v>
      </c>
      <c r="B144" s="7">
        <v>4015</v>
      </c>
      <c r="C144" s="22" t="s">
        <v>201</v>
      </c>
      <c r="D144" s="22" t="s">
        <v>402</v>
      </c>
      <c r="E144" s="13">
        <v>42752.931388888886</v>
      </c>
      <c r="F144" s="13">
        <v>42752.934872685182</v>
      </c>
      <c r="G144" s="7">
        <v>1</v>
      </c>
      <c r="H144" s="22" t="s">
        <v>745</v>
      </c>
      <c r="I144" s="13">
        <v>42752.95349537037</v>
      </c>
      <c r="J144" s="7">
        <v>0</v>
      </c>
      <c r="K144" s="105" t="str">
        <f t="shared" si="70"/>
        <v>4015/4016</v>
      </c>
      <c r="L144" s="22" t="str">
        <f>VLOOKUP(A144,'Trips&amp;Operators'!$C$1:$G$99999,5,FALSE)</f>
        <v>NEWELL JAMES</v>
      </c>
      <c r="M144" s="6">
        <f t="shared" si="71"/>
        <v>1.8622685187438037E-2</v>
      </c>
      <c r="N144" s="7"/>
      <c r="O144" s="7"/>
      <c r="P144" s="7">
        <f>24*60*SUM($M144:$M144)</f>
        <v>26.816666669910774</v>
      </c>
      <c r="Q144" s="23"/>
      <c r="R144" s="23" t="s">
        <v>869</v>
      </c>
      <c r="S144" s="32">
        <f t="shared" si="72"/>
        <v>0.75</v>
      </c>
      <c r="T144" s="47" t="str">
        <f t="shared" si="73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9</v>
      </c>
      <c r="V144" s="94" t="str">
        <f t="shared" si="74"/>
        <v>https://d0f6bd738d7f1b3e5a7ca70fe4ff75f0.us-east-1.aws.found.io/app/kibana#/discover/Steve-Slow-Train-Analysis-(2080s-and-2083s)?_g=(refreshInterval:(display:Off,pause:!f,section:0,value:0),time:(from:'2017-01-17T21:21:12-0700',mode:absolute,to:'2017-01-17T23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49" t="str">
        <f t="shared" si="75"/>
        <v>Y</v>
      </c>
      <c r="X144" s="173">
        <f t="shared" si="66"/>
        <v>1</v>
      </c>
      <c r="Y144" s="64">
        <f t="shared" si="76"/>
        <v>23.301300000000001</v>
      </c>
      <c r="Z144" s="64">
        <f t="shared" si="77"/>
        <v>3.7801</v>
      </c>
      <c r="AA144" s="64">
        <f t="shared" si="78"/>
        <v>19.5212</v>
      </c>
      <c r="AB144" s="61" t="str">
        <f>VLOOKUP(A144,Enforcements!$C$7:$K$16,8,0)</f>
        <v>Signal based authority (5)</v>
      </c>
      <c r="AC144" s="57" t="str">
        <f>VLOOKUP(A144,Enforcements!$C$7:$E$16,3,0)</f>
        <v>SIGNAL</v>
      </c>
      <c r="AD144" s="58" t="str">
        <f t="shared" si="79"/>
        <v>0232-17</v>
      </c>
      <c r="AE144" s="87" t="str">
        <f t="shared" si="80"/>
        <v>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 &amp; 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</v>
      </c>
      <c r="AF144" s="84" t="str">
        <f t="shared" si="81"/>
        <v>"C:\Program Files (x86)\AstroGrep\AstroGrep.exe" /spath="%USERPROFILE%\AppData\Local\Temp\OnboardLogs" /stypes="app*4015*20170118*" /stext=" 05:.+((SYSTEM_STATE.+slice.+state.+changed )|(ment ac)|(multiple cpu faults)|(system.+state.+changed )|(\[timeout)|(PRM\|1\|D)|(kpr)|(kdp)|(\|lc)|(penalty))" /e /r /s</v>
      </c>
      <c r="AG144" s="1" t="str">
        <f t="shared" si="82"/>
        <v>EC</v>
      </c>
      <c r="AH144" s="88" t="str">
        <f t="shared" si="67"/>
        <v>"%USERPROFILE%\Documents\GitHub\eaglep3\Utilities\RefineRTDCRunTimes.py" --tripid 232-17 --locoid 4015 --swversion DE.1.0.8.0 --startMP 204:233013 --initTime 2017-01-17T22:21:12 --startdatetime 2017-01-17T22:26:13 --delay 1 --endMP 204:37801 --enddatetime 2017-01-17T22:53:02 --enforcementcount 0 &gt;&gt;C:\Users\stu\Documents\GitHub\eaglep3-reporting\EC\2017-01-17-refined-times.txt</v>
      </c>
      <c r="AI144" s="115" t="str">
        <f t="shared" si="68"/>
        <v>echo {"issue":{"subject":"EC0386RH 44-2T 2S premature downgrade","project_id":79,"tracker_id":40,"status_id":1,"priority_id":2,"assigned_to_id":23,"start_date":"2017-01-17","description":"At 22:52:36, EC0386RH 44-2T 2S dropped from 270 to STOP &amp; PROCEED. Do logs indicate anything unusual at this time?","custom_fields":[{"id":1,"name":"Subdivision","value":"EC"},{"id":4,"name":"Milepost","value":"3.7801"},{"id":17,"name":"Train ID","value":"232-17"},{"id":16,"name":"Locomotive ID","value":"4015"},{"id":130,"name":"Impact","value":"Enforcement"},{"id":150,"name":"Time of Event (Mountain Time)","value":"22:53:02"},{"id":151,"name":"Denver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4" s="50" t="s">
        <v>870</v>
      </c>
      <c r="AK144" s="50" t="s">
        <v>125</v>
      </c>
      <c r="AL144" s="50" t="s">
        <v>130</v>
      </c>
      <c r="AM144" s="180" t="str">
        <f t="shared" si="69"/>
        <v>start /low /b %USERPROFILE%\Documents\GitHub\eaglep3\Utilities\DownloadLogsFromS3.py --loco 4015 --day 2017-01-17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673</v>
      </c>
      <c r="B145" s="7">
        <v>4002</v>
      </c>
      <c r="C145" s="22" t="s">
        <v>201</v>
      </c>
      <c r="D145" s="22" t="s">
        <v>746</v>
      </c>
      <c r="E145" s="13">
        <v>42752.906134259261</v>
      </c>
      <c r="F145" s="13">
        <v>42752.916909722226</v>
      </c>
      <c r="G145" s="7">
        <v>3</v>
      </c>
      <c r="H145" s="22" t="s">
        <v>747</v>
      </c>
      <c r="I145" s="13">
        <v>42752.94195601852</v>
      </c>
      <c r="J145" s="7">
        <v>0</v>
      </c>
      <c r="K145" s="105" t="str">
        <f t="shared" si="70"/>
        <v>4001/4002</v>
      </c>
      <c r="L145" s="22" t="str">
        <f>VLOOKUP(A145,'Trips&amp;Operators'!$C$1:$G$99999,5,FALSE)</f>
        <v>STORY SAMANTHA</v>
      </c>
      <c r="M145" s="6">
        <f t="shared" si="71"/>
        <v>2.5046296294021886E-2</v>
      </c>
      <c r="N145" s="7">
        <f>24*60*SUM($M145:$M145)</f>
        <v>36.066666663391516</v>
      </c>
      <c r="O145" s="7"/>
      <c r="P145" s="7"/>
      <c r="Q145" s="23"/>
      <c r="R145" s="23"/>
      <c r="S145" s="32">
        <f t="shared" si="72"/>
        <v>1</v>
      </c>
      <c r="T145" s="47" t="str">
        <f t="shared" si="73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74"/>
        <v>https://d0f6bd738d7f1b3e5a7ca70fe4ff75f0.us-east-1.aws.found.io/app/kibana#/discover/Steve-Slow-Train-Analysis-(2080s-and-2083s)?_g=(refreshInterval:(display:Off,pause:!f,section:0,value:0),time:(from:'2017-01-17T20:44:50-0700',mode:absolute,to:'2017-01-17T23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49" t="str">
        <f t="shared" si="75"/>
        <v>N</v>
      </c>
      <c r="X145" s="173">
        <f t="shared" si="66"/>
        <v>1</v>
      </c>
      <c r="Y145" s="64">
        <f t="shared" si="76"/>
        <v>5.1299999999999998E-2</v>
      </c>
      <c r="Z145" s="64">
        <f t="shared" si="77"/>
        <v>23.339500000000001</v>
      </c>
      <c r="AA145" s="64">
        <f t="shared" si="78"/>
        <v>23.2882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79"/>
        <v>0233-17</v>
      </c>
      <c r="AE145" s="87" t="str">
        <f t="shared" si="80"/>
        <v>aws s3 cp s3://rtdc.mdm.uploadarchive.raw/RTDC4002/ "%USERPROFILE%\AppData\Local\Temp\OnboardLogs"\RTDC4002\2017-01-17 --exclude "*" --recursive --include "*20170117*" &amp; "%USERPROFILE%\Documents\GitHub\mrs-test-scripts\Headless Mode &amp; Sideloading\WalkAndUnGZ.bat" "%USERPROFILE%\AppData\Local\Temp\OnboardLogs"\RTDC4002\2017-01-17 &amp; aws s3 cp s3://rtdc.mdm.uploadarchive.raw/RTDC4002/ "%USERPROFILE%\AppData\Local\Temp\OnboardLogs"\RTDC4002\2017-01-18 --exclude "*" --recursive --include "*20170118*" &amp; "%USERPROFILE%\Documents\GitHub\mrs-test-scripts\Headless Mode &amp; Sideloading\WalkAndUnGZ.bat" "%USERPROFILE%\AppData\Local\Temp\OnboardLogs"\RTDC4002\2017-01-18</v>
      </c>
      <c r="AF145" s="84" t="str">
        <f t="shared" si="81"/>
        <v>"C:\Program Files (x86)\AstroGrep\AstroGrep.exe" /spath="%USERPROFILE%\AppData\Local\Temp\OnboardLogs" /stypes="app*4002*20170118*" /stext=" 05:.+((SYSTEM_STATE.+slice.+state.+changed )|(ment ac)|(multiple cpu faults)|(system.+state.+changed )|(\[timeout)|(PRM\|1\|D)|(kpr)|(kdp)|(\|lc)|(penalty))" /e /r /s</v>
      </c>
      <c r="AG145" s="1" t="str">
        <f t="shared" si="82"/>
        <v>EC</v>
      </c>
      <c r="AH145" s="88" t="str">
        <f t="shared" si="67"/>
        <v>"%USERPROFILE%\Documents\GitHub\eaglep3\Utilities\RefineRTDCRunTimes.py" --tripid 233-17 --locoid 4002 --swversion DE.1.0.8.0 --startMP 204:513 --initTime 2017-01-17T21:44:50 --startdatetime 2017-01-17T22:00:21 --delay 3 --endMP 204:233395 --enddatetime 2017-01-17T22:36:25 --enforcementcount 0 &gt;&gt;C:\Users\stu\Documents\GitHub\eaglep3-reporting\EC\2017-01-17-refined-times.txt</v>
      </c>
      <c r="AI145" s="115" t="str">
        <f t="shared" si="68"/>
        <v>echo {"issue":{"subject":"","project_id":79,"tracker_id":40,"status_id":1,"priority_id":2,"assigned_to_id":23,"start_date":"2017-01-17","description":"","custom_fields":[{"id":1,"name":"Subdivision","value":"EC"},{"id":4,"name":"Milepost","value":"23.3395"},{"id":17,"name":"Train ID","value":"233-17"},{"id":16,"name":"Locomotive ID","value":"4002"},{"id":130,"name":"Impact","value":""},{"id":150,"name":"Time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9"/>
        <v>start /low /b %USERPROFILE%\Documents\GitHub\eaglep3\Utilities\DownloadLogsFromS3.py --loco 4002 --day 2017-01-17</v>
      </c>
      <c r="AN145" s="18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"%USERPROFILE%\AppData\Local\Temp\OnboardLogs"\RTDC4002\*4002*20170118* | grep -SE "(Enforcement Action)|(\[TIMEOUT)|(CHR.+\|PRM\|1\|D.+(SWITCH|SIGNAL).+UNKNOWN)" - &gt;&gt; 2017-01-17-UncaughtWiMAX.txt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871</v>
      </c>
      <c r="B146" s="7"/>
      <c r="C146" s="22" t="s">
        <v>201</v>
      </c>
      <c r="D146" s="22" t="s">
        <v>746</v>
      </c>
      <c r="E146" s="13">
        <v>42752.906134259261</v>
      </c>
      <c r="F146" s="13"/>
      <c r="G146" s="7">
        <v>3</v>
      </c>
      <c r="H146" s="22" t="s">
        <v>747</v>
      </c>
      <c r="I146" s="13"/>
      <c r="J146" s="7">
        <v>0</v>
      </c>
      <c r="K146" s="105" t="str">
        <f t="shared" si="70"/>
        <v>-1/</v>
      </c>
      <c r="L146" s="22" t="e">
        <f>VLOOKUP(A146,'Trips&amp;Operators'!$C$1:$G$99999,5,FALSE)</f>
        <v>#N/A</v>
      </c>
      <c r="M146" s="6">
        <f t="shared" si="71"/>
        <v>0</v>
      </c>
      <c r="N146" s="7"/>
      <c r="O146" s="7"/>
      <c r="P146" s="7">
        <v>1</v>
      </c>
      <c r="Q146" s="23"/>
      <c r="R146" s="23" t="s">
        <v>872</v>
      </c>
      <c r="S146" s="32">
        <f t="shared" si="72"/>
        <v>0</v>
      </c>
      <c r="T146" s="47" t="str">
        <f t="shared" si="73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94" t="str">
        <f t="shared" si="74"/>
        <v>https://d0f6bd738d7f1b3e5a7ca70fe4ff75f0.us-east-1.aws.found.io/app/kibana#/discover/Steve-Slow-Train-Analysis-(2080s-and-2083s)?_g=(refreshInterval:(display:Off,pause:!f,section:0,value:0),time:(from:'2017-01-17T20:44:50-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6" s="49" t="str">
        <f t="shared" si="75"/>
        <v>N</v>
      </c>
      <c r="X146" s="173">
        <f t="shared" ref="X146:X147" si="83">VALUE(LEFT(AD146,4))-VALUE(LEFT(AD145,4))</f>
        <v>1</v>
      </c>
      <c r="Y146" s="64">
        <f t="shared" si="76"/>
        <v>5.1299999999999998E-2</v>
      </c>
      <c r="Z146" s="64">
        <f t="shared" si="77"/>
        <v>23.339500000000001</v>
      </c>
      <c r="AA146" s="64">
        <f t="shared" si="78"/>
        <v>23.2882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79"/>
        <v>0234-17</v>
      </c>
      <c r="AE146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6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6" s="1" t="str">
        <f t="shared" si="82"/>
        <v>EC</v>
      </c>
      <c r="AH146" s="88" t="str">
        <f t="shared" ref="AH146" si="84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234-17 --locoid  --swversion DE.1.0.8.0 --startMP 204:513 --initTime 2017-01-17T21:44:50 --startdatetime 1900-01-00T00:00:00 --delay 3 --endMP 204:233395 --enddatetime 1900-01-00T00:00:00 --enforcementcount 0 &gt;&gt;C:\Users\stu\Documents\GitHub\eaglep3-reporting\EC\2017-01-17-refined-times.txt</v>
      </c>
      <c r="AI146" s="115" t="str">
        <f t="shared" ref="AI146" si="85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83)","project_id":79,"tracker_id":40,"status_id":1,"priority_id":2,"assigned_to_id":23,"start_date":"1900-01-00","description":"","custom_fields":[{"id":1,"name":"Subdivision","value":"EC"},{"id":4,"name":"Milepost","value":"23.3395"},{"id":17,"name":"Train ID","value":"234-17"},{"id":16,"name":"Locomotive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ref="AM146" si="86">"start /low /b "&amp;dls3logs&amp;" --loco "&amp;B146&amp;" --day "&amp;TEXT(F146,"YYYY-MM-DD")</f>
        <v>start /low /b %USERPROFILE%\Documents\GitHub\eaglep3\Utilities\DownloadLogsFromS3.py --loco  --day 1900-01-00</v>
      </c>
      <c r="AN146" s="189" t="e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#DIV/0!</v>
      </c>
    </row>
    <row r="147" spans="1:91" s="21" customFormat="1" x14ac:dyDescent="0.25">
      <c r="A147" s="34" t="s">
        <v>675</v>
      </c>
      <c r="B147" s="7">
        <v>4031</v>
      </c>
      <c r="C147" s="22" t="s">
        <v>201</v>
      </c>
      <c r="D147" s="22" t="s">
        <v>692</v>
      </c>
      <c r="E147" s="13">
        <v>42752.921863425923</v>
      </c>
      <c r="F147" s="13">
        <v>42752.937905092593</v>
      </c>
      <c r="G147" s="7">
        <v>1</v>
      </c>
      <c r="H147" s="22" t="s">
        <v>397</v>
      </c>
      <c r="I147" s="13">
        <v>42752.962488425925</v>
      </c>
      <c r="J147" s="7">
        <v>0</v>
      </c>
      <c r="K147" s="105" t="str">
        <f t="shared" si="70"/>
        <v>4031/4032</v>
      </c>
      <c r="L147" s="22" t="str">
        <f>VLOOKUP(A147,'Trips&amp;Operators'!$C$1:$G$99999,5,FALSE)</f>
        <v>STAMBAUGH JAMES</v>
      </c>
      <c r="M147" s="6">
        <f t="shared" si="71"/>
        <v>2.4583333331975155E-2</v>
      </c>
      <c r="N147" s="7">
        <f>24*60*SUM($M147:$M147)</f>
        <v>35.399999998044223</v>
      </c>
      <c r="O147" s="7"/>
      <c r="P147" s="7"/>
      <c r="Q147" s="23"/>
      <c r="R147" s="23"/>
      <c r="S147" s="32">
        <f t="shared" si="72"/>
        <v>1</v>
      </c>
      <c r="T147" s="47" t="str">
        <f t="shared" si="73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2017-01-18T00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49" t="str">
        <f t="shared" si="75"/>
        <v>N</v>
      </c>
      <c r="X147" s="173">
        <f t="shared" si="83"/>
        <v>1</v>
      </c>
      <c r="Y147" s="64">
        <f t="shared" si="76"/>
        <v>4.2900000000000001E-2</v>
      </c>
      <c r="Z147" s="64">
        <f t="shared" si="77"/>
        <v>23.334399999999999</v>
      </c>
      <c r="AA147" s="64">
        <f t="shared" si="78"/>
        <v>23.291499999999999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79"/>
        <v>0235-17</v>
      </c>
      <c r="AE147" s="87" t="str">
        <f t="shared" si="80"/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AF147" s="84" t="str">
        <f t="shared" si="81"/>
        <v>"C:\Program Files (x86)\AstroGrep\AstroGrep.exe" /spath="%USERPROFILE%\AppData\Local\Temp\OnboardLogs" /stypes="app*4031*20170118*" /stext=" 06:.+((SYSTEM_STATE.+slice.+state.+changed )|(ment ac)|(multiple cpu faults)|(system.+state.+changed )|(\[timeout)|(PRM\|1\|D)|(kpr)|(kdp)|(\|lc)|(penalty))" /e /r /s</v>
      </c>
      <c r="AG147" s="1" t="str">
        <f t="shared" si="82"/>
        <v>EC</v>
      </c>
      <c r="AH147" s="88" t="str">
        <f t="shared" si="67"/>
        <v>"%USERPROFILE%\Documents\GitHub\eaglep3\Utilities\RefineRTDCRunTimes.py" --tripid 235-17 --locoid 4031 --swversion DE.1.0.8.0 --startMP 204:429 --initTime 2017-01-17T22:07:29 --startdatetime 2017-01-17T22:30:35 --delay 1 --endMP 204:233344 --enddatetime 2017-01-17T23:05:59 --enforcementcount 0 &gt;&gt;C:\Users\stu\Documents\GitHub\eaglep3-reporting\EC\2017-01-17-refined-times.txt</v>
      </c>
      <c r="AI147" s="115" t="str">
        <f t="shared" si="68"/>
        <v>echo {"issue":{"subject":"","project_id":79,"tracker_id":40,"status_id":1,"priority_id":2,"assigned_to_id":23,"start_date":"2017-01-17","description":"","custom_fields":[{"id":1,"name":"Subdivision","value":"EC"},{"id":4,"name":"Milepost","value":"23.3344"},{"id":17,"name":"Train ID","value":"235-17"},{"id":16,"name":"Locomotive ID","value":"4031"},{"id":130,"name":"Impact","value":""},{"id":150,"name":"Time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9"/>
        <v>start /low /b %USERPROFILE%\Documents\GitHub\eaglep3\Utilities\DownloadLogsFromS3.py --loco 4031 --day 2017-01-17</v>
      </c>
      <c r="AN147" s="18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"%USERPROFILE%\AppData\Local\Temp\OnboardLogs"\RTDC4031\*4031*20170118* | grep -SE "(Enforcement Action)|(\[TIMEOUT)|(CHR.+\|PRM\|1\|D.+(SWITCH|SIGNAL).+UNKNOWN)" - &gt;&gt; 2017-01-17-UncaughtWiMAX.txt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873</v>
      </c>
      <c r="B148" s="7"/>
      <c r="C148" s="22" t="s">
        <v>201</v>
      </c>
      <c r="D148" s="22" t="s">
        <v>692</v>
      </c>
      <c r="E148" s="13">
        <v>42752.921863425923</v>
      </c>
      <c r="F148" s="13"/>
      <c r="G148" s="7">
        <v>1</v>
      </c>
      <c r="H148" s="22" t="s">
        <v>397</v>
      </c>
      <c r="I148" s="13"/>
      <c r="J148" s="7">
        <v>0</v>
      </c>
      <c r="K148" s="105" t="str">
        <f t="shared" ref="K148:K156" si="87">IF(ISEVEN(B148),(B148-1)&amp;"/"&amp;B148,B148&amp;"/"&amp;(B148+1))</f>
        <v>-1/</v>
      </c>
      <c r="L148" s="22" t="e">
        <f>VLOOKUP(A148,'Trips&amp;Operators'!$C$1:$G$99999,5,FALSE)</f>
        <v>#N/A</v>
      </c>
      <c r="M148" s="6">
        <f t="shared" ref="M148:M156" si="88">I148-F148</f>
        <v>0</v>
      </c>
      <c r="N148" s="7"/>
      <c r="O148" s="7"/>
      <c r="P148" s="7">
        <v>1</v>
      </c>
      <c r="Q148" s="23"/>
      <c r="R148" s="23" t="s">
        <v>872</v>
      </c>
      <c r="S148" s="32">
        <v>0</v>
      </c>
      <c r="T148" s="47" t="str">
        <f t="shared" ref="T148:T156" si="89">IF(ISEVEN(LEFT(AD148,4)),"Southbound","NorthBound")</f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8" s="49" t="str">
        <f t="shared" ref="W148:W156" si="90">IF(AA148&lt;IF(AG148="EC",23,5.65),"Y","N")</f>
        <v>N</v>
      </c>
      <c r="X148" s="173">
        <f t="shared" ref="X148:X158" si="91">VALUE(LEFT(AD148,4))-VALUE(LEFT(AD147,4))</f>
        <v>1</v>
      </c>
      <c r="Y148" s="64">
        <f t="shared" ref="Y148:Y156" si="92">RIGHT(D148,LEN(D148)-4)/10000</f>
        <v>4.2900000000000001E-2</v>
      </c>
      <c r="Z148" s="64">
        <f t="shared" ref="Z148:Z156" si="93">RIGHT(H148,LEN(H148)-4)/10000</f>
        <v>23.334399999999999</v>
      </c>
      <c r="AA148" s="64">
        <f t="shared" ref="AA148:AA156" si="94">ABS(Z148-Y148)</f>
        <v>23.291499999999999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ref="AD148:AD156" si="95">IF(LEN(A148)=6,"0"&amp;A148,A148)</f>
        <v>0236-17</v>
      </c>
      <c r="AE148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8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8" s="1" t="str">
        <f t="shared" ref="AG148:AG156" si="96">IFERROR(IF(VALUE(LEFT(AD148,2))&lt;=2,"EC",IF(OR(VALUE(LEFT(AD148,2))=8,VALUE(LEFT(AD148,2))=18),"NW","Other")),"Other")</f>
        <v>EC</v>
      </c>
      <c r="AH148" s="88" t="str">
        <f t="shared" ref="AH148:AH156" si="97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236-17 --locoid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48" s="115" t="str">
        <f t="shared" ref="AI148:AI156" si="98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ID","value":"236-17"},{"id":16,"name":"Locomotive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ref="AM148:AM156" si="99">"start /low /b "&amp;dls3logs&amp;" --loco "&amp;B148&amp;" --day "&amp;TEXT(F148,"YYYY-MM-DD")</f>
        <v>start /low /b %USERPROFILE%\Documents\GitHub\eaglep3\Utilities\DownloadLogsFromS3.py --loco  --day 1900-01-00</v>
      </c>
      <c r="AN148" s="189" t="e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#DIV/0!</v>
      </c>
    </row>
    <row r="149" spans="1:91" s="21" customFormat="1" x14ac:dyDescent="0.25">
      <c r="A149" s="34" t="s">
        <v>874</v>
      </c>
      <c r="B149" s="7"/>
      <c r="C149" s="22" t="s">
        <v>201</v>
      </c>
      <c r="D149" s="22" t="s">
        <v>692</v>
      </c>
      <c r="E149" s="13">
        <v>42752.921863425923</v>
      </c>
      <c r="F149" s="13"/>
      <c r="G149" s="7">
        <v>1</v>
      </c>
      <c r="H149" s="22" t="s">
        <v>397</v>
      </c>
      <c r="I149" s="13"/>
      <c r="J149" s="7">
        <v>0</v>
      </c>
      <c r="K149" s="105" t="str">
        <f t="shared" si="87"/>
        <v>-1/</v>
      </c>
      <c r="L149" s="22" t="e">
        <f>VLOOKUP(A149,'Trips&amp;Operators'!$C$1:$G$99999,5,FALSE)</f>
        <v>#N/A</v>
      </c>
      <c r="M149" s="6">
        <f t="shared" si="88"/>
        <v>0</v>
      </c>
      <c r="N149" s="7"/>
      <c r="O149" s="7"/>
      <c r="P149" s="7">
        <v>1</v>
      </c>
      <c r="Q149" s="23"/>
      <c r="R149" s="23" t="s">
        <v>872</v>
      </c>
      <c r="S149" s="32">
        <v>0</v>
      </c>
      <c r="T149" s="47" t="str">
        <f t="shared" si="89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9" s="49" t="str">
        <f t="shared" si="90"/>
        <v>N</v>
      </c>
      <c r="X149" s="173">
        <f t="shared" si="91"/>
        <v>1</v>
      </c>
      <c r="Y149" s="64">
        <f t="shared" si="92"/>
        <v>4.2900000000000001E-2</v>
      </c>
      <c r="Z149" s="64">
        <f t="shared" si="93"/>
        <v>23.334399999999999</v>
      </c>
      <c r="AA149" s="64">
        <f t="shared" si="94"/>
        <v>23.291499999999999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95"/>
        <v>0237-17</v>
      </c>
      <c r="AE149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9" s="1" t="str">
        <f t="shared" si="96"/>
        <v>EC</v>
      </c>
      <c r="AH149" s="88" t="str">
        <f t="shared" si="97"/>
        <v>"%USERPROFILE%\Documents\GitHub\eaglep3\Utilities\RefineRTDCRunTimes.py" --tripid 237-17 --locoid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49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ID","value":"237-17"},{"id":16,"name":"Locomotive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99"/>
        <v>start /low /b %USERPROFILE%\Documents\GitHub\eaglep3\Utilities\DownloadLogsFromS3.py --loco  --day 1900-01-00</v>
      </c>
      <c r="AN149" s="189" t="e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#DIV/0!</v>
      </c>
    </row>
    <row r="150" spans="1:91" s="21" customFormat="1" x14ac:dyDescent="0.25">
      <c r="A150" s="34" t="s">
        <v>875</v>
      </c>
      <c r="B150" s="7"/>
      <c r="C150" s="22" t="s">
        <v>201</v>
      </c>
      <c r="D150" s="22" t="s">
        <v>692</v>
      </c>
      <c r="E150" s="13">
        <v>42752.921863425923</v>
      </c>
      <c r="F150" s="13"/>
      <c r="G150" s="7">
        <v>1</v>
      </c>
      <c r="H150" s="22" t="s">
        <v>397</v>
      </c>
      <c r="I150" s="13"/>
      <c r="J150" s="7">
        <v>0</v>
      </c>
      <c r="K150" s="105" t="str">
        <f t="shared" si="87"/>
        <v>-1/</v>
      </c>
      <c r="L150" s="22" t="e">
        <f>VLOOKUP(A150,'Trips&amp;Operators'!$C$1:$G$99999,5,FALSE)</f>
        <v>#N/A</v>
      </c>
      <c r="M150" s="6">
        <f t="shared" si="88"/>
        <v>0</v>
      </c>
      <c r="N150" s="7"/>
      <c r="O150" s="7"/>
      <c r="P150" s="7">
        <v>1</v>
      </c>
      <c r="Q150" s="23"/>
      <c r="R150" s="23" t="s">
        <v>872</v>
      </c>
      <c r="S150" s="32">
        <v>0</v>
      </c>
      <c r="T150" s="47" t="str">
        <f t="shared" si="89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0" s="49" t="str">
        <f t="shared" si="90"/>
        <v>N</v>
      </c>
      <c r="X150" s="173">
        <f t="shared" si="91"/>
        <v>1</v>
      </c>
      <c r="Y150" s="64">
        <f t="shared" si="92"/>
        <v>4.2900000000000001E-2</v>
      </c>
      <c r="Z150" s="64">
        <f t="shared" si="93"/>
        <v>23.334399999999999</v>
      </c>
      <c r="AA150" s="64">
        <f t="shared" si="94"/>
        <v>23.291499999999999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95"/>
        <v>0238-17</v>
      </c>
      <c r="AE150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0" s="1" t="str">
        <f t="shared" si="96"/>
        <v>EC</v>
      </c>
      <c r="AH150" s="88" t="str">
        <f t="shared" si="97"/>
        <v>"%USERPROFILE%\Documents\GitHub\eaglep3\Utilities\RefineRTDCRunTimes.py" --tripid 238-17 --locoid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0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ID","value":"238-17"},{"id":16,"name":"Locomotive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99"/>
        <v>start /low /b %USERPROFILE%\Documents\GitHub\eaglep3\Utilities\DownloadLogsFromS3.py --loco  --day 1900-01-00</v>
      </c>
      <c r="AN150" s="189" t="e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#DIV/0!</v>
      </c>
    </row>
    <row r="151" spans="1:91" s="21" customFormat="1" x14ac:dyDescent="0.25">
      <c r="A151" s="34" t="s">
        <v>876</v>
      </c>
      <c r="B151" s="7"/>
      <c r="C151" s="22" t="s">
        <v>201</v>
      </c>
      <c r="D151" s="22" t="s">
        <v>692</v>
      </c>
      <c r="E151" s="13">
        <v>42752.921863425923</v>
      </c>
      <c r="F151" s="13"/>
      <c r="G151" s="7">
        <v>1</v>
      </c>
      <c r="H151" s="22" t="s">
        <v>397</v>
      </c>
      <c r="I151" s="13"/>
      <c r="J151" s="7">
        <v>0</v>
      </c>
      <c r="K151" s="105" t="str">
        <f t="shared" si="87"/>
        <v>-1/</v>
      </c>
      <c r="L151" s="22" t="e">
        <f>VLOOKUP(A151,'Trips&amp;Operators'!$C$1:$G$99999,5,FALSE)</f>
        <v>#N/A</v>
      </c>
      <c r="M151" s="6">
        <f t="shared" si="88"/>
        <v>0</v>
      </c>
      <c r="N151" s="7"/>
      <c r="O151" s="7"/>
      <c r="P151" s="7">
        <v>1</v>
      </c>
      <c r="Q151" s="23"/>
      <c r="R151" s="23" t="s">
        <v>872</v>
      </c>
      <c r="S151" s="32">
        <v>0</v>
      </c>
      <c r="T151" s="47" t="str">
        <f t="shared" si="89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1" s="49" t="str">
        <f t="shared" si="90"/>
        <v>N</v>
      </c>
      <c r="X151" s="173">
        <f t="shared" si="91"/>
        <v>1</v>
      </c>
      <c r="Y151" s="64">
        <f t="shared" si="92"/>
        <v>4.2900000000000001E-2</v>
      </c>
      <c r="Z151" s="64">
        <f t="shared" si="93"/>
        <v>23.334399999999999</v>
      </c>
      <c r="AA151" s="64">
        <f t="shared" si="94"/>
        <v>23.291499999999999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95"/>
        <v>0239-17</v>
      </c>
      <c r="AE151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1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1" s="1" t="str">
        <f t="shared" si="96"/>
        <v>EC</v>
      </c>
      <c r="AH151" s="88" t="str">
        <f t="shared" si="97"/>
        <v>"%USERPROFILE%\Documents\GitHub\eaglep3\Utilities\RefineRTDCRunTimes.py" --tripid 239-17 --locoid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1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ID","value":"239-17"},{"id":16,"name":"Locomotive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99"/>
        <v>start /low /b %USERPROFILE%\Documents\GitHub\eaglep3\Utilities\DownloadLogsFromS3.py --loco  --day 1900-01-00</v>
      </c>
      <c r="AN151" s="189" t="e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#DIV/0!</v>
      </c>
    </row>
    <row r="152" spans="1:91" s="21" customFormat="1" x14ac:dyDescent="0.25">
      <c r="A152" s="34" t="s">
        <v>877</v>
      </c>
      <c r="B152" s="7"/>
      <c r="C152" s="22" t="s">
        <v>201</v>
      </c>
      <c r="D152" s="22" t="s">
        <v>692</v>
      </c>
      <c r="E152" s="13">
        <v>42752.921863425923</v>
      </c>
      <c r="F152" s="13"/>
      <c r="G152" s="7">
        <v>1</v>
      </c>
      <c r="H152" s="22" t="s">
        <v>397</v>
      </c>
      <c r="I152" s="13"/>
      <c r="J152" s="7">
        <v>0</v>
      </c>
      <c r="K152" s="105" t="str">
        <f t="shared" si="87"/>
        <v>-1/</v>
      </c>
      <c r="L152" s="22" t="e">
        <f>VLOOKUP(A152,'Trips&amp;Operators'!$C$1:$G$99999,5,FALSE)</f>
        <v>#N/A</v>
      </c>
      <c r="M152" s="6">
        <f t="shared" si="88"/>
        <v>0</v>
      </c>
      <c r="N152" s="7"/>
      <c r="O152" s="7"/>
      <c r="P152" s="7">
        <v>1</v>
      </c>
      <c r="Q152" s="23"/>
      <c r="R152" s="23" t="s">
        <v>872</v>
      </c>
      <c r="S152" s="32">
        <v>0</v>
      </c>
      <c r="T152" s="47" t="str">
        <f t="shared" si="89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2" s="49" t="str">
        <f t="shared" si="90"/>
        <v>N</v>
      </c>
      <c r="X152" s="173">
        <f t="shared" si="91"/>
        <v>1</v>
      </c>
      <c r="Y152" s="64">
        <f t="shared" si="92"/>
        <v>4.2900000000000001E-2</v>
      </c>
      <c r="Z152" s="64">
        <f t="shared" si="93"/>
        <v>23.334399999999999</v>
      </c>
      <c r="AA152" s="64">
        <f t="shared" si="94"/>
        <v>23.291499999999999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95"/>
        <v>0240-17</v>
      </c>
      <c r="AE152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96"/>
        <v>EC</v>
      </c>
      <c r="AH152" s="88" t="str">
        <f t="shared" si="97"/>
        <v>"%USERPROFILE%\Documents\GitHub\eaglep3\Utilities\RefineRTDCRunTimes.py" --tripid 240-17 --locoid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2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ID","value":"240-17"},{"id":16,"name":"Locomotive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99"/>
        <v>start /low /b %USERPROFILE%\Documents\GitHub\eaglep3\Utilities\DownloadLogsFromS3.py --loco  --day 1900-01-00</v>
      </c>
      <c r="AN152" s="189" t="e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#DIV/0!</v>
      </c>
    </row>
    <row r="153" spans="1:91" s="21" customFormat="1" x14ac:dyDescent="0.25">
      <c r="A153" s="34" t="s">
        <v>878</v>
      </c>
      <c r="B153" s="7"/>
      <c r="C153" s="22" t="s">
        <v>201</v>
      </c>
      <c r="D153" s="22" t="s">
        <v>692</v>
      </c>
      <c r="E153" s="13">
        <v>42752.921863425923</v>
      </c>
      <c r="F153" s="13"/>
      <c r="G153" s="7">
        <v>1</v>
      </c>
      <c r="H153" s="22" t="s">
        <v>397</v>
      </c>
      <c r="I153" s="13"/>
      <c r="J153" s="7">
        <v>0</v>
      </c>
      <c r="K153" s="105" t="str">
        <f t="shared" si="87"/>
        <v>-1/</v>
      </c>
      <c r="L153" s="22" t="e">
        <f>VLOOKUP(A153,'Trips&amp;Operators'!$C$1:$G$99999,5,FALSE)</f>
        <v>#N/A</v>
      </c>
      <c r="M153" s="6">
        <f t="shared" si="88"/>
        <v>0</v>
      </c>
      <c r="N153" s="7"/>
      <c r="O153" s="7"/>
      <c r="P153" s="7">
        <v>1</v>
      </c>
      <c r="Q153" s="23"/>
      <c r="R153" s="23" t="s">
        <v>872</v>
      </c>
      <c r="S153" s="32">
        <v>0</v>
      </c>
      <c r="T153" s="47" t="str">
        <f t="shared" si="89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3" s="49" t="str">
        <f t="shared" si="90"/>
        <v>N</v>
      </c>
      <c r="X153" s="173">
        <f t="shared" si="91"/>
        <v>1</v>
      </c>
      <c r="Y153" s="64">
        <f t="shared" si="92"/>
        <v>4.2900000000000001E-2</v>
      </c>
      <c r="Z153" s="64">
        <f t="shared" si="93"/>
        <v>23.334399999999999</v>
      </c>
      <c r="AA153" s="64">
        <f t="shared" si="94"/>
        <v>23.291499999999999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95"/>
        <v>0241-17</v>
      </c>
      <c r="AE153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96"/>
        <v>EC</v>
      </c>
      <c r="AH153" s="88" t="str">
        <f t="shared" si="97"/>
        <v>"%USERPROFILE%\Documents\GitHub\eaglep3\Utilities\RefineRTDCRunTimes.py" --tripid 241-17 --locoid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3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ID","value":"241-17"},{"id":16,"name":"Locomotive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99"/>
        <v>start /low /b %USERPROFILE%\Documents\GitHub\eaglep3\Utilities\DownloadLogsFromS3.py --loco  --day 1900-01-00</v>
      </c>
      <c r="AN153" s="189" t="e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#DIV/0!</v>
      </c>
    </row>
    <row r="154" spans="1:91" s="21" customFormat="1" x14ac:dyDescent="0.25">
      <c r="A154" s="34" t="s">
        <v>879</v>
      </c>
      <c r="B154" s="7"/>
      <c r="C154" s="22" t="s">
        <v>201</v>
      </c>
      <c r="D154" s="22" t="s">
        <v>692</v>
      </c>
      <c r="E154" s="13">
        <v>42752.921863425923</v>
      </c>
      <c r="F154" s="13"/>
      <c r="G154" s="7">
        <v>1</v>
      </c>
      <c r="H154" s="22" t="s">
        <v>397</v>
      </c>
      <c r="I154" s="13"/>
      <c r="J154" s="7">
        <v>0</v>
      </c>
      <c r="K154" s="105" t="str">
        <f t="shared" si="87"/>
        <v>-1/</v>
      </c>
      <c r="L154" s="22" t="e">
        <f>VLOOKUP(A154,'Trips&amp;Operators'!$C$1:$G$99999,5,FALSE)</f>
        <v>#N/A</v>
      </c>
      <c r="M154" s="6">
        <f t="shared" si="88"/>
        <v>0</v>
      </c>
      <c r="N154" s="7"/>
      <c r="O154" s="7"/>
      <c r="P154" s="7">
        <v>1</v>
      </c>
      <c r="Q154" s="23"/>
      <c r="R154" s="23" t="s">
        <v>872</v>
      </c>
      <c r="S154" s="32">
        <v>0</v>
      </c>
      <c r="T154" s="47" t="str">
        <f t="shared" si="89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4" s="49" t="str">
        <f t="shared" si="90"/>
        <v>N</v>
      </c>
      <c r="X154" s="173">
        <f t="shared" si="91"/>
        <v>1</v>
      </c>
      <c r="Y154" s="64">
        <f t="shared" si="92"/>
        <v>4.2900000000000001E-2</v>
      </c>
      <c r="Z154" s="64">
        <f t="shared" si="93"/>
        <v>23.334399999999999</v>
      </c>
      <c r="AA154" s="64">
        <f t="shared" si="94"/>
        <v>23.291499999999999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95"/>
        <v>0242-17</v>
      </c>
      <c r="AE154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si="96"/>
        <v>EC</v>
      </c>
      <c r="AH154" s="88" t="str">
        <f t="shared" si="97"/>
        <v>"%USERPROFILE%\Documents\GitHub\eaglep3\Utilities\RefineRTDCRunTimes.py" --tripid 242-17 --locoid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4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ID","value":"242-17"},{"id":16,"name":"Locomotive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99"/>
        <v>start /low /b %USERPROFILE%\Documents\GitHub\eaglep3\Utilities\DownloadLogsFromS3.py --loco  --day 1900-01-00</v>
      </c>
      <c r="AN154" s="189" t="e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#DIV/0!</v>
      </c>
    </row>
    <row r="155" spans="1:91" s="21" customFormat="1" x14ac:dyDescent="0.25">
      <c r="A155" s="34" t="s">
        <v>880</v>
      </c>
      <c r="B155" s="7"/>
      <c r="C155" s="22" t="s">
        <v>201</v>
      </c>
      <c r="D155" s="22" t="s">
        <v>692</v>
      </c>
      <c r="E155" s="13">
        <v>42752.921863425923</v>
      </c>
      <c r="F155" s="13"/>
      <c r="G155" s="7">
        <v>1</v>
      </c>
      <c r="H155" s="22" t="s">
        <v>397</v>
      </c>
      <c r="I155" s="13"/>
      <c r="J155" s="7">
        <v>0</v>
      </c>
      <c r="K155" s="105" t="str">
        <f t="shared" si="87"/>
        <v>-1/</v>
      </c>
      <c r="L155" s="22" t="e">
        <f>VLOOKUP(A155,'Trips&amp;Operators'!$C$1:$G$99999,5,FALSE)</f>
        <v>#N/A</v>
      </c>
      <c r="M155" s="6">
        <f t="shared" si="88"/>
        <v>0</v>
      </c>
      <c r="N155" s="7"/>
      <c r="O155" s="7"/>
      <c r="P155" s="7">
        <v>1</v>
      </c>
      <c r="Q155" s="23"/>
      <c r="R155" s="23" t="s">
        <v>872</v>
      </c>
      <c r="S155" s="32">
        <v>0</v>
      </c>
      <c r="T155" s="47" t="str">
        <f t="shared" si="89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5" s="49" t="str">
        <f t="shared" si="90"/>
        <v>N</v>
      </c>
      <c r="X155" s="173">
        <f t="shared" si="91"/>
        <v>1</v>
      </c>
      <c r="Y155" s="64">
        <f t="shared" si="92"/>
        <v>4.2900000000000001E-2</v>
      </c>
      <c r="Z155" s="64">
        <f t="shared" si="93"/>
        <v>23.334399999999999</v>
      </c>
      <c r="AA155" s="64">
        <f t="shared" si="94"/>
        <v>23.291499999999999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95"/>
        <v>0243-17</v>
      </c>
      <c r="AE155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96"/>
        <v>EC</v>
      </c>
      <c r="AH155" s="88" t="str">
        <f t="shared" si="97"/>
        <v>"%USERPROFILE%\Documents\GitHub\eaglep3\Utilities\RefineRTDCRunTimes.py" --tripid 243-17 --locoid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5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ID","value":"243-17"},{"id":16,"name":"Locomotive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99"/>
        <v>start /low /b %USERPROFILE%\Documents\GitHub\eaglep3\Utilities\DownloadLogsFromS3.py --loco  --day 1900-01-00</v>
      </c>
      <c r="AN155" s="189" t="e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#DIV/0!</v>
      </c>
    </row>
    <row r="156" spans="1:91" s="21" customFormat="1" x14ac:dyDescent="0.25">
      <c r="A156" s="34" t="s">
        <v>881</v>
      </c>
      <c r="B156" s="7"/>
      <c r="C156" s="22" t="s">
        <v>201</v>
      </c>
      <c r="D156" s="22" t="s">
        <v>692</v>
      </c>
      <c r="E156" s="13">
        <v>42752.921863425923</v>
      </c>
      <c r="F156" s="13"/>
      <c r="G156" s="7">
        <v>1</v>
      </c>
      <c r="H156" s="22" t="s">
        <v>397</v>
      </c>
      <c r="I156" s="13"/>
      <c r="J156" s="7">
        <v>0</v>
      </c>
      <c r="K156" s="105" t="str">
        <f t="shared" si="87"/>
        <v>-1/</v>
      </c>
      <c r="L156" s="22" t="e">
        <f>VLOOKUP(A156,'Trips&amp;Operators'!$C$1:$G$99999,5,FALSE)</f>
        <v>#N/A</v>
      </c>
      <c r="M156" s="6">
        <f t="shared" si="88"/>
        <v>0</v>
      </c>
      <c r="N156" s="7"/>
      <c r="O156" s="7"/>
      <c r="P156" s="7">
        <v>1</v>
      </c>
      <c r="Q156" s="23"/>
      <c r="R156" s="23" t="s">
        <v>872</v>
      </c>
      <c r="S156" s="32">
        <v>0</v>
      </c>
      <c r="T156" s="47" t="str">
        <f t="shared" si="89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74"/>
        <v>https://d0f6bd738d7f1b3e5a7ca70fe4ff75f0.us-east-1.aws.found.io/app/kibana#/discover/Steve-Slow-Train-Analysis-(2080s-and-2083s)?_g=(refreshInterval:(display:Off,pause:!f,section:0,value:0),time:(from:'2017-01-17T21:07:29-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6" s="49" t="str">
        <f t="shared" si="90"/>
        <v>N</v>
      </c>
      <c r="X156" s="173">
        <f t="shared" si="91"/>
        <v>1</v>
      </c>
      <c r="Y156" s="64">
        <f t="shared" si="92"/>
        <v>4.2900000000000001E-2</v>
      </c>
      <c r="Z156" s="64">
        <f t="shared" si="93"/>
        <v>23.334399999999999</v>
      </c>
      <c r="AA156" s="64">
        <f t="shared" si="94"/>
        <v>23.291499999999999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95"/>
        <v>0244-17</v>
      </c>
      <c r="AE156" s="87" t="str">
        <f t="shared" si="8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4" t="str">
        <f t="shared" si="8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96"/>
        <v>EC</v>
      </c>
      <c r="AH156" s="88" t="str">
        <f t="shared" si="97"/>
        <v>"%USERPROFILE%\Documents\GitHub\eaglep3\Utilities\RefineRTDCRunTimes.py" --tripid 244-17 --locoid  --swversion DE.1.0.8.0 --startMP 204:429 --initTime 2017-01-17T22:07:29 --startdatetime 1900-01-00T00:00:00 --delay 1 --endMP 204:233344 --enddatetime 1900-01-00T00:00:00 --enforcementcount 0 &gt;&gt;C:\Users\stu\Documents\GitHub\eaglep3-reporting\EC\2017-01-17-refined-times.txt</v>
      </c>
      <c r="AI156" s="115" t="str">
        <f t="shared" si="98"/>
        <v>echo {"issue":{"subject":"Ran ATC - planned maintenance (EC 83)","project_id":79,"tracker_id":40,"status_id":1,"priority_id":2,"assigned_to_id":23,"start_date":"1900-01-00","description":"","custom_fields":[{"id":1,"name":"Subdivision","value":"EC"},{"id":4,"name":"Milepost","value":"23.3344"},{"id":17,"name":"Train ID","value":"244-17"},{"id":16,"name":"Locomotive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99"/>
        <v>start /low /b %USERPROFILE%\Documents\GitHub\eaglep3\Utilities\DownloadLogsFromS3.py --loco  --day 1900-01-00</v>
      </c>
      <c r="AN156" s="189" t="e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#DIV/0!</v>
      </c>
    </row>
    <row r="157" spans="1:91" s="21" customFormat="1" x14ac:dyDescent="0.25">
      <c r="A157" s="34" t="s">
        <v>514</v>
      </c>
      <c r="B157" s="7">
        <v>4017</v>
      </c>
      <c r="C157" s="22" t="s">
        <v>201</v>
      </c>
      <c r="D157" s="22" t="s">
        <v>434</v>
      </c>
      <c r="E157" s="13">
        <v>42752.210462962961</v>
      </c>
      <c r="F157" s="13">
        <v>42752.214201388888</v>
      </c>
      <c r="G157" s="7">
        <v>1</v>
      </c>
      <c r="H157" s="22" t="s">
        <v>442</v>
      </c>
      <c r="I157" s="13">
        <v>42752.225451388891</v>
      </c>
      <c r="J157" s="7">
        <v>0</v>
      </c>
      <c r="K157" s="105" t="str">
        <f t="shared" ref="K157:K188" si="100">IF(ISEVEN(B157),(B157-1)&amp;"/"&amp;B157,B157&amp;"/"&amp;(B157+1))</f>
        <v>4017/4018</v>
      </c>
      <c r="L157" s="22" t="str">
        <f>VLOOKUP(A157,'Trips&amp;Operators'!$C$1:$G$99999,5,FALSE)</f>
        <v>YORK EDGAR</v>
      </c>
      <c r="M157" s="6">
        <f t="shared" ref="M157:M188" si="101">I157-F157</f>
        <v>1.1250000003201421E-2</v>
      </c>
      <c r="N157" s="7">
        <f t="shared" ref="N157:N188" si="102">24*60*SUM($M157:$M157)</f>
        <v>16.200000004610047</v>
      </c>
      <c r="O157" s="7"/>
      <c r="P157" s="7"/>
      <c r="Q157" s="23"/>
      <c r="R157" s="23"/>
      <c r="S157" s="32">
        <f t="shared" ref="S157:S188" si="103">SUM(U157:U157)/IF(AG157="EC",12,1)</f>
        <v>1</v>
      </c>
      <c r="T157" s="47" t="str">
        <f t="shared" ref="T157:T188" si="104">IF(ISEVEN(LEFT(AD157,4)),"Southbound","NorthBound")</f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74"/>
        <v>https://d0f6bd738d7f1b3e5a7ca70fe4ff75f0.us-east-1.aws.found.io/app/kibana#/discover/Steve-Slow-Train-Analysis-(2080s-and-2083s)?_g=(refreshInterval:(display:Off,pause:!f,section:0,value:0),time:(from:'2017-01-17T04:03:04-0700',mode:absolute,to:'2017-01-17T06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49" t="str">
        <f t="shared" ref="W157:W188" si="105">IF(AA157&lt;IF(AG157="EC",23,5.65),"Y","N")</f>
        <v>N</v>
      </c>
      <c r="X157" s="173">
        <f t="shared" si="91"/>
        <v>556</v>
      </c>
      <c r="Y157" s="64">
        <f t="shared" ref="Y157:Y188" si="106">RIGHT(D157,LEN(D157)-4)/10000</f>
        <v>5.8613</v>
      </c>
      <c r="Z157" s="64">
        <f t="shared" ref="Z157:Z188" si="107">RIGHT(H157,LEN(H157)-4)/10000</f>
        <v>7.5200000000000003E-2</v>
      </c>
      <c r="AA157" s="64">
        <f t="shared" ref="AA157:AA188" si="108">ABS(Z157-Y157)</f>
        <v>5.7861000000000002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ref="AD157:AD188" si="109">IF(LEN(A157)=6,"0"&amp;A157,A157)</f>
        <v>0800-17</v>
      </c>
      <c r="AE157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57" s="84" t="str">
        <f t="shared" si="81"/>
        <v>"C:\Program Files (x86)\AstroGrep\AstroGrep.exe" /spath="%USERPROFILE%\AppData\Local\Temp\OnboardLogs" /stypes="app*4017*20170117*" /stext=" 12:.+((SYSTEM_STATE.+slice.+state.+changed )|(ment ac)|(multiple cpu faults)|(system.+state.+changed )|(\[timeout)|(PRM\|1\|D)|(kpr)|(kdp)|(\|lc)|(penalty))" /e /r /s</v>
      </c>
      <c r="AG157" s="1" t="str">
        <f t="shared" ref="AG157:AG188" si="110">IFERROR(IF(VALUE(LEFT(AD157,2))&lt;=2,"EC",IF(OR(VALUE(LEFT(AD157,2))=8,VALUE(LEFT(AD157,2))=18),"NW","Other")),"Other")</f>
        <v>NW</v>
      </c>
      <c r="AH157" s="88" t="str">
        <f t="shared" si="67"/>
        <v>"%USERPROFILE%\Documents\GitHub\eaglep3\Utilities\RefineRTDCRunTimes.py" --tripid 800-17 --locoid 4017 --swversion DE.1.0.8.0 --startMP 300:58613 --initTime 2017-01-17T05:03:04 --startdatetime 2017-01-17T05:08:27 --delay 1 --endMP 204:752 --enddatetime 2017-01-17T05:24:39 --enforcementcount 0 &gt;&gt;C:\Users\stu\Documents\GitHub\eaglep3-reporting\EC\2017-01-17-refined-times.txt</v>
      </c>
      <c r="AI157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{"issue":{"subject":"","project_id":79,"tracker_id":40,"status_id":1,"priority_id":2,"assigned_to_id":23,"start_date":"2017-01-17","description":"","custom_fields":[{"id":1,"name":"Subdivision","value":"NW"},{"id":4,"name":"Milepost","value":"0.0752"},{"id":17,"name":"Train ID","value":"800-17"},{"id":16,"name":"Locomotive ID","value":"4017"},{"id":130,"name":"Impact","value":""},{"id":150,"name":"Time of Event (Mountain Time)","value":"05:24:39"},{"id":151,"name":"Denver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9"/>
        <v>start /low /b %USERPROFILE%\Documents\GitHub\eaglep3\Utilities\DownloadLogsFromS3.py --loco 4017 --day 2017-01-17</v>
      </c>
      <c r="AN157" s="18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520</v>
      </c>
      <c r="B158" s="7">
        <v>4018</v>
      </c>
      <c r="C158" s="22" t="s">
        <v>201</v>
      </c>
      <c r="D158" s="22" t="s">
        <v>785</v>
      </c>
      <c r="E158" s="13">
        <v>42752.226469907408</v>
      </c>
      <c r="F158" s="13">
        <v>42752.244571759256</v>
      </c>
      <c r="G158" s="7">
        <v>0</v>
      </c>
      <c r="H158" s="22" t="s">
        <v>439</v>
      </c>
      <c r="I158" s="13">
        <v>42752.253553240742</v>
      </c>
      <c r="J158" s="7">
        <v>0</v>
      </c>
      <c r="K158" s="105" t="str">
        <f t="shared" si="100"/>
        <v>4017/4018</v>
      </c>
      <c r="L158" s="22" t="str">
        <f>VLOOKUP(A158,'Trips&amp;Operators'!$C$1:$G$99999,5,FALSE)</f>
        <v>YORK EDGAR</v>
      </c>
      <c r="M158" s="6">
        <f t="shared" si="101"/>
        <v>8.9814814855344594E-3</v>
      </c>
      <c r="N158" s="7">
        <f t="shared" si="102"/>
        <v>12.933333339169621</v>
      </c>
      <c r="O158" s="7"/>
      <c r="P158" s="7"/>
      <c r="Q158" s="23"/>
      <c r="R158" s="23"/>
      <c r="S158" s="32">
        <f t="shared" si="103"/>
        <v>1</v>
      </c>
      <c r="T158" s="47" t="str">
        <f t="shared" si="104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74"/>
        <v>https://d0f6bd738d7f1b3e5a7ca70fe4ff75f0.us-east-1.aws.found.io/app/kibana#/discover/Steve-Slow-Train-Analysis-(2080s-and-2083s)?_g=(refreshInterval:(display:Off,pause:!f,section:0,value:0),time:(from:'2017-01-17T04:26:07-0700',mode:absolute,to:'2017-01-17T07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49" t="str">
        <f t="shared" si="105"/>
        <v>N</v>
      </c>
      <c r="X158" s="173">
        <f t="shared" si="91"/>
        <v>1</v>
      </c>
      <c r="Y158" s="64">
        <f t="shared" si="106"/>
        <v>0.10349999999999999</v>
      </c>
      <c r="Z158" s="64">
        <f t="shared" si="107"/>
        <v>5.8929</v>
      </c>
      <c r="AA158" s="64">
        <f t="shared" si="108"/>
        <v>5.7893999999999997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109"/>
        <v>0801-17</v>
      </c>
      <c r="AE158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58" s="84" t="str">
        <f t="shared" si="81"/>
        <v>"C:\Program Files (x86)\AstroGrep\AstroGrep.exe" /spath="%USERPROFILE%\AppData\Local\Temp\OnboardLogs" /stypes="app*4018*20170117*" /stext=" 13:.+((SYSTEM_STATE.+slice.+state.+changed )|(ment ac)|(multiple cpu faults)|(system.+state.+changed )|(\[timeout)|(PRM\|1\|D)|(kpr)|(kdp)|(\|lc)|(penalty))" /e /r /s</v>
      </c>
      <c r="AG158" s="1" t="str">
        <f t="shared" si="110"/>
        <v>NW</v>
      </c>
      <c r="AH158" s="88" t="str">
        <f t="shared" si="67"/>
        <v>"%USERPROFILE%\Documents\GitHub\eaglep3\Utilities\RefineRTDCRunTimes.py" --tripid 801-17 --locoid 4018 --swversion DE.1.0.8.0 --startMP 204:1035 --initTime 2017-01-17T05:26:07 --startdatetime 2017-01-17T05:52:11 --delay 0 --endMP 300:58929 --enddatetime 2017-01-17T06:05:07 --enforcementcount 0 &gt;&gt;C:\Users\stu\Documents\GitHub\eaglep3-reporting\EC\2017-01-17-refined-times.txt</v>
      </c>
      <c r="AI158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{"issue":{"subject":"","project_id":79,"tracker_id":40,"status_id":1,"priority_id":2,"assigned_to_id":23,"start_date":"2017-01-17","description":"","custom_fields":[{"id":1,"name":"Subdivision","value":"NW"},{"id":4,"name":"Milepost","value":"5.8929"},{"id":17,"name":"Train ID","value":"801-17"},{"id":16,"name":"Locomotive ID","value":"4018"},{"id":130,"name":"Impact","value":""},{"id":150,"name":"Time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9"/>
        <v>start /low /b %USERPROFILE%\Documents\GitHub\eaglep3\Utilities\DownloadLogsFromS3.py --loco 4018 --day 2017-01-17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528</v>
      </c>
      <c r="B159" s="7">
        <v>4017</v>
      </c>
      <c r="C159" s="22" t="s">
        <v>201</v>
      </c>
      <c r="D159" s="22" t="s">
        <v>786</v>
      </c>
      <c r="E159" s="13">
        <v>42752.254687499997</v>
      </c>
      <c r="F159" s="13">
        <v>42752.256435185183</v>
      </c>
      <c r="G159" s="7">
        <v>1</v>
      </c>
      <c r="H159" s="22" t="s">
        <v>787</v>
      </c>
      <c r="I159" s="13">
        <v>42752.267407407409</v>
      </c>
      <c r="J159" s="7">
        <v>0</v>
      </c>
      <c r="K159" s="105" t="str">
        <f t="shared" si="100"/>
        <v>4017/4018</v>
      </c>
      <c r="L159" s="22" t="str">
        <f>VLOOKUP(A159,'Trips&amp;Operators'!$C$1:$G$99999,5,FALSE)</f>
        <v>YORK EDGAR</v>
      </c>
      <c r="M159" s="6">
        <f t="shared" si="101"/>
        <v>1.0972222225973383E-2</v>
      </c>
      <c r="N159" s="7">
        <f t="shared" si="102"/>
        <v>15.800000005401671</v>
      </c>
      <c r="O159" s="7"/>
      <c r="P159" s="7"/>
      <c r="Q159" s="23"/>
      <c r="R159" s="23"/>
      <c r="S159" s="32">
        <f t="shared" si="103"/>
        <v>1</v>
      </c>
      <c r="T159" s="47" t="str">
        <f t="shared" si="104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74"/>
        <v>https://d0f6bd738d7f1b3e5a7ca70fe4ff75f0.us-east-1.aws.found.io/app/kibana#/discover/Steve-Slow-Train-Analysis-(2080s-and-2083s)?_g=(refreshInterval:(display:Off,pause:!f,section:0,value:0),time:(from:'2017-01-17T05:06:45-0700',mode:absolute,to:'2017-01-17T07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49" t="str">
        <f t="shared" si="105"/>
        <v>N</v>
      </c>
      <c r="X159" s="173">
        <f t="shared" ref="X159:X190" si="111">VALUE(LEFT(AD159,4))-VALUE(LEFT(AD158,4))</f>
        <v>1</v>
      </c>
      <c r="Y159" s="64">
        <f t="shared" si="106"/>
        <v>5.8605999999999998</v>
      </c>
      <c r="Z159" s="64">
        <f t="shared" si="107"/>
        <v>7.3400000000000007E-2</v>
      </c>
      <c r="AA159" s="64">
        <f t="shared" si="108"/>
        <v>5.7871999999999995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109"/>
        <v>0802-17</v>
      </c>
      <c r="AE159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59" s="84" t="str">
        <f t="shared" si="81"/>
        <v>"C:\Program Files (x86)\AstroGrep\AstroGrep.exe" /spath="%USERPROFILE%\AppData\Local\Temp\OnboardLogs" /stypes="app*4017*20170117*" /stext=" 13:.+((SYSTEM_STATE.+slice.+state.+changed )|(ment ac)|(multiple cpu faults)|(system.+state.+changed )|(\[timeout)|(PRM\|1\|D)|(kpr)|(kdp)|(\|lc)|(penalty))" /e /r /s</v>
      </c>
      <c r="AG159" s="1" t="str">
        <f t="shared" si="110"/>
        <v>NW</v>
      </c>
      <c r="AH159" s="88" t="str">
        <f t="shared" si="67"/>
        <v>"%USERPROFILE%\Documents\GitHub\eaglep3\Utilities\RefineRTDCRunTimes.py" --tripid 802-17 --locoid 4017 --swversion DE.1.0.8.0 --startMP 300:58606 --initTime 2017-01-17T06:06:45 --startdatetime 2017-01-17T06:09:16 --delay 1 --endMP 204:734 --enddatetime 2017-01-17T06:25:04 --enforcementcount 0 &gt;&gt;C:\Users\stu\Documents\GitHub\eaglep3-reporting\EC\2017-01-17-refined-times.txt</v>
      </c>
      <c r="AI159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{"issue":{"subject":"","project_id":79,"tracker_id":40,"status_id":1,"priority_id":2,"assigned_to_id":23,"start_date":"2017-01-17","description":"","custom_fields":[{"id":1,"name":"Subdivision","value":"NW"},{"id":4,"name":"Milepost","value":"0.0734"},{"id":17,"name":"Train ID","value":"802-17"},{"id":16,"name":"Locomotive ID","value":"4017"},{"id":130,"name":"Impact","value":""},{"id":150,"name":"Time of Event (Mountain Time)","value":"06:25:04"},{"id":151,"name":"Denver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9"/>
        <v>start /low /b %USERPROFILE%\Documents\GitHub\eaglep3\Utilities\DownloadLogsFromS3.py --loco 4017 --day 2017-01-17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530</v>
      </c>
      <c r="B160" s="7">
        <v>4020</v>
      </c>
      <c r="C160" s="22" t="s">
        <v>201</v>
      </c>
      <c r="D160" s="22" t="s">
        <v>788</v>
      </c>
      <c r="E160" s="13">
        <v>42752.25986111111</v>
      </c>
      <c r="F160" s="13">
        <v>42752.264745370368</v>
      </c>
      <c r="G160" s="7">
        <v>2</v>
      </c>
      <c r="H160" s="22" t="s">
        <v>329</v>
      </c>
      <c r="I160" s="13">
        <v>42752.274305555555</v>
      </c>
      <c r="J160" s="7">
        <v>0</v>
      </c>
      <c r="K160" s="105" t="str">
        <f t="shared" si="100"/>
        <v>4019/4020</v>
      </c>
      <c r="L160" s="22" t="str">
        <f>VLOOKUP(A160,'Trips&amp;Operators'!$C$1:$G$99999,5,FALSE)</f>
        <v>BROWN JACOB</v>
      </c>
      <c r="M160" s="6">
        <f t="shared" si="101"/>
        <v>9.560185186273884E-3</v>
      </c>
      <c r="N160" s="7">
        <f t="shared" si="102"/>
        <v>13.766666668234393</v>
      </c>
      <c r="O160" s="7"/>
      <c r="P160" s="7"/>
      <c r="Q160" s="23"/>
      <c r="R160" s="23"/>
      <c r="S160" s="32">
        <f t="shared" si="103"/>
        <v>1</v>
      </c>
      <c r="T160" s="47" t="str">
        <f t="shared" si="104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74"/>
        <v>https://d0f6bd738d7f1b3e5a7ca70fe4ff75f0.us-east-1.aws.found.io/app/kibana#/discover/Steve-Slow-Train-Analysis-(2080s-and-2083s)?_g=(refreshInterval:(display:Off,pause:!f,section:0,value:0),time:(from:'2017-01-17T05:14:12-0700',mode:absolute,to:'2017-01-17T07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49" t="str">
        <f t="shared" si="105"/>
        <v>N</v>
      </c>
      <c r="X160" s="173">
        <f t="shared" si="111"/>
        <v>1</v>
      </c>
      <c r="Y160" s="64">
        <f t="shared" si="106"/>
        <v>0.1002</v>
      </c>
      <c r="Z160" s="64">
        <f t="shared" si="107"/>
        <v>5.8959999999999999</v>
      </c>
      <c r="AA160" s="64">
        <f t="shared" si="108"/>
        <v>5.7957999999999998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109"/>
        <v>0803-17</v>
      </c>
      <c r="AE160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60" s="84" t="str">
        <f t="shared" si="81"/>
        <v>"C:\Program Files (x86)\AstroGrep\AstroGrep.exe" /spath="%USERPROFILE%\AppData\Local\Temp\OnboardLogs" /stypes="app*4020*20170117*" /stext=" 13:.+((SYSTEM_STATE.+slice.+state.+changed )|(ment ac)|(multiple cpu faults)|(system.+state.+changed )|(\[timeout)|(PRM\|1\|D)|(kpr)|(kdp)|(\|lc)|(penalty))" /e /r /s</v>
      </c>
      <c r="AG160" s="1" t="str">
        <f t="shared" si="110"/>
        <v>NW</v>
      </c>
      <c r="AH160" s="88" t="str">
        <f t="shared" si="67"/>
        <v>"%USERPROFILE%\Documents\GitHub\eaglep3\Utilities\RefineRTDCRunTimes.py" --tripid 803-17 --locoid 4020 --swversion DE.1.0.8.0 --startMP 204:1002 --initTime 2017-01-17T06:14:12 --startdatetime 2017-01-17T06:21:14 --delay 2 --endMP 300:58960 --enddatetime 2017-01-17T06:35:00 --enforcementcount 0 &gt;&gt;C:\Users\stu\Documents\GitHub\eaglep3-reporting\EC\2017-01-17-refined-times.txt</v>
      </c>
      <c r="AI160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{"issue":{"subject":"","project_id":79,"tracker_id":40,"status_id":1,"priority_id":2,"assigned_to_id":23,"start_date":"2017-01-17","description":"","custom_fields":[{"id":1,"name":"Subdivision","value":"NW"},{"id":4,"name":"Milepost","value":"5.896"},{"id":17,"name":"Train ID","value":"803-17"},{"id":16,"name":"Locomotive ID","value":"4020"},{"id":130,"name":"Impact","value":""},{"id":150,"name":"Time of Event (Mountain Time)","value":"06:35:00"},{"id":151,"name":"Denver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9"/>
        <v>start /low /b %USERPROFILE%\Documents\GitHub\eaglep3\Utilities\DownloadLogsFromS3.py --loco 4020 --day 2017-01-17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534</v>
      </c>
      <c r="B161" s="7">
        <v>4019</v>
      </c>
      <c r="C161" s="22" t="s">
        <v>201</v>
      </c>
      <c r="D161" s="22" t="s">
        <v>789</v>
      </c>
      <c r="E161" s="13">
        <v>42752.27584490741</v>
      </c>
      <c r="F161" s="13">
        <v>42752.277118055557</v>
      </c>
      <c r="G161" s="7">
        <v>1</v>
      </c>
      <c r="H161" s="22" t="s">
        <v>787</v>
      </c>
      <c r="I161" s="13">
        <v>42752.2887962963</v>
      </c>
      <c r="J161" s="7">
        <v>0</v>
      </c>
      <c r="K161" s="105" t="str">
        <f t="shared" si="100"/>
        <v>4019/4020</v>
      </c>
      <c r="L161" s="22" t="str">
        <f>VLOOKUP(A161,'Trips&amp;Operators'!$C$1:$G$99999,5,FALSE)</f>
        <v>BROWN JACOB</v>
      </c>
      <c r="M161" s="6">
        <f t="shared" si="101"/>
        <v>1.1678240742185153E-2</v>
      </c>
      <c r="N161" s="7">
        <f t="shared" si="102"/>
        <v>16.81666666874662</v>
      </c>
      <c r="O161" s="7"/>
      <c r="P161" s="7"/>
      <c r="Q161" s="23"/>
      <c r="R161" s="23"/>
      <c r="S161" s="32">
        <f t="shared" si="103"/>
        <v>1</v>
      </c>
      <c r="T161" s="47" t="str">
        <f t="shared" si="104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74"/>
        <v>https://d0f6bd738d7f1b3e5a7ca70fe4ff75f0.us-east-1.aws.found.io/app/kibana#/discover/Steve-Slow-Train-Analysis-(2080s-and-2083s)?_g=(refreshInterval:(display:Off,pause:!f,section:0,value:0),time:(from:'2017-01-17T05:37:13-0700',mode:absolute,to:'2017-01-17T07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49" t="str">
        <f t="shared" si="105"/>
        <v>N</v>
      </c>
      <c r="X161" s="173">
        <f t="shared" si="111"/>
        <v>1</v>
      </c>
      <c r="Y161" s="64">
        <f t="shared" si="106"/>
        <v>5.8644999999999996</v>
      </c>
      <c r="Z161" s="64">
        <f t="shared" si="107"/>
        <v>7.3400000000000007E-2</v>
      </c>
      <c r="AA161" s="64">
        <f t="shared" si="108"/>
        <v>5.7910999999999992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109"/>
        <v>0804-17</v>
      </c>
      <c r="AE161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61" s="84" t="str">
        <f t="shared" si="81"/>
        <v>"C:\Program Files (x86)\AstroGrep\AstroGrep.exe" /spath="%USERPROFILE%\AppData\Local\Temp\OnboardLogs" /stypes="app*4019*20170117*" /stext=" 13:.+((SYSTEM_STATE.+slice.+state.+changed )|(ment ac)|(multiple cpu faults)|(system.+state.+changed )|(\[timeout)|(PRM\|1\|D)|(kpr)|(kdp)|(\|lc)|(penalty))" /e /r /s</v>
      </c>
      <c r="AG161" s="1" t="str">
        <f t="shared" si="110"/>
        <v>NW</v>
      </c>
      <c r="AH161" s="88" t="str">
        <f t="shared" si="67"/>
        <v>"%USERPROFILE%\Documents\GitHub\eaglep3\Utilities\RefineRTDCRunTimes.py" --tripid 804-17 --locoid 4019 --swversion DE.1.0.8.0 --startMP 300:58645 --initTime 2017-01-17T06:37:13 --startdatetime 2017-01-17T06:39:03 --delay 1 --endMP 204:734 --enddatetime 2017-01-17T06:55:52 --enforcementcount 0 &gt;&gt;C:\Users\stu\Documents\GitHub\eaglep3-reporting\EC\2017-01-17-refined-times.txt</v>
      </c>
      <c r="AI161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{"issue":{"subject":"","project_id":79,"tracker_id":40,"status_id":1,"priority_id":2,"assigned_to_id":23,"start_date":"2017-01-17","description":"","custom_fields":[{"id":1,"name":"Subdivision","value":"NW"},{"id":4,"name":"Milepost","value":"0.0734"},{"id":17,"name":"Train ID","value":"804-17"},{"id":16,"name":"Locomotive ID","value":"4019"},{"id":130,"name":"Impact","value":""},{"id":150,"name":"Time of Event (Mountain Time)","value":"06:55:52"},{"id":151,"name":"Denver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9"/>
        <v>start /low /b %USERPROFILE%\Documents\GitHub\eaglep3\Utilities\DownloadLogsFromS3.py --loco 4019 --day 2017-01-17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458</v>
      </c>
      <c r="B162" s="7">
        <v>4018</v>
      </c>
      <c r="C162" s="22" t="s">
        <v>201</v>
      </c>
      <c r="D162" s="22" t="s">
        <v>790</v>
      </c>
      <c r="E162" s="13">
        <v>42752.268194444441</v>
      </c>
      <c r="F162" s="13">
        <v>42752.285694444443</v>
      </c>
      <c r="G162" s="7">
        <v>1</v>
      </c>
      <c r="H162" s="22" t="s">
        <v>439</v>
      </c>
      <c r="I162" s="13">
        <v>42752.295358796298</v>
      </c>
      <c r="J162" s="7">
        <v>0</v>
      </c>
      <c r="K162" s="105" t="str">
        <f t="shared" si="100"/>
        <v>4017/4018</v>
      </c>
      <c r="L162" s="22" t="str">
        <f>VLOOKUP(A162,'Trips&amp;Operators'!$C$1:$G$99999,5,FALSE)</f>
        <v>YORK EDGAR</v>
      </c>
      <c r="M162" s="6">
        <f t="shared" si="101"/>
        <v>9.6643518554628827E-3</v>
      </c>
      <c r="N162" s="7">
        <f t="shared" si="102"/>
        <v>13.916666671866551</v>
      </c>
      <c r="O162" s="7"/>
      <c r="P162" s="7"/>
      <c r="Q162" s="23"/>
      <c r="R162" s="23"/>
      <c r="S162" s="32">
        <f t="shared" si="103"/>
        <v>1</v>
      </c>
      <c r="T162" s="47" t="str">
        <f t="shared" si="104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74"/>
        <v>https://d0f6bd738d7f1b3e5a7ca70fe4ff75f0.us-east-1.aws.found.io/app/kibana#/discover/Steve-Slow-Train-Analysis-(2080s-and-2083s)?_g=(refreshInterval:(display:Off,pause:!f,section:0,value:0),time:(from:'2017-01-17T05:26:12-0700',mode:absolute,to:'2017-01-17T08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49" t="str">
        <f t="shared" si="105"/>
        <v>N</v>
      </c>
      <c r="X162" s="173">
        <f t="shared" si="111"/>
        <v>1</v>
      </c>
      <c r="Y162" s="64">
        <f t="shared" si="106"/>
        <v>0.1027</v>
      </c>
      <c r="Z162" s="64">
        <f t="shared" si="107"/>
        <v>5.8929</v>
      </c>
      <c r="AA162" s="64">
        <f t="shared" si="108"/>
        <v>5.7902000000000005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109"/>
        <v>0805-17</v>
      </c>
      <c r="AE162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62" s="84" t="str">
        <f t="shared" si="81"/>
        <v>"C:\Program Files (x86)\AstroGrep\AstroGrep.exe" /spath="%USERPROFILE%\AppData\Local\Temp\OnboardLogs" /stypes="app*4018*20170117*" /stext=" 14:.+((SYSTEM_STATE.+slice.+state.+changed )|(ment ac)|(multiple cpu faults)|(system.+state.+changed )|(\[timeout)|(PRM\|1\|D)|(kpr)|(kdp)|(\|lc)|(penalty))" /e /r /s</v>
      </c>
      <c r="AG162" s="1" t="str">
        <f t="shared" si="110"/>
        <v>NW</v>
      </c>
      <c r="AH162" s="88" t="str">
        <f t="shared" si="67"/>
        <v>"%USERPROFILE%\Documents\GitHub\eaglep3\Utilities\RefineRTDCRunTimes.py" --tripid 805-17 --locoid 4018 --swversion DE.1.0.8.0 --startMP 204:1027 --initTime 2017-01-17T06:26:12 --startdatetime 2017-01-17T06:51:24 --delay 1 --endMP 300:58929 --enddatetime 2017-01-17T07:05:19 --enforcementcount 0 &gt;&gt;C:\Users\stu\Documents\GitHub\eaglep3-reporting\EC\2017-01-17-refined-times.txt</v>
      </c>
      <c r="AI162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{"issue":{"subject":"","project_id":79,"tracker_id":40,"status_id":1,"priority_id":2,"assigned_to_id":23,"start_date":"2017-01-17","description":"","custom_fields":[{"id":1,"name":"Subdivision","value":"NW"},{"id":4,"name":"Milepost","value":"5.8929"},{"id":17,"name":"Train ID","value":"805-17"},{"id":16,"name":"Locomotive ID","value":"4018"},{"id":130,"name":"Impact","value":""},{"id":150,"name":"Time of Event (Mountain Time)","value":"07:05:19"},{"id":151,"name":"Denver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9"/>
        <v>start /low /b %USERPROFILE%\Documents\GitHub\eaglep3\Utilities\DownloadLogsFromS3.py --loco 4018 --day 2017-01-17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539</v>
      </c>
      <c r="B163" s="7">
        <v>4017</v>
      </c>
      <c r="C163" s="22" t="s">
        <v>201</v>
      </c>
      <c r="D163" s="22" t="s">
        <v>791</v>
      </c>
      <c r="E163" s="13">
        <v>42752.296273148146</v>
      </c>
      <c r="F163" s="13">
        <v>42752.298136574071</v>
      </c>
      <c r="G163" s="7">
        <v>1</v>
      </c>
      <c r="H163" s="22" t="s">
        <v>343</v>
      </c>
      <c r="I163" s="13">
        <v>42752.309189814812</v>
      </c>
      <c r="J163" s="7">
        <v>0</v>
      </c>
      <c r="K163" s="105" t="str">
        <f t="shared" si="100"/>
        <v>4017/4018</v>
      </c>
      <c r="L163" s="22" t="str">
        <f>VLOOKUP(A163,'Trips&amp;Operators'!$C$1:$G$99999,5,FALSE)</f>
        <v>YORK EDGAR</v>
      </c>
      <c r="M163" s="6">
        <f t="shared" si="101"/>
        <v>1.1053240741603076E-2</v>
      </c>
      <c r="N163" s="7">
        <f t="shared" si="102"/>
        <v>15.91666666790843</v>
      </c>
      <c r="O163" s="7"/>
      <c r="P163" s="7"/>
      <c r="Q163" s="23"/>
      <c r="R163" s="23"/>
      <c r="S163" s="32">
        <f t="shared" si="103"/>
        <v>1</v>
      </c>
      <c r="T163" s="47" t="str">
        <f t="shared" si="104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74"/>
        <v>https://d0f6bd738d7f1b3e5a7ca70fe4ff75f0.us-east-1.aws.found.io/app/kibana#/discover/Steve-Slow-Train-Analysis-(2080s-and-2083s)?_g=(refreshInterval:(display:Off,pause:!f,section:0,value:0),time:(from:'2017-01-17T06:06:38-0700',mode:absolute,to:'2017-01-17T08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49" t="str">
        <f t="shared" si="105"/>
        <v>N</v>
      </c>
      <c r="X163" s="173">
        <f t="shared" si="111"/>
        <v>1</v>
      </c>
      <c r="Y163" s="64">
        <f t="shared" si="106"/>
        <v>5.8615000000000004</v>
      </c>
      <c r="Z163" s="64">
        <f t="shared" si="107"/>
        <v>7.4099999999999999E-2</v>
      </c>
      <c r="AA163" s="64">
        <f t="shared" si="108"/>
        <v>5.7874000000000008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109"/>
        <v>0806-17</v>
      </c>
      <c r="AE163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63" s="84" t="str">
        <f t="shared" si="81"/>
        <v>"C:\Program Files (x86)\AstroGrep\AstroGrep.exe" /spath="%USERPROFILE%\AppData\Local\Temp\OnboardLogs" /stypes="app*4017*20170117*" /stext=" 14:.+((SYSTEM_STATE.+slice.+state.+changed )|(ment ac)|(multiple cpu faults)|(system.+state.+changed )|(\[timeout)|(PRM\|1\|D)|(kpr)|(kdp)|(\|lc)|(penalty))" /e /r /s</v>
      </c>
      <c r="AG163" s="1" t="str">
        <f t="shared" si="110"/>
        <v>NW</v>
      </c>
      <c r="AH163" s="88" t="str">
        <f t="shared" si="67"/>
        <v>"%USERPROFILE%\Documents\GitHub\eaglep3\Utilities\RefineRTDCRunTimes.py" --tripid 806-17 --locoid 4017 --swversion DE.1.0.8.0 --startMP 300:58615 --initTime 2017-01-17T07:06:38 --startdatetime 2017-01-17T07:09:19 --delay 1 --endMP 204:741 --enddatetime 2017-01-17T07:25:14 --enforcementcount 0 &gt;&gt;C:\Users\stu\Documents\GitHub\eaglep3-reporting\EC\2017-01-17-refined-times.txt</v>
      </c>
      <c r="AI163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{"issue":{"subject":"","project_id":79,"tracker_id":40,"status_id":1,"priority_id":2,"assigned_to_id":23,"start_date":"2017-01-17","description":"","custom_fields":[{"id":1,"name":"Subdivision","value":"NW"},{"id":4,"name":"Milepost","value":"0.0741"},{"id":17,"name":"Train ID","value":"806-17"},{"id":16,"name":"Locomotive ID","value":"4017"},{"id":130,"name":"Impact","value":""},{"id":150,"name":"Time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9"/>
        <v>start /low /b %USERPROFILE%\Documents\GitHub\eaglep3\Utilities\DownloadLogsFromS3.py --loco 4017 --day 2017-01-17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541</v>
      </c>
      <c r="B164" s="7">
        <v>4020</v>
      </c>
      <c r="C164" s="22" t="s">
        <v>201</v>
      </c>
      <c r="D164" s="22" t="s">
        <v>792</v>
      </c>
      <c r="E164" s="13">
        <v>42752.303599537037</v>
      </c>
      <c r="F164" s="13">
        <v>42752.30667824074</v>
      </c>
      <c r="G164" s="7">
        <v>2</v>
      </c>
      <c r="H164" s="22" t="s">
        <v>352</v>
      </c>
      <c r="I164" s="13">
        <v>42752.316759259258</v>
      </c>
      <c r="J164" s="7">
        <v>0</v>
      </c>
      <c r="K164" s="105" t="str">
        <f t="shared" si="100"/>
        <v>4019/4020</v>
      </c>
      <c r="L164" s="22" t="str">
        <f>VLOOKUP(A164,'Trips&amp;Operators'!$C$1:$G$99999,5,FALSE)</f>
        <v>BROWN JACOB</v>
      </c>
      <c r="M164" s="6">
        <f t="shared" si="101"/>
        <v>1.0081018517666962E-2</v>
      </c>
      <c r="N164" s="7">
        <f t="shared" si="102"/>
        <v>14.516666665440425</v>
      </c>
      <c r="O164" s="7"/>
      <c r="P164" s="7"/>
      <c r="Q164" s="23"/>
      <c r="R164" s="23"/>
      <c r="S164" s="32">
        <f t="shared" si="103"/>
        <v>1</v>
      </c>
      <c r="T164" s="47" t="str">
        <f t="shared" si="104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74"/>
        <v>https://d0f6bd738d7f1b3e5a7ca70fe4ff75f0.us-east-1.aws.found.io/app/kibana#/discover/Steve-Slow-Train-Analysis-(2080s-and-2083s)?_g=(refreshInterval:(display:Off,pause:!f,section:0,value:0),time:(from:'2017-01-17T06:17:11-0700',mode:absolute,to:'2017-01-17T08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49" t="str">
        <f t="shared" si="105"/>
        <v>N</v>
      </c>
      <c r="X164" s="173">
        <f t="shared" si="111"/>
        <v>1</v>
      </c>
      <c r="Y164" s="64">
        <f t="shared" si="106"/>
        <v>0.1</v>
      </c>
      <c r="Z164" s="64">
        <f t="shared" si="107"/>
        <v>5.8935000000000004</v>
      </c>
      <c r="AA164" s="64">
        <f t="shared" si="108"/>
        <v>5.7935000000000008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109"/>
        <v>0807-17</v>
      </c>
      <c r="AE164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64" s="84" t="str">
        <f t="shared" si="81"/>
        <v>"C:\Program Files (x86)\AstroGrep\AstroGrep.exe" /spath="%USERPROFILE%\AppData\Local\Temp\OnboardLogs" /stypes="app*4020*20170117*" /stext=" 14:.+((SYSTEM_STATE.+slice.+state.+changed )|(ment ac)|(multiple cpu faults)|(system.+state.+changed )|(\[timeout)|(PRM\|1\|D)|(kpr)|(kdp)|(\|lc)|(penalty))" /e /r /s</v>
      </c>
      <c r="AG164" s="1" t="str">
        <f t="shared" si="110"/>
        <v>NW</v>
      </c>
      <c r="AH164" s="88" t="str">
        <f t="shared" si="67"/>
        <v>"%USERPROFILE%\Documents\GitHub\eaglep3\Utilities\RefineRTDCRunTimes.py" --tripid 807-17 --locoid 4020 --swversion DE.1.0.8.0 --startMP 204:1000 --initTime 2017-01-17T07:17:11 --startdatetime 2017-01-17T07:21:37 --delay 2 --endMP 300:58935 --enddatetime 2017-01-17T07:36:08 --enforcementcount 0 &gt;&gt;C:\Users\stu\Documents\GitHub\eaglep3-reporting\EC\2017-01-17-refined-times.txt</v>
      </c>
      <c r="AI164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{"issue":{"subject":"","project_id":79,"tracker_id":40,"status_id":1,"priority_id":2,"assigned_to_id":23,"start_date":"2017-01-17","description":"","custom_fields":[{"id":1,"name":"Subdivision","value":"NW"},{"id":4,"name":"Milepost","value":"5.8935"},{"id":17,"name":"Train ID","value":"807-17"},{"id":16,"name":"Locomotive ID","value":"4020"},{"id":130,"name":"Impact","value":""},{"id":150,"name":"Time of Event (Mountain Time)","value":"07:36:08"},{"id":151,"name":"Denver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9"/>
        <v>start /low /b %USERPROFILE%\Documents\GitHub\eaglep3\Utilities\DownloadLogsFromS3.py --loco 4020 --day 2017-01-17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544</v>
      </c>
      <c r="B165" s="7">
        <v>4019</v>
      </c>
      <c r="C165" s="22" t="s">
        <v>201</v>
      </c>
      <c r="D165" s="22" t="s">
        <v>445</v>
      </c>
      <c r="E165" s="13">
        <v>42752.317662037036</v>
      </c>
      <c r="F165" s="13">
        <v>42752.318969907406</v>
      </c>
      <c r="G165" s="7">
        <v>1</v>
      </c>
      <c r="H165" s="22" t="s">
        <v>399</v>
      </c>
      <c r="I165" s="13">
        <v>42752.330277777779</v>
      </c>
      <c r="J165" s="7">
        <v>0</v>
      </c>
      <c r="K165" s="105" t="str">
        <f t="shared" si="100"/>
        <v>4019/4020</v>
      </c>
      <c r="L165" s="22" t="str">
        <f>VLOOKUP(A165,'Trips&amp;Operators'!$C$1:$G$99999,5,FALSE)</f>
        <v>BROWN JACOB</v>
      </c>
      <c r="M165" s="6">
        <f t="shared" si="101"/>
        <v>1.1307870372547768E-2</v>
      </c>
      <c r="N165" s="7">
        <f t="shared" si="102"/>
        <v>16.283333336468786</v>
      </c>
      <c r="O165" s="7"/>
      <c r="P165" s="7"/>
      <c r="Q165" s="23"/>
      <c r="R165" s="23"/>
      <c r="S165" s="32">
        <f t="shared" si="103"/>
        <v>1</v>
      </c>
      <c r="T165" s="47" t="str">
        <f t="shared" si="104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74"/>
        <v>https://d0f6bd738d7f1b3e5a7ca70fe4ff75f0.us-east-1.aws.found.io/app/kibana#/discover/Steve-Slow-Train-Analysis-(2080s-and-2083s)?_g=(refreshInterval:(display:Off,pause:!f,section:0,value:0),time:(from:'2017-01-17T06:37:26-0700',mode:absolute,to:'2017-01-17T08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49" t="str">
        <f t="shared" si="105"/>
        <v>N</v>
      </c>
      <c r="X165" s="173">
        <f t="shared" si="111"/>
        <v>1</v>
      </c>
      <c r="Y165" s="64">
        <f t="shared" si="106"/>
        <v>5.8625999999999996</v>
      </c>
      <c r="Z165" s="64">
        <f t="shared" si="107"/>
        <v>7.2400000000000006E-2</v>
      </c>
      <c r="AA165" s="64">
        <f t="shared" si="108"/>
        <v>5.7901999999999996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109"/>
        <v>0808-17</v>
      </c>
      <c r="AE165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65" s="84" t="str">
        <f t="shared" si="81"/>
        <v>"C:\Program Files (x86)\AstroGrep\AstroGrep.exe" /spath="%USERPROFILE%\AppData\Local\Temp\OnboardLogs" /stypes="app*4019*20170117*" /stext=" 14:.+((SYSTEM_STATE.+slice.+state.+changed )|(ment ac)|(multiple cpu faults)|(system.+state.+changed )|(\[timeout)|(PRM\|1\|D)|(kpr)|(kdp)|(\|lc)|(penalty))" /e /r /s</v>
      </c>
      <c r="AG165" s="1" t="str">
        <f t="shared" si="110"/>
        <v>NW</v>
      </c>
      <c r="AH165" s="88" t="str">
        <f t="shared" si="67"/>
        <v>"%USERPROFILE%\Documents\GitHub\eaglep3\Utilities\RefineRTDCRunTimes.py" --tripid 808-17 --locoid 4019 --swversion DE.1.0.8.0 --startMP 300:58626 --initTime 2017-01-17T07:37:26 --startdatetime 2017-01-17T07:39:19 --delay 1 --endMP 204:724 --enddatetime 2017-01-17T07:55:36 --enforcementcount 0 &gt;&gt;C:\Users\stu\Documents\GitHub\eaglep3-reporting\EC\2017-01-17-refined-times.txt</v>
      </c>
      <c r="AI165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{"issue":{"subject":"","project_id":79,"tracker_id":40,"status_id":1,"priority_id":2,"assigned_to_id":23,"start_date":"2017-01-17","description":"","custom_fields":[{"id":1,"name":"Subdivision","value":"NW"},{"id":4,"name":"Milepost","value":"0.0724"},{"id":17,"name":"Train ID","value":"808-17"},{"id":16,"name":"Locomotive ID","value":"4019"},{"id":130,"name":"Impact","value":""},{"id":150,"name":"Time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9"/>
        <v>start /low /b %USERPROFILE%\Documents\GitHub\eaglep3\Utilities\DownloadLogsFromS3.py --loco 4019 --day 2017-01-17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543</v>
      </c>
      <c r="B166" s="7">
        <v>4018</v>
      </c>
      <c r="C166" s="22" t="s">
        <v>201</v>
      </c>
      <c r="D166" s="22" t="s">
        <v>793</v>
      </c>
      <c r="E166" s="13">
        <v>42752.310995370368</v>
      </c>
      <c r="F166" s="13">
        <v>42752.32739583333</v>
      </c>
      <c r="G166" s="7">
        <v>0</v>
      </c>
      <c r="H166" s="22" t="s">
        <v>352</v>
      </c>
      <c r="I166" s="13">
        <v>42752.336631944447</v>
      </c>
      <c r="J166" s="7">
        <v>0</v>
      </c>
      <c r="K166" s="105" t="str">
        <f t="shared" si="100"/>
        <v>4017/4018</v>
      </c>
      <c r="L166" s="22" t="str">
        <f>VLOOKUP(A166,'Trips&amp;Operators'!$C$1:$G$99999,5,FALSE)</f>
        <v>YORK EDGAR</v>
      </c>
      <c r="M166" s="6">
        <f t="shared" si="101"/>
        <v>9.236111116479151E-3</v>
      </c>
      <c r="N166" s="7">
        <f t="shared" si="102"/>
        <v>13.300000007729977</v>
      </c>
      <c r="O166" s="7"/>
      <c r="P166" s="7"/>
      <c r="Q166" s="23"/>
      <c r="R166" s="23"/>
      <c r="S166" s="32">
        <f t="shared" si="103"/>
        <v>1</v>
      </c>
      <c r="T166" s="47" t="str">
        <f t="shared" si="104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74"/>
        <v>https://d0f6bd738d7f1b3e5a7ca70fe4ff75f0.us-east-1.aws.found.io/app/kibana#/discover/Steve-Slow-Train-Analysis-(2080s-and-2083s)?_g=(refreshInterval:(display:Off,pause:!f,section:0,value:0),time:(from:'2017-01-17T06:27:50-0700',mode:absolute,to:'2017-01-17T09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49" t="str">
        <f t="shared" si="105"/>
        <v>N</v>
      </c>
      <c r="X166" s="173">
        <f t="shared" si="111"/>
        <v>1</v>
      </c>
      <c r="Y166" s="64">
        <f t="shared" si="106"/>
        <v>0.10249999999999999</v>
      </c>
      <c r="Z166" s="64">
        <f t="shared" si="107"/>
        <v>5.8935000000000004</v>
      </c>
      <c r="AA166" s="64">
        <f t="shared" si="108"/>
        <v>5.7910000000000004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109"/>
        <v>0809-17</v>
      </c>
      <c r="AE166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66" s="84" t="str">
        <f t="shared" si="81"/>
        <v>"C:\Program Files (x86)\AstroGrep\AstroGrep.exe" /spath="%USERPROFILE%\AppData\Local\Temp\OnboardLogs" /stypes="app*4018*20170117*" /stext=" 15:.+((SYSTEM_STATE.+slice.+state.+changed )|(ment ac)|(multiple cpu faults)|(system.+state.+changed )|(\[timeout)|(PRM\|1\|D)|(kpr)|(kdp)|(\|lc)|(penalty))" /e /r /s</v>
      </c>
      <c r="AG166" s="1" t="str">
        <f t="shared" si="110"/>
        <v>NW</v>
      </c>
      <c r="AH166" s="88" t="str">
        <f t="shared" si="67"/>
        <v>"%USERPROFILE%\Documents\GitHub\eaglep3\Utilities\RefineRTDCRunTimes.py" --tripid 809-17 --locoid 4018 --swversion DE.1.0.8.0 --startMP 204:1025 --initTime 2017-01-17T07:27:50 --startdatetime 2017-01-17T07:51:27 --delay 0 --endMP 300:58935 --enddatetime 2017-01-17T08:04:45 --enforcementcount 0 &gt;&gt;C:\Users\stu\Documents\GitHub\eaglep3-reporting\EC\2017-01-17-refined-times.txt</v>
      </c>
      <c r="AI166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{"issue":{"subject":"","project_id":79,"tracker_id":40,"status_id":1,"priority_id":2,"assigned_to_id":23,"start_date":"2017-01-17","description":"","custom_fields":[{"id":1,"name":"Subdivision","value":"NW"},{"id":4,"name":"Milepost","value":"5.8935"},{"id":17,"name":"Train ID","value":"809-17"},{"id":16,"name":"Locomotive ID","value":"4018"},{"id":130,"name":"Impact","value":""},{"id":150,"name":"Time of Event (Mountain Time)","value":"08:04:45"},{"id":151,"name":"Denver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9"/>
        <v>start /low /b %USERPROFILE%\Documents\GitHub\eaglep3\Utilities\DownloadLogsFromS3.py --loco 4018 --day 2017-01-17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549</v>
      </c>
      <c r="B167" s="7">
        <v>4017</v>
      </c>
      <c r="C167" s="22" t="s">
        <v>201</v>
      </c>
      <c r="D167" s="22" t="s">
        <v>794</v>
      </c>
      <c r="E167" s="13">
        <v>42752.337858796294</v>
      </c>
      <c r="F167" s="13">
        <v>42752.340150462966</v>
      </c>
      <c r="G167" s="7">
        <v>2</v>
      </c>
      <c r="H167" s="22" t="s">
        <v>795</v>
      </c>
      <c r="I167" s="13">
        <v>42752.350636574076</v>
      </c>
      <c r="J167" s="7">
        <v>0</v>
      </c>
      <c r="K167" s="105" t="str">
        <f t="shared" si="100"/>
        <v>4017/4018</v>
      </c>
      <c r="L167" s="22" t="str">
        <f>VLOOKUP(A167,'Trips&amp;Operators'!$C$1:$G$99999,5,FALSE)</f>
        <v>YORK EDGAR</v>
      </c>
      <c r="M167" s="6">
        <f t="shared" si="101"/>
        <v>1.0486111110367347E-2</v>
      </c>
      <c r="N167" s="7">
        <f t="shared" si="102"/>
        <v>15.099999998928979</v>
      </c>
      <c r="O167" s="7"/>
      <c r="P167" s="7"/>
      <c r="Q167" s="23"/>
      <c r="R167" s="23"/>
      <c r="S167" s="32">
        <f t="shared" si="103"/>
        <v>1</v>
      </c>
      <c r="T167" s="47" t="str">
        <f t="shared" si="104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74"/>
        <v>https://d0f6bd738d7f1b3e5a7ca70fe4ff75f0.us-east-1.aws.found.io/app/kibana#/discover/Steve-Slow-Train-Analysis-(2080s-and-2083s)?_g=(refreshInterval:(display:Off,pause:!f,section:0,value:0),time:(from:'2017-01-17T07:06:31-0700',mode:absolute,to:'2017-01-17T09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49" t="str">
        <f t="shared" si="105"/>
        <v>N</v>
      </c>
      <c r="X167" s="173">
        <f t="shared" si="111"/>
        <v>1</v>
      </c>
      <c r="Y167" s="64">
        <f t="shared" si="106"/>
        <v>5.8619000000000003</v>
      </c>
      <c r="Z167" s="64">
        <f t="shared" si="107"/>
        <v>8.3199999999999996E-2</v>
      </c>
      <c r="AA167" s="64">
        <f t="shared" si="108"/>
        <v>5.7787000000000006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109"/>
        <v>0810-17</v>
      </c>
      <c r="AE167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67" s="84" t="str">
        <f t="shared" si="81"/>
        <v>"C:\Program Files (x86)\AstroGrep\AstroGrep.exe" /spath="%USERPROFILE%\AppData\Local\Temp\OnboardLogs" /stypes="app*4017*20170117*" /stext=" 15:.+((SYSTEM_STATE.+slice.+state.+changed )|(ment ac)|(multiple cpu faults)|(system.+state.+changed )|(\[timeout)|(PRM\|1\|D)|(kpr)|(kdp)|(\|lc)|(penalty))" /e /r /s</v>
      </c>
      <c r="AG167" s="1" t="str">
        <f t="shared" si="110"/>
        <v>NW</v>
      </c>
      <c r="AH167" s="88" t="str">
        <f t="shared" si="67"/>
        <v>"%USERPROFILE%\Documents\GitHub\eaglep3\Utilities\RefineRTDCRunTimes.py" --tripid 810-17 --locoid 4017 --swversion DE.1.0.8.0 --startMP 300:58619 --initTime 2017-01-17T08:06:31 --startdatetime 2017-01-17T08:09:49 --delay 2 --endMP 204:832 --enddatetime 2017-01-17T08:24:55 --enforcementcount 0 &gt;&gt;C:\Users\stu\Documents\GitHub\eaglep3-reporting\EC\2017-01-17-refined-times.txt</v>
      </c>
      <c r="AI167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{"issue":{"subject":"","project_id":79,"tracker_id":40,"status_id":1,"priority_id":2,"assigned_to_id":23,"start_date":"2017-01-17","description":"","custom_fields":[{"id":1,"name":"Subdivision","value":"NW"},{"id":4,"name":"Milepost","value":"0.0832"},{"id":17,"name":"Train ID","value":"810-17"},{"id":16,"name":"Locomotive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9"/>
        <v>start /low /b %USERPROFILE%\Documents\GitHub\eaglep3\Utilities\DownloadLogsFromS3.py --loco 4017 --day 2017-01-17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552</v>
      </c>
      <c r="B168" s="7">
        <v>4020</v>
      </c>
      <c r="C168" s="22" t="s">
        <v>201</v>
      </c>
      <c r="D168" s="22" t="s">
        <v>435</v>
      </c>
      <c r="E168" s="13">
        <v>42752.346331018518</v>
      </c>
      <c r="F168" s="13">
        <v>42752.348124999997</v>
      </c>
      <c r="G168" s="7">
        <v>1</v>
      </c>
      <c r="H168" s="22" t="s">
        <v>796</v>
      </c>
      <c r="I168" s="13">
        <v>42752.357974537037</v>
      </c>
      <c r="J168" s="7">
        <v>0</v>
      </c>
      <c r="K168" s="105" t="str">
        <f t="shared" si="100"/>
        <v>4019/4020</v>
      </c>
      <c r="L168" s="22" t="str">
        <f>VLOOKUP(A168,'Trips&amp;Operators'!$C$1:$G$99999,5,FALSE)</f>
        <v>BROWN JACOB</v>
      </c>
      <c r="M168" s="6">
        <f t="shared" si="101"/>
        <v>9.8495370402815752E-3</v>
      </c>
      <c r="N168" s="7">
        <f t="shared" si="102"/>
        <v>14.183333338005468</v>
      </c>
      <c r="O168" s="7"/>
      <c r="P168" s="7"/>
      <c r="Q168" s="23"/>
      <c r="R168" s="23"/>
      <c r="S168" s="32">
        <f t="shared" si="103"/>
        <v>1</v>
      </c>
      <c r="T168" s="47" t="str">
        <f t="shared" si="104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74"/>
        <v>https://d0f6bd738d7f1b3e5a7ca70fe4ff75f0.us-east-1.aws.found.io/app/kibana#/discover/Steve-Slow-Train-Analysis-(2080s-and-2083s)?_g=(refreshInterval:(display:Off,pause:!f,section:0,value:0),time:(from:'2017-01-17T07:18:43-0700',mode:absolute,to:'2017-01-17T09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49" t="str">
        <f t="shared" si="105"/>
        <v>N</v>
      </c>
      <c r="X168" s="173">
        <f t="shared" si="111"/>
        <v>1</v>
      </c>
      <c r="Y168" s="64">
        <f t="shared" si="106"/>
        <v>0.1013</v>
      </c>
      <c r="Z168" s="64">
        <f t="shared" si="107"/>
        <v>5.8952</v>
      </c>
      <c r="AA168" s="64">
        <f t="shared" si="108"/>
        <v>5.7938999999999998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109"/>
        <v>0811-17</v>
      </c>
      <c r="AE168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68" s="84" t="str">
        <f t="shared" si="81"/>
        <v>"C:\Program Files (x86)\AstroGrep\AstroGrep.exe" /spath="%USERPROFILE%\AppData\Local\Temp\OnboardLogs" /stypes="app*4020*20170117*" /stext=" 15:.+((SYSTEM_STATE.+slice.+state.+changed )|(ment ac)|(multiple cpu faults)|(system.+state.+changed )|(\[timeout)|(PRM\|1\|D)|(kpr)|(kdp)|(\|lc)|(penalty))" /e /r /s</v>
      </c>
      <c r="AG168" s="1" t="str">
        <f t="shared" si="110"/>
        <v>NW</v>
      </c>
      <c r="AH168" s="88" t="str">
        <f t="shared" si="67"/>
        <v>"%USERPROFILE%\Documents\GitHub\eaglep3\Utilities\RefineRTDCRunTimes.py" --tripid 811-17 --locoid 4020 --swversion DE.1.0.8.0 --startMP 204:1013 --initTime 2017-01-17T08:18:43 --startdatetime 2017-01-17T08:21:18 --delay 1 --endMP 300:58952 --enddatetime 2017-01-17T08:35:29 --enforcementcount 0 &gt;&gt;C:\Users\stu\Documents\GitHub\eaglep3-reporting\EC\2017-01-17-refined-times.txt</v>
      </c>
      <c r="AI168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{"issue":{"subject":"","project_id":79,"tracker_id":40,"status_id":1,"priority_id":2,"assigned_to_id":23,"start_date":"2017-01-17","description":"","custom_fields":[{"id":1,"name":"Subdivision","value":"NW"},{"id":4,"name":"Milepost","value":"5.8952"},{"id":17,"name":"Train ID","value":"811-17"},{"id":16,"name":"Locomotive ID","value":"4020"},{"id":130,"name":"Impact","value":""},{"id":150,"name":"Time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9"/>
        <v>start /low /b %USERPROFILE%\Documents\GitHub\eaglep3\Utilities\DownloadLogsFromS3.py --loco 4020 --day 2017-01-17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555</v>
      </c>
      <c r="B169" s="7">
        <v>4019</v>
      </c>
      <c r="C169" s="22" t="s">
        <v>201</v>
      </c>
      <c r="D169" s="22" t="s">
        <v>299</v>
      </c>
      <c r="E169" s="13">
        <v>42752.358946759261</v>
      </c>
      <c r="F169" s="13">
        <v>42752.360266203701</v>
      </c>
      <c r="G169" s="7">
        <v>1</v>
      </c>
      <c r="H169" s="22" t="s">
        <v>429</v>
      </c>
      <c r="I169" s="13">
        <v>42752.375752314816</v>
      </c>
      <c r="J169" s="7">
        <v>0</v>
      </c>
      <c r="K169" s="105" t="str">
        <f t="shared" si="100"/>
        <v>4019/4020</v>
      </c>
      <c r="L169" s="22" t="str">
        <f>VLOOKUP(A169,'Trips&amp;Operators'!$C$1:$G$99999,5,FALSE)</f>
        <v>BROWN JACOB</v>
      </c>
      <c r="M169" s="6">
        <f t="shared" si="101"/>
        <v>1.5486111115023959E-2</v>
      </c>
      <c r="N169" s="7">
        <f t="shared" si="102"/>
        <v>22.300000005634502</v>
      </c>
      <c r="O169" s="7"/>
      <c r="P169" s="7"/>
      <c r="Q169" s="23"/>
      <c r="R169" s="23"/>
      <c r="S169" s="32">
        <f t="shared" si="103"/>
        <v>1</v>
      </c>
      <c r="T169" s="47" t="str">
        <f t="shared" si="104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74"/>
        <v>https://d0f6bd738d7f1b3e5a7ca70fe4ff75f0.us-east-1.aws.found.io/app/kibana#/discover/Steve-Slow-Train-Analysis-(2080s-and-2083s)?_g=(refreshInterval:(display:Off,pause:!f,section:0,value:0),time:(from:'2017-01-17T07:36:53-0700',mode:absolute,to:'2017-01-17T10:01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49" t="str">
        <f t="shared" si="105"/>
        <v>N</v>
      </c>
      <c r="X169" s="173">
        <f t="shared" si="111"/>
        <v>1</v>
      </c>
      <c r="Y169" s="64">
        <f t="shared" si="106"/>
        <v>5.8638000000000003</v>
      </c>
      <c r="Z169" s="64">
        <f t="shared" si="107"/>
        <v>7.4700000000000003E-2</v>
      </c>
      <c r="AA169" s="64">
        <f t="shared" si="108"/>
        <v>5.7891000000000004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109"/>
        <v>0812-17</v>
      </c>
      <c r="AE169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69" s="84" t="str">
        <f t="shared" si="81"/>
        <v>"C:\Program Files (x86)\AstroGrep\AstroGrep.exe" /spath="%USERPROFILE%\AppData\Local\Temp\OnboardLogs" /stypes="app*4019*20170117*" /stext=" 16:.+((SYSTEM_STATE.+slice.+state.+changed )|(ment ac)|(multiple cpu faults)|(system.+state.+changed )|(\[timeout)|(PRM\|1\|D)|(kpr)|(kdp)|(\|lc)|(penalty))" /e /r /s</v>
      </c>
      <c r="AG169" s="1" t="str">
        <f t="shared" si="110"/>
        <v>NW</v>
      </c>
      <c r="AH169" s="88" t="str">
        <f t="shared" si="67"/>
        <v>"%USERPROFILE%\Documents\GitHub\eaglep3\Utilities\RefineRTDCRunTimes.py" --tripid 812-17 --locoid 4019 --swversion DE.1.0.8.0 --startMP 300:58638 --initTime 2017-01-17T08:36:53 --startdatetime 2017-01-17T08:38:47 --delay 1 --endMP 204:747 --enddatetime 2017-01-17T09:01:05 --enforcementcount 0 &gt;&gt;C:\Users\stu\Documents\GitHub\eaglep3-reporting\EC\2017-01-17-refined-times.txt</v>
      </c>
      <c r="AI169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{"issue":{"subject":"","project_id":79,"tracker_id":40,"status_id":1,"priority_id":2,"assigned_to_id":23,"start_date":"2017-01-17","description":"","custom_fields":[{"id":1,"name":"Subdivision","value":"NW"},{"id":4,"name":"Milepost","value":"0.0747"},{"id":17,"name":"Train ID","value":"812-17"},{"id":16,"name":"Locomotive ID","value":"4019"},{"id":130,"name":"Impact","value":""},{"id":150,"name":"Time of Event (Mountain Time)","value":"09:01:05"},{"id":151,"name":"Denver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9"/>
        <v>start /low /b %USERPROFILE%\Documents\GitHub\eaglep3\Utilities\DownloadLogsFromS3.py --loco 4019 --day 2017-01-17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560</v>
      </c>
      <c r="B170" s="7">
        <v>4020</v>
      </c>
      <c r="C170" s="22" t="s">
        <v>201</v>
      </c>
      <c r="D170" s="22" t="s">
        <v>797</v>
      </c>
      <c r="E170" s="13">
        <v>42752.386307870373</v>
      </c>
      <c r="F170" s="13">
        <v>42752.389780092592</v>
      </c>
      <c r="G170" s="7">
        <v>1</v>
      </c>
      <c r="H170" s="22" t="s">
        <v>798</v>
      </c>
      <c r="I170" s="13">
        <v>42752.399560185186</v>
      </c>
      <c r="J170" s="7">
        <v>0</v>
      </c>
      <c r="K170" s="105" t="str">
        <f t="shared" si="100"/>
        <v>4019/4020</v>
      </c>
      <c r="L170" s="22" t="str">
        <f>VLOOKUP(A170,'Trips&amp;Operators'!$C$1:$G$99999,5,FALSE)</f>
        <v>BROWN JACOB</v>
      </c>
      <c r="M170" s="6">
        <f t="shared" si="101"/>
        <v>9.7800925941555761E-3</v>
      </c>
      <c r="N170" s="7">
        <f t="shared" si="102"/>
        <v>14.08333333558403</v>
      </c>
      <c r="O170" s="7"/>
      <c r="P170" s="7"/>
      <c r="Q170" s="23"/>
      <c r="R170" s="23"/>
      <c r="S170" s="32">
        <f t="shared" si="103"/>
        <v>1</v>
      </c>
      <c r="T170" s="47" t="str">
        <f t="shared" si="104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74"/>
        <v>https://d0f6bd738d7f1b3e5a7ca70fe4ff75f0.us-east-1.aws.found.io/app/kibana#/discover/Steve-Slow-Train-Analysis-(2080s-and-2083s)?_g=(refreshInterval:(display:Off,pause:!f,section:0,value:0),time:(from:'2017-01-17T08:16:17-0700',mode:absolute,to:'2017-01-17T10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49" t="str">
        <f t="shared" si="105"/>
        <v>N</v>
      </c>
      <c r="X170" s="173">
        <f t="shared" si="111"/>
        <v>1</v>
      </c>
      <c r="Y170" s="64">
        <f t="shared" si="106"/>
        <v>0.1021</v>
      </c>
      <c r="Z170" s="64">
        <f t="shared" si="107"/>
        <v>5.8960999999999997</v>
      </c>
      <c r="AA170" s="64">
        <f t="shared" si="108"/>
        <v>5.7939999999999996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109"/>
        <v>0813-17</v>
      </c>
      <c r="AE170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70" s="84" t="str">
        <f t="shared" si="81"/>
        <v>"C:\Program Files (x86)\AstroGrep\AstroGrep.exe" /spath="%USERPROFILE%\AppData\Local\Temp\OnboardLogs" /stypes="app*4020*20170117*" /stext=" 16:.+((SYSTEM_STATE.+slice.+state.+changed )|(ment ac)|(multiple cpu faults)|(system.+state.+changed )|(\[timeout)|(PRM\|1\|D)|(kpr)|(kdp)|(\|lc)|(penalty))" /e /r /s</v>
      </c>
      <c r="AG170" s="1" t="str">
        <f t="shared" si="110"/>
        <v>NW</v>
      </c>
      <c r="AH170" s="88" t="str">
        <f t="shared" si="67"/>
        <v>"%USERPROFILE%\Documents\GitHub\eaglep3\Utilities\RefineRTDCRunTimes.py" --tripid 813-17 --locoid 4020 --swversion DE.1.0.8.0 --startMP 204:1021 --initTime 2017-01-17T09:16:17 --startdatetime 2017-01-17T09:21:17 --delay 1 --endMP 300:58961 --enddatetime 2017-01-17T09:35:22 --enforcementcount 0 &gt;&gt;C:\Users\stu\Documents\GitHub\eaglep3-reporting\EC\2017-01-17-refined-times.txt</v>
      </c>
      <c r="AI170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{"issue":{"subject":"","project_id":79,"tracker_id":40,"status_id":1,"priority_id":2,"assigned_to_id":23,"start_date":"2017-01-17","description":"","custom_fields":[{"id":1,"name":"Subdivision","value":"NW"},{"id":4,"name":"Milepost","value":"5.8961"},{"id":17,"name":"Train ID","value":"813-17"},{"id":16,"name":"Locomotive ID","value":"4020"},{"id":130,"name":"Impact","value":""},{"id":150,"name":"Time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9"/>
        <v>start /low /b %USERPROFILE%\Documents\GitHub\eaglep3\Utilities\DownloadLogsFromS3.py --loco 4020 --day 2017-01-17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564</v>
      </c>
      <c r="B171" s="7">
        <v>4019</v>
      </c>
      <c r="C171" s="22" t="s">
        <v>201</v>
      </c>
      <c r="D171" s="22" t="s">
        <v>789</v>
      </c>
      <c r="E171" s="13">
        <v>42752.400451388887</v>
      </c>
      <c r="F171" s="13">
        <v>42752.401562500003</v>
      </c>
      <c r="G171" s="7">
        <v>0</v>
      </c>
      <c r="H171" s="22" t="s">
        <v>799</v>
      </c>
      <c r="I171" s="13">
        <v>42752.413958333331</v>
      </c>
      <c r="J171" s="7">
        <v>0</v>
      </c>
      <c r="K171" s="105" t="str">
        <f t="shared" si="100"/>
        <v>4019/4020</v>
      </c>
      <c r="L171" s="22" t="str">
        <f>VLOOKUP(A171,'Trips&amp;Operators'!$C$1:$G$99999,5,FALSE)</f>
        <v>BROWN JACOB</v>
      </c>
      <c r="M171" s="6">
        <f t="shared" si="101"/>
        <v>1.2395833327900618E-2</v>
      </c>
      <c r="N171" s="7">
        <f t="shared" si="102"/>
        <v>17.84999999217689</v>
      </c>
      <c r="O171" s="7"/>
      <c r="P171" s="7"/>
      <c r="Q171" s="23"/>
      <c r="R171" s="23"/>
      <c r="S171" s="32">
        <f t="shared" si="103"/>
        <v>1</v>
      </c>
      <c r="T171" s="47" t="str">
        <f t="shared" si="104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74"/>
        <v>https://d0f6bd738d7f1b3e5a7ca70fe4ff75f0.us-east-1.aws.found.io/app/kibana#/discover/Steve-Slow-Train-Analysis-(2080s-and-2083s)?_g=(refreshInterval:(display:Off,pause:!f,section:0,value:0),time:(from:'2017-01-17T08:36:39-0700',mode:absolute,to:'2017-01-17T10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49" t="str">
        <f t="shared" si="105"/>
        <v>N</v>
      </c>
      <c r="X171" s="173">
        <f t="shared" si="111"/>
        <v>1</v>
      </c>
      <c r="Y171" s="64">
        <f t="shared" si="106"/>
        <v>5.8644999999999996</v>
      </c>
      <c r="Z171" s="64">
        <f t="shared" si="107"/>
        <v>7.0800000000000002E-2</v>
      </c>
      <c r="AA171" s="64">
        <f t="shared" si="108"/>
        <v>5.7936999999999994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109"/>
        <v>0814-17</v>
      </c>
      <c r="AE171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71" s="84" t="str">
        <f t="shared" si="81"/>
        <v>"C:\Program Files (x86)\AstroGrep\AstroGrep.exe" /spath="%USERPROFILE%\AppData\Local\Temp\OnboardLogs" /stypes="app*4019*20170117*" /stext=" 16:.+((SYSTEM_STATE.+slice.+state.+changed )|(ment ac)|(multiple cpu faults)|(system.+state.+changed )|(\[timeout)|(PRM\|1\|D)|(kpr)|(kdp)|(\|lc)|(penalty))" /e /r /s</v>
      </c>
      <c r="AG171" s="1" t="str">
        <f t="shared" si="110"/>
        <v>NW</v>
      </c>
      <c r="AH171" s="88" t="str">
        <f t="shared" si="67"/>
        <v>"%USERPROFILE%\Documents\GitHub\eaglep3\Utilities\RefineRTDCRunTimes.py" --tripid 814-17 --locoid 4019 --swversion DE.1.0.8.0 --startMP 300:58645 --initTime 2017-01-17T09:36:39 --startdatetime 2017-01-17T09:38:15 --delay 0 --endMP 204:708 --enddatetime 2017-01-17T09:56:06 --enforcementcount 0 &gt;&gt;C:\Users\stu\Documents\GitHub\eaglep3-reporting\EC\2017-01-17-refined-times.txt</v>
      </c>
      <c r="AI171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{"issue":{"subject":"","project_id":79,"tracker_id":40,"status_id":1,"priority_id":2,"assigned_to_id":23,"start_date":"2017-01-17","description":"","custom_fields":[{"id":1,"name":"Subdivision","value":"NW"},{"id":4,"name":"Milepost","value":"0.0708"},{"id":17,"name":"Train ID","value":"814-17"},{"id":16,"name":"Locomotive ID","value":"4019"},{"id":130,"name":"Impact","value":""},{"id":150,"name":"Time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9"/>
        <v>start /low /b %USERPROFILE%\Documents\GitHub\eaglep3\Utilities\DownloadLogsFromS3.py --loco 4019 --day 2017-01-17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568</v>
      </c>
      <c r="B172" s="7">
        <v>4020</v>
      </c>
      <c r="C172" s="22" t="s">
        <v>201</v>
      </c>
      <c r="D172" s="22" t="s">
        <v>800</v>
      </c>
      <c r="E172" s="13">
        <v>42752.426747685182</v>
      </c>
      <c r="F172" s="13">
        <v>42752.43141203704</v>
      </c>
      <c r="G172" s="7">
        <v>1</v>
      </c>
      <c r="H172" s="22" t="s">
        <v>801</v>
      </c>
      <c r="I172" s="13">
        <v>42752.441319444442</v>
      </c>
      <c r="J172" s="7">
        <v>0</v>
      </c>
      <c r="K172" s="105" t="str">
        <f t="shared" si="100"/>
        <v>4019/4020</v>
      </c>
      <c r="L172" s="22" t="str">
        <f>VLOOKUP(A172,'Trips&amp;Operators'!$C$1:$G$99999,5,FALSE)</f>
        <v>BROWN JACOB</v>
      </c>
      <c r="M172" s="6">
        <f t="shared" si="101"/>
        <v>9.9074074023519643E-3</v>
      </c>
      <c r="N172" s="7">
        <f t="shared" si="102"/>
        <v>14.266666659386829</v>
      </c>
      <c r="O172" s="7"/>
      <c r="P172" s="7"/>
      <c r="Q172" s="23"/>
      <c r="R172" s="23"/>
      <c r="S172" s="32">
        <f t="shared" si="103"/>
        <v>1</v>
      </c>
      <c r="T172" s="47" t="str">
        <f t="shared" si="104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74"/>
        <v>https://d0f6bd738d7f1b3e5a7ca70fe4ff75f0.us-east-1.aws.found.io/app/kibana#/discover/Steve-Slow-Train-Analysis-(2080s-and-2083s)?_g=(refreshInterval:(display:Off,pause:!f,section:0,value:0),time:(from:'2017-01-17T09:14:31-0700',mode:absolute,to:'2017-01-17T11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49" t="str">
        <f t="shared" si="105"/>
        <v>N</v>
      </c>
      <c r="X172" s="173">
        <f t="shared" si="111"/>
        <v>1</v>
      </c>
      <c r="Y172" s="64">
        <f t="shared" si="106"/>
        <v>9.9299999999999999E-2</v>
      </c>
      <c r="Z172" s="64">
        <f t="shared" si="107"/>
        <v>5.8956</v>
      </c>
      <c r="AA172" s="64">
        <f t="shared" si="108"/>
        <v>5.7962999999999996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109"/>
        <v>0815-17</v>
      </c>
      <c r="AE172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72" s="84" t="str">
        <f t="shared" si="81"/>
        <v>"C:\Program Files (x86)\AstroGrep\AstroGrep.exe" /spath="%USERPROFILE%\AppData\Local\Temp\OnboardLogs" /stypes="app*4020*20170117*" /stext=" 17:.+((SYSTEM_STATE.+slice.+state.+changed )|(ment ac)|(multiple cpu faults)|(system.+state.+changed )|(\[timeout)|(PRM\|1\|D)|(kpr)|(kdp)|(\|lc)|(penalty))" /e /r /s</v>
      </c>
      <c r="AG172" s="1" t="str">
        <f t="shared" si="110"/>
        <v>NW</v>
      </c>
      <c r="AH172" s="88" t="str">
        <f t="shared" si="67"/>
        <v>"%USERPROFILE%\Documents\GitHub\eaglep3\Utilities\RefineRTDCRunTimes.py" --tripid 815-17 --locoid 4020 --swversion DE.1.0.8.0 --startMP 204:993 --initTime 2017-01-17T10:14:31 --startdatetime 2017-01-17T10:21:14 --delay 1 --endMP 300:58956 --enddatetime 2017-01-17T10:35:30 --enforcementcount 0 &gt;&gt;C:\Users\stu\Documents\GitHub\eaglep3-reporting\EC\2017-01-17-refined-times.txt</v>
      </c>
      <c r="AI172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{"issue":{"subject":"","project_id":79,"tracker_id":40,"status_id":1,"priority_id":2,"assigned_to_id":23,"start_date":"2017-01-17","description":"","custom_fields":[{"id":1,"name":"Subdivision","value":"NW"},{"id":4,"name":"Milepost","value":"5.8956"},{"id":17,"name":"Train ID","value":"815-17"},{"id":16,"name":"Locomotive ID","value":"4020"},{"id":130,"name":"Impact","value":""},{"id":150,"name":"Time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9"/>
        <v>start /low /b %USERPROFILE%\Documents\GitHub\eaglep3\Utilities\DownloadLogsFromS3.py --loco 4020 --day 2017-01-17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4" t="s">
        <v>575</v>
      </c>
      <c r="B173" s="7">
        <v>4019</v>
      </c>
      <c r="C173" s="22" t="s">
        <v>201</v>
      </c>
      <c r="D173" s="22" t="s">
        <v>789</v>
      </c>
      <c r="E173" s="13">
        <v>42752.442314814813</v>
      </c>
      <c r="F173" s="13">
        <v>42752.443391203706</v>
      </c>
      <c r="G173" s="7">
        <v>1</v>
      </c>
      <c r="H173" s="22" t="s">
        <v>432</v>
      </c>
      <c r="I173" s="13">
        <v>42752.455254629633</v>
      </c>
      <c r="J173" s="7">
        <v>0</v>
      </c>
      <c r="K173" s="105" t="str">
        <f t="shared" si="100"/>
        <v>4019/4020</v>
      </c>
      <c r="L173" s="22" t="str">
        <f>VLOOKUP(A173,'Trips&amp;Operators'!$C$1:$G$99999,5,FALSE)</f>
        <v>BROWN JACOB</v>
      </c>
      <c r="M173" s="6">
        <f t="shared" si="101"/>
        <v>1.1863425927003846E-2</v>
      </c>
      <c r="N173" s="7">
        <f t="shared" si="102"/>
        <v>17.083333334885538</v>
      </c>
      <c r="O173" s="7"/>
      <c r="P173" s="7"/>
      <c r="Q173" s="23"/>
      <c r="R173" s="23"/>
      <c r="S173" s="32">
        <f t="shared" si="103"/>
        <v>1</v>
      </c>
      <c r="T173" s="47" t="str">
        <f t="shared" si="104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74"/>
        <v>https://d0f6bd738d7f1b3e5a7ca70fe4ff75f0.us-east-1.aws.found.io/app/kibana#/discover/Steve-Slow-Train-Analysis-(2080s-and-2083s)?_g=(refreshInterval:(display:Off,pause:!f,section:0,value:0),time:(from:'2017-01-17T09:36:56-0700',mode:absolute,to:'2017-01-17T11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49" t="str">
        <f t="shared" si="105"/>
        <v>N</v>
      </c>
      <c r="X173" s="173">
        <f t="shared" si="111"/>
        <v>1</v>
      </c>
      <c r="Y173" s="64">
        <f t="shared" si="106"/>
        <v>5.8644999999999996</v>
      </c>
      <c r="Z173" s="64">
        <f t="shared" si="107"/>
        <v>7.2700000000000001E-2</v>
      </c>
      <c r="AA173" s="64">
        <f t="shared" si="108"/>
        <v>5.7917999999999994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109"/>
        <v>0816-17</v>
      </c>
      <c r="AE173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73" s="84" t="str">
        <f t="shared" si="81"/>
        <v>"C:\Program Files (x86)\AstroGrep\AstroGrep.exe" /spath="%USERPROFILE%\AppData\Local\Temp\OnboardLogs" /stypes="app*4019*20170117*" /stext=" 17:.+((SYSTEM_STATE.+slice.+state.+changed )|(ment ac)|(multiple cpu faults)|(system.+state.+changed )|(\[timeout)|(PRM\|1\|D)|(kpr)|(kdp)|(\|lc)|(penalty))" /e /r /s</v>
      </c>
      <c r="AG173" s="1" t="str">
        <f t="shared" si="110"/>
        <v>NW</v>
      </c>
      <c r="AH173" s="88" t="str">
        <f t="shared" si="67"/>
        <v>"%USERPROFILE%\Documents\GitHub\eaglep3\Utilities\RefineRTDCRunTimes.py" --tripid 816-17 --locoid 4019 --swversion DE.1.0.8.0 --startMP 300:58645 --initTime 2017-01-17T10:36:56 --startdatetime 2017-01-17T10:38:29 --delay 1 --endMP 204:727 --enddatetime 2017-01-17T10:55:34 --enforcementcount 0 &gt;&gt;C:\Users\stu\Documents\GitHub\eaglep3-reporting\EC\2017-01-17-refined-times.txt</v>
      </c>
      <c r="AI173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{"issue":{"subject":"","project_id":79,"tracker_id":40,"status_id":1,"priority_id":2,"assigned_to_id":23,"start_date":"2017-01-17","description":"","custom_fields":[{"id":1,"name":"Subdivision","value":"NW"},{"id":4,"name":"Milepost","value":"0.0727"},{"id":17,"name":"Train ID","value":"816-17"},{"id":16,"name":"Locomotive ID","value":"4019"},{"id":130,"name":"Impact","value":""},{"id":150,"name":"Time of Event (Mountain Time)","value":"10:55:34"},{"id":151,"name":"Denver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9"/>
        <v>start /low /b %USERPROFILE%\Documents\GitHub\eaglep3\Utilities\DownloadLogsFromS3.py --loco 4019 --day 2017-01-17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</row>
    <row r="174" spans="1:91" s="21" customFormat="1" x14ac:dyDescent="0.25">
      <c r="A174" s="34" t="s">
        <v>584</v>
      </c>
      <c r="B174" s="7">
        <v>4020</v>
      </c>
      <c r="C174" s="22" t="s">
        <v>201</v>
      </c>
      <c r="D174" s="22" t="s">
        <v>802</v>
      </c>
      <c r="E174" s="13">
        <v>42752.468726851854</v>
      </c>
      <c r="F174" s="13">
        <v>42752.473530092589</v>
      </c>
      <c r="G174" s="7">
        <v>1</v>
      </c>
      <c r="H174" s="22" t="s">
        <v>803</v>
      </c>
      <c r="I174" s="13">
        <v>42752.483564814815</v>
      </c>
      <c r="J174" s="7">
        <v>0</v>
      </c>
      <c r="K174" s="105" t="str">
        <f t="shared" si="100"/>
        <v>4019/4020</v>
      </c>
      <c r="L174" s="22" t="str">
        <f>VLOOKUP(A174,'Trips&amp;Operators'!$C$1:$G$99999,5,FALSE)</f>
        <v>SIMMONS SHYHESHA</v>
      </c>
      <c r="M174" s="6">
        <f t="shared" si="101"/>
        <v>1.0034722225100268E-2</v>
      </c>
      <c r="N174" s="7">
        <f t="shared" si="102"/>
        <v>14.450000004144385</v>
      </c>
      <c r="O174" s="7"/>
      <c r="P174" s="7"/>
      <c r="Q174" s="23"/>
      <c r="R174" s="23"/>
      <c r="S174" s="32">
        <f t="shared" si="103"/>
        <v>1</v>
      </c>
      <c r="T174" s="47" t="str">
        <f t="shared" si="104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74"/>
        <v>https://d0f6bd738d7f1b3e5a7ca70fe4ff75f0.us-east-1.aws.found.io/app/kibana#/discover/Steve-Slow-Train-Analysis-(2080s-and-2083s)?_g=(refreshInterval:(display:Off,pause:!f,section:0,value:0),time:(from:'2017-01-17T10:14:58-0700',mode:absolute,to:'2017-01-17T12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49" t="str">
        <f t="shared" si="105"/>
        <v>N</v>
      </c>
      <c r="X174" s="173">
        <f t="shared" si="111"/>
        <v>1</v>
      </c>
      <c r="Y174" s="64">
        <f t="shared" si="106"/>
        <v>0.1018</v>
      </c>
      <c r="Z174" s="64">
        <f t="shared" si="107"/>
        <v>5.8971</v>
      </c>
      <c r="AA174" s="64">
        <f t="shared" si="108"/>
        <v>5.7953000000000001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109"/>
        <v>0817-17</v>
      </c>
      <c r="AE174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74" s="84" t="str">
        <f t="shared" si="81"/>
        <v>"C:\Program Files (x86)\AstroGrep\AstroGrep.exe" /spath="%USERPROFILE%\AppData\Local\Temp\OnboardLogs" /stypes="app*4020*20170117*" /stext=" 18:.+((SYSTEM_STATE.+slice.+state.+changed )|(ment ac)|(multiple cpu faults)|(system.+state.+changed )|(\[timeout)|(PRM\|1\|D)|(kpr)|(kdp)|(\|lc)|(penalty))" /e /r /s</v>
      </c>
      <c r="AG174" s="1" t="str">
        <f t="shared" si="110"/>
        <v>NW</v>
      </c>
      <c r="AH174" s="88" t="str">
        <f t="shared" si="67"/>
        <v>"%USERPROFILE%\Documents\GitHub\eaglep3\Utilities\RefineRTDCRunTimes.py" --tripid 817-17 --locoid 4020 --swversion DE.1.0.8.0 --startMP 204:1018 --initTime 2017-01-17T11:14:58 --startdatetime 2017-01-17T11:21:53 --delay 1 --endMP 300:58971 --enddatetime 2017-01-17T11:36:20 --enforcementcount 0 &gt;&gt;C:\Users\stu\Documents\GitHub\eaglep3-reporting\EC\2017-01-17-refined-times.txt</v>
      </c>
      <c r="AI174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{"issue":{"subject":"","project_id":79,"tracker_id":40,"status_id":1,"priority_id":2,"assigned_to_id":23,"start_date":"2017-01-17","description":"","custom_fields":[{"id":1,"name":"Subdivision","value":"NW"},{"id":4,"name":"Milepost","value":"5.8971"},{"id":17,"name":"Train ID","value":"817-17"},{"id":16,"name":"Locomotive ID","value":"4020"},{"id":130,"name":"Impact","value":""},{"id":150,"name":"Time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9"/>
        <v>start /low /b %USERPROFILE%\Documents\GitHub\eaglep3\Utilities\DownloadLogsFromS3.py --loco 4020 --day 2017-01-17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469</v>
      </c>
      <c r="B175" s="7">
        <v>4019</v>
      </c>
      <c r="C175" s="22" t="s">
        <v>201</v>
      </c>
      <c r="D175" s="22" t="s">
        <v>804</v>
      </c>
      <c r="E175" s="13">
        <v>42752.485405092593</v>
      </c>
      <c r="F175" s="13">
        <v>42752.48715277778</v>
      </c>
      <c r="G175" s="7">
        <v>1</v>
      </c>
      <c r="H175" s="22" t="s">
        <v>354</v>
      </c>
      <c r="I175" s="13">
        <v>42752.497361111113</v>
      </c>
      <c r="J175" s="7">
        <v>0</v>
      </c>
      <c r="K175" s="105" t="str">
        <f t="shared" si="100"/>
        <v>4019/4020</v>
      </c>
      <c r="L175" s="22" t="str">
        <f>VLOOKUP(A175,'Trips&amp;Operators'!$C$1:$G$99999,5,FALSE)</f>
        <v>SIMMONS SHYHESHA</v>
      </c>
      <c r="M175" s="6">
        <f t="shared" si="101"/>
        <v>1.0208333333139308E-2</v>
      </c>
      <c r="N175" s="7">
        <f t="shared" si="102"/>
        <v>14.699999999720603</v>
      </c>
      <c r="O175" s="7"/>
      <c r="P175" s="7"/>
      <c r="Q175" s="23"/>
      <c r="R175" s="23"/>
      <c r="S175" s="32">
        <f t="shared" si="103"/>
        <v>1</v>
      </c>
      <c r="T175" s="47" t="str">
        <f t="shared" si="104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74"/>
        <v>https://d0f6bd738d7f1b3e5a7ca70fe4ff75f0.us-east-1.aws.found.io/app/kibana#/discover/Steve-Slow-Train-Analysis-(2080s-and-2083s)?_g=(refreshInterval:(display:Off,pause:!f,section:0,value:0),time:(from:'2017-01-17T10:38:59-0700',mode:absolute,to:'2017-01-17T12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49" t="str">
        <f t="shared" si="105"/>
        <v>N</v>
      </c>
      <c r="X175" s="173">
        <f t="shared" si="111"/>
        <v>1</v>
      </c>
      <c r="Y175" s="64">
        <f t="shared" si="106"/>
        <v>5.8648999999999996</v>
      </c>
      <c r="Z175" s="64">
        <f t="shared" si="107"/>
        <v>7.3999999999999996E-2</v>
      </c>
      <c r="AA175" s="64">
        <f t="shared" si="108"/>
        <v>5.7908999999999997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109"/>
        <v>0818-17</v>
      </c>
      <c r="AE175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75" s="84" t="str">
        <f t="shared" si="81"/>
        <v>"C:\Program Files (x86)\AstroGrep\AstroGrep.exe" /spath="%USERPROFILE%\AppData\Local\Temp\OnboardLogs" /stypes="app*4019*20170117*" /stext=" 18:.+((SYSTEM_STATE.+slice.+state.+changed )|(ment ac)|(multiple cpu faults)|(system.+state.+changed )|(\[timeout)|(PRM\|1\|D)|(kpr)|(kdp)|(\|lc)|(penalty))" /e /r /s</v>
      </c>
      <c r="AG175" s="1" t="str">
        <f t="shared" si="110"/>
        <v>NW</v>
      </c>
      <c r="AH175" s="88" t="str">
        <f t="shared" si="67"/>
        <v>"%USERPROFILE%\Documents\GitHub\eaglep3\Utilities\RefineRTDCRunTimes.py" --tripid 818-17 --locoid 4019 --swversion DE.1.0.8.0 --startMP 300:58649 --initTime 2017-01-17T11:38:59 --startdatetime 2017-01-17T11:41:30 --delay 1 --endMP 204:740 --enddatetime 2017-01-17T11:56:12 --enforcementcount 0 &gt;&gt;C:\Users\stu\Documents\GitHub\eaglep3-reporting\EC\2017-01-17-refined-times.txt</v>
      </c>
      <c r="AI175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{"issue":{"subject":"","project_id":79,"tracker_id":40,"status_id":1,"priority_id":2,"assigned_to_id":23,"start_date":"2017-01-17","description":"","custom_fields":[{"id":1,"name":"Subdivision","value":"NW"},{"id":4,"name":"Milepost","value":"0.074"},{"id":17,"name":"Train ID","value":"818-17"},{"id":16,"name":"Locomotive ID","value":"4019"},{"id":130,"name":"Impact","value":""},{"id":150,"name":"Time of Event (Mountain Time)","value":"11:56:12"},{"id":151,"name":"Denver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9"/>
        <v>start /low /b %USERPROFILE%\Documents\GitHub\eaglep3\Utilities\DownloadLogsFromS3.py --loco 4019 --day 2017-01-17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</row>
    <row r="176" spans="1:91" s="21" customFormat="1" x14ac:dyDescent="0.25">
      <c r="A176" s="34" t="s">
        <v>594</v>
      </c>
      <c r="B176" s="7">
        <v>4020</v>
      </c>
      <c r="C176" s="22" t="s">
        <v>201</v>
      </c>
      <c r="D176" s="22" t="s">
        <v>802</v>
      </c>
      <c r="E176" s="13">
        <v>42752.506886574076</v>
      </c>
      <c r="F176" s="13">
        <v>42752.514756944445</v>
      </c>
      <c r="G176" s="7">
        <v>3</v>
      </c>
      <c r="H176" s="22" t="s">
        <v>451</v>
      </c>
      <c r="I176" s="13">
        <v>42752.52484953704</v>
      </c>
      <c r="J176" s="7">
        <v>0</v>
      </c>
      <c r="K176" s="105" t="str">
        <f t="shared" si="100"/>
        <v>4019/4020</v>
      </c>
      <c r="L176" s="22" t="str">
        <f>VLOOKUP(A176,'Trips&amp;Operators'!$C$1:$G$99999,5,FALSE)</f>
        <v>BROWN JACOB</v>
      </c>
      <c r="M176" s="6">
        <f t="shared" si="101"/>
        <v>1.0092592594446614E-2</v>
      </c>
      <c r="N176" s="7">
        <f t="shared" si="102"/>
        <v>14.533333336003125</v>
      </c>
      <c r="O176" s="7"/>
      <c r="P176" s="7"/>
      <c r="Q176" s="23"/>
      <c r="R176" s="23"/>
      <c r="S176" s="32">
        <f t="shared" si="103"/>
        <v>1</v>
      </c>
      <c r="T176" s="47" t="str">
        <f t="shared" si="104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74"/>
        <v>https://d0f6bd738d7f1b3e5a7ca70fe4ff75f0.us-east-1.aws.found.io/app/kibana#/discover/Steve-Slow-Train-Analysis-(2080s-and-2083s)?_g=(refreshInterval:(display:Off,pause:!f,section:0,value:0),time:(from:'2017-01-17T11:09:55-0700',mode:absolute,to:'2017-01-17T13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49" t="str">
        <f t="shared" si="105"/>
        <v>N</v>
      </c>
      <c r="X176" s="173">
        <f t="shared" si="111"/>
        <v>1</v>
      </c>
      <c r="Y176" s="64">
        <f t="shared" si="106"/>
        <v>0.1018</v>
      </c>
      <c r="Z176" s="64">
        <f t="shared" si="107"/>
        <v>5.8948</v>
      </c>
      <c r="AA176" s="64">
        <f t="shared" si="108"/>
        <v>5.7930000000000001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109"/>
        <v>0819-17</v>
      </c>
      <c r="AE176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76" s="84" t="str">
        <f t="shared" si="81"/>
        <v>"C:\Program Files (x86)\AstroGrep\AstroGrep.exe" /spath="%USERPROFILE%\AppData\Local\Temp\OnboardLogs" /stypes="app*4020*20170117*" /stext=" 19:.+((SYSTEM_STATE.+slice.+state.+changed )|(ment ac)|(multiple cpu faults)|(system.+state.+changed )|(\[timeout)|(PRM\|1\|D)|(kpr)|(kdp)|(\|lc)|(penalty))" /e /r /s</v>
      </c>
      <c r="AG176" s="1" t="str">
        <f t="shared" si="110"/>
        <v>NW</v>
      </c>
      <c r="AH176" s="88" t="str">
        <f t="shared" si="67"/>
        <v>"%USERPROFILE%\Documents\GitHub\eaglep3\Utilities\RefineRTDCRunTimes.py" --tripid 819-17 --locoid 4020 --swversion DE.1.0.8.0 --startMP 204:1018 --initTime 2017-01-17T12:09:55 --startdatetime 2017-01-17T12:21:15 --delay 3 --endMP 300:58948 --enddatetime 2017-01-17T12:35:47 --enforcementcount 0 &gt;&gt;C:\Users\stu\Documents\GitHub\eaglep3-reporting\EC\2017-01-17-refined-times.txt</v>
      </c>
      <c r="AI176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{"issue":{"subject":"","project_id":79,"tracker_id":40,"status_id":1,"priority_id":2,"assigned_to_id":23,"start_date":"2017-01-17","description":"","custom_fields":[{"id":1,"name":"Subdivision","value":"NW"},{"id":4,"name":"Milepost","value":"5.8948"},{"id":17,"name":"Train ID","value":"819-17"},{"id":16,"name":"Locomotive ID","value":"4020"},{"id":130,"name":"Impact","value":""},{"id":150,"name":"Time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9"/>
        <v>start /low /b %USERPROFILE%\Documents\GitHub\eaglep3\Utilities\DownloadLogsFromS3.py --loco 4020 --day 2017-01-17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470</v>
      </c>
      <c r="B177" s="7">
        <v>4019</v>
      </c>
      <c r="C177" s="22" t="s">
        <v>201</v>
      </c>
      <c r="D177" s="22" t="s">
        <v>299</v>
      </c>
      <c r="E177" s="13">
        <v>42752.525995370372</v>
      </c>
      <c r="F177" s="13">
        <v>42752.52721064815</v>
      </c>
      <c r="G177" s="7">
        <v>1</v>
      </c>
      <c r="H177" s="22" t="s">
        <v>399</v>
      </c>
      <c r="I177" s="13">
        <v>42752.538657407407</v>
      </c>
      <c r="J177" s="7">
        <v>0</v>
      </c>
      <c r="K177" s="105" t="str">
        <f t="shared" si="100"/>
        <v>4019/4020</v>
      </c>
      <c r="L177" s="22" t="str">
        <f>VLOOKUP(A177,'Trips&amp;Operators'!$C$1:$G$99999,5,FALSE)</f>
        <v>BROWN JACOB</v>
      </c>
      <c r="M177" s="6">
        <f t="shared" si="101"/>
        <v>1.1446759257523809E-2</v>
      </c>
      <c r="N177" s="7">
        <f t="shared" si="102"/>
        <v>16.483333330834284</v>
      </c>
      <c r="O177" s="7"/>
      <c r="P177" s="7"/>
      <c r="Q177" s="23"/>
      <c r="R177" s="23"/>
      <c r="S177" s="32">
        <f t="shared" si="103"/>
        <v>1</v>
      </c>
      <c r="T177" s="47" t="str">
        <f t="shared" si="104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74"/>
        <v>https://d0f6bd738d7f1b3e5a7ca70fe4ff75f0.us-east-1.aws.found.io/app/kibana#/discover/Steve-Slow-Train-Analysis-(2080s-and-2083s)?_g=(refreshInterval:(display:Off,pause:!f,section:0,value:0),time:(from:'2017-01-17T11:37:26-0700',mode:absolute,to:'2017-01-17T13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49" t="str">
        <f t="shared" si="105"/>
        <v>N</v>
      </c>
      <c r="X177" s="173">
        <f t="shared" si="111"/>
        <v>1</v>
      </c>
      <c r="Y177" s="64">
        <f t="shared" si="106"/>
        <v>5.8638000000000003</v>
      </c>
      <c r="Z177" s="64">
        <f t="shared" si="107"/>
        <v>7.2400000000000006E-2</v>
      </c>
      <c r="AA177" s="64">
        <f t="shared" si="108"/>
        <v>5.7914000000000003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109"/>
        <v>0820-17</v>
      </c>
      <c r="AE177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77" s="84" t="str">
        <f t="shared" si="81"/>
        <v>"C:\Program Files (x86)\AstroGrep\AstroGrep.exe" /spath="%USERPROFILE%\AppData\Local\Temp\OnboardLogs" /stypes="app*4019*20170117*" /stext=" 19:.+((SYSTEM_STATE.+slice.+state.+changed )|(ment ac)|(multiple cpu faults)|(system.+state.+changed )|(\[timeout)|(PRM\|1\|D)|(kpr)|(kdp)|(\|lc)|(penalty))" /e /r /s</v>
      </c>
      <c r="AG177" s="1" t="str">
        <f t="shared" si="110"/>
        <v>NW</v>
      </c>
      <c r="AH177" s="88" t="str">
        <f t="shared" si="67"/>
        <v>"%USERPROFILE%\Documents\GitHub\eaglep3\Utilities\RefineRTDCRunTimes.py" --tripid 820-17 --locoid 4019 --swversion DE.1.0.8.0 --startMP 300:58638 --initTime 2017-01-17T12:37:26 --startdatetime 2017-01-17T12:39:11 --delay 1 --endMP 204:724 --enddatetime 2017-01-17T12:55:40 --enforcementcount 0 &gt;&gt;C:\Users\stu\Documents\GitHub\eaglep3-reporting\EC\2017-01-17-refined-times.txt</v>
      </c>
      <c r="AI177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{"issue":{"subject":"","project_id":79,"tracker_id":40,"status_id":1,"priority_id":2,"assigned_to_id":23,"start_date":"2017-01-17","description":"","custom_fields":[{"id":1,"name":"Subdivision","value":"NW"},{"id":4,"name":"Milepost","value":"0.0724"},{"id":17,"name":"Train ID","value":"820-17"},{"id":16,"name":"Locomotive ID","value":"4019"},{"id":130,"name":"Impact","value":""},{"id":150,"name":"Time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9"/>
        <v>start /low /b %USERPROFILE%\Documents\GitHub\eaglep3\Utilities\DownloadLogsFromS3.py --loco 4019 --day 2017-01-17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602</v>
      </c>
      <c r="B178" s="7">
        <v>4020</v>
      </c>
      <c r="C178" s="22" t="s">
        <v>201</v>
      </c>
      <c r="D178" s="22" t="s">
        <v>805</v>
      </c>
      <c r="E178" s="13">
        <v>42752.54859953704</v>
      </c>
      <c r="F178" s="13">
        <v>42752.556550925925</v>
      </c>
      <c r="G178" s="7">
        <v>1</v>
      </c>
      <c r="H178" s="22" t="s">
        <v>294</v>
      </c>
      <c r="I178" s="13">
        <v>42752.56621527778</v>
      </c>
      <c r="J178" s="7">
        <v>0</v>
      </c>
      <c r="K178" s="105" t="str">
        <f t="shared" si="100"/>
        <v>4019/4020</v>
      </c>
      <c r="L178" s="22" t="str">
        <f>VLOOKUP(A178,'Trips&amp;Operators'!$C$1:$G$99999,5,FALSE)</f>
        <v>LEVIN SCOTT</v>
      </c>
      <c r="M178" s="6">
        <f t="shared" si="101"/>
        <v>9.6643518554628827E-3</v>
      </c>
      <c r="N178" s="7">
        <f t="shared" si="102"/>
        <v>13.916666671866551</v>
      </c>
      <c r="O178" s="7"/>
      <c r="P178" s="7"/>
      <c r="Q178" s="23"/>
      <c r="R178" s="23"/>
      <c r="S178" s="32">
        <f t="shared" si="103"/>
        <v>1</v>
      </c>
      <c r="T178" s="47" t="str">
        <f t="shared" si="104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74"/>
        <v>https://d0f6bd738d7f1b3e5a7ca70fe4ff75f0.us-east-1.aws.found.io/app/kibana#/discover/Steve-Slow-Train-Analysis-(2080s-and-2083s)?_g=(refreshInterval:(display:Off,pause:!f,section:0,value:0),time:(from:'2017-01-17T12:09:59-0700',mode:absolute,to:'2017-01-17T14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49" t="str">
        <f t="shared" si="105"/>
        <v>N</v>
      </c>
      <c r="X178" s="173">
        <f t="shared" si="111"/>
        <v>1</v>
      </c>
      <c r="Y178" s="64">
        <f t="shared" si="106"/>
        <v>0.1007</v>
      </c>
      <c r="Z178" s="64">
        <f t="shared" si="107"/>
        <v>5.8933</v>
      </c>
      <c r="AA178" s="64">
        <f t="shared" si="108"/>
        <v>5.7926000000000002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109"/>
        <v>0821-17</v>
      </c>
      <c r="AE178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78" s="84" t="str">
        <f t="shared" si="81"/>
        <v>"C:\Program Files (x86)\AstroGrep\AstroGrep.exe" /spath="%USERPROFILE%\AppData\Local\Temp\OnboardLogs" /stypes="app*4020*20170117*" /stext=" 20:.+((SYSTEM_STATE.+slice.+state.+changed )|(ment ac)|(multiple cpu faults)|(system.+state.+changed )|(\[timeout)|(PRM\|1\|D)|(kpr)|(kdp)|(\|lc)|(penalty))" /e /r /s</v>
      </c>
      <c r="AG178" s="1" t="str">
        <f t="shared" si="110"/>
        <v>NW</v>
      </c>
      <c r="AH178" s="88" t="str">
        <f t="shared" si="67"/>
        <v>"%USERPROFILE%\Documents\GitHub\eaglep3\Utilities\RefineRTDCRunTimes.py" --tripid 821-17 --locoid 4020 --swversion DE.1.0.8.0 --startMP 204:1007 --initTime 2017-01-17T13:09:59 --startdatetime 2017-01-17T13:21:26 --delay 1 --endMP 300:58933 --enddatetime 2017-01-17T13:35:21 --enforcementcount 0 &gt;&gt;C:\Users\stu\Documents\GitHub\eaglep3-reporting\EC\2017-01-17-refined-times.txt</v>
      </c>
      <c r="AI178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{"issue":{"subject":"","project_id":79,"tracker_id":40,"status_id":1,"priority_id":2,"assigned_to_id":23,"start_date":"2017-01-17","description":"","custom_fields":[{"id":1,"name":"Subdivision","value":"NW"},{"id":4,"name":"Milepost","value":"5.8933"},{"id":17,"name":"Train ID","value":"821-17"},{"id":16,"name":"Locomotive ID","value":"4020"},{"id":130,"name":"Impact","value":""},{"id":150,"name":"Time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9"/>
        <v>start /low /b %USERPROFILE%\Documents\GitHub\eaglep3\Utilities\DownloadLogsFromS3.py --loco 4020 --day 2017-01-17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473</v>
      </c>
      <c r="B179" s="7">
        <v>4019</v>
      </c>
      <c r="C179" s="22" t="s">
        <v>201</v>
      </c>
      <c r="D179" s="22" t="s">
        <v>428</v>
      </c>
      <c r="E179" s="13">
        <v>42752.567349537036</v>
      </c>
      <c r="F179" s="13">
        <v>42752.568749999999</v>
      </c>
      <c r="G179" s="7">
        <v>1</v>
      </c>
      <c r="H179" s="22" t="s">
        <v>806</v>
      </c>
      <c r="I179" s="13">
        <v>42752.580023148148</v>
      </c>
      <c r="J179" s="7">
        <v>0</v>
      </c>
      <c r="K179" s="105" t="str">
        <f t="shared" si="100"/>
        <v>4019/4020</v>
      </c>
      <c r="L179" s="22" t="str">
        <f>VLOOKUP(A179,'Trips&amp;Operators'!$C$1:$G$99999,5,FALSE)</f>
        <v>LEVIN SCOTT</v>
      </c>
      <c r="M179" s="6">
        <f t="shared" si="101"/>
        <v>1.1273148149484769E-2</v>
      </c>
      <c r="N179" s="7">
        <f t="shared" si="102"/>
        <v>16.233333335258067</v>
      </c>
      <c r="O179" s="7"/>
      <c r="P179" s="7"/>
      <c r="Q179" s="23"/>
      <c r="R179" s="23"/>
      <c r="S179" s="32">
        <f t="shared" si="103"/>
        <v>1</v>
      </c>
      <c r="T179" s="47" t="str">
        <f t="shared" si="104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74"/>
        <v>https://d0f6bd738d7f1b3e5a7ca70fe4ff75f0.us-east-1.aws.found.io/app/kibana#/discover/Steve-Slow-Train-Analysis-(2080s-and-2083s)?_g=(refreshInterval:(display:Off,pause:!f,section:0,value:0),time:(from:'2017-01-17T12:36:59-0700',mode:absolute,to:'2017-01-17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49" t="str">
        <f t="shared" si="105"/>
        <v>N</v>
      </c>
      <c r="X179" s="173">
        <f t="shared" si="111"/>
        <v>1</v>
      </c>
      <c r="Y179" s="64">
        <f t="shared" si="106"/>
        <v>5.8611000000000004</v>
      </c>
      <c r="Z179" s="64">
        <f t="shared" si="107"/>
        <v>6.9099999999999995E-2</v>
      </c>
      <c r="AA179" s="64">
        <f t="shared" si="108"/>
        <v>5.7920000000000007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109"/>
        <v>0822-17</v>
      </c>
      <c r="AE179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79" s="84" t="str">
        <f t="shared" si="81"/>
        <v>"C:\Program Files (x86)\AstroGrep\AstroGrep.exe" /spath="%USERPROFILE%\AppData\Local\Temp\OnboardLogs" /stypes="app*4019*20170117*" /stext=" 20:.+((SYSTEM_STATE.+slice.+state.+changed )|(ment ac)|(multiple cpu faults)|(system.+state.+changed )|(\[timeout)|(PRM\|1\|D)|(kpr)|(kdp)|(\|lc)|(penalty))" /e /r /s</v>
      </c>
      <c r="AG179" s="1" t="str">
        <f t="shared" si="110"/>
        <v>NW</v>
      </c>
      <c r="AH179" s="88" t="str">
        <f t="shared" si="67"/>
        <v>"%USERPROFILE%\Documents\GitHub\eaglep3\Utilities\RefineRTDCRunTimes.py" --tripid 822-17 --locoid 4019 --swversion DE.1.0.8.0 --startMP 300:58611 --initTime 2017-01-17T13:36:59 --startdatetime 2017-01-17T13:39:00 --delay 1 --endMP 204:691 --enddatetime 2017-01-17T13:55:14 --enforcementcount 0 &gt;&gt;C:\Users\stu\Documents\GitHub\eaglep3-reporting\EC\2017-01-17-refined-times.txt</v>
      </c>
      <c r="AI179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{"issue":{"subject":"","project_id":79,"tracker_id":40,"status_id":1,"priority_id":2,"assigned_to_id":23,"start_date":"2017-01-17","description":"","custom_fields":[{"id":1,"name":"Subdivision","value":"NW"},{"id":4,"name":"Milepost","value":"0.0691"},{"id":17,"name":"Train ID","value":"822-17"},{"id":16,"name":"Locomotive ID","value":"4019"},{"id":130,"name":"Impact","value":""},{"id":150,"name":"Time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9"/>
        <v>start /low /b %USERPROFILE%\Documents\GitHub\eaglep3\Utilities\DownloadLogsFromS3.py --loco 4019 --day 2017-01-17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476</v>
      </c>
      <c r="B180" s="7">
        <v>4020</v>
      </c>
      <c r="C180" s="22" t="s">
        <v>201</v>
      </c>
      <c r="D180" s="22" t="s">
        <v>427</v>
      </c>
      <c r="E180" s="13">
        <v>42752.595034722224</v>
      </c>
      <c r="F180" s="13">
        <v>42752.598101851851</v>
      </c>
      <c r="G180" s="7">
        <v>1</v>
      </c>
      <c r="H180" s="22" t="s">
        <v>444</v>
      </c>
      <c r="I180" s="13">
        <v>42752.607465277775</v>
      </c>
      <c r="J180" s="7">
        <v>0</v>
      </c>
      <c r="K180" s="105" t="str">
        <f t="shared" si="100"/>
        <v>4019/4020</v>
      </c>
      <c r="L180" s="22" t="str">
        <f>VLOOKUP(A180,'Trips&amp;Operators'!$C$1:$G$99999,5,FALSE)</f>
        <v>LEVIN SCOTT</v>
      </c>
      <c r="M180" s="6">
        <f t="shared" si="101"/>
        <v>9.3634259246755391E-3</v>
      </c>
      <c r="N180" s="7">
        <f t="shared" si="102"/>
        <v>13.483333331532776</v>
      </c>
      <c r="O180" s="7"/>
      <c r="P180" s="7"/>
      <c r="Q180" s="23"/>
      <c r="R180" s="23"/>
      <c r="S180" s="32">
        <f t="shared" si="103"/>
        <v>1</v>
      </c>
      <c r="T180" s="47" t="str">
        <f t="shared" si="104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74"/>
        <v>https://d0f6bd738d7f1b3e5a7ca70fe4ff75f0.us-east-1.aws.found.io/app/kibana#/discover/Steve-Slow-Train-Analysis-(2080s-and-2083s)?_g=(refreshInterval:(display:Off,pause:!f,section:0,value:0),time:(from:'2017-01-17T13:16:51-0700',mode:absolute,to:'2017-01-17T15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49" t="str">
        <f t="shared" si="105"/>
        <v>N</v>
      </c>
      <c r="X180" s="173">
        <f t="shared" si="111"/>
        <v>1</v>
      </c>
      <c r="Y180" s="64">
        <f t="shared" si="106"/>
        <v>9.7199999999999995E-2</v>
      </c>
      <c r="Z180" s="64">
        <f t="shared" si="107"/>
        <v>5.8920000000000003</v>
      </c>
      <c r="AA180" s="64">
        <f t="shared" si="108"/>
        <v>5.7948000000000004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109"/>
        <v>0823-17</v>
      </c>
      <c r="AE180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80" s="84" t="str">
        <f t="shared" si="81"/>
        <v>"C:\Program Files (x86)\AstroGrep\AstroGrep.exe" /spath="%USERPROFILE%\AppData\Local\Temp\OnboardLogs" /stypes="app*4020*20170117*" /stext=" 21:.+((SYSTEM_STATE.+slice.+state.+changed )|(ment ac)|(multiple cpu faults)|(system.+state.+changed )|(\[timeout)|(PRM\|1\|D)|(kpr)|(kdp)|(\|lc)|(penalty))" /e /r /s</v>
      </c>
      <c r="AG180" s="1" t="str">
        <f t="shared" si="110"/>
        <v>NW</v>
      </c>
      <c r="AH180" s="88" t="str">
        <f t="shared" si="67"/>
        <v>"%USERPROFILE%\Documents\GitHub\eaglep3\Utilities\RefineRTDCRunTimes.py" --tripid 823-17 --locoid 4020 --swversion DE.1.0.8.0 --startMP 204:972 --initTime 2017-01-17T14:16:51 --startdatetime 2017-01-17T14:21:16 --delay 1 --endMP 300:58920 --enddatetime 2017-01-17T14:34:45 --enforcementcount 0 &gt;&gt;C:\Users\stu\Documents\GitHub\eaglep3-reporting\EC\2017-01-17-refined-times.txt</v>
      </c>
      <c r="AI180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{"issue":{"subject":"","project_id":79,"tracker_id":40,"status_id":1,"priority_id":2,"assigned_to_id":23,"start_date":"2017-01-17","description":"","custom_fields":[{"id":1,"name":"Subdivision","value":"NW"},{"id":4,"name":"Milepost","value":"5.892"},{"id":17,"name":"Train ID","value":"823-17"},{"id":16,"name":"Locomotive ID","value":"4020"},{"id":130,"name":"Impact","value":""},{"id":150,"name":"Time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9"/>
        <v>start /low /b %USERPROFILE%\Documents\GitHub\eaglep3\Utilities\DownloadLogsFromS3.py --loco 4020 --day 2017-01-17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613</v>
      </c>
      <c r="B181" s="7">
        <v>4019</v>
      </c>
      <c r="C181" s="22" t="s">
        <v>201</v>
      </c>
      <c r="D181" s="22" t="s">
        <v>807</v>
      </c>
      <c r="E181" s="13">
        <v>42752.60837962963</v>
      </c>
      <c r="F181" s="13">
        <v>42752.609884259262</v>
      </c>
      <c r="G181" s="7">
        <v>1</v>
      </c>
      <c r="H181" s="22" t="s">
        <v>351</v>
      </c>
      <c r="I181" s="13">
        <v>42752.623402777775</v>
      </c>
      <c r="J181" s="7">
        <v>0</v>
      </c>
      <c r="K181" s="105" t="str">
        <f t="shared" si="100"/>
        <v>4019/4020</v>
      </c>
      <c r="L181" s="22" t="str">
        <f>VLOOKUP(A181,'Trips&amp;Operators'!$C$1:$G$99999,5,FALSE)</f>
        <v>LEVIN SCOTT</v>
      </c>
      <c r="M181" s="6">
        <f t="shared" si="101"/>
        <v>1.3518518513592426E-2</v>
      </c>
      <c r="N181" s="7">
        <f t="shared" si="102"/>
        <v>19.466666659573093</v>
      </c>
      <c r="O181" s="7"/>
      <c r="P181" s="7"/>
      <c r="Q181" s="23"/>
      <c r="R181" s="23"/>
      <c r="S181" s="32">
        <f t="shared" si="103"/>
        <v>1</v>
      </c>
      <c r="T181" s="47" t="str">
        <f t="shared" si="104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74"/>
        <v>https://d0f6bd738d7f1b3e5a7ca70fe4ff75f0.us-east-1.aws.found.io/app/kibana#/discover/Steve-Slow-Train-Analysis-(2080s-and-2083s)?_g=(refreshInterval:(display:Off,pause:!f,section:0,value:0),time:(from:'2017-01-17T13:36:04-0700',mode:absolute,to:'2017-01-17T15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49" t="str">
        <f t="shared" si="105"/>
        <v>N</v>
      </c>
      <c r="X181" s="173">
        <f t="shared" si="111"/>
        <v>1</v>
      </c>
      <c r="Y181" s="64">
        <f t="shared" si="106"/>
        <v>5.8604000000000003</v>
      </c>
      <c r="Z181" s="64">
        <f t="shared" si="107"/>
        <v>6.59E-2</v>
      </c>
      <c r="AA181" s="64">
        <f t="shared" si="108"/>
        <v>5.7945000000000002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109"/>
        <v>0824-17</v>
      </c>
      <c r="AE181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81" s="84" t="str">
        <f t="shared" si="81"/>
        <v>"C:\Program Files (x86)\AstroGrep\AstroGrep.exe" /spath="%USERPROFILE%\AppData\Local\Temp\OnboardLogs" /stypes="app*4019*20170117*" /stext=" 21:.+((SYSTEM_STATE.+slice.+state.+changed )|(ment ac)|(multiple cpu faults)|(system.+state.+changed )|(\[timeout)|(PRM\|1\|D)|(kpr)|(kdp)|(\|lc)|(penalty))" /e /r /s</v>
      </c>
      <c r="AG181" s="1" t="str">
        <f t="shared" si="110"/>
        <v>NW</v>
      </c>
      <c r="AH181" s="88" t="str">
        <f t="shared" si="67"/>
        <v>"%USERPROFILE%\Documents\GitHub\eaglep3\Utilities\RefineRTDCRunTimes.py" --tripid 824-17 --locoid 4019 --swversion DE.1.0.8.0 --startMP 300:58604 --initTime 2017-01-17T14:36:04 --startdatetime 2017-01-17T14:38:14 --delay 1 --endMP 204:659 --enddatetime 2017-01-17T14:57:42 --enforcementcount 0 &gt;&gt;C:\Users\stu\Documents\GitHub\eaglep3-reporting\EC\2017-01-17-refined-times.txt</v>
      </c>
      <c r="AI181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{"issue":{"subject":"","project_id":79,"tracker_id":40,"status_id":1,"priority_id":2,"assigned_to_id":23,"start_date":"2017-01-17","description":"","custom_fields":[{"id":1,"name":"Subdivision","value":"NW"},{"id":4,"name":"Milepost","value":"0.0659"},{"id":17,"name":"Train ID","value":"824-17"},{"id":16,"name":"Locomotive ID","value":"4019"},{"id":130,"name":"Impact","value":""},{"id":150,"name":"Time of Event (Mountain Time)","value":"14:57:42"},{"id":151,"name":"Denver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9"/>
        <v>start /low /b %USERPROFILE%\Documents\GitHub\eaglep3\Utilities\DownloadLogsFromS3.py --loco 4019 --day 2017-01-17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619</v>
      </c>
      <c r="B182" s="7">
        <v>4020</v>
      </c>
      <c r="C182" s="22" t="s">
        <v>201</v>
      </c>
      <c r="D182" s="22" t="s">
        <v>808</v>
      </c>
      <c r="E182" s="13">
        <v>42752.636886574073</v>
      </c>
      <c r="F182" s="13">
        <v>42752.639780092592</v>
      </c>
      <c r="G182" s="7">
        <v>1</v>
      </c>
      <c r="H182" s="22" t="s">
        <v>430</v>
      </c>
      <c r="I182" s="13">
        <v>42752.649456018517</v>
      </c>
      <c r="J182" s="7">
        <v>0</v>
      </c>
      <c r="K182" s="105" t="str">
        <f t="shared" si="100"/>
        <v>4019/4020</v>
      </c>
      <c r="L182" s="22" t="str">
        <f>VLOOKUP(A182,'Trips&amp;Operators'!$C$1:$G$99999,5,FALSE)</f>
        <v>LEVIN SCOTT</v>
      </c>
      <c r="M182" s="6">
        <f t="shared" si="101"/>
        <v>9.6759259249665774E-3</v>
      </c>
      <c r="N182" s="7">
        <f t="shared" si="102"/>
        <v>13.933333331951872</v>
      </c>
      <c r="O182" s="7"/>
      <c r="P182" s="7"/>
      <c r="Q182" s="23"/>
      <c r="R182" s="23"/>
      <c r="S182" s="32">
        <f t="shared" si="103"/>
        <v>1</v>
      </c>
      <c r="T182" s="47" t="str">
        <f t="shared" si="104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74"/>
        <v>https://d0f6bd738d7f1b3e5a7ca70fe4ff75f0.us-east-1.aws.found.io/app/kibana#/discover/Steve-Slow-Train-Analysis-(2080s-and-2083s)?_g=(refreshInterval:(display:Off,pause:!f,section:0,value:0),time:(from:'2017-01-17T14:17:07-0700',mode:absolute,to:'2017-01-17T16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49" t="str">
        <f t="shared" si="105"/>
        <v>N</v>
      </c>
      <c r="X182" s="173">
        <f t="shared" si="111"/>
        <v>1</v>
      </c>
      <c r="Y182" s="64">
        <f t="shared" si="106"/>
        <v>9.6699999999999994E-2</v>
      </c>
      <c r="Z182" s="64">
        <f t="shared" si="107"/>
        <v>5.8921999999999999</v>
      </c>
      <c r="AA182" s="64">
        <f t="shared" si="108"/>
        <v>5.7954999999999997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109"/>
        <v>0825-17</v>
      </c>
      <c r="AE182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82" s="84" t="str">
        <f t="shared" si="81"/>
        <v>"C:\Program Files (x86)\AstroGrep\AstroGrep.exe" /spath="%USERPROFILE%\AppData\Local\Temp\OnboardLogs" /stypes="app*4020*20170117*" /stext=" 22:.+((SYSTEM_STATE.+slice.+state.+changed )|(ment ac)|(multiple cpu faults)|(system.+state.+changed )|(\[timeout)|(PRM\|1\|D)|(kpr)|(kdp)|(\|lc)|(penalty))" /e /r /s</v>
      </c>
      <c r="AG182" s="1" t="str">
        <f t="shared" si="110"/>
        <v>NW</v>
      </c>
      <c r="AH182" s="88" t="str">
        <f t="shared" si="67"/>
        <v>"%USERPROFILE%\Documents\GitHub\eaglep3\Utilities\RefineRTDCRunTimes.py" --tripid 825-17 --locoid 4020 --swversion DE.1.0.8.0 --startMP 204:967 --initTime 2017-01-17T15:17:07 --startdatetime 2017-01-17T15:21:17 --delay 1 --endMP 300:58922 --enddatetime 2017-01-17T15:35:13 --enforcementcount 0 &gt;&gt;C:\Users\stu\Documents\GitHub\eaglep3-reporting\EC\2017-01-17-refined-times.txt</v>
      </c>
      <c r="AI182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{"issue":{"subject":"","project_id":79,"tracker_id":40,"status_id":1,"priority_id":2,"assigned_to_id":23,"start_date":"2017-01-17","description":"","custom_fields":[{"id":1,"name":"Subdivision","value":"NW"},{"id":4,"name":"Milepost","value":"5.8922"},{"id":17,"name":"Train ID","value":"825-17"},{"id":16,"name":"Locomotive ID","value":"4020"},{"id":130,"name":"Impact","value":""},{"id":150,"name":"Time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9"/>
        <v>start /low /b %USERPROFILE%\Documents\GitHub\eaglep3\Utilities\DownloadLogsFromS3.py --loco 4020 --day 2017-01-17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</row>
    <row r="183" spans="1:91" s="21" customFormat="1" x14ac:dyDescent="0.25">
      <c r="A183" s="34" t="s">
        <v>623</v>
      </c>
      <c r="B183" s="7">
        <v>4019</v>
      </c>
      <c r="C183" s="22" t="s">
        <v>201</v>
      </c>
      <c r="D183" s="22" t="s">
        <v>809</v>
      </c>
      <c r="E183" s="13">
        <v>42752.650567129633</v>
      </c>
      <c r="F183" s="13">
        <v>42752.651782407411</v>
      </c>
      <c r="G183" s="7">
        <v>1</v>
      </c>
      <c r="H183" s="22" t="s">
        <v>446</v>
      </c>
      <c r="I183" s="13">
        <v>42752.664895833332</v>
      </c>
      <c r="J183" s="7">
        <v>0</v>
      </c>
      <c r="K183" s="105" t="str">
        <f t="shared" si="100"/>
        <v>4019/4020</v>
      </c>
      <c r="L183" s="22" t="str">
        <f>VLOOKUP(A183,'Trips&amp;Operators'!$C$1:$G$99999,5,FALSE)</f>
        <v>LEVIN SCOTT</v>
      </c>
      <c r="M183" s="6">
        <f t="shared" si="101"/>
        <v>1.3113425920892041E-2</v>
      </c>
      <c r="N183" s="7">
        <f t="shared" si="102"/>
        <v>18.883333326084539</v>
      </c>
      <c r="O183" s="7"/>
      <c r="P183" s="7"/>
      <c r="Q183" s="23"/>
      <c r="R183" s="23"/>
      <c r="S183" s="32">
        <f t="shared" si="103"/>
        <v>1</v>
      </c>
      <c r="T183" s="47" t="str">
        <f t="shared" si="104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74"/>
        <v>https://d0f6bd738d7f1b3e5a7ca70fe4ff75f0.us-east-1.aws.found.io/app/kibana#/discover/Steve-Slow-Train-Analysis-(2080s-and-2083s)?_g=(refreshInterval:(display:Off,pause:!f,section:0,value:0),time:(from:'2017-01-17T14:36:49-0700',mode:absolute,to:'2017-01-17T16:57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49" t="str">
        <f t="shared" si="105"/>
        <v>N</v>
      </c>
      <c r="X183" s="173">
        <f t="shared" si="111"/>
        <v>1</v>
      </c>
      <c r="Y183" s="64">
        <f t="shared" si="106"/>
        <v>5.8616999999999999</v>
      </c>
      <c r="Z183" s="64">
        <f t="shared" si="107"/>
        <v>6.6299999999999998E-2</v>
      </c>
      <c r="AA183" s="64">
        <f t="shared" si="108"/>
        <v>5.7953999999999999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109"/>
        <v>0826-17</v>
      </c>
      <c r="AE183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83" s="84" t="str">
        <f t="shared" si="81"/>
        <v>"C:\Program Files (x86)\AstroGrep\AstroGrep.exe" /spath="%USERPROFILE%\AppData\Local\Temp\OnboardLogs" /stypes="app*4019*20170117*" /stext=" 22:.+((SYSTEM_STATE.+slice.+state.+changed )|(ment ac)|(multiple cpu faults)|(system.+state.+changed )|(\[timeout)|(PRM\|1\|D)|(kpr)|(kdp)|(\|lc)|(penalty))" /e /r /s</v>
      </c>
      <c r="AG183" s="1" t="str">
        <f t="shared" si="110"/>
        <v>NW</v>
      </c>
      <c r="AH183" s="88" t="str">
        <f t="shared" si="67"/>
        <v>"%USERPROFILE%\Documents\GitHub\eaglep3\Utilities\RefineRTDCRunTimes.py" --tripid 826-17 --locoid 4019 --swversion DE.1.0.8.0 --startMP 300:58617 --initTime 2017-01-17T15:36:49 --startdatetime 2017-01-17T15:38:34 --delay 1 --endMP 204:663 --enddatetime 2017-01-17T15:57:27 --enforcementcount 0 &gt;&gt;C:\Users\stu\Documents\GitHub\eaglep3-reporting\EC\2017-01-17-refined-times.txt</v>
      </c>
      <c r="AI183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{"issue":{"subject":"","project_id":79,"tracker_id":40,"status_id":1,"priority_id":2,"assigned_to_id":23,"start_date":"2017-01-17","description":"","custom_fields":[{"id":1,"name":"Subdivision","value":"NW"},{"id":4,"name":"Milepost","value":"0.0663"},{"id":17,"name":"Train ID","value":"826-17"},{"id":16,"name":"Locomotive ID","value":"4019"},{"id":130,"name":"Impact","value":""},{"id":150,"name":"Time of Event (Mountain Time)","value":"15:57:27"},{"id":151,"name":"Denver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9"/>
        <v>start /low /b %USERPROFILE%\Documents\GitHub\eaglep3\Utilities\DownloadLogsFromS3.py --loco 4019 --day 2017-01-17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4" t="s">
        <v>477</v>
      </c>
      <c r="B184" s="7">
        <v>4018</v>
      </c>
      <c r="C184" s="22" t="s">
        <v>201</v>
      </c>
      <c r="D184" s="22" t="s">
        <v>810</v>
      </c>
      <c r="E184" s="13">
        <v>42752.658125000002</v>
      </c>
      <c r="F184" s="13">
        <v>42752.660925925928</v>
      </c>
      <c r="G184" s="7">
        <v>1</v>
      </c>
      <c r="H184" s="22" t="s">
        <v>811</v>
      </c>
      <c r="I184" s="13">
        <v>42752.671249999999</v>
      </c>
      <c r="J184" s="7">
        <v>0</v>
      </c>
      <c r="K184" s="105" t="str">
        <f t="shared" si="100"/>
        <v>4017/4018</v>
      </c>
      <c r="L184" s="22" t="str">
        <f>VLOOKUP(A184,'Trips&amp;Operators'!$C$1:$G$99999,5,FALSE)</f>
        <v>HILLS DUSTIN</v>
      </c>
      <c r="M184" s="6">
        <f t="shared" si="101"/>
        <v>1.0324074071832001E-2</v>
      </c>
      <c r="N184" s="7">
        <f t="shared" si="102"/>
        <v>14.866666663438082</v>
      </c>
      <c r="O184" s="7"/>
      <c r="P184" s="7"/>
      <c r="Q184" s="23"/>
      <c r="R184" s="23"/>
      <c r="S184" s="32">
        <f t="shared" si="103"/>
        <v>1</v>
      </c>
      <c r="T184" s="47" t="str">
        <f t="shared" si="104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74"/>
        <v>https://d0f6bd738d7f1b3e5a7ca70fe4ff75f0.us-east-1.aws.found.io/app/kibana#/discover/Steve-Slow-Train-Analysis-(2080s-and-2083s)?_g=(refreshInterval:(display:Off,pause:!f,section:0,value:0),time:(from:'2017-01-17T14:47:42-0700',mode:absolute,to:'2017-01-17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49" t="str">
        <f t="shared" si="105"/>
        <v>N</v>
      </c>
      <c r="X184" s="173">
        <f t="shared" si="111"/>
        <v>1</v>
      </c>
      <c r="Y184" s="64">
        <f t="shared" si="106"/>
        <v>8.9700000000000002E-2</v>
      </c>
      <c r="Z184" s="64">
        <f t="shared" si="107"/>
        <v>5.8944000000000001</v>
      </c>
      <c r="AA184" s="64">
        <f t="shared" si="108"/>
        <v>5.8047000000000004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109"/>
        <v>0827-17</v>
      </c>
      <c r="AE184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84" s="84" t="str">
        <f t="shared" si="81"/>
        <v>"C:\Program Files (x86)\AstroGrep\AstroGrep.exe" /spath="%USERPROFILE%\AppData\Local\Temp\OnboardLogs" /stypes="app*4018*20170117*" /stext=" 23:.+((SYSTEM_STATE.+slice.+state.+changed )|(ment ac)|(multiple cpu faults)|(system.+state.+changed )|(\[timeout)|(PRM\|1\|D)|(kpr)|(kdp)|(\|lc)|(penalty))" /e /r /s</v>
      </c>
      <c r="AG184" s="1" t="str">
        <f t="shared" si="110"/>
        <v>NW</v>
      </c>
      <c r="AH184" s="88" t="str">
        <f t="shared" si="67"/>
        <v>"%USERPROFILE%\Documents\GitHub\eaglep3\Utilities\RefineRTDCRunTimes.py" --tripid 827-17 --locoid 4018 --swversion DE.1.0.8.0 --startMP 204:897 --initTime 2017-01-17T15:47:42 --startdatetime 2017-01-17T15:51:44 --delay 1 --endMP 300:58944 --enddatetime 2017-01-17T16:06:36 --enforcementcount 0 &gt;&gt;C:\Users\stu\Documents\GitHub\eaglep3-reporting\EC\2017-01-17-refined-times.txt</v>
      </c>
      <c r="AI184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{"issue":{"subject":"","project_id":79,"tracker_id":40,"status_id":1,"priority_id":2,"assigned_to_id":23,"start_date":"2017-01-17","description":"","custom_fields":[{"id":1,"name":"Subdivision","value":"NW"},{"id":4,"name":"Milepost","value":"5.8944"},{"id":17,"name":"Train ID","value":"827-17"},{"id":16,"name":"Locomotive ID","value":"4018"},{"id":130,"name":"Impact","value":""},{"id":150,"name":"Time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9"/>
        <v>start /low /b %USERPROFILE%\Documents\GitHub\eaglep3\Utilities\DownloadLogsFromS3.py --loco 4018 --day 2017-01-17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4" t="s">
        <v>629</v>
      </c>
      <c r="B185" s="7">
        <v>4017</v>
      </c>
      <c r="C185" s="22" t="s">
        <v>201</v>
      </c>
      <c r="D185" s="22" t="s">
        <v>353</v>
      </c>
      <c r="E185" s="13">
        <v>42752.673738425925</v>
      </c>
      <c r="F185" s="13">
        <v>42752.675254629627</v>
      </c>
      <c r="G185" s="7">
        <v>1</v>
      </c>
      <c r="H185" s="22" t="s">
        <v>449</v>
      </c>
      <c r="I185" s="13">
        <v>42752.686689814815</v>
      </c>
      <c r="J185" s="7">
        <v>0</v>
      </c>
      <c r="K185" s="105" t="str">
        <f t="shared" si="100"/>
        <v>4017/4018</v>
      </c>
      <c r="L185" s="22" t="str">
        <f>VLOOKUP(A185,'Trips&amp;Operators'!$C$1:$G$99999,5,FALSE)</f>
        <v>HILLS DUSTIN</v>
      </c>
      <c r="M185" s="6">
        <f t="shared" si="101"/>
        <v>1.1435185188020114E-2</v>
      </c>
      <c r="N185" s="7">
        <f t="shared" si="102"/>
        <v>16.466666670748964</v>
      </c>
      <c r="O185" s="7"/>
      <c r="P185" s="7"/>
      <c r="Q185" s="23"/>
      <c r="R185" s="23"/>
      <c r="S185" s="32">
        <f t="shared" si="103"/>
        <v>1</v>
      </c>
      <c r="T185" s="47" t="str">
        <f t="shared" si="104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74"/>
        <v>https://d0f6bd738d7f1b3e5a7ca70fe4ff75f0.us-east-1.aws.found.io/app/kibana#/discover/Steve-Slow-Train-Analysis-(2080s-and-2083s)?_g=(refreshInterval:(display:Off,pause:!f,section:0,value:0),time:(from:'2017-01-17T15:10:11-0700',mode:absolute,to:'2017-01-17T17:28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49" t="str">
        <f t="shared" si="105"/>
        <v>N</v>
      </c>
      <c r="X185" s="173">
        <f t="shared" si="111"/>
        <v>1</v>
      </c>
      <c r="Y185" s="64">
        <f t="shared" si="106"/>
        <v>5.8630000000000004</v>
      </c>
      <c r="Z185" s="64">
        <f t="shared" si="107"/>
        <v>6.7100000000000007E-2</v>
      </c>
      <c r="AA185" s="64">
        <f t="shared" si="108"/>
        <v>5.7959000000000005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109"/>
        <v>0828-17</v>
      </c>
      <c r="AE185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85" s="84" t="str">
        <f t="shared" si="81"/>
        <v>"C:\Program Files (x86)\AstroGrep\AstroGrep.exe" /spath="%USERPROFILE%\AppData\Local\Temp\OnboardLogs" /stypes="app*4017*20170117*" /stext=" 23:.+((SYSTEM_STATE.+slice.+state.+changed )|(ment ac)|(multiple cpu faults)|(system.+state.+changed )|(\[timeout)|(PRM\|1\|D)|(kpr)|(kdp)|(\|lc)|(penalty))" /e /r /s</v>
      </c>
      <c r="AG185" s="1" t="str">
        <f t="shared" si="110"/>
        <v>NW</v>
      </c>
      <c r="AH185" s="88" t="str">
        <f t="shared" si="67"/>
        <v>"%USERPROFILE%\Documents\GitHub\eaglep3\Utilities\RefineRTDCRunTimes.py" --tripid 828-17 --locoid 4017 --swversion DE.1.0.8.0 --startMP 300:58630 --initTime 2017-01-17T16:10:11 --startdatetime 2017-01-17T16:12:22 --delay 1 --endMP 204:671 --enddatetime 2017-01-17T16:28:50 --enforcementcount 0 &gt;&gt;C:\Users\stu\Documents\GitHub\eaglep3-reporting\EC\2017-01-17-refined-times.txt</v>
      </c>
      <c r="AI185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{"issue":{"subject":"","project_id":79,"tracker_id":40,"status_id":1,"priority_id":2,"assigned_to_id":23,"start_date":"2017-01-17","description":"","custom_fields":[{"id":1,"name":"Subdivision","value":"NW"},{"id":4,"name":"Milepost","value":"0.0671"},{"id":17,"name":"Train ID","value":"828-17"},{"id":16,"name":"Locomotive ID","value":"4017"},{"id":130,"name":"Impact","value":""},{"id":150,"name":"Time of Event (Mountain Time)","value":"16:28:50"},{"id":151,"name":"Denver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9"/>
        <v>start /low /b %USERPROFILE%\Documents\GitHub\eaglep3\Utilities\DownloadLogsFromS3.py --loco 4017 --day 2017-01-17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4" t="s">
        <v>630</v>
      </c>
      <c r="B186" s="7">
        <v>4020</v>
      </c>
      <c r="C186" s="22" t="s">
        <v>201</v>
      </c>
      <c r="D186" s="22" t="s">
        <v>812</v>
      </c>
      <c r="E186" s="13">
        <v>42752.674131944441</v>
      </c>
      <c r="F186" s="13">
        <v>42752.681481481479</v>
      </c>
      <c r="G186" s="7">
        <v>1</v>
      </c>
      <c r="H186" s="22" t="s">
        <v>439</v>
      </c>
      <c r="I186" s="13">
        <v>42752.691238425927</v>
      </c>
      <c r="J186" s="7">
        <v>0</v>
      </c>
      <c r="K186" s="105" t="str">
        <f t="shared" si="100"/>
        <v>4019/4020</v>
      </c>
      <c r="L186" s="22" t="str">
        <f>VLOOKUP(A186,'Trips&amp;Operators'!$C$1:$G$99999,5,FALSE)</f>
        <v>LEVIN SCOTT</v>
      </c>
      <c r="M186" s="6">
        <f t="shared" si="101"/>
        <v>9.7569444478722289E-3</v>
      </c>
      <c r="N186" s="7">
        <f t="shared" si="102"/>
        <v>14.05000000493601</v>
      </c>
      <c r="O186" s="7"/>
      <c r="P186" s="7"/>
      <c r="Q186" s="23"/>
      <c r="R186" s="23"/>
      <c r="S186" s="32">
        <f t="shared" si="103"/>
        <v>1</v>
      </c>
      <c r="T186" s="47" t="str">
        <f t="shared" si="104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74"/>
        <v>https://d0f6bd738d7f1b3e5a7ca70fe4ff75f0.us-east-1.aws.found.io/app/kibana#/discover/Steve-Slow-Train-Analysis-(2080s-and-2083s)?_g=(refreshInterval:(display:Off,pause:!f,section:0,value:0),time:(from:'2017-01-17T15:10:45-0700',mode:absolute,to:'2017-01-17T17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49" t="str">
        <f t="shared" si="105"/>
        <v>N</v>
      </c>
      <c r="X186" s="173">
        <f t="shared" si="111"/>
        <v>1</v>
      </c>
      <c r="Y186" s="64">
        <f t="shared" si="106"/>
        <v>9.3899999999999997E-2</v>
      </c>
      <c r="Z186" s="64">
        <f t="shared" si="107"/>
        <v>5.8929</v>
      </c>
      <c r="AA186" s="64">
        <f t="shared" si="108"/>
        <v>5.7990000000000004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109"/>
        <v>0829-17</v>
      </c>
      <c r="AE186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86" s="84" t="str">
        <f t="shared" si="81"/>
        <v>"C:\Program Files (x86)\AstroGrep\AstroGrep.exe" /spath="%USERPROFILE%\AppData\Local\Temp\OnboardLogs" /stypes="app*4020*20170117*" /stext=" 23:.+((SYSTEM_STATE.+slice.+state.+changed )|(ment ac)|(multiple cpu faults)|(system.+state.+changed )|(\[timeout)|(PRM\|1\|D)|(kpr)|(kdp)|(\|lc)|(penalty))" /e /r /s</v>
      </c>
      <c r="AG186" s="1" t="str">
        <f t="shared" si="110"/>
        <v>NW</v>
      </c>
      <c r="AH186" s="88" t="str">
        <f t="shared" si="67"/>
        <v>"%USERPROFILE%\Documents\GitHub\eaglep3\Utilities\RefineRTDCRunTimes.py" --tripid 829-17 --locoid 4020 --swversion DE.1.0.8.0 --startMP 204:939 --initTime 2017-01-17T16:10:45 --startdatetime 2017-01-17T16:21:20 --delay 1 --endMP 300:58929 --enddatetime 2017-01-17T16:35:23 --enforcementcount 0 &gt;&gt;C:\Users\stu\Documents\GitHub\eaglep3-reporting\EC\2017-01-17-refined-times.txt</v>
      </c>
      <c r="AI186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{"issue":{"subject":"","project_id":79,"tracker_id":40,"status_id":1,"priority_id":2,"assigned_to_id":23,"start_date":"2017-01-17","description":"","custom_fields":[{"id":1,"name":"Subdivision","value":"NW"},{"id":4,"name":"Milepost","value":"5.8929"},{"id":17,"name":"Train ID","value":"829-17"},{"id":16,"name":"Locomotive ID","value":"4020"},{"id":130,"name":"Impact","value":""},{"id":150,"name":"Time of Event (Mountain Time)","value":"16:35:23"},{"id":151,"name":"Denver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9"/>
        <v>start /low /b %USERPROFILE%\Documents\GitHub\eaglep3\Utilities\DownloadLogsFromS3.py --loco 4020 --day 2017-01-17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"%USERPROFILE%\AppData\Local\Temp\OnboardLogs"\RTDC4020\*4020*20170117* | grep -SE "(Enforcement Action)|(\[TIMEOUT)|(CHR.+\|PRM\|1\|D.+(SWITCH|SIGNAL).+UNKNOWN)" - &gt;&gt; 2017-01-17-UncaughtWiMAX.txt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4" t="s">
        <v>636</v>
      </c>
      <c r="B187" s="7">
        <v>4019</v>
      </c>
      <c r="C187" s="22" t="s">
        <v>201</v>
      </c>
      <c r="D187" s="22" t="s">
        <v>431</v>
      </c>
      <c r="E187" s="13">
        <v>42752.692175925928</v>
      </c>
      <c r="F187" s="13">
        <v>42752.693402777775</v>
      </c>
      <c r="G187" s="7">
        <v>1</v>
      </c>
      <c r="H187" s="22" t="s">
        <v>818</v>
      </c>
      <c r="I187" s="13">
        <v>42752.706597222219</v>
      </c>
      <c r="J187" s="7">
        <v>0</v>
      </c>
      <c r="K187" s="105" t="str">
        <f t="shared" si="100"/>
        <v>4019/4020</v>
      </c>
      <c r="L187" s="22" t="str">
        <f>VLOOKUP(A187,'Trips&amp;Operators'!$C$1:$G$99999,5,FALSE)</f>
        <v>LEVIN SCOTT</v>
      </c>
      <c r="M187" s="6">
        <f t="shared" si="101"/>
        <v>1.3194444443797693E-2</v>
      </c>
      <c r="N187" s="7">
        <f t="shared" si="102"/>
        <v>18.999999999068677</v>
      </c>
      <c r="O187" s="7"/>
      <c r="P187" s="7"/>
      <c r="Q187" s="23"/>
      <c r="R187" s="23"/>
      <c r="S187" s="32">
        <f t="shared" si="103"/>
        <v>1</v>
      </c>
      <c r="T187" s="47" t="str">
        <f t="shared" si="104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74"/>
        <v>https://d0f6bd738d7f1b3e5a7ca70fe4ff75f0.us-east-1.aws.found.io/app/kibana#/discover/Steve-Slow-Train-Analysis-(2080s-and-2083s)?_g=(refreshInterval:(display:Off,pause:!f,section:0,value:0),time:(from:'2017-01-17T15:36:44-0700',mode:absolute,to:'2017-01-17T17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49" t="str">
        <f t="shared" si="105"/>
        <v>N</v>
      </c>
      <c r="X187" s="173">
        <f t="shared" si="111"/>
        <v>1</v>
      </c>
      <c r="Y187" s="64">
        <f t="shared" si="106"/>
        <v>5.8608000000000002</v>
      </c>
      <c r="Z187" s="64">
        <f t="shared" si="107"/>
        <v>6.3500000000000001E-2</v>
      </c>
      <c r="AA187" s="64">
        <f t="shared" si="108"/>
        <v>5.7972999999999999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109"/>
        <v>0830-17</v>
      </c>
      <c r="AE187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87" s="84" t="str">
        <f t="shared" si="81"/>
        <v>"C:\Program Files (x86)\AstroGrep\AstroGrep.exe" /spath="%USERPROFILE%\AppData\Local\Temp\OnboardLogs" /stypes="app*4019*20170117*" /stext=" 23:.+((SYSTEM_STATE.+slice.+state.+changed )|(ment ac)|(multiple cpu faults)|(system.+state.+changed )|(\[timeout)|(PRM\|1\|D)|(kpr)|(kdp)|(\|lc)|(penalty))" /e /r /s</v>
      </c>
      <c r="AG187" s="1" t="str">
        <f t="shared" si="110"/>
        <v>NW</v>
      </c>
      <c r="AH187" s="88" t="str">
        <f t="shared" si="67"/>
        <v>"%USERPROFILE%\Documents\GitHub\eaglep3\Utilities\RefineRTDCRunTimes.py" --tripid 830-17 --locoid 4019 --swversion DE.1.0.8.0 --startMP 300:58608 --initTime 2017-01-17T16:36:44 --startdatetime 2017-01-17T16:38:30 --delay 1 --endMP 204:635 --enddatetime 2017-01-17T16:57:30 --enforcementcount 0 &gt;&gt;C:\Users\stu\Documents\GitHub\eaglep3-reporting\EC\2017-01-17-refined-times.txt</v>
      </c>
      <c r="AI187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{"issue":{"subject":"","project_id":79,"tracker_id":40,"status_id":1,"priority_id":2,"assigned_to_id":23,"start_date":"2017-01-17","description":"","custom_fields":[{"id":1,"name":"Subdivision","value":"NW"},{"id":4,"name":"Milepost","value":"0.0635"},{"id":17,"name":"Train ID","value":"830-17"},{"id":16,"name":"Locomotive ID","value":"4019"},{"id":130,"name":"Impact","value":""},{"id":150,"name":"Time of Event (Mountain Time)","value":"16:57:30"},{"id":151,"name":"Denver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9"/>
        <v>start /low /b %USERPROFILE%\Documents\GitHub\eaglep3\Utilities\DownloadLogsFromS3.py --loco 4019 --day 2017-01-17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4" t="s">
        <v>635</v>
      </c>
      <c r="B188" s="7">
        <v>4018</v>
      </c>
      <c r="C188" s="22" t="s">
        <v>201</v>
      </c>
      <c r="D188" s="22" t="s">
        <v>819</v>
      </c>
      <c r="E188" s="13">
        <v>42752.688043981485</v>
      </c>
      <c r="F188" s="13">
        <v>42752.702314814815</v>
      </c>
      <c r="G188" s="7">
        <v>1</v>
      </c>
      <c r="H188" s="22" t="s">
        <v>436</v>
      </c>
      <c r="I188" s="13">
        <v>42752.712766203702</v>
      </c>
      <c r="J188" s="7">
        <v>0</v>
      </c>
      <c r="K188" s="105" t="str">
        <f t="shared" si="100"/>
        <v>4017/4018</v>
      </c>
      <c r="L188" s="22" t="str">
        <f>VLOOKUP(A188,'Trips&amp;Operators'!$C$1:$G$99999,5,FALSE)</f>
        <v>HILLS DUSTIN</v>
      </c>
      <c r="M188" s="6">
        <f t="shared" si="101"/>
        <v>1.0451388887304347E-2</v>
      </c>
      <c r="N188" s="7">
        <f t="shared" si="102"/>
        <v>15.04999999771826</v>
      </c>
      <c r="O188" s="7"/>
      <c r="P188" s="7"/>
      <c r="Q188" s="23"/>
      <c r="R188" s="23"/>
      <c r="S188" s="32">
        <f t="shared" si="103"/>
        <v>1</v>
      </c>
      <c r="T188" s="47" t="str">
        <f t="shared" si="104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74"/>
        <v>https://d0f6bd738d7f1b3e5a7ca70fe4ff75f0.us-east-1.aws.found.io/app/kibana#/discover/Steve-Slow-Train-Analysis-(2080s-and-2083s)?_g=(refreshInterval:(display:Off,pause:!f,section:0,value:0),time:(from:'2017-01-17T15:30:47-0700',mode:absolute,to:'2017-01-17T18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49" t="str">
        <f t="shared" si="105"/>
        <v>N</v>
      </c>
      <c r="X188" s="173">
        <f t="shared" si="111"/>
        <v>1</v>
      </c>
      <c r="Y188" s="64">
        <f t="shared" si="106"/>
        <v>9.64E-2</v>
      </c>
      <c r="Z188" s="64">
        <f t="shared" si="107"/>
        <v>5.899</v>
      </c>
      <c r="AA188" s="64">
        <f t="shared" si="108"/>
        <v>5.8026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109"/>
        <v>0831-17</v>
      </c>
      <c r="AE188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88" s="84" t="str">
        <f t="shared" si="81"/>
        <v>"C:\Program Files (x86)\AstroGrep\AstroGrep.exe" /spath="%USERPROFILE%\AppData\Local\Temp\OnboardLogs" /stypes="app*4018*20170118*" /stext=" 00:.+((SYSTEM_STATE.+slice.+state.+changed )|(ment ac)|(multiple cpu faults)|(system.+state.+changed )|(\[timeout)|(PRM\|1\|D)|(kpr)|(kdp)|(\|lc)|(penalty))" /e /r /s</v>
      </c>
      <c r="AG188" s="1" t="str">
        <f t="shared" si="110"/>
        <v>NW</v>
      </c>
      <c r="AH188" s="88" t="str">
        <f t="shared" si="67"/>
        <v>"%USERPROFILE%\Documents\GitHub\eaglep3\Utilities\RefineRTDCRunTimes.py" --tripid 831-17 --locoid 4018 --swversion DE.1.0.8.0 --startMP 204:964 --initTime 2017-01-17T16:30:47 --startdatetime 2017-01-17T16:51:20 --delay 1 --endMP 300:58990 --enddatetime 2017-01-17T17:06:23 --enforcementcount 0 &gt;&gt;C:\Users\stu\Documents\GitHub\eaglep3-reporting\EC\2017-01-17-refined-times.txt</v>
      </c>
      <c r="AI188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{"issue":{"subject":"","project_id":79,"tracker_id":40,"status_id":1,"priority_id":2,"assigned_to_id":23,"start_date":"2017-01-17","description":"","custom_fields":[{"id":1,"name":"Subdivision","value":"NW"},{"id":4,"name":"Milepost","value":"5.899"},{"id":17,"name":"Train ID","value":"831-17"},{"id":16,"name":"Locomotive ID","value":"4018"},{"id":130,"name":"Impact","value":""},{"id":150,"name":"Time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9"/>
        <v>start /low /b %USERPROFILE%\Documents\GitHub\eaglep3\Utilities\DownloadLogsFromS3.py --loco 4018 --day 2017-01-17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4" t="s">
        <v>480</v>
      </c>
      <c r="B189" s="7">
        <v>4017</v>
      </c>
      <c r="C189" s="22" t="s">
        <v>201</v>
      </c>
      <c r="D189" s="22" t="s">
        <v>437</v>
      </c>
      <c r="E189" s="13">
        <v>42752.714039351849</v>
      </c>
      <c r="F189" s="13">
        <v>42752.715983796297</v>
      </c>
      <c r="G189" s="7">
        <v>1</v>
      </c>
      <c r="H189" s="22" t="s">
        <v>441</v>
      </c>
      <c r="I189" s="13">
        <v>42752.726122685184</v>
      </c>
      <c r="J189" s="7">
        <v>0</v>
      </c>
      <c r="K189" s="105" t="str">
        <f t="shared" ref="K189:K220" si="112">IF(ISEVEN(B189),(B189-1)&amp;"/"&amp;B189,B189&amp;"/"&amp;(B189+1))</f>
        <v>4017/4018</v>
      </c>
      <c r="L189" s="22" t="str">
        <f>VLOOKUP(A189,'Trips&amp;Operators'!$C$1:$G$99999,5,FALSE)</f>
        <v>HILLS DUSTIN</v>
      </c>
      <c r="M189" s="6">
        <f t="shared" ref="M189:M220" si="113">I189-F189</f>
        <v>1.0138888887013309E-2</v>
      </c>
      <c r="N189" s="7">
        <f t="shared" ref="N189:N220" si="114">24*60*SUM($M189:$M189)</f>
        <v>14.599999997299165</v>
      </c>
      <c r="O189" s="7"/>
      <c r="P189" s="7"/>
      <c r="Q189" s="23"/>
      <c r="R189" s="23"/>
      <c r="S189" s="32">
        <f t="shared" ref="S189:S220" si="115">SUM(U189:U189)/IF(AG189="EC",12,1)</f>
        <v>1</v>
      </c>
      <c r="T189" s="47" t="str">
        <f t="shared" ref="T189:T220" si="116">IF(ISEVEN(LEFT(AD189,4)),"Southbound","NorthBound")</f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74"/>
        <v>https://d0f6bd738d7f1b3e5a7ca70fe4ff75f0.us-east-1.aws.found.io/app/kibana#/discover/Steve-Slow-Train-Analysis-(2080s-and-2083s)?_g=(refreshInterval:(display:Off,pause:!f,section:0,value:0),time:(from:'2017-01-17T16:08:13-0700',mode:absolute,to:'2017-01-17T18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49" t="str">
        <f t="shared" ref="W189:W220" si="117">IF(AA189&lt;IF(AG189="EC",23,5.65),"Y","N")</f>
        <v>N</v>
      </c>
      <c r="X189" s="173">
        <f t="shared" si="111"/>
        <v>1</v>
      </c>
      <c r="Y189" s="64">
        <f t="shared" ref="Y189:Y220" si="118">RIGHT(D189,LEN(D189)-4)/10000</f>
        <v>5.8678999999999997</v>
      </c>
      <c r="Z189" s="64">
        <f t="shared" ref="Z189:Z220" si="119">RIGHT(H189,LEN(H189)-4)/10000</f>
        <v>6.8699999999999997E-2</v>
      </c>
      <c r="AA189" s="64">
        <f t="shared" ref="AA189:AA220" si="120">ABS(Z189-Y189)</f>
        <v>5.7991999999999999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ref="AD189:AD220" si="121">IF(LEN(A189)=6,"0"&amp;A189,A189)</f>
        <v>0832-17</v>
      </c>
      <c r="AE189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89" s="84" t="str">
        <f t="shared" si="81"/>
        <v>"C:\Program Files (x86)\AstroGrep\AstroGrep.exe" /spath="%USERPROFILE%\AppData\Local\Temp\OnboardLogs" /stypes="app*4017*20170118*" /stext=" 00:.+((SYSTEM_STATE.+slice.+state.+changed )|(ment ac)|(multiple cpu faults)|(system.+state.+changed )|(\[timeout)|(PRM\|1\|D)|(kpr)|(kdp)|(\|lc)|(penalty))" /e /r /s</v>
      </c>
      <c r="AG189" s="1" t="str">
        <f t="shared" ref="AG189:AG220" si="122">IFERROR(IF(VALUE(LEFT(AD189,2))&lt;=2,"EC",IF(OR(VALUE(LEFT(AD189,2))=8,VALUE(LEFT(AD189,2))=18),"NW","Other")),"Other")</f>
        <v>NW</v>
      </c>
      <c r="AH189" s="88" t="str">
        <f t="shared" si="67"/>
        <v>"%USERPROFILE%\Documents\GitHub\eaglep3\Utilities\RefineRTDCRunTimes.py" --tripid 832-17 --locoid 4017 --swversion DE.1.0.8.0 --startMP 300:58679 --initTime 2017-01-17T17:08:13 --startdatetime 2017-01-17T17:11:01 --delay 1 --endMP 204:687 --enddatetime 2017-01-17T17:25:37 --enforcementcount 0 &gt;&gt;C:\Users\stu\Documents\GitHub\eaglep3-reporting\EC\2017-01-17-refined-times.txt</v>
      </c>
      <c r="AI189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{"issue":{"subject":"","project_id":79,"tracker_id":40,"status_id":1,"priority_id":2,"assigned_to_id":23,"start_date":"2017-01-17","description":"","custom_fields":[{"id":1,"name":"Subdivision","value":"NW"},{"id":4,"name":"Milepost","value":"0.0687"},{"id":17,"name":"Train ID","value":"832-17"},{"id":16,"name":"Locomotive ID","value":"4017"},{"id":130,"name":"Impact","value":""},{"id":150,"name":"Time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9"/>
        <v>start /low /b %USERPROFILE%\Documents\GitHub\eaglep3\Utilities\DownloadLogsFromS3.py --loco 4017 --day 2017-01-17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2017-01-17-UncaughtWiMAX.txt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641</v>
      </c>
      <c r="B190" s="7">
        <v>4020</v>
      </c>
      <c r="C190" s="22" t="s">
        <v>201</v>
      </c>
      <c r="D190" s="22" t="s">
        <v>820</v>
      </c>
      <c r="E190" s="13">
        <v>42752.71837962963</v>
      </c>
      <c r="F190" s="13">
        <v>42752.723344907405</v>
      </c>
      <c r="G190" s="7">
        <v>1</v>
      </c>
      <c r="H190" s="22" t="s">
        <v>328</v>
      </c>
      <c r="I190" s="13">
        <v>42752.733124999999</v>
      </c>
      <c r="J190" s="7">
        <v>0</v>
      </c>
      <c r="K190" s="105" t="str">
        <f t="shared" si="112"/>
        <v>4019/4020</v>
      </c>
      <c r="L190" s="22" t="str">
        <f>VLOOKUP(A190,'Trips&amp;Operators'!$C$1:$G$99999,5,FALSE)</f>
        <v>LEVIN SCOTT</v>
      </c>
      <c r="M190" s="6">
        <f t="shared" si="113"/>
        <v>9.7800925941555761E-3</v>
      </c>
      <c r="N190" s="7">
        <f t="shared" si="114"/>
        <v>14.08333333558403</v>
      </c>
      <c r="O190" s="7"/>
      <c r="P190" s="7"/>
      <c r="Q190" s="23"/>
      <c r="R190" s="23"/>
      <c r="S190" s="32">
        <f t="shared" si="115"/>
        <v>1</v>
      </c>
      <c r="T190" s="47" t="str">
        <f t="shared" si="116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74"/>
        <v>https://d0f6bd738d7f1b3e5a7ca70fe4ff75f0.us-east-1.aws.found.io/app/kibana#/discover/Steve-Slow-Train-Analysis-(2080s-and-2083s)?_g=(refreshInterval:(display:Off,pause:!f,section:0,value:0),time:(from:'2017-01-17T16:14:28-0700',mode:absolute,to:'2017-01-17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49" t="str">
        <f t="shared" si="117"/>
        <v>N</v>
      </c>
      <c r="X190" s="173">
        <f t="shared" si="111"/>
        <v>1</v>
      </c>
      <c r="Y190" s="64">
        <f t="shared" si="118"/>
        <v>9.3399999999999997E-2</v>
      </c>
      <c r="Z190" s="64">
        <f t="shared" si="119"/>
        <v>5.8936999999999999</v>
      </c>
      <c r="AA190" s="64">
        <f t="shared" si="120"/>
        <v>5.8003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121"/>
        <v>0833-17</v>
      </c>
      <c r="AE190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90" s="84" t="str">
        <f t="shared" si="81"/>
        <v>"C:\Program Files (x86)\AstroGrep\AstroGrep.exe" /spath="%USERPROFILE%\AppData\Local\Temp\OnboardLogs" /stypes="app*4020*20170118*" /stext=" 00:.+((SYSTEM_STATE.+slice.+state.+changed )|(ment ac)|(multiple cpu faults)|(system.+state.+changed )|(\[timeout)|(PRM\|1\|D)|(kpr)|(kdp)|(\|lc)|(penalty))" /e /r /s</v>
      </c>
      <c r="AG190" s="1" t="str">
        <f t="shared" si="122"/>
        <v>NW</v>
      </c>
      <c r="AH190" s="88" t="str">
        <f t="shared" si="67"/>
        <v>"%USERPROFILE%\Documents\GitHub\eaglep3\Utilities\RefineRTDCRunTimes.py" --tripid 833-17 --locoid 4020 --swversion DE.1.0.8.0 --startMP 204:934 --initTime 2017-01-17T17:14:28 --startdatetime 2017-01-17T17:21:37 --delay 1 --endMP 300:58937 --enddatetime 2017-01-17T17:35:42 --enforcementcount 0 &gt;&gt;C:\Users\stu\Documents\GitHub\eaglep3-reporting\EC\2017-01-17-refined-times.txt</v>
      </c>
      <c r="AI190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{"issue":{"subject":"","project_id":79,"tracker_id":40,"status_id":1,"priority_id":2,"assigned_to_id":23,"start_date":"2017-01-17","description":"","custom_fields":[{"id":1,"name":"Subdivision","value":"NW"},{"id":4,"name":"Milepost","value":"5.8937"},{"id":17,"name":"Train ID","value":"833-17"},{"id":16,"name":"Locomotive ID","value":"4020"},{"id":130,"name":"Impact","value":""},{"id":150,"name":"Time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9"/>
        <v>start /low /b %USERPROFILE%\Documents\GitHub\eaglep3\Utilities\DownloadLogsFromS3.py --loco 4020 --day 2017-01-17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647</v>
      </c>
      <c r="B191" s="7">
        <v>4019</v>
      </c>
      <c r="C191" s="22" t="s">
        <v>201</v>
      </c>
      <c r="D191" s="22" t="s">
        <v>821</v>
      </c>
      <c r="E191" s="13">
        <v>42752.734236111108</v>
      </c>
      <c r="F191" s="13">
        <v>42752.735358796293</v>
      </c>
      <c r="G191" s="7">
        <v>1</v>
      </c>
      <c r="H191" s="22" t="s">
        <v>822</v>
      </c>
      <c r="I191" s="13">
        <v>42752.747939814813</v>
      </c>
      <c r="J191" s="7">
        <v>0</v>
      </c>
      <c r="K191" s="105" t="str">
        <f t="shared" si="112"/>
        <v>4019/4020</v>
      </c>
      <c r="L191" s="22" t="str">
        <f>VLOOKUP(A191,'Trips&amp;Operators'!$C$1:$G$99999,5,FALSE)</f>
        <v>LEVIN SCOTT</v>
      </c>
      <c r="M191" s="6">
        <f t="shared" si="113"/>
        <v>1.2581018519995268E-2</v>
      </c>
      <c r="N191" s="7">
        <f t="shared" si="114"/>
        <v>18.116666668793187</v>
      </c>
      <c r="O191" s="7"/>
      <c r="P191" s="7"/>
      <c r="Q191" s="23"/>
      <c r="R191" s="23"/>
      <c r="S191" s="32">
        <f t="shared" si="115"/>
        <v>1</v>
      </c>
      <c r="T191" s="47" t="str">
        <f t="shared" si="116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74"/>
        <v>https://d0f6bd738d7f1b3e5a7ca70fe4ff75f0.us-east-1.aws.found.io/app/kibana#/discover/Steve-Slow-Train-Analysis-(2080s-and-2083s)?_g=(refreshInterval:(display:Off,pause:!f,section:0,value:0),time:(from:'2017-01-17T16:37:18-0700',mode:absolute,to:'2017-01-17T18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49" t="str">
        <f t="shared" si="117"/>
        <v>N</v>
      </c>
      <c r="X191" s="173">
        <f t="shared" ref="X191:X222" si="123">VALUE(LEFT(AD191,4))-VALUE(LEFT(AD190,4))</f>
        <v>1</v>
      </c>
      <c r="Y191" s="64">
        <f t="shared" si="118"/>
        <v>5.8624000000000001</v>
      </c>
      <c r="Z191" s="64">
        <f t="shared" si="119"/>
        <v>6.7299999999999999E-2</v>
      </c>
      <c r="AA191" s="64">
        <f t="shared" si="120"/>
        <v>5.7950999999999997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121"/>
        <v>0834-17</v>
      </c>
      <c r="AE191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91" s="84" t="str">
        <f t="shared" si="81"/>
        <v>"C:\Program Files (x86)\AstroGrep\AstroGrep.exe" /spath="%USERPROFILE%\AppData\Local\Temp\OnboardLogs" /stypes="app*4019*20170118*" /stext=" 00:.+((SYSTEM_STATE.+slice.+state.+changed )|(ment ac)|(multiple cpu faults)|(system.+state.+changed )|(\[timeout)|(PRM\|1\|D)|(kpr)|(kdp)|(\|lc)|(penalty))" /e /r /s</v>
      </c>
      <c r="AG191" s="1" t="str">
        <f t="shared" si="122"/>
        <v>NW</v>
      </c>
      <c r="AH191" s="88" t="str">
        <f t="shared" si="67"/>
        <v>"%USERPROFILE%\Documents\GitHub\eaglep3\Utilities\RefineRTDCRunTimes.py" --tripid 834-17 --locoid 4019 --swversion DE.1.0.8.0 --startMP 300:58624 --initTime 2017-01-17T17:37:18 --startdatetime 2017-01-17T17:38:55 --delay 1 --endMP 204:673 --enddatetime 2017-01-17T17:57:02 --enforcementcount 0 &gt;&gt;C:\Users\stu\Documents\GitHub\eaglep3-reporting\EC\2017-01-17-refined-times.txt</v>
      </c>
      <c r="AI191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{"issue":{"subject":"","project_id":79,"tracker_id":40,"status_id":1,"priority_id":2,"assigned_to_id":23,"start_date":"2017-01-17","description":"","custom_fields":[{"id":1,"name":"Subdivision","value":"NW"},{"id":4,"name":"Milepost","value":"0.0673"},{"id":17,"name":"Train ID","value":"834-17"},{"id":16,"name":"Locomotive ID","value":"4019"},{"id":130,"name":"Impact","value":""},{"id":150,"name":"Time of Event (Mountain Time)","value":"17:57:02"},{"id":151,"name":"Denver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9"/>
        <v>start /low /b %USERPROFILE%\Documents\GitHub\eaglep3\Utilities\DownloadLogsFromS3.py --loco 4019 --day 2017-01-17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</row>
    <row r="192" spans="1:91" x14ac:dyDescent="0.25">
      <c r="A192" s="34" t="s">
        <v>644</v>
      </c>
      <c r="B192" s="7">
        <v>4018</v>
      </c>
      <c r="C192" s="22" t="s">
        <v>201</v>
      </c>
      <c r="D192" s="22" t="s">
        <v>823</v>
      </c>
      <c r="E192" s="13">
        <v>42752.727430555555</v>
      </c>
      <c r="F192" s="13">
        <v>42752.744039351855</v>
      </c>
      <c r="G192" s="7">
        <v>1</v>
      </c>
      <c r="H192" s="22" t="s">
        <v>436</v>
      </c>
      <c r="I192" s="13">
        <v>42752.754467592589</v>
      </c>
      <c r="J192" s="7">
        <v>0</v>
      </c>
      <c r="K192" s="105" t="str">
        <f t="shared" si="112"/>
        <v>4017/4018</v>
      </c>
      <c r="L192" s="22" t="str">
        <f>VLOOKUP(A192,'Trips&amp;Operators'!$C$1:$G$99999,5,FALSE)</f>
        <v>HILLS DUSTIN</v>
      </c>
      <c r="M192" s="6">
        <f t="shared" si="113"/>
        <v>1.0428240733745042E-2</v>
      </c>
      <c r="N192" s="7">
        <f t="shared" si="114"/>
        <v>15.016666656592861</v>
      </c>
      <c r="O192" s="7"/>
      <c r="P192" s="7"/>
      <c r="Q192" s="23"/>
      <c r="R192" s="23"/>
      <c r="S192" s="32">
        <f t="shared" si="115"/>
        <v>1</v>
      </c>
      <c r="T192" s="47" t="str">
        <f t="shared" si="116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74"/>
        <v>https://d0f6bd738d7f1b3e5a7ca70fe4ff75f0.us-east-1.aws.found.io/app/kibana#/discover/Steve-Slow-Train-Analysis-(2080s-and-2083s)?_g=(refreshInterval:(display:Off,pause:!f,section:0,value:0),time:(from:'2017-01-17T16:27:30-0700',mode:absolute,to:'2017-01-17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49" t="str">
        <f t="shared" si="117"/>
        <v>N</v>
      </c>
      <c r="X192" s="173">
        <f t="shared" si="123"/>
        <v>1</v>
      </c>
      <c r="Y192" s="64">
        <f t="shared" si="118"/>
        <v>9.7799999999999998E-2</v>
      </c>
      <c r="Z192" s="64">
        <f t="shared" si="119"/>
        <v>5.899</v>
      </c>
      <c r="AA192" s="64">
        <f t="shared" si="120"/>
        <v>5.8011999999999997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121"/>
        <v>0835-17</v>
      </c>
      <c r="AE192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92" s="84" t="str">
        <f t="shared" si="81"/>
        <v>"C:\Program Files (x86)\AstroGrep\AstroGrep.exe" /spath="%USERPROFILE%\AppData\Local\Temp\OnboardLogs" /stypes="app*4018*20170118*" /stext=" 01:.+((SYSTEM_STATE.+slice.+state.+changed )|(ment ac)|(multiple cpu faults)|(system.+state.+changed )|(\[timeout)|(PRM\|1\|D)|(kpr)|(kdp)|(\|lc)|(penalty))" /e /r /s</v>
      </c>
      <c r="AG192" s="1" t="str">
        <f t="shared" si="122"/>
        <v>NW</v>
      </c>
      <c r="AH192" s="88" t="str">
        <f t="shared" si="67"/>
        <v>"%USERPROFILE%\Documents\GitHub\eaglep3\Utilities\RefineRTDCRunTimes.py" --tripid 835-17 --locoid 4018 --swversion DE.1.0.8.0 --startMP 204:978 --initTime 2017-01-17T17:27:30 --startdatetime 2017-01-17T17:51:25 --delay 1 --endMP 300:58990 --enddatetime 2017-01-17T18:06:26 --enforcementcount 0 &gt;&gt;C:\Users\stu\Documents\GitHub\eaglep3-reporting\EC\2017-01-17-refined-times.txt</v>
      </c>
      <c r="AI192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{"issue":{"subject":"","project_id":79,"tracker_id":40,"status_id":1,"priority_id":2,"assigned_to_id":23,"start_date":"2017-01-17","description":"","custom_fields":[{"id":1,"name":"Subdivision","value":"NW"},{"id":4,"name":"Milepost","value":"5.899"},{"id":17,"name":"Train ID","value":"835-17"},{"id":16,"name":"Locomotive ID","value":"4018"},{"id":130,"name":"Impact","value":""},{"id":150,"name":"Time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9"/>
        <v>start /low /b %USERPROFILE%\Documents\GitHub\eaglep3\Utilities\DownloadLogsFromS3.py --loco 4018 --day 2017-01-17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2017-01-17-UncaughtWiMAX.txt</v>
      </c>
    </row>
    <row r="193" spans="1:91" x14ac:dyDescent="0.25">
      <c r="A193" s="34" t="s">
        <v>482</v>
      </c>
      <c r="B193" s="7">
        <v>4017</v>
      </c>
      <c r="C193" s="22" t="s">
        <v>201</v>
      </c>
      <c r="D193" s="22" t="s">
        <v>824</v>
      </c>
      <c r="E193" s="13">
        <v>42752.75577546296</v>
      </c>
      <c r="F193" s="13">
        <v>42752.757569444446</v>
      </c>
      <c r="G193" s="7">
        <v>1</v>
      </c>
      <c r="H193" s="22" t="s">
        <v>350</v>
      </c>
      <c r="I193" s="13">
        <v>42752.77034722222</v>
      </c>
      <c r="J193" s="7">
        <v>0</v>
      </c>
      <c r="K193" s="105" t="str">
        <f t="shared" si="112"/>
        <v>4017/4018</v>
      </c>
      <c r="L193" s="22" t="str">
        <f>VLOOKUP(A193,'Trips&amp;Operators'!$C$1:$G$99999,5,FALSE)</f>
        <v>HILLS DUSTIN</v>
      </c>
      <c r="M193" s="6">
        <f t="shared" si="113"/>
        <v>1.2777777774317656E-2</v>
      </c>
      <c r="N193" s="7">
        <f t="shared" si="114"/>
        <v>18.399999995017424</v>
      </c>
      <c r="O193" s="7"/>
      <c r="P193" s="7"/>
      <c r="Q193" s="23"/>
      <c r="R193" s="23"/>
      <c r="S193" s="32">
        <f t="shared" si="115"/>
        <v>1</v>
      </c>
      <c r="T193" s="47" t="str">
        <f t="shared" si="116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74"/>
        <v>https://d0f6bd738d7f1b3e5a7ca70fe4ff75f0.us-east-1.aws.found.io/app/kibana#/discover/Steve-Slow-Train-Analysis-(2080s-and-2083s)?_g=(refreshInterval:(display:Off,pause:!f,section:0,value:0),time:(from:'2017-01-17T17:08:19-0700',mode:absolute,to:'2017-01-17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49" t="str">
        <f t="shared" si="117"/>
        <v>N</v>
      </c>
      <c r="X193" s="173">
        <f t="shared" si="123"/>
        <v>1</v>
      </c>
      <c r="Y193" s="64">
        <f t="shared" si="118"/>
        <v>5.8667999999999996</v>
      </c>
      <c r="Z193" s="64">
        <f t="shared" si="119"/>
        <v>6.8000000000000005E-2</v>
      </c>
      <c r="AA193" s="64">
        <f t="shared" si="120"/>
        <v>5.7988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121"/>
        <v>0836-17</v>
      </c>
      <c r="AE193" s="87" t="str">
        <f t="shared" si="80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193" s="84" t="str">
        <f t="shared" si="81"/>
        <v>"C:\Program Files (x86)\AstroGrep\AstroGrep.exe" /spath="%USERPROFILE%\AppData\Local\Temp\OnboardLogs" /stypes="app*4017*20170118*" /stext=" 01:.+((SYSTEM_STATE.+slice.+state.+changed )|(ment ac)|(multiple cpu faults)|(system.+state.+changed )|(\[timeout)|(PRM\|1\|D)|(kpr)|(kdp)|(\|lc)|(penalty))" /e /r /s</v>
      </c>
      <c r="AG193" s="1" t="str">
        <f t="shared" si="122"/>
        <v>NW</v>
      </c>
      <c r="AH193" s="88" t="str">
        <f t="shared" si="67"/>
        <v>"%USERPROFILE%\Documents\GitHub\eaglep3\Utilities\RefineRTDCRunTimes.py" --tripid 836-17 --locoid 4017 --swversion DE.1.0.8.0 --startMP 300:58668 --initTime 2017-01-17T18:08:19 --startdatetime 2017-01-17T18:10:54 --delay 1 --endMP 204:680 --enddatetime 2017-01-17T18:29:18 --enforcementcount 0 &gt;&gt;C:\Users\stu\Documents\GitHub\eaglep3-reporting\EC\2017-01-17-refined-times.txt</v>
      </c>
      <c r="AI193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{"issue":{"subject":"","project_id":79,"tracker_id":40,"status_id":1,"priority_id":2,"assigned_to_id":23,"start_date":"2017-01-17","description":"","custom_fields":[{"id":1,"name":"Subdivision","value":"NW"},{"id":4,"name":"Milepost","value":"0.068"},{"id":17,"name":"Train ID","value":"836-17"},{"id":16,"name":"Locomotive ID","value":"4017"},{"id":130,"name":"Impact","value":""},{"id":150,"name":"Time of Event (Mountain Time)","value":"18:29:18"},{"id":151,"name":"Denver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9"/>
        <v>start /low /b %USERPROFILE%\Documents\GitHub\eaglep3\Utilities\DownloadLogsFromS3.py --loco 4017 --day 2017-01-17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"%USERPROFILE%\AppData\Local\Temp\OnboardLogs"\RTDC4017\*4017*20170118* | grep -SE "(Enforcement Action)|(\[TIMEOUT)|(CHR.+\|PRM\|1\|D.+(SWITCH|SIGNAL).+UNKNOWN)" - &gt;&gt; 2017-01-17-UncaughtWiMAX.txt</v>
      </c>
    </row>
    <row r="194" spans="1:91" x14ac:dyDescent="0.25">
      <c r="A194" s="34" t="s">
        <v>654</v>
      </c>
      <c r="B194" s="7">
        <v>4020</v>
      </c>
      <c r="C194" s="22" t="s">
        <v>201</v>
      </c>
      <c r="D194" s="22" t="s">
        <v>825</v>
      </c>
      <c r="E194" s="13">
        <v>42752.756782407407</v>
      </c>
      <c r="F194" s="13">
        <v>42752.764756944445</v>
      </c>
      <c r="G194" s="7">
        <v>1</v>
      </c>
      <c r="H194" s="22" t="s">
        <v>447</v>
      </c>
      <c r="I194" s="13">
        <v>42752.774317129632</v>
      </c>
      <c r="J194" s="7">
        <v>0</v>
      </c>
      <c r="K194" s="105" t="str">
        <f t="shared" si="112"/>
        <v>4019/4020</v>
      </c>
      <c r="L194" s="22" t="str">
        <f>VLOOKUP(A194,'Trips&amp;Operators'!$C$1:$G$99999,5,FALSE)</f>
        <v>LEVIN SCOTT</v>
      </c>
      <c r="M194" s="6">
        <f t="shared" si="113"/>
        <v>9.560185186273884E-3</v>
      </c>
      <c r="N194" s="7">
        <f t="shared" si="114"/>
        <v>13.766666668234393</v>
      </c>
      <c r="O194" s="7"/>
      <c r="P194" s="7"/>
      <c r="Q194" s="23"/>
      <c r="R194" s="23"/>
      <c r="S194" s="32">
        <f t="shared" si="115"/>
        <v>1</v>
      </c>
      <c r="T194" s="47" t="str">
        <f t="shared" si="116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74"/>
        <v>https://d0f6bd738d7f1b3e5a7ca70fe4ff75f0.us-east-1.aws.found.io/app/kibana#/discover/Steve-Slow-Train-Analysis-(2080s-and-2083s)?_g=(refreshInterval:(display:Off,pause:!f,section:0,value:0),time:(from:'2017-01-17T17:09:46-0700',mode:absolute,to:'2017-01-17T19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49" t="str">
        <f t="shared" si="117"/>
        <v>N</v>
      </c>
      <c r="X194" s="173">
        <f t="shared" si="123"/>
        <v>1</v>
      </c>
      <c r="Y194" s="64">
        <f t="shared" si="118"/>
        <v>9.4799999999999995E-2</v>
      </c>
      <c r="Z194" s="64">
        <f t="shared" si="119"/>
        <v>5.8924000000000003</v>
      </c>
      <c r="AA194" s="64">
        <f t="shared" si="120"/>
        <v>5.7976000000000001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121"/>
        <v>0837-17</v>
      </c>
      <c r="AE194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94" s="84" t="str">
        <f t="shared" si="81"/>
        <v>"C:\Program Files (x86)\AstroGrep\AstroGrep.exe" /spath="%USERPROFILE%\AppData\Local\Temp\OnboardLogs" /stypes="app*4020*20170118*" /stext=" 01:.+((SYSTEM_STATE.+slice.+state.+changed )|(ment ac)|(multiple cpu faults)|(system.+state.+changed )|(\[timeout)|(PRM\|1\|D)|(kpr)|(kdp)|(\|lc)|(penalty))" /e /r /s</v>
      </c>
      <c r="AG194" s="1" t="str">
        <f t="shared" si="122"/>
        <v>NW</v>
      </c>
      <c r="AH194" s="88" t="str">
        <f t="shared" si="67"/>
        <v>"%USERPROFILE%\Documents\GitHub\eaglep3\Utilities\RefineRTDCRunTimes.py" --tripid 837-17 --locoid 4020 --swversion DE.1.0.8.0 --startMP 204:948 --initTime 2017-01-17T18:09:46 --startdatetime 2017-01-17T18:21:15 --delay 1 --endMP 300:58924 --enddatetime 2017-01-17T18:35:01 --enforcementcount 0 &gt;&gt;C:\Users\stu\Documents\GitHub\eaglep3-reporting\EC\2017-01-17-refined-times.txt</v>
      </c>
      <c r="AI194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{"issue":{"subject":"","project_id":79,"tracker_id":40,"status_id":1,"priority_id":2,"assigned_to_id":23,"start_date":"2017-01-17","description":"","custom_fields":[{"id":1,"name":"Subdivision","value":"NW"},{"id":4,"name":"Milepost","value":"5.8924"},{"id":17,"name":"Train ID","value":"837-17"},{"id":16,"name":"Locomotive ID","value":"4020"},{"id":130,"name":"Impact","value":""},{"id":150,"name":"Time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9"/>
        <v>start /low /b %USERPROFILE%\Documents\GitHub\eaglep3\Utilities\DownloadLogsFromS3.py --loco 4020 --day 2017-01-17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</row>
    <row r="195" spans="1:91" s="21" customFormat="1" x14ac:dyDescent="0.25">
      <c r="A195" s="34" t="s">
        <v>658</v>
      </c>
      <c r="B195" s="7">
        <v>4019</v>
      </c>
      <c r="C195" s="22" t="s">
        <v>201</v>
      </c>
      <c r="D195" s="22" t="s">
        <v>434</v>
      </c>
      <c r="E195" s="13">
        <v>42752.77511574074</v>
      </c>
      <c r="F195" s="13">
        <v>42752.776192129626</v>
      </c>
      <c r="G195" s="7">
        <v>0</v>
      </c>
      <c r="H195" s="22" t="s">
        <v>446</v>
      </c>
      <c r="I195" s="13">
        <v>42752.789988425924</v>
      </c>
      <c r="J195" s="7">
        <v>0</v>
      </c>
      <c r="K195" s="105" t="str">
        <f t="shared" si="112"/>
        <v>4019/4020</v>
      </c>
      <c r="L195" s="22" t="str">
        <f>VLOOKUP(A195,'Trips&amp;Operators'!$C$1:$G$99999,5,FALSE)</f>
        <v>LEVIN SCOTT</v>
      </c>
      <c r="M195" s="6">
        <f t="shared" si="113"/>
        <v>1.3796296298096422E-2</v>
      </c>
      <c r="N195" s="7">
        <f t="shared" si="114"/>
        <v>19.866666669258848</v>
      </c>
      <c r="O195" s="7"/>
      <c r="P195" s="7"/>
      <c r="Q195" s="23"/>
      <c r="R195" s="23"/>
      <c r="S195" s="32">
        <f t="shared" si="115"/>
        <v>1</v>
      </c>
      <c r="T195" s="47" t="str">
        <f t="shared" si="116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74"/>
        <v>https://d0f6bd738d7f1b3e5a7ca70fe4ff75f0.us-east-1.aws.found.io/app/kibana#/discover/Steve-Slow-Train-Analysis-(2080s-and-2083s)?_g=(refreshInterval:(display:Off,pause:!f,section:0,value:0),time:(from:'2017-01-17T17:36:10-0700',mode:absolute,to:'2017-01-17T19:57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49" t="str">
        <f t="shared" si="117"/>
        <v>N</v>
      </c>
      <c r="X195" s="173">
        <f t="shared" si="123"/>
        <v>1</v>
      </c>
      <c r="Y195" s="64">
        <f t="shared" si="118"/>
        <v>5.8613</v>
      </c>
      <c r="Z195" s="64">
        <f t="shared" si="119"/>
        <v>6.6299999999999998E-2</v>
      </c>
      <c r="AA195" s="64">
        <f t="shared" si="120"/>
        <v>5.7949999999999999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121"/>
        <v>0838-17</v>
      </c>
      <c r="AE195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95" s="84" t="str">
        <f t="shared" si="81"/>
        <v>"C:\Program Files (x86)\AstroGrep\AstroGrep.exe" /spath="%USERPROFILE%\AppData\Local\Temp\OnboardLogs" /stypes="app*4019*20170118*" /stext=" 01:.+((SYSTEM_STATE.+slice.+state.+changed )|(ment ac)|(multiple cpu faults)|(system.+state.+changed )|(\[timeout)|(PRM\|1\|D)|(kpr)|(kdp)|(\|lc)|(penalty))" /e /r /s</v>
      </c>
      <c r="AG195" s="1" t="str">
        <f t="shared" si="122"/>
        <v>NW</v>
      </c>
      <c r="AH195" s="88" t="str">
        <f t="shared" si="67"/>
        <v>"%USERPROFILE%\Documents\GitHub\eaglep3\Utilities\RefineRTDCRunTimes.py" --tripid 838-17 --locoid 4019 --swversion DE.1.0.8.0 --startMP 300:58613 --initTime 2017-01-17T18:36:10 --startdatetime 2017-01-17T18:37:43 --delay 0 --endMP 204:663 --enddatetime 2017-01-17T18:57:35 --enforcementcount 0 &gt;&gt;C:\Users\stu\Documents\GitHub\eaglep3-reporting\EC\2017-01-17-refined-times.txt</v>
      </c>
      <c r="AI195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{"issue":{"subject":"","project_id":79,"tracker_id":40,"status_id":1,"priority_id":2,"assigned_to_id":23,"start_date":"2017-01-17","description":"","custom_fields":[{"id":1,"name":"Subdivision","value":"NW"},{"id":4,"name":"Milepost","value":"0.0663"},{"id":17,"name":"Train ID","value":"838-17"},{"id":16,"name":"Locomotive ID","value":"4019"},{"id":130,"name":"Impact","value":""},{"id":150,"name":"Time of Event (Mountain Time)","value":"18:57:35"},{"id":151,"name":"Denver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9"/>
        <v>start /low /b %USERPROFILE%\Documents\GitHub\eaglep3\Utilities\DownloadLogsFromS3.py --loco 4019 --day 2017-01-17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484</v>
      </c>
      <c r="B196" s="7">
        <v>4018</v>
      </c>
      <c r="C196" s="22" t="s">
        <v>201</v>
      </c>
      <c r="D196" s="22" t="s">
        <v>349</v>
      </c>
      <c r="E196" s="13">
        <v>42752.771249999998</v>
      </c>
      <c r="F196" s="13">
        <v>42752.786006944443</v>
      </c>
      <c r="G196" s="7">
        <v>1</v>
      </c>
      <c r="H196" s="22" t="s">
        <v>826</v>
      </c>
      <c r="I196" s="13">
        <v>42752.796400462961</v>
      </c>
      <c r="J196" s="7">
        <v>0</v>
      </c>
      <c r="K196" s="105" t="str">
        <f t="shared" si="112"/>
        <v>4017/4018</v>
      </c>
      <c r="L196" s="22" t="str">
        <f>VLOOKUP(A196,'Trips&amp;Operators'!$C$1:$G$99999,5,FALSE)</f>
        <v>HILLS DUSTIN</v>
      </c>
      <c r="M196" s="6">
        <f t="shared" si="113"/>
        <v>1.0393518517958E-2</v>
      </c>
      <c r="N196" s="7">
        <f t="shared" si="114"/>
        <v>14.96666666585952</v>
      </c>
      <c r="O196" s="7"/>
      <c r="P196" s="7"/>
      <c r="Q196" s="23"/>
      <c r="R196" s="23"/>
      <c r="S196" s="32">
        <f t="shared" si="115"/>
        <v>1</v>
      </c>
      <c r="T196" s="47" t="str">
        <f t="shared" si="116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74"/>
        <v>https://d0f6bd738d7f1b3e5a7ca70fe4ff75f0.us-east-1.aws.found.io/app/kibana#/discover/Steve-Slow-Train-Analysis-(2080s-and-2083s)?_g=(refreshInterval:(display:Off,pause:!f,section:0,value:0),time:(from:'2017-01-17T17:30:36-0700',mode:absolute,to:'2017-01-17T20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49" t="str">
        <f t="shared" si="117"/>
        <v>N</v>
      </c>
      <c r="X196" s="173">
        <f t="shared" si="123"/>
        <v>1</v>
      </c>
      <c r="Y196" s="64">
        <f t="shared" si="118"/>
        <v>9.6199999999999994E-2</v>
      </c>
      <c r="Z196" s="64">
        <f t="shared" si="119"/>
        <v>5.8964999999999996</v>
      </c>
      <c r="AA196" s="64">
        <f t="shared" si="120"/>
        <v>5.8003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121"/>
        <v>0839-17</v>
      </c>
      <c r="AE196" s="87" t="str">
        <f t="shared" si="80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196" s="84" t="str">
        <f t="shared" si="81"/>
        <v>"C:\Program Files (x86)\AstroGrep\AstroGrep.exe" /spath="%USERPROFILE%\AppData\Local\Temp\OnboardLogs" /stypes="app*4018*20170118*" /stext=" 02:.+((SYSTEM_STATE.+slice.+state.+changed )|(ment ac)|(multiple cpu faults)|(system.+state.+changed )|(\[timeout)|(PRM\|1\|D)|(kpr)|(kdp)|(\|lc)|(penalty))" /e /r /s</v>
      </c>
      <c r="AG196" s="1" t="str">
        <f t="shared" si="122"/>
        <v>NW</v>
      </c>
      <c r="AH196" s="88" t="str">
        <f t="shared" si="67"/>
        <v>"%USERPROFILE%\Documents\GitHub\eaglep3\Utilities\RefineRTDCRunTimes.py" --tripid 839-17 --locoid 4018 --swversion DE.1.0.8.0 --startMP 204:962 --initTime 2017-01-17T18:30:36 --startdatetime 2017-01-17T18:51:51 --delay 1 --endMP 300:58965 --enddatetime 2017-01-17T19:06:49 --enforcementcount 0 &gt;&gt;C:\Users\stu\Documents\GitHub\eaglep3-reporting\EC\2017-01-17-refined-times.txt</v>
      </c>
      <c r="AI196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{"issue":{"subject":"","project_id":79,"tracker_id":40,"status_id":1,"priority_id":2,"assigned_to_id":23,"start_date":"2017-01-17","description":"","custom_fields":[{"id":1,"name":"Subdivision","value":"NW"},{"id":4,"name":"Milepost","value":"5.8965"},{"id":17,"name":"Train ID","value":"839-17"},{"id":16,"name":"Locomotive ID","value":"4018"},{"id":130,"name":"Impact","value":""},{"id":150,"name":"Time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9"/>
        <v>start /low /b %USERPROFILE%\Documents\GitHub\eaglep3\Utilities\DownloadLogsFromS3.py --loco 4018 --day 2017-01-17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"%USERPROFILE%\AppData\Local\Temp\OnboardLogs"\RTDC4018\*4018*20170118* | grep -SE "(Enforcement Action)|(\[TIMEOUT)|(CHR.+\|PRM\|1\|D.+(SWITCH|SIGNAL).+UNKNOWN)" - &gt;&gt; 2017-01-17-UncaughtWiMAX.txt</v>
      </c>
    </row>
    <row r="197" spans="1:91" x14ac:dyDescent="0.25">
      <c r="A197" s="34" t="s">
        <v>488</v>
      </c>
      <c r="B197" s="7">
        <v>4019</v>
      </c>
      <c r="C197" s="22" t="s">
        <v>201</v>
      </c>
      <c r="D197" s="22" t="s">
        <v>440</v>
      </c>
      <c r="E197" s="13">
        <v>42752.818402777775</v>
      </c>
      <c r="F197" s="13">
        <v>42752.819525462961</v>
      </c>
      <c r="G197" s="7">
        <v>0</v>
      </c>
      <c r="H197" s="22" t="s">
        <v>446</v>
      </c>
      <c r="I197" s="13">
        <v>42752.832083333335</v>
      </c>
      <c r="J197" s="7">
        <v>0</v>
      </c>
      <c r="K197" s="105" t="str">
        <f t="shared" si="112"/>
        <v>4019/4020</v>
      </c>
      <c r="L197" s="22" t="str">
        <f>VLOOKUP(A197,'Trips&amp;Operators'!$C$1:$G$99999,5,FALSE)</f>
        <v>LEVIN SCOTT</v>
      </c>
      <c r="M197" s="6">
        <f t="shared" si="113"/>
        <v>1.2557870373711921E-2</v>
      </c>
      <c r="N197" s="7">
        <f t="shared" si="114"/>
        <v>18.083333338145167</v>
      </c>
      <c r="O197" s="7"/>
      <c r="P197" s="7"/>
      <c r="Q197" s="23"/>
      <c r="R197" s="23"/>
      <c r="S197" s="32">
        <f t="shared" si="115"/>
        <v>1</v>
      </c>
      <c r="T197" s="47" t="str">
        <f t="shared" si="116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74"/>
        <v>https://d0f6bd738d7f1b3e5a7ca70fe4ff75f0.us-east-1.aws.found.io/app/kibana#/discover/Steve-Slow-Train-Analysis-(2080s-and-2083s)?_g=(refreshInterval:(display:Off,pause:!f,section:0,value:0),time:(from:'2017-01-17T18:38:30-0700',mode:absolute,to:'2017-01-17T20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49" t="str">
        <f t="shared" si="117"/>
        <v>N</v>
      </c>
      <c r="X197" s="173">
        <f t="shared" si="123"/>
        <v>1</v>
      </c>
      <c r="Y197" s="64">
        <f t="shared" si="118"/>
        <v>5.8609</v>
      </c>
      <c r="Z197" s="64">
        <f t="shared" si="119"/>
        <v>6.6299999999999998E-2</v>
      </c>
      <c r="AA197" s="64">
        <f t="shared" si="120"/>
        <v>5.7946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121"/>
        <v>0840-17</v>
      </c>
      <c r="AE197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97" s="84" t="str">
        <f t="shared" si="81"/>
        <v>"C:\Program Files (x86)\AstroGrep\AstroGrep.exe" /spath="%USERPROFILE%\AppData\Local\Temp\OnboardLogs" /stypes="app*4019*20170118*" /stext=" 02:.+((SYSTEM_STATE.+slice.+state.+changed )|(ment ac)|(multiple cpu faults)|(system.+state.+changed )|(\[timeout)|(PRM\|1\|D)|(kpr)|(kdp)|(\|lc)|(penalty))" /e /r /s</v>
      </c>
      <c r="AG197" s="1" t="str">
        <f t="shared" si="122"/>
        <v>NW</v>
      </c>
      <c r="AH197" s="88" t="str">
        <f t="shared" si="67"/>
        <v>"%USERPROFILE%\Documents\GitHub\eaglep3\Utilities\RefineRTDCRunTimes.py" --tripid 840-17 --locoid 4019 --swversion DE.1.0.8.0 --startMP 300:58609 --initTime 2017-01-17T19:38:30 --startdatetime 2017-01-17T19:40:07 --delay 0 --endMP 204:663 --enddatetime 2017-01-17T19:58:12 --enforcementcount 0 &gt;&gt;C:\Users\stu\Documents\GitHub\eaglep3-reporting\EC\2017-01-17-refined-times.txt</v>
      </c>
      <c r="AI197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{"issue":{"subject":"","project_id":79,"tracker_id":40,"status_id":1,"priority_id":2,"assigned_to_id":23,"start_date":"2017-01-17","description":"","custom_fields":[{"id":1,"name":"Subdivision","value":"NW"},{"id":4,"name":"Milepost","value":"0.0663"},{"id":17,"name":"Train ID","value":"840-17"},{"id":16,"name":"Locomotive ID","value":"4019"},{"id":130,"name":"Impact","value":""},{"id":150,"name":"Time of Event (Mountain Time)","value":"19:58:12"},{"id":151,"name":"Denver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9"/>
        <v>start /low /b %USERPROFILE%\Documents\GitHub\eaglep3\Utilities\DownloadLogsFromS3.py --loco 4019 --day 2017-01-17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</row>
    <row r="198" spans="1:91" x14ac:dyDescent="0.25">
      <c r="A198" s="34" t="s">
        <v>485</v>
      </c>
      <c r="B198" s="7">
        <v>4020</v>
      </c>
      <c r="C198" s="22" t="s">
        <v>201</v>
      </c>
      <c r="D198" s="22" t="s">
        <v>443</v>
      </c>
      <c r="E198" s="13">
        <v>42752.800439814811</v>
      </c>
      <c r="F198" s="13">
        <v>42752.806608796294</v>
      </c>
      <c r="G198" s="7">
        <v>1</v>
      </c>
      <c r="H198" s="22" t="s">
        <v>448</v>
      </c>
      <c r="I198" s="13">
        <v>42752.817013888889</v>
      </c>
      <c r="J198" s="7">
        <v>0</v>
      </c>
      <c r="K198" s="105" t="str">
        <f t="shared" si="112"/>
        <v>4019/4020</v>
      </c>
      <c r="L198" s="22" t="str">
        <f>VLOOKUP(A198,'Trips&amp;Operators'!$C$1:$G$99999,5,FALSE)</f>
        <v>LEVIN SCOTT</v>
      </c>
      <c r="M198" s="6">
        <f t="shared" si="113"/>
        <v>1.0405092594737653E-2</v>
      </c>
      <c r="N198" s="7">
        <f t="shared" si="114"/>
        <v>14.98333333642222</v>
      </c>
      <c r="O198" s="7"/>
      <c r="P198" s="7"/>
      <c r="Q198" s="23"/>
      <c r="R198" s="23"/>
      <c r="S198" s="32">
        <f t="shared" si="115"/>
        <v>1</v>
      </c>
      <c r="T198" s="47" t="str">
        <f t="shared" si="116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74"/>
        <v>https://d0f6bd738d7f1b3e5a7ca70fe4ff75f0.us-east-1.aws.found.io/app/kibana#/discover/Steve-Slow-Train-Analysis-(2080s-and-2083s)?_g=(refreshInterval:(display:Off,pause:!f,section:0,value:0),time:(from:'2017-01-17T18:12:38-0700',mode:absolute,to:'2017-01-17T20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49" t="str">
        <f t="shared" si="117"/>
        <v>N</v>
      </c>
      <c r="X198" s="173">
        <f t="shared" si="123"/>
        <v>1</v>
      </c>
      <c r="Y198" s="64">
        <f t="shared" si="118"/>
        <v>9.5000000000000001E-2</v>
      </c>
      <c r="Z198" s="64">
        <f t="shared" si="119"/>
        <v>5.8928000000000003</v>
      </c>
      <c r="AA198" s="64">
        <f t="shared" si="120"/>
        <v>5.7978000000000005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121"/>
        <v>0841-17</v>
      </c>
      <c r="AE198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198" s="84" t="str">
        <f t="shared" si="81"/>
        <v>"C:\Program Files (x86)\AstroGrep\AstroGrep.exe" /spath="%USERPROFILE%\AppData\Local\Temp\OnboardLogs" /stypes="app*4020*20170118*" /stext=" 02:.+((SYSTEM_STATE.+slice.+state.+changed )|(ment ac)|(multiple cpu faults)|(system.+state.+changed )|(\[timeout)|(PRM\|1\|D)|(kpr)|(kdp)|(\|lc)|(penalty))" /e /r /s</v>
      </c>
      <c r="AG198" s="1" t="str">
        <f t="shared" si="122"/>
        <v>NW</v>
      </c>
      <c r="AH198" s="88" t="str">
        <f t="shared" si="67"/>
        <v>"%USERPROFILE%\Documents\GitHub\eaglep3\Utilities\RefineRTDCRunTimes.py" --tripid 841-17 --locoid 4020 --swversion DE.1.0.8.0 --startMP 204:950 --initTime 2017-01-17T19:12:38 --startdatetime 2017-01-17T19:21:31 --delay 1 --endMP 300:58928 --enddatetime 2017-01-17T19:36:30 --enforcementcount 0 &gt;&gt;C:\Users\stu\Documents\GitHub\eaglep3-reporting\EC\2017-01-17-refined-times.txt</v>
      </c>
      <c r="AI198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{"issue":{"subject":"","project_id":79,"tracker_id":40,"status_id":1,"priority_id":2,"assigned_to_id":23,"start_date":"2017-01-17","description":"","custom_fields":[{"id":1,"name":"Subdivision","value":"NW"},{"id":4,"name":"Milepost","value":"5.8928"},{"id":17,"name":"Train ID","value":"841-17"},{"id":16,"name":"Locomotive ID","value":"4020"},{"id":130,"name":"Impact","value":""},{"id":150,"name":"Time of Event (Mountain Time)","value":"19:36:30"},{"id":151,"name":"Denver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9"/>
        <v>start /low /b %USERPROFILE%\Documents\GitHub\eaglep3\Utilities\DownloadLogsFromS3.py --loco 4020 --day 2017-01-17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</row>
    <row r="199" spans="1:91" x14ac:dyDescent="0.25">
      <c r="A199" s="34" t="s">
        <v>670</v>
      </c>
      <c r="B199" s="7">
        <v>4019</v>
      </c>
      <c r="C199" s="22" t="s">
        <v>201</v>
      </c>
      <c r="D199" s="22" t="s">
        <v>434</v>
      </c>
      <c r="E199" s="13">
        <v>42752.858819444446</v>
      </c>
      <c r="F199" s="13">
        <v>42752.860011574077</v>
      </c>
      <c r="G199" s="7">
        <v>1</v>
      </c>
      <c r="H199" s="22" t="s">
        <v>831</v>
      </c>
      <c r="I199" s="13">
        <v>42752.872002314813</v>
      </c>
      <c r="J199" s="7">
        <v>0</v>
      </c>
      <c r="K199" s="105" t="str">
        <f t="shared" si="112"/>
        <v>4019/4020</v>
      </c>
      <c r="L199" s="22" t="str">
        <f>VLOOKUP(A199,'Trips&amp;Operators'!$C$1:$G$99999,5,FALSE)</f>
        <v>LEVIN SCOTT</v>
      </c>
      <c r="M199" s="6">
        <f t="shared" si="113"/>
        <v>1.1990740735200234E-2</v>
      </c>
      <c r="N199" s="7">
        <f t="shared" si="114"/>
        <v>17.266666658688337</v>
      </c>
      <c r="O199" s="7"/>
      <c r="P199" s="7"/>
      <c r="Q199" s="23"/>
      <c r="R199" s="23"/>
      <c r="S199" s="32">
        <f t="shared" si="115"/>
        <v>1</v>
      </c>
      <c r="T199" s="47" t="str">
        <f t="shared" si="116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74"/>
        <v>https://d0f6bd738d7f1b3e5a7ca70fe4ff75f0.us-east-1.aws.found.io/app/kibana#/discover/Steve-Slow-Train-Analysis-(2080s-and-2083s)?_g=(refreshInterval:(display:Off,pause:!f,section:0,value:0),time:(from:'2017-01-17T19:36:42-0700',mode:absolute,to:'2017-01-17T21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49" t="str">
        <f t="shared" si="117"/>
        <v>N</v>
      </c>
      <c r="X199" s="173">
        <f t="shared" si="123"/>
        <v>1</v>
      </c>
      <c r="Y199" s="64">
        <f t="shared" si="118"/>
        <v>5.8613</v>
      </c>
      <c r="Z199" s="64">
        <f t="shared" si="119"/>
        <v>6.4299999999999996E-2</v>
      </c>
      <c r="AA199" s="64">
        <f t="shared" si="120"/>
        <v>5.7969999999999997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121"/>
        <v>0842-17</v>
      </c>
      <c r="AE199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199" s="84" t="str">
        <f t="shared" si="81"/>
        <v>"C:\Program Files (x86)\AstroGrep\AstroGrep.exe" /spath="%USERPROFILE%\AppData\Local\Temp\OnboardLogs" /stypes="app*4019*20170118*" /stext=" 03:.+((SYSTEM_STATE.+slice.+state.+changed )|(ment ac)|(multiple cpu faults)|(system.+state.+changed )|(\[timeout)|(PRM\|1\|D)|(kpr)|(kdp)|(\|lc)|(penalty))" /e /r /s</v>
      </c>
      <c r="AG199" s="1" t="str">
        <f t="shared" si="122"/>
        <v>NW</v>
      </c>
      <c r="AH199" s="88" t="str">
        <f t="shared" si="67"/>
        <v>"%USERPROFILE%\Documents\GitHub\eaglep3\Utilities\RefineRTDCRunTimes.py" --tripid 842-17 --locoid 4019 --swversion DE.1.0.8.0 --startMP 300:58613 --initTime 2017-01-17T20:36:42 --startdatetime 2017-01-17T20:38:25 --delay 1 --endMP 204:643 --enddatetime 2017-01-17T20:55:41 --enforcementcount 0 &gt;&gt;C:\Users\stu\Documents\GitHub\eaglep3-reporting\EC\2017-01-17-refined-times.txt</v>
      </c>
      <c r="AI199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{"issue":{"subject":"","project_id":79,"tracker_id":40,"status_id":1,"priority_id":2,"assigned_to_id":23,"start_date":"2017-01-17","description":"","custom_fields":[{"id":1,"name":"Subdivision","value":"NW"},{"id":4,"name":"Milepost","value":"0.0643"},{"id":17,"name":"Train ID","value":"842-17"},{"id":16,"name":"Locomotive ID","value":"4019"},{"id":130,"name":"Impact","value":""},{"id":150,"name":"Time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9"/>
        <v>start /low /b %USERPROFILE%\Documents\GitHub\eaglep3\Utilities\DownloadLogsFromS3.py --loco 4019 --day 2017-01-17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</row>
    <row r="200" spans="1:91" x14ac:dyDescent="0.25">
      <c r="A200" s="34" t="s">
        <v>669</v>
      </c>
      <c r="B200" s="7">
        <v>4020</v>
      </c>
      <c r="C200" s="22" t="s">
        <v>201</v>
      </c>
      <c r="D200" s="22" t="s">
        <v>450</v>
      </c>
      <c r="E200" s="13">
        <v>42752.843599537038</v>
      </c>
      <c r="F200" s="13">
        <v>42752.848113425927</v>
      </c>
      <c r="G200" s="7">
        <v>1</v>
      </c>
      <c r="H200" s="22" t="s">
        <v>439</v>
      </c>
      <c r="I200" s="13">
        <v>42752.857604166667</v>
      </c>
      <c r="J200" s="7">
        <v>0</v>
      </c>
      <c r="K200" s="105" t="str">
        <f t="shared" si="112"/>
        <v>4019/4020</v>
      </c>
      <c r="L200" s="22" t="str">
        <f>VLOOKUP(A200,'Trips&amp;Operators'!$C$1:$G$99999,5,FALSE)</f>
        <v>LEVIN SCOTT</v>
      </c>
      <c r="M200" s="6">
        <f t="shared" si="113"/>
        <v>9.4907407401478849E-3</v>
      </c>
      <c r="N200" s="7">
        <f t="shared" si="114"/>
        <v>13.666666665812954</v>
      </c>
      <c r="O200" s="7"/>
      <c r="P200" s="7"/>
      <c r="Q200" s="23"/>
      <c r="R200" s="23"/>
      <c r="S200" s="32">
        <f t="shared" si="115"/>
        <v>1</v>
      </c>
      <c r="T200" s="47" t="str">
        <f t="shared" si="116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74"/>
        <v>https://d0f6bd738d7f1b3e5a7ca70fe4ff75f0.us-east-1.aws.found.io/app/kibana#/discover/Steve-Slow-Train-Analysis-(2080s-and-2083s)?_g=(refreshInterval:(display:Off,pause:!f,section:0,value:0),time:(from:'2017-01-17T19:14:47-0700',mode:absolute,to:'2017-01-17T21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49" t="str">
        <f t="shared" si="117"/>
        <v>N</v>
      </c>
      <c r="X200" s="173">
        <f t="shared" si="123"/>
        <v>1</v>
      </c>
      <c r="Y200" s="64">
        <f t="shared" si="118"/>
        <v>9.5699999999999993E-2</v>
      </c>
      <c r="Z200" s="64">
        <f t="shared" si="119"/>
        <v>5.8929</v>
      </c>
      <c r="AA200" s="64">
        <f t="shared" si="120"/>
        <v>5.7972000000000001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121"/>
        <v>0843-17</v>
      </c>
      <c r="AE200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200" s="84" t="str">
        <f t="shared" si="81"/>
        <v>"C:\Program Files (x86)\AstroGrep\AstroGrep.exe" /spath="%USERPROFILE%\AppData\Local\Temp\OnboardLogs" /stypes="app*4020*20170118*" /stext=" 03:.+((SYSTEM_STATE.+slice.+state.+changed )|(ment ac)|(multiple cpu faults)|(system.+state.+changed )|(\[timeout)|(PRM\|1\|D)|(kpr)|(kdp)|(\|lc)|(penalty))" /e /r /s</v>
      </c>
      <c r="AG200" s="1" t="str">
        <f t="shared" si="122"/>
        <v>NW</v>
      </c>
      <c r="AH200" s="88" t="str">
        <f t="shared" si="67"/>
        <v>"%USERPROFILE%\Documents\GitHub\eaglep3\Utilities\RefineRTDCRunTimes.py" --tripid 843-17 --locoid 4020 --swversion DE.1.0.8.0 --startMP 204:957 --initTime 2017-01-17T20:14:47 --startdatetime 2017-01-17T20:21:17 --delay 1 --endMP 300:58929 --enddatetime 2017-01-17T20:34:57 --enforcementcount 0 &gt;&gt;C:\Users\stu\Documents\GitHub\eaglep3-reporting\EC\2017-01-17-refined-times.txt</v>
      </c>
      <c r="AI200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{"issue":{"subject":"","project_id":79,"tracker_id":40,"status_id":1,"priority_id":2,"assigned_to_id":23,"start_date":"2017-01-17","description":"","custom_fields":[{"id":1,"name":"Subdivision","value":"NW"},{"id":4,"name":"Milepost","value":"5.8929"},{"id":17,"name":"Train ID","value":"843-17"},{"id":16,"name":"Locomotive ID","value":"4020"},{"id":130,"name":"Impact","value":""},{"id":150,"name":"Time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9"/>
        <v>start /low /b %USERPROFILE%\Documents\GitHub\eaglep3\Utilities\DownloadLogsFromS3.py --loco 4020 --day 2017-01-17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</row>
    <row r="201" spans="1:91" s="21" customFormat="1" x14ac:dyDescent="0.25">
      <c r="A201" s="34" t="s">
        <v>494</v>
      </c>
      <c r="B201" s="7">
        <v>4019</v>
      </c>
      <c r="C201" s="22" t="s">
        <v>201</v>
      </c>
      <c r="D201" s="22" t="s">
        <v>832</v>
      </c>
      <c r="E201" s="13">
        <v>42752.903402777774</v>
      </c>
      <c r="F201" s="13">
        <v>42752.905289351853</v>
      </c>
      <c r="G201" s="7">
        <v>1</v>
      </c>
      <c r="H201" s="22" t="s">
        <v>833</v>
      </c>
      <c r="I201" s="13">
        <v>42752.914675925924</v>
      </c>
      <c r="J201" s="7">
        <v>0</v>
      </c>
      <c r="K201" s="105" t="str">
        <f t="shared" si="112"/>
        <v>4019/4020</v>
      </c>
      <c r="L201" s="22" t="str">
        <f>VLOOKUP(A201,'Trips&amp;Operators'!$C$1:$G$99999,5,FALSE)</f>
        <v>HILLS DUSTIN</v>
      </c>
      <c r="M201" s="6">
        <f t="shared" si="113"/>
        <v>9.3865740709588863E-3</v>
      </c>
      <c r="N201" s="7">
        <f t="shared" si="114"/>
        <v>13.516666662180796</v>
      </c>
      <c r="O201" s="7"/>
      <c r="P201" s="7"/>
      <c r="Q201" s="23"/>
      <c r="R201" s="23"/>
      <c r="S201" s="32">
        <f t="shared" si="115"/>
        <v>1</v>
      </c>
      <c r="T201" s="47" t="str">
        <f t="shared" si="116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74"/>
        <v>https://d0f6bd738d7f1b3e5a7ca70fe4ff75f0.us-east-1.aws.found.io/app/kibana#/discover/Steve-Slow-Train-Analysis-(2080s-and-2083s)?_g=(refreshInterval:(display:Off,pause:!f,section:0,value:0),time:(from:'2017-01-17T20:40:54-0700',mode:absolute,to:'2017-01-17T22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49" t="str">
        <f t="shared" si="117"/>
        <v>N</v>
      </c>
      <c r="X201" s="173">
        <f t="shared" si="123"/>
        <v>1</v>
      </c>
      <c r="Y201" s="64">
        <f t="shared" si="118"/>
        <v>5.8659999999999997</v>
      </c>
      <c r="Z201" s="64">
        <f t="shared" si="119"/>
        <v>6.4899999999999999E-2</v>
      </c>
      <c r="AA201" s="64">
        <f t="shared" si="120"/>
        <v>5.8010999999999999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121"/>
        <v>0844-17</v>
      </c>
      <c r="AE201" s="87" t="str">
        <f t="shared" si="80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201" s="84" t="str">
        <f t="shared" si="81"/>
        <v>"C:\Program Files (x86)\AstroGrep\AstroGrep.exe" /spath="%USERPROFILE%\AppData\Local\Temp\OnboardLogs" /stypes="app*4019*20170118*" /stext=" 04:.+((SYSTEM_STATE.+slice.+state.+changed )|(ment ac)|(multiple cpu faults)|(system.+state.+changed )|(\[timeout)|(PRM\|1\|D)|(kpr)|(kdp)|(\|lc)|(penalty))" /e /r /s</v>
      </c>
      <c r="AG201" s="1" t="str">
        <f t="shared" si="122"/>
        <v>NW</v>
      </c>
      <c r="AH201" s="88" t="str">
        <f t="shared" si="67"/>
        <v>"%USERPROFILE%\Documents\GitHub\eaglep3\Utilities\RefineRTDCRunTimes.py" --tripid 844-17 --locoid 4019 --swversion DE.1.0.8.0 --startMP 300:58660 --initTime 2017-01-17T21:40:54 --startdatetime 2017-01-17T21:43:37 --delay 1 --endMP 204:649 --enddatetime 2017-01-17T21:57:08 --enforcementcount 0 &gt;&gt;C:\Users\stu\Documents\GitHub\eaglep3-reporting\EC\2017-01-17-refined-times.txt</v>
      </c>
      <c r="AI201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{"issue":{"subject":"","project_id":79,"tracker_id":40,"status_id":1,"priority_id":2,"assigned_to_id":23,"start_date":"2017-01-17","description":"","custom_fields":[{"id":1,"name":"Subdivision","value":"NW"},{"id":4,"name":"Milepost","value":"0.0649"},{"id":17,"name":"Train ID","value":"844-17"},{"id":16,"name":"Locomotive ID","value":"4019"},{"id":130,"name":"Impact","value":""},{"id":150,"name":"Time of Event (Mountain Time)","value":"21:57:08"},{"id":151,"name":"Denver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9"/>
        <v>start /low /b %USERPROFILE%\Documents\GitHub\eaglep3\Utilities\DownloadLogsFromS3.py --loco 4019 --day 2017-01-17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4" t="s">
        <v>491</v>
      </c>
      <c r="B202" s="7">
        <v>4020</v>
      </c>
      <c r="C202" s="22" t="s">
        <v>201</v>
      </c>
      <c r="D202" s="22" t="s">
        <v>834</v>
      </c>
      <c r="E202" s="13">
        <v>42752.87809027778</v>
      </c>
      <c r="F202" s="13">
        <v>42752.891134259262</v>
      </c>
      <c r="G202" s="7">
        <v>1</v>
      </c>
      <c r="H202" s="22" t="s">
        <v>835</v>
      </c>
      <c r="I202" s="13">
        <v>42752.902025462965</v>
      </c>
      <c r="J202" s="7">
        <v>0</v>
      </c>
      <c r="K202" s="105" t="str">
        <f t="shared" si="112"/>
        <v>4019/4020</v>
      </c>
      <c r="L202" s="22" t="str">
        <f>VLOOKUP(A202,'Trips&amp;Operators'!$C$1:$G$99999,5,FALSE)</f>
        <v>HILLS DUSTIN</v>
      </c>
      <c r="M202" s="6">
        <f t="shared" si="113"/>
        <v>1.0891203703067731E-2</v>
      </c>
      <c r="N202" s="7">
        <f t="shared" si="114"/>
        <v>15.683333332417533</v>
      </c>
      <c r="O202" s="7"/>
      <c r="P202" s="7"/>
      <c r="Q202" s="23"/>
      <c r="R202" s="23"/>
      <c r="S202" s="32">
        <f t="shared" si="115"/>
        <v>1</v>
      </c>
      <c r="T202" s="47" t="str">
        <f t="shared" si="116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74"/>
        <v>https://d0f6bd738d7f1b3e5a7ca70fe4ff75f0.us-east-1.aws.found.io/app/kibana#/discover/Steve-Slow-Train-Analysis-(2080s-and-2083s)?_g=(refreshInterval:(display:Off,pause:!f,section:0,value:0),time:(from:'2017-01-17T20:04:27-0700',mode:absolute,to:'2017-01-17T22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49" t="str">
        <f t="shared" si="117"/>
        <v>N</v>
      </c>
      <c r="X202" s="173">
        <f t="shared" si="123"/>
        <v>1</v>
      </c>
      <c r="Y202" s="64">
        <f t="shared" si="118"/>
        <v>9.4100000000000003E-2</v>
      </c>
      <c r="Z202" s="64">
        <f t="shared" si="119"/>
        <v>5.8968999999999996</v>
      </c>
      <c r="AA202" s="64">
        <f t="shared" si="120"/>
        <v>5.8027999999999995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121"/>
        <v>0845-17</v>
      </c>
      <c r="AE202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202" s="84" t="str">
        <f t="shared" si="81"/>
        <v>"C:\Program Files (x86)\AstroGrep\AstroGrep.exe" /spath="%USERPROFILE%\AppData\Local\Temp\OnboardLogs" /stypes="app*4020*20170118*" /stext=" 04:.+((SYSTEM_STATE.+slice.+state.+changed )|(ment ac)|(multiple cpu faults)|(system.+state.+changed )|(\[timeout)|(PRM\|1\|D)|(kpr)|(kdp)|(\|lc)|(penalty))" /e /r /s</v>
      </c>
      <c r="AG202" s="1" t="str">
        <f t="shared" si="122"/>
        <v>NW</v>
      </c>
      <c r="AH202" s="88" t="str">
        <f t="shared" si="67"/>
        <v>"%USERPROFILE%\Documents\GitHub\eaglep3\Utilities\RefineRTDCRunTimes.py" --tripid 845-17 --locoid 4020 --swversion DE.1.0.8.0 --startMP 204:941 --initTime 2017-01-17T21:04:27 --startdatetime 2017-01-17T21:23:14 --delay 1 --endMP 300:58969 --enddatetime 2017-01-17T21:38:55 --enforcementcount 0 &gt;&gt;C:\Users\stu\Documents\GitHub\eaglep3-reporting\EC\2017-01-17-refined-times.txt</v>
      </c>
      <c r="AI202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{"issue":{"subject":"","project_id":79,"tracker_id":40,"status_id":1,"priority_id":2,"assigned_to_id":23,"start_date":"2017-01-17","description":"","custom_fields":[{"id":1,"name":"Subdivision","value":"NW"},{"id":4,"name":"Milepost","value":"5.8969"},{"id":17,"name":"Train ID","value":"845-17"},{"id":16,"name":"Locomotive ID","value":"4020"},{"id":130,"name":"Impact","value":""},{"id":150,"name":"Time of Event (Mountain Time)","value":"21:38:55"},{"id":151,"name":"Denver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9"/>
        <v>start /low /b %USERPROFILE%\Documents\GitHub\eaglep3\Utilities\DownloadLogsFromS3.py --loco 4020 --day 2017-01-17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4" t="s">
        <v>495</v>
      </c>
      <c r="B203" s="7">
        <v>4020</v>
      </c>
      <c r="C203" s="22" t="s">
        <v>201</v>
      </c>
      <c r="D203" s="22" t="s">
        <v>836</v>
      </c>
      <c r="E203" s="13">
        <v>42752.915775462963</v>
      </c>
      <c r="F203" s="13">
        <v>42752.931493055556</v>
      </c>
      <c r="G203" s="7">
        <v>1</v>
      </c>
      <c r="H203" s="22" t="s">
        <v>433</v>
      </c>
      <c r="I203" s="13">
        <v>42752.942523148151</v>
      </c>
      <c r="J203" s="7">
        <v>0</v>
      </c>
      <c r="K203" s="105" t="str">
        <f t="shared" si="112"/>
        <v>4019/4020</v>
      </c>
      <c r="L203" s="22" t="str">
        <f>VLOOKUP(A203,'Trips&amp;Operators'!$C$1:$G$99999,5,FALSE)</f>
        <v>HILLS DUSTIN</v>
      </c>
      <c r="M203" s="6">
        <f t="shared" si="113"/>
        <v>1.1030092595319729E-2</v>
      </c>
      <c r="N203" s="7">
        <f t="shared" si="114"/>
        <v>15.88333333726041</v>
      </c>
      <c r="O203" s="7"/>
      <c r="P203" s="7"/>
      <c r="Q203" s="23"/>
      <c r="R203" s="23"/>
      <c r="S203" s="32">
        <f t="shared" si="115"/>
        <v>1</v>
      </c>
      <c r="T203" s="47" t="str">
        <f t="shared" si="116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74"/>
        <v>https://d0f6bd738d7f1b3e5a7ca70fe4ff75f0.us-east-1.aws.found.io/app/kibana#/discover/Steve-Slow-Train-Analysis-(2080s-and-2083s)?_g=(refreshInterval:(display:Off,pause:!f,section:0,value:0),time:(from:'2017-01-17T20:58:43-0700',mode:absolute,to:'2017-01-17T23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49" t="str">
        <f t="shared" si="117"/>
        <v>N</v>
      </c>
      <c r="X203" s="173">
        <f t="shared" si="123"/>
        <v>2</v>
      </c>
      <c r="Y203" s="64">
        <f t="shared" si="118"/>
        <v>9.4299999999999995E-2</v>
      </c>
      <c r="Z203" s="64">
        <f t="shared" si="119"/>
        <v>5.8930999999999996</v>
      </c>
      <c r="AA203" s="64">
        <f t="shared" si="120"/>
        <v>5.7988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121"/>
        <v>0847-17</v>
      </c>
      <c r="AE203" s="87" t="str">
        <f t="shared" si="80"/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AF203" s="84" t="str">
        <f t="shared" si="81"/>
        <v>"C:\Program Files (x86)\AstroGrep\AstroGrep.exe" /spath="%USERPROFILE%\AppData\Local\Temp\OnboardLogs" /stypes="app*4020*20170118*" /stext=" 05:.+((SYSTEM_STATE.+slice.+state.+changed )|(ment ac)|(multiple cpu faults)|(system.+state.+changed )|(\[timeout)|(PRM\|1\|D)|(kpr)|(kdp)|(\|lc)|(penalty))" /e /r /s</v>
      </c>
      <c r="AG203" s="1" t="str">
        <f t="shared" si="122"/>
        <v>NW</v>
      </c>
      <c r="AH203" s="88" t="str">
        <f t="shared" si="67"/>
        <v>"%USERPROFILE%\Documents\GitHub\eaglep3\Utilities\RefineRTDCRunTimes.py" --tripid 847-17 --locoid 4020 --swversion DE.1.0.8.0 --startMP 204:943 --initTime 2017-01-17T21:58:43 --startdatetime 2017-01-17T22:21:21 --delay 1 --endMP 300:58931 --enddatetime 2017-01-17T22:37:14 --enforcementcount 0 &gt;&gt;C:\Users\stu\Documents\GitHub\eaglep3-reporting\EC\2017-01-17-refined-times.txt</v>
      </c>
      <c r="AI203" s="115" t="str">
        <f t="shared" si="68"/>
        <v>echo {"issue":{"subject":"","project_id":79,"tracker_id":40,"status_id":1,"priority_id":2,"assigned_to_id":23,"start_date":"2017-01-17","description":"","custom_fields":[{"id":1,"name":"Subdivision","value":"NW"},{"id":4,"name":"Milepost","value":"5.8931"},{"id":17,"name":"Train ID","value":"847-17"},{"id":16,"name":"Locomotive ID","value":"4020"},{"id":130,"name":"Impact","value":""},{"id":150,"name":"Time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69"/>
        <v>start /low /b %USERPROFILE%\Documents\GitHub\eaglep3\Utilities\DownloadLogsFromS3.py --loco 4020 --day 2017-01-17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"%USERPROFILE%\AppData\Local\Temp\OnboardLogs"\RTDC4020\*4020*20170118* | grep -SE "(Enforcement Action)|(\[TIMEOUT)|(CHR.+\|PRM\|1\|D.+(SWITCH|SIGNAL).+UNKNOWN)" - &gt;&gt; 2017-01-17-UncaughtWiMAX.txt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497</v>
      </c>
      <c r="B204" s="7">
        <v>4028</v>
      </c>
      <c r="C204" s="22" t="s">
        <v>201</v>
      </c>
      <c r="D204" s="22" t="s">
        <v>748</v>
      </c>
      <c r="E204" s="13">
        <v>42752.115034722221</v>
      </c>
      <c r="F204" s="13">
        <v>42752.118020833332</v>
      </c>
      <c r="G204" s="7">
        <v>3</v>
      </c>
      <c r="H204" s="22" t="s">
        <v>281</v>
      </c>
      <c r="I204" s="13">
        <v>42752.124803240738</v>
      </c>
      <c r="J204" s="7">
        <v>0</v>
      </c>
      <c r="K204" s="105" t="str">
        <f t="shared" si="112"/>
        <v>4027/4028</v>
      </c>
      <c r="L204" s="22" t="str">
        <f>VLOOKUP(A204,'Trips&amp;Operators'!$C$1:$G$99999,5,FALSE)</f>
        <v>OUN ZACK</v>
      </c>
      <c r="M204" s="6">
        <f t="shared" si="113"/>
        <v>6.7824074067175388E-3</v>
      </c>
      <c r="N204" s="7">
        <f t="shared" si="114"/>
        <v>9.7666666656732559</v>
      </c>
      <c r="O204" s="7"/>
      <c r="P204" s="7"/>
      <c r="Q204" s="23"/>
      <c r="R204" s="23"/>
      <c r="S204" s="32">
        <f t="shared" si="115"/>
        <v>1</v>
      </c>
      <c r="T204" s="47" t="str">
        <f t="shared" si="116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74"/>
        <v>https://d0f6bd738d7f1b3e5a7ca70fe4ff75f0.us-east-1.aws.found.io/app/kibana#/discover/Steve-Slow-Train-Analysis-(2080s-and-2083s)?_g=(refreshInterval:(display:Off,pause:!f,section:0,value:0),time:(from:'2017-01-17T01:45:39-0700',mode:absolute,to:'2017-01-17T03:59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49" t="str">
        <f t="shared" si="117"/>
        <v>Y</v>
      </c>
      <c r="X204" s="173">
        <f t="shared" si="123"/>
        <v>-545</v>
      </c>
      <c r="Y204" s="64">
        <f t="shared" si="118"/>
        <v>2.3149999999999999</v>
      </c>
      <c r="Z204" s="64">
        <f t="shared" si="119"/>
        <v>1.38E-2</v>
      </c>
      <c r="AA204" s="64">
        <f t="shared" si="120"/>
        <v>2.3012000000000001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121"/>
        <v>0302-17</v>
      </c>
      <c r="AE204" s="87" t="str">
        <f t="shared" si="80"/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AF204" s="84" t="str">
        <f t="shared" si="81"/>
        <v>"C:\Program Files (x86)\AstroGrep\AstroGrep.exe" /spath="%USERPROFILE%\AppData\Local\Temp\OnboardLogs" /stypes="app*4028*20170117*" /stext=" 09:.+((SYSTEM_STATE.+slice.+state.+changed )|(ment ac)|(multiple cpu faults)|(system.+state.+changed )|(\[timeout)|(PRM\|1\|D)|(kpr)|(kdp)|(\|lc)|(penalty))" /e /r /s</v>
      </c>
      <c r="AG204" s="1" t="str">
        <f t="shared" si="122"/>
        <v>Other</v>
      </c>
      <c r="AH204" s="88" t="str">
        <f t="shared" si="67"/>
        <v>"%USERPROFILE%\Documents\GitHub\eaglep3\Utilities\RefineRTDCRunTimes.py" --tripid 302-17 --locoid 4028 --swversion DE.1.0.8.0 --startMP 300:23150 --initTime 2017-01-17T02:45:39 --startdatetime 2017-01-17T02:49:57 --delay 3 --endMP 204:138 --enddatetime 2017-01-17T02:59:43 --enforcementcount 0 &gt;&gt;C:\Users\stu\Documents\GitHub\eaglep3-reporting\EC\2017-01-17-refined-times.txt</v>
      </c>
      <c r="AI204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{"issue":{"subject":"","project_id":79,"tracker_id":40,"status_id":1,"priority_id":2,"assigned_to_id":23,"start_date":"2017-01-17","description":"","custom_fields":[{"id":1,"name":"Subdivision","value":"Other"},{"id":4,"name":"Milepost","value":"0.0138"},{"id":17,"name":"Train ID","value":"302-17"},{"id":16,"name":"Locomotive ID","value":"4028"},{"id":130,"name":"Impact","value":""},{"id":150,"name":"Time of Event (Mountain Time)","value":"02:59:43"},{"id":151,"name":"Denver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69"/>
        <v>start /low /b %USERPROFILE%\Documents\GitHub\eaglep3\Utilities\DownloadLogsFromS3.py --loco 4028 --day 2017-01-17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"%USERPROFILE%\AppData\Local\Temp\OnboardLogs"\RTDC4028\*4028*20170117* | grep -SE "(Enforcement Action)|(\[TIMEOUT)|(CHR.+\|PRM\|1\|D.+(SWITCH|SIGNAL).+UNKNOWN)" - &gt;&gt; 2017-01-17-UncaughtWiMAX.txt</v>
      </c>
    </row>
    <row r="205" spans="1:91" x14ac:dyDescent="0.25">
      <c r="A205" s="34" t="s">
        <v>659</v>
      </c>
      <c r="B205" s="7">
        <v>4042</v>
      </c>
      <c r="C205" s="22" t="s">
        <v>201</v>
      </c>
      <c r="D205" s="22" t="s">
        <v>749</v>
      </c>
      <c r="E205" s="13">
        <v>42752.777557870373</v>
      </c>
      <c r="F205" s="13">
        <v>42752.77921296296</v>
      </c>
      <c r="G205" s="7">
        <v>1</v>
      </c>
      <c r="H205" s="22" t="s">
        <v>750</v>
      </c>
      <c r="I205" s="13">
        <v>42752.786817129629</v>
      </c>
      <c r="J205" s="7">
        <v>0</v>
      </c>
      <c r="K205" s="105" t="str">
        <f t="shared" si="112"/>
        <v>4041/4042</v>
      </c>
      <c r="L205" s="22" t="str">
        <f>VLOOKUP(A205,'Trips&amp;Operators'!$C$1:$G$99999,5,FALSE)</f>
        <v>CLARK KATHLEEN</v>
      </c>
      <c r="M205" s="6">
        <f t="shared" si="113"/>
        <v>7.6041666688979603E-3</v>
      </c>
      <c r="N205" s="7">
        <f t="shared" si="114"/>
        <v>10.950000003213063</v>
      </c>
      <c r="O205" s="7"/>
      <c r="P205" s="7"/>
      <c r="Q205" s="23"/>
      <c r="R205" s="23"/>
      <c r="S205" s="32">
        <f t="shared" si="115"/>
        <v>1</v>
      </c>
      <c r="T205" s="47" t="str">
        <f t="shared" si="116"/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8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-17T17:39:41-0700',mode:absolute,to:'2017-01-17T19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49" t="str">
        <f t="shared" si="117"/>
        <v>Y</v>
      </c>
      <c r="X205" s="173">
        <f t="shared" si="123"/>
        <v>1</v>
      </c>
      <c r="Y205" s="64">
        <f t="shared" si="118"/>
        <v>5.0200000000000002E-2</v>
      </c>
      <c r="Z205" s="64">
        <f t="shared" si="119"/>
        <v>2.3308</v>
      </c>
      <c r="AA205" s="64">
        <f t="shared" si="120"/>
        <v>2.2806000000000002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121"/>
        <v>0303-17</v>
      </c>
      <c r="AE205" s="87" t="str">
        <f t="shared" ref="AE205:AE238" si="12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AF205" s="84" t="str">
        <f t="shared" ref="AF205:AF238" si="12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/stypes="app*4042*20170118*" /stext=" 01:.+((SYSTEM_STATE.+slice.+state.+changed )|(ment ac)|(multiple cpu faults)|(system.+state.+changed )|(\[timeout)|(PRM\|1\|D)|(kpr)|(kdp)|(\|lc)|(penalty))" /e /r /s</v>
      </c>
      <c r="AG205" s="1" t="str">
        <f t="shared" si="122"/>
        <v>Other</v>
      </c>
      <c r="AH205" s="88" t="str">
        <f t="shared" si="67"/>
        <v>"%USERPROFILE%\Documents\GitHub\eaglep3\Utilities\RefineRTDCRunTimes.py" --tripid 303-17 --locoid 4042 --swversion DE.1.0.8.0 --startMP 204:502 --initTime 2017-01-17T18:39:41 --startdatetime 2017-01-17T18:42:04 --delay 1 --endMP 300:23308 --enddatetime 2017-01-17T18:53:01 --enforcementcount 0 &gt;&gt;C:\Users\stu\Documents\GitHub\eaglep3-reporting\EC\2017-01-17-refined-times.txt</v>
      </c>
      <c r="AI205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{"issue":{"subject":"","project_id":79,"tracker_id":40,"status_id":1,"priority_id":2,"assigned_to_id":23,"start_date":"2017-01-17","description":"","custom_fields":[{"id":1,"name":"Subdivision","value":"Other"},{"id":4,"name":"Milepost","value":"2.3308"},{"id":17,"name":"Train ID","value":"303-17"},{"id":16,"name":"Locomotive ID","value":"4042"},{"id":130,"name":"Impact","value":""},{"id":150,"name":"Time of Event (Mountain Time)","value":"18:53:01"},{"id":151,"name":"Denver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69"/>
        <v>start /low /b %USERPROFILE%\Documents\GitHub\eaglep3\Utilities\DownloadLogsFromS3.py --loco 4042 --day 2017-01-17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"%USERPROFILE%\AppData\Local\Temp\OnboardLogs"\RTDC4042\*4042*20170118* | grep -SE "(Enforcement Action)|(\[TIMEOUT)|(CHR.+\|PRM\|1\|D.+(SWITCH|SIGNAL).+UNKNOWN)" - &gt;&gt; 2017-01-17-UncaughtWiMAX.txt</v>
      </c>
    </row>
    <row r="206" spans="1:91" x14ac:dyDescent="0.25">
      <c r="A206" s="34" t="s">
        <v>453</v>
      </c>
      <c r="B206" s="7">
        <v>4008</v>
      </c>
      <c r="C206" s="22" t="s">
        <v>201</v>
      </c>
      <c r="D206" s="22" t="s">
        <v>751</v>
      </c>
      <c r="E206" s="13">
        <v>42752.136817129627</v>
      </c>
      <c r="F206" s="13">
        <v>42752.140173611115</v>
      </c>
      <c r="G206" s="7">
        <v>4</v>
      </c>
      <c r="H206" s="22" t="s">
        <v>191</v>
      </c>
      <c r="I206" s="13">
        <v>42752.146249999998</v>
      </c>
      <c r="J206" s="7">
        <v>0</v>
      </c>
      <c r="K206" s="105" t="str">
        <f t="shared" si="112"/>
        <v>4007/4008</v>
      </c>
      <c r="L206" s="22" t="str">
        <f>VLOOKUP(A206,'Trips&amp;Operators'!$C$1:$G$99999,5,FALSE)</f>
        <v>MAELZER KURT</v>
      </c>
      <c r="M206" s="6">
        <f t="shared" si="113"/>
        <v>6.0763888832298107E-3</v>
      </c>
      <c r="N206" s="7">
        <f t="shared" si="114"/>
        <v>8.7499999918509275</v>
      </c>
      <c r="O206" s="7"/>
      <c r="P206" s="7"/>
      <c r="Q206" s="23"/>
      <c r="R206" s="23"/>
      <c r="S206" s="32">
        <f t="shared" si="115"/>
        <v>1</v>
      </c>
      <c r="T206" s="47" t="str">
        <f t="shared" si="116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124"/>
        <v>https://d0f6bd738d7f1b3e5a7ca70fe4ff75f0.us-east-1.aws.found.io/app/kibana#/discover/Steve-Slow-Train-Analysis-(2080s-and-2083s)?_g=(refreshInterval:(display:Off,pause:!f,section:0,value:0),time:(from:'2017-01-17T02:17:01-0700',mode:absolute,to:'2017-01-17T04:30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49" t="str">
        <f t="shared" si="117"/>
        <v>Y</v>
      </c>
      <c r="X206" s="173">
        <f t="shared" si="123"/>
        <v>1</v>
      </c>
      <c r="Y206" s="64">
        <f t="shared" si="118"/>
        <v>1.9271</v>
      </c>
      <c r="Z206" s="64">
        <f t="shared" si="119"/>
        <v>1.49E-2</v>
      </c>
      <c r="AA206" s="64">
        <f t="shared" si="120"/>
        <v>1.9122000000000001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121"/>
        <v>0304-17</v>
      </c>
      <c r="AE206" s="87" t="str">
        <f t="shared" si="125"/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AF206" s="84" t="str">
        <f t="shared" si="126"/>
        <v>"C:\Program Files (x86)\AstroGrep\AstroGrep.exe" /spath="%USERPROFILE%\AppData\Local\Temp\OnboardLogs" /stypes="app*4008*20170117*" /stext=" 10:.+((SYSTEM_STATE.+slice.+state.+changed )|(ment ac)|(multiple cpu faults)|(system.+state.+changed )|(\[timeout)|(PRM\|1\|D)|(kpr)|(kdp)|(\|lc)|(penalty))" /e /r /s</v>
      </c>
      <c r="AG206" s="1" t="str">
        <f t="shared" si="122"/>
        <v>Other</v>
      </c>
      <c r="AH206" s="88" t="str">
        <f t="shared" si="67"/>
        <v>"%USERPROFILE%\Documents\GitHub\eaglep3\Utilities\RefineRTDCRunTimes.py" --tripid 304-17 --locoid 4008 --swversion DE.1.0.8.0 --startMP 300:19271 --initTime 2017-01-17T03:17:01 --startdatetime 2017-01-17T03:21:51 --delay 4 --endMP 204:149 --enddatetime 2017-01-17T03:30:36 --enforcementcount 0 &gt;&gt;C:\Users\stu\Documents\GitHub\eaglep3-reporting\EC\2017-01-17-refined-times.txt</v>
      </c>
      <c r="AI206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{"issue":{"subject":"","project_id":79,"tracker_id":40,"status_id":1,"priority_id":2,"assigned_to_id":23,"start_date":"2017-01-17","description":"","custom_fields":[{"id":1,"name":"Subdivision","value":"Other"},{"id":4,"name":"Milepost","value":"0.0149"},{"id":17,"name":"Train ID","value":"304-17"},{"id":16,"name":"Locomotive ID","value":"4008"},{"id":130,"name":"Impact","value":""},{"id":150,"name":"Time of Event (Mountain Time)","value":"03:30:36"},{"id":151,"name":"Denver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69"/>
        <v>start /low /b %USERPROFILE%\Documents\GitHub\eaglep3\Utilities\DownloadLogsFromS3.py --loco 4008 --day 2017-01-17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"%USERPROFILE%\AppData\Local\Temp\OnboardLogs"\RTDC4008\*4008*20170117* | grep -SE "(Enforcement Action)|(\[TIMEOUT)|(CHR.+\|PRM\|1\|D.+(SWITCH|SIGNAL).+UNKNOWN)" - &gt;&gt; 2017-01-17-UncaughtWiMAX.txt</v>
      </c>
    </row>
    <row r="207" spans="1:91" x14ac:dyDescent="0.25">
      <c r="A207" s="34" t="s">
        <v>661</v>
      </c>
      <c r="B207" s="7">
        <v>4027</v>
      </c>
      <c r="C207" s="22" t="s">
        <v>201</v>
      </c>
      <c r="D207" s="22" t="s">
        <v>752</v>
      </c>
      <c r="E207" s="13">
        <v>42752.797071759262</v>
      </c>
      <c r="F207" s="13">
        <v>25568.708333333332</v>
      </c>
      <c r="G207" s="7">
        <v>1</v>
      </c>
      <c r="H207" s="22" t="s">
        <v>753</v>
      </c>
      <c r="I207" s="13">
        <v>25568.708333333332</v>
      </c>
      <c r="J207" s="7">
        <v>0</v>
      </c>
      <c r="K207" s="105" t="str">
        <f t="shared" si="112"/>
        <v>4027/4028</v>
      </c>
      <c r="L207" s="22" t="str">
        <f>VLOOKUP(A207,'Trips&amp;Operators'!$C$1:$G$99999,5,FALSE)</f>
        <v>CRAYTON QUNTRELL</v>
      </c>
      <c r="M207" s="6">
        <f t="shared" si="113"/>
        <v>0</v>
      </c>
      <c r="N207" s="7">
        <f t="shared" si="114"/>
        <v>0</v>
      </c>
      <c r="O207" s="7"/>
      <c r="P207" s="7"/>
      <c r="Q207" s="23"/>
      <c r="R207" s="23"/>
      <c r="S207" s="32">
        <f t="shared" si="115"/>
        <v>1</v>
      </c>
      <c r="T207" s="47" t="str">
        <f t="shared" si="116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124"/>
        <v>https://d0f6bd738d7f1b3e5a7ca70fe4ff75f0.us-east-1.aws.found.io/app/kibana#/discover/Steve-Slow-Train-Analysis-(2080s-and-2083s)?_g=(refreshInterval:(display:Off,pause:!f,section:0,value:0),time:(from:'2017-01-17T18:07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49" t="str">
        <f t="shared" si="117"/>
        <v>Y</v>
      </c>
      <c r="X207" s="173">
        <f t="shared" si="123"/>
        <v>1</v>
      </c>
      <c r="Y207" s="64">
        <f t="shared" si="118"/>
        <v>5.0900000000000001E-2</v>
      </c>
      <c r="Z207" s="64">
        <f t="shared" si="119"/>
        <v>2.331</v>
      </c>
      <c r="AA207" s="64">
        <f t="shared" si="120"/>
        <v>2.2801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121"/>
        <v>0305-17</v>
      </c>
      <c r="AE207" s="87" t="str">
        <f t="shared" si="12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7" s="84" t="str">
        <f t="shared" si="126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7" s="1" t="str">
        <f t="shared" si="122"/>
        <v>Other</v>
      </c>
      <c r="AH207" s="88" t="str">
        <f t="shared" si="67"/>
        <v>"%USERPROFILE%\Documents\GitHub\eaglep3\Utilities\RefineRTDCRunTimes.py" --tripid 305-17 --locoid 4027 --swversion DE.1.0.8.0 --startMP 204:509 --initTime 2017-01-17T19:07:47 --startdatetime 1969-12-31T17:00:00 --delay 1 --endMP 300:23310 --enddatetime 1969-12-31T17:00:00 --enforcementcount 0 &gt;&gt;C:\Users\stu\Documents\GitHub\eaglep3-reporting\EC\2017-01-17-refined-times.txt</v>
      </c>
      <c r="AI207" s="115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ID","value":"305-17"},{"id":16,"name":"Locomotive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69"/>
        <v>start /low /b %USERPROFILE%\Documents\GitHub\eaglep3\Utilities\DownloadLogsFromS3.py --loco 4027 --day 1969-12-31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2017-01-17-UncaughtWiMAX.txt</v>
      </c>
    </row>
    <row r="208" spans="1:91" x14ac:dyDescent="0.25">
      <c r="A208" s="34" t="s">
        <v>500</v>
      </c>
      <c r="B208" s="7">
        <v>4039</v>
      </c>
      <c r="C208" s="22" t="s">
        <v>201</v>
      </c>
      <c r="D208" s="22" t="s">
        <v>754</v>
      </c>
      <c r="E208" s="13">
        <v>42752.162615740737</v>
      </c>
      <c r="F208" s="13">
        <v>42752.166307870371</v>
      </c>
      <c r="G208" s="7">
        <v>5</v>
      </c>
      <c r="H208" s="22" t="s">
        <v>284</v>
      </c>
      <c r="I208" s="13">
        <v>42752.172569444447</v>
      </c>
      <c r="J208" s="7">
        <v>0</v>
      </c>
      <c r="K208" s="105" t="str">
        <f t="shared" si="112"/>
        <v>4039/4040</v>
      </c>
      <c r="L208" s="22" t="str">
        <f>VLOOKUP(A208,'Trips&amp;Operators'!$C$1:$G$99999,5,FALSE)</f>
        <v>STARKS ANGELINA</v>
      </c>
      <c r="M208" s="6">
        <f t="shared" si="113"/>
        <v>6.2615740753244609E-3</v>
      </c>
      <c r="N208" s="7">
        <f t="shared" si="114"/>
        <v>9.0166666684672236</v>
      </c>
      <c r="O208" s="7"/>
      <c r="P208" s="7"/>
      <c r="Q208" s="23"/>
      <c r="R208" s="23"/>
      <c r="S208" s="32">
        <f t="shared" si="115"/>
        <v>1</v>
      </c>
      <c r="T208" s="47" t="str">
        <f t="shared" si="116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124"/>
        <v>https://d0f6bd738d7f1b3e5a7ca70fe4ff75f0.us-east-1.aws.found.io/app/kibana#/discover/Steve-Slow-Train-Analysis-(2080s-and-2083s)?_g=(refreshInterval:(display:Off,pause:!f,section:0,value:0),time:(from:'2017-01-17T02:54:10-0700',mode:absolute,to:'2017-01-17T05:08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49" t="str">
        <f t="shared" si="117"/>
        <v>Y</v>
      </c>
      <c r="X208" s="173">
        <f t="shared" si="123"/>
        <v>1</v>
      </c>
      <c r="Y208" s="64">
        <f t="shared" si="118"/>
        <v>2.2351999999999999</v>
      </c>
      <c r="Z208" s="64">
        <f t="shared" si="119"/>
        <v>1.54E-2</v>
      </c>
      <c r="AA208" s="64">
        <f t="shared" si="120"/>
        <v>2.2197999999999998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121"/>
        <v>0306-17</v>
      </c>
      <c r="AE208" s="87" t="str">
        <f t="shared" si="125"/>
        <v>aws s3 cp s3://rtdc.mdm.uploadarchive.raw/RTDC4039/ "%USERPROFILE%\AppData\Local\Temp\OnboardLogs"\RTDC4039\2017-01-17 --exclude "*" --recursive --include "*20170117*" &amp; "%USERPROFILE%\Documents\GitHub\mrs-test-scripts\Headless Mode &amp; Sideloading\WalkAndUnGZ.bat" "%USERPROFILE%\AppData\Local\Temp\OnboardLogs"\RTDC4039\2017-01-17 &amp; 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</v>
      </c>
      <c r="AF208" s="84" t="str">
        <f t="shared" si="126"/>
        <v>"C:\Program Files (x86)\AstroGrep\AstroGrep.exe" /spath="%USERPROFILE%\AppData\Local\Temp\OnboardLogs" /stypes="app*4039*20170117*" /stext=" 11:.+((SYSTEM_STATE.+slice.+state.+changed )|(ment ac)|(multiple cpu faults)|(system.+state.+changed )|(\[timeout)|(PRM\|1\|D)|(kpr)|(kdp)|(\|lc)|(penalty))" /e /r /s</v>
      </c>
      <c r="AG208" s="1" t="str">
        <f t="shared" si="122"/>
        <v>Other</v>
      </c>
      <c r="AH208" s="88" t="str">
        <f t="shared" si="67"/>
        <v>"%USERPROFILE%\Documents\GitHub\eaglep3\Utilities\RefineRTDCRunTimes.py" --tripid 306-17 --locoid 4039 --swversion DE.1.0.8.0 --startMP 300:22352 --initTime 2017-01-17T03:54:10 --startdatetime 2017-01-17T03:59:29 --delay 5 --endMP 204:154 --enddatetime 2017-01-17T04:08:30 --enforcementcount 0 &gt;&gt;C:\Users\stu\Documents\GitHub\eaglep3-reporting\EC\2017-01-17-refined-times.txt</v>
      </c>
      <c r="AI208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{"issue":{"subject":"","project_id":79,"tracker_id":40,"status_id":1,"priority_id":2,"assigned_to_id":23,"start_date":"2017-01-17","description":"","custom_fields":[{"id":1,"name":"Subdivision","value":"Other"},{"id":4,"name":"Milepost","value":"0.0154"},{"id":17,"name":"Train ID","value":"306-17"},{"id":16,"name":"Locomotive ID","value":"4039"},{"id":130,"name":"Impact","value":""},{"id":150,"name":"Time of Event (Mountain Time)","value":"04:08:30"},{"id":151,"name":"Denver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69"/>
        <v>start /low /b %USERPROFILE%\Documents\GitHub\eaglep3\Utilities\DownloadLogsFromS3.py --loco 4039 --day 2017-01-17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"%USERPROFILE%\AppData\Local\Temp\OnboardLogs"\RTDC4039\*4039*20170117* | grep -SE "(Enforcement Action)|(\[TIMEOUT)|(CHR.+\|PRM\|1\|D.+(SWITCH|SIGNAL).+UNKNOWN)" - &gt;&gt; 2017-01-17-UncaughtWiMAX.txt</v>
      </c>
    </row>
    <row r="209" spans="1:91" x14ac:dyDescent="0.25">
      <c r="A209" s="34" t="s">
        <v>666</v>
      </c>
      <c r="B209" s="7">
        <v>4007</v>
      </c>
      <c r="C209" s="22" t="s">
        <v>201</v>
      </c>
      <c r="D209" s="22" t="s">
        <v>755</v>
      </c>
      <c r="E209" s="13">
        <v>42752.819143518522</v>
      </c>
      <c r="F209" s="13">
        <v>42752.821226851855</v>
      </c>
      <c r="G209" s="7">
        <v>2</v>
      </c>
      <c r="H209" s="22" t="s">
        <v>363</v>
      </c>
      <c r="I209" s="13">
        <v>42752.826909722222</v>
      </c>
      <c r="J209" s="7">
        <v>0</v>
      </c>
      <c r="K209" s="105" t="str">
        <f t="shared" si="112"/>
        <v>4007/4008</v>
      </c>
      <c r="L209" s="22" t="str">
        <f>VLOOKUP(A209,'Trips&amp;Operators'!$C$1:$G$99999,5,FALSE)</f>
        <v>SWANSON BRYCE</v>
      </c>
      <c r="M209" s="6">
        <f t="shared" si="113"/>
        <v>5.6828703673090786E-3</v>
      </c>
      <c r="N209" s="7">
        <f t="shared" si="114"/>
        <v>8.1833333289250731</v>
      </c>
      <c r="O209" s="7"/>
      <c r="P209" s="7"/>
      <c r="Q209" s="23"/>
      <c r="R209" s="23"/>
      <c r="S209" s="32">
        <f t="shared" si="115"/>
        <v>1</v>
      </c>
      <c r="T209" s="47" t="str">
        <f t="shared" si="116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124"/>
        <v>https://d0f6bd738d7f1b3e5a7ca70fe4ff75f0.us-east-1.aws.found.io/app/kibana#/discover/Steve-Slow-Train-Analysis-(2080s-and-2083s)?_g=(refreshInterval:(display:Off,pause:!f,section:0,value:0),time:(from:'2017-01-17T18:39:34-0700',mode:absolute,to:'2017-01-17T20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49" t="str">
        <f t="shared" si="117"/>
        <v>Y</v>
      </c>
      <c r="X209" s="173">
        <f t="shared" si="123"/>
        <v>1</v>
      </c>
      <c r="Y209" s="64">
        <f t="shared" si="118"/>
        <v>5.3999999999999999E-2</v>
      </c>
      <c r="Z209" s="64">
        <f t="shared" si="119"/>
        <v>2.3346</v>
      </c>
      <c r="AA209" s="64">
        <f t="shared" si="120"/>
        <v>2.2806000000000002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121"/>
        <v>0307-17</v>
      </c>
      <c r="AE209" s="87" t="str">
        <f t="shared" si="125"/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AF209" s="84" t="str">
        <f t="shared" si="126"/>
        <v>"C:\Program Files (x86)\AstroGrep\AstroGrep.exe" /spath="%USERPROFILE%\AppData\Local\Temp\OnboardLogs" /stypes="app*4007*20170118*" /stext=" 02:.+((SYSTEM_STATE.+slice.+state.+changed )|(ment ac)|(multiple cpu faults)|(system.+state.+changed )|(\[timeout)|(PRM\|1\|D)|(kpr)|(kdp)|(\|lc)|(penalty))" /e /r /s</v>
      </c>
      <c r="AG209" s="1" t="str">
        <f t="shared" si="122"/>
        <v>Other</v>
      </c>
      <c r="AH209" s="88" t="str">
        <f t="shared" si="67"/>
        <v>"%USERPROFILE%\Documents\GitHub\eaglep3\Utilities\RefineRTDCRunTimes.py" --tripid 307-17 --locoid 4007 --swversion DE.1.0.8.0 --startMP 204:540 --initTime 2017-01-17T19:39:34 --startdatetime 2017-01-17T19:42:34 --delay 2 --endMP 300:23346 --enddatetime 2017-01-17T19:50:45 --enforcementcount 0 &gt;&gt;C:\Users\stu\Documents\GitHub\eaglep3-reporting\EC\2017-01-17-refined-times.txt</v>
      </c>
      <c r="AI209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{"issue":{"subject":"","project_id":79,"tracker_id":40,"status_id":1,"priority_id":2,"assigned_to_id":23,"start_date":"2017-01-17","description":"","custom_fields":[{"id":1,"name":"Subdivision","value":"Other"},{"id":4,"name":"Milepost","value":"2.3346"},{"id":17,"name":"Train ID","value":"307-17"},{"id":16,"name":"Locomotive ID","value":"4007"},{"id":130,"name":"Impact","value":""},{"id":150,"name":"Time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69"/>
        <v>start /low /b %USERPROFILE%\Documents\GitHub\eaglep3\Utilities\DownloadLogsFromS3.py --loco 4007 --day 2017-01-17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"%USERPROFILE%\AppData\Local\Temp\OnboardLogs"\RTDC4007\*4007*20170118* | grep -SE "(Enforcement Action)|(\[TIMEOUT)|(CHR.+\|PRM\|1\|D.+(SWITCH|SIGNAL).+UNKNOWN)" - &gt;&gt; 2017-01-17-UncaughtWiMAX.txt</v>
      </c>
    </row>
    <row r="210" spans="1:91" x14ac:dyDescent="0.25">
      <c r="A210" s="34" t="s">
        <v>502</v>
      </c>
      <c r="B210" s="7">
        <v>4032</v>
      </c>
      <c r="C210" s="22" t="s">
        <v>201</v>
      </c>
      <c r="D210" s="22" t="s">
        <v>756</v>
      </c>
      <c r="E210" s="13">
        <v>42752.171469907407</v>
      </c>
      <c r="F210" s="13">
        <v>42752.173425925925</v>
      </c>
      <c r="G210" s="7">
        <v>1</v>
      </c>
      <c r="H210" s="22" t="s">
        <v>236</v>
      </c>
      <c r="I210" s="13">
        <v>42752.18041666667</v>
      </c>
      <c r="J210" s="7">
        <v>0</v>
      </c>
      <c r="K210" s="105" t="str">
        <f t="shared" si="112"/>
        <v>4031/4032</v>
      </c>
      <c r="L210" s="22" t="str">
        <f>VLOOKUP(A210,'Trips&amp;Operators'!$C$1:$G$99999,5,FALSE)</f>
        <v>DUNCAN SHEILA</v>
      </c>
      <c r="M210" s="6">
        <f t="shared" si="113"/>
        <v>6.9907407450955361E-3</v>
      </c>
      <c r="N210" s="7">
        <f t="shared" si="114"/>
        <v>10.066666672937572</v>
      </c>
      <c r="O210" s="7"/>
      <c r="P210" s="7"/>
      <c r="Q210" s="23"/>
      <c r="R210" s="23"/>
      <c r="S210" s="32">
        <f t="shared" si="115"/>
        <v>1</v>
      </c>
      <c r="T210" s="47" t="str">
        <f t="shared" si="116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124"/>
        <v>https://d0f6bd738d7f1b3e5a7ca70fe4ff75f0.us-east-1.aws.found.io/app/kibana#/discover/Steve-Slow-Train-Analysis-(2080s-and-2083s)?_g=(refreshInterval:(display:Off,pause:!f,section:0,value:0),time:(from:'2017-01-17T03:06:55-0700',mode:absolute,to:'2017-01-17T05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49" t="str">
        <f t="shared" si="117"/>
        <v>Y</v>
      </c>
      <c r="X210" s="173">
        <f t="shared" si="123"/>
        <v>1</v>
      </c>
      <c r="Y210" s="64">
        <f t="shared" si="118"/>
        <v>2.2181000000000002</v>
      </c>
      <c r="Z210" s="64">
        <f t="shared" si="119"/>
        <v>1.47E-2</v>
      </c>
      <c r="AA210" s="64">
        <f t="shared" si="120"/>
        <v>2.2034000000000002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121"/>
        <v>0308-17</v>
      </c>
      <c r="AE210" s="87" t="str">
        <f t="shared" si="125"/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AF210" s="84" t="str">
        <f t="shared" si="126"/>
        <v>"C:\Program Files (x86)\AstroGrep\AstroGrep.exe" /spath="%USERPROFILE%\AppData\Local\Temp\OnboardLogs" /stypes="app*4032*20170117*" /stext=" 11:.+((SYSTEM_STATE.+slice.+state.+changed )|(ment ac)|(multiple cpu faults)|(system.+state.+changed )|(\[timeout)|(PRM\|1\|D)|(kpr)|(kdp)|(\|lc)|(penalty))" /e /r /s</v>
      </c>
      <c r="AG210" s="1" t="str">
        <f t="shared" si="122"/>
        <v>Other</v>
      </c>
      <c r="AH210" s="88" t="str">
        <f t="shared" si="67"/>
        <v>"%USERPROFILE%\Documents\GitHub\eaglep3\Utilities\RefineRTDCRunTimes.py" --tripid 308-17 --locoid 4032 --swversion DE.1.0.8.0 --startMP 300:22181 --initTime 2017-01-17T04:06:55 --startdatetime 2017-01-17T04:09:44 --delay 1 --endMP 204:147 --enddatetime 2017-01-17T04:19:48 --enforcementcount 0 &gt;&gt;C:\Users\stu\Documents\GitHub\eaglep3-reporting\EC\2017-01-17-refined-times.txt</v>
      </c>
      <c r="AI210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{"issue":{"subject":"","project_id":79,"tracker_id":40,"status_id":1,"priority_id":2,"assigned_to_id":23,"start_date":"2017-01-17","description":"","custom_fields":[{"id":1,"name":"Subdivision","value":"Other"},{"id":4,"name":"Milepost","value":"0.0147"},{"id":17,"name":"Train ID","value":"308-17"},{"id":16,"name":"Locomotive ID","value":"4032"},{"id":130,"name":"Impact","value":""},{"id":150,"name":"Time of Event (Mountain Time)","value":"04:19:48"},{"id":151,"name":"Denver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69"/>
        <v>start /low /b %USERPROFILE%\Documents\GitHub\eaglep3\Utilities\DownloadLogsFromS3.py --loco 4032 --day 2017-01-17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"%USERPROFILE%\AppData\Local\Temp\OnboardLogs"\RTDC4032\*4032*20170117* | grep -SE "(Enforcement Action)|(\[TIMEOUT)|(CHR.+\|PRM\|1\|D.+(SWITCH|SIGNAL).+UNKNOWN)" - &gt;&gt; 2017-01-17-UncaughtWiMAX.txt</v>
      </c>
    </row>
    <row r="211" spans="1:91" s="21" customFormat="1" x14ac:dyDescent="0.25">
      <c r="A211" s="34" t="s">
        <v>504</v>
      </c>
      <c r="B211" s="7">
        <v>4041</v>
      </c>
      <c r="C211" s="22" t="s">
        <v>201</v>
      </c>
      <c r="D211" s="22" t="s">
        <v>757</v>
      </c>
      <c r="E211" s="13">
        <v>42752.177511574075</v>
      </c>
      <c r="F211" s="13">
        <v>42752.181979166664</v>
      </c>
      <c r="G211" s="7">
        <v>6</v>
      </c>
      <c r="H211" s="22" t="s">
        <v>419</v>
      </c>
      <c r="I211" s="13">
        <v>42752.191342592596</v>
      </c>
      <c r="J211" s="7">
        <v>0</v>
      </c>
      <c r="K211" s="105" t="str">
        <f t="shared" si="112"/>
        <v>4041/4042</v>
      </c>
      <c r="L211" s="22" t="str">
        <f>VLOOKUP(A211,'Trips&amp;Operators'!$C$1:$G$99999,5,FALSE)</f>
        <v>COOLAHAN JOHN</v>
      </c>
      <c r="M211" s="6">
        <f t="shared" si="113"/>
        <v>9.3634259319514968E-3</v>
      </c>
      <c r="N211" s="7">
        <f t="shared" si="114"/>
        <v>13.483333342010155</v>
      </c>
      <c r="O211" s="7"/>
      <c r="P211" s="7"/>
      <c r="Q211" s="23"/>
      <c r="R211" s="23"/>
      <c r="S211" s="32">
        <f t="shared" si="115"/>
        <v>1</v>
      </c>
      <c r="T211" s="47" t="str">
        <f t="shared" si="116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124"/>
        <v>https://d0f6bd738d7f1b3e5a7ca70fe4ff75f0.us-east-1.aws.found.io/app/kibana#/discover/Steve-Slow-Train-Analysis-(2080s-and-2083s)?_g=(refreshInterval:(display:Off,pause:!f,section:0,value:0),time:(from:'2017-01-17T03:15:37-0700',mode:absolute,to:'2017-01-17T05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49" t="str">
        <f t="shared" si="117"/>
        <v>Y</v>
      </c>
      <c r="X211" s="173">
        <f t="shared" si="123"/>
        <v>2</v>
      </c>
      <c r="Y211" s="64">
        <f t="shared" si="118"/>
        <v>1.9235</v>
      </c>
      <c r="Z211" s="64">
        <f t="shared" si="119"/>
        <v>1.61E-2</v>
      </c>
      <c r="AA211" s="64">
        <f t="shared" si="120"/>
        <v>1.9074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121"/>
        <v>0310-17</v>
      </c>
      <c r="AE211" s="87" t="str">
        <f t="shared" si="125"/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AF211" s="84" t="str">
        <f t="shared" si="126"/>
        <v>"C:\Program Files (x86)\AstroGrep\AstroGrep.exe" /spath="%USERPROFILE%\AppData\Local\Temp\OnboardLogs" /stypes="app*4041*20170117*" /stext=" 11:.+((SYSTEM_STATE.+slice.+state.+changed )|(ment ac)|(multiple cpu faults)|(system.+state.+changed )|(\[timeout)|(PRM\|1\|D)|(kpr)|(kdp)|(\|lc)|(penalty))" /e /r /s</v>
      </c>
      <c r="AG211" s="1" t="str">
        <f t="shared" si="122"/>
        <v>Other</v>
      </c>
      <c r="AH211" s="88" t="str">
        <f t="shared" si="67"/>
        <v>"%USERPROFILE%\Documents\GitHub\eaglep3\Utilities\RefineRTDCRunTimes.py" --tripid 310-17 --locoid 4041 --swversion DE.1.0.8.0 --startMP 300:19235 --initTime 2017-01-17T04:15:37 --startdatetime 2017-01-17T04:22:03 --delay 6 --endMP 204:161 --enddatetime 2017-01-17T04:35:32 --enforcementcount 0 &gt;&gt;C:\Users\stu\Documents\GitHub\eaglep3-reporting\EC\2017-01-17-refined-times.txt</v>
      </c>
      <c r="AI211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{"issue":{"subject":"","project_id":79,"tracker_id":40,"status_id":1,"priority_id":2,"assigned_to_id":23,"start_date":"2017-01-17","description":"","custom_fields":[{"id":1,"name":"Subdivision","value":"Other"},{"id":4,"name":"Milepost","value":"0.0161"},{"id":17,"name":"Train ID","value":"310-17"},{"id":16,"name":"Locomotive ID","value":"4041"},{"id":130,"name":"Impact","value":""},{"id":150,"name":"Time of Event (Mountain Time)","value":"04:35:32"},{"id":151,"name":"Denver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69"/>
        <v>start /low /b %USERPROFILE%\Documents\GitHub\eaglep3\Utilities\DownloadLogsFromS3.py --loco 4041 --day 2017-01-17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"%USERPROFILE%\AppData\Local\Temp\OnboardLogs"\RTDC4041\*4041*20170117* | grep -SE "(Enforcement Action)|(\[TIMEOUT)|(CHR.+\|PRM\|1\|D.+(SWITCH|SIGNAL).+UNKNOWN)" - &gt;&gt; 2017-01-17-UncaughtWiMAX.txt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394</v>
      </c>
      <c r="B212" s="7">
        <v>4046</v>
      </c>
      <c r="C212" s="22" t="s">
        <v>201</v>
      </c>
      <c r="D212" s="22" t="s">
        <v>423</v>
      </c>
      <c r="E212" s="13">
        <v>42752.091504629629</v>
      </c>
      <c r="F212" s="13">
        <v>25568.708333333332</v>
      </c>
      <c r="G212" s="7">
        <v>1</v>
      </c>
      <c r="H212" s="22" t="s">
        <v>424</v>
      </c>
      <c r="I212" s="13">
        <v>25568.708333333332</v>
      </c>
      <c r="J212" s="7">
        <v>0</v>
      </c>
      <c r="K212" s="105" t="str">
        <f t="shared" si="112"/>
        <v>4045/4046</v>
      </c>
      <c r="L212" s="22" t="str">
        <f>VLOOKUP(A212,'Trips&amp;Operators'!$C$1:$G$99999,5,FALSE)</f>
        <v>STORY SAMANTHA</v>
      </c>
      <c r="M212" s="6">
        <f t="shared" si="113"/>
        <v>0</v>
      </c>
      <c r="N212" s="7">
        <f t="shared" si="114"/>
        <v>0</v>
      </c>
      <c r="O212" s="7"/>
      <c r="P212" s="7"/>
      <c r="Q212" s="23"/>
      <c r="R212" s="23"/>
      <c r="S212" s="32">
        <f t="shared" si="115"/>
        <v>1</v>
      </c>
      <c r="T212" s="47" t="str">
        <f t="shared" si="116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124"/>
        <v>https://d0f6bd738d7f1b3e5a7ca70fe4ff75f0.us-east-1.aws.found.io/app/kibana#/discover/Steve-Slow-Train-Analysis-(2080s-and-2083s)?_g=(refreshInterval:(display:Off,pause:!f,section:0,value:0),time:(from:'2017-01-17T01:11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49" t="str">
        <f t="shared" si="117"/>
        <v>Y</v>
      </c>
      <c r="X212" s="173">
        <f t="shared" si="123"/>
        <v>5</v>
      </c>
      <c r="Y212" s="64">
        <f t="shared" si="118"/>
        <v>5.04E-2</v>
      </c>
      <c r="Z212" s="64">
        <f t="shared" si="119"/>
        <v>2.3311999999999999</v>
      </c>
      <c r="AA212" s="64">
        <f t="shared" si="120"/>
        <v>2.2808000000000002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121"/>
        <v>0315-16</v>
      </c>
      <c r="AE212" s="87" t="str">
        <f t="shared" si="12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2" s="84" t="str">
        <f t="shared" si="126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2" s="1" t="str">
        <f t="shared" si="122"/>
        <v>Other</v>
      </c>
      <c r="AH212" s="88" t="str">
        <f t="shared" si="67"/>
        <v>"%USERPROFILE%\Documents\GitHub\eaglep3\Utilities\RefineRTDCRunTimes.py" --tripid 315-16 --locoid 4046 --swversion DE.1.0.8.0 --startMP 204:504 --initTime 2017-01-17T02:11:46 --startdatetime 1969-12-31T17:00:00 --delay 1 --endMP 300:23312 --enddatetime 1969-12-31T17:00:00 --enforcementcount 0 &gt;&gt;C:\Users\stu\Documents\GitHub\eaglep3-reporting\EC\2017-01-17-refined-times.txt</v>
      </c>
      <c r="AI212" s="115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ID","value":"315-16"},{"id":16,"name":"Locomotive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69"/>
        <v>start /low /b %USERPROFILE%\Documents\GitHub\eaglep3\Utilities\DownloadLogsFromS3.py --loco 4046 --day 1969-12-31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2017-01-17-UncaughtWiMAX.txt</v>
      </c>
    </row>
    <row r="213" spans="1:91" s="21" customFormat="1" x14ac:dyDescent="0.25">
      <c r="A213" s="34" t="s">
        <v>455</v>
      </c>
      <c r="B213" s="7">
        <v>4018</v>
      </c>
      <c r="C213" s="22" t="s">
        <v>201</v>
      </c>
      <c r="D213" s="22" t="s">
        <v>837</v>
      </c>
      <c r="E213" s="13">
        <v>42752.203148148146</v>
      </c>
      <c r="F213" s="13">
        <v>42752.204189814816</v>
      </c>
      <c r="G213" s="7">
        <v>1</v>
      </c>
      <c r="H213" s="22" t="s">
        <v>838</v>
      </c>
      <c r="I213" s="13">
        <v>42752.209224537037</v>
      </c>
      <c r="J213" s="7">
        <v>0</v>
      </c>
      <c r="K213" s="105" t="str">
        <f t="shared" si="112"/>
        <v>4017/4018</v>
      </c>
      <c r="L213" s="22" t="str">
        <f>VLOOKUP(A213,'Trips&amp;Operators'!$C$1:$G$99999,5,FALSE)</f>
        <v>YORK EDGAR</v>
      </c>
      <c r="M213" s="6">
        <f t="shared" si="113"/>
        <v>5.0347222204436548E-3</v>
      </c>
      <c r="N213" s="7">
        <f t="shared" si="114"/>
        <v>7.2499999974388629</v>
      </c>
      <c r="O213" s="7"/>
      <c r="P213" s="7"/>
      <c r="Q213" s="23"/>
      <c r="R213" s="23"/>
      <c r="S213" s="32">
        <f t="shared" si="115"/>
        <v>0</v>
      </c>
      <c r="T213" s="47" t="str">
        <f t="shared" si="116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124"/>
        <v>https://d0f6bd738d7f1b3e5a7ca70fe4ff75f0.us-east-1.aws.found.io/app/kibana#/discover/Steve-Slow-Train-Analysis-(2080s-and-2083s)?_g=(refreshInterval:(display:Off,pause:!f,section:0,value:0),time:(from:'2017-01-17T03:52:32-0700',mode:absolute,to:'2017-01-17T06:01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49" t="str">
        <f t="shared" si="117"/>
        <v>Y</v>
      </c>
      <c r="X213" s="173">
        <f t="shared" si="123"/>
        <v>586</v>
      </c>
      <c r="Y213" s="64">
        <f t="shared" si="118"/>
        <v>3.0255999999999998</v>
      </c>
      <c r="Z213" s="64">
        <f t="shared" si="119"/>
        <v>5.8939000000000004</v>
      </c>
      <c r="AA213" s="64">
        <f t="shared" si="120"/>
        <v>2.8683000000000005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121"/>
        <v>0901-17</v>
      </c>
      <c r="AE213" s="87" t="str">
        <f t="shared" si="125"/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AF213" s="84" t="str">
        <f t="shared" si="126"/>
        <v>"C:\Program Files (x86)\AstroGrep\AstroGrep.exe" /spath="%USERPROFILE%\AppData\Local\Temp\OnboardLogs" /stypes="app*4018*20170117*" /stext=" 12:.+((SYSTEM_STATE.+slice.+state.+changed )|(ment ac)|(multiple cpu faults)|(system.+state.+changed )|(\[timeout)|(PRM\|1\|D)|(kpr)|(kdp)|(\|lc)|(penalty))" /e /r /s</v>
      </c>
      <c r="AG213" s="1" t="str">
        <f t="shared" si="122"/>
        <v>Other</v>
      </c>
      <c r="AH213" s="88" t="str">
        <f t="shared" si="67"/>
        <v>"%USERPROFILE%\Documents\GitHub\eaglep3\Utilities\RefineRTDCRunTimes.py" --tripid 901-17 --locoid 4018 --swversion DE.1.0.8.0 --startMP 300:30256 --initTime 2017-01-17T04:52:32 --startdatetime 2017-01-17T04:54:02 --delay 1 --endMP 300:58939 --enddatetime 2017-01-17T05:01:17 --enforcementcount 0 &gt;&gt;C:\Users\stu\Documents\GitHub\eaglep3-reporting\EC\2017-01-17-refined-times.txt</v>
      </c>
      <c r="AI213" s="115" t="str">
        <f t="shared" si="68"/>
        <v>echo {"issue":{"subject":"","project_id":79,"tracker_id":40,"status_id":1,"priority_id":2,"assigned_to_id":23,"start_date":"2017-01-17","description":"","custom_fields":[{"id":1,"name":"Subdivision","value":"Other"},{"id":4,"name":"Milepost","value":"5.8939"},{"id":17,"name":"Train ID","value":"901-17"},{"id":16,"name":"Locomotive ID","value":"4018"},{"id":130,"name":"Impact","value":""},{"id":150,"name":"Time of Event (Mountain Time)","value":"05:01:17"},{"id":151,"name":"Denver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69"/>
        <v>start /low /b %USERPROFILE%\Documents\GitHub\eaglep3\Utilities\DownloadLogsFromS3.py --loco 4018 --day 2017-01-17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"%USERPROFILE%\AppData\Local\Temp\OnboardLogs"\RTDC4018\*4018*20170117* | grep -SE "(Enforcement Action)|(\[TIMEOUT)|(CHR.+\|PRM\|1\|D.+(SWITCH|SIGNAL).+UNKNOWN)" - &gt;&gt; 2017-01-17-UncaughtWiMAX.txt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4" t="s">
        <v>522</v>
      </c>
      <c r="B214" s="7">
        <v>4019</v>
      </c>
      <c r="C214" s="22" t="s">
        <v>201</v>
      </c>
      <c r="D214" s="22" t="s">
        <v>839</v>
      </c>
      <c r="E214" s="13">
        <v>42752.24417824074</v>
      </c>
      <c r="F214" s="13">
        <v>42752.246666666666</v>
      </c>
      <c r="G214" s="7">
        <v>3</v>
      </c>
      <c r="H214" s="22" t="s">
        <v>787</v>
      </c>
      <c r="I214" s="13">
        <v>42752.252812500003</v>
      </c>
      <c r="J214" s="7">
        <v>0</v>
      </c>
      <c r="K214" s="105" t="str">
        <f t="shared" si="112"/>
        <v>4019/4020</v>
      </c>
      <c r="L214" s="22" t="str">
        <f>VLOOKUP(A214,'Trips&amp;Operators'!$C$1:$G$99999,5,FALSE)</f>
        <v>BROWN JACOB</v>
      </c>
      <c r="M214" s="6">
        <f t="shared" si="113"/>
        <v>6.1458333366317675E-3</v>
      </c>
      <c r="N214" s="7">
        <f t="shared" si="114"/>
        <v>8.8500000047497451</v>
      </c>
      <c r="O214" s="7"/>
      <c r="P214" s="7"/>
      <c r="Q214" s="23"/>
      <c r="R214" s="23"/>
      <c r="S214" s="32">
        <f t="shared" si="115"/>
        <v>1</v>
      </c>
      <c r="T214" s="47" t="str">
        <f t="shared" si="116"/>
        <v>Southbound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124"/>
        <v>https://d0f6bd738d7f1b3e5a7ca70fe4ff75f0.us-east-1.aws.found.io/app/kibana#/discover/Steve-Slow-Train-Analysis-(2080s-and-2083s)?_g=(refreshInterval:(display:Off,pause:!f,section:0,value:0),time:(from:'2017-01-17T04:51:37-0700',mode:absolute,to:'2017-01-17T07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49" t="str">
        <f t="shared" si="117"/>
        <v>Y</v>
      </c>
      <c r="X214" s="173">
        <f t="shared" si="123"/>
        <v>1</v>
      </c>
      <c r="Y214" s="64">
        <f t="shared" si="118"/>
        <v>2.3317000000000001</v>
      </c>
      <c r="Z214" s="64">
        <f t="shared" si="119"/>
        <v>7.3400000000000007E-2</v>
      </c>
      <c r="AA214" s="64">
        <f t="shared" si="120"/>
        <v>2.2583000000000002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121"/>
        <v>0902-17</v>
      </c>
      <c r="AE214" s="87" t="str">
        <f t="shared" si="125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214" s="84" t="str">
        <f t="shared" si="126"/>
        <v>"C:\Program Files (x86)\AstroGrep\AstroGrep.exe" /spath="%USERPROFILE%\AppData\Local\Temp\OnboardLogs" /stypes="app*4019*20170117*" /stext=" 13:.+((SYSTEM_STATE.+slice.+state.+changed )|(ment ac)|(multiple cpu faults)|(system.+state.+changed )|(\[timeout)|(PRM\|1\|D)|(kpr)|(kdp)|(\|lc)|(penalty))" /e /r /s</v>
      </c>
      <c r="AG214" s="1" t="str">
        <f t="shared" si="122"/>
        <v>Other</v>
      </c>
      <c r="AH214" s="88" t="str">
        <f t="shared" ref="AH214:AH238" si="127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902-17 --locoid 4019 --swversion DE.1.0.8.0 --startMP 300:23317 --initTime 2017-01-17T05:51:37 --startdatetime 2017-01-17T05:55:12 --delay 3 --endMP 204:734 --enddatetime 2017-01-17T06:04:03 --enforcementcount 0 &gt;&gt;C:\Users\stu\Documents\GitHub\eaglep3-reporting\EC\2017-01-17-refined-times.txt</v>
      </c>
      <c r="AI214" s="115" t="str">
        <f t="shared" ref="AI214:AI238" si="128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{"issue":{"subject":"","project_id":79,"tracker_id":40,"status_id":1,"priority_id":2,"assigned_to_id":23,"start_date":"2017-01-17","description":"","custom_fields":[{"id":1,"name":"Subdivision","value":"Other"},{"id":4,"name":"Milepost","value":"0.0734"},{"id":17,"name":"Train ID","value":"902-17"},{"id":16,"name":"Locomotive ID","value":"4019"},{"id":130,"name":"Impact","value":""},{"id":150,"name":"Time of Event (Mountain Time)","value":"06:04:03"},{"id":151,"name":"Denver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ref="AM214:AM238" si="129">"start /low /b "&amp;dls3logs&amp;" --loco "&amp;B214&amp;" --day "&amp;TEXT(F214,"YYYY-MM-DD")</f>
        <v>start /low /b %USERPROFILE%\Documents\GitHub\eaglep3\Utilities\DownloadLogsFromS3.py --loco 4019 --day 2017-01-17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"%USERPROFILE%\AppData\Local\Temp\OnboardLogs"\RTDC4019\*4019*20170117* | grep -SE "(Enforcement Action)|(\[TIMEOUT)|(CHR.+\|PRM\|1\|D.+(SWITCH|SIGNAL).+UNKNOWN)" - &gt;&gt; 2017-01-17-UncaughtWiMAX.txt</v>
      </c>
    </row>
    <row r="215" spans="1:91" x14ac:dyDescent="0.25">
      <c r="A215" s="34" t="s">
        <v>553</v>
      </c>
      <c r="B215" s="7">
        <v>4018</v>
      </c>
      <c r="C215" s="22" t="s">
        <v>201</v>
      </c>
      <c r="D215" s="22" t="s">
        <v>840</v>
      </c>
      <c r="E215" s="13">
        <v>42752.351689814815</v>
      </c>
      <c r="F215" s="13">
        <v>25568.708333333332</v>
      </c>
      <c r="G215" s="7">
        <v>0</v>
      </c>
      <c r="H215" s="22" t="s">
        <v>841</v>
      </c>
      <c r="I215" s="13">
        <v>25568.708333333332</v>
      </c>
      <c r="J215" s="7">
        <v>0</v>
      </c>
      <c r="K215" s="105" t="str">
        <f t="shared" si="112"/>
        <v>4017/4018</v>
      </c>
      <c r="L215" s="22" t="str">
        <f>VLOOKUP(A215,'Trips&amp;Operators'!$C$1:$G$99999,5,FALSE)</f>
        <v>YORK EDGAR</v>
      </c>
      <c r="M215" s="6">
        <f t="shared" si="113"/>
        <v>0</v>
      </c>
      <c r="N215" s="7">
        <f t="shared" si="114"/>
        <v>0</v>
      </c>
      <c r="O215" s="7"/>
      <c r="P215" s="7"/>
      <c r="Q215" s="23"/>
      <c r="R215" s="23"/>
      <c r="S215" s="32">
        <f t="shared" si="115"/>
        <v>1</v>
      </c>
      <c r="T215" s="47" t="str">
        <f t="shared" si="116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124"/>
        <v>https://d0f6bd738d7f1b3e5a7ca70fe4ff75f0.us-east-1.aws.found.io/app/kibana#/discover/Steve-Slow-Train-Analysis-(2080s-and-2083s)?_g=(refreshInterval:(display:Off,pause:!f,section:0,value:0),time:(from:'2017-01-17T07:26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49" t="str">
        <f t="shared" si="117"/>
        <v>Y</v>
      </c>
      <c r="X215" s="173">
        <f t="shared" si="123"/>
        <v>1</v>
      </c>
      <c r="Y215" s="64">
        <f t="shared" si="118"/>
        <v>0.11210000000000001</v>
      </c>
      <c r="Z215" s="64">
        <f t="shared" si="119"/>
        <v>2.4201000000000001</v>
      </c>
      <c r="AA215" s="64">
        <f t="shared" si="120"/>
        <v>2.3080000000000003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121"/>
        <v>0903-17</v>
      </c>
      <c r="AE215" s="87" t="str">
        <f t="shared" si="12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5" s="84" t="str">
        <f t="shared" si="126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5" s="1" t="str">
        <f t="shared" si="122"/>
        <v>Other</v>
      </c>
      <c r="AH215" s="88" t="str">
        <f t="shared" si="127"/>
        <v>"%USERPROFILE%\Documents\GitHub\eaglep3\Utilities\RefineRTDCRunTimes.py" --tripid 903-17 --locoid 4018 --swversion DE.1.0.8.0 --startMP 204:1121 --initTime 2017-01-17T08:26:26 --startdatetime 1969-12-31T17:00:00 --delay 0 --endMP 300:24201 --enddatetime 1969-12-31T17:00:00 --enforcementcount 0 &gt;&gt;C:\Users\stu\Documents\GitHub\eaglep3-reporting\EC\2017-01-17-refined-times.txt</v>
      </c>
      <c r="AI215" s="115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{"issue":{"subject":"","project_id":79,"tracker_id":40,"status_id":1,"priority_id":2,"assigned_to_id":23,"start_date":"1969-12-31","description":"","custom_fields":[{"id":1,"name":"Subdivision","value":"Other"},{"id":4,"name":"Milepost","value":"2.4201"},{"id":17,"name":"Train ID","value":"903-17"},{"id":16,"name":"Locomotive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129"/>
        <v>start /low /b %USERPROFILE%\Documents\GitHub\eaglep3\Utilities\DownloadLogsFromS3.py --loco 4018 --day 1969-12-31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2017-01-17-UncaughtWiMAX.txt</v>
      </c>
    </row>
    <row r="216" spans="1:91" x14ac:dyDescent="0.25">
      <c r="A216" s="34" t="s">
        <v>662</v>
      </c>
      <c r="B216" s="7">
        <v>4017</v>
      </c>
      <c r="C216" s="22" t="s">
        <v>201</v>
      </c>
      <c r="D216" s="22" t="s">
        <v>804</v>
      </c>
      <c r="E216" s="13">
        <v>42752.797708333332</v>
      </c>
      <c r="F216" s="13">
        <v>25568.708333333332</v>
      </c>
      <c r="G216" s="7">
        <v>1</v>
      </c>
      <c r="H216" s="22" t="s">
        <v>842</v>
      </c>
      <c r="I216" s="13">
        <v>25568.708333333332</v>
      </c>
      <c r="J216" s="7">
        <v>0</v>
      </c>
      <c r="K216" s="105" t="str">
        <f t="shared" si="112"/>
        <v>4017/4018</v>
      </c>
      <c r="L216" s="22" t="str">
        <f>VLOOKUP(A216,'Trips&amp;Operators'!$C$1:$G$99999,5,FALSE)</f>
        <v>HILLS DUSTIN</v>
      </c>
      <c r="M216" s="6">
        <f t="shared" si="113"/>
        <v>0</v>
      </c>
      <c r="N216" s="7">
        <f t="shared" si="114"/>
        <v>0</v>
      </c>
      <c r="O216" s="7"/>
      <c r="P216" s="7"/>
      <c r="Q216" s="23"/>
      <c r="R216" s="23"/>
      <c r="S216" s="32">
        <f t="shared" si="115"/>
        <v>0</v>
      </c>
      <c r="T216" s="47" t="str">
        <f t="shared" si="116"/>
        <v>Southbound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124"/>
        <v>https://d0f6bd738d7f1b3e5a7ca70fe4ff75f0.us-east-1.aws.found.io/app/kibana#/discover/Steve-Slow-Train-Analysis-(2080s-and-2083s)?_g=(refreshInterval:(display:Off,pause:!f,section:0,value:0),time:(from:'2017-01-17T18:08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6" s="49" t="str">
        <f t="shared" si="117"/>
        <v>Y</v>
      </c>
      <c r="X216" s="173">
        <f t="shared" si="123"/>
        <v>3</v>
      </c>
      <c r="Y216" s="64">
        <f t="shared" si="118"/>
        <v>5.8648999999999996</v>
      </c>
      <c r="Z216" s="64">
        <f t="shared" si="119"/>
        <v>2.8761000000000001</v>
      </c>
      <c r="AA216" s="64">
        <f t="shared" si="120"/>
        <v>2.9887999999999995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121"/>
        <v>0906-17</v>
      </c>
      <c r="AE216" s="87" t="str">
        <f t="shared" si="125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16" s="84" t="str">
        <f t="shared" si="126"/>
        <v>"C:\Program Files (x86)\AstroGrep\AstroGrep.exe" /spath="%USERPROFILE%\AppData\Local\Temp\OnboardLogs" /stypes="app*4017*19700101*" /stext=" 00:.+((SYSTEM_STATE.+slice.+state.+changed )|(ment ac)|(multiple cpu faults)|(system.+state.+changed )|(\[timeout)|(PRM\|1\|D)|(kpr)|(kdp)|(\|lc)|(penalty))" /e /r /s</v>
      </c>
      <c r="AG216" s="1" t="str">
        <f t="shared" si="122"/>
        <v>Other</v>
      </c>
      <c r="AH216" s="88" t="str">
        <f t="shared" si="127"/>
        <v>"%USERPROFILE%\Documents\GitHub\eaglep3\Utilities\RefineRTDCRunTimes.py" --tripid 906-17 --locoid 4017 --swversion DE.1.0.8.0 --startMP 300:58649 --initTime 2017-01-17T19:08:42 --startdatetime 1969-12-31T17:00:00 --delay 1 --endMP 300:28761 --enddatetime 1969-12-31T17:00:00 --enforcementcount 0 &gt;&gt;C:\Users\stu\Documents\GitHub\eaglep3-reporting\EC\2017-01-17-refined-times.txt</v>
      </c>
      <c r="AI216" s="115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{"issue":{"subject":"","project_id":79,"tracker_id":40,"status_id":1,"priority_id":2,"assigned_to_id":23,"start_date":"1969-12-31","description":"","custom_fields":[{"id":1,"name":"Subdivision","value":"Other"},{"id":4,"name":"Milepost","value":"2.8761"},{"id":17,"name":"Train ID","value":"906-17"},{"id":16,"name":"Locomotive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129"/>
        <v>start /low /b %USERPROFILE%\Documents\GitHub\eaglep3\Utilities\DownloadLogsFromS3.py --loco 4017 --day 1969-12-31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"%USERPROFILE%\AppData\Local\Temp\OnboardLogs"\RTDC4017\*4017*19700101* | grep -SE "(Enforcement Action)|(\[TIMEOUT)|(CHR.+\|PRM\|1\|D.+(SWITCH|SIGNAL).+UNKNOWN)" - &gt;&gt; 2017-01-17-UncaughtWiMAX.txt</v>
      </c>
    </row>
    <row r="217" spans="1:91" s="21" customFormat="1" x14ac:dyDescent="0.25">
      <c r="A217" s="34" t="s">
        <v>676</v>
      </c>
      <c r="B217" s="7">
        <v>4019</v>
      </c>
      <c r="C217" s="22" t="s">
        <v>201</v>
      </c>
      <c r="D217" s="22" t="s">
        <v>428</v>
      </c>
      <c r="E217" s="13">
        <v>42752.944363425922</v>
      </c>
      <c r="F217" s="13">
        <v>42752.94630787037</v>
      </c>
      <c r="G217" s="7">
        <v>1</v>
      </c>
      <c r="H217" s="22" t="s">
        <v>843</v>
      </c>
      <c r="I217" s="13">
        <v>42752.951828703706</v>
      </c>
      <c r="J217" s="7">
        <v>0</v>
      </c>
      <c r="K217" s="105" t="str">
        <f t="shared" si="112"/>
        <v>4019/4020</v>
      </c>
      <c r="L217" s="22" t="str">
        <f>VLOOKUP(A217,'Trips&amp;Operators'!$C$1:$G$99999,5,FALSE)</f>
        <v>HILLS DUSTIN</v>
      </c>
      <c r="M217" s="6">
        <f t="shared" si="113"/>
        <v>5.5208333360496908E-3</v>
      </c>
      <c r="N217" s="7">
        <f t="shared" si="114"/>
        <v>7.9500000039115548</v>
      </c>
      <c r="O217" s="7"/>
      <c r="P217" s="7"/>
      <c r="Q217" s="23"/>
      <c r="R217" s="23"/>
      <c r="S217" s="32">
        <f t="shared" si="115"/>
        <v>0</v>
      </c>
      <c r="T217" s="47" t="str">
        <f t="shared" si="116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24"/>
        <v>https://d0f6bd738d7f1b3e5a7ca70fe4ff75f0.us-east-1.aws.found.io/app/kibana#/discover/Steve-Slow-Train-Analysis-(2080s-and-2083s)?_g=(refreshInterval:(display:Off,pause:!f,section:0,value:0),time:(from:'2017-01-17T21:39:53-0700',mode:absolute,to:'2017-01-17T23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49" t="str">
        <f t="shared" si="117"/>
        <v>Y</v>
      </c>
      <c r="X217" s="173">
        <f t="shared" si="123"/>
        <v>2</v>
      </c>
      <c r="Y217" s="64">
        <f t="shared" si="118"/>
        <v>5.8611000000000004</v>
      </c>
      <c r="Z217" s="64">
        <f t="shared" si="119"/>
        <v>2.1436999999999999</v>
      </c>
      <c r="AA217" s="64">
        <f t="shared" si="120"/>
        <v>3.7174000000000005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121"/>
        <v>0908-17</v>
      </c>
      <c r="AE217" s="87" t="str">
        <f t="shared" si="125"/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AF217" s="84" t="str">
        <f t="shared" si="126"/>
        <v>"C:\Program Files (x86)\AstroGrep\AstroGrep.exe" /spath="%USERPROFILE%\AppData\Local\Temp\OnboardLogs" /stypes="app*4019*20170118*" /stext=" 05:.+((SYSTEM_STATE.+slice.+state.+changed )|(ment ac)|(multiple cpu faults)|(system.+state.+changed )|(\[timeout)|(PRM\|1\|D)|(kpr)|(kdp)|(\|lc)|(penalty))" /e /r /s</v>
      </c>
      <c r="AG217" s="1" t="str">
        <f t="shared" si="122"/>
        <v>Other</v>
      </c>
      <c r="AH217" s="88" t="str">
        <f t="shared" si="127"/>
        <v>"%USERPROFILE%\Documents\GitHub\eaglep3\Utilities\RefineRTDCRunTimes.py" --tripid 908-17 --locoid 4019 --swversion DE.1.0.8.0 --startMP 300:58611 --initTime 2017-01-17T22:39:53 --startdatetime 2017-01-17T22:42:41 --delay 1 --endMP 300:21437 --enddatetime 2017-01-17T22:50:38 --enforcementcount 0 &gt;&gt;C:\Users\stu\Documents\GitHub\eaglep3-reporting\EC\2017-01-17-refined-times.txt</v>
      </c>
      <c r="AI217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{"issue":{"subject":"","project_id":79,"tracker_id":40,"status_id":1,"priority_id":2,"assigned_to_id":23,"start_date":"2017-01-17","description":"","custom_fields":[{"id":1,"name":"Subdivision","value":"Other"},{"id":4,"name":"Milepost","value":"2.1437"},{"id":17,"name":"Train ID","value":"908-17"},{"id":16,"name":"Locomotive ID","value":"4019"},{"id":130,"name":"Impact","value":""},{"id":150,"name":"Time of Event (Mountain Time)","value":"22:50:38"},{"id":151,"name":"Denver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129"/>
        <v>start /low /b %USERPROFILE%\Documents\GitHub\eaglep3\Utilities\DownloadLogsFromS3.py --loco 4019 --day 2017-01-17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"%USERPROFILE%\AppData\Local\Temp\OnboardLogs"\RTDC4019\*4019*20170118* | grep -SE "(Enforcement Action)|(\[TIMEOUT)|(CHR.+\|PRM\|1\|D.+(SWITCH|SIGNAL).+UNKNOWN)" - &gt;&gt; 2017-01-17-UncaughtWiMAX.txt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571</v>
      </c>
      <c r="B218" s="7">
        <v>4037</v>
      </c>
      <c r="C218" s="22" t="s">
        <v>201</v>
      </c>
      <c r="D218" s="22" t="s">
        <v>425</v>
      </c>
      <c r="E218" s="13">
        <v>42752.435104166667</v>
      </c>
      <c r="F218" s="13">
        <v>42752.436296296299</v>
      </c>
      <c r="G218" s="7">
        <v>1</v>
      </c>
      <c r="H218" s="22" t="s">
        <v>758</v>
      </c>
      <c r="I218" s="13">
        <v>42752.442361111112</v>
      </c>
      <c r="J218" s="7">
        <v>0</v>
      </c>
      <c r="K218" s="105" t="str">
        <f t="shared" si="112"/>
        <v>4037/4038</v>
      </c>
      <c r="L218" s="22" t="str">
        <f>VLOOKUP(A218,'Trips&amp;Operators'!$C$1:$G$99999,5,FALSE)</f>
        <v>DE LA ROSA ALEX</v>
      </c>
      <c r="M218" s="6">
        <f t="shared" si="113"/>
        <v>6.064814813726116E-3</v>
      </c>
      <c r="N218" s="7">
        <f t="shared" si="114"/>
        <v>8.733333331765607</v>
      </c>
      <c r="O218" s="7"/>
      <c r="P218" s="7"/>
      <c r="Q218" s="23"/>
      <c r="R218" s="23"/>
      <c r="S218" s="32">
        <f t="shared" si="115"/>
        <v>0</v>
      </c>
      <c r="T218" s="47" t="e">
        <f t="shared" si="116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24"/>
        <v>https://d0f6bd738d7f1b3e5a7ca70fe4ff75f0.us-east-1.aws.found.io/app/kibana#/discover/Steve-Slow-Train-Analysis-(2080s-and-2083s)?_g=(refreshInterval:(display:Off,pause:!f,section:0,value:0),time:(from:'2017-01-17T09:26:33-0700',mode:absolute,to:'2017-01-17T11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8" s="49" t="str">
        <f t="shared" si="117"/>
        <v>Y</v>
      </c>
      <c r="X218" s="173" t="e">
        <f t="shared" si="123"/>
        <v>#VALUE!</v>
      </c>
      <c r="Y218" s="64">
        <f t="shared" si="118"/>
        <v>2.1886000000000001</v>
      </c>
      <c r="Z218" s="64">
        <f t="shared" si="119"/>
        <v>8.6499999999999994E-2</v>
      </c>
      <c r="AA218" s="64">
        <f t="shared" si="120"/>
        <v>2.1021000000000001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121"/>
        <v>50-17</v>
      </c>
      <c r="AE218" s="87" t="str">
        <f t="shared" si="125"/>
        <v>aws s3 cp s3://rtdc.mdm.uploadarchive.raw/RTDC4037/ "%USERPROFILE%\AppData\Local\Temp\OnboardLogs"\RTDC4037\2017-01-17 --exclude "*" --recursive --include "*20170117*" &amp; "%USERPROFILE%\Documents\GitHub\mrs-test-scripts\Headless Mode &amp; Sideloading\WalkAndUnGZ.bat" "%USERPROFILE%\AppData\Local\Temp\OnboardLogs"\RTDC4037\2017-01-17 &amp; aws s3 cp s3://rtdc.mdm.uploadarchive.raw/RTDC4037/ "%USERPROFILE%\AppData\Local\Temp\OnboardLogs"\RTDC4037\2017-01-18 --exclude "*" --recursive --include "*20170118*" &amp; "%USERPROFILE%\Documents\GitHub\mrs-test-scripts\Headless Mode &amp; Sideloading\WalkAndUnGZ.bat" "%USERPROFILE%\AppData\Local\Temp\OnboardLogs"\RTDC4037\2017-01-18</v>
      </c>
      <c r="AF218" s="84" t="str">
        <f t="shared" si="126"/>
        <v>"C:\Program Files (x86)\AstroGrep\AstroGrep.exe" /spath="%USERPROFILE%\AppData\Local\Temp\OnboardLogs" /stypes="app*4037*20170117*" /stext=" 17:.+((SYSTEM_STATE.+slice.+state.+changed )|(ment ac)|(multiple cpu faults)|(system.+state.+changed )|(\[timeout)|(PRM\|1\|D)|(kpr)|(kdp)|(\|lc)|(penalty))" /e /r /s</v>
      </c>
      <c r="AG218" s="1" t="str">
        <f t="shared" si="122"/>
        <v>Other</v>
      </c>
      <c r="AH218" s="88" t="str">
        <f t="shared" si="127"/>
        <v>"%USERPROFILE%\Documents\GitHub\eaglep3\Utilities\RefineRTDCRunTimes.py" --tripid 50-17 --locoid 4037 --swversion DE.1.0.8.0 --startMP 300:21886 --initTime 2017-01-17T10:26:33 --startdatetime 2017-01-17T10:28:16 --delay 1 --endMP 204:865 --enddatetime 2017-01-17T10:37:00 --enforcementcount 0 &gt;&gt;C:\Users\stu\Documents\GitHub\eaglep3-reporting\EC\2017-01-17-refined-times.txt</v>
      </c>
      <c r="AI218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{"issue":{"subject":"","project_id":79,"tracker_id":40,"status_id":1,"priority_id":2,"assigned_to_id":23,"start_date":"2017-01-17","description":"","custom_fields":[{"id":1,"name":"Subdivision","value":"Other"},{"id":4,"name":"Milepost","value":"0.0865"},{"id":17,"name":"Train ID","value":"50-17"},{"id":16,"name":"Locomotive ID","value":"4037"},{"id":130,"name":"Impact","value":""},{"id":150,"name":"Time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129"/>
        <v>start /low /b %USERPROFILE%\Documents\GitHub\eaglep3\Utilities\DownloadLogsFromS3.py --loco 4037 --day 2017-01-17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"%USERPROFILE%\AppData\Local\Temp\OnboardLogs"\RTDC4037\*4037*20170117* | grep -SE "(Enforcement Action)|(\[TIMEOUT)|(CHR.+\|PRM\|1\|D.+(SWITCH|SIGNAL).+UNKNOWN)" - &gt;&gt; 2017-01-17-UncaughtWiMAX.txt</v>
      </c>
    </row>
    <row r="219" spans="1:91" s="21" customFormat="1" x14ac:dyDescent="0.25">
      <c r="A219" s="34" t="s">
        <v>581</v>
      </c>
      <c r="B219" s="7">
        <v>4038</v>
      </c>
      <c r="C219" s="22" t="s">
        <v>201</v>
      </c>
      <c r="D219" s="22" t="s">
        <v>426</v>
      </c>
      <c r="E219" s="13">
        <v>42752.466111111113</v>
      </c>
      <c r="F219" s="13">
        <v>42752.467534722222</v>
      </c>
      <c r="G219" s="7">
        <v>1</v>
      </c>
      <c r="H219" s="22" t="s">
        <v>759</v>
      </c>
      <c r="I219" s="13">
        <v>42752.474108796298</v>
      </c>
      <c r="J219" s="7">
        <v>0</v>
      </c>
      <c r="K219" s="105" t="str">
        <f t="shared" si="112"/>
        <v>4037/4038</v>
      </c>
      <c r="L219" s="22" t="str">
        <f>VLOOKUP(A219,'Trips&amp;Operators'!$C$1:$G$99999,5,FALSE)</f>
        <v>CUSHING HARRY</v>
      </c>
      <c r="M219" s="6">
        <f t="shared" si="113"/>
        <v>6.5740740756154992E-3</v>
      </c>
      <c r="N219" s="7">
        <f t="shared" si="114"/>
        <v>9.4666666688863188</v>
      </c>
      <c r="O219" s="7"/>
      <c r="P219" s="7"/>
      <c r="Q219" s="23"/>
      <c r="R219" s="23"/>
      <c r="S219" s="32">
        <f t="shared" si="115"/>
        <v>0</v>
      </c>
      <c r="T219" s="47" t="e">
        <f t="shared" si="116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24"/>
        <v>https://d0f6bd738d7f1b3e5a7ca70fe4ff75f0.us-east-1.aws.found.io/app/kibana#/discover/Steve-Slow-Train-Analysis-(2080s-and-2083s)?_g=(refreshInterval:(display:Off,pause:!f,section:0,value:0),time:(from:'2017-01-17T10:11:12-0700',mode:absolute,to:'2017-01-17T12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19" s="49" t="str">
        <f t="shared" si="117"/>
        <v>Y</v>
      </c>
      <c r="X219" s="173" t="e">
        <f t="shared" si="123"/>
        <v>#VALUE!</v>
      </c>
      <c r="Y219" s="64">
        <f t="shared" si="118"/>
        <v>0.1179</v>
      </c>
      <c r="Z219" s="64">
        <f t="shared" si="119"/>
        <v>2.4216000000000002</v>
      </c>
      <c r="AA219" s="64">
        <f t="shared" si="120"/>
        <v>2.3037000000000001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121"/>
        <v>51-17</v>
      </c>
      <c r="AE219" s="87" t="str">
        <f t="shared" si="125"/>
        <v>aws s3 cp s3://rtdc.mdm.uploadarchive.raw/RTDC4038/ "%USERPROFILE%\AppData\Local\Temp\OnboardLogs"\RTDC4038\2017-01-17 --exclude "*" --recursive --include "*20170117*" &amp; "%USERPROFILE%\Documents\GitHub\mrs-test-scripts\Headless Mode &amp; Sideloading\WalkAndUnGZ.bat" "%USERPROFILE%\AppData\Local\Temp\OnboardLogs"\RTDC4038\2017-01-17 &amp; aws s3 cp s3://rtdc.mdm.uploadarchive.raw/RTDC4038/ "%USERPROFILE%\AppData\Local\Temp\OnboardLogs"\RTDC4038\2017-01-18 --exclude "*" --recursive --include "*20170118*" &amp; "%USERPROFILE%\Documents\GitHub\mrs-test-scripts\Headless Mode &amp; Sideloading\WalkAndUnGZ.bat" "%USERPROFILE%\AppData\Local\Temp\OnboardLogs"\RTDC4038\2017-01-18</v>
      </c>
      <c r="AF219" s="84" t="str">
        <f t="shared" si="126"/>
        <v>"C:\Program Files (x86)\AstroGrep\AstroGrep.exe" /spath="%USERPROFILE%\AppData\Local\Temp\OnboardLogs" /stypes="app*4038*20170117*" /stext=" 18:.+((SYSTEM_STATE.+slice.+state.+changed )|(ment ac)|(multiple cpu faults)|(system.+state.+changed )|(\[timeout)|(PRM\|1\|D)|(kpr)|(kdp)|(\|lc)|(penalty))" /e /r /s</v>
      </c>
      <c r="AG219" s="1" t="str">
        <f t="shared" si="122"/>
        <v>Other</v>
      </c>
      <c r="AH219" s="88" t="str">
        <f t="shared" si="127"/>
        <v>"%USERPROFILE%\Documents\GitHub\eaglep3\Utilities\RefineRTDCRunTimes.py" --tripid 51-17 --locoid 4038 --swversion DE.1.0.8.0 --startMP 204:1179 --initTime 2017-01-17T11:11:12 --startdatetime 2017-01-17T11:13:15 --delay 1 --endMP 300:24216 --enddatetime 2017-01-17T11:22:43 --enforcementcount 0 &gt;&gt;C:\Users\stu\Documents\GitHub\eaglep3-reporting\EC\2017-01-17-refined-times.txt</v>
      </c>
      <c r="AI219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{"issue":{"subject":"","project_id":79,"tracker_id":40,"status_id":1,"priority_id":2,"assigned_to_id":23,"start_date":"2017-01-17","description":"","custom_fields":[{"id":1,"name":"Subdivision","value":"Other"},{"id":4,"name":"Milepost","value":"2.4216"},{"id":17,"name":"Train ID","value":"51-17"},{"id":16,"name":"Locomotive ID","value":"4038"},{"id":130,"name":"Impact","value":""},{"id":150,"name":"Time of Event (Mountain Time)","value":"11:22:43"},{"id":151,"name":"Denver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129"/>
        <v>start /low /b %USERPROFILE%\Documents\GitHub\eaglep3\Utilities\DownloadLogsFromS3.py --loco 4038 --day 2017-01-17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"%USERPROFILE%\AppData\Local\Temp\OnboardLogs"\RTDC4038\*4038*20170117* | grep -SE "(Enforcement Action)|(\[TIMEOUT)|(CHR.+\|PRM\|1\|D.+(SWITCH|SIGNAL).+UNKNOWN)" - &gt;&gt; 2017-01-17-UncaughtWiMAX.txt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4" t="s">
        <v>467</v>
      </c>
      <c r="B220" s="7">
        <v>4052</v>
      </c>
      <c r="C220" s="22" t="s">
        <v>201</v>
      </c>
      <c r="D220" s="22" t="s">
        <v>760</v>
      </c>
      <c r="E220" s="13">
        <v>42752.473912037036</v>
      </c>
      <c r="F220" s="13">
        <v>42752.481087962966</v>
      </c>
      <c r="G220" s="7">
        <v>9</v>
      </c>
      <c r="H220" s="22" t="s">
        <v>761</v>
      </c>
      <c r="I220" s="13">
        <v>42752.486550925925</v>
      </c>
      <c r="J220" s="7">
        <v>0</v>
      </c>
      <c r="K220" s="105" t="str">
        <f t="shared" si="112"/>
        <v>4051/4052</v>
      </c>
      <c r="L220" s="22" t="str">
        <f>VLOOKUP(A220,'Trips&amp;Operators'!$C$1:$G$99999,5,FALSE)</f>
        <v>ROMERO CHAD</v>
      </c>
      <c r="M220" s="6">
        <f t="shared" si="113"/>
        <v>5.4629629594273865E-3</v>
      </c>
      <c r="N220" s="7">
        <f t="shared" si="114"/>
        <v>7.8666666615754366</v>
      </c>
      <c r="O220" s="7"/>
      <c r="P220" s="7"/>
      <c r="Q220" s="23"/>
      <c r="R220" s="23"/>
      <c r="S220" s="32">
        <f t="shared" si="115"/>
        <v>0</v>
      </c>
      <c r="T220" s="47" t="e">
        <f t="shared" si="116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24"/>
        <v>https://d0f6bd738d7f1b3e5a7ca70fe4ff75f0.us-east-1.aws.found.io/app/kibana#/discover/Steve-Slow-Train-Analysis-(2080s-and-2083s)?_g=(refreshInterval:(display:Off,pause:!f,section:0,value:0),time:(from:'2017-01-17T10:22:26-0700',mode:absolute,to:'2017-01-17T12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0" s="49" t="str">
        <f t="shared" si="117"/>
        <v>Y</v>
      </c>
      <c r="X220" s="173" t="e">
        <f t="shared" si="123"/>
        <v>#VALUE!</v>
      </c>
      <c r="Y220" s="64">
        <f t="shared" si="118"/>
        <v>2.1747999999999998</v>
      </c>
      <c r="Z220" s="64">
        <f t="shared" si="119"/>
        <v>9.5799999999999996E-2</v>
      </c>
      <c r="AA220" s="64">
        <f t="shared" si="120"/>
        <v>2.0789999999999997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121"/>
        <v>52-17</v>
      </c>
      <c r="AE220" s="87" t="str">
        <f t="shared" si="125"/>
        <v>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 &amp; 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</v>
      </c>
      <c r="AF220" s="84" t="str">
        <f t="shared" si="126"/>
        <v>"C:\Program Files (x86)\AstroGrep\AstroGrep.exe" /spath="%USERPROFILE%\AppData\Local\Temp\OnboardLogs" /stypes="app*4052*20170117*" /stext=" 18:.+((SYSTEM_STATE.+slice.+state.+changed )|(ment ac)|(multiple cpu faults)|(system.+state.+changed )|(\[timeout)|(PRM\|1\|D)|(kpr)|(kdp)|(\|lc)|(penalty))" /e /r /s</v>
      </c>
      <c r="AG220" s="1" t="str">
        <f t="shared" si="122"/>
        <v>Other</v>
      </c>
      <c r="AH220" s="88" t="str">
        <f t="shared" si="127"/>
        <v>"%USERPROFILE%\Documents\GitHub\eaglep3\Utilities\RefineRTDCRunTimes.py" --tripid 52-17 --locoid 4052 --swversion DE.1.0.8.0 --startMP 300:21748 --initTime 2017-01-17T11:22:26 --startdatetime 2017-01-17T11:32:46 --delay 9 --endMP 204:958 --enddatetime 2017-01-17T11:40:38 --enforcementcount 0 &gt;&gt;C:\Users\stu\Documents\GitHub\eaglep3-reporting\EC\2017-01-17-refined-times.txt</v>
      </c>
      <c r="AI220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{"issue":{"subject":"","project_id":79,"tracker_id":40,"status_id":1,"priority_id":2,"assigned_to_id":23,"start_date":"2017-01-17","description":"","custom_fields":[{"id":1,"name":"Subdivision","value":"Other"},{"id":4,"name":"Milepost","value":"0.0958"},{"id":17,"name":"Train ID","value":"52-17"},{"id":16,"name":"Locomotive ID","value":"4052"},{"id":130,"name":"Impact","value":""},{"id":150,"name":"Time of Event (Mountain Time)","value":"11:40:38"},{"id":151,"name":"Denver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129"/>
        <v>start /low /b %USERPROFILE%\Documents\GitHub\eaglep3\Utilities\DownloadLogsFromS3.py --loco 4052 --day 2017-01-17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"%USERPROFILE%\AppData\Local\Temp\OnboardLogs"\RTDC4052\*4052*20170117* | grep -SE "(Enforcement Action)|(\[TIMEOUT)|(CHR.+\|PRM\|1\|D.+(SWITCH|SIGNAL).+UNKNOWN)" - &gt;&gt; 2017-01-17-UncaughtWiMAX.txt</v>
      </c>
    </row>
    <row r="221" spans="1:91" x14ac:dyDescent="0.25">
      <c r="A221" s="34" t="s">
        <v>596</v>
      </c>
      <c r="B221" s="7">
        <v>4051</v>
      </c>
      <c r="C221" s="22" t="s">
        <v>201</v>
      </c>
      <c r="D221" s="22" t="s">
        <v>762</v>
      </c>
      <c r="E221" s="13">
        <v>42752.515266203707</v>
      </c>
      <c r="F221" s="13">
        <v>25568.708333333332</v>
      </c>
      <c r="G221" s="7">
        <v>2</v>
      </c>
      <c r="H221" s="22" t="s">
        <v>763</v>
      </c>
      <c r="I221" s="13">
        <v>25568.708333333332</v>
      </c>
      <c r="J221" s="7">
        <v>0</v>
      </c>
      <c r="K221" s="105" t="str">
        <f t="shared" ref="K221:K238" si="130">IF(ISEVEN(B221),(B221-1)&amp;"/"&amp;B221,B221&amp;"/"&amp;(B221+1))</f>
        <v>4051/4052</v>
      </c>
      <c r="L221" s="22" t="str">
        <f>VLOOKUP(A221,'Trips&amp;Operators'!$C$1:$G$99999,5,FALSE)</f>
        <v>LOZA FIDEL</v>
      </c>
      <c r="M221" s="6">
        <f t="shared" ref="M221:M238" si="131">I221-F221</f>
        <v>0</v>
      </c>
      <c r="N221" s="7">
        <f t="shared" ref="N221:N238" si="132">24*60*SUM($M221:$M221)</f>
        <v>0</v>
      </c>
      <c r="O221" s="7"/>
      <c r="P221" s="7"/>
      <c r="Q221" s="23"/>
      <c r="R221" s="23"/>
      <c r="S221" s="32">
        <f t="shared" ref="S221:S238" si="133">SUM(U221:U221)/IF(AG221="EC",12,1)</f>
        <v>0</v>
      </c>
      <c r="T221" s="47" t="e">
        <f t="shared" ref="T221:T238" si="134">IF(ISEVEN(LEFT(AD221,4)),"Southbound","NorthBound")</f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24"/>
        <v>https://d0f6bd738d7f1b3e5a7ca70fe4ff75f0.us-east-1.aws.found.io/app/kibana#/discover/Steve-Slow-Train-Analysis-(2080s-and-2083s)?_g=(refreshInterval:(display:Off,pause:!f,section:0,value:0),time:(from:'2017-01-17T11:21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1" s="49" t="str">
        <f t="shared" ref="W221:W238" si="135">IF(AA221&lt;IF(AG221="EC",23,5.65),"Y","N")</f>
        <v>Y</v>
      </c>
      <c r="X221" s="173" t="e">
        <f t="shared" si="123"/>
        <v>#VALUE!</v>
      </c>
      <c r="Y221" s="64">
        <f t="shared" ref="Y221:Y238" si="136">RIGHT(D221,LEN(D221)-4)/10000</f>
        <v>0.12770000000000001</v>
      </c>
      <c r="Z221" s="64">
        <f t="shared" ref="Z221:Z238" si="137">RIGHT(H221,LEN(H221)-4)/10000</f>
        <v>2.4226999999999999</v>
      </c>
      <c r="AA221" s="64">
        <f t="shared" ref="AA221:AA238" si="138">ABS(Z221-Y221)</f>
        <v>2.2949999999999999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ref="AD221:AD238" si="139">IF(LEN(A221)=6,"0"&amp;A221,A221)</f>
        <v>53-17</v>
      </c>
      <c r="AE221" s="87" t="str">
        <f t="shared" si="125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21" s="84" t="str">
        <f t="shared" si="126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21" s="1" t="str">
        <f t="shared" ref="AG221:AG238" si="140">IFERROR(IF(VALUE(LEFT(AD221,2))&lt;=2,"EC",IF(OR(VALUE(LEFT(AD221,2))=8,VALUE(LEFT(AD221,2))=18),"NW","Other")),"Other")</f>
        <v>Other</v>
      </c>
      <c r="AH221" s="88" t="str">
        <f t="shared" si="127"/>
        <v>"%USERPROFILE%\Documents\GitHub\eaglep3\Utilities\RefineRTDCRunTimes.py" --tripid 53-17 --locoid 4051 --swversion DE.1.0.8.0 --startMP 204:1277 --initTime 2017-01-17T12:21:59 --startdatetime 1969-12-31T17:00:00 --delay 2 --endMP 300:24227 --enddatetime 1969-12-31T17:00:00 --enforcementcount 0 &gt;&gt;C:\Users\stu\Documents\GitHub\eaglep3-reporting\EC\2017-01-17-refined-times.txt</v>
      </c>
      <c r="AI221" s="115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ID","value":"53-17"},{"id":16,"name":"Locomotive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129"/>
        <v>start /low /b %USERPROFILE%\Documents\GitHub\eaglep3\Utilities\DownloadLogsFromS3.py --loco 4051 --day 1969-12-31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2017-01-17-UncaughtWiMAX.txt</v>
      </c>
    </row>
    <row r="222" spans="1:91" x14ac:dyDescent="0.25">
      <c r="A222" s="34" t="s">
        <v>622</v>
      </c>
      <c r="B222" s="7">
        <v>4017</v>
      </c>
      <c r="C222" s="22" t="s">
        <v>201</v>
      </c>
      <c r="D222" s="22" t="s">
        <v>764</v>
      </c>
      <c r="E222" s="13">
        <v>42752.647523148145</v>
      </c>
      <c r="F222" s="13">
        <v>42752.64912037037</v>
      </c>
      <c r="G222" s="7">
        <v>1</v>
      </c>
      <c r="H222" s="22" t="s">
        <v>765</v>
      </c>
      <c r="I222" s="13">
        <v>42752.655671296299</v>
      </c>
      <c r="J222" s="7">
        <v>0</v>
      </c>
      <c r="K222" s="105" t="str">
        <f t="shared" si="130"/>
        <v>4017/4018</v>
      </c>
      <c r="L222" s="22" t="str">
        <f>VLOOKUP(A222,'Trips&amp;Operators'!$C$1:$G$99999,5,FALSE)</f>
        <v>HILLS DUSTIN</v>
      </c>
      <c r="M222" s="6">
        <f t="shared" si="131"/>
        <v>6.550925929332152E-3</v>
      </c>
      <c r="N222" s="7">
        <f t="shared" si="132"/>
        <v>9.4333333382382989</v>
      </c>
      <c r="O222" s="7"/>
      <c r="P222" s="7"/>
      <c r="Q222" s="23"/>
      <c r="R222" s="23"/>
      <c r="S222" s="32">
        <f t="shared" si="133"/>
        <v>0</v>
      </c>
      <c r="T222" s="47" t="e">
        <f t="shared" si="134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24"/>
        <v>https://d0f6bd738d7f1b3e5a7ca70fe4ff75f0.us-east-1.aws.found.io/app/kibana#/discover/Steve-Slow-Train-Analysis-(2080s-and-2083s)?_g=(refreshInterval:(display:Off,pause:!f,section:0,value:0),time:(from:'2017-01-17T14:32:26-0700',mode:absolute,to:'2017-01-17T16:44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49" t="str">
        <f t="shared" si="135"/>
        <v>Y</v>
      </c>
      <c r="X222" s="173" t="e">
        <f t="shared" si="123"/>
        <v>#VALUE!</v>
      </c>
      <c r="Y222" s="64">
        <f t="shared" si="136"/>
        <v>2.3090999999999999</v>
      </c>
      <c r="Z222" s="64">
        <f t="shared" si="137"/>
        <v>6.3100000000000003E-2</v>
      </c>
      <c r="AA222" s="64">
        <f t="shared" si="138"/>
        <v>2.246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139"/>
        <v>54-17</v>
      </c>
      <c r="AE222" s="87" t="str">
        <f t="shared" si="125"/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AF222" s="84" t="str">
        <f t="shared" si="126"/>
        <v>"C:\Program Files (x86)\AstroGrep\AstroGrep.exe" /spath="%USERPROFILE%\AppData\Local\Temp\OnboardLogs" /stypes="app*4017*20170117*" /stext=" 22:.+((SYSTEM_STATE.+slice.+state.+changed )|(ment ac)|(multiple cpu faults)|(system.+state.+changed )|(\[timeout)|(PRM\|1\|D)|(kpr)|(kdp)|(\|lc)|(penalty))" /e /r /s</v>
      </c>
      <c r="AG222" s="1" t="str">
        <f t="shared" si="140"/>
        <v>Other</v>
      </c>
      <c r="AH222" s="88" t="str">
        <f t="shared" si="127"/>
        <v>"%USERPROFILE%\Documents\GitHub\eaglep3\Utilities\RefineRTDCRunTimes.py" --tripid 54-17 --locoid 4017 --swversion DE.1.0.8.0 --startMP 300:23091 --initTime 2017-01-17T15:32:26 --startdatetime 2017-01-17T15:34:44 --delay 1 --endMP 204:631 --enddatetime 2017-01-17T15:44:10 --enforcementcount 0 &gt;&gt;C:\Users\stu\Documents\GitHub\eaglep3-reporting\EC\2017-01-17-refined-times.txt</v>
      </c>
      <c r="AI222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{"issue":{"subject":"","project_id":79,"tracker_id":40,"status_id":1,"priority_id":2,"assigned_to_id":23,"start_date":"2017-01-17","description":"","custom_fields":[{"id":1,"name":"Subdivision","value":"Other"},{"id":4,"name":"Milepost","value":"0.0631"},{"id":17,"name":"Train ID","value":"54-17"},{"id":16,"name":"Locomotive ID","value":"4017"},{"id":130,"name":"Impact","value":""},{"id":150,"name":"Time of Event (Mountain Time)","value":"15:44:10"},{"id":151,"name":"Denver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129"/>
        <v>start /low /b %USERPROFILE%\Documents\GitHub\eaglep3\Utilities\DownloadLogsFromS3.py --loco 4017 --day 2017-01-17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"%USERPROFILE%\AppData\Local\Temp\OnboardLogs"\RTDC4017\*4017*20170117* | grep -SE "(Enforcement Action)|(\[TIMEOUT)|(CHR.+\|PRM\|1\|D.+(SWITCH|SIGNAL).+UNKNOWN)" - &gt;&gt; 2017-01-17-UncaughtWiMAX.txt</v>
      </c>
    </row>
    <row r="223" spans="1:91" s="21" customFormat="1" x14ac:dyDescent="0.25">
      <c r="A223" s="34" t="s">
        <v>652</v>
      </c>
      <c r="B223" s="7">
        <v>4051</v>
      </c>
      <c r="C223" s="22" t="s">
        <v>201</v>
      </c>
      <c r="D223" s="22" t="s">
        <v>400</v>
      </c>
      <c r="E223" s="13">
        <v>42752.750543981485</v>
      </c>
      <c r="F223" s="13">
        <v>25568.708333333332</v>
      </c>
      <c r="G223" s="7">
        <v>1</v>
      </c>
      <c r="H223" s="22" t="s">
        <v>766</v>
      </c>
      <c r="I223" s="13">
        <v>25568.708333333332</v>
      </c>
      <c r="J223" s="7">
        <v>0</v>
      </c>
      <c r="K223" s="105" t="str">
        <f t="shared" si="130"/>
        <v>4051/4052</v>
      </c>
      <c r="L223" s="22" t="str">
        <f>VLOOKUP(A223,'Trips&amp;Operators'!$C$1:$G$99999,5,FALSE)</f>
        <v>DAVIS MICHAEL</v>
      </c>
      <c r="M223" s="6">
        <f t="shared" si="131"/>
        <v>0</v>
      </c>
      <c r="N223" s="7">
        <f t="shared" si="132"/>
        <v>0</v>
      </c>
      <c r="O223" s="7"/>
      <c r="P223" s="7"/>
      <c r="Q223" s="23"/>
      <c r="R223" s="23"/>
      <c r="S223" s="32">
        <f t="shared" si="133"/>
        <v>0</v>
      </c>
      <c r="T223" s="47" t="e">
        <f t="shared" si="134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124"/>
        <v>https://d0f6bd738d7f1b3e5a7ca70fe4ff75f0.us-east-1.aws.found.io/app/kibana#/discover/Steve-Slow-Train-Analysis-(2080s-and-2083s)?_g=(refreshInterval:(display:Off,pause:!f,section:0,value:0),time:(from:'2017-01-17T17:00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3" s="49" t="str">
        <f t="shared" si="135"/>
        <v>Y</v>
      </c>
      <c r="X223" s="173" t="e">
        <f t="shared" ref="X223:X238" si="141">VALUE(LEFT(AD223,4))-VALUE(LEFT(AD222,4))</f>
        <v>#VALUE!</v>
      </c>
      <c r="Y223" s="64">
        <f t="shared" si="136"/>
        <v>4.5999999999999999E-2</v>
      </c>
      <c r="Z223" s="64">
        <f t="shared" si="137"/>
        <v>2.3302</v>
      </c>
      <c r="AA223" s="64">
        <f t="shared" si="138"/>
        <v>2.2842000000000002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139"/>
        <v>55-17</v>
      </c>
      <c r="AE223" s="87" t="str">
        <f t="shared" si="125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23" s="84" t="str">
        <f t="shared" si="126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23" s="1" t="str">
        <f t="shared" si="140"/>
        <v>Other</v>
      </c>
      <c r="AH223" s="88" t="str">
        <f t="shared" si="127"/>
        <v>"%USERPROFILE%\Documents\GitHub\eaglep3\Utilities\RefineRTDCRunTimes.py" --tripid 55-17 --locoid 4051 --swversion DE.1.0.8.0 --startMP 204:460 --initTime 2017-01-17T18:00:47 --startdatetime 1969-12-31T17:00:00 --delay 1 --endMP 300:23302 --enddatetime 1969-12-31T17:00:00 --enforcementcount 0 &gt;&gt;C:\Users\stu\Documents\GitHub\eaglep3-reporting\EC\2017-01-17-refined-times.txt</v>
      </c>
      <c r="AI223" s="115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ID","value":"55-17"},{"id":16,"name":"Locomotive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129"/>
        <v>start /low /b %USERPROFILE%\Documents\GitHub\eaglep3\Utilities\DownloadLogsFromS3.py --loco 4051 --day 1969-12-31</v>
      </c>
      <c r="AN223" s="18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2017-01-17-UncaughtWiMAX.txt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4" t="s">
        <v>478</v>
      </c>
      <c r="B224" s="7">
        <v>4052</v>
      </c>
      <c r="C224" s="22" t="s">
        <v>201</v>
      </c>
      <c r="D224" s="22" t="s">
        <v>767</v>
      </c>
      <c r="E224" s="13">
        <v>42752.712488425925</v>
      </c>
      <c r="F224" s="13">
        <v>42752.714872685188</v>
      </c>
      <c r="G224" s="7">
        <v>3</v>
      </c>
      <c r="H224" s="22" t="s">
        <v>768</v>
      </c>
      <c r="I224" s="13">
        <v>42752.720821759256</v>
      </c>
      <c r="J224" s="7">
        <v>0</v>
      </c>
      <c r="K224" s="105" t="str">
        <f t="shared" si="130"/>
        <v>4051/4052</v>
      </c>
      <c r="L224" s="22" t="str">
        <f>VLOOKUP(A224,'Trips&amp;Operators'!$C$1:$G$99999,5,FALSE)</f>
        <v>NEWELL JAMES</v>
      </c>
      <c r="M224" s="6">
        <f t="shared" si="131"/>
        <v>5.9490740677574649E-3</v>
      </c>
      <c r="N224" s="7">
        <f t="shared" si="132"/>
        <v>8.5666666575707495</v>
      </c>
      <c r="O224" s="7"/>
      <c r="P224" s="7"/>
      <c r="Q224" s="23"/>
      <c r="R224" s="23"/>
      <c r="S224" s="32">
        <f t="shared" si="133"/>
        <v>0</v>
      </c>
      <c r="T224" s="47" t="e">
        <f t="shared" si="134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124"/>
        <v>https://d0f6bd738d7f1b3e5a7ca70fe4ff75f0.us-east-1.aws.found.io/app/kibana#/discover/Steve-Slow-Train-Analysis-(2080s-and-2083s)?_g=(refreshInterval:(display:Off,pause:!f,section:0,value:0),time:(from:'2017-01-17T16:05:59-0700',mode:absolute,to:'2017-01-17T18:17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49" t="str">
        <f t="shared" si="135"/>
        <v>Y</v>
      </c>
      <c r="X224" s="173" t="e">
        <f t="shared" si="141"/>
        <v>#VALUE!</v>
      </c>
      <c r="Y224" s="64">
        <f t="shared" si="136"/>
        <v>2.3178999999999998</v>
      </c>
      <c r="Z224" s="64">
        <f t="shared" si="137"/>
        <v>1.5100000000000001E-2</v>
      </c>
      <c r="AA224" s="64">
        <f t="shared" si="138"/>
        <v>2.3028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139"/>
        <v>56-17</v>
      </c>
      <c r="AE224" s="87" t="str">
        <f t="shared" si="125"/>
        <v>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 &amp; 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</v>
      </c>
      <c r="AF224" s="84" t="str">
        <f t="shared" si="126"/>
        <v>"C:\Program Files (x86)\AstroGrep\AstroGrep.exe" /spath="%USERPROFILE%\AppData\Local\Temp\OnboardLogs" /stypes="app*4052*20170118*" /stext=" 00:.+((SYSTEM_STATE.+slice.+state.+changed )|(ment ac)|(multiple cpu faults)|(system.+state.+changed )|(\[timeout)|(PRM\|1\|D)|(kpr)|(kdp)|(\|lc)|(penalty))" /e /r /s</v>
      </c>
      <c r="AG224" s="1" t="str">
        <f t="shared" si="140"/>
        <v>Other</v>
      </c>
      <c r="AH224" s="88" t="str">
        <f t="shared" si="127"/>
        <v>"%USERPROFILE%\Documents\GitHub\eaglep3\Utilities\RefineRTDCRunTimes.py" --tripid 56-17 --locoid 4052 --swversion DE.1.0.8.0 --startMP 300:23179 --initTime 2017-01-17T17:05:59 --startdatetime 2017-01-17T17:09:25 --delay 3 --endMP 204:151 --enddatetime 2017-01-17T17:17:59 --enforcementcount 0 &gt;&gt;C:\Users\stu\Documents\GitHub\eaglep3-reporting\EC\2017-01-17-refined-times.txt</v>
      </c>
      <c r="AI224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{"issue":{"subject":"","project_id":79,"tracker_id":40,"status_id":1,"priority_id":2,"assigned_to_id":23,"start_date":"2017-01-17","description":"","custom_fields":[{"id":1,"name":"Subdivision","value":"Other"},{"id":4,"name":"Milepost","value":"0.0151"},{"id":17,"name":"Train ID","value":"56-17"},{"id":16,"name":"Locomotive ID","value":"4052"},{"id":130,"name":"Impact","value":""},{"id":150,"name":"Time of Event (Mountain Time)","value":"17:17:59"},{"id":151,"name":"Denver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129"/>
        <v>start /low /b %USERPROFILE%\Documents\GitHub\eaglep3\Utilities\DownloadLogsFromS3.py --loco 4052 --day 2017-01-17</v>
      </c>
      <c r="AN224" s="18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"%USERPROFILE%\AppData\Local\Temp\OnboardLogs"\RTDC4052\*4052*20170118* | grep -SE "(Enforcement Action)|(\[TIMEOUT)|(CHR.+\|PRM\|1\|D.+(SWITCH|SIGNAL).+UNKNOWN)" - &gt;&gt; 2017-01-17-UncaughtWiMAX.txt</v>
      </c>
    </row>
    <row r="225" spans="1:91" s="21" customFormat="1" x14ac:dyDescent="0.25">
      <c r="A225" s="34" t="s">
        <v>651</v>
      </c>
      <c r="B225" s="7">
        <v>4015</v>
      </c>
      <c r="C225" s="22" t="s">
        <v>201</v>
      </c>
      <c r="D225" s="22" t="s">
        <v>769</v>
      </c>
      <c r="E225" s="13">
        <v>42752.747303240743</v>
      </c>
      <c r="F225" s="13">
        <v>42752.748738425929</v>
      </c>
      <c r="G225" s="7">
        <v>1</v>
      </c>
      <c r="H225" s="22" t="s">
        <v>770</v>
      </c>
      <c r="I225" s="13">
        <v>42752.754155092596</v>
      </c>
      <c r="J225" s="7">
        <v>0</v>
      </c>
      <c r="K225" s="105" t="str">
        <f t="shared" si="130"/>
        <v>4015/4016</v>
      </c>
      <c r="L225" s="22" t="str">
        <f>VLOOKUP(A225,'Trips&amp;Operators'!$C$1:$G$99999,5,FALSE)</f>
        <v>LALONDE GREGORY</v>
      </c>
      <c r="M225" s="6">
        <f t="shared" si="131"/>
        <v>5.4166666668606922E-3</v>
      </c>
      <c r="N225" s="7">
        <f t="shared" si="132"/>
        <v>7.8000000002793968</v>
      </c>
      <c r="O225" s="7"/>
      <c r="P225" s="7"/>
      <c r="Q225" s="23"/>
      <c r="R225" s="23"/>
      <c r="S225" s="32">
        <f t="shared" si="133"/>
        <v>0</v>
      </c>
      <c r="T225" s="47" t="e">
        <f t="shared" si="134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124"/>
        <v>https://d0f6bd738d7f1b3e5a7ca70fe4ff75f0.us-east-1.aws.found.io/app/kibana#/discover/Steve-Slow-Train-Analysis-(2080s-and-2083s)?_g=(refreshInterval:(display:Off,pause:!f,section:0,value:0),time:(from:'2017-01-17T16:56:07-0700',mode:absolute,to:'2017-01-17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49" t="str">
        <f t="shared" si="135"/>
        <v>Y</v>
      </c>
      <c r="X225" s="173" t="e">
        <f t="shared" si="141"/>
        <v>#VALUE!</v>
      </c>
      <c r="Y225" s="64">
        <f t="shared" si="136"/>
        <v>2.1989999999999998</v>
      </c>
      <c r="Z225" s="64">
        <f t="shared" si="137"/>
        <v>0.1769</v>
      </c>
      <c r="AA225" s="64">
        <f t="shared" si="138"/>
        <v>2.0221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139"/>
        <v>58-17</v>
      </c>
      <c r="AE225" s="87" t="str">
        <f t="shared" si="125"/>
        <v>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 &amp; 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</v>
      </c>
      <c r="AF225" s="84" t="str">
        <f t="shared" si="126"/>
        <v>"C:\Program Files (x86)\AstroGrep\AstroGrep.exe" /spath="%USERPROFILE%\AppData\Local\Temp\OnboardLogs" /stypes="app*4015*20170118*" /stext=" 01:.+((SYSTEM_STATE.+slice.+state.+changed )|(ment ac)|(multiple cpu faults)|(system.+state.+changed )|(\[timeout)|(PRM\|1\|D)|(kpr)|(kdp)|(\|lc)|(penalty))" /e /r /s</v>
      </c>
      <c r="AG225" s="1" t="str">
        <f t="shared" si="140"/>
        <v>Other</v>
      </c>
      <c r="AH225" s="88" t="str">
        <f t="shared" si="127"/>
        <v>"%USERPROFILE%\Documents\GitHub\eaglep3\Utilities\RefineRTDCRunTimes.py" --tripid 58-17 --locoid 4015 --swversion DE.1.0.8.0 --startMP 300:21990 --initTime 2017-01-17T17:56:07 --startdatetime 2017-01-17T17:58:11 --delay 1 --endMP 204:1769 --enddatetime 2017-01-17T18:05:59 --enforcementcount 0 &gt;&gt;C:\Users\stu\Documents\GitHub\eaglep3-reporting\EC\2017-01-17-refined-times.txt</v>
      </c>
      <c r="AI225" s="115" t="str">
        <f t="shared" si="128"/>
        <v>echo {"issue":{"subject":"","project_id":79,"tracker_id":40,"status_id":1,"priority_id":2,"assigned_to_id":23,"start_date":"2017-01-17","description":"","custom_fields":[{"id":1,"name":"Subdivision","value":"Other"},{"id":4,"name":"Milepost","value":"0.1769"},{"id":17,"name":"Train ID","value":"58-17"},{"id":16,"name":"Locomotive ID","value":"4015"},{"id":130,"name":"Impact","value":""},{"id":150,"name":"Time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129"/>
        <v>start /low /b %USERPROFILE%\Documents\GitHub\eaglep3\Utilities\DownloadLogsFromS3.py --loco 4015 --day 2017-01-17</v>
      </c>
      <c r="AN225" s="18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2017-01-17-UncaughtWiMAX.txt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4" t="s">
        <v>646</v>
      </c>
      <c r="B226" s="7">
        <v>4040</v>
      </c>
      <c r="C226" s="22" t="s">
        <v>201</v>
      </c>
      <c r="D226" s="22" t="s">
        <v>771</v>
      </c>
      <c r="E226" s="13">
        <v>42752.732071759259</v>
      </c>
      <c r="F226" s="13">
        <v>25568.708333333332</v>
      </c>
      <c r="G226" s="7">
        <v>1</v>
      </c>
      <c r="H226" s="22" t="s">
        <v>750</v>
      </c>
      <c r="I226" s="13">
        <v>25568.708333333332</v>
      </c>
      <c r="J226" s="7">
        <v>0</v>
      </c>
      <c r="K226" s="105" t="str">
        <f t="shared" si="130"/>
        <v>4039/4040</v>
      </c>
      <c r="L226" s="22" t="str">
        <f>VLOOKUP(A226,'Trips&amp;Operators'!$C$1:$G$99999,5,FALSE)</f>
        <v>DE LA ROSA ALEX</v>
      </c>
      <c r="M226" s="6">
        <f t="shared" si="131"/>
        <v>0</v>
      </c>
      <c r="N226" s="7">
        <f t="shared" si="132"/>
        <v>0</v>
      </c>
      <c r="O226" s="7"/>
      <c r="P226" s="7"/>
      <c r="Q226" s="23"/>
      <c r="R226" s="23"/>
      <c r="S226" s="32">
        <f t="shared" si="133"/>
        <v>0</v>
      </c>
      <c r="T226" s="47" t="e">
        <f t="shared" si="134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124"/>
        <v>https://d0f6bd738d7f1b3e5a7ca70fe4ff75f0.us-east-1.aws.found.io/app/kibana#/discover/Steve-Slow-Train-Analysis-(2080s-and-2083s)?_g=(refreshInterval:(display:Off,pause:!f,section:0,value:0),time:(from:'2017-01-17T16:34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6" s="49" t="str">
        <f t="shared" si="135"/>
        <v>Y</v>
      </c>
      <c r="X226" s="173" t="e">
        <f t="shared" si="141"/>
        <v>#VALUE!</v>
      </c>
      <c r="Y226" s="64">
        <f t="shared" si="136"/>
        <v>0.14879999999999999</v>
      </c>
      <c r="Z226" s="64">
        <f t="shared" si="137"/>
        <v>2.3308</v>
      </c>
      <c r="AA226" s="64">
        <f t="shared" si="138"/>
        <v>2.1819999999999999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139"/>
        <v>69-17</v>
      </c>
      <c r="AE226" s="87" t="str">
        <f t="shared" si="12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6" s="84" t="str">
        <f t="shared" si="126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26" s="1" t="str">
        <f t="shared" si="140"/>
        <v>Other</v>
      </c>
      <c r="AH226" s="88" t="str">
        <f t="shared" si="127"/>
        <v>"%USERPROFILE%\Documents\GitHub\eaglep3\Utilities\RefineRTDCRunTimes.py" --tripid 69-17 --locoid 4040 --swversion DE.1.0.8.0 --startMP 204:1488 --initTime 2017-01-17T17:34:11 --startdatetime 1969-12-31T17:00:00 --delay 1 --endMP 300:23308 --enddatetime 1969-12-31T17:00:00 --enforcementcount 0 &gt;&gt;C:\Users\stu\Documents\GitHub\eaglep3-reporting\EC\2017-01-17-refined-times.txt</v>
      </c>
      <c r="AI226" s="115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ID","value":"69-17"},{"id":16,"name":"Locomotive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129"/>
        <v>start /low /b %USERPROFILE%\Documents\GitHub\eaglep3\Utilities\DownloadLogsFromS3.py --loco 4040 --day 1969-12-31</v>
      </c>
      <c r="AN226" s="18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2017-01-17-UncaughtWiMAX.txt</v>
      </c>
    </row>
    <row r="227" spans="1:91" x14ac:dyDescent="0.25">
      <c r="A227" s="34" t="s">
        <v>678</v>
      </c>
      <c r="B227" s="7">
        <v>4016</v>
      </c>
      <c r="C227" s="22" t="s">
        <v>201</v>
      </c>
      <c r="D227" s="22" t="s">
        <v>772</v>
      </c>
      <c r="E227" s="13">
        <v>42753.091099537036</v>
      </c>
      <c r="F227" s="13">
        <v>42753.092974537038</v>
      </c>
      <c r="G227" s="7">
        <v>1</v>
      </c>
      <c r="H227" s="22" t="s">
        <v>773</v>
      </c>
      <c r="I227" s="13">
        <v>42753.106712962966</v>
      </c>
      <c r="J227" s="7">
        <v>0</v>
      </c>
      <c r="K227" s="105" t="str">
        <f t="shared" si="130"/>
        <v>4015/4016</v>
      </c>
      <c r="L227" s="22" t="str">
        <f>VLOOKUP(A227,'Trips&amp;Operators'!$C$1:$G$99999,5,FALSE)</f>
        <v>DAVIDSON DAVID</v>
      </c>
      <c r="M227" s="6">
        <f t="shared" si="131"/>
        <v>1.3738425928750075E-2</v>
      </c>
      <c r="N227" s="7">
        <f t="shared" si="132"/>
        <v>19.783333337400109</v>
      </c>
      <c r="O227" s="7"/>
      <c r="P227" s="7"/>
      <c r="Q227" s="23"/>
      <c r="R227" s="23"/>
      <c r="S227" s="32">
        <f t="shared" si="133"/>
        <v>0</v>
      </c>
      <c r="T227" s="47" t="e">
        <f t="shared" si="134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124"/>
        <v>https://d0f6bd738d7f1b3e5a7ca70fe4ff75f0.us-east-1.aws.found.io/app/kibana#/discover/Steve-Slow-Train-Analysis-(2080s-and-2083s)?_g=(refreshInterval:(display:Off,pause:!f,section:0,value:0),time:(from:'2017-01-18T01:11:11-0700',mode:absolute,to:'2017-01-18T03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7" s="49" t="str">
        <f t="shared" si="135"/>
        <v>N</v>
      </c>
      <c r="X227" s="173" t="e">
        <f t="shared" si="141"/>
        <v>#VALUE!</v>
      </c>
      <c r="Y227" s="64">
        <f t="shared" si="136"/>
        <v>1.0412999999999999</v>
      </c>
      <c r="Z227" s="64">
        <f t="shared" si="137"/>
        <v>10.7403</v>
      </c>
      <c r="AA227" s="64">
        <f t="shared" si="138"/>
        <v>9.6989999999999998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139"/>
        <v>71-17</v>
      </c>
      <c r="AE227" s="87" t="str">
        <f t="shared" si="12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27" s="84" t="str">
        <f t="shared" si="126"/>
        <v>"C:\Program Files (x86)\AstroGrep\AstroGrep.exe" /spath="%USERPROFILE%\AppData\Local\Temp\OnboardLogs" /stypes="app*4016*20170118*" /stext=" 09:.+((SYSTEM_STATE.+slice.+state.+changed )|(ment ac)|(multiple cpu faults)|(system.+state.+changed )|(\[timeout)|(PRM\|1\|D)|(kpr)|(kdp)|(\|lc)|(penalty))" /e /r /s</v>
      </c>
      <c r="AG227" s="1" t="str">
        <f t="shared" si="140"/>
        <v>Other</v>
      </c>
      <c r="AH227" s="88" t="str">
        <f t="shared" si="127"/>
        <v>"%USERPROFILE%\Documents\GitHub\eaglep3\Utilities\RefineRTDCRunTimes.py" --tripid 71-17 --locoid 4016 --swversion DE.1.0.8.0 --startMP 204:10413 --initTime 2017-01-18T02:11:11 --startdatetime 2017-01-18T02:13:53 --delay 1 --endMP 204:107403 --enddatetime 2017-01-18T02:33:40 --enforcementcount 0 &gt;&gt;C:\Users\stu\Documents\GitHub\eaglep3-reporting\EC\2017-01-17-refined-times.txt</v>
      </c>
      <c r="AI227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{"issue":{"subject":"","project_id":79,"tracker_id":40,"status_id":1,"priority_id":2,"assigned_to_id":23,"start_date":"2017-01-18","description":"","custom_fields":[{"id":1,"name":"Subdivision","value":"Other"},{"id":4,"name":"Milepost","value":"10.7403"},{"id":17,"name":"Train ID","value":"71-17"},{"id":16,"name":"Locomotive ID","value":"4016"},{"id":130,"name":"Impact","value":""},{"id":150,"name":"Time of Event (Mountain Time)","value":"02:33:40"},{"id":151,"name":"Denver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129"/>
        <v>start /low /b %USERPROFILE%\Documents\GitHub\eaglep3\Utilities\DownloadLogsFromS3.py --loco 4016 --day 2017-01-18</v>
      </c>
      <c r="AN227" s="18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2017-01-17-UncaughtWiMAX.txt</v>
      </c>
    </row>
    <row r="228" spans="1:91" x14ac:dyDescent="0.25">
      <c r="A228" s="34" t="s">
        <v>678</v>
      </c>
      <c r="B228" s="7">
        <v>4016</v>
      </c>
      <c r="C228" s="22" t="s">
        <v>201</v>
      </c>
      <c r="D228" s="22" t="s">
        <v>774</v>
      </c>
      <c r="E228" s="13">
        <v>42753.005694444444</v>
      </c>
      <c r="F228" s="13">
        <v>42753.011377314811</v>
      </c>
      <c r="G228" s="7">
        <v>1</v>
      </c>
      <c r="H228" s="22" t="s">
        <v>775</v>
      </c>
      <c r="I228" s="13">
        <v>42753.026354166665</v>
      </c>
      <c r="J228" s="7">
        <v>0</v>
      </c>
      <c r="K228" s="105" t="str">
        <f t="shared" si="130"/>
        <v>4015/4016</v>
      </c>
      <c r="L228" s="22" t="str">
        <f>VLOOKUP(A228,'Trips&amp;Operators'!$C$1:$G$99999,5,FALSE)</f>
        <v>DAVIDSON DAVID</v>
      </c>
      <c r="M228" s="6">
        <f t="shared" si="131"/>
        <v>1.4976851853134576E-2</v>
      </c>
      <c r="N228" s="7">
        <f t="shared" si="132"/>
        <v>21.56666666851379</v>
      </c>
      <c r="O228" s="7"/>
      <c r="P228" s="7"/>
      <c r="Q228" s="23"/>
      <c r="R228" s="23"/>
      <c r="S228" s="32">
        <f t="shared" si="133"/>
        <v>0</v>
      </c>
      <c r="T228" s="47" t="e">
        <f t="shared" si="134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124"/>
        <v>https://d0f6bd738d7f1b3e5a7ca70fe4ff75f0.us-east-1.aws.found.io/app/kibana#/discover/Steve-Slow-Train-Analysis-(2080s-and-2083s)?_g=(refreshInterval:(display:Off,pause:!f,section:0,value:0),time:(from:'2017-01-17T23:08:12-0700',mode:absolute,to:'2017-01-18T01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49" t="str">
        <f t="shared" si="135"/>
        <v>N</v>
      </c>
      <c r="X228" s="173" t="e">
        <f t="shared" si="141"/>
        <v>#VALUE!</v>
      </c>
      <c r="Y228" s="64">
        <f t="shared" si="136"/>
        <v>0.96889999999999998</v>
      </c>
      <c r="Z228" s="64">
        <f t="shared" si="137"/>
        <v>10.7225</v>
      </c>
      <c r="AA228" s="64">
        <f t="shared" si="138"/>
        <v>9.7536000000000005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139"/>
        <v>71-17</v>
      </c>
      <c r="AE228" s="87" t="str">
        <f t="shared" si="12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28" s="84" t="str">
        <f t="shared" si="126"/>
        <v>"C:\Program Files (x86)\AstroGrep\AstroGrep.exe" /spath="%USERPROFILE%\AppData\Local\Temp\OnboardLogs" /stypes="app*4016*20170118*" /stext=" 07:.+((SYSTEM_STATE.+slice.+state.+changed )|(ment ac)|(multiple cpu faults)|(system.+state.+changed )|(\[timeout)|(PRM\|1\|D)|(kpr)|(kdp)|(\|lc)|(penalty))" /e /r /s</v>
      </c>
      <c r="AG228" s="1" t="str">
        <f t="shared" si="140"/>
        <v>Other</v>
      </c>
      <c r="AH228" s="88" t="str">
        <f t="shared" si="127"/>
        <v>"%USERPROFILE%\Documents\GitHub\eaglep3\Utilities\RefineRTDCRunTimes.py" --tripid 71-17 --locoid 4016 --swversion DE.1.0.8.0 --startMP 204:9689 --initTime 2017-01-18T00:08:12 --startdatetime 2017-01-18T00:16:23 --delay 1 --endMP 204:107225 --enddatetime 2017-01-18T00:37:57 --enforcementcount 0 &gt;&gt;C:\Users\stu\Documents\GitHub\eaglep3-reporting\EC\2017-01-17-refined-times.txt</v>
      </c>
      <c r="AI228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{"issue":{"subject":"","project_id":79,"tracker_id":40,"status_id":1,"priority_id":2,"assigned_to_id":23,"start_date":"2017-01-18","description":"","custom_fields":[{"id":1,"name":"Subdivision","value":"Other"},{"id":4,"name":"Milepost","value":"10.7225"},{"id":17,"name":"Train ID","value":"71-17"},{"id":16,"name":"Locomotive ID","value":"4016"},{"id":130,"name":"Impact","value":""},{"id":150,"name":"Time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129"/>
        <v>start /low /b %USERPROFILE%\Documents\GitHub\eaglep3\Utilities\DownloadLogsFromS3.py --loco 4016 --day 2017-01-18</v>
      </c>
      <c r="AN228" s="18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2017-01-17-UncaughtWiMAX.txt</v>
      </c>
    </row>
    <row r="229" spans="1:91" x14ac:dyDescent="0.25">
      <c r="A229" s="34" t="s">
        <v>678</v>
      </c>
      <c r="B229" s="7">
        <v>4016</v>
      </c>
      <c r="C229" s="22" t="s">
        <v>201</v>
      </c>
      <c r="D229" s="22" t="s">
        <v>776</v>
      </c>
      <c r="E229" s="13">
        <v>42753.007476851853</v>
      </c>
      <c r="F229" s="13">
        <v>42753.011377314811</v>
      </c>
      <c r="G229" s="7">
        <v>1</v>
      </c>
      <c r="H229" s="22" t="s">
        <v>775</v>
      </c>
      <c r="I229" s="13">
        <v>42753.026354166665</v>
      </c>
      <c r="J229" s="7">
        <v>0</v>
      </c>
      <c r="K229" s="105" t="str">
        <f t="shared" si="130"/>
        <v>4015/4016</v>
      </c>
      <c r="L229" s="22" t="str">
        <f>VLOOKUP(A229,'Trips&amp;Operators'!$C$1:$G$99999,5,FALSE)</f>
        <v>DAVIDSON DAVID</v>
      </c>
      <c r="M229" s="6">
        <f t="shared" si="131"/>
        <v>1.4976851853134576E-2</v>
      </c>
      <c r="N229" s="7">
        <f t="shared" si="132"/>
        <v>21.56666666851379</v>
      </c>
      <c r="O229" s="7"/>
      <c r="P229" s="7"/>
      <c r="Q229" s="23"/>
      <c r="R229" s="23"/>
      <c r="S229" s="32">
        <f t="shared" si="133"/>
        <v>0</v>
      </c>
      <c r="T229" s="47" t="e">
        <f t="shared" si="134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124"/>
        <v>https://d0f6bd738d7f1b3e5a7ca70fe4ff75f0.us-east-1.aws.found.io/app/kibana#/discover/Steve-Slow-Train-Analysis-(2080s-and-2083s)?_g=(refreshInterval:(display:Off,pause:!f,section:0,value:0),time:(from:'2017-01-17T23:10:46-0700',mode:absolute,to:'2017-01-18T01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49" t="str">
        <f t="shared" si="135"/>
        <v>N</v>
      </c>
      <c r="X229" s="173" t="e">
        <f t="shared" si="141"/>
        <v>#VALUE!</v>
      </c>
      <c r="Y229" s="64">
        <f t="shared" si="136"/>
        <v>0.96940000000000004</v>
      </c>
      <c r="Z229" s="64">
        <f t="shared" si="137"/>
        <v>10.7225</v>
      </c>
      <c r="AA229" s="64">
        <f t="shared" si="138"/>
        <v>9.7530999999999999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139"/>
        <v>71-17</v>
      </c>
      <c r="AE229" s="87" t="str">
        <f t="shared" si="12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29" s="84" t="str">
        <f t="shared" si="126"/>
        <v>"C:\Program Files (x86)\AstroGrep\AstroGrep.exe" /spath="%USERPROFILE%\AppData\Local\Temp\OnboardLogs" /stypes="app*4016*20170118*" /stext=" 07:.+((SYSTEM_STATE.+slice.+state.+changed )|(ment ac)|(multiple cpu faults)|(system.+state.+changed )|(\[timeout)|(PRM\|1\|D)|(kpr)|(kdp)|(\|lc)|(penalty))" /e /r /s</v>
      </c>
      <c r="AG229" s="1" t="str">
        <f t="shared" si="140"/>
        <v>Other</v>
      </c>
      <c r="AH229" s="88" t="str">
        <f t="shared" si="127"/>
        <v>"%USERPROFILE%\Documents\GitHub\eaglep3\Utilities\RefineRTDCRunTimes.py" --tripid 71-17 --locoid 4016 --swversion DE.1.0.8.0 --startMP 204:9694 --initTime 2017-01-18T00:10:46 --startdatetime 2017-01-18T00:16:23 --delay 1 --endMP 204:107225 --enddatetime 2017-01-18T00:37:57 --enforcementcount 0 &gt;&gt;C:\Users\stu\Documents\GitHub\eaglep3-reporting\EC\2017-01-17-refined-times.txt</v>
      </c>
      <c r="AI229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{"issue":{"subject":"","project_id":79,"tracker_id":40,"status_id":1,"priority_id":2,"assigned_to_id":23,"start_date":"2017-01-18","description":"","custom_fields":[{"id":1,"name":"Subdivision","value":"Other"},{"id":4,"name":"Milepost","value":"10.7225"},{"id":17,"name":"Train ID","value":"71-17"},{"id":16,"name":"Locomotive ID","value":"4016"},{"id":130,"name":"Impact","value":""},{"id":150,"name":"Time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129"/>
        <v>start /low /b %USERPROFILE%\Documents\GitHub\eaglep3\Utilities\DownloadLogsFromS3.py --loco 4016 --day 2017-01-18</v>
      </c>
      <c r="AN229" s="18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2017-01-17-UncaughtWiMAX.txt</v>
      </c>
    </row>
    <row r="230" spans="1:91" x14ac:dyDescent="0.25">
      <c r="A230" s="34" t="s">
        <v>678</v>
      </c>
      <c r="B230" s="7">
        <v>4016</v>
      </c>
      <c r="C230" s="22" t="s">
        <v>201</v>
      </c>
      <c r="D230" s="22" t="s">
        <v>777</v>
      </c>
      <c r="E230" s="13">
        <v>42753.052187499998</v>
      </c>
      <c r="F230" s="13">
        <v>42753.053715277776</v>
      </c>
      <c r="G230" s="7">
        <v>1</v>
      </c>
      <c r="H230" s="22" t="s">
        <v>778</v>
      </c>
      <c r="I230" s="13">
        <v>42753.070057870369</v>
      </c>
      <c r="J230" s="7">
        <v>0</v>
      </c>
      <c r="K230" s="105" t="str">
        <f t="shared" si="130"/>
        <v>4015/4016</v>
      </c>
      <c r="L230" s="22" t="str">
        <f>VLOOKUP(A230,'Trips&amp;Operators'!$C$1:$G$99999,5,FALSE)</f>
        <v>DAVIDSON DAVID</v>
      </c>
      <c r="M230" s="6">
        <f t="shared" si="131"/>
        <v>1.6342592592991423E-2</v>
      </c>
      <c r="N230" s="7">
        <f t="shared" si="132"/>
        <v>23.533333333907649</v>
      </c>
      <c r="O230" s="7"/>
      <c r="P230" s="7"/>
      <c r="Q230" s="23"/>
      <c r="R230" s="23"/>
      <c r="S230" s="32">
        <f t="shared" si="133"/>
        <v>0</v>
      </c>
      <c r="T230" s="47" t="e">
        <f t="shared" si="134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124"/>
        <v>https://d0f6bd738d7f1b3e5a7ca70fe4ff75f0.us-east-1.aws.found.io/app/kibana#/discover/Steve-Slow-Train-Analysis-(2080s-and-2083s)?_g=(refreshInterval:(display:Off,pause:!f,section:0,value:0),time:(from:'2017-01-18T00:15:09-0700',mode:absolute,to:'2017-01-18T02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0" s="49" t="str">
        <f t="shared" si="135"/>
        <v>N</v>
      </c>
      <c r="X230" s="173" t="e">
        <f t="shared" si="141"/>
        <v>#VALUE!</v>
      </c>
      <c r="Y230" s="64">
        <f t="shared" si="136"/>
        <v>0.9879</v>
      </c>
      <c r="Z230" s="64">
        <f t="shared" si="137"/>
        <v>10.754300000000001</v>
      </c>
      <c r="AA230" s="64">
        <f t="shared" si="138"/>
        <v>9.7664000000000009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139"/>
        <v>71-17</v>
      </c>
      <c r="AE230" s="87" t="str">
        <f t="shared" si="125"/>
        <v>aws s3 cp s3://rtdc.mdm.uploadarchive.raw/RTDC4016/ "%USERPROFILE%\AppData\Local\Temp\OnboardLogs"\RTDC4016\2017-01-18 --exclude "*" --recursive --include "*20170118*" &amp; "%USERPROFILE%\Documents\GitHub\mrs-test-scripts\Headless Mode &amp; Sideloading\WalkAndUnGZ.bat" "%USERPROFILE%\AppData\Local\Temp\OnboardLogs"\RTDC4016\2017-01-18 &amp; aws s3 cp s3://rtdc.mdm.uploadarchive.raw/RTDC4016/ "%USERPROFILE%\AppData\Local\Temp\OnboardLogs"\RTDC4016\2017-01-19 --exclude "*" --recursive --include "*20170119*" &amp; "%USERPROFILE%\Documents\GitHub\mrs-test-scripts\Headless Mode &amp; Sideloading\WalkAndUnGZ.bat" "%USERPROFILE%\AppData\Local\Temp\OnboardLogs"\RTDC4016\2017-01-19</v>
      </c>
      <c r="AF230" s="84" t="str">
        <f t="shared" si="126"/>
        <v>"C:\Program Files (x86)\AstroGrep\AstroGrep.exe" /spath="%USERPROFILE%\AppData\Local\Temp\OnboardLogs" /stypes="app*4016*20170118*" /stext=" 08:.+((SYSTEM_STATE.+slice.+state.+changed )|(ment ac)|(multiple cpu faults)|(system.+state.+changed )|(\[timeout)|(PRM\|1\|D)|(kpr)|(kdp)|(\|lc)|(penalty))" /e /r /s</v>
      </c>
      <c r="AG230" s="1" t="str">
        <f t="shared" si="140"/>
        <v>Other</v>
      </c>
      <c r="AH230" s="88" t="str">
        <f t="shared" si="127"/>
        <v>"%USERPROFILE%\Documents\GitHub\eaglep3\Utilities\RefineRTDCRunTimes.py" --tripid 71-17 --locoid 4016 --swversion DE.1.0.8.0 --startMP 204:9879 --initTime 2017-01-18T01:15:09 --startdatetime 2017-01-18T01:17:21 --delay 1 --endMP 204:107543 --enddatetime 2017-01-18T01:40:53 --enforcementcount 0 &gt;&gt;C:\Users\stu\Documents\GitHub\eaglep3-reporting\EC\2017-01-17-refined-times.txt</v>
      </c>
      <c r="AI230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{"issue":{"subject":"","project_id":79,"tracker_id":40,"status_id":1,"priority_id":2,"assigned_to_id":23,"start_date":"2017-01-18","description":"","custom_fields":[{"id":1,"name":"Subdivision","value":"Other"},{"id":4,"name":"Milepost","value":"10.7543"},{"id":17,"name":"Train ID","value":"71-17"},{"id":16,"name":"Locomotive ID","value":"4016"},{"id":130,"name":"Impact","value":""},{"id":150,"name":"Time of Event (Mountain Time)","value":"01:40:53"},{"id":151,"name":"Denver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129"/>
        <v>start /low /b %USERPROFILE%\Documents\GitHub\eaglep3\Utilities\DownloadLogsFromS3.py --loco 4016 --day 2017-01-18</v>
      </c>
      <c r="AN230" s="18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"%USERPROFILE%\AppData\Local\Temp\OnboardLogs"\RTDC4016\*4016*20170118* | grep -SE "(Enforcement Action)|(\[TIMEOUT)|(CHR.+\|PRM\|1\|D.+(SWITCH|SIGNAL).+UNKNOWN)" - &gt;&gt; 2017-01-17-UncaughtWiMAX.txt</v>
      </c>
    </row>
    <row r="231" spans="1:91" x14ac:dyDescent="0.25">
      <c r="A231" s="34" t="s">
        <v>679</v>
      </c>
      <c r="B231" s="7">
        <v>4015</v>
      </c>
      <c r="C231" s="22" t="s">
        <v>201</v>
      </c>
      <c r="D231" s="22" t="s">
        <v>779</v>
      </c>
      <c r="E231" s="13">
        <v>42753.027685185189</v>
      </c>
      <c r="F231" s="13">
        <v>42753.031828703701</v>
      </c>
      <c r="G231" s="7">
        <v>1</v>
      </c>
      <c r="H231" s="22" t="s">
        <v>780</v>
      </c>
      <c r="I231" s="13">
        <v>42753.050636574073</v>
      </c>
      <c r="J231" s="7">
        <v>0</v>
      </c>
      <c r="K231" s="105" t="str">
        <f t="shared" si="130"/>
        <v>4015/4016</v>
      </c>
      <c r="L231" s="22" t="str">
        <f>VLOOKUP(A231,'Trips&amp;Operators'!$C$1:$G$99999,5,FALSE)</f>
        <v>DAVIDSON DAVID</v>
      </c>
      <c r="M231" s="6">
        <f t="shared" si="131"/>
        <v>1.880787037225673E-2</v>
      </c>
      <c r="N231" s="7">
        <f t="shared" si="132"/>
        <v>27.083333336049691</v>
      </c>
      <c r="O231" s="7"/>
      <c r="P231" s="7"/>
      <c r="Q231" s="23"/>
      <c r="R231" s="23"/>
      <c r="S231" s="32">
        <f t="shared" si="133"/>
        <v>0</v>
      </c>
      <c r="T231" s="47" t="e">
        <f t="shared" si="134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124"/>
        <v>https://d0f6bd738d7f1b3e5a7ca70fe4ff75f0.us-east-1.aws.found.io/app/kibana#/discover/Steve-Slow-Train-Analysis-(2080s-and-2083s)?_g=(refreshInterval:(display:Off,pause:!f,section:0,value:0),time:(from:'2017-01-17T23:39:52-0700',mode:absolute,to:'2017-01-18T02:12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1" s="49" t="str">
        <f t="shared" si="135"/>
        <v>N</v>
      </c>
      <c r="X231" s="173" t="e">
        <f t="shared" si="141"/>
        <v>#VALUE!</v>
      </c>
      <c r="Y231" s="64">
        <f t="shared" si="136"/>
        <v>10.6899</v>
      </c>
      <c r="Z231" s="64">
        <f t="shared" si="137"/>
        <v>0.95379999999999998</v>
      </c>
      <c r="AA231" s="64">
        <f t="shared" si="138"/>
        <v>9.7361000000000004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139"/>
        <v>72-17</v>
      </c>
      <c r="AE231" s="87" t="str">
        <f t="shared" si="125"/>
        <v>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 &amp; 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</v>
      </c>
      <c r="AF231" s="84" t="str">
        <f t="shared" si="126"/>
        <v>"C:\Program Files (x86)\AstroGrep\AstroGrep.exe" /spath="%USERPROFILE%\AppData\Local\Temp\OnboardLogs" /stypes="app*4015*20170118*" /stext=" 08:.+((SYSTEM_STATE.+slice.+state.+changed )|(ment ac)|(multiple cpu faults)|(system.+state.+changed )|(\[timeout)|(PRM\|1\|D)|(kpr)|(kdp)|(\|lc)|(penalty))" /e /r /s</v>
      </c>
      <c r="AG231" s="1" t="str">
        <f t="shared" si="140"/>
        <v>Other</v>
      </c>
      <c r="AH231" s="88" t="str">
        <f t="shared" si="127"/>
        <v>"%USERPROFILE%\Documents\GitHub\eaglep3\Utilities\RefineRTDCRunTimes.py" --tripid 72-17 --locoid 4015 --swversion DE.1.0.8.0 --startMP 204:106899 --initTime 2017-01-18T00:39:52 --startdatetime 2017-01-18T00:45:50 --delay 1 --endMP 204:9538 --enddatetime 2017-01-18T01:12:55 --enforcementcount 0 &gt;&gt;C:\Users\stu\Documents\GitHub\eaglep3-reporting\EC\2017-01-17-refined-times.txt</v>
      </c>
      <c r="AI231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{"issue":{"subject":"","project_id":79,"tracker_id":40,"status_id":1,"priority_id":2,"assigned_to_id":23,"start_date":"2017-01-18","description":"","custom_fields":[{"id":1,"name":"Subdivision","value":"Other"},{"id":4,"name":"Milepost","value":"0.9538"},{"id":17,"name":"Train ID","value":"72-17"},{"id":16,"name":"Locomotive ID","value":"4015"},{"id":130,"name":"Impact","value":""},{"id":150,"name":"Time of Event (Mountain Time)","value":"01:12:55"},{"id":151,"name":"Denver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129"/>
        <v>start /low /b %USERPROFILE%\Documents\GitHub\eaglep3\Utilities\DownloadLogsFromS3.py --loco 4015 --day 2017-01-18</v>
      </c>
      <c r="AN231" s="18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2017-01-17-UncaughtWiMAX.txt</v>
      </c>
    </row>
    <row r="232" spans="1:91" x14ac:dyDescent="0.25">
      <c r="A232" s="34" t="s">
        <v>679</v>
      </c>
      <c r="B232" s="7">
        <v>4015</v>
      </c>
      <c r="C232" s="22" t="s">
        <v>201</v>
      </c>
      <c r="D232" s="22" t="s">
        <v>781</v>
      </c>
      <c r="E232" s="13">
        <v>42753.107928240737</v>
      </c>
      <c r="F232" s="13">
        <v>42753.109710648147</v>
      </c>
      <c r="G232" s="7">
        <v>1</v>
      </c>
      <c r="H232" s="22" t="s">
        <v>782</v>
      </c>
      <c r="I232" s="13">
        <v>42753.126979166664</v>
      </c>
      <c r="J232" s="7">
        <v>0</v>
      </c>
      <c r="K232" s="105" t="str">
        <f t="shared" si="130"/>
        <v>4015/4016</v>
      </c>
      <c r="L232" s="22" t="str">
        <f>VLOOKUP(A232,'Trips&amp;Operators'!$C$1:$G$99999,5,FALSE)</f>
        <v>DAVIDSON DAVID</v>
      </c>
      <c r="M232" s="6">
        <f t="shared" si="131"/>
        <v>1.7268518517084885E-2</v>
      </c>
      <c r="N232" s="7">
        <f t="shared" si="132"/>
        <v>24.866666664602235</v>
      </c>
      <c r="O232" s="7"/>
      <c r="P232" s="7"/>
      <c r="Q232" s="23"/>
      <c r="R232" s="23"/>
      <c r="S232" s="32">
        <f t="shared" si="133"/>
        <v>0</v>
      </c>
      <c r="T232" s="47" t="e">
        <f t="shared" si="134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124"/>
        <v>https://d0f6bd738d7f1b3e5a7ca70fe4ff75f0.us-east-1.aws.found.io/app/kibana#/discover/Steve-Slow-Train-Analysis-(2080s-and-2083s)?_g=(refreshInterval:(display:Off,pause:!f,section:0,value:0),time:(from:'2017-01-18T01:35:25-0700',mode:absolute,to:'2017-01-18T04:02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2" s="49" t="str">
        <f t="shared" si="135"/>
        <v>N</v>
      </c>
      <c r="X232" s="173" t="e">
        <f t="shared" si="141"/>
        <v>#VALUE!</v>
      </c>
      <c r="Y232" s="64">
        <f t="shared" si="136"/>
        <v>10.708600000000001</v>
      </c>
      <c r="Z232" s="64">
        <f t="shared" si="137"/>
        <v>1.0176000000000001</v>
      </c>
      <c r="AA232" s="64">
        <f t="shared" si="138"/>
        <v>9.6910000000000007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139"/>
        <v>72-17</v>
      </c>
      <c r="AE232" s="87" t="str">
        <f t="shared" si="125"/>
        <v>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 &amp; 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</v>
      </c>
      <c r="AF232" s="84" t="str">
        <f t="shared" si="126"/>
        <v>"C:\Program Files (x86)\AstroGrep\AstroGrep.exe" /spath="%USERPROFILE%\AppData\Local\Temp\OnboardLogs" /stypes="app*4015*20170118*" /stext=" 10:.+((SYSTEM_STATE.+slice.+state.+changed )|(ment ac)|(multiple cpu faults)|(system.+state.+changed )|(\[timeout)|(PRM\|1\|D)|(kpr)|(kdp)|(\|lc)|(penalty))" /e /r /s</v>
      </c>
      <c r="AG232" s="1" t="str">
        <f t="shared" si="140"/>
        <v>Other</v>
      </c>
      <c r="AH232" s="88" t="str">
        <f t="shared" si="127"/>
        <v>"%USERPROFILE%\Documents\GitHub\eaglep3\Utilities\RefineRTDCRunTimes.py" --tripid 72-17 --locoid 4015 --swversion DE.1.0.8.0 --startMP 204:107086 --initTime 2017-01-18T02:35:25 --startdatetime 2017-01-18T02:37:59 --delay 1 --endMP 204:10176 --enddatetime 2017-01-18T03:02:51 --enforcementcount 0 &gt;&gt;C:\Users\stu\Documents\GitHub\eaglep3-reporting\EC\2017-01-17-refined-times.txt</v>
      </c>
      <c r="AI232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{"issue":{"subject":"","project_id":79,"tracker_id":40,"status_id":1,"priority_id":2,"assigned_to_id":23,"start_date":"2017-01-18","description":"","custom_fields":[{"id":1,"name":"Subdivision","value":"Other"},{"id":4,"name":"Milepost","value":"1.0176"},{"id":17,"name":"Train ID","value":"72-17"},{"id":16,"name":"Locomotive ID","value":"4015"},{"id":130,"name":"Impact","value":""},{"id":150,"name":"Time of Event (Mountain Time)","value":"03:02:51"},{"id":151,"name":"Denver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129"/>
        <v>start /low /b %USERPROFILE%\Documents\GitHub\eaglep3\Utilities\DownloadLogsFromS3.py --loco 4015 --day 2017-01-18</v>
      </c>
      <c r="AN232" s="189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2017-01-17-UncaughtWiMAX.txt</v>
      </c>
    </row>
    <row r="233" spans="1:91" x14ac:dyDescent="0.25">
      <c r="A233" s="34" t="s">
        <v>679</v>
      </c>
      <c r="B233" s="7">
        <v>4015</v>
      </c>
      <c r="C233" s="22" t="s">
        <v>201</v>
      </c>
      <c r="D233" s="22" t="s">
        <v>783</v>
      </c>
      <c r="E233" s="13">
        <v>42753.071770833332</v>
      </c>
      <c r="F233" s="13">
        <v>42753.109710648147</v>
      </c>
      <c r="G233" s="7">
        <v>1</v>
      </c>
      <c r="H233" s="22" t="s">
        <v>784</v>
      </c>
      <c r="I233" s="13">
        <v>42753.126979166664</v>
      </c>
      <c r="J233" s="7">
        <v>0</v>
      </c>
      <c r="K233" s="105" t="str">
        <f t="shared" si="130"/>
        <v>4015/4016</v>
      </c>
      <c r="L233" s="22" t="str">
        <f>VLOOKUP(A233,'Trips&amp;Operators'!$C$1:$G$99999,5,FALSE)</f>
        <v>DAVIDSON DAVID</v>
      </c>
      <c r="M233" s="6">
        <f t="shared" si="131"/>
        <v>1.7268518517084885E-2</v>
      </c>
      <c r="N233" s="7">
        <f t="shared" si="132"/>
        <v>24.866666664602235</v>
      </c>
      <c r="O233" s="7"/>
      <c r="P233" s="7"/>
      <c r="Q233" s="23"/>
      <c r="R233" s="23"/>
      <c r="S233" s="32">
        <f t="shared" si="133"/>
        <v>0</v>
      </c>
      <c r="T233" s="47" t="e">
        <f t="shared" si="134"/>
        <v>#VALUE!</v>
      </c>
      <c r="U233" s="16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124"/>
        <v>https://d0f6bd738d7f1b3e5a7ca70fe4ff75f0.us-east-1.aws.found.io/app/kibana#/discover/Steve-Slow-Train-Analysis-(2080s-and-2083s)?_g=(refreshInterval:(display:Off,pause:!f,section:0,value:0),time:(from:'2017-01-18T00:43:21-0700',mode:absolute,to:'2017-01-18T04:02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3" s="49" t="str">
        <f t="shared" si="135"/>
        <v>N</v>
      </c>
      <c r="X233" s="173" t="e">
        <f t="shared" si="141"/>
        <v>#VALUE!</v>
      </c>
      <c r="Y233" s="64">
        <f t="shared" si="136"/>
        <v>10.7212</v>
      </c>
      <c r="Z233" s="64">
        <f t="shared" si="137"/>
        <v>1.0185</v>
      </c>
      <c r="AA233" s="64">
        <f t="shared" si="138"/>
        <v>9.7027000000000001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139"/>
        <v>72-17</v>
      </c>
      <c r="AE233" s="87" t="str">
        <f t="shared" si="125"/>
        <v>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 &amp; aws s3 cp s3://rtdc.mdm.uploadarchive.raw/RTDC4015/ "%USERPROFILE%\AppData\Local\Temp\OnboardLogs"\RTDC4015\2017-01-19 --exclude "*" --recursive --include "*20170119*" &amp; "%USERPROFILE%\Documents\GitHub\mrs-test-scripts\Headless Mode &amp; Sideloading\WalkAndUnGZ.bat" "%USERPROFILE%\AppData\Local\Temp\OnboardLogs"\RTDC4015\2017-01-19</v>
      </c>
      <c r="AF233" s="84" t="str">
        <f t="shared" si="126"/>
        <v>"C:\Program Files (x86)\AstroGrep\AstroGrep.exe" /spath="%USERPROFILE%\AppData\Local\Temp\OnboardLogs" /stypes="app*4015*20170118*" /stext=" 10:.+((SYSTEM_STATE.+slice.+state.+changed )|(ment ac)|(multiple cpu faults)|(system.+state.+changed )|(\[timeout)|(PRM\|1\|D)|(kpr)|(kdp)|(\|lc)|(penalty))" /e /r /s</v>
      </c>
      <c r="AG233" s="1" t="str">
        <f t="shared" si="140"/>
        <v>Other</v>
      </c>
      <c r="AH233" s="88" t="str">
        <f t="shared" si="127"/>
        <v>"%USERPROFILE%\Documents\GitHub\eaglep3\Utilities\RefineRTDCRunTimes.py" --tripid 72-17 --locoid 4015 --swversion DE.1.0.8.0 --startMP 204:107212 --initTime 2017-01-18T01:43:21 --startdatetime 2017-01-18T02:37:59 --delay 1 --endMP 204:10185 --enddatetime 2017-01-18T03:02:51 --enforcementcount 0 &gt;&gt;C:\Users\stu\Documents\GitHub\eaglep3-reporting\EC\2017-01-17-refined-times.txt</v>
      </c>
      <c r="AI233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{"issue":{"subject":"","project_id":79,"tracker_id":40,"status_id":1,"priority_id":2,"assigned_to_id":23,"start_date":"2017-01-18","description":"","custom_fields":[{"id":1,"name":"Subdivision","value":"Other"},{"id":4,"name":"Milepost","value":"1.0185"},{"id":17,"name":"Train ID","value":"72-17"},{"id":16,"name":"Locomotive ID","value":"4015"},{"id":130,"name":"Impact","value":""},{"id":150,"name":"Time of Event (Mountain Time)","value":"03:02:51"},{"id":151,"name":"Denver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80" t="str">
        <f t="shared" si="129"/>
        <v>start /low /b %USERPROFILE%\Documents\GitHub\eaglep3\Utilities\DownloadLogsFromS3.py --loco 4015 --day 2017-01-18</v>
      </c>
      <c r="AN233" s="189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"%USERPROFILE%\AppData\Local\Temp\OnboardLogs"\RTDC4015\*4015*20170118* | grep -SE "(Enforcement Action)|(\[TIMEOUT)|(CHR.+\|PRM\|1\|D.+(SWITCH|SIGNAL).+UNKNOWN)" - &gt;&gt; 2017-01-17-UncaughtWiMAX.txt</v>
      </c>
    </row>
    <row r="234" spans="1:91" x14ac:dyDescent="0.25">
      <c r="A234" s="34" t="s">
        <v>677</v>
      </c>
      <c r="B234" s="7">
        <v>4022</v>
      </c>
      <c r="C234" s="22" t="s">
        <v>201</v>
      </c>
      <c r="D234" s="22" t="s">
        <v>813</v>
      </c>
      <c r="E234" s="13">
        <v>42753.097129629627</v>
      </c>
      <c r="F234" s="13">
        <v>42753.101701388892</v>
      </c>
      <c r="G234" s="7">
        <v>1</v>
      </c>
      <c r="H234" s="22" t="s">
        <v>814</v>
      </c>
      <c r="I234" s="13">
        <v>42753.115590277775</v>
      </c>
      <c r="J234" s="7">
        <v>0</v>
      </c>
      <c r="K234" s="105" t="str">
        <f t="shared" si="130"/>
        <v>4021/4022</v>
      </c>
      <c r="L234" s="22" t="str">
        <f>VLOOKUP(A234,'Trips&amp;Operators'!$C$1:$G$99999,5,FALSE)</f>
        <v>SAFIEF AEIMEN</v>
      </c>
      <c r="M234" s="6">
        <f t="shared" si="131"/>
        <v>1.3888888883229811E-2</v>
      </c>
      <c r="N234" s="7">
        <f t="shared" si="132"/>
        <v>19.999999991850927</v>
      </c>
      <c r="O234" s="7"/>
      <c r="P234" s="7"/>
      <c r="Q234" s="23"/>
      <c r="R234" s="23"/>
      <c r="S234" s="32">
        <f t="shared" si="133"/>
        <v>0</v>
      </c>
      <c r="T234" s="47" t="e">
        <f t="shared" si="134"/>
        <v>#VALUE!</v>
      </c>
      <c r="U234" s="16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124"/>
        <v>https://d0f6bd738d7f1b3e5a7ca70fe4ff75f0.us-east-1.aws.found.io/app/kibana#/discover/Steve-Slow-Train-Analysis-(2080s-and-2083s)?_g=(refreshInterval:(display:Off,pause:!f,section:0,value:0),time:(from:'2017-01-18T01:19:52-0700',mode:absolute,to:'2017-01-18T03:46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49" t="str">
        <f t="shared" si="135"/>
        <v>N</v>
      </c>
      <c r="X234" s="173" t="e">
        <f t="shared" si="141"/>
        <v>#VALUE!</v>
      </c>
      <c r="Y234" s="64">
        <f t="shared" si="136"/>
        <v>1.0276000000000001</v>
      </c>
      <c r="Z234" s="64">
        <f t="shared" si="137"/>
        <v>10.717700000000001</v>
      </c>
      <c r="AA234" s="64">
        <f t="shared" si="138"/>
        <v>9.690100000000001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139"/>
        <v>83-17</v>
      </c>
      <c r="AE234" s="87" t="str">
        <f t="shared" si="125"/>
        <v>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 &amp; 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</v>
      </c>
      <c r="AF234" s="84" t="str">
        <f t="shared" si="126"/>
        <v>"C:\Program Files (x86)\AstroGrep\AstroGrep.exe" /spath="%USERPROFILE%\AppData\Local\Temp\OnboardLogs" /stypes="app*4022*20170118*" /stext=" 09:.+((SYSTEM_STATE.+slice.+state.+changed )|(ment ac)|(multiple cpu faults)|(system.+state.+changed )|(\[timeout)|(PRM\|1\|D)|(kpr)|(kdp)|(\|lc)|(penalty))" /e /r /s</v>
      </c>
      <c r="AG234" s="1" t="str">
        <f t="shared" si="140"/>
        <v>Other</v>
      </c>
      <c r="AH234" s="88" t="str">
        <f t="shared" si="127"/>
        <v>"%USERPROFILE%\Documents\GitHub\eaglep3\Utilities\RefineRTDCRunTimes.py" --tripid 83-17 --locoid 4022 --swversion DE.1.0.8.0 --startMP 204:10276 --initTime 2017-01-18T02:19:52 --startdatetime 2017-01-18T02:26:27 --delay 1 --endMP 204:107177 --enddatetime 2017-01-18T02:46:27 --enforcementcount 0 &gt;&gt;C:\Users\stu\Documents\GitHub\eaglep3-reporting\EC\2017-01-17-refined-times.txt</v>
      </c>
      <c r="AI234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{"issue":{"subject":"","project_id":79,"tracker_id":40,"status_id":1,"priority_id":2,"assigned_to_id":23,"start_date":"2017-01-18","description":"","custom_fields":[{"id":1,"name":"Subdivision","value":"Other"},{"id":4,"name":"Milepost","value":"10.7177"},{"id":17,"name":"Train ID","value":"83-17"},{"id":16,"name":"Locomotive ID","value":"4022"},{"id":130,"name":"Impact","value":""},{"id":150,"name":"Time of Event (Mountain Time)","value":"02:46:27"},{"id":151,"name":"Denver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80" t="str">
        <f t="shared" si="129"/>
        <v>start /low /b %USERPROFILE%\Documents\GitHub\eaglep3\Utilities\DownloadLogsFromS3.py --loco 4022 --day 2017-01-18</v>
      </c>
      <c r="AN234" s="189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2017-01-17-UncaughtWiMAX.txt</v>
      </c>
    </row>
    <row r="235" spans="1:91" x14ac:dyDescent="0.25">
      <c r="A235" s="34" t="s">
        <v>677</v>
      </c>
      <c r="B235" s="7">
        <v>4022</v>
      </c>
      <c r="C235" s="22" t="s">
        <v>201</v>
      </c>
      <c r="D235" s="22" t="s">
        <v>815</v>
      </c>
      <c r="E235" s="13">
        <v>42753.059664351851</v>
      </c>
      <c r="F235" s="13">
        <v>42753.101701388892</v>
      </c>
      <c r="G235" s="7">
        <v>1</v>
      </c>
      <c r="H235" s="22" t="s">
        <v>816</v>
      </c>
      <c r="I235" s="13">
        <v>42753.115590277775</v>
      </c>
      <c r="J235" s="7">
        <v>0</v>
      </c>
      <c r="K235" s="105" t="str">
        <f t="shared" si="130"/>
        <v>4021/4022</v>
      </c>
      <c r="L235" s="22" t="str">
        <f>VLOOKUP(A235,'Trips&amp;Operators'!$C$1:$G$99999,5,FALSE)</f>
        <v>SAFIEF AEIMEN</v>
      </c>
      <c r="M235" s="6">
        <f t="shared" si="131"/>
        <v>1.3888888883229811E-2</v>
      </c>
      <c r="N235" s="7">
        <f t="shared" si="132"/>
        <v>19.999999991850927</v>
      </c>
      <c r="O235" s="7"/>
      <c r="P235" s="7"/>
      <c r="Q235" s="23"/>
      <c r="R235" s="23"/>
      <c r="S235" s="32">
        <f t="shared" si="133"/>
        <v>0</v>
      </c>
      <c r="T235" s="47" t="e">
        <f t="shared" si="134"/>
        <v>#VALUE!</v>
      </c>
      <c r="U235" s="16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4" t="str">
        <f t="shared" si="124"/>
        <v>https://d0f6bd738d7f1b3e5a7ca70fe4ff75f0.us-east-1.aws.found.io/app/kibana#/discover/Steve-Slow-Train-Analysis-(2080s-and-2083s)?_g=(refreshInterval:(display:Off,pause:!f,section:0,value:0),time:(from:'2017-01-18T00:25:55-0700',mode:absolute,to:'2017-01-18T03:46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49" t="str">
        <f t="shared" si="135"/>
        <v>N</v>
      </c>
      <c r="X235" s="173" t="e">
        <f t="shared" si="141"/>
        <v>#VALUE!</v>
      </c>
      <c r="Y235" s="64">
        <f t="shared" si="136"/>
        <v>1.0456000000000001</v>
      </c>
      <c r="Z235" s="64">
        <f t="shared" si="137"/>
        <v>10.706899999999999</v>
      </c>
      <c r="AA235" s="64">
        <f t="shared" si="138"/>
        <v>9.6612999999999989</v>
      </c>
      <c r="AB235" s="61" t="e">
        <f>VLOOKUP(A235,Enforcements!$C$7:$K$16,8,0)</f>
        <v>#N/A</v>
      </c>
      <c r="AC235" s="57" t="e">
        <f>VLOOKUP(A235,Enforcements!$C$7:$E$16,3,0)</f>
        <v>#N/A</v>
      </c>
      <c r="AD235" s="58" t="str">
        <f t="shared" si="139"/>
        <v>83-17</v>
      </c>
      <c r="AE235" s="87" t="str">
        <f t="shared" si="125"/>
        <v>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 &amp; 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</v>
      </c>
      <c r="AF235" s="84" t="str">
        <f t="shared" si="126"/>
        <v>"C:\Program Files (x86)\AstroGrep\AstroGrep.exe" /spath="%USERPROFILE%\AppData\Local\Temp\OnboardLogs" /stypes="app*4022*20170118*" /stext=" 09:.+((SYSTEM_STATE.+slice.+state.+changed )|(ment ac)|(multiple cpu faults)|(system.+state.+changed )|(\[timeout)|(PRM\|1\|D)|(kpr)|(kdp)|(\|lc)|(penalty))" /e /r /s</v>
      </c>
      <c r="AG235" s="1" t="str">
        <f t="shared" si="140"/>
        <v>Other</v>
      </c>
      <c r="AH235" s="88" t="str">
        <f t="shared" si="127"/>
        <v>"%USERPROFILE%\Documents\GitHub\eaglep3\Utilities\RefineRTDCRunTimes.py" --tripid 83-17 --locoid 4022 --swversion DE.1.0.8.0 --startMP 204:10456 --initTime 2017-01-18T01:25:55 --startdatetime 2017-01-18T02:26:27 --delay 1 --endMP 204:107069 --enddatetime 2017-01-18T02:46:27 --enforcementcount 0 &gt;&gt;C:\Users\stu\Documents\GitHub\eaglep3-reporting\EC\2017-01-17-refined-times.txt</v>
      </c>
      <c r="AI235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{"issue":{"subject":"","project_id":79,"tracker_id":40,"status_id":1,"priority_id":2,"assigned_to_id":23,"start_date":"2017-01-18","description":"","custom_fields":[{"id":1,"name":"Subdivision","value":"Other"},{"id":4,"name":"Milepost","value":"10.7069"},{"id":17,"name":"Train ID","value":"83-17"},{"id":16,"name":"Locomotive ID","value":"4022"},{"id":130,"name":"Impact","value":""},{"id":150,"name":"Time of Event (Mountain Time)","value":"02:46:27"},{"id":151,"name":"Denver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0"/>
      <c r="AK235" s="50"/>
      <c r="AL235" s="50"/>
      <c r="AM235" s="180" t="str">
        <f t="shared" si="129"/>
        <v>start /low /b %USERPROFILE%\Documents\GitHub\eaglep3\Utilities\DownloadLogsFromS3.py --loco 4022 --day 2017-01-18</v>
      </c>
      <c r="AN235" s="189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2017-01-17-UncaughtWiMAX.txt</v>
      </c>
    </row>
    <row r="236" spans="1:91" x14ac:dyDescent="0.25">
      <c r="A236" s="34" t="s">
        <v>677</v>
      </c>
      <c r="B236" s="7">
        <v>4022</v>
      </c>
      <c r="C236" s="22" t="s">
        <v>201</v>
      </c>
      <c r="D236" s="22" t="s">
        <v>287</v>
      </c>
      <c r="E236" s="13">
        <v>42753.001967592594</v>
      </c>
      <c r="F236" s="13">
        <v>42753.00508101852</v>
      </c>
      <c r="G236" s="7">
        <v>1</v>
      </c>
      <c r="H236" s="22" t="s">
        <v>817</v>
      </c>
      <c r="I236" s="13">
        <v>42753.038460648146</v>
      </c>
      <c r="J236" s="7">
        <v>0</v>
      </c>
      <c r="K236" s="105" t="str">
        <f t="shared" si="130"/>
        <v>4021/4022</v>
      </c>
      <c r="L236" s="22" t="str">
        <f>VLOOKUP(A236,'Trips&amp;Operators'!$C$1:$G$99999,5,FALSE)</f>
        <v>SAFIEF AEIMEN</v>
      </c>
      <c r="M236" s="6">
        <f t="shared" si="131"/>
        <v>3.3379629625414964E-2</v>
      </c>
      <c r="N236" s="7">
        <f t="shared" si="132"/>
        <v>48.066666660597548</v>
      </c>
      <c r="O236" s="7"/>
      <c r="P236" s="7"/>
      <c r="Q236" s="23"/>
      <c r="R236" s="23"/>
      <c r="S236" s="32">
        <f t="shared" si="133"/>
        <v>0</v>
      </c>
      <c r="T236" s="47" t="e">
        <f t="shared" si="134"/>
        <v>#VALUE!</v>
      </c>
      <c r="U236" s="16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4" t="str">
        <f t="shared" si="124"/>
        <v>https://d0f6bd738d7f1b3e5a7ca70fe4ff75f0.us-east-1.aws.found.io/app/kibana#/discover/Steve-Slow-Train-Analysis-(2080s-and-2083s)?_g=(refreshInterval:(display:Off,pause:!f,section:0,value:0),time:(from:'2017-01-17T23:02:50-0700',mode:absolute,to:'2017-01-18T01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6" s="49" t="str">
        <f t="shared" si="135"/>
        <v>N</v>
      </c>
      <c r="X236" s="173" t="e">
        <f t="shared" si="141"/>
        <v>#VALUE!</v>
      </c>
      <c r="Y236" s="64">
        <f t="shared" si="136"/>
        <v>4.4200000000000003E-2</v>
      </c>
      <c r="Z236" s="64">
        <f t="shared" si="137"/>
        <v>10.707700000000001</v>
      </c>
      <c r="AA236" s="64">
        <f t="shared" si="138"/>
        <v>10.663500000000001</v>
      </c>
      <c r="AB236" s="61" t="e">
        <f>VLOOKUP(A236,Enforcements!$C$7:$K$16,8,0)</f>
        <v>#N/A</v>
      </c>
      <c r="AC236" s="57" t="e">
        <f>VLOOKUP(A236,Enforcements!$C$7:$E$16,3,0)</f>
        <v>#N/A</v>
      </c>
      <c r="AD236" s="58" t="str">
        <f t="shared" si="139"/>
        <v>83-17</v>
      </c>
      <c r="AE236" s="87" t="str">
        <f t="shared" si="125"/>
        <v>aws s3 cp s3://rtdc.mdm.uploadarchive.raw/RTDC4022/ "%USERPROFILE%\AppData\Local\Temp\OnboardLogs"\RTDC4022\2017-01-18 --exclude "*" --recursive --include "*20170118*" &amp; "%USERPROFILE%\Documents\GitHub\mrs-test-scripts\Headless Mode &amp; Sideloading\WalkAndUnGZ.bat" "%USERPROFILE%\AppData\Local\Temp\OnboardLogs"\RTDC4022\2017-01-18 &amp; aws s3 cp s3://rtdc.mdm.uploadarchive.raw/RTDC4022/ "%USERPROFILE%\AppData\Local\Temp\OnboardLogs"\RTDC4022\2017-01-19 --exclude "*" --recursive --include "*20170119*" &amp; "%USERPROFILE%\Documents\GitHub\mrs-test-scripts\Headless Mode &amp; Sideloading\WalkAndUnGZ.bat" "%USERPROFILE%\AppData\Local\Temp\OnboardLogs"\RTDC4022\2017-01-19</v>
      </c>
      <c r="AF236" s="84" t="str">
        <f t="shared" si="126"/>
        <v>"C:\Program Files (x86)\AstroGrep\AstroGrep.exe" /spath="%USERPROFILE%\AppData\Local\Temp\OnboardLogs" /stypes="app*4022*20170118*" /stext=" 07:.+((SYSTEM_STATE.+slice.+state.+changed )|(ment ac)|(multiple cpu faults)|(system.+state.+changed )|(\[timeout)|(PRM\|1\|D)|(kpr)|(kdp)|(\|lc)|(penalty))" /e /r /s</v>
      </c>
      <c r="AG236" s="1" t="str">
        <f t="shared" si="140"/>
        <v>Other</v>
      </c>
      <c r="AH236" s="88" t="str">
        <f t="shared" si="127"/>
        <v>"%USERPROFILE%\Documents\GitHub\eaglep3\Utilities\RefineRTDCRunTimes.py" --tripid 83-17 --locoid 4022 --swversion DE.1.0.8.0 --startMP 204:442 --initTime 2017-01-18T00:02:50 --startdatetime 2017-01-18T00:07:19 --delay 1 --endMP 204:107077 --enddatetime 2017-01-18T00:55:23 --enforcementcount 0 &gt;&gt;C:\Users\stu\Documents\GitHub\eaglep3-reporting\EC\2017-01-17-refined-times.txt</v>
      </c>
      <c r="AI236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{"issue":{"subject":"","project_id":79,"tracker_id":40,"status_id":1,"priority_id":2,"assigned_to_id":23,"start_date":"2017-01-18","description":"","custom_fields":[{"id":1,"name":"Subdivision","value":"Other"},{"id":4,"name":"Milepost","value":"10.7077"},{"id":17,"name":"Train ID","value":"83-17"},{"id":16,"name":"Locomotive ID","value":"4022"},{"id":130,"name":"Impact","value":""},{"id":150,"name":"Time of Event (Mountain Time)","value":"00:55:23"},{"id":151,"name":"Denver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0"/>
      <c r="AK236" s="50"/>
      <c r="AL236" s="50"/>
      <c r="AM236" s="180" t="str">
        <f t="shared" si="129"/>
        <v>start /low /b %USERPROFILE%\Documents\GitHub\eaglep3\Utilities\DownloadLogsFromS3.py --loco 4022 --day 2017-01-18</v>
      </c>
      <c r="AN236" s="189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"%USERPROFILE%\AppData\Local\Temp\OnboardLogs"\RTDC4022\*4022*20170118* | grep -SE "(Enforcement Action)|(\[TIMEOUT)|(CHR.+\|PRM\|1\|D.+(SWITCH|SIGNAL).+UNKNOWN)" - &gt;&gt; 2017-01-17-UncaughtWiMAX.txt</v>
      </c>
    </row>
    <row r="237" spans="1:91" x14ac:dyDescent="0.25">
      <c r="A237" s="34" t="s">
        <v>680</v>
      </c>
      <c r="B237" s="7">
        <v>4021</v>
      </c>
      <c r="C237" s="22" t="s">
        <v>201</v>
      </c>
      <c r="D237" s="22" t="s">
        <v>827</v>
      </c>
      <c r="E237" s="13">
        <v>42753.080358796295</v>
      </c>
      <c r="F237" s="13">
        <v>42753.083298611113</v>
      </c>
      <c r="G237" s="7">
        <v>1</v>
      </c>
      <c r="H237" s="22" t="s">
        <v>828</v>
      </c>
      <c r="I237" s="13">
        <v>42753.095625000002</v>
      </c>
      <c r="J237" s="7">
        <v>0</v>
      </c>
      <c r="K237" s="105" t="str">
        <f t="shared" si="130"/>
        <v>4021/4022</v>
      </c>
      <c r="L237" s="22" t="str">
        <f>VLOOKUP(A237,'Trips&amp;Operators'!$C$1:$G$99999,5,FALSE)</f>
        <v>SAFIEF AEIMEN</v>
      </c>
      <c r="M237" s="6">
        <f t="shared" si="131"/>
        <v>1.2326388889050577E-2</v>
      </c>
      <c r="N237" s="7">
        <f t="shared" si="132"/>
        <v>17.750000000232831</v>
      </c>
      <c r="O237" s="7"/>
      <c r="P237" s="7"/>
      <c r="Q237" s="23"/>
      <c r="R237" s="23"/>
      <c r="S237" s="32">
        <f t="shared" si="133"/>
        <v>0</v>
      </c>
      <c r="T237" s="47" t="e">
        <f t="shared" si="134"/>
        <v>#VALUE!</v>
      </c>
      <c r="U237" s="16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4" t="str">
        <f t="shared" si="124"/>
        <v>https://d0f6bd738d7f1b3e5a7ca70fe4ff75f0.us-east-1.aws.found.io/app/kibana#/discover/Steve-Slow-Train-Analysis-(2080s-and-2083s)?_g=(refreshInterval:(display:Off,pause:!f,section:0,value:0),time:(from:'2017-01-18T00:55:43-0700',mode:absolute,to:'2017-01-18T03:17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49" t="str">
        <f t="shared" si="135"/>
        <v>N</v>
      </c>
      <c r="X237" s="173" t="e">
        <f t="shared" si="141"/>
        <v>#VALUE!</v>
      </c>
      <c r="Y237" s="64">
        <f t="shared" si="136"/>
        <v>10.6738</v>
      </c>
      <c r="Z237" s="64">
        <f t="shared" si="137"/>
        <v>1.0043</v>
      </c>
      <c r="AA237" s="64">
        <f t="shared" si="138"/>
        <v>9.6694999999999993</v>
      </c>
      <c r="AB237" s="61" t="e">
        <f>VLOOKUP(A237,Enforcements!$C$7:$K$16,8,0)</f>
        <v>#N/A</v>
      </c>
      <c r="AC237" s="57" t="e">
        <f>VLOOKUP(A237,Enforcements!$C$7:$E$16,3,0)</f>
        <v>#N/A</v>
      </c>
      <c r="AD237" s="58" t="str">
        <f t="shared" si="139"/>
        <v>84-17</v>
      </c>
      <c r="AE237" s="87" t="str">
        <f t="shared" si="125"/>
        <v>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 &amp; 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</v>
      </c>
      <c r="AF237" s="84" t="str">
        <f t="shared" si="126"/>
        <v>"C:\Program Files (x86)\AstroGrep\AstroGrep.exe" /spath="%USERPROFILE%\AppData\Local\Temp\OnboardLogs" /stypes="app*4021*20170118*" /stext=" 09:.+((SYSTEM_STATE.+slice.+state.+changed )|(ment ac)|(multiple cpu faults)|(system.+state.+changed )|(\[timeout)|(PRM\|1\|D)|(kpr)|(kdp)|(\|lc)|(penalty))" /e /r /s</v>
      </c>
      <c r="AG237" s="1" t="str">
        <f t="shared" si="140"/>
        <v>Other</v>
      </c>
      <c r="AH237" s="88" t="str">
        <f t="shared" si="127"/>
        <v>"%USERPROFILE%\Documents\GitHub\eaglep3\Utilities\RefineRTDCRunTimes.py" --tripid 84-17 --locoid 4021 --swversion DE.1.0.8.0 --startMP 204:106738 --initTime 2017-01-18T01:55:43 --startdatetime 2017-01-18T01:59:57 --delay 1 --endMP 204:10043 --enddatetime 2017-01-18T02:17:42 --enforcementcount 0 &gt;&gt;C:\Users\stu\Documents\GitHub\eaglep3-reporting\EC\2017-01-17-refined-times.txt</v>
      </c>
      <c r="AI237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{"issue":{"subject":"","project_id":79,"tracker_id":40,"status_id":1,"priority_id":2,"assigned_to_id":23,"start_date":"2017-01-18","description":"","custom_fields":[{"id":1,"name":"Subdivision","value":"Other"},{"id":4,"name":"Milepost","value":"1.0043"},{"id":17,"name":"Train ID","value":"84-17"},{"id":16,"name":"Locomotive ID","value":"4021"},{"id":130,"name":"Impact","value":""},{"id":150,"name":"Time of Event (Mountain Time)","value":"02:17:42"},{"id":151,"name":"Denver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0"/>
      <c r="AK237" s="50"/>
      <c r="AL237" s="50"/>
      <c r="AM237" s="180" t="str">
        <f t="shared" si="129"/>
        <v>start /low /b %USERPROFILE%\Documents\GitHub\eaglep3\Utilities\DownloadLogsFromS3.py --loco 4021 --day 2017-01-18</v>
      </c>
      <c r="AN237" s="189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2017-01-17-UncaughtWiMAX.txt</v>
      </c>
    </row>
    <row r="238" spans="1:91" x14ac:dyDescent="0.25">
      <c r="A238" s="34" t="s">
        <v>680</v>
      </c>
      <c r="B238" s="7">
        <v>4021</v>
      </c>
      <c r="C238" s="22" t="s">
        <v>201</v>
      </c>
      <c r="D238" s="22" t="s">
        <v>829</v>
      </c>
      <c r="E238" s="13">
        <v>42753.040185185186</v>
      </c>
      <c r="F238" s="13">
        <v>42753.046550925923</v>
      </c>
      <c r="G238" s="7">
        <v>2</v>
      </c>
      <c r="H238" s="22" t="s">
        <v>830</v>
      </c>
      <c r="I238" s="13">
        <v>42753.058194444442</v>
      </c>
      <c r="J238" s="7">
        <v>0</v>
      </c>
      <c r="K238" s="105" t="str">
        <f t="shared" si="130"/>
        <v>4021/4022</v>
      </c>
      <c r="L238" s="22" t="str">
        <f>VLOOKUP(A238,'Trips&amp;Operators'!$C$1:$G$99999,5,FALSE)</f>
        <v>SAFIEF AEIMEN</v>
      </c>
      <c r="M238" s="6">
        <f t="shared" si="131"/>
        <v>1.1643518519122154E-2</v>
      </c>
      <c r="N238" s="7">
        <f t="shared" si="132"/>
        <v>16.766666667535901</v>
      </c>
      <c r="O238" s="7"/>
      <c r="P238" s="7"/>
      <c r="Q238" s="23"/>
      <c r="R238" s="23"/>
      <c r="S238" s="32">
        <f t="shared" si="133"/>
        <v>0</v>
      </c>
      <c r="T238" s="47" t="e">
        <f t="shared" si="134"/>
        <v>#VALUE!</v>
      </c>
      <c r="U238" s="16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4" t="str">
        <f t="shared" si="124"/>
        <v>https://d0f6bd738d7f1b3e5a7ca70fe4ff75f0.us-east-1.aws.found.io/app/kibana#/discover/Steve-Slow-Train-Analysis-(2080s-and-2083s)?_g=(refreshInterval:(display:Off,pause:!f,section:0,value:0),time:(from:'2017-01-17T23:57:52-0700',mode:absolute,to:'2017-01-18T02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8" s="49" t="str">
        <f t="shared" si="135"/>
        <v>N</v>
      </c>
      <c r="X238" s="173" t="e">
        <f t="shared" si="141"/>
        <v>#VALUE!</v>
      </c>
      <c r="Y238" s="64">
        <f t="shared" si="136"/>
        <v>10.6754</v>
      </c>
      <c r="Z238" s="64">
        <f t="shared" si="137"/>
        <v>1.0219</v>
      </c>
      <c r="AA238" s="64">
        <f t="shared" si="138"/>
        <v>9.6534999999999993</v>
      </c>
      <c r="AB238" s="61" t="e">
        <f>VLOOKUP(A238,Enforcements!$C$7:$K$16,8,0)</f>
        <v>#N/A</v>
      </c>
      <c r="AC238" s="57" t="e">
        <f>VLOOKUP(A238,Enforcements!$C$7:$E$16,3,0)</f>
        <v>#N/A</v>
      </c>
      <c r="AD238" s="58" t="str">
        <f t="shared" si="139"/>
        <v>84-17</v>
      </c>
      <c r="AE238" s="87" t="str">
        <f t="shared" si="125"/>
        <v>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 &amp; aws s3 cp s3://rtdc.mdm.uploadarchive.raw/RTDC4021/ "%USERPROFILE%\AppData\Local\Temp\OnboardLogs"\RTDC4021\2017-01-19 --exclude "*" --recursive --include "*20170119*" &amp; "%USERPROFILE%\Documents\GitHub\mrs-test-scripts\Headless Mode &amp; Sideloading\WalkAndUnGZ.bat" "%USERPROFILE%\AppData\Local\Temp\OnboardLogs"\RTDC4021\2017-01-19</v>
      </c>
      <c r="AF238" s="84" t="str">
        <f t="shared" si="126"/>
        <v>"C:\Program Files (x86)\AstroGrep\AstroGrep.exe" /spath="%USERPROFILE%\AppData\Local\Temp\OnboardLogs" /stypes="app*4021*20170118*" /stext=" 08:.+((SYSTEM_STATE.+slice.+state.+changed )|(ment ac)|(multiple cpu faults)|(system.+state.+changed )|(\[timeout)|(PRM\|1\|D)|(kpr)|(kdp)|(\|lc)|(penalty))" /e /r /s</v>
      </c>
      <c r="AG238" s="1" t="str">
        <f t="shared" si="140"/>
        <v>Other</v>
      </c>
      <c r="AH238" s="88" t="str">
        <f t="shared" si="127"/>
        <v>"%USERPROFILE%\Documents\GitHub\eaglep3\Utilities\RefineRTDCRunTimes.py" --tripid 84-17 --locoid 4021 --swversion DE.1.0.8.0 --startMP 204:106754 --initTime 2017-01-18T00:57:52 --startdatetime 2017-01-18T01:07:02 --delay 2 --endMP 204:10219 --enddatetime 2017-01-18T01:23:48 --enforcementcount 0 &gt;&gt;C:\Users\stu\Documents\GitHub\eaglep3-reporting\EC\2017-01-17-refined-times.txt</v>
      </c>
      <c r="AI238" s="115" t="str">
        <f t="shared" si="128"/>
        <v>echo {"issue":{"subject":"","project_id":79,"tracker_id":40,"status_id":1,"priority_id":2,"assigned_to_id":23,"start_date":"2017-01-18","description":"","custom_fields":[{"id":1,"name":"Subdivision","value":"Other"},{"id":4,"name":"Milepost","value":"1.0219"},{"id":17,"name":"Train ID","value":"84-17"},{"id":16,"name":"Locomotive ID","value":"4021"},{"id":130,"name":"Impact","value":""},{"id":150,"name":"Time of Event (Mountain Time)","value":"01:23:48"},{"id":151,"name":"Denver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0"/>
      <c r="AK238" s="50"/>
      <c r="AL238" s="50"/>
      <c r="AM238" s="180" t="str">
        <f t="shared" si="129"/>
        <v>start /low /b %USERPROFILE%\Documents\GitHub\eaglep3\Utilities\DownloadLogsFromS3.py --loco 4021 --day 2017-01-18</v>
      </c>
      <c r="AN238" s="189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"%USERPROFILE%\AppData\Local\Temp\OnboardLogs"\RTDC4021\*4021*20170118* | grep -SE "(Enforcement Action)|(\[TIMEOUT)|(CHR.+\|PRM\|1\|D.+(SWITCH|SIGNAL).+UNKNOWN)" - &gt;&gt; 2017-01-17-UncaughtWiMAX.txt</v>
      </c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53">
    <sortState ref="A13:AG245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238">
    <cfRule type="cellIs" dxfId="10" priority="352" operator="equal">
      <formula>"Y"</formula>
    </cfRule>
  </conditionalFormatting>
  <conditionalFormatting sqref="X268:X1048576 X13:X238">
    <cfRule type="cellIs" dxfId="9" priority="335" operator="greaterThan">
      <formula>1</formula>
    </cfRule>
  </conditionalFormatting>
  <conditionalFormatting sqref="X268:X1048576 X12:X238">
    <cfRule type="cellIs" dxfId="8" priority="332" operator="equal">
      <formula>0</formula>
    </cfRule>
  </conditionalFormatting>
  <conditionalFormatting sqref="A13:S238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COUNTIF($O$7:$O$325,"=Y")</f>
        <v>2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COUNTA($O$7:$O$325)-O2</f>
        <v>47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- 2017-01-17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219</v>
      </c>
      <c r="AE6" s="181" t="s">
        <v>257</v>
      </c>
    </row>
    <row r="7" spans="1:31" s="1" customFormat="1" x14ac:dyDescent="0.25">
      <c r="A7" s="33">
        <v>42752.422337962962</v>
      </c>
      <c r="B7" s="31" t="s">
        <v>221</v>
      </c>
      <c r="C7" s="31" t="s">
        <v>464</v>
      </c>
      <c r="D7" s="31" t="s">
        <v>49</v>
      </c>
      <c r="E7" s="31" t="s">
        <v>229</v>
      </c>
      <c r="F7" s="44">
        <v>0</v>
      </c>
      <c r="G7" s="44">
        <v>143</v>
      </c>
      <c r="H7" s="44">
        <v>30779</v>
      </c>
      <c r="I7" s="44">
        <v>30859</v>
      </c>
      <c r="J7" s="31" t="s">
        <v>230</v>
      </c>
      <c r="K7" s="44">
        <v>30830</v>
      </c>
      <c r="L7" s="150" t="s">
        <v>50</v>
      </c>
      <c r="M7" s="151">
        <f t="shared" ref="M7:M38" si="0">CONVERT((I7-K7)/10000,"mi","ft")*IF(L7="Increasing Mileposts (1)",-1,1)</f>
        <v>-15.311999999999999</v>
      </c>
      <c r="N7" s="152" t="str">
        <f>VLOOKUP(C7,'Trips&amp;Operators'!$C$1:$G$99999,5,FALSE)</f>
        <v>COOLAHAN JOHN</v>
      </c>
      <c r="O7" s="179" t="s">
        <v>193</v>
      </c>
      <c r="P7" s="153" t="s">
        <v>364</v>
      </c>
      <c r="Q7" s="31"/>
      <c r="R7" s="96" t="str">
        <f>VLOOKUP(C7,'Train Runs'!$A$13:$AE$9991,31,0)</f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S7" s="99" t="str">
        <f>VLOOKUP(C7,'Train Runs'!$A$13:$AE$9991,22,0)</f>
        <v>https://d0f6bd738d7f1b3e5a7ca70fe4ff75f0.us-east-1.aws.found.io/app/kibana#/discover/Steve-Slow-Train-Analysis-(2080s-and-2083s)?_g=(refreshInterval:(display:Off,pause:!f,section:0,value:0),time:(from:'2017-01-17T08:54:15-0700',mode:absolute,to:'2017-01-17T11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101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/stypes="*4042*201701171*" /stext=" 17:.+((SYSTEM_STATE.+slice.+state.+changed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4042</v>
      </c>
      <c r="V7" s="33">
        <f t="shared" ref="V7:V38" si="3">A7-utc_offset/24</f>
        <v>42752.714004629626</v>
      </c>
      <c r="W7" s="47" t="str">
        <f t="shared" ref="W7:W38" si="4">IF(VALUE(LEFT(IF(LEN(C7)=6,"0"&amp;C7,C7),2))&lt;=2,"EC",IF(OR(VALUE(LEFT(IF(LEN(C7)=6,"0"&amp;C7,C7),2))=8,VALUE(LEFT(IF(LEN(C7)=6,"0"&amp;C7,C7),2))=18),"NW","Other"))</f>
        <v>EC</v>
      </c>
      <c r="X7" s="47" t="str">
        <f t="shared" ref="X7:X38" si="5">IF(AND(E7="TRACK WARRANT AUTHORITY",G7&lt;10),"OMIT","KEEP")</f>
        <v>KEEP</v>
      </c>
      <c r="Y7" s="115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arrival","project_id":79,"tracker_id":40,"status_id":1,"priority_id":2,"assigned_to_id":23,"start_date":"2017-01-17","description":"","custom_fields":[{"id":1,"name":"Subdivision","value":"EC"},{"id":4,"name":"Milepost","value":"3.083"},{"id":17,"name":"Train ID","value":"151-17"},{"id":16,"name":"Locomotive ID","value":"4042"},{"id":130,"name":"Impact","value":""},{"id":150,"name":"Time of Event (Mountain Time)","value":"10:08:10"},{"id":151,"name":"Denver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"%USERPROFILE%\AppData\Local\Temp\OnboardLogs"\RTDC4042\*4042*201701171*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"%USERPROFILE%\AppData\Local\Temp\OnboardLogs"\RTDC4042\*4042*201701171* &gt;&gt; 2017-01-17-SliceDisagreementCheck.txt</v>
      </c>
      <c r="AE7" s="183" t="str">
        <f t="shared" ref="AE7:AE38" si="8">"start /low /b "&amp;dls3logs&amp;" --loco "&amp;U7&amp;" --day "&amp;TEXT(V7,"YYYY-MM-DD")</f>
        <v>start /low /b %USERPROFILE%\Documents\GitHub\eaglep3\Utilities\DownloadLogsFromS3.py --loco 4042 --day 2017-01-17</v>
      </c>
    </row>
    <row r="8" spans="1:31" s="1" customFormat="1" x14ac:dyDescent="0.25">
      <c r="A8" s="33">
        <v>42752.85974537037</v>
      </c>
      <c r="B8" s="31" t="s">
        <v>261</v>
      </c>
      <c r="C8" s="31" t="s">
        <v>489</v>
      </c>
      <c r="D8" s="31" t="s">
        <v>49</v>
      </c>
      <c r="E8" s="31" t="s">
        <v>229</v>
      </c>
      <c r="F8" s="44">
        <v>0</v>
      </c>
      <c r="G8" s="44">
        <v>172</v>
      </c>
      <c r="H8" s="44">
        <v>30682</v>
      </c>
      <c r="I8" s="44">
        <v>30908</v>
      </c>
      <c r="J8" s="31" t="s">
        <v>230</v>
      </c>
      <c r="K8" s="44">
        <v>30830</v>
      </c>
      <c r="L8" s="150" t="s">
        <v>50</v>
      </c>
      <c r="M8" s="151">
        <f t="shared" si="0"/>
        <v>-41.183999999999997</v>
      </c>
      <c r="N8" s="152" t="str">
        <f>VLOOKUP(C8,'Trips&amp;Operators'!$C$1:$G$99999,5,FALSE)</f>
        <v>STAMBAUGH JAMES</v>
      </c>
      <c r="O8" s="179" t="s">
        <v>193</v>
      </c>
      <c r="P8" s="153" t="s">
        <v>364</v>
      </c>
      <c r="Q8" s="31"/>
      <c r="R8" s="96" t="str">
        <f>VLOOKUP(C8,'Train Runs'!$A$13:$AE$9991,31,0)</f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S8" s="99" t="str">
        <f>VLOOKUP(C8,'Train Runs'!$A$13:$AE$9991,22,0)</f>
        <v>https://d0f6bd738d7f1b3e5a7ca70fe4ff75f0.us-east-1.aws.found.io/app/kibana#/discover/Steve-Slow-Train-Analysis-(2080s-and-2083s)?_g=(refreshInterval:(display:Off,pause:!f,section:0,value:0),time:(from:'2017-01-17T19:05:54-0700',mode:absolute,to:'2017-01-17T22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101" t="str">
        <f t="shared" si="1"/>
        <v>"C:\Program Files (x86)\AstroGrep\AstroGrep.exe" /spath="%USERPROFILE%\AppData\Local\Temp\OnboardLogs" /stypes="*4031*201701180*" /stext=" 03:.+((SYSTEM_STATE.+slice.+state.+changed )|(ment ac)|(multiple cpu faults)|(system.+state.+changed )|(\[timeout)|(PRM\|1\|D)|(kpr)|(kdp)|(\|lc)|(penalty))" /e /r /s</v>
      </c>
      <c r="U8" s="9" t="str">
        <f t="shared" si="2"/>
        <v>4031</v>
      </c>
      <c r="V8" s="33">
        <f t="shared" si="3"/>
        <v>42753.151412037034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arrival","project_id":79,"tracker_id":40,"status_id":1,"priority_id":2,"assigned_to_id":23,"start_date":"2017-01-17","description":"","custom_fields":[{"id":1,"name":"Subdivision","value":"EC"},{"id":4,"name":"Milepost","value":"3.083"},{"id":17,"name":"Train ID","value":"227-17"},{"id":16,"name":"Locomotive ID","value":"4031"},{"id":130,"name":"Impact","value":""},{"id":150,"name":"Time of Event (Mountain Time)","value":"20:38:02"},{"id":151,"name":"Denver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"%USERPROFILE%\AppData\Local\Temp\OnboardLogs"\RTDC4031\*4031*201701180*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"%USERPROFILE%\AppData\Local\Temp\OnboardLogs"\RTDC4031\*4031*201701180* &gt;&gt; 2017-01-17-SliceDisagreementCheck.txt</v>
      </c>
      <c r="AE8" s="183" t="str">
        <f t="shared" si="8"/>
        <v>start /low /b %USERPROFILE%\Documents\GitHub\eaglep3\Utilities\DownloadLogsFromS3.py --loco 4031 --day 2017-01-18</v>
      </c>
    </row>
    <row r="9" spans="1:31" s="1" customFormat="1" x14ac:dyDescent="0.25">
      <c r="A9" s="33">
        <v>42752.913263888891</v>
      </c>
      <c r="B9" s="31" t="s">
        <v>265</v>
      </c>
      <c r="C9" s="31" t="s">
        <v>493</v>
      </c>
      <c r="D9" s="31" t="s">
        <v>49</v>
      </c>
      <c r="E9" s="31" t="s">
        <v>229</v>
      </c>
      <c r="F9" s="44">
        <v>0</v>
      </c>
      <c r="G9" s="44">
        <v>243</v>
      </c>
      <c r="H9" s="44">
        <v>31109</v>
      </c>
      <c r="I9" s="44">
        <v>30839</v>
      </c>
      <c r="J9" s="31" t="s">
        <v>230</v>
      </c>
      <c r="K9" s="44">
        <v>30970</v>
      </c>
      <c r="L9" s="150" t="s">
        <v>51</v>
      </c>
      <c r="M9" s="151">
        <f t="shared" si="0"/>
        <v>-69.168000000000006</v>
      </c>
      <c r="N9" s="152" t="str">
        <f>VLOOKUP(C9,'Trips&amp;Operators'!$C$1:$G$99999,5,FALSE)</f>
        <v>STAMBAUGH JAMES</v>
      </c>
      <c r="O9" s="179" t="s">
        <v>193</v>
      </c>
      <c r="P9" s="153" t="s">
        <v>364</v>
      </c>
      <c r="Q9" s="31"/>
      <c r="R9" s="96" t="str">
        <f>VLOOKUP(C9,'Train Runs'!$A$13:$AE$9991,31,0)</f>
        <v>aws s3 cp s3://rtdc.mdm.uploadarchive.raw/RTDC4032/ "%USERPROFILE%\AppData\Local\Temp\OnboardLogs"\RTDC4032\2017-01-17 --exclude "*" --recursive --include "*20170117*" &amp; "%USERPROFILE%\Documents\GitHub\mrs-test-scripts\Headless Mode &amp; Sideloading\WalkAndUnGZ.bat" "%USERPROFILE%\AppData\Local\Temp\OnboardLogs"\RTDC4032\2017-01-17 &amp; aws s3 cp s3://rtdc.mdm.uploadarchive.raw/RTDC4032/ "%USERPROFILE%\AppData\Local\Temp\OnboardLogs"\RTDC4032\2017-01-18 --exclude "*" --recursive --include "*20170118*" &amp; "%USERPROFILE%\Documents\GitHub\mrs-test-scripts\Headless Mode &amp; Sideloading\WalkAndUnGZ.bat" "%USERPROFILE%\AppData\Local\Temp\OnboardLogs"\RTDC4032\2017-01-18</v>
      </c>
      <c r="S9" s="99" t="str">
        <f>VLOOKUP(C9,'Train Runs'!$A$13:$AE$9991,22,0)</f>
        <v>https://d0f6bd738d7f1b3e5a7ca70fe4ff75f0.us-east-1.aws.found.io/app/kibana#/discover/Steve-Slow-Train-Analysis-(2080s-and-2083s)?_g=(refreshInterval:(display:Off,pause:!f,section:0,value:0),time:(from:'2017-01-17T20:23:32-0700',mode:absolute,to:'2017-01-17T23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101" t="str">
        <f t="shared" si="1"/>
        <v>"C:\Program Files (x86)\AstroGrep\AstroGrep.exe" /spath="%USERPROFILE%\AppData\Local\Temp\OnboardLogs" /stypes="*4032*201701180*" /stext=" 04:.+((SYSTEM_STATE.+slice.+state.+changed )|(ment ac)|(multiple cpu faults)|(system.+state.+changed )|(\[timeout)|(PRM\|1\|D)|(kpr)|(kdp)|(\|lc)|(penalty))" /e /r /s</v>
      </c>
      <c r="U9" s="9" t="str">
        <f t="shared" si="2"/>
        <v>4032</v>
      </c>
      <c r="V9" s="33">
        <f t="shared" si="3"/>
        <v>42753.204930555556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arrival","project_id":79,"tracker_id":40,"status_id":1,"priority_id":2,"assigned_to_id":23,"start_date":"2017-01-17","description":"","custom_fields":[{"id":1,"name":"Subdivision","value":"EC"},{"id":4,"name":"Milepost","value":"3.097"},{"id":17,"name":"Train ID","value":"228-17"},{"id":16,"name":"Locomotive ID","value":"4032"},{"id":130,"name":"Impact","value":""},{"id":150,"name":"Time of Event (Mountain Time)","value":"21:55:06"},{"id":151,"name":"Denver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"%USERPROFILE%\AppData\Local\Temp\OnboardLogs"\RTDC4032\*4032*201701180*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"%USERPROFILE%\AppData\Local\Temp\OnboardLogs"\RTDC4032\*4032*201701180* &gt;&gt; 2017-01-17-SliceDisagreementCheck.txt</v>
      </c>
      <c r="AE9" s="183" t="str">
        <f t="shared" si="8"/>
        <v>start /low /b %USERPROFILE%\Documents\GitHub\eaglep3\Utilities\DownloadLogsFromS3.py --loco 4032 --day 2017-01-18</v>
      </c>
    </row>
    <row r="10" spans="1:31" s="1" customFormat="1" x14ac:dyDescent="0.25">
      <c r="A10" s="33">
        <v>42752.475821759261</v>
      </c>
      <c r="B10" s="31" t="s">
        <v>331</v>
      </c>
      <c r="C10" s="31" t="s">
        <v>466</v>
      </c>
      <c r="D10" s="31" t="s">
        <v>49</v>
      </c>
      <c r="E10" s="31" t="s">
        <v>229</v>
      </c>
      <c r="F10" s="44">
        <v>310</v>
      </c>
      <c r="G10" s="44">
        <v>373</v>
      </c>
      <c r="H10" s="44">
        <v>35617</v>
      </c>
      <c r="I10" s="44">
        <v>34586</v>
      </c>
      <c r="J10" s="31" t="s">
        <v>230</v>
      </c>
      <c r="K10" s="44">
        <v>33257</v>
      </c>
      <c r="L10" s="150" t="s">
        <v>51</v>
      </c>
      <c r="M10" s="151">
        <f t="shared" si="0"/>
        <v>701.71199999999988</v>
      </c>
      <c r="N10" s="152" t="str">
        <f>VLOOKUP(C10,'Trips&amp;Operators'!$C$1:$G$99999,5,FALSE)</f>
        <v>COOLAHAN JOHN</v>
      </c>
      <c r="O10" s="179" t="s">
        <v>193</v>
      </c>
      <c r="P10" s="153" t="s">
        <v>364</v>
      </c>
      <c r="Q10" s="31"/>
      <c r="R10" s="96" t="str">
        <f>VLOOKUP(C10,'Train Runs'!$A$13:$AE$9991,31,0)</f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S10" s="99" t="str">
        <f>VLOOKUP(C10,'Train Runs'!$A$13:$AE$9991,22,0)</f>
        <v>https://d0f6bd738d7f1b3e5a7ca70fe4ff75f0.us-east-1.aws.found.io/app/kibana#/discover/Steve-Slow-Train-Analysis-(2080s-and-2083s)?_g=(refreshInterval:(display:Off,pause:!f,section:0,value:0),time:(from:'2017-01-17T09:46:11-0700',mode:absolute,to:'2017-01-17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101" t="str">
        <f t="shared" si="1"/>
        <v>"C:\Program Files (x86)\AstroGrep\AstroGrep.exe" /spath="%USERPROFILE%\AppData\Local\Temp\OnboardLogs" /stypes="*4041*201701171*" /stext=" 18:.+((SYSTEM_STATE.+slice.+state.+changed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3">
        <f t="shared" si="3"/>
        <v>42752.767488425925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arrival","project_id":79,"tracker_id":40,"status_id":1,"priority_id":2,"assigned_to_id":23,"start_date":"2017-01-17","description":"","custom_fields":[{"id":1,"name":"Subdivision","value":"EC"},{"id":4,"name":"Milepost","value":"3.3257"},{"id":17,"name":"Train ID","value":"152-17"},{"id":16,"name":"Locomotive ID","value":"4041"},{"id":130,"name":"Impact","value":""},{"id":150,"name":"Time of Event (Mountain Time)","value":"11:25:11"},{"id":151,"name":"Denver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"%USERPROFILE%\AppData\Local\Temp\OnboardLogs"\RTDC4041\*4041*201701171*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"%USERPROFILE%\AppData\Local\Temp\OnboardLogs"\RTDC4041\*4041*201701171* &gt;&gt; 2017-01-17-SliceDisagreementCheck.txt</v>
      </c>
      <c r="AE10" s="183" t="str">
        <f t="shared" si="8"/>
        <v>start /low /b %USERPROFILE%\Documents\GitHub\eaglep3\Utilities\DownloadLogsFromS3.py --loco 4041 --day 2017-01-17</v>
      </c>
    </row>
    <row r="11" spans="1:31" s="1" customFormat="1" x14ac:dyDescent="0.25">
      <c r="A11" s="33">
        <v>42752.818807870368</v>
      </c>
      <c r="B11" s="31" t="s">
        <v>270</v>
      </c>
      <c r="C11" s="31" t="s">
        <v>487</v>
      </c>
      <c r="D11" s="31" t="s">
        <v>49</v>
      </c>
      <c r="E11" s="31" t="s">
        <v>229</v>
      </c>
      <c r="F11" s="44">
        <v>310</v>
      </c>
      <c r="G11" s="44">
        <v>382</v>
      </c>
      <c r="H11" s="44">
        <v>35585</v>
      </c>
      <c r="I11" s="44">
        <v>34438</v>
      </c>
      <c r="J11" s="31" t="s">
        <v>230</v>
      </c>
      <c r="K11" s="44">
        <v>33257</v>
      </c>
      <c r="L11" s="150" t="s">
        <v>51</v>
      </c>
      <c r="M11" s="151">
        <f t="shared" si="0"/>
        <v>623.56799999999998</v>
      </c>
      <c r="N11" s="152" t="str">
        <f>VLOOKUP(C11,'Trips&amp;Operators'!$C$1:$G$99999,5,FALSE)</f>
        <v>STORY SAMANTHA</v>
      </c>
      <c r="O11" s="179" t="s">
        <v>193</v>
      </c>
      <c r="P11" s="153" t="s">
        <v>364</v>
      </c>
      <c r="Q11" s="31"/>
      <c r="R11" s="96" t="str">
        <f>VLOOKUP(C11,'Train Runs'!$A$13:$AE$9991,31,0)</f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S11" s="99" t="str">
        <f>VLOOKUP(C11,'Train Runs'!$A$13:$AE$9991,22,0)</f>
        <v>https://d0f6bd738d7f1b3e5a7ca70fe4ff75f0.us-east-1.aws.found.io/app/kibana#/discover/Steve-Slow-Train-Analysis-(2080s-and-2083s)?_g=(refreshInterval:(display:Off,pause:!f,section:0,value:0),time:(from:'2017-01-17T18:04:29-0700',mode:absolute,to:'2017-01-17T21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101" t="str">
        <f t="shared" si="1"/>
        <v>"C:\Program Files (x86)\AstroGrep\AstroGrep.exe" /spath="%USERPROFILE%\AppData\Local\Temp\OnboardLogs" /stypes="*4001*201701180*" /stext=" 02:.+((SYSTEM_STATE.+slice.+state.+changed )|(ment ac)|(multiple cpu faults)|(system.+state.+changed )|(\[timeout)|(PRM\|1\|D)|(kpr)|(kdp)|(\|lc)|(penalty))" /e /r /s</v>
      </c>
      <c r="U11" s="9" t="str">
        <f t="shared" si="2"/>
        <v>4001</v>
      </c>
      <c r="V11" s="33">
        <f t="shared" si="3"/>
        <v>42753.110474537032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arrival","project_id":79,"tracker_id":40,"status_id":1,"priority_id":2,"assigned_to_id":23,"start_date":"2017-01-17","description":"","custom_fields":[{"id":1,"name":"Subdivision","value":"EC"},{"id":4,"name":"Milepost","value":"3.3257"},{"id":17,"name":"Train ID","value":"218-17"},{"id":16,"name":"Locomotive ID","value":"4001"},{"id":130,"name":"Impact","value":""},{"id":150,"name":"Time of Event (Mountain Time)","value":"19:39:05"},{"id":151,"name":"Denver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"%USERPROFILE%\AppData\Local\Temp\OnboardLogs"\RTDC4001\*4001*201701180*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"%USERPROFILE%\AppData\Local\Temp\OnboardLogs"\RTDC4001\*4001*201701180* &gt;&gt; 2017-01-17-SliceDisagreementCheck.txt</v>
      </c>
      <c r="AE11" s="183" t="str">
        <f t="shared" si="8"/>
        <v>start /low /b %USERPROFILE%\Documents\GitHub\eaglep3\Utilities\DownloadLogsFromS3.py --loco 4001 --day 2017-01-18</v>
      </c>
    </row>
    <row r="12" spans="1:31" s="1" customFormat="1" x14ac:dyDescent="0.25">
      <c r="A12" s="33">
        <v>42752.60633101852</v>
      </c>
      <c r="B12" s="31" t="s">
        <v>471</v>
      </c>
      <c r="C12" s="31" t="s">
        <v>475</v>
      </c>
      <c r="D12" s="31" t="s">
        <v>98</v>
      </c>
      <c r="E12" s="31" t="s">
        <v>266</v>
      </c>
      <c r="F12" s="44">
        <v>150</v>
      </c>
      <c r="G12" s="44">
        <v>205</v>
      </c>
      <c r="H12" s="44">
        <v>4495</v>
      </c>
      <c r="I12" s="44">
        <v>4929</v>
      </c>
      <c r="J12" s="31" t="s">
        <v>267</v>
      </c>
      <c r="K12" s="44">
        <v>0</v>
      </c>
      <c r="L12" s="150" t="s">
        <v>50</v>
      </c>
      <c r="M12" s="151">
        <f t="shared" si="0"/>
        <v>-2602.5120000000002</v>
      </c>
      <c r="N12" s="152" t="str">
        <f>VLOOKUP(C12,'Trips&amp;Operators'!$C$1:$G$99999,5,FALSE)</f>
        <v>DAVIS MICHAEL</v>
      </c>
      <c r="O12" s="179" t="s">
        <v>193</v>
      </c>
      <c r="P12" s="153"/>
      <c r="Q12" s="31"/>
      <c r="R12" s="96" t="str">
        <f>VLOOKUP(C12,'Train Runs'!$A$13:$AE$9991,31,0)</f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S12" s="99" t="str">
        <f>VLOOKUP(C12,'Train Runs'!$A$13:$AE$9991,22,0)</f>
        <v>https://d0f6bd738d7f1b3e5a7ca70fe4ff75f0.us-east-1.aws.found.io/app/kibana#/discover/Steve-Slow-Train-Analysis-(2080s-and-2083s)?_g=(refreshInterval:(display:Off,pause:!f,section:0,value:0),time:(from:'2017-01-17T13:25:54-0700',mode:absolute,to:'2017-01-17T16:09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2" s="101" t="str">
        <f t="shared" si="1"/>
        <v>"C:\Program Files (x86)\AstroGrep\AstroGrep.exe" /spath="%USERPROFILE%\AppData\Local\Temp\OnboardLogs" /stypes="*4007*201701172*" /stext=" 21:.+((SYSTEM_STATE.+slice.+state.+changed )|(ment ac)|(multiple cpu faults)|(system.+state.+changed )|(\[timeout)|(PRM\|1\|D)|(kpr)|(kdp)|(\|lc)|(penalty))" /e /r /s</v>
      </c>
      <c r="U12" s="9" t="str">
        <f t="shared" si="2"/>
        <v>4007</v>
      </c>
      <c r="V12" s="33">
        <f t="shared" si="3"/>
        <v>42752.897997685184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{"issue":{"subject":"","project_id":79,"tracker_id":40,"status_id":1,"priority_id":2,"assigned_to_id":23,"start_date":"2017-01-17","description":"","custom_fields":[{"id":1,"name":"Subdivision","value":"EC"},{"id":4,"name":"Milepost","value":"0"},{"id":17,"name":"Train ID","value":"187-17"},{"id":16,"name":"Locomotive ID","value":"4007"},{"id":130,"name":"Impact","value":""},{"id":150,"name":"Time of Event (Mountain Time)","value":"14:33:07"},{"id":151,"name":"Denver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"%USERPROFILE%\AppData\Local\Temp\OnboardLogs"\RTDC4007\*4007*201701172*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"%USERPROFILE%\AppData\Local\Temp\OnboardLogs"\RTDC4007\*4007*201701172* &gt;&gt; 2017-01-17-SliceDisagreementCheck.txt</v>
      </c>
      <c r="AE12" s="183" t="str">
        <f t="shared" si="8"/>
        <v>start /low /b %USERPROFILE%\Documents\GitHub\eaglep3\Utilities\DownloadLogsFromS3.py --loco 4007 --day 2017-01-17</v>
      </c>
    </row>
    <row r="13" spans="1:31" s="1" customFormat="1" x14ac:dyDescent="0.25">
      <c r="A13" s="33">
        <v>42752.239131944443</v>
      </c>
      <c r="B13" s="31" t="s">
        <v>456</v>
      </c>
      <c r="C13" s="31" t="s">
        <v>457</v>
      </c>
      <c r="D13" s="31" t="s">
        <v>49</v>
      </c>
      <c r="E13" s="31" t="s">
        <v>266</v>
      </c>
      <c r="F13" s="44">
        <v>300</v>
      </c>
      <c r="G13" s="44">
        <v>414</v>
      </c>
      <c r="H13" s="44">
        <v>22845</v>
      </c>
      <c r="I13" s="44">
        <v>21595</v>
      </c>
      <c r="J13" s="31" t="s">
        <v>267</v>
      </c>
      <c r="K13" s="44">
        <v>21848</v>
      </c>
      <c r="L13" s="150" t="s">
        <v>51</v>
      </c>
      <c r="M13" s="151">
        <f t="shared" si="0"/>
        <v>-133.584</v>
      </c>
      <c r="N13" s="152" t="str">
        <f>VLOOKUP(C13,'Trips&amp;Operators'!$C$1:$G$99999,5,FALSE)</f>
        <v>STARKS ANGELINA</v>
      </c>
      <c r="O13" s="179" t="s">
        <v>193</v>
      </c>
      <c r="P13" s="153"/>
      <c r="Q13" s="31"/>
      <c r="R13" s="96" t="str">
        <f>VLOOKUP(C13,'Train Runs'!$A$13:$AE$9991,31,0)</f>
        <v>aws s3 cp s3://rtdc.mdm.uploadarchive.raw/RTDC4039/ "%USERPROFILE%\AppData\Local\Temp\OnboardLogs"\RTDC4039\2017-01-17 --exclude "*" --recursive --include "*20170117*" &amp; "%USERPROFILE%\Documents\GitHub\mrs-test-scripts\Headless Mode &amp; Sideloading\WalkAndUnGZ.bat" "%USERPROFILE%\AppData\Local\Temp\OnboardLogs"\RTDC4039\2017-01-17 &amp; 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</v>
      </c>
      <c r="S13" s="99" t="str">
        <f>VLOOKUP(C13,'Train Runs'!$A$13:$AE$9991,22,0)</f>
        <v>https://d0f6bd738d7f1b3e5a7ca70fe4ff75f0.us-east-1.aws.found.io/app/kibana#/discover/Steve-Slow-Train-Analysis-(2080s-and-2083s)?_g=(refreshInterval:(display:Off,pause:!f,section:0,value:0),time:(from:'2017-01-17T04:06:39-0700',mode:absolute,to:'2017-01-17T06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101" t="str">
        <f t="shared" si="1"/>
        <v>"C:\Program Files (x86)\AstroGrep\AstroGrep.exe" /spath="%USERPROFILE%\AppData\Local\Temp\OnboardLogs" /stypes="*4039*201701171*" /stext=" 12:.+((SYSTEM_STATE.+slice.+state.+changed )|(ment ac)|(multiple cpu faults)|(system.+state.+changed )|(\[timeout)|(PRM\|1\|D)|(kpr)|(kdp)|(\|lc)|(penalty))" /e /r /s</v>
      </c>
      <c r="U13" s="9" t="str">
        <f t="shared" si="2"/>
        <v>4039</v>
      </c>
      <c r="V13" s="33">
        <f t="shared" si="3"/>
        <v>42752.530798611107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{"issue":{"subject":"","project_id":79,"tracker_id":40,"status_id":1,"priority_id":2,"assigned_to_id":23,"start_date":"2017-01-17","description":"","custom_fields":[{"id":1,"name":"Subdivision","value":"EC"},{"id":4,"name":"Milepost","value":"2.1848"},{"id":17,"name":"Train ID","value":"106-17"},{"id":16,"name":"Locomotive ID","value":"4039"},{"id":130,"name":"Impact","value":""},{"id":150,"name":"Time of Event (Mountain Time)","value":"05:44:21"},{"id":151,"name":"Denver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"%USERPROFILE%\AppData\Local\Temp\OnboardLogs"\RTDC4039\*4039*201701171*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"%USERPROFILE%\AppData\Local\Temp\OnboardLogs"\RTDC4039\*4039*201701171* &gt;&gt; 2017-01-17-SliceDisagreementCheck.txt</v>
      </c>
      <c r="AE13" s="183" t="str">
        <f t="shared" si="8"/>
        <v>start /low /b %USERPROFILE%\Documents\GitHub\eaglep3\Utilities\DownloadLogsFromS3.py --loco 4039 --day 2017-01-17</v>
      </c>
    </row>
    <row r="14" spans="1:31" s="1" customFormat="1" x14ac:dyDescent="0.25">
      <c r="A14" s="33">
        <v>42752.606145833335</v>
      </c>
      <c r="B14" s="31" t="s">
        <v>303</v>
      </c>
      <c r="C14" s="31" t="s">
        <v>474</v>
      </c>
      <c r="D14" s="31" t="s">
        <v>49</v>
      </c>
      <c r="E14" s="31" t="s">
        <v>266</v>
      </c>
      <c r="F14" s="44">
        <v>550</v>
      </c>
      <c r="G14" s="44">
        <v>797</v>
      </c>
      <c r="H14" s="44">
        <v>218191</v>
      </c>
      <c r="I14" s="44">
        <v>221836</v>
      </c>
      <c r="J14" s="31" t="s">
        <v>267</v>
      </c>
      <c r="K14" s="44">
        <v>222091</v>
      </c>
      <c r="L14" s="150" t="s">
        <v>50</v>
      </c>
      <c r="M14" s="151">
        <f t="shared" si="0"/>
        <v>134.63999999999999</v>
      </c>
      <c r="N14" s="152" t="str">
        <f>VLOOKUP(C14,'Trips&amp;Operators'!$C$1:$G$99999,5,FALSE)</f>
        <v>ROMERO CHAD</v>
      </c>
      <c r="O14" s="179" t="s">
        <v>193</v>
      </c>
      <c r="P14" s="153"/>
      <c r="Q14" s="31"/>
      <c r="R14" s="96" t="str">
        <f>VLOOKUP(C14,'Train Runs'!$A$13:$AE$9991,31,0)</f>
        <v>aws s3 cp s3://rtdc.mdm.uploadarchive.raw/RTDC4027/ "%USERPROFILE%\AppData\Local\Temp\OnboardLogs"\RTDC4027\2017-01-17 --exclude "*" --recursive --include "*20170117*" &amp; "%USERPROFILE%\Documents\GitHub\mrs-test-scripts\Headless Mode &amp; Sideloading\WalkAndUnGZ.bat" "%USERPROFILE%\AppData\Local\Temp\OnboardLogs"\RTDC4027\2017-01-17 &amp; aws s3 cp s3://rtdc.mdm.uploadarchive.raw/RTDC4027/ "%USERPROFILE%\AppData\Local\Temp\OnboardLogs"\RTDC4027\2017-01-18 --exclude "*" --recursive --include "*20170118*" &amp; "%USERPROFILE%\Documents\GitHub\mrs-test-scripts\Headless Mode &amp; Sideloading\WalkAndUnGZ.bat" "%USERPROFILE%\AppData\Local\Temp\OnboardLogs"\RTDC4027\2017-01-18</v>
      </c>
      <c r="S14" s="99" t="str">
        <f>VLOOKUP(C14,'Train Runs'!$A$13:$AE$9991,22,0)</f>
        <v>https://d0f6bd738d7f1b3e5a7ca70fe4ff75f0.us-east-1.aws.found.io/app/kibana#/discover/Steve-Slow-Train-Analysis-(2080s-and-2083s)?_g=(refreshInterval:(display:Off,pause:!f,section:0,value:0),time:(from:'2017-01-17T12:55:17-0700',mode:absolute,to:'2017-01-17T15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101" t="str">
        <f t="shared" si="1"/>
        <v>"C:\Program Files (x86)\AstroGrep\AstroGrep.exe" /spath="%USERPROFILE%\AppData\Local\Temp\OnboardLogs" /stypes="*4027*201701172*" /stext=" 21:.+((SYSTEM_STATE.+slice.+state.+changed )|(ment ac)|(multiple cpu faults)|(system.+state.+changed )|(\[timeout)|(PRM\|1\|D)|(kpr)|(kdp)|(\|lc)|(penalty))" /e /r /s</v>
      </c>
      <c r="U14" s="9" t="str">
        <f t="shared" si="2"/>
        <v>4027</v>
      </c>
      <c r="V14" s="33">
        <f t="shared" si="3"/>
        <v>42752.897812499999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{"issue":{"subject":"","project_id":79,"tracker_id":40,"status_id":1,"priority_id":2,"assigned_to_id":23,"start_date":"2017-01-17","description":"","custom_fields":[{"id":1,"name":"Subdivision","value":"EC"},{"id":4,"name":"Milepost","value":"22.2091"},{"id":17,"name":"Train ID","value":"183-17"},{"id":16,"name":"Locomotive ID","value":"4027"},{"id":130,"name":"Impact","value":""},{"id":150,"name":"Time of Event (Mountain Time)","value":"14:32:51"},{"id":151,"name":"Denver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"%USERPROFILE%\AppData\Local\Temp\OnboardLogs"\RTDC4027\*4027*201701172*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"%USERPROFILE%\AppData\Local\Temp\OnboardLogs"\RTDC4027\*4027*201701172* &gt;&gt; 2017-01-17-SliceDisagreementCheck.txt</v>
      </c>
      <c r="AE14" s="183" t="str">
        <f t="shared" si="8"/>
        <v>start /low /b %USERPROFILE%\Documents\GitHub\eaglep3\Utilities\DownloadLogsFromS3.py --loco 4027 --day 2017-01-17</v>
      </c>
    </row>
    <row r="15" spans="1:31" s="1" customFormat="1" x14ac:dyDescent="0.25">
      <c r="A15" s="33">
        <v>42752.217129629629</v>
      </c>
      <c r="B15" s="31" t="s">
        <v>456</v>
      </c>
      <c r="C15" s="31" t="s">
        <v>457</v>
      </c>
      <c r="D15" s="31" t="s">
        <v>49</v>
      </c>
      <c r="E15" s="31" t="s">
        <v>266</v>
      </c>
      <c r="F15" s="44">
        <v>150</v>
      </c>
      <c r="G15" s="44">
        <v>204</v>
      </c>
      <c r="H15" s="44">
        <v>229195</v>
      </c>
      <c r="I15" s="44">
        <v>228860</v>
      </c>
      <c r="J15" s="31" t="s">
        <v>267</v>
      </c>
      <c r="K15" s="44">
        <v>229055</v>
      </c>
      <c r="L15" s="150" t="s">
        <v>51</v>
      </c>
      <c r="M15" s="151">
        <f t="shared" si="0"/>
        <v>-102.96</v>
      </c>
      <c r="N15" s="152" t="str">
        <f>VLOOKUP(C15,'Trips&amp;Operators'!$C$1:$G$99999,5,FALSE)</f>
        <v>STARKS ANGELINA</v>
      </c>
      <c r="O15" s="179" t="s">
        <v>193</v>
      </c>
      <c r="P15" s="153"/>
      <c r="Q15" s="31"/>
      <c r="R15" s="96" t="str">
        <f>VLOOKUP(C15,'Train Runs'!$A$13:$AE$9991,31,0)</f>
        <v>aws s3 cp s3://rtdc.mdm.uploadarchive.raw/RTDC4039/ "%USERPROFILE%\AppData\Local\Temp\OnboardLogs"\RTDC4039\2017-01-17 --exclude "*" --recursive --include "*20170117*" &amp; "%USERPROFILE%\Documents\GitHub\mrs-test-scripts\Headless Mode &amp; Sideloading\WalkAndUnGZ.bat" "%USERPROFILE%\AppData\Local\Temp\OnboardLogs"\RTDC4039\2017-01-17 &amp; aws s3 cp s3://rtdc.mdm.uploadarchive.raw/RTDC4039/ "%USERPROFILE%\AppData\Local\Temp\OnboardLogs"\RTDC4039\2017-01-18 --exclude "*" --recursive --include "*20170118*" &amp; "%USERPROFILE%\Documents\GitHub\mrs-test-scripts\Headless Mode &amp; Sideloading\WalkAndUnGZ.bat" "%USERPROFILE%\AppData\Local\Temp\OnboardLogs"\RTDC4039\2017-01-18</v>
      </c>
      <c r="S15" s="99" t="str">
        <f>VLOOKUP(C15,'Train Runs'!$A$13:$AE$9991,22,0)</f>
        <v>https://d0f6bd738d7f1b3e5a7ca70fe4ff75f0.us-east-1.aws.found.io/app/kibana#/discover/Steve-Slow-Train-Analysis-(2080s-and-2083s)?_g=(refreshInterval:(display:Off,pause:!f,section:0,value:0),time:(from:'2017-01-17T04:06:39-0700',mode:absolute,to:'2017-01-17T06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101" t="str">
        <f t="shared" si="1"/>
        <v>"C:\Program Files (x86)\AstroGrep\AstroGrep.exe" /spath="%USERPROFILE%\AppData\Local\Temp\OnboardLogs" /stypes="*4039*201701171*" /stext=" 12:.+((SYSTEM_STATE.+slice.+state.+changed )|(ment ac)|(multiple cpu faults)|(system.+state.+changed )|(\[timeout)|(PRM\|1\|D)|(kpr)|(kdp)|(\|lc)|(penalty))" /e /r /s</v>
      </c>
      <c r="U15" s="9" t="str">
        <f t="shared" si="2"/>
        <v>4039</v>
      </c>
      <c r="V15" s="33">
        <f t="shared" si="3"/>
        <v>42752.508796296293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{"issue":{"subject":"","project_id":79,"tracker_id":40,"status_id":1,"priority_id":2,"assigned_to_id":23,"start_date":"2017-01-17","description":"","custom_fields":[{"id":1,"name":"Subdivision","value":"EC"},{"id":4,"name":"Milepost","value":"22.9055"},{"id":17,"name":"Train ID","value":"106-17"},{"id":16,"name":"Locomotive ID","value":"4039"},{"id":130,"name":"Impact","value":""},{"id":150,"name":"Time of Event (Mountain Time)","value":"05:12:40"},{"id":151,"name":"Denver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"%USERPROFILE%\AppData\Local\Temp\OnboardLogs"\RTDC4039\*4039*201701171*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"%USERPROFILE%\AppData\Local\Temp\OnboardLogs"\RTDC4039\*4039*201701171* &gt;&gt; 2017-01-17-SliceDisagreementCheck.txt</v>
      </c>
      <c r="AE15" s="183" t="str">
        <f t="shared" si="8"/>
        <v>start /low /b %USERPROFILE%\Documents\GitHub\eaglep3\Utilities\DownloadLogsFromS3.py --loco 4039 --day 2017-01-17</v>
      </c>
    </row>
    <row r="16" spans="1:31" s="1" customFormat="1" x14ac:dyDescent="0.25">
      <c r="A16" s="33">
        <v>42752.95349537037</v>
      </c>
      <c r="B16" s="31" t="s">
        <v>330</v>
      </c>
      <c r="C16" s="31" t="s">
        <v>496</v>
      </c>
      <c r="D16" s="31" t="s">
        <v>49</v>
      </c>
      <c r="E16" s="31" t="s">
        <v>194</v>
      </c>
      <c r="F16" s="44">
        <v>0</v>
      </c>
      <c r="G16" s="44">
        <v>556</v>
      </c>
      <c r="H16" s="44">
        <v>39704</v>
      </c>
      <c r="I16" s="44">
        <v>37765</v>
      </c>
      <c r="J16" s="31" t="s">
        <v>195</v>
      </c>
      <c r="K16" s="44">
        <v>38656</v>
      </c>
      <c r="L16" s="150" t="s">
        <v>51</v>
      </c>
      <c r="M16" s="151">
        <f t="shared" si="0"/>
        <v>-470.44799999999998</v>
      </c>
      <c r="N16" s="152" t="str">
        <f>VLOOKUP(C16,'Trips&amp;Operators'!$C$1:$G$99999,5,FALSE)</f>
        <v>NEWELL JAMES</v>
      </c>
      <c r="O16" s="179" t="s">
        <v>268</v>
      </c>
      <c r="P16" s="153" t="s">
        <v>869</v>
      </c>
      <c r="Q16" s="31"/>
      <c r="R16" s="96" t="str">
        <f>VLOOKUP(C16,'Train Runs'!$A$13:$AE$9991,31,0)</f>
        <v>aws s3 cp s3://rtdc.mdm.uploadarchive.raw/RTDC4015/ "%USERPROFILE%\AppData\Local\Temp\OnboardLogs"\RTDC4015\2017-01-17 --exclude "*" --recursive --include "*20170117*" &amp; "%USERPROFILE%\Documents\GitHub\mrs-test-scripts\Headless Mode &amp; Sideloading\WalkAndUnGZ.bat" "%USERPROFILE%\AppData\Local\Temp\OnboardLogs"\RTDC4015\2017-01-17 &amp; aws s3 cp s3://rtdc.mdm.uploadarchive.raw/RTDC4015/ "%USERPROFILE%\AppData\Local\Temp\OnboardLogs"\RTDC4015\2017-01-18 --exclude "*" --recursive --include "*20170118*" &amp; "%USERPROFILE%\Documents\GitHub\mrs-test-scripts\Headless Mode &amp; Sideloading\WalkAndUnGZ.bat" "%USERPROFILE%\AppData\Local\Temp\OnboardLogs"\RTDC4015\2017-01-18</v>
      </c>
      <c r="S16" s="99" t="str">
        <f>VLOOKUP(C16,'Train Runs'!$A$13:$AE$9991,22,0)</f>
        <v>https://d0f6bd738d7f1b3e5a7ca70fe4ff75f0.us-east-1.aws.found.io/app/kibana#/discover/Steve-Slow-Train-Analysis-(2080s-and-2083s)?_g=(refreshInterval:(display:Off,pause:!f,section:0,value:0),time:(from:'2017-01-17T21:21:12-0700',mode:absolute,to:'2017-01-17T23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101" t="str">
        <f t="shared" si="1"/>
        <v>"C:\Program Files (x86)\AstroGrep\AstroGrep.exe" /spath="%USERPROFILE%\AppData\Local\Temp\OnboardLogs" /stypes="*4015*201701180*" /stext=" 05:.+((SYSTEM_STATE.+slice.+state.+changed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3">
        <f t="shared" si="3"/>
        <v>42753.245162037034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{"issue":{"subject":"EC0386RH 44-2T 2S premature downgrade","project_id":79,"tracker_id":40,"status_id":1,"priority_id":2,"assigned_to_id":23,"start_date":"2017-01-17","description":"","custom_fields":[{"id":1,"name":"Subdivision","value":"EC"},{"id":4,"name":"Milepost","value":"3.8656"},{"id":17,"name":"Train ID","value":"232-17"},{"id":16,"name":"Locomotive ID","value":"4015"},{"id":130,"name":"Impact","value":""},{"id":150,"name":"Time of Event (Mountain Time)","value":"22:53:02"},{"id":151,"name":"Denver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"%USERPROFILE%\AppData\Local\Temp\OnboardLogs"\RTDC4015\*4015*201701180*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"%USERPROFILE%\AppData\Local\Temp\OnboardLogs"\RTDC4015\*4015*201701180* &gt;&gt; 2017-01-17-SliceDisagreementCheck.txt</v>
      </c>
      <c r="AE16" s="183" t="str">
        <f t="shared" si="8"/>
        <v>start /low /b %USERPROFILE%\Documents\GitHub\eaglep3\Utilities\DownloadLogsFromS3.py --loco 4015 --day 2017-01-18</v>
      </c>
    </row>
    <row r="17" spans="1:32" x14ac:dyDescent="0.25">
      <c r="A17" s="33">
        <v>42752.337164351855</v>
      </c>
      <c r="B17" s="31" t="s">
        <v>331</v>
      </c>
      <c r="C17" s="31" t="s">
        <v>460</v>
      </c>
      <c r="D17" s="31" t="s">
        <v>49</v>
      </c>
      <c r="E17" s="31" t="s">
        <v>196</v>
      </c>
      <c r="F17" s="44">
        <v>0</v>
      </c>
      <c r="G17" s="44">
        <v>80</v>
      </c>
      <c r="H17" s="44">
        <v>262</v>
      </c>
      <c r="I17" s="44">
        <v>191</v>
      </c>
      <c r="J17" s="31" t="s">
        <v>197</v>
      </c>
      <c r="K17" s="44">
        <v>1</v>
      </c>
      <c r="L17" s="150" t="s">
        <v>51</v>
      </c>
      <c r="M17" s="151">
        <f t="shared" si="0"/>
        <v>100.32</v>
      </c>
      <c r="N17" s="152" t="str">
        <f>VLOOKUP(C17,'Trips&amp;Operators'!$C$1:$G$99999,5,FALSE)</f>
        <v>COOLAHAN JOHN</v>
      </c>
      <c r="O17" s="179" t="s">
        <v>193</v>
      </c>
      <c r="P17" s="153"/>
      <c r="Q17" s="31"/>
      <c r="R17" s="96" t="str">
        <f>VLOOKUP(C17,'Train Runs'!$A$13:$AE$9991,31,0)</f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S17" s="99" t="str">
        <f>VLOOKUP(C17,'Train Runs'!$A$13:$AE$9991,22,0)</f>
        <v>https://d0f6bd738d7f1b3e5a7ca70fe4ff75f0.us-east-1.aws.found.io/app/kibana#/discover/Steve-Slow-Train-Analysis-(2080s-and-2083s)?_g=(refreshInterval:(display:Off,pause:!f,section:0,value:0),time:(from:'2017-01-17T06:17:22-0700',mode:absolute,to:'2017-01-17T09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101" t="str">
        <f t="shared" si="1"/>
        <v>"C:\Program Files (x86)\AstroGrep\AstroGrep.exe" /spath="%USERPROFILE%\AppData\Local\Temp\OnboardLogs" /stypes="*4041*201701171*" /stext=" 15:.+((SYSTEM_STATE.+slice.+state.+changed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42752.628831018519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ID","value":"124-17"},{"id":16,"name":"Locomotive ID","value":"4041"},{"id":130,"name":"Impact","value":""},{"id":150,"name":"Time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"%USERPROFILE%\AppData\Local\Temp\OnboardLogs"\RTDC4041\*4041*201701171* &gt;&gt; 2017-01-17-SliceDisagreementCheck.txt</v>
      </c>
      <c r="AE17" s="183" t="str">
        <f t="shared" si="8"/>
        <v>start /low /b %USERPROFILE%\Documents\GitHub\eaglep3\Utilities\DownloadLogsFromS3.py --loco 4041 --day 2017-01-17</v>
      </c>
      <c r="AF17" s="1"/>
    </row>
    <row r="18" spans="1:32" ht="15" customHeight="1" x14ac:dyDescent="0.25">
      <c r="A18" s="33">
        <v>42752.389004629629</v>
      </c>
      <c r="B18" s="31" t="s">
        <v>270</v>
      </c>
      <c r="C18" s="31" t="s">
        <v>462</v>
      </c>
      <c r="D18" s="31" t="s">
        <v>49</v>
      </c>
      <c r="E18" s="31" t="s">
        <v>196</v>
      </c>
      <c r="F18" s="44">
        <v>0</v>
      </c>
      <c r="G18" s="44">
        <v>58</v>
      </c>
      <c r="H18" s="44">
        <v>205</v>
      </c>
      <c r="I18" s="44">
        <v>167</v>
      </c>
      <c r="J18" s="31" t="s">
        <v>197</v>
      </c>
      <c r="K18" s="44">
        <v>1</v>
      </c>
      <c r="L18" s="150" t="s">
        <v>51</v>
      </c>
      <c r="M18" s="151">
        <f t="shared" si="0"/>
        <v>87.647999999999996</v>
      </c>
      <c r="N18" s="152" t="str">
        <f>VLOOKUP(C18,'Trips&amp;Operators'!$C$1:$G$99999,5,FALSE)</f>
        <v>STARKS ANGELINA</v>
      </c>
      <c r="O18" s="179" t="s">
        <v>193</v>
      </c>
      <c r="P18" s="153"/>
      <c r="Q18" s="31"/>
      <c r="R18" s="96" t="str">
        <f>VLOOKUP(C18,'Train Runs'!$A$13:$AE$9991,31,0)</f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S18" s="99" t="str">
        <f>VLOOKUP(C18,'Train Runs'!$A$13:$AE$9991,22,0)</f>
        <v>https://d0f6bd738d7f1b3e5a7ca70fe4ff75f0.us-east-1.aws.found.io/app/kibana#/discover/Steve-Slow-Train-Analysis-(2080s-and-2083s)?_g=(refreshInterval:(display:Off,pause:!f,section:0,value:0),time:(from:'2017-01-17T07:39:51-0700',mode:absolute,to:'2017-01-17T10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101" t="str">
        <f t="shared" si="1"/>
        <v>"C:\Program Files (x86)\AstroGrep\AstroGrep.exe" /spath="%USERPROFILE%\AppData\Local\Temp\OnboardLogs" /stypes="*4001*201701171*" /stext=" 16:.+((SYSTEM_STATE.+slice.+state.+changed )|(ment ac)|(multiple cpu faults)|(system.+state.+changed )|(\[timeout)|(PRM\|1\|D)|(kpr)|(kdp)|(\|lc)|(penalty))" /e /r /s</v>
      </c>
      <c r="U18" s="9" t="str">
        <f t="shared" si="2"/>
        <v>4001</v>
      </c>
      <c r="V18" s="33">
        <f t="shared" si="3"/>
        <v>42752.680671296293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ID","value":"134-17"},{"id":16,"name":"Locomotive ID","value":"4001"},{"id":130,"name":"Impact","value":""},{"id":150,"name":"Time of Event (Mountain Time)","value":"09:20:10"},{"id":151,"name":"Denver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"%USERPROFILE%\AppData\Local\Temp\OnboardLogs"\RTDC4001\*4001*201701171*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"%USERPROFILE%\AppData\Local\Temp\OnboardLogs"\RTDC4001\*4001*201701171* &gt;&gt; 2017-01-17-SliceDisagreementCheck.txt</v>
      </c>
      <c r="AE18" s="183" t="str">
        <f t="shared" si="8"/>
        <v>start /low /b %USERPROFILE%\Documents\GitHub\eaglep3\Utilities\DownloadLogsFromS3.py --loco 4001 --day 2017-01-17</v>
      </c>
      <c r="AF18" s="1"/>
    </row>
    <row r="19" spans="1:32" x14ac:dyDescent="0.25">
      <c r="A19" s="33">
        <v>42752.410208333335</v>
      </c>
      <c r="B19" s="31" t="s">
        <v>331</v>
      </c>
      <c r="C19" s="31" t="s">
        <v>463</v>
      </c>
      <c r="D19" s="31" t="s">
        <v>49</v>
      </c>
      <c r="E19" s="31" t="s">
        <v>196</v>
      </c>
      <c r="F19" s="44">
        <v>0</v>
      </c>
      <c r="G19" s="44">
        <v>63</v>
      </c>
      <c r="H19" s="44">
        <v>196</v>
      </c>
      <c r="I19" s="44">
        <v>139</v>
      </c>
      <c r="J19" s="31" t="s">
        <v>197</v>
      </c>
      <c r="K19" s="44">
        <v>1</v>
      </c>
      <c r="L19" s="150" t="s">
        <v>51</v>
      </c>
      <c r="M19" s="151">
        <f t="shared" si="0"/>
        <v>72.864000000000004</v>
      </c>
      <c r="N19" s="152" t="str">
        <f>VLOOKUP(C19,'Trips&amp;Operators'!$C$1:$G$99999,5,FALSE)</f>
        <v>COOLAHAN JOHN</v>
      </c>
      <c r="O19" s="179" t="s">
        <v>193</v>
      </c>
      <c r="P19" s="153"/>
      <c r="Q19" s="31"/>
      <c r="R19" s="96" t="str">
        <f>VLOOKUP(C19,'Train Runs'!$A$13:$AE$9991,31,0)</f>
        <v>aws s3 cp s3://rtdc.mdm.uploadarchive.raw/RTDC4041/ "%USERPROFILE%\AppData\Local\Temp\OnboardLogs"\RTDC4041\2017-01-17 --exclude "*" --recursive --include "*20170117*" &amp; "%USERPROFILE%\Documents\GitHub\mrs-test-scripts\Headless Mode &amp; Sideloading\WalkAndUnGZ.bat" "%USERPROFILE%\AppData\Local\Temp\OnboardLogs"\RTDC4041\2017-01-17 &amp; aws s3 cp s3://rtdc.mdm.uploadarchive.raw/RTDC4041/ "%USERPROFILE%\AppData\Local\Temp\OnboardLogs"\RTDC4041\2017-01-18 --exclude "*" --recursive --include "*20170118*" &amp; "%USERPROFILE%\Documents\GitHub\mrs-test-scripts\Headless Mode &amp; Sideloading\WalkAndUnGZ.bat" "%USERPROFILE%\AppData\Local\Temp\OnboardLogs"\RTDC4041\2017-01-18</v>
      </c>
      <c r="S19" s="99" t="str">
        <f>VLOOKUP(C19,'Train Runs'!$A$13:$AE$9991,22,0)</f>
        <v>https://d0f6bd738d7f1b3e5a7ca70fe4ff75f0.us-east-1.aws.found.io/app/kibana#/discover/Steve-Slow-Train-Analysis-(2080s-and-2083s)?_g=(refreshInterval:(display:Off,pause:!f,section:0,value:0),time:(from:'2017-01-17T08:03:24-0700',mode:absolute,to:'2017-01-17T10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101" t="str">
        <f t="shared" si="1"/>
        <v>"C:\Program Files (x86)\AstroGrep\AstroGrep.exe" /spath="%USERPROFILE%\AppData\Local\Temp\OnboardLogs" /stypes="*4041*201701171*" /stext=" 16:.+((SYSTEM_STATE.+slice.+state.+changed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42752.701874999999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ID","value":"138-17"},{"id":16,"name":"Locomotive ID","value":"4041"},{"id":130,"name":"Impact","value":""},{"id":150,"name":"Time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"%USERPROFILE%\AppData\Local\Temp\OnboardLogs"\RTDC4041\*4041*201701171* &gt;&gt; 2017-01-17-SliceDisagreementCheck.txt</v>
      </c>
      <c r="AE19" s="183" t="str">
        <f t="shared" si="8"/>
        <v>start /low /b %USERPROFILE%\Documents\GitHub\eaglep3\Utilities\DownloadLogsFromS3.py --loco 4041 --day 2017-01-17</v>
      </c>
      <c r="AF19" s="1"/>
    </row>
    <row r="20" spans="1:32" x14ac:dyDescent="0.25">
      <c r="A20" s="33">
        <v>42752.451377314814</v>
      </c>
      <c r="B20" s="31" t="s">
        <v>290</v>
      </c>
      <c r="C20" s="31" t="s">
        <v>465</v>
      </c>
      <c r="D20" s="31" t="s">
        <v>49</v>
      </c>
      <c r="E20" s="31" t="s">
        <v>196</v>
      </c>
      <c r="F20" s="44">
        <v>0</v>
      </c>
      <c r="G20" s="44">
        <v>35</v>
      </c>
      <c r="H20" s="44">
        <v>119</v>
      </c>
      <c r="I20" s="44">
        <v>110</v>
      </c>
      <c r="J20" s="31" t="s">
        <v>197</v>
      </c>
      <c r="K20" s="44">
        <v>1</v>
      </c>
      <c r="L20" s="150" t="s">
        <v>51</v>
      </c>
      <c r="M20" s="151">
        <f t="shared" si="0"/>
        <v>57.552</v>
      </c>
      <c r="N20" s="152" t="str">
        <f>VLOOKUP(C20,'Trips&amp;Operators'!$C$1:$G$99999,5,FALSE)</f>
        <v>MAELZER KURT</v>
      </c>
      <c r="O20" s="179" t="s">
        <v>193</v>
      </c>
      <c r="P20" s="153"/>
      <c r="Q20" s="31"/>
      <c r="R20" s="96" t="str">
        <f>VLOOKUP(C20,'Train Runs'!$A$13:$AE$9991,31,0)</f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S20" s="99" t="str">
        <f>VLOOKUP(C20,'Train Runs'!$A$13:$AE$9991,22,0)</f>
        <v>https://d0f6bd738d7f1b3e5a7ca70fe4ff75f0.us-east-1.aws.found.io/app/kibana#/discover/Steve-Slow-Train-Analysis-(2080s-and-2083s)?_g=(refreshInterval:(display:Off,pause:!f,section:0,value:0),time:(from:'2017-01-17T09:09:50-0700',mode:absolute,to:'2017-01-17T11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101" t="str">
        <f t="shared" si="1"/>
        <v>"C:\Program Files (x86)\AstroGrep\AstroGrep.exe" /spath="%USERPROFILE%\AppData\Local\Temp\OnboardLogs" /stypes="*4008*201701171*" /stext=" 17:.+((SYSTEM_STATE.+slice.+state.+changed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42752.743043981478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ID","value":"146-17"},{"id":16,"name":"Locomotive ID","value":"4008"},{"id":130,"name":"Impact","value":""},{"id":150,"name":"Time of Event (Mountain Time)","value":"10:49:59"},{"id":151,"name":"Denver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"%USERPROFILE%\AppData\Local\Temp\OnboardLogs"\RTDC4008\*4008*201701171*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"%USERPROFILE%\AppData\Local\Temp\OnboardLogs"\RTDC4008\*4008*201701171* &gt;&gt; 2017-01-17-SliceDisagreementCheck.txt</v>
      </c>
      <c r="AE20" s="183" t="str">
        <f t="shared" si="8"/>
        <v>start /low /b %USERPROFILE%\Documents\GitHub\eaglep3\Utilities\DownloadLogsFromS3.py --loco 4008 --day 2017-01-17</v>
      </c>
      <c r="AF20" s="1"/>
    </row>
    <row r="21" spans="1:32" x14ac:dyDescent="0.25">
      <c r="A21" s="33">
        <v>42752.794953703706</v>
      </c>
      <c r="B21" s="31" t="s">
        <v>302</v>
      </c>
      <c r="C21" s="31" t="s">
        <v>483</v>
      </c>
      <c r="D21" s="31" t="s">
        <v>49</v>
      </c>
      <c r="E21" s="31" t="s">
        <v>196</v>
      </c>
      <c r="F21" s="44">
        <v>0</v>
      </c>
      <c r="G21" s="44">
        <v>70</v>
      </c>
      <c r="H21" s="44">
        <v>251</v>
      </c>
      <c r="I21" s="44">
        <v>180</v>
      </c>
      <c r="J21" s="31" t="s">
        <v>197</v>
      </c>
      <c r="K21" s="44">
        <v>1</v>
      </c>
      <c r="L21" s="150" t="s">
        <v>51</v>
      </c>
      <c r="M21" s="151">
        <f t="shared" si="0"/>
        <v>94.512</v>
      </c>
      <c r="N21" s="152" t="str">
        <f>VLOOKUP(C21,'Trips&amp;Operators'!$C$1:$G$99999,5,FALSE)</f>
        <v>CRAYTON QUNTRELL</v>
      </c>
      <c r="O21" s="179" t="s">
        <v>193</v>
      </c>
      <c r="P21" s="153"/>
      <c r="Q21" s="31"/>
      <c r="R21" s="96" t="str">
        <f>VLOOKUP(C21,'Train Runs'!$A$13:$AE$9991,31,0)</f>
        <v>aws s3 cp s3://rtdc.mdm.uploadarchive.raw/RTDC4028/ "%USERPROFILE%\AppData\Local\Temp\OnboardLogs"\RTDC4028\2017-01-17 --exclude "*" --recursive --include "*20170117*" &amp; "%USERPROFILE%\Documents\GitHub\mrs-test-scripts\Headless Mode &amp; Sideloading\WalkAndUnGZ.bat" "%USERPROFILE%\AppData\Local\Temp\OnboardLogs"\RTDC4028\2017-01-17 &amp; aws s3 cp s3://rtdc.mdm.uploadarchive.raw/RTDC4028/ "%USERPROFILE%\AppData\Local\Temp\OnboardLogs"\RTDC4028\2017-01-18 --exclude "*" --recursive --include "*20170118*" &amp; "%USERPROFILE%\Documents\GitHub\mrs-test-scripts\Headless Mode &amp; Sideloading\WalkAndUnGZ.bat" "%USERPROFILE%\AppData\Local\Temp\OnboardLogs"\RTDC4028\2017-01-18</v>
      </c>
      <c r="S21" s="99" t="str">
        <f>VLOOKUP(C21,'Train Runs'!$A$13:$AE$9991,22,0)</f>
        <v>https://d0f6bd738d7f1b3e5a7ca70fe4ff75f0.us-east-1.aws.found.io/app/kibana#/discover/Steve-Slow-Train-Analysis-(2080s-and-2083s)?_g=(refreshInterval:(display:Off,pause:!f,section:0,value:0),time:(from:'2017-01-17T17:17:49-0700',mode:absolute,to:'2017-01-17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101" t="str">
        <f t="shared" si="1"/>
        <v>"C:\Program Files (x86)\AstroGrep\AstroGrep.exe" /spath="%USERPROFILE%\AppData\Local\Temp\OnboardLogs" /stypes="*4028*201701180*" /stext=" 02:.+((SYSTEM_STATE.+slice.+state.+changed )|(ment ac)|(multiple cpu faults)|(system.+state.+changed )|(\[timeout)|(PRM\|1\|D)|(kpr)|(kdp)|(\|lc)|(penalty))" /e /r /s</v>
      </c>
      <c r="U21" s="9" t="str">
        <f t="shared" si="2"/>
        <v>4028</v>
      </c>
      <c r="V21" s="33">
        <f t="shared" si="3"/>
        <v>42753.08662037037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ID","value":"212-17"},{"id":16,"name":"Locomotive ID","value":"4028"},{"id":130,"name":"Impact","value":""},{"id":150,"name":"Time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"%USERPROFILE%\AppData\Local\Temp\OnboardLogs"\RTDC4028\*4028*201701180*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"%USERPROFILE%\AppData\Local\Temp\OnboardLogs"\RTDC4028\*4028*201701180* &gt;&gt; 2017-01-17-SliceDisagreementCheck.txt</v>
      </c>
      <c r="AE21" s="183" t="str">
        <f t="shared" si="8"/>
        <v>start /low /b %USERPROFILE%\Documents\GitHub\eaglep3\Utilities\DownloadLogsFromS3.py --loco 4028 --day 2017-01-18</v>
      </c>
      <c r="AF21" s="1"/>
    </row>
    <row r="22" spans="1:32" ht="15" customHeight="1" x14ac:dyDescent="0.25">
      <c r="A22" s="33">
        <v>42752.816851851851</v>
      </c>
      <c r="B22" s="31" t="s">
        <v>290</v>
      </c>
      <c r="C22" s="31" t="s">
        <v>486</v>
      </c>
      <c r="D22" s="31" t="s">
        <v>49</v>
      </c>
      <c r="E22" s="31" t="s">
        <v>196</v>
      </c>
      <c r="F22" s="44">
        <v>0</v>
      </c>
      <c r="G22" s="44">
        <v>74</v>
      </c>
      <c r="H22" s="44">
        <v>280</v>
      </c>
      <c r="I22" s="44">
        <v>207</v>
      </c>
      <c r="J22" s="31" t="s">
        <v>197</v>
      </c>
      <c r="K22" s="44">
        <v>1</v>
      </c>
      <c r="L22" s="150" t="s">
        <v>51</v>
      </c>
      <c r="M22" s="151">
        <f t="shared" si="0"/>
        <v>108.768</v>
      </c>
      <c r="N22" s="152" t="str">
        <f>VLOOKUP(C22,'Trips&amp;Operators'!$C$1:$G$99999,5,FALSE)</f>
        <v>SWANSON BRYCE</v>
      </c>
      <c r="O22" s="179" t="s">
        <v>193</v>
      </c>
      <c r="P22" s="153"/>
      <c r="Q22" s="31"/>
      <c r="R22" s="96" t="str">
        <f>VLOOKUP(C22,'Train Runs'!$A$13:$AE$9991,31,0)</f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S22" s="99" t="str">
        <f>VLOOKUP(C22,'Train Runs'!$A$13:$AE$9991,22,0)</f>
        <v>https://d0f6bd738d7f1b3e5a7ca70fe4ff75f0.us-east-1.aws.found.io/app/kibana#/discover/Steve-Slow-Train-Analysis-(2080s-and-2083s)?_g=(refreshInterval:(display:Off,pause:!f,section:0,value:0),time:(from:'2017-01-17T17:41:55-0700',mode:absolute,to:'2017-01-17T20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101" t="str">
        <f t="shared" si="1"/>
        <v>"C:\Program Files (x86)\AstroGrep\AstroGrep.exe" /spath="%USERPROFILE%\AppData\Local\Temp\OnboardLogs" /stypes="*4008*201701180*" /stext=" 02:.+((SYSTEM_STATE.+slice.+state.+changed )|(ment ac)|(multiple cpu faults)|(system.+state.+changed )|(\[timeout)|(PRM\|1\|D)|(kpr)|(kdp)|(\|lc)|(penalty))" /e /r /s</v>
      </c>
      <c r="U22" s="9" t="str">
        <f t="shared" si="2"/>
        <v>4008</v>
      </c>
      <c r="V22" s="33">
        <f t="shared" si="3"/>
        <v>42753.108518518515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ID","value":"216-17"},{"id":16,"name":"Locomotive ID","value":"4008"},{"id":130,"name":"Impact","value":""},{"id":150,"name":"Time of Event (Mountain Time)","value":"19:36:16"},{"id":151,"name":"Denver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"%USERPROFILE%\AppData\Local\Temp\OnboardLogs"\RTDC4008\*4008*201701180*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"%USERPROFILE%\AppData\Local\Temp\OnboardLogs"\RTDC4008\*4008*201701180* &gt;&gt; 2017-01-17-SliceDisagreementCheck.txt</v>
      </c>
      <c r="AE22" s="183" t="str">
        <f t="shared" si="8"/>
        <v>start /low /b %USERPROFILE%\Documents\GitHub\eaglep3\Utilities\DownloadLogsFromS3.py --loco 4008 --day 2017-01-18</v>
      </c>
      <c r="AF22" s="1"/>
    </row>
    <row r="23" spans="1:32" ht="15" customHeight="1" x14ac:dyDescent="0.25">
      <c r="A23" s="33">
        <v>42752.898634259262</v>
      </c>
      <c r="B23" s="31" t="s">
        <v>270</v>
      </c>
      <c r="C23" s="31" t="s">
        <v>492</v>
      </c>
      <c r="D23" s="31" t="s">
        <v>49</v>
      </c>
      <c r="E23" s="31" t="s">
        <v>196</v>
      </c>
      <c r="F23" s="44">
        <v>0</v>
      </c>
      <c r="G23" s="44">
        <v>103</v>
      </c>
      <c r="H23" s="44">
        <v>291</v>
      </c>
      <c r="I23" s="44">
        <v>181</v>
      </c>
      <c r="J23" s="31" t="s">
        <v>197</v>
      </c>
      <c r="K23" s="44">
        <v>1</v>
      </c>
      <c r="L23" s="150" t="s">
        <v>51</v>
      </c>
      <c r="M23" s="151">
        <f t="shared" si="0"/>
        <v>95.04</v>
      </c>
      <c r="N23" s="152" t="str">
        <f>VLOOKUP(C23,'Trips&amp;Operators'!$C$1:$G$99999,5,FALSE)</f>
        <v>STORY SAMANTHA</v>
      </c>
      <c r="O23" s="179" t="s">
        <v>193</v>
      </c>
      <c r="P23" s="153"/>
      <c r="Q23" s="31"/>
      <c r="R23" s="96" t="str">
        <f>VLOOKUP(C23,'Train Runs'!$A$13:$AE$9991,31,0)</f>
        <v>aws s3 cp s3://rtdc.mdm.uploadarchive.raw/RTDC4001/ "%USERPROFILE%\AppData\Local\Temp\OnboardLogs"\RTDC4001\2017-01-17 --exclude "*" --recursive --include "*20170117*" &amp; "%USERPROFILE%\Documents\GitHub\mrs-test-scripts\Headless Mode &amp; Sideloading\WalkAndUnGZ.bat" "%USERPROFILE%\AppData\Local\Temp\OnboardLogs"\RTDC4001\2017-01-17 &amp; aws s3 cp s3://rtdc.mdm.uploadarchive.raw/RTDC4001/ "%USERPROFILE%\AppData\Local\Temp\OnboardLogs"\RTDC4001\2017-01-18 --exclude "*" --recursive --include "*20170118*" &amp; "%USERPROFILE%\Documents\GitHub\mrs-test-scripts\Headless Mode &amp; Sideloading\WalkAndUnGZ.bat" "%USERPROFILE%\AppData\Local\Temp\OnboardLogs"\RTDC4001\2017-01-18</v>
      </c>
      <c r="S23" s="99" t="str">
        <f>VLOOKUP(C23,'Train Runs'!$A$13:$AE$9991,22,0)</f>
        <v>https://d0f6bd738d7f1b3e5a7ca70fe4ff75f0.us-east-1.aws.found.io/app/kibana#/discover/Steve-Slow-Train-Analysis-(2080s-and-2083s)?_g=(refreshInterval:(display:Off,pause:!f,section:0,value:0),time:(from:'2017-01-17T19:49:19-0700',mode:absolute,to:'2017-01-17T22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101" t="str">
        <f t="shared" si="1"/>
        <v>"C:\Program Files (x86)\AstroGrep\AstroGrep.exe" /spath="%USERPROFILE%\AppData\Local\Temp\OnboardLogs" /stypes="*4001*201701180*" /stext=" 04:.+((SYSTEM_STATE.+slice.+state.+changed )|(ment ac)|(multiple cpu faults)|(system.+state.+changed )|(\[timeout)|(PRM\|1\|D)|(kpr)|(kdp)|(\|lc)|(penalty))" /e /r /s</v>
      </c>
      <c r="U23" s="9" t="str">
        <f t="shared" si="2"/>
        <v>4001</v>
      </c>
      <c r="V23" s="33">
        <f t="shared" si="3"/>
        <v>42753.190300925926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{"issue":{"subject":"","project_id":79,"tracker_id":40,"status_id":1,"priority_id":2,"assigned_to_id":23,"start_date":"2017-01-17","description":"","custom_fields":[{"id":1,"name":"Subdivision","value":"EC"},{"id":4,"name":"Milepost","value":"0.0001"},{"id":17,"name":"Train ID","value":"226-17"},{"id":16,"name":"Locomotive ID","value":"4001"},{"id":130,"name":"Impact","value":""},{"id":150,"name":"Time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"%USERPROFILE%\AppData\Local\Temp\OnboardLogs"\RTDC4001\*4001*201701180*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"%USERPROFILE%\AppData\Local\Temp\OnboardLogs"\RTDC4001\*4001*201701180* &gt;&gt; 2017-01-17-SliceDisagreementCheck.txt</v>
      </c>
      <c r="AE23" s="183" t="str">
        <f t="shared" si="8"/>
        <v>start /low /b %USERPROFILE%\Documents\GitHub\eaglep3\Utilities\DownloadLogsFromS3.py --loco 4001 --day 2017-01-18</v>
      </c>
      <c r="AF23" s="1"/>
    </row>
    <row r="24" spans="1:32" x14ac:dyDescent="0.25">
      <c r="A24" s="33">
        <v>42752.878599537034</v>
      </c>
      <c r="B24" s="31" t="s">
        <v>300</v>
      </c>
      <c r="C24" s="31" t="s">
        <v>490</v>
      </c>
      <c r="D24" s="31" t="s">
        <v>49</v>
      </c>
      <c r="E24" s="31" t="s">
        <v>196</v>
      </c>
      <c r="F24" s="44">
        <v>0</v>
      </c>
      <c r="G24" s="44">
        <v>20</v>
      </c>
      <c r="H24" s="44">
        <v>865</v>
      </c>
      <c r="I24" s="44">
        <v>848</v>
      </c>
      <c r="J24" s="31" t="s">
        <v>197</v>
      </c>
      <c r="K24" s="44">
        <v>839</v>
      </c>
      <c r="L24" s="150" t="s">
        <v>51</v>
      </c>
      <c r="M24" s="151">
        <f t="shared" si="0"/>
        <v>4.7519999999999998</v>
      </c>
      <c r="N24" s="152" t="str">
        <f>VLOOKUP(C24,'Trips&amp;Operators'!$C$1:$G$99999,5,FALSE)</f>
        <v>HOLCOMB KAMDEN</v>
      </c>
      <c r="O24" s="179" t="s">
        <v>193</v>
      </c>
      <c r="P24" s="153"/>
      <c r="Q24" s="31"/>
      <c r="R24" s="96" t="str">
        <f>VLOOKUP(C24,'Train Runs'!$A$13:$AE$9991,31,0)</f>
        <v>aws s3 cp s3://rtdc.mdm.uploadarchive.raw/RTDC4021/ "%USERPROFILE%\AppData\Local\Temp\OnboardLogs"\RTDC4021\2017-01-17 --exclude "*" --recursive --include "*20170117*" &amp; "%USERPROFILE%\Documents\GitHub\mrs-test-scripts\Headless Mode &amp; Sideloading\WalkAndUnGZ.bat" "%USERPROFILE%\AppData\Local\Temp\OnboardLogs"\RTDC4021\2017-01-17 &amp; aws s3 cp s3://rtdc.mdm.uploadarchive.raw/RTDC4021/ "%USERPROFILE%\AppData\Local\Temp\OnboardLogs"\RTDC4021\2017-01-18 --exclude "*" --recursive --include "*20170118*" &amp; "%USERPROFILE%\Documents\GitHub\mrs-test-scripts\Headless Mode &amp; Sideloading\WalkAndUnGZ.bat" "%USERPROFILE%\AppData\Local\Temp\OnboardLogs"\RTDC4021\2017-01-18</v>
      </c>
      <c r="S24" s="99" t="str">
        <f>VLOOKUP(C24,'Train Runs'!$A$13:$AE$9991,22,0)</f>
        <v>https://d0f6bd738d7f1b3e5a7ca70fe4ff75f0.us-east-1.aws.found.io/app/kibana#/discover/Steve-Slow-Train-Analysis-(2080s-and-2083s)?_g=(refreshInterval:(display:Off,pause:!f,section:0,value:0),time:(from:'2017-01-17T19:11:35-0700',mode:absolute,to:'2017-01-17T22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101" t="str">
        <f t="shared" si="1"/>
        <v>"C:\Program Files (x86)\AstroGrep\AstroGrep.exe" /spath="%USERPROFILE%\AppData\Local\Temp\OnboardLogs" /stypes="*4021*201701180*" /stext=" 04:.+((SYSTEM_STATE.+slice.+state.+changed )|(ment ac)|(multiple cpu faults)|(system.+state.+changed )|(\[timeout)|(PRM\|1\|D)|(kpr)|(kdp)|(\|lc)|(penalty))" /e /r /s</v>
      </c>
      <c r="U24" s="9" t="str">
        <f t="shared" si="2"/>
        <v>4021</v>
      </c>
      <c r="V24" s="33">
        <f t="shared" si="3"/>
        <v>42753.170266203699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{"issue":{"subject":"","project_id":79,"tracker_id":40,"status_id":1,"priority_id":2,"assigned_to_id":23,"start_date":"2017-01-17","description":"","custom_fields":[{"id":1,"name":"Subdivision","value":"EC"},{"id":4,"name":"Milepost","value":"0.0839"},{"id":17,"name":"Train ID","value":"224-17"},{"id":16,"name":"Locomotive ID","value":"4021"},{"id":130,"name":"Impact","value":""},{"id":150,"name":"Time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"%USERPROFILE%\AppData\Local\Temp\OnboardLogs"\RTDC4021\*4021*201701180*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"%USERPROFILE%\AppData\Local\Temp\OnboardLogs"\RTDC4021\*4021*201701180* &gt;&gt; 2017-01-17-SliceDisagreementCheck.txt</v>
      </c>
      <c r="AE24" s="183" t="str">
        <f t="shared" si="8"/>
        <v>start /low /b %USERPROFILE%\Documents\GitHub\eaglep3\Utilities\DownloadLogsFromS3.py --loco 4021 --day 2017-01-18</v>
      </c>
      <c r="AF24" s="1"/>
    </row>
    <row r="25" spans="1:32" x14ac:dyDescent="0.25">
      <c r="A25" s="33">
        <v>42752.360694444447</v>
      </c>
      <c r="B25" s="31" t="s">
        <v>261</v>
      </c>
      <c r="C25" s="31" t="s">
        <v>461</v>
      </c>
      <c r="D25" s="31" t="s">
        <v>49</v>
      </c>
      <c r="E25" s="31" t="s">
        <v>196</v>
      </c>
      <c r="F25" s="44">
        <v>0</v>
      </c>
      <c r="G25" s="44">
        <v>135</v>
      </c>
      <c r="H25" s="44">
        <v>232826</v>
      </c>
      <c r="I25" s="44">
        <v>232976</v>
      </c>
      <c r="J25" s="31" t="s">
        <v>197</v>
      </c>
      <c r="K25" s="44">
        <v>233491</v>
      </c>
      <c r="L25" s="150" t="s">
        <v>50</v>
      </c>
      <c r="M25" s="151">
        <f t="shared" si="0"/>
        <v>271.92</v>
      </c>
      <c r="N25" s="152" t="str">
        <f>VLOOKUP(C25,'Trips&amp;Operators'!$C$1:$G$99999,5,FALSE)</f>
        <v>DUNCAN SHEILA</v>
      </c>
      <c r="O25" s="179" t="s">
        <v>193</v>
      </c>
      <c r="P25" s="153"/>
      <c r="Q25" s="31"/>
      <c r="R25" s="96" t="str">
        <f>VLOOKUP(C25,'Train Runs'!$A$13:$AE$9991,31,0)</f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S25" s="99" t="str">
        <f>VLOOKUP(C25,'Train Runs'!$A$13:$AE$9991,22,0)</f>
        <v>https://d0f6bd738d7f1b3e5a7ca70fe4ff75f0.us-east-1.aws.found.io/app/kibana#/discover/Steve-Slow-Train-Analysis-(2080s-and-2083s)?_g=(refreshInterval:(display:Off,pause:!f,section:0,value:0),time:(from:'2017-01-17T06:51:39-0700',mode:absolute,to:'2017-01-17T09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101" t="str">
        <f t="shared" si="1"/>
        <v>"C:\Program Files (x86)\AstroGrep\AstroGrep.exe" /spath="%USERPROFILE%\AppData\Local\Temp\OnboardLogs" /stypes="*4031*201701171*" /stext=" 15:.+((SYSTEM_STATE.+slice.+state.+changed )|(ment ac)|(multiple cpu faults)|(system.+state.+changed )|(\[timeout)|(PRM\|1\|D)|(kpr)|(kdp)|(\|lc)|(penalty))" /e /r /s</v>
      </c>
      <c r="U25" s="9" t="str">
        <f t="shared" si="2"/>
        <v>4031</v>
      </c>
      <c r="V25" s="33">
        <f t="shared" si="3"/>
        <v>42752.652361111112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ID","value":"135-17"},{"id":16,"name":"Locomotive ID","value":"4031"},{"id":130,"name":"Impact","value":""},{"id":150,"name":"Time of Event (Mountain Time)","value":"08:39:24"},{"id":151,"name":"Denver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"%USERPROFILE%\AppData\Local\Temp\OnboardLogs"\RTDC4031\*4031*201701171*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"%USERPROFILE%\AppData\Local\Temp\OnboardLogs"\RTDC4031\*4031*201701171* &gt;&gt; 2017-01-17-SliceDisagreementCheck.txt</v>
      </c>
      <c r="AE25" s="183" t="str">
        <f t="shared" si="8"/>
        <v>start /low /b %USERPROFILE%\Documents\GitHub\eaglep3\Utilities\DownloadLogsFromS3.py --loco 4031 --day 2017-01-17</v>
      </c>
      <c r="AF25" s="1"/>
    </row>
    <row r="26" spans="1:32" x14ac:dyDescent="0.25">
      <c r="A26" s="33">
        <v>42752.361134259256</v>
      </c>
      <c r="B26" s="31" t="s">
        <v>261</v>
      </c>
      <c r="C26" s="31" t="s">
        <v>461</v>
      </c>
      <c r="D26" s="31" t="s">
        <v>49</v>
      </c>
      <c r="E26" s="31" t="s">
        <v>196</v>
      </c>
      <c r="F26" s="44">
        <v>0</v>
      </c>
      <c r="G26" s="44">
        <v>56</v>
      </c>
      <c r="H26" s="44">
        <v>233049</v>
      </c>
      <c r="I26" s="44">
        <v>233151</v>
      </c>
      <c r="J26" s="31" t="s">
        <v>197</v>
      </c>
      <c r="K26" s="44">
        <v>233491</v>
      </c>
      <c r="L26" s="150" t="s">
        <v>50</v>
      </c>
      <c r="M26" s="151">
        <f t="shared" si="0"/>
        <v>179.52</v>
      </c>
      <c r="N26" s="152" t="str">
        <f>VLOOKUP(C26,'Trips&amp;Operators'!$C$1:$G$99999,5,FALSE)</f>
        <v>DUNCAN SHEILA</v>
      </c>
      <c r="O26" s="179" t="s">
        <v>193</v>
      </c>
      <c r="P26" s="153"/>
      <c r="Q26" s="31"/>
      <c r="R26" s="96" t="str">
        <f>VLOOKUP(C26,'Train Runs'!$A$13:$AE$9991,31,0)</f>
        <v>aws s3 cp s3://rtdc.mdm.uploadarchive.raw/RTDC4031/ "%USERPROFILE%\AppData\Local\Temp\OnboardLogs"\RTDC4031\2017-01-17 --exclude "*" --recursive --include "*20170117*" &amp; "%USERPROFILE%\Documents\GitHub\mrs-test-scripts\Headless Mode &amp; Sideloading\WalkAndUnGZ.bat" "%USERPROFILE%\AppData\Local\Temp\OnboardLogs"\RTDC4031\2017-01-17 &amp; aws s3 cp s3://rtdc.mdm.uploadarchive.raw/RTDC4031/ "%USERPROFILE%\AppData\Local\Temp\OnboardLogs"\RTDC4031\2017-01-18 --exclude "*" --recursive --include "*20170118*" &amp; "%USERPROFILE%\Documents\GitHub\mrs-test-scripts\Headless Mode &amp; Sideloading\WalkAndUnGZ.bat" "%USERPROFILE%\AppData\Local\Temp\OnboardLogs"\RTDC4031\2017-01-18</v>
      </c>
      <c r="S26" s="99" t="str">
        <f>VLOOKUP(C26,'Train Runs'!$A$13:$AE$9991,22,0)</f>
        <v>https://d0f6bd738d7f1b3e5a7ca70fe4ff75f0.us-east-1.aws.found.io/app/kibana#/discover/Steve-Slow-Train-Analysis-(2080s-and-2083s)?_g=(refreshInterval:(display:Off,pause:!f,section:0,value:0),time:(from:'2017-01-17T06:51:39-0700',mode:absolute,to:'2017-01-17T09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101" t="str">
        <f t="shared" si="1"/>
        <v>"C:\Program Files (x86)\AstroGrep\AstroGrep.exe" /spath="%USERPROFILE%\AppData\Local\Temp\OnboardLogs" /stypes="*4031*201701171*" /stext=" 15:.+((SYSTEM_STATE.+slice.+state.+changed )|(ment ac)|(multiple cpu faults)|(system.+state.+changed )|(\[timeout)|(PRM\|1\|D)|(kpr)|(kdp)|(\|lc)|(penalty))" /e /r /s</v>
      </c>
      <c r="U26" s="9" t="str">
        <f t="shared" si="2"/>
        <v>4031</v>
      </c>
      <c r="V26" s="33">
        <f t="shared" si="3"/>
        <v>42752.65280092592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ID","value":"135-17"},{"id":16,"name":"Locomotive ID","value":"4031"},{"id":130,"name":"Impact","value":""},{"id":150,"name":"Time of Event (Mountain Time)","value":"08:40:02"},{"id":151,"name":"Denver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"%USERPROFILE%\AppData\Local\Temp\OnboardLogs"\RTDC4031\*4031*201701171*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"%USERPROFILE%\AppData\Local\Temp\OnboardLogs"\RTDC4031\*4031*201701171* &gt;&gt; 2017-01-17-SliceDisagreementCheck.txt</v>
      </c>
      <c r="AE26" s="183" t="str">
        <f t="shared" si="8"/>
        <v>start /low /b %USERPROFILE%\Documents\GitHub\eaglep3\Utilities\DownloadLogsFromS3.py --loco 4031 --day 2017-01-17</v>
      </c>
      <c r="AF26" s="1"/>
    </row>
    <row r="27" spans="1:32" x14ac:dyDescent="0.25">
      <c r="A27" s="33">
        <v>42752.443067129629</v>
      </c>
      <c r="B27" s="31" t="s">
        <v>221</v>
      </c>
      <c r="C27" s="31" t="s">
        <v>464</v>
      </c>
      <c r="D27" s="31" t="s">
        <v>49</v>
      </c>
      <c r="E27" s="31" t="s">
        <v>196</v>
      </c>
      <c r="F27" s="44">
        <v>0</v>
      </c>
      <c r="G27" s="44">
        <v>110</v>
      </c>
      <c r="H27" s="44">
        <v>233068</v>
      </c>
      <c r="I27" s="44">
        <v>233236</v>
      </c>
      <c r="J27" s="31" t="s">
        <v>197</v>
      </c>
      <c r="K27" s="44">
        <v>233491</v>
      </c>
      <c r="L27" s="150" t="s">
        <v>50</v>
      </c>
      <c r="M27" s="151">
        <f t="shared" si="0"/>
        <v>134.63999999999999</v>
      </c>
      <c r="N27" s="152" t="str">
        <f>VLOOKUP(C27,'Trips&amp;Operators'!$C$1:$G$99999,5,FALSE)</f>
        <v>COOLAHAN JOHN</v>
      </c>
      <c r="O27" s="179" t="s">
        <v>193</v>
      </c>
      <c r="P27" s="153"/>
      <c r="Q27" s="31"/>
      <c r="R27" s="96" t="str">
        <f>VLOOKUP(C27,'Train Runs'!$A$13:$AE$9991,31,0)</f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S27" s="99" t="str">
        <f>VLOOKUP(C27,'Train Runs'!$A$13:$AE$9991,22,0)</f>
        <v>https://d0f6bd738d7f1b3e5a7ca70fe4ff75f0.us-east-1.aws.found.io/app/kibana#/discover/Steve-Slow-Train-Analysis-(2080s-and-2083s)?_g=(refreshInterval:(display:Off,pause:!f,section:0,value:0),time:(from:'2017-01-17T08:54:15-0700',mode:absolute,to:'2017-01-17T11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101" t="str">
        <f t="shared" si="1"/>
        <v>"C:\Program Files (x86)\AstroGrep\AstroGrep.exe" /spath="%USERPROFILE%\AppData\Local\Temp\OnboardLogs" /stypes="*4042*201701171*" /stext=" 17:.+((SYSTEM_STATE.+slice.+state.+changed )|(ment ac)|(multiple cpu faults)|(system.+state.+changed )|(\[timeout)|(PRM\|1\|D)|(kpr)|(kdp)|(\|lc)|(penalty))" /e /r /s</v>
      </c>
      <c r="U27" s="9" t="str">
        <f t="shared" si="2"/>
        <v>4042</v>
      </c>
      <c r="V27" s="33">
        <f t="shared" si="3"/>
        <v>42752.734733796293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ID","value":"151-17"},{"id":16,"name":"Locomotive ID","value":"4042"},{"id":130,"name":"Impact","value":""},{"id":150,"name":"Time of Event (Mountain Time)","value":"10:38:01"},{"id":151,"name":"Denver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"%USERPROFILE%\AppData\Local\Temp\OnboardLogs"\RTDC4042\*4042*201701171*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"%USERPROFILE%\AppData\Local\Temp\OnboardLogs"\RTDC4042\*4042*201701171* &gt;&gt; 2017-01-17-SliceDisagreementCheck.txt</v>
      </c>
      <c r="AE27" s="183" t="str">
        <f t="shared" si="8"/>
        <v>start /low /b %USERPROFILE%\Documents\GitHub\eaglep3\Utilities\DownloadLogsFromS3.py --loco 4042 --day 2017-01-17</v>
      </c>
      <c r="AF27" s="1"/>
    </row>
    <row r="28" spans="1:32" x14ac:dyDescent="0.25">
      <c r="A28" s="33">
        <v>42752.557789351849</v>
      </c>
      <c r="B28" s="31" t="s">
        <v>471</v>
      </c>
      <c r="C28" s="31" t="s">
        <v>472</v>
      </c>
      <c r="D28" s="31" t="s">
        <v>49</v>
      </c>
      <c r="E28" s="31" t="s">
        <v>196</v>
      </c>
      <c r="F28" s="44">
        <v>0</v>
      </c>
      <c r="G28" s="44">
        <v>82</v>
      </c>
      <c r="H28" s="44">
        <v>233120</v>
      </c>
      <c r="I28" s="44">
        <v>233222</v>
      </c>
      <c r="J28" s="31" t="s">
        <v>197</v>
      </c>
      <c r="K28" s="44">
        <v>233491</v>
      </c>
      <c r="L28" s="150" t="s">
        <v>50</v>
      </c>
      <c r="M28" s="151">
        <f t="shared" si="0"/>
        <v>142.03200000000001</v>
      </c>
      <c r="N28" s="152" t="str">
        <f>VLOOKUP(C28,'Trips&amp;Operators'!$C$1:$G$99999,5,FALSE)</f>
        <v>DAVIS MICHAEL</v>
      </c>
      <c r="O28" s="179" t="s">
        <v>193</v>
      </c>
      <c r="P28" s="153"/>
      <c r="Q28" s="31"/>
      <c r="R28" s="96" t="str">
        <f>VLOOKUP(C28,'Train Runs'!$A$13:$AE$9991,31,0)</f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S28" s="99" t="str">
        <f>VLOOKUP(C28,'Train Runs'!$A$13:$AE$9991,22,0)</f>
        <v>https://d0f6bd738d7f1b3e5a7ca70fe4ff75f0.us-east-1.aws.found.io/app/kibana#/discover/Steve-Slow-Train-Analysis-(2080s-and-2083s)?_g=(refreshInterval:(display:Off,pause:!f,section:0,value:0),time:(from:'2017-01-17T11:41:45-0700',mode:absolute,to:'2017-01-17T14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101" t="str">
        <f t="shared" si="1"/>
        <v>"C:\Program Files (x86)\AstroGrep\AstroGrep.exe" /spath="%USERPROFILE%\AppData\Local\Temp\OnboardLogs" /stypes="*4007*201701172*" /stext=" 20:.+((SYSTEM_STATE.+slice.+state.+changed )|(ment ac)|(multiple cpu faults)|(system.+state.+changed )|(\[timeout)|(PRM\|1\|D)|(kpr)|(kdp)|(\|lc)|(penalty))" /e /r /s</v>
      </c>
      <c r="U28" s="9" t="str">
        <f t="shared" si="2"/>
        <v>4007</v>
      </c>
      <c r="V28" s="33">
        <f t="shared" si="3"/>
        <v>42752.849456018514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ID","value":"173-17"},{"id":16,"name":"Locomotive ID","value":"4007"},{"id":130,"name":"Impact","value":""},{"id":150,"name":"Time of Event (Mountain Time)","value":"13:23:13"},{"id":151,"name":"Denver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"%USERPROFILE%\AppData\Local\Temp\OnboardLogs"\RTDC4007\*4007*201701172*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"%USERPROFILE%\AppData\Local\Temp\OnboardLogs"\RTDC4007\*4007*201701172* &gt;&gt; 2017-01-17-SliceDisagreementCheck.txt</v>
      </c>
      <c r="AE28" s="183" t="str">
        <f t="shared" si="8"/>
        <v>start /low /b %USERPROFILE%\Documents\GitHub\eaglep3\Utilities\DownloadLogsFromS3.py --loco 4007 --day 2017-01-17</v>
      </c>
      <c r="AF28" s="1"/>
    </row>
    <row r="29" spans="1:32" x14ac:dyDescent="0.25">
      <c r="A29" s="33">
        <v>42752.558310185188</v>
      </c>
      <c r="B29" s="31" t="s">
        <v>471</v>
      </c>
      <c r="C29" s="31" t="s">
        <v>472</v>
      </c>
      <c r="D29" s="31" t="s">
        <v>49</v>
      </c>
      <c r="E29" s="31" t="s">
        <v>196</v>
      </c>
      <c r="F29" s="44">
        <v>0</v>
      </c>
      <c r="G29" s="44">
        <v>61</v>
      </c>
      <c r="H29" s="44">
        <v>233241</v>
      </c>
      <c r="I29" s="44">
        <v>233345</v>
      </c>
      <c r="J29" s="31" t="s">
        <v>197</v>
      </c>
      <c r="K29" s="44">
        <v>233491</v>
      </c>
      <c r="L29" s="150" t="s">
        <v>50</v>
      </c>
      <c r="M29" s="151">
        <f t="shared" si="0"/>
        <v>77.087999999999994</v>
      </c>
      <c r="N29" s="152" t="str">
        <f>VLOOKUP(C29,'Trips&amp;Operators'!$C$1:$G$99999,5,FALSE)</f>
        <v>DAVIS MICHAEL</v>
      </c>
      <c r="O29" s="179" t="s">
        <v>193</v>
      </c>
      <c r="P29" s="153"/>
      <c r="Q29" s="31"/>
      <c r="R29" s="96" t="str">
        <f>VLOOKUP(C29,'Train Runs'!$A$13:$AE$9991,31,0)</f>
        <v>aws s3 cp s3://rtdc.mdm.uploadarchive.raw/RTDC4007/ "%USERPROFILE%\AppData\Local\Temp\OnboardLogs"\RTDC4007\2017-01-17 --exclude "*" --recursive --include "*20170117*" &amp; "%USERPROFILE%\Documents\GitHub\mrs-test-scripts\Headless Mode &amp; Sideloading\WalkAndUnGZ.bat" "%USERPROFILE%\AppData\Local\Temp\OnboardLogs"\RTDC4007\2017-01-17 &amp; aws s3 cp s3://rtdc.mdm.uploadarchive.raw/RTDC4007/ "%USERPROFILE%\AppData\Local\Temp\OnboardLogs"\RTDC4007\2017-01-18 --exclude "*" --recursive --include "*20170118*" &amp; "%USERPROFILE%\Documents\GitHub\mrs-test-scripts\Headless Mode &amp; Sideloading\WalkAndUnGZ.bat" "%USERPROFILE%\AppData\Local\Temp\OnboardLogs"\RTDC4007\2017-01-18</v>
      </c>
      <c r="S29" s="99" t="str">
        <f>VLOOKUP(C29,'Train Runs'!$A$13:$AE$9991,22,0)</f>
        <v>https://d0f6bd738d7f1b3e5a7ca70fe4ff75f0.us-east-1.aws.found.io/app/kibana#/discover/Steve-Slow-Train-Analysis-(2080s-and-2083s)?_g=(refreshInterval:(display:Off,pause:!f,section:0,value:0),time:(from:'2017-01-17T11:41:45-0700',mode:absolute,to:'2017-01-17T14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101" t="str">
        <f t="shared" si="1"/>
        <v>"C:\Program Files (x86)\AstroGrep\AstroGrep.exe" /spath="%USERPROFILE%\AppData\Local\Temp\OnboardLogs" /stypes="*4007*201701172*" /stext=" 20:.+((SYSTEM_STATE.+slice.+state.+changed )|(ment ac)|(multiple cpu faults)|(system.+state.+changed )|(\[timeout)|(PRM\|1\|D)|(kpr)|(kdp)|(\|lc)|(penalty))" /e /r /s</v>
      </c>
      <c r="U29" s="9" t="str">
        <f t="shared" si="2"/>
        <v>4007</v>
      </c>
      <c r="V29" s="33">
        <f t="shared" si="3"/>
        <v>42752.849976851852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ID","value":"173-17"},{"id":16,"name":"Locomotive ID","value":"4007"},{"id":130,"name":"Impact","value":""},{"id":150,"name":"Time of Event (Mountain Time)","value":"13:23:58"},{"id":151,"name":"Denver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"%USERPROFILE%\AppData\Local\Temp\OnboardLogs"\RTDC4007\*4007*201701172*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"%USERPROFILE%\AppData\Local\Temp\OnboardLogs"\RTDC4007\*4007*201701172* &gt;&gt; 2017-01-17-SliceDisagreementCheck.txt</v>
      </c>
      <c r="AE29" s="183" t="str">
        <f t="shared" si="8"/>
        <v>start /low /b %USERPROFILE%\Documents\GitHub\eaglep3\Utilities\DownloadLogsFromS3.py --loco 4007 --day 2017-01-17</v>
      </c>
      <c r="AF29" s="1"/>
    </row>
    <row r="30" spans="1:32" x14ac:dyDescent="0.25">
      <c r="A30" s="33">
        <v>42752.735474537039</v>
      </c>
      <c r="B30" s="31" t="s">
        <v>221</v>
      </c>
      <c r="C30" s="31" t="s">
        <v>481</v>
      </c>
      <c r="D30" s="31" t="s">
        <v>49</v>
      </c>
      <c r="E30" s="31" t="s">
        <v>196</v>
      </c>
      <c r="F30" s="44">
        <v>0</v>
      </c>
      <c r="G30" s="44">
        <v>57</v>
      </c>
      <c r="H30" s="44">
        <v>233189</v>
      </c>
      <c r="I30" s="44">
        <v>233251</v>
      </c>
      <c r="J30" s="31" t="s">
        <v>197</v>
      </c>
      <c r="K30" s="44">
        <v>233491</v>
      </c>
      <c r="L30" s="150" t="s">
        <v>50</v>
      </c>
      <c r="M30" s="151">
        <f t="shared" si="0"/>
        <v>126.72</v>
      </c>
      <c r="N30" s="152" t="str">
        <f>VLOOKUP(C30,'Trips&amp;Operators'!$C$1:$G$99999,5,FALSE)</f>
        <v>CLARK KATHLEEN</v>
      </c>
      <c r="O30" s="179" t="s">
        <v>193</v>
      </c>
      <c r="P30" s="153"/>
      <c r="Q30" s="31"/>
      <c r="R30" s="96" t="str">
        <f>VLOOKUP(C30,'Train Runs'!$A$13:$AE$9991,31,0)</f>
        <v>aws s3 cp s3://rtdc.mdm.uploadarchive.raw/RTDC4042/ "%USERPROFILE%\AppData\Local\Temp\OnboardLogs"\RTDC4042\2017-01-17 --exclude "*" --recursive --include "*20170117*" &amp; "%USERPROFILE%\Documents\GitHub\mrs-test-scripts\Headless Mode &amp; Sideloading\WalkAndUnGZ.bat" "%USERPROFILE%\AppData\Local\Temp\OnboardLogs"\RTDC4042\2017-01-17 &amp; aws s3 cp s3://rtdc.mdm.uploadarchive.raw/RTDC4042/ "%USERPROFILE%\AppData\Local\Temp\OnboardLogs"\RTDC4042\2017-01-18 --exclude "*" --recursive --include "*20170118*" &amp; "%USERPROFILE%\Documents\GitHub\mrs-test-scripts\Headless Mode &amp; Sideloading\WalkAndUnGZ.bat" "%USERPROFILE%\AppData\Local\Temp\OnboardLogs"\RTDC4042\2017-01-18</v>
      </c>
      <c r="S30" s="99" t="str">
        <f>VLOOKUP(C30,'Train Runs'!$A$13:$AE$9991,22,0)</f>
        <v>https://d0f6bd738d7f1b3e5a7ca70fe4ff75f0.us-east-1.aws.found.io/app/kibana#/discover/Steve-Slow-Train-Analysis-(2080s-and-2083s)?_g=(refreshInterval:(display:Off,pause:!f,section:0,value:0),time:(from:'2017-01-17T15:53:08-0700',mode:absolute,to:'2017-01-17T18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101" t="str">
        <f t="shared" si="1"/>
        <v>"C:\Program Files (x86)\AstroGrep\AstroGrep.exe" /spath="%USERPROFILE%\AppData\Local\Temp\OnboardLogs" /stypes="*4042*201701180*" /stext=" 00:.+((SYSTEM_STATE.+slice.+state.+changed )|(ment ac)|(multiple cpu faults)|(system.+state.+changed )|(\[timeout)|(PRM\|1\|D)|(kpr)|(kdp)|(\|lc)|(penalty))" /e /r /s</v>
      </c>
      <c r="U30" s="9" t="str">
        <f t="shared" si="2"/>
        <v>4042</v>
      </c>
      <c r="V30" s="33">
        <f t="shared" si="3"/>
        <v>42753.027141203704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{"issue":{"subject":"","project_id":79,"tracker_id":40,"status_id":1,"priority_id":2,"assigned_to_id":23,"start_date":"2017-01-17","description":"","custom_fields":[{"id":1,"name":"Subdivision","value":"EC"},{"id":4,"name":"Milepost","value":"23.3491"},{"id":17,"name":"Train ID","value":"207-17"},{"id":16,"name":"Locomotive ID","value":"4042"},{"id":130,"name":"Impact","value":""},{"id":150,"name":"Time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"%USERPROFILE%\AppData\Local\Temp\OnboardLogs"\RTDC4042\*4042*201701180*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"%USERPROFILE%\AppData\Local\Temp\OnboardLogs"\RTDC4042\*4042*201701180* &gt;&gt; 2017-01-17-SliceDisagreementCheck.txt</v>
      </c>
      <c r="AE30" s="183" t="str">
        <f t="shared" si="8"/>
        <v>start /low /b %USERPROFILE%\Documents\GitHub\eaglep3\Utilities\DownloadLogsFromS3.py --loco 4042 --day 2017-01-18</v>
      </c>
      <c r="AF30" s="1"/>
    </row>
    <row r="31" spans="1:32" x14ac:dyDescent="0.25">
      <c r="A31" s="33">
        <v>42752.765520833331</v>
      </c>
      <c r="B31" s="31" t="s">
        <v>479</v>
      </c>
      <c r="C31" s="31" t="s">
        <v>482</v>
      </c>
      <c r="D31" s="31" t="s">
        <v>49</v>
      </c>
      <c r="E31" s="31" t="s">
        <v>229</v>
      </c>
      <c r="F31" s="44">
        <v>310</v>
      </c>
      <c r="G31" s="44">
        <v>459</v>
      </c>
      <c r="H31" s="44">
        <v>17797</v>
      </c>
      <c r="I31" s="44">
        <v>16135</v>
      </c>
      <c r="J31" s="31" t="s">
        <v>230</v>
      </c>
      <c r="K31" s="44">
        <v>15777</v>
      </c>
      <c r="L31" s="150" t="s">
        <v>51</v>
      </c>
      <c r="M31" s="151">
        <f t="shared" si="0"/>
        <v>189.024</v>
      </c>
      <c r="N31" s="152" t="str">
        <f>VLOOKUP(C31,'Trips&amp;Operators'!$C$1:$G$99999,5,FALSE)</f>
        <v>HILLS DUSTIN</v>
      </c>
      <c r="O31" s="179" t="s">
        <v>268</v>
      </c>
      <c r="P31" s="153" t="s">
        <v>882</v>
      </c>
      <c r="Q31" s="31"/>
      <c r="R31" s="96" t="str">
        <f>VLOOKUP(C31,'Train Runs'!$A$13:$AE$9991,31,0)</f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S31" s="99" t="str">
        <f>VLOOKUP(C31,'Train Runs'!$A$13:$AE$9991,22,0)</f>
        <v>https://d0f6bd738d7f1b3e5a7ca70fe4ff75f0.us-east-1.aws.found.io/app/kibana#/discover/Steve-Slow-Train-Analysis-(2080s-and-2083s)?_g=(refreshInterval:(display:Off,pause:!f,section:0,value:0),time:(from:'2017-01-17T17:08:19-0700',mode:absolute,to:'2017-01-17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101" t="str">
        <f t="shared" si="1"/>
        <v>"C:\Program Files (x86)\AstroGrep\AstroGrep.exe" /spath="%USERPROFILE%\AppData\Local\Temp\OnboardLogs" /stypes="*4017*201701180*" /stext=" 01:.+((SYSTEM_STATE.+slice.+state.+changed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3">
        <f t="shared" si="3"/>
        <v>42753.057187499995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{"issue":{"subject":"Early arrival (41st)","project_id":79,"tracker_id":40,"status_id":1,"priority_id":2,"assigned_to_id":23,"start_date":"2017-01-17","description":"","custom_fields":[{"id":1,"name":"Subdivision","value":"NW"},{"id":4,"name":"Milepost","value":"1.5777"},{"id":17,"name":"Train ID","value":"836-17"},{"id":16,"name":"Locomotive ID","value":"4017"},{"id":130,"name":"Impact","value":""},{"id":150,"name":"Time of Event (Mountain Time)","value":"18:22:21"},{"id":151,"name":"Denver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"%USERPROFILE%\AppData\Local\Temp\OnboardLogs"\RTDC4017\*4017*201701180*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"%USERPROFILE%\AppData\Local\Temp\OnboardLogs"\RTDC4017\*4017*201701180* &gt;&gt; 2017-01-17-SliceDisagreementCheck.txt</v>
      </c>
      <c r="AE31" s="183" t="str">
        <f t="shared" si="8"/>
        <v>start /low /b %USERPROFILE%\Documents\GitHub\eaglep3\Utilities\DownloadLogsFromS3.py --loco 4017 --day 2017-01-18</v>
      </c>
      <c r="AF31" s="1"/>
    </row>
    <row r="32" spans="1:32" x14ac:dyDescent="0.25">
      <c r="A32" s="33">
        <v>42752.894629629627</v>
      </c>
      <c r="B32" s="31" t="s">
        <v>275</v>
      </c>
      <c r="C32" s="31" t="s">
        <v>491</v>
      </c>
      <c r="D32" s="31" t="s">
        <v>98</v>
      </c>
      <c r="E32" s="31" t="s">
        <v>266</v>
      </c>
      <c r="F32" s="44">
        <v>500</v>
      </c>
      <c r="G32" s="44">
        <v>557</v>
      </c>
      <c r="H32" s="44">
        <v>16464</v>
      </c>
      <c r="I32" s="44">
        <v>18258</v>
      </c>
      <c r="J32" s="31" t="s">
        <v>267</v>
      </c>
      <c r="K32" s="44">
        <v>14402</v>
      </c>
      <c r="L32" s="150" t="s">
        <v>50</v>
      </c>
      <c r="M32" s="151">
        <f t="shared" si="0"/>
        <v>-2035.9680000000001</v>
      </c>
      <c r="N32" s="152" t="str">
        <f>VLOOKUP(C32,'Trips&amp;Operators'!$C$1:$G$99999,5,FALSE)</f>
        <v>HILLS DUSTIN</v>
      </c>
      <c r="O32" s="179" t="s">
        <v>193</v>
      </c>
      <c r="P32" s="153"/>
      <c r="Q32" s="31"/>
      <c r="R32" s="96" t="str">
        <f>VLOOKUP(C32,'Train Runs'!$A$13:$AE$9991,31,0)</f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S32" s="99" t="str">
        <f>VLOOKUP(C32,'Train Runs'!$A$13:$AE$9991,22,0)</f>
        <v>https://d0f6bd738d7f1b3e5a7ca70fe4ff75f0.us-east-1.aws.found.io/app/kibana#/discover/Steve-Slow-Train-Analysis-(2080s-and-2083s)?_g=(refreshInterval:(display:Off,pause:!f,section:0,value:0),time:(from:'2017-01-17T20:04:27-0700',mode:absolute,to:'2017-01-17T22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101" t="str">
        <f t="shared" si="1"/>
        <v>"C:\Program Files (x86)\AstroGrep\AstroGrep.exe" /spath="%USERPROFILE%\AppData\Local\Temp\OnboardLogs" /stypes="*4020*201701180*" /stext=" 04:.+((SYSTEM_STATE.+slice.+state.+changed )|(ment ac)|(multiple cpu faults)|(system.+state.+changed )|(\[timeout)|(PRM\|1\|D)|(kpr)|(kdp)|(\|lc)|(penalty))" /e /r /s</v>
      </c>
      <c r="U32" s="9" t="str">
        <f t="shared" si="2"/>
        <v>4020</v>
      </c>
      <c r="V32" s="33">
        <f t="shared" si="3"/>
        <v>42753.186296296291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{"issue":{"subject":"","project_id":79,"tracker_id":40,"status_id":1,"priority_id":2,"assigned_to_id":23,"start_date":"2017-01-17","description":"","custom_fields":[{"id":1,"name":"Subdivision","value":"NW"},{"id":4,"name":"Milepost","value":"1.4402"},{"id":17,"name":"Train ID","value":"845-17"},{"id":16,"name":"Locomotive ID","value":"4020"},{"id":130,"name":"Impact","value":""},{"id":150,"name":"Time of Event (Mountain Time)","value":"21:28:16"},{"id":151,"name":"Denver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"%USERPROFILE%\AppData\Local\Temp\OnboardLogs"\RTDC4020\*4020*201701180*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"%USERPROFILE%\AppData\Local\Temp\OnboardLogs"\RTDC4020\*4020*201701180* &gt;&gt; 2017-01-17-SliceDisagreementCheck.txt</v>
      </c>
      <c r="AE32" s="183" t="str">
        <f t="shared" si="8"/>
        <v>start /low /b %USERPROFILE%\Documents\GitHub\eaglep3\Utilities\DownloadLogsFromS3.py --loco 4020 --day 2017-01-18</v>
      </c>
      <c r="AF32" s="1"/>
    </row>
    <row r="33" spans="1:32" x14ac:dyDescent="0.25">
      <c r="A33" s="33">
        <v>42752.76190972222</v>
      </c>
      <c r="B33" s="31" t="s">
        <v>479</v>
      </c>
      <c r="C33" s="31" t="s">
        <v>482</v>
      </c>
      <c r="D33" s="31" t="s">
        <v>98</v>
      </c>
      <c r="E33" s="31" t="s">
        <v>266</v>
      </c>
      <c r="F33" s="44">
        <v>400</v>
      </c>
      <c r="G33" s="44">
        <v>459</v>
      </c>
      <c r="H33" s="44">
        <v>38847</v>
      </c>
      <c r="I33" s="44">
        <v>37557</v>
      </c>
      <c r="J33" s="31" t="s">
        <v>267</v>
      </c>
      <c r="K33" s="44">
        <v>40977</v>
      </c>
      <c r="L33" s="150" t="s">
        <v>51</v>
      </c>
      <c r="M33" s="151">
        <f t="shared" si="0"/>
        <v>-1805.76</v>
      </c>
      <c r="N33" s="152" t="str">
        <f>VLOOKUP(C33,'Trips&amp;Operators'!$C$1:$G$99999,5,FALSE)</f>
        <v>HILLS DUSTIN</v>
      </c>
      <c r="O33" s="179" t="s">
        <v>193</v>
      </c>
      <c r="P33" s="153"/>
      <c r="Q33" s="31"/>
      <c r="R33" s="96" t="str">
        <f>VLOOKUP(C33,'Train Runs'!$A$13:$AE$9991,31,0)</f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S33" s="99" t="str">
        <f>VLOOKUP(C33,'Train Runs'!$A$13:$AE$9991,22,0)</f>
        <v>https://d0f6bd738d7f1b3e5a7ca70fe4ff75f0.us-east-1.aws.found.io/app/kibana#/discover/Steve-Slow-Train-Analysis-(2080s-and-2083s)?_g=(refreshInterval:(display:Off,pause:!f,section:0,value:0),time:(from:'2017-01-17T17:08:19-0700',mode:absolute,to:'2017-01-17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3" s="101" t="str">
        <f t="shared" si="1"/>
        <v>"C:\Program Files (x86)\AstroGrep\AstroGrep.exe" /spath="%USERPROFILE%\AppData\Local\Temp\OnboardLogs" /stypes="*4017*201701180*" /stext=" 01:.+((SYSTEM_STATE.+slice.+state.+changed )|(ment ac)|(multiple cpu faults)|(system.+state.+changed )|(\[timeout)|(PRM\|1\|D)|(kpr)|(kdp)|(\|lc)|(penalty))" /e /r /s</v>
      </c>
      <c r="U33" s="9" t="str">
        <f t="shared" si="2"/>
        <v>4017</v>
      </c>
      <c r="V33" s="33">
        <f t="shared" si="3"/>
        <v>42753.053576388884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{"issue":{"subject":"","project_id":79,"tracker_id":40,"status_id":1,"priority_id":2,"assigned_to_id":23,"start_date":"2017-01-17","description":"","custom_fields":[{"id":1,"name":"Subdivision","value":"NW"},{"id":4,"name":"Milepost","value":"4.0977"},{"id":17,"name":"Train ID","value":"836-17"},{"id":16,"name":"Locomotive ID","value":"4017"},{"id":130,"name":"Impact","value":""},{"id":150,"name":"Time of Event (Mountain Time)","value":"18:17:09"},{"id":151,"name":"Denver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"%USERPROFILE%\AppData\Local\Temp\OnboardLogs"\RTDC4017\*4017*201701180*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"%USERPROFILE%\AppData\Local\Temp\OnboardLogs"\RTDC4017\*4017*201701180* &gt;&gt; 2017-01-17-SliceDisagreementCheck.txt</v>
      </c>
      <c r="AE33" s="183" t="str">
        <f t="shared" si="8"/>
        <v>start /low /b %USERPROFILE%\Documents\GitHub\eaglep3\Utilities\DownloadLogsFromS3.py --loco 4017 --day 2017-01-18</v>
      </c>
      <c r="AF33" s="1"/>
    </row>
    <row r="34" spans="1:32" x14ac:dyDescent="0.25">
      <c r="A34" s="33">
        <v>42752.287777777776</v>
      </c>
      <c r="B34" s="31" t="s">
        <v>454</v>
      </c>
      <c r="C34" s="31" t="s">
        <v>458</v>
      </c>
      <c r="D34" s="31" t="s">
        <v>49</v>
      </c>
      <c r="E34" s="31" t="s">
        <v>459</v>
      </c>
      <c r="F34" s="44">
        <v>100</v>
      </c>
      <c r="G34" s="44">
        <v>192</v>
      </c>
      <c r="H34" s="44">
        <v>10364</v>
      </c>
      <c r="I34" s="44">
        <v>10595</v>
      </c>
      <c r="J34" s="31" t="s">
        <v>230</v>
      </c>
      <c r="K34" s="44">
        <v>10701</v>
      </c>
      <c r="L34" s="150" t="s">
        <v>50</v>
      </c>
      <c r="M34" s="151">
        <f t="shared" si="0"/>
        <v>55.968000000000004</v>
      </c>
      <c r="N34" s="152" t="str">
        <f>VLOOKUP(C34,'Trips&amp;Operators'!$C$1:$G$99999,5,FALSE)</f>
        <v>YORK EDGAR</v>
      </c>
      <c r="O34" s="179" t="s">
        <v>193</v>
      </c>
      <c r="P34" s="153"/>
      <c r="Q34" s="31"/>
      <c r="R34" s="96" t="str">
        <f>VLOOKUP(C34,'Train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34" s="99" t="str">
        <f>VLOOKUP(C34,'Train Runs'!$A$13:$AE$9991,22,0)</f>
        <v>https://d0f6bd738d7f1b3e5a7ca70fe4ff75f0.us-east-1.aws.found.io/app/kibana#/discover/Steve-Slow-Train-Analysis-(2080s-and-2083s)?_g=(refreshInterval:(display:Off,pause:!f,section:0,value:0),time:(from:'2017-01-17T05:26:12-0700',mode:absolute,to:'2017-01-17T08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4" s="101" t="str">
        <f t="shared" si="1"/>
        <v>"C:\Program Files (x86)\AstroGrep\AstroGrep.exe" /spath="%USERPROFILE%\AppData\Local\Temp\OnboardLogs" /stypes="*4018*201701171*" /stext=" 13:.+((SYSTEM_STATE.+slice.+state.+changed )|(ment ac)|(multiple cpu faults)|(system.+state.+changed )|(\[timeout)|(PRM\|1\|D)|(kpr)|(kdp)|(\|lc)|(penalty))" /e /r /s</v>
      </c>
      <c r="U34" s="9" t="str">
        <f t="shared" si="2"/>
        <v>4018</v>
      </c>
      <c r="V34" s="33">
        <f t="shared" si="3"/>
        <v>42752.57944444444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{"issue":{"subject":"","project_id":79,"tracker_id":40,"status_id":1,"priority_id":2,"assigned_to_id":23,"start_date":"2017-01-17","description":"","custom_fields":[{"id":1,"name":"Subdivision","value":"NW"},{"id":4,"name":"Milepost","value":"1.0701"},{"id":17,"name":"Train ID","value":"805-17"},{"id":16,"name":"Locomotive ID","value":"4018"},{"id":130,"name":"Impact","value":""},{"id":150,"name":"Time of Event (Mountain Time)","value":"06:54:24"},{"id":151,"name":"Denver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"%USERPROFILE%\AppData\Local\Temp\OnboardLogs"\RTDC4018\*4018*201701171*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"%USERPROFILE%\AppData\Local\Temp\OnboardLogs"\RTDC4018\*4018*201701171* &gt;&gt; 2017-01-17-SliceDisagreementCheck.txt</v>
      </c>
      <c r="AE34" s="183" t="str">
        <f t="shared" si="8"/>
        <v>start /low /b %USERPROFILE%\Documents\GitHub\eaglep3\Utilities\DownloadLogsFromS3.py --loco 4018 --day 2017-01-17</v>
      </c>
      <c r="AF34" s="1"/>
    </row>
    <row r="35" spans="1:32" x14ac:dyDescent="0.25">
      <c r="A35" s="33">
        <v>42752.809305555558</v>
      </c>
      <c r="B35" s="31" t="s">
        <v>275</v>
      </c>
      <c r="C35" s="31" t="s">
        <v>485</v>
      </c>
      <c r="D35" s="31" t="s">
        <v>98</v>
      </c>
      <c r="E35" s="31" t="s">
        <v>459</v>
      </c>
      <c r="F35" s="44">
        <v>100</v>
      </c>
      <c r="G35" s="44">
        <v>150</v>
      </c>
      <c r="H35" s="44">
        <v>11378</v>
      </c>
      <c r="I35" s="44">
        <v>11702</v>
      </c>
      <c r="J35" s="31" t="s">
        <v>230</v>
      </c>
      <c r="K35" s="44">
        <v>10701</v>
      </c>
      <c r="L35" s="150" t="s">
        <v>50</v>
      </c>
      <c r="M35" s="151">
        <f t="shared" si="0"/>
        <v>-528.52800000000002</v>
      </c>
      <c r="N35" s="152" t="str">
        <f>VLOOKUP(C35,'Trips&amp;Operators'!$C$1:$G$99999,5,FALSE)</f>
        <v>LEVIN SCOTT</v>
      </c>
      <c r="O35" s="179" t="s">
        <v>193</v>
      </c>
      <c r="P35" s="153"/>
      <c r="Q35" s="31"/>
      <c r="R35" s="96" t="str">
        <f>VLOOKUP(C35,'Train Runs'!$A$13:$AE$9991,31,0)</f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S35" s="99" t="str">
        <f>VLOOKUP(C35,'Train Runs'!$A$13:$AE$9991,22,0)</f>
        <v>https://d0f6bd738d7f1b3e5a7ca70fe4ff75f0.us-east-1.aws.found.io/app/kibana#/discover/Steve-Slow-Train-Analysis-(2080s-and-2083s)?_g=(refreshInterval:(display:Off,pause:!f,section:0,value:0),time:(from:'2017-01-17T18:12:38-0700',mode:absolute,to:'2017-01-17T20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101" t="str">
        <f t="shared" si="1"/>
        <v>"C:\Program Files (x86)\AstroGrep\AstroGrep.exe" /spath="%USERPROFILE%\AppData\Local\Temp\OnboardLogs" /stypes="*4020*201701180*" /stext=" 02:.+((SYSTEM_STATE.+slice.+state.+changed )|(ment ac)|(multiple cpu faults)|(system.+state.+changed )|(\[timeout)|(PRM\|1\|D)|(kpr)|(kdp)|(\|lc)|(penalty))" /e /r /s</v>
      </c>
      <c r="U35" s="9" t="str">
        <f t="shared" si="2"/>
        <v>4020</v>
      </c>
      <c r="V35" s="33">
        <f t="shared" si="3"/>
        <v>42753.100972222222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{"issue":{"subject":"","project_id":79,"tracker_id":40,"status_id":1,"priority_id":2,"assigned_to_id":23,"start_date":"2017-01-17","description":"","custom_fields":[{"id":1,"name":"Subdivision","value":"NW"},{"id":4,"name":"Milepost","value":"1.0701"},{"id":17,"name":"Train ID","value":"841-17"},{"id":16,"name":"Locomotive ID","value":"4020"},{"id":130,"name":"Impact","value":""},{"id":150,"name":"Time of Event (Mountain Time)","value":"19:25:24"},{"id":151,"name":"Denver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"%USERPROFILE%\AppData\Local\Temp\OnboardLogs"\RTDC4020\*4020*201701180*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"%USERPROFILE%\AppData\Local\Temp\OnboardLogs"\RTDC4020\*4020*201701180* &gt;&gt; 2017-01-17-SliceDisagreementCheck.txt</v>
      </c>
      <c r="AE35" s="183" t="str">
        <f t="shared" si="8"/>
        <v>start /low /b %USERPROFILE%\Documents\GitHub\eaglep3\Utilities\DownloadLogsFromS3.py --loco 4020 --day 2017-01-18</v>
      </c>
      <c r="AF35" s="1"/>
    </row>
    <row r="36" spans="1:32" x14ac:dyDescent="0.25">
      <c r="A36" s="33">
        <v>42752.497361111113</v>
      </c>
      <c r="B36" s="31" t="s">
        <v>468</v>
      </c>
      <c r="C36" s="31" t="s">
        <v>469</v>
      </c>
      <c r="D36" s="31" t="s">
        <v>49</v>
      </c>
      <c r="E36" s="31" t="s">
        <v>196</v>
      </c>
      <c r="F36" s="44">
        <v>0</v>
      </c>
      <c r="G36" s="44">
        <v>52</v>
      </c>
      <c r="H36" s="44">
        <v>740</v>
      </c>
      <c r="I36" s="44">
        <v>703</v>
      </c>
      <c r="J36" s="31" t="s">
        <v>197</v>
      </c>
      <c r="K36" s="44">
        <v>575</v>
      </c>
      <c r="L36" s="150" t="s">
        <v>51</v>
      </c>
      <c r="M36" s="151">
        <f t="shared" si="0"/>
        <v>67.584000000000003</v>
      </c>
      <c r="N36" s="152" t="str">
        <f>VLOOKUP(C36,'Trips&amp;Operators'!$C$1:$G$99999,5,FALSE)</f>
        <v>SIMMONS SHYHESHA</v>
      </c>
      <c r="O36" s="179" t="s">
        <v>193</v>
      </c>
      <c r="P36" s="153"/>
      <c r="Q36" s="31"/>
      <c r="R36" s="96" t="str">
        <f>VLOOKUP(C36,'Train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36" s="99" t="str">
        <f>VLOOKUP(C36,'Train Runs'!$A$13:$AE$9991,22,0)</f>
        <v>https://d0f6bd738d7f1b3e5a7ca70fe4ff75f0.us-east-1.aws.found.io/app/kibana#/discover/Steve-Slow-Train-Analysis-(2080s-and-2083s)?_g=(refreshInterval:(display:Off,pause:!f,section:0,value:0),time:(from:'2017-01-17T10:38:59-0700',mode:absolute,to:'2017-01-17T12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101" t="str">
        <f t="shared" si="1"/>
        <v>"C:\Program Files (x86)\AstroGrep\AstroGrep.exe" /spath="%USERPROFILE%\AppData\Local\Temp\OnboardLogs" /stypes="*4019*201701171*" /stext=" 18:.+((SYSTEM_STATE.+slice.+state.+changed )|(ment ac)|(multiple cpu faults)|(system.+state.+changed )|(\[timeout)|(PRM\|1\|D)|(kpr)|(kdp)|(\|lc)|(penalty))" /e /r /s</v>
      </c>
      <c r="U36" s="9" t="str">
        <f t="shared" si="2"/>
        <v>4019</v>
      </c>
      <c r="V36" s="33">
        <f t="shared" si="3"/>
        <v>42752.789027777777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ID","value":"818-17"},{"id":16,"name":"Locomotive ID","value":"4019"},{"id":130,"name":"Impact","value":""},{"id":150,"name":"Time of Event (Mountain Time)","value":"11:56:12"},{"id":151,"name":"Denver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"%USERPROFILE%\AppData\Local\Temp\OnboardLogs"\RTDC4019\*4019*201701171*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"%USERPROFILE%\AppData\Local\Temp\OnboardLogs"\RTDC4019\*4019*201701171* &gt;&gt; 2017-01-17-SliceDisagreementCheck.txt</v>
      </c>
      <c r="AE36" s="183" t="str">
        <f t="shared" si="8"/>
        <v>start /low /b %USERPROFILE%\Documents\GitHub\eaglep3\Utilities\DownloadLogsFromS3.py --loco 4019 --day 2017-01-17</v>
      </c>
      <c r="AF36" s="1"/>
    </row>
    <row r="37" spans="1:32" x14ac:dyDescent="0.25">
      <c r="A37" s="33">
        <v>42752.538657407407</v>
      </c>
      <c r="B37" s="31" t="s">
        <v>468</v>
      </c>
      <c r="C37" s="31" t="s">
        <v>470</v>
      </c>
      <c r="D37" s="31" t="s">
        <v>49</v>
      </c>
      <c r="E37" s="31" t="s">
        <v>196</v>
      </c>
      <c r="F37" s="44">
        <v>0</v>
      </c>
      <c r="G37" s="44">
        <v>124</v>
      </c>
      <c r="H37" s="44">
        <v>1044</v>
      </c>
      <c r="I37" s="44">
        <v>936</v>
      </c>
      <c r="J37" s="31" t="s">
        <v>197</v>
      </c>
      <c r="K37" s="44">
        <v>575</v>
      </c>
      <c r="L37" s="150" t="s">
        <v>51</v>
      </c>
      <c r="M37" s="151">
        <f t="shared" si="0"/>
        <v>190.608</v>
      </c>
      <c r="N37" s="152" t="str">
        <f>VLOOKUP(C37,'Trips&amp;Operators'!$C$1:$G$99999,5,FALSE)</f>
        <v>BROWN JACOB</v>
      </c>
      <c r="O37" s="179" t="s">
        <v>193</v>
      </c>
      <c r="P37" s="153"/>
      <c r="Q37" s="31"/>
      <c r="R37" s="96" t="str">
        <f>VLOOKUP(C37,'Train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37" s="99" t="str">
        <f>VLOOKUP(C37,'Train Runs'!$A$13:$AE$9991,22,0)</f>
        <v>https://d0f6bd738d7f1b3e5a7ca70fe4ff75f0.us-east-1.aws.found.io/app/kibana#/discover/Steve-Slow-Train-Analysis-(2080s-and-2083s)?_g=(refreshInterval:(display:Off,pause:!f,section:0,value:0),time:(from:'2017-01-17T11:37:26-0700',mode:absolute,to:'2017-01-17T13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7" s="101" t="str">
        <f t="shared" si="1"/>
        <v>"C:\Program Files (x86)\AstroGrep\AstroGrep.exe" /spath="%USERPROFILE%\AppData\Local\Temp\OnboardLogs" /stypes="*4019*201701171*" /stext=" 19:.+((SYSTEM_STATE.+slice.+state.+changed )|(ment ac)|(multiple cpu faults)|(system.+state.+changed )|(\[timeout)|(PRM\|1\|D)|(kpr)|(kdp)|(\|lc)|(penalty))" /e /r /s</v>
      </c>
      <c r="U37" s="9" t="str">
        <f t="shared" si="2"/>
        <v>4019</v>
      </c>
      <c r="V37" s="33">
        <f t="shared" si="3"/>
        <v>42752.830324074072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ID","value":"820-17"},{"id":16,"name":"Locomotive ID","value":"4019"},{"id":130,"name":"Impact","value":""},{"id":150,"name":"Time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"%USERPROFILE%\AppData\Local\Temp\OnboardLogs"\RTDC4019\*4019*201701171*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"%USERPROFILE%\AppData\Local\Temp\OnboardLogs"\RTDC4019\*4019*201701171* &gt;&gt; 2017-01-17-SliceDisagreementCheck.txt</v>
      </c>
      <c r="AE37" s="183" t="str">
        <f t="shared" si="8"/>
        <v>start /low /b %USERPROFILE%\Documents\GitHub\eaglep3\Utilities\DownloadLogsFromS3.py --loco 4019 --day 2017-01-17</v>
      </c>
      <c r="AF37" s="1"/>
    </row>
    <row r="38" spans="1:32" x14ac:dyDescent="0.25">
      <c r="A38" s="33">
        <v>42752.539270833331</v>
      </c>
      <c r="B38" s="31" t="s">
        <v>468</v>
      </c>
      <c r="C38" s="31" t="s">
        <v>470</v>
      </c>
      <c r="D38" s="31" t="s">
        <v>49</v>
      </c>
      <c r="E38" s="31" t="s">
        <v>196</v>
      </c>
      <c r="F38" s="44">
        <v>0</v>
      </c>
      <c r="G38" s="44">
        <v>40</v>
      </c>
      <c r="H38" s="44">
        <v>731</v>
      </c>
      <c r="I38" s="44">
        <v>696</v>
      </c>
      <c r="J38" s="31" t="s">
        <v>197</v>
      </c>
      <c r="K38" s="44">
        <v>575</v>
      </c>
      <c r="L38" s="150" t="s">
        <v>51</v>
      </c>
      <c r="M38" s="151">
        <f t="shared" si="0"/>
        <v>63.887999999999998</v>
      </c>
      <c r="N38" s="152" t="str">
        <f>VLOOKUP(C38,'Trips&amp;Operators'!$C$1:$G$99999,5,FALSE)</f>
        <v>BROWN JACOB</v>
      </c>
      <c r="O38" s="179" t="s">
        <v>193</v>
      </c>
      <c r="P38" s="153"/>
      <c r="Q38" s="31"/>
      <c r="R38" s="96" t="str">
        <f>VLOOKUP(C38,'Train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38" s="99" t="str">
        <f>VLOOKUP(C38,'Train Runs'!$A$13:$AE$9991,22,0)</f>
        <v>https://d0f6bd738d7f1b3e5a7ca70fe4ff75f0.us-east-1.aws.found.io/app/kibana#/discover/Steve-Slow-Train-Analysis-(2080s-and-2083s)?_g=(refreshInterval:(display:Off,pause:!f,section:0,value:0),time:(from:'2017-01-17T11:37:26-0700',mode:absolute,to:'2017-01-17T13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101" t="str">
        <f t="shared" si="1"/>
        <v>"C:\Program Files (x86)\AstroGrep\AstroGrep.exe" /spath="%USERPROFILE%\AppData\Local\Temp\OnboardLogs" /stypes="*4019*201701171*" /stext=" 19:.+((SYSTEM_STATE.+slice.+state.+changed )|(ment ac)|(multiple cpu faults)|(system.+state.+changed )|(\[timeout)|(PRM\|1\|D)|(kpr)|(kdp)|(\|lc)|(penalty))" /e /r /s</v>
      </c>
      <c r="U38" s="9" t="str">
        <f t="shared" si="2"/>
        <v>4019</v>
      </c>
      <c r="V38" s="33">
        <f t="shared" si="3"/>
        <v>42752.830937499995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ID","value":"820-17"},{"id":16,"name":"Locomotive ID","value":"4019"},{"id":130,"name":"Impact","value":""},{"id":150,"name":"Time of Event (Mountain Time)","value":"12:56:33"},{"id":151,"name":"Denver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"%USERPROFILE%\AppData\Local\Temp\OnboardLogs"\RTDC4019\*4019*201701171*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"%USERPROFILE%\AppData\Local\Temp\OnboardLogs"\RTDC4019\*4019*201701171* &gt;&gt; 2017-01-17-SliceDisagreementCheck.txt</v>
      </c>
      <c r="AE38" s="183" t="str">
        <f t="shared" si="8"/>
        <v>start /low /b %USERPROFILE%\Documents\GitHub\eaglep3\Utilities\DownloadLogsFromS3.py --loco 4019 --day 2017-01-17</v>
      </c>
      <c r="AF38" s="1"/>
    </row>
    <row r="39" spans="1:32" x14ac:dyDescent="0.25">
      <c r="A39" s="33">
        <v>42752.580023148148</v>
      </c>
      <c r="B39" s="31" t="s">
        <v>468</v>
      </c>
      <c r="C39" s="31" t="s">
        <v>473</v>
      </c>
      <c r="D39" s="31" t="s">
        <v>49</v>
      </c>
      <c r="E39" s="31" t="s">
        <v>196</v>
      </c>
      <c r="F39" s="44">
        <v>0</v>
      </c>
      <c r="G39" s="44">
        <v>39</v>
      </c>
      <c r="H39" s="44">
        <v>694</v>
      </c>
      <c r="I39" s="44">
        <v>664</v>
      </c>
      <c r="J39" s="31" t="s">
        <v>197</v>
      </c>
      <c r="K39" s="44">
        <v>575</v>
      </c>
      <c r="L39" s="150" t="s">
        <v>51</v>
      </c>
      <c r="M39" s="151">
        <f t="shared" ref="M39:M55" si="9">CONVERT((I39-K39)/10000,"mi","ft")*IF(L39="Increasing Mileposts (1)",-1,1)</f>
        <v>46.991999999999997</v>
      </c>
      <c r="N39" s="152" t="str">
        <f>VLOOKUP(C39,'Trips&amp;Operators'!$C$1:$G$99999,5,FALSE)</f>
        <v>LEVIN SCOTT</v>
      </c>
      <c r="O39" s="179" t="s">
        <v>193</v>
      </c>
      <c r="P39" s="153"/>
      <c r="Q39" s="31"/>
      <c r="R39" s="96" t="str">
        <f>VLOOKUP(C39,'Train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39" s="99" t="str">
        <f>VLOOKUP(C39,'Train Runs'!$A$13:$AE$9991,22,0)</f>
        <v>https://d0f6bd738d7f1b3e5a7ca70fe4ff75f0.us-east-1.aws.found.io/app/kibana#/discover/Steve-Slow-Train-Analysis-(2080s-and-2083s)?_g=(refreshInterval:(display:Off,pause:!f,section:0,value:0),time:(from:'2017-01-17T12:36:59-0700',mode:absolute,to:'2017-01-17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9" s="101" t="str">
        <f t="shared" ref="T39:T55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/stypes="*4019*201701172*" /stext=" 20:.+((SYSTEM_STATE.+slice.+state.+changed )|(ment ac)|(multiple cpu faults)|(system.+state.+changed )|(\[timeout)|(PRM\|1\|D)|(kpr)|(kdp)|(\|lc)|(penalty))" /e /r /s</v>
      </c>
      <c r="U39" s="9" t="str">
        <f t="shared" ref="U39:U55" si="11">MID(B39,13,4)</f>
        <v>4019</v>
      </c>
      <c r="V39" s="33">
        <f t="shared" ref="V39:V55" si="12">A39-utc_offset/24</f>
        <v>42752.871689814812</v>
      </c>
      <c r="W39" s="47" t="str">
        <f t="shared" ref="W39:W55" si="13">IF(VALUE(LEFT(IF(LEN(C39)=6,"0"&amp;C39,C39),2))&lt;=2,"EC",IF(OR(VALUE(LEFT(IF(LEN(C39)=6,"0"&amp;C39,C39),2))=8,VALUE(LEFT(IF(LEN(C39)=6,"0"&amp;C39,C39),2))=18),"NW","Other"))</f>
        <v>NW</v>
      </c>
      <c r="X39" s="47" t="str">
        <f t="shared" ref="X39:X55" si="14">IF(AND(E39="TRACK WARRANT AUTHORITY",G39&lt;10),"OMIT","KEEP")</f>
        <v>KEEP</v>
      </c>
      <c r="Y39" s="115" t="str">
        <f t="shared" ref="Y39:Y55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ID","value":"822-17"},{"id":16,"name":"Locomotive ID","value":"4019"},{"id":130,"name":"Impact","value":""},{"id":150,"name":"Time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ref="AC39:AC55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"%USERPROFILE%\AppData\Local\Temp\OnboardLogs"\RTDC4019\*4019*201701172*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"%USERPROFILE%\AppData\Local\Temp\OnboardLogs"\RTDC4019\*4019*201701172* &gt;&gt; 2017-01-17-SliceDisagreementCheck.txt</v>
      </c>
      <c r="AE39" s="183" t="str">
        <f t="shared" ref="AE39:AE55" si="17">"start /low /b "&amp;dls3logs&amp;" --loco "&amp;U39&amp;" --day "&amp;TEXT(V39,"YYYY-MM-DD")</f>
        <v>start /low /b %USERPROFILE%\Documents\GitHub\eaglep3\Utilities\DownloadLogsFromS3.py --loco 4019 --day 2017-01-17</v>
      </c>
      <c r="AF39" s="1"/>
    </row>
    <row r="40" spans="1:32" x14ac:dyDescent="0.25">
      <c r="A40" s="33">
        <v>42752.726122685184</v>
      </c>
      <c r="B40" s="31" t="s">
        <v>479</v>
      </c>
      <c r="C40" s="31" t="s">
        <v>480</v>
      </c>
      <c r="D40" s="31" t="s">
        <v>49</v>
      </c>
      <c r="E40" s="31" t="s">
        <v>196</v>
      </c>
      <c r="F40" s="44">
        <v>0</v>
      </c>
      <c r="G40" s="44">
        <v>57</v>
      </c>
      <c r="H40" s="44">
        <v>750</v>
      </c>
      <c r="I40" s="44">
        <v>659</v>
      </c>
      <c r="J40" s="31" t="s">
        <v>197</v>
      </c>
      <c r="K40" s="44">
        <v>575</v>
      </c>
      <c r="L40" s="150" t="s">
        <v>51</v>
      </c>
      <c r="M40" s="151">
        <f t="shared" si="9"/>
        <v>44.351999999999997</v>
      </c>
      <c r="N40" s="152" t="str">
        <f>VLOOKUP(C40,'Trips&amp;Operators'!$C$1:$G$99999,5,FALSE)</f>
        <v>HILLS DUSTIN</v>
      </c>
      <c r="O40" s="179" t="s">
        <v>193</v>
      </c>
      <c r="P40" s="153"/>
      <c r="Q40" s="31"/>
      <c r="R40" s="96" t="str">
        <f>VLOOKUP(C40,'Train Runs'!$A$13:$AE$9991,31,0)</f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S40" s="99" t="str">
        <f>VLOOKUP(C40,'Train Runs'!$A$13:$AE$9991,22,0)</f>
        <v>https://d0f6bd738d7f1b3e5a7ca70fe4ff75f0.us-east-1.aws.found.io/app/kibana#/discover/Steve-Slow-Train-Analysis-(2080s-and-2083s)?_g=(refreshInterval:(display:Off,pause:!f,section:0,value:0),time:(from:'2017-01-17T16:08:13-0700',mode:absolute,to:'2017-01-17T18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101" t="str">
        <f t="shared" si="10"/>
        <v>"C:\Program Files (x86)\AstroGrep\AstroGrep.exe" /spath="%USERPROFILE%\AppData\Local\Temp\OnboardLogs" /stypes="*4017*201701180*" /stext=" 00:.+((SYSTEM_STATE.+slice.+state.+changed )|(ment ac)|(multiple cpu faults)|(system.+state.+changed )|(\[timeout)|(PRM\|1\|D)|(kpr)|(kdp)|(\|lc)|(penalty))" /e /r /s</v>
      </c>
      <c r="U40" s="9" t="str">
        <f t="shared" si="11"/>
        <v>4017</v>
      </c>
      <c r="V40" s="33">
        <f t="shared" si="12"/>
        <v>42753.017789351848</v>
      </c>
      <c r="W40" s="47" t="str">
        <f t="shared" si="13"/>
        <v>NW</v>
      </c>
      <c r="X40" s="47" t="str">
        <f t="shared" si="14"/>
        <v>KEEP</v>
      </c>
      <c r="Y40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ID","value":"832-17"},{"id":16,"name":"Locomotive ID","value":"4017"},{"id":130,"name":"Impact","value":""},{"id":150,"name":"Time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16"/>
        <v>grep -hSE -A400 "Enforcement Action" "%USERPROFILE%\AppData\Local\Temp\OnboardLogs"\RTDC4017\*4017*201701180*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"%USERPROFILE%\AppData\Local\Temp\OnboardLogs"\RTDC4017\*4017*201701180* &gt;&gt; 2017-01-17-SliceDisagreementCheck.txt</v>
      </c>
      <c r="AE40" s="183" t="str">
        <f t="shared" si="17"/>
        <v>start /low /b %USERPROFILE%\Documents\GitHub\eaglep3\Utilities\DownloadLogsFromS3.py --loco 4017 --day 2017-01-18</v>
      </c>
      <c r="AF40" s="1"/>
    </row>
    <row r="41" spans="1:32" x14ac:dyDescent="0.25">
      <c r="A41" s="33">
        <v>42752.77034722222</v>
      </c>
      <c r="B41" s="31" t="s">
        <v>479</v>
      </c>
      <c r="C41" s="31" t="s">
        <v>482</v>
      </c>
      <c r="D41" s="31" t="s">
        <v>49</v>
      </c>
      <c r="E41" s="31" t="s">
        <v>196</v>
      </c>
      <c r="F41" s="44">
        <v>0</v>
      </c>
      <c r="G41" s="44">
        <v>42</v>
      </c>
      <c r="H41" s="44">
        <v>684</v>
      </c>
      <c r="I41" s="44">
        <v>654</v>
      </c>
      <c r="J41" s="31" t="s">
        <v>197</v>
      </c>
      <c r="K41" s="44">
        <v>575</v>
      </c>
      <c r="L41" s="150" t="s">
        <v>51</v>
      </c>
      <c r="M41" s="151">
        <f t="shared" si="9"/>
        <v>41.712000000000003</v>
      </c>
      <c r="N41" s="152" t="str">
        <f>VLOOKUP(C41,'Trips&amp;Operators'!$C$1:$G$99999,5,FALSE)</f>
        <v>HILLS DUSTIN</v>
      </c>
      <c r="O41" s="179" t="s">
        <v>193</v>
      </c>
      <c r="P41" s="153"/>
      <c r="Q41" s="31"/>
      <c r="R41" s="96" t="str">
        <f>VLOOKUP(C41,'Train Runs'!$A$13:$AE$9991,31,0)</f>
        <v>aws s3 cp s3://rtdc.mdm.uploadarchive.raw/RTDC4017/ "%USERPROFILE%\AppData\Local\Temp\OnboardLogs"\RTDC4017\2017-01-17 --exclude "*" --recursive --include "*20170117*" &amp; "%USERPROFILE%\Documents\GitHub\mrs-test-scripts\Headless Mode &amp; Sideloading\WalkAndUnGZ.bat" "%USERPROFILE%\AppData\Local\Temp\OnboardLogs"\RTDC4017\2017-01-17 &amp; aws s3 cp s3://rtdc.mdm.uploadarchive.raw/RTDC4017/ "%USERPROFILE%\AppData\Local\Temp\OnboardLogs"\RTDC4017\2017-01-18 --exclude "*" --recursive --include "*20170118*" &amp; "%USERPROFILE%\Documents\GitHub\mrs-test-scripts\Headless Mode &amp; Sideloading\WalkAndUnGZ.bat" "%USERPROFILE%\AppData\Local\Temp\OnboardLogs"\RTDC4017\2017-01-18</v>
      </c>
      <c r="S41" s="99" t="str">
        <f>VLOOKUP(C41,'Train Runs'!$A$13:$AE$9991,22,0)</f>
        <v>https://d0f6bd738d7f1b3e5a7ca70fe4ff75f0.us-east-1.aws.found.io/app/kibana#/discover/Steve-Slow-Train-Analysis-(2080s-and-2083s)?_g=(refreshInterval:(display:Off,pause:!f,section:0,value:0),time:(from:'2017-01-17T17:08:19-0700',mode:absolute,to:'2017-01-17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101" t="str">
        <f t="shared" si="10"/>
        <v>"C:\Program Files (x86)\AstroGrep\AstroGrep.exe" /spath="%USERPROFILE%\AppData\Local\Temp\OnboardLogs" /stypes="*4017*201701180*" /stext=" 01:.+((SYSTEM_STATE.+slice.+state.+changed )|(ment ac)|(multiple cpu faults)|(system.+state.+changed )|(\[timeout)|(PRM\|1\|D)|(kpr)|(kdp)|(\|lc)|(penalty))" /e /r /s</v>
      </c>
      <c r="U41" s="9" t="str">
        <f t="shared" si="11"/>
        <v>4017</v>
      </c>
      <c r="V41" s="33">
        <f t="shared" si="12"/>
        <v>42753.062013888884</v>
      </c>
      <c r="W41" s="47" t="str">
        <f t="shared" si="13"/>
        <v>NW</v>
      </c>
      <c r="X41" s="47" t="str">
        <f t="shared" si="14"/>
        <v>KEEP</v>
      </c>
      <c r="Y41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ID","value":"836-17"},{"id":16,"name":"Locomotive ID","value":"4017"},{"id":130,"name":"Impact","value":""},{"id":150,"name":"Time of Event (Mountain Time)","value":"18:29:18"},{"id":151,"name":"Denver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16"/>
        <v>grep -hSE -A400 "Enforcement Action" "%USERPROFILE%\AppData\Local\Temp\OnboardLogs"\RTDC4017\*4017*201701180*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"%USERPROFILE%\AppData\Local\Temp\OnboardLogs"\RTDC4017\*4017*201701180* &gt;&gt; 2017-01-17-SliceDisagreementCheck.txt</v>
      </c>
      <c r="AE41" s="183" t="str">
        <f t="shared" si="17"/>
        <v>start /low /b %USERPROFILE%\Documents\GitHub\eaglep3\Utilities\DownloadLogsFromS3.py --loco 4017 --day 2017-01-18</v>
      </c>
      <c r="AF41" s="1"/>
    </row>
    <row r="42" spans="1:32" x14ac:dyDescent="0.25">
      <c r="A42" s="33">
        <v>42752.832083333335</v>
      </c>
      <c r="B42" s="31" t="s">
        <v>468</v>
      </c>
      <c r="C42" s="31" t="s">
        <v>488</v>
      </c>
      <c r="D42" s="31" t="s">
        <v>49</v>
      </c>
      <c r="E42" s="31" t="s">
        <v>196</v>
      </c>
      <c r="F42" s="44">
        <v>0</v>
      </c>
      <c r="G42" s="44">
        <v>25</v>
      </c>
      <c r="H42" s="44">
        <v>657</v>
      </c>
      <c r="I42" s="44">
        <v>636</v>
      </c>
      <c r="J42" s="31" t="s">
        <v>197</v>
      </c>
      <c r="K42" s="44">
        <v>575</v>
      </c>
      <c r="L42" s="150" t="s">
        <v>51</v>
      </c>
      <c r="M42" s="151">
        <f t="shared" si="9"/>
        <v>32.207999999999998</v>
      </c>
      <c r="N42" s="152" t="str">
        <f>VLOOKUP(C42,'Trips&amp;Operators'!$C$1:$G$99999,5,FALSE)</f>
        <v>LEVIN SCOTT</v>
      </c>
      <c r="O42" s="179" t="s">
        <v>193</v>
      </c>
      <c r="P42" s="153"/>
      <c r="Q42" s="31"/>
      <c r="R42" s="96" t="str">
        <f>VLOOKUP(C42,'Train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42" s="99" t="str">
        <f>VLOOKUP(C42,'Train Runs'!$A$13:$AE$9991,22,0)</f>
        <v>https://d0f6bd738d7f1b3e5a7ca70fe4ff75f0.us-east-1.aws.found.io/app/kibana#/discover/Steve-Slow-Train-Analysis-(2080s-and-2083s)?_g=(refreshInterval:(display:Off,pause:!f,section:0,value:0),time:(from:'2017-01-17T18:38:30-0700',mode:absolute,to:'2017-01-17T20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101" t="str">
        <f t="shared" si="10"/>
        <v>"C:\Program Files (x86)\AstroGrep\AstroGrep.exe" /spath="%USERPROFILE%\AppData\Local\Temp\OnboardLogs" /stypes="*4019*201701180*" /stext=" 02:.+((SYSTEM_STATE.+slice.+state.+changed )|(ment ac)|(multiple cpu faults)|(system.+state.+changed )|(\[timeout)|(PRM\|1\|D)|(kpr)|(kdp)|(\|lc)|(penalty))" /e /r /s</v>
      </c>
      <c r="U42" s="9" t="str">
        <f t="shared" si="11"/>
        <v>4019</v>
      </c>
      <c r="V42" s="33">
        <f t="shared" si="12"/>
        <v>42753.123749999999</v>
      </c>
      <c r="W42" s="47" t="str">
        <f t="shared" si="13"/>
        <v>NW</v>
      </c>
      <c r="X42" s="47" t="str">
        <f t="shared" si="14"/>
        <v>KEEP</v>
      </c>
      <c r="Y42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ID","value":"840-17"},{"id":16,"name":"Locomotive ID","value":"4019"},{"id":130,"name":"Impact","value":""},{"id":150,"name":"Time of Event (Mountain Time)","value":"19:58:12"},{"id":151,"name":"Denver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16"/>
        <v>grep -hSE -A400 "Enforcement Action" "%USERPROFILE%\AppData\Local\Temp\OnboardLogs"\RTDC4019\*4019*201701180*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"%USERPROFILE%\AppData\Local\Temp\OnboardLogs"\RTDC4019\*4019*201701180* &gt;&gt; 2017-01-17-SliceDisagreementCheck.txt</v>
      </c>
      <c r="AE42" s="183" t="str">
        <f t="shared" si="17"/>
        <v>start /low /b %USERPROFILE%\Documents\GitHub\eaglep3\Utilities\DownloadLogsFromS3.py --loco 4019 --day 2017-01-18</v>
      </c>
      <c r="AF42" s="1"/>
    </row>
    <row r="43" spans="1:32" x14ac:dyDescent="0.25">
      <c r="A43" s="33">
        <v>42752.914675925924</v>
      </c>
      <c r="B43" s="31" t="s">
        <v>468</v>
      </c>
      <c r="C43" s="31" t="s">
        <v>494</v>
      </c>
      <c r="D43" s="31" t="s">
        <v>49</v>
      </c>
      <c r="E43" s="31" t="s">
        <v>196</v>
      </c>
      <c r="F43" s="44">
        <v>0</v>
      </c>
      <c r="G43" s="44">
        <v>29</v>
      </c>
      <c r="H43" s="44">
        <v>642</v>
      </c>
      <c r="I43" s="44">
        <v>619</v>
      </c>
      <c r="J43" s="31" t="s">
        <v>197</v>
      </c>
      <c r="K43" s="44">
        <v>575</v>
      </c>
      <c r="L43" s="150" t="s">
        <v>51</v>
      </c>
      <c r="M43" s="151">
        <f t="shared" si="9"/>
        <v>23.231999999999999</v>
      </c>
      <c r="N43" s="152" t="str">
        <f>VLOOKUP(C43,'Trips&amp;Operators'!$C$1:$G$99999,5,FALSE)</f>
        <v>HILLS DUSTIN</v>
      </c>
      <c r="O43" s="179" t="s">
        <v>193</v>
      </c>
      <c r="P43" s="153"/>
      <c r="Q43" s="31"/>
      <c r="R43" s="96" t="str">
        <f>VLOOKUP(C43,'Train Runs'!$A$13:$AE$9991,31,0)</f>
        <v>aws s3 cp s3://rtdc.mdm.uploadarchive.raw/RTDC4019/ "%USERPROFILE%\AppData\Local\Temp\OnboardLogs"\RTDC4019\2017-01-17 --exclude "*" --recursive --include "*20170117*" &amp; "%USERPROFILE%\Documents\GitHub\mrs-test-scripts\Headless Mode &amp; Sideloading\WalkAndUnGZ.bat" "%USERPROFILE%\AppData\Local\Temp\OnboardLogs"\RTDC4019\2017-01-17 &amp; aws s3 cp s3://rtdc.mdm.uploadarchive.raw/RTDC4019/ "%USERPROFILE%\AppData\Local\Temp\OnboardLogs"\RTDC4019\2017-01-18 --exclude "*" --recursive --include "*20170118*" &amp; "%USERPROFILE%\Documents\GitHub\mrs-test-scripts\Headless Mode &amp; Sideloading\WalkAndUnGZ.bat" "%USERPROFILE%\AppData\Local\Temp\OnboardLogs"\RTDC4019\2017-01-18</v>
      </c>
      <c r="S43" s="99" t="str">
        <f>VLOOKUP(C43,'Train Runs'!$A$13:$AE$9991,22,0)</f>
        <v>https://d0f6bd738d7f1b3e5a7ca70fe4ff75f0.us-east-1.aws.found.io/app/kibana#/discover/Steve-Slow-Train-Analysis-(2080s-and-2083s)?_g=(refreshInterval:(display:Off,pause:!f,section:0,value:0),time:(from:'2017-01-17T20:40:54-0700',mode:absolute,to:'2017-01-17T22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3" s="101" t="str">
        <f t="shared" si="10"/>
        <v>"C:\Program Files (x86)\AstroGrep\AstroGrep.exe" /spath="%USERPROFILE%\AppData\Local\Temp\OnboardLogs" /stypes="*4019*201701180*" /stext=" 04:.+((SYSTEM_STATE.+slice.+state.+changed )|(ment ac)|(multiple cpu faults)|(system.+state.+changed )|(\[timeout)|(PRM\|1\|D)|(kpr)|(kdp)|(\|lc)|(penalty))" /e /r /s</v>
      </c>
      <c r="U43" s="9" t="str">
        <f t="shared" si="11"/>
        <v>4019</v>
      </c>
      <c r="V43" s="33">
        <f t="shared" si="12"/>
        <v>42753.206342592588</v>
      </c>
      <c r="W43" s="47" t="str">
        <f t="shared" si="13"/>
        <v>NW</v>
      </c>
      <c r="X43" s="47" t="str">
        <f t="shared" si="14"/>
        <v>KEEP</v>
      </c>
      <c r="Y43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{"issue":{"subject":"","project_id":79,"tracker_id":40,"status_id":1,"priority_id":2,"assigned_to_id":23,"start_date":"2017-01-17","description":"","custom_fields":[{"id":1,"name":"Subdivision","value":"NW"},{"id":4,"name":"Milepost","value":"0.0575"},{"id":17,"name":"Train ID","value":"844-17"},{"id":16,"name":"Locomotive ID","value":"4019"},{"id":130,"name":"Impact","value":""},{"id":150,"name":"Time of Event (Mountain Time)","value":"21:57:08"},{"id":151,"name":"Denver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16"/>
        <v>grep -hSE -A400 "Enforcement Action" "%USERPROFILE%\AppData\Local\Temp\OnboardLogs"\RTDC4019\*4019*201701180*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"%USERPROFILE%\AppData\Local\Temp\OnboardLogs"\RTDC4019\*4019*201701180* &gt;&gt; 2017-01-17-SliceDisagreementCheck.txt</v>
      </c>
      <c r="AE43" s="183" t="str">
        <f t="shared" si="17"/>
        <v>start /low /b %USERPROFILE%\Documents\GitHub\eaglep3\Utilities\DownloadLogsFromS3.py --loco 4019 --day 2017-01-18</v>
      </c>
      <c r="AF43" s="1"/>
    </row>
    <row r="44" spans="1:32" x14ac:dyDescent="0.25">
      <c r="A44" s="33">
        <v>42752.607465277775</v>
      </c>
      <c r="B44" s="31" t="s">
        <v>275</v>
      </c>
      <c r="C44" s="31" t="s">
        <v>476</v>
      </c>
      <c r="D44" s="31" t="s">
        <v>49</v>
      </c>
      <c r="E44" s="31" t="s">
        <v>196</v>
      </c>
      <c r="F44" s="44">
        <v>0</v>
      </c>
      <c r="G44" s="44">
        <v>56</v>
      </c>
      <c r="H44" s="44">
        <v>58901</v>
      </c>
      <c r="I44" s="44">
        <v>58954</v>
      </c>
      <c r="J44" s="31" t="s">
        <v>197</v>
      </c>
      <c r="K44" s="44">
        <v>59048</v>
      </c>
      <c r="L44" s="150" t="s">
        <v>50</v>
      </c>
      <c r="M44" s="151">
        <f t="shared" si="9"/>
        <v>49.631999999999998</v>
      </c>
      <c r="N44" s="152" t="str">
        <f>VLOOKUP(C44,'Trips&amp;Operators'!$C$1:$G$99999,5,FALSE)</f>
        <v>LEVIN SCOTT</v>
      </c>
      <c r="O44" s="179" t="s">
        <v>193</v>
      </c>
      <c r="P44" s="153"/>
      <c r="Q44" s="31"/>
      <c r="R44" s="96" t="str">
        <f>VLOOKUP(C44,'Train Runs'!$A$13:$AE$9991,31,0)</f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S44" s="99" t="str">
        <f>VLOOKUP(C44,'Train Runs'!$A$13:$AE$9991,22,0)</f>
        <v>https://d0f6bd738d7f1b3e5a7ca70fe4ff75f0.us-east-1.aws.found.io/app/kibana#/discover/Steve-Slow-Train-Analysis-(2080s-and-2083s)?_g=(refreshInterval:(display:Off,pause:!f,section:0,value:0),time:(from:'2017-01-17T13:16:51-0700',mode:absolute,to:'2017-01-17T15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4" s="101" t="str">
        <f t="shared" si="10"/>
        <v>"C:\Program Files (x86)\AstroGrep\AstroGrep.exe" /spath="%USERPROFILE%\AppData\Local\Temp\OnboardLogs" /stypes="*4020*201701172*" /stext=" 21:.+((SYSTEM_STATE.+slice.+state.+changed )|(ment ac)|(multiple cpu faults)|(system.+state.+changed )|(\[timeout)|(PRM\|1\|D)|(kpr)|(kdp)|(\|lc)|(penalty))" /e /r /s</v>
      </c>
      <c r="U44" s="9" t="str">
        <f t="shared" si="11"/>
        <v>4020</v>
      </c>
      <c r="V44" s="33">
        <f t="shared" si="12"/>
        <v>42752.899131944439</v>
      </c>
      <c r="W44" s="47" t="str">
        <f t="shared" si="13"/>
        <v>NW</v>
      </c>
      <c r="X44" s="47" t="str">
        <f t="shared" si="14"/>
        <v>KEEP</v>
      </c>
      <c r="Y44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ID","value":"823-17"},{"id":16,"name":"Locomotive ID","value":"4020"},{"id":130,"name":"Impact","value":""},{"id":150,"name":"Time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16"/>
        <v>grep -hSE -A400 "Enforcement Action" "%USERPROFILE%\AppData\Local\Temp\OnboardLogs"\RTDC4020\*4020*201701172*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"%USERPROFILE%\AppData\Local\Temp\OnboardLogs"\RTDC4020\*4020*201701172* &gt;&gt; 2017-01-17-SliceDisagreementCheck.txt</v>
      </c>
      <c r="AE44" s="183" t="str">
        <f t="shared" si="17"/>
        <v>start /low /b %USERPROFILE%\Documents\GitHub\eaglep3\Utilities\DownloadLogsFromS3.py --loco 4020 --day 2017-01-17</v>
      </c>
      <c r="AF44" s="1"/>
    </row>
    <row r="45" spans="1:32" x14ac:dyDescent="0.25">
      <c r="A45" s="33">
        <v>42752.67083333333</v>
      </c>
      <c r="B45" s="31" t="s">
        <v>454</v>
      </c>
      <c r="C45" s="31" t="s">
        <v>477</v>
      </c>
      <c r="D45" s="31" t="s">
        <v>49</v>
      </c>
      <c r="E45" s="31" t="s">
        <v>196</v>
      </c>
      <c r="F45" s="44">
        <v>0</v>
      </c>
      <c r="G45" s="44">
        <v>92</v>
      </c>
      <c r="H45" s="44">
        <v>58720</v>
      </c>
      <c r="I45" s="44">
        <v>58777</v>
      </c>
      <c r="J45" s="31" t="s">
        <v>197</v>
      </c>
      <c r="K45" s="44">
        <v>59048</v>
      </c>
      <c r="L45" s="150" t="s">
        <v>50</v>
      </c>
      <c r="M45" s="151">
        <f t="shared" si="9"/>
        <v>143.08799999999999</v>
      </c>
      <c r="N45" s="152" t="str">
        <f>VLOOKUP(C45,'Trips&amp;Operators'!$C$1:$G$99999,5,FALSE)</f>
        <v>HILLS DUSTIN</v>
      </c>
      <c r="O45" s="179" t="s">
        <v>193</v>
      </c>
      <c r="P45" s="153"/>
      <c r="Q45" s="31"/>
      <c r="R45" s="96" t="str">
        <f>VLOOKUP(C45,'Train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45" s="99" t="str">
        <f>VLOOKUP(C45,'Train Runs'!$A$13:$AE$9991,22,0)</f>
        <v>https://d0f6bd738d7f1b3e5a7ca70fe4ff75f0.us-east-1.aws.found.io/app/kibana#/discover/Steve-Slow-Train-Analysis-(2080s-and-2083s)?_g=(refreshInterval:(display:Off,pause:!f,section:0,value:0),time:(from:'2017-01-17T14:47:42-0700',mode:absolute,to:'2017-01-17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101" t="str">
        <f t="shared" si="10"/>
        <v>"C:\Program Files (x86)\AstroGrep\AstroGrep.exe" /spath="%USERPROFILE%\AppData\Local\Temp\OnboardLogs" /stypes="*4018*201701172*" /stext=" 23:.+((SYSTEM_STATE.+slice.+state.+changed )|(ment ac)|(multiple cpu faults)|(system.+state.+changed )|(\[timeout)|(PRM\|1\|D)|(kpr)|(kdp)|(\|lc)|(penalty))" /e /r /s</v>
      </c>
      <c r="U45" s="9" t="str">
        <f t="shared" si="11"/>
        <v>4018</v>
      </c>
      <c r="V45" s="33">
        <f t="shared" si="12"/>
        <v>42752.962499999994</v>
      </c>
      <c r="W45" s="47" t="str">
        <f t="shared" si="13"/>
        <v>NW</v>
      </c>
      <c r="X45" s="47" t="str">
        <f t="shared" si="14"/>
        <v>KEEP</v>
      </c>
      <c r="Y45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ID","value":"827-17"},{"id":16,"name":"Locomotive ID","value":"4018"},{"id":130,"name":"Impact","value":""},{"id":150,"name":"Time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16"/>
        <v>grep -hSE -A400 "Enforcement Action" "%USERPROFILE%\AppData\Local\Temp\OnboardLogs"\RTDC4018\*4018*201701172*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"%USERPROFILE%\AppData\Local\Temp\OnboardLogs"\RTDC4018\*4018*201701172* &gt;&gt; 2017-01-17-SliceDisagreementCheck.txt</v>
      </c>
      <c r="AE45" s="183" t="str">
        <f t="shared" si="17"/>
        <v>start /low /b %USERPROFILE%\Documents\GitHub\eaglep3\Utilities\DownloadLogsFromS3.py --loco 4018 --day 2017-01-17</v>
      </c>
      <c r="AF45" s="1"/>
    </row>
    <row r="46" spans="1:32" x14ac:dyDescent="0.25">
      <c r="A46" s="33">
        <v>42752.671238425923</v>
      </c>
      <c r="B46" s="31" t="s">
        <v>454</v>
      </c>
      <c r="C46" s="31" t="s">
        <v>477</v>
      </c>
      <c r="D46" s="31" t="s">
        <v>49</v>
      </c>
      <c r="E46" s="31" t="s">
        <v>196</v>
      </c>
      <c r="F46" s="44">
        <v>0</v>
      </c>
      <c r="G46" s="44">
        <v>49</v>
      </c>
      <c r="H46" s="44">
        <v>58837</v>
      </c>
      <c r="I46" s="44">
        <v>58877</v>
      </c>
      <c r="J46" s="31" t="s">
        <v>197</v>
      </c>
      <c r="K46" s="44">
        <v>59048</v>
      </c>
      <c r="L46" s="150" t="s">
        <v>50</v>
      </c>
      <c r="M46" s="151">
        <f t="shared" si="9"/>
        <v>90.287999999999997</v>
      </c>
      <c r="N46" s="152" t="str">
        <f>VLOOKUP(C46,'Trips&amp;Operators'!$C$1:$G$99999,5,FALSE)</f>
        <v>HILLS DUSTIN</v>
      </c>
      <c r="O46" s="179" t="s">
        <v>193</v>
      </c>
      <c r="P46" s="153"/>
      <c r="Q46" s="31"/>
      <c r="R46" s="96" t="str">
        <f>VLOOKUP(C46,'Train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46" s="99" t="str">
        <f>VLOOKUP(C46,'Train Runs'!$A$13:$AE$9991,22,0)</f>
        <v>https://d0f6bd738d7f1b3e5a7ca70fe4ff75f0.us-east-1.aws.found.io/app/kibana#/discover/Steve-Slow-Train-Analysis-(2080s-and-2083s)?_g=(refreshInterval:(display:Off,pause:!f,section:0,value:0),time:(from:'2017-01-17T14:47:42-0700',mode:absolute,to:'2017-01-17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101" t="str">
        <f t="shared" si="10"/>
        <v>"C:\Program Files (x86)\AstroGrep\AstroGrep.exe" /spath="%USERPROFILE%\AppData\Local\Temp\OnboardLogs" /stypes="*4018*201701172*" /stext=" 23:.+((SYSTEM_STATE.+slice.+state.+changed )|(ment ac)|(multiple cpu faults)|(system.+state.+changed )|(\[timeout)|(PRM\|1\|D)|(kpr)|(kdp)|(\|lc)|(penalty))" /e /r /s</v>
      </c>
      <c r="U46" s="9" t="str">
        <f t="shared" si="11"/>
        <v>4018</v>
      </c>
      <c r="V46" s="33">
        <f t="shared" si="12"/>
        <v>42752.962905092587</v>
      </c>
      <c r="W46" s="47" t="str">
        <f t="shared" si="13"/>
        <v>NW</v>
      </c>
      <c r="X46" s="47" t="str">
        <f t="shared" si="14"/>
        <v>KEEP</v>
      </c>
      <c r="Y46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ID","value":"827-17"},{"id":16,"name":"Locomotive ID","value":"4018"},{"id":130,"name":"Impact","value":""},{"id":150,"name":"Time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 t="shared" si="16"/>
        <v>grep -hSE -A400 "Enforcement Action" "%USERPROFILE%\AppData\Local\Temp\OnboardLogs"\RTDC4018\*4018*201701172*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"%USERPROFILE%\AppData\Local\Temp\OnboardLogs"\RTDC4018\*4018*201701172* &gt;&gt; 2017-01-17-SliceDisagreementCheck.txt</v>
      </c>
      <c r="AE46" s="183" t="str">
        <f t="shared" si="17"/>
        <v>start /low /b %USERPROFILE%\Documents\GitHub\eaglep3\Utilities\DownloadLogsFromS3.py --loco 4018 --day 2017-01-17</v>
      </c>
      <c r="AF46" s="1"/>
    </row>
    <row r="47" spans="1:32" x14ac:dyDescent="0.25">
      <c r="A47" s="33">
        <v>42752.671597222223</v>
      </c>
      <c r="B47" s="31" t="s">
        <v>454</v>
      </c>
      <c r="C47" s="31" t="s">
        <v>477</v>
      </c>
      <c r="D47" s="31" t="s">
        <v>49</v>
      </c>
      <c r="E47" s="31" t="s">
        <v>196</v>
      </c>
      <c r="F47" s="44">
        <v>0</v>
      </c>
      <c r="G47" s="44">
        <v>18</v>
      </c>
      <c r="H47" s="44">
        <v>58880</v>
      </c>
      <c r="I47" s="44">
        <v>58939</v>
      </c>
      <c r="J47" s="31" t="s">
        <v>197</v>
      </c>
      <c r="K47" s="44">
        <v>59048</v>
      </c>
      <c r="L47" s="150" t="s">
        <v>50</v>
      </c>
      <c r="M47" s="151">
        <f t="shared" si="9"/>
        <v>57.552</v>
      </c>
      <c r="N47" s="152" t="str">
        <f>VLOOKUP(C47,'Trips&amp;Operators'!$C$1:$G$99999,5,FALSE)</f>
        <v>HILLS DUSTIN</v>
      </c>
      <c r="O47" s="179" t="s">
        <v>193</v>
      </c>
      <c r="P47" s="153"/>
      <c r="Q47" s="31"/>
      <c r="R47" s="96" t="str">
        <f>VLOOKUP(C47,'Train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47" s="99" t="str">
        <f>VLOOKUP(C47,'Train Runs'!$A$13:$AE$9991,22,0)</f>
        <v>https://d0f6bd738d7f1b3e5a7ca70fe4ff75f0.us-east-1.aws.found.io/app/kibana#/discover/Steve-Slow-Train-Analysis-(2080s-and-2083s)?_g=(refreshInterval:(display:Off,pause:!f,section:0,value:0),time:(from:'2017-01-17T14:47:42-0700',mode:absolute,to:'2017-01-17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101" t="str">
        <f t="shared" si="10"/>
        <v>"C:\Program Files (x86)\AstroGrep\AstroGrep.exe" /spath="%USERPROFILE%\AppData\Local\Temp\OnboardLogs" /stypes="*4018*201701172*" /stext=" 23:.+((SYSTEM_STATE.+slice.+state.+changed )|(ment ac)|(multiple cpu faults)|(system.+state.+changed )|(\[timeout)|(PRM\|1\|D)|(kpr)|(kdp)|(\|lc)|(penalty))" /e /r /s</v>
      </c>
      <c r="U47" s="9" t="str">
        <f t="shared" si="11"/>
        <v>4018</v>
      </c>
      <c r="V47" s="33">
        <f t="shared" si="12"/>
        <v>42752.963263888887</v>
      </c>
      <c r="W47" s="47" t="str">
        <f t="shared" si="13"/>
        <v>NW</v>
      </c>
      <c r="X47" s="47" t="str">
        <f t="shared" si="14"/>
        <v>KEEP</v>
      </c>
      <c r="Y47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ID","value":"827-17"},{"id":16,"name":"Locomotive ID","value":"4018"},{"id":130,"name":"Impact","value":""},{"id":150,"name":"Time of Event (Mountain Time)","value":"16:07:06"},{"id":151,"name":"Denver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0"/>
      <c r="AA47" s="50"/>
      <c r="AB47" s="50"/>
      <c r="AC47" s="134" t="str">
        <f t="shared" si="16"/>
        <v>grep -hSE -A400 "Enforcement Action" "%USERPROFILE%\AppData\Local\Temp\OnboardLogs"\RTDC4018\*4018*201701172*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"%USERPROFILE%\AppData\Local\Temp\OnboardLogs"\RTDC4018\*4018*201701172* &gt;&gt; 2017-01-17-SliceDisagreementCheck.txt</v>
      </c>
      <c r="AE47" s="183" t="str">
        <f t="shared" si="17"/>
        <v>start /low /b %USERPROFILE%\Documents\GitHub\eaglep3\Utilities\DownloadLogsFromS3.py --loco 4018 --day 2017-01-17</v>
      </c>
      <c r="AF47" s="1"/>
    </row>
    <row r="48" spans="1:32" x14ac:dyDescent="0.25">
      <c r="A48" s="33">
        <v>42752.671956018516</v>
      </c>
      <c r="B48" s="31" t="s">
        <v>454</v>
      </c>
      <c r="C48" s="31" t="s">
        <v>477</v>
      </c>
      <c r="D48" s="31" t="s">
        <v>49</v>
      </c>
      <c r="E48" s="31" t="s">
        <v>196</v>
      </c>
      <c r="F48" s="44">
        <v>0</v>
      </c>
      <c r="G48" s="44">
        <v>26</v>
      </c>
      <c r="H48" s="44">
        <v>58950</v>
      </c>
      <c r="I48" s="44">
        <v>58975</v>
      </c>
      <c r="J48" s="31" t="s">
        <v>197</v>
      </c>
      <c r="K48" s="44">
        <v>59048</v>
      </c>
      <c r="L48" s="150" t="s">
        <v>50</v>
      </c>
      <c r="M48" s="151">
        <f t="shared" si="9"/>
        <v>38.543999999999997</v>
      </c>
      <c r="N48" s="152" t="str">
        <f>VLOOKUP(C48,'Trips&amp;Operators'!$C$1:$G$99999,5,FALSE)</f>
        <v>HILLS DUSTIN</v>
      </c>
      <c r="O48" s="179" t="s">
        <v>193</v>
      </c>
      <c r="P48" s="153"/>
      <c r="Q48" s="31"/>
      <c r="R48" s="96" t="str">
        <f>VLOOKUP(C48,'Train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48" s="99" t="str">
        <f>VLOOKUP(C48,'Train Runs'!$A$13:$AE$9991,22,0)</f>
        <v>https://d0f6bd738d7f1b3e5a7ca70fe4ff75f0.us-east-1.aws.found.io/app/kibana#/discover/Steve-Slow-Train-Analysis-(2080s-and-2083s)?_g=(refreshInterval:(display:Off,pause:!f,section:0,value:0),time:(from:'2017-01-17T14:47:42-0700',mode:absolute,to:'2017-01-17T17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8" s="101" t="str">
        <f t="shared" si="10"/>
        <v>"C:\Program Files (x86)\AstroGrep\AstroGrep.exe" /spath="%USERPROFILE%\AppData\Local\Temp\OnboardLogs" /stypes="*4018*201701172*" /stext=" 23:.+((SYSTEM_STATE.+slice.+state.+changed )|(ment ac)|(multiple cpu faults)|(system.+state.+changed )|(\[timeout)|(PRM\|1\|D)|(kpr)|(kdp)|(\|lc)|(penalty))" /e /r /s</v>
      </c>
      <c r="U48" s="9" t="str">
        <f t="shared" si="11"/>
        <v>4018</v>
      </c>
      <c r="V48" s="33">
        <f t="shared" si="12"/>
        <v>42752.96362268518</v>
      </c>
      <c r="W48" s="47" t="str">
        <f t="shared" si="13"/>
        <v>NW</v>
      </c>
      <c r="X48" s="47" t="str">
        <f t="shared" si="14"/>
        <v>KEEP</v>
      </c>
      <c r="Y48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ID","value":"827-17"},{"id":16,"name":"Locomotive ID","value":"4018"},{"id":130,"name":"Impact","value":""},{"id":150,"name":"Time of Event (Mountain Time)","value":"16:07:37"},{"id":151,"name":"Denver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0"/>
      <c r="AA48" s="50"/>
      <c r="AB48" s="50"/>
      <c r="AC48" s="134" t="str">
        <f t="shared" si="16"/>
        <v>grep -hSE -A400 "Enforcement Action" "%USERPROFILE%\AppData\Local\Temp\OnboardLogs"\RTDC4018\*4018*201701172*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"%USERPROFILE%\AppData\Local\Temp\OnboardLogs"\RTDC4018\*4018*201701172* &gt;&gt; 2017-01-17-SliceDisagreementCheck.txt</v>
      </c>
      <c r="AE48" s="183" t="str">
        <f t="shared" si="17"/>
        <v>start /low /b %USERPROFILE%\Documents\GitHub\eaglep3\Utilities\DownloadLogsFromS3.py --loco 4018 --day 2017-01-17</v>
      </c>
      <c r="AF48" s="1"/>
    </row>
    <row r="49" spans="1:32" x14ac:dyDescent="0.25">
      <c r="A49" s="33">
        <v>42752.796388888892</v>
      </c>
      <c r="B49" s="31" t="s">
        <v>454</v>
      </c>
      <c r="C49" s="31" t="s">
        <v>484</v>
      </c>
      <c r="D49" s="31" t="s">
        <v>49</v>
      </c>
      <c r="E49" s="31" t="s">
        <v>196</v>
      </c>
      <c r="F49" s="44">
        <v>0</v>
      </c>
      <c r="G49" s="44">
        <v>27</v>
      </c>
      <c r="H49" s="44">
        <v>58976</v>
      </c>
      <c r="I49" s="44">
        <v>59001</v>
      </c>
      <c r="J49" s="31" t="s">
        <v>197</v>
      </c>
      <c r="K49" s="44">
        <v>59048</v>
      </c>
      <c r="L49" s="150" t="s">
        <v>50</v>
      </c>
      <c r="M49" s="151">
        <f t="shared" si="9"/>
        <v>24.815999999999999</v>
      </c>
      <c r="N49" s="152" t="str">
        <f>VLOOKUP(C49,'Trips&amp;Operators'!$C$1:$G$99999,5,FALSE)</f>
        <v>HILLS DUSTIN</v>
      </c>
      <c r="O49" s="179" t="s">
        <v>193</v>
      </c>
      <c r="P49" s="153"/>
      <c r="Q49" s="31"/>
      <c r="R49" s="96" t="str">
        <f>VLOOKUP(C49,'Train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49" s="99" t="str">
        <f>VLOOKUP(C49,'Train Runs'!$A$13:$AE$9991,22,0)</f>
        <v>https://d0f6bd738d7f1b3e5a7ca70fe4ff75f0.us-east-1.aws.found.io/app/kibana#/discover/Steve-Slow-Train-Analysis-(2080s-and-2083s)?_g=(refreshInterval:(display:Off,pause:!f,section:0,value:0),time:(from:'2017-01-17T17:30:36-0700',mode:absolute,to:'2017-01-17T20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9" s="101" t="str">
        <f t="shared" si="10"/>
        <v>"C:\Program Files (x86)\AstroGrep\AstroGrep.exe" /spath="%USERPROFILE%\AppData\Local\Temp\OnboardLogs" /stypes="*4018*201701180*" /stext=" 02:.+((SYSTEM_STATE.+slice.+state.+changed )|(ment ac)|(multiple cpu faults)|(system.+state.+changed )|(\[timeout)|(PRM\|1\|D)|(kpr)|(kdp)|(\|lc)|(penalty))" /e /r /s</v>
      </c>
      <c r="U49" s="9" t="str">
        <f t="shared" si="11"/>
        <v>4018</v>
      </c>
      <c r="V49" s="33">
        <f t="shared" si="12"/>
        <v>42753.088055555556</v>
      </c>
      <c r="W49" s="47" t="str">
        <f t="shared" si="13"/>
        <v>NW</v>
      </c>
      <c r="X49" s="47" t="str">
        <f t="shared" si="14"/>
        <v>KEEP</v>
      </c>
      <c r="Y49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{"issue":{"subject":"","project_id":79,"tracker_id":40,"status_id":1,"priority_id":2,"assigned_to_id":23,"start_date":"2017-01-17","description":"","custom_fields":[{"id":1,"name":"Subdivision","value":"NW"},{"id":4,"name":"Milepost","value":"5.9048"},{"id":17,"name":"Train ID","value":"839-17"},{"id":16,"name":"Locomotive ID","value":"4018"},{"id":130,"name":"Impact","value":""},{"id":150,"name":"Time of Event (Mountain Time)","value":"19:06:48"},{"id":151,"name":"Denver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0"/>
      <c r="AA49" s="50"/>
      <c r="AB49" s="50"/>
      <c r="AC49" s="134" t="str">
        <f t="shared" si="16"/>
        <v>grep -hSE -A400 "Enforcement Action" "%USERPROFILE%\AppData\Local\Temp\OnboardLogs"\RTDC4018\*4018*201701180*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"%USERPROFILE%\AppData\Local\Temp\OnboardLogs"\RTDC4018\*4018*201701180* &gt;&gt; 2017-01-17-SliceDisagreementCheck.txt</v>
      </c>
      <c r="AE49" s="183" t="str">
        <f t="shared" si="17"/>
        <v>start /low /b %USERPROFILE%\Documents\GitHub\eaglep3\Utilities\DownloadLogsFromS3.py --loco 4018 --day 2017-01-18</v>
      </c>
      <c r="AF49" s="1"/>
    </row>
    <row r="50" spans="1:32" x14ac:dyDescent="0.25">
      <c r="A50" s="33">
        <v>42752.942523148151</v>
      </c>
      <c r="B50" s="31" t="s">
        <v>275</v>
      </c>
      <c r="C50" s="31" t="s">
        <v>495</v>
      </c>
      <c r="D50" s="31" t="s">
        <v>49</v>
      </c>
      <c r="E50" s="31" t="s">
        <v>196</v>
      </c>
      <c r="F50" s="44">
        <v>0</v>
      </c>
      <c r="G50" s="44">
        <v>39</v>
      </c>
      <c r="H50" s="44">
        <v>58907</v>
      </c>
      <c r="I50" s="44">
        <v>58961</v>
      </c>
      <c r="J50" s="31" t="s">
        <v>197</v>
      </c>
      <c r="K50" s="44">
        <v>59058</v>
      </c>
      <c r="L50" s="150" t="s">
        <v>50</v>
      </c>
      <c r="M50" s="151">
        <f t="shared" si="9"/>
        <v>51.216000000000001</v>
      </c>
      <c r="N50" s="152" t="str">
        <f>VLOOKUP(C50,'Trips&amp;Operators'!$C$1:$G$99999,5,FALSE)</f>
        <v>HILLS DUSTIN</v>
      </c>
      <c r="O50" s="179" t="s">
        <v>193</v>
      </c>
      <c r="P50" s="153"/>
      <c r="Q50" s="31"/>
      <c r="R50" s="96" t="str">
        <f>VLOOKUP(C50,'Train Runs'!$A$13:$AE$9991,31,0)</f>
        <v>aws s3 cp s3://rtdc.mdm.uploadarchive.raw/RTDC4020/ "%USERPROFILE%\AppData\Local\Temp\OnboardLogs"\RTDC4020\2017-01-17 --exclude "*" --recursive --include "*20170117*" &amp; "%USERPROFILE%\Documents\GitHub\mrs-test-scripts\Headless Mode &amp; Sideloading\WalkAndUnGZ.bat" "%USERPROFILE%\AppData\Local\Temp\OnboardLogs"\RTDC4020\2017-01-17 &amp; aws s3 cp s3://rtdc.mdm.uploadarchive.raw/RTDC4020/ "%USERPROFILE%\AppData\Local\Temp\OnboardLogs"\RTDC4020\2017-01-18 --exclude "*" --recursive --include "*20170118*" &amp; "%USERPROFILE%\Documents\GitHub\mrs-test-scripts\Headless Mode &amp; Sideloading\WalkAndUnGZ.bat" "%USERPROFILE%\AppData\Local\Temp\OnboardLogs"\RTDC4020\2017-01-18</v>
      </c>
      <c r="S50" s="99" t="str">
        <f>VLOOKUP(C50,'Train Runs'!$A$13:$AE$9991,22,0)</f>
        <v>https://d0f6bd738d7f1b3e5a7ca70fe4ff75f0.us-east-1.aws.found.io/app/kibana#/discover/Steve-Slow-Train-Analysis-(2080s-and-2083s)?_g=(refreshInterval:(display:Off,pause:!f,section:0,value:0),time:(from:'2017-01-17T20:58:43-0700',mode:absolute,to:'2017-01-17T23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50" s="101" t="str">
        <f t="shared" si="10"/>
        <v>"C:\Program Files (x86)\AstroGrep\AstroGrep.exe" /spath="%USERPROFILE%\AppData\Local\Temp\OnboardLogs" /stypes="*4020*201701180*" /stext=" 05:.+((SYSTEM_STATE.+slice.+state.+changed )|(ment ac)|(multiple cpu faults)|(system.+state.+changed )|(\[timeout)|(PRM\|1\|D)|(kpr)|(kdp)|(\|lc)|(penalty))" /e /r /s</v>
      </c>
      <c r="U50" s="9" t="str">
        <f t="shared" si="11"/>
        <v>4020</v>
      </c>
      <c r="V50" s="33">
        <f t="shared" si="12"/>
        <v>42753.234189814815</v>
      </c>
      <c r="W50" s="47" t="str">
        <f t="shared" si="13"/>
        <v>NW</v>
      </c>
      <c r="X50" s="47" t="str">
        <f t="shared" si="14"/>
        <v>KEEP</v>
      </c>
      <c r="Y50" s="115" t="str">
        <f t="shared" si="15"/>
        <v>echo {"issue":{"subject":"","project_id":79,"tracker_id":40,"status_id":1,"priority_id":2,"assigned_to_id":23,"start_date":"2017-01-17","description":"","custom_fields":[{"id":1,"name":"Subdivision","value":"NW"},{"id":4,"name":"Milepost","value":"5.9058"},{"id":17,"name":"Train ID","value":"847-17"},{"id":16,"name":"Locomotive ID","value":"4020"},{"id":130,"name":"Impact","value":""},{"id":150,"name":"Time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0"/>
      <c r="AA50" s="50"/>
      <c r="AB50" s="50"/>
      <c r="AC50" s="134" t="str">
        <f t="shared" si="16"/>
        <v>grep -hSE -A400 "Enforcement Action" "%USERPROFILE%\AppData\Local\Temp\OnboardLogs"\RTDC4020\*4020*201701180*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"%USERPROFILE%\AppData\Local\Temp\OnboardLogs"\RTDC4020\*4020*201701180* &gt;&gt; 2017-01-17-SliceDisagreementCheck.txt</v>
      </c>
      <c r="AE50" s="183" t="str">
        <f t="shared" si="17"/>
        <v>start /low /b %USERPROFILE%\Documents\GitHub\eaglep3\Utilities\DownloadLogsFromS3.py --loco 4020 --day 2017-01-18</v>
      </c>
      <c r="AF50" s="1"/>
    </row>
    <row r="51" spans="1:32" x14ac:dyDescent="0.25">
      <c r="A51" s="33">
        <v>42752.717928240738</v>
      </c>
      <c r="B51" s="31" t="s">
        <v>155</v>
      </c>
      <c r="C51" s="31" t="s">
        <v>478</v>
      </c>
      <c r="D51" s="31" t="s">
        <v>49</v>
      </c>
      <c r="E51" s="31" t="s">
        <v>194</v>
      </c>
      <c r="F51" s="44">
        <v>0</v>
      </c>
      <c r="G51" s="44">
        <v>351</v>
      </c>
      <c r="H51" s="44">
        <v>8976</v>
      </c>
      <c r="I51" s="44">
        <v>8336</v>
      </c>
      <c r="J51" s="31" t="s">
        <v>195</v>
      </c>
      <c r="K51" s="44">
        <v>6799</v>
      </c>
      <c r="L51" s="150" t="s">
        <v>51</v>
      </c>
      <c r="M51" s="151">
        <f t="shared" si="9"/>
        <v>811.53599999999994</v>
      </c>
      <c r="N51" s="152" t="str">
        <f>VLOOKUP(C51,'Trips&amp;Operators'!$C$1:$G$99999,5,FALSE)</f>
        <v>NEWELL JAMES</v>
      </c>
      <c r="O51" s="179" t="s">
        <v>193</v>
      </c>
      <c r="P51" s="153"/>
      <c r="Q51" s="31"/>
      <c r="R51" s="96" t="str">
        <f>VLOOKUP(C51,'Train Runs'!$A$13:$AE$9991,31,0)</f>
        <v>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 &amp; 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</v>
      </c>
      <c r="S51" s="99" t="str">
        <f>VLOOKUP(C51,'Train Runs'!$A$13:$AE$9991,22,0)</f>
        <v>https://d0f6bd738d7f1b3e5a7ca70fe4ff75f0.us-east-1.aws.found.io/app/kibana#/discover/Steve-Slow-Train-Analysis-(2080s-and-2083s)?_g=(refreshInterval:(display:Off,pause:!f,section:0,value:0),time:(from:'2017-01-17T16:05:59-0700',mode:absolute,to:'2017-01-17T18:17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1" s="101" t="str">
        <f t="shared" si="10"/>
        <v>"C:\Program Files (x86)\AstroGrep\AstroGrep.exe" /spath="%USERPROFILE%\AppData\Local\Temp\OnboardLogs" /stypes="*4052*201701180*" /stext=" 00:.+((SYSTEM_STATE.+slice.+state.+changed )|(ment ac)|(multiple cpu faults)|(system.+state.+changed )|(\[timeout)|(PRM\|1\|D)|(kpr)|(kdp)|(\|lc)|(penalty))" /e /r /s</v>
      </c>
      <c r="U51" s="9" t="str">
        <f t="shared" si="11"/>
        <v>4052</v>
      </c>
      <c r="V51" s="33">
        <f t="shared" si="12"/>
        <v>42753.009594907402</v>
      </c>
      <c r="W51" s="47" t="str">
        <f t="shared" si="13"/>
        <v>Other</v>
      </c>
      <c r="X51" s="47" t="str">
        <f t="shared" si="14"/>
        <v>KEEP</v>
      </c>
      <c r="Y51" s="115" t="str">
        <f t="shared" si="15"/>
        <v>echo {"issue":{"subject":"","project_id":79,"tracker_id":40,"status_id":1,"priority_id":2,"assigned_to_id":23,"start_date":"2017-01-17","description":"","custom_fields":[{"id":1,"name":"Subdivision","value":"Other"},{"id":4,"name":"Milepost","value":"0.6799"},{"id":17,"name":"Train ID","value":"56-17"},{"id":16,"name":"Locomotive ID","value":"4052"},{"id":130,"name":"Impact","value":""},{"id":150,"name":"Time of Event (Mountain Time)","value":"17:13:49"},{"id":151,"name":"Denver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0"/>
      <c r="AA51" s="50"/>
      <c r="AB51" s="50"/>
      <c r="AC51" s="134" t="str">
        <f t="shared" si="16"/>
        <v>grep -hSE -A400 "Enforcement Action" "%USERPROFILE%\AppData\Local\Temp\OnboardLogs"\RTDC4052\*4052*201701180*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"%USERPROFILE%\AppData\Local\Temp\OnboardLogs"\RTDC4052\*4052*201701180* &gt;&gt; 2017-01-17-SliceDisagreementCheck.txt</v>
      </c>
      <c r="AE51" s="183" t="str">
        <f t="shared" si="17"/>
        <v>start /low /b %USERPROFILE%\Documents\GitHub\eaglep3\Utilities\DownloadLogsFromS3.py --loco 4052 --day 2017-01-18</v>
      </c>
      <c r="AF51" s="1"/>
    </row>
    <row r="52" spans="1:32" x14ac:dyDescent="0.25">
      <c r="A52" s="33">
        <v>42752.140300925923</v>
      </c>
      <c r="B52" s="31" t="s">
        <v>290</v>
      </c>
      <c r="C52" s="31" t="s">
        <v>453</v>
      </c>
      <c r="D52" s="31" t="s">
        <v>98</v>
      </c>
      <c r="E52" s="31" t="s">
        <v>194</v>
      </c>
      <c r="F52" s="44">
        <v>0</v>
      </c>
      <c r="G52" s="44">
        <v>142</v>
      </c>
      <c r="H52" s="44">
        <v>18656</v>
      </c>
      <c r="I52" s="44">
        <v>18509</v>
      </c>
      <c r="J52" s="31" t="s">
        <v>195</v>
      </c>
      <c r="K52" s="44">
        <v>19000</v>
      </c>
      <c r="L52" s="150" t="s">
        <v>51</v>
      </c>
      <c r="M52" s="151">
        <f t="shared" si="9"/>
        <v>-259.24799999999999</v>
      </c>
      <c r="N52" s="152" t="str">
        <f>VLOOKUP(C52,'Trips&amp;Operators'!$C$1:$G$99999,5,FALSE)</f>
        <v>MAELZER KURT</v>
      </c>
      <c r="O52" s="179" t="s">
        <v>193</v>
      </c>
      <c r="P52" s="153"/>
      <c r="Q52" s="31"/>
      <c r="R52" s="96" t="str">
        <f>VLOOKUP(C52,'Train Runs'!$A$13:$AE$9991,31,0)</f>
        <v>aws s3 cp s3://rtdc.mdm.uploadarchive.raw/RTDC4008/ "%USERPROFILE%\AppData\Local\Temp\OnboardLogs"\RTDC4008\2017-01-17 --exclude "*" --recursive --include "*20170117*" &amp; "%USERPROFILE%\Documents\GitHub\mrs-test-scripts\Headless Mode &amp; Sideloading\WalkAndUnGZ.bat" "%USERPROFILE%\AppData\Local\Temp\OnboardLogs"\RTDC4008\2017-01-17 &amp; aws s3 cp s3://rtdc.mdm.uploadarchive.raw/RTDC4008/ "%USERPROFILE%\AppData\Local\Temp\OnboardLogs"\RTDC4008\2017-01-18 --exclude "*" --recursive --include "*20170118*" &amp; "%USERPROFILE%\Documents\GitHub\mrs-test-scripts\Headless Mode &amp; Sideloading\WalkAndUnGZ.bat" "%USERPROFILE%\AppData\Local\Temp\OnboardLogs"\RTDC4008\2017-01-18</v>
      </c>
      <c r="S52" s="99" t="str">
        <f>VLOOKUP(C52,'Train Runs'!$A$13:$AE$9991,22,0)</f>
        <v>https://d0f6bd738d7f1b3e5a7ca70fe4ff75f0.us-east-1.aws.found.io/app/kibana#/discover/Steve-Slow-Train-Analysis-(2080s-and-2083s)?_g=(refreshInterval:(display:Off,pause:!f,section:0,value:0),time:(from:'2017-01-17T02:17:01-0700',mode:absolute,to:'2017-01-17T04:30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101" t="str">
        <f t="shared" si="10"/>
        <v>"C:\Program Files (x86)\AstroGrep\AstroGrep.exe" /spath="%USERPROFILE%\AppData\Local\Temp\OnboardLogs" /stypes="*4008*201701171*" /stext=" 10:.+((SYSTEM_STATE.+slice.+state.+changed )|(ment ac)|(multiple cpu faults)|(system.+state.+changed )|(\[timeout)|(PRM\|1\|D)|(kpr)|(kdp)|(\|lc)|(penalty))" /e /r /s</v>
      </c>
      <c r="U52" s="9" t="str">
        <f t="shared" si="11"/>
        <v>4008</v>
      </c>
      <c r="V52" s="33">
        <f t="shared" si="12"/>
        <v>42752.431967592587</v>
      </c>
      <c r="W52" s="47" t="str">
        <f t="shared" si="13"/>
        <v>Other</v>
      </c>
      <c r="X52" s="47" t="str">
        <f t="shared" si="14"/>
        <v>KEEP</v>
      </c>
      <c r="Y52" s="115" t="str">
        <f t="shared" si="15"/>
        <v>echo {"issue":{"subject":"","project_id":79,"tracker_id":40,"status_id":1,"priority_id":2,"assigned_to_id":23,"start_date":"2017-01-17","description":"","custom_fields":[{"id":1,"name":"Subdivision","value":"Other"},{"id":4,"name":"Milepost","value":"1.9"},{"id":17,"name":"Train ID","value":"304-17"},{"id":16,"name":"Locomotive ID","value":"4008"},{"id":130,"name":"Impact","value":""},{"id":150,"name":"Time of Event (Mountain Time)","value":"03:22:02"},{"id":151,"name":"Denver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0"/>
      <c r="AA52" s="50"/>
      <c r="AB52" s="50"/>
      <c r="AC52" s="134" t="str">
        <f t="shared" si="16"/>
        <v>grep -hSE -A400 "Enforcement Action" "%USERPROFILE%\AppData\Local\Temp\OnboardLogs"\RTDC4008\*4008*201701171*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"%USERPROFILE%\AppData\Local\Temp\OnboardLogs"\RTDC4008\*4008*201701171* &gt;&gt; 2017-01-17-SliceDisagreementCheck.txt</v>
      </c>
      <c r="AE52" s="183" t="str">
        <f t="shared" si="17"/>
        <v>start /low /b %USERPROFILE%\Documents\GitHub\eaglep3\Utilities\DownloadLogsFromS3.py --loco 4008 --day 2017-01-17</v>
      </c>
      <c r="AF52" s="1"/>
    </row>
    <row r="53" spans="1:32" x14ac:dyDescent="0.25">
      <c r="A53" s="33">
        <v>42752.486562500002</v>
      </c>
      <c r="B53" s="31" t="s">
        <v>155</v>
      </c>
      <c r="C53" s="31" t="s">
        <v>467</v>
      </c>
      <c r="D53" s="31" t="s">
        <v>49</v>
      </c>
      <c r="E53" s="31" t="s">
        <v>196</v>
      </c>
      <c r="F53" s="44">
        <v>0</v>
      </c>
      <c r="G53" s="44">
        <v>104</v>
      </c>
      <c r="H53" s="44">
        <v>1238</v>
      </c>
      <c r="I53" s="44">
        <v>1125</v>
      </c>
      <c r="J53" s="31" t="s">
        <v>197</v>
      </c>
      <c r="K53" s="44">
        <v>826</v>
      </c>
      <c r="L53" s="150" t="s">
        <v>51</v>
      </c>
      <c r="M53" s="151">
        <f t="shared" si="9"/>
        <v>157.87200000000001</v>
      </c>
      <c r="N53" s="152" t="str">
        <f>VLOOKUP(C53,'Trips&amp;Operators'!$C$1:$G$99999,5,FALSE)</f>
        <v>ROMERO CHAD</v>
      </c>
      <c r="O53" s="179" t="s">
        <v>193</v>
      </c>
      <c r="P53" s="153"/>
      <c r="Q53" s="31"/>
      <c r="R53" s="96" t="str">
        <f>VLOOKUP(C53,'Train Runs'!$A$13:$AE$9991,31,0)</f>
        <v>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 &amp; 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</v>
      </c>
      <c r="S53" s="99" t="str">
        <f>VLOOKUP(C53,'Train Runs'!$A$13:$AE$9991,22,0)</f>
        <v>https://d0f6bd738d7f1b3e5a7ca70fe4ff75f0.us-east-1.aws.found.io/app/kibana#/discover/Steve-Slow-Train-Analysis-(2080s-and-2083s)?_g=(refreshInterval:(display:Off,pause:!f,section:0,value:0),time:(from:'2017-01-17T10:22:26-0700',mode:absolute,to:'2017-01-17T12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3" s="101" t="str">
        <f t="shared" si="10"/>
        <v>"C:\Program Files (x86)\AstroGrep\AstroGrep.exe" /spath="%USERPROFILE%\AppData\Local\Temp\OnboardLogs" /stypes="*4052*201701171*" /stext=" 18:.+((SYSTEM_STATE.+slice.+state.+changed )|(ment ac)|(multiple cpu faults)|(system.+state.+changed )|(\[timeout)|(PRM\|1\|D)|(kpr)|(kdp)|(\|lc)|(penalty))" /e /r /s</v>
      </c>
      <c r="U53" s="9" t="str">
        <f t="shared" si="11"/>
        <v>4052</v>
      </c>
      <c r="V53" s="33">
        <f t="shared" si="12"/>
        <v>42752.778229166666</v>
      </c>
      <c r="W53" s="47" t="str">
        <f t="shared" si="13"/>
        <v>Other</v>
      </c>
      <c r="X53" s="47" t="str">
        <f t="shared" si="14"/>
        <v>KEEP</v>
      </c>
      <c r="Y53" s="115" t="str">
        <f t="shared" si="15"/>
        <v>echo {"issue":{"subject":"","project_id":79,"tracker_id":40,"status_id":1,"priority_id":2,"assigned_to_id":23,"start_date":"2017-01-17","description":"","custom_fields":[{"id":1,"name":"Subdivision","value":"Other"},{"id":4,"name":"Milepost","value":"0.0826"},{"id":17,"name":"Train ID","value":"52-17"},{"id":16,"name":"Locomotive ID","value":"4052"},{"id":130,"name":"Impact","value":""},{"id":150,"name":"Time of Event (Mountain Time)","value":"11:40:39"},{"id":151,"name":"Denver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0"/>
      <c r="AA53" s="50"/>
      <c r="AB53" s="50"/>
      <c r="AC53" s="134" t="str">
        <f t="shared" si="16"/>
        <v>grep -hSE -A400 "Enforcement Action" "%USERPROFILE%\AppData\Local\Temp\OnboardLogs"\RTDC4052\*4052*201701171*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"%USERPROFILE%\AppData\Local\Temp\OnboardLogs"\RTDC4052\*4052*201701171* &gt;&gt; 2017-01-17-SliceDisagreementCheck.txt</v>
      </c>
      <c r="AE53" s="183" t="str">
        <f t="shared" si="17"/>
        <v>start /low /b %USERPROFILE%\Documents\GitHub\eaglep3\Utilities\DownloadLogsFromS3.py --loco 4052 --day 2017-01-17</v>
      </c>
      <c r="AF53" s="1"/>
    </row>
    <row r="54" spans="1:32" x14ac:dyDescent="0.25">
      <c r="A54" s="33">
        <v>42752.487013888887</v>
      </c>
      <c r="B54" s="31" t="s">
        <v>155</v>
      </c>
      <c r="C54" s="31" t="s">
        <v>467</v>
      </c>
      <c r="D54" s="31" t="s">
        <v>49</v>
      </c>
      <c r="E54" s="31" t="s">
        <v>196</v>
      </c>
      <c r="F54" s="44">
        <v>0</v>
      </c>
      <c r="G54" s="44">
        <v>46</v>
      </c>
      <c r="H54" s="44">
        <v>984</v>
      </c>
      <c r="I54" s="44">
        <v>928</v>
      </c>
      <c r="J54" s="31" t="s">
        <v>197</v>
      </c>
      <c r="K54" s="44">
        <v>826</v>
      </c>
      <c r="L54" s="150" t="s">
        <v>51</v>
      </c>
      <c r="M54" s="151">
        <f t="shared" si="9"/>
        <v>53.856000000000002</v>
      </c>
      <c r="N54" s="152" t="str">
        <f>VLOOKUP(C54,'Trips&amp;Operators'!$C$1:$G$99999,5,FALSE)</f>
        <v>ROMERO CHAD</v>
      </c>
      <c r="O54" s="179" t="s">
        <v>193</v>
      </c>
      <c r="P54" s="153"/>
      <c r="Q54" s="31"/>
      <c r="R54" s="96" t="str">
        <f>VLOOKUP(C54,'Train Runs'!$A$13:$AE$9991,31,0)</f>
        <v>aws s3 cp s3://rtdc.mdm.uploadarchive.raw/RTDC4052/ "%USERPROFILE%\AppData\Local\Temp\OnboardLogs"\RTDC4052\2017-01-17 --exclude "*" --recursive --include "*20170117*" &amp; "%USERPROFILE%\Documents\GitHub\mrs-test-scripts\Headless Mode &amp; Sideloading\WalkAndUnGZ.bat" "%USERPROFILE%\AppData\Local\Temp\OnboardLogs"\RTDC4052\2017-01-17 &amp; aws s3 cp s3://rtdc.mdm.uploadarchive.raw/RTDC4052/ "%USERPROFILE%\AppData\Local\Temp\OnboardLogs"\RTDC4052\2017-01-18 --exclude "*" --recursive --include "*20170118*" &amp; "%USERPROFILE%\Documents\GitHub\mrs-test-scripts\Headless Mode &amp; Sideloading\WalkAndUnGZ.bat" "%USERPROFILE%\AppData\Local\Temp\OnboardLogs"\RTDC4052\2017-01-18</v>
      </c>
      <c r="S54" s="99" t="str">
        <f>VLOOKUP(C54,'Train Runs'!$A$13:$AE$9991,22,0)</f>
        <v>https://d0f6bd738d7f1b3e5a7ca70fe4ff75f0.us-east-1.aws.found.io/app/kibana#/discover/Steve-Slow-Train-Analysis-(2080s-and-2083s)?_g=(refreshInterval:(display:Off,pause:!f,section:0,value:0),time:(from:'2017-01-17T10:22:26-0700',mode:absolute,to:'2017-01-17T12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4" s="101" t="str">
        <f t="shared" si="10"/>
        <v>"C:\Program Files (x86)\AstroGrep\AstroGrep.exe" /spath="%USERPROFILE%\AppData\Local\Temp\OnboardLogs" /stypes="*4052*201701171*" /stext=" 18:.+((SYSTEM_STATE.+slice.+state.+changed )|(ment ac)|(multiple cpu faults)|(system.+state.+changed )|(\[timeout)|(PRM\|1\|D)|(kpr)|(kdp)|(\|lc)|(penalty))" /e /r /s</v>
      </c>
      <c r="U54" s="9" t="str">
        <f t="shared" si="11"/>
        <v>4052</v>
      </c>
      <c r="V54" s="33">
        <f t="shared" si="12"/>
        <v>42752.778680555552</v>
      </c>
      <c r="W54" s="47" t="str">
        <f t="shared" si="13"/>
        <v>Other</v>
      </c>
      <c r="X54" s="47" t="str">
        <f t="shared" si="14"/>
        <v>KEEP</v>
      </c>
      <c r="Y54" s="115" t="str">
        <f t="shared" si="15"/>
        <v>echo {"issue":{"subject":"","project_id":79,"tracker_id":40,"status_id":1,"priority_id":2,"assigned_to_id":23,"start_date":"2017-01-17","description":"","custom_fields":[{"id":1,"name":"Subdivision","value":"Other"},{"id":4,"name":"Milepost","value":"0.0826"},{"id":17,"name":"Train ID","value":"52-17"},{"id":16,"name":"Locomotive ID","value":"4052"},{"id":130,"name":"Impact","value":""},{"id":150,"name":"Time of Event (Mountain Time)","value":"11:41:18"},{"id":151,"name":"Denver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0"/>
      <c r="AA54" s="50"/>
      <c r="AB54" s="50"/>
      <c r="AC54" s="134" t="str">
        <f t="shared" si="16"/>
        <v>grep -hSE -A400 "Enforcement Action" "%USERPROFILE%\AppData\Local\Temp\OnboardLogs"\RTDC4052\*4052*201701171*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"%USERPROFILE%\AppData\Local\Temp\OnboardLogs"\RTDC4052\*4052*201701171* &gt;&gt; 2017-01-17-SliceDisagreementCheck.txt</v>
      </c>
      <c r="AE54" s="183" t="str">
        <f t="shared" si="17"/>
        <v>start /low /b %USERPROFILE%\Documents\GitHub\eaglep3\Utilities\DownloadLogsFromS3.py --loco 4052 --day 2017-01-17</v>
      </c>
      <c r="AF54" s="1"/>
    </row>
    <row r="55" spans="1:32" x14ac:dyDescent="0.25">
      <c r="A55" s="33">
        <v>42752.20921296296</v>
      </c>
      <c r="B55" s="31" t="s">
        <v>454</v>
      </c>
      <c r="C55" s="31" t="s">
        <v>455</v>
      </c>
      <c r="D55" s="31" t="s">
        <v>49</v>
      </c>
      <c r="E55" s="31" t="s">
        <v>196</v>
      </c>
      <c r="F55" s="44">
        <v>0</v>
      </c>
      <c r="G55" s="44">
        <v>45</v>
      </c>
      <c r="H55" s="44">
        <v>58937</v>
      </c>
      <c r="I55" s="44">
        <v>58969</v>
      </c>
      <c r="J55" s="31" t="s">
        <v>197</v>
      </c>
      <c r="K55" s="44">
        <v>59048</v>
      </c>
      <c r="L55" s="150" t="s">
        <v>50</v>
      </c>
      <c r="M55" s="151">
        <f t="shared" si="9"/>
        <v>41.712000000000003</v>
      </c>
      <c r="N55" s="152" t="str">
        <f>VLOOKUP(C55,'Trips&amp;Operators'!$C$1:$G$99999,5,FALSE)</f>
        <v>YORK EDGAR</v>
      </c>
      <c r="O55" s="179" t="s">
        <v>193</v>
      </c>
      <c r="P55" s="153"/>
      <c r="Q55" s="31"/>
      <c r="R55" s="96" t="str">
        <f>VLOOKUP(C55,'Train Runs'!$A$13:$AE$9991,31,0)</f>
        <v>aws s3 cp s3://rtdc.mdm.uploadarchive.raw/RTDC4018/ "%USERPROFILE%\AppData\Local\Temp\OnboardLogs"\RTDC4018\2017-01-17 --exclude "*" --recursive --include "*20170117*" &amp; "%USERPROFILE%\Documents\GitHub\mrs-test-scripts\Headless Mode &amp; Sideloading\WalkAndUnGZ.bat" "%USERPROFILE%\AppData\Local\Temp\OnboardLogs"\RTDC4018\2017-01-17 &amp; aws s3 cp s3://rtdc.mdm.uploadarchive.raw/RTDC4018/ "%USERPROFILE%\AppData\Local\Temp\OnboardLogs"\RTDC4018\2017-01-18 --exclude "*" --recursive --include "*20170118*" &amp; "%USERPROFILE%\Documents\GitHub\mrs-test-scripts\Headless Mode &amp; Sideloading\WalkAndUnGZ.bat" "%USERPROFILE%\AppData\Local\Temp\OnboardLogs"\RTDC4018\2017-01-18</v>
      </c>
      <c r="S55" s="99" t="str">
        <f>VLOOKUP(C55,'Train Runs'!$A$13:$AE$9991,22,0)</f>
        <v>https://d0f6bd738d7f1b3e5a7ca70fe4ff75f0.us-east-1.aws.found.io/app/kibana#/discover/Steve-Slow-Train-Analysis-(2080s-and-2083s)?_g=(refreshInterval:(display:Off,pause:!f,section:0,value:0),time:(from:'2017-01-17T03:52:32-0700',mode:absolute,to:'2017-01-17T06:01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5" s="101" t="str">
        <f t="shared" si="10"/>
        <v>"C:\Program Files (x86)\AstroGrep\AstroGrep.exe" /spath="%USERPROFILE%\AppData\Local\Temp\OnboardLogs" /stypes="*4018*201701171*" /stext=" 12:.+((SYSTEM_STATE.+slice.+state.+changed )|(ment ac)|(multiple cpu faults)|(system.+state.+changed )|(\[timeout)|(PRM\|1\|D)|(kpr)|(kdp)|(\|lc)|(penalty))" /e /r /s</v>
      </c>
      <c r="U55" s="9" t="str">
        <f t="shared" si="11"/>
        <v>4018</v>
      </c>
      <c r="V55" s="33">
        <f t="shared" si="12"/>
        <v>42752.500879629624</v>
      </c>
      <c r="W55" s="47" t="str">
        <f t="shared" si="13"/>
        <v>Other</v>
      </c>
      <c r="X55" s="47" t="str">
        <f t="shared" si="14"/>
        <v>KEEP</v>
      </c>
      <c r="Y55" s="115" t="str">
        <f t="shared" si="15"/>
        <v>echo {"issue":{"subject":"","project_id":79,"tracker_id":40,"status_id":1,"priority_id":2,"assigned_to_id":23,"start_date":"2017-01-17","description":"","custom_fields":[{"id":1,"name":"Subdivision","value":"Other"},{"id":4,"name":"Milepost","value":"5.9048"},{"id":17,"name":"Train ID","value":"901-17"},{"id":16,"name":"Locomotive ID","value":"4018"},{"id":130,"name":"Impact","value":""},{"id":150,"name":"Time of Event (Mountain Time)","value":"05:01:16"},{"id":151,"name":"Denver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0"/>
      <c r="AA55" s="50"/>
      <c r="AB55" s="50"/>
      <c r="AC55" s="134" t="str">
        <f t="shared" si="16"/>
        <v>grep -hSE -A400 "Enforcement Action" "%USERPROFILE%\AppData\Local\Temp\OnboardLogs"\RTDC4018\*4018*201701171*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"%USERPROFILE%\AppData\Local\Temp\OnboardLogs"\RTDC4018\*4018*201701171* &gt;&gt; 2017-01-17-SliceDisagreementCheck.txt</v>
      </c>
      <c r="AE55" s="183" t="str">
        <f t="shared" si="17"/>
        <v>start /low /b %USERPROFILE%\Documents\GitHub\eaglep3\Utilities\DownloadLogsFromS3.py --loco 4018 --day 2017-01-17</v>
      </c>
      <c r="AF55" s="1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55">
      <sortCondition ref="V6:V37"/>
    </sortState>
  </autoFilter>
  <sortState ref="A7:AE55">
    <sortCondition ref="W7:W55"/>
    <sortCondition ref="E7:E55"/>
    <sortCondition ref="K7:K55"/>
    <sortCondition ref="C7:C55"/>
    <sortCondition ref="F7:F55"/>
  </sortState>
  <mergeCells count="1">
    <mergeCell ref="A5:O5"/>
  </mergeCells>
  <conditionalFormatting sqref="O6:P6 R6 O67:O1048576 O7:O5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AA7:AA55</xm:sqref>
        </x14:dataValidation>
        <x14:dataValidation type="list" allowBlank="1" showInputMessage="1" showErrorMessage="1">
          <x14:formula1>
            <xm:f>'Redmine List Values'!$C$2:$C$15</xm:f>
          </x14:formula1>
          <xm:sqref>AB7:AB55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7"/>
  <sheetViews>
    <sheetView workbookViewId="0">
      <selection activeCell="A3" sqref="A3:A11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5"/>
      <c r="B1" s="191" t="str">
        <f>"Trips that did not appear in PTC Data "&amp;TEXT(Variables!$A$2,"YYYY-mm-dd")</f>
        <v>Trips that did not appear in PTC Data 2017-01-17</v>
      </c>
      <c r="C1" s="191"/>
      <c r="D1" s="191"/>
      <c r="E1" s="191"/>
      <c r="F1" s="191"/>
    </row>
    <row r="2" spans="1:10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7"/>
      <c r="B3" s="44" t="str">
        <f>A3&amp;"-"&amp;IF(DAY(Variables!$A$2)&lt;10,0,"")&amp;DAY(Variables!$A$2)</f>
        <v>-17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1" t="e">
        <f>VLOOKUP(B3,'Train Runs'!$A$13:$A$99988,1,FALSE)</f>
        <v>#N/A</v>
      </c>
    </row>
    <row r="4" spans="1:10" x14ac:dyDescent="0.25">
      <c r="A4" s="167"/>
      <c r="B4" s="44" t="str">
        <f>A4&amp;"-"&amp;IF(DAY(Variables!$A$2)&lt;10,0,"")&amp;DAY(Variables!$A$2)</f>
        <v>-17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1" t="e">
        <f>VLOOKUP(B4,'Train Runs'!$A$13:$A$99988,1,FALSE)</f>
        <v>#N/A</v>
      </c>
    </row>
    <row r="5" spans="1:10" x14ac:dyDescent="0.25">
      <c r="A5" s="167"/>
      <c r="B5" s="44" t="str">
        <f>A5&amp;"-"&amp;IF(DAY(Variables!$A$2)&lt;10,0,"")&amp;DAY(Variables!$A$2)</f>
        <v>-17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1" t="e">
        <f>VLOOKUP(B5,'Train Runs'!$A$13:$A$99988,1,FALSE)</f>
        <v>#N/A</v>
      </c>
    </row>
    <row r="6" spans="1:10" x14ac:dyDescent="0.25">
      <c r="A6" s="167"/>
      <c r="B6" s="44" t="str">
        <f>A6&amp;"-"&amp;IF(DAY(Variables!$A$2)&lt;10,0,"")&amp;DAY(Variables!$A$2)</f>
        <v>-17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1" t="e">
        <f>VLOOKUP(B6,'Train Runs'!$A$13:$A$99988,1,FALSE)</f>
        <v>#N/A</v>
      </c>
    </row>
    <row r="7" spans="1:10" x14ac:dyDescent="0.25">
      <c r="A7" s="167"/>
      <c r="B7" s="44" t="str">
        <f>A7&amp;"-"&amp;IF(DAY(Variables!$A$2)&lt;10,0,"")&amp;DAY(Variables!$A$2)</f>
        <v>-17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1" t="e">
        <f>VLOOKUP(B7,'Train Runs'!$A$13:$A$99988,1,FALSE)</f>
        <v>#N/A</v>
      </c>
    </row>
    <row r="8" spans="1:10" x14ac:dyDescent="0.25">
      <c r="A8" s="167"/>
      <c r="B8" s="44" t="str">
        <f>A8&amp;"-"&amp;IF(DAY(Variables!$A$2)&lt;10,0,"")&amp;DAY(Variables!$A$2)</f>
        <v>-17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1" t="e">
        <f>VLOOKUP(B8,'Train Runs'!$A$13:$A$99988,1,FALSE)</f>
        <v>#N/A</v>
      </c>
    </row>
    <row r="9" spans="1:10" x14ac:dyDescent="0.25">
      <c r="A9" s="167"/>
      <c r="B9" s="44" t="str">
        <f>A9&amp;"-"&amp;IF(DAY(Variables!$A$2)&lt;10,0,"")&amp;DAY(Variables!$A$2)</f>
        <v>-17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1" t="e">
        <f>VLOOKUP(B9,'Train Runs'!$A$13:$A$99988,1,FALSE)</f>
        <v>#N/A</v>
      </c>
    </row>
    <row r="10" spans="1:10" x14ac:dyDescent="0.25">
      <c r="A10" s="167"/>
      <c r="B10" s="44" t="str">
        <f>A10&amp;"-"&amp;IF(DAY(Variables!$A$2)&lt;10,0,"")&amp;DAY(Variables!$A$2)</f>
        <v>-17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1" t="e">
        <f>VLOOKUP(B10,'Train Runs'!$A$13:$A$99988,1,FALSE)</f>
        <v>#N/A</v>
      </c>
    </row>
    <row r="11" spans="1:10" x14ac:dyDescent="0.25">
      <c r="A11" s="167"/>
      <c r="B11" s="44" t="str">
        <f>A11&amp;"-"&amp;IF(DAY(Variables!$A$2)&lt;10,0,"")&amp;DAY(Variables!$A$2)</f>
        <v>-17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1" t="e">
        <f>VLOOKUP(B11,'Train Runs'!$A$13:$A$99988,1,FALSE)</f>
        <v>#N/A</v>
      </c>
    </row>
    <row r="12" spans="1:10" x14ac:dyDescent="0.25">
      <c r="A12" s="167"/>
      <c r="B12" s="44" t="str">
        <f>A12&amp;"-"&amp;IF(DAY(Variables!$A$2)&lt;10,0,"")&amp;DAY(Variables!$A$2)</f>
        <v>-17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1" t="e">
        <f>VLOOKUP(B12,'Train Runs'!$A$13:$A$99988,1,FALSE)</f>
        <v>#N/A</v>
      </c>
    </row>
    <row r="13" spans="1:10" x14ac:dyDescent="0.25">
      <c r="A13" s="167"/>
      <c r="B13" s="44" t="str">
        <f>A13&amp;"-"&amp;IF(DAY(Variables!$A$2)&lt;10,0,"")&amp;DAY(Variables!$A$2)</f>
        <v>-17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1" t="e">
        <f>VLOOKUP(B13,'Train Runs'!$A$13:$A$99988,1,FALSE)</f>
        <v>#N/A</v>
      </c>
    </row>
    <row r="14" spans="1:10" x14ac:dyDescent="0.25">
      <c r="A14" s="167"/>
      <c r="B14" s="44" t="str">
        <f>A14&amp;"-"&amp;IF(DAY(Variables!$A$2)&lt;10,0,"")&amp;DAY(Variables!$A$2)</f>
        <v>-17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1" t="e">
        <f>VLOOKUP(B14,'Train Runs'!$A$13:$A$99988,1,FALSE)</f>
        <v>#N/A</v>
      </c>
    </row>
    <row r="15" spans="1:10" x14ac:dyDescent="0.25">
      <c r="A15" s="167"/>
      <c r="B15" s="44" t="str">
        <f>A15&amp;"-"&amp;IF(DAY(Variables!$A$2)&lt;10,0,"")&amp;DAY(Variables!$A$2)</f>
        <v>-17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1" t="e">
        <f>VLOOKUP(B15,'Train Runs'!$A$13:$A$99988,1,FALSE)</f>
        <v>#N/A</v>
      </c>
    </row>
    <row r="16" spans="1:10" x14ac:dyDescent="0.25">
      <c r="A16" s="167"/>
      <c r="B16" s="44" t="str">
        <f>A16&amp;"-"&amp;IF(DAY(Variables!$A$2)&lt;10,0,"")&amp;DAY(Variables!$A$2)</f>
        <v>-17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1" t="e">
        <f>VLOOKUP(B16,'Train Runs'!$A$13:$A$99988,1,FALSE)</f>
        <v>#N/A</v>
      </c>
    </row>
    <row r="17" spans="1:10" x14ac:dyDescent="0.25">
      <c r="A17" s="167"/>
      <c r="B17" s="44" t="str">
        <f>A17&amp;"-"&amp;IF(DAY(Variables!$A$2)&lt;10,0,"")&amp;DAY(Variables!$A$2)</f>
        <v>-17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1" t="e">
        <f>VLOOKUP(B17,'Train Runs'!$A$13:$A$99988,1,FALSE)</f>
        <v>#N/A</v>
      </c>
    </row>
    <row r="18" spans="1:10" x14ac:dyDescent="0.25">
      <c r="A18" s="167"/>
      <c r="B18" s="44" t="str">
        <f>A18&amp;"-"&amp;IF(DAY(Variables!$A$2)&lt;10,0,"")&amp;DAY(Variables!$A$2)</f>
        <v>-17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1" t="e">
        <f>VLOOKUP(B18,'Train Runs'!$A$13:$A$99988,1,FALSE)</f>
        <v>#N/A</v>
      </c>
    </row>
    <row r="19" spans="1:10" x14ac:dyDescent="0.25">
      <c r="A19" s="167"/>
      <c r="B19" s="44" t="str">
        <f>A19&amp;"-"&amp;IF(DAY(Variables!$A$2)&lt;10,0,"")&amp;DAY(Variables!$A$2)</f>
        <v>-17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1" t="e">
        <f>VLOOKUP(B19,'Train Runs'!$A$13:$A$99988,1,FALSE)</f>
        <v>#N/A</v>
      </c>
    </row>
    <row r="20" spans="1:10" x14ac:dyDescent="0.25">
      <c r="A20" s="167"/>
      <c r="B20" s="44" t="str">
        <f>A20&amp;"-"&amp;IF(DAY(Variables!$A$2)&lt;10,0,"")&amp;DAY(Variables!$A$2)</f>
        <v>-17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1" t="e">
        <f>VLOOKUP(B20,'Train Runs'!$A$13:$A$99988,1,FALSE)</f>
        <v>#N/A</v>
      </c>
    </row>
    <row r="21" spans="1:10" x14ac:dyDescent="0.25">
      <c r="A21" s="167"/>
      <c r="B21" s="44" t="str">
        <f>A21&amp;"-"&amp;IF(DAY(Variables!$A$2)&lt;10,0,"")&amp;DAY(Variables!$A$2)</f>
        <v>-17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1" t="e">
        <f>VLOOKUP(B21,'Train Runs'!$A$13:$A$99988,1,FALSE)</f>
        <v>#N/A</v>
      </c>
    </row>
    <row r="22" spans="1:10" x14ac:dyDescent="0.25">
      <c r="A22" s="167"/>
      <c r="B22" s="44" t="str">
        <f>A22&amp;"-"&amp;IF(DAY(Variables!$A$2)&lt;10,0,"")&amp;DAY(Variables!$A$2)</f>
        <v>-17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1" t="e">
        <f>VLOOKUP(B22,'Train Runs'!$A$13:$A$99988,1,FALSE)</f>
        <v>#N/A</v>
      </c>
    </row>
    <row r="23" spans="1:10" x14ac:dyDescent="0.25">
      <c r="A23" s="167"/>
      <c r="B23" s="44" t="str">
        <f>A23&amp;"-"&amp;IF(DAY(Variables!$A$2)&lt;10,0,"")&amp;DAY(Variables!$A$2)</f>
        <v>-17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1" t="e">
        <f>VLOOKUP(B23,'Train Runs'!$A$13:$A$99988,1,FALSE)</f>
        <v>#N/A</v>
      </c>
    </row>
    <row r="24" spans="1:10" x14ac:dyDescent="0.25">
      <c r="A24" s="167"/>
      <c r="B24" s="44" t="str">
        <f>A24&amp;"-"&amp;IF(DAY(Variables!$A$2)&lt;10,0,"")&amp;DAY(Variables!$A$2)</f>
        <v>-17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1" t="e">
        <f>VLOOKUP(B24,'Train Runs'!$A$13:$A$99988,1,FALSE)</f>
        <v>#N/A</v>
      </c>
    </row>
    <row r="25" spans="1:10" x14ac:dyDescent="0.25">
      <c r="A25" s="167"/>
      <c r="B25" s="44" t="str">
        <f>A25&amp;"-"&amp;IF(DAY(Variables!$A$2)&lt;10,0,"")&amp;DAY(Variables!$A$2)</f>
        <v>-17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1" t="e">
        <f>VLOOKUP(B25,'Train Runs'!$A$13:$A$99988,1,FALSE)</f>
        <v>#N/A</v>
      </c>
    </row>
    <row r="26" spans="1:10" x14ac:dyDescent="0.25">
      <c r="A26" s="167"/>
      <c r="B26" s="44" t="str">
        <f>A26&amp;"-"&amp;IF(DAY(Variables!$A$2)&lt;10,0,"")&amp;DAY(Variables!$A$2)</f>
        <v>-17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1" t="e">
        <f>VLOOKUP(B26,'Train Runs'!$A$13:$A$99988,1,FALSE)</f>
        <v>#N/A</v>
      </c>
    </row>
    <row r="27" spans="1:10" x14ac:dyDescent="0.25">
      <c r="A27" s="167"/>
      <c r="B27" s="44" t="str">
        <f>A27&amp;"-"&amp;IF(DAY(Variables!$A$2)&lt;10,0,"")&amp;DAY(Variables!$A$2)</f>
        <v>-17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1" t="e">
        <f>VLOOKUP(B27,'Train Runs'!$A$13:$A$99988,1,FALSE)</f>
        <v>#N/A</v>
      </c>
    </row>
    <row r="28" spans="1:10" x14ac:dyDescent="0.25">
      <c r="A28" s="167"/>
      <c r="B28" s="44" t="str">
        <f>A28&amp;"-"&amp;IF(DAY(Variables!$A$2)&lt;10,0,"")&amp;DAY(Variables!$A$2)</f>
        <v>-17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1" t="e">
        <f>VLOOKUP(B28,'Train Runs'!$A$13:$A$99988,1,FALSE)</f>
        <v>#N/A</v>
      </c>
    </row>
    <row r="29" spans="1:10" x14ac:dyDescent="0.25">
      <c r="A29" s="167"/>
      <c r="B29" s="44" t="str">
        <f>A29&amp;"-"&amp;IF(DAY(Variables!$A$2)&lt;10,0,"")&amp;DAY(Variables!$A$2)</f>
        <v>-17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1" t="e">
        <f>VLOOKUP(B29,'Train Runs'!$A$13:$A$99988,1,FALSE)</f>
        <v>#N/A</v>
      </c>
    </row>
    <row r="30" spans="1:10" x14ac:dyDescent="0.25">
      <c r="A30" s="167"/>
      <c r="B30" s="44" t="str">
        <f>A30&amp;"-"&amp;IF(DAY(Variables!$A$2)&lt;10,0,"")&amp;DAY(Variables!$A$2)</f>
        <v>-17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1" t="e">
        <f>VLOOKUP(B30,'Train Runs'!$A$13:$A$99988,1,FALSE)</f>
        <v>#N/A</v>
      </c>
    </row>
    <row r="31" spans="1:10" x14ac:dyDescent="0.25">
      <c r="A31" s="167"/>
      <c r="B31" s="44" t="str">
        <f>A31&amp;"-"&amp;IF(DAY(Variables!$A$2)&lt;10,0,"")&amp;DAY(Variables!$A$2)</f>
        <v>-17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1" t="e">
        <f>VLOOKUP(B31,'Train Runs'!$A$13:$A$99988,1,FALSE)</f>
        <v>#N/A</v>
      </c>
    </row>
    <row r="32" spans="1:10" x14ac:dyDescent="0.25">
      <c r="A32" s="167"/>
      <c r="B32" s="44" t="str">
        <f>A32&amp;"-"&amp;IF(DAY(Variables!$A$2)&lt;10,0,"")&amp;DAY(Variables!$A$2)</f>
        <v>-17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1" t="e">
        <f>VLOOKUP(B32,'Train Runs'!$A$13:$A$99988,1,FALSE)</f>
        <v>#N/A</v>
      </c>
    </row>
    <row r="33" spans="1:10" x14ac:dyDescent="0.25">
      <c r="A33" s="167"/>
      <c r="B33" s="44" t="str">
        <f>A33&amp;"-"&amp;IF(DAY(Variables!$A$2)&lt;10,0,"")&amp;DAY(Variables!$A$2)</f>
        <v>-17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1" t="e">
        <f>VLOOKUP(B33,'Train Runs'!$A$13:$A$99988,1,FALSE)</f>
        <v>#N/A</v>
      </c>
    </row>
    <row r="34" spans="1:10" x14ac:dyDescent="0.25">
      <c r="A34" s="167"/>
      <c r="B34" s="44" t="str">
        <f>A34&amp;"-"&amp;IF(DAY(Variables!$A$2)&lt;10,0,"")&amp;DAY(Variables!$A$2)</f>
        <v>-17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1" t="e">
        <f>VLOOKUP(B34,'Train Runs'!$A$13:$A$99988,1,FALSE)</f>
        <v>#N/A</v>
      </c>
    </row>
    <row r="35" spans="1:10" x14ac:dyDescent="0.25">
      <c r="A35" s="167"/>
      <c r="B35" s="44" t="str">
        <f>A35&amp;"-"&amp;IF(DAY(Variables!$A$2)&lt;10,0,"")&amp;DAY(Variables!$A$2)</f>
        <v>-17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1" t="e">
        <f>VLOOKUP(B35,'Train Runs'!$A$13:$A$99988,1,FALSE)</f>
        <v>#N/A</v>
      </c>
    </row>
    <row r="36" spans="1:10" x14ac:dyDescent="0.25">
      <c r="A36" s="167"/>
      <c r="B36" s="44" t="str">
        <f>A36&amp;"-"&amp;IF(DAY(Variables!$A$2)&lt;10,0,"")&amp;DAY(Variables!$A$2)</f>
        <v>-17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1" t="e">
        <f>VLOOKUP(B36,'Train Runs'!$A$13:$A$99988,1,FALSE)</f>
        <v>#N/A</v>
      </c>
    </row>
    <row r="37" spans="1:10" x14ac:dyDescent="0.25">
      <c r="A37" s="167"/>
      <c r="B37" s="44" t="str">
        <f>A37&amp;"-"&amp;IF(DAY(Variables!$A$2)&lt;10,0,"")&amp;DAY(Variables!$A$2)</f>
        <v>-17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1" t="e">
        <f>VLOOKUP(B37,'Train Runs'!$A$13:$A$99988,1,FALSE)</f>
        <v>#N/A</v>
      </c>
    </row>
    <row r="38" spans="1:10" x14ac:dyDescent="0.25">
      <c r="A38" s="167"/>
      <c r="B38" s="44" t="str">
        <f>A38&amp;"-"&amp;IF(DAY(Variables!$A$2)&lt;10,0,"")&amp;DAY(Variables!$A$2)</f>
        <v>-17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1" t="e">
        <f>VLOOKUP(B38,'Train Runs'!$A$13:$A$99988,1,FALSE)</f>
        <v>#N/A</v>
      </c>
    </row>
    <row r="39" spans="1:10" x14ac:dyDescent="0.25">
      <c r="A39" s="167"/>
      <c r="B39" s="44" t="str">
        <f>A39&amp;"-"&amp;IF(DAY(Variables!$A$2)&lt;10,0,"")&amp;DAY(Variables!$A$2)</f>
        <v>-17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1" t="e">
        <f>VLOOKUP(B39,'Train Runs'!$A$13:$A$99988,1,FALSE)</f>
        <v>#N/A</v>
      </c>
    </row>
    <row r="40" spans="1:10" x14ac:dyDescent="0.25">
      <c r="A40" s="167"/>
      <c r="B40" s="44" t="str">
        <f>A40&amp;"-"&amp;IF(DAY(Variables!$A$2)&lt;10,0,"")&amp;DAY(Variables!$A$2)</f>
        <v>-17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1" t="e">
        <f>VLOOKUP(B40,'Train Runs'!$A$13:$A$99988,1,FALSE)</f>
        <v>#N/A</v>
      </c>
    </row>
    <row r="41" spans="1:10" x14ac:dyDescent="0.25">
      <c r="A41" s="167"/>
      <c r="B41" s="44" t="str">
        <f>A41&amp;"-"&amp;IF(DAY(Variables!$A$2)&lt;10,0,"")&amp;DAY(Variables!$A$2)</f>
        <v>-17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1" t="e">
        <f>VLOOKUP(B41,'Train Runs'!$A$13:$A$99988,1,FALSE)</f>
        <v>#N/A</v>
      </c>
    </row>
    <row r="42" spans="1:10" x14ac:dyDescent="0.25">
      <c r="A42" s="167"/>
      <c r="B42" s="44" t="str">
        <f>A42&amp;"-"&amp;IF(DAY(Variables!$A$2)&lt;10,0,"")&amp;DAY(Variables!$A$2)</f>
        <v>-17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1" t="e">
        <f>VLOOKUP(B42,'Train Runs'!$A$13:$A$99988,1,FALSE)</f>
        <v>#N/A</v>
      </c>
    </row>
    <row r="43" spans="1:10" x14ac:dyDescent="0.25">
      <c r="A43" s="167"/>
      <c r="B43" s="44" t="str">
        <f>A43&amp;"-"&amp;IF(DAY(Variables!$A$2)&lt;10,0,"")&amp;DAY(Variables!$A$2)</f>
        <v>-17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1" t="e">
        <f>VLOOKUP(B43,'Train Runs'!$A$13:$A$99988,1,FALSE)</f>
        <v>#N/A</v>
      </c>
    </row>
    <row r="44" spans="1:10" x14ac:dyDescent="0.25">
      <c r="A44" s="167"/>
      <c r="B44" s="44" t="str">
        <f>A44&amp;"-"&amp;IF(DAY(Variables!$A$2)&lt;10,0,"")&amp;DAY(Variables!$A$2)</f>
        <v>-17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1" t="e">
        <f>VLOOKUP(B44,'Train Runs'!$A$13:$A$99988,1,FALSE)</f>
        <v>#N/A</v>
      </c>
    </row>
    <row r="45" spans="1:10" x14ac:dyDescent="0.25">
      <c r="A45" s="167"/>
      <c r="B45" s="44" t="str">
        <f>A45&amp;"-"&amp;IF(DAY(Variables!$A$2)&lt;10,0,"")&amp;DAY(Variables!$A$2)</f>
        <v>-17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1" t="e">
        <f>VLOOKUP(B45,'Train Runs'!$A$13:$A$99988,1,FALSE)</f>
        <v>#N/A</v>
      </c>
    </row>
    <row r="46" spans="1:10" x14ac:dyDescent="0.25">
      <c r="A46" s="167"/>
      <c r="B46" s="44" t="str">
        <f>A46&amp;"-"&amp;IF(DAY(Variables!$A$2)&lt;10,0,"")&amp;DAY(Variables!$A$2)</f>
        <v>-17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1" t="e">
        <f>VLOOKUP(B46,'Train Runs'!$A$13:$A$99988,1,FALSE)</f>
        <v>#N/A</v>
      </c>
    </row>
    <row r="47" spans="1:10" x14ac:dyDescent="0.25">
      <c r="A47" s="167"/>
      <c r="B47" s="44" t="str">
        <f>A47&amp;"-"&amp;IF(DAY(Variables!$A$2)&lt;10,0,"")&amp;DAY(Variables!$A$2)</f>
        <v>-17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1" t="e">
        <f>VLOOKUP(B47,'Train Runs'!$A$13:$A$99988,1,FALSE)</f>
        <v>#N/A</v>
      </c>
    </row>
    <row r="48" spans="1:10" x14ac:dyDescent="0.25">
      <c r="A48" s="167"/>
      <c r="B48" s="44" t="str">
        <f>A48&amp;"-"&amp;IF(DAY(Variables!$A$2)&lt;10,0,"")&amp;DAY(Variables!$A$2)</f>
        <v>-17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1" t="e">
        <f>VLOOKUP(B48,'Train Runs'!$A$13:$A$99988,1,FALSE)</f>
        <v>#N/A</v>
      </c>
    </row>
    <row r="49" spans="1:10" x14ac:dyDescent="0.25">
      <c r="A49" s="167"/>
      <c r="B49" s="44" t="str">
        <f>A49&amp;"-"&amp;IF(DAY(Variables!$A$2)&lt;10,0,"")&amp;DAY(Variables!$A$2)</f>
        <v>-17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1" t="e">
        <f>VLOOKUP(B49,'Train Runs'!$A$13:$A$99988,1,FALSE)</f>
        <v>#N/A</v>
      </c>
    </row>
    <row r="50" spans="1:10" x14ac:dyDescent="0.25">
      <c r="A50" s="167"/>
      <c r="B50" s="44" t="str">
        <f>A50&amp;"-"&amp;IF(DAY(Variables!$A$2)&lt;10,0,"")&amp;DAY(Variables!$A$2)</f>
        <v>-17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1" t="e">
        <f>VLOOKUP(B50,'Train Runs'!$A$13:$A$99988,1,FALSE)</f>
        <v>#N/A</v>
      </c>
    </row>
    <row r="51" spans="1:10" x14ac:dyDescent="0.25">
      <c r="A51" s="167"/>
      <c r="B51" s="44" t="str">
        <f>A51&amp;"-"&amp;IF(DAY(Variables!$A$2)&lt;10,0,"")&amp;DAY(Variables!$A$2)</f>
        <v>-17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1" t="e">
        <f>VLOOKUP(B51,'Train Runs'!$A$13:$A$99988,1,FALSE)</f>
        <v>#N/A</v>
      </c>
    </row>
    <row r="52" spans="1:10" x14ac:dyDescent="0.25">
      <c r="A52" s="167"/>
      <c r="B52" s="44" t="str">
        <f>A52&amp;"-"&amp;IF(DAY(Variables!$A$2)&lt;10,0,"")&amp;DAY(Variables!$A$2)</f>
        <v>-17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1" t="e">
        <f>VLOOKUP(B52,'Train Runs'!$A$13:$A$99988,1,FALSE)</f>
        <v>#N/A</v>
      </c>
    </row>
    <row r="53" spans="1:10" x14ac:dyDescent="0.25">
      <c r="A53" s="167"/>
      <c r="B53" s="44" t="str">
        <f>A53&amp;"-"&amp;IF(DAY(Variables!$A$2)&lt;10,0,"")&amp;DAY(Variables!$A$2)</f>
        <v>-17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1" t="e">
        <f>VLOOKUP(B53,'Train Runs'!$A$13:$A$99988,1,FALSE)</f>
        <v>#N/A</v>
      </c>
    </row>
    <row r="54" spans="1:10" x14ac:dyDescent="0.25">
      <c r="A54" s="167"/>
      <c r="B54" s="44" t="str">
        <f>A54&amp;"-"&amp;IF(DAY(Variables!$A$2)&lt;10,0,"")&amp;DAY(Variables!$A$2)</f>
        <v>-17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1" t="e">
        <f>VLOOKUP(B54,'Train Runs'!$A$13:$A$99988,1,FALSE)</f>
        <v>#N/A</v>
      </c>
    </row>
    <row r="55" spans="1:10" x14ac:dyDescent="0.25">
      <c r="A55" s="167"/>
      <c r="B55" s="44" t="str">
        <f>A55&amp;"-"&amp;IF(DAY(Variables!$A$2)&lt;10,0,"")&amp;DAY(Variables!$A$2)</f>
        <v>-17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1" t="e">
        <f>VLOOKUP(B55,'Train Runs'!$A$13:$A$99988,1,FALSE)</f>
        <v>#N/A</v>
      </c>
    </row>
    <row r="56" spans="1:10" x14ac:dyDescent="0.25">
      <c r="A56" s="167"/>
      <c r="B56" s="44" t="str">
        <f>A56&amp;"-"&amp;IF(DAY(Variables!$A$2)&lt;10,0,"")&amp;DAY(Variables!$A$2)</f>
        <v>-17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1" t="e">
        <f>VLOOKUP(B56,'Train Runs'!$A$13:$A$99988,1,FALSE)</f>
        <v>#N/A</v>
      </c>
    </row>
    <row r="57" spans="1:10" x14ac:dyDescent="0.25">
      <c r="A57" s="167"/>
      <c r="B57" s="44" t="str">
        <f>A57&amp;"-"&amp;IF(DAY(Variables!$A$2)&lt;10,0,"")&amp;DAY(Variables!$A$2)</f>
        <v>-17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1" t="e">
        <f>VLOOKUP(B57,'Train Runs'!$A$13:$A$99988,1,FALSE)</f>
        <v>#N/A</v>
      </c>
    </row>
    <row r="58" spans="1:10" x14ac:dyDescent="0.25">
      <c r="A58" s="167"/>
      <c r="B58" s="44" t="str">
        <f>A58&amp;"-"&amp;IF(DAY(Variables!$A$2)&lt;10,0,"")&amp;DAY(Variables!$A$2)</f>
        <v>-17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1" t="e">
        <f>VLOOKUP(B58,'Train Runs'!$A$13:$A$99988,1,FALSE)</f>
        <v>#N/A</v>
      </c>
    </row>
    <row r="59" spans="1:10" x14ac:dyDescent="0.25">
      <c r="A59" s="167"/>
      <c r="B59" s="44" t="str">
        <f>A59&amp;"-"&amp;IF(DAY(Variables!$A$2)&lt;10,0,"")&amp;DAY(Variables!$A$2)</f>
        <v>-17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1" t="e">
        <f>VLOOKUP(B59,'Train Runs'!$A$13:$A$99988,1,FALSE)</f>
        <v>#N/A</v>
      </c>
    </row>
    <row r="60" spans="1:10" x14ac:dyDescent="0.25">
      <c r="A60" s="167"/>
      <c r="B60" s="44" t="str">
        <f>A60&amp;"-"&amp;IF(DAY(Variables!$A$2)&lt;10,0,"")&amp;DAY(Variables!$A$2)</f>
        <v>-17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1" t="e">
        <f>VLOOKUP(B60,'Train Runs'!$A$13:$A$99988,1,FALSE)</f>
        <v>#N/A</v>
      </c>
    </row>
    <row r="61" spans="1:10" x14ac:dyDescent="0.25">
      <c r="A61" s="167"/>
      <c r="B61" s="44" t="str">
        <f>A61&amp;"-"&amp;IF(DAY(Variables!$A$2)&lt;10,0,"")&amp;DAY(Variables!$A$2)</f>
        <v>-17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1" t="e">
        <f>VLOOKUP(B61,'Train Runs'!$A$13:$A$99988,1,FALSE)</f>
        <v>#N/A</v>
      </c>
    </row>
    <row r="62" spans="1:10" x14ac:dyDescent="0.25">
      <c r="A62" s="167"/>
      <c r="B62" s="44" t="str">
        <f>A62&amp;"-"&amp;IF(DAY(Variables!$A$2)&lt;10,0,"")&amp;DAY(Variables!$A$2)</f>
        <v>-17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1" t="e">
        <f>VLOOKUP(B62,'Train Runs'!$A$13:$A$99988,1,FALSE)</f>
        <v>#N/A</v>
      </c>
    </row>
    <row r="63" spans="1:10" x14ac:dyDescent="0.25">
      <c r="A63" s="167"/>
      <c r="B63" s="44" t="str">
        <f>A63&amp;"-"&amp;IF(DAY(Variables!$A$2)&lt;10,0,"")&amp;DAY(Variables!$A$2)</f>
        <v>-17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1" t="e">
        <f>VLOOKUP(B63,'Train Runs'!$A$13:$A$99988,1,FALSE)</f>
        <v>#N/A</v>
      </c>
    </row>
    <row r="64" spans="1:10" x14ac:dyDescent="0.25">
      <c r="A64" s="167"/>
      <c r="B64" s="44" t="str">
        <f>A64&amp;"-"&amp;IF(DAY(Variables!$A$2)&lt;10,0,"")&amp;DAY(Variables!$A$2)</f>
        <v>-17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1" t="e">
        <f>VLOOKUP(B64,'Train Runs'!$A$13:$A$99988,1,FALSE)</f>
        <v>#N/A</v>
      </c>
    </row>
    <row r="65" spans="1:10" x14ac:dyDescent="0.25">
      <c r="A65" s="167"/>
      <c r="B65" s="44" t="str">
        <f>A65&amp;"-"&amp;IF(DAY(Variables!$A$2)&lt;10,0,"")&amp;DAY(Variables!$A$2)</f>
        <v>-17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1" t="e">
        <f>VLOOKUP(B65,'Train Runs'!$A$13:$A$99988,1,FALSE)</f>
        <v>#N/A</v>
      </c>
    </row>
    <row r="66" spans="1:10" x14ac:dyDescent="0.25">
      <c r="A66" s="167"/>
      <c r="B66" s="44" t="str">
        <f>A66&amp;"-"&amp;IF(DAY(Variables!$A$2)&lt;10,0,"")&amp;DAY(Variables!$A$2)</f>
        <v>-17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1" t="e">
        <f>VLOOKUP(B66,'Train Runs'!$A$13:$A$99988,1,FALSE)</f>
        <v>#N/A</v>
      </c>
    </row>
    <row r="67" spans="1:10" x14ac:dyDescent="0.25">
      <c r="A67" s="167"/>
      <c r="B67" s="44" t="str">
        <f>A67&amp;"-"&amp;IF(DAY(Variables!$A$2)&lt;10,0,"")&amp;DAY(Variables!$A$2)</f>
        <v>-17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ref="I67:I13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1" t="e">
        <f>VLOOKUP(B67,'Train Runs'!$A$13:$A$99988,1,FALSE)</f>
        <v>#N/A</v>
      </c>
    </row>
    <row r="68" spans="1:10" x14ac:dyDescent="0.25">
      <c r="A68" s="167"/>
      <c r="B68" s="44" t="str">
        <f>A68&amp;"-"&amp;IF(DAY(Variables!$A$2)&lt;10,0,"")&amp;DAY(Variables!$A$2)</f>
        <v>-17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1" t="e">
        <f>VLOOKUP(B68,'Train Runs'!$A$13:$A$99988,1,FALSE)</f>
        <v>#N/A</v>
      </c>
    </row>
    <row r="69" spans="1:10" x14ac:dyDescent="0.25">
      <c r="A69" s="167"/>
      <c r="B69" s="44" t="str">
        <f>A69&amp;"-"&amp;IF(DAY(Variables!$A$2)&lt;10,0,"")&amp;DAY(Variables!$A$2)</f>
        <v>-17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9" s="31" t="e">
        <f>VLOOKUP(B69,'Train Runs'!$A$13:$A$99988,1,FALSE)</f>
        <v>#N/A</v>
      </c>
    </row>
    <row r="70" spans="1:10" x14ac:dyDescent="0.25">
      <c r="A70" s="167"/>
      <c r="B70" s="44" t="str">
        <f>A70&amp;"-"&amp;IF(DAY(Variables!$A$2)&lt;10,0,"")&amp;DAY(Variables!$A$2)</f>
        <v>-17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0" s="31" t="e">
        <f>VLOOKUP(B70,'Train Runs'!$A$13:$A$99988,1,FALSE)</f>
        <v>#N/A</v>
      </c>
    </row>
    <row r="71" spans="1:10" x14ac:dyDescent="0.25">
      <c r="A71" s="167"/>
      <c r="B71" s="44" t="str">
        <f>A71&amp;"-"&amp;IF(DAY(Variables!$A$2)&lt;10,0,"")&amp;DAY(Variables!$A$2)</f>
        <v>-17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1" s="31" t="e">
        <f>VLOOKUP(B71,'Train Runs'!$A$13:$A$99988,1,FALSE)</f>
        <v>#N/A</v>
      </c>
    </row>
    <row r="72" spans="1:10" x14ac:dyDescent="0.25">
      <c r="A72" s="167"/>
      <c r="B72" s="44" t="str">
        <f>A72&amp;"-"&amp;IF(DAY(Variables!$A$2)&lt;10,0,"")&amp;DAY(Variables!$A$2)</f>
        <v>-17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2" s="31" t="e">
        <f>VLOOKUP(B72,'Train Runs'!$A$13:$A$99988,1,FALSE)</f>
        <v>#N/A</v>
      </c>
    </row>
    <row r="73" spans="1:10" x14ac:dyDescent="0.25">
      <c r="A73" s="167"/>
      <c r="B73" s="44" t="str">
        <f>A73&amp;"-"&amp;IF(DAY(Variables!$A$2)&lt;10,0,"")&amp;DAY(Variables!$A$2)</f>
        <v>-17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3" s="31" t="e">
        <f>VLOOKUP(B73,'Train Runs'!$A$13:$A$99988,1,FALSE)</f>
        <v>#N/A</v>
      </c>
    </row>
    <row r="74" spans="1:10" x14ac:dyDescent="0.25">
      <c r="A74" s="167"/>
      <c r="B74" s="44" t="str">
        <f>A74&amp;"-"&amp;IF(DAY(Variables!$A$2)&lt;10,0,"")&amp;DAY(Variables!$A$2)</f>
        <v>-17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4" s="31" t="e">
        <f>VLOOKUP(B74,'Train Runs'!$A$13:$A$99988,1,FALSE)</f>
        <v>#N/A</v>
      </c>
    </row>
    <row r="75" spans="1:10" x14ac:dyDescent="0.25">
      <c r="A75" s="167"/>
      <c r="B75" s="44" t="str">
        <f>A75&amp;"-"&amp;IF(DAY(Variables!$A$2)&lt;10,0,"")&amp;DAY(Variables!$A$2)</f>
        <v>-17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5" s="31" t="e">
        <f>VLOOKUP(B75,'Train Runs'!$A$13:$A$99988,1,FALSE)</f>
        <v>#N/A</v>
      </c>
    </row>
    <row r="76" spans="1:10" x14ac:dyDescent="0.25">
      <c r="A76" s="167"/>
      <c r="B76" s="44" t="str">
        <f>A76&amp;"-"&amp;IF(DAY(Variables!$A$2)&lt;10,0,"")&amp;DAY(Variables!$A$2)</f>
        <v>-17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6" s="31" t="e">
        <f>VLOOKUP(B76,'Train Runs'!$A$13:$A$99988,1,FALSE)</f>
        <v>#N/A</v>
      </c>
    </row>
    <row r="77" spans="1:10" x14ac:dyDescent="0.25">
      <c r="A77" s="167"/>
      <c r="B77" s="44" t="str">
        <f>A77&amp;"-"&amp;IF(DAY(Variables!$A$2)&lt;10,0,"")&amp;DAY(Variables!$A$2)</f>
        <v>-17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7" s="31" t="e">
        <f>VLOOKUP(B77,'Train Runs'!$A$13:$A$99988,1,FALSE)</f>
        <v>#N/A</v>
      </c>
    </row>
    <row r="78" spans="1:10" x14ac:dyDescent="0.25">
      <c r="A78" s="167"/>
      <c r="B78" s="44" t="str">
        <f>A78&amp;"-"&amp;IF(DAY(Variables!$A$2)&lt;10,0,"")&amp;DAY(Variables!$A$2)</f>
        <v>-17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8" s="31" t="e">
        <f>VLOOKUP(B78,'Train Runs'!$A$13:$A$99988,1,FALSE)</f>
        <v>#N/A</v>
      </c>
    </row>
    <row r="79" spans="1:10" x14ac:dyDescent="0.25">
      <c r="A79" s="167"/>
      <c r="B79" s="44" t="str">
        <f>A79&amp;"-"&amp;IF(DAY(Variables!$A$2)&lt;10,0,"")&amp;DAY(Variables!$A$2)</f>
        <v>-17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9" s="31" t="e">
        <f>VLOOKUP(B79,'Train Runs'!$A$13:$A$99988,1,FALSE)</f>
        <v>#N/A</v>
      </c>
    </row>
    <row r="80" spans="1:10" x14ac:dyDescent="0.25">
      <c r="A80" s="167"/>
      <c r="B80" s="44" t="str">
        <f>A80&amp;"-"&amp;IF(DAY(Variables!$A$2)&lt;10,0,"")&amp;DAY(Variables!$A$2)</f>
        <v>-17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0" s="31" t="e">
        <f>VLOOKUP(B80,'Train Runs'!$A$13:$A$99988,1,FALSE)</f>
        <v>#N/A</v>
      </c>
    </row>
    <row r="81" spans="1:10" x14ac:dyDescent="0.25">
      <c r="A81" s="167"/>
      <c r="B81" s="44" t="str">
        <f>A81&amp;"-"&amp;IF(DAY(Variables!$A$2)&lt;10,0,"")&amp;DAY(Variables!$A$2)</f>
        <v>-17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1" s="31" t="e">
        <f>VLOOKUP(B81,'Train Runs'!$A$13:$A$99988,1,FALSE)</f>
        <v>#N/A</v>
      </c>
    </row>
    <row r="82" spans="1:10" x14ac:dyDescent="0.25">
      <c r="A82" s="167"/>
      <c r="B82" s="44" t="str">
        <f>A82&amp;"-"&amp;IF(DAY(Variables!$A$2)&lt;10,0,"")&amp;DAY(Variables!$A$2)</f>
        <v>-17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2" s="31" t="e">
        <f>VLOOKUP(B82,'Train Runs'!$A$13:$A$99988,1,FALSE)</f>
        <v>#N/A</v>
      </c>
    </row>
    <row r="83" spans="1:10" x14ac:dyDescent="0.25">
      <c r="A83" s="167"/>
      <c r="B83" s="44" t="str">
        <f>A83&amp;"-"&amp;IF(DAY(Variables!$A$2)&lt;10,0,"")&amp;DAY(Variables!$A$2)</f>
        <v>-17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3" s="31" t="e">
        <f>VLOOKUP(B83,'Train Runs'!$A$13:$A$99988,1,FALSE)</f>
        <v>#N/A</v>
      </c>
    </row>
    <row r="84" spans="1:10" x14ac:dyDescent="0.25">
      <c r="A84" s="167"/>
      <c r="B84" s="44" t="str">
        <f>A84&amp;"-"&amp;IF(DAY(Variables!$A$2)&lt;10,0,"")&amp;DAY(Variables!$A$2)</f>
        <v>-17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4" s="31" t="e">
        <f>VLOOKUP(B84,'Train Runs'!$A$13:$A$99988,1,FALSE)</f>
        <v>#N/A</v>
      </c>
    </row>
    <row r="85" spans="1:10" x14ac:dyDescent="0.25">
      <c r="A85" s="167"/>
      <c r="B85" s="44" t="str">
        <f>A85&amp;"-"&amp;IF(DAY(Variables!$A$2)&lt;10,0,"")&amp;DAY(Variables!$A$2)</f>
        <v>-17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5" s="31" t="e">
        <f>VLOOKUP(B85,'Train Runs'!$A$13:$A$99988,1,FALSE)</f>
        <v>#N/A</v>
      </c>
    </row>
    <row r="86" spans="1:10" x14ac:dyDescent="0.25">
      <c r="A86" s="167"/>
      <c r="B86" s="44" t="str">
        <f>A86&amp;"-"&amp;IF(DAY(Variables!$A$2)&lt;10,0,"")&amp;DAY(Variables!$A$2)</f>
        <v>-17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6" s="31" t="e">
        <f>VLOOKUP(B86,'Train Runs'!$A$13:$A$99988,1,FALSE)</f>
        <v>#N/A</v>
      </c>
    </row>
    <row r="87" spans="1:10" x14ac:dyDescent="0.25">
      <c r="A87" s="167"/>
      <c r="B87" s="44" t="str">
        <f>A87&amp;"-"&amp;IF(DAY(Variables!$A$2)&lt;10,0,"")&amp;DAY(Variables!$A$2)</f>
        <v>-17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7" s="31" t="e">
        <f>VLOOKUP(B87,'Train Runs'!$A$13:$A$99988,1,FALSE)</f>
        <v>#N/A</v>
      </c>
    </row>
    <row r="88" spans="1:10" x14ac:dyDescent="0.25">
      <c r="A88" s="167"/>
      <c r="B88" s="44" t="str">
        <f>A88&amp;"-"&amp;IF(DAY(Variables!$A$2)&lt;10,0,"")&amp;DAY(Variables!$A$2)</f>
        <v>-17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8" s="31" t="e">
        <f>VLOOKUP(B88,'Train Runs'!$A$13:$A$99988,1,FALSE)</f>
        <v>#N/A</v>
      </c>
    </row>
    <row r="89" spans="1:10" x14ac:dyDescent="0.25">
      <c r="A89" s="167"/>
      <c r="B89" s="44" t="str">
        <f>A89&amp;"-"&amp;IF(DAY(Variables!$A$2)&lt;10,0,"")&amp;DAY(Variables!$A$2)</f>
        <v>-17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9" s="31" t="e">
        <f>VLOOKUP(B89,'Train Runs'!$A$13:$A$99988,1,FALSE)</f>
        <v>#N/A</v>
      </c>
    </row>
    <row r="90" spans="1:10" x14ac:dyDescent="0.25">
      <c r="A90" s="167"/>
      <c r="B90" s="44" t="str">
        <f>A90&amp;"-"&amp;IF(DAY(Variables!$A$2)&lt;10,0,"")&amp;DAY(Variables!$A$2)</f>
        <v>-17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0" s="31" t="e">
        <f>VLOOKUP(B90,'Train Runs'!$A$13:$A$99988,1,FALSE)</f>
        <v>#N/A</v>
      </c>
    </row>
    <row r="91" spans="1:10" x14ac:dyDescent="0.25">
      <c r="A91" s="167"/>
      <c r="B91" s="44" t="str">
        <f>A91&amp;"-"&amp;IF(DAY(Variables!$A$2)&lt;10,0,"")&amp;DAY(Variables!$A$2)</f>
        <v>-17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1" s="31" t="e">
        <f>VLOOKUP(B91,'Train Runs'!$A$13:$A$99988,1,FALSE)</f>
        <v>#N/A</v>
      </c>
    </row>
    <row r="92" spans="1:10" x14ac:dyDescent="0.25">
      <c r="A92" s="167"/>
      <c r="B92" s="44" t="str">
        <f>A92&amp;"-"&amp;IF(DAY(Variables!$A$2)&lt;10,0,"")&amp;DAY(Variables!$A$2)</f>
        <v>-17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2" s="31" t="e">
        <f>VLOOKUP(B92,'Train Runs'!$A$13:$A$99988,1,FALSE)</f>
        <v>#N/A</v>
      </c>
    </row>
    <row r="93" spans="1:10" x14ac:dyDescent="0.25">
      <c r="A93" s="167"/>
      <c r="B93" s="44" t="str">
        <f>A93&amp;"-"&amp;IF(DAY(Variables!$A$2)&lt;10,0,"")&amp;DAY(Variables!$A$2)</f>
        <v>-17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3" s="31" t="e">
        <f>VLOOKUP(B93,'Train Runs'!$A$13:$A$99988,1,FALSE)</f>
        <v>#N/A</v>
      </c>
    </row>
    <row r="94" spans="1:10" x14ac:dyDescent="0.25">
      <c r="A94" s="167"/>
      <c r="B94" s="44" t="str">
        <f>A94&amp;"-"&amp;IF(DAY(Variables!$A$2)&lt;10,0,"")&amp;DAY(Variables!$A$2)</f>
        <v>-17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4" s="31" t="e">
        <f>VLOOKUP(B94,'Train Runs'!$A$13:$A$99988,1,FALSE)</f>
        <v>#N/A</v>
      </c>
    </row>
    <row r="95" spans="1:10" x14ac:dyDescent="0.25">
      <c r="A95" s="167"/>
      <c r="B95" s="44" t="str">
        <f>A95&amp;"-"&amp;IF(DAY(Variables!$A$2)&lt;10,0,"")&amp;DAY(Variables!$A$2)</f>
        <v>-17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5" s="31" t="e">
        <f>VLOOKUP(B95,'Train Runs'!$A$13:$A$99988,1,FALSE)</f>
        <v>#N/A</v>
      </c>
    </row>
    <row r="96" spans="1:10" x14ac:dyDescent="0.25">
      <c r="A96" s="167"/>
      <c r="B96" s="44" t="str">
        <f>A96&amp;"-"&amp;IF(DAY(Variables!$A$2)&lt;10,0,"")&amp;DAY(Variables!$A$2)</f>
        <v>-17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6" s="31" t="e">
        <f>VLOOKUP(B96,'Train Runs'!$A$13:$A$99988,1,FALSE)</f>
        <v>#N/A</v>
      </c>
    </row>
    <row r="97" spans="1:10" x14ac:dyDescent="0.25">
      <c r="A97" s="167"/>
      <c r="B97" s="44" t="str">
        <f>A97&amp;"-"&amp;IF(DAY(Variables!$A$2)&lt;10,0,"")&amp;DAY(Variables!$A$2)</f>
        <v>-17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7" s="31" t="e">
        <f>VLOOKUP(B97,'Train Runs'!$A$13:$A$99988,1,FALSE)</f>
        <v>#N/A</v>
      </c>
    </row>
    <row r="98" spans="1:10" x14ac:dyDescent="0.25">
      <c r="A98" s="167"/>
      <c r="B98" s="44" t="str">
        <f>A98&amp;"-"&amp;IF(DAY(Variables!$A$2)&lt;10,0,"")&amp;DAY(Variables!$A$2)</f>
        <v>-17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8" s="31" t="e">
        <f>VLOOKUP(B98,'Train Runs'!$A$13:$A$99988,1,FALSE)</f>
        <v>#N/A</v>
      </c>
    </row>
    <row r="99" spans="1:10" x14ac:dyDescent="0.25">
      <c r="A99" s="167"/>
      <c r="B99" s="44" t="str">
        <f>A99&amp;"-"&amp;IF(DAY(Variables!$A$2)&lt;10,0,"")&amp;DAY(Variables!$A$2)</f>
        <v>-17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9" s="31" t="e">
        <f>VLOOKUP(B99,'Train Runs'!$A$13:$A$99988,1,FALSE)</f>
        <v>#N/A</v>
      </c>
    </row>
    <row r="100" spans="1:10" x14ac:dyDescent="0.25">
      <c r="A100" s="167"/>
      <c r="B100" s="44" t="str">
        <f>A100&amp;"-"&amp;IF(DAY(Variables!$A$2)&lt;10,0,"")&amp;DAY(Variables!$A$2)</f>
        <v>-17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0" s="31" t="e">
        <f>VLOOKUP(B100,'Train Runs'!$A$13:$A$99988,1,FALSE)</f>
        <v>#N/A</v>
      </c>
    </row>
    <row r="101" spans="1:10" x14ac:dyDescent="0.25">
      <c r="A101" s="167"/>
      <c r="B101" s="44" t="str">
        <f>A101&amp;"-"&amp;IF(DAY(Variables!$A$2)&lt;10,0,"")&amp;DAY(Variables!$A$2)</f>
        <v>-17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1" s="31" t="e">
        <f>VLOOKUP(B101,'Train Runs'!$A$13:$A$99988,1,FALSE)</f>
        <v>#N/A</v>
      </c>
    </row>
    <row r="102" spans="1:10" x14ac:dyDescent="0.25">
      <c r="A102" s="167"/>
      <c r="B102" s="44" t="str">
        <f>A102&amp;"-"&amp;IF(DAY(Variables!$A$2)&lt;10,0,"")&amp;DAY(Variables!$A$2)</f>
        <v>-17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2" s="31" t="e">
        <f>VLOOKUP(B102,'Train Runs'!$A$13:$A$99988,1,FALSE)</f>
        <v>#N/A</v>
      </c>
    </row>
    <row r="103" spans="1:10" x14ac:dyDescent="0.25">
      <c r="A103" s="167"/>
      <c r="B103" s="44" t="str">
        <f>A103&amp;"-"&amp;IF(DAY(Variables!$A$2)&lt;10,0,"")&amp;DAY(Variables!$A$2)</f>
        <v>-17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3" s="31" t="e">
        <f>VLOOKUP(B103,'Train Runs'!$A$13:$A$99988,1,FALSE)</f>
        <v>#N/A</v>
      </c>
    </row>
    <row r="104" spans="1:10" x14ac:dyDescent="0.25">
      <c r="A104" s="167"/>
      <c r="B104" s="44" t="str">
        <f>A104&amp;"-"&amp;IF(DAY(Variables!$A$2)&lt;10,0,"")&amp;DAY(Variables!$A$2)</f>
        <v>-17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4" s="31" t="e">
        <f>VLOOKUP(B104,'Train Runs'!$A$13:$A$99988,1,FALSE)</f>
        <v>#N/A</v>
      </c>
    </row>
    <row r="105" spans="1:10" x14ac:dyDescent="0.25">
      <c r="A105" s="167"/>
      <c r="B105" s="44" t="str">
        <f>A105&amp;"-"&amp;IF(DAY(Variables!$A$2)&lt;10,0,"")&amp;DAY(Variables!$A$2)</f>
        <v>-17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5" s="31" t="e">
        <f>VLOOKUP(B105,'Train Runs'!$A$13:$A$99988,1,FALSE)</f>
        <v>#N/A</v>
      </c>
    </row>
    <row r="106" spans="1:10" x14ac:dyDescent="0.25">
      <c r="A106" s="167"/>
      <c r="B106" s="44" t="str">
        <f>A106&amp;"-"&amp;IF(DAY(Variables!$A$2)&lt;10,0,"")&amp;DAY(Variables!$A$2)</f>
        <v>-17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6" s="31" t="e">
        <f>VLOOKUP(B106,'Train Runs'!$A$13:$A$99988,1,FALSE)</f>
        <v>#N/A</v>
      </c>
    </row>
    <row r="107" spans="1:10" x14ac:dyDescent="0.25">
      <c r="A107" s="167"/>
      <c r="B107" s="44" t="str">
        <f>A107&amp;"-"&amp;IF(DAY(Variables!$A$2)&lt;10,0,"")&amp;DAY(Variables!$A$2)</f>
        <v>-17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7" s="31" t="e">
        <f>VLOOKUP(B107,'Train Runs'!$A$13:$A$99988,1,FALSE)</f>
        <v>#N/A</v>
      </c>
    </row>
    <row r="108" spans="1:10" x14ac:dyDescent="0.25">
      <c r="A108" s="167"/>
      <c r="B108" s="44" t="str">
        <f>A108&amp;"-"&amp;IF(DAY(Variables!$A$2)&lt;10,0,"")&amp;DAY(Variables!$A$2)</f>
        <v>-17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8" s="31" t="e">
        <f>VLOOKUP(B108,'Train Runs'!$A$13:$A$99988,1,FALSE)</f>
        <v>#N/A</v>
      </c>
    </row>
    <row r="109" spans="1:10" x14ac:dyDescent="0.25">
      <c r="A109" s="167"/>
      <c r="B109" s="44" t="str">
        <f>A109&amp;"-"&amp;IF(DAY(Variables!$A$2)&lt;10,0,"")&amp;DAY(Variables!$A$2)</f>
        <v>-17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9" s="31" t="e">
        <f>VLOOKUP(B109,'Train Runs'!$A$13:$A$99988,1,FALSE)</f>
        <v>#N/A</v>
      </c>
    </row>
    <row r="110" spans="1:10" x14ac:dyDescent="0.25">
      <c r="A110" s="167"/>
      <c r="B110" s="44" t="str">
        <f>A110&amp;"-"&amp;IF(DAY(Variables!$A$2)&lt;10,0,"")&amp;DAY(Variables!$A$2)</f>
        <v>-17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0" s="31" t="e">
        <f>VLOOKUP(B110,'Train Runs'!$A$13:$A$99988,1,FALSE)</f>
        <v>#N/A</v>
      </c>
    </row>
    <row r="111" spans="1:10" x14ac:dyDescent="0.25">
      <c r="A111" s="167"/>
      <c r="B111" s="44" t="str">
        <f>A111&amp;"-"&amp;IF(DAY(Variables!$A$2)&lt;10,0,"")&amp;DAY(Variables!$A$2)</f>
        <v>-17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1" s="31" t="e">
        <f>VLOOKUP(B111,'Train Runs'!$A$13:$A$99988,1,FALSE)</f>
        <v>#N/A</v>
      </c>
    </row>
    <row r="112" spans="1:10" x14ac:dyDescent="0.25">
      <c r="A112" s="167"/>
      <c r="B112" s="44" t="str">
        <f>A112&amp;"-"&amp;IF(DAY(Variables!$A$2)&lt;10,0,"")&amp;DAY(Variables!$A$2)</f>
        <v>-17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2" s="31" t="e">
        <f>VLOOKUP(B112,'Train Runs'!$A$13:$A$99988,1,FALSE)</f>
        <v>#N/A</v>
      </c>
    </row>
    <row r="113" spans="1:10" x14ac:dyDescent="0.25">
      <c r="A113" s="167"/>
      <c r="B113" s="44" t="str">
        <f>A113&amp;"-"&amp;IF(DAY(Variables!$A$2)&lt;10,0,"")&amp;DAY(Variables!$A$2)</f>
        <v>-17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3" s="31" t="e">
        <f>VLOOKUP(B113,'Train Runs'!$A$13:$A$99988,1,FALSE)</f>
        <v>#N/A</v>
      </c>
    </row>
    <row r="114" spans="1:10" x14ac:dyDescent="0.25">
      <c r="A114" s="167"/>
      <c r="B114" s="44" t="str">
        <f>A114&amp;"-"&amp;IF(DAY(Variables!$A$2)&lt;10,0,"")&amp;DAY(Variables!$A$2)</f>
        <v>-17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4" s="31" t="e">
        <f>VLOOKUP(B114,'Train Runs'!$A$13:$A$99988,1,FALSE)</f>
        <v>#N/A</v>
      </c>
    </row>
    <row r="115" spans="1:10" x14ac:dyDescent="0.25">
      <c r="A115" s="167"/>
      <c r="B115" s="44" t="str">
        <f>A115&amp;"-"&amp;IF(DAY(Variables!$A$2)&lt;10,0,"")&amp;DAY(Variables!$A$2)</f>
        <v>-17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5" s="31" t="e">
        <f>VLOOKUP(B115,'Train Runs'!$A$13:$A$99988,1,FALSE)</f>
        <v>#N/A</v>
      </c>
    </row>
    <row r="116" spans="1:10" x14ac:dyDescent="0.25">
      <c r="A116" s="167"/>
      <c r="B116" s="44" t="str">
        <f>A116&amp;"-"&amp;IF(DAY(Variables!$A$2)&lt;10,0,"")&amp;DAY(Variables!$A$2)</f>
        <v>-17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6" s="31" t="e">
        <f>VLOOKUP(B116,'Train Runs'!$A$13:$A$99988,1,FALSE)</f>
        <v>#N/A</v>
      </c>
    </row>
    <row r="117" spans="1:10" x14ac:dyDescent="0.25">
      <c r="A117" s="167"/>
      <c r="B117" s="44" t="str">
        <f>A117&amp;"-"&amp;IF(DAY(Variables!$A$2)&lt;10,0,"")&amp;DAY(Variables!$A$2)</f>
        <v>-17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7" s="31" t="e">
        <f>VLOOKUP(B117,'Train Runs'!$A$13:$A$99988,1,FALSE)</f>
        <v>#N/A</v>
      </c>
    </row>
    <row r="118" spans="1:10" x14ac:dyDescent="0.25">
      <c r="A118" s="167"/>
      <c r="B118" s="44" t="str">
        <f>A118&amp;"-"&amp;IF(DAY(Variables!$A$2)&lt;10,0,"")&amp;DAY(Variables!$A$2)</f>
        <v>-17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8" s="31" t="e">
        <f>VLOOKUP(B118,'Train Runs'!$A$13:$A$99988,1,FALSE)</f>
        <v>#N/A</v>
      </c>
    </row>
    <row r="119" spans="1:10" x14ac:dyDescent="0.25">
      <c r="A119" s="167"/>
      <c r="B119" s="44" t="str">
        <f>A119&amp;"-"&amp;IF(DAY(Variables!$A$2)&lt;10,0,"")&amp;DAY(Variables!$A$2)</f>
        <v>-17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9" s="31" t="e">
        <f>VLOOKUP(B119,'Train Runs'!$A$13:$A$99988,1,FALSE)</f>
        <v>#N/A</v>
      </c>
    </row>
    <row r="120" spans="1:10" x14ac:dyDescent="0.25">
      <c r="A120" s="167"/>
      <c r="B120" s="44" t="str">
        <f>A120&amp;"-"&amp;IF(DAY(Variables!$A$2)&lt;10,0,"")&amp;DAY(Variables!$A$2)</f>
        <v>-17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0" s="31" t="e">
        <f>VLOOKUP(B120,'Train Runs'!$A$13:$A$99988,1,FALSE)</f>
        <v>#N/A</v>
      </c>
    </row>
    <row r="121" spans="1:10" x14ac:dyDescent="0.25">
      <c r="A121" s="167"/>
      <c r="B121" s="44" t="str">
        <f>A121&amp;"-"&amp;IF(DAY(Variables!$A$2)&lt;10,0,"")&amp;DAY(Variables!$A$2)</f>
        <v>-17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1" s="31" t="e">
        <f>VLOOKUP(B121,'Train Runs'!$A$13:$A$99988,1,FALSE)</f>
        <v>#N/A</v>
      </c>
    </row>
    <row r="122" spans="1:10" x14ac:dyDescent="0.25">
      <c r="A122" s="167"/>
      <c r="B122" s="44" t="str">
        <f>A122&amp;"-"&amp;IF(DAY(Variables!$A$2)&lt;10,0,"")&amp;DAY(Variables!$A$2)</f>
        <v>-17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2" s="31" t="e">
        <f>VLOOKUP(B122,'Train Runs'!$A$13:$A$99988,1,FALSE)</f>
        <v>#N/A</v>
      </c>
    </row>
    <row r="123" spans="1:10" x14ac:dyDescent="0.25">
      <c r="A123" s="167"/>
      <c r="B123" s="44" t="str">
        <f>A123&amp;"-"&amp;IF(DAY(Variables!$A$2)&lt;10,0,"")&amp;DAY(Variables!$A$2)</f>
        <v>-17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3" s="31" t="e">
        <f>VLOOKUP(B123,'Train Runs'!$A$13:$A$99988,1,FALSE)</f>
        <v>#N/A</v>
      </c>
    </row>
    <row r="124" spans="1:10" x14ac:dyDescent="0.25">
      <c r="A124" s="167"/>
      <c r="B124" s="44" t="str">
        <f>A124&amp;"-"&amp;IF(DAY(Variables!$A$2)&lt;10,0,"")&amp;DAY(Variables!$A$2)</f>
        <v>-17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4" s="31" t="e">
        <f>VLOOKUP(B124,'Train Runs'!$A$13:$A$99988,1,FALSE)</f>
        <v>#N/A</v>
      </c>
    </row>
    <row r="125" spans="1:10" x14ac:dyDescent="0.25">
      <c r="A125" s="167"/>
      <c r="B125" s="44" t="str">
        <f>A125&amp;"-"&amp;IF(DAY(Variables!$A$2)&lt;10,0,"")&amp;DAY(Variables!$A$2)</f>
        <v>-17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5" s="31" t="e">
        <f>VLOOKUP(B125,'Train Runs'!$A$13:$A$99988,1,FALSE)</f>
        <v>#N/A</v>
      </c>
    </row>
    <row r="126" spans="1:10" x14ac:dyDescent="0.25">
      <c r="A126" s="167"/>
      <c r="B126" s="44" t="str">
        <f>A126&amp;"-"&amp;IF(DAY(Variables!$A$2)&lt;10,0,"")&amp;DAY(Variables!$A$2)</f>
        <v>-17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6" s="31" t="e">
        <f>VLOOKUP(B126,'Train Runs'!$A$13:$A$99988,1,FALSE)</f>
        <v>#N/A</v>
      </c>
    </row>
    <row r="127" spans="1:10" x14ac:dyDescent="0.25">
      <c r="A127" s="167"/>
      <c r="B127" s="44" t="str">
        <f>A127&amp;"-"&amp;IF(DAY(Variables!$A$2)&lt;10,0,"")&amp;DAY(Variables!$A$2)</f>
        <v>-17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7" s="31" t="e">
        <f>VLOOKUP(B127,'Train Runs'!$A$13:$A$99988,1,FALSE)</f>
        <v>#N/A</v>
      </c>
    </row>
    <row r="128" spans="1:10" x14ac:dyDescent="0.25">
      <c r="A128" s="167"/>
      <c r="B128" s="44" t="str">
        <f>A128&amp;"-"&amp;IF(DAY(Variables!$A$2)&lt;10,0,"")&amp;DAY(Variables!$A$2)</f>
        <v>-17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8" s="31" t="e">
        <f>VLOOKUP(B128,'Train Runs'!$A$13:$A$99988,1,FALSE)</f>
        <v>#N/A</v>
      </c>
    </row>
    <row r="129" spans="1:10" x14ac:dyDescent="0.25">
      <c r="A129" s="167"/>
      <c r="B129" s="44" t="str">
        <f>A129&amp;"-"&amp;IF(DAY(Variables!$A$2)&lt;10,0,"")&amp;DAY(Variables!$A$2)</f>
        <v>-17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9" s="31" t="e">
        <f>VLOOKUP(B129,'Train Runs'!$A$13:$A$99988,1,FALSE)</f>
        <v>#N/A</v>
      </c>
    </row>
    <row r="130" spans="1:10" x14ac:dyDescent="0.25">
      <c r="A130" s="167"/>
      <c r="B130" s="44" t="str">
        <f>A130&amp;"-"&amp;IF(DAY(Variables!$A$2)&lt;10,0,"")&amp;DAY(Variables!$A$2)</f>
        <v>-17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0" s="31" t="e">
        <f>VLOOKUP(B130,'Train Runs'!$A$13:$A$99988,1,FALSE)</f>
        <v>#N/A</v>
      </c>
    </row>
    <row r="131" spans="1:10" x14ac:dyDescent="0.25">
      <c r="A131" s="167"/>
      <c r="B131" s="44" t="str">
        <f>A131&amp;"-"&amp;IF(DAY(Variables!$A$2)&lt;10,0,"")&amp;DAY(Variables!$A$2)</f>
        <v>-17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ref="I131:I13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1" s="31" t="e">
        <f>VLOOKUP(B131,'Train Runs'!$A$13:$A$99988,1,FALSE)</f>
        <v>#N/A</v>
      </c>
    </row>
    <row r="132" spans="1:10" x14ac:dyDescent="0.25">
      <c r="A132" s="167"/>
      <c r="B132" s="44" t="str">
        <f>A132&amp;"-"&amp;IF(DAY(Variables!$A$2)&lt;10,0,"")&amp;DAY(Variables!$A$2)</f>
        <v>-17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2" s="31" t="e">
        <f>VLOOKUP(B132,'Train Runs'!$A$13:$A$99988,1,FALSE)</f>
        <v>#N/A</v>
      </c>
    </row>
    <row r="133" spans="1:10" x14ac:dyDescent="0.25">
      <c r="A133" s="167"/>
      <c r="B133" s="44" t="str">
        <f>A133&amp;"-"&amp;IF(DAY(Variables!$A$2)&lt;10,0,"")&amp;DAY(Variables!$A$2)</f>
        <v>-17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3" s="31" t="e">
        <f>VLOOKUP(B133,'Train Runs'!$A$13:$A$99988,1,FALSE)</f>
        <v>#N/A</v>
      </c>
    </row>
    <row r="134" spans="1:10" x14ac:dyDescent="0.25">
      <c r="A134" s="167"/>
      <c r="B134" s="44" t="str">
        <f>A134&amp;"-"&amp;IF(DAY(Variables!$A$2)&lt;10,0,"")&amp;DAY(Variables!$A$2)</f>
        <v>-17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4" s="31" t="e">
        <f>VLOOKUP(B134,'Train Runs'!$A$13:$A$99988,1,FALSE)</f>
        <v>#N/A</v>
      </c>
    </row>
    <row r="135" spans="1:10" x14ac:dyDescent="0.25">
      <c r="A135" s="167"/>
      <c r="B135" s="44" t="str">
        <f>A135&amp;"-"&amp;IF(DAY(Variables!$A$2)&lt;10,0,"")&amp;DAY(Variables!$A$2)</f>
        <v>-17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5" s="31" t="e">
        <f>VLOOKUP(B135,'Train Runs'!$A$13:$A$99988,1,FALSE)</f>
        <v>#N/A</v>
      </c>
    </row>
    <row r="136" spans="1:10" x14ac:dyDescent="0.25">
      <c r="A136" s="167"/>
      <c r="B136" s="44" t="str">
        <f>A136&amp;"-"&amp;IF(DAY(Variables!$A$2)&lt;10,0,"")&amp;DAY(Variables!$A$2)</f>
        <v>-17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6" s="31" t="e">
        <f>VLOOKUP(B136,'Train Runs'!$A$13:$A$99988,1,FALSE)</f>
        <v>#N/A</v>
      </c>
    </row>
    <row r="137" spans="1:10" x14ac:dyDescent="0.25">
      <c r="A137" s="167"/>
      <c r="B137" s="44" t="str">
        <f>A137&amp;"-"&amp;IF(DAY(Variables!$A$2)&lt;10,0,"")&amp;DAY(Variables!$A$2)</f>
        <v>-17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7" s="31" t="e">
        <f>VLOOKUP(B137,'Train Runs'!$A$13:$A$99988,1,FALSE)</f>
        <v>#N/A</v>
      </c>
    </row>
  </sheetData>
  <autoFilter ref="A2:J137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233</v>
      </c>
      <c r="G1" s="8" t="s">
        <v>232</v>
      </c>
    </row>
    <row r="2" spans="1:7" x14ac:dyDescent="0.25">
      <c r="A2" s="8">
        <v>42752.0315162037</v>
      </c>
      <c r="B2" s="21" t="s">
        <v>242</v>
      </c>
      <c r="C2" s="21" t="s">
        <v>389</v>
      </c>
      <c r="D2" s="160">
        <v>1800000</v>
      </c>
      <c r="E2" s="21" t="s">
        <v>224</v>
      </c>
      <c r="F2" s="21" t="s">
        <v>234</v>
      </c>
      <c r="G2" s="8" t="str">
        <f>E2&amp;" "&amp;F2</f>
        <v>CHANDLER KELVIN</v>
      </c>
    </row>
    <row r="3" spans="1:7" x14ac:dyDescent="0.25">
      <c r="A3" s="8">
        <v>42752.032581018517</v>
      </c>
      <c r="B3" s="21" t="s">
        <v>242</v>
      </c>
      <c r="C3" s="21" t="s">
        <v>389</v>
      </c>
      <c r="D3" s="160">
        <v>1800000</v>
      </c>
      <c r="E3" s="21" t="s">
        <v>224</v>
      </c>
      <c r="F3" s="21" t="s">
        <v>234</v>
      </c>
      <c r="G3" s="8" t="str">
        <f t="shared" ref="G3:G66" si="0">E3&amp;" "&amp;F3</f>
        <v>CHANDLER KELVIN</v>
      </c>
    </row>
    <row r="4" spans="1:7" x14ac:dyDescent="0.25">
      <c r="A4" s="8">
        <v>42752.037789351853</v>
      </c>
      <c r="B4" s="21" t="s">
        <v>330</v>
      </c>
      <c r="C4" s="21" t="s">
        <v>390</v>
      </c>
      <c r="D4" s="160">
        <v>2000000</v>
      </c>
      <c r="E4" s="21" t="s">
        <v>204</v>
      </c>
      <c r="F4" s="21" t="s">
        <v>231</v>
      </c>
      <c r="G4" s="8" t="str">
        <f t="shared" si="0"/>
        <v>STAMBAUGH JAMES</v>
      </c>
    </row>
    <row r="5" spans="1:7" x14ac:dyDescent="0.25">
      <c r="A5" s="8">
        <v>42752.048483796294</v>
      </c>
      <c r="B5" s="21" t="s">
        <v>342</v>
      </c>
      <c r="C5" s="21" t="s">
        <v>391</v>
      </c>
      <c r="D5" s="160">
        <v>2230000</v>
      </c>
      <c r="E5" s="21" t="s">
        <v>245</v>
      </c>
      <c r="F5" s="21" t="s">
        <v>238</v>
      </c>
      <c r="G5" s="8" t="str">
        <f t="shared" si="0"/>
        <v>SMITH MICHAEL</v>
      </c>
    </row>
    <row r="6" spans="1:7" x14ac:dyDescent="0.25">
      <c r="A6" s="8">
        <v>42752.051863425928</v>
      </c>
      <c r="B6" s="21" t="s">
        <v>296</v>
      </c>
      <c r="C6" s="21" t="s">
        <v>392</v>
      </c>
      <c r="D6" s="160">
        <v>1740000</v>
      </c>
      <c r="E6" s="21" t="s">
        <v>383</v>
      </c>
      <c r="F6" s="21" t="s">
        <v>384</v>
      </c>
      <c r="G6" s="8" t="str">
        <f t="shared" si="0"/>
        <v>STORY SAMANTHA</v>
      </c>
    </row>
    <row r="7" spans="1:7" x14ac:dyDescent="0.25">
      <c r="A7" s="8">
        <v>42752.067928240744</v>
      </c>
      <c r="B7" s="21" t="s">
        <v>337</v>
      </c>
      <c r="C7" s="21" t="s">
        <v>393</v>
      </c>
      <c r="D7" s="160">
        <v>2000000</v>
      </c>
      <c r="E7" s="21" t="s">
        <v>204</v>
      </c>
      <c r="F7" s="21" t="s">
        <v>231</v>
      </c>
      <c r="G7" s="8" t="str">
        <f t="shared" si="0"/>
        <v>STAMBAUGH JAMES</v>
      </c>
    </row>
    <row r="8" spans="1:7" x14ac:dyDescent="0.25">
      <c r="A8" s="8">
        <v>42752.090439814812</v>
      </c>
      <c r="B8" s="21" t="s">
        <v>295</v>
      </c>
      <c r="C8" s="21" t="s">
        <v>394</v>
      </c>
      <c r="D8" s="160">
        <v>1740000</v>
      </c>
      <c r="E8" s="21" t="s">
        <v>383</v>
      </c>
      <c r="F8" s="21" t="s">
        <v>384</v>
      </c>
      <c r="G8" s="8" t="str">
        <f t="shared" si="0"/>
        <v>STORY SAMANTHA</v>
      </c>
    </row>
    <row r="9" spans="1:7" ht="15.75" thickBot="1" x14ac:dyDescent="0.3">
      <c r="A9" s="25">
        <v>42752.091921296298</v>
      </c>
      <c r="B9" s="21" t="s">
        <v>295</v>
      </c>
      <c r="C9" s="21" t="s">
        <v>394</v>
      </c>
      <c r="D9" s="160">
        <v>1740000</v>
      </c>
      <c r="E9" s="21" t="s">
        <v>383</v>
      </c>
      <c r="F9" s="21" t="s">
        <v>384</v>
      </c>
      <c r="G9" s="8" t="str">
        <f t="shared" si="0"/>
        <v>STORY SAMANTHA</v>
      </c>
    </row>
    <row r="10" spans="1:7" x14ac:dyDescent="0.25">
      <c r="A10" s="8">
        <v>42752.117164351854</v>
      </c>
      <c r="B10" s="21" t="s">
        <v>302</v>
      </c>
      <c r="C10" s="21" t="s">
        <v>497</v>
      </c>
      <c r="D10" s="160">
        <v>2110000</v>
      </c>
      <c r="E10" s="21" t="s">
        <v>249</v>
      </c>
      <c r="F10" s="21" t="s">
        <v>250</v>
      </c>
      <c r="G10" s="8" t="str">
        <f t="shared" si="0"/>
        <v>OUN ZACK</v>
      </c>
    </row>
    <row r="11" spans="1:7" x14ac:dyDescent="0.25">
      <c r="A11" s="8">
        <v>42752.128506944442</v>
      </c>
      <c r="B11" s="21" t="s">
        <v>378</v>
      </c>
      <c r="C11" s="21" t="s">
        <v>498</v>
      </c>
      <c r="D11" s="160">
        <v>2110000</v>
      </c>
      <c r="E11" s="21" t="s">
        <v>249</v>
      </c>
      <c r="F11" s="21" t="s">
        <v>250</v>
      </c>
      <c r="G11" s="8" t="str">
        <f t="shared" si="0"/>
        <v>OUN ZACK</v>
      </c>
    </row>
    <row r="12" spans="1:7" x14ac:dyDescent="0.25">
      <c r="A12" s="8">
        <v>42752.137199074074</v>
      </c>
      <c r="B12" s="21" t="s">
        <v>290</v>
      </c>
      <c r="C12" s="21" t="s">
        <v>453</v>
      </c>
      <c r="D12" s="160">
        <v>2010000</v>
      </c>
      <c r="E12" s="21" t="s">
        <v>334</v>
      </c>
      <c r="F12" s="21" t="s">
        <v>335</v>
      </c>
      <c r="G12" s="8" t="str">
        <f t="shared" si="0"/>
        <v>MAELZER KURT</v>
      </c>
    </row>
    <row r="13" spans="1:7" x14ac:dyDescent="0.25">
      <c r="A13" s="8">
        <v>42752.149861111109</v>
      </c>
      <c r="B13" s="21" t="s">
        <v>209</v>
      </c>
      <c r="C13" s="21" t="s">
        <v>499</v>
      </c>
      <c r="D13" s="160">
        <v>2010000</v>
      </c>
      <c r="E13" s="21" t="s">
        <v>334</v>
      </c>
      <c r="F13" s="21" t="s">
        <v>335</v>
      </c>
      <c r="G13" s="8" t="str">
        <f t="shared" si="0"/>
        <v>MAELZER KURT</v>
      </c>
    </row>
    <row r="14" spans="1:7" x14ac:dyDescent="0.25">
      <c r="A14" s="8">
        <v>42752.163715277777</v>
      </c>
      <c r="B14" s="21" t="s">
        <v>456</v>
      </c>
      <c r="C14" s="21" t="s">
        <v>500</v>
      </c>
      <c r="D14" s="160">
        <v>1110000</v>
      </c>
      <c r="E14" s="21" t="s">
        <v>365</v>
      </c>
      <c r="F14" s="21" t="s">
        <v>366</v>
      </c>
      <c r="G14" s="8" t="str">
        <f t="shared" si="0"/>
        <v>STARKS ANGELINA</v>
      </c>
    </row>
    <row r="15" spans="1:7" x14ac:dyDescent="0.25">
      <c r="A15" s="8">
        <v>42752.166655092595</v>
      </c>
      <c r="B15" s="21" t="s">
        <v>302</v>
      </c>
      <c r="C15" s="21" t="s">
        <v>501</v>
      </c>
      <c r="D15" s="160">
        <v>2110000</v>
      </c>
      <c r="E15" s="21" t="s">
        <v>249</v>
      </c>
      <c r="F15" s="21" t="s">
        <v>250</v>
      </c>
      <c r="G15" s="8" t="str">
        <f t="shared" si="0"/>
        <v>OUN ZACK</v>
      </c>
    </row>
    <row r="16" spans="1:7" x14ac:dyDescent="0.25">
      <c r="A16" s="8">
        <v>42752.172048611108</v>
      </c>
      <c r="B16" s="21" t="s">
        <v>265</v>
      </c>
      <c r="C16" s="21" t="s">
        <v>502</v>
      </c>
      <c r="D16" s="160">
        <v>2680000</v>
      </c>
      <c r="E16" s="21" t="s">
        <v>371</v>
      </c>
      <c r="F16" s="21" t="s">
        <v>372</v>
      </c>
      <c r="G16" s="8" t="str">
        <f t="shared" si="0"/>
        <v>DUNCAN SHEILA</v>
      </c>
    </row>
    <row r="17" spans="1:7" x14ac:dyDescent="0.25">
      <c r="A17" s="8">
        <v>42752.17591435185</v>
      </c>
      <c r="B17" s="21" t="s">
        <v>207</v>
      </c>
      <c r="C17" s="21" t="s">
        <v>503</v>
      </c>
      <c r="D17" s="160">
        <v>1110000</v>
      </c>
      <c r="E17" s="21" t="s">
        <v>365</v>
      </c>
      <c r="F17" s="21" t="s">
        <v>366</v>
      </c>
      <c r="G17" s="8" t="str">
        <f t="shared" si="0"/>
        <v>STARKS ANGELINA</v>
      </c>
    </row>
    <row r="18" spans="1:7" x14ac:dyDescent="0.25">
      <c r="A18" s="8">
        <v>42752.178425925929</v>
      </c>
      <c r="B18" s="21" t="s">
        <v>331</v>
      </c>
      <c r="C18" s="21" t="s">
        <v>504</v>
      </c>
      <c r="D18" s="160">
        <v>1290000</v>
      </c>
      <c r="E18" s="21" t="s">
        <v>505</v>
      </c>
      <c r="F18" s="21" t="s">
        <v>506</v>
      </c>
      <c r="G18" s="8" t="str">
        <f t="shared" si="0"/>
        <v>COOLAHAN JOHN</v>
      </c>
    </row>
    <row r="19" spans="1:7" x14ac:dyDescent="0.25">
      <c r="A19" s="8">
        <v>42752.182280092595</v>
      </c>
      <c r="B19" s="21" t="s">
        <v>261</v>
      </c>
      <c r="C19" s="21" t="s">
        <v>507</v>
      </c>
      <c r="D19" s="160">
        <v>2680000</v>
      </c>
      <c r="E19" s="21" t="s">
        <v>371</v>
      </c>
      <c r="F19" s="21" t="s">
        <v>372</v>
      </c>
      <c r="G19" s="8" t="str">
        <f t="shared" si="0"/>
        <v>DUNCAN SHEILA</v>
      </c>
    </row>
    <row r="20" spans="1:7" x14ac:dyDescent="0.25">
      <c r="A20" s="8">
        <v>42752.191388888888</v>
      </c>
      <c r="B20" s="21" t="s">
        <v>290</v>
      </c>
      <c r="C20" s="21" t="s">
        <v>508</v>
      </c>
      <c r="D20" s="160">
        <v>2010000</v>
      </c>
      <c r="E20" s="21" t="s">
        <v>334</v>
      </c>
      <c r="F20" s="21" t="s">
        <v>335</v>
      </c>
      <c r="G20" s="8" t="str">
        <f t="shared" si="0"/>
        <v>MAELZER KURT</v>
      </c>
    </row>
    <row r="21" spans="1:7" x14ac:dyDescent="0.25">
      <c r="A21" s="8">
        <v>42752.193692129629</v>
      </c>
      <c r="B21" s="21" t="s">
        <v>221</v>
      </c>
      <c r="C21" s="21" t="s">
        <v>509</v>
      </c>
      <c r="D21" s="160">
        <v>1290000</v>
      </c>
      <c r="E21" s="21" t="s">
        <v>505</v>
      </c>
      <c r="F21" s="21" t="s">
        <v>506</v>
      </c>
      <c r="G21" s="8" t="str">
        <f t="shared" si="0"/>
        <v>COOLAHAN JOHN</v>
      </c>
    </row>
    <row r="22" spans="1:7" x14ac:dyDescent="0.25">
      <c r="A22" s="27">
        <v>42752.203611111108</v>
      </c>
      <c r="B22" s="21" t="s">
        <v>454</v>
      </c>
      <c r="C22" s="21" t="s">
        <v>455</v>
      </c>
      <c r="D22" s="160">
        <v>1830000</v>
      </c>
      <c r="E22" s="21" t="s">
        <v>381</v>
      </c>
      <c r="F22" s="21" t="s">
        <v>382</v>
      </c>
      <c r="G22" s="8" t="str">
        <f t="shared" si="0"/>
        <v>YORK EDGAR</v>
      </c>
    </row>
    <row r="23" spans="1:7" x14ac:dyDescent="0.25">
      <c r="A23" s="8">
        <v>42752.206979166665</v>
      </c>
      <c r="B23" s="21" t="s">
        <v>378</v>
      </c>
      <c r="C23" s="21" t="s">
        <v>510</v>
      </c>
      <c r="D23" s="160">
        <v>890000</v>
      </c>
      <c r="E23" s="21" t="s">
        <v>511</v>
      </c>
      <c r="F23" s="21" t="s">
        <v>512</v>
      </c>
      <c r="G23" s="8" t="str">
        <f t="shared" si="0"/>
        <v>LOZA FIDEL</v>
      </c>
    </row>
    <row r="24" spans="1:7" x14ac:dyDescent="0.25">
      <c r="A24" s="8">
        <v>42752.210613425923</v>
      </c>
      <c r="B24" s="21" t="s">
        <v>303</v>
      </c>
      <c r="C24" s="21" t="s">
        <v>513</v>
      </c>
      <c r="D24" s="160">
        <v>2110000</v>
      </c>
      <c r="E24" s="21" t="s">
        <v>249</v>
      </c>
      <c r="F24" s="21" t="s">
        <v>250</v>
      </c>
      <c r="G24" s="8" t="str">
        <f t="shared" si="0"/>
        <v>OUN ZACK</v>
      </c>
    </row>
    <row r="25" spans="1:7" x14ac:dyDescent="0.25">
      <c r="A25" s="8">
        <v>42752.210844907408</v>
      </c>
      <c r="B25" s="21" t="s">
        <v>479</v>
      </c>
      <c r="C25" s="21" t="s">
        <v>514</v>
      </c>
      <c r="D25" s="160">
        <v>1830000</v>
      </c>
      <c r="E25" s="21" t="s">
        <v>381</v>
      </c>
      <c r="F25" s="21" t="s">
        <v>382</v>
      </c>
      <c r="G25" s="8" t="str">
        <f t="shared" si="0"/>
        <v>YORK EDGAR</v>
      </c>
    </row>
    <row r="26" spans="1:7" x14ac:dyDescent="0.25">
      <c r="A26" s="8">
        <v>42752.21334490741</v>
      </c>
      <c r="B26" s="21" t="s">
        <v>456</v>
      </c>
      <c r="C26" s="21" t="s">
        <v>457</v>
      </c>
      <c r="D26" s="160">
        <v>1110000</v>
      </c>
      <c r="E26" s="21" t="s">
        <v>365</v>
      </c>
      <c r="F26" s="21" t="s">
        <v>366</v>
      </c>
      <c r="G26" s="8" t="str">
        <f t="shared" si="0"/>
        <v>STARKS ANGELINA</v>
      </c>
    </row>
    <row r="27" spans="1:7" x14ac:dyDescent="0.25">
      <c r="A27" s="8">
        <v>42752.221354166664</v>
      </c>
      <c r="B27" s="21" t="s">
        <v>265</v>
      </c>
      <c r="C27" s="21" t="s">
        <v>515</v>
      </c>
      <c r="D27" s="160">
        <v>2680000</v>
      </c>
      <c r="E27" s="21" t="s">
        <v>371</v>
      </c>
      <c r="F27" s="21" t="s">
        <v>372</v>
      </c>
      <c r="G27" s="8" t="str">
        <f t="shared" si="0"/>
        <v>DUNCAN SHEILA</v>
      </c>
    </row>
    <row r="28" spans="1:7" x14ac:dyDescent="0.25">
      <c r="A28" s="8">
        <v>42752.225868055553</v>
      </c>
      <c r="B28" s="21" t="s">
        <v>209</v>
      </c>
      <c r="C28" s="21" t="s">
        <v>516</v>
      </c>
      <c r="D28" s="160">
        <v>1340000</v>
      </c>
      <c r="E28" s="21" t="s">
        <v>517</v>
      </c>
      <c r="F28" s="21" t="s">
        <v>518</v>
      </c>
      <c r="G28" s="8" t="str">
        <f t="shared" si="0"/>
        <v>BEAM ROSS</v>
      </c>
    </row>
    <row r="29" spans="1:7" x14ac:dyDescent="0.25">
      <c r="A29" s="8">
        <v>42752.226585648146</v>
      </c>
      <c r="B29" s="21" t="s">
        <v>471</v>
      </c>
      <c r="C29" s="21" t="s">
        <v>519</v>
      </c>
      <c r="D29" s="160">
        <v>2010000</v>
      </c>
      <c r="E29" s="21" t="s">
        <v>334</v>
      </c>
      <c r="F29" s="21" t="s">
        <v>335</v>
      </c>
      <c r="G29" s="8" t="str">
        <f t="shared" si="0"/>
        <v>MAELZER KURT</v>
      </c>
    </row>
    <row r="30" spans="1:7" x14ac:dyDescent="0.25">
      <c r="A30" s="8">
        <v>42752.226724537039</v>
      </c>
      <c r="B30" s="21" t="s">
        <v>454</v>
      </c>
      <c r="C30" s="21" t="s">
        <v>520</v>
      </c>
      <c r="D30" s="160">
        <v>1830000</v>
      </c>
      <c r="E30" s="21" t="s">
        <v>381</v>
      </c>
      <c r="F30" s="21" t="s">
        <v>382</v>
      </c>
      <c r="G30" s="8" t="str">
        <f t="shared" si="0"/>
        <v>YORK EDGAR</v>
      </c>
    </row>
    <row r="31" spans="1:7" x14ac:dyDescent="0.25">
      <c r="A31" s="8">
        <v>42752.229050925926</v>
      </c>
      <c r="B31" s="21" t="s">
        <v>209</v>
      </c>
      <c r="C31" s="21" t="s">
        <v>516</v>
      </c>
      <c r="D31" s="160">
        <v>1340000</v>
      </c>
      <c r="E31" s="21" t="s">
        <v>517</v>
      </c>
      <c r="F31" s="21" t="s">
        <v>518</v>
      </c>
      <c r="G31" s="8" t="str">
        <f t="shared" si="0"/>
        <v>BEAM ROSS</v>
      </c>
    </row>
    <row r="32" spans="1:7" x14ac:dyDescent="0.25">
      <c r="A32" s="8">
        <v>42752.233067129629</v>
      </c>
      <c r="B32" s="21" t="s">
        <v>331</v>
      </c>
      <c r="C32" s="21" t="s">
        <v>521</v>
      </c>
      <c r="D32" s="160">
        <v>1290000</v>
      </c>
      <c r="E32" s="21" t="s">
        <v>505</v>
      </c>
      <c r="F32" s="21" t="s">
        <v>506</v>
      </c>
      <c r="G32" s="8" t="str">
        <f t="shared" si="0"/>
        <v>COOLAHAN JOHN</v>
      </c>
    </row>
    <row r="33" spans="1:7" x14ac:dyDescent="0.25">
      <c r="A33" s="8">
        <v>42752.245995370373</v>
      </c>
      <c r="B33" s="21" t="s">
        <v>468</v>
      </c>
      <c r="C33" s="21" t="s">
        <v>522</v>
      </c>
      <c r="D33" s="160">
        <v>2270000</v>
      </c>
      <c r="E33" s="21" t="s">
        <v>523</v>
      </c>
      <c r="F33" s="21" t="s">
        <v>524</v>
      </c>
      <c r="G33" s="8" t="str">
        <f t="shared" si="0"/>
        <v>BROWN JACOB</v>
      </c>
    </row>
    <row r="34" spans="1:7" x14ac:dyDescent="0.25">
      <c r="A34" s="8">
        <v>42752.246354166666</v>
      </c>
      <c r="B34" s="21" t="s">
        <v>373</v>
      </c>
      <c r="C34" s="21" t="s">
        <v>525</v>
      </c>
      <c r="D34" s="160">
        <v>890000</v>
      </c>
      <c r="E34" s="21" t="s">
        <v>511</v>
      </c>
      <c r="F34" s="21" t="s">
        <v>512</v>
      </c>
      <c r="G34" s="8" t="str">
        <f t="shared" si="0"/>
        <v>LOZA FIDEL</v>
      </c>
    </row>
    <row r="35" spans="1:7" x14ac:dyDescent="0.25">
      <c r="A35" s="8">
        <v>42752.247118055559</v>
      </c>
      <c r="B35" s="21" t="s">
        <v>207</v>
      </c>
      <c r="C35" s="21" t="s">
        <v>526</v>
      </c>
      <c r="D35" s="160">
        <v>1110000</v>
      </c>
      <c r="E35" s="21" t="s">
        <v>365</v>
      </c>
      <c r="F35" s="21" t="s">
        <v>366</v>
      </c>
      <c r="G35" s="8" t="str">
        <f t="shared" si="0"/>
        <v>STARKS ANGELINA</v>
      </c>
    </row>
    <row r="36" spans="1:7" x14ac:dyDescent="0.25">
      <c r="A36" s="8">
        <v>42752.247928240744</v>
      </c>
      <c r="B36" s="21" t="s">
        <v>207</v>
      </c>
      <c r="C36" s="21" t="s">
        <v>526</v>
      </c>
      <c r="D36" s="160">
        <v>1110000</v>
      </c>
      <c r="E36" s="21" t="s">
        <v>365</v>
      </c>
      <c r="F36" s="21" t="s">
        <v>366</v>
      </c>
      <c r="G36" s="8" t="str">
        <f t="shared" si="0"/>
        <v>STARKS ANGELINA</v>
      </c>
    </row>
    <row r="37" spans="1:7" x14ac:dyDescent="0.25">
      <c r="A37" s="8">
        <v>42752.24927083333</v>
      </c>
      <c r="B37" s="21" t="s">
        <v>207</v>
      </c>
      <c r="C37" s="21" t="s">
        <v>526</v>
      </c>
      <c r="D37" s="160">
        <v>1110000</v>
      </c>
      <c r="E37" s="21" t="s">
        <v>365</v>
      </c>
      <c r="F37" s="21" t="s">
        <v>366</v>
      </c>
      <c r="G37" s="8" t="str">
        <f t="shared" si="0"/>
        <v>STARKS ANGELINA</v>
      </c>
    </row>
    <row r="38" spans="1:7" x14ac:dyDescent="0.25">
      <c r="A38" s="8">
        <v>42752.253113425926</v>
      </c>
      <c r="B38" s="21" t="s">
        <v>302</v>
      </c>
      <c r="C38" s="21" t="s">
        <v>527</v>
      </c>
      <c r="D38" s="160">
        <v>2110000</v>
      </c>
      <c r="E38" s="21" t="s">
        <v>249</v>
      </c>
      <c r="F38" s="21" t="s">
        <v>250</v>
      </c>
      <c r="G38" s="8" t="str">
        <f t="shared" si="0"/>
        <v>OUN ZACK</v>
      </c>
    </row>
    <row r="39" spans="1:7" x14ac:dyDescent="0.25">
      <c r="A39" s="8">
        <v>42752.254953703705</v>
      </c>
      <c r="B39" s="21" t="s">
        <v>479</v>
      </c>
      <c r="C39" s="21" t="s">
        <v>528</v>
      </c>
      <c r="D39" s="160">
        <v>1830000</v>
      </c>
      <c r="E39" s="21" t="s">
        <v>381</v>
      </c>
      <c r="F39" s="21" t="s">
        <v>382</v>
      </c>
      <c r="G39" s="8" t="str">
        <f t="shared" si="0"/>
        <v>YORK EDGAR</v>
      </c>
    </row>
    <row r="40" spans="1:7" x14ac:dyDescent="0.25">
      <c r="A40" s="8">
        <v>42752.25613425926</v>
      </c>
      <c r="B40" s="26" t="s">
        <v>261</v>
      </c>
      <c r="C40" s="21" t="s">
        <v>529</v>
      </c>
      <c r="D40" s="160">
        <v>2680000</v>
      </c>
      <c r="E40" s="21" t="s">
        <v>371</v>
      </c>
      <c r="F40" s="21" t="s">
        <v>372</v>
      </c>
      <c r="G40" s="8" t="str">
        <f t="shared" si="0"/>
        <v>DUNCAN SHEILA</v>
      </c>
    </row>
    <row r="41" spans="1:7" x14ac:dyDescent="0.25">
      <c r="A41" s="8">
        <v>42752.260520833333</v>
      </c>
      <c r="B41" s="21" t="s">
        <v>275</v>
      </c>
      <c r="C41" s="21" t="s">
        <v>530</v>
      </c>
      <c r="D41" s="160">
        <v>2270000</v>
      </c>
      <c r="E41" s="21" t="s">
        <v>523</v>
      </c>
      <c r="F41" s="21" t="s">
        <v>524</v>
      </c>
      <c r="G41" s="8" t="str">
        <f t="shared" si="0"/>
        <v>BROWN JACOB</v>
      </c>
    </row>
    <row r="42" spans="1:7" x14ac:dyDescent="0.25">
      <c r="A42" s="8">
        <v>42752.265023148146</v>
      </c>
      <c r="B42" s="21" t="s">
        <v>300</v>
      </c>
      <c r="C42" s="21" t="s">
        <v>531</v>
      </c>
      <c r="D42" s="160">
        <v>1340000</v>
      </c>
      <c r="E42" s="21" t="s">
        <v>517</v>
      </c>
      <c r="F42" s="21" t="s">
        <v>518</v>
      </c>
      <c r="G42" s="8" t="str">
        <f t="shared" si="0"/>
        <v>BEAM ROSS</v>
      </c>
    </row>
    <row r="43" spans="1:7" x14ac:dyDescent="0.25">
      <c r="A43" s="8">
        <v>42752.266458333332</v>
      </c>
      <c r="B43" s="21" t="s">
        <v>221</v>
      </c>
      <c r="C43" s="21" t="s">
        <v>532</v>
      </c>
      <c r="D43" s="160">
        <v>1290000</v>
      </c>
      <c r="E43" s="21" t="s">
        <v>505</v>
      </c>
      <c r="F43" s="21" t="s">
        <v>506</v>
      </c>
      <c r="G43" s="8" t="str">
        <f t="shared" si="0"/>
        <v>COOLAHAN JOHN</v>
      </c>
    </row>
    <row r="44" spans="1:7" x14ac:dyDescent="0.25">
      <c r="A44" s="8">
        <v>42752.268761574072</v>
      </c>
      <c r="B44" s="21" t="s">
        <v>454</v>
      </c>
      <c r="C44" s="21" t="s">
        <v>458</v>
      </c>
      <c r="D44" s="160">
        <v>1830000</v>
      </c>
      <c r="E44" s="21" t="s">
        <v>381</v>
      </c>
      <c r="F44" s="21" t="s">
        <v>382</v>
      </c>
      <c r="G44" s="8" t="str">
        <f t="shared" si="0"/>
        <v>YORK EDGAR</v>
      </c>
    </row>
    <row r="45" spans="1:7" x14ac:dyDescent="0.25">
      <c r="A45" s="8">
        <v>42752.273819444446</v>
      </c>
      <c r="B45" s="21" t="s">
        <v>290</v>
      </c>
      <c r="C45" s="21" t="s">
        <v>533</v>
      </c>
      <c r="D45" s="160">
        <v>2010000</v>
      </c>
      <c r="E45" s="21" t="s">
        <v>334</v>
      </c>
      <c r="F45" s="21" t="s">
        <v>335</v>
      </c>
      <c r="G45" s="8" t="str">
        <f t="shared" si="0"/>
        <v>MAELZER KURT</v>
      </c>
    </row>
    <row r="46" spans="1:7" x14ac:dyDescent="0.25">
      <c r="A46" s="8">
        <v>42752.276226851849</v>
      </c>
      <c r="B46" s="21" t="s">
        <v>468</v>
      </c>
      <c r="C46" s="21" t="s">
        <v>534</v>
      </c>
      <c r="D46" s="160">
        <v>2270000</v>
      </c>
      <c r="E46" s="21" t="s">
        <v>523</v>
      </c>
      <c r="F46" s="21" t="s">
        <v>524</v>
      </c>
      <c r="G46" s="8" t="str">
        <f t="shared" si="0"/>
        <v>BROWN JACOB</v>
      </c>
    </row>
    <row r="47" spans="1:7" x14ac:dyDescent="0.25">
      <c r="A47" s="8">
        <v>42752.277372685188</v>
      </c>
      <c r="B47" s="21" t="s">
        <v>378</v>
      </c>
      <c r="C47" s="21" t="s">
        <v>535</v>
      </c>
      <c r="D47" s="160">
        <v>890000</v>
      </c>
      <c r="E47" s="21" t="s">
        <v>511</v>
      </c>
      <c r="F47" s="21" t="s">
        <v>512</v>
      </c>
      <c r="G47" s="8" t="str">
        <f t="shared" si="0"/>
        <v>LOZA FIDEL</v>
      </c>
    </row>
    <row r="48" spans="1:7" x14ac:dyDescent="0.25">
      <c r="A48" s="8">
        <v>42752.287002314813</v>
      </c>
      <c r="B48" s="21" t="s">
        <v>303</v>
      </c>
      <c r="C48" s="21" t="s">
        <v>536</v>
      </c>
      <c r="D48" s="160">
        <v>2110000</v>
      </c>
      <c r="E48" s="21" t="s">
        <v>249</v>
      </c>
      <c r="F48" s="21" t="s">
        <v>250</v>
      </c>
      <c r="G48" s="8" t="str">
        <f t="shared" si="0"/>
        <v>OUN ZACK</v>
      </c>
    </row>
    <row r="49" spans="1:7" x14ac:dyDescent="0.25">
      <c r="A49" s="8">
        <v>42752.287881944445</v>
      </c>
      <c r="B49" s="21" t="s">
        <v>270</v>
      </c>
      <c r="C49" s="21" t="s">
        <v>537</v>
      </c>
      <c r="D49" s="160">
        <v>1110000</v>
      </c>
      <c r="E49" s="21" t="s">
        <v>365</v>
      </c>
      <c r="F49" s="21" t="s">
        <v>366</v>
      </c>
      <c r="G49" s="8" t="str">
        <f t="shared" si="0"/>
        <v>STARKS ANGELINA</v>
      </c>
    </row>
    <row r="50" spans="1:7" x14ac:dyDescent="0.25">
      <c r="A50" s="8">
        <v>42752.293622685182</v>
      </c>
      <c r="B50" s="21" t="s">
        <v>265</v>
      </c>
      <c r="C50" s="21" t="s">
        <v>538</v>
      </c>
      <c r="D50" s="160">
        <v>2680000</v>
      </c>
      <c r="E50" s="21" t="s">
        <v>371</v>
      </c>
      <c r="F50" s="21" t="s">
        <v>372</v>
      </c>
      <c r="G50" s="8" t="str">
        <f t="shared" si="0"/>
        <v>DUNCAN SHEILA</v>
      </c>
    </row>
    <row r="51" spans="1:7" x14ac:dyDescent="0.25">
      <c r="A51" s="8">
        <v>42752.296597222223</v>
      </c>
      <c r="B51" s="21" t="s">
        <v>479</v>
      </c>
      <c r="C51" s="21" t="s">
        <v>539</v>
      </c>
      <c r="D51" s="160">
        <v>1830000</v>
      </c>
      <c r="E51" s="21" t="s">
        <v>381</v>
      </c>
      <c r="F51" s="21" t="s">
        <v>382</v>
      </c>
      <c r="G51" s="8" t="str">
        <f t="shared" si="0"/>
        <v>YORK EDGAR</v>
      </c>
    </row>
    <row r="52" spans="1:7" x14ac:dyDescent="0.25">
      <c r="A52" s="8">
        <v>42752.297013888892</v>
      </c>
      <c r="B52" s="21" t="s">
        <v>265</v>
      </c>
      <c r="C52" s="21" t="s">
        <v>538</v>
      </c>
      <c r="D52" s="160">
        <v>2680000</v>
      </c>
      <c r="E52" s="21" t="s">
        <v>371</v>
      </c>
      <c r="F52" s="21" t="s">
        <v>372</v>
      </c>
      <c r="G52" s="8" t="str">
        <f t="shared" si="0"/>
        <v>DUNCAN SHEILA</v>
      </c>
    </row>
    <row r="53" spans="1:7" x14ac:dyDescent="0.25">
      <c r="A53" s="8">
        <v>42752.298321759263</v>
      </c>
      <c r="B53" s="21" t="s">
        <v>209</v>
      </c>
      <c r="C53" s="21" t="s">
        <v>540</v>
      </c>
      <c r="D53" s="160">
        <v>1340000</v>
      </c>
      <c r="E53" s="21" t="s">
        <v>517</v>
      </c>
      <c r="F53" s="21" t="s">
        <v>518</v>
      </c>
      <c r="G53" s="8" t="str">
        <f t="shared" si="0"/>
        <v>BEAM ROSS</v>
      </c>
    </row>
    <row r="54" spans="1:7" x14ac:dyDescent="0.25">
      <c r="A54" s="8">
        <v>42752.304270833331</v>
      </c>
      <c r="B54" s="21" t="s">
        <v>275</v>
      </c>
      <c r="C54" s="21" t="s">
        <v>541</v>
      </c>
      <c r="D54" s="160">
        <v>2270000</v>
      </c>
      <c r="E54" s="21" t="s">
        <v>523</v>
      </c>
      <c r="F54" s="21" t="s">
        <v>524</v>
      </c>
      <c r="G54" s="8" t="str">
        <f t="shared" si="0"/>
        <v>BROWN JACOB</v>
      </c>
    </row>
    <row r="55" spans="1:7" x14ac:dyDescent="0.25">
      <c r="A55" s="8">
        <v>42752.305462962962</v>
      </c>
      <c r="B55" s="21" t="s">
        <v>331</v>
      </c>
      <c r="C55" s="21" t="s">
        <v>460</v>
      </c>
      <c r="D55" s="160">
        <v>1290000</v>
      </c>
      <c r="E55" s="21" t="s">
        <v>505</v>
      </c>
      <c r="F55" s="21" t="s">
        <v>506</v>
      </c>
      <c r="G55" s="8" t="str">
        <f t="shared" si="0"/>
        <v>COOLAHAN JOHN</v>
      </c>
    </row>
    <row r="56" spans="1:7" x14ac:dyDescent="0.25">
      <c r="A56" s="8">
        <v>42752.309270833335</v>
      </c>
      <c r="B56" s="21" t="s">
        <v>471</v>
      </c>
      <c r="C56" s="21" t="s">
        <v>542</v>
      </c>
      <c r="D56" s="160">
        <v>2010000</v>
      </c>
      <c r="E56" s="21" t="s">
        <v>334</v>
      </c>
      <c r="F56" s="21" t="s">
        <v>335</v>
      </c>
      <c r="G56" s="8" t="str">
        <f t="shared" si="0"/>
        <v>MAELZER KURT</v>
      </c>
    </row>
    <row r="57" spans="1:7" x14ac:dyDescent="0.25">
      <c r="A57" s="8">
        <v>42752.311307870368</v>
      </c>
      <c r="B57" s="21" t="s">
        <v>454</v>
      </c>
      <c r="C57" s="21" t="s">
        <v>543</v>
      </c>
      <c r="D57" s="160">
        <v>1830000</v>
      </c>
      <c r="E57" s="21" t="s">
        <v>381</v>
      </c>
      <c r="F57" s="21" t="s">
        <v>382</v>
      </c>
      <c r="G57" s="8" t="str">
        <f t="shared" si="0"/>
        <v>YORK EDGAR</v>
      </c>
    </row>
    <row r="58" spans="1:7" x14ac:dyDescent="0.25">
      <c r="A58" s="8">
        <v>42752.318043981482</v>
      </c>
      <c r="B58" s="21" t="s">
        <v>468</v>
      </c>
      <c r="C58" s="21" t="s">
        <v>544</v>
      </c>
      <c r="D58" s="160">
        <v>2270000</v>
      </c>
      <c r="E58" s="21" t="s">
        <v>523</v>
      </c>
      <c r="F58" s="21" t="s">
        <v>524</v>
      </c>
      <c r="G58" s="8" t="str">
        <f t="shared" si="0"/>
        <v>BROWN JACOB</v>
      </c>
    </row>
    <row r="59" spans="1:7" x14ac:dyDescent="0.25">
      <c r="A59" s="8">
        <v>42752.318113425928</v>
      </c>
      <c r="B59" s="21" t="s">
        <v>373</v>
      </c>
      <c r="C59" s="21" t="s">
        <v>545</v>
      </c>
      <c r="D59" s="160">
        <v>890000</v>
      </c>
      <c r="E59" s="21" t="s">
        <v>511</v>
      </c>
      <c r="F59" s="21" t="s">
        <v>512</v>
      </c>
      <c r="G59" s="8" t="str">
        <f t="shared" si="0"/>
        <v>LOZA FIDEL</v>
      </c>
    </row>
    <row r="60" spans="1:7" x14ac:dyDescent="0.25">
      <c r="A60" s="8">
        <v>42752.31858796296</v>
      </c>
      <c r="B60" s="21" t="s">
        <v>207</v>
      </c>
      <c r="C60" s="21" t="s">
        <v>546</v>
      </c>
      <c r="D60" s="160">
        <v>1110000</v>
      </c>
      <c r="E60" s="21" t="s">
        <v>365</v>
      </c>
      <c r="F60" s="21" t="s">
        <v>366</v>
      </c>
      <c r="G60" s="8" t="str">
        <f t="shared" si="0"/>
        <v>STARKS ANGELINA</v>
      </c>
    </row>
    <row r="61" spans="1:7" x14ac:dyDescent="0.25">
      <c r="A61" s="8">
        <v>42752.32545138889</v>
      </c>
      <c r="B61" s="21" t="s">
        <v>302</v>
      </c>
      <c r="C61" s="21" t="s">
        <v>547</v>
      </c>
      <c r="D61" s="160">
        <v>2110000</v>
      </c>
      <c r="E61" s="21" t="s">
        <v>249</v>
      </c>
      <c r="F61" s="21" t="s">
        <v>250</v>
      </c>
      <c r="G61" s="8" t="str">
        <f t="shared" si="0"/>
        <v>OUN ZACK</v>
      </c>
    </row>
    <row r="62" spans="1:7" x14ac:dyDescent="0.25">
      <c r="A62" s="8">
        <v>42752.328020833331</v>
      </c>
      <c r="B62" s="21" t="s">
        <v>261</v>
      </c>
      <c r="C62" s="21" t="s">
        <v>461</v>
      </c>
      <c r="D62" s="160">
        <v>2680000</v>
      </c>
      <c r="E62" s="21" t="s">
        <v>371</v>
      </c>
      <c r="F62" s="21" t="s">
        <v>372</v>
      </c>
      <c r="G62" s="8" t="str">
        <f t="shared" si="0"/>
        <v>DUNCAN SHEILA</v>
      </c>
    </row>
    <row r="63" spans="1:7" x14ac:dyDescent="0.25">
      <c r="A63" s="8">
        <v>42752.337326388886</v>
      </c>
      <c r="B63" s="21" t="s">
        <v>300</v>
      </c>
      <c r="C63" s="21" t="s">
        <v>548</v>
      </c>
      <c r="D63" s="160">
        <v>1340000</v>
      </c>
      <c r="E63" s="21" t="s">
        <v>517</v>
      </c>
      <c r="F63" s="21" t="s">
        <v>518</v>
      </c>
      <c r="G63" s="8" t="str">
        <f t="shared" si="0"/>
        <v>BEAM ROSS</v>
      </c>
    </row>
    <row r="64" spans="1:7" x14ac:dyDescent="0.25">
      <c r="A64" s="27">
        <v>42752.338946759257</v>
      </c>
      <c r="B64" s="21" t="s">
        <v>479</v>
      </c>
      <c r="C64" s="21" t="s">
        <v>549</v>
      </c>
      <c r="D64" s="160">
        <v>1830000</v>
      </c>
      <c r="E64" s="21" t="s">
        <v>381</v>
      </c>
      <c r="F64" s="21" t="s">
        <v>382</v>
      </c>
      <c r="G64" s="8" t="str">
        <f t="shared" si="0"/>
        <v>YORK EDGAR</v>
      </c>
    </row>
    <row r="65" spans="1:7" x14ac:dyDescent="0.25">
      <c r="A65" s="8">
        <v>42752.33997685185</v>
      </c>
      <c r="B65" s="21" t="s">
        <v>221</v>
      </c>
      <c r="C65" s="21" t="s">
        <v>550</v>
      </c>
      <c r="D65" s="160">
        <v>1290000</v>
      </c>
      <c r="E65" s="21" t="s">
        <v>505</v>
      </c>
      <c r="F65" s="21" t="s">
        <v>506</v>
      </c>
      <c r="G65" s="8" t="str">
        <f t="shared" si="0"/>
        <v>COOLAHAN JOHN</v>
      </c>
    </row>
    <row r="66" spans="1:7" x14ac:dyDescent="0.25">
      <c r="A66" s="8">
        <v>42752.343310185184</v>
      </c>
      <c r="B66" s="21" t="s">
        <v>290</v>
      </c>
      <c r="C66" s="21" t="s">
        <v>551</v>
      </c>
      <c r="D66" s="160">
        <v>2010000</v>
      </c>
      <c r="E66" s="21" t="s">
        <v>334</v>
      </c>
      <c r="F66" s="21" t="s">
        <v>335</v>
      </c>
      <c r="G66" s="8" t="str">
        <f t="shared" si="0"/>
        <v>MAELZER KURT</v>
      </c>
    </row>
    <row r="67" spans="1:7" x14ac:dyDescent="0.25">
      <c r="A67" s="8">
        <v>42752.346921296295</v>
      </c>
      <c r="B67" s="21" t="s">
        <v>275</v>
      </c>
      <c r="C67" s="21" t="s">
        <v>552</v>
      </c>
      <c r="D67" s="160">
        <v>2270000</v>
      </c>
      <c r="E67" s="21" t="s">
        <v>523</v>
      </c>
      <c r="F67" s="21" t="s">
        <v>524</v>
      </c>
      <c r="G67" s="8" t="str">
        <f t="shared" ref="G67:G130" si="1">E67&amp;" "&amp;F67</f>
        <v>BROWN JACOB</v>
      </c>
    </row>
    <row r="68" spans="1:7" x14ac:dyDescent="0.25">
      <c r="A68" s="8">
        <v>42752.35193287037</v>
      </c>
      <c r="B68" s="21" t="s">
        <v>454</v>
      </c>
      <c r="C68" s="21" t="s">
        <v>553</v>
      </c>
      <c r="D68" s="160">
        <v>1830000</v>
      </c>
      <c r="E68" s="21" t="s">
        <v>381</v>
      </c>
      <c r="F68" s="21" t="s">
        <v>382</v>
      </c>
      <c r="G68" s="8" t="str">
        <f t="shared" si="1"/>
        <v>YORK EDGAR</v>
      </c>
    </row>
    <row r="69" spans="1:7" x14ac:dyDescent="0.25">
      <c r="A69" s="8">
        <v>42752.352881944447</v>
      </c>
      <c r="B69" s="21" t="s">
        <v>378</v>
      </c>
      <c r="C69" s="21" t="s">
        <v>554</v>
      </c>
      <c r="D69" s="160">
        <v>890000</v>
      </c>
      <c r="E69" s="21" t="s">
        <v>511</v>
      </c>
      <c r="F69" s="21" t="s">
        <v>512</v>
      </c>
      <c r="G69" s="8" t="str">
        <f t="shared" si="1"/>
        <v>LOZA FIDEL</v>
      </c>
    </row>
    <row r="70" spans="1:7" x14ac:dyDescent="0.25">
      <c r="A70" s="8">
        <v>42752.359293981484</v>
      </c>
      <c r="B70" s="21" t="s">
        <v>468</v>
      </c>
      <c r="C70" s="21" t="s">
        <v>555</v>
      </c>
      <c r="D70" s="160">
        <v>2270000</v>
      </c>
      <c r="E70" s="21" t="s">
        <v>523</v>
      </c>
      <c r="F70" s="21" t="s">
        <v>524</v>
      </c>
      <c r="G70" s="8" t="str">
        <f t="shared" si="1"/>
        <v>BROWN JACOB</v>
      </c>
    </row>
    <row r="71" spans="1:7" x14ac:dyDescent="0.25">
      <c r="A71" s="8">
        <v>42752.36136574074</v>
      </c>
      <c r="B71" s="21" t="s">
        <v>270</v>
      </c>
      <c r="C71" s="21" t="s">
        <v>462</v>
      </c>
      <c r="D71" s="160">
        <v>1110000</v>
      </c>
      <c r="E71" s="21" t="s">
        <v>365</v>
      </c>
      <c r="F71" s="21" t="s">
        <v>366</v>
      </c>
      <c r="G71" s="8" t="str">
        <f t="shared" si="1"/>
        <v>STARKS ANGELINA</v>
      </c>
    </row>
    <row r="72" spans="1:7" x14ac:dyDescent="0.25">
      <c r="A72" s="8">
        <v>42752.36173611111</v>
      </c>
      <c r="B72" s="21" t="s">
        <v>303</v>
      </c>
      <c r="C72" s="21" t="s">
        <v>556</v>
      </c>
      <c r="D72" s="160">
        <v>2110000</v>
      </c>
      <c r="E72" s="21" t="s">
        <v>249</v>
      </c>
      <c r="F72" s="21" t="s">
        <v>250</v>
      </c>
      <c r="G72" s="8" t="str">
        <f t="shared" si="1"/>
        <v>OUN ZACK</v>
      </c>
    </row>
    <row r="73" spans="1:7" x14ac:dyDescent="0.25">
      <c r="A73" s="8">
        <v>42752.36515046296</v>
      </c>
      <c r="B73" s="21" t="s">
        <v>265</v>
      </c>
      <c r="C73" s="21" t="s">
        <v>557</v>
      </c>
      <c r="D73" s="160">
        <v>2680000</v>
      </c>
      <c r="E73" s="21" t="s">
        <v>371</v>
      </c>
      <c r="F73" s="21" t="s">
        <v>372</v>
      </c>
      <c r="G73" s="8" t="str">
        <f t="shared" si="1"/>
        <v>DUNCAN SHEILA</v>
      </c>
    </row>
    <row r="74" spans="1:7" x14ac:dyDescent="0.25">
      <c r="A74" s="8">
        <v>42752.372349537036</v>
      </c>
      <c r="B74" s="21" t="s">
        <v>209</v>
      </c>
      <c r="C74" s="21" t="s">
        <v>558</v>
      </c>
      <c r="D74" s="160">
        <v>2710000</v>
      </c>
      <c r="E74" s="21" t="s">
        <v>367</v>
      </c>
      <c r="F74" s="21" t="s">
        <v>368</v>
      </c>
      <c r="G74" s="8" t="str">
        <f t="shared" si="1"/>
        <v>SIMMONS SHYHESHA</v>
      </c>
    </row>
    <row r="75" spans="1:7" x14ac:dyDescent="0.25">
      <c r="A75" s="8">
        <v>42752.378101851849</v>
      </c>
      <c r="B75" s="21" t="s">
        <v>331</v>
      </c>
      <c r="C75" s="21" t="s">
        <v>463</v>
      </c>
      <c r="D75" s="160">
        <v>1290000</v>
      </c>
      <c r="E75" s="21" t="s">
        <v>505</v>
      </c>
      <c r="F75" s="21" t="s">
        <v>506</v>
      </c>
      <c r="G75" s="8" t="str">
        <f t="shared" si="1"/>
        <v>COOLAHAN JOHN</v>
      </c>
    </row>
    <row r="76" spans="1:7" x14ac:dyDescent="0.25">
      <c r="A76" s="8">
        <v>42752.383703703701</v>
      </c>
      <c r="B76" s="21" t="s">
        <v>471</v>
      </c>
      <c r="C76" s="21" t="s">
        <v>559</v>
      </c>
      <c r="D76" s="160">
        <v>2010000</v>
      </c>
      <c r="E76" s="21" t="s">
        <v>334</v>
      </c>
      <c r="F76" s="21" t="s">
        <v>335</v>
      </c>
      <c r="G76" s="8" t="str">
        <f t="shared" si="1"/>
        <v>MAELZER KURT</v>
      </c>
    </row>
    <row r="77" spans="1:7" x14ac:dyDescent="0.25">
      <c r="A77" s="8">
        <v>42752.386782407404</v>
      </c>
      <c r="B77" s="21" t="s">
        <v>275</v>
      </c>
      <c r="C77" s="21" t="s">
        <v>560</v>
      </c>
      <c r="D77" s="160">
        <v>2270000</v>
      </c>
      <c r="E77" s="21" t="s">
        <v>523</v>
      </c>
      <c r="F77" s="21" t="s">
        <v>524</v>
      </c>
      <c r="G77" s="8" t="str">
        <f t="shared" si="1"/>
        <v>BROWN JACOB</v>
      </c>
    </row>
    <row r="78" spans="1:7" x14ac:dyDescent="0.25">
      <c r="A78" s="8">
        <v>42752.391562500001</v>
      </c>
      <c r="B78" s="21" t="s">
        <v>373</v>
      </c>
      <c r="C78" s="21" t="s">
        <v>561</v>
      </c>
      <c r="D78" s="160">
        <v>890000</v>
      </c>
      <c r="E78" s="21" t="s">
        <v>511</v>
      </c>
      <c r="F78" s="21" t="s">
        <v>512</v>
      </c>
      <c r="G78" s="8" t="str">
        <f t="shared" si="1"/>
        <v>LOZA FIDEL</v>
      </c>
    </row>
    <row r="79" spans="1:7" x14ac:dyDescent="0.25">
      <c r="A79" s="8">
        <v>42752.392465277779</v>
      </c>
      <c r="B79" s="21" t="s">
        <v>207</v>
      </c>
      <c r="C79" s="21" t="s">
        <v>562</v>
      </c>
      <c r="D79" s="160">
        <v>1110000</v>
      </c>
      <c r="E79" s="21" t="s">
        <v>365</v>
      </c>
      <c r="F79" s="21" t="s">
        <v>366</v>
      </c>
      <c r="G79" s="8" t="str">
        <f t="shared" si="1"/>
        <v>STARKS ANGELINA</v>
      </c>
    </row>
    <row r="80" spans="1:7" x14ac:dyDescent="0.25">
      <c r="A80" s="8">
        <v>42752.399675925924</v>
      </c>
      <c r="B80" s="21" t="s">
        <v>302</v>
      </c>
      <c r="C80" s="21" t="s">
        <v>563</v>
      </c>
      <c r="D80" s="160">
        <v>2110000</v>
      </c>
      <c r="E80" s="21" t="s">
        <v>249</v>
      </c>
      <c r="F80" s="21" t="s">
        <v>250</v>
      </c>
      <c r="G80" s="8" t="str">
        <f t="shared" si="1"/>
        <v>OUN ZACK</v>
      </c>
    </row>
    <row r="81" spans="1:7" x14ac:dyDescent="0.25">
      <c r="A81" s="8">
        <v>42752.400787037041</v>
      </c>
      <c r="B81" s="21" t="s">
        <v>468</v>
      </c>
      <c r="C81" s="21" t="s">
        <v>564</v>
      </c>
      <c r="D81" s="160">
        <v>2270000</v>
      </c>
      <c r="E81" s="21" t="s">
        <v>523</v>
      </c>
      <c r="F81" s="21" t="s">
        <v>524</v>
      </c>
      <c r="G81" s="8" t="str">
        <f t="shared" si="1"/>
        <v>BROWN JACOB</v>
      </c>
    </row>
    <row r="82" spans="1:7" x14ac:dyDescent="0.25">
      <c r="A82" s="8">
        <v>42752.401180555556</v>
      </c>
      <c r="B82" s="21" t="s">
        <v>261</v>
      </c>
      <c r="C82" s="21" t="s">
        <v>565</v>
      </c>
      <c r="D82" s="160">
        <v>2680000</v>
      </c>
      <c r="E82" s="21" t="s">
        <v>371</v>
      </c>
      <c r="F82" s="21" t="s">
        <v>372</v>
      </c>
      <c r="G82" s="8" t="str">
        <f t="shared" si="1"/>
        <v>DUNCAN SHEILA</v>
      </c>
    </row>
    <row r="83" spans="1:7" x14ac:dyDescent="0.25">
      <c r="A83" s="8">
        <v>42752.412291666667</v>
      </c>
      <c r="B83" s="21" t="s">
        <v>300</v>
      </c>
      <c r="C83" s="21" t="s">
        <v>566</v>
      </c>
      <c r="D83" s="160">
        <v>2710000</v>
      </c>
      <c r="E83" s="21" t="s">
        <v>367</v>
      </c>
      <c r="F83" s="21" t="s">
        <v>368</v>
      </c>
      <c r="G83" s="8" t="str">
        <f t="shared" si="1"/>
        <v>SIMMONS SHYHESHA</v>
      </c>
    </row>
    <row r="84" spans="1:7" x14ac:dyDescent="0.25">
      <c r="A84" s="8">
        <v>42752.413530092592</v>
      </c>
      <c r="B84" s="21" t="s">
        <v>221</v>
      </c>
      <c r="C84" s="21" t="s">
        <v>464</v>
      </c>
      <c r="D84" s="160">
        <v>1290000</v>
      </c>
      <c r="E84" s="21" t="s">
        <v>505</v>
      </c>
      <c r="F84" s="21" t="s">
        <v>506</v>
      </c>
      <c r="G84" s="8" t="str">
        <f t="shared" si="1"/>
        <v>COOLAHAN JOHN</v>
      </c>
    </row>
    <row r="85" spans="1:7" x14ac:dyDescent="0.25">
      <c r="A85" s="8">
        <v>42752.423761574071</v>
      </c>
      <c r="B85" s="21" t="s">
        <v>290</v>
      </c>
      <c r="C85" s="21" t="s">
        <v>465</v>
      </c>
      <c r="D85" s="160">
        <v>2010000</v>
      </c>
      <c r="E85" s="21" t="s">
        <v>334</v>
      </c>
      <c r="F85" s="21" t="s">
        <v>335</v>
      </c>
      <c r="G85" s="8" t="str">
        <f t="shared" si="1"/>
        <v>MAELZER KURT</v>
      </c>
    </row>
    <row r="86" spans="1:7" x14ac:dyDescent="0.25">
      <c r="A86" s="8">
        <v>42752.425312500003</v>
      </c>
      <c r="B86" s="21" t="s">
        <v>378</v>
      </c>
      <c r="C86" s="21" t="s">
        <v>567</v>
      </c>
      <c r="D86" s="160">
        <v>890000</v>
      </c>
      <c r="E86" s="21" t="s">
        <v>511</v>
      </c>
      <c r="F86" s="21" t="s">
        <v>512</v>
      </c>
      <c r="G86" s="8" t="str">
        <f t="shared" si="1"/>
        <v>LOZA FIDEL</v>
      </c>
    </row>
    <row r="87" spans="1:7" x14ac:dyDescent="0.25">
      <c r="A87" s="8">
        <v>42752.427129629628</v>
      </c>
      <c r="B87" s="21" t="s">
        <v>275</v>
      </c>
      <c r="C87" s="21" t="s">
        <v>568</v>
      </c>
      <c r="D87" s="160">
        <v>2270000</v>
      </c>
      <c r="E87" s="21" t="s">
        <v>523</v>
      </c>
      <c r="F87" s="21" t="s">
        <v>524</v>
      </c>
      <c r="G87" s="8" t="str">
        <f t="shared" si="1"/>
        <v>BROWN JACOB</v>
      </c>
    </row>
    <row r="88" spans="1:7" x14ac:dyDescent="0.25">
      <c r="A88" s="8">
        <v>42752.431527777779</v>
      </c>
      <c r="B88" s="21" t="s">
        <v>270</v>
      </c>
      <c r="C88" s="21" t="s">
        <v>569</v>
      </c>
      <c r="D88" s="160">
        <v>1110000</v>
      </c>
      <c r="E88" s="21" t="s">
        <v>365</v>
      </c>
      <c r="F88" s="21" t="s">
        <v>366</v>
      </c>
      <c r="G88" s="8" t="str">
        <f t="shared" si="1"/>
        <v>STARKS ANGELINA</v>
      </c>
    </row>
    <row r="89" spans="1:7" x14ac:dyDescent="0.25">
      <c r="A89" s="8">
        <v>42752.435370370367</v>
      </c>
      <c r="B89" s="21" t="s">
        <v>303</v>
      </c>
      <c r="C89" s="21" t="s">
        <v>570</v>
      </c>
      <c r="D89" s="160">
        <v>1830000</v>
      </c>
      <c r="E89" s="21" t="s">
        <v>381</v>
      </c>
      <c r="F89" s="21" t="s">
        <v>382</v>
      </c>
      <c r="G89" s="8" t="str">
        <f t="shared" si="1"/>
        <v>YORK EDGAR</v>
      </c>
    </row>
    <row r="90" spans="1:7" x14ac:dyDescent="0.25">
      <c r="A90" s="8">
        <v>42752.435578703706</v>
      </c>
      <c r="B90" s="21" t="s">
        <v>212</v>
      </c>
      <c r="C90" s="21" t="s">
        <v>571</v>
      </c>
      <c r="D90" s="160">
        <v>1780000</v>
      </c>
      <c r="E90" s="21" t="s">
        <v>572</v>
      </c>
      <c r="F90" s="21" t="s">
        <v>573</v>
      </c>
      <c r="G90" s="8" t="str">
        <f t="shared" si="1"/>
        <v>DE LA ROSA ALEX</v>
      </c>
    </row>
    <row r="91" spans="1:7" x14ac:dyDescent="0.25">
      <c r="A91" s="8">
        <v>42752.436215277776</v>
      </c>
      <c r="B91" s="21" t="s">
        <v>265</v>
      </c>
      <c r="C91" s="21" t="s">
        <v>574</v>
      </c>
      <c r="D91" s="160">
        <v>2680000</v>
      </c>
      <c r="E91" s="21" t="s">
        <v>371</v>
      </c>
      <c r="F91" s="21" t="s">
        <v>372</v>
      </c>
      <c r="G91" s="8" t="str">
        <f t="shared" si="1"/>
        <v>DUNCAN SHEILA</v>
      </c>
    </row>
    <row r="92" spans="1:7" x14ac:dyDescent="0.25">
      <c r="A92" s="8">
        <v>42752.442685185182</v>
      </c>
      <c r="B92" s="21" t="s">
        <v>468</v>
      </c>
      <c r="C92" s="21" t="s">
        <v>575</v>
      </c>
      <c r="D92" s="160">
        <v>2270000</v>
      </c>
      <c r="E92" s="21" t="s">
        <v>523</v>
      </c>
      <c r="F92" s="21" t="s">
        <v>524</v>
      </c>
      <c r="G92" s="8" t="str">
        <f t="shared" si="1"/>
        <v>BROWN JACOB</v>
      </c>
    </row>
    <row r="93" spans="1:7" x14ac:dyDescent="0.25">
      <c r="A93" s="8">
        <v>42752.445057870369</v>
      </c>
      <c r="B93" s="21" t="s">
        <v>209</v>
      </c>
      <c r="C93" s="21" t="s">
        <v>576</v>
      </c>
      <c r="D93" s="160">
        <v>1340000</v>
      </c>
      <c r="E93" s="21" t="s">
        <v>517</v>
      </c>
      <c r="F93" s="21" t="s">
        <v>518</v>
      </c>
      <c r="G93" s="8" t="str">
        <f t="shared" si="1"/>
        <v>BEAM ROSS</v>
      </c>
    </row>
    <row r="94" spans="1:7" x14ac:dyDescent="0.25">
      <c r="A94" s="8">
        <v>42752.449814814812</v>
      </c>
      <c r="B94" s="21" t="s">
        <v>331</v>
      </c>
      <c r="C94" s="21" t="s">
        <v>466</v>
      </c>
      <c r="D94" s="160">
        <v>1290000</v>
      </c>
      <c r="E94" s="21" t="s">
        <v>505</v>
      </c>
      <c r="F94" s="21" t="s">
        <v>506</v>
      </c>
      <c r="G94" s="8" t="str">
        <f t="shared" si="1"/>
        <v>COOLAHAN JOHN</v>
      </c>
    </row>
    <row r="95" spans="1:7" x14ac:dyDescent="0.25">
      <c r="A95" s="8">
        <v>42752.454687500001</v>
      </c>
      <c r="B95" s="21" t="s">
        <v>471</v>
      </c>
      <c r="C95" s="21" t="s">
        <v>577</v>
      </c>
      <c r="D95" s="160">
        <v>920000</v>
      </c>
      <c r="E95" s="21" t="s">
        <v>336</v>
      </c>
      <c r="F95" s="21" t="s">
        <v>238</v>
      </c>
      <c r="G95" s="8" t="str">
        <f t="shared" si="1"/>
        <v>DAVIS MICHAEL</v>
      </c>
    </row>
    <row r="96" spans="1:7" x14ac:dyDescent="0.25">
      <c r="A96" s="8">
        <v>42752.463113425925</v>
      </c>
      <c r="B96" s="21" t="s">
        <v>373</v>
      </c>
      <c r="C96" s="21" t="s">
        <v>578</v>
      </c>
      <c r="D96" s="160">
        <v>890000</v>
      </c>
      <c r="E96" s="21" t="s">
        <v>511</v>
      </c>
      <c r="F96" s="21" t="s">
        <v>512</v>
      </c>
      <c r="G96" s="8" t="str">
        <f t="shared" si="1"/>
        <v>LOZA FIDEL</v>
      </c>
    </row>
    <row r="97" spans="1:7" x14ac:dyDescent="0.25">
      <c r="A97" s="8">
        <v>42752.463564814818</v>
      </c>
      <c r="B97" s="21" t="s">
        <v>302</v>
      </c>
      <c r="C97" s="21" t="s">
        <v>579</v>
      </c>
      <c r="D97" s="160">
        <v>1830000</v>
      </c>
      <c r="E97" s="21" t="s">
        <v>381</v>
      </c>
      <c r="F97" s="21" t="s">
        <v>382</v>
      </c>
      <c r="G97" s="8" t="str">
        <f t="shared" si="1"/>
        <v>YORK EDGAR</v>
      </c>
    </row>
    <row r="98" spans="1:7" x14ac:dyDescent="0.25">
      <c r="A98" s="8">
        <v>42752.46533564815</v>
      </c>
      <c r="B98" s="21" t="s">
        <v>207</v>
      </c>
      <c r="C98" s="21" t="s">
        <v>580</v>
      </c>
      <c r="D98" s="160">
        <v>880000</v>
      </c>
      <c r="E98" s="21" t="s">
        <v>340</v>
      </c>
      <c r="F98" s="21" t="s">
        <v>238</v>
      </c>
      <c r="G98" s="8" t="str">
        <f t="shared" si="1"/>
        <v>STEWART MICHAEL</v>
      </c>
    </row>
    <row r="99" spans="1:7" x14ac:dyDescent="0.25">
      <c r="A99" s="8">
        <v>42752.466562499998</v>
      </c>
      <c r="B99" s="21" t="s">
        <v>211</v>
      </c>
      <c r="C99" s="21" t="s">
        <v>581</v>
      </c>
      <c r="D99" s="160">
        <v>1200000</v>
      </c>
      <c r="E99" s="21" t="s">
        <v>582</v>
      </c>
      <c r="F99" s="21" t="s">
        <v>583</v>
      </c>
      <c r="G99" s="8" t="str">
        <f t="shared" si="1"/>
        <v>CUSHING HARRY</v>
      </c>
    </row>
    <row r="100" spans="1:7" x14ac:dyDescent="0.25">
      <c r="A100" s="8">
        <v>42752.469398148147</v>
      </c>
      <c r="B100" s="21" t="s">
        <v>275</v>
      </c>
      <c r="C100" s="21" t="s">
        <v>584</v>
      </c>
      <c r="D100" s="160">
        <v>2710000</v>
      </c>
      <c r="E100" s="21" t="s">
        <v>367</v>
      </c>
      <c r="F100" s="21" t="s">
        <v>368</v>
      </c>
      <c r="G100" s="8" t="str">
        <f t="shared" si="1"/>
        <v>SIMMONS SHYHESHA</v>
      </c>
    </row>
    <row r="101" spans="1:7" x14ac:dyDescent="0.25">
      <c r="A101" s="8">
        <v>42752.474479166667</v>
      </c>
      <c r="B101" s="21" t="s">
        <v>155</v>
      </c>
      <c r="C101" s="21" t="s">
        <v>467</v>
      </c>
      <c r="D101" s="160">
        <v>2470000</v>
      </c>
      <c r="E101" s="21" t="s">
        <v>338</v>
      </c>
      <c r="F101" s="21" t="s">
        <v>339</v>
      </c>
      <c r="G101" s="8" t="str">
        <f t="shared" si="1"/>
        <v>ROMERO CHAD</v>
      </c>
    </row>
    <row r="102" spans="1:7" x14ac:dyDescent="0.25">
      <c r="A102" s="8">
        <v>42752.475914351853</v>
      </c>
      <c r="B102" s="21" t="s">
        <v>300</v>
      </c>
      <c r="C102" s="21" t="s">
        <v>585</v>
      </c>
      <c r="D102" s="160">
        <v>1360000</v>
      </c>
      <c r="E102" s="21" t="s">
        <v>586</v>
      </c>
      <c r="F102" s="21" t="s">
        <v>587</v>
      </c>
      <c r="G102" s="8" t="str">
        <f t="shared" si="1"/>
        <v>SANTIZO D. EDY</v>
      </c>
    </row>
    <row r="103" spans="1:7" x14ac:dyDescent="0.25">
      <c r="A103" s="8">
        <v>42752.477476851855</v>
      </c>
      <c r="B103" s="21" t="s">
        <v>261</v>
      </c>
      <c r="C103" s="21" t="s">
        <v>588</v>
      </c>
      <c r="D103" s="160">
        <v>2730000</v>
      </c>
      <c r="E103" s="21" t="s">
        <v>376</v>
      </c>
      <c r="F103" s="21" t="s">
        <v>377</v>
      </c>
      <c r="G103" s="8" t="str">
        <f t="shared" si="1"/>
        <v>YANG JAN</v>
      </c>
    </row>
    <row r="104" spans="1:7" x14ac:dyDescent="0.25">
      <c r="A104" s="8">
        <v>42752.480439814812</v>
      </c>
      <c r="B104" s="21" t="s">
        <v>155</v>
      </c>
      <c r="C104" s="21" t="s">
        <v>467</v>
      </c>
      <c r="D104" s="160">
        <v>2470000</v>
      </c>
      <c r="E104" s="21" t="s">
        <v>338</v>
      </c>
      <c r="F104" s="21" t="s">
        <v>339</v>
      </c>
      <c r="G104" s="8" t="str">
        <f t="shared" si="1"/>
        <v>ROMERO CHAD</v>
      </c>
    </row>
    <row r="105" spans="1:7" x14ac:dyDescent="0.25">
      <c r="A105" s="8">
        <v>42752.485833333332</v>
      </c>
      <c r="B105" s="21" t="s">
        <v>468</v>
      </c>
      <c r="C105" s="21" t="s">
        <v>469</v>
      </c>
      <c r="D105" s="160">
        <v>2710000</v>
      </c>
      <c r="E105" s="21" t="s">
        <v>367</v>
      </c>
      <c r="F105" s="21" t="s">
        <v>368</v>
      </c>
      <c r="G105" s="8" t="str">
        <f t="shared" si="1"/>
        <v>SIMMONS SHYHESHA</v>
      </c>
    </row>
    <row r="106" spans="1:7" x14ac:dyDescent="0.25">
      <c r="A106" s="8">
        <v>42752.485844907409</v>
      </c>
      <c r="B106" s="21" t="s">
        <v>221</v>
      </c>
      <c r="C106" s="21" t="s">
        <v>589</v>
      </c>
      <c r="D106" s="160">
        <v>930000</v>
      </c>
      <c r="E106" s="21" t="s">
        <v>374</v>
      </c>
      <c r="F106" s="21" t="s">
        <v>375</v>
      </c>
      <c r="G106" s="8" t="str">
        <f t="shared" si="1"/>
        <v>CLARK KATHLEEN</v>
      </c>
    </row>
    <row r="107" spans="1:7" x14ac:dyDescent="0.25">
      <c r="A107" s="8">
        <v>42752.49459490741</v>
      </c>
      <c r="B107" s="21" t="s">
        <v>290</v>
      </c>
      <c r="C107" s="21" t="s">
        <v>590</v>
      </c>
      <c r="D107" s="160">
        <v>920000</v>
      </c>
      <c r="E107" s="21" t="s">
        <v>336</v>
      </c>
      <c r="F107" s="21" t="s">
        <v>238</v>
      </c>
      <c r="G107" s="8" t="str">
        <f t="shared" si="1"/>
        <v>DAVIS MICHAEL</v>
      </c>
    </row>
    <row r="108" spans="1:7" x14ac:dyDescent="0.25">
      <c r="A108" s="8">
        <v>42752.495995370373</v>
      </c>
      <c r="B108" s="21" t="s">
        <v>378</v>
      </c>
      <c r="C108" s="21" t="s">
        <v>591</v>
      </c>
      <c r="D108" s="160">
        <v>2250000</v>
      </c>
      <c r="E108" s="21" t="s">
        <v>379</v>
      </c>
      <c r="F108" s="21" t="s">
        <v>380</v>
      </c>
      <c r="G108" s="8" t="str">
        <f t="shared" si="1"/>
        <v>CRAYTON QUNTRELL</v>
      </c>
    </row>
    <row r="109" spans="1:7" x14ac:dyDescent="0.25">
      <c r="A109" s="8">
        <v>42752.50409722222</v>
      </c>
      <c r="B109" s="21" t="s">
        <v>270</v>
      </c>
      <c r="C109" s="21" t="s">
        <v>592</v>
      </c>
      <c r="D109" s="160">
        <v>880000</v>
      </c>
      <c r="E109" s="21" t="s">
        <v>340</v>
      </c>
      <c r="F109" s="21" t="s">
        <v>238</v>
      </c>
      <c r="G109" s="8" t="str">
        <f t="shared" si="1"/>
        <v>STEWART MICHAEL</v>
      </c>
    </row>
    <row r="110" spans="1:7" x14ac:dyDescent="0.25">
      <c r="A110" s="8">
        <v>42752.506145833337</v>
      </c>
      <c r="B110" s="21" t="s">
        <v>303</v>
      </c>
      <c r="C110" s="21" t="s">
        <v>593</v>
      </c>
      <c r="D110" s="160">
        <v>2470000</v>
      </c>
      <c r="E110" s="21" t="s">
        <v>338</v>
      </c>
      <c r="F110" s="21" t="s">
        <v>339</v>
      </c>
      <c r="G110" s="8" t="str">
        <f t="shared" si="1"/>
        <v>ROMERO CHAD</v>
      </c>
    </row>
    <row r="111" spans="1:7" x14ac:dyDescent="0.25">
      <c r="A111" s="8">
        <v>42752.507372685184</v>
      </c>
      <c r="B111" s="21" t="s">
        <v>275</v>
      </c>
      <c r="C111" s="21" t="s">
        <v>594</v>
      </c>
      <c r="D111" s="160">
        <v>2270000</v>
      </c>
      <c r="E111" s="21" t="s">
        <v>523</v>
      </c>
      <c r="F111" s="21" t="s">
        <v>524</v>
      </c>
      <c r="G111" s="8" t="str">
        <f t="shared" si="1"/>
        <v>BROWN JACOB</v>
      </c>
    </row>
    <row r="112" spans="1:7" x14ac:dyDescent="0.25">
      <c r="A112" s="8">
        <v>42752.51221064815</v>
      </c>
      <c r="B112" s="21" t="s">
        <v>265</v>
      </c>
      <c r="C112" s="21" t="s">
        <v>595</v>
      </c>
      <c r="D112" s="160">
        <v>2730000</v>
      </c>
      <c r="E112" s="21" t="s">
        <v>376</v>
      </c>
      <c r="F112" s="21" t="s">
        <v>377</v>
      </c>
      <c r="G112" s="8" t="str">
        <f t="shared" si="1"/>
        <v>YANG JAN</v>
      </c>
    </row>
    <row r="113" spans="1:7" x14ac:dyDescent="0.25">
      <c r="A113" s="8">
        <v>42752.516273148147</v>
      </c>
      <c r="B113" s="21" t="s">
        <v>154</v>
      </c>
      <c r="C113" s="21" t="s">
        <v>596</v>
      </c>
      <c r="D113" s="160">
        <v>890000</v>
      </c>
      <c r="E113" s="21" t="s">
        <v>511</v>
      </c>
      <c r="F113" s="21" t="s">
        <v>512</v>
      </c>
      <c r="G113" s="8" t="str">
        <f t="shared" si="1"/>
        <v>LOZA FIDEL</v>
      </c>
    </row>
    <row r="114" spans="1:7" x14ac:dyDescent="0.25">
      <c r="A114" s="8">
        <v>42752.516377314816</v>
      </c>
      <c r="B114" s="21" t="s">
        <v>209</v>
      </c>
      <c r="C114" s="21" t="s">
        <v>597</v>
      </c>
      <c r="D114" s="160">
        <v>2150000</v>
      </c>
      <c r="E114" s="21" t="s">
        <v>369</v>
      </c>
      <c r="F114" s="21" t="s">
        <v>370</v>
      </c>
      <c r="G114" s="8" t="str">
        <f t="shared" si="1"/>
        <v>SWANSON BRYCE</v>
      </c>
    </row>
    <row r="115" spans="1:7" x14ac:dyDescent="0.25">
      <c r="A115" s="8">
        <v>42752.524594907409</v>
      </c>
      <c r="B115" s="21" t="s">
        <v>331</v>
      </c>
      <c r="C115" s="21" t="s">
        <v>598</v>
      </c>
      <c r="D115" s="160">
        <v>930000</v>
      </c>
      <c r="E115" s="21" t="s">
        <v>374</v>
      </c>
      <c r="F115" s="21" t="s">
        <v>375</v>
      </c>
      <c r="G115" s="8" t="str">
        <f t="shared" si="1"/>
        <v>CLARK KATHLEEN</v>
      </c>
    </row>
    <row r="116" spans="1:7" x14ac:dyDescent="0.25">
      <c r="A116" s="8">
        <v>42752.526469907411</v>
      </c>
      <c r="B116" s="21" t="s">
        <v>468</v>
      </c>
      <c r="C116" s="21" t="s">
        <v>470</v>
      </c>
      <c r="D116" s="160">
        <v>2270000</v>
      </c>
      <c r="E116" s="21" t="s">
        <v>523</v>
      </c>
      <c r="F116" s="21" t="s">
        <v>524</v>
      </c>
      <c r="G116" s="8" t="str">
        <f t="shared" si="1"/>
        <v>BROWN JACOB</v>
      </c>
    </row>
    <row r="117" spans="1:7" x14ac:dyDescent="0.25">
      <c r="A117" s="8">
        <v>42752.529675925929</v>
      </c>
      <c r="B117" s="21" t="s">
        <v>471</v>
      </c>
      <c r="C117" s="21" t="s">
        <v>472</v>
      </c>
      <c r="D117" s="160">
        <v>920000</v>
      </c>
      <c r="E117" s="21" t="s">
        <v>336</v>
      </c>
      <c r="F117" s="21" t="s">
        <v>238</v>
      </c>
      <c r="G117" s="8" t="str">
        <f t="shared" si="1"/>
        <v>DAVIS MICHAEL</v>
      </c>
    </row>
    <row r="118" spans="1:7" x14ac:dyDescent="0.25">
      <c r="A118" s="8">
        <v>42752.534224537034</v>
      </c>
      <c r="B118" s="21" t="s">
        <v>373</v>
      </c>
      <c r="C118" s="21" t="s">
        <v>599</v>
      </c>
      <c r="D118" s="160">
        <v>2250000</v>
      </c>
      <c r="E118" s="21" t="s">
        <v>379</v>
      </c>
      <c r="F118" s="21" t="s">
        <v>380</v>
      </c>
      <c r="G118" s="8" t="str">
        <f t="shared" si="1"/>
        <v>CRAYTON QUNTRELL</v>
      </c>
    </row>
    <row r="119" spans="1:7" x14ac:dyDescent="0.25">
      <c r="A119" s="8">
        <v>42752.536851851852</v>
      </c>
      <c r="B119" s="21" t="s">
        <v>302</v>
      </c>
      <c r="C119" s="21" t="s">
        <v>600</v>
      </c>
      <c r="D119" s="160">
        <v>2470000</v>
      </c>
      <c r="E119" s="21" t="s">
        <v>338</v>
      </c>
      <c r="F119" s="21" t="s">
        <v>339</v>
      </c>
      <c r="G119" s="8" t="str">
        <f t="shared" si="1"/>
        <v>ROMERO CHAD</v>
      </c>
    </row>
    <row r="120" spans="1:7" x14ac:dyDescent="0.25">
      <c r="A120" s="8">
        <v>42752.538194444445</v>
      </c>
      <c r="B120" s="21" t="s">
        <v>207</v>
      </c>
      <c r="C120" s="21" t="s">
        <v>601</v>
      </c>
      <c r="D120" s="160">
        <v>880000</v>
      </c>
      <c r="E120" s="21" t="s">
        <v>340</v>
      </c>
      <c r="F120" s="21" t="s">
        <v>238</v>
      </c>
      <c r="G120" s="8" t="str">
        <f t="shared" si="1"/>
        <v>STEWART MICHAEL</v>
      </c>
    </row>
    <row r="121" spans="1:7" x14ac:dyDescent="0.25">
      <c r="A121" s="8">
        <v>42752.549039351848</v>
      </c>
      <c r="B121" s="21" t="s">
        <v>275</v>
      </c>
      <c r="C121" s="21" t="s">
        <v>602</v>
      </c>
      <c r="D121" s="160">
        <v>1300000</v>
      </c>
      <c r="E121" s="21" t="s">
        <v>113</v>
      </c>
      <c r="F121" s="21" t="s">
        <v>341</v>
      </c>
      <c r="G121" s="8" t="str">
        <f t="shared" si="1"/>
        <v>LEVIN SCOTT</v>
      </c>
    </row>
    <row r="122" spans="1:7" x14ac:dyDescent="0.25">
      <c r="A122" s="8">
        <v>42752.549398148149</v>
      </c>
      <c r="B122" s="26" t="s">
        <v>261</v>
      </c>
      <c r="C122" s="21" t="s">
        <v>603</v>
      </c>
      <c r="D122" s="160">
        <v>2730000</v>
      </c>
      <c r="E122" s="21" t="s">
        <v>376</v>
      </c>
      <c r="F122" s="21" t="s">
        <v>377</v>
      </c>
      <c r="G122" s="8" t="str">
        <f t="shared" si="1"/>
        <v>YANG JAN</v>
      </c>
    </row>
    <row r="123" spans="1:7" x14ac:dyDescent="0.25">
      <c r="A123" s="8">
        <v>42752.552129629628</v>
      </c>
      <c r="B123" s="21" t="s">
        <v>300</v>
      </c>
      <c r="C123" s="21" t="s">
        <v>604</v>
      </c>
      <c r="D123" s="160">
        <v>2150000</v>
      </c>
      <c r="E123" s="21" t="s">
        <v>369</v>
      </c>
      <c r="F123" s="21" t="s">
        <v>370</v>
      </c>
      <c r="G123" s="8" t="str">
        <f t="shared" si="1"/>
        <v>SWANSON BRYCE</v>
      </c>
    </row>
    <row r="124" spans="1:7" x14ac:dyDescent="0.25">
      <c r="A124" s="8">
        <v>42752.559652777774</v>
      </c>
      <c r="B124" s="21" t="s">
        <v>221</v>
      </c>
      <c r="C124" s="21" t="s">
        <v>605</v>
      </c>
      <c r="D124" s="160">
        <v>930000</v>
      </c>
      <c r="E124" s="21" t="s">
        <v>374</v>
      </c>
      <c r="F124" s="21" t="s">
        <v>375</v>
      </c>
      <c r="G124" s="8" t="str">
        <f t="shared" si="1"/>
        <v>CLARK KATHLEEN</v>
      </c>
    </row>
    <row r="125" spans="1:7" x14ac:dyDescent="0.25">
      <c r="A125" s="8">
        <v>42752.567766203705</v>
      </c>
      <c r="B125" s="21" t="s">
        <v>468</v>
      </c>
      <c r="C125" s="21" t="s">
        <v>473</v>
      </c>
      <c r="D125" s="160">
        <v>1300000</v>
      </c>
      <c r="E125" s="21" t="s">
        <v>113</v>
      </c>
      <c r="F125" s="21" t="s">
        <v>341</v>
      </c>
      <c r="G125" s="8" t="str">
        <f t="shared" si="1"/>
        <v>LEVIN SCOTT</v>
      </c>
    </row>
    <row r="126" spans="1:7" x14ac:dyDescent="0.25">
      <c r="A126" s="8">
        <v>42752.568495370368</v>
      </c>
      <c r="B126" s="21" t="s">
        <v>290</v>
      </c>
      <c r="C126" s="21" t="s">
        <v>606</v>
      </c>
      <c r="D126" s="160">
        <v>920000</v>
      </c>
      <c r="E126" s="21" t="s">
        <v>336</v>
      </c>
      <c r="F126" s="21" t="s">
        <v>238</v>
      </c>
      <c r="G126" s="8" t="str">
        <f t="shared" si="1"/>
        <v>DAVIS MICHAEL</v>
      </c>
    </row>
    <row r="127" spans="1:7" x14ac:dyDescent="0.25">
      <c r="A127" s="8">
        <v>42752.569687499999</v>
      </c>
      <c r="B127" s="21" t="s">
        <v>378</v>
      </c>
      <c r="C127" s="21" t="s">
        <v>599</v>
      </c>
      <c r="D127" s="160">
        <v>2250000</v>
      </c>
      <c r="E127" s="21" t="s">
        <v>379</v>
      </c>
      <c r="F127" s="21" t="s">
        <v>380</v>
      </c>
      <c r="G127" s="8" t="str">
        <f t="shared" si="1"/>
        <v>CRAYTON QUNTRELL</v>
      </c>
    </row>
    <row r="128" spans="1:7" x14ac:dyDescent="0.25">
      <c r="A128" s="8">
        <v>42752.570300925923</v>
      </c>
      <c r="B128" s="21" t="s">
        <v>378</v>
      </c>
      <c r="C128" s="21" t="s">
        <v>607</v>
      </c>
      <c r="D128" s="160">
        <v>2250000</v>
      </c>
      <c r="E128" s="21" t="s">
        <v>379</v>
      </c>
      <c r="F128" s="21" t="s">
        <v>380</v>
      </c>
      <c r="G128" s="8" t="str">
        <f t="shared" si="1"/>
        <v>CRAYTON QUNTRELL</v>
      </c>
    </row>
    <row r="129" spans="1:7" x14ac:dyDescent="0.25">
      <c r="A129" s="8">
        <v>42752.578750000001</v>
      </c>
      <c r="B129" s="21" t="s">
        <v>270</v>
      </c>
      <c r="C129" s="21" t="s">
        <v>608</v>
      </c>
      <c r="D129" s="160">
        <v>880000</v>
      </c>
      <c r="E129" s="21" t="s">
        <v>340</v>
      </c>
      <c r="F129" s="21" t="s">
        <v>238</v>
      </c>
      <c r="G129" s="8" t="str">
        <f t="shared" si="1"/>
        <v>STEWART MICHAEL</v>
      </c>
    </row>
    <row r="130" spans="1:7" x14ac:dyDescent="0.25">
      <c r="A130" s="8">
        <v>42752.580474537041</v>
      </c>
      <c r="B130" s="21" t="s">
        <v>303</v>
      </c>
      <c r="C130" s="21" t="s">
        <v>474</v>
      </c>
      <c r="D130" s="160">
        <v>2470000</v>
      </c>
      <c r="E130" s="21" t="s">
        <v>338</v>
      </c>
      <c r="F130" s="21" t="s">
        <v>339</v>
      </c>
      <c r="G130" s="8" t="str">
        <f t="shared" si="1"/>
        <v>ROMERO CHAD</v>
      </c>
    </row>
    <row r="131" spans="1:7" x14ac:dyDescent="0.25">
      <c r="A131" s="8">
        <v>42752.585277777776</v>
      </c>
      <c r="B131" s="21" t="s">
        <v>265</v>
      </c>
      <c r="C131" s="21" t="s">
        <v>609</v>
      </c>
      <c r="D131" s="160">
        <v>2730000</v>
      </c>
      <c r="E131" s="21" t="s">
        <v>376</v>
      </c>
      <c r="F131" s="21" t="s">
        <v>377</v>
      </c>
      <c r="G131" s="8" t="str">
        <f t="shared" ref="G131:G194" si="2">E131&amp;" "&amp;F131</f>
        <v>YANG JAN</v>
      </c>
    </row>
    <row r="132" spans="1:7" x14ac:dyDescent="0.25">
      <c r="A132" s="8">
        <v>42752.589212962965</v>
      </c>
      <c r="B132" s="21" t="s">
        <v>209</v>
      </c>
      <c r="C132" s="21" t="s">
        <v>610</v>
      </c>
      <c r="D132" s="160">
        <v>2150000</v>
      </c>
      <c r="E132" s="21" t="s">
        <v>369</v>
      </c>
      <c r="F132" s="21" t="s">
        <v>370</v>
      </c>
      <c r="G132" s="8" t="str">
        <f t="shared" si="2"/>
        <v>SWANSON BRYCE</v>
      </c>
    </row>
    <row r="133" spans="1:7" x14ac:dyDescent="0.25">
      <c r="A133" s="8">
        <v>42752.595462962963</v>
      </c>
      <c r="B133" s="21" t="s">
        <v>275</v>
      </c>
      <c r="C133" s="21" t="s">
        <v>476</v>
      </c>
      <c r="D133" s="160">
        <v>1300000</v>
      </c>
      <c r="E133" s="21" t="s">
        <v>113</v>
      </c>
      <c r="F133" s="21" t="s">
        <v>341</v>
      </c>
      <c r="G133" s="8" t="str">
        <f t="shared" si="2"/>
        <v>LEVIN SCOTT</v>
      </c>
    </row>
    <row r="134" spans="1:7" x14ac:dyDescent="0.25">
      <c r="A134" s="8">
        <v>42752.59746527778</v>
      </c>
      <c r="B134" s="21" t="s">
        <v>331</v>
      </c>
      <c r="C134" s="21" t="s">
        <v>611</v>
      </c>
      <c r="D134" s="160">
        <v>930000</v>
      </c>
      <c r="E134" s="21" t="s">
        <v>374</v>
      </c>
      <c r="F134" s="21" t="s">
        <v>375</v>
      </c>
      <c r="G134" s="8" t="str">
        <f t="shared" si="2"/>
        <v>CLARK KATHLEEN</v>
      </c>
    </row>
    <row r="135" spans="1:7" x14ac:dyDescent="0.25">
      <c r="A135" s="8">
        <v>42752.601770833331</v>
      </c>
      <c r="B135" s="21" t="s">
        <v>471</v>
      </c>
      <c r="C135" s="21" t="s">
        <v>475</v>
      </c>
      <c r="D135" s="160">
        <v>920000</v>
      </c>
      <c r="E135" s="21" t="s">
        <v>336</v>
      </c>
      <c r="F135" s="21" t="s">
        <v>238</v>
      </c>
      <c r="G135" s="8" t="str">
        <f t="shared" si="2"/>
        <v>DAVIS MICHAEL</v>
      </c>
    </row>
    <row r="136" spans="1:7" x14ac:dyDescent="0.25">
      <c r="A136" s="8">
        <v>42752.604456018518</v>
      </c>
      <c r="B136" s="21" t="s">
        <v>373</v>
      </c>
      <c r="C136" s="21" t="s">
        <v>612</v>
      </c>
      <c r="D136" s="160">
        <v>2250000</v>
      </c>
      <c r="E136" s="21" t="s">
        <v>379</v>
      </c>
      <c r="F136" s="21" t="s">
        <v>380</v>
      </c>
      <c r="G136" s="8" t="str">
        <f t="shared" si="2"/>
        <v>CRAYTON QUNTRELL</v>
      </c>
    </row>
    <row r="137" spans="1:7" x14ac:dyDescent="0.25">
      <c r="A137" s="8">
        <v>42752.608854166669</v>
      </c>
      <c r="B137" s="21" t="s">
        <v>468</v>
      </c>
      <c r="C137" s="21" t="s">
        <v>613</v>
      </c>
      <c r="D137" s="160">
        <v>1300000</v>
      </c>
      <c r="E137" s="21" t="s">
        <v>113</v>
      </c>
      <c r="F137" s="21" t="s">
        <v>341</v>
      </c>
      <c r="G137" s="8" t="str">
        <f t="shared" si="2"/>
        <v>LEVIN SCOTT</v>
      </c>
    </row>
    <row r="138" spans="1:7" x14ac:dyDescent="0.25">
      <c r="A138" s="8">
        <v>42752.609861111108</v>
      </c>
      <c r="B138" s="21" t="s">
        <v>302</v>
      </c>
      <c r="C138" s="21" t="s">
        <v>614</v>
      </c>
      <c r="D138" s="160">
        <v>2470000</v>
      </c>
      <c r="E138" s="21" t="s">
        <v>338</v>
      </c>
      <c r="F138" s="21" t="s">
        <v>339</v>
      </c>
      <c r="G138" s="8" t="str">
        <f t="shared" si="2"/>
        <v>ROMERO CHAD</v>
      </c>
    </row>
    <row r="139" spans="1:7" x14ac:dyDescent="0.25">
      <c r="A139" s="8">
        <v>42752.612997685188</v>
      </c>
      <c r="B139" s="21" t="s">
        <v>207</v>
      </c>
      <c r="C139" s="21" t="s">
        <v>615</v>
      </c>
      <c r="D139" s="160">
        <v>880000</v>
      </c>
      <c r="E139" s="21" t="s">
        <v>340</v>
      </c>
      <c r="F139" s="21" t="s">
        <v>238</v>
      </c>
      <c r="G139" s="8" t="str">
        <f t="shared" si="2"/>
        <v>STEWART MICHAEL</v>
      </c>
    </row>
    <row r="140" spans="1:7" x14ac:dyDescent="0.25">
      <c r="A140" s="8">
        <v>42752.621238425927</v>
      </c>
      <c r="B140" s="21" t="s">
        <v>261</v>
      </c>
      <c r="C140" s="21" t="s">
        <v>616</v>
      </c>
      <c r="D140" s="160">
        <v>2730000</v>
      </c>
      <c r="E140" s="21" t="s">
        <v>376</v>
      </c>
      <c r="F140" s="21" t="s">
        <v>377</v>
      </c>
      <c r="G140" s="8" t="str">
        <f t="shared" si="2"/>
        <v>YANG JAN</v>
      </c>
    </row>
    <row r="141" spans="1:7" x14ac:dyDescent="0.25">
      <c r="A141" s="8">
        <v>42752.623229166667</v>
      </c>
      <c r="B141" s="21" t="s">
        <v>300</v>
      </c>
      <c r="C141" s="21" t="s">
        <v>617</v>
      </c>
      <c r="D141" s="160">
        <v>2150000</v>
      </c>
      <c r="E141" s="21" t="s">
        <v>369</v>
      </c>
      <c r="F141" s="21" t="s">
        <v>370</v>
      </c>
      <c r="G141" s="8" t="str">
        <f t="shared" si="2"/>
        <v>SWANSON BRYCE</v>
      </c>
    </row>
    <row r="142" spans="1:7" x14ac:dyDescent="0.25">
      <c r="A142" s="8">
        <v>42752.630856481483</v>
      </c>
      <c r="B142" s="21" t="s">
        <v>221</v>
      </c>
      <c r="C142" s="21" t="s">
        <v>618</v>
      </c>
      <c r="D142" s="160">
        <v>930000</v>
      </c>
      <c r="E142" s="21" t="s">
        <v>374</v>
      </c>
      <c r="F142" s="21" t="s">
        <v>375</v>
      </c>
      <c r="G142" s="8" t="str">
        <f t="shared" si="2"/>
        <v>CLARK KATHLEEN</v>
      </c>
    </row>
    <row r="143" spans="1:7" x14ac:dyDescent="0.25">
      <c r="A143" s="8">
        <v>42752.637303240743</v>
      </c>
      <c r="B143" s="21" t="s">
        <v>275</v>
      </c>
      <c r="C143" s="21" t="s">
        <v>619</v>
      </c>
      <c r="D143" s="160">
        <v>1300000</v>
      </c>
      <c r="E143" s="21" t="s">
        <v>113</v>
      </c>
      <c r="F143" s="21" t="s">
        <v>341</v>
      </c>
      <c r="G143" s="8" t="str">
        <f t="shared" si="2"/>
        <v>LEVIN SCOTT</v>
      </c>
    </row>
    <row r="144" spans="1:7" x14ac:dyDescent="0.25">
      <c r="A144" s="8">
        <v>42752.640497685185</v>
      </c>
      <c r="B144" s="21" t="s">
        <v>290</v>
      </c>
      <c r="C144" s="21" t="s">
        <v>620</v>
      </c>
      <c r="D144" s="160">
        <v>920000</v>
      </c>
      <c r="E144" s="21" t="s">
        <v>336</v>
      </c>
      <c r="F144" s="21" t="s">
        <v>238</v>
      </c>
      <c r="G144" s="8" t="str">
        <f t="shared" si="2"/>
        <v>DAVIS MICHAEL</v>
      </c>
    </row>
    <row r="145" spans="1:7" x14ac:dyDescent="0.25">
      <c r="A145" s="8">
        <v>42752.641932870371</v>
      </c>
      <c r="B145" s="21" t="s">
        <v>378</v>
      </c>
      <c r="C145" s="21" t="s">
        <v>621</v>
      </c>
      <c r="D145" s="160">
        <v>2250000</v>
      </c>
      <c r="E145" s="21" t="s">
        <v>379</v>
      </c>
      <c r="F145" s="21" t="s">
        <v>380</v>
      </c>
      <c r="G145" s="8" t="str">
        <f t="shared" si="2"/>
        <v>CRAYTON QUNTRELL</v>
      </c>
    </row>
    <row r="146" spans="1:7" x14ac:dyDescent="0.25">
      <c r="A146" s="8">
        <v>42752.6481712963</v>
      </c>
      <c r="B146" s="21" t="s">
        <v>479</v>
      </c>
      <c r="C146" s="21" t="s">
        <v>622</v>
      </c>
      <c r="D146" s="160">
        <v>2220000</v>
      </c>
      <c r="E146" s="21" t="s">
        <v>291</v>
      </c>
      <c r="F146" s="21" t="s">
        <v>292</v>
      </c>
      <c r="G146" s="8" t="str">
        <f t="shared" si="2"/>
        <v>HILLS DUSTIN</v>
      </c>
    </row>
    <row r="147" spans="1:7" x14ac:dyDescent="0.25">
      <c r="A147" s="8">
        <v>42752.650914351849</v>
      </c>
      <c r="B147" s="21" t="s">
        <v>468</v>
      </c>
      <c r="C147" s="21" t="s">
        <v>623</v>
      </c>
      <c r="D147" s="160">
        <v>1300000</v>
      </c>
      <c r="E147" s="21" t="s">
        <v>113</v>
      </c>
      <c r="F147" s="21" t="s">
        <v>341</v>
      </c>
      <c r="G147" s="8" t="str">
        <f t="shared" si="2"/>
        <v>LEVIN SCOTT</v>
      </c>
    </row>
    <row r="148" spans="1:7" x14ac:dyDescent="0.25">
      <c r="A148" s="8">
        <v>42752.651296296295</v>
      </c>
      <c r="B148" s="21" t="s">
        <v>270</v>
      </c>
      <c r="C148" s="21" t="s">
        <v>624</v>
      </c>
      <c r="D148" s="160">
        <v>880000</v>
      </c>
      <c r="E148" s="21" t="s">
        <v>340</v>
      </c>
      <c r="F148" s="21" t="s">
        <v>238</v>
      </c>
      <c r="G148" s="8" t="str">
        <f t="shared" si="2"/>
        <v>STEWART MICHAEL</v>
      </c>
    </row>
    <row r="149" spans="1:7" x14ac:dyDescent="0.25">
      <c r="A149" s="8">
        <v>42752.652199074073</v>
      </c>
      <c r="B149" s="21" t="s">
        <v>303</v>
      </c>
      <c r="C149" s="21" t="s">
        <v>625</v>
      </c>
      <c r="D149" s="160">
        <v>2470000</v>
      </c>
      <c r="E149" s="21" t="s">
        <v>338</v>
      </c>
      <c r="F149" s="21" t="s">
        <v>339</v>
      </c>
      <c r="G149" s="8" t="str">
        <f t="shared" si="2"/>
        <v>ROMERO CHAD</v>
      </c>
    </row>
    <row r="150" spans="1:7" x14ac:dyDescent="0.25">
      <c r="A150" s="8">
        <v>42752.658819444441</v>
      </c>
      <c r="B150" s="21" t="s">
        <v>454</v>
      </c>
      <c r="C150" s="21" t="s">
        <v>477</v>
      </c>
      <c r="D150" s="160">
        <v>2220000</v>
      </c>
      <c r="E150" s="21" t="s">
        <v>291</v>
      </c>
      <c r="F150" s="21" t="s">
        <v>292</v>
      </c>
      <c r="G150" s="8" t="str">
        <f t="shared" si="2"/>
        <v>HILLS DUSTIN</v>
      </c>
    </row>
    <row r="151" spans="1:7" x14ac:dyDescent="0.25">
      <c r="A151" s="8">
        <v>42752.65996527778</v>
      </c>
      <c r="B151" s="21" t="s">
        <v>265</v>
      </c>
      <c r="C151" s="21" t="s">
        <v>626</v>
      </c>
      <c r="D151" s="160">
        <v>2730000</v>
      </c>
      <c r="E151" s="21" t="s">
        <v>376</v>
      </c>
      <c r="F151" s="21" t="s">
        <v>377</v>
      </c>
      <c r="G151" s="8" t="str">
        <f t="shared" si="2"/>
        <v>YANG JAN</v>
      </c>
    </row>
    <row r="152" spans="1:7" x14ac:dyDescent="0.25">
      <c r="A152" s="8">
        <v>42752.663263888891</v>
      </c>
      <c r="B152" s="21" t="s">
        <v>209</v>
      </c>
      <c r="C152" s="21" t="s">
        <v>627</v>
      </c>
      <c r="D152" s="160">
        <v>2150000</v>
      </c>
      <c r="E152" s="21" t="s">
        <v>369</v>
      </c>
      <c r="F152" s="21" t="s">
        <v>370</v>
      </c>
      <c r="G152" s="8" t="str">
        <f t="shared" si="2"/>
        <v>SWANSON BRYCE</v>
      </c>
    </row>
    <row r="153" spans="1:7" x14ac:dyDescent="0.25">
      <c r="A153" s="8">
        <v>42752.670590277776</v>
      </c>
      <c r="B153" s="21" t="s">
        <v>331</v>
      </c>
      <c r="C153" s="21" t="s">
        <v>628</v>
      </c>
      <c r="D153" s="160">
        <v>930000</v>
      </c>
      <c r="E153" s="21" t="s">
        <v>374</v>
      </c>
      <c r="F153" s="21" t="s">
        <v>375</v>
      </c>
      <c r="G153" s="8" t="str">
        <f t="shared" si="2"/>
        <v>CLARK KATHLEEN</v>
      </c>
    </row>
    <row r="154" spans="1:7" x14ac:dyDescent="0.25">
      <c r="A154" s="8">
        <v>42752.674212962964</v>
      </c>
      <c r="B154" s="21" t="s">
        <v>479</v>
      </c>
      <c r="C154" s="21" t="s">
        <v>629</v>
      </c>
      <c r="D154" s="160">
        <v>2220000</v>
      </c>
      <c r="E154" s="21" t="s">
        <v>291</v>
      </c>
      <c r="F154" s="21" t="s">
        <v>292</v>
      </c>
      <c r="G154" s="8" t="str">
        <f t="shared" si="2"/>
        <v>HILLS DUSTIN</v>
      </c>
    </row>
    <row r="155" spans="1:7" x14ac:dyDescent="0.25">
      <c r="A155" s="8">
        <v>42752.674583333333</v>
      </c>
      <c r="B155" s="21" t="s">
        <v>275</v>
      </c>
      <c r="C155" s="21" t="s">
        <v>630</v>
      </c>
      <c r="D155" s="160">
        <v>1300000</v>
      </c>
      <c r="E155" s="21" t="s">
        <v>113</v>
      </c>
      <c r="F155" s="21" t="s">
        <v>341</v>
      </c>
      <c r="G155" s="8" t="str">
        <f t="shared" si="2"/>
        <v>LEVIN SCOTT</v>
      </c>
    </row>
    <row r="156" spans="1:7" x14ac:dyDescent="0.25">
      <c r="A156" s="8">
        <v>42752.675636574073</v>
      </c>
      <c r="B156" s="21" t="s">
        <v>471</v>
      </c>
      <c r="C156" s="21" t="s">
        <v>631</v>
      </c>
      <c r="D156" s="160">
        <v>920000</v>
      </c>
      <c r="E156" s="21" t="s">
        <v>336</v>
      </c>
      <c r="F156" s="21" t="s">
        <v>238</v>
      </c>
      <c r="G156" s="8" t="str">
        <f t="shared" si="2"/>
        <v>DAVIS MICHAEL</v>
      </c>
    </row>
    <row r="157" spans="1:7" x14ac:dyDescent="0.25">
      <c r="A157" s="8">
        <v>42752.678657407407</v>
      </c>
      <c r="B157" s="21" t="s">
        <v>373</v>
      </c>
      <c r="C157" s="21" t="s">
        <v>632</v>
      </c>
      <c r="D157" s="160">
        <v>2250000</v>
      </c>
      <c r="E157" s="21" t="s">
        <v>379</v>
      </c>
      <c r="F157" s="21" t="s">
        <v>380</v>
      </c>
      <c r="G157" s="8" t="str">
        <f t="shared" si="2"/>
        <v>CRAYTON QUNTRELL</v>
      </c>
    </row>
    <row r="158" spans="1:7" x14ac:dyDescent="0.25">
      <c r="A158" s="8">
        <v>42752.683125000003</v>
      </c>
      <c r="B158" s="21" t="s">
        <v>302</v>
      </c>
      <c r="C158" s="21" t="s">
        <v>633</v>
      </c>
      <c r="D158" s="160">
        <v>2470000</v>
      </c>
      <c r="E158" s="21" t="s">
        <v>338</v>
      </c>
      <c r="F158" s="21" t="s">
        <v>339</v>
      </c>
      <c r="G158" s="8" t="str">
        <f t="shared" si="2"/>
        <v>ROMERO CHAD</v>
      </c>
    </row>
    <row r="159" spans="1:7" x14ac:dyDescent="0.25">
      <c r="A159" s="8">
        <v>42752.683749999997</v>
      </c>
      <c r="B159" s="21" t="s">
        <v>207</v>
      </c>
      <c r="C159" s="21" t="s">
        <v>634</v>
      </c>
      <c r="D159" s="160">
        <v>880000</v>
      </c>
      <c r="E159" s="21" t="s">
        <v>340</v>
      </c>
      <c r="F159" s="21" t="s">
        <v>238</v>
      </c>
      <c r="G159" s="8" t="str">
        <f t="shared" si="2"/>
        <v>STEWART MICHAEL</v>
      </c>
    </row>
    <row r="160" spans="1:7" x14ac:dyDescent="0.25">
      <c r="A160" s="8">
        <v>42752.688506944447</v>
      </c>
      <c r="B160" s="21" t="s">
        <v>454</v>
      </c>
      <c r="C160" s="21" t="s">
        <v>635</v>
      </c>
      <c r="D160" s="160">
        <v>2220000</v>
      </c>
      <c r="E160" s="21" t="s">
        <v>291</v>
      </c>
      <c r="F160" s="21" t="s">
        <v>292</v>
      </c>
      <c r="G160" s="8" t="str">
        <f t="shared" si="2"/>
        <v>HILLS DUSTIN</v>
      </c>
    </row>
    <row r="161" spans="1:7" x14ac:dyDescent="0.25">
      <c r="A161" s="8">
        <v>42752.69258101852</v>
      </c>
      <c r="B161" s="21" t="s">
        <v>468</v>
      </c>
      <c r="C161" s="21" t="s">
        <v>636</v>
      </c>
      <c r="D161" s="160">
        <v>1300000</v>
      </c>
      <c r="E161" s="21" t="s">
        <v>113</v>
      </c>
      <c r="F161" s="21" t="s">
        <v>341</v>
      </c>
      <c r="G161" s="8" t="str">
        <f t="shared" si="2"/>
        <v>LEVIN SCOTT</v>
      </c>
    </row>
    <row r="162" spans="1:7" x14ac:dyDescent="0.25">
      <c r="A162" s="8">
        <v>42752.693784722222</v>
      </c>
      <c r="B162" s="21" t="s">
        <v>261</v>
      </c>
      <c r="C162" s="21" t="s">
        <v>637</v>
      </c>
      <c r="D162" s="160">
        <v>2730000</v>
      </c>
      <c r="E162" s="21" t="s">
        <v>376</v>
      </c>
      <c r="F162" s="21" t="s">
        <v>377</v>
      </c>
      <c r="G162" s="8" t="str">
        <f t="shared" si="2"/>
        <v>YANG JAN</v>
      </c>
    </row>
    <row r="163" spans="1:7" x14ac:dyDescent="0.25">
      <c r="A163" s="8">
        <v>42752.69672453704</v>
      </c>
      <c r="B163" s="21" t="s">
        <v>300</v>
      </c>
      <c r="C163" s="21" t="s">
        <v>638</v>
      </c>
      <c r="D163" s="160">
        <v>2150000</v>
      </c>
      <c r="E163" s="21" t="s">
        <v>369</v>
      </c>
      <c r="F163" s="21" t="s">
        <v>370</v>
      </c>
      <c r="G163" s="8" t="str">
        <f t="shared" si="2"/>
        <v>SWANSON BRYCE</v>
      </c>
    </row>
    <row r="164" spans="1:7" x14ac:dyDescent="0.25">
      <c r="A164" s="8">
        <v>42752.703923611109</v>
      </c>
      <c r="B164" s="21" t="s">
        <v>221</v>
      </c>
      <c r="C164" s="21" t="s">
        <v>481</v>
      </c>
      <c r="D164" s="160">
        <v>930000</v>
      </c>
      <c r="E164" s="21" t="s">
        <v>374</v>
      </c>
      <c r="F164" s="21" t="s">
        <v>375</v>
      </c>
      <c r="G164" s="8" t="str">
        <f t="shared" si="2"/>
        <v>CLARK KATHLEEN</v>
      </c>
    </row>
    <row r="165" spans="1:7" x14ac:dyDescent="0.25">
      <c r="A165" s="8">
        <v>42752.712696759256</v>
      </c>
      <c r="B165" s="21" t="s">
        <v>290</v>
      </c>
      <c r="C165" s="21" t="s">
        <v>639</v>
      </c>
      <c r="D165" s="160">
        <v>920000</v>
      </c>
      <c r="E165" s="21" t="s">
        <v>336</v>
      </c>
      <c r="F165" s="21" t="s">
        <v>238</v>
      </c>
      <c r="G165" s="8" t="str">
        <f t="shared" si="2"/>
        <v>DAVIS MICHAEL</v>
      </c>
    </row>
    <row r="166" spans="1:7" x14ac:dyDescent="0.25">
      <c r="A166" s="8">
        <v>42752.713125000002</v>
      </c>
      <c r="B166" s="21" t="s">
        <v>155</v>
      </c>
      <c r="C166" s="21" t="s">
        <v>478</v>
      </c>
      <c r="D166" s="160">
        <v>1810000</v>
      </c>
      <c r="E166" s="21" t="s">
        <v>246</v>
      </c>
      <c r="F166" s="21" t="s">
        <v>231</v>
      </c>
      <c r="G166" s="8" t="str">
        <f t="shared" si="2"/>
        <v>NEWELL JAMES</v>
      </c>
    </row>
    <row r="167" spans="1:7" x14ac:dyDescent="0.25">
      <c r="A167" s="8">
        <v>42752.714513888888</v>
      </c>
      <c r="B167" s="21" t="s">
        <v>479</v>
      </c>
      <c r="C167" s="21" t="s">
        <v>480</v>
      </c>
      <c r="D167" s="160">
        <v>2220000</v>
      </c>
      <c r="E167" s="21" t="s">
        <v>291</v>
      </c>
      <c r="F167" s="21" t="s">
        <v>292</v>
      </c>
      <c r="G167" s="8" t="str">
        <f t="shared" si="2"/>
        <v>HILLS DUSTIN</v>
      </c>
    </row>
    <row r="168" spans="1:7" x14ac:dyDescent="0.25">
      <c r="A168" s="8">
        <v>42752.715983796297</v>
      </c>
      <c r="B168" s="21" t="s">
        <v>378</v>
      </c>
      <c r="C168" s="21" t="s">
        <v>640</v>
      </c>
      <c r="D168" s="160">
        <v>1800000</v>
      </c>
      <c r="E168" s="21" t="s">
        <v>224</v>
      </c>
      <c r="F168" s="21" t="s">
        <v>234</v>
      </c>
      <c r="G168" s="8" t="str">
        <f t="shared" si="2"/>
        <v>CHANDLER KELVIN</v>
      </c>
    </row>
    <row r="169" spans="1:7" x14ac:dyDescent="0.25">
      <c r="A169" s="8">
        <v>42752.718726851854</v>
      </c>
      <c r="B169" s="21" t="s">
        <v>275</v>
      </c>
      <c r="C169" s="21" t="s">
        <v>641</v>
      </c>
      <c r="D169" s="160">
        <v>1300000</v>
      </c>
      <c r="E169" s="21" t="s">
        <v>113</v>
      </c>
      <c r="F169" s="21" t="s">
        <v>341</v>
      </c>
      <c r="G169" s="8" t="str">
        <f t="shared" si="2"/>
        <v>LEVIN SCOTT</v>
      </c>
    </row>
    <row r="170" spans="1:7" x14ac:dyDescent="0.25">
      <c r="A170" s="8">
        <v>42752.721979166665</v>
      </c>
      <c r="B170" s="21" t="s">
        <v>270</v>
      </c>
      <c r="C170" s="21" t="s">
        <v>642</v>
      </c>
      <c r="D170" s="160">
        <v>880000</v>
      </c>
      <c r="E170" s="21" t="s">
        <v>340</v>
      </c>
      <c r="F170" s="21" t="s">
        <v>238</v>
      </c>
      <c r="G170" s="8" t="str">
        <f t="shared" si="2"/>
        <v>STEWART MICHAEL</v>
      </c>
    </row>
    <row r="171" spans="1:7" x14ac:dyDescent="0.25">
      <c r="A171" s="8">
        <v>42752.723229166666</v>
      </c>
      <c r="B171" s="21" t="s">
        <v>303</v>
      </c>
      <c r="C171" s="21" t="s">
        <v>643</v>
      </c>
      <c r="D171" s="160">
        <v>2250000</v>
      </c>
      <c r="E171" s="21" t="s">
        <v>379</v>
      </c>
      <c r="F171" s="21" t="s">
        <v>380</v>
      </c>
      <c r="G171" s="8" t="str">
        <f t="shared" si="2"/>
        <v>CRAYTON QUNTRELL</v>
      </c>
    </row>
    <row r="172" spans="1:7" x14ac:dyDescent="0.25">
      <c r="A172" s="8">
        <v>42752.728101851855</v>
      </c>
      <c r="B172" s="21" t="s">
        <v>454</v>
      </c>
      <c r="C172" s="21" t="s">
        <v>644</v>
      </c>
      <c r="D172" s="160">
        <v>2220000</v>
      </c>
      <c r="E172" s="21" t="s">
        <v>291</v>
      </c>
      <c r="F172" s="21" t="s">
        <v>292</v>
      </c>
      <c r="G172" s="8" t="str">
        <f t="shared" si="2"/>
        <v>HILLS DUSTIN</v>
      </c>
    </row>
    <row r="173" spans="1:7" x14ac:dyDescent="0.25">
      <c r="A173" s="8">
        <v>42752.732442129629</v>
      </c>
      <c r="B173" s="21" t="s">
        <v>265</v>
      </c>
      <c r="C173" s="21" t="s">
        <v>645</v>
      </c>
      <c r="D173" s="160">
        <v>2730000</v>
      </c>
      <c r="E173" s="21" t="s">
        <v>376</v>
      </c>
      <c r="F173" s="21" t="s">
        <v>377</v>
      </c>
      <c r="G173" s="8" t="str">
        <f t="shared" si="2"/>
        <v>YANG JAN</v>
      </c>
    </row>
    <row r="174" spans="1:7" x14ac:dyDescent="0.25">
      <c r="A174" s="8">
        <v>42752.732638888891</v>
      </c>
      <c r="B174" s="21" t="s">
        <v>202</v>
      </c>
      <c r="C174" s="21" t="s">
        <v>646</v>
      </c>
      <c r="D174" s="160">
        <v>1780000</v>
      </c>
      <c r="E174" s="21" t="s">
        <v>572</v>
      </c>
      <c r="F174" s="21" t="s">
        <v>573</v>
      </c>
      <c r="G174" s="8" t="str">
        <f t="shared" si="2"/>
        <v>DE LA ROSA ALEX</v>
      </c>
    </row>
    <row r="175" spans="1:7" x14ac:dyDescent="0.25">
      <c r="A175" s="8">
        <v>42752.734571759262</v>
      </c>
      <c r="B175" s="21" t="s">
        <v>468</v>
      </c>
      <c r="C175" s="21" t="s">
        <v>647</v>
      </c>
      <c r="D175" s="160">
        <v>1300000</v>
      </c>
      <c r="E175" s="21" t="s">
        <v>113</v>
      </c>
      <c r="F175" s="21" t="s">
        <v>341</v>
      </c>
      <c r="G175" s="8" t="str">
        <f t="shared" si="2"/>
        <v>LEVIN SCOTT</v>
      </c>
    </row>
    <row r="176" spans="1:7" x14ac:dyDescent="0.25">
      <c r="A176" s="8">
        <v>42752.737060185187</v>
      </c>
      <c r="B176" s="21" t="s">
        <v>209</v>
      </c>
      <c r="C176" s="21" t="s">
        <v>648</v>
      </c>
      <c r="D176" s="160">
        <v>1810000</v>
      </c>
      <c r="E176" s="21" t="s">
        <v>246</v>
      </c>
      <c r="F176" s="21" t="s">
        <v>231</v>
      </c>
      <c r="G176" s="8" t="str">
        <f t="shared" si="2"/>
        <v>NEWELL JAMES</v>
      </c>
    </row>
    <row r="177" spans="1:7" x14ac:dyDescent="0.25">
      <c r="A177" s="8">
        <v>42752.741574074076</v>
      </c>
      <c r="B177" s="21" t="s">
        <v>331</v>
      </c>
      <c r="C177" s="21" t="s">
        <v>649</v>
      </c>
      <c r="D177" s="160">
        <v>930000</v>
      </c>
      <c r="E177" s="21" t="s">
        <v>374</v>
      </c>
      <c r="F177" s="21" t="s">
        <v>375</v>
      </c>
      <c r="G177" s="8" t="str">
        <f t="shared" si="2"/>
        <v>CLARK KATHLEEN</v>
      </c>
    </row>
    <row r="178" spans="1:7" x14ac:dyDescent="0.25">
      <c r="A178" s="8">
        <v>42752.747106481482</v>
      </c>
      <c r="B178" s="21" t="s">
        <v>471</v>
      </c>
      <c r="C178" s="21" t="s">
        <v>650</v>
      </c>
      <c r="D178" s="160">
        <v>2150000</v>
      </c>
      <c r="E178" s="21" t="s">
        <v>369</v>
      </c>
      <c r="F178" s="21" t="s">
        <v>370</v>
      </c>
      <c r="G178" s="8" t="str">
        <f t="shared" si="2"/>
        <v>SWANSON BRYCE</v>
      </c>
    </row>
    <row r="179" spans="1:7" x14ac:dyDescent="0.25">
      <c r="A179" s="8">
        <v>42752.747731481482</v>
      </c>
      <c r="B179" s="21" t="s">
        <v>330</v>
      </c>
      <c r="C179" s="21" t="s">
        <v>651</v>
      </c>
      <c r="D179" s="160">
        <v>2530000</v>
      </c>
      <c r="E179" s="21" t="s">
        <v>225</v>
      </c>
      <c r="F179" s="21" t="s">
        <v>297</v>
      </c>
      <c r="G179" s="8" t="str">
        <f t="shared" si="2"/>
        <v>LALONDE GREGORY</v>
      </c>
    </row>
    <row r="180" spans="1:7" x14ac:dyDescent="0.25">
      <c r="A180" s="8">
        <v>42752.751226851855</v>
      </c>
      <c r="B180" s="21" t="s">
        <v>154</v>
      </c>
      <c r="C180" s="21" t="s">
        <v>652</v>
      </c>
      <c r="D180" s="160">
        <v>920000</v>
      </c>
      <c r="E180" s="21" t="s">
        <v>336</v>
      </c>
      <c r="F180" s="21" t="s">
        <v>238</v>
      </c>
      <c r="G180" s="8" t="str">
        <f t="shared" si="2"/>
        <v>DAVIS MICHAEL</v>
      </c>
    </row>
    <row r="181" spans="1:7" x14ac:dyDescent="0.25">
      <c r="A181" s="8">
        <v>42752.754340277781</v>
      </c>
      <c r="B181" s="21" t="s">
        <v>373</v>
      </c>
      <c r="C181" s="21" t="s">
        <v>653</v>
      </c>
      <c r="D181" s="160">
        <v>1800000</v>
      </c>
      <c r="E181" s="21" t="s">
        <v>224</v>
      </c>
      <c r="F181" s="21" t="s">
        <v>234</v>
      </c>
      <c r="G181" s="8" t="str">
        <f t="shared" si="2"/>
        <v>CHANDLER KELVIN</v>
      </c>
    </row>
    <row r="182" spans="1:7" x14ac:dyDescent="0.25">
      <c r="A182" s="8">
        <v>42752.756226851852</v>
      </c>
      <c r="B182" s="21" t="s">
        <v>479</v>
      </c>
      <c r="C182" s="21" t="s">
        <v>482</v>
      </c>
      <c r="D182" s="160">
        <v>2220000</v>
      </c>
      <c r="E182" s="21" t="s">
        <v>291</v>
      </c>
      <c r="F182" s="21" t="s">
        <v>292</v>
      </c>
      <c r="G182" s="8" t="str">
        <f t="shared" si="2"/>
        <v>HILLS DUSTIN</v>
      </c>
    </row>
    <row r="183" spans="1:7" x14ac:dyDescent="0.25">
      <c r="A183" s="8">
        <v>42752.757337962961</v>
      </c>
      <c r="B183" s="21" t="s">
        <v>275</v>
      </c>
      <c r="C183" s="21" t="s">
        <v>654</v>
      </c>
      <c r="D183" s="160">
        <v>1300000</v>
      </c>
      <c r="E183" s="21" t="s">
        <v>113</v>
      </c>
      <c r="F183" s="21" t="s">
        <v>341</v>
      </c>
      <c r="G183" s="8" t="str">
        <f t="shared" si="2"/>
        <v>LEVIN SCOTT</v>
      </c>
    </row>
    <row r="184" spans="1:7" x14ac:dyDescent="0.25">
      <c r="A184" s="8">
        <v>42752.760347222225</v>
      </c>
      <c r="B184" s="21" t="s">
        <v>207</v>
      </c>
      <c r="C184" s="21" t="s">
        <v>655</v>
      </c>
      <c r="D184" s="160">
        <v>1740000</v>
      </c>
      <c r="E184" s="21" t="s">
        <v>383</v>
      </c>
      <c r="F184" s="21" t="s">
        <v>384</v>
      </c>
      <c r="G184" s="8" t="str">
        <f t="shared" si="2"/>
        <v>STORY SAMANTHA</v>
      </c>
    </row>
    <row r="185" spans="1:7" x14ac:dyDescent="0.25">
      <c r="A185" s="8">
        <v>42752.762812499997</v>
      </c>
      <c r="B185" s="21" t="s">
        <v>302</v>
      </c>
      <c r="C185" s="21" t="s">
        <v>483</v>
      </c>
      <c r="D185" s="160">
        <v>2250000</v>
      </c>
      <c r="E185" s="21" t="s">
        <v>379</v>
      </c>
      <c r="F185" s="21" t="s">
        <v>380</v>
      </c>
      <c r="G185" s="8" t="str">
        <f t="shared" si="2"/>
        <v>CRAYTON QUNTRELL</v>
      </c>
    </row>
    <row r="186" spans="1:7" x14ac:dyDescent="0.25">
      <c r="A186" s="8">
        <v>42752.767013888886</v>
      </c>
      <c r="B186" s="21" t="s">
        <v>261</v>
      </c>
      <c r="C186" s="21" t="s">
        <v>656</v>
      </c>
      <c r="D186" s="160">
        <v>2000000</v>
      </c>
      <c r="E186" s="21" t="s">
        <v>204</v>
      </c>
      <c r="F186" s="21" t="s">
        <v>231</v>
      </c>
      <c r="G186" s="8" t="str">
        <f t="shared" si="2"/>
        <v>STAMBAUGH JAMES</v>
      </c>
    </row>
    <row r="187" spans="1:7" x14ac:dyDescent="0.25">
      <c r="A187" s="8">
        <v>42752.770578703705</v>
      </c>
      <c r="B187" s="21" t="s">
        <v>300</v>
      </c>
      <c r="C187" s="21" t="s">
        <v>657</v>
      </c>
      <c r="D187" s="160">
        <v>1810000</v>
      </c>
      <c r="E187" s="21" t="s">
        <v>246</v>
      </c>
      <c r="F187" s="21" t="s">
        <v>231</v>
      </c>
      <c r="G187" s="8" t="str">
        <f t="shared" si="2"/>
        <v>NEWELL JAMES</v>
      </c>
    </row>
    <row r="188" spans="1:7" x14ac:dyDescent="0.25">
      <c r="A188" s="8">
        <v>42752.771643518521</v>
      </c>
      <c r="B188" s="21" t="s">
        <v>454</v>
      </c>
      <c r="C188" s="21" t="s">
        <v>484</v>
      </c>
      <c r="D188" s="160">
        <v>2220000</v>
      </c>
      <c r="E188" s="21" t="s">
        <v>291</v>
      </c>
      <c r="F188" s="21" t="s">
        <v>292</v>
      </c>
      <c r="G188" s="8" t="str">
        <f t="shared" si="2"/>
        <v>HILLS DUSTIN</v>
      </c>
    </row>
    <row r="189" spans="1:7" x14ac:dyDescent="0.25">
      <c r="A189" s="8">
        <v>42752.775416666664</v>
      </c>
      <c r="B189" s="21" t="s">
        <v>468</v>
      </c>
      <c r="C189" s="21" t="s">
        <v>658</v>
      </c>
      <c r="D189" s="160">
        <v>1300000</v>
      </c>
      <c r="E189" s="21" t="s">
        <v>113</v>
      </c>
      <c r="F189" s="21" t="s">
        <v>341</v>
      </c>
      <c r="G189" s="8" t="str">
        <f t="shared" si="2"/>
        <v>LEVIN SCOTT</v>
      </c>
    </row>
    <row r="190" spans="1:7" x14ac:dyDescent="0.25">
      <c r="A190" s="8">
        <v>42752.777951388889</v>
      </c>
      <c r="B190" s="21" t="s">
        <v>221</v>
      </c>
      <c r="C190" s="21" t="s">
        <v>659</v>
      </c>
      <c r="D190" s="160">
        <v>930000</v>
      </c>
      <c r="E190" s="21" t="s">
        <v>374</v>
      </c>
      <c r="F190" s="21" t="s">
        <v>375</v>
      </c>
      <c r="G190" s="8" t="str">
        <f t="shared" si="2"/>
        <v>CLARK KATHLEEN</v>
      </c>
    </row>
    <row r="191" spans="1:7" x14ac:dyDescent="0.25">
      <c r="A191" s="8">
        <v>42752.779722222222</v>
      </c>
      <c r="B191" s="21" t="s">
        <v>290</v>
      </c>
      <c r="C191" s="21" t="s">
        <v>486</v>
      </c>
      <c r="D191" s="160">
        <v>2150000</v>
      </c>
      <c r="E191" s="21" t="s">
        <v>369</v>
      </c>
      <c r="F191" s="21" t="s">
        <v>370</v>
      </c>
      <c r="G191" s="8" t="str">
        <f t="shared" si="2"/>
        <v>SWANSON BRYCE</v>
      </c>
    </row>
    <row r="192" spans="1:7" x14ac:dyDescent="0.25">
      <c r="A192" s="8">
        <v>42752.788935185185</v>
      </c>
      <c r="B192" s="21" t="s">
        <v>378</v>
      </c>
      <c r="C192" s="21" t="s">
        <v>660</v>
      </c>
      <c r="D192" s="160">
        <v>1800000</v>
      </c>
      <c r="E192" s="21" t="s">
        <v>224</v>
      </c>
      <c r="F192" s="21" t="s">
        <v>234</v>
      </c>
      <c r="G192" s="8" t="str">
        <f t="shared" si="2"/>
        <v>CHANDLER KELVIN</v>
      </c>
    </row>
    <row r="193" spans="1:7" x14ac:dyDescent="0.25">
      <c r="A193" s="8">
        <v>42752.795543981483</v>
      </c>
      <c r="B193" s="21" t="s">
        <v>270</v>
      </c>
      <c r="C193" s="21" t="s">
        <v>487</v>
      </c>
      <c r="D193" s="160">
        <v>1740000</v>
      </c>
      <c r="E193" s="21" t="s">
        <v>383</v>
      </c>
      <c r="F193" s="21" t="s">
        <v>384</v>
      </c>
      <c r="G193" s="8" t="str">
        <f t="shared" si="2"/>
        <v>STORY SAMANTHA</v>
      </c>
    </row>
    <row r="194" spans="1:7" x14ac:dyDescent="0.25">
      <c r="A194" s="8">
        <v>42752.797465277778</v>
      </c>
      <c r="B194" s="21" t="s">
        <v>303</v>
      </c>
      <c r="C194" s="21" t="s">
        <v>661</v>
      </c>
      <c r="D194" s="160">
        <v>2250000</v>
      </c>
      <c r="E194" s="21" t="s">
        <v>379</v>
      </c>
      <c r="F194" s="21" t="s">
        <v>380</v>
      </c>
      <c r="G194" s="8" t="str">
        <f t="shared" si="2"/>
        <v>CRAYTON QUNTRELL</v>
      </c>
    </row>
    <row r="195" spans="1:7" x14ac:dyDescent="0.25">
      <c r="A195" s="8">
        <v>42752.798229166663</v>
      </c>
      <c r="B195" s="21" t="s">
        <v>479</v>
      </c>
      <c r="C195" s="21" t="s">
        <v>662</v>
      </c>
      <c r="D195" s="160">
        <v>2220000</v>
      </c>
      <c r="E195" s="21" t="s">
        <v>291</v>
      </c>
      <c r="F195" s="21" t="s">
        <v>292</v>
      </c>
      <c r="G195" s="8" t="str">
        <f t="shared" ref="G195:G258" si="3">E195&amp;" "&amp;F195</f>
        <v>HILLS DUSTIN</v>
      </c>
    </row>
    <row r="196" spans="1:7" x14ac:dyDescent="0.25">
      <c r="A196" s="8">
        <v>42752.799537037034</v>
      </c>
      <c r="B196" s="21" t="s">
        <v>265</v>
      </c>
      <c r="C196" s="21" t="s">
        <v>663</v>
      </c>
      <c r="D196" s="160">
        <v>2000000</v>
      </c>
      <c r="E196" s="21" t="s">
        <v>204</v>
      </c>
      <c r="F196" s="21" t="s">
        <v>231</v>
      </c>
      <c r="G196" s="8" t="str">
        <f t="shared" si="3"/>
        <v>STAMBAUGH JAMES</v>
      </c>
    </row>
    <row r="197" spans="1:7" x14ac:dyDescent="0.25">
      <c r="A197" s="8">
        <v>42752.800949074073</v>
      </c>
      <c r="B197" s="21" t="s">
        <v>275</v>
      </c>
      <c r="C197" s="21" t="s">
        <v>485</v>
      </c>
      <c r="D197" s="160">
        <v>1300000</v>
      </c>
      <c r="E197" s="21" t="s">
        <v>113</v>
      </c>
      <c r="F197" s="21" t="s">
        <v>341</v>
      </c>
      <c r="G197" s="8" t="str">
        <f t="shared" si="3"/>
        <v>LEVIN SCOTT</v>
      </c>
    </row>
    <row r="198" spans="1:7" x14ac:dyDescent="0.25">
      <c r="A198" s="8">
        <v>42752.809837962966</v>
      </c>
      <c r="B198" s="21" t="s">
        <v>209</v>
      </c>
      <c r="C198" s="21" t="s">
        <v>664</v>
      </c>
      <c r="D198" s="160">
        <v>2420000</v>
      </c>
      <c r="E198" s="21" t="s">
        <v>210</v>
      </c>
      <c r="F198" s="21" t="s">
        <v>665</v>
      </c>
      <c r="G198" s="8" t="str">
        <f t="shared" si="3"/>
        <v>HOLCOMB KAMDEN</v>
      </c>
    </row>
    <row r="199" spans="1:7" x14ac:dyDescent="0.25">
      <c r="A199" s="8">
        <v>42752.818715277775</v>
      </c>
      <c r="B199" s="21" t="s">
        <v>468</v>
      </c>
      <c r="C199" s="21" t="s">
        <v>488</v>
      </c>
      <c r="D199" s="160">
        <v>1300000</v>
      </c>
      <c r="E199" s="21" t="s">
        <v>113</v>
      </c>
      <c r="F199" s="21" t="s">
        <v>341</v>
      </c>
      <c r="G199" s="8" t="str">
        <f t="shared" si="3"/>
        <v>LEVIN SCOTT</v>
      </c>
    </row>
    <row r="200" spans="1:7" x14ac:dyDescent="0.25">
      <c r="A200" s="8">
        <v>42752.8202662037</v>
      </c>
      <c r="B200" s="21" t="s">
        <v>471</v>
      </c>
      <c r="C200" s="21" t="s">
        <v>666</v>
      </c>
      <c r="D200" s="160">
        <v>2150000</v>
      </c>
      <c r="E200" s="21" t="s">
        <v>369</v>
      </c>
      <c r="F200" s="21" t="s">
        <v>370</v>
      </c>
      <c r="G200" s="8" t="str">
        <f t="shared" si="3"/>
        <v>SWANSON BRYCE</v>
      </c>
    </row>
    <row r="201" spans="1:7" x14ac:dyDescent="0.25">
      <c r="A201" s="8">
        <v>42752.827453703707</v>
      </c>
      <c r="B201" s="21" t="s">
        <v>207</v>
      </c>
      <c r="C201" s="21" t="s">
        <v>487</v>
      </c>
      <c r="D201" s="160">
        <v>1740000</v>
      </c>
      <c r="E201" s="21" t="s">
        <v>383</v>
      </c>
      <c r="F201" s="21" t="s">
        <v>384</v>
      </c>
      <c r="G201" s="8" t="str">
        <f t="shared" si="3"/>
        <v>STORY SAMANTHA</v>
      </c>
    </row>
    <row r="202" spans="1:7" x14ac:dyDescent="0.25">
      <c r="A202" s="27">
        <v>42752.828564814816</v>
      </c>
      <c r="B202" s="21" t="s">
        <v>207</v>
      </c>
      <c r="C202" s="21" t="s">
        <v>667</v>
      </c>
      <c r="D202" s="160">
        <v>1740000</v>
      </c>
      <c r="E202" s="21" t="s">
        <v>383</v>
      </c>
      <c r="F202" s="21" t="s">
        <v>384</v>
      </c>
      <c r="G202" s="8" t="str">
        <f t="shared" si="3"/>
        <v>STORY SAMANTHA</v>
      </c>
    </row>
    <row r="203" spans="1:7" x14ac:dyDescent="0.25">
      <c r="A203" s="8">
        <v>42752.829930555556</v>
      </c>
      <c r="B203" s="21" t="s">
        <v>373</v>
      </c>
      <c r="C203" s="21" t="s">
        <v>668</v>
      </c>
      <c r="D203" s="160">
        <v>1800000</v>
      </c>
      <c r="E203" s="21" t="s">
        <v>224</v>
      </c>
      <c r="F203" s="21" t="s">
        <v>234</v>
      </c>
      <c r="G203" s="8" t="str">
        <f t="shared" si="3"/>
        <v>CHANDLER KELVIN</v>
      </c>
    </row>
    <row r="204" spans="1:7" x14ac:dyDescent="0.25">
      <c r="A204" s="8">
        <v>42752.838078703702</v>
      </c>
      <c r="B204" s="21" t="s">
        <v>261</v>
      </c>
      <c r="C204" s="21" t="s">
        <v>489</v>
      </c>
      <c r="D204" s="160">
        <v>2000000</v>
      </c>
      <c r="E204" s="21" t="s">
        <v>204</v>
      </c>
      <c r="F204" s="21" t="s">
        <v>231</v>
      </c>
      <c r="G204" s="8" t="str">
        <f t="shared" si="3"/>
        <v>STAMBAUGH JAMES</v>
      </c>
    </row>
    <row r="205" spans="1:7" x14ac:dyDescent="0.25">
      <c r="A205" s="8">
        <v>42752.841805555552</v>
      </c>
      <c r="B205" s="21" t="s">
        <v>300</v>
      </c>
      <c r="C205" s="21" t="s">
        <v>490</v>
      </c>
      <c r="D205" s="160">
        <v>2420000</v>
      </c>
      <c r="E205" s="21" t="s">
        <v>210</v>
      </c>
      <c r="F205" s="21" t="s">
        <v>665</v>
      </c>
      <c r="G205" s="8" t="str">
        <f t="shared" si="3"/>
        <v>HOLCOMB KAMDEN</v>
      </c>
    </row>
    <row r="206" spans="1:7" x14ac:dyDescent="0.25">
      <c r="A206" s="8">
        <v>42752.844027777777</v>
      </c>
      <c r="B206" s="21" t="s">
        <v>275</v>
      </c>
      <c r="C206" s="21" t="s">
        <v>669</v>
      </c>
      <c r="D206" s="160">
        <v>1300000</v>
      </c>
      <c r="E206" s="21" t="s">
        <v>113</v>
      </c>
      <c r="F206" s="21" t="s">
        <v>341</v>
      </c>
      <c r="G206" s="8" t="str">
        <f t="shared" si="3"/>
        <v>LEVIN SCOTT</v>
      </c>
    </row>
    <row r="207" spans="1:7" x14ac:dyDescent="0.25">
      <c r="A207" s="8">
        <v>42752.859201388892</v>
      </c>
      <c r="B207" s="21" t="s">
        <v>468</v>
      </c>
      <c r="C207" s="21" t="s">
        <v>670</v>
      </c>
      <c r="D207" s="160">
        <v>1300000</v>
      </c>
      <c r="E207" s="21" t="s">
        <v>113</v>
      </c>
      <c r="F207" s="21" t="s">
        <v>341</v>
      </c>
      <c r="G207" s="8" t="str">
        <f t="shared" si="3"/>
        <v>LEVIN SCOTT</v>
      </c>
    </row>
    <row r="208" spans="1:7" x14ac:dyDescent="0.25">
      <c r="A208" s="8">
        <v>42752.867905092593</v>
      </c>
      <c r="B208" s="21" t="s">
        <v>270</v>
      </c>
      <c r="C208" s="21" t="s">
        <v>492</v>
      </c>
      <c r="D208" s="160">
        <v>1740000</v>
      </c>
      <c r="E208" s="21" t="s">
        <v>383</v>
      </c>
      <c r="F208" s="21" t="s">
        <v>384</v>
      </c>
      <c r="G208" s="8" t="str">
        <f t="shared" si="3"/>
        <v>STORY SAMANTHA</v>
      </c>
    </row>
    <row r="209" spans="1:7" x14ac:dyDescent="0.25">
      <c r="A209" s="8">
        <v>42752.872881944444</v>
      </c>
      <c r="B209" s="21" t="s">
        <v>378</v>
      </c>
      <c r="C209" s="21" t="s">
        <v>671</v>
      </c>
      <c r="D209" s="160">
        <v>1800000</v>
      </c>
      <c r="E209" s="21" t="s">
        <v>224</v>
      </c>
      <c r="F209" s="21" t="s">
        <v>234</v>
      </c>
      <c r="G209" s="8" t="str">
        <f t="shared" si="3"/>
        <v>CHANDLER KELVIN</v>
      </c>
    </row>
    <row r="210" spans="1:7" x14ac:dyDescent="0.25">
      <c r="A210" s="8">
        <v>42752.878888888888</v>
      </c>
      <c r="B210" s="21" t="s">
        <v>275</v>
      </c>
      <c r="C210" s="21" t="s">
        <v>491</v>
      </c>
      <c r="D210" s="160">
        <v>2220000</v>
      </c>
      <c r="E210" s="21" t="s">
        <v>291</v>
      </c>
      <c r="F210" s="21" t="s">
        <v>292</v>
      </c>
      <c r="G210" s="8" t="str">
        <f t="shared" si="3"/>
        <v>HILLS DUSTIN</v>
      </c>
    </row>
    <row r="211" spans="1:7" x14ac:dyDescent="0.25">
      <c r="A211" s="8">
        <v>42752.881157407406</v>
      </c>
      <c r="B211" s="21" t="s">
        <v>337</v>
      </c>
      <c r="C211" s="21" t="s">
        <v>672</v>
      </c>
      <c r="D211" s="160">
        <v>1810000</v>
      </c>
      <c r="E211" s="21" t="s">
        <v>246</v>
      </c>
      <c r="F211" s="21" t="s">
        <v>231</v>
      </c>
      <c r="G211" s="8" t="str">
        <f t="shared" si="3"/>
        <v>NEWELL JAMES</v>
      </c>
    </row>
    <row r="212" spans="1:7" x14ac:dyDescent="0.25">
      <c r="A212" s="8">
        <v>42752.891689814816</v>
      </c>
      <c r="B212" s="21" t="s">
        <v>265</v>
      </c>
      <c r="C212" s="21" t="s">
        <v>493</v>
      </c>
      <c r="D212" s="160">
        <v>2000000</v>
      </c>
      <c r="E212" s="21" t="s">
        <v>204</v>
      </c>
      <c r="F212" s="21" t="s">
        <v>231</v>
      </c>
      <c r="G212" s="8" t="str">
        <f t="shared" si="3"/>
        <v>STAMBAUGH JAMES</v>
      </c>
    </row>
    <row r="213" spans="1:7" x14ac:dyDescent="0.25">
      <c r="A213" s="8">
        <v>42752.90415509259</v>
      </c>
      <c r="B213" s="21" t="s">
        <v>468</v>
      </c>
      <c r="C213" s="21" t="s">
        <v>494</v>
      </c>
      <c r="D213" s="160">
        <v>2220000</v>
      </c>
      <c r="E213" s="21" t="s">
        <v>291</v>
      </c>
      <c r="F213" s="21" t="s">
        <v>292</v>
      </c>
      <c r="G213" s="8" t="str">
        <f t="shared" si="3"/>
        <v>HILLS DUSTIN</v>
      </c>
    </row>
    <row r="214" spans="1:7" x14ac:dyDescent="0.25">
      <c r="A214" s="8">
        <v>42752.906631944446</v>
      </c>
      <c r="B214" s="21" t="s">
        <v>207</v>
      </c>
      <c r="C214" s="21" t="s">
        <v>673</v>
      </c>
      <c r="D214" s="160">
        <v>1740000</v>
      </c>
      <c r="E214" s="21" t="s">
        <v>383</v>
      </c>
      <c r="F214" s="21" t="s">
        <v>384</v>
      </c>
      <c r="G214" s="8" t="str">
        <f t="shared" si="3"/>
        <v>STORY SAMANTHA</v>
      </c>
    </row>
    <row r="215" spans="1:7" x14ac:dyDescent="0.25">
      <c r="A215" s="8">
        <v>42752.911296296297</v>
      </c>
      <c r="B215" s="21" t="s">
        <v>373</v>
      </c>
      <c r="C215" s="21" t="s">
        <v>674</v>
      </c>
      <c r="D215" s="160">
        <v>1800000</v>
      </c>
      <c r="E215" s="21" t="s">
        <v>224</v>
      </c>
      <c r="F215" s="21" t="s">
        <v>234</v>
      </c>
      <c r="G215" s="8" t="str">
        <f t="shared" si="3"/>
        <v>CHANDLER KELVIN</v>
      </c>
    </row>
    <row r="216" spans="1:7" x14ac:dyDescent="0.25">
      <c r="A216" s="8">
        <v>42752.916377314818</v>
      </c>
      <c r="B216" s="21" t="s">
        <v>275</v>
      </c>
      <c r="C216" s="21" t="s">
        <v>495</v>
      </c>
      <c r="D216" s="160">
        <v>2220000</v>
      </c>
      <c r="E216" s="21" t="s">
        <v>291</v>
      </c>
      <c r="F216" s="21" t="s">
        <v>292</v>
      </c>
      <c r="G216" s="8" t="str">
        <f t="shared" si="3"/>
        <v>HILLS DUSTIN</v>
      </c>
    </row>
    <row r="217" spans="1:7" x14ac:dyDescent="0.25">
      <c r="A217" s="8">
        <v>42752.922175925924</v>
      </c>
      <c r="B217" s="21" t="s">
        <v>261</v>
      </c>
      <c r="C217" s="21" t="s">
        <v>675</v>
      </c>
      <c r="D217" s="160">
        <v>2000000</v>
      </c>
      <c r="E217" s="21" t="s">
        <v>204</v>
      </c>
      <c r="F217" s="21" t="s">
        <v>231</v>
      </c>
      <c r="G217" s="8" t="str">
        <f t="shared" si="3"/>
        <v>STAMBAUGH JAMES</v>
      </c>
    </row>
    <row r="218" spans="1:7" x14ac:dyDescent="0.25">
      <c r="A218" s="8">
        <v>42752.932013888887</v>
      </c>
      <c r="B218" s="21" t="s">
        <v>330</v>
      </c>
      <c r="C218" s="21" t="s">
        <v>496</v>
      </c>
      <c r="D218" s="160">
        <v>1810000</v>
      </c>
      <c r="E218" s="21" t="s">
        <v>246</v>
      </c>
      <c r="F218" s="21" t="s">
        <v>231</v>
      </c>
      <c r="G218" s="8" t="str">
        <f t="shared" si="3"/>
        <v>NEWELL JAMES</v>
      </c>
    </row>
    <row r="219" spans="1:7" x14ac:dyDescent="0.25">
      <c r="A219" s="8">
        <v>42752.945</v>
      </c>
      <c r="B219" s="21" t="s">
        <v>468</v>
      </c>
      <c r="C219" s="21" t="s">
        <v>676</v>
      </c>
      <c r="D219" s="160">
        <v>2220000</v>
      </c>
      <c r="E219" s="21" t="s">
        <v>291</v>
      </c>
      <c r="F219" s="21" t="s">
        <v>292</v>
      </c>
      <c r="G219" s="8" t="str">
        <f t="shared" si="3"/>
        <v>HILLS DUSTIN</v>
      </c>
    </row>
    <row r="220" spans="1:7" x14ac:dyDescent="0.25">
      <c r="A220" s="8">
        <v>42753.002569444441</v>
      </c>
      <c r="B220" s="21" t="s">
        <v>209</v>
      </c>
      <c r="C220" s="21" t="s">
        <v>677</v>
      </c>
      <c r="D220" s="160">
        <v>2630000</v>
      </c>
      <c r="E220" s="21" t="s">
        <v>332</v>
      </c>
      <c r="F220" s="21" t="s">
        <v>333</v>
      </c>
      <c r="G220" s="8" t="str">
        <f t="shared" si="3"/>
        <v>SAFIEF AEIMEN</v>
      </c>
    </row>
    <row r="221" spans="1:7" x14ac:dyDescent="0.25">
      <c r="A221" s="8">
        <v>42753.006203703706</v>
      </c>
      <c r="B221" s="21" t="s">
        <v>337</v>
      </c>
      <c r="C221" s="21" t="s">
        <v>678</v>
      </c>
      <c r="D221" s="160">
        <v>2600000</v>
      </c>
      <c r="E221" s="21" t="s">
        <v>222</v>
      </c>
      <c r="F221" s="21" t="s">
        <v>304</v>
      </c>
      <c r="G221" s="8" t="str">
        <f t="shared" si="3"/>
        <v>DAVIDSON DAVID</v>
      </c>
    </row>
    <row r="222" spans="1:7" x14ac:dyDescent="0.25">
      <c r="A222" s="8">
        <v>42753.007789351854</v>
      </c>
      <c r="B222" s="21" t="s">
        <v>337</v>
      </c>
      <c r="C222" s="21" t="s">
        <v>678</v>
      </c>
      <c r="D222" s="160">
        <v>2600000</v>
      </c>
      <c r="E222" s="21" t="s">
        <v>222</v>
      </c>
      <c r="F222" s="21" t="s">
        <v>304</v>
      </c>
      <c r="G222" s="8" t="str">
        <f t="shared" si="3"/>
        <v>DAVIDSON DAVID</v>
      </c>
    </row>
    <row r="223" spans="1:7" x14ac:dyDescent="0.25">
      <c r="A223" s="8">
        <v>42753.028298611112</v>
      </c>
      <c r="B223" s="21" t="s">
        <v>330</v>
      </c>
      <c r="C223" s="21" t="s">
        <v>679</v>
      </c>
      <c r="D223" s="160">
        <v>2600000</v>
      </c>
      <c r="E223" s="21" t="s">
        <v>222</v>
      </c>
      <c r="F223" s="21" t="s">
        <v>304</v>
      </c>
      <c r="G223" s="8" t="str">
        <f t="shared" si="3"/>
        <v>DAVIDSON DAVID</v>
      </c>
    </row>
    <row r="224" spans="1:7" x14ac:dyDescent="0.25">
      <c r="A224" s="8">
        <v>42753.041087962964</v>
      </c>
      <c r="B224" t="s">
        <v>300</v>
      </c>
      <c r="C224" t="s">
        <v>680</v>
      </c>
      <c r="D224" s="160">
        <v>2630000</v>
      </c>
      <c r="E224" t="s">
        <v>332</v>
      </c>
      <c r="F224" s="21" t="s">
        <v>333</v>
      </c>
      <c r="G224" s="8" t="str">
        <f t="shared" si="3"/>
        <v>SAFIEF AEIMEN</v>
      </c>
    </row>
    <row r="225" spans="1:7" x14ac:dyDescent="0.25">
      <c r="A225" s="8">
        <v>42753.052581018521</v>
      </c>
      <c r="B225" t="s">
        <v>337</v>
      </c>
      <c r="C225" t="s">
        <v>678</v>
      </c>
      <c r="D225" s="160">
        <v>2600000</v>
      </c>
      <c r="E225" t="s">
        <v>222</v>
      </c>
      <c r="F225" s="21" t="s">
        <v>304</v>
      </c>
      <c r="G225" s="8" t="str">
        <f t="shared" si="3"/>
        <v>DAVIDSON DAVID</v>
      </c>
    </row>
    <row r="226" spans="1:7" x14ac:dyDescent="0.25">
      <c r="A226" s="8">
        <v>42753.060347222221</v>
      </c>
      <c r="B226" t="s">
        <v>209</v>
      </c>
      <c r="C226" t="s">
        <v>677</v>
      </c>
      <c r="D226" s="160">
        <v>2630000</v>
      </c>
      <c r="E226" t="s">
        <v>332</v>
      </c>
      <c r="F226" s="21" t="s">
        <v>333</v>
      </c>
      <c r="G226" s="8" t="str">
        <f t="shared" si="3"/>
        <v>SAFIEF AEIMEN</v>
      </c>
    </row>
    <row r="227" spans="1:7" x14ac:dyDescent="0.25">
      <c r="A227" s="8">
        <v>42753.072326388887</v>
      </c>
      <c r="B227" t="s">
        <v>330</v>
      </c>
      <c r="C227" t="s">
        <v>679</v>
      </c>
      <c r="D227" s="160">
        <v>2600000</v>
      </c>
      <c r="E227" t="s">
        <v>222</v>
      </c>
      <c r="F227" s="21" t="s">
        <v>304</v>
      </c>
      <c r="G227" s="8" t="str">
        <f t="shared" si="3"/>
        <v>DAVIDSON DAVID</v>
      </c>
    </row>
    <row r="228" spans="1:7" x14ac:dyDescent="0.25">
      <c r="A228" s="8">
        <v>42753.081157407411</v>
      </c>
      <c r="B228" t="s">
        <v>300</v>
      </c>
      <c r="C228" t="s">
        <v>680</v>
      </c>
      <c r="D228" s="160">
        <v>2630000</v>
      </c>
      <c r="E228" t="s">
        <v>332</v>
      </c>
      <c r="F228" s="21" t="s">
        <v>333</v>
      </c>
      <c r="G228" s="8" t="str">
        <f t="shared" si="3"/>
        <v>SAFIEF AEIMEN</v>
      </c>
    </row>
    <row r="229" spans="1:7" x14ac:dyDescent="0.25">
      <c r="A229" s="8">
        <v>42753.091562499998</v>
      </c>
      <c r="B229" t="s">
        <v>337</v>
      </c>
      <c r="C229" t="s">
        <v>678</v>
      </c>
      <c r="D229" s="160">
        <v>2600000</v>
      </c>
      <c r="E229" t="s">
        <v>222</v>
      </c>
      <c r="F229" s="21" t="s">
        <v>304</v>
      </c>
      <c r="G229" s="8" t="str">
        <f t="shared" si="3"/>
        <v>DAVIDSON DAVID</v>
      </c>
    </row>
    <row r="230" spans="1:7" x14ac:dyDescent="0.25">
      <c r="A230" s="8">
        <v>42753.097557870373</v>
      </c>
      <c r="B230" t="s">
        <v>209</v>
      </c>
      <c r="C230" t="s">
        <v>677</v>
      </c>
      <c r="D230" s="160">
        <v>2630000</v>
      </c>
      <c r="E230" t="s">
        <v>332</v>
      </c>
      <c r="F230" s="21" t="s">
        <v>333</v>
      </c>
      <c r="G230" s="8" t="str">
        <f t="shared" si="3"/>
        <v>SAFIEF AEIMEN</v>
      </c>
    </row>
    <row r="231" spans="1:7" x14ac:dyDescent="0.25">
      <c r="A231" s="8">
        <v>42753.108298611114</v>
      </c>
      <c r="B231" t="s">
        <v>330</v>
      </c>
      <c r="C231" t="s">
        <v>679</v>
      </c>
      <c r="D231" s="160">
        <v>2600000</v>
      </c>
      <c r="E231" t="s">
        <v>222</v>
      </c>
      <c r="F231" s="21" t="s">
        <v>304</v>
      </c>
      <c r="G231" s="8" t="str">
        <f t="shared" si="3"/>
        <v>DAVIDSON DAVID</v>
      </c>
    </row>
    <row r="232" spans="1:7" x14ac:dyDescent="0.25">
      <c r="A232" s="8">
        <v>42751.984560185185</v>
      </c>
      <c r="B232" t="s">
        <v>337</v>
      </c>
      <c r="C232" t="s">
        <v>385</v>
      </c>
      <c r="D232" s="160">
        <v>2000000</v>
      </c>
      <c r="E232" t="s">
        <v>204</v>
      </c>
      <c r="F232" s="21" t="s">
        <v>231</v>
      </c>
      <c r="G232" s="8" t="str">
        <f t="shared" si="3"/>
        <v>STAMBAUGH JAMES</v>
      </c>
    </row>
    <row r="233" spans="1:7" x14ac:dyDescent="0.25">
      <c r="A233" s="8">
        <v>42751.99559027778</v>
      </c>
      <c r="B233" t="s">
        <v>280</v>
      </c>
      <c r="C233" t="s">
        <v>386</v>
      </c>
      <c r="D233" s="160">
        <v>1800000</v>
      </c>
      <c r="E233" t="s">
        <v>224</v>
      </c>
      <c r="F233" s="21" t="s">
        <v>234</v>
      </c>
      <c r="G233" s="8" t="str">
        <f t="shared" si="3"/>
        <v>CHANDLER KELVIN</v>
      </c>
    </row>
    <row r="234" spans="1:7" x14ac:dyDescent="0.25">
      <c r="A234" s="8">
        <v>42752.009062500001</v>
      </c>
      <c r="B234" t="s">
        <v>295</v>
      </c>
      <c r="C234" t="s">
        <v>387</v>
      </c>
      <c r="D234" s="160">
        <v>1740000</v>
      </c>
      <c r="E234" t="s">
        <v>383</v>
      </c>
      <c r="F234" s="21" t="s">
        <v>384</v>
      </c>
      <c r="G234" s="8" t="str">
        <f t="shared" si="3"/>
        <v>STORY SAMANTHA</v>
      </c>
    </row>
    <row r="235" spans="1:7" x14ac:dyDescent="0.25">
      <c r="A235" s="8">
        <v>42752.01054398148</v>
      </c>
      <c r="B235" t="s">
        <v>256</v>
      </c>
      <c r="C235" t="s">
        <v>388</v>
      </c>
      <c r="D235" s="160">
        <v>2230000</v>
      </c>
      <c r="E235" t="s">
        <v>245</v>
      </c>
      <c r="F235" s="21" t="s">
        <v>238</v>
      </c>
      <c r="G235" s="8" t="str">
        <f t="shared" si="3"/>
        <v>SMITH MICHAEL</v>
      </c>
    </row>
    <row r="236" spans="1:7" x14ac:dyDescent="0.25">
      <c r="A236" s="8">
        <v>42752.0315162037</v>
      </c>
      <c r="B236" t="s">
        <v>242</v>
      </c>
      <c r="C236" t="s">
        <v>389</v>
      </c>
      <c r="D236" s="160">
        <v>1800000</v>
      </c>
      <c r="E236" t="s">
        <v>224</v>
      </c>
      <c r="F236" s="21" t="s">
        <v>234</v>
      </c>
      <c r="G236" s="8" t="str">
        <f t="shared" si="3"/>
        <v>CHANDLER KELVIN</v>
      </c>
    </row>
    <row r="237" spans="1:7" x14ac:dyDescent="0.25">
      <c r="A237" s="8">
        <v>42752.032581018517</v>
      </c>
      <c r="B237" t="s">
        <v>242</v>
      </c>
      <c r="C237" t="s">
        <v>389</v>
      </c>
      <c r="D237" s="160">
        <v>1800000</v>
      </c>
      <c r="E237" t="s">
        <v>224</v>
      </c>
      <c r="F237" s="21" t="s">
        <v>234</v>
      </c>
      <c r="G237" s="8" t="str">
        <f t="shared" si="3"/>
        <v>CHANDLER KELVIN</v>
      </c>
    </row>
    <row r="238" spans="1:7" x14ac:dyDescent="0.25">
      <c r="A238" s="8">
        <v>42752.037789351853</v>
      </c>
      <c r="B238" t="s">
        <v>330</v>
      </c>
      <c r="C238" t="s">
        <v>390</v>
      </c>
      <c r="D238" s="160">
        <v>2000000</v>
      </c>
      <c r="E238" t="s">
        <v>204</v>
      </c>
      <c r="F238" s="21" t="s">
        <v>231</v>
      </c>
      <c r="G238" s="8" t="str">
        <f t="shared" si="3"/>
        <v>STAMBAUGH JAMES</v>
      </c>
    </row>
    <row r="239" spans="1:7" x14ac:dyDescent="0.25">
      <c r="A239" s="8">
        <v>42752.048483796294</v>
      </c>
      <c r="B239" t="s">
        <v>342</v>
      </c>
      <c r="C239" t="s">
        <v>391</v>
      </c>
      <c r="D239" s="160">
        <v>2230000</v>
      </c>
      <c r="E239" t="s">
        <v>245</v>
      </c>
      <c r="F239" s="21" t="s">
        <v>238</v>
      </c>
      <c r="G239" s="8" t="str">
        <f t="shared" si="3"/>
        <v>SMITH MICHAEL</v>
      </c>
    </row>
    <row r="240" spans="1:7" x14ac:dyDescent="0.25">
      <c r="A240" s="8">
        <v>42752.051863425928</v>
      </c>
      <c r="B240" t="s">
        <v>296</v>
      </c>
      <c r="C240" t="s">
        <v>392</v>
      </c>
      <c r="D240" s="160">
        <v>1740000</v>
      </c>
      <c r="E240" t="s">
        <v>383</v>
      </c>
      <c r="F240" s="21" t="s">
        <v>384</v>
      </c>
      <c r="G240" s="8" t="str">
        <f t="shared" si="3"/>
        <v>STORY SAMANTHA</v>
      </c>
    </row>
    <row r="241" spans="1:7" x14ac:dyDescent="0.25">
      <c r="A241" s="8">
        <v>42752.067928240744</v>
      </c>
      <c r="B241" t="s">
        <v>337</v>
      </c>
      <c r="C241" t="s">
        <v>393</v>
      </c>
      <c r="D241" s="160">
        <v>2000000</v>
      </c>
      <c r="E241" t="s">
        <v>204</v>
      </c>
      <c r="F241" s="21" t="s">
        <v>231</v>
      </c>
      <c r="G241" s="8" t="str">
        <f t="shared" si="3"/>
        <v>STAMBAUGH JAMES</v>
      </c>
    </row>
    <row r="242" spans="1:7" x14ac:dyDescent="0.25">
      <c r="A242" s="8">
        <v>42752.090439814812</v>
      </c>
      <c r="B242" t="s">
        <v>295</v>
      </c>
      <c r="C242" t="s">
        <v>394</v>
      </c>
      <c r="D242" s="160">
        <v>1740000</v>
      </c>
      <c r="E242" t="s">
        <v>383</v>
      </c>
      <c r="F242" s="21" t="s">
        <v>384</v>
      </c>
      <c r="G242" s="8" t="str">
        <f t="shared" si="3"/>
        <v>STORY SAMANTHA</v>
      </c>
    </row>
    <row r="243" spans="1:7" x14ac:dyDescent="0.25">
      <c r="A243" s="8">
        <v>42752.091921296298</v>
      </c>
      <c r="B243" t="s">
        <v>295</v>
      </c>
      <c r="C243" t="s">
        <v>394</v>
      </c>
      <c r="D243" s="160">
        <v>1740000</v>
      </c>
      <c r="E243" t="s">
        <v>383</v>
      </c>
      <c r="F243" s="21" t="s">
        <v>384</v>
      </c>
      <c r="G243" s="8" t="str">
        <f t="shared" si="3"/>
        <v>STORY SAMANTHA</v>
      </c>
    </row>
    <row r="244" spans="1:7" x14ac:dyDescent="0.25">
      <c r="A244" s="8">
        <v>42748.013229166667</v>
      </c>
      <c r="B244" t="s">
        <v>209</v>
      </c>
      <c r="C244" t="s">
        <v>306</v>
      </c>
      <c r="D244" s="160">
        <v>2220000</v>
      </c>
      <c r="E244" t="s">
        <v>291</v>
      </c>
      <c r="F244" s="21" t="s">
        <v>292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265</v>
      </c>
      <c r="C245" t="s">
        <v>307</v>
      </c>
      <c r="D245" s="160">
        <v>1810000</v>
      </c>
      <c r="E245" t="s">
        <v>246</v>
      </c>
      <c r="F245" s="21" t="s">
        <v>231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290</v>
      </c>
      <c r="C246" t="s">
        <v>308</v>
      </c>
      <c r="D246" s="160">
        <v>2540000</v>
      </c>
      <c r="E246" t="s">
        <v>309</v>
      </c>
      <c r="F246" s="21" t="s">
        <v>310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242</v>
      </c>
      <c r="C247" t="s">
        <v>311</v>
      </c>
      <c r="D247" s="160">
        <v>1800000</v>
      </c>
      <c r="E247" t="s">
        <v>224</v>
      </c>
      <c r="F247" s="21" t="s">
        <v>234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302</v>
      </c>
      <c r="C248" t="s">
        <v>312</v>
      </c>
      <c r="D248" s="160">
        <v>2480000</v>
      </c>
      <c r="E248" t="s">
        <v>305</v>
      </c>
      <c r="F248" s="21" t="s">
        <v>292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261</v>
      </c>
      <c r="C249" t="s">
        <v>313</v>
      </c>
      <c r="D249" s="160">
        <v>1810000</v>
      </c>
      <c r="E249" t="s">
        <v>246</v>
      </c>
      <c r="F249" s="21" t="s">
        <v>231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261</v>
      </c>
      <c r="C250" t="s">
        <v>313</v>
      </c>
      <c r="D250" s="160">
        <v>1810000</v>
      </c>
      <c r="E250" t="s">
        <v>246</v>
      </c>
      <c r="F250" s="21" t="s">
        <v>231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300</v>
      </c>
      <c r="C251" t="s">
        <v>314</v>
      </c>
      <c r="D251" s="160">
        <v>2220000</v>
      </c>
      <c r="E251" t="s">
        <v>291</v>
      </c>
      <c r="F251" s="21" t="s">
        <v>292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303</v>
      </c>
      <c r="C252" t="s">
        <v>315</v>
      </c>
      <c r="D252" s="160">
        <v>2480000</v>
      </c>
      <c r="E252" t="s">
        <v>305</v>
      </c>
      <c r="F252" s="21" t="s">
        <v>292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316</v>
      </c>
      <c r="D253" s="160">
        <v>2220000</v>
      </c>
      <c r="E253" t="s">
        <v>291</v>
      </c>
      <c r="F253" s="21" t="s">
        <v>292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316</v>
      </c>
      <c r="D254" s="160">
        <v>2220000</v>
      </c>
      <c r="E254" t="s">
        <v>291</v>
      </c>
      <c r="F254" s="21" t="s">
        <v>292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316</v>
      </c>
      <c r="D255" s="160">
        <v>2220000</v>
      </c>
      <c r="E255" t="s">
        <v>291</v>
      </c>
      <c r="F255" s="21" t="s">
        <v>292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316</v>
      </c>
      <c r="D256" s="160">
        <v>2220000</v>
      </c>
      <c r="E256" t="s">
        <v>291</v>
      </c>
      <c r="F256" s="21" t="s">
        <v>292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300</v>
      </c>
      <c r="C257" t="s">
        <v>316</v>
      </c>
      <c r="D257" s="160">
        <v>2220000</v>
      </c>
      <c r="E257" t="s">
        <v>291</v>
      </c>
      <c r="F257" s="21" t="s">
        <v>292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251</v>
      </c>
      <c r="D258" s="160">
        <v>2110000</v>
      </c>
      <c r="E258" t="s">
        <v>249</v>
      </c>
      <c r="F258" s="21" t="s">
        <v>250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251</v>
      </c>
      <c r="D259" s="160">
        <v>2110000</v>
      </c>
      <c r="E259" t="s">
        <v>249</v>
      </c>
      <c r="F259" s="21" t="s">
        <v>250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221</v>
      </c>
      <c r="C260" t="s">
        <v>227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226</v>
      </c>
      <c r="D261" s="160">
        <v>2530000</v>
      </c>
      <c r="E261" t="s">
        <v>225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228</v>
      </c>
      <c r="D262" s="160">
        <v>2600000</v>
      </c>
      <c r="E262" t="s">
        <v>222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29.87</v>
      </c>
      <c r="B2" s="165">
        <v>0.19</v>
      </c>
      <c r="C2" s="165">
        <v>25.37</v>
      </c>
      <c r="D2" s="8">
        <v>42752</v>
      </c>
      <c r="E2" s="165">
        <v>0.83</v>
      </c>
      <c r="F2" s="165" t="s">
        <v>681</v>
      </c>
      <c r="G2" s="165">
        <v>291.77999999999997</v>
      </c>
      <c r="H2" s="165">
        <v>0</v>
      </c>
      <c r="I2" s="165">
        <v>0</v>
      </c>
      <c r="J2" s="165">
        <v>1021.79</v>
      </c>
      <c r="K2" s="165" t="s">
        <v>682</v>
      </c>
      <c r="L2" s="165">
        <v>29.87</v>
      </c>
      <c r="M2" s="165">
        <v>1484636400</v>
      </c>
      <c r="N2" s="165">
        <v>4.3499999999999996</v>
      </c>
      <c r="O2" s="165">
        <v>200</v>
      </c>
      <c r="P2" s="165">
        <v>1.86</v>
      </c>
      <c r="Q2"/>
      <c r="R2"/>
    </row>
    <row r="3" spans="1:18" x14ac:dyDescent="0.25">
      <c r="A3" s="165">
        <v>28.48</v>
      </c>
      <c r="B3" s="165">
        <v>0.14000000000000001</v>
      </c>
      <c r="C3" s="165">
        <v>24.04</v>
      </c>
      <c r="D3" s="8">
        <v>42752.041666666664</v>
      </c>
      <c r="E3" s="165">
        <v>0.83</v>
      </c>
      <c r="F3" s="165" t="s">
        <v>681</v>
      </c>
      <c r="G3" s="165">
        <v>292.42</v>
      </c>
      <c r="H3" s="165">
        <v>0</v>
      </c>
      <c r="I3" s="165">
        <v>0</v>
      </c>
      <c r="J3" s="165">
        <v>1022.03</v>
      </c>
      <c r="K3" s="165" t="s">
        <v>682</v>
      </c>
      <c r="L3" s="165">
        <v>28.48</v>
      </c>
      <c r="M3" s="165">
        <v>1484640000</v>
      </c>
      <c r="N3" s="165">
        <v>4.3</v>
      </c>
      <c r="O3" s="165">
        <v>178</v>
      </c>
      <c r="P3" s="165">
        <v>1.88</v>
      </c>
      <c r="Q3"/>
      <c r="R3"/>
    </row>
    <row r="4" spans="1:18" x14ac:dyDescent="0.25">
      <c r="A4" s="165">
        <v>26.73</v>
      </c>
      <c r="B4" s="165">
        <v>0.05</v>
      </c>
      <c r="C4" s="165">
        <v>23.08</v>
      </c>
      <c r="D4" s="8">
        <v>42752.083333333336</v>
      </c>
      <c r="E4" s="165">
        <v>0.86</v>
      </c>
      <c r="F4" s="165" t="s">
        <v>681</v>
      </c>
      <c r="G4" s="165">
        <v>293.06</v>
      </c>
      <c r="H4" s="165">
        <v>0</v>
      </c>
      <c r="I4" s="165">
        <v>0</v>
      </c>
      <c r="J4" s="165">
        <v>1022.26</v>
      </c>
      <c r="K4" s="165" t="s">
        <v>682</v>
      </c>
      <c r="L4" s="165">
        <v>26.73</v>
      </c>
      <c r="M4" s="165">
        <v>1484643600</v>
      </c>
      <c r="N4" s="165">
        <v>3.6</v>
      </c>
      <c r="O4" s="165">
        <v>222</v>
      </c>
      <c r="P4" s="165">
        <v>2.2599999999999998</v>
      </c>
      <c r="Q4"/>
      <c r="R4"/>
    </row>
    <row r="5" spans="1:18" x14ac:dyDescent="0.25">
      <c r="A5" s="165">
        <v>24.95</v>
      </c>
      <c r="B5" s="165">
        <v>7.0000000000000007E-2</v>
      </c>
      <c r="C5" s="165">
        <v>21.58</v>
      </c>
      <c r="D5" s="8">
        <v>42752.125</v>
      </c>
      <c r="E5" s="165">
        <v>0.87</v>
      </c>
      <c r="F5" s="165" t="s">
        <v>681</v>
      </c>
      <c r="G5" s="165">
        <v>293.7</v>
      </c>
      <c r="H5" s="165">
        <v>0</v>
      </c>
      <c r="I5" s="165">
        <v>0</v>
      </c>
      <c r="J5" s="165">
        <v>1022.64</v>
      </c>
      <c r="K5" s="165" t="s">
        <v>682</v>
      </c>
      <c r="L5" s="165">
        <v>24.95</v>
      </c>
      <c r="M5" s="165">
        <v>1484647200</v>
      </c>
      <c r="N5" s="165">
        <v>3.25</v>
      </c>
      <c r="O5" s="165">
        <v>230</v>
      </c>
      <c r="P5" s="165">
        <v>2.52</v>
      </c>
      <c r="Q5"/>
      <c r="R5"/>
    </row>
    <row r="6" spans="1:18" x14ac:dyDescent="0.25">
      <c r="A6" s="165">
        <v>23.99</v>
      </c>
      <c r="B6" s="165">
        <v>0.06</v>
      </c>
      <c r="C6" s="165">
        <v>20.75</v>
      </c>
      <c r="D6" s="8">
        <v>42752.166666666664</v>
      </c>
      <c r="E6" s="165">
        <v>0.87</v>
      </c>
      <c r="F6" s="165" t="s">
        <v>681</v>
      </c>
      <c r="G6" s="165">
        <v>294.27</v>
      </c>
      <c r="H6" s="165">
        <v>0</v>
      </c>
      <c r="I6" s="165">
        <v>0</v>
      </c>
      <c r="J6" s="165">
        <v>1023.07</v>
      </c>
      <c r="K6" s="165" t="s">
        <v>682</v>
      </c>
      <c r="L6" s="165">
        <v>23.99</v>
      </c>
      <c r="M6" s="165">
        <v>1484650800</v>
      </c>
      <c r="N6" s="165">
        <v>10</v>
      </c>
      <c r="O6" s="165">
        <v>232</v>
      </c>
      <c r="P6" s="165">
        <v>1.51</v>
      </c>
      <c r="Q6"/>
      <c r="R6"/>
    </row>
    <row r="7" spans="1:18" x14ac:dyDescent="0.25">
      <c r="A7" s="165">
        <v>22.96</v>
      </c>
      <c r="B7" s="165">
        <v>0.06</v>
      </c>
      <c r="C7" s="165">
        <v>19.86</v>
      </c>
      <c r="D7" s="8">
        <v>42752.208333333336</v>
      </c>
      <c r="E7" s="165">
        <v>0.88</v>
      </c>
      <c r="F7" s="165" t="s">
        <v>681</v>
      </c>
      <c r="G7" s="165">
        <v>294.32</v>
      </c>
      <c r="H7" s="165">
        <v>0</v>
      </c>
      <c r="I7" s="165">
        <v>0</v>
      </c>
      <c r="J7" s="165">
        <v>1023.36</v>
      </c>
      <c r="K7" s="165" t="s">
        <v>682</v>
      </c>
      <c r="L7" s="165">
        <v>22.96</v>
      </c>
      <c r="M7" s="165">
        <v>1484654400</v>
      </c>
      <c r="N7" s="165">
        <v>4.1399999999999997</v>
      </c>
      <c r="O7" s="165">
        <v>172</v>
      </c>
      <c r="P7" s="165">
        <v>1.51</v>
      </c>
      <c r="Q7"/>
      <c r="R7"/>
    </row>
    <row r="8" spans="1:18" x14ac:dyDescent="0.25">
      <c r="A8" s="165">
        <v>21.1</v>
      </c>
      <c r="B8" s="165">
        <v>7.0000000000000007E-2</v>
      </c>
      <c r="C8" s="165">
        <v>18.079999999999998</v>
      </c>
      <c r="D8" s="8">
        <v>42752.25</v>
      </c>
      <c r="E8" s="165">
        <v>0.88</v>
      </c>
      <c r="F8" s="165" t="s">
        <v>681</v>
      </c>
      <c r="G8" s="165">
        <v>293.48</v>
      </c>
      <c r="H8" s="165">
        <v>0</v>
      </c>
      <c r="I8" s="165">
        <v>0</v>
      </c>
      <c r="J8" s="165">
        <v>1023.55</v>
      </c>
      <c r="K8" s="165" t="s">
        <v>682</v>
      </c>
      <c r="L8" s="165">
        <v>21.1</v>
      </c>
      <c r="M8" s="165">
        <v>1484658000</v>
      </c>
      <c r="N8" s="165">
        <v>4.88</v>
      </c>
      <c r="O8" s="165">
        <v>205</v>
      </c>
      <c r="P8" s="165">
        <v>1.77</v>
      </c>
      <c r="Q8"/>
      <c r="R8"/>
    </row>
    <row r="9" spans="1:18" x14ac:dyDescent="0.25">
      <c r="A9" s="165">
        <v>20.71</v>
      </c>
      <c r="B9" s="165">
        <v>0.09</v>
      </c>
      <c r="C9" s="165">
        <v>17.78</v>
      </c>
      <c r="D9" s="8">
        <v>42752.291666666664</v>
      </c>
      <c r="E9" s="165">
        <v>0.88</v>
      </c>
      <c r="F9" s="165" t="s">
        <v>681</v>
      </c>
      <c r="G9" s="165">
        <v>292.12</v>
      </c>
      <c r="H9" s="165">
        <v>0</v>
      </c>
      <c r="I9" s="165">
        <v>0</v>
      </c>
      <c r="J9" s="165">
        <v>1023.59</v>
      </c>
      <c r="K9" s="165" t="s">
        <v>682</v>
      </c>
      <c r="L9" s="165">
        <v>20.71</v>
      </c>
      <c r="M9" s="165">
        <v>1484661600</v>
      </c>
      <c r="N9" s="165">
        <v>3.76</v>
      </c>
      <c r="O9" s="165">
        <v>217</v>
      </c>
      <c r="P9" s="165">
        <v>1.97</v>
      </c>
      <c r="Q9"/>
      <c r="R9"/>
    </row>
    <row r="10" spans="1:18" x14ac:dyDescent="0.25">
      <c r="A10" s="165">
        <v>21.68</v>
      </c>
      <c r="B10" s="165">
        <v>0.08</v>
      </c>
      <c r="C10" s="165">
        <v>18.71</v>
      </c>
      <c r="D10" s="8">
        <v>42752.333333333336</v>
      </c>
      <c r="E10" s="165">
        <v>0.88</v>
      </c>
      <c r="F10" s="165" t="s">
        <v>683</v>
      </c>
      <c r="G10" s="165">
        <v>290.92</v>
      </c>
      <c r="H10" s="165">
        <v>0</v>
      </c>
      <c r="I10" s="165">
        <v>0</v>
      </c>
      <c r="J10" s="165">
        <v>1023.11</v>
      </c>
      <c r="K10" s="165" t="s">
        <v>682</v>
      </c>
      <c r="L10" s="165">
        <v>21.68</v>
      </c>
      <c r="M10" s="165">
        <v>1484665200</v>
      </c>
      <c r="N10" s="165">
        <v>3.25</v>
      </c>
      <c r="O10" s="165">
        <v>199</v>
      </c>
      <c r="P10" s="165">
        <v>1.84</v>
      </c>
      <c r="Q10"/>
      <c r="R10"/>
    </row>
    <row r="11" spans="1:18" x14ac:dyDescent="0.25">
      <c r="A11" s="165">
        <v>25.63</v>
      </c>
      <c r="B11" s="165">
        <v>7.0000000000000007E-2</v>
      </c>
      <c r="C11" s="165">
        <v>21.94</v>
      </c>
      <c r="D11" s="8">
        <v>42752.375</v>
      </c>
      <c r="E11" s="165">
        <v>0.86</v>
      </c>
      <c r="F11" s="165" t="s">
        <v>683</v>
      </c>
      <c r="G11" s="165">
        <v>290.14999999999998</v>
      </c>
      <c r="H11" s="165">
        <v>0</v>
      </c>
      <c r="I11" s="165">
        <v>0</v>
      </c>
      <c r="J11" s="165">
        <v>1021.74</v>
      </c>
      <c r="K11" s="165" t="s">
        <v>682</v>
      </c>
      <c r="L11" s="165">
        <v>25.63</v>
      </c>
      <c r="M11" s="165">
        <v>1484668800</v>
      </c>
      <c r="N11" s="165">
        <v>3.08</v>
      </c>
      <c r="O11" s="165">
        <v>247</v>
      </c>
      <c r="P11" s="165">
        <v>1.78</v>
      </c>
      <c r="Q11"/>
      <c r="R11"/>
    </row>
    <row r="12" spans="1:18" x14ac:dyDescent="0.25">
      <c r="A12" s="165">
        <v>31.38</v>
      </c>
      <c r="B12" s="165">
        <v>0.05</v>
      </c>
      <c r="C12" s="165">
        <v>25.04</v>
      </c>
      <c r="D12" s="8">
        <v>42752.416666666664</v>
      </c>
      <c r="E12" s="165">
        <v>0.77</v>
      </c>
      <c r="F12" s="165" t="s">
        <v>683</v>
      </c>
      <c r="G12" s="165">
        <v>289.54000000000002</v>
      </c>
      <c r="H12" s="165">
        <v>0</v>
      </c>
      <c r="I12" s="165">
        <v>0</v>
      </c>
      <c r="J12" s="165">
        <v>1020.1</v>
      </c>
      <c r="K12" s="165" t="s">
        <v>682</v>
      </c>
      <c r="L12" s="165">
        <v>31.38</v>
      </c>
      <c r="M12" s="165">
        <v>1484672400</v>
      </c>
      <c r="N12" s="165">
        <v>3.02</v>
      </c>
      <c r="O12" s="165">
        <v>237</v>
      </c>
      <c r="P12" s="165">
        <v>1.72</v>
      </c>
      <c r="Q12"/>
      <c r="R12"/>
    </row>
    <row r="13" spans="1:18" x14ac:dyDescent="0.25">
      <c r="A13" s="165">
        <v>35.65</v>
      </c>
      <c r="B13" s="165">
        <v>0.05</v>
      </c>
      <c r="C13" s="165">
        <v>25.98</v>
      </c>
      <c r="D13" s="8">
        <v>42752.458333333336</v>
      </c>
      <c r="E13" s="165">
        <v>0.68</v>
      </c>
      <c r="F13" s="165" t="s">
        <v>683</v>
      </c>
      <c r="G13" s="165">
        <v>288.97000000000003</v>
      </c>
      <c r="H13" s="165">
        <v>0</v>
      </c>
      <c r="I13" s="165">
        <v>0</v>
      </c>
      <c r="J13" s="165">
        <v>1018.9</v>
      </c>
      <c r="K13" s="165" t="s">
        <v>682</v>
      </c>
      <c r="L13" s="165">
        <v>35.65</v>
      </c>
      <c r="M13" s="165">
        <v>1484676000</v>
      </c>
      <c r="N13" s="165">
        <v>3</v>
      </c>
      <c r="O13" s="165">
        <v>226</v>
      </c>
      <c r="P13" s="165">
        <v>1.67</v>
      </c>
      <c r="Q13"/>
      <c r="R13"/>
    </row>
    <row r="14" spans="1:18" x14ac:dyDescent="0.25">
      <c r="A14" s="165">
        <v>38.590000000000003</v>
      </c>
      <c r="B14" s="165">
        <v>0.05</v>
      </c>
      <c r="C14" s="165">
        <v>28.15</v>
      </c>
      <c r="D14" s="8">
        <v>42752.5</v>
      </c>
      <c r="E14" s="165">
        <v>0.66</v>
      </c>
      <c r="F14" s="165" t="s">
        <v>683</v>
      </c>
      <c r="G14" s="165">
        <v>288.22000000000003</v>
      </c>
      <c r="H14" s="165">
        <v>0</v>
      </c>
      <c r="I14" s="165">
        <v>0</v>
      </c>
      <c r="J14" s="165">
        <v>1017.83</v>
      </c>
      <c r="K14" s="165" t="s">
        <v>682</v>
      </c>
      <c r="L14" s="165">
        <v>38.590000000000003</v>
      </c>
      <c r="M14" s="165">
        <v>1484679600</v>
      </c>
      <c r="N14" s="165">
        <v>3</v>
      </c>
      <c r="O14" s="165">
        <v>198</v>
      </c>
      <c r="P14" s="165">
        <v>1.1100000000000001</v>
      </c>
      <c r="Q14"/>
      <c r="R14"/>
    </row>
    <row r="15" spans="1:18" x14ac:dyDescent="0.25">
      <c r="A15" s="165">
        <v>44.18</v>
      </c>
      <c r="B15" s="165">
        <v>0.05</v>
      </c>
      <c r="C15" s="165">
        <v>28.72</v>
      </c>
      <c r="D15" s="8">
        <v>42752.541666666664</v>
      </c>
      <c r="E15" s="165">
        <v>0.54</v>
      </c>
      <c r="F15" s="165" t="s">
        <v>683</v>
      </c>
      <c r="G15" s="165">
        <v>287.5</v>
      </c>
      <c r="H15" s="165">
        <v>0</v>
      </c>
      <c r="I15" s="165">
        <v>0</v>
      </c>
      <c r="J15" s="165">
        <v>1016.83</v>
      </c>
      <c r="K15" s="165" t="s">
        <v>682</v>
      </c>
      <c r="L15" s="165">
        <v>44.18</v>
      </c>
      <c r="M15" s="165">
        <v>1484683200</v>
      </c>
      <c r="N15" s="165">
        <v>3</v>
      </c>
      <c r="O15" s="165">
        <v>1</v>
      </c>
      <c r="P15" s="165">
        <v>0.44</v>
      </c>
      <c r="Q15"/>
      <c r="R15"/>
    </row>
    <row r="16" spans="1:18" x14ac:dyDescent="0.25">
      <c r="A16" s="165">
        <v>46.56</v>
      </c>
      <c r="B16" s="165">
        <v>0.05</v>
      </c>
      <c r="C16" s="165">
        <v>28.75</v>
      </c>
      <c r="D16" s="8">
        <v>42752.583333333336</v>
      </c>
      <c r="E16" s="165">
        <v>0.5</v>
      </c>
      <c r="F16" s="165" t="s">
        <v>683</v>
      </c>
      <c r="G16" s="165">
        <v>287.32</v>
      </c>
      <c r="H16" s="165">
        <v>0</v>
      </c>
      <c r="I16" s="165">
        <v>0</v>
      </c>
      <c r="J16" s="165">
        <v>1016.2</v>
      </c>
      <c r="K16" s="165" t="s">
        <v>682</v>
      </c>
      <c r="L16" s="165">
        <v>46.56</v>
      </c>
      <c r="M16" s="165">
        <v>1484686800</v>
      </c>
      <c r="N16" s="165">
        <v>10</v>
      </c>
      <c r="O16" s="165">
        <v>2</v>
      </c>
      <c r="P16" s="165">
        <v>1.34</v>
      </c>
      <c r="Q16"/>
      <c r="R16"/>
    </row>
    <row r="17" spans="1:18" x14ac:dyDescent="0.25">
      <c r="A17" s="165">
        <v>45.66</v>
      </c>
      <c r="B17" s="165">
        <v>0.05</v>
      </c>
      <c r="C17" s="165">
        <v>28.83</v>
      </c>
      <c r="D17" s="8">
        <v>42752.625</v>
      </c>
      <c r="E17" s="165">
        <v>0.52</v>
      </c>
      <c r="F17" s="165" t="s">
        <v>683</v>
      </c>
      <c r="G17" s="165">
        <v>288.12</v>
      </c>
      <c r="H17" s="165">
        <v>0</v>
      </c>
      <c r="I17" s="165">
        <v>0</v>
      </c>
      <c r="J17" s="165">
        <v>1016.11</v>
      </c>
      <c r="K17" s="165" t="s">
        <v>682</v>
      </c>
      <c r="L17" s="165">
        <v>45.66</v>
      </c>
      <c r="M17" s="165">
        <v>1484690400</v>
      </c>
      <c r="N17" s="165">
        <v>3.09</v>
      </c>
      <c r="O17" s="165">
        <v>8</v>
      </c>
      <c r="P17" s="165">
        <v>1.53</v>
      </c>
      <c r="Q17"/>
      <c r="R17"/>
    </row>
    <row r="18" spans="1:18" x14ac:dyDescent="0.25">
      <c r="A18" s="165">
        <v>42.59</v>
      </c>
      <c r="B18" s="165">
        <v>0.05</v>
      </c>
      <c r="C18" s="165">
        <v>25.94</v>
      </c>
      <c r="D18" s="8">
        <v>42752.666666666664</v>
      </c>
      <c r="E18" s="165">
        <v>0.51</v>
      </c>
      <c r="F18" s="165" t="s">
        <v>683</v>
      </c>
      <c r="G18" s="165">
        <v>289.45</v>
      </c>
      <c r="H18" s="165">
        <v>0</v>
      </c>
      <c r="I18" s="165">
        <v>0</v>
      </c>
      <c r="J18" s="165">
        <v>1016.37</v>
      </c>
      <c r="K18" s="165" t="s">
        <v>682</v>
      </c>
      <c r="L18" s="165">
        <v>42.59</v>
      </c>
      <c r="M18" s="165">
        <v>1484694000</v>
      </c>
      <c r="N18" s="165">
        <v>5.58</v>
      </c>
      <c r="O18" s="165">
        <v>5</v>
      </c>
      <c r="P18" s="165">
        <v>1.53</v>
      </c>
      <c r="Q18"/>
      <c r="R18"/>
    </row>
    <row r="19" spans="1:18" x14ac:dyDescent="0.25">
      <c r="A19" s="165">
        <v>40.49</v>
      </c>
      <c r="B19" s="165">
        <v>0.05</v>
      </c>
      <c r="C19" s="165">
        <v>24.07</v>
      </c>
      <c r="D19" s="8">
        <v>42752.708333333336</v>
      </c>
      <c r="E19" s="165">
        <v>0.52</v>
      </c>
      <c r="F19" s="165" t="s">
        <v>681</v>
      </c>
      <c r="G19" s="165">
        <v>290.51</v>
      </c>
      <c r="H19" s="165">
        <v>0</v>
      </c>
      <c r="I19" s="165">
        <v>0</v>
      </c>
      <c r="J19" s="165">
        <v>1016.78</v>
      </c>
      <c r="K19" s="165" t="s">
        <v>682</v>
      </c>
      <c r="L19" s="165">
        <v>40.49</v>
      </c>
      <c r="M19" s="165">
        <v>1484697600</v>
      </c>
      <c r="N19" s="165">
        <v>6.16</v>
      </c>
      <c r="O19" s="165">
        <v>351</v>
      </c>
      <c r="P19" s="165">
        <v>1.54</v>
      </c>
      <c r="Q19"/>
      <c r="R19"/>
    </row>
    <row r="20" spans="1:18" x14ac:dyDescent="0.25">
      <c r="A20" s="165">
        <v>37.18</v>
      </c>
      <c r="B20" s="165">
        <v>0.03</v>
      </c>
      <c r="C20" s="165">
        <v>24.2</v>
      </c>
      <c r="D20" s="8">
        <v>42752.75</v>
      </c>
      <c r="E20" s="165">
        <v>0.59</v>
      </c>
      <c r="F20" s="165" t="s">
        <v>681</v>
      </c>
      <c r="G20" s="165">
        <v>290.92</v>
      </c>
      <c r="H20" s="165">
        <v>0</v>
      </c>
      <c r="I20" s="165">
        <v>0</v>
      </c>
      <c r="J20" s="165">
        <v>1017.46</v>
      </c>
      <c r="K20" s="165" t="s">
        <v>682</v>
      </c>
      <c r="L20" s="165">
        <v>37.18</v>
      </c>
      <c r="M20" s="165">
        <v>1484701200</v>
      </c>
      <c r="N20" s="165">
        <v>6.95</v>
      </c>
      <c r="O20" s="165">
        <v>60</v>
      </c>
      <c r="P20" s="165">
        <v>0.26</v>
      </c>
      <c r="Q20"/>
      <c r="R20"/>
    </row>
    <row r="21" spans="1:18" x14ac:dyDescent="0.25">
      <c r="A21" s="165">
        <v>33.229999999999997</v>
      </c>
      <c r="B21" s="165">
        <v>0.05</v>
      </c>
      <c r="C21" s="165">
        <v>24</v>
      </c>
      <c r="D21" s="8">
        <v>42752.791666666664</v>
      </c>
      <c r="E21" s="165">
        <v>0.68</v>
      </c>
      <c r="F21" s="165" t="s">
        <v>681</v>
      </c>
      <c r="G21" s="165">
        <v>291.05</v>
      </c>
      <c r="H21" s="165">
        <v>0</v>
      </c>
      <c r="I21" s="165">
        <v>0</v>
      </c>
      <c r="J21" s="165">
        <v>1019.04</v>
      </c>
      <c r="K21" s="165" t="s">
        <v>682</v>
      </c>
      <c r="L21" s="165">
        <v>33.229999999999997</v>
      </c>
      <c r="M21" s="165">
        <v>1484704800</v>
      </c>
      <c r="N21" s="165">
        <v>7.06</v>
      </c>
      <c r="O21" s="165">
        <v>206</v>
      </c>
      <c r="P21" s="165">
        <v>1.5</v>
      </c>
      <c r="Q21"/>
      <c r="R21"/>
    </row>
    <row r="22" spans="1:18" x14ac:dyDescent="0.25">
      <c r="A22" s="165">
        <v>32.049999999999997</v>
      </c>
      <c r="B22" s="165">
        <v>0.06</v>
      </c>
      <c r="C22" s="165">
        <v>24.73</v>
      </c>
      <c r="D22" s="8">
        <v>42752.833333333336</v>
      </c>
      <c r="E22" s="165">
        <v>0.74</v>
      </c>
      <c r="F22" s="165" t="s">
        <v>681</v>
      </c>
      <c r="G22" s="165">
        <v>291.20999999999998</v>
      </c>
      <c r="H22" s="165">
        <v>0</v>
      </c>
      <c r="I22" s="165">
        <v>0</v>
      </c>
      <c r="J22" s="165">
        <v>1020.33</v>
      </c>
      <c r="K22" s="165" t="s">
        <v>682</v>
      </c>
      <c r="L22" s="165">
        <v>32.049999999999997</v>
      </c>
      <c r="M22" s="165">
        <v>1484708400</v>
      </c>
      <c r="N22" s="165">
        <v>6.06</v>
      </c>
      <c r="O22" s="165">
        <v>227</v>
      </c>
      <c r="P22" s="165">
        <v>2.62</v>
      </c>
      <c r="Q22"/>
      <c r="R22"/>
    </row>
    <row r="23" spans="1:18" x14ac:dyDescent="0.25">
      <c r="A23" s="165">
        <v>31.05</v>
      </c>
      <c r="B23" s="165">
        <v>7.0000000000000007E-2</v>
      </c>
      <c r="C23" s="165">
        <v>24.15</v>
      </c>
      <c r="D23" s="8">
        <v>42752.875</v>
      </c>
      <c r="E23" s="165">
        <v>0.75</v>
      </c>
      <c r="F23" s="165" t="s">
        <v>681</v>
      </c>
      <c r="G23" s="165">
        <v>291.52</v>
      </c>
      <c r="H23" s="165">
        <v>0</v>
      </c>
      <c r="I23" s="165">
        <v>0</v>
      </c>
      <c r="J23" s="165">
        <v>1020.71</v>
      </c>
      <c r="K23" s="165" t="s">
        <v>682</v>
      </c>
      <c r="L23" s="165">
        <v>31.05</v>
      </c>
      <c r="M23" s="165">
        <v>1484712000</v>
      </c>
      <c r="N23" s="165">
        <v>5.36</v>
      </c>
      <c r="O23" s="165">
        <v>218</v>
      </c>
      <c r="P23" s="165">
        <v>2.94</v>
      </c>
      <c r="Q23"/>
      <c r="R23"/>
    </row>
    <row r="24" spans="1:18" x14ac:dyDescent="0.25">
      <c r="A24" s="165">
        <v>30.1</v>
      </c>
      <c r="B24" s="165">
        <v>0.05</v>
      </c>
      <c r="C24" s="165">
        <v>23.24</v>
      </c>
      <c r="D24" s="8">
        <v>42752.916666666664</v>
      </c>
      <c r="E24" s="165">
        <v>0.75</v>
      </c>
      <c r="F24" s="165" t="s">
        <v>681</v>
      </c>
      <c r="G24" s="165">
        <v>291.86</v>
      </c>
      <c r="H24" s="165">
        <v>0</v>
      </c>
      <c r="I24" s="165">
        <v>0</v>
      </c>
      <c r="J24" s="165">
        <v>1020.63</v>
      </c>
      <c r="K24" s="165" t="s">
        <v>682</v>
      </c>
      <c r="L24" s="165">
        <v>30.1</v>
      </c>
      <c r="M24" s="165">
        <v>1484715600</v>
      </c>
      <c r="N24" s="165">
        <v>5.44</v>
      </c>
      <c r="O24" s="165">
        <v>203</v>
      </c>
      <c r="P24" s="165">
        <v>2.5099999999999998</v>
      </c>
      <c r="Q24"/>
      <c r="R24"/>
    </row>
    <row r="25" spans="1:18" x14ac:dyDescent="0.25">
      <c r="A25" s="165">
        <v>28.63</v>
      </c>
      <c r="B25" s="165">
        <v>0.06</v>
      </c>
      <c r="C25" s="165">
        <v>21.93</v>
      </c>
      <c r="D25" s="8">
        <v>42752.958333333336</v>
      </c>
      <c r="E25" s="165">
        <v>0.76</v>
      </c>
      <c r="F25" s="165" t="s">
        <v>681</v>
      </c>
      <c r="G25" s="165">
        <v>292.10000000000002</v>
      </c>
      <c r="H25" s="165">
        <v>0</v>
      </c>
      <c r="I25" s="165">
        <v>0</v>
      </c>
      <c r="J25" s="165">
        <v>1020.65</v>
      </c>
      <c r="K25" s="165" t="s">
        <v>682</v>
      </c>
      <c r="L25" s="165">
        <v>28.63</v>
      </c>
      <c r="M25" s="165">
        <v>1484719200</v>
      </c>
      <c r="N25" s="165">
        <v>5.81</v>
      </c>
      <c r="O25" s="165">
        <v>199</v>
      </c>
      <c r="P25" s="165">
        <v>2.13</v>
      </c>
      <c r="Q25"/>
      <c r="R25"/>
    </row>
    <row r="26" spans="1:18" x14ac:dyDescent="0.25">
      <c r="A26" s="165">
        <v>27.92</v>
      </c>
      <c r="B26" s="165">
        <v>0.11</v>
      </c>
      <c r="C26" s="165">
        <v>20.99</v>
      </c>
      <c r="D26" s="8">
        <v>42753</v>
      </c>
      <c r="E26" s="165">
        <v>0.75</v>
      </c>
      <c r="F26" s="165" t="s">
        <v>681</v>
      </c>
      <c r="G26" s="165">
        <v>292.12</v>
      </c>
      <c r="H26" s="165">
        <v>0</v>
      </c>
      <c r="I26" s="165">
        <v>0</v>
      </c>
      <c r="J26" s="165">
        <v>1020.93</v>
      </c>
      <c r="K26" s="165" t="s">
        <v>682</v>
      </c>
      <c r="L26" s="165">
        <v>27.92</v>
      </c>
      <c r="M26" s="165">
        <v>1484722800</v>
      </c>
      <c r="N26" s="165">
        <v>6.05</v>
      </c>
      <c r="O26" s="165">
        <v>197</v>
      </c>
      <c r="P26" s="165">
        <v>2.92</v>
      </c>
      <c r="Q26"/>
      <c r="R26"/>
    </row>
    <row r="27" spans="1:18" x14ac:dyDescent="0.25">
      <c r="A27" s="165">
        <v>26.78</v>
      </c>
      <c r="B27" s="165">
        <v>0.15</v>
      </c>
      <c r="C27" s="165">
        <v>20.010000000000002</v>
      </c>
      <c r="D27" s="8">
        <v>42753.041666666664</v>
      </c>
      <c r="E27" s="165">
        <v>0.75</v>
      </c>
      <c r="F27" s="165" t="s">
        <v>681</v>
      </c>
      <c r="G27" s="165">
        <v>292.13</v>
      </c>
      <c r="H27" s="165">
        <v>0</v>
      </c>
      <c r="I27" s="165">
        <v>0</v>
      </c>
      <c r="J27" s="165">
        <v>1021.13</v>
      </c>
      <c r="K27" s="165" t="s">
        <v>682</v>
      </c>
      <c r="L27" s="165">
        <v>26.78</v>
      </c>
      <c r="M27" s="165">
        <v>1484726400</v>
      </c>
      <c r="N27" s="165">
        <v>5.82</v>
      </c>
      <c r="O27" s="165">
        <v>223</v>
      </c>
      <c r="P27" s="165">
        <v>2.6</v>
      </c>
      <c r="Q27"/>
      <c r="R27"/>
    </row>
    <row r="28" spans="1:18" x14ac:dyDescent="0.25">
      <c r="A28" s="165">
        <v>26.37</v>
      </c>
      <c r="B28" s="165">
        <v>0.43</v>
      </c>
      <c r="C28" s="165">
        <v>20.28</v>
      </c>
      <c r="D28" s="8">
        <v>42753.083333333336</v>
      </c>
      <c r="E28" s="165">
        <v>0.77</v>
      </c>
      <c r="F28" s="165" t="s">
        <v>396</v>
      </c>
      <c r="G28" s="165">
        <v>292.14999999999998</v>
      </c>
      <c r="H28" s="165">
        <v>0</v>
      </c>
      <c r="I28" s="165">
        <v>0</v>
      </c>
      <c r="J28" s="165">
        <v>1021.25</v>
      </c>
      <c r="K28" s="165" t="s">
        <v>395</v>
      </c>
      <c r="L28" s="165">
        <v>26.37</v>
      </c>
      <c r="M28" s="165">
        <v>1484730000</v>
      </c>
      <c r="N28" s="165">
        <v>4</v>
      </c>
      <c r="O28" s="165">
        <v>225</v>
      </c>
      <c r="P28" s="165">
        <v>2.36</v>
      </c>
      <c r="Q28"/>
      <c r="R28"/>
    </row>
    <row r="29" spans="1:18" x14ac:dyDescent="0.25">
      <c r="A29" s="165">
        <v>19.649999999999999</v>
      </c>
      <c r="B29" s="165">
        <v>0.44</v>
      </c>
      <c r="C29" s="165">
        <v>17.010000000000002</v>
      </c>
      <c r="D29" s="8">
        <v>42753.125</v>
      </c>
      <c r="E29" s="165">
        <v>0.74</v>
      </c>
      <c r="F29" s="165" t="s">
        <v>396</v>
      </c>
      <c r="G29" s="165">
        <v>292.58</v>
      </c>
      <c r="H29" s="165">
        <v>0</v>
      </c>
      <c r="I29" s="165">
        <v>0</v>
      </c>
      <c r="J29" s="165">
        <v>1021.33</v>
      </c>
      <c r="K29" s="165" t="s">
        <v>395</v>
      </c>
      <c r="L29" s="165">
        <v>24.02</v>
      </c>
      <c r="M29" s="165">
        <v>1484733600</v>
      </c>
      <c r="N29" s="165">
        <v>6.45</v>
      </c>
      <c r="O29" s="165">
        <v>226</v>
      </c>
      <c r="P29" s="165">
        <v>3.41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42752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844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845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452</v>
      </c>
      <c r="J20" s="165" t="s">
        <v>87</v>
      </c>
      <c r="M20" s="165" t="s">
        <v>260</v>
      </c>
    </row>
    <row r="21" spans="3:13" x14ac:dyDescent="0.25">
      <c r="C21" t="s">
        <v>846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847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848</v>
      </c>
      <c r="J23" s="188" t="s">
        <v>95</v>
      </c>
      <c r="M23" s="165" t="str">
        <f>"-07"</f>
        <v>-07</v>
      </c>
    </row>
    <row r="24" spans="3:13" x14ac:dyDescent="0.25">
      <c r="C24" t="s">
        <v>849</v>
      </c>
      <c r="J24" s="165" t="s">
        <v>108</v>
      </c>
      <c r="M24" s="165" t="s">
        <v>110</v>
      </c>
    </row>
    <row r="25" spans="3:13" x14ac:dyDescent="0.25">
      <c r="C25" t="s">
        <v>850</v>
      </c>
      <c r="J25" s="165" t="s">
        <v>151</v>
      </c>
      <c r="M25" s="165" t="b">
        <v>1</v>
      </c>
    </row>
    <row r="26" spans="3:13" x14ac:dyDescent="0.25">
      <c r="C26" t="s">
        <v>851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C:\Users\stu\Documents\GitHub\eaglep3-reporting\EC\2017-01-17-refined-times.txt</v>
      </c>
    </row>
    <row r="27" spans="3:13" x14ac:dyDescent="0.25">
      <c r="C27" t="s">
        <v>852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C:\Users\stu\Documents\GitHub\eaglep3-reporting\EC\2017-01-17-Enforcements.txt</v>
      </c>
    </row>
    <row r="28" spans="3:13" x14ac:dyDescent="0.25">
      <c r="C28" t="s">
        <v>853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C:\Users\stu\Documents\GitHub\eaglep3-reporting\EC\2017-01-17-Runs-refined.txt</v>
      </c>
    </row>
    <row r="29" spans="3:13" x14ac:dyDescent="0.25">
      <c r="C29" t="s">
        <v>854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C:\Users\stu\Documents\GitHub\eaglep3-reporting\EC\2017-01-17-Trips.txt</v>
      </c>
    </row>
    <row r="30" spans="3:13" x14ac:dyDescent="0.25">
      <c r="C30" t="s">
        <v>855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C:\Users\stu\Documents\GitHub\eaglep3-reporting\EC\2017-01-17-Weather.txt</v>
      </c>
    </row>
    <row r="31" spans="3:13" x14ac:dyDescent="0.25">
      <c r="C31" t="s">
        <v>856</v>
      </c>
      <c r="J31" s="165" t="s">
        <v>258</v>
      </c>
      <c r="M31" s="165" t="s">
        <v>259</v>
      </c>
    </row>
    <row r="32" spans="3:13" x14ac:dyDescent="0.25">
      <c r="C32" t="s">
        <v>857</v>
      </c>
    </row>
    <row r="33" spans="3:3" x14ac:dyDescent="0.25">
      <c r="C33" t="s">
        <v>858</v>
      </c>
    </row>
    <row r="34" spans="3:3" x14ac:dyDescent="0.25">
      <c r="C34" t="s">
        <v>859</v>
      </c>
    </row>
    <row r="35" spans="3:3" x14ac:dyDescent="0.25">
      <c r="C35" t="s">
        <v>860</v>
      </c>
    </row>
    <row r="36" spans="3:3" x14ac:dyDescent="0.25">
      <c r="C36" t="s">
        <v>861</v>
      </c>
    </row>
    <row r="37" spans="3:3" x14ac:dyDescent="0.25">
      <c r="C37" t="s">
        <v>862</v>
      </c>
    </row>
    <row r="38" spans="3:3" x14ac:dyDescent="0.25">
      <c r="C38" t="s">
        <v>863</v>
      </c>
    </row>
    <row r="39" spans="3:3" x14ac:dyDescent="0.25">
      <c r="C39" t="s">
        <v>864</v>
      </c>
    </row>
    <row r="40" spans="3:3" x14ac:dyDescent="0.25">
      <c r="C40" t="s">
        <v>865</v>
      </c>
    </row>
    <row r="41" spans="3:3" x14ac:dyDescent="0.25">
      <c r="C41" t="s">
        <v>866</v>
      </c>
    </row>
    <row r="42" spans="3:3" x14ac:dyDescent="0.25">
      <c r="C42" t="s">
        <v>867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31" workbookViewId="0">
      <selection activeCell="C68" sqref="C6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885</v>
      </c>
      <c r="B1" t="str">
        <f t="shared" ref="B1:B30" si="0">MID(A1,6,23)</f>
        <v>2017/01/17 11:03:00.924</v>
      </c>
      <c r="C1" t="e">
        <f>ABS(B1-#REF!)</f>
        <v>#REF!</v>
      </c>
    </row>
    <row r="2" spans="1:3" x14ac:dyDescent="0.25">
      <c r="A2" t="s">
        <v>886</v>
      </c>
      <c r="B2" s="21" t="str">
        <f t="shared" si="0"/>
        <v>2017/01/17 12:01:09.957</v>
      </c>
      <c r="C2">
        <f>ABS(B2-B1)</f>
        <v>4.0382326391409151E-2</v>
      </c>
    </row>
    <row r="3" spans="1:3" x14ac:dyDescent="0.25">
      <c r="A3" t="s">
        <v>887</v>
      </c>
      <c r="B3" s="21" t="str">
        <f t="shared" si="0"/>
        <v>2017/01/17 12:01:10.205</v>
      </c>
      <c r="C3" s="21">
        <f t="shared" ref="C3:C30" si="1">ABS(B3-B2)</f>
        <v>2.8703652787953615E-6</v>
      </c>
    </row>
    <row r="4" spans="1:3" x14ac:dyDescent="0.25">
      <c r="A4" t="s">
        <v>888</v>
      </c>
      <c r="B4" s="21" t="str">
        <f t="shared" si="0"/>
        <v>2017/01/17 12:01:10.381</v>
      </c>
      <c r="C4" s="21">
        <f t="shared" si="1"/>
        <v>2.0370425772853196E-6</v>
      </c>
    </row>
    <row r="5" spans="1:3" x14ac:dyDescent="0.25">
      <c r="A5" t="s">
        <v>889</v>
      </c>
      <c r="B5" s="21" t="str">
        <f t="shared" si="0"/>
        <v>2017/01/17 12:12:28.075</v>
      </c>
      <c r="C5" s="21">
        <f t="shared" si="1"/>
        <v>7.8436805561068468E-3</v>
      </c>
    </row>
    <row r="6" spans="1:3" x14ac:dyDescent="0.25">
      <c r="A6" t="s">
        <v>890</v>
      </c>
      <c r="B6" s="21" t="str">
        <f t="shared" si="0"/>
        <v>2017/01/17 12:12:28.571</v>
      </c>
      <c r="C6" s="21">
        <f t="shared" si="1"/>
        <v>5.7407378335483372E-6</v>
      </c>
    </row>
    <row r="7" spans="1:3" x14ac:dyDescent="0.25">
      <c r="A7" t="s">
        <v>891</v>
      </c>
      <c r="B7" s="21" t="str">
        <f t="shared" si="0"/>
        <v>2017/01/17 12:44:00.072</v>
      </c>
      <c r="C7" s="21">
        <f t="shared" si="1"/>
        <v>2.1892372686124872E-2</v>
      </c>
    </row>
    <row r="8" spans="1:3" x14ac:dyDescent="0.25">
      <c r="A8" t="s">
        <v>892</v>
      </c>
      <c r="B8" s="21" t="str">
        <f t="shared" si="0"/>
        <v>2017/01/17 12:44:00.573</v>
      </c>
      <c r="C8" s="21">
        <f t="shared" si="1"/>
        <v>5.7986108004115522E-6</v>
      </c>
    </row>
    <row r="9" spans="1:3" x14ac:dyDescent="0.25">
      <c r="A9" t="s">
        <v>893</v>
      </c>
      <c r="B9" s="21" t="str">
        <f t="shared" si="0"/>
        <v>2017/01/17 12:44:01.046</v>
      </c>
      <c r="C9" s="21">
        <f t="shared" si="1"/>
        <v>5.4745323723182082E-6</v>
      </c>
    </row>
    <row r="10" spans="1:3" x14ac:dyDescent="0.25">
      <c r="A10" t="s">
        <v>894</v>
      </c>
      <c r="B10" s="21" t="str">
        <f t="shared" si="0"/>
        <v>2017/01/17 12:55:10.509</v>
      </c>
      <c r="C10" s="21">
        <f t="shared" si="1"/>
        <v>7.7484143548645079E-3</v>
      </c>
    </row>
    <row r="11" spans="1:3" x14ac:dyDescent="0.25">
      <c r="A11" t="s">
        <v>895</v>
      </c>
      <c r="B11" s="21" t="str">
        <f t="shared" si="0"/>
        <v>2017/01/17 13:54:13.970</v>
      </c>
      <c r="C11" s="21">
        <f t="shared" si="1"/>
        <v>4.101228008948965E-2</v>
      </c>
    </row>
    <row r="12" spans="1:3" x14ac:dyDescent="0.25">
      <c r="A12" t="s">
        <v>896</v>
      </c>
      <c r="B12" s="21" t="str">
        <f t="shared" si="0"/>
        <v>2017/01/17 13:54:14.236</v>
      </c>
      <c r="C12" s="21">
        <f t="shared" si="1"/>
        <v>3.0787050491198897E-6</v>
      </c>
    </row>
    <row r="13" spans="1:3" x14ac:dyDescent="0.25">
      <c r="A13" t="s">
        <v>897</v>
      </c>
      <c r="B13" s="21" t="str">
        <f t="shared" si="0"/>
        <v>2017/01/17 13:54:14.405</v>
      </c>
      <c r="C13" s="21">
        <f t="shared" si="1"/>
        <v>1.9560175132937729E-6</v>
      </c>
    </row>
    <row r="14" spans="1:3" x14ac:dyDescent="0.25">
      <c r="A14" t="s">
        <v>898</v>
      </c>
      <c r="B14" s="21" t="str">
        <f t="shared" si="0"/>
        <v>2017/01/17 15:05:23.991</v>
      </c>
      <c r="C14" s="21">
        <f t="shared" si="1"/>
        <v>4.9416504632972647E-2</v>
      </c>
    </row>
    <row r="15" spans="1:3" x14ac:dyDescent="0.25">
      <c r="A15" t="s">
        <v>899</v>
      </c>
      <c r="B15" s="21" t="str">
        <f t="shared" si="0"/>
        <v>2017/01/17 15:05:24.016</v>
      </c>
      <c r="C15" s="21">
        <f t="shared" si="1"/>
        <v>2.8935028240084648E-7</v>
      </c>
    </row>
    <row r="16" spans="1:3" x14ac:dyDescent="0.25">
      <c r="A16" t="s">
        <v>900</v>
      </c>
      <c r="B16" s="21" t="str">
        <f t="shared" si="0"/>
        <v>2017/01/17 15:39:15.457</v>
      </c>
      <c r="C16" s="21">
        <f t="shared" si="1"/>
        <v>2.3512048610427883E-2</v>
      </c>
    </row>
    <row r="17" spans="1:3" x14ac:dyDescent="0.25">
      <c r="A17" t="s">
        <v>901</v>
      </c>
      <c r="B17" s="21" t="str">
        <f t="shared" si="0"/>
        <v>2017/01/17 15:39:15.477</v>
      </c>
      <c r="C17" s="21">
        <f t="shared" si="1"/>
        <v>2.314845914952457E-7</v>
      </c>
    </row>
    <row r="18" spans="1:3" x14ac:dyDescent="0.25">
      <c r="A18" t="s">
        <v>902</v>
      </c>
      <c r="B18" s="21" t="str">
        <f t="shared" si="0"/>
        <v>2017/01/17 15:39:52.903</v>
      </c>
      <c r="C18" s="21">
        <f t="shared" si="1"/>
        <v>4.3317129166098312E-4</v>
      </c>
    </row>
    <row r="19" spans="1:3" x14ac:dyDescent="0.25">
      <c r="A19" t="s">
        <v>903</v>
      </c>
      <c r="B19" s="21" t="str">
        <f t="shared" si="0"/>
        <v>2017/01/17 15:39:53.461</v>
      </c>
      <c r="C19" s="21">
        <f t="shared" si="1"/>
        <v>6.4583364292047918E-6</v>
      </c>
    </row>
    <row r="20" spans="1:3" x14ac:dyDescent="0.25">
      <c r="A20" t="s">
        <v>904</v>
      </c>
      <c r="B20" s="21" t="str">
        <f t="shared" si="0"/>
        <v>2017/01/17 15:39:53.477</v>
      </c>
      <c r="C20" s="21">
        <f t="shared" si="1"/>
        <v>1.8518767319619656E-7</v>
      </c>
    </row>
    <row r="21" spans="1:3" x14ac:dyDescent="0.25">
      <c r="A21" t="s">
        <v>905</v>
      </c>
      <c r="B21" s="21" t="str">
        <f t="shared" si="0"/>
        <v>2017/01/17 16:20:04.370</v>
      </c>
      <c r="C21" s="21">
        <f t="shared" si="1"/>
        <v>2.790385416301433E-2</v>
      </c>
    </row>
    <row r="22" spans="1:3" x14ac:dyDescent="0.25">
      <c r="A22" t="s">
        <v>906</v>
      </c>
      <c r="B22" s="21" t="str">
        <f t="shared" si="0"/>
        <v>2017/01/17 16:20:04.389</v>
      </c>
      <c r="C22" s="21">
        <f t="shared" si="1"/>
        <v>2.1990854293107986E-7</v>
      </c>
    </row>
    <row r="23" spans="1:3" x14ac:dyDescent="0.25">
      <c r="A23" t="s">
        <v>907</v>
      </c>
      <c r="B23" s="21" t="str">
        <f t="shared" si="0"/>
        <v>2017/01/17 16:50:34.989</v>
      </c>
      <c r="C23" s="21">
        <f t="shared" si="1"/>
        <v>2.1187500002270099E-2</v>
      </c>
    </row>
    <row r="24" spans="1:3" x14ac:dyDescent="0.25">
      <c r="A24" t="s">
        <v>908</v>
      </c>
      <c r="B24" s="21" t="str">
        <f t="shared" si="0"/>
        <v>2017/01/17 16:50:35.028</v>
      </c>
      <c r="C24" s="21">
        <f t="shared" si="1"/>
        <v>4.5138585846871138E-7</v>
      </c>
    </row>
    <row r="25" spans="1:3" x14ac:dyDescent="0.25">
      <c r="A25" t="s">
        <v>909</v>
      </c>
      <c r="B25" s="21" t="str">
        <f t="shared" si="0"/>
        <v>2017/01/17 16:50:35.489</v>
      </c>
      <c r="C25" s="21">
        <f t="shared" si="1"/>
        <v>5.335648893378675E-6</v>
      </c>
    </row>
    <row r="26" spans="1:3" x14ac:dyDescent="0.25">
      <c r="A26" t="s">
        <v>910</v>
      </c>
      <c r="B26" s="21" t="str">
        <f t="shared" si="0"/>
        <v>2017/01/17 17:08:03.385</v>
      </c>
      <c r="C26" s="21">
        <f t="shared" si="1"/>
        <v>1.212842592940433E-2</v>
      </c>
    </row>
    <row r="27" spans="1:3" x14ac:dyDescent="0.25">
      <c r="A27" t="s">
        <v>911</v>
      </c>
      <c r="B27" s="21" t="str">
        <f t="shared" si="0"/>
        <v>2017/01/17 17:08:03.517</v>
      </c>
      <c r="C27" s="21">
        <f t="shared" si="1"/>
        <v>1.527776475995779E-6</v>
      </c>
    </row>
    <row r="28" spans="1:3" x14ac:dyDescent="0.25">
      <c r="A28" t="s">
        <v>912</v>
      </c>
      <c r="B28" s="21" t="str">
        <f t="shared" si="0"/>
        <v>2017/01/17 17:37:51.513</v>
      </c>
      <c r="C28" s="21">
        <f t="shared" si="1"/>
        <v>2.0694398146588355E-2</v>
      </c>
    </row>
    <row r="29" spans="1:3" x14ac:dyDescent="0.25">
      <c r="A29" t="s">
        <v>913</v>
      </c>
      <c r="B29" s="21" t="str">
        <f t="shared" si="0"/>
        <v>2017/01/17 17:37:52.377</v>
      </c>
      <c r="C29" s="21">
        <f t="shared" si="1"/>
        <v>1.0000003385357559E-5</v>
      </c>
    </row>
    <row r="30" spans="1:3" x14ac:dyDescent="0.25">
      <c r="A30" t="s">
        <v>914</v>
      </c>
      <c r="B30" s="21" t="str">
        <f t="shared" si="0"/>
        <v>2017/01/17 17:55:09.929</v>
      </c>
      <c r="C30" s="21">
        <f t="shared" si="1"/>
        <v>1.2008703699393664E-2</v>
      </c>
    </row>
    <row r="31" spans="1:3" x14ac:dyDescent="0.25">
      <c r="A31" t="s">
        <v>915</v>
      </c>
      <c r="B31" s="21" t="str">
        <f t="shared" ref="B31:B57" si="2">MID(A31,6,23)</f>
        <v>2017/01/17 18:24:52.044</v>
      </c>
      <c r="C31" s="21">
        <f t="shared" ref="C31:C57" si="3">ABS(B31-B30)</f>
        <v>2.0626331017410848E-2</v>
      </c>
    </row>
    <row r="32" spans="1:3" x14ac:dyDescent="0.25">
      <c r="A32" t="s">
        <v>916</v>
      </c>
      <c r="B32" s="21" t="str">
        <f t="shared" si="2"/>
        <v>2017/01/17 18:24:52.513</v>
      </c>
      <c r="C32" s="21">
        <f t="shared" si="3"/>
        <v>5.4282427299767733E-6</v>
      </c>
    </row>
    <row r="33" spans="1:3" x14ac:dyDescent="0.25">
      <c r="A33" t="s">
        <v>917</v>
      </c>
      <c r="B33" s="21" t="str">
        <f t="shared" si="2"/>
        <v>2017/01/17 18:56:04.927</v>
      </c>
      <c r="C33" s="21">
        <f t="shared" si="3"/>
        <v>2.1671458336641081E-2</v>
      </c>
    </row>
    <row r="34" spans="1:3" x14ac:dyDescent="0.25">
      <c r="A34" t="s">
        <v>918</v>
      </c>
      <c r="B34" s="21" t="str">
        <f t="shared" si="2"/>
        <v>2017/01/17 18:56:05.107</v>
      </c>
      <c r="C34" s="21">
        <f t="shared" si="3"/>
        <v>2.0833322196267545E-6</v>
      </c>
    </row>
    <row r="35" spans="1:3" x14ac:dyDescent="0.25">
      <c r="A35" t="s">
        <v>919</v>
      </c>
      <c r="B35" s="21" t="str">
        <f t="shared" si="2"/>
        <v>2017/01/17 18:56:05.428</v>
      </c>
      <c r="C35" s="21">
        <f t="shared" si="3"/>
        <v>3.7152785807847977E-6</v>
      </c>
    </row>
    <row r="36" spans="1:3" x14ac:dyDescent="0.25">
      <c r="A36" t="s">
        <v>920</v>
      </c>
      <c r="B36" s="21" t="str">
        <f t="shared" si="2"/>
        <v>2017/01/17 19:55:31.928</v>
      </c>
      <c r="C36" s="21">
        <f t="shared" si="3"/>
        <v>4.1278935183072463E-2</v>
      </c>
    </row>
    <row r="37" spans="1:3" x14ac:dyDescent="0.25">
      <c r="A37" t="s">
        <v>921</v>
      </c>
      <c r="B37" s="21" t="str">
        <f t="shared" si="2"/>
        <v>2017/01/17 19:55:32.113</v>
      </c>
      <c r="C37" s="21">
        <f t="shared" si="3"/>
        <v>2.1412051864899695E-6</v>
      </c>
    </row>
    <row r="38" spans="1:3" x14ac:dyDescent="0.25">
      <c r="A38" t="s">
        <v>922</v>
      </c>
      <c r="B38" s="21" t="str">
        <f t="shared" si="2"/>
        <v>2017/01/17 19:55:32.420</v>
      </c>
      <c r="C38" s="21">
        <f t="shared" si="3"/>
        <v>3.5532357287593186E-6</v>
      </c>
    </row>
    <row r="39" spans="1:3" x14ac:dyDescent="0.25">
      <c r="A39" t="s">
        <v>923</v>
      </c>
      <c r="B39" s="21" t="str">
        <f t="shared" si="2"/>
        <v>2017/01/17 19:56:26.928</v>
      </c>
      <c r="C39" s="21">
        <f t="shared" si="3"/>
        <v>6.3087962917052209E-4</v>
      </c>
    </row>
    <row r="40" spans="1:3" x14ac:dyDescent="0.25">
      <c r="A40" t="s">
        <v>924</v>
      </c>
      <c r="B40" s="21" t="str">
        <f t="shared" si="2"/>
        <v>2017/01/17 19:56:27.109</v>
      </c>
      <c r="C40" s="21">
        <f t="shared" si="3"/>
        <v>2.0949082681909204E-6</v>
      </c>
    </row>
    <row r="41" spans="1:3" x14ac:dyDescent="0.25">
      <c r="A41" t="s">
        <v>925</v>
      </c>
      <c r="B41" s="21" t="str">
        <f t="shared" si="2"/>
        <v>2017/01/17 19:56:27.424</v>
      </c>
      <c r="C41" s="21">
        <f t="shared" si="3"/>
        <v>3.6458368413150311E-6</v>
      </c>
    </row>
    <row r="42" spans="1:3" x14ac:dyDescent="0.25">
      <c r="A42" t="s">
        <v>926</v>
      </c>
      <c r="B42" s="21" t="str">
        <f t="shared" si="2"/>
        <v>2017/01/17 20:23:05.613</v>
      </c>
      <c r="C42" s="21">
        <f t="shared" si="3"/>
        <v>1.8497557866794523E-2</v>
      </c>
    </row>
    <row r="43" spans="1:3" x14ac:dyDescent="0.25">
      <c r="A43" t="s">
        <v>927</v>
      </c>
      <c r="B43" s="21" t="str">
        <f t="shared" si="2"/>
        <v>2017/01/17 20:23:06.413</v>
      </c>
      <c r="C43" s="21">
        <f t="shared" si="3"/>
        <v>9.2592599685303867E-6</v>
      </c>
    </row>
    <row r="44" spans="1:3" x14ac:dyDescent="0.25">
      <c r="A44" t="s">
        <v>928</v>
      </c>
      <c r="B44" s="21" t="str">
        <f t="shared" si="2"/>
        <v>2017/01/17 20:23:06.493</v>
      </c>
      <c r="C44" s="21">
        <f t="shared" si="3"/>
        <v>9.2592381406575441E-7</v>
      </c>
    </row>
    <row r="45" spans="1:3" x14ac:dyDescent="0.25">
      <c r="A45" t="s">
        <v>929</v>
      </c>
      <c r="B45" s="21" t="str">
        <f t="shared" si="2"/>
        <v>2017/01/17 20:23:49.619</v>
      </c>
      <c r="C45" s="21">
        <f t="shared" si="3"/>
        <v>4.9914351984625682E-4</v>
      </c>
    </row>
    <row r="46" spans="1:3" x14ac:dyDescent="0.25">
      <c r="A46" t="s">
        <v>930</v>
      </c>
      <c r="B46" s="21" t="str">
        <f t="shared" si="2"/>
        <v>2017/01/17 20:23:50.411</v>
      </c>
      <c r="C46" s="21">
        <f t="shared" si="3"/>
        <v>9.1666661319322884E-6</v>
      </c>
    </row>
    <row r="47" spans="1:3" x14ac:dyDescent="0.25">
      <c r="A47" t="s">
        <v>931</v>
      </c>
      <c r="B47" s="21" t="str">
        <f t="shared" si="2"/>
        <v>2017/01/17 20:23:50.492</v>
      </c>
      <c r="C47" s="21">
        <f t="shared" si="3"/>
        <v>9.3749986262992024E-7</v>
      </c>
    </row>
    <row r="48" spans="1:3" x14ac:dyDescent="0.25">
      <c r="A48" t="s">
        <v>932</v>
      </c>
      <c r="B48" s="21" t="str">
        <f t="shared" si="2"/>
        <v>2017/01/17 20:55:08.419</v>
      </c>
      <c r="C48" s="21">
        <f t="shared" si="3"/>
        <v>2.1735266207542736E-2</v>
      </c>
    </row>
    <row r="49" spans="1:3" x14ac:dyDescent="0.25">
      <c r="A49" t="s">
        <v>933</v>
      </c>
      <c r="B49" s="21" t="str">
        <f t="shared" si="2"/>
        <v>2017/01/17 20:55:08.935</v>
      </c>
      <c r="C49" s="21">
        <f t="shared" si="3"/>
        <v>5.9722224250435829E-6</v>
      </c>
    </row>
    <row r="50" spans="1:3" x14ac:dyDescent="0.25">
      <c r="A50" t="s">
        <v>934</v>
      </c>
      <c r="B50" s="21" t="str">
        <f t="shared" si="2"/>
        <v>2017/01/17 20:55:09.102</v>
      </c>
      <c r="C50" s="21">
        <f t="shared" si="3"/>
        <v>1.9328726921230555E-6</v>
      </c>
    </row>
    <row r="51" spans="1:3" x14ac:dyDescent="0.25">
      <c r="A51" t="s">
        <v>935</v>
      </c>
      <c r="B51" s="21" t="str">
        <f t="shared" si="2"/>
        <v>2017/01/17 21:08:23.180</v>
      </c>
      <c r="C51" s="21">
        <f t="shared" si="3"/>
        <v>9.1907175883534364E-3</v>
      </c>
    </row>
    <row r="52" spans="1:3" x14ac:dyDescent="0.25">
      <c r="A52" t="s">
        <v>936</v>
      </c>
      <c r="B52" s="21" t="str">
        <f t="shared" si="2"/>
        <v>2017/01/17 21:32:17.346</v>
      </c>
      <c r="C52" s="21">
        <f t="shared" si="3"/>
        <v>1.6599143520579673E-2</v>
      </c>
    </row>
    <row r="53" spans="1:3" x14ac:dyDescent="0.25">
      <c r="A53" t="s">
        <v>937</v>
      </c>
      <c r="B53" s="21" t="str">
        <f t="shared" si="2"/>
        <v>2017/01/17 21:32:53.636</v>
      </c>
      <c r="C53" s="21">
        <f t="shared" si="3"/>
        <v>4.2002314876299351E-4</v>
      </c>
    </row>
    <row r="54" spans="1:3" x14ac:dyDescent="0.25">
      <c r="A54" t="s">
        <v>938</v>
      </c>
      <c r="B54" s="21" t="str">
        <f t="shared" si="2"/>
        <v>2017/01/17 21:32:54.501</v>
      </c>
      <c r="C54" s="21">
        <f t="shared" si="3"/>
        <v>1.001157215796411E-5</v>
      </c>
    </row>
    <row r="55" spans="1:3" x14ac:dyDescent="0.25">
      <c r="A55" t="s">
        <v>939</v>
      </c>
      <c r="B55" s="21" t="str">
        <f t="shared" si="2"/>
        <v>2017/01/17 21:32:54.531</v>
      </c>
      <c r="C55" s="21">
        <f t="shared" si="3"/>
        <v>3.4722324926406145E-7</v>
      </c>
    </row>
    <row r="56" spans="1:3" x14ac:dyDescent="0.25">
      <c r="A56" t="s">
        <v>940</v>
      </c>
      <c r="B56" s="21" t="str">
        <f t="shared" si="2"/>
        <v>2017/01/17 21:34:39.843</v>
      </c>
      <c r="C56" s="21">
        <f t="shared" si="3"/>
        <v>1.2188888867967762E-3</v>
      </c>
    </row>
    <row r="57" spans="1:3" x14ac:dyDescent="0.25">
      <c r="A57" t="s">
        <v>941</v>
      </c>
      <c r="B57" s="21" t="str">
        <f t="shared" si="2"/>
        <v>2017/01/17 21:34:40.008</v>
      </c>
      <c r="C57" s="21">
        <f t="shared" si="3"/>
        <v>1.9097205949947238E-6</v>
      </c>
    </row>
    <row r="58" spans="1:3" x14ac:dyDescent="0.25">
      <c r="A58" t="s">
        <v>942</v>
      </c>
      <c r="B58" s="21" t="str">
        <f t="shared" ref="B58:B110" si="4">MID(A58,6,23)</f>
        <v>2017/01/17 21:34:40.181</v>
      </c>
      <c r="C58" s="21">
        <f t="shared" ref="C58:C110" si="5">ABS(B58-B57)</f>
        <v>2.0023144315928221E-6</v>
      </c>
    </row>
    <row r="59" spans="1:3" x14ac:dyDescent="0.25">
      <c r="A59" t="s">
        <v>943</v>
      </c>
      <c r="B59" s="21" t="str">
        <f t="shared" si="4"/>
        <v>2017/01/17 23:05:53.954</v>
      </c>
      <c r="C59" s="21">
        <f t="shared" si="5"/>
        <v>6.3353854173328727E-2</v>
      </c>
    </row>
    <row r="60" spans="1:3" x14ac:dyDescent="0.25">
      <c r="A60" t="s">
        <v>944</v>
      </c>
      <c r="B60" s="21" t="str">
        <f t="shared" si="4"/>
        <v>2017/01/17 23:05:54.223</v>
      </c>
      <c r="C60" s="21">
        <f t="shared" si="5"/>
        <v>3.113425918854773E-6</v>
      </c>
    </row>
    <row r="61" spans="1:3" x14ac:dyDescent="0.25">
      <c r="A61" t="s">
        <v>945</v>
      </c>
      <c r="B61" s="21" t="str">
        <f t="shared" si="4"/>
        <v>2017/01/17 23:05:54.380</v>
      </c>
      <c r="C61" s="21">
        <f t="shared" si="5"/>
        <v>1.8171267583966255E-6</v>
      </c>
    </row>
    <row r="62" spans="1:3" x14ac:dyDescent="0.25">
      <c r="A62" t="s">
        <v>946</v>
      </c>
      <c r="B62" s="21" t="str">
        <f t="shared" si="4"/>
        <v>2017/01/17 23:06:29.382</v>
      </c>
      <c r="C62" s="21">
        <f t="shared" si="5"/>
        <v>4.0511573752155527E-4</v>
      </c>
    </row>
    <row r="63" spans="1:3" x14ac:dyDescent="0.25">
      <c r="A63" t="s">
        <v>947</v>
      </c>
      <c r="B63" s="21" t="str">
        <f t="shared" si="4"/>
        <v>2017/01/17 23:06:29.952</v>
      </c>
      <c r="C63" s="21">
        <f t="shared" si="5"/>
        <v>6.5972271841019392E-6</v>
      </c>
    </row>
    <row r="64" spans="1:3" x14ac:dyDescent="0.25">
      <c r="A64" t="s">
        <v>948</v>
      </c>
      <c r="B64" s="21" t="str">
        <f t="shared" si="4"/>
        <v>2017/01/17 23:06:30.215</v>
      </c>
      <c r="C64" s="21">
        <f t="shared" si="5"/>
        <v>3.0439769034273922E-6</v>
      </c>
    </row>
    <row r="65" spans="1:3" x14ac:dyDescent="0.25">
      <c r="A65" t="s">
        <v>949</v>
      </c>
      <c r="B65" s="21" t="str">
        <f t="shared" si="4"/>
        <v>2017/01/17 23:06:59.380</v>
      </c>
      <c r="C65" s="21">
        <f t="shared" si="5"/>
        <v>3.375578744453378E-4</v>
      </c>
    </row>
    <row r="66" spans="1:3" x14ac:dyDescent="0.25">
      <c r="A66" t="s">
        <v>950</v>
      </c>
      <c r="B66" s="21" t="str">
        <f t="shared" si="4"/>
        <v>2017/01/17 23:06:59.951</v>
      </c>
      <c r="C66" s="21">
        <f t="shared" si="5"/>
        <v>6.6087959567084908E-6</v>
      </c>
    </row>
    <row r="67" spans="1:3" x14ac:dyDescent="0.25">
      <c r="A67" t="s">
        <v>951</v>
      </c>
      <c r="B67" s="21" t="str">
        <f t="shared" si="4"/>
        <v>2017/01/17 23:07:00.215</v>
      </c>
      <c r="C67" s="21">
        <f t="shared" si="5"/>
        <v>3.0555529519915581E-6</v>
      </c>
    </row>
    <row r="68" spans="1:3" x14ac:dyDescent="0.25">
      <c r="A68" t="s">
        <v>952</v>
      </c>
      <c r="B68" s="21" t="str">
        <f t="shared" si="4"/>
        <v>2017/01/17 23:07:30.954</v>
      </c>
      <c r="C68" s="21">
        <f t="shared" si="5"/>
        <v>3.5577546077547595E-4</v>
      </c>
    </row>
    <row r="69" spans="1:3" x14ac:dyDescent="0.25">
      <c r="A69" t="s">
        <v>953</v>
      </c>
      <c r="B69" s="21" t="str">
        <f t="shared" si="4"/>
        <v>2017/01/17 23:07:31.387</v>
      </c>
      <c r="C69" s="21">
        <f t="shared" si="5"/>
        <v>5.0115777412429452E-6</v>
      </c>
    </row>
    <row r="70" spans="1:3" x14ac:dyDescent="0.25">
      <c r="A70" t="s">
        <v>954</v>
      </c>
      <c r="B70" s="21" t="str">
        <f t="shared" si="4"/>
        <v>2017/01/17 23:07:32.215</v>
      </c>
      <c r="C70" s="21">
        <f t="shared" si="5"/>
        <v>9.5833311206661165E-6</v>
      </c>
    </row>
    <row r="71" spans="1:3" x14ac:dyDescent="0.25">
      <c r="A71" t="s">
        <v>955</v>
      </c>
      <c r="B71" s="21" t="str">
        <f t="shared" si="4"/>
        <v>2017/01/18 00:25:23.641</v>
      </c>
      <c r="C71" s="21">
        <f t="shared" si="5"/>
        <v>5.4067430559371132E-2</v>
      </c>
    </row>
    <row r="72" spans="1:3" x14ac:dyDescent="0.25">
      <c r="A72" t="s">
        <v>956</v>
      </c>
      <c r="B72" s="21" t="str">
        <f t="shared" si="4"/>
        <v>2017/01/18 00:25:31.954</v>
      </c>
      <c r="C72" s="21">
        <f t="shared" si="5"/>
        <v>9.6215277153532952E-5</v>
      </c>
    </row>
    <row r="73" spans="1:3" x14ac:dyDescent="0.25">
      <c r="A73" t="s">
        <v>957</v>
      </c>
      <c r="B73" s="21" t="str">
        <f t="shared" si="4"/>
        <v>2017/01/18 00:25:32.371</v>
      </c>
      <c r="C73" s="21">
        <f t="shared" si="5"/>
        <v>4.8263900680467486E-6</v>
      </c>
    </row>
    <row r="74" spans="1:3" x14ac:dyDescent="0.25">
      <c r="A74" t="s">
        <v>958</v>
      </c>
      <c r="B74" s="21" t="str">
        <f t="shared" si="4"/>
        <v>2017/01/18 00:38:58.385</v>
      </c>
      <c r="C74" s="21">
        <f t="shared" si="5"/>
        <v>9.3288657371886075E-3</v>
      </c>
    </row>
    <row r="75" spans="1:3" x14ac:dyDescent="0.25">
      <c r="A75" t="s">
        <v>959</v>
      </c>
      <c r="B75" s="21" t="str">
        <f t="shared" si="4"/>
        <v>2017/01/18 00:38:58.500</v>
      </c>
      <c r="C75" s="21">
        <f t="shared" si="5"/>
        <v>1.3310200301930308E-6</v>
      </c>
    </row>
    <row r="76" spans="1:3" x14ac:dyDescent="0.25">
      <c r="A76" t="s">
        <v>960</v>
      </c>
      <c r="B76" s="21" t="str">
        <f t="shared" si="4"/>
        <v>2017/01/18 01:16:49.966</v>
      </c>
      <c r="C76" s="21">
        <f t="shared" si="5"/>
        <v>2.6290115740266629E-2</v>
      </c>
    </row>
    <row r="77" spans="1:3" x14ac:dyDescent="0.25">
      <c r="A77" t="s">
        <v>961</v>
      </c>
      <c r="B77" s="21" t="str">
        <f t="shared" si="4"/>
        <v>2017/01/18 01:16:50.375</v>
      </c>
      <c r="C77" s="21">
        <f t="shared" si="5"/>
        <v>4.7337962314486504E-6</v>
      </c>
    </row>
    <row r="78" spans="1:3" x14ac:dyDescent="0.25">
      <c r="A78" t="s">
        <v>962</v>
      </c>
      <c r="B78" s="21" t="str">
        <f t="shared" si="4"/>
        <v>2017/01/18 01:16:50.648</v>
      </c>
      <c r="C78" s="21">
        <f t="shared" si="5"/>
        <v>3.1597228371538222E-6</v>
      </c>
    </row>
    <row r="79" spans="1:3" x14ac:dyDescent="0.25">
      <c r="A79" t="s">
        <v>963</v>
      </c>
      <c r="B79" s="21" t="str">
        <f t="shared" si="4"/>
        <v>2017/01/18 01:21:55.659</v>
      </c>
      <c r="C79" s="21">
        <f t="shared" si="5"/>
        <v>3.5302199103171006E-3</v>
      </c>
    </row>
    <row r="80" spans="1:3" x14ac:dyDescent="0.25">
      <c r="A80" t="s">
        <v>964</v>
      </c>
      <c r="B80" s="21" t="str">
        <f t="shared" si="4"/>
        <v>2017/01/18 01:21:56.383</v>
      </c>
      <c r="C80" s="21">
        <f t="shared" si="5"/>
        <v>8.3796257968060672E-6</v>
      </c>
    </row>
    <row r="81" spans="1:3" x14ac:dyDescent="0.25">
      <c r="A81" t="s">
        <v>965</v>
      </c>
      <c r="B81" s="21" t="str">
        <f t="shared" si="4"/>
        <v>2017/01/18 01:21:56.976</v>
      </c>
      <c r="C81" s="21">
        <f t="shared" si="5"/>
        <v>6.863425369374454E-6</v>
      </c>
    </row>
    <row r="82" spans="1:3" x14ac:dyDescent="0.25">
      <c r="A82" t="s">
        <v>966</v>
      </c>
      <c r="B82" s="21" t="str">
        <f t="shared" si="4"/>
        <v>2017/01/18 01:29:12.619</v>
      </c>
      <c r="C82" s="21">
        <f t="shared" si="5"/>
        <v>5.0421643536537886E-3</v>
      </c>
    </row>
    <row r="83" spans="1:3" x14ac:dyDescent="0.25">
      <c r="A83" t="s">
        <v>967</v>
      </c>
      <c r="B83" s="21" t="str">
        <f t="shared" si="4"/>
        <v>2017/01/18 01:29:12.955</v>
      </c>
      <c r="C83" s="21">
        <f t="shared" si="5"/>
        <v>3.8888902054168284E-6</v>
      </c>
    </row>
    <row r="84" spans="1:3" x14ac:dyDescent="0.25">
      <c r="A84" t="s">
        <v>968</v>
      </c>
      <c r="B84" s="21" t="str">
        <f t="shared" si="4"/>
        <v>2017/01/18 01:29:13.642</v>
      </c>
      <c r="C84" s="21">
        <f t="shared" si="5"/>
        <v>7.9513847595080733E-6</v>
      </c>
    </row>
    <row r="85" spans="1:3" x14ac:dyDescent="0.25">
      <c r="A85" t="s">
        <v>969</v>
      </c>
      <c r="B85" s="21" t="str">
        <f t="shared" si="4"/>
        <v>2017/01/18 02:04:37.851</v>
      </c>
      <c r="C85" s="21">
        <f t="shared" si="5"/>
        <v>2.4585752318671439E-2</v>
      </c>
    </row>
    <row r="86" spans="1:3" x14ac:dyDescent="0.25">
      <c r="A86" t="s">
        <v>970</v>
      </c>
      <c r="B86" s="21" t="str">
        <f t="shared" si="4"/>
        <v>2017/01/18 02:04:37.927</v>
      </c>
      <c r="C86" s="21">
        <f t="shared" si="5"/>
        <v>8.7962689576670527E-7</v>
      </c>
    </row>
    <row r="87" spans="1:3" x14ac:dyDescent="0.25">
      <c r="A87" t="s">
        <v>971</v>
      </c>
      <c r="B87" s="21" t="str">
        <f t="shared" si="4"/>
        <v>2017/01/18 02:04:38.300</v>
      </c>
      <c r="C87" s="21">
        <f t="shared" si="5"/>
        <v>4.3171312427148223E-6</v>
      </c>
    </row>
    <row r="88" spans="1:3" x14ac:dyDescent="0.25">
      <c r="A88" t="s">
        <v>972</v>
      </c>
      <c r="B88" s="21" t="str">
        <f t="shared" si="4"/>
        <v>2017/01/18 02:06:41.948</v>
      </c>
      <c r="C88" s="21">
        <f t="shared" si="5"/>
        <v>1.4311111081042327E-3</v>
      </c>
    </row>
    <row r="89" spans="1:3" x14ac:dyDescent="0.25">
      <c r="A89" t="s">
        <v>973</v>
      </c>
      <c r="B89" s="21" t="str">
        <f t="shared" si="4"/>
        <v>2017/01/18 02:06:42.377</v>
      </c>
      <c r="C89" s="21">
        <f t="shared" si="5"/>
        <v>4.9652808229438961E-6</v>
      </c>
    </row>
    <row r="90" spans="1:3" x14ac:dyDescent="0.25">
      <c r="A90" t="s">
        <v>974</v>
      </c>
      <c r="B90" s="21" t="str">
        <f t="shared" si="4"/>
        <v>2017/01/18 02:25:12.859</v>
      </c>
      <c r="C90" s="21">
        <f t="shared" si="5"/>
        <v>1.2852800922701135E-2</v>
      </c>
    </row>
    <row r="91" spans="1:3" x14ac:dyDescent="0.25">
      <c r="A91" t="s">
        <v>975</v>
      </c>
      <c r="B91" s="21" t="str">
        <f t="shared" si="4"/>
        <v>2017/01/18 02:25:13.039</v>
      </c>
      <c r="C91" s="21">
        <f t="shared" si="5"/>
        <v>2.0833322196267545E-6</v>
      </c>
    </row>
    <row r="92" spans="1:3" x14ac:dyDescent="0.25">
      <c r="A92" t="s">
        <v>976</v>
      </c>
      <c r="B92" s="21" t="str">
        <f t="shared" si="4"/>
        <v>2017/01/18 02:25:13.213</v>
      </c>
      <c r="C92" s="21">
        <f t="shared" si="5"/>
        <v>2.0138904801569879E-6</v>
      </c>
    </row>
    <row r="93" spans="1:3" x14ac:dyDescent="0.25">
      <c r="A93" t="s">
        <v>977</v>
      </c>
      <c r="B93" s="21" t="str">
        <f t="shared" si="4"/>
        <v>2017/01/18 02:36:08.675</v>
      </c>
      <c r="C93" s="21">
        <f t="shared" si="5"/>
        <v>7.5863657402805984E-3</v>
      </c>
    </row>
    <row r="94" spans="1:3" x14ac:dyDescent="0.25">
      <c r="A94" t="s">
        <v>978</v>
      </c>
      <c r="B94" s="21" t="str">
        <f t="shared" si="4"/>
        <v>2017/01/18 02:36:08.874</v>
      </c>
      <c r="C94" s="21">
        <f t="shared" si="5"/>
        <v>2.3032407625578344E-6</v>
      </c>
    </row>
    <row r="95" spans="1:3" x14ac:dyDescent="0.25">
      <c r="A95" t="s">
        <v>979</v>
      </c>
      <c r="B95" s="21" t="str">
        <f t="shared" si="4"/>
        <v>2017/01/18 02:36:09.111</v>
      </c>
      <c r="C95" s="21">
        <f t="shared" si="5"/>
        <v>2.7430578484199941E-6</v>
      </c>
    </row>
    <row r="96" spans="1:3" x14ac:dyDescent="0.25">
      <c r="A96" t="s">
        <v>980</v>
      </c>
      <c r="B96" s="21" t="str">
        <f t="shared" si="4"/>
        <v>2017/01/18 02:38:45.404</v>
      </c>
      <c r="C96" s="21">
        <f t="shared" si="5"/>
        <v>1.8089467557729222E-3</v>
      </c>
    </row>
    <row r="97" spans="1:3" x14ac:dyDescent="0.25">
      <c r="A97" t="s">
        <v>981</v>
      </c>
      <c r="B97" s="21" t="str">
        <f t="shared" si="4"/>
        <v>2017/01/18 02:38:45.417</v>
      </c>
      <c r="C97" s="21">
        <f t="shared" si="5"/>
        <v>1.5046680346131325E-7</v>
      </c>
    </row>
    <row r="98" spans="1:3" x14ac:dyDescent="0.25">
      <c r="A98" t="s">
        <v>982</v>
      </c>
      <c r="B98" s="21" t="str">
        <f t="shared" si="4"/>
        <v>2017/01/18 02:49:37.935</v>
      </c>
      <c r="C98" s="21">
        <f t="shared" si="5"/>
        <v>7.5522916667978279E-3</v>
      </c>
    </row>
    <row r="99" spans="1:3" x14ac:dyDescent="0.25">
      <c r="A99" t="s">
        <v>983</v>
      </c>
      <c r="B99" s="21" t="str">
        <f t="shared" si="4"/>
        <v>2017/01/18 02:49:38.111</v>
      </c>
      <c r="C99" s="21">
        <f t="shared" si="5"/>
        <v>2.0370353013277054E-6</v>
      </c>
    </row>
    <row r="100" spans="1:3" x14ac:dyDescent="0.25">
      <c r="A100" t="s">
        <v>984</v>
      </c>
      <c r="B100" s="21" t="str">
        <f t="shared" si="4"/>
        <v>2017/01/18 03:37:50.468</v>
      </c>
      <c r="C100" s="21">
        <f t="shared" si="5"/>
        <v>3.3476354168669786E-2</v>
      </c>
    </row>
    <row r="101" spans="1:3" x14ac:dyDescent="0.25">
      <c r="A101" t="s">
        <v>985</v>
      </c>
      <c r="B101" s="21" t="str">
        <f t="shared" si="4"/>
        <v>2017/01/18 03:37:51.409</v>
      </c>
      <c r="C101" s="21">
        <f t="shared" si="5"/>
        <v>1.089120632968843E-5</v>
      </c>
    </row>
    <row r="102" spans="1:3" x14ac:dyDescent="0.25">
      <c r="A102" t="s">
        <v>986</v>
      </c>
      <c r="B102" s="21" t="str">
        <f t="shared" si="4"/>
        <v>2017/01/18 03:37:51.915</v>
      </c>
      <c r="C102" s="21">
        <f t="shared" si="5"/>
        <v>5.856476491317153E-6</v>
      </c>
    </row>
    <row r="103" spans="1:3" x14ac:dyDescent="0.25">
      <c r="A103" t="s">
        <v>987</v>
      </c>
      <c r="B103" s="21" t="str">
        <f t="shared" si="4"/>
        <v>2017/01/18 04:33:54.369</v>
      </c>
      <c r="C103" s="21">
        <f t="shared" si="5"/>
        <v>3.8917291669349652E-2</v>
      </c>
    </row>
    <row r="104" spans="1:3" x14ac:dyDescent="0.25">
      <c r="A104" t="s">
        <v>988</v>
      </c>
      <c r="B104" s="21" t="str">
        <f t="shared" si="4"/>
        <v>2017/01/18 04:33:54.386</v>
      </c>
      <c r="C104" s="21">
        <f t="shared" si="5"/>
        <v>1.967564458027482E-7</v>
      </c>
    </row>
    <row r="105" spans="1:3" x14ac:dyDescent="0.25">
      <c r="A105" t="s">
        <v>989</v>
      </c>
      <c r="B105" s="21" t="str">
        <f t="shared" si="4"/>
        <v>2017/01/18 04:54:53.484</v>
      </c>
      <c r="C105" s="21">
        <f t="shared" si="5"/>
        <v>1.4572893516742624E-2</v>
      </c>
    </row>
    <row r="106" spans="1:3" x14ac:dyDescent="0.25">
      <c r="A106" t="s">
        <v>990</v>
      </c>
      <c r="B106" s="21" t="str">
        <f t="shared" si="4"/>
        <v>2017/01/18 04:54:53.554</v>
      </c>
      <c r="C106" s="21">
        <f t="shared" si="5"/>
        <v>8.1018515629693866E-7</v>
      </c>
    </row>
    <row r="107" spans="1:3" x14ac:dyDescent="0.25">
      <c r="A107" t="s">
        <v>991</v>
      </c>
      <c r="B107" s="21" t="str">
        <f t="shared" si="4"/>
        <v>2017/01/18 04:54:53.627</v>
      </c>
      <c r="C107" s="21">
        <f t="shared" si="5"/>
        <v>8.4491330198943615E-7</v>
      </c>
    </row>
    <row r="108" spans="1:3" x14ac:dyDescent="0.25">
      <c r="A108" t="s">
        <v>992</v>
      </c>
      <c r="B108" s="21" t="str">
        <f t="shared" si="4"/>
        <v>2017/01/18 05:52:37.753</v>
      </c>
      <c r="C108" s="21">
        <f t="shared" si="5"/>
        <v>4.009405092074303E-2</v>
      </c>
    </row>
    <row r="109" spans="1:3" x14ac:dyDescent="0.25">
      <c r="A109" t="s">
        <v>993</v>
      </c>
      <c r="B109" s="21" t="str">
        <f t="shared" si="4"/>
        <v>2017/01/18 05:52:38.020</v>
      </c>
      <c r="C109" s="21">
        <f t="shared" si="5"/>
        <v>3.0902810976840556E-6</v>
      </c>
    </row>
    <row r="110" spans="1:3" x14ac:dyDescent="0.25">
      <c r="A110" t="s">
        <v>994</v>
      </c>
      <c r="B110" s="21" t="str">
        <f t="shared" si="4"/>
        <v>2017/01/18 05:52:38.465</v>
      </c>
      <c r="C110" s="21">
        <f t="shared" si="5"/>
        <v>5.1504612201824784E-6</v>
      </c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2017-01-18T16:49:13Z</dcterms:modified>
</cp:coreProperties>
</file>