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Trips'!$A$2:$J$114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8" i="3" l="1"/>
  <c r="K14" i="1"/>
  <c r="L14" i="1"/>
  <c r="M14" i="1"/>
  <c r="V14" i="1"/>
  <c r="Y14" i="1"/>
  <c r="Z14" i="1"/>
  <c r="AA14" i="1" s="1"/>
  <c r="AB14" i="1"/>
  <c r="AC14" i="1"/>
  <c r="AD14" i="1"/>
  <c r="AE14" i="1"/>
  <c r="AF14" i="1"/>
  <c r="AG14" i="1"/>
  <c r="AH14" i="1"/>
  <c r="AM14" i="1"/>
  <c r="AN14" i="1"/>
  <c r="K15" i="1"/>
  <c r="L15" i="1"/>
  <c r="M15" i="1"/>
  <c r="P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I28" i="1"/>
  <c r="AM28" i="1"/>
  <c r="AN28" i="1"/>
  <c r="K29" i="1"/>
  <c r="L29" i="1"/>
  <c r="M29" i="1"/>
  <c r="N29" i="1" s="1"/>
  <c r="V29" i="1"/>
  <c r="S41" i="3" s="1"/>
  <c r="Y29" i="1"/>
  <c r="Z29" i="1"/>
  <c r="AB29" i="1"/>
  <c r="AC29" i="1"/>
  <c r="AD29" i="1"/>
  <c r="AE29" i="1"/>
  <c r="R27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13" i="3" s="1"/>
  <c r="Y32" i="1"/>
  <c r="Z32" i="1"/>
  <c r="AB32" i="1"/>
  <c r="AC32" i="1"/>
  <c r="AD32" i="1"/>
  <c r="T32" i="1" s="1"/>
  <c r="AE32" i="1"/>
  <c r="R13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R26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S7" i="3" s="1"/>
  <c r="Y42" i="1"/>
  <c r="Z42" i="1"/>
  <c r="AB42" i="1"/>
  <c r="AC42" i="1"/>
  <c r="AD42" i="1"/>
  <c r="AE42" i="1"/>
  <c r="R7" i="3" s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45" i="3" s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P49" i="1" s="1"/>
  <c r="V49" i="1"/>
  <c r="S16" i="3" s="1"/>
  <c r="Y49" i="1"/>
  <c r="Z49" i="1"/>
  <c r="AB49" i="1"/>
  <c r="AC49" i="1"/>
  <c r="AD49" i="1"/>
  <c r="T49" i="1" s="1"/>
  <c r="AE49" i="1"/>
  <c r="R16" i="3" s="1"/>
  <c r="AF49" i="1"/>
  <c r="AH49" i="1"/>
  <c r="AM49" i="1"/>
  <c r="AN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R25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46" i="3" s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I61" i="1" s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S47" i="3" s="1"/>
  <c r="Y62" i="1"/>
  <c r="Z62" i="1"/>
  <c r="AB62" i="1"/>
  <c r="AC62" i="1"/>
  <c r="AD62" i="1"/>
  <c r="T62" i="1" s="1"/>
  <c r="AE62" i="1"/>
  <c r="R47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R17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15" i="3" s="1"/>
  <c r="Y74" i="1"/>
  <c r="Z74" i="1"/>
  <c r="AA74" i="1" s="1"/>
  <c r="AB74" i="1"/>
  <c r="AC74" i="1"/>
  <c r="AD74" i="1"/>
  <c r="T74" i="1" s="1"/>
  <c r="AE74" i="1"/>
  <c r="R10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R33" i="3" s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V82" i="1"/>
  <c r="Y82" i="1"/>
  <c r="Z82" i="1"/>
  <c r="AA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I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W93" i="1" s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P101" i="1" s="1"/>
  <c r="V101" i="1"/>
  <c r="S23" i="3" s="1"/>
  <c r="Y101" i="1"/>
  <c r="Z101" i="1"/>
  <c r="AB101" i="1"/>
  <c r="AC101" i="1"/>
  <c r="AD101" i="1"/>
  <c r="T101" i="1" s="1"/>
  <c r="AE101" i="1"/>
  <c r="R23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38" i="3" s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I111" i="1" s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S32" i="3" s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43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W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S20" i="3" s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T123" i="1"/>
  <c r="V123" i="1"/>
  <c r="Y123" i="1"/>
  <c r="Z123" i="1"/>
  <c r="AA123" i="1"/>
  <c r="AB123" i="1"/>
  <c r="AC123" i="1"/>
  <c r="AD123" i="1"/>
  <c r="AG123" i="1" s="1"/>
  <c r="AE123" i="1"/>
  <c r="R11" i="3" s="1"/>
  <c r="AF123" i="1"/>
  <c r="AH123" i="1"/>
  <c r="AM123" i="1"/>
  <c r="AN123" i="1"/>
  <c r="K124" i="1"/>
  <c r="L124" i="1"/>
  <c r="M124" i="1"/>
  <c r="N124" i="1" s="1"/>
  <c r="T124" i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T127" i="1"/>
  <c r="V127" i="1"/>
  <c r="Y127" i="1"/>
  <c r="Z127" i="1"/>
  <c r="AB127" i="1"/>
  <c r="AC127" i="1"/>
  <c r="AD127" i="1"/>
  <c r="AE127" i="1"/>
  <c r="AF127" i="1"/>
  <c r="AG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S19" i="3" s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S29" i="3" s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S48" i="3" s="1"/>
  <c r="Y147" i="1"/>
  <c r="Z147" i="1"/>
  <c r="AB147" i="1"/>
  <c r="AC147" i="1"/>
  <c r="AD147" i="1"/>
  <c r="AG147" i="1" s="1"/>
  <c r="AE147" i="1"/>
  <c r="R48" i="3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12" i="3" s="1"/>
  <c r="Y153" i="1"/>
  <c r="Z153" i="1"/>
  <c r="AB153" i="1"/>
  <c r="AC153" i="1"/>
  <c r="AD153" i="1"/>
  <c r="T153" i="1" s="1"/>
  <c r="AE153" i="1"/>
  <c r="R12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R60" i="3" s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I224" i="1" s="1"/>
  <c r="AB224" i="1"/>
  <c r="AC224" i="1"/>
  <c r="AD224" i="1"/>
  <c r="AG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A229" i="1" s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/>
  <c r="V232" i="1"/>
  <c r="Y232" i="1"/>
  <c r="AA232" i="1" s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I233" i="1" s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I236" i="1" s="1"/>
  <c r="AE236" i="1"/>
  <c r="AF236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S52" i="3" s="1"/>
  <c r="Y161" i="1"/>
  <c r="Z161" i="1"/>
  <c r="AB161" i="1"/>
  <c r="AC161" i="1"/>
  <c r="AD161" i="1"/>
  <c r="T161" i="1" s="1"/>
  <c r="AE161" i="1"/>
  <c r="R52" i="3" s="1"/>
  <c r="AF161" i="1"/>
  <c r="AH186" i="1"/>
  <c r="AM186" i="1"/>
  <c r="AN186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R49" i="3" s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8" i="1"/>
  <c r="AM188" i="1"/>
  <c r="AN18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0" i="1"/>
  <c r="AM190" i="1"/>
  <c r="AN190" i="1"/>
  <c r="K166" i="1"/>
  <c r="L166" i="1"/>
  <c r="M166" i="1"/>
  <c r="N166" i="1" s="1"/>
  <c r="V166" i="1"/>
  <c r="S56" i="3" s="1"/>
  <c r="Y166" i="1"/>
  <c r="Z166" i="1"/>
  <c r="AB166" i="1"/>
  <c r="AC166" i="1"/>
  <c r="AD166" i="1"/>
  <c r="AG166" i="1" s="1"/>
  <c r="AE166" i="1"/>
  <c r="R57" i="3" s="1"/>
  <c r="AF166" i="1"/>
  <c r="AH191" i="1"/>
  <c r="AM191" i="1"/>
  <c r="AN191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94" i="1"/>
  <c r="AM194" i="1"/>
  <c r="AN194" i="1"/>
  <c r="K170" i="1"/>
  <c r="L170" i="1"/>
  <c r="M170" i="1"/>
  <c r="N170" i="1"/>
  <c r="V170" i="1"/>
  <c r="S50" i="3" s="1"/>
  <c r="Y170" i="1"/>
  <c r="Z170" i="1"/>
  <c r="AA170" i="1"/>
  <c r="AB170" i="1"/>
  <c r="AC170" i="1"/>
  <c r="AD170" i="1"/>
  <c r="AG170" i="1" s="1"/>
  <c r="AE170" i="1"/>
  <c r="R50" i="3" s="1"/>
  <c r="AF170" i="1"/>
  <c r="AH195" i="1"/>
  <c r="AM195" i="1"/>
  <c r="AN195" i="1"/>
  <c r="K171" i="1"/>
  <c r="L171" i="1"/>
  <c r="M171" i="1"/>
  <c r="N171" i="1" s="1"/>
  <c r="V171" i="1"/>
  <c r="S53" i="3" s="1"/>
  <c r="Y171" i="1"/>
  <c r="Z171" i="1"/>
  <c r="AB171" i="1"/>
  <c r="AC171" i="1"/>
  <c r="AD171" i="1"/>
  <c r="AG171" i="1" s="1"/>
  <c r="AE171" i="1"/>
  <c r="R53" i="3" s="1"/>
  <c r="AF171" i="1"/>
  <c r="AH196" i="1"/>
  <c r="AM196" i="1"/>
  <c r="AN19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7" i="1"/>
  <c r="AM197" i="1"/>
  <c r="AN197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0" i="1"/>
  <c r="AM200" i="1"/>
  <c r="AN200" i="1"/>
  <c r="K176" i="1"/>
  <c r="L176" i="1"/>
  <c r="M176" i="1"/>
  <c r="N176" i="1" s="1"/>
  <c r="V176" i="1"/>
  <c r="X176" i="1"/>
  <c r="Y176" i="1"/>
  <c r="Z176" i="1"/>
  <c r="AB176" i="1"/>
  <c r="AC176" i="1"/>
  <c r="AD176" i="1"/>
  <c r="T176" i="1" s="1"/>
  <c r="AE176" i="1"/>
  <c r="AF176" i="1"/>
  <c r="AG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3" i="1"/>
  <c r="AM203" i="1"/>
  <c r="AN20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4" i="1"/>
  <c r="AM204" i="1"/>
  <c r="AN204" i="1"/>
  <c r="K180" i="1"/>
  <c r="L180" i="1"/>
  <c r="M180" i="1"/>
  <c r="N180" i="1" s="1"/>
  <c r="V180" i="1"/>
  <c r="S51" i="3" s="1"/>
  <c r="Y180" i="1"/>
  <c r="Z180" i="1"/>
  <c r="AB180" i="1"/>
  <c r="AC180" i="1"/>
  <c r="AD180" i="1"/>
  <c r="T180" i="1" s="1"/>
  <c r="AE180" i="1"/>
  <c r="AF180" i="1"/>
  <c r="AH205" i="1"/>
  <c r="AM205" i="1"/>
  <c r="AN205" i="1"/>
  <c r="K181" i="1"/>
  <c r="L181" i="1"/>
  <c r="M181" i="1"/>
  <c r="N181" i="1"/>
  <c r="V181" i="1"/>
  <c r="S54" i="3" s="1"/>
  <c r="Y181" i="1"/>
  <c r="Z181" i="1"/>
  <c r="AB181" i="1"/>
  <c r="AC181" i="1"/>
  <c r="AD181" i="1"/>
  <c r="T181" i="1" s="1"/>
  <c r="AE181" i="1"/>
  <c r="R54" i="3" s="1"/>
  <c r="AF181" i="1"/>
  <c r="AH206" i="1"/>
  <c r="AM206" i="1"/>
  <c r="AN206" i="1"/>
  <c r="K182" i="1"/>
  <c r="L182" i="1"/>
  <c r="M182" i="1"/>
  <c r="N182" i="1" s="1"/>
  <c r="V182" i="1"/>
  <c r="Y182" i="1"/>
  <c r="Z182" i="1"/>
  <c r="AA182" i="1" s="1"/>
  <c r="AB182" i="1"/>
  <c r="AC182" i="1"/>
  <c r="AD182" i="1"/>
  <c r="AG182" i="1" s="1"/>
  <c r="AE182" i="1"/>
  <c r="AF182" i="1"/>
  <c r="AH207" i="1"/>
  <c r="AM207" i="1"/>
  <c r="AN207" i="1"/>
  <c r="K183" i="1"/>
  <c r="L183" i="1"/>
  <c r="M183" i="1"/>
  <c r="N183" i="1" s="1"/>
  <c r="V183" i="1"/>
  <c r="S55" i="3" s="1"/>
  <c r="Y183" i="1"/>
  <c r="Z183" i="1"/>
  <c r="AB183" i="1"/>
  <c r="AC183" i="1"/>
  <c r="AD183" i="1"/>
  <c r="AG183" i="1" s="1"/>
  <c r="AE183" i="1"/>
  <c r="R55" i="3" s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K186" i="1"/>
  <c r="L186" i="1"/>
  <c r="M186" i="1"/>
  <c r="N186" i="1" s="1"/>
  <c r="V186" i="1"/>
  <c r="Y186" i="1"/>
  <c r="Z186" i="1"/>
  <c r="AA186" i="1" s="1"/>
  <c r="AB186" i="1"/>
  <c r="AC186" i="1"/>
  <c r="AD186" i="1"/>
  <c r="AG186" i="1" s="1"/>
  <c r="AE186" i="1"/>
  <c r="AF186" i="1"/>
  <c r="AH211" i="1"/>
  <c r="AM211" i="1"/>
  <c r="AN21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2" i="1"/>
  <c r="AM212" i="1"/>
  <c r="AN212" i="1"/>
  <c r="K188" i="1"/>
  <c r="L188" i="1"/>
  <c r="M188" i="1"/>
  <c r="N188" i="1" s="1"/>
  <c r="T188" i="1"/>
  <c r="V188" i="1"/>
  <c r="Y188" i="1"/>
  <c r="Z188" i="1"/>
  <c r="AB188" i="1"/>
  <c r="AC188" i="1"/>
  <c r="AD188" i="1"/>
  <c r="AE188" i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4" i="1"/>
  <c r="AM214" i="1"/>
  <c r="AN21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5" i="1"/>
  <c r="AM215" i="1"/>
  <c r="AN215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9" i="1"/>
  <c r="AM219" i="1"/>
  <c r="AN219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1" i="1"/>
  <c r="AM221" i="1"/>
  <c r="AN221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23" i="1"/>
  <c r="AM223" i="1"/>
  <c r="AN223" i="1"/>
  <c r="K199" i="1"/>
  <c r="L199" i="1"/>
  <c r="M199" i="1"/>
  <c r="N199" i="1"/>
  <c r="V199" i="1"/>
  <c r="Y199" i="1"/>
  <c r="Z199" i="1"/>
  <c r="AB199" i="1"/>
  <c r="AC199" i="1"/>
  <c r="AD199" i="1"/>
  <c r="AE199" i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8" i="1"/>
  <c r="AM228" i="1"/>
  <c r="AN228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9" i="1"/>
  <c r="AM229" i="1"/>
  <c r="AN22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0" i="1"/>
  <c r="AM230" i="1"/>
  <c r="AN230" i="1"/>
  <c r="K218" i="1"/>
  <c r="L218" i="1"/>
  <c r="M218" i="1"/>
  <c r="N218" i="1" s="1"/>
  <c r="V218" i="1"/>
  <c r="S58" i="3" s="1"/>
  <c r="Y218" i="1"/>
  <c r="Z218" i="1"/>
  <c r="AB218" i="1"/>
  <c r="AC218" i="1"/>
  <c r="AD218" i="1"/>
  <c r="AE218" i="1"/>
  <c r="R58" i="3" s="1"/>
  <c r="AF218" i="1"/>
  <c r="AH231" i="1"/>
  <c r="AM231" i="1"/>
  <c r="AN23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2" i="1"/>
  <c r="AM232" i="1"/>
  <c r="AN23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3" i="1"/>
  <c r="AM233" i="1"/>
  <c r="AN23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4" i="1"/>
  <c r="AM234" i="1"/>
  <c r="AN234" i="1"/>
  <c r="K222" i="1"/>
  <c r="L222" i="1"/>
  <c r="M222" i="1"/>
  <c r="N222" i="1"/>
  <c r="V222" i="1"/>
  <c r="Y222" i="1"/>
  <c r="Z222" i="1"/>
  <c r="AB222" i="1"/>
  <c r="AC222" i="1"/>
  <c r="AD222" i="1"/>
  <c r="AE222" i="1"/>
  <c r="AF222" i="1"/>
  <c r="AH235" i="1"/>
  <c r="AM235" i="1"/>
  <c r="AN235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6" i="1"/>
  <c r="AM236" i="1"/>
  <c r="AN236" i="1"/>
  <c r="M60" i="3"/>
  <c r="S60" i="3"/>
  <c r="U60" i="3"/>
  <c r="T60" i="3" s="1"/>
  <c r="V60" i="3"/>
  <c r="W60" i="3"/>
  <c r="Y60" i="3" s="1"/>
  <c r="X60" i="3"/>
  <c r="AC60" i="3"/>
  <c r="M37" i="3"/>
  <c r="U37" i="3"/>
  <c r="V37" i="3"/>
  <c r="W37" i="3"/>
  <c r="X37" i="3"/>
  <c r="M34" i="3"/>
  <c r="U34" i="3"/>
  <c r="AC34" i="3" s="1"/>
  <c r="V34" i="3"/>
  <c r="W34" i="3"/>
  <c r="Y34" i="3" s="1"/>
  <c r="X34" i="3"/>
  <c r="M35" i="3"/>
  <c r="U35" i="3"/>
  <c r="AC35" i="3" s="1"/>
  <c r="V35" i="3"/>
  <c r="W35" i="3"/>
  <c r="X35" i="3"/>
  <c r="M40" i="3"/>
  <c r="R40" i="3"/>
  <c r="U40" i="3"/>
  <c r="T40" i="3" s="1"/>
  <c r="V40" i="3"/>
  <c r="W40" i="3"/>
  <c r="X40" i="3"/>
  <c r="AC40" i="3"/>
  <c r="M36" i="3"/>
  <c r="R36" i="3"/>
  <c r="U36" i="3"/>
  <c r="V36" i="3"/>
  <c r="W36" i="3"/>
  <c r="Y36" i="3" s="1"/>
  <c r="X36" i="3"/>
  <c r="M14" i="3"/>
  <c r="R14" i="3"/>
  <c r="S14" i="3"/>
  <c r="U14" i="3"/>
  <c r="AC14" i="3" s="1"/>
  <c r="V14" i="3"/>
  <c r="W14" i="3"/>
  <c r="Y14" i="3" s="1"/>
  <c r="X14" i="3"/>
  <c r="M58" i="3"/>
  <c r="U58" i="3"/>
  <c r="AC58" i="3" s="1"/>
  <c r="V58" i="3"/>
  <c r="W58" i="3"/>
  <c r="X58" i="3"/>
  <c r="M44" i="3"/>
  <c r="R44" i="3"/>
  <c r="S44" i="3"/>
  <c r="U44" i="3"/>
  <c r="V44" i="3"/>
  <c r="W44" i="3"/>
  <c r="X44" i="3"/>
  <c r="AC44" i="3"/>
  <c r="M30" i="3"/>
  <c r="R30" i="3"/>
  <c r="S30" i="3"/>
  <c r="U30" i="3"/>
  <c r="V30" i="3"/>
  <c r="W30" i="3"/>
  <c r="X30" i="3"/>
  <c r="M13" i="3"/>
  <c r="U13" i="3"/>
  <c r="AC13" i="3" s="1"/>
  <c r="V13" i="3"/>
  <c r="W13" i="3"/>
  <c r="X13" i="3"/>
  <c r="M22" i="3"/>
  <c r="S22" i="3"/>
  <c r="U22" i="3"/>
  <c r="AC22" i="3" s="1"/>
  <c r="V22" i="3"/>
  <c r="W22" i="3"/>
  <c r="X22" i="3"/>
  <c r="M52" i="3"/>
  <c r="U52" i="3"/>
  <c r="T52" i="3" s="1"/>
  <c r="V52" i="3"/>
  <c r="W52" i="3"/>
  <c r="Y52" i="3" s="1"/>
  <c r="X52" i="3"/>
  <c r="AC52" i="3"/>
  <c r="M49" i="3"/>
  <c r="S49" i="3"/>
  <c r="U49" i="3"/>
  <c r="V49" i="3"/>
  <c r="W49" i="3"/>
  <c r="Y49" i="3" s="1"/>
  <c r="X49" i="3"/>
  <c r="M28" i="3"/>
  <c r="R28" i="3"/>
  <c r="S28" i="3"/>
  <c r="U28" i="3"/>
  <c r="AC28" i="3" s="1"/>
  <c r="V28" i="3"/>
  <c r="W28" i="3"/>
  <c r="X28" i="3"/>
  <c r="M27" i="3"/>
  <c r="U27" i="3"/>
  <c r="AC27" i="3" s="1"/>
  <c r="V27" i="3"/>
  <c r="W27" i="3"/>
  <c r="Y27" i="3" s="1"/>
  <c r="X27" i="3"/>
  <c r="M41" i="3"/>
  <c r="R41" i="3"/>
  <c r="U41" i="3"/>
  <c r="V41" i="3"/>
  <c r="W41" i="3"/>
  <c r="X41" i="3"/>
  <c r="AC41" i="3"/>
  <c r="M26" i="3"/>
  <c r="S26" i="3"/>
  <c r="U26" i="3"/>
  <c r="V26" i="3"/>
  <c r="W26" i="3"/>
  <c r="X26" i="3"/>
  <c r="M7" i="3"/>
  <c r="U7" i="3"/>
  <c r="AC7" i="3" s="1"/>
  <c r="V7" i="3"/>
  <c r="W7" i="3"/>
  <c r="Y7" i="3" s="1"/>
  <c r="X7" i="3"/>
  <c r="M56" i="3"/>
  <c r="U56" i="3"/>
  <c r="AC56" i="3" s="1"/>
  <c r="V56" i="3"/>
  <c r="W56" i="3"/>
  <c r="Y56" i="3" s="1"/>
  <c r="X56" i="3"/>
  <c r="AE27" i="3"/>
  <c r="M57" i="3"/>
  <c r="U57" i="3"/>
  <c r="T57" i="3" s="1"/>
  <c r="V57" i="3"/>
  <c r="W57" i="3"/>
  <c r="X57" i="3"/>
  <c r="AC57" i="3"/>
  <c r="M8" i="3"/>
  <c r="R8" i="3"/>
  <c r="S8" i="3"/>
  <c r="U8" i="3"/>
  <c r="V8" i="3"/>
  <c r="W8" i="3"/>
  <c r="X8" i="3"/>
  <c r="M45" i="3"/>
  <c r="R45" i="3"/>
  <c r="U45" i="3"/>
  <c r="AC45" i="3" s="1"/>
  <c r="V45" i="3"/>
  <c r="W45" i="3"/>
  <c r="X45" i="3"/>
  <c r="M50" i="3"/>
  <c r="T50" i="3"/>
  <c r="U50" i="3"/>
  <c r="AC50" i="3" s="1"/>
  <c r="V50" i="3"/>
  <c r="W50" i="3"/>
  <c r="X50" i="3"/>
  <c r="M53" i="3"/>
  <c r="U53" i="3"/>
  <c r="V53" i="3"/>
  <c r="W53" i="3"/>
  <c r="X53" i="3"/>
  <c r="AC53" i="3"/>
  <c r="M9" i="3"/>
  <c r="R9" i="3"/>
  <c r="S9" i="3"/>
  <c r="U9" i="3"/>
  <c r="V9" i="3"/>
  <c r="W9" i="3"/>
  <c r="Y9" i="3" s="1"/>
  <c r="X9" i="3"/>
  <c r="M16" i="3"/>
  <c r="U16" i="3"/>
  <c r="AC16" i="3" s="1"/>
  <c r="V16" i="3"/>
  <c r="W16" i="3"/>
  <c r="X16" i="3"/>
  <c r="M46" i="3"/>
  <c r="R46" i="3"/>
  <c r="U46" i="3"/>
  <c r="AC46" i="3" s="1"/>
  <c r="V46" i="3"/>
  <c r="W46" i="3"/>
  <c r="X46" i="3"/>
  <c r="M25" i="3"/>
  <c r="S25" i="3"/>
  <c r="U25" i="3"/>
  <c r="T25" i="3" s="1"/>
  <c r="V25" i="3"/>
  <c r="W25" i="3"/>
  <c r="X25" i="3"/>
  <c r="AC25" i="3"/>
  <c r="M47" i="3"/>
  <c r="U47" i="3"/>
  <c r="V47" i="3"/>
  <c r="W47" i="3"/>
  <c r="X47" i="3"/>
  <c r="Y47" i="3"/>
  <c r="M10" i="3"/>
  <c r="S10" i="3"/>
  <c r="U10" i="3"/>
  <c r="AC10" i="3" s="1"/>
  <c r="V10" i="3"/>
  <c r="W10" i="3"/>
  <c r="X10" i="3"/>
  <c r="M15" i="3"/>
  <c r="U15" i="3"/>
  <c r="AC15" i="3" s="1"/>
  <c r="V15" i="3"/>
  <c r="W15" i="3"/>
  <c r="X15" i="3"/>
  <c r="M24" i="3"/>
  <c r="R24" i="3"/>
  <c r="S24" i="3"/>
  <c r="U24" i="3"/>
  <c r="T24" i="3" s="1"/>
  <c r="V24" i="3"/>
  <c r="AE40" i="3" s="1"/>
  <c r="W24" i="3"/>
  <c r="Y24" i="3" s="1"/>
  <c r="X24" i="3"/>
  <c r="AC24" i="3"/>
  <c r="AD40" i="3"/>
  <c r="M17" i="3"/>
  <c r="S17" i="3"/>
  <c r="U17" i="3"/>
  <c r="AD41" i="3" s="1"/>
  <c r="V17" i="3"/>
  <c r="W17" i="3"/>
  <c r="X17" i="3"/>
  <c r="Y17" i="3"/>
  <c r="M31" i="3"/>
  <c r="S31" i="3"/>
  <c r="U31" i="3"/>
  <c r="AC31" i="3" s="1"/>
  <c r="V31" i="3"/>
  <c r="W31" i="3"/>
  <c r="X31" i="3"/>
  <c r="M33" i="3"/>
  <c r="S33" i="3"/>
  <c r="U33" i="3"/>
  <c r="AC33" i="3" s="1"/>
  <c r="V33" i="3"/>
  <c r="W33" i="3"/>
  <c r="X33" i="3"/>
  <c r="M51" i="3"/>
  <c r="R51" i="3"/>
  <c r="U51" i="3"/>
  <c r="V51" i="3"/>
  <c r="W51" i="3"/>
  <c r="X51" i="3"/>
  <c r="AC51" i="3"/>
  <c r="M54" i="3"/>
  <c r="U54" i="3"/>
  <c r="AD45" i="3" s="1"/>
  <c r="V54" i="3"/>
  <c r="W54" i="3"/>
  <c r="X54" i="3"/>
  <c r="M23" i="3"/>
  <c r="U23" i="3"/>
  <c r="AC23" i="3" s="1"/>
  <c r="V23" i="3"/>
  <c r="W23" i="3"/>
  <c r="Y23" i="3" s="1"/>
  <c r="X23" i="3"/>
  <c r="M21" i="3"/>
  <c r="S21" i="3"/>
  <c r="U21" i="3"/>
  <c r="AC21" i="3" s="1"/>
  <c r="V21" i="3"/>
  <c r="W21" i="3"/>
  <c r="X21" i="3"/>
  <c r="M55" i="3"/>
  <c r="U55" i="3"/>
  <c r="T55" i="3" s="1"/>
  <c r="V55" i="3"/>
  <c r="W55" i="3"/>
  <c r="X55" i="3"/>
  <c r="AC55" i="3"/>
  <c r="M39" i="3"/>
  <c r="S39" i="3"/>
  <c r="U39" i="3"/>
  <c r="AD49" i="3" s="1"/>
  <c r="V39" i="3"/>
  <c r="W39" i="3"/>
  <c r="X39" i="3"/>
  <c r="AC39" i="3"/>
  <c r="M38" i="3"/>
  <c r="R38" i="3"/>
  <c r="U38" i="3"/>
  <c r="V38" i="3"/>
  <c r="W38" i="3"/>
  <c r="Y38" i="3" s="1"/>
  <c r="X38" i="3"/>
  <c r="M32" i="3"/>
  <c r="R32" i="3"/>
  <c r="U32" i="3"/>
  <c r="AC32" i="3" s="1"/>
  <c r="V32" i="3"/>
  <c r="W32" i="3"/>
  <c r="Y32" i="3" s="1"/>
  <c r="X32" i="3"/>
  <c r="M20" i="3"/>
  <c r="R20" i="3"/>
  <c r="U20" i="3"/>
  <c r="T20" i="3" s="1"/>
  <c r="V20" i="3"/>
  <c r="W20" i="3"/>
  <c r="X20" i="3"/>
  <c r="AC20" i="3"/>
  <c r="M11" i="3"/>
  <c r="S11" i="3"/>
  <c r="U11" i="3"/>
  <c r="V11" i="3"/>
  <c r="W11" i="3"/>
  <c r="Y11" i="3" s="1"/>
  <c r="X11" i="3"/>
  <c r="M42" i="3"/>
  <c r="R42" i="3"/>
  <c r="S42" i="3"/>
  <c r="U42" i="3"/>
  <c r="AC42" i="3" s="1"/>
  <c r="V42" i="3"/>
  <c r="W42" i="3"/>
  <c r="Y42" i="3" s="1"/>
  <c r="X42" i="3"/>
  <c r="M43" i="3"/>
  <c r="S43" i="3"/>
  <c r="U43" i="3"/>
  <c r="AC43" i="3" s="1"/>
  <c r="V43" i="3"/>
  <c r="AE43" i="3" s="1"/>
  <c r="W43" i="3"/>
  <c r="X43" i="3"/>
  <c r="AD55" i="3"/>
  <c r="M18" i="3"/>
  <c r="S18" i="3"/>
  <c r="U18" i="3"/>
  <c r="AC18" i="3" s="1"/>
  <c r="V18" i="3"/>
  <c r="AE56" i="3" s="1"/>
  <c r="W18" i="3"/>
  <c r="X18" i="3"/>
  <c r="AD56" i="3"/>
  <c r="M19" i="3"/>
  <c r="U19" i="3"/>
  <c r="AD57" i="3" s="1"/>
  <c r="V19" i="3"/>
  <c r="W19" i="3"/>
  <c r="X19" i="3"/>
  <c r="AC19" i="3"/>
  <c r="M29" i="3"/>
  <c r="R29" i="3"/>
  <c r="U29" i="3"/>
  <c r="AC29" i="3" s="1"/>
  <c r="V29" i="3"/>
  <c r="W29" i="3"/>
  <c r="X29" i="3"/>
  <c r="M48" i="3"/>
  <c r="U48" i="3"/>
  <c r="AC48" i="3" s="1"/>
  <c r="V48" i="3"/>
  <c r="W48" i="3"/>
  <c r="X48" i="3"/>
  <c r="M12" i="3"/>
  <c r="U12" i="3"/>
  <c r="AD60" i="3" s="1"/>
  <c r="V12" i="3"/>
  <c r="W12" i="3"/>
  <c r="X12" i="3"/>
  <c r="AC12" i="3"/>
  <c r="R39" i="3" l="1"/>
  <c r="R21" i="3"/>
  <c r="R31" i="3"/>
  <c r="R56" i="3"/>
  <c r="AA200" i="1"/>
  <c r="AA179" i="1"/>
  <c r="AA236" i="1"/>
  <c r="X213" i="1"/>
  <c r="X150" i="1"/>
  <c r="AA134" i="1"/>
  <c r="AA28" i="1"/>
  <c r="W28" i="1" s="1"/>
  <c r="X52" i="1"/>
  <c r="AA208" i="1"/>
  <c r="AA151" i="1"/>
  <c r="AA101" i="1"/>
  <c r="AI99" i="1"/>
  <c r="X50" i="1"/>
  <c r="R15" i="3"/>
  <c r="X133" i="1"/>
  <c r="X116" i="1"/>
  <c r="P81" i="1"/>
  <c r="AG79" i="1"/>
  <c r="AA77" i="1"/>
  <c r="AA61" i="1"/>
  <c r="W61" i="1" s="1"/>
  <c r="S27" i="3"/>
  <c r="X113" i="1"/>
  <c r="X97" i="1"/>
  <c r="X82" i="1"/>
  <c r="U79" i="1"/>
  <c r="X79" i="1"/>
  <c r="R22" i="3"/>
  <c r="AI229" i="1"/>
  <c r="AA204" i="1"/>
  <c r="AA191" i="1"/>
  <c r="W191" i="1" s="1"/>
  <c r="X188" i="1"/>
  <c r="AA166" i="1"/>
  <c r="AI225" i="1"/>
  <c r="T214" i="1"/>
  <c r="AA213" i="1"/>
  <c r="AA207" i="1"/>
  <c r="AA156" i="1"/>
  <c r="AA150" i="1"/>
  <c r="T150" i="1"/>
  <c r="X121" i="1"/>
  <c r="T120" i="1"/>
  <c r="AG119" i="1"/>
  <c r="AA81" i="1"/>
  <c r="AA78" i="1"/>
  <c r="AA62" i="1"/>
  <c r="AA46" i="1"/>
  <c r="X51" i="1"/>
  <c r="S57" i="3"/>
  <c r="AA181" i="1"/>
  <c r="AA165" i="1"/>
  <c r="X159" i="1"/>
  <c r="AA228" i="1"/>
  <c r="AA135" i="1"/>
  <c r="AA126" i="1"/>
  <c r="AA124" i="1"/>
  <c r="W124" i="1" s="1"/>
  <c r="AG113" i="1"/>
  <c r="U113" i="1" s="1"/>
  <c r="AI86" i="1"/>
  <c r="AA75" i="1"/>
  <c r="AG72" i="1"/>
  <c r="U72" i="1" s="1"/>
  <c r="AA47" i="1"/>
  <c r="T28" i="1"/>
  <c r="AA27" i="1"/>
  <c r="AA20" i="1"/>
  <c r="X53" i="1"/>
  <c r="X49" i="1"/>
  <c r="X83" i="1"/>
  <c r="AD44" i="3"/>
  <c r="AE51" i="3"/>
  <c r="X125" i="1"/>
  <c r="T125" i="1"/>
  <c r="T48" i="3"/>
  <c r="T35" i="3"/>
  <c r="AE35" i="3"/>
  <c r="AA178" i="1"/>
  <c r="W178" i="1" s="1"/>
  <c r="AI167" i="1"/>
  <c r="AG160" i="1"/>
  <c r="X160" i="1"/>
  <c r="R18" i="3"/>
  <c r="R19" i="3"/>
  <c r="T135" i="1"/>
  <c r="Y31" i="3"/>
  <c r="AD37" i="3"/>
  <c r="AD47" i="3"/>
  <c r="AD35" i="3"/>
  <c r="Y45" i="3"/>
  <c r="AD27" i="3"/>
  <c r="T27" i="3"/>
  <c r="Y58" i="3"/>
  <c r="T191" i="1"/>
  <c r="U191" i="1" s="1"/>
  <c r="S191" i="1" s="1"/>
  <c r="T189" i="1"/>
  <c r="AG189" i="1"/>
  <c r="AG188" i="1"/>
  <c r="X187" i="1"/>
  <c r="AA175" i="1"/>
  <c r="W175" i="1" s="1"/>
  <c r="AA162" i="1"/>
  <c r="AA157" i="1"/>
  <c r="AA148" i="1"/>
  <c r="AA142" i="1"/>
  <c r="AG141" i="1"/>
  <c r="T141" i="1"/>
  <c r="AA141" i="1"/>
  <c r="X137" i="1"/>
  <c r="T136" i="1"/>
  <c r="AG115" i="1"/>
  <c r="AI115" i="1" s="1"/>
  <c r="T115" i="1"/>
  <c r="AA115" i="1"/>
  <c r="AA111" i="1"/>
  <c r="W111" i="1" s="1"/>
  <c r="AG103" i="1"/>
  <c r="AA94" i="1"/>
  <c r="AA91" i="1"/>
  <c r="AA70" i="1"/>
  <c r="AI40" i="1"/>
  <c r="AG37" i="1"/>
  <c r="U37" i="1" s="1"/>
  <c r="S37" i="1" s="1"/>
  <c r="X37" i="1"/>
  <c r="AG142" i="1"/>
  <c r="T142" i="1"/>
  <c r="AG112" i="1"/>
  <c r="T112" i="1"/>
  <c r="AG70" i="1"/>
  <c r="X70" i="1"/>
  <c r="T66" i="1"/>
  <c r="X66" i="1"/>
  <c r="AG66" i="1"/>
  <c r="AA216" i="1"/>
  <c r="AG208" i="1"/>
  <c r="AI208" i="1" s="1"/>
  <c r="AA129" i="1"/>
  <c r="X112" i="1"/>
  <c r="AA99" i="1"/>
  <c r="W99" i="1" s="1"/>
  <c r="AA90" i="1"/>
  <c r="W90" i="1" s="1"/>
  <c r="AG54" i="1"/>
  <c r="T54" i="1"/>
  <c r="U54" i="1" s="1"/>
  <c r="AG44" i="1"/>
  <c r="AI44" i="1" s="1"/>
  <c r="T44" i="1"/>
  <c r="AA44" i="1"/>
  <c r="AA30" i="1"/>
  <c r="T220" i="1"/>
  <c r="AG220" i="1"/>
  <c r="AI220" i="1" s="1"/>
  <c r="AD51" i="3"/>
  <c r="Y13" i="3"/>
  <c r="X71" i="1"/>
  <c r="T71" i="1"/>
  <c r="T67" i="1"/>
  <c r="X67" i="1"/>
  <c r="AG67" i="1"/>
  <c r="X45" i="1"/>
  <c r="T45" i="1"/>
  <c r="S40" i="3"/>
  <c r="S36" i="3"/>
  <c r="Y19" i="3"/>
  <c r="Y43" i="3"/>
  <c r="AD53" i="3"/>
  <c r="Y54" i="3"/>
  <c r="Y25" i="3"/>
  <c r="Y16" i="3"/>
  <c r="Y8" i="3"/>
  <c r="Y30" i="3"/>
  <c r="Y35" i="3"/>
  <c r="Y37" i="3"/>
  <c r="X192" i="1"/>
  <c r="AA174" i="1"/>
  <c r="W174" i="1" s="1"/>
  <c r="AI171" i="1"/>
  <c r="AA163" i="1"/>
  <c r="AA159" i="1"/>
  <c r="AA227" i="1"/>
  <c r="AA149" i="1"/>
  <c r="AA143" i="1"/>
  <c r="AA140" i="1"/>
  <c r="AA136" i="1"/>
  <c r="AA117" i="1"/>
  <c r="AA114" i="1"/>
  <c r="AA112" i="1"/>
  <c r="AA103" i="1"/>
  <c r="W103" i="1" s="1"/>
  <c r="X100" i="1"/>
  <c r="X96" i="1"/>
  <c r="AG95" i="1"/>
  <c r="AI95" i="1" s="1"/>
  <c r="X95" i="1"/>
  <c r="AA87" i="1"/>
  <c r="AG83" i="1"/>
  <c r="AA79" i="1"/>
  <c r="W79" i="1" s="1"/>
  <c r="X78" i="1"/>
  <c r="AI65" i="1"/>
  <c r="AG58" i="1"/>
  <c r="U58" i="1" s="1"/>
  <c r="S58" i="1" s="1"/>
  <c r="AI53" i="1"/>
  <c r="AA50" i="1"/>
  <c r="W50" i="1" s="1"/>
  <c r="AA43" i="1"/>
  <c r="AG33" i="1"/>
  <c r="X29" i="1"/>
  <c r="X25" i="1"/>
  <c r="X24" i="1"/>
  <c r="AA21" i="1"/>
  <c r="AG16" i="1"/>
  <c r="AI16" i="1" s="1"/>
  <c r="AA105" i="1"/>
  <c r="AA95" i="1"/>
  <c r="AA86" i="1"/>
  <c r="W86" i="1" s="1"/>
  <c r="AA31" i="1"/>
  <c r="AA16" i="1"/>
  <c r="AA15" i="1"/>
  <c r="AA223" i="1"/>
  <c r="W223" i="1" s="1"/>
  <c r="T196" i="1"/>
  <c r="X196" i="1"/>
  <c r="AG196" i="1"/>
  <c r="AA183" i="1"/>
  <c r="AG179" i="1"/>
  <c r="X179" i="1"/>
  <c r="X168" i="1"/>
  <c r="T168" i="1"/>
  <c r="AA225" i="1"/>
  <c r="T204" i="1"/>
  <c r="AG204" i="1"/>
  <c r="W204" i="1" s="1"/>
  <c r="AA167" i="1"/>
  <c r="AG163" i="1"/>
  <c r="X163" i="1"/>
  <c r="X197" i="1"/>
  <c r="T197" i="1"/>
  <c r="X230" i="1"/>
  <c r="T230" i="1"/>
  <c r="AA224" i="1"/>
  <c r="W224" i="1" s="1"/>
  <c r="AG206" i="1"/>
  <c r="T206" i="1"/>
  <c r="AG155" i="1"/>
  <c r="T155" i="1"/>
  <c r="X184" i="1"/>
  <c r="T184" i="1"/>
  <c r="X226" i="1"/>
  <c r="T226" i="1"/>
  <c r="AA220" i="1"/>
  <c r="AA203" i="1"/>
  <c r="AA199" i="1"/>
  <c r="AA194" i="1"/>
  <c r="AA190" i="1"/>
  <c r="AA187" i="1"/>
  <c r="W187" i="1" s="1"/>
  <c r="AA177" i="1"/>
  <c r="AA172" i="1"/>
  <c r="AA161" i="1"/>
  <c r="AA235" i="1"/>
  <c r="AA233" i="1"/>
  <c r="W233" i="1" s="1"/>
  <c r="T224" i="1"/>
  <c r="U224" i="1" s="1"/>
  <c r="S224" i="1" s="1"/>
  <c r="AA217" i="1"/>
  <c r="AG212" i="1"/>
  <c r="U212" i="1" s="1"/>
  <c r="S212" i="1" s="1"/>
  <c r="AA158" i="1"/>
  <c r="AA154" i="1"/>
  <c r="AA153" i="1"/>
  <c r="T147" i="1"/>
  <c r="U147" i="1" s="1"/>
  <c r="S147" i="1" s="1"/>
  <c r="AA146" i="1"/>
  <c r="AA145" i="1"/>
  <c r="T133" i="1"/>
  <c r="AA132" i="1"/>
  <c r="W132" i="1" s="1"/>
  <c r="AA131" i="1"/>
  <c r="AA127" i="1"/>
  <c r="W127" i="1" s="1"/>
  <c r="AG125" i="1"/>
  <c r="X124" i="1"/>
  <c r="AA119" i="1"/>
  <c r="T111" i="1"/>
  <c r="AA110" i="1"/>
  <c r="T108" i="1"/>
  <c r="U108" i="1" s="1"/>
  <c r="S108" i="1" s="1"/>
  <c r="AG71" i="1"/>
  <c r="AA66" i="1"/>
  <c r="X63" i="1"/>
  <c r="AG62" i="1"/>
  <c r="AI62" i="1" s="1"/>
  <c r="X62" i="1"/>
  <c r="X33" i="1"/>
  <c r="AA219" i="1"/>
  <c r="AA195" i="1"/>
  <c r="W195" i="1" s="1"/>
  <c r="AA171" i="1"/>
  <c r="W171" i="1" s="1"/>
  <c r="W208" i="1"/>
  <c r="X147" i="1"/>
  <c r="T139" i="1"/>
  <c r="U139" i="1" s="1"/>
  <c r="S139" i="1" s="1"/>
  <c r="AA138" i="1"/>
  <c r="U127" i="1"/>
  <c r="S127" i="1" s="1"/>
  <c r="AA108" i="1"/>
  <c r="W108" i="1" s="1"/>
  <c r="AA107" i="1"/>
  <c r="T99" i="1"/>
  <c r="U99" i="1" s="1"/>
  <c r="S99" i="1" s="1"/>
  <c r="AA98" i="1"/>
  <c r="T97" i="1"/>
  <c r="AA96" i="1"/>
  <c r="AA89" i="1"/>
  <c r="AG84" i="1"/>
  <c r="U84" i="1" s="1"/>
  <c r="AA64" i="1"/>
  <c r="AA60" i="1"/>
  <c r="W60" i="1" s="1"/>
  <c r="AA57" i="1"/>
  <c r="AA56" i="1"/>
  <c r="W56" i="1" s="1"/>
  <c r="AA51" i="1"/>
  <c r="T41" i="1"/>
  <c r="X40" i="1"/>
  <c r="AA37" i="1"/>
  <c r="AA32" i="1"/>
  <c r="T29" i="1"/>
  <c r="AI24" i="1"/>
  <c r="AG21" i="1"/>
  <c r="U21" i="1" s="1"/>
  <c r="X21" i="1"/>
  <c r="X180" i="1"/>
  <c r="X164" i="1"/>
  <c r="AA234" i="1"/>
  <c r="X225" i="1"/>
  <c r="T215" i="1"/>
  <c r="AA210" i="1"/>
  <c r="T146" i="1"/>
  <c r="T137" i="1"/>
  <c r="T132" i="1"/>
  <c r="T121" i="1"/>
  <c r="X119" i="1"/>
  <c r="X109" i="1"/>
  <c r="AG101" i="1"/>
  <c r="U101" i="1" s="1"/>
  <c r="S101" i="1" s="1"/>
  <c r="X101" i="1"/>
  <c r="AG97" i="1"/>
  <c r="AA59" i="1"/>
  <c r="AG55" i="1"/>
  <c r="X55" i="1"/>
  <c r="AA54" i="1"/>
  <c r="AG49" i="1"/>
  <c r="U49" i="1" s="1"/>
  <c r="S49" i="1" s="1"/>
  <c r="AA48" i="1"/>
  <c r="AA36" i="1"/>
  <c r="AA33" i="1"/>
  <c r="T219" i="1"/>
  <c r="X220" i="1"/>
  <c r="T203" i="1"/>
  <c r="X204" i="1"/>
  <c r="U214" i="1"/>
  <c r="S214" i="1" s="1"/>
  <c r="U141" i="1"/>
  <c r="S141" i="1" s="1"/>
  <c r="AI141" i="1"/>
  <c r="U135" i="1"/>
  <c r="S135" i="1" s="1"/>
  <c r="AI135" i="1"/>
  <c r="X221" i="1"/>
  <c r="AG221" i="1"/>
  <c r="X205" i="1"/>
  <c r="AG205" i="1"/>
  <c r="U205" i="1" s="1"/>
  <c r="S205" i="1" s="1"/>
  <c r="T201" i="1"/>
  <c r="X201" i="1"/>
  <c r="AG201" i="1"/>
  <c r="AG199" i="1"/>
  <c r="AI199" i="1" s="1"/>
  <c r="T199" i="1"/>
  <c r="X200" i="1"/>
  <c r="AI139" i="1"/>
  <c r="AI216" i="1"/>
  <c r="U123" i="1"/>
  <c r="S123" i="1" s="1"/>
  <c r="AI123" i="1"/>
  <c r="W200" i="1"/>
  <c r="AA192" i="1"/>
  <c r="AA184" i="1"/>
  <c r="T183" i="1"/>
  <c r="X175" i="1"/>
  <c r="AG172" i="1"/>
  <c r="AI172" i="1" s="1"/>
  <c r="X172" i="1"/>
  <c r="AA168" i="1"/>
  <c r="T167" i="1"/>
  <c r="AG234" i="1"/>
  <c r="AI234" i="1" s="1"/>
  <c r="X234" i="1"/>
  <c r="AA230" i="1"/>
  <c r="T229" i="1"/>
  <c r="AA214" i="1"/>
  <c r="W214" i="1" s="1"/>
  <c r="AG210" i="1"/>
  <c r="U210" i="1" s="1"/>
  <c r="S210" i="1" s="1"/>
  <c r="X209" i="1"/>
  <c r="AA155" i="1"/>
  <c r="X155" i="1"/>
  <c r="AG153" i="1"/>
  <c r="AI153" i="1" s="1"/>
  <c r="AG151" i="1"/>
  <c r="AG145" i="1"/>
  <c r="AI145" i="1" s="1"/>
  <c r="AG143" i="1"/>
  <c r="AI143" i="1" s="1"/>
  <c r="W139" i="1"/>
  <c r="X135" i="1"/>
  <c r="AA133" i="1"/>
  <c r="AG131" i="1"/>
  <c r="W131" i="1" s="1"/>
  <c r="AG129" i="1"/>
  <c r="U129" i="1" s="1"/>
  <c r="S129" i="1" s="1"/>
  <c r="X129" i="1"/>
  <c r="X128" i="1"/>
  <c r="W123" i="1"/>
  <c r="AA121" i="1"/>
  <c r="T87" i="1"/>
  <c r="X87" i="1"/>
  <c r="AG87" i="1"/>
  <c r="AI87" i="1" s="1"/>
  <c r="T223" i="1"/>
  <c r="U223" i="1" s="1"/>
  <c r="S223" i="1" s="1"/>
  <c r="T200" i="1"/>
  <c r="U200" i="1" s="1"/>
  <c r="S200" i="1" s="1"/>
  <c r="AG197" i="1"/>
  <c r="U197" i="1" s="1"/>
  <c r="S197" i="1" s="1"/>
  <c r="AG193" i="1"/>
  <c r="AI193" i="1" s="1"/>
  <c r="AG192" i="1"/>
  <c r="AG184" i="1"/>
  <c r="AI184" i="1" s="1"/>
  <c r="AA180" i="1"/>
  <c r="T179" i="1"/>
  <c r="X171" i="1"/>
  <c r="AG168" i="1"/>
  <c r="AI168" i="1" s="1"/>
  <c r="AA164" i="1"/>
  <c r="T163" i="1"/>
  <c r="X233" i="1"/>
  <c r="AG230" i="1"/>
  <c r="AI230" i="1" s="1"/>
  <c r="AA226" i="1"/>
  <c r="T225" i="1"/>
  <c r="U225" i="1" s="1"/>
  <c r="S225" i="1" s="1"/>
  <c r="AA215" i="1"/>
  <c r="W215" i="1" s="1"/>
  <c r="AA212" i="1"/>
  <c r="W212" i="1" s="1"/>
  <c r="AA206" i="1"/>
  <c r="X206" i="1"/>
  <c r="AG157" i="1"/>
  <c r="AI157" i="1" s="1"/>
  <c r="X154" i="1"/>
  <c r="AA147" i="1"/>
  <c r="X146" i="1"/>
  <c r="X139" i="1"/>
  <c r="AA137" i="1"/>
  <c r="AG133" i="1"/>
  <c r="X132" i="1"/>
  <c r="AI127" i="1"/>
  <c r="X123" i="1"/>
  <c r="AG121" i="1"/>
  <c r="X120" i="1"/>
  <c r="AG117" i="1"/>
  <c r="U117" i="1" s="1"/>
  <c r="S117" i="1" s="1"/>
  <c r="X117" i="1"/>
  <c r="X107" i="1"/>
  <c r="AG104" i="1"/>
  <c r="T104" i="1"/>
  <c r="X104" i="1"/>
  <c r="AG74" i="1"/>
  <c r="W74" i="1" s="1"/>
  <c r="X74" i="1"/>
  <c r="AA58" i="1"/>
  <c r="AG57" i="1"/>
  <c r="AI57" i="1" s="1"/>
  <c r="X57" i="1"/>
  <c r="AG48" i="1"/>
  <c r="AI48" i="1" s="1"/>
  <c r="X48" i="1"/>
  <c r="AG32" i="1"/>
  <c r="AI32" i="1" s="1"/>
  <c r="X32" i="1"/>
  <c r="T17" i="1"/>
  <c r="X17" i="1"/>
  <c r="AG17" i="1"/>
  <c r="AA222" i="1"/>
  <c r="AA221" i="1"/>
  <c r="AA218" i="1"/>
  <c r="AA205" i="1"/>
  <c r="AA202" i="1"/>
  <c r="AA196" i="1"/>
  <c r="W196" i="1" s="1"/>
  <c r="T195" i="1"/>
  <c r="U195" i="1" s="1"/>
  <c r="S195" i="1" s="1"/>
  <c r="AA188" i="1"/>
  <c r="W188" i="1" s="1"/>
  <c r="T187" i="1"/>
  <c r="U187" i="1" s="1"/>
  <c r="S187" i="1" s="1"/>
  <c r="AA185" i="1"/>
  <c r="X183" i="1"/>
  <c r="AG180" i="1"/>
  <c r="AA176" i="1"/>
  <c r="W176" i="1" s="1"/>
  <c r="T175" i="1"/>
  <c r="AA173" i="1"/>
  <c r="X167" i="1"/>
  <c r="AG164" i="1"/>
  <c r="U164" i="1" s="1"/>
  <c r="S164" i="1" s="1"/>
  <c r="AA160" i="1"/>
  <c r="W160" i="1" s="1"/>
  <c r="T159" i="1"/>
  <c r="U159" i="1" s="1"/>
  <c r="S159" i="1" s="1"/>
  <c r="X229" i="1"/>
  <c r="AG226" i="1"/>
  <c r="U226" i="1" s="1"/>
  <c r="S226" i="1" s="1"/>
  <c r="AA211" i="1"/>
  <c r="AA209" i="1"/>
  <c r="X158" i="1"/>
  <c r="AA152" i="1"/>
  <c r="X151" i="1"/>
  <c r="AG149" i="1"/>
  <c r="AA144" i="1"/>
  <c r="X142" i="1"/>
  <c r="AG137" i="1"/>
  <c r="U137" i="1" s="1"/>
  <c r="S137" i="1" s="1"/>
  <c r="X136" i="1"/>
  <c r="AA130" i="1"/>
  <c r="AA128" i="1"/>
  <c r="W128" i="1" s="1"/>
  <c r="T128" i="1"/>
  <c r="X127" i="1"/>
  <c r="AA125" i="1"/>
  <c r="W125" i="1" s="1"/>
  <c r="U111" i="1"/>
  <c r="S111" i="1" s="1"/>
  <c r="U103" i="1"/>
  <c r="S103" i="1" s="1"/>
  <c r="AI103" i="1"/>
  <c r="AG94" i="1"/>
  <c r="AI94" i="1" s="1"/>
  <c r="X94" i="1"/>
  <c r="AI93" i="1"/>
  <c r="T91" i="1"/>
  <c r="X91" i="1"/>
  <c r="AG91" i="1"/>
  <c r="AG36" i="1"/>
  <c r="AI36" i="1" s="1"/>
  <c r="T36" i="1"/>
  <c r="T171" i="1"/>
  <c r="U171" i="1" s="1"/>
  <c r="S171" i="1" s="1"/>
  <c r="T233" i="1"/>
  <c r="U233" i="1" s="1"/>
  <c r="S233" i="1" s="1"/>
  <c r="W216" i="1"/>
  <c r="X210" i="1"/>
  <c r="W135" i="1"/>
  <c r="X131" i="1"/>
  <c r="AG116" i="1"/>
  <c r="T116" i="1"/>
  <c r="T107" i="1"/>
  <c r="AG107" i="1"/>
  <c r="T105" i="1"/>
  <c r="X105" i="1"/>
  <c r="AG105" i="1"/>
  <c r="W105" i="1" s="1"/>
  <c r="T75" i="1"/>
  <c r="X75" i="1"/>
  <c r="AG75" i="1"/>
  <c r="T68" i="1"/>
  <c r="AG68" i="1"/>
  <c r="AI58" i="1"/>
  <c r="AG20" i="1"/>
  <c r="AI20" i="1" s="1"/>
  <c r="T20" i="1"/>
  <c r="X111" i="1"/>
  <c r="AA109" i="1"/>
  <c r="T90" i="1"/>
  <c r="U90" i="1" s="1"/>
  <c r="S90" i="1" s="1"/>
  <c r="T86" i="1"/>
  <c r="T61" i="1"/>
  <c r="AA45" i="1"/>
  <c r="W45" i="1" s="1"/>
  <c r="AA41" i="1"/>
  <c r="AA29" i="1"/>
  <c r="W29" i="1" s="1"/>
  <c r="AA25" i="1"/>
  <c r="AA118" i="1"/>
  <c r="AA116" i="1"/>
  <c r="X115" i="1"/>
  <c r="AA113" i="1"/>
  <c r="W113" i="1" s="1"/>
  <c r="AG109" i="1"/>
  <c r="U109" i="1" s="1"/>
  <c r="X108" i="1"/>
  <c r="AA102" i="1"/>
  <c r="AA100" i="1"/>
  <c r="W100" i="1" s="1"/>
  <c r="T100" i="1"/>
  <c r="X99" i="1"/>
  <c r="AA97" i="1"/>
  <c r="W97" i="1" s="1"/>
  <c r="AA85" i="1"/>
  <c r="AA84" i="1"/>
  <c r="AA83" i="1"/>
  <c r="T82" i="1"/>
  <c r="U82" i="1" s="1"/>
  <c r="AA72" i="1"/>
  <c r="W72" i="1" s="1"/>
  <c r="AA71" i="1"/>
  <c r="W71" i="1" s="1"/>
  <c r="T70" i="1"/>
  <c r="AA67" i="1"/>
  <c r="W67" i="1" s="1"/>
  <c r="AA63" i="1"/>
  <c r="AA53" i="1"/>
  <c r="W53" i="1" s="1"/>
  <c r="AG45" i="1"/>
  <c r="AG41" i="1"/>
  <c r="AI41" i="1" s="1"/>
  <c r="T40" i="1"/>
  <c r="AA38" i="1"/>
  <c r="AG29" i="1"/>
  <c r="U29" i="1" s="1"/>
  <c r="AG25" i="1"/>
  <c r="U25" i="1" s="1"/>
  <c r="S25" i="1" s="1"/>
  <c r="T24" i="1"/>
  <c r="AA23" i="1"/>
  <c r="AA22" i="1"/>
  <c r="W22" i="1" s="1"/>
  <c r="X16" i="1"/>
  <c r="AA106" i="1"/>
  <c r="AA104" i="1"/>
  <c r="X103" i="1"/>
  <c r="W101" i="1"/>
  <c r="U95" i="1"/>
  <c r="S95" i="1" s="1"/>
  <c r="AA92" i="1"/>
  <c r="W92" i="1" s="1"/>
  <c r="X90" i="1"/>
  <c r="AA88" i="1"/>
  <c r="X86" i="1"/>
  <c r="U83" i="1"/>
  <c r="AA80" i="1"/>
  <c r="W80" i="1" s="1"/>
  <c r="T78" i="1"/>
  <c r="U78" i="1" s="1"/>
  <c r="S78" i="1" s="1"/>
  <c r="AA69" i="1"/>
  <c r="AA68" i="1"/>
  <c r="AA65" i="1"/>
  <c r="W65" i="1" s="1"/>
  <c r="X61" i="1"/>
  <c r="AA35" i="1"/>
  <c r="AA19" i="1"/>
  <c r="AA18" i="1"/>
  <c r="W18" i="1" s="1"/>
  <c r="AA201" i="1"/>
  <c r="W201" i="1" s="1"/>
  <c r="AA197" i="1"/>
  <c r="AG194" i="1"/>
  <c r="X195" i="1"/>
  <c r="T194" i="1"/>
  <c r="X194" i="1"/>
  <c r="AA189" i="1"/>
  <c r="W189" i="1" s="1"/>
  <c r="AI204" i="1"/>
  <c r="U179" i="1"/>
  <c r="S179" i="1" s="1"/>
  <c r="AI191" i="1"/>
  <c r="AI188" i="1"/>
  <c r="W162" i="1"/>
  <c r="W159" i="1"/>
  <c r="AI179" i="1"/>
  <c r="W228" i="1"/>
  <c r="AG202" i="1"/>
  <c r="T202" i="1"/>
  <c r="X202" i="1"/>
  <c r="AG198" i="1"/>
  <c r="X199" i="1"/>
  <c r="T198" i="1"/>
  <c r="X198" i="1"/>
  <c r="AG190" i="1"/>
  <c r="W190" i="1" s="1"/>
  <c r="X191" i="1"/>
  <c r="T190" i="1"/>
  <c r="X190" i="1"/>
  <c r="AI200" i="1"/>
  <c r="U175" i="1"/>
  <c r="S175" i="1" s="1"/>
  <c r="AI187" i="1"/>
  <c r="AI175" i="1"/>
  <c r="U193" i="1"/>
  <c r="S193" i="1" s="1"/>
  <c r="AI214" i="1"/>
  <c r="W186" i="1"/>
  <c r="W183" i="1"/>
  <c r="AI196" i="1"/>
  <c r="W170" i="1"/>
  <c r="W167" i="1"/>
  <c r="W236" i="1"/>
  <c r="AI180" i="1"/>
  <c r="W229" i="1"/>
  <c r="T218" i="1"/>
  <c r="X218" i="1"/>
  <c r="AG218" i="1"/>
  <c r="AI218" i="1" s="1"/>
  <c r="X223" i="1"/>
  <c r="T222" i="1"/>
  <c r="X222" i="1"/>
  <c r="AG222" i="1"/>
  <c r="AI222" i="1" s="1"/>
  <c r="U220" i="1"/>
  <c r="S220" i="1" s="1"/>
  <c r="AA193" i="1"/>
  <c r="W193" i="1" s="1"/>
  <c r="AI211" i="1"/>
  <c r="U183" i="1"/>
  <c r="S183" i="1" s="1"/>
  <c r="W182" i="1"/>
  <c r="W179" i="1"/>
  <c r="AI195" i="1"/>
  <c r="AI192" i="1"/>
  <c r="U167" i="1"/>
  <c r="S167" i="1" s="1"/>
  <c r="W166" i="1"/>
  <c r="AI183" i="1"/>
  <c r="W232" i="1"/>
  <c r="AI176" i="1"/>
  <c r="U229" i="1"/>
  <c r="S229" i="1" s="1"/>
  <c r="W225" i="1"/>
  <c r="AG219" i="1"/>
  <c r="AG203" i="1"/>
  <c r="AI203" i="1" s="1"/>
  <c r="X186" i="1"/>
  <c r="T186" i="1"/>
  <c r="U186" i="1" s="1"/>
  <c r="S186" i="1" s="1"/>
  <c r="X182" i="1"/>
  <c r="T182" i="1"/>
  <c r="U182" i="1" s="1"/>
  <c r="S182" i="1" s="1"/>
  <c r="X178" i="1"/>
  <c r="T178" i="1"/>
  <c r="U178" i="1" s="1"/>
  <c r="S178" i="1" s="1"/>
  <c r="X174" i="1"/>
  <c r="T174" i="1"/>
  <c r="U174" i="1" s="1"/>
  <c r="S174" i="1" s="1"/>
  <c r="X170" i="1"/>
  <c r="T170" i="1"/>
  <c r="U170" i="1" s="1"/>
  <c r="S170" i="1" s="1"/>
  <c r="X166" i="1"/>
  <c r="T166" i="1"/>
  <c r="U166" i="1" s="1"/>
  <c r="S166" i="1" s="1"/>
  <c r="X162" i="1"/>
  <c r="T162" i="1"/>
  <c r="U162" i="1" s="1"/>
  <c r="S162" i="1" s="1"/>
  <c r="X236" i="1"/>
  <c r="T236" i="1"/>
  <c r="U236" i="1" s="1"/>
  <c r="S236" i="1" s="1"/>
  <c r="X232" i="1"/>
  <c r="T232" i="1"/>
  <c r="U232" i="1" s="1"/>
  <c r="S232" i="1" s="1"/>
  <c r="X228" i="1"/>
  <c r="T228" i="1"/>
  <c r="U228" i="1" s="1"/>
  <c r="S228" i="1" s="1"/>
  <c r="X224" i="1"/>
  <c r="T216" i="1"/>
  <c r="U216" i="1" s="1"/>
  <c r="S216" i="1" s="1"/>
  <c r="X216" i="1"/>
  <c r="X214" i="1"/>
  <c r="AG213" i="1"/>
  <c r="AI213" i="1" s="1"/>
  <c r="W211" i="1"/>
  <c r="T211" i="1"/>
  <c r="U211" i="1" s="1"/>
  <c r="S211" i="1" s="1"/>
  <c r="AI159" i="1"/>
  <c r="AI155" i="1"/>
  <c r="AI151" i="1"/>
  <c r="AI147" i="1"/>
  <c r="U136" i="1"/>
  <c r="S136" i="1" s="1"/>
  <c r="AI136" i="1"/>
  <c r="U120" i="1"/>
  <c r="S120" i="1" s="1"/>
  <c r="AI120" i="1"/>
  <c r="AI104" i="1"/>
  <c r="X219" i="1"/>
  <c r="X203" i="1"/>
  <c r="U196" i="1"/>
  <c r="S196" i="1" s="1"/>
  <c r="U192" i="1"/>
  <c r="S192" i="1" s="1"/>
  <c r="U188" i="1"/>
  <c r="S188" i="1" s="1"/>
  <c r="U184" i="1"/>
  <c r="S184" i="1" s="1"/>
  <c r="U180" i="1"/>
  <c r="S180" i="1" s="1"/>
  <c r="U176" i="1"/>
  <c r="S176" i="1" s="1"/>
  <c r="U160" i="1"/>
  <c r="S160" i="1" s="1"/>
  <c r="U234" i="1"/>
  <c r="S234" i="1" s="1"/>
  <c r="U230" i="1"/>
  <c r="S230" i="1" s="1"/>
  <c r="U151" i="1"/>
  <c r="S151" i="1" s="1"/>
  <c r="U124" i="1"/>
  <c r="S124" i="1" s="1"/>
  <c r="AI124" i="1"/>
  <c r="W112" i="1"/>
  <c r="AI108" i="1"/>
  <c r="AG185" i="1"/>
  <c r="AG181" i="1"/>
  <c r="AI181" i="1" s="1"/>
  <c r="AG177" i="1"/>
  <c r="AI177" i="1" s="1"/>
  <c r="AG173" i="1"/>
  <c r="AI173" i="1" s="1"/>
  <c r="AG169" i="1"/>
  <c r="AI169" i="1" s="1"/>
  <c r="AG165" i="1"/>
  <c r="AI165" i="1" s="1"/>
  <c r="AG161" i="1"/>
  <c r="AI161" i="1" s="1"/>
  <c r="AG235" i="1"/>
  <c r="AG231" i="1"/>
  <c r="W231" i="1" s="1"/>
  <c r="AG227" i="1"/>
  <c r="AG217" i="1"/>
  <c r="AI217" i="1" s="1"/>
  <c r="U215" i="1"/>
  <c r="S215" i="1" s="1"/>
  <c r="X211" i="1"/>
  <c r="AI142" i="1"/>
  <c r="U142" i="1"/>
  <c r="S142" i="1" s="1"/>
  <c r="U128" i="1"/>
  <c r="S128" i="1" s="1"/>
  <c r="AI128" i="1"/>
  <c r="X193" i="1"/>
  <c r="X189" i="1"/>
  <c r="X185" i="1"/>
  <c r="X181" i="1"/>
  <c r="X177" i="1"/>
  <c r="AI201" i="1"/>
  <c r="X173" i="1"/>
  <c r="AI197" i="1"/>
  <c r="X169" i="1"/>
  <c r="X165" i="1"/>
  <c r="AI189" i="1"/>
  <c r="X161" i="1"/>
  <c r="AI185" i="1"/>
  <c r="X235" i="1"/>
  <c r="X231" i="1"/>
  <c r="X227" i="1"/>
  <c r="X217" i="1"/>
  <c r="X215" i="1"/>
  <c r="T213" i="1"/>
  <c r="T207" i="1"/>
  <c r="X207" i="1"/>
  <c r="AG207" i="1"/>
  <c r="AI207" i="1" s="1"/>
  <c r="W206" i="1"/>
  <c r="U157" i="1"/>
  <c r="S157" i="1" s="1"/>
  <c r="T156" i="1"/>
  <c r="X156" i="1"/>
  <c r="AG156" i="1"/>
  <c r="W156" i="1" s="1"/>
  <c r="W155" i="1"/>
  <c r="U153" i="1"/>
  <c r="S153" i="1" s="1"/>
  <c r="T152" i="1"/>
  <c r="X152" i="1"/>
  <c r="AG152" i="1"/>
  <c r="W151" i="1"/>
  <c r="U149" i="1"/>
  <c r="S149" i="1" s="1"/>
  <c r="T148" i="1"/>
  <c r="X148" i="1"/>
  <c r="AG148" i="1"/>
  <c r="W147" i="1"/>
  <c r="U145" i="1"/>
  <c r="S145" i="1" s="1"/>
  <c r="T144" i="1"/>
  <c r="X144" i="1"/>
  <c r="AG144" i="1"/>
  <c r="T140" i="1"/>
  <c r="X140" i="1"/>
  <c r="AG140" i="1"/>
  <c r="X141" i="1"/>
  <c r="W136" i="1"/>
  <c r="U132" i="1"/>
  <c r="S132" i="1" s="1"/>
  <c r="AI132" i="1"/>
  <c r="AI116" i="1"/>
  <c r="U100" i="1"/>
  <c r="S100" i="1" s="1"/>
  <c r="AI100" i="1"/>
  <c r="X212" i="1"/>
  <c r="AG209" i="1"/>
  <c r="AI209" i="1" s="1"/>
  <c r="X208" i="1"/>
  <c r="AG158" i="1"/>
  <c r="W158" i="1" s="1"/>
  <c r="X157" i="1"/>
  <c r="AG154" i="1"/>
  <c r="X153" i="1"/>
  <c r="AG150" i="1"/>
  <c r="X149" i="1"/>
  <c r="AG146" i="1"/>
  <c r="X145" i="1"/>
  <c r="AG138" i="1"/>
  <c r="AG134" i="1"/>
  <c r="W134" i="1" s="1"/>
  <c r="AG130" i="1"/>
  <c r="AG126" i="1"/>
  <c r="AG122" i="1"/>
  <c r="W122" i="1" s="1"/>
  <c r="AG118" i="1"/>
  <c r="AG114" i="1"/>
  <c r="AG110" i="1"/>
  <c r="AG106" i="1"/>
  <c r="W106" i="1" s="1"/>
  <c r="AG102" i="1"/>
  <c r="AG98" i="1"/>
  <c r="T93" i="1"/>
  <c r="U93" i="1" s="1"/>
  <c r="S93" i="1" s="1"/>
  <c r="X93" i="1"/>
  <c r="T92" i="1"/>
  <c r="U92" i="1" s="1"/>
  <c r="S92" i="1" s="1"/>
  <c r="X92" i="1"/>
  <c r="T89" i="1"/>
  <c r="X89" i="1"/>
  <c r="AG89" i="1"/>
  <c r="AI88" i="1"/>
  <c r="W87" i="1"/>
  <c r="AI80" i="1"/>
  <c r="X138" i="1"/>
  <c r="T138" i="1"/>
  <c r="X134" i="1"/>
  <c r="T134" i="1"/>
  <c r="AI133" i="1"/>
  <c r="X130" i="1"/>
  <c r="T130" i="1"/>
  <c r="X126" i="1"/>
  <c r="T126" i="1"/>
  <c r="AI125" i="1"/>
  <c r="X122" i="1"/>
  <c r="T122" i="1"/>
  <c r="AI121" i="1"/>
  <c r="X118" i="1"/>
  <c r="T118" i="1"/>
  <c r="X114" i="1"/>
  <c r="T114" i="1"/>
  <c r="AI113" i="1"/>
  <c r="S113" i="1"/>
  <c r="X110" i="1"/>
  <c r="T110" i="1"/>
  <c r="X106" i="1"/>
  <c r="T106" i="1"/>
  <c r="AI105" i="1"/>
  <c r="X102" i="1"/>
  <c r="T102" i="1"/>
  <c r="AI101" i="1"/>
  <c r="X98" i="1"/>
  <c r="T98" i="1"/>
  <c r="AI97" i="1"/>
  <c r="T96" i="1"/>
  <c r="AI92" i="1"/>
  <c r="W82" i="1"/>
  <c r="AI76" i="1"/>
  <c r="W70" i="1"/>
  <c r="X143" i="1"/>
  <c r="AG96" i="1"/>
  <c r="U94" i="1"/>
  <c r="S94" i="1" s="1"/>
  <c r="W88" i="1"/>
  <c r="U86" i="1"/>
  <c r="S86" i="1" s="1"/>
  <c r="AI82" i="1"/>
  <c r="W78" i="1"/>
  <c r="AI70" i="1"/>
  <c r="U70" i="1"/>
  <c r="S70" i="1" s="1"/>
  <c r="AI51" i="1"/>
  <c r="T88" i="1"/>
  <c r="U88" i="1" s="1"/>
  <c r="S88" i="1" s="1"/>
  <c r="X88" i="1"/>
  <c r="AI78" i="1"/>
  <c r="AI60" i="1"/>
  <c r="U55" i="1"/>
  <c r="S55" i="1" s="1"/>
  <c r="AG85" i="1"/>
  <c r="X84" i="1"/>
  <c r="AG81" i="1"/>
  <c r="X80" i="1"/>
  <c r="T80" i="1"/>
  <c r="U80" i="1" s="1"/>
  <c r="S80" i="1" s="1"/>
  <c r="AI79" i="1"/>
  <c r="S79" i="1"/>
  <c r="AG77" i="1"/>
  <c r="X76" i="1"/>
  <c r="T76" i="1"/>
  <c r="U76" i="1" s="1"/>
  <c r="S76" i="1" s="1"/>
  <c r="AI75" i="1"/>
  <c r="AG73" i="1"/>
  <c r="W73" i="1" s="1"/>
  <c r="X72" i="1"/>
  <c r="AI71" i="1"/>
  <c r="AG69" i="1"/>
  <c r="X68" i="1"/>
  <c r="AI67" i="1"/>
  <c r="AI66" i="1"/>
  <c r="X65" i="1"/>
  <c r="T64" i="1"/>
  <c r="X64" i="1"/>
  <c r="T63" i="1"/>
  <c r="AG59" i="1"/>
  <c r="W59" i="1" s="1"/>
  <c r="X59" i="1"/>
  <c r="X54" i="1"/>
  <c r="T53" i="1"/>
  <c r="U53" i="1" s="1"/>
  <c r="S53" i="1" s="1"/>
  <c r="T52" i="1"/>
  <c r="AG52" i="1"/>
  <c r="T43" i="1"/>
  <c r="X43" i="1"/>
  <c r="AG43" i="1"/>
  <c r="X44" i="1"/>
  <c r="AI34" i="1"/>
  <c r="T27" i="1"/>
  <c r="X27" i="1"/>
  <c r="AG27" i="1"/>
  <c r="X28" i="1"/>
  <c r="AI18" i="1"/>
  <c r="X85" i="1"/>
  <c r="AI84" i="1"/>
  <c r="S84" i="1"/>
  <c r="X81" i="1"/>
  <c r="X77" i="1"/>
  <c r="X73" i="1"/>
  <c r="AI72" i="1"/>
  <c r="S72" i="1"/>
  <c r="X69" i="1"/>
  <c r="AG64" i="1"/>
  <c r="AG63" i="1"/>
  <c r="W63" i="1" s="1"/>
  <c r="U61" i="1"/>
  <c r="S61" i="1" s="1"/>
  <c r="X58" i="1"/>
  <c r="T57" i="1"/>
  <c r="U57" i="1" s="1"/>
  <c r="S57" i="1" s="1"/>
  <c r="AI56" i="1"/>
  <c r="AA55" i="1"/>
  <c r="W55" i="1" s="1"/>
  <c r="AI54" i="1"/>
  <c r="U20" i="1"/>
  <c r="S20" i="1" s="1"/>
  <c r="T56" i="1"/>
  <c r="U56" i="1" s="1"/>
  <c r="S56" i="1" s="1"/>
  <c r="X56" i="1"/>
  <c r="W51" i="1"/>
  <c r="AI42" i="1"/>
  <c r="T35" i="1"/>
  <c r="X35" i="1"/>
  <c r="AG35" i="1"/>
  <c r="X36" i="1"/>
  <c r="AI26" i="1"/>
  <c r="T19" i="1"/>
  <c r="X19" i="1"/>
  <c r="AG19" i="1"/>
  <c r="X20" i="1"/>
  <c r="T65" i="1"/>
  <c r="U65" i="1" s="1"/>
  <c r="S65" i="1" s="1"/>
  <c r="T60" i="1"/>
  <c r="U60" i="1" s="1"/>
  <c r="S60" i="1" s="1"/>
  <c r="X60" i="1"/>
  <c r="AI55" i="1"/>
  <c r="T51" i="1"/>
  <c r="U51" i="1" s="1"/>
  <c r="S51" i="1" s="1"/>
  <c r="W43" i="1"/>
  <c r="U28" i="1"/>
  <c r="S28" i="1" s="1"/>
  <c r="T46" i="1"/>
  <c r="X46" i="1"/>
  <c r="T38" i="1"/>
  <c r="X38" i="1"/>
  <c r="T30" i="1"/>
  <c r="X30" i="1"/>
  <c r="T22" i="1"/>
  <c r="U22" i="1" s="1"/>
  <c r="S22" i="1" s="1"/>
  <c r="X22" i="1"/>
  <c r="AI17" i="1"/>
  <c r="W14" i="1"/>
  <c r="T50" i="1"/>
  <c r="U50" i="1" s="1"/>
  <c r="S50" i="1" s="1"/>
  <c r="AA49" i="1"/>
  <c r="U48" i="1"/>
  <c r="S48" i="1" s="1"/>
  <c r="T47" i="1"/>
  <c r="X47" i="1"/>
  <c r="AG47" i="1"/>
  <c r="AG46" i="1"/>
  <c r="AA42" i="1"/>
  <c r="W42" i="1" s="1"/>
  <c r="U40" i="1"/>
  <c r="S40" i="1" s="1"/>
  <c r="T39" i="1"/>
  <c r="X39" i="1"/>
  <c r="AG39" i="1"/>
  <c r="AG38" i="1"/>
  <c r="W37" i="1"/>
  <c r="AA34" i="1"/>
  <c r="W34" i="1" s="1"/>
  <c r="U32" i="1"/>
  <c r="S32" i="1" s="1"/>
  <c r="T31" i="1"/>
  <c r="X31" i="1"/>
  <c r="AG31" i="1"/>
  <c r="AG30" i="1"/>
  <c r="AA26" i="1"/>
  <c r="W26" i="1" s="1"/>
  <c r="U24" i="1"/>
  <c r="S24" i="1" s="1"/>
  <c r="T23" i="1"/>
  <c r="X23" i="1"/>
  <c r="AG23" i="1"/>
  <c r="AI22" i="1"/>
  <c r="T14" i="1"/>
  <c r="U14" i="1" s="1"/>
  <c r="AI45" i="1"/>
  <c r="T42" i="1"/>
  <c r="U42" i="1" s="1"/>
  <c r="S42" i="1" s="1"/>
  <c r="X42" i="1"/>
  <c r="T34" i="1"/>
  <c r="U34" i="1" s="1"/>
  <c r="S34" i="1" s="1"/>
  <c r="X34" i="1"/>
  <c r="S29" i="1"/>
  <c r="AI29" i="1"/>
  <c r="T26" i="1"/>
  <c r="U26" i="1" s="1"/>
  <c r="S26" i="1" s="1"/>
  <c r="X26" i="1"/>
  <c r="S21" i="1"/>
  <c r="AI21" i="1"/>
  <c r="T18" i="1"/>
  <c r="U18" i="1" s="1"/>
  <c r="S18" i="1" s="1"/>
  <c r="X18" i="1"/>
  <c r="AA17" i="1"/>
  <c r="W17" i="1" s="1"/>
  <c r="T15" i="1"/>
  <c r="X15" i="1"/>
  <c r="AG15" i="1"/>
  <c r="AI14" i="1"/>
  <c r="T18" i="3"/>
  <c r="AD43" i="3"/>
  <c r="T46" i="3"/>
  <c r="AD31" i="3"/>
  <c r="AD24" i="3"/>
  <c r="AD21" i="3"/>
  <c r="T22" i="3"/>
  <c r="AE15" i="3"/>
  <c r="Y18" i="3"/>
  <c r="AD48" i="3"/>
  <c r="AE48" i="3"/>
  <c r="T33" i="3"/>
  <c r="Y10" i="3"/>
  <c r="Y46" i="3"/>
  <c r="AD33" i="3"/>
  <c r="Y57" i="3"/>
  <c r="Y26" i="3"/>
  <c r="AE23" i="3"/>
  <c r="Y28" i="3"/>
  <c r="Y22" i="3"/>
  <c r="AD15" i="3"/>
  <c r="AE11" i="3"/>
  <c r="AD9" i="3"/>
  <c r="Y29" i="3"/>
  <c r="Y20" i="3"/>
  <c r="T32" i="3"/>
  <c r="Y39" i="3"/>
  <c r="Y21" i="3"/>
  <c r="AC17" i="3"/>
  <c r="AD32" i="3"/>
  <c r="Y50" i="3"/>
  <c r="AD29" i="3"/>
  <c r="T56" i="3"/>
  <c r="AD23" i="3"/>
  <c r="AE19" i="3"/>
  <c r="AD17" i="3"/>
  <c r="T58" i="3"/>
  <c r="Y40" i="3"/>
  <c r="AD11" i="3"/>
  <c r="AD8" i="3"/>
  <c r="AD39" i="3"/>
  <c r="AE31" i="3"/>
  <c r="AD25" i="3"/>
  <c r="AD19" i="3"/>
  <c r="AD16" i="3"/>
  <c r="AD13" i="3"/>
  <c r="T12" i="3"/>
  <c r="Y48" i="3"/>
  <c r="T43" i="3"/>
  <c r="AD52" i="3"/>
  <c r="AE52" i="3"/>
  <c r="Y55" i="3"/>
  <c r="AE47" i="3"/>
  <c r="AC54" i="3"/>
  <c r="T51" i="3"/>
  <c r="Y33" i="3"/>
  <c r="T15" i="3"/>
  <c r="AD36" i="3"/>
  <c r="AE36" i="3"/>
  <c r="T16" i="3"/>
  <c r="T53" i="3"/>
  <c r="AE30" i="3"/>
  <c r="AD28" i="3"/>
  <c r="AE28" i="3"/>
  <c r="T7" i="3"/>
  <c r="T41" i="3"/>
  <c r="AE22" i="3"/>
  <c r="AD20" i="3"/>
  <c r="AE20" i="3"/>
  <c r="T13" i="3"/>
  <c r="T44" i="3"/>
  <c r="AE14" i="3"/>
  <c r="AD12" i="3"/>
  <c r="AE12" i="3"/>
  <c r="T34" i="3"/>
  <c r="Y51" i="3"/>
  <c r="Y15" i="3"/>
  <c r="Y53" i="3"/>
  <c r="Y41" i="3"/>
  <c r="Y44" i="3"/>
  <c r="Y12" i="3"/>
  <c r="AE60" i="3"/>
  <c r="AE55" i="3"/>
  <c r="AC11" i="3"/>
  <c r="T21" i="3"/>
  <c r="AE44" i="3"/>
  <c r="AE39" i="3"/>
  <c r="AC47" i="3"/>
  <c r="AE34" i="3"/>
  <c r="AE32" i="3"/>
  <c r="T45" i="3"/>
  <c r="AE26" i="3"/>
  <c r="AE24" i="3"/>
  <c r="T28" i="3"/>
  <c r="AE18" i="3"/>
  <c r="AE16" i="3"/>
  <c r="T14" i="3"/>
  <c r="AE10" i="3"/>
  <c r="AC9" i="3"/>
  <c r="AC8" i="3"/>
  <c r="AC26" i="3"/>
  <c r="AC49" i="3"/>
  <c r="AC30" i="3"/>
  <c r="AC36" i="3"/>
  <c r="AC37" i="3"/>
  <c r="AE58" i="3"/>
  <c r="T29" i="3"/>
  <c r="AE50" i="3"/>
  <c r="T38" i="3"/>
  <c r="AE46" i="3"/>
  <c r="T23" i="3"/>
  <c r="AD58" i="3"/>
  <c r="AE57" i="3"/>
  <c r="T19" i="3"/>
  <c r="AD54" i="3"/>
  <c r="AE53" i="3"/>
  <c r="T11" i="3"/>
  <c r="AD50" i="3"/>
  <c r="AE49" i="3"/>
  <c r="T39" i="3"/>
  <c r="AD46" i="3"/>
  <c r="AE45" i="3"/>
  <c r="T54" i="3"/>
  <c r="AD42" i="3"/>
  <c r="AE41" i="3"/>
  <c r="T17" i="3"/>
  <c r="AD38" i="3"/>
  <c r="AE37" i="3"/>
  <c r="T47" i="3"/>
  <c r="AD34" i="3"/>
  <c r="AE33" i="3"/>
  <c r="T9" i="3"/>
  <c r="AD30" i="3"/>
  <c r="AE29" i="3"/>
  <c r="T8" i="3"/>
  <c r="AD26" i="3"/>
  <c r="AE25" i="3"/>
  <c r="T26" i="3"/>
  <c r="AD22" i="3"/>
  <c r="AE21" i="3"/>
  <c r="T49" i="3"/>
  <c r="AD18" i="3"/>
  <c r="AE17" i="3"/>
  <c r="T30" i="3"/>
  <c r="AD14" i="3"/>
  <c r="AE13" i="3"/>
  <c r="T36" i="3"/>
  <c r="AD10" i="3"/>
  <c r="AE9" i="3"/>
  <c r="T37" i="3"/>
  <c r="AE54" i="3"/>
  <c r="T42" i="3"/>
  <c r="AE42" i="3"/>
  <c r="T31" i="3"/>
  <c r="AE38" i="3"/>
  <c r="T10" i="3"/>
  <c r="AE8" i="3"/>
  <c r="M59" i="3"/>
  <c r="R59" i="3"/>
  <c r="S59" i="3"/>
  <c r="U59" i="3"/>
  <c r="AC59" i="3" s="1"/>
  <c r="V59" i="3"/>
  <c r="W59" i="3"/>
  <c r="X59" i="3"/>
  <c r="U116" i="1" l="1"/>
  <c r="S116" i="1" s="1"/>
  <c r="W66" i="1"/>
  <c r="U168" i="1"/>
  <c r="S168" i="1" s="1"/>
  <c r="W21" i="1"/>
  <c r="W33" i="1"/>
  <c r="S83" i="1"/>
  <c r="W143" i="1"/>
  <c r="W54" i="1"/>
  <c r="W142" i="1"/>
  <c r="U189" i="1"/>
  <c r="S189" i="1" s="1"/>
  <c r="W119" i="1"/>
  <c r="U68" i="1"/>
  <c r="S68" i="1" s="1"/>
  <c r="U91" i="1"/>
  <c r="S91" i="1" s="1"/>
  <c r="W62" i="1"/>
  <c r="W95" i="1"/>
  <c r="U44" i="1"/>
  <c r="S44" i="1" s="1"/>
  <c r="U115" i="1"/>
  <c r="S115" i="1" s="1"/>
  <c r="W141" i="1"/>
  <c r="AI33" i="1"/>
  <c r="S109" i="1"/>
  <c r="U74" i="1"/>
  <c r="S74" i="1" s="1"/>
  <c r="U33" i="1"/>
  <c r="S33" i="1" s="1"/>
  <c r="AI74" i="1"/>
  <c r="W194" i="1"/>
  <c r="AI119" i="1"/>
  <c r="W58" i="1"/>
  <c r="W234" i="1"/>
  <c r="W163" i="1"/>
  <c r="U204" i="1"/>
  <c r="S204" i="1" s="1"/>
  <c r="U67" i="1"/>
  <c r="S67" i="1" s="1"/>
  <c r="W38" i="1"/>
  <c r="W35" i="1"/>
  <c r="W81" i="1"/>
  <c r="AI83" i="1"/>
  <c r="AI109" i="1"/>
  <c r="W118" i="1"/>
  <c r="S54" i="1"/>
  <c r="W150" i="1"/>
  <c r="U143" i="1"/>
  <c r="S143" i="1" s="1"/>
  <c r="U172" i="1"/>
  <c r="S172" i="1" s="1"/>
  <c r="U45" i="1"/>
  <c r="S45" i="1" s="1"/>
  <c r="W83" i="1"/>
  <c r="U119" i="1"/>
  <c r="S119" i="1" s="1"/>
  <c r="U104" i="1"/>
  <c r="S104" i="1" s="1"/>
  <c r="W121" i="1"/>
  <c r="U125" i="1"/>
  <c r="S125" i="1" s="1"/>
  <c r="W172" i="1"/>
  <c r="W23" i="1"/>
  <c r="AI49" i="1"/>
  <c r="W152" i="1"/>
  <c r="AI205" i="1"/>
  <c r="AI164" i="1"/>
  <c r="AI226" i="1"/>
  <c r="U97" i="1"/>
  <c r="S97" i="1" s="1"/>
  <c r="U71" i="1"/>
  <c r="S71" i="1" s="1"/>
  <c r="U112" i="1"/>
  <c r="S112" i="1" s="1"/>
  <c r="U36" i="1"/>
  <c r="S36" i="1" s="1"/>
  <c r="AI68" i="1"/>
  <c r="AI25" i="1"/>
  <c r="U41" i="1"/>
  <c r="S41" i="1" s="1"/>
  <c r="U87" i="1"/>
  <c r="S87" i="1" s="1"/>
  <c r="W210" i="1"/>
  <c r="AI212" i="1"/>
  <c r="U163" i="1"/>
  <c r="S163" i="1" s="1"/>
  <c r="U62" i="1"/>
  <c r="S62" i="1" s="1"/>
  <c r="W205" i="1"/>
  <c r="U121" i="1"/>
  <c r="S121" i="1" s="1"/>
  <c r="U133" i="1"/>
  <c r="S133" i="1" s="1"/>
  <c r="U201" i="1"/>
  <c r="S201" i="1" s="1"/>
  <c r="U16" i="1"/>
  <c r="S16" i="1" s="1"/>
  <c r="W44" i="1"/>
  <c r="W115" i="1"/>
  <c r="W98" i="1"/>
  <c r="W213" i="1"/>
  <c r="AI112" i="1"/>
  <c r="AI163" i="1"/>
  <c r="W197" i="1"/>
  <c r="W221" i="1"/>
  <c r="W16" i="1"/>
  <c r="W220" i="1"/>
  <c r="AI37" i="1"/>
  <c r="W69" i="1"/>
  <c r="AI91" i="1"/>
  <c r="AI117" i="1"/>
  <c r="AI129" i="1"/>
  <c r="AI137" i="1"/>
  <c r="W89" i="1"/>
  <c r="W102" i="1"/>
  <c r="U208" i="1"/>
  <c r="S208" i="1" s="1"/>
  <c r="W235" i="1"/>
  <c r="W129" i="1"/>
  <c r="U66" i="1"/>
  <c r="S66" i="1" s="1"/>
  <c r="W49" i="1"/>
  <c r="W104" i="1"/>
  <c r="W84" i="1"/>
  <c r="W68" i="1"/>
  <c r="U75" i="1"/>
  <c r="S75" i="1" s="1"/>
  <c r="U105" i="1"/>
  <c r="S105" i="1" s="1"/>
  <c r="W133" i="1"/>
  <c r="U206" i="1"/>
  <c r="S206" i="1" s="1"/>
  <c r="U155" i="1"/>
  <c r="S155" i="1" s="1"/>
  <c r="W25" i="1"/>
  <c r="W109" i="1"/>
  <c r="W75" i="1"/>
  <c r="U107" i="1"/>
  <c r="S107" i="1" s="1"/>
  <c r="AI107" i="1"/>
  <c r="W107" i="1"/>
  <c r="W149" i="1"/>
  <c r="AI149" i="1"/>
  <c r="W117" i="1"/>
  <c r="W230" i="1"/>
  <c r="W168" i="1"/>
  <c r="U199" i="1"/>
  <c r="S199" i="1" s="1"/>
  <c r="W20" i="1"/>
  <c r="W36" i="1"/>
  <c r="W94" i="1"/>
  <c r="W32" i="1"/>
  <c r="W184" i="1"/>
  <c r="W145" i="1"/>
  <c r="W116" i="1"/>
  <c r="W41" i="1"/>
  <c r="U17" i="1"/>
  <c r="S17" i="1" s="1"/>
  <c r="W226" i="1"/>
  <c r="W164" i="1"/>
  <c r="W180" i="1"/>
  <c r="W48" i="1"/>
  <c r="U131" i="1"/>
  <c r="S131" i="1" s="1"/>
  <c r="AI131" i="1"/>
  <c r="W192" i="1"/>
  <c r="U221" i="1"/>
  <c r="S221" i="1" s="1"/>
  <c r="AI221" i="1"/>
  <c r="W153" i="1"/>
  <c r="W199" i="1"/>
  <c r="W91" i="1"/>
  <c r="W137" i="1"/>
  <c r="W57" i="1"/>
  <c r="W157" i="1"/>
  <c r="U27" i="1"/>
  <c r="S27" i="1" s="1"/>
  <c r="AI27" i="1"/>
  <c r="U52" i="1"/>
  <c r="S52" i="1" s="1"/>
  <c r="AI52" i="1"/>
  <c r="U15" i="1"/>
  <c r="S15" i="1"/>
  <c r="AI15" i="1"/>
  <c r="AI30" i="1"/>
  <c r="U30" i="1"/>
  <c r="S30" i="1" s="1"/>
  <c r="U39" i="1"/>
  <c r="S39" i="1" s="1"/>
  <c r="AI39" i="1"/>
  <c r="W39" i="1"/>
  <c r="W27" i="1"/>
  <c r="AI63" i="1"/>
  <c r="U63" i="1"/>
  <c r="S63" i="1" s="1"/>
  <c r="AI77" i="1"/>
  <c r="U77" i="1"/>
  <c r="S77" i="1" s="1"/>
  <c r="U96" i="1"/>
  <c r="S96" i="1" s="1"/>
  <c r="AI96" i="1"/>
  <c r="U89" i="1"/>
  <c r="S89" i="1" s="1"/>
  <c r="AI89" i="1"/>
  <c r="W96" i="1"/>
  <c r="AI110" i="1"/>
  <c r="U110" i="1"/>
  <c r="S110" i="1" s="1"/>
  <c r="AI126" i="1"/>
  <c r="U126" i="1"/>
  <c r="S126" i="1" s="1"/>
  <c r="U156" i="1"/>
  <c r="S156" i="1" s="1"/>
  <c r="AI156" i="1"/>
  <c r="U217" i="1"/>
  <c r="S217" i="1" s="1"/>
  <c r="AI170" i="1"/>
  <c r="U161" i="1"/>
  <c r="S161" i="1" s="1"/>
  <c r="AI186" i="1"/>
  <c r="U177" i="1"/>
  <c r="S177" i="1" s="1"/>
  <c r="AI202" i="1"/>
  <c r="AI166" i="1"/>
  <c r="U213" i="1"/>
  <c r="S213" i="1" s="1"/>
  <c r="AI235" i="1"/>
  <c r="U222" i="1"/>
  <c r="S222" i="1" s="1"/>
  <c r="W222" i="1"/>
  <c r="U202" i="1"/>
  <c r="S202" i="1" s="1"/>
  <c r="AI227" i="1"/>
  <c r="W161" i="1"/>
  <c r="AI46" i="1"/>
  <c r="U46" i="1"/>
  <c r="S46" i="1" s="1"/>
  <c r="U19" i="1"/>
  <c r="S19" i="1" s="1"/>
  <c r="AI19" i="1"/>
  <c r="W19" i="1"/>
  <c r="W46" i="1"/>
  <c r="W52" i="1"/>
  <c r="U31" i="1"/>
  <c r="S31" i="1" s="1"/>
  <c r="AI31" i="1"/>
  <c r="W31" i="1"/>
  <c r="U35" i="1"/>
  <c r="S35" i="1" s="1"/>
  <c r="AI35" i="1"/>
  <c r="W30" i="1"/>
  <c r="AI64" i="1"/>
  <c r="W64" i="1"/>
  <c r="U64" i="1"/>
  <c r="S64" i="1" s="1"/>
  <c r="W15" i="1"/>
  <c r="U43" i="1"/>
  <c r="S43" i="1" s="1"/>
  <c r="AI43" i="1"/>
  <c r="AI59" i="1"/>
  <c r="U59" i="1"/>
  <c r="S59" i="1" s="1"/>
  <c r="AI81" i="1"/>
  <c r="U81" i="1"/>
  <c r="S81" i="1" s="1"/>
  <c r="U85" i="1"/>
  <c r="S85" i="1" s="1"/>
  <c r="AI85" i="1"/>
  <c r="W85" i="1"/>
  <c r="W77" i="1"/>
  <c r="AI98" i="1"/>
  <c r="U98" i="1"/>
  <c r="S98" i="1" s="1"/>
  <c r="AI114" i="1"/>
  <c r="U114" i="1"/>
  <c r="S114" i="1" s="1"/>
  <c r="AI130" i="1"/>
  <c r="U130" i="1"/>
  <c r="S130" i="1" s="1"/>
  <c r="AI146" i="1"/>
  <c r="U146" i="1"/>
  <c r="S146" i="1" s="1"/>
  <c r="AI154" i="1"/>
  <c r="U154" i="1"/>
  <c r="S154" i="1" s="1"/>
  <c r="AI162" i="1"/>
  <c r="U209" i="1"/>
  <c r="S209" i="1" s="1"/>
  <c r="U140" i="1"/>
  <c r="S140" i="1" s="1"/>
  <c r="AI140" i="1"/>
  <c r="U144" i="1"/>
  <c r="S144" i="1" s="1"/>
  <c r="AI144" i="1"/>
  <c r="U207" i="1"/>
  <c r="S207" i="1" s="1"/>
  <c r="AI160" i="1"/>
  <c r="W140" i="1"/>
  <c r="W144" i="1"/>
  <c r="W207" i="1"/>
  <c r="U227" i="1"/>
  <c r="S227" i="1" s="1"/>
  <c r="AI174" i="1"/>
  <c r="U165" i="1"/>
  <c r="S165" i="1" s="1"/>
  <c r="AI190" i="1"/>
  <c r="U181" i="1"/>
  <c r="S181" i="1" s="1"/>
  <c r="AI206" i="1"/>
  <c r="W114" i="1"/>
  <c r="W110" i="1"/>
  <c r="W126" i="1"/>
  <c r="W181" i="1"/>
  <c r="AI231" i="1"/>
  <c r="U218" i="1"/>
  <c r="S218" i="1" s="1"/>
  <c r="W217" i="1"/>
  <c r="U198" i="1"/>
  <c r="S198" i="1" s="1"/>
  <c r="AI223" i="1"/>
  <c r="W218" i="1"/>
  <c r="W227" i="1"/>
  <c r="U194" i="1"/>
  <c r="S194" i="1" s="1"/>
  <c r="AI219" i="1"/>
  <c r="W202" i="1"/>
  <c r="AI102" i="1"/>
  <c r="U102" i="1"/>
  <c r="S102" i="1" s="1"/>
  <c r="AI118" i="1"/>
  <c r="U118" i="1"/>
  <c r="S118" i="1" s="1"/>
  <c r="AI134" i="1"/>
  <c r="U134" i="1"/>
  <c r="S134" i="1" s="1"/>
  <c r="U148" i="1"/>
  <c r="S148" i="1" s="1"/>
  <c r="AI148" i="1"/>
  <c r="W146" i="1"/>
  <c r="W154" i="1"/>
  <c r="W209" i="1"/>
  <c r="U231" i="1"/>
  <c r="S231" i="1" s="1"/>
  <c r="AI178" i="1"/>
  <c r="U169" i="1"/>
  <c r="S169" i="1" s="1"/>
  <c r="AI194" i="1"/>
  <c r="U185" i="1"/>
  <c r="S185" i="1" s="1"/>
  <c r="AI210" i="1"/>
  <c r="W130" i="1"/>
  <c r="U203" i="1"/>
  <c r="S203" i="1" s="1"/>
  <c r="AI228" i="1"/>
  <c r="W203" i="1"/>
  <c r="W169" i="1"/>
  <c r="U190" i="1"/>
  <c r="S190" i="1"/>
  <c r="AI215" i="1"/>
  <c r="W177" i="1"/>
  <c r="U23" i="1"/>
  <c r="S23" i="1"/>
  <c r="AI23" i="1"/>
  <c r="AI38" i="1"/>
  <c r="U38" i="1"/>
  <c r="S38" i="1" s="1"/>
  <c r="U47" i="1"/>
  <c r="S47" i="1" s="1"/>
  <c r="AI47" i="1"/>
  <c r="W47" i="1"/>
  <c r="AI69" i="1"/>
  <c r="U69" i="1"/>
  <c r="S69" i="1" s="1"/>
  <c r="AI73" i="1"/>
  <c r="U73" i="1"/>
  <c r="S73" i="1" s="1"/>
  <c r="AI106" i="1"/>
  <c r="U106" i="1"/>
  <c r="S106" i="1" s="1"/>
  <c r="AI122" i="1"/>
  <c r="U122" i="1"/>
  <c r="S122" i="1" s="1"/>
  <c r="AI138" i="1"/>
  <c r="U138" i="1"/>
  <c r="S138" i="1" s="1"/>
  <c r="AI150" i="1"/>
  <c r="U150" i="1"/>
  <c r="S150" i="1" s="1"/>
  <c r="AI158" i="1"/>
  <c r="U158" i="1"/>
  <c r="S158" i="1" s="1"/>
  <c r="W138" i="1"/>
  <c r="U152" i="1"/>
  <c r="S152" i="1" s="1"/>
  <c r="AI152" i="1"/>
  <c r="W148" i="1"/>
  <c r="U235" i="1"/>
  <c r="S235" i="1" s="1"/>
  <c r="AI182" i="1"/>
  <c r="U173" i="1"/>
  <c r="S173" i="1" s="1"/>
  <c r="AI198" i="1"/>
  <c r="U219" i="1"/>
  <c r="S219" i="1" s="1"/>
  <c r="W219" i="1"/>
  <c r="AI232" i="1"/>
  <c r="W165" i="1"/>
  <c r="W173" i="1"/>
  <c r="W185" i="1"/>
  <c r="W198" i="1"/>
  <c r="AD59" i="3"/>
  <c r="AE59" i="3"/>
  <c r="AE7" i="3"/>
  <c r="AD7" i="3"/>
  <c r="T59" i="3"/>
  <c r="Y59" i="3"/>
  <c r="B87" i="9" l="1"/>
  <c r="B88" i="9"/>
  <c r="C88" i="9" s="1"/>
  <c r="B89" i="9"/>
  <c r="B90" i="9"/>
  <c r="C90" i="9"/>
  <c r="B91" i="9"/>
  <c r="B92" i="9"/>
  <c r="C92" i="9"/>
  <c r="C89" i="9" l="1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L13" i="1"/>
  <c r="M13" i="1"/>
  <c r="P13" i="1" s="1"/>
  <c r="V13" i="1"/>
  <c r="Y13" i="1"/>
  <c r="Z13" i="1"/>
  <c r="AB13" i="1"/>
  <c r="AC13" i="1"/>
  <c r="AD13" i="1"/>
  <c r="X14" i="1" s="1"/>
  <c r="AE13" i="1"/>
  <c r="AF13" i="1"/>
  <c r="AM13" i="1"/>
  <c r="AN13" i="1"/>
  <c r="S34" i="3" l="1"/>
  <c r="S35" i="3"/>
  <c r="S37" i="3"/>
  <c r="R34" i="3"/>
  <c r="R35" i="3"/>
  <c r="R37" i="3"/>
  <c r="AG13" i="1"/>
  <c r="AI13" i="1" s="1"/>
  <c r="X13" i="1"/>
  <c r="AA13" i="1"/>
  <c r="T13" i="1"/>
  <c r="U13" i="1" l="1"/>
  <c r="S13" i="1" s="1"/>
  <c r="W13" i="1"/>
  <c r="B5" i="6"/>
  <c r="G5" i="6" s="1"/>
  <c r="F5" i="6" l="1"/>
  <c r="J5" i="6"/>
  <c r="I5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60" i="3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4" i="3" s="1"/>
  <c r="G24" i="4"/>
  <c r="G25" i="4"/>
  <c r="N44" i="3" s="1"/>
  <c r="G26" i="4"/>
  <c r="N58" i="3" s="1"/>
  <c r="G27" i="4"/>
  <c r="G28" i="4"/>
  <c r="G29" i="4"/>
  <c r="G30" i="4"/>
  <c r="N30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28" i="3" s="1"/>
  <c r="G44" i="4"/>
  <c r="G45" i="4"/>
  <c r="N52" i="3" s="1"/>
  <c r="G46" i="4"/>
  <c r="G47" i="4"/>
  <c r="N49" i="3" s="1"/>
  <c r="G48" i="4"/>
  <c r="G49" i="4"/>
  <c r="G50" i="4"/>
  <c r="G51" i="4"/>
  <c r="G52" i="4"/>
  <c r="G53" i="4"/>
  <c r="G54" i="4"/>
  <c r="G55" i="4"/>
  <c r="N26" i="3" s="1"/>
  <c r="G56" i="4"/>
  <c r="G57" i="4"/>
  <c r="G58" i="4"/>
  <c r="G59" i="4"/>
  <c r="G60" i="4"/>
  <c r="N7" i="3" s="1"/>
  <c r="G61" i="4"/>
  <c r="G62" i="4"/>
  <c r="G63" i="4"/>
  <c r="G64" i="4"/>
  <c r="G65" i="4"/>
  <c r="G66" i="4"/>
  <c r="G67" i="4"/>
  <c r="G68" i="4"/>
  <c r="G69" i="4"/>
  <c r="G70" i="4"/>
  <c r="G71" i="4"/>
  <c r="G72" i="4"/>
  <c r="N50" i="3" s="1"/>
  <c r="G73" i="4"/>
  <c r="G74" i="4"/>
  <c r="G75" i="4"/>
  <c r="G76" i="4"/>
  <c r="G77" i="4"/>
  <c r="N53" i="3" s="1"/>
  <c r="G78" i="4"/>
  <c r="G79" i="4"/>
  <c r="N9" i="3" s="1"/>
  <c r="G80" i="4"/>
  <c r="N16" i="3" s="1"/>
  <c r="G81" i="4"/>
  <c r="G82" i="4"/>
  <c r="G83" i="4"/>
  <c r="G84" i="4"/>
  <c r="G85" i="4"/>
  <c r="G86" i="4"/>
  <c r="G87" i="4"/>
  <c r="N46" i="3" s="1"/>
  <c r="G88" i="4"/>
  <c r="G89" i="4"/>
  <c r="N47" i="3" s="1"/>
  <c r="G90" i="4"/>
  <c r="N25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24" i="3" s="1"/>
  <c r="G104" i="4"/>
  <c r="G105" i="4"/>
  <c r="G106" i="4"/>
  <c r="G107" i="4"/>
  <c r="G108" i="4"/>
  <c r="G109" i="4"/>
  <c r="G110" i="4"/>
  <c r="G111" i="4"/>
  <c r="G112" i="4"/>
  <c r="G113" i="4"/>
  <c r="N33" i="3" s="1"/>
  <c r="G114" i="4"/>
  <c r="G115" i="4"/>
  <c r="G116" i="4"/>
  <c r="G117" i="4"/>
  <c r="G118" i="4"/>
  <c r="G119" i="4"/>
  <c r="G120" i="4"/>
  <c r="G121" i="4"/>
  <c r="G122" i="4"/>
  <c r="G123" i="4"/>
  <c r="N51" i="3" s="1"/>
  <c r="G124" i="4"/>
  <c r="G125" i="4"/>
  <c r="G126" i="4"/>
  <c r="G127" i="4"/>
  <c r="G128" i="4"/>
  <c r="N54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55" i="3" s="1"/>
  <c r="G144" i="4"/>
  <c r="G145" i="4"/>
  <c r="G146" i="4"/>
  <c r="G147" i="4"/>
  <c r="G148" i="4"/>
  <c r="G149" i="4"/>
  <c r="G150" i="4"/>
  <c r="G151" i="4"/>
  <c r="G152" i="4"/>
  <c r="G153" i="4"/>
  <c r="N38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32" i="3" s="1"/>
  <c r="G166" i="4"/>
  <c r="G167" i="4"/>
  <c r="G168" i="4"/>
  <c r="G169" i="4"/>
  <c r="N42" i="3" s="1"/>
  <c r="G170" i="4"/>
  <c r="N20" i="3" s="1"/>
  <c r="G171" i="4"/>
  <c r="G172" i="4"/>
  <c r="G173" i="4"/>
  <c r="N43" i="3" s="1"/>
  <c r="G174" i="4"/>
  <c r="G175" i="4"/>
  <c r="N11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59" i="3" s="1"/>
  <c r="G214" i="4"/>
  <c r="G215" i="4"/>
  <c r="G216" i="4"/>
  <c r="G217" i="4"/>
  <c r="N29" i="3" s="1"/>
  <c r="G218" i="4"/>
  <c r="G219" i="4"/>
  <c r="G220" i="4"/>
  <c r="G221" i="4"/>
  <c r="G222" i="4"/>
  <c r="N48" i="3" s="1"/>
  <c r="G223" i="4"/>
  <c r="G224" i="4"/>
  <c r="G225" i="4"/>
  <c r="G226" i="4"/>
  <c r="G227" i="4"/>
  <c r="G228" i="4"/>
  <c r="G229" i="4"/>
  <c r="G230" i="4"/>
  <c r="G231" i="4"/>
  <c r="N12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45" i="3"/>
  <c r="N39" i="3"/>
  <c r="N23" i="3"/>
  <c r="N21" i="3"/>
  <c r="N10" i="3"/>
  <c r="N15" i="3"/>
  <c r="N27" i="3"/>
  <c r="N41" i="3"/>
  <c r="N13" i="3"/>
  <c r="N22" i="3"/>
  <c r="N18" i="3"/>
  <c r="N19" i="3"/>
  <c r="N31" i="3"/>
  <c r="N17" i="3"/>
  <c r="N56" i="3"/>
  <c r="N57" i="3"/>
  <c r="N40" i="3"/>
  <c r="N36" i="3"/>
  <c r="N37" i="3"/>
  <c r="N34" i="3"/>
  <c r="N35" i="3"/>
  <c r="H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S9" i="1"/>
  <c r="J9" i="1"/>
  <c r="B6" i="6" l="1"/>
  <c r="I6" i="6" s="1"/>
  <c r="S11" i="1"/>
  <c r="A11" i="1"/>
  <c r="B7" i="6" l="1"/>
  <c r="I7" i="6" s="1"/>
  <c r="G6" i="6"/>
  <c r="H6" i="6"/>
  <c r="J6" i="6"/>
  <c r="F6" i="6"/>
  <c r="B1" i="6"/>
  <c r="A5" i="3"/>
  <c r="G7" i="6" l="1"/>
  <c r="F7" i="6"/>
  <c r="J7" i="6"/>
  <c r="H7" i="6"/>
  <c r="B8" i="6"/>
  <c r="I8" i="6" s="1"/>
  <c r="F8" i="6" l="1"/>
  <c r="J8" i="6"/>
  <c r="G8" i="6"/>
  <c r="H8" i="6"/>
  <c r="B9" i="6"/>
  <c r="I9" i="6" s="1"/>
  <c r="B10" i="6" l="1"/>
  <c r="I10" i="6" s="1"/>
  <c r="J9" i="6"/>
  <c r="G9" i="6"/>
  <c r="F9" i="6"/>
  <c r="H9" i="6"/>
  <c r="F10" i="6" l="1"/>
  <c r="G10" i="6"/>
  <c r="H10" i="6"/>
  <c r="J10" i="6"/>
  <c r="B11" i="6"/>
  <c r="I11" i="6" s="1"/>
  <c r="J11" i="6" l="1"/>
  <c r="H11" i="6"/>
  <c r="F11" i="6"/>
  <c r="G11" i="6"/>
  <c r="B12" i="6"/>
  <c r="I12" i="6" s="1"/>
  <c r="B13" i="6" l="1"/>
  <c r="I13" i="6" s="1"/>
  <c r="J12" i="6"/>
  <c r="F12" i="6"/>
  <c r="H12" i="6"/>
  <c r="G12" i="6"/>
  <c r="F13" i="6" l="1"/>
  <c r="G13" i="6"/>
  <c r="H13" i="6"/>
  <c r="J13" i="6"/>
  <c r="B14" i="6"/>
  <c r="I14" i="6" s="1"/>
  <c r="G14" i="6" l="1"/>
  <c r="H14" i="6"/>
  <c r="J14" i="6"/>
  <c r="F14" i="6"/>
  <c r="B15" i="6"/>
  <c r="I15" i="6" s="1"/>
  <c r="F15" i="6" l="1"/>
  <c r="H15" i="6"/>
  <c r="J15" i="6"/>
  <c r="G15" i="6"/>
  <c r="B16" i="6"/>
  <c r="I16" i="6" s="1"/>
  <c r="F16" i="6" l="1"/>
  <c r="J16" i="6"/>
  <c r="G16" i="6"/>
  <c r="H16" i="6"/>
  <c r="B17" i="6"/>
  <c r="I17" i="6" s="1"/>
  <c r="B18" i="6" l="1"/>
  <c r="I18" i="6" s="1"/>
  <c r="F17" i="6"/>
  <c r="H17" i="6"/>
  <c r="J17" i="6"/>
  <c r="G17" i="6"/>
  <c r="F18" i="6" l="1"/>
  <c r="H18" i="6"/>
  <c r="J18" i="6"/>
  <c r="G18" i="6"/>
  <c r="B19" i="6"/>
  <c r="I19" i="6" s="1"/>
  <c r="J19" i="6" l="1"/>
  <c r="H19" i="6"/>
  <c r="F19" i="6"/>
  <c r="G19" i="6"/>
  <c r="B20" i="6"/>
  <c r="I20" i="6" s="1"/>
  <c r="B21" i="6" l="1"/>
  <c r="I21" i="6" s="1"/>
  <c r="F20" i="6"/>
  <c r="G20" i="6"/>
  <c r="H20" i="6"/>
  <c r="J20" i="6"/>
  <c r="B22" i="6" l="1"/>
  <c r="I22" i="6" s="1"/>
  <c r="H21" i="6"/>
  <c r="F21" i="6"/>
  <c r="J21" i="6"/>
  <c r="G21" i="6"/>
  <c r="B23" i="6" l="1"/>
  <c r="I23" i="6" s="1"/>
  <c r="F22" i="6"/>
  <c r="H22" i="6"/>
  <c r="J22" i="6"/>
  <c r="G22" i="6"/>
  <c r="F23" i="6" l="1"/>
  <c r="G23" i="6"/>
  <c r="J23" i="6"/>
  <c r="H23" i="6"/>
  <c r="B24" i="6"/>
  <c r="I24" i="6" s="1"/>
  <c r="F24" i="6" l="1"/>
  <c r="J24" i="6"/>
  <c r="H24" i="6"/>
  <c r="G24" i="6"/>
  <c r="B25" i="6"/>
  <c r="I25" i="6" s="1"/>
  <c r="F25" i="6" l="1"/>
  <c r="H25" i="6"/>
  <c r="G25" i="6"/>
  <c r="J25" i="6"/>
  <c r="B26" i="6"/>
  <c r="I26" i="6" s="1"/>
  <c r="B27" i="6" l="1"/>
  <c r="I27" i="6" s="1"/>
  <c r="G26" i="6"/>
  <c r="F26" i="6"/>
  <c r="H26" i="6"/>
  <c r="J26" i="6"/>
  <c r="J27" i="6" l="1"/>
  <c r="H27" i="6"/>
  <c r="F27" i="6"/>
  <c r="G27" i="6"/>
  <c r="B28" i="6"/>
  <c r="I28" i="6" s="1"/>
  <c r="H28" i="6" l="1"/>
  <c r="J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G31" i="6" l="1"/>
  <c r="F31" i="6"/>
  <c r="H31" i="6"/>
  <c r="J31" i="6"/>
  <c r="B32" i="6"/>
  <c r="I32" i="6" s="1"/>
  <c r="B33" i="6" l="1"/>
  <c r="I33" i="6" s="1"/>
  <c r="J32" i="6"/>
  <c r="G32" i="6"/>
  <c r="F32" i="6"/>
  <c r="H32" i="6"/>
  <c r="B34" i="6" l="1"/>
  <c r="I34" i="6" s="1"/>
  <c r="J33" i="6"/>
  <c r="G33" i="6"/>
  <c r="F33" i="6"/>
  <c r="H33" i="6"/>
  <c r="F34" i="6" l="1"/>
  <c r="H34" i="6"/>
  <c r="J34" i="6"/>
  <c r="G34" i="6"/>
  <c r="B35" i="6"/>
  <c r="I35" i="6" s="1"/>
  <c r="B36" i="6" l="1"/>
  <c r="I36" i="6" s="1"/>
  <c r="F35" i="6"/>
  <c r="G35" i="6"/>
  <c r="J35" i="6"/>
  <c r="H35" i="6"/>
  <c r="G36" i="6" l="1"/>
  <c r="F36" i="6"/>
  <c r="H36" i="6"/>
  <c r="J36" i="6"/>
  <c r="B37" i="6"/>
  <c r="I37" i="6" s="1"/>
  <c r="F37" i="6" l="1"/>
  <c r="J37" i="6"/>
  <c r="G37" i="6"/>
  <c r="H37" i="6"/>
  <c r="B38" i="6"/>
  <c r="I38" i="6" s="1"/>
  <c r="G38" i="6" l="1"/>
  <c r="H38" i="6"/>
  <c r="J38" i="6"/>
  <c r="F38" i="6"/>
  <c r="B39" i="6"/>
  <c r="I39" i="6" s="1"/>
  <c r="B40" i="6" l="1"/>
  <c r="I40" i="6" s="1"/>
  <c r="J39" i="6"/>
  <c r="H39" i="6"/>
  <c r="F39" i="6"/>
  <c r="G39" i="6"/>
  <c r="J40" i="6" l="1"/>
  <c r="G40" i="6"/>
  <c r="F40" i="6"/>
  <c r="H40" i="6"/>
  <c r="B41" i="6"/>
  <c r="I41" i="6" s="1"/>
  <c r="B42" i="6" l="1"/>
  <c r="I42" i="6" s="1"/>
  <c r="G41" i="6"/>
  <c r="J41" i="6"/>
  <c r="F41" i="6"/>
  <c r="H41" i="6"/>
  <c r="F42" i="6" l="1"/>
  <c r="G42" i="6"/>
  <c r="J42" i="6"/>
  <c r="H42" i="6"/>
  <c r="B43" i="6"/>
  <c r="I43" i="6" s="1"/>
  <c r="B44" i="6" l="1"/>
  <c r="I44" i="6" s="1"/>
  <c r="F43" i="6"/>
  <c r="G43" i="6"/>
  <c r="J43" i="6"/>
  <c r="H43" i="6"/>
  <c r="G44" i="6" l="1"/>
  <c r="H44" i="6"/>
  <c r="J44" i="6"/>
  <c r="F44" i="6"/>
  <c r="B45" i="6"/>
  <c r="I45" i="6" s="1"/>
  <c r="B46" i="6" l="1"/>
  <c r="I46" i="6" s="1"/>
  <c r="G45" i="6"/>
  <c r="H45" i="6"/>
  <c r="J45" i="6"/>
  <c r="F45" i="6"/>
  <c r="F46" i="6" l="1"/>
  <c r="G46" i="6"/>
  <c r="H46" i="6"/>
  <c r="J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H50" i="6" l="1"/>
  <c r="F50" i="6"/>
  <c r="G50" i="6"/>
  <c r="J50" i="6"/>
  <c r="B51" i="6"/>
  <c r="I51" i="6" s="1"/>
  <c r="B52" i="6" l="1"/>
  <c r="I52" i="6" s="1"/>
  <c r="F51" i="6"/>
  <c r="G51" i="6"/>
  <c r="J51" i="6"/>
  <c r="H51" i="6"/>
  <c r="B53" i="6" l="1"/>
  <c r="I53" i="6" s="1"/>
  <c r="J52" i="6"/>
  <c r="F52" i="6"/>
  <c r="G52" i="6"/>
  <c r="H52" i="6"/>
  <c r="F53" i="6" l="1"/>
  <c r="J53" i="6"/>
  <c r="G53" i="6"/>
  <c r="H53" i="6"/>
  <c r="B54" i="6"/>
  <c r="I54" i="6" s="1"/>
  <c r="H54" i="6" l="1"/>
  <c r="J54" i="6"/>
  <c r="G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G57" i="6" l="1"/>
  <c r="H57" i="6"/>
  <c r="J57" i="6"/>
  <c r="F57" i="6"/>
  <c r="B58" i="6"/>
  <c r="I58" i="6" s="1"/>
  <c r="G58" i="6" l="1"/>
  <c r="F58" i="6"/>
  <c r="H58" i="6"/>
  <c r="J58" i="6"/>
  <c r="B59" i="6"/>
  <c r="I59" i="6" s="1"/>
  <c r="B60" i="6" l="1"/>
  <c r="I60" i="6" s="1"/>
  <c r="J59" i="6"/>
  <c r="F59" i="6"/>
  <c r="H59" i="6"/>
  <c r="G59" i="6"/>
  <c r="B61" i="6" l="1"/>
  <c r="I61" i="6" s="1"/>
  <c r="J60" i="6"/>
  <c r="F60" i="6"/>
  <c r="G60" i="6"/>
  <c r="H60" i="6"/>
  <c r="H61" i="6" l="1"/>
  <c r="G61" i="6"/>
  <c r="F61" i="6"/>
  <c r="J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B66" i="6" l="1"/>
  <c r="I66" i="6" s="1"/>
  <c r="J65" i="6"/>
  <c r="F65" i="6"/>
  <c r="G65" i="6"/>
  <c r="H65" i="6"/>
  <c r="J66" i="6" l="1"/>
  <c r="F66" i="6"/>
  <c r="H66" i="6"/>
  <c r="G66" i="6"/>
  <c r="B67" i="6"/>
  <c r="I67" i="6" s="1"/>
  <c r="F67" i="6" l="1"/>
  <c r="J67" i="6"/>
  <c r="H67" i="6"/>
  <c r="G67" i="6"/>
  <c r="B68" i="6"/>
  <c r="I68" i="6" s="1"/>
  <c r="J68" i="6" l="1"/>
  <c r="G68" i="6"/>
  <c r="F68" i="6"/>
  <c r="H68" i="6"/>
  <c r="B69" i="6"/>
  <c r="I69" i="6" s="1"/>
  <c r="B70" i="6" l="1"/>
  <c r="I70" i="6" s="1"/>
  <c r="F69" i="6"/>
  <c r="G69" i="6"/>
  <c r="H69" i="6"/>
  <c r="J69" i="6"/>
  <c r="F70" i="6" l="1"/>
  <c r="G70" i="6"/>
  <c r="H70" i="6"/>
  <c r="J70" i="6"/>
  <c r="B71" i="6"/>
  <c r="I71" i="6" s="1"/>
  <c r="B72" i="6" l="1"/>
  <c r="I72" i="6" s="1"/>
  <c r="J71" i="6"/>
  <c r="F71" i="6"/>
  <c r="G71" i="6"/>
  <c r="H71" i="6"/>
  <c r="F72" i="6" l="1"/>
  <c r="H72" i="6"/>
  <c r="G72" i="6"/>
  <c r="J72" i="6"/>
  <c r="B73" i="6"/>
  <c r="I73" i="6" s="1"/>
  <c r="B74" i="6" l="1"/>
  <c r="I74" i="6" s="1"/>
  <c r="H73" i="6"/>
  <c r="G73" i="6"/>
  <c r="F73" i="6"/>
  <c r="J73" i="6"/>
  <c r="B75" i="6" l="1"/>
  <c r="I75" i="6" s="1"/>
  <c r="J74" i="6"/>
  <c r="H74" i="6"/>
  <c r="F74" i="6"/>
  <c r="G74" i="6"/>
  <c r="J75" i="6" l="1"/>
  <c r="H75" i="6"/>
  <c r="F75" i="6"/>
  <c r="G75" i="6"/>
  <c r="B76" i="6"/>
  <c r="I76" i="6" s="1"/>
  <c r="J76" i="6" l="1"/>
  <c r="F76" i="6"/>
  <c r="H76" i="6"/>
  <c r="G76" i="6"/>
  <c r="B77" i="6"/>
  <c r="I77" i="6" s="1"/>
  <c r="B78" i="6" l="1"/>
  <c r="I78" i="6" s="1"/>
  <c r="F77" i="6"/>
  <c r="J77" i="6"/>
  <c r="G77" i="6"/>
  <c r="H77" i="6"/>
  <c r="B79" i="6" l="1"/>
  <c r="I79" i="6" s="1"/>
  <c r="F78" i="6"/>
  <c r="G78" i="6"/>
  <c r="H78" i="6"/>
  <c r="J78" i="6"/>
  <c r="B80" i="6" l="1"/>
  <c r="I80" i="6" s="1"/>
  <c r="J79" i="6"/>
  <c r="H79" i="6"/>
  <c r="G79" i="6"/>
  <c r="F79" i="6"/>
  <c r="B81" i="6" l="1"/>
  <c r="I81" i="6" s="1"/>
  <c r="H80" i="6"/>
  <c r="J80" i="6"/>
  <c r="F80" i="6"/>
  <c r="G80" i="6"/>
  <c r="G81" i="6" l="1"/>
  <c r="H81" i="6"/>
  <c r="J81" i="6"/>
  <c r="F81" i="6"/>
  <c r="B82" i="6"/>
  <c r="I82" i="6" s="1"/>
  <c r="B83" i="6" l="1"/>
  <c r="I83" i="6" s="1"/>
  <c r="G82" i="6"/>
  <c r="J82" i="6"/>
  <c r="H82" i="6"/>
  <c r="F82" i="6"/>
  <c r="F83" i="6" l="1"/>
  <c r="H83" i="6"/>
  <c r="J83" i="6"/>
  <c r="G83" i="6"/>
  <c r="B84" i="6"/>
  <c r="I84" i="6" s="1"/>
  <c r="H84" i="6" l="1"/>
  <c r="F84" i="6"/>
  <c r="G84" i="6"/>
  <c r="J84" i="6"/>
  <c r="B85" i="6"/>
  <c r="I85" i="6" s="1"/>
  <c r="H85" i="6" l="1"/>
  <c r="G85" i="6"/>
  <c r="F85" i="6"/>
  <c r="J85" i="6"/>
  <c r="B86" i="6"/>
  <c r="I86" i="6" s="1"/>
  <c r="H86" i="6" l="1"/>
  <c r="J86" i="6"/>
  <c r="G86" i="6"/>
  <c r="F86" i="6"/>
  <c r="B87" i="6"/>
  <c r="I87" i="6" s="1"/>
  <c r="J87" i="6" l="1"/>
  <c r="G87" i="6"/>
  <c r="F87" i="6"/>
  <c r="H87" i="6"/>
  <c r="B88" i="6"/>
  <c r="I88" i="6" s="1"/>
  <c r="J88" i="6" l="1"/>
  <c r="F88" i="6"/>
  <c r="H88" i="6"/>
  <c r="G88" i="6"/>
  <c r="B89" i="6"/>
  <c r="I89" i="6" s="1"/>
  <c r="G89" i="6" l="1"/>
  <c r="H89" i="6"/>
  <c r="F89" i="6"/>
  <c r="J89" i="6"/>
  <c r="B90" i="6"/>
  <c r="I90" i="6" s="1"/>
  <c r="B91" i="6" l="1"/>
  <c r="I91" i="6" s="1"/>
  <c r="J90" i="6"/>
  <c r="G90" i="6"/>
  <c r="H90" i="6"/>
  <c r="F90" i="6"/>
  <c r="J91" i="6" l="1"/>
  <c r="F91" i="6"/>
  <c r="H91" i="6"/>
  <c r="G91" i="6"/>
  <c r="B92" i="6"/>
  <c r="I92" i="6" s="1"/>
  <c r="B93" i="6" l="1"/>
  <c r="I93" i="6" s="1"/>
  <c r="J92" i="6"/>
  <c r="G92" i="6"/>
  <c r="H92" i="6"/>
  <c r="F92" i="6"/>
  <c r="B94" i="6" l="1"/>
  <c r="I94" i="6" s="1"/>
  <c r="F93" i="6"/>
  <c r="H93" i="6"/>
  <c r="G93" i="6"/>
  <c r="J93" i="6"/>
  <c r="B95" i="6" l="1"/>
  <c r="I95" i="6" s="1"/>
  <c r="J94" i="6"/>
  <c r="F94" i="6"/>
  <c r="G94" i="6"/>
  <c r="H94" i="6"/>
  <c r="B96" i="6" l="1"/>
  <c r="I96" i="6" s="1"/>
  <c r="J95" i="6"/>
  <c r="H95" i="6"/>
  <c r="G95" i="6"/>
  <c r="F95" i="6"/>
  <c r="G96" i="6" l="1"/>
  <c r="H96" i="6"/>
  <c r="J96" i="6"/>
  <c r="F96" i="6"/>
  <c r="B97" i="6"/>
  <c r="I97" i="6" s="1"/>
  <c r="B98" i="6" l="1"/>
  <c r="I98" i="6" s="1"/>
  <c r="J97" i="6"/>
  <c r="F97" i="6"/>
  <c r="G97" i="6"/>
  <c r="H97" i="6"/>
  <c r="F98" i="6" l="1"/>
  <c r="G98" i="6"/>
  <c r="H98" i="6"/>
  <c r="J98" i="6"/>
  <c r="B99" i="6"/>
  <c r="I99" i="6" s="1"/>
  <c r="F99" i="6" l="1"/>
  <c r="H99" i="6"/>
  <c r="G99" i="6"/>
  <c r="J99" i="6"/>
  <c r="B100" i="6"/>
  <c r="I100" i="6" s="1"/>
  <c r="J100" i="6" l="1"/>
  <c r="H100" i="6"/>
  <c r="F100" i="6"/>
  <c r="G100" i="6"/>
  <c r="B101" i="6"/>
  <c r="I101" i="6" s="1"/>
  <c r="F101" i="6" l="1"/>
  <c r="H101" i="6"/>
  <c r="G101" i="6"/>
  <c r="J101" i="6"/>
  <c r="B102" i="6"/>
  <c r="I102" i="6" s="1"/>
  <c r="F102" i="6" l="1"/>
  <c r="H102" i="6"/>
  <c r="G102" i="6"/>
  <c r="J102" i="6"/>
  <c r="B103" i="6"/>
  <c r="I103" i="6" s="1"/>
  <c r="J103" i="6" l="1"/>
  <c r="F103" i="6"/>
  <c r="G103" i="6"/>
  <c r="H103" i="6"/>
  <c r="B104" i="6"/>
  <c r="I104" i="6" s="1"/>
  <c r="G104" i="6" l="1"/>
  <c r="H104" i="6"/>
  <c r="J104" i="6"/>
  <c r="F104" i="6"/>
  <c r="B105" i="6"/>
  <c r="I105" i="6" s="1"/>
  <c r="B106" i="6" l="1"/>
  <c r="I106" i="6" s="1"/>
  <c r="H105" i="6"/>
  <c r="G105" i="6"/>
  <c r="J105" i="6"/>
  <c r="F105" i="6"/>
  <c r="B107" i="6" l="1"/>
  <c r="I107" i="6" s="1"/>
  <c r="J106" i="6"/>
  <c r="G106" i="6"/>
  <c r="H106" i="6"/>
  <c r="F106" i="6"/>
  <c r="H107" i="6" l="1"/>
  <c r="F107" i="6"/>
  <c r="G107" i="6"/>
  <c r="J107" i="6"/>
  <c r="B108" i="6"/>
  <c r="I108" i="6" s="1"/>
  <c r="F108" i="6" l="1"/>
  <c r="H108" i="6"/>
  <c r="J108" i="6"/>
  <c r="G108" i="6"/>
  <c r="B109" i="6"/>
  <c r="I109" i="6" s="1"/>
  <c r="F109" i="6" l="1"/>
  <c r="G109" i="6"/>
  <c r="J109" i="6"/>
  <c r="H109" i="6"/>
  <c r="B110" i="6"/>
  <c r="I110" i="6" s="1"/>
  <c r="B111" i="6" l="1"/>
  <c r="I111" i="6" s="1"/>
  <c r="H110" i="6"/>
  <c r="J110" i="6"/>
  <c r="F110" i="6"/>
  <c r="G110" i="6"/>
  <c r="B112" i="6" l="1"/>
  <c r="I112" i="6" s="1"/>
  <c r="J111" i="6"/>
  <c r="H111" i="6"/>
  <c r="G111" i="6"/>
  <c r="F111" i="6"/>
  <c r="B114" i="6" l="1"/>
  <c r="I114" i="6" s="1"/>
  <c r="B113" i="6"/>
  <c r="I113" i="6" s="1"/>
  <c r="F112" i="6"/>
  <c r="G112" i="6"/>
  <c r="H112" i="6"/>
  <c r="J112" i="6"/>
  <c r="G113" i="6" l="1"/>
  <c r="H113" i="6"/>
  <c r="J113" i="6"/>
  <c r="F113" i="6"/>
  <c r="J114" i="6"/>
  <c r="F114" i="6"/>
  <c r="G114" i="6"/>
  <c r="H11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<sst xmlns="http://schemas.openxmlformats.org/spreadsheetml/2006/main" count="2832" uniqueCount="965">
  <si>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</si>
  <si>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</si>
  <si>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</si>
  <si>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</si>
  <si>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</si>
  <si>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</si>
  <si>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</si>
  <si>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</si>
  <si>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</si>
  <si>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</si>
  <si>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</si>
  <si>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</si>
  <si>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</si>
  <si>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</si>
  <si>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</si>
  <si>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</si>
  <si>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</si>
  <si>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</si>
  <si>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</si>
  <si>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</si>
  <si>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</si>
  <si>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</si>
  <si>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</si>
  <si>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</si>
  <si>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</si>
  <si>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</si>
  <si>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</si>
  <si>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</si>
  <si>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</si>
  <si>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</si>
  <si>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</si>
  <si>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</si>
  <si>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</si>
  <si>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</si>
  <si>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</si>
  <si>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</si>
  <si>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</si>
  <si>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</si>
  <si>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</si>
  <si>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</si>
  <si>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</si>
  <si>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</si>
  <si>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</si>
  <si>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</si>
  <si>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</si>
  <si>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</si>
  <si>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</si>
  <si>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</si>
  <si>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</si>
  <si>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</si>
  <si>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</si>
  <si>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</si>
  <si>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</si>
  <si>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</si>
  <si>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</si>
  <si>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</si>
  <si>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</si>
  <si>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</si>
  <si>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</si>
  <si>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</si>
  <si>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</si>
  <si>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</si>
  <si>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</si>
  <si>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</si>
  <si>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</si>
  <si>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</si>
  <si>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</si>
  <si>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</si>
  <si>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</si>
  <si>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</si>
  <si>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</si>
  <si>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</si>
  <si>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</si>
  <si>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</si>
  <si>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</si>
  <si>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</si>
  <si>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</si>
  <si>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</si>
  <si>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</si>
  <si>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</si>
  <si>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</si>
  <si>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</si>
  <si>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</si>
  <si>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</si>
  <si>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</si>
  <si>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</si>
  <si>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</si>
  <si>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</si>
  <si>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</si>
  <si>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</si>
  <si>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</si>
  <si>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</si>
  <si>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</si>
  <si>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</si>
  <si>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</si>
  <si>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</si>
  <si>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</si>
  <si>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</si>
  <si>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</si>
  <si>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</si>
  <si>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</si>
  <si>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</si>
  <si>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</si>
  <si>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</si>
  <si>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</si>
  <si>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</si>
  <si>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</si>
  <si>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</si>
  <si>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</si>
  <si>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</si>
  <si>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</si>
  <si>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</si>
  <si>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</si>
  <si>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</si>
  <si>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</si>
  <si>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</si>
  <si>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</si>
  <si>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</si>
  <si>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</si>
  <si>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</si>
  <si>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</si>
  <si>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</si>
  <si>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</si>
  <si>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</si>
  <si>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</si>
  <si>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</si>
  <si>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</si>
  <si>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</si>
  <si>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</si>
  <si>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</si>
  <si>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</si>
  <si>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</si>
  <si>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</si>
  <si>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</si>
  <si>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</si>
  <si>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</si>
  <si>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</si>
  <si>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</si>
  <si>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</si>
  <si>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</si>
  <si>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</si>
  <si>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</si>
  <si>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</si>
  <si>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</si>
  <si>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</si>
  <si>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</si>
  <si>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</si>
  <si>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</si>
  <si>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</si>
  <si>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</si>
  <si>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</si>
  <si>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</si>
  <si>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</si>
  <si>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</si>
  <si>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</si>
  <si>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</si>
  <si>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</si>
  <si>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</si>
  <si>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</si>
  <si>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</si>
  <si>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</si>
  <si>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</si>
  <si>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</si>
  <si>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</si>
  <si>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</si>
  <si>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</si>
  <si>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</si>
  <si>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</si>
  <si>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</si>
  <si>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</si>
  <si>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</si>
  <si>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</si>
  <si>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</si>
  <si>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</si>
  <si>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</si>
  <si>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</si>
  <si>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</si>
  <si>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</si>
  <si>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</si>
  <si>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</si>
  <si>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</si>
  <si>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</si>
  <si>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</si>
  <si>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</si>
  <si>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</si>
  <si>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</si>
  <si>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</si>
  <si>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</si>
  <si>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</si>
  <si>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</si>
  <si>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</si>
  <si>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</si>
  <si>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</si>
  <si>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</si>
  <si>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</si>
  <si>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</si>
  <si>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</si>
  <si>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</si>
  <si>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</si>
  <si>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</si>
  <si>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</si>
  <si>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</si>
  <si>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</si>
  <si>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</si>
  <si>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</si>
  <si>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</si>
  <si>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</si>
  <si>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</si>
  <si>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</si>
  <si>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</si>
  <si>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</si>
  <si>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</si>
  <si>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</si>
  <si>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</si>
  <si>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</si>
  <si>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</si>
  <si>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</si>
  <si>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</si>
  <si>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</si>
  <si>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</si>
  <si>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</si>
  <si>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</si>
  <si>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</si>
  <si>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</si>
  <si>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</si>
  <si>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</si>
  <si>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</si>
  <si>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</si>
  <si>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</si>
  <si>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</si>
  <si>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</si>
  <si>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</si>
  <si>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</si>
  <si>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rtdc.l.rtdc.4054:itc</t>
  </si>
  <si>
    <t>COMELLA</t>
  </si>
  <si>
    <t>JUSTIN</t>
  </si>
  <si>
    <t>rtdc.l.rtdc.4053:itc</t>
  </si>
  <si>
    <t>rtdc.l.rtdc.4043:itc</t>
  </si>
  <si>
    <t>204:453</t>
  </si>
  <si>
    <t>CHANDLER</t>
  </si>
  <si>
    <t>KELVIN</t>
  </si>
  <si>
    <t>204:446</t>
  </si>
  <si>
    <t>204:455</t>
  </si>
  <si>
    <t>204:139</t>
  </si>
  <si>
    <t>204:232993</t>
  </si>
  <si>
    <t>204:233293</t>
  </si>
  <si>
    <t>204:464</t>
  </si>
  <si>
    <t>rtdc.l.rtdc.4044:itc</t>
  </si>
  <si>
    <t>204:141</t>
  </si>
  <si>
    <t>204:232996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</si>
  <si>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</si>
  <si>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</si>
  <si>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</si>
  <si>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</si>
  <si>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</si>
  <si>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</si>
  <si>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</si>
  <si>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</si>
  <si>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204:136</t>
  </si>
  <si>
    <t>204:156</t>
  </si>
  <si>
    <t>204:233310</t>
  </si>
  <si>
    <t>204:444</t>
  </si>
  <si>
    <t>204:147</t>
  </si>
  <si>
    <t>204:233306</t>
  </si>
  <si>
    <t>204:233317</t>
  </si>
  <si>
    <t>204:232982</t>
  </si>
  <si>
    <t>204:163</t>
  </si>
  <si>
    <t>204:475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</si>
  <si>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</si>
  <si>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</si>
  <si>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</si>
  <si>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</si>
  <si>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</si>
  <si>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</si>
  <si>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</si>
  <si>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</si>
  <si>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</si>
  <si>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</si>
  <si>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</si>
  <si>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</si>
  <si>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204:233284</t>
  </si>
  <si>
    <t>204:232987</t>
  </si>
  <si>
    <t>204:233314</t>
  </si>
  <si>
    <t>204:233297</t>
  </si>
  <si>
    <t>204:233289</t>
  </si>
  <si>
    <t>300:58931</t>
  </si>
  <si>
    <t>204:165</t>
  </si>
  <si>
    <t>204:233304</t>
  </si>
  <si>
    <t>204:233299</t>
  </si>
  <si>
    <t>204:233019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</si>
  <si>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</si>
  <si>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</si>
  <si>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</si>
  <si>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rtdc.l.rtdc.4014:itc</t>
  </si>
  <si>
    <t>DAVID</t>
  </si>
  <si>
    <t>SMITH</t>
  </si>
  <si>
    <t>60-23</t>
  </si>
  <si>
    <t>DELGADO</t>
  </si>
  <si>
    <t>DIANAH</t>
  </si>
  <si>
    <t>81-23</t>
  </si>
  <si>
    <t>236-23</t>
  </si>
  <si>
    <t>239-23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</si>
  <si>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</si>
  <si>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</si>
  <si>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</si>
  <si>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</si>
  <si>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</si>
  <si>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</si>
  <si>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</si>
  <si>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</si>
  <si>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</si>
  <si>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</si>
  <si>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</si>
  <si>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204:233308</t>
  </si>
  <si>
    <t>204:482</t>
  </si>
  <si>
    <t>204:467</t>
  </si>
  <si>
    <t>204:491</t>
  </si>
  <si>
    <t>204:473</t>
  </si>
  <si>
    <t>204:232976</t>
  </si>
  <si>
    <t>300:23304</t>
  </si>
  <si>
    <t>300:58619</t>
  </si>
  <si>
    <t>300:58935</t>
  </si>
  <si>
    <t>SAFIEF</t>
  </si>
  <si>
    <t>AEIMEN</t>
  </si>
  <si>
    <t>STAMBAUGH</t>
  </si>
  <si>
    <t>SANTIZO</t>
  </si>
  <si>
    <t>D. EDY</t>
  </si>
  <si>
    <t>MAELZER</t>
  </si>
  <si>
    <t>KURT</t>
  </si>
  <si>
    <t>rtdc.l.rtdc.4007:itc</t>
  </si>
  <si>
    <t>ROMERO</t>
  </si>
  <si>
    <t>CHAD</t>
  </si>
  <si>
    <t>STEWART</t>
  </si>
  <si>
    <t>DAVIS</t>
  </si>
  <si>
    <t>LEVIN</t>
  </si>
  <si>
    <t>SCOTT</t>
  </si>
  <si>
    <t>HOLCOMB</t>
  </si>
  <si>
    <t>KAMDEN</t>
  </si>
  <si>
    <t>MAGEE</t>
  </si>
  <si>
    <t>KENYA</t>
  </si>
  <si>
    <t>Partly Cloudy</t>
  </si>
  <si>
    <t>204:233000</t>
  </si>
  <si>
    <t>204:232998</t>
  </si>
  <si>
    <t>204:180</t>
  </si>
  <si>
    <t>204:233315</t>
  </si>
  <si>
    <t>204:232975</t>
  </si>
  <si>
    <t>204:232980</t>
  </si>
  <si>
    <t>300:58933</t>
  </si>
  <si>
    <t>300:58928</t>
  </si>
  <si>
    <t>300:58623</t>
  </si>
  <si>
    <t>300:58958</t>
  </si>
  <si>
    <t>204:435</t>
  </si>
  <si>
    <t>204:233311</t>
  </si>
  <si>
    <t>204:232989</t>
  </si>
  <si>
    <t>204:174</t>
  </si>
  <si>
    <t>:.+((SYSTEM_STATE.+slice.+state.+changed )|(ment ac)|(multiple cpu faults)|(system.+state.+changed )|(\[timeout)|(PRM\|1\|D)|(kpr)|(kdp)|(\|lc)|(penalty))</t>
  </si>
  <si>
    <t>Early arrival</t>
  </si>
  <si>
    <t>rtdc.l.rtdc.4005:itc</t>
  </si>
  <si>
    <t>TEMPORARY SPEED RESTRICTION</t>
  </si>
  <si>
    <t>rtdc.l.rtdc.4006:itc</t>
  </si>
  <si>
    <t>SWITCH UNKNOWN</t>
  </si>
  <si>
    <t>Track device (7)</t>
  </si>
  <si>
    <t>309-27</t>
  </si>
  <si>
    <t>Y</t>
  </si>
  <si>
    <t>SPECTOR</t>
  </si>
  <si>
    <t>STARKS</t>
  </si>
  <si>
    <t>ANGELINA</t>
  </si>
  <si>
    <t>SWANSON</t>
  </si>
  <si>
    <t>BRYCE</t>
  </si>
  <si>
    <t>CLARK</t>
  </si>
  <si>
    <t>KATHLEEN</t>
  </si>
  <si>
    <t>LOCKLEAR</t>
  </si>
  <si>
    <t>TRAVIS</t>
  </si>
  <si>
    <t>LALONDE</t>
  </si>
  <si>
    <t>GREGORY</t>
  </si>
  <si>
    <t>LEVERE</t>
  </si>
  <si>
    <t>CRAIG</t>
  </si>
  <si>
    <t>BERLING</t>
  </si>
  <si>
    <t>GARY</t>
  </si>
  <si>
    <t>DAVIDSON</t>
  </si>
  <si>
    <t>60-27</t>
  </si>
  <si>
    <t>242-27</t>
  </si>
  <si>
    <t>244-27</t>
  </si>
  <si>
    <t>311-27</t>
  </si>
  <si>
    <t>313-27</t>
  </si>
  <si>
    <t>51-28</t>
  </si>
  <si>
    <t>precipAccumulation</t>
  </si>
  <si>
    <t>precipType</t>
  </si>
  <si>
    <t>partly-cloudy-night</t>
  </si>
  <si>
    <t>Mostly Cloudy</t>
  </si>
  <si>
    <t>snow</t>
  </si>
  <si>
    <t>Flurries</t>
  </si>
  <si>
    <t>204:134</t>
  </si>
  <si>
    <t>204:233280</t>
  </si>
  <si>
    <t>204:427</t>
  </si>
  <si>
    <t>204:233301</t>
  </si>
  <si>
    <t>204:232979</t>
  </si>
  <si>
    <t>204:233004</t>
  </si>
  <si>
    <t>204:442</t>
  </si>
  <si>
    <t>204:232973</t>
  </si>
  <si>
    <t>204:161</t>
  </si>
  <si>
    <t>204:233323</t>
  </si>
  <si>
    <t>204:438</t>
  </si>
  <si>
    <t>204:232990</t>
  </si>
  <si>
    <t>204:484</t>
  </si>
  <si>
    <t>204:233010</t>
  </si>
  <si>
    <t>204:486</t>
  </si>
  <si>
    <t>204:132</t>
  </si>
  <si>
    <t>204:233320</t>
  </si>
  <si>
    <t>204:233331</t>
  </si>
  <si>
    <t>204:406</t>
  </si>
  <si>
    <t>204:233008</t>
  </si>
  <si>
    <t>204:167</t>
  </si>
  <si>
    <t>204:200</t>
  </si>
  <si>
    <t>204:936</t>
  </si>
  <si>
    <t>204:1466</t>
  </si>
  <si>
    <t>300:58641</t>
  </si>
  <si>
    <t>300:58636</t>
  </si>
  <si>
    <t>204:957</t>
  </si>
  <si>
    <t>300:58956</t>
  </si>
  <si>
    <t>300:58950</t>
  </si>
  <si>
    <t>204:999</t>
  </si>
  <si>
    <t>300:58971</t>
  </si>
  <si>
    <t>204:638</t>
  </si>
  <si>
    <t>204:943</t>
  </si>
  <si>
    <t>204:948</t>
  </si>
  <si>
    <t>204:657</t>
  </si>
  <si>
    <t>300:58613</t>
  </si>
  <si>
    <t>300:58611</t>
  </si>
  <si>
    <t>204:664</t>
  </si>
  <si>
    <t>204:645</t>
  </si>
  <si>
    <t>204:930</t>
  </si>
  <si>
    <t>204:950</t>
  </si>
  <si>
    <t>300:58960</t>
  </si>
  <si>
    <t>204:656</t>
  </si>
  <si>
    <t>start /low /b %USERPROFILE%\Documents\GitHub\eaglep3\Utilities\DownloadLogsFromS3.py --loco 4044 --day 2017-02-28</t>
  </si>
  <si>
    <t>Wi-MAX data drop</t>
  </si>
  <si>
    <t>SYS :2017/02/27 10:31:51.370:ENFORCEMENT:Predictive Enforcement Action:  Target Number: 00006033  Target Speed:   0.0  Current Speed:  10.9</t>
  </si>
  <si>
    <t>SYS :2017/02/27 11:51:27.761:ENFORCEMENT:Predictive Enforcement Action:  Target Number: 00001006  Target Speed:   0.0  Current Speed:   5.0</t>
  </si>
  <si>
    <t>SYS :2017/02/27 11:51:28.062:ENFORCEMENT:Predictive Enforcement Action:  Target Number: 00001006  Target Speed:   0.0  Current Speed:   5.0</t>
  </si>
  <si>
    <t>SYS :2017/02/27 12:59:40.756:ENFORCEMENT:Predictive Enforcement Action:  Target Number: 000170F2  Target Speed:   0.0  Current Speed:  15.5</t>
  </si>
  <si>
    <t>SYS :2017/02/27 12:59:41.332:ENFORCEMENT:Predictive Enforcement Action:  Target Number: 000170C1  Target Speed:   0.0  Current Speed:  13.8</t>
  </si>
  <si>
    <t>SYS :2017/02/27 12:59:41.569:ENFORCEMENT:Predictive Enforcement Action:  Target Number: 000170E0  Target Speed:   0.0  Current Speed:  13.8</t>
  </si>
  <si>
    <t>SYS :2017/02/27 13:21:42.393:ENFORCEMENT:Reactive Enforcement Action:  Target Number: 00017010  Target Speed:  45.0  Current Speed:  50.2</t>
  </si>
  <si>
    <t>SYS :2017/02/27 13:21:42.713:ENFORCEMENT:Reactive Enforcement Action:  Target Number: 00017010  Target Speed:  45.0  Current Speed:  50.2</t>
  </si>
  <si>
    <t>SYS :2017/02/27 13:21:43.132:ENFORCEMENT:Reactive Enforcement Action:  Target Number: 00017010  Target Speed:  45.0  Current Speed:  50.2</t>
  </si>
  <si>
    <t>SYS :2017/02/27 13:23:24.697:ENFORCEMENT:Predictive Enforcement Action:  Target Number: 00017016  Target Speed:  30.0  Current Speed:  35.9</t>
  </si>
  <si>
    <t>SYS :2017/02/27 13:23:25.539:ENFORCEMENT:Predictive Enforcement Action:  Target Number: 00017016  Target Speed:  30.0  Current Speed:  35.9</t>
  </si>
  <si>
    <t>SYS :2017/02/27 13:23:26.265:ENFORCEMENT:Predictive Enforcement Action:  Target Number: 00017016  Target Speed:  30.0  Current Speed:  35.9</t>
  </si>
  <si>
    <t>SYS :2017/02/27 13:50:09.066:ENFORCEMENT:Predictive Enforcement Action:  Target Number: 00001008  Target Speed:   0.0  Current Speed:   4.4</t>
  </si>
  <si>
    <t>SYS :2017/02/27 13:50:09.661:ENFORCEMENT:Predictive Enforcement Action:  Target Number: 00001008  Target Speed:   0.0  Current Speed:   4.4</t>
  </si>
  <si>
    <t>SYS :2017/02/27 13:50:09.755:ENFORCEMENT:Predictive Enforcement Action:  Target Number: 00001008  Target Speed:   0.0  Current Speed:   4.4</t>
  </si>
  <si>
    <t>SYS :2017/02/27 14:35:30.465:ENFORCEMENT:Predictive Enforcement Action:  Target Number: 0000A006  Target Speed:  15.0  Current Speed:  21.1</t>
  </si>
  <si>
    <t>SYS :2017/02/27 14:35:30.594:ENFORCEMENT:Predictive Enforcement Action:  Target Number: 0000A006  Target Speed:  15.0  Current Speed:  21.1</t>
  </si>
  <si>
    <t>SYS :2017/02/27 14:35:30.776:ENFORCEMENT:Predictive Enforcement Action:  Target Number: 0000A006  Target Speed:  15.0  Current Speed:  21.1</t>
  </si>
  <si>
    <t>SYS :2017/02/27 15:10:04.735:ENFORCEMENT:Predictive Enforcement Action:  Target Number: 0001702D  Target Speed:   0.0  Current Speed:  27.2</t>
  </si>
  <si>
    <t>SYS :2017/02/27 15:10:05.118:ENFORCEMENT:Predictive Enforcement Action:  Target Number: 0001702D  Target Speed:   0.0  Current Speed:  27.2</t>
  </si>
  <si>
    <t>SYS :2017/02/27 15:10:05.393:ENFORCEMENT:Predictive Enforcement Action:  Target Number: 0001702D  Target Speed:   0.0  Current Speed:  27.4</t>
  </si>
  <si>
    <t>SYS :2017/02/27 15:20:26.777:ENFORCEMENT:Reactive Enforcement Action:  Target Number: 0000A003  Target Speed:  15.0  Current Speed:  20.2</t>
  </si>
  <si>
    <t>SYS :2017/02/27 15:20:27.077:ENFORCEMENT:Reactive Enforcement Action:  Target Number: 0000A003  Target Speed:  15.0  Current Speed:  20.2</t>
  </si>
  <si>
    <t>SYS :2017/02/27 15:20:27.679:ENFORCEMENT:Reactive Enforcement Action:  Target Number: 0000A003  Target Speed:  15.0  Current Speed:  20.2</t>
  </si>
  <si>
    <t>SYS :2017/02/27 15:24:08.410:ENFORCEMENT:Predictive Enforcement Action:  Target Number: 00017002  Target Speed:  32.0  Current Speed:  37.6</t>
  </si>
  <si>
    <t>SYS :2017/02/27 15:24:09.305:ENFORCEMENT:Predictive Enforcement Action:  Target Number: 00017002  Target Speed:  32.0  Current Speed:  38.2</t>
  </si>
  <si>
    <t>SYS :2017/02/27 15:35:45.662:ENFORCEMENT:Predictive Enforcement Action:  Target Number: 0000100B  Target Speed:   0.0  Current Speed:   5.4</t>
  </si>
  <si>
    <t>SYS :2017/02/27 15:35:45.763:ENFORCEMENT:Predictive Enforcement Action:  Target Number: 0000100B  Target Speed:   0.0  Current Speed:   5.4</t>
  </si>
  <si>
    <t>SYS :2017/02/27 15:35:46.063:ENFORCEMENT:Predictive Enforcement Action:  Target Number: 0000100B  Target Speed:   0.0  Current Speed:   5.4</t>
  </si>
  <si>
    <t>SYS :2017/02/27 17:20:53.754:ENFORCEMENT:Predictive Enforcement Action:  Target Number: 0000100D  Target Speed:   0.0  Current Speed:   4.3</t>
  </si>
  <si>
    <t>SYS :2017/02/27 17:20:54.066:ENFORCEMENT:Predictive Enforcement Action:  Target Number: 0000100D  Target Speed:   0.0  Current Speed:   4.3</t>
  </si>
  <si>
    <t>SYS :2017/02/27 17:27:04.298:ENFORCEMENT:Predictive Enforcement Action:  Target Number: 000060C4  Target Speed:   0.0  Current Speed:  25.9</t>
  </si>
  <si>
    <t>SYS :2017/02/27 17:27:04.404:ENFORCEMENT:Predictive Enforcement Action:  Target Number: 000060A4  Target Speed:   0.0  Current Speed:  25.9</t>
  </si>
  <si>
    <t>SYS :2017/02/27 17:27:04.450:ENFORCEMENT:Predictive Enforcement Action:  Target Number: 000060B5  Target Speed:   0.0  Current Speed:  25.9</t>
  </si>
  <si>
    <t>SYS :2017/02/27 17:38:30.277:ENFORCEMENT:Predictive Enforcement Action:  Target Number: 0001706D  Target Speed:   0.0  Current Speed:  43.2</t>
  </si>
  <si>
    <t>SYS :2017/02/27 17:38:30.707:ENFORCEMENT:Predictive Enforcement Action:  Target Number: 00017067  Target Speed:   0.0  Current Speed:  43.2</t>
  </si>
  <si>
    <t>SYS :2017/02/27 17:38:31.208:ENFORCEMENT:Predictive Enforcement Action:  Target Number: 0001706D  Target Speed:   0.0  Current Speed:  41.7</t>
  </si>
  <si>
    <t>SYS :2017/02/27 17:45:26.212:ENFORCEMENT:Predictive Enforcement Action:  Target Number: 000100D7  Target Speed:  30.0  Current Speed:  42.2</t>
  </si>
  <si>
    <t>SYS :2017/02/27 17:50:21.851:ENFORCEMENT:Predictive Enforcement Action:  Target Number: 000060CF  Target Speed:   0.0  Current Speed:   3.4</t>
  </si>
  <si>
    <t>SYS :2017/02/27 17:50:22.132:ENFORCEMENT:Predictive Enforcement Action:  Target Number: 0000608F  Target Speed:   0.0  Current Speed:   3.4</t>
  </si>
  <si>
    <t>SYS :2017/02/27 17:50:24.777:ENFORCEMENT:Predictive Enforcement Action:  Target Number: 0000608A  Target Speed:   0.0  Current Speed:   3.4</t>
  </si>
  <si>
    <t>SYS :2017/02/27 18:07:12.489:ENFORCEMENT:Predictive Enforcement Action:  Target Number: 0000A008  Target Speed:  15.0  Current Speed:  20.7</t>
  </si>
  <si>
    <t>SYS :2017/02/27 18:07:13.605:ENFORCEMENT:Predictive Enforcement Action:  Target Number: 0000A008  Target Speed:  15.0  Current Speed:  20.7</t>
  </si>
  <si>
    <t>SYS :2017/02/27 18:07:13.982:ENFORCEMENT:Predictive Enforcement Action:  Target Number: 0000A001  Target Speed:  15.0  Current Speed:  20.7</t>
  </si>
  <si>
    <t>SYS :2017/02/27 18:15:28.350:ENFORCEMENT:Reactive Enforcement Action:  Target Number: 00017109  Target Speed:  19.0  Current Speed:  24.4</t>
  </si>
  <si>
    <t>SYS :2017/02/27 18:15:28.967:ENFORCEMENT:Reactive Enforcement Action:  Target Number: 00017017  Target Speed:  19.0  Current Speed:  24.4</t>
  </si>
  <si>
    <t>SYS :2017/02/27 18:15:29.577:ENFORCEMENT:Reactive Enforcement Action:  Target Number: 00017128  Target Speed:  19.0  Current Speed:  24.4</t>
  </si>
  <si>
    <t>SYS :2017/02/27 18:27:26.302:ENFORCEMENT:Predictive Enforcement Action:  Target Number: 000060FB  Target Speed:   0.0  Current Speed:   5.8</t>
  </si>
  <si>
    <t>SYS :2017/02/27 18:49:34.778:ENFORCEMENT:Predictive Enforcement Action:  Target Number: 000060B6  Target Speed:   0.0  Current Speed:   6.3</t>
  </si>
  <si>
    <t>SYS :2017/02/27 18:49:34.853:ENFORCEMENT:Predictive Enforcement Action:  Target Number: 00006103  Target Speed:   0.0  Current Speed:   6.3</t>
  </si>
  <si>
    <t>SYS :2017/02/27 18:49:35.123:ENFORCEMENT:Predictive Enforcement Action:  Target Number: 000060BB  Target Speed:   0.0  Current Speed:   6.3</t>
  </si>
  <si>
    <t>SYS :2017/02/27 18:57:45.941:ENFORCEMENT:Predictive Enforcement Action:  Target Number: 0001706B  Target Speed:   0.0  Current Speed:  42.6</t>
  </si>
  <si>
    <t>SYS :2017/02/27 18:57:46.704:ENFORCEMENT:Predictive Enforcement Action:  Target Number: 0001706B  Target Speed:   0.0  Current Speed:  40.6</t>
  </si>
  <si>
    <t>SYS :2017/02/27 18:57:46.763:ENFORCEMENT:Predictive Enforcement Action:  Target Number: 0001706B  Target Speed:   0.0  Current Speed:  42.6</t>
  </si>
  <si>
    <t>SYS :2017/02/27 19:18:15.947:ENFORCEMENT:Reactive Enforcement Action:  Target Number: 0001007C  Target Speed:  60.0  Current Speed:  65.3</t>
  </si>
  <si>
    <t>SYS :2017/02/27 19:18:16.236:ENFORCEMENT:Reactive Enforcement Action:  Target Number: 0001007C  Target Speed:  60.0  Current Speed:  65.3</t>
  </si>
  <si>
    <t>SYS :2017/02/27 19:18:16.481:ENFORCEMENT:Reactive Enforcement Action:  Target Number: 0001007C  Target Speed:  60.0  Current Speed:  65.3</t>
  </si>
  <si>
    <t>SYS :2017/02/27 19:27:45.268:ENFORCEMENT:Reactive Enforcement Action:  Target Number: 000100E3  Target Speed:  70.0  Current Speed:  75.4</t>
  </si>
  <si>
    <t>SYS :2017/02/27 19:27:45.863:ENFORCEMENT:Reactive Enforcement Action:  Target Number: 000100EA  Target Speed:  70.0  Current Speed:  75.4</t>
  </si>
  <si>
    <t>SYS :2017/02/27 19:27:46.596:ENFORCEMENT:Reactive Enforcement Action:  Target Number: 000100AD  Target Speed:  70.0  Current Speed:  75.4</t>
  </si>
  <si>
    <t>SYS :2017/02/27 19:48:16.236:ENFORCEMENT:Predictive Enforcement Action:  Target Number: 000060E3  Target Speed:   0.0  Current Speed:  24.5</t>
  </si>
  <si>
    <t>SYS :2017/02/27 19:48:16.837:ENFORCEMENT:Predictive Enforcement Action:  Target Number: 000060DF  Target Speed:   0.0  Current Speed:  24.5</t>
  </si>
  <si>
    <t>SYS :2017/02/27 19:48:17.850:ENFORCEMENT:Predictive Enforcement Action:  Target Number: 00006133  Target Speed:   0.0  Current Speed:  22.8</t>
  </si>
  <si>
    <t>SYS :2017/02/27 20:26:46.310:ENFORCEMENT:Predictive Enforcement Action:  Target Number: 00006174  Target Speed:   0.0  Current Speed:  15.1</t>
  </si>
  <si>
    <t>SYS :2017/02/27 20:26:46.406:ENFORCEMENT:Predictive Enforcement Action:  Target Number: 00006142  Target Speed:   0.0  Current Speed:  15.1</t>
  </si>
  <si>
    <t>SYS :2017/02/27 20:26:47.457:ENFORCEMENT:Predictive Enforcement Action:  Target Number: 00006161  Target Speed:   0.0  Current Speed:  15.0</t>
  </si>
  <si>
    <t>SYS :2017/02/27 20:48:26.851:ENFORCEMENT:Predictive Enforcement Action:  Target Number: 00006178  Target Speed:   0.0  Current Speed:  11.9</t>
  </si>
  <si>
    <t>SYS :2017/02/27 20:48:27.120:ENFORCEMENT:Predictive Enforcement Action:  Target Number: 00006115  Target Speed:   0.0  Current Speed:  11.4</t>
  </si>
  <si>
    <t>SYS :2017/02/27 20:48:28.774:ENFORCEMENT:Predictive Enforcement Action:  Target Number: 0000611B  Target Speed:   0.0  Current Speed:  10.9</t>
  </si>
  <si>
    <t>SYS :2017/02/27 21:24:53.202:ENFORCEMENT:Predictive Enforcement Action:  Target Number: 00001015  Target Speed:   0.0  Current Speed:   5.7</t>
  </si>
  <si>
    <t>SYS :2017/02/27 21:24:53.272:ENFORCEMENT:Predictive Enforcement Action:  Target Number: 00001015  Target Speed:   0.0  Current Speed:   5.2</t>
  </si>
  <si>
    <t>SYS :2017/02/27 21:24:53.699:ENFORCEMENT:Predictive Enforcement Action:  Target Number: 0000100F  Target Speed:   0.0  Current Speed:   5.7</t>
  </si>
  <si>
    <t>SYS :2017/02/27 21:43:10.926:ENFORCEMENT:Predictive Enforcement Action:  Target Number: 0000100F  Target Speed:   0.0  Current Speed:   4.5</t>
  </si>
  <si>
    <t>SYS :2017/02/27 21:43:11.224:ENFORCEMENT:Predictive Enforcement Action:  Target Number: 0000100F  Target Speed:   0.0  Current Speed:   4.5</t>
  </si>
  <si>
    <t>SYS :2017/02/27 21:43:11.453:ENFORCEMENT:Predictive Enforcement Action:  Target Number: 0000100F  Target Speed:   0.0  Current Speed:   4.5</t>
  </si>
  <si>
    <t>SYS :2017/02/27 22:12:36.701:ENFORCEMENT:Predictive Enforcement Action:  Target Number: 00017093  Target Speed:   0.0  Current Speed:  16.6</t>
  </si>
  <si>
    <t>SYS :2017/02/27 22:12:37.106:ENFORCEMENT:Predictive Enforcement Action:  Target Number: 00017093  Target Speed:   0.0  Current Speed:  16.6</t>
  </si>
  <si>
    <t>SYS :2017/02/27 22:12:37.382:ENFORCEMENT:Predictive Enforcement Action:  Target Number: 00017093  Target Speed:   0.0  Current Speed:  16.4</t>
  </si>
  <si>
    <t>SYS :2017/02/27 22:24:04.309:ENFORCEMENT:Predictive Enforcement Action:  Target Number: 0001700A  Target Speed:   0.0  Current Speed:  44.1</t>
  </si>
  <si>
    <t>SYS :2017/02/27 22:24:04.434:ENFORCEMENT:Predictive Enforcement Action:  Target Number: 0001700A  Target Speed:   0.0  Current Speed:  44.1</t>
  </si>
  <si>
    <t>SYS :2017/02/27 22:24:04.461:ENFORCEMENT:Predictive Enforcement Action:  Target Number: 0001700A  Target Speed:   0.0  Current Speed:  45.9</t>
  </si>
  <si>
    <t>SYS :2017/02/27 22:43:21.887:ENFORCEMENT:Reactive Enforcement Action:  Target Number: 00010106  Target Speed:  15.0  Current Speed:  20.2</t>
  </si>
  <si>
    <t>SYS :2017/02/27 22:43:22.161:ENFORCEMENT:Reactive Enforcement Action:  Target Number: 000100F7  Target Speed:  15.0  Current Speed:  20.2</t>
  </si>
  <si>
    <t>SYS :2017/02/27 22:43:22.814:ENFORCEMENT:Reactive Enforcement Action:  Target Number: 000100FE  Target Speed:  15.0  Current Speed:  20.2</t>
  </si>
  <si>
    <t>SYS :2017/02/27 23:47:42.883:ENFORCEMENT:Predictive Enforcement Action:  Target Number: 000040CC  Target Speed:   0.0  Current Speed:  47.0</t>
  </si>
  <si>
    <t>SYS :2017/02/27 23:47:42.930:ENFORCEMENT:Reactive Enforcement Action:  Target Number: 000040CE  Target Speed:   0.0  Current Speed:  47.1</t>
  </si>
  <si>
    <t>SYS :2017/02/27 23:47:43.157:ENFORCEMENT:Reactive Enforcement Action:  Target Number: 000040C8  Target Speed:   0.0  Current Speed:  47.1</t>
  </si>
  <si>
    <t>SYS :2017/02/27 23:47:43.184:ENFORCEMENT:Predictive Enforcement Action:  Target Number: 000040C7  Target Speed:   0.0  Current Speed:  47.1</t>
  </si>
  <si>
    <t>SYS :2017/02/27 23:47:43.218:ENFORCEMENT:Predictive Enforcement Action:  Target Number: 000040CA  Target Speed:   0.0  Current Speed:  47.1</t>
  </si>
  <si>
    <t>SYS :2017/02/28 01:55:51.127:ENFORCEMENT:Predictive Enforcement Action:  Target Number: 00001033  Target Speed:   0.0  Current Speed:   3.3</t>
  </si>
  <si>
    <t>SYS :2017/02/28 01:55:51.769:ENFORCEMENT:Predictive Enforcement Action:  Target Number: 00001033  Target Speed:   0.0  Current Speed:   3.3</t>
  </si>
  <si>
    <t>SYS :2017/02/28 01:55:51.845:ENFORCEMENT:Predictive Enforcement Action:  Target Number: 00001033  Target Speed:   0.0  Current Speed:   3.3</t>
  </si>
  <si>
    <t>rtdc.l.rtdc.4052:itc</t>
  </si>
  <si>
    <t>302-28</t>
  </si>
  <si>
    <t>rtdc.l.rtdc.4003:itc</t>
  </si>
  <si>
    <t>101-28</t>
  </si>
  <si>
    <t>102-28</t>
  </si>
  <si>
    <t>107-28</t>
  </si>
  <si>
    <t>rtdc.l.rtdc.4016:itc</t>
  </si>
  <si>
    <t>901-28</t>
  </si>
  <si>
    <t>109-28</t>
  </si>
  <si>
    <t>106-28</t>
  </si>
  <si>
    <t>119-28</t>
  </si>
  <si>
    <t>rtdc.l.rtdc.4015:itc</t>
  </si>
  <si>
    <t>802-28</t>
  </si>
  <si>
    <t>803-28</t>
  </si>
  <si>
    <t>114-28</t>
  </si>
  <si>
    <t>116-28</t>
  </si>
  <si>
    <t>120-28</t>
  </si>
  <si>
    <t>129-28</t>
  </si>
  <si>
    <t>807-28</t>
  </si>
  <si>
    <t>133-28</t>
  </si>
  <si>
    <t>811-28</t>
  </si>
  <si>
    <t>812-28</t>
  </si>
  <si>
    <t>143-28</t>
  </si>
  <si>
    <t>136-28</t>
  </si>
  <si>
    <t>147-28</t>
  </si>
  <si>
    <t>144-28</t>
  </si>
  <si>
    <t>149-28</t>
  </si>
  <si>
    <t>161-28</t>
  </si>
  <si>
    <t>156-28</t>
  </si>
  <si>
    <t>158-28</t>
  </si>
  <si>
    <t>164-28</t>
  </si>
  <si>
    <t>821-28</t>
  </si>
  <si>
    <t>822-28</t>
  </si>
  <si>
    <t>187-28</t>
  </si>
  <si>
    <t>824-28</t>
  </si>
  <si>
    <t>190-28</t>
  </si>
  <si>
    <t>198-28</t>
  </si>
  <si>
    <t>207-28</t>
  </si>
  <si>
    <t>209-28</t>
  </si>
  <si>
    <t>200-28</t>
  </si>
  <si>
    <t>202-28</t>
  </si>
  <si>
    <t>223-28</t>
  </si>
  <si>
    <t>226-28</t>
  </si>
  <si>
    <t>233-28</t>
  </si>
  <si>
    <t>239-28</t>
  </si>
  <si>
    <t>50-28</t>
  </si>
  <si>
    <t>304-28</t>
  </si>
  <si>
    <t>103-28</t>
  </si>
  <si>
    <t>rtdc.l.rtdc.4010:itc</t>
  </si>
  <si>
    <t>306-28</t>
  </si>
  <si>
    <t>105-28</t>
  </si>
  <si>
    <t>308-28</t>
  </si>
  <si>
    <t>310-28</t>
  </si>
  <si>
    <t>ACKERMAN</t>
  </si>
  <si>
    <t>JARED</t>
  </si>
  <si>
    <t>104-28</t>
  </si>
  <si>
    <t>111-28</t>
  </si>
  <si>
    <t>LOZA</t>
  </si>
  <si>
    <t>FIDEL</t>
  </si>
  <si>
    <t>rtdc.l.rtdc.4051:itc</t>
  </si>
  <si>
    <t>113-28</t>
  </si>
  <si>
    <t>800-28</t>
  </si>
  <si>
    <t>108-28</t>
  </si>
  <si>
    <t>801-28</t>
  </si>
  <si>
    <t>117-28</t>
  </si>
  <si>
    <t>115-28</t>
  </si>
  <si>
    <t>ROCHA</t>
  </si>
  <si>
    <t>YAOTL</t>
  </si>
  <si>
    <t>110-28</t>
  </si>
  <si>
    <t>53-28</t>
  </si>
  <si>
    <t>YANAI</t>
  </si>
  <si>
    <t>IAN</t>
  </si>
  <si>
    <t>52-28</t>
  </si>
  <si>
    <t>rtdc.l.rtdc.4004:itc</t>
  </si>
  <si>
    <t>112-28</t>
  </si>
  <si>
    <t>902-28</t>
  </si>
  <si>
    <t>COOLAHAN</t>
  </si>
  <si>
    <t>121-28</t>
  </si>
  <si>
    <t>123-28</t>
  </si>
  <si>
    <t>805-28</t>
  </si>
  <si>
    <t>54-28</t>
  </si>
  <si>
    <t>118-28</t>
  </si>
  <si>
    <t>804-28</t>
  </si>
  <si>
    <t>125-28</t>
  </si>
  <si>
    <t>127-28</t>
  </si>
  <si>
    <t>806-28</t>
  </si>
  <si>
    <t>122-28</t>
  </si>
  <si>
    <t>124-28</t>
  </si>
  <si>
    <t>131-28</t>
  </si>
  <si>
    <t>808-28</t>
  </si>
  <si>
    <t>128-28</t>
  </si>
  <si>
    <t>126-28</t>
  </si>
  <si>
    <t>809-28</t>
  </si>
  <si>
    <t>135-28</t>
  </si>
  <si>
    <t>810-28</t>
  </si>
  <si>
    <t>130-28</t>
  </si>
  <si>
    <t>137-28</t>
  </si>
  <si>
    <t>132-28</t>
  </si>
  <si>
    <t>139-28</t>
  </si>
  <si>
    <t>903-28</t>
  </si>
  <si>
    <t>134-28</t>
  </si>
  <si>
    <t>141-28</t>
  </si>
  <si>
    <t>MAYBERRY</t>
  </si>
  <si>
    <t>BILL</t>
  </si>
  <si>
    <t>138-28</t>
  </si>
  <si>
    <t>145-28</t>
  </si>
  <si>
    <t>813-28</t>
  </si>
  <si>
    <t>140-28</t>
  </si>
  <si>
    <t>142-28</t>
  </si>
  <si>
    <t>814-28</t>
  </si>
  <si>
    <t>151-28</t>
  </si>
  <si>
    <t>146-28</t>
  </si>
  <si>
    <t>153-28</t>
  </si>
  <si>
    <t>815-28</t>
  </si>
  <si>
    <t>155-28</t>
  </si>
  <si>
    <t>148-28</t>
  </si>
  <si>
    <t>816-28</t>
  </si>
  <si>
    <t>150-28</t>
  </si>
  <si>
    <t>157-28</t>
  </si>
  <si>
    <t>152-28</t>
  </si>
  <si>
    <t>159-28</t>
  </si>
  <si>
    <t>154-28</t>
  </si>
  <si>
    <t>817-28</t>
  </si>
  <si>
    <t>163-28</t>
  </si>
  <si>
    <t>STRICKLAND</t>
  </si>
  <si>
    <t>EVAN</t>
  </si>
  <si>
    <t>818-28</t>
  </si>
  <si>
    <t>165-28</t>
  </si>
  <si>
    <t>160-28</t>
  </si>
  <si>
    <t>167-28</t>
  </si>
  <si>
    <t>162-28</t>
  </si>
  <si>
    <t>819-28</t>
  </si>
  <si>
    <t>169-28</t>
  </si>
  <si>
    <t>171-28</t>
  </si>
  <si>
    <t>166-28</t>
  </si>
  <si>
    <t>820-28</t>
  </si>
  <si>
    <t>168-28</t>
  </si>
  <si>
    <t>173-28</t>
  </si>
  <si>
    <t>170-28</t>
  </si>
  <si>
    <t>175-28</t>
  </si>
  <si>
    <t>177-28</t>
  </si>
  <si>
    <t>172-28</t>
  </si>
  <si>
    <t>179-28</t>
  </si>
  <si>
    <t>174-28</t>
  </si>
  <si>
    <t>181-28</t>
  </si>
  <si>
    <t>183-28</t>
  </si>
  <si>
    <t>176-28</t>
  </si>
  <si>
    <t>178-28</t>
  </si>
  <si>
    <t>185-28</t>
  </si>
  <si>
    <t>rtdc.l.rtdc.4009:itc</t>
  </si>
  <si>
    <t>55-28</t>
  </si>
  <si>
    <t>823-28</t>
  </si>
  <si>
    <t>180-28</t>
  </si>
  <si>
    <t>56-28</t>
  </si>
  <si>
    <t>182-28</t>
  </si>
  <si>
    <t>184-28</t>
  </si>
  <si>
    <t>189-28</t>
  </si>
  <si>
    <t>191-28</t>
  </si>
  <si>
    <t>186-28</t>
  </si>
  <si>
    <t>193-28</t>
  </si>
  <si>
    <t>188-28</t>
  </si>
  <si>
    <t>825-28</t>
  </si>
  <si>
    <t>904-28</t>
  </si>
  <si>
    <t>195-28</t>
  </si>
  <si>
    <t>826-28</t>
  </si>
  <si>
    <t>827-28</t>
  </si>
  <si>
    <t>197-28</t>
  </si>
  <si>
    <t>192-28</t>
  </si>
  <si>
    <t>199-28</t>
  </si>
  <si>
    <t>194-28</t>
  </si>
  <si>
    <t>828-28</t>
  </si>
  <si>
    <t>196-28</t>
  </si>
  <si>
    <t>201-28</t>
  </si>
  <si>
    <t>829-28</t>
  </si>
  <si>
    <t>831-28</t>
  </si>
  <si>
    <t>203-28</t>
  </si>
  <si>
    <t>830-28</t>
  </si>
  <si>
    <t>205-28</t>
  </si>
  <si>
    <t>832-28</t>
  </si>
  <si>
    <t>833-28</t>
  </si>
  <si>
    <t>204-28</t>
  </si>
  <si>
    <t>211-28</t>
  </si>
  <si>
    <t>835-28</t>
  </si>
  <si>
    <t>206-28</t>
  </si>
  <si>
    <t>65-28</t>
  </si>
  <si>
    <t>834-28</t>
  </si>
  <si>
    <t>213-28</t>
  </si>
  <si>
    <t>208-28</t>
  </si>
  <si>
    <t>215-28</t>
  </si>
  <si>
    <t>836-28</t>
  </si>
  <si>
    <t>210-28</t>
  </si>
  <si>
    <t>212-28</t>
  </si>
  <si>
    <t>837-28</t>
  </si>
  <si>
    <t>217-28</t>
  </si>
  <si>
    <t>219-28</t>
  </si>
  <si>
    <t>HAUSER</t>
  </si>
  <si>
    <t>FRANK</t>
  </si>
  <si>
    <t>839-28</t>
  </si>
  <si>
    <t>214-28</t>
  </si>
  <si>
    <t>838-28</t>
  </si>
  <si>
    <t>303-28</t>
  </si>
  <si>
    <t>216-28</t>
  </si>
  <si>
    <t>221-28</t>
  </si>
  <si>
    <t>57-28</t>
  </si>
  <si>
    <t>218-28</t>
  </si>
  <si>
    <t>906-28</t>
  </si>
  <si>
    <t>841-28</t>
  </si>
  <si>
    <t>220-28</t>
  </si>
  <si>
    <t>305-28</t>
  </si>
  <si>
    <t>840-28</t>
  </si>
  <si>
    <t>307-28</t>
  </si>
  <si>
    <t>225-28</t>
  </si>
  <si>
    <t>222-28</t>
  </si>
  <si>
    <t>227-28</t>
  </si>
  <si>
    <t>843-28</t>
  </si>
  <si>
    <t>224-28</t>
  </si>
  <si>
    <t>842-28</t>
  </si>
  <si>
    <t>229-28</t>
  </si>
  <si>
    <t>845-28</t>
  </si>
  <si>
    <t>231-28</t>
  </si>
  <si>
    <t>844-28</t>
  </si>
  <si>
    <t>228-28</t>
  </si>
  <si>
    <t>230-28</t>
  </si>
  <si>
    <t>847-28</t>
  </si>
  <si>
    <t>232-28</t>
  </si>
  <si>
    <t>235-28</t>
  </si>
  <si>
    <t>908-28</t>
  </si>
  <si>
    <t>234-28</t>
  </si>
  <si>
    <t>237-28</t>
  </si>
  <si>
    <t>236-28</t>
  </si>
  <si>
    <t>238-28</t>
  </si>
  <si>
    <t>241-28</t>
  </si>
  <si>
    <t>243-28</t>
  </si>
  <si>
    <t>240-28</t>
  </si>
  <si>
    <t>315-28</t>
  </si>
  <si>
    <t>242-28</t>
  </si>
  <si>
    <t>309-28</t>
  </si>
  <si>
    <t>244-28</t>
  </si>
  <si>
    <t>311-28</t>
  </si>
  <si>
    <t>51-01</t>
  </si>
  <si>
    <t>313-28</t>
  </si>
  <si>
    <t>50-01</t>
  </si>
  <si>
    <t>Light Snow</t>
  </si>
  <si>
    <t>rain</t>
  </si>
  <si>
    <t>Drizzle</t>
  </si>
  <si>
    <t>Light Rain</t>
  </si>
  <si>
    <t>clear-night</t>
  </si>
  <si>
    <t>Clear</t>
  </si>
  <si>
    <t>204:64781</t>
  </si>
  <si>
    <t>204:68060</t>
  </si>
  <si>
    <t>204:783</t>
  </si>
  <si>
    <t>204:38184</t>
  </si>
  <si>
    <t>204:232664</t>
  </si>
  <si>
    <t>204:196230</t>
  </si>
  <si>
    <t>204:770</t>
  </si>
  <si>
    <t>204:232690</t>
  </si>
  <si>
    <t>204:127</t>
  </si>
  <si>
    <t>204:1177</t>
  </si>
  <si>
    <t>204:775</t>
  </si>
  <si>
    <t>204:233307</t>
  </si>
  <si>
    <t>204:233001</t>
  </si>
  <si>
    <t>204:757</t>
  </si>
  <si>
    <t>204:233295</t>
  </si>
  <si>
    <t>204:233328</t>
  </si>
  <si>
    <t>204:232940</t>
  </si>
  <si>
    <t>204:233309</t>
  </si>
  <si>
    <t>204:232986</t>
  </si>
  <si>
    <t>204:232957</t>
  </si>
  <si>
    <t>204:233360</t>
  </si>
  <si>
    <t>204:127861</t>
  </si>
  <si>
    <t>204:233021</t>
  </si>
  <si>
    <t>204:233321</t>
  </si>
  <si>
    <t>204:233440</t>
  </si>
  <si>
    <t>204:233151</t>
  </si>
  <si>
    <t>204:233011</t>
  </si>
  <si>
    <t>204:232959</t>
  </si>
  <si>
    <t>204:233334</t>
  </si>
  <si>
    <t>204:64159</t>
  </si>
  <si>
    <t>204:36793</t>
  </si>
  <si>
    <t>204:233393</t>
  </si>
  <si>
    <t>204:233100</t>
  </si>
  <si>
    <t>204:233359</t>
  </si>
  <si>
    <t>204:233009</t>
  </si>
  <si>
    <t>204:1169</t>
  </si>
  <si>
    <t>204:495</t>
  </si>
  <si>
    <t>204:233247</t>
  </si>
  <si>
    <t>204:232925</t>
  </si>
  <si>
    <t>204:232991</t>
  </si>
  <si>
    <t>204:233387</t>
  </si>
  <si>
    <t>204:233053</t>
  </si>
  <si>
    <t>204:433</t>
  </si>
  <si>
    <t>204:233366</t>
  </si>
  <si>
    <t>204:233042</t>
  </si>
  <si>
    <t>204:218941</t>
  </si>
  <si>
    <t>204:1184</t>
  </si>
  <si>
    <t>204:232953</t>
  </si>
  <si>
    <t>204:449</t>
  </si>
  <si>
    <t>204:431</t>
  </si>
  <si>
    <t>204:233318</t>
  </si>
  <si>
    <t>204:233015</t>
  </si>
  <si>
    <t>204:233347</t>
  </si>
  <si>
    <t>204:191</t>
  </si>
  <si>
    <t>204:232969</t>
  </si>
  <si>
    <t>204:508</t>
  </si>
  <si>
    <t>204:233364</t>
  </si>
  <si>
    <t>204:233249</t>
  </si>
  <si>
    <t>204:232960</t>
  </si>
  <si>
    <t>204:232981</t>
  </si>
  <si>
    <t>204:232834</t>
  </si>
  <si>
    <t>204:233274</t>
  </si>
  <si>
    <t>204:232971</t>
  </si>
  <si>
    <t>204:233357</t>
  </si>
  <si>
    <t>204:233404</t>
  </si>
  <si>
    <t>204:233079</t>
  </si>
  <si>
    <t>204:871</t>
  </si>
  <si>
    <t>204:233353</t>
  </si>
  <si>
    <t>204:233036</t>
  </si>
  <si>
    <t>204:233281</t>
  </si>
  <si>
    <t>204:233319</t>
  </si>
  <si>
    <t>300:19605</t>
  </si>
  <si>
    <t>204:497</t>
  </si>
  <si>
    <t>300:31597</t>
  </si>
  <si>
    <t>300:19746</t>
  </si>
  <si>
    <t>204:477</t>
  </si>
  <si>
    <t>300:24208</t>
  </si>
  <si>
    <t>300:24220</t>
  </si>
  <si>
    <t>300:22092</t>
  </si>
  <si>
    <t>300:24191</t>
  </si>
  <si>
    <t>300:22671</t>
  </si>
  <si>
    <t>300:24214</t>
  </si>
  <si>
    <t>204:752</t>
  </si>
  <si>
    <t>300:24193</t>
  </si>
  <si>
    <t>300:24072</t>
  </si>
  <si>
    <t>204:111759</t>
  </si>
  <si>
    <t>204:58965</t>
  </si>
  <si>
    <t>204:65340</t>
  </si>
  <si>
    <t>204:64043</t>
  </si>
  <si>
    <t>204:112085</t>
  </si>
  <si>
    <t>204:65670</t>
  </si>
  <si>
    <t>300:32036</t>
  </si>
  <si>
    <t>300:20850</t>
  </si>
  <si>
    <t>300:32672</t>
  </si>
  <si>
    <t>300:30888</t>
  </si>
  <si>
    <t>204:1584</t>
  </si>
  <si>
    <t>300:23271</t>
  </si>
  <si>
    <t>204:142</t>
  </si>
  <si>
    <t>300:30377</t>
  </si>
  <si>
    <t>300:23173</t>
  </si>
  <si>
    <t>204:988</t>
  </si>
  <si>
    <t>300:24222</t>
  </si>
  <si>
    <t>204:1479</t>
  </si>
  <si>
    <t>300:31957</t>
  </si>
  <si>
    <t>204:745</t>
  </si>
  <si>
    <t>204:1032</t>
  </si>
  <si>
    <t>204:992</t>
  </si>
  <si>
    <t>300:58975</t>
  </si>
  <si>
    <t>300:58656</t>
  </si>
  <si>
    <t>204:1293</t>
  </si>
  <si>
    <t>204:740</t>
  </si>
  <si>
    <t>204:941</t>
  </si>
  <si>
    <t>300:58982</t>
  </si>
  <si>
    <t>300:58672</t>
  </si>
  <si>
    <t>204:687</t>
  </si>
  <si>
    <t>204:1035</t>
  </si>
  <si>
    <t>204:911</t>
  </si>
  <si>
    <t>204:974</t>
  </si>
  <si>
    <t>300:58645</t>
  </si>
  <si>
    <t>204:712</t>
  </si>
  <si>
    <t>300:58978</t>
  </si>
  <si>
    <t>300:58666</t>
  </si>
  <si>
    <t>204:652</t>
  </si>
  <si>
    <t>204:939</t>
  </si>
  <si>
    <t>300:58980</t>
  </si>
  <si>
    <t>300:58988</t>
  </si>
  <si>
    <t>300:58675</t>
  </si>
  <si>
    <t>204:663</t>
  </si>
  <si>
    <t>204:937</t>
  </si>
  <si>
    <t>204:647</t>
  </si>
  <si>
    <t>204:671</t>
  </si>
  <si>
    <t>300:58649</t>
  </si>
  <si>
    <t>204:962</t>
  </si>
  <si>
    <t>300:58986</t>
  </si>
  <si>
    <t>300:58668</t>
  </si>
  <si>
    <t>204:682</t>
  </si>
  <si>
    <t>300:58937</t>
  </si>
  <si>
    <t>300:58664</t>
  </si>
  <si>
    <t>300:58946</t>
  </si>
  <si>
    <t>204:969</t>
  </si>
  <si>
    <t>300:58683</t>
  </si>
  <si>
    <t>204:951</t>
  </si>
  <si>
    <t>300:58609</t>
  </si>
  <si>
    <t>204:642</t>
  </si>
  <si>
    <t>204:934</t>
  </si>
  <si>
    <t>300:58621</t>
  </si>
  <si>
    <t>204:932</t>
  </si>
  <si>
    <t>204:650</t>
  </si>
  <si>
    <t>204:703</t>
  </si>
  <si>
    <t>300:58992</t>
  </si>
  <si>
    <t>204:1000</t>
  </si>
  <si>
    <t>300:30040</t>
  </si>
  <si>
    <t>300:23330</t>
  </si>
  <si>
    <t>204:1195</t>
  </si>
  <si>
    <t>300:24229</t>
  </si>
  <si>
    <t>300:23321</t>
  </si>
  <si>
    <t>204:689</t>
  </si>
  <si>
    <t>300:28776</t>
  </si>
  <si>
    <t>300:58661</t>
  </si>
  <si>
    <t>300:28772</t>
  </si>
  <si>
    <t>start /low /b %USERPROFILE%\Documents\GitHub\eaglep3\Utilities\DownloadLogsFromS3.py --loco 4003 --day 2017-02-28</t>
  </si>
  <si>
    <t>start /low /b %USERPROFILE%\Documents\GitHub\eaglep3\Utilities\DownloadLogsFromS3.py --loco 4052 --day 2017-02-28</t>
  </si>
  <si>
    <t>start /low /b %USERPROFILE%\Documents\GitHub\eaglep3\Utilities\DownloadLogsFromS3.py --loco 4017 --day 2017-02-28</t>
  </si>
  <si>
    <t>start /low /b %USERPROFILE%\Documents\GitHub\eaglep3\Utilities\DownloadLogsFromS3.py --loco 4004 --day 2017-02-28</t>
  </si>
  <si>
    <t>start /low /b %USERPROFILE%\Documents\GitHub\eaglep3\Utilities\DownloadLogsFromS3.py --loco 4006 --day 2017-02-28</t>
  </si>
  <si>
    <t>start /low /b %USERPROFILE%\Documents\GitHub\eaglep3\Utilities\DownloadLogsFromS3.py --loco 4027 --day 2017-02-28</t>
  </si>
  <si>
    <t>start /low /b %USERPROFILE%\Documents\GitHub\eaglep3\Utilities\DownloadLogsFromS3.py --loco 4003 --day 2017-03-01</t>
  </si>
  <si>
    <t>start /low /b %USERPROFILE%\Documents\GitHub\eaglep3\Utilities\DownloadLogsFromS3.py --loco 4006 --day 2017-03-01</t>
  </si>
  <si>
    <t>start /low /b %USERPROFILE%\Documents\GitHub\eaglep3\Utilities\DownloadLogsFromS3.py --loco 4018 --day 2017-02-28</t>
  </si>
  <si>
    <t>start /low /b %USERPROFILE%\Documents\GitHub\eaglep3\Utilities\DownloadLogsFromS3.py --loco 4005 --day 2017-02-28</t>
  </si>
  <si>
    <t>start /low /b %USERPROFILE%\Documents\GitHub\eaglep3\Utilities\DownloadLogsFromS3.py --loco 4025 --day 2017-03-01</t>
  </si>
  <si>
    <t>start /low /b %USERPROFILE%\Documents\GitHub\eaglep3\Utilities\DownloadLogsFromS3.py --loco 4028 --day 2017-02-28</t>
  </si>
  <si>
    <t>start /low /b %USERPROFILE%\Documents\GitHub\eaglep3\Utilities\DownloadLogsFromS3.py --loco 4008 --day 2017-03-01</t>
  </si>
  <si>
    <t>start /low /b %USERPROFILE%\Documents\GitHub\eaglep3\Utilities\DownloadLogsFromS3.py --loco 4005 --day 2017-03-01</t>
  </si>
  <si>
    <t>start /low /b %USERPROFILE%\Documents\GitHub\eaglep3\Utilities\DownloadLogsFromS3.py --loco 4043 --day 2017-03-01</t>
  </si>
  <si>
    <t>start /low /b %USERPROFILE%\Documents\GitHub\eaglep3\Utilities\DownloadLogsFromS3.py --loco 4025 --day 2017-02-28</t>
  </si>
  <si>
    <t>start /low /b %USERPROFILE%\Documents\GitHub\eaglep3\Utilities\DownloadLogsFromS3.py --loco 4007 --day 2017-03-01</t>
  </si>
  <si>
    <t>start /low /b %USERPROFILE%\Documents\GitHub\eaglep3\Utilities\DownloadLogsFromS3.py --loco 4053 --day 2017-02-28</t>
  </si>
  <si>
    <t>start /low /b %USERPROFILE%\Documents\GitHub\eaglep3\Utilities\DownloadLogsFromS3.py --loco 4015 --day 2017-02-28</t>
  </si>
  <si>
    <t>start /low /b %USERPROFILE%\Documents\GitHub\eaglep3\Utilities\DownloadLogsFromS3.py --loco 4054 --day 2017-02-28</t>
  </si>
  <si>
    <t>Extended Onboard Wi-MAX outage (4051/4052)</t>
  </si>
  <si>
    <t>Onboard in-route failure</t>
  </si>
  <si>
    <t>http://stevetu21.github.io/eaglep3/load_kml.html?kml=http://rtdc.gmaps-snips.s3.amazonaws.com/e1744335-b166-4853-80d3-a503fb03d8d3.kml</t>
  </si>
  <si>
    <t>Initialized too close to DUS 16N, got switch alignment prompt</t>
  </si>
  <si>
    <t>Unhealthy @ Chambers due to train stop</t>
  </si>
  <si>
    <t>http://stevetu21.github.io/eaglep3/load_kml.html?kml=http://rtdc.gmaps-snips.s3.amazonaws.com/9108c875-28a2-4160-bcdc-e8e28ad7ad22.kml</t>
  </si>
  <si>
    <t>Initialized too close to Westminster 2S, got yellow fence til MP4.8</t>
  </si>
  <si>
    <t>Poor GPS under Delgany St overpass - crew did not press button (good)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</si>
</sst>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zoomScaleNormal="100" workbookViewId="0">
      <selection activeCell="A47" sqref="A47:AI4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43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42794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COUNTIFS($N$13:$N$9328,"&gt;0",$AG$13:$AG$9328,I1)</f>
        <v>139</v>
      </c>
      <c r="K5" s="40"/>
      <c r="L5" s="40"/>
      <c r="M5" s="41">
        <f>AVERAGEIFS($N$13:$N$9328,$AG$13:$AG$9328,I1)</f>
        <v>39.851798560937681</v>
      </c>
      <c r="N5" s="39">
        <f t="array" ref="N5">MIN(IF($AG$13:$AG$9328=I1,IF(ISNUMBER($N$13:$N$9328),IF($N$13:$N$9328&gt;0,$N$13:$N$9328))))</f>
        <v>34.466666666558012</v>
      </c>
      <c r="O5" s="3">
        <f t="array" ref="O5">MAX(IF($AG$13:$AG$9328=I1,IF(ISNUMBER($N$13:$N$9328),IF($N$13:$N$9328&gt;0,$N$13:$N$9328))))</f>
        <v>51.349999996600673</v>
      </c>
      <c r="P5" s="2"/>
      <c r="R5" s="74" t="s">
        <v>17</v>
      </c>
      <c r="S5" s="50">
        <f>COUNTIFS($N$13:$N$9328,"&gt;0",$AG$13:$AG$9328,R1)</f>
        <v>47</v>
      </c>
      <c r="T5" s="40"/>
      <c r="U5" s="177"/>
      <c r="V5" s="174">
        <f>AVERAGEIFS($N$13:$N$9328,$AG$13:$AG$9328,R1)</f>
        <v>15.086879431384002</v>
      </c>
      <c r="W5" s="175">
        <f t="array" ref="W5">MIN(IF($AG$13:$AG$9328=R1,IF(ISNUMBER($N$13:$N$9328),IF($N$13:$N$9328&gt;0,$N$13:$N$9328))))</f>
        <v>12.08333333954215</v>
      </c>
      <c r="X5" s="176">
        <f t="array" ref="X5">MAX(IF($AG$13:$AG$9328=R1,IF(ISNUMBER($N$13:$N$9328),IF($N$13:$N$9328&gt;0,$N$13:$N$9328))))</f>
        <v>19.933333330554888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77"/>
      <c r="V6" s="174">
        <f>IFERROR(AVERAGE($O$13:$O$104),0)</f>
        <v>0</v>
      </c>
      <c r="W6" s="175">
        <f>MIN($O$13:$O$104)</f>
        <v>0</v>
      </c>
      <c r="X6" s="176">
        <f>MAX($O$13:$O$104)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COUNTIFS($P$13:$P$9328,"&gt;0",$AG$13:$AG$9328,I1)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COUNTIFS($P$13:$P$9328,"&gt;0",$AG$13:$AG$9328,R1)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39.851798560937681</v>
      </c>
      <c r="N8" s="39">
        <f>N5</f>
        <v>34.466666666558012</v>
      </c>
      <c r="O8" s="3">
        <f>O5</f>
        <v>51.349999996600673</v>
      </c>
      <c r="P8" s="2"/>
      <c r="R8" s="74" t="s">
        <v>16</v>
      </c>
      <c r="S8" s="50">
        <f>S5</f>
        <v>47</v>
      </c>
      <c r="T8" s="40"/>
      <c r="U8" s="177"/>
      <c r="V8" s="174">
        <f>V5</f>
        <v>15.086879431384002</v>
      </c>
      <c r="W8" s="175">
        <f>W5</f>
        <v>12.08333333954215</v>
      </c>
      <c r="X8" s="176">
        <f>X5</f>
        <v>19.933333330554888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- 2017-02-28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AVERAGE(S13:S74)</f>
        <v>0.97131147540983609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532</v>
      </c>
      <c r="B13" s="7">
        <v>4003</v>
      </c>
      <c r="C13" s="21" t="s">
        <v>274</v>
      </c>
      <c r="D13" s="21" t="s">
        <v>777</v>
      </c>
      <c r="E13" s="13">
        <v>42794.146817129629</v>
      </c>
      <c r="F13" s="13">
        <v>42794.147407407407</v>
      </c>
      <c r="G13" s="7">
        <v>0</v>
      </c>
      <c r="H13" s="21" t="s">
        <v>778</v>
      </c>
      <c r="I13" s="13">
        <v>42794.149930555555</v>
      </c>
      <c r="J13" s="7">
        <v>1</v>
      </c>
      <c r="K13" s="98" t="str">
        <f t="shared" ref="K13:K76" si="0">IF(ISEVEN(B13),(B13-1)&amp;"/"&amp;B13,B13&amp;"/"&amp;(B13+1))</f>
        <v>4003/4004</v>
      </c>
      <c r="L13" s="21" t="str">
        <f>VLOOKUP(A13,'Trips&amp;Operators'!$C$1:$G$99999,5,FALSE)</f>
        <v>SANTIZO D. EDY</v>
      </c>
      <c r="M13" s="6">
        <f t="shared" ref="M13:M76" si="1">I13-F13</f>
        <v>2.5231481486116536E-3</v>
      </c>
      <c r="N13" s="7"/>
      <c r="O13" s="7"/>
      <c r="P13" s="7">
        <f>24*60*SUM($M13:$M14)</f>
        <v>23.066666662925854</v>
      </c>
      <c r="Q13" s="22"/>
      <c r="R13" s="22" t="s">
        <v>957</v>
      </c>
      <c r="S13" s="31">
        <f>SUM(U13:U14)/IF(AG13="EC",12,1)</f>
        <v>0.25</v>
      </c>
      <c r="T13" s="46" t="str">
        <f t="shared" ref="T13:T76" si="2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-28T02:31:25-0700',mode:absolute,to:'2017-02-28T04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7" t="str">
        <f t="shared" ref="W13:W76" si="4">IF(AA13&lt;IF(AG13="EC",23,5.65),"Y","N")</f>
        <v>Y</v>
      </c>
      <c r="X13" s="187" t="e">
        <f t="shared" ref="X13:X48" si="5">VALUE(LEFT(AD13,4))-VALUE(LEFT(AD12,4))</f>
        <v>#VALUE!</v>
      </c>
      <c r="Y13" s="62">
        <f t="shared" ref="Y13:Y76" si="6">RIGHT(D13,LEN(D13)-4)/10000</f>
        <v>6.4781000000000004</v>
      </c>
      <c r="Z13" s="62">
        <f t="shared" ref="Z13:Z76" si="7">RIGHT(H13,LEN(H13)-4)/10000</f>
        <v>6.806</v>
      </c>
      <c r="AA13" s="62">
        <f t="shared" ref="AA13:AA76" si="8">ABS(Z13-Y13)</f>
        <v>0.32789999999999964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0101-28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3" s="82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/stypes="app*4003*20170228*" /stext=" 10:.+((SYSTEM_STATE.+slice.+state.+changed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4003 --swversion DE.1.0.9.0 --startMP 204:64781 --initTime 2017-02-28T03:31:25 --startdatetime 2017-02-28T03:32:16 --delay 0 --endMP 204:68060 --enddatetime 2017-02-28T03:35:54 --enforcementcount 1 &gt;&gt;C:\Users\stu\Documents\GitHub\eaglep3-reporting\EC\2017-02-28-refined-times.txt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(4051/4052)","project_id":79,"tracker_id":40,"status_id":1,"priority_id":2,"assigned_to_id":23,"start_date":"2017-02-28","description":"","custom_fields":[{"id":1,"name":"Subdivision","value":"EC"},{"id":4,"name":"Milepost","value":"6.806"},{"id":17,"name":"Train ID","value":"101-28"},{"id":16,"name":"Locomotive ID","value":"4003"},{"id":130,"name":"Impact","value":""},{"id":150,"name":"Time of Event (Mountain Time)","value":"03:35:54"},{"id":151,"name":"Denver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4003 --day 2017-02-28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532</v>
      </c>
      <c r="B14" s="7">
        <v>4003</v>
      </c>
      <c r="C14" s="21" t="s">
        <v>274</v>
      </c>
      <c r="D14" s="21" t="s">
        <v>779</v>
      </c>
      <c r="E14" s="13">
        <v>42794.127627314818</v>
      </c>
      <c r="F14" s="13">
        <v>42794.130335648151</v>
      </c>
      <c r="G14" s="7">
        <v>3</v>
      </c>
      <c r="H14" s="21" t="s">
        <v>780</v>
      </c>
      <c r="I14" s="13">
        <v>42794.143831018519</v>
      </c>
      <c r="J14" s="7">
        <v>2</v>
      </c>
      <c r="K14" s="98" t="str">
        <f t="shared" si="0"/>
        <v>4003/4004</v>
      </c>
      <c r="L14" s="21" t="str">
        <f>VLOOKUP(A14,'Trips&amp;Operators'!$C$1:$G$99999,5,FALSE)</f>
        <v>SANTIZO D. EDY</v>
      </c>
      <c r="M14" s="6">
        <f t="shared" si="1"/>
        <v>1.3495370367309079E-2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186" t="str">
        <f t="shared" si="3"/>
        <v>https://d0f6bd738d7f1b3e5a7ca70fe4ff75f0.us-east-1.aws.found.io/app/kibana#/discover/Steve-Slow-Train-Analysis-(2080s-and-2083s)?_g=(refreshInterval:(display:Off,pause:!f,section:0,value:0),time:(from:'2017-02-28T02:03:47-0700',mode:absolute,to:'2017-02-28T04:27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87" t="str">
        <f t="shared" si="4"/>
        <v>Y</v>
      </c>
      <c r="X14" s="187">
        <f t="shared" si="5"/>
        <v>0</v>
      </c>
      <c r="Y14" s="62">
        <f t="shared" si="6"/>
        <v>7.8299999999999995E-2</v>
      </c>
      <c r="Z14" s="62">
        <f t="shared" si="7"/>
        <v>3.8184</v>
      </c>
      <c r="AA14" s="62">
        <f t="shared" si="8"/>
        <v>3.7401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0101-28</v>
      </c>
      <c r="AE14" s="85" t="str">
        <f t="shared" si="10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4" s="82" t="str">
        <f t="shared" si="11"/>
        <v>"C:\Program Files (x86)\AstroGrep\AstroGrep.exe" /spath="%USERPROFILE%\AppData\Local\Temp\OnboardLogs" /stypes="app*4003*20170228*" /stext=" 10:.+((SYSTEM_STATE.+slice.+state.+changed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6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101-28 --locoid 4003 --swversion DE.1.0.9.0 --startMP 204:783 --initTime 2017-02-28T03:03:47 --startdatetime 2017-02-28T03:07:41 --delay 3 --endMP 204:38184 --enddatetime 2017-02-28T03:27:07 --enforcementcount 2 &gt;&gt;C:\Users\stu\Documents\GitHub\eaglep3-reporting\EC\2017-02-28-refined-times.txt</v>
      </c>
      <c r="AI14" s="108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{"issue":{"subject":"","project_id":79,"tracker_id":40,"status_id":1,"priority_id":2,"assigned_to_id":23,"start_date":"2017-02-28","description":"","custom_fields":[{"id":1,"name":"Subdivision","value":"EC"},{"id":4,"name":"Milepost","value":"3.8184"},{"id":17,"name":"Train ID","value":"101-28"},{"id":16,"name":"Locomotive ID","value":"4003"},{"id":130,"name":"Impact","value":""},{"id":150,"name":"Time of Event (Mountain Time)","value":"03:27:07"},{"id":151,"name":"Denver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6" si="18">"start /low /b "&amp;dls3logs&amp;" --loco "&amp;B14&amp;" --day "&amp;TEXT(F14,"YYYY-MM-DD")</f>
        <v>start /low /b %USERPROFILE%\Documents\GitHub\eaglep3\Utilities\DownloadLogsFromS3.py --loco 4003 --day 2017-02-28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533</v>
      </c>
      <c r="B15" s="7">
        <v>4052</v>
      </c>
      <c r="C15" s="21" t="s">
        <v>274</v>
      </c>
      <c r="D15" s="21" t="s">
        <v>781</v>
      </c>
      <c r="E15" s="13">
        <v>42794.169050925928</v>
      </c>
      <c r="F15" s="13">
        <v>42794.170613425929</v>
      </c>
      <c r="G15" s="7">
        <v>2</v>
      </c>
      <c r="H15" s="21" t="s">
        <v>782</v>
      </c>
      <c r="I15" s="13">
        <v>42794.180277777778</v>
      </c>
      <c r="J15" s="7">
        <v>1</v>
      </c>
      <c r="K15" s="98" t="str">
        <f t="shared" si="0"/>
        <v>4051/4052</v>
      </c>
      <c r="L15" s="21" t="str">
        <f>VLOOKUP(A15,'Trips&amp;Operators'!$C$1:$G$99999,5,FALSE)</f>
        <v>SANTIZO D. EDY</v>
      </c>
      <c r="M15" s="6">
        <f t="shared" si="1"/>
        <v>9.6643518481869251E-3</v>
      </c>
      <c r="N15" s="7"/>
      <c r="O15" s="7"/>
      <c r="P15" s="7">
        <f>24*60*SUM($M15:$M15)</f>
        <v>13.916666661389172</v>
      </c>
      <c r="Q15" s="22"/>
      <c r="R15" s="22" t="s">
        <v>957</v>
      </c>
      <c r="S15" s="31">
        <f t="shared" ref="S15:S46" si="19">SUM(U15:U15)/IF(AG15="EC",12,1)</f>
        <v>0</v>
      </c>
      <c r="T15" s="46" t="str">
        <f t="shared" si="2"/>
        <v>Southbound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86" t="str">
        <f t="shared" si="3"/>
        <v>https://d0f6bd738d7f1b3e5a7ca70fe4ff75f0.us-east-1.aws.found.io/app/kibana#/discover/Steve-Slow-Train-Analysis-(2080s-and-2083s)?_g=(refreshInterval:(display:Off,pause:!f,section:0,value:0),time:(from:'2017-02-28T03:03:26-0700',mode:absolute,to:'2017-02-28T05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187" t="str">
        <f t="shared" si="4"/>
        <v>Y</v>
      </c>
      <c r="X15" s="187">
        <f t="shared" si="5"/>
        <v>1</v>
      </c>
      <c r="Y15" s="62">
        <f t="shared" si="6"/>
        <v>23.266400000000001</v>
      </c>
      <c r="Z15" s="62">
        <f t="shared" si="7"/>
        <v>19.623000000000001</v>
      </c>
      <c r="AA15" s="62">
        <f t="shared" si="8"/>
        <v>3.6433999999999997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0102-28</v>
      </c>
      <c r="AE15" s="85" t="str">
        <f t="shared" si="10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15" s="82" t="str">
        <f t="shared" si="11"/>
        <v>"C:\Program Files (x86)\AstroGrep\AstroGrep.exe" /spath="%USERPROFILE%\AppData\Local\Temp\OnboardLogs" /stypes="app*4052*20170228*"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6" t="str">
        <f t="shared" si="16"/>
        <v>"%USERPROFILE%\Documents\GitHub\eaglep3\Utilities\RefineRTDCRunTimes.py" --tripid 102-28 --locoid 4052 --swversion DE.1.0.9.0 --startMP 204:232664 --initTime 2017-02-28T04:03:26 --startdatetime 2017-02-28T04:05:41 --delay 2 --endMP 204:196230 --enddatetime 2017-02-28T04:19:36 --enforcementcount 1 &gt;&gt;C:\Users\stu\Documents\GitHub\eaglep3-reporting\EC\2017-02-28-refined-times.txt</v>
      </c>
      <c r="AI15" s="108" t="str">
        <f t="shared" si="17"/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(4051/4052)","project_id":79,"tracker_id":40,"status_id":1,"priority_id":2,"assigned_to_id":23,"start_date":"2017-02-28","description":"","custom_fields":[{"id":1,"name":"Subdivision","value":"EC"},{"id":4,"name":"Milepost","value":"19.623"},{"id":17,"name":"Train ID","value":"102-28"},{"id":16,"name":"Locomotive ID","value":"4052"},{"id":130,"name":"Impact","value":""},{"id":150,"name":"Time of Event (Mountain Time)","value":"04:19:36"},{"id":151,"name":"Denver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4052 --day 2017-02-28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576</v>
      </c>
      <c r="B16" s="7">
        <v>4006</v>
      </c>
      <c r="C16" s="21" t="s">
        <v>274</v>
      </c>
      <c r="D16" s="21" t="s">
        <v>783</v>
      </c>
      <c r="E16" s="13">
        <v>42794.153182870374</v>
      </c>
      <c r="F16" s="13">
        <v>42794.156527777777</v>
      </c>
      <c r="G16" s="7">
        <v>1</v>
      </c>
      <c r="H16" s="21" t="s">
        <v>344</v>
      </c>
      <c r="I16" s="13">
        <v>42794.182210648149</v>
      </c>
      <c r="J16" s="7">
        <v>1</v>
      </c>
      <c r="K16" s="98" t="str">
        <f t="shared" si="0"/>
        <v>4005/4006</v>
      </c>
      <c r="L16" s="21" t="str">
        <f>VLOOKUP(A16,'Trips&amp;Operators'!$C$1:$G$99999,5,FALSE)</f>
        <v>MAELZER KURT</v>
      </c>
      <c r="M16" s="6">
        <f t="shared" si="1"/>
        <v>2.5682870371383615E-2</v>
      </c>
      <c r="N16" s="7">
        <f t="shared" ref="N16:N48" si="20">24*60*SUM($M16:$M16)</f>
        <v>36.983333334792405</v>
      </c>
      <c r="O16" s="7"/>
      <c r="P16" s="7"/>
      <c r="Q16" s="22"/>
      <c r="R16" s="22"/>
      <c r="S16" s="31">
        <f t="shared" si="19"/>
        <v>1</v>
      </c>
      <c r="T16" s="46" t="str">
        <f t="shared" si="2"/>
        <v>NorthBound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3"/>
        <v>https://d0f6bd738d7f1b3e5a7ca70fe4ff75f0.us-east-1.aws.found.io/app/kibana#/discover/Steve-Slow-Train-Analysis-(2080s-and-2083s)?_g=(refreshInterval:(display:Off,pause:!f,section:0,value:0),time:(from:'2017-02-28T02:40:35-0700',mode:absolute,to:'2017-02-28T05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" s="187" t="str">
        <f t="shared" si="4"/>
        <v>N</v>
      </c>
      <c r="X16" s="187">
        <f t="shared" si="5"/>
        <v>1</v>
      </c>
      <c r="Y16" s="62">
        <f t="shared" si="6"/>
        <v>7.6999999999999999E-2</v>
      </c>
      <c r="Z16" s="62">
        <f t="shared" si="7"/>
        <v>23.331499999999998</v>
      </c>
      <c r="AA16" s="62">
        <f t="shared" si="8"/>
        <v>23.254499999999997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0103-28</v>
      </c>
      <c r="AE16" s="85" t="str">
        <f t="shared" si="10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16" s="82" t="str">
        <f t="shared" si="11"/>
        <v>"C:\Program Files (x86)\AstroGrep\AstroGrep.exe" /spath="%USERPROFILE%\AppData\Local\Temp\OnboardLogs" /stypes="app*4006*20170228*"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6" t="str">
        <f t="shared" si="16"/>
        <v>"%USERPROFILE%\Documents\GitHub\eaglep3\Utilities\RefineRTDCRunTimes.py" --tripid 103-28 --locoid 4006 --swversion DE.1.0.9.0 --startMP 204:770 --initTime 2017-02-28T03:40:35 --startdatetime 2017-02-28T03:45:24 --delay 1 --endMP 204:233315 --enddatetime 2017-02-28T04:22:23 --enforcementcount 1 &gt;&gt;C:\Users\stu\Documents\GitHub\eaglep3-reporting\EC\2017-02-28-refined-times.txt</v>
      </c>
      <c r="AI1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{"issue":{"subject":"","project_id":79,"tracker_id":40,"status_id":1,"priority_id":2,"assigned_to_id":23,"start_date":"2017-02-28","description":"","custom_fields":[{"id":1,"name":"Subdivision","value":"EC"},{"id":4,"name":"Milepost","value":"23.3315"},{"id":17,"name":"Train ID","value":"103-28"},{"id":16,"name":"Locomotive ID","value":"4006"},{"id":130,"name":"Impact","value":""},{"id":150,"name":"Time of Event (Mountain Time)","value":"04:22:23"},{"id":151,"name":"Denver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4006 --day 2017-02-28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584</v>
      </c>
      <c r="B17" s="7">
        <v>4008</v>
      </c>
      <c r="C17" s="21" t="s">
        <v>274</v>
      </c>
      <c r="D17" s="21" t="s">
        <v>784</v>
      </c>
      <c r="E17" s="13">
        <v>42794.191643518519</v>
      </c>
      <c r="F17" s="13">
        <v>42794.195451388892</v>
      </c>
      <c r="G17" s="7">
        <v>1</v>
      </c>
      <c r="H17" s="21" t="s">
        <v>785</v>
      </c>
      <c r="I17" s="13">
        <v>42794.223564814813</v>
      </c>
      <c r="J17" s="7">
        <v>1</v>
      </c>
      <c r="K17" s="98" t="str">
        <f t="shared" si="0"/>
        <v>4007/4008</v>
      </c>
      <c r="L17" s="21" t="str">
        <f>VLOOKUP(A17,'Trips&amp;Operators'!$C$1:$G$99999,5,FALSE)</f>
        <v>MAELZER KURT</v>
      </c>
      <c r="M17" s="6">
        <f t="shared" si="1"/>
        <v>2.8113425920309965E-2</v>
      </c>
      <c r="N17" s="7">
        <f t="shared" si="20"/>
        <v>40.483333325246349</v>
      </c>
      <c r="O17" s="7"/>
      <c r="P17" s="7"/>
      <c r="Q17" s="22"/>
      <c r="R17" s="22"/>
      <c r="S17" s="31">
        <f t="shared" si="19"/>
        <v>1</v>
      </c>
      <c r="T17" s="46" t="str">
        <f t="shared" si="2"/>
        <v>Southbound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3"/>
        <v>https://d0f6bd738d7f1b3e5a7ca70fe4ff75f0.us-east-1.aws.found.io/app/kibana#/discover/Steve-Slow-Train-Analysis-(2080s-and-2083s)?_g=(refreshInterval:(display:Off,pause:!f,section:0,value:0),time:(from:'2017-02-28T03:35:58-0700',mode:absolute,to:'2017-02-28T06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87" t="str">
        <f t="shared" si="4"/>
        <v>N</v>
      </c>
      <c r="X17" s="187">
        <f t="shared" si="5"/>
        <v>1</v>
      </c>
      <c r="Y17" s="62">
        <f t="shared" si="6"/>
        <v>23.268999999999998</v>
      </c>
      <c r="Z17" s="62">
        <f t="shared" si="7"/>
        <v>1.2699999999999999E-2</v>
      </c>
      <c r="AA17" s="62">
        <f t="shared" si="8"/>
        <v>23.2563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0104-28</v>
      </c>
      <c r="AE17" s="85" t="str">
        <f t="shared" si="10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17" s="82" t="str">
        <f t="shared" si="11"/>
        <v>"C:\Program Files (x86)\AstroGrep\AstroGrep.exe" /spath="%USERPROFILE%\AppData\Local\Temp\OnboardLogs" /stypes="app*4008*20170228*"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6" t="str">
        <f t="shared" si="16"/>
        <v>"%USERPROFILE%\Documents\GitHub\eaglep3\Utilities\RefineRTDCRunTimes.py" --tripid 104-28 --locoid 4008 --swversion DE.1.0.9.0 --startMP 204:232690 --initTime 2017-02-28T04:35:58 --startdatetime 2017-02-28T04:41:27 --delay 1 --endMP 204:127 --enddatetime 2017-02-28T05:21:56 --enforcementcount 1 &gt;&gt;C:\Users\stu\Documents\GitHub\eaglep3-reporting\EC\2017-02-28-refined-times.txt</v>
      </c>
      <c r="AI17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{"issue":{"subject":"","project_id":79,"tracker_id":40,"status_id":1,"priority_id":2,"assigned_to_id":23,"start_date":"2017-02-28","description":"","custom_fields":[{"id":1,"name":"Subdivision","value":"EC"},{"id":4,"name":"Milepost","value":"0.0127"},{"id":17,"name":"Train ID","value":"104-28"},{"id":16,"name":"Locomotive ID","value":"4008"},{"id":130,"name":"Impact","value":""},{"id":150,"name":"Time of Event (Mountain Time)","value":"05:21:56"},{"id":151,"name":"Denver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4008 --day 2017-02-28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579</v>
      </c>
      <c r="B18" s="7">
        <v>4027</v>
      </c>
      <c r="C18" s="21" t="s">
        <v>274</v>
      </c>
      <c r="D18" s="21" t="s">
        <v>786</v>
      </c>
      <c r="E18" s="13">
        <v>42794.174143518518</v>
      </c>
      <c r="F18" s="13">
        <v>42794.177395833336</v>
      </c>
      <c r="G18" s="7">
        <v>1</v>
      </c>
      <c r="H18" s="21" t="s">
        <v>313</v>
      </c>
      <c r="I18" s="13">
        <v>42794.203993055555</v>
      </c>
      <c r="J18" s="7">
        <v>1</v>
      </c>
      <c r="K18" s="98" t="str">
        <f t="shared" si="0"/>
        <v>4027/4028</v>
      </c>
      <c r="L18" s="21" t="str">
        <f>VLOOKUP(A18,'Trips&amp;Operators'!$C$1:$G$99999,5,FALSE)</f>
        <v>SPECTOR MICHAEL</v>
      </c>
      <c r="M18" s="6">
        <f t="shared" si="1"/>
        <v>2.6597222218697425E-2</v>
      </c>
      <c r="N18" s="7">
        <f t="shared" si="20"/>
        <v>38.299999994924292</v>
      </c>
      <c r="O18" s="7"/>
      <c r="P18" s="7"/>
      <c r="Q18" s="22"/>
      <c r="R18" s="22"/>
      <c r="S18" s="31">
        <f t="shared" si="19"/>
        <v>1</v>
      </c>
      <c r="T18" s="46" t="str">
        <f t="shared" si="2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3"/>
        <v>https://d0f6bd738d7f1b3e5a7ca70fe4ff75f0.us-east-1.aws.found.io/app/kibana#/discover/Steve-Slow-Train-Analysis-(2080s-and-2083s)?_g=(refreshInterval:(display:Off,pause:!f,section:0,value:0),time:(from:'2017-02-28T03:10:46-0700',mode:absolute,to:'2017-02-28T05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7" t="str">
        <f t="shared" si="4"/>
        <v>N</v>
      </c>
      <c r="X18" s="187">
        <f t="shared" si="5"/>
        <v>1</v>
      </c>
      <c r="Y18" s="62">
        <f t="shared" si="6"/>
        <v>0.1177</v>
      </c>
      <c r="Z18" s="62">
        <f t="shared" si="7"/>
        <v>23.3308</v>
      </c>
      <c r="AA18" s="62">
        <f t="shared" si="8"/>
        <v>23.213100000000001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0105-28</v>
      </c>
      <c r="AE18" s="85" t="str">
        <f t="shared" si="10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18" s="82" t="str">
        <f t="shared" si="11"/>
        <v>"C:\Program Files (x86)\AstroGrep\AstroGrep.exe" /spath="%USERPROFILE%\AppData\Local\Temp\OnboardLogs" /stypes="app*4027*20170228*" /stext=" 11:.+((SYSTEM_STATE.+slice.+state.+changed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6" t="str">
        <f t="shared" si="16"/>
        <v>"%USERPROFILE%\Documents\GitHub\eaglep3\Utilities\RefineRTDCRunTimes.py" --tripid 105-28 --locoid 4027 --swversion DE.1.0.9.0 --startMP 204:1177 --initTime 2017-02-28T04:10:46 --startdatetime 2017-02-28T04:15:27 --delay 1 --endMP 204:233308 --enddatetime 2017-02-28T04:53:45 --enforcementcount 1 &gt;&gt;C:\Users\stu\Documents\GitHub\eaglep3-reporting\EC\2017-02-28-refined-times.txt</v>
      </c>
      <c r="AI18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{"issue":{"subject":"","project_id":79,"tracker_id":40,"status_id":1,"priority_id":2,"assigned_to_id":23,"start_date":"2017-02-28","description":"","custom_fields":[{"id":1,"name":"Subdivision","value":"EC"},{"id":4,"name":"Milepost","value":"23.3308"},{"id":17,"name":"Train ID","value":"105-28"},{"id":16,"name":"Locomotive ID","value":"4027"},{"id":130,"name":"Impact","value":""},{"id":150,"name":"Time of Event (Mountain Time)","value":"04:53:45"},{"id":151,"name":"Denver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4027 --day 2017-02-28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538</v>
      </c>
      <c r="B19" s="7">
        <v>4028</v>
      </c>
      <c r="C19" s="21" t="s">
        <v>274</v>
      </c>
      <c r="D19" s="21" t="s">
        <v>397</v>
      </c>
      <c r="E19" s="13">
        <v>42794.211365740739</v>
      </c>
      <c r="F19" s="13">
        <v>42794.216134259259</v>
      </c>
      <c r="G19" s="7">
        <v>2</v>
      </c>
      <c r="H19" s="21" t="s">
        <v>400</v>
      </c>
      <c r="I19" s="13">
        <v>42794.24628472222</v>
      </c>
      <c r="J19" s="7">
        <v>1</v>
      </c>
      <c r="K19" s="98" t="str">
        <f t="shared" si="0"/>
        <v>4027/4028</v>
      </c>
      <c r="L19" s="21" t="str">
        <f>VLOOKUP(A19,'Trips&amp;Operators'!$C$1:$G$99999,5,FALSE)</f>
        <v>SPECTOR MICHAEL</v>
      </c>
      <c r="M19" s="6">
        <f t="shared" si="1"/>
        <v>3.015046296059154E-2</v>
      </c>
      <c r="N19" s="7">
        <f t="shared" si="20"/>
        <v>43.416666663251817</v>
      </c>
      <c r="O19" s="7"/>
      <c r="P19" s="7"/>
      <c r="Q19" s="22"/>
      <c r="R19" s="22"/>
      <c r="S19" s="31">
        <f t="shared" si="19"/>
        <v>1</v>
      </c>
      <c r="T19" s="46" t="str">
        <f t="shared" si="2"/>
        <v>Southbound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3"/>
        <v>https://d0f6bd738d7f1b3e5a7ca70fe4ff75f0.us-east-1.aws.found.io/app/kibana#/discover/Steve-Slow-Train-Analysis-(2080s-and-2083s)?_g=(refreshInterval:(display:Off,pause:!f,section:0,value:0),time:(from:'2017-02-28T04:04:22-0700',mode:absolute,to:'2017-02-28T06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87" t="str">
        <f t="shared" si="4"/>
        <v>N</v>
      </c>
      <c r="X19" s="187">
        <f t="shared" si="5"/>
        <v>1</v>
      </c>
      <c r="Y19" s="62">
        <f t="shared" si="6"/>
        <v>23.3004</v>
      </c>
      <c r="Z19" s="62">
        <f t="shared" si="7"/>
        <v>1.61E-2</v>
      </c>
      <c r="AA19" s="62">
        <f t="shared" si="8"/>
        <v>23.284299999999998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0106-28</v>
      </c>
      <c r="AE19" s="85" t="str">
        <f t="shared" si="10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19" s="82" t="str">
        <f t="shared" si="11"/>
        <v>"C:\Program Files (x86)\AstroGrep\AstroGrep.exe" /spath="%USERPROFILE%\AppData\Local\Temp\OnboardLogs" /stypes="app*4028*20170228*"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6" t="str">
        <f t="shared" si="16"/>
        <v>"%USERPROFILE%\Documents\GitHub\eaglep3\Utilities\RefineRTDCRunTimes.py" --tripid 106-28 --locoid 4028 --swversion DE.1.0.9.0 --startMP 204:233004 --initTime 2017-02-28T05:04:22 --startdatetime 2017-02-28T05:11:14 --delay 2 --endMP 204:161 --enddatetime 2017-02-28T05:54:39 --enforcementcount 1 &gt;&gt;C:\Users\stu\Documents\GitHub\eaglep3-reporting\EC\2017-02-28-refined-times.txt</v>
      </c>
      <c r="AI19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{"issue":{"subject":"","project_id":79,"tracker_id":40,"status_id":1,"priority_id":2,"assigned_to_id":23,"start_date":"2017-02-28","description":"","custom_fields":[{"id":1,"name":"Subdivision","value":"EC"},{"id":4,"name":"Milepost","value":"0.0161"},{"id":17,"name":"Train ID","value":"106-28"},{"id":16,"name":"Locomotive ID","value":"4028"},{"id":130,"name":"Impact","value":""},{"id":150,"name":"Time of Event (Mountain Time)","value":"05:54:39"},{"id":151,"name":"Denver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4028 --day 2017-02-28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534</v>
      </c>
      <c r="B20" s="7">
        <v>4018</v>
      </c>
      <c r="C20" s="21" t="s">
        <v>274</v>
      </c>
      <c r="D20" s="21" t="s">
        <v>229</v>
      </c>
      <c r="E20" s="13">
        <v>42794.190891203703</v>
      </c>
      <c r="F20" s="13">
        <v>42794.192453703705</v>
      </c>
      <c r="G20" s="7">
        <v>1</v>
      </c>
      <c r="H20" s="21" t="s">
        <v>280</v>
      </c>
      <c r="I20" s="13">
        <v>42794.222210648149</v>
      </c>
      <c r="J20" s="7">
        <v>1</v>
      </c>
      <c r="K20" s="98" t="str">
        <f t="shared" si="0"/>
        <v>4017/4018</v>
      </c>
      <c r="L20" s="21" t="str">
        <f>VLOOKUP(A20,'Trips&amp;Operators'!$C$1:$G$99999,5,FALSE)</f>
        <v>LOCKLEAR TRAVIS</v>
      </c>
      <c r="M20" s="6">
        <f t="shared" si="1"/>
        <v>2.9756944444670808E-2</v>
      </c>
      <c r="N20" s="7">
        <f t="shared" si="20"/>
        <v>42.850000000325963</v>
      </c>
      <c r="O20" s="7"/>
      <c r="P20" s="7"/>
      <c r="Q20" s="22"/>
      <c r="R20" s="22"/>
      <c r="S20" s="31">
        <f t="shared" si="19"/>
        <v>1</v>
      </c>
      <c r="T20" s="46" t="str">
        <f t="shared" si="2"/>
        <v>NorthBound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3"/>
        <v>https://d0f6bd738d7f1b3e5a7ca70fe4ff75f0.us-east-1.aws.found.io/app/kibana#/discover/Steve-Slow-Train-Analysis-(2080s-and-2083s)?_g=(refreshInterval:(display:Off,pause:!f,section:0,value:0),time:(from:'2017-02-28T03:34:53-0700',mode:absolute,to:'2017-02-28T06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" s="187" t="str">
        <f t="shared" si="4"/>
        <v>N</v>
      </c>
      <c r="X20" s="187">
        <f t="shared" si="5"/>
        <v>1</v>
      </c>
      <c r="Y20" s="62">
        <f t="shared" si="6"/>
        <v>4.5999999999999999E-2</v>
      </c>
      <c r="Z20" s="62">
        <f t="shared" si="7"/>
        <v>23.328399999999998</v>
      </c>
      <c r="AA20" s="62">
        <f t="shared" si="8"/>
        <v>23.282399999999999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0107-28</v>
      </c>
      <c r="AE20" s="85" t="str">
        <f t="shared" si="10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20" s="82" t="str">
        <f t="shared" si="11"/>
        <v>"C:\Program Files (x86)\AstroGrep\AstroGrep.exe" /spath="%USERPROFILE%\AppData\Local\Temp\OnboardLogs" /stypes="app*4018*20170228*"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6" t="str">
        <f t="shared" si="16"/>
        <v>"%USERPROFILE%\Documents\GitHub\eaglep3\Utilities\RefineRTDCRunTimes.py" --tripid 107-28 --locoid 4018 --swversion DE.1.0.9.0 --startMP 204:460 --initTime 2017-02-28T04:34:53 --startdatetime 2017-02-28T04:37:08 --delay 1 --endMP 204:233284 --enddatetime 2017-02-28T05:19:59 --enforcementcount 1 &gt;&gt;C:\Users\stu\Documents\GitHub\eaglep3-reporting\EC\2017-02-28-refined-times.txt</v>
      </c>
      <c r="AI20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{"issue":{"subject":"","project_id":79,"tracker_id":40,"status_id":1,"priority_id":2,"assigned_to_id":23,"start_date":"2017-02-28","description":"","custom_fields":[{"id":1,"name":"Subdivision","value":"EC"},{"id":4,"name":"Milepost","value":"23.3284"},{"id":17,"name":"Train ID","value":"107-28"},{"id":16,"name":"Locomotive ID","value":"4018"},{"id":130,"name":"Impact","value":""},{"id":150,"name":"Time of Event (Mountain Time)","value":"05:19:59"},{"id":151,"name":"Denver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4018 --day 2017-02-28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591</v>
      </c>
      <c r="B21" s="7">
        <v>4017</v>
      </c>
      <c r="C21" s="21" t="s">
        <v>274</v>
      </c>
      <c r="D21" s="21" t="s">
        <v>399</v>
      </c>
      <c r="E21" s="13">
        <v>42794.224305555559</v>
      </c>
      <c r="F21" s="13">
        <v>42794.2265625</v>
      </c>
      <c r="G21" s="7">
        <v>1</v>
      </c>
      <c r="H21" s="21" t="s">
        <v>196</v>
      </c>
      <c r="I21" s="13">
        <v>42794.255520833336</v>
      </c>
      <c r="J21" s="7">
        <v>1</v>
      </c>
      <c r="K21" s="98" t="str">
        <f t="shared" si="0"/>
        <v>4017/4018</v>
      </c>
      <c r="L21" s="21" t="str">
        <f>VLOOKUP(A21,'Trips&amp;Operators'!$C$1:$G$99999,5,FALSE)</f>
        <v>LOCKLEAR TRAVIS</v>
      </c>
      <c r="M21" s="6">
        <f t="shared" si="1"/>
        <v>2.8958333336049691E-2</v>
      </c>
      <c r="N21" s="7">
        <f t="shared" si="20"/>
        <v>41.700000003911555</v>
      </c>
      <c r="O21" s="7"/>
      <c r="P21" s="7"/>
      <c r="Q21" s="22"/>
      <c r="R21" s="22"/>
      <c r="S21" s="31">
        <f t="shared" si="19"/>
        <v>1</v>
      </c>
      <c r="T21" s="46" t="str">
        <f t="shared" si="2"/>
        <v>Southbound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3"/>
        <v>https://d0f6bd738d7f1b3e5a7ca70fe4ff75f0.us-east-1.aws.found.io/app/kibana#/discover/Steve-Slow-Train-Analysis-(2080s-and-2083s)?_g=(refreshInterval:(display:Off,pause:!f,section:0,value:0),time:(from:'2017-02-28T04:23:00-0700',mode:absolute,to:'2017-02-28T07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" s="187" t="str">
        <f t="shared" si="4"/>
        <v>N</v>
      </c>
      <c r="X21" s="187">
        <f t="shared" si="5"/>
        <v>1</v>
      </c>
      <c r="Y21" s="62">
        <f t="shared" si="6"/>
        <v>23.2973</v>
      </c>
      <c r="Z21" s="62">
        <f t="shared" si="7"/>
        <v>1.4500000000000001E-2</v>
      </c>
      <c r="AA21" s="62">
        <f t="shared" si="8"/>
        <v>23.282799999999998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0108-28</v>
      </c>
      <c r="AE21" s="85" t="str">
        <f t="shared" si="10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21" s="82" t="str">
        <f t="shared" si="11"/>
        <v>"C:\Program Files (x86)\AstroGrep\AstroGrep.exe" /spath="%USERPROFILE%\AppData\Local\Temp\OnboardLogs" /stypes="app*4017*20170228*" /stext=" 13:.+((SYSTEM_STATE.+slice.+state.+changed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6" t="str">
        <f t="shared" si="16"/>
        <v>"%USERPROFILE%\Documents\GitHub\eaglep3\Utilities\RefineRTDCRunTimes.py" --tripid 108-28 --locoid 4017 --swversion DE.1.0.9.0 --startMP 204:232973 --initTime 2017-02-28T05:23:00 --startdatetime 2017-02-28T05:26:15 --delay 1 --endMP 204:145 --enddatetime 2017-02-28T06:07:57 --enforcementcount 1 &gt;&gt;C:\Users\stu\Documents\GitHub\eaglep3-reporting\EC\2017-02-28-refined-times.txt</v>
      </c>
      <c r="AI21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{"issue":{"subject":"","project_id":79,"tracker_id":40,"status_id":1,"priority_id":2,"assigned_to_id":23,"start_date":"2017-02-28","description":"","custom_fields":[{"id":1,"name":"Subdivision","value":"EC"},{"id":4,"name":"Milepost","value":"0.0145"},{"id":17,"name":"Train ID","value":"108-28"},{"id":16,"name":"Locomotive ID","value":"4017"},{"id":130,"name":"Impact","value":""},{"id":150,"name":"Time of Event (Mountain Time)","value":"06:07:57"},{"id":151,"name":"Denver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4017 --day 2017-02-28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537</v>
      </c>
      <c r="B22" s="7">
        <v>4025</v>
      </c>
      <c r="C22" s="21" t="s">
        <v>274</v>
      </c>
      <c r="D22" s="21" t="s">
        <v>229</v>
      </c>
      <c r="E22" s="13">
        <v>42794.194178240738</v>
      </c>
      <c r="F22" s="13">
        <v>42794.198194444441</v>
      </c>
      <c r="G22" s="7">
        <v>2</v>
      </c>
      <c r="H22" s="21" t="s">
        <v>260</v>
      </c>
      <c r="I22" s="13">
        <v>42794.225428240738</v>
      </c>
      <c r="J22" s="7">
        <v>1</v>
      </c>
      <c r="K22" s="98" t="str">
        <f t="shared" si="0"/>
        <v>4025/4026</v>
      </c>
      <c r="L22" s="21" t="str">
        <f>VLOOKUP(A22,'Trips&amp;Operators'!$C$1:$G$99999,5,FALSE)</f>
        <v>ACKERMAN JARED</v>
      </c>
      <c r="M22" s="6">
        <f t="shared" si="1"/>
        <v>2.7233796296059154E-2</v>
      </c>
      <c r="N22" s="7">
        <f t="shared" si="20"/>
        <v>39.216666666325182</v>
      </c>
      <c r="O22" s="7"/>
      <c r="P22" s="7"/>
      <c r="Q22" s="22"/>
      <c r="R22" s="22"/>
      <c r="S22" s="31">
        <f t="shared" si="19"/>
        <v>1</v>
      </c>
      <c r="T22" s="46" t="str">
        <f t="shared" si="2"/>
        <v>NorthBound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3"/>
        <v>https://d0f6bd738d7f1b3e5a7ca70fe4ff75f0.us-east-1.aws.found.io/app/kibana#/discover/Steve-Slow-Train-Analysis-(2080s-and-2083s)?_g=(refreshInterval:(display:Off,pause:!f,section:0,value:0),time:(from:'2017-02-28T03:39:37-0700',mode:absolute,to:'2017-02-28T06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87" t="str">
        <f t="shared" si="4"/>
        <v>N</v>
      </c>
      <c r="X22" s="187">
        <f t="shared" si="5"/>
        <v>1</v>
      </c>
      <c r="Y22" s="62">
        <f t="shared" si="6"/>
        <v>4.5999999999999999E-2</v>
      </c>
      <c r="Z22" s="62">
        <f t="shared" si="7"/>
        <v>23.331</v>
      </c>
      <c r="AA22" s="62">
        <f t="shared" si="8"/>
        <v>23.285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0109-28</v>
      </c>
      <c r="AE22" s="85" t="str">
        <f t="shared" si="10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22" s="82" t="str">
        <f t="shared" si="11"/>
        <v>"C:\Program Files (x86)\AstroGrep\AstroGrep.exe" /spath="%USERPROFILE%\AppData\Local\Temp\OnboardLogs" /stypes="app*4025*20170228*" /stext=" 12:.+((SYSTEM_STATE.+slice.+state.+changed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6" t="str">
        <f t="shared" si="16"/>
        <v>"%USERPROFILE%\Documents\GitHub\eaglep3\Utilities\RefineRTDCRunTimes.py" --tripid 109-28 --locoid 4025 --swversion DE.1.0.9.0 --startMP 204:460 --initTime 2017-02-28T04:39:37 --startdatetime 2017-02-28T04:45:24 --delay 2 --endMP 204:233310 --enddatetime 2017-02-28T05:24:37 --enforcementcount 1 &gt;&gt;C:\Users\stu\Documents\GitHub\eaglep3-reporting\EC\2017-02-28-refined-times.txt</v>
      </c>
      <c r="AI22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{"issue":{"subject":"","project_id":79,"tracker_id":40,"status_id":1,"priority_id":2,"assigned_to_id":23,"start_date":"2017-02-28","description":"","custom_fields":[{"id":1,"name":"Subdivision","value":"EC"},{"id":4,"name":"Milepost","value":"23.331"},{"id":17,"name":"Train ID","value":"109-28"},{"id":16,"name":"Locomotive ID","value":"4025"},{"id":130,"name":"Impact","value":""},{"id":150,"name":"Time of Event (Mountain Time)","value":"05:24:37"},{"id":151,"name":"Denver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4025 --day 2017-02-28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597</v>
      </c>
      <c r="B23" s="7">
        <v>4026</v>
      </c>
      <c r="C23" s="21" t="s">
        <v>274</v>
      </c>
      <c r="D23" s="21" t="s">
        <v>405</v>
      </c>
      <c r="E23" s="13">
        <v>42794.229837962965</v>
      </c>
      <c r="F23" s="13">
        <v>42794.237002314818</v>
      </c>
      <c r="G23" s="7">
        <v>2</v>
      </c>
      <c r="H23" s="21" t="s">
        <v>223</v>
      </c>
      <c r="I23" s="13">
        <v>42794.2658912037</v>
      </c>
      <c r="J23" s="7">
        <v>1</v>
      </c>
      <c r="K23" s="98" t="str">
        <f t="shared" si="0"/>
        <v>4025/4026</v>
      </c>
      <c r="L23" s="21" t="str">
        <f>VLOOKUP(A23,'Trips&amp;Operators'!$C$1:$G$99999,5,FALSE)</f>
        <v>ACKERMAN JARED</v>
      </c>
      <c r="M23" s="6">
        <f t="shared" si="1"/>
        <v>2.8888888882647734E-2</v>
      </c>
      <c r="N23" s="7">
        <f t="shared" si="20"/>
        <v>41.599999991012737</v>
      </c>
      <c r="O23" s="7"/>
      <c r="P23" s="7"/>
      <c r="Q23" s="22"/>
      <c r="R23" s="22"/>
      <c r="S23" s="31">
        <f t="shared" si="19"/>
        <v>1</v>
      </c>
      <c r="T23" s="46" t="str">
        <f t="shared" si="2"/>
        <v>Southbound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3"/>
        <v>https://d0f6bd738d7f1b3e5a7ca70fe4ff75f0.us-east-1.aws.found.io/app/kibana#/discover/Steve-Slow-Train-Analysis-(2080s-and-2083s)?_g=(refreshInterval:(display:Off,pause:!f,section:0,value:0),time:(from:'2017-02-28T04:30:58-0700',mode:absolute,to:'2017-02-28T07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187" t="str">
        <f t="shared" si="4"/>
        <v>N</v>
      </c>
      <c r="X23" s="187">
        <f t="shared" si="5"/>
        <v>1</v>
      </c>
      <c r="Y23" s="62">
        <f t="shared" si="6"/>
        <v>23.300999999999998</v>
      </c>
      <c r="Z23" s="62">
        <f t="shared" si="7"/>
        <v>1.43E-2</v>
      </c>
      <c r="AA23" s="62">
        <f t="shared" si="8"/>
        <v>23.2867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0110-28</v>
      </c>
      <c r="AE23" s="85" t="str">
        <f t="shared" si="10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23" s="82" t="str">
        <f t="shared" si="11"/>
        <v>"C:\Program Files (x86)\AstroGrep\AstroGrep.exe" /spath="%USERPROFILE%\AppData\Local\Temp\OnboardLogs" /stypes="app*4026*20170228*" /stext=" 13:.+((SYSTEM_STATE.+slice.+state.+changed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6" t="str">
        <f t="shared" si="16"/>
        <v>"%USERPROFILE%\Documents\GitHub\eaglep3\Utilities\RefineRTDCRunTimes.py" --tripid 110-28 --locoid 4026 --swversion DE.1.0.9.0 --startMP 204:233010 --initTime 2017-02-28T05:30:58 --startdatetime 2017-02-28T05:41:17 --delay 2 --endMP 204:143 --enddatetime 2017-02-28T06:22:53 --enforcementcount 1 &gt;&gt;C:\Users\stu\Documents\GitHub\eaglep3-reporting\EC\2017-02-28-refined-times.txt</v>
      </c>
      <c r="AI23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{"issue":{"subject":"","project_id":79,"tracker_id":40,"status_id":1,"priority_id":2,"assigned_to_id":23,"start_date":"2017-02-28","description":"","custom_fields":[{"id":1,"name":"Subdivision","value":"EC"},{"id":4,"name":"Milepost","value":"0.0143"},{"id":17,"name":"Train ID","value":"110-28"},{"id":16,"name":"Locomotive ID","value":"4026"},{"id":130,"name":"Impact","value":""},{"id":150,"name":"Time of Event (Mountain Time)","value":"06:22:53"},{"id":151,"name":"Denver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4026 --day 2017-02-28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585</v>
      </c>
      <c r="B24" s="7">
        <v>4003</v>
      </c>
      <c r="C24" s="21" t="s">
        <v>274</v>
      </c>
      <c r="D24" s="21" t="s">
        <v>787</v>
      </c>
      <c r="E24" s="13">
        <v>42794.205416666664</v>
      </c>
      <c r="F24" s="13">
        <v>42794.208692129629</v>
      </c>
      <c r="G24" s="7">
        <v>2</v>
      </c>
      <c r="H24" s="21" t="s">
        <v>788</v>
      </c>
      <c r="I24" s="13">
        <v>42794.233553240738</v>
      </c>
      <c r="J24" s="7">
        <v>1</v>
      </c>
      <c r="K24" s="98" t="str">
        <f t="shared" si="0"/>
        <v>4003/4004</v>
      </c>
      <c r="L24" s="21" t="str">
        <f>VLOOKUP(A24,'Trips&amp;Operators'!$C$1:$G$99999,5,FALSE)</f>
        <v>LOZA FIDEL</v>
      </c>
      <c r="M24" s="6">
        <f t="shared" si="1"/>
        <v>2.4861111109203193E-2</v>
      </c>
      <c r="N24" s="7">
        <f t="shared" si="20"/>
        <v>35.799999997252598</v>
      </c>
      <c r="O24" s="7"/>
      <c r="P24" s="7"/>
      <c r="Q24" s="22"/>
      <c r="R24" s="22"/>
      <c r="S24" s="31">
        <f t="shared" si="19"/>
        <v>1</v>
      </c>
      <c r="T24" s="46" t="str">
        <f t="shared" si="2"/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3"/>
        <v>https://d0f6bd738d7f1b3e5a7ca70fe4ff75f0.us-east-1.aws.found.io/app/kibana#/discover/Steve-Slow-Train-Analysis-(2080s-and-2083s)?_g=(refreshInterval:(display:Off,pause:!f,section:0,value:0),time:(from:'2017-02-28T03:55:48-0700',mode:absolute,to:'2017-02-28T06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187" t="str">
        <f t="shared" si="4"/>
        <v>N</v>
      </c>
      <c r="X24" s="187">
        <f t="shared" si="5"/>
        <v>1</v>
      </c>
      <c r="Y24" s="62">
        <f t="shared" si="6"/>
        <v>7.7499999999999999E-2</v>
      </c>
      <c r="Z24" s="62">
        <f t="shared" si="7"/>
        <v>23.3307</v>
      </c>
      <c r="AA24" s="62">
        <f t="shared" si="8"/>
        <v>23.2532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0111-28</v>
      </c>
      <c r="AE24" s="85" t="str">
        <f t="shared" si="10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24" s="82" t="str">
        <f t="shared" si="11"/>
        <v>"C:\Program Files (x86)\AstroGrep\AstroGrep.exe" /spath="%USERPROFILE%\AppData\Local\Temp\OnboardLogs" /stypes="app*4003*20170228*" /stext=" 12:.+((SYSTEM_STATE.+slice.+state.+changed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6" t="str">
        <f t="shared" si="16"/>
        <v>"%USERPROFILE%\Documents\GitHub\eaglep3\Utilities\RefineRTDCRunTimes.py" --tripid 111-28 --locoid 4003 --swversion DE.1.0.9.0 --startMP 204:775 --initTime 2017-02-28T04:55:48 --startdatetime 2017-02-28T05:00:31 --delay 2 --endMP 204:233307 --enddatetime 2017-02-28T05:36:19 --enforcementcount 1 &gt;&gt;C:\Users\stu\Documents\GitHub\eaglep3-reporting\EC\2017-02-28-refined-times.txt</v>
      </c>
      <c r="AI24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{"issue":{"subject":"","project_id":79,"tracker_id":40,"status_id":1,"priority_id":2,"assigned_to_id":23,"start_date":"2017-02-28","description":"","custom_fields":[{"id":1,"name":"Subdivision","value":"EC"},{"id":4,"name":"Milepost","value":"23.3307"},{"id":17,"name":"Train ID","value":"111-28"},{"id":16,"name":"Locomotive ID","value":"4003"},{"id":130,"name":"Impact","value":""},{"id":150,"name":"Time of Event (Mountain Time)","value":"05:36:19"},{"id":151,"name":"Denver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4003 --day 2017-02-28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603</v>
      </c>
      <c r="B25" s="7">
        <v>4004</v>
      </c>
      <c r="C25" s="21" t="s">
        <v>274</v>
      </c>
      <c r="D25" s="21" t="s">
        <v>789</v>
      </c>
      <c r="E25" s="13">
        <v>42794.244351851848</v>
      </c>
      <c r="F25" s="13">
        <v>42794.247523148151</v>
      </c>
      <c r="G25" s="7">
        <v>2</v>
      </c>
      <c r="H25" s="21" t="s">
        <v>184</v>
      </c>
      <c r="I25" s="13">
        <v>42794.276145833333</v>
      </c>
      <c r="J25" s="7">
        <v>1</v>
      </c>
      <c r="K25" s="98" t="str">
        <f t="shared" si="0"/>
        <v>4003/4004</v>
      </c>
      <c r="L25" s="21" t="str">
        <f>VLOOKUP(A25,'Trips&amp;Operators'!$C$1:$G$99999,5,FALSE)</f>
        <v>LOZA FIDEL</v>
      </c>
      <c r="M25" s="6">
        <f t="shared" si="1"/>
        <v>2.8622685182199348E-2</v>
      </c>
      <c r="N25" s="7">
        <f t="shared" si="20"/>
        <v>41.216666662367061</v>
      </c>
      <c r="O25" s="7"/>
      <c r="P25" s="7"/>
      <c r="Q25" s="22"/>
      <c r="R25" s="22"/>
      <c r="S25" s="31">
        <f t="shared" si="19"/>
        <v>1</v>
      </c>
      <c r="T25" s="46" t="str">
        <f t="shared" si="2"/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3"/>
        <v>https://d0f6bd738d7f1b3e5a7ca70fe4ff75f0.us-east-1.aws.found.io/app/kibana#/discover/Steve-Slow-Train-Analysis-(2080s-and-2083s)?_g=(refreshInterval:(display:Off,pause:!f,section:0,value:0),time:(from:'2017-02-28T04:51:52-0700',mode:absolute,to:'2017-02-28T07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87" t="str">
        <f t="shared" si="4"/>
        <v>N</v>
      </c>
      <c r="X25" s="187">
        <f t="shared" si="5"/>
        <v>1</v>
      </c>
      <c r="Y25" s="62">
        <f t="shared" si="6"/>
        <v>23.3001</v>
      </c>
      <c r="Z25" s="62">
        <f t="shared" si="7"/>
        <v>1.49E-2</v>
      </c>
      <c r="AA25" s="62">
        <f t="shared" si="8"/>
        <v>23.2852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0112-28</v>
      </c>
      <c r="AE25" s="85" t="str">
        <f t="shared" si="10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25" s="82" t="str">
        <f t="shared" si="11"/>
        <v>"C:\Program Files (x86)\AstroGrep\AstroGrep.exe" /spath="%USERPROFILE%\AppData\Local\Temp\OnboardLogs" /stypes="app*4004*20170228*" /stext=" 13:.+((SYSTEM_STATE.+slice.+state.+changed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6" t="str">
        <f t="shared" si="16"/>
        <v>"%USERPROFILE%\Documents\GitHub\eaglep3\Utilities\RefineRTDCRunTimes.py" --tripid 112-28 --locoid 4004 --swversion DE.1.0.9.0 --startMP 204:233001 --initTime 2017-02-28T05:51:52 --startdatetime 2017-02-28T05:56:26 --delay 2 --endMP 204:149 --enddatetime 2017-02-28T06:37:39 --enforcementcount 1 &gt;&gt;C:\Users\stu\Documents\GitHub\eaglep3-reporting\EC\2017-02-28-refined-times.txt</v>
      </c>
      <c r="AI25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ID","value":"112-28"},{"id":16,"name":"Locomotive ID","value":"4004"},{"id":130,"name":"Impact","value":""},{"id":150,"name":"Time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4004 --day 2017-02-28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589</v>
      </c>
      <c r="B26" s="7">
        <v>4051</v>
      </c>
      <c r="C26" s="21" t="s">
        <v>274</v>
      </c>
      <c r="D26" s="21" t="s">
        <v>269</v>
      </c>
      <c r="E26" s="13">
        <v>42794.209421296298</v>
      </c>
      <c r="F26" s="13">
        <v>42794.218958333331</v>
      </c>
      <c r="G26" s="7">
        <v>1</v>
      </c>
      <c r="H26" s="21" t="s">
        <v>409</v>
      </c>
      <c r="I26" s="13">
        <v>42794.245185185187</v>
      </c>
      <c r="J26" s="7">
        <v>1</v>
      </c>
      <c r="K26" s="98" t="str">
        <f t="shared" si="0"/>
        <v>4051/4052</v>
      </c>
      <c r="L26" s="21" t="str">
        <f>VLOOKUP(A26,'Trips&amp;Operators'!$C$1:$G$99999,5,FALSE)</f>
        <v>SANTIZO D. EDY</v>
      </c>
      <c r="M26" s="6">
        <f t="shared" si="1"/>
        <v>2.6226851856335998E-2</v>
      </c>
      <c r="N26" s="7">
        <f t="shared" si="20"/>
        <v>37.766666673123837</v>
      </c>
      <c r="O26" s="7"/>
      <c r="P26" s="7"/>
      <c r="Q26" s="22"/>
      <c r="R26" s="22"/>
      <c r="S26" s="31">
        <f t="shared" si="19"/>
        <v>1</v>
      </c>
      <c r="T26" s="46" t="str">
        <f t="shared" si="2"/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3"/>
        <v>https://d0f6bd738d7f1b3e5a7ca70fe4ff75f0.us-east-1.aws.found.io/app/kibana#/discover/Steve-Slow-Train-Analysis-(2080s-and-2083s)?_g=(refreshInterval:(display:Off,pause:!f,section:0,value:0),time:(from:'2017-02-28T04:01:34-0700',mode:absolute,to:'2017-02-28T06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187" t="str">
        <f t="shared" si="4"/>
        <v>N</v>
      </c>
      <c r="X26" s="187">
        <f t="shared" si="5"/>
        <v>1</v>
      </c>
      <c r="Y26" s="62">
        <f t="shared" si="6"/>
        <v>4.6600000000000003E-2</v>
      </c>
      <c r="Z26" s="62">
        <f t="shared" si="7"/>
        <v>23.333100000000002</v>
      </c>
      <c r="AA26" s="62">
        <f t="shared" si="8"/>
        <v>23.2865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0113-28</v>
      </c>
      <c r="AE26" s="85" t="str">
        <f t="shared" si="10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26" s="82" t="str">
        <f t="shared" si="11"/>
        <v>"C:\Program Files (x86)\AstroGrep\AstroGrep.exe" /spath="%USERPROFILE%\AppData\Local\Temp\OnboardLogs" /stypes="app*4051*20170228*" /stext=" 12:.+((SYSTEM_STATE.+slice.+state.+changed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6" t="str">
        <f t="shared" si="16"/>
        <v>"%USERPROFILE%\Documents\GitHub\eaglep3\Utilities\RefineRTDCRunTimes.py" --tripid 113-28 --locoid 4051 --swversion DE.1.0.9.0 --startMP 204:466 --initTime 2017-02-28T05:01:34 --startdatetime 2017-02-28T05:15:18 --delay 1 --endMP 204:233331 --enddatetime 2017-02-28T05:53:04 --enforcementcount 1 &gt;&gt;C:\Users\stu\Documents\GitHub\eaglep3-reporting\EC\2017-02-28-refined-times.txt</v>
      </c>
      <c r="AI2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{"issue":{"subject":"","project_id":79,"tracker_id":40,"status_id":1,"priority_id":2,"assigned_to_id":23,"start_date":"2017-02-28","description":"","custom_fields":[{"id":1,"name":"Subdivision","value":"EC"},{"id":4,"name":"Milepost","value":"23.3331"},{"id":17,"name":"Train ID","value":"113-28"},{"id":16,"name":"Locomotive ID","value":"4051"},{"id":130,"name":"Impact","value":""},{"id":150,"name":"Time of Event (Mountain Time)","value":"05:53:04"},{"id":151,"name":"Denver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4051 --day 2017-02-28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543</v>
      </c>
      <c r="B27" s="7">
        <v>4052</v>
      </c>
      <c r="C27" s="21" t="s">
        <v>274</v>
      </c>
      <c r="D27" s="21" t="s">
        <v>405</v>
      </c>
      <c r="E27" s="13">
        <v>42794.246435185189</v>
      </c>
      <c r="F27" s="13">
        <v>42794.257835648146</v>
      </c>
      <c r="G27" s="7">
        <v>1</v>
      </c>
      <c r="H27" s="21" t="s">
        <v>213</v>
      </c>
      <c r="I27" s="13">
        <v>42794.287199074075</v>
      </c>
      <c r="J27" s="7">
        <v>1</v>
      </c>
      <c r="K27" s="98" t="str">
        <f t="shared" si="0"/>
        <v>4051/4052</v>
      </c>
      <c r="L27" s="21" t="str">
        <f>VLOOKUP(A27,'Trips&amp;Operators'!$C$1:$G$99999,5,FALSE)</f>
        <v>SANTIZO D. EDY</v>
      </c>
      <c r="M27" s="6">
        <f t="shared" si="1"/>
        <v>2.9363425928750075E-2</v>
      </c>
      <c r="N27" s="7">
        <f t="shared" si="20"/>
        <v>42.283333337400109</v>
      </c>
      <c r="O27" s="7"/>
      <c r="P27" s="7"/>
      <c r="Q27" s="22"/>
      <c r="R27" s="22"/>
      <c r="S27" s="31">
        <f t="shared" si="19"/>
        <v>1</v>
      </c>
      <c r="T27" s="46" t="str">
        <f t="shared" si="2"/>
        <v>Southbound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3"/>
        <v>https://d0f6bd738d7f1b3e5a7ca70fe4ff75f0.us-east-1.aws.found.io/app/kibana#/discover/Steve-Slow-Train-Analysis-(2080s-and-2083s)?_g=(refreshInterval:(display:Off,pause:!f,section:0,value:0),time:(from:'2017-02-28T04:54:52-0700',mode:absolute,to:'2017-02-28T07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187" t="str">
        <f t="shared" si="4"/>
        <v>N</v>
      </c>
      <c r="X27" s="187">
        <f t="shared" si="5"/>
        <v>1</v>
      </c>
      <c r="Y27" s="62">
        <f t="shared" si="6"/>
        <v>23.300999999999998</v>
      </c>
      <c r="Z27" s="62">
        <f t="shared" si="7"/>
        <v>1.54E-2</v>
      </c>
      <c r="AA27" s="62">
        <f t="shared" si="8"/>
        <v>23.285599999999999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0114-28</v>
      </c>
      <c r="AE27" s="85" t="str">
        <f t="shared" si="10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27" s="82" t="str">
        <f t="shared" si="11"/>
        <v>"C:\Program Files (x86)\AstroGrep\AstroGrep.exe" /spath="%USERPROFILE%\AppData\Local\Temp\OnboardLogs" /stypes="app*4052*20170228*"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6" t="str">
        <f t="shared" si="16"/>
        <v>"%USERPROFILE%\Documents\GitHub\eaglep3\Utilities\RefineRTDCRunTimes.py" --tripid 114-28 --locoid 4052 --swversion DE.1.0.9.0 --startMP 204:233010 --initTime 2017-02-28T05:54:52 --startdatetime 2017-02-28T06:11:17 --delay 1 --endMP 204:154 --enddatetime 2017-02-28T06:53:34 --enforcementcount 1 &gt;&gt;C:\Users\stu\Documents\GitHub\eaglep3-reporting\EC\2017-02-28-refined-times.txt</v>
      </c>
      <c r="AI27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{"issue":{"subject":"","project_id":79,"tracker_id":40,"status_id":1,"priority_id":2,"assigned_to_id":23,"start_date":"2017-02-28","description":"","custom_fields":[{"id":1,"name":"Subdivision","value":"EC"},{"id":4,"name":"Milepost","value":"0.0154"},{"id":17,"name":"Train ID","value":"114-28"},{"id":16,"name":"Locomotive ID","value":"4052"},{"id":130,"name":"Impact","value":""},{"id":150,"name":"Time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4052 --day 2017-02-28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594</v>
      </c>
      <c r="B28" s="7">
        <v>4006</v>
      </c>
      <c r="C28" s="21" t="s">
        <v>274</v>
      </c>
      <c r="D28" s="21" t="s">
        <v>790</v>
      </c>
      <c r="E28" s="13">
        <v>42794.229641203703</v>
      </c>
      <c r="F28" s="13">
        <v>42794.231041666666</v>
      </c>
      <c r="G28" s="7">
        <v>1</v>
      </c>
      <c r="H28" s="21" t="s">
        <v>791</v>
      </c>
      <c r="I28" s="13">
        <v>42794.255914351852</v>
      </c>
      <c r="J28" s="7">
        <v>1</v>
      </c>
      <c r="K28" s="98" t="str">
        <f t="shared" si="0"/>
        <v>4005/4006</v>
      </c>
      <c r="L28" s="21" t="str">
        <f>VLOOKUP(A28,'Trips&amp;Operators'!$C$1:$G$99999,5,FALSE)</f>
        <v>ROCHA YAOTL</v>
      </c>
      <c r="M28" s="6">
        <f t="shared" si="1"/>
        <v>2.4872685185982846E-2</v>
      </c>
      <c r="N28" s="7">
        <f t="shared" si="20"/>
        <v>35.816666667815298</v>
      </c>
      <c r="O28" s="7"/>
      <c r="P28" s="7"/>
      <c r="Q28" s="22"/>
      <c r="R28" s="22"/>
      <c r="S28" s="31">
        <f t="shared" si="19"/>
        <v>1</v>
      </c>
      <c r="T28" s="46" t="str">
        <f t="shared" si="2"/>
        <v>NorthBound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3"/>
        <v>https://d0f6bd738d7f1b3e5a7ca70fe4ff75f0.us-east-1.aws.found.io/app/kibana#/discover/Steve-Slow-Train-Analysis-(2080s-and-2083s)?_g=(refreshInterval:(display:Off,pause:!f,section:0,value:0),time:(from:'2017-02-28T04:30:41-0700',mode:absolute,to:'2017-02-28T07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8" s="187" t="str">
        <f t="shared" si="4"/>
        <v>N</v>
      </c>
      <c r="X28" s="187">
        <f t="shared" si="5"/>
        <v>1</v>
      </c>
      <c r="Y28" s="62">
        <f t="shared" si="6"/>
        <v>7.5700000000000003E-2</v>
      </c>
      <c r="Z28" s="62">
        <f t="shared" si="7"/>
        <v>23.329499999999999</v>
      </c>
      <c r="AA28" s="62">
        <f t="shared" si="8"/>
        <v>23.253799999999998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0115-28</v>
      </c>
      <c r="AE28" s="85" t="str">
        <f t="shared" si="10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28" s="82" t="str">
        <f t="shared" si="11"/>
        <v>"C:\Program Files (x86)\AstroGrep\AstroGrep.exe" /spath="%USERPROFILE%\AppData\Local\Temp\OnboardLogs" /stypes="app*4006*20170228*" /stext=" 13:.+((SYSTEM_STATE.+slice.+state.+changed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6" t="str">
        <f t="shared" si="16"/>
        <v>"%USERPROFILE%\Documents\GitHub\eaglep3\Utilities\RefineRTDCRunTimes.py" --tripid 115-28 --locoid 4006 --swversion DE.1.0.9.0 --startMP 204:757 --initTime 2017-02-28T05:30:41 --startdatetime 2017-02-28T05:32:42 --delay 1 --endMP 204:233295 --enddatetime 2017-02-28T06:08:31 --enforcementcount 1 &gt;&gt;C:\Users\stu\Documents\GitHub\eaglep3-reporting\EC\2017-02-28-refined-times.txt</v>
      </c>
      <c r="AI28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{"issue":{"subject":"","project_id":79,"tracker_id":40,"status_id":1,"priority_id":2,"assigned_to_id":23,"start_date":"2017-02-28","description":"","custom_fields":[{"id":1,"name":"Subdivision","value":"EC"},{"id":4,"name":"Milepost","value":"23.3295"},{"id":17,"name":"Train ID","value":"115-28"},{"id":16,"name":"Locomotive ID","value":"4006"},{"id":130,"name":"Impact","value":""},{"id":150,"name":"Time of Event (Mountain Time)","value":"06:08:31"},{"id":151,"name":"Denver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4006 --day 2017-02-28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544</v>
      </c>
      <c r="B29" s="7">
        <v>4005</v>
      </c>
      <c r="C29" s="21" t="s">
        <v>274</v>
      </c>
      <c r="D29" s="21" t="s">
        <v>399</v>
      </c>
      <c r="E29" s="13">
        <v>42794.263668981483</v>
      </c>
      <c r="F29" s="13">
        <v>42794.26834490741</v>
      </c>
      <c r="G29" s="7">
        <v>1</v>
      </c>
      <c r="H29" s="21" t="s">
        <v>184</v>
      </c>
      <c r="I29" s="13">
        <v>42794.298194444447</v>
      </c>
      <c r="J29" s="7">
        <v>1</v>
      </c>
      <c r="K29" s="98" t="str">
        <f t="shared" si="0"/>
        <v>4005/4006</v>
      </c>
      <c r="L29" s="21" t="str">
        <f>VLOOKUP(A29,'Trips&amp;Operators'!$C$1:$G$99999,5,FALSE)</f>
        <v>ROCHA YAOTL</v>
      </c>
      <c r="M29" s="6">
        <f t="shared" si="1"/>
        <v>2.9849537037080154E-2</v>
      </c>
      <c r="N29" s="7">
        <f t="shared" si="20"/>
        <v>42.983333333395422</v>
      </c>
      <c r="O29" s="7"/>
      <c r="P29" s="7"/>
      <c r="Q29" s="22"/>
      <c r="R29" s="22"/>
      <c r="S29" s="31">
        <f t="shared" si="19"/>
        <v>1</v>
      </c>
      <c r="T29" s="46" t="str">
        <f t="shared" si="2"/>
        <v>Southbound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3"/>
        <v>https://d0f6bd738d7f1b3e5a7ca70fe4ff75f0.us-east-1.aws.found.io/app/kibana#/discover/Steve-Slow-Train-Analysis-(2080s-and-2083s)?_g=(refreshInterval:(display:Off,pause:!f,section:0,value:0),time:(from:'2017-02-28T05:19:41-0700',mode:absolute,to:'2017-02-28T08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9" s="187" t="str">
        <f t="shared" si="4"/>
        <v>N</v>
      </c>
      <c r="X29" s="187">
        <f t="shared" si="5"/>
        <v>1</v>
      </c>
      <c r="Y29" s="62">
        <f t="shared" si="6"/>
        <v>23.2973</v>
      </c>
      <c r="Z29" s="62">
        <f t="shared" si="7"/>
        <v>1.49E-2</v>
      </c>
      <c r="AA29" s="62">
        <f t="shared" si="8"/>
        <v>23.282399999999999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0116-28</v>
      </c>
      <c r="AE29" s="85" t="str">
        <f t="shared" si="10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29" s="82" t="str">
        <f t="shared" si="11"/>
        <v>"C:\Program Files (x86)\AstroGrep\AstroGrep.exe" /spath="%USERPROFILE%\AppData\Local\Temp\OnboardLogs" /stypes="app*4005*20170228*" /stext=" 14:.+((SYSTEM_STATE.+slice.+state.+changed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6" t="str">
        <f t="shared" si="16"/>
        <v>"%USERPROFILE%\Documents\GitHub\eaglep3\Utilities\RefineRTDCRunTimes.py" --tripid 116-28 --locoid 4005 --swversion DE.1.0.9.0 --startMP 204:232973 --initTime 2017-02-28T06:19:41 --startdatetime 2017-02-28T06:26:25 --delay 1 --endMP 204:149 --enddatetime 2017-02-28T07:09:24 --enforcementcount 1 &gt;&gt;C:\Users\stu\Documents\GitHub\eaglep3-reporting\EC\2017-02-28-refined-times.txt</v>
      </c>
      <c r="AI29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ID","value":"116-28"},{"id":16,"name":"Locomotive ID","value":"4005"},{"id":130,"name":"Impact","value":""},{"id":150,"name":"Time of Event (Mountain Time)","value":"07:09:24"},{"id":151,"name":"Denver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4005 --day 2017-02-28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"%USERPROFILE%\AppData\Local\Temp\OnboardLogs"\RTDC4005\*4005*20170228* | grep -SE "(Enforcement Action)|(\[TIMEOUT)|(CHR.+\|PRM\|1\|D.+(SWITCH|SIGNAL).+UNKNOWN)" - &gt;&gt; 2017-02-28-UncaughtWiMAX.txt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593</v>
      </c>
      <c r="B30" s="7">
        <v>4007</v>
      </c>
      <c r="C30" s="21" t="s">
        <v>274</v>
      </c>
      <c r="D30" s="21" t="s">
        <v>394</v>
      </c>
      <c r="E30" s="13">
        <v>42794.227500000001</v>
      </c>
      <c r="F30" s="13">
        <v>42794.239814814813</v>
      </c>
      <c r="G30" s="7">
        <v>1</v>
      </c>
      <c r="H30" s="21" t="s">
        <v>282</v>
      </c>
      <c r="I30" s="13">
        <v>42794.265046296299</v>
      </c>
      <c r="J30" s="7">
        <v>1</v>
      </c>
      <c r="K30" s="98" t="str">
        <f t="shared" si="0"/>
        <v>4007/4008</v>
      </c>
      <c r="L30" s="21" t="str">
        <f>VLOOKUP(A30,'Trips&amp;Operators'!$C$1:$G$99999,5,FALSE)</f>
        <v>MAELZER KURT</v>
      </c>
      <c r="M30" s="6">
        <f t="shared" si="1"/>
        <v>2.5231481486116536E-2</v>
      </c>
      <c r="N30" s="7">
        <f t="shared" si="20"/>
        <v>36.333333340007812</v>
      </c>
      <c r="O30" s="7"/>
      <c r="P30" s="7"/>
      <c r="Q30" s="22"/>
      <c r="R30" s="22"/>
      <c r="S30" s="31">
        <f t="shared" si="19"/>
        <v>1</v>
      </c>
      <c r="T30" s="46" t="str">
        <f t="shared" si="2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3"/>
        <v>https://d0f6bd738d7f1b3e5a7ca70fe4ff75f0.us-east-1.aws.found.io/app/kibana#/discover/Steve-Slow-Train-Analysis-(2080s-and-2083s)?_g=(refreshInterval:(display:Off,pause:!f,section:0,value:0),time:(from:'2017-02-28T04:27:36-0700',mode:absolute,to:'2017-02-28T07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87" t="str">
        <f t="shared" si="4"/>
        <v>N</v>
      </c>
      <c r="X30" s="187">
        <f t="shared" si="5"/>
        <v>1</v>
      </c>
      <c r="Y30" s="62">
        <f t="shared" si="6"/>
        <v>4.2700000000000002E-2</v>
      </c>
      <c r="Z30" s="62">
        <f t="shared" si="7"/>
        <v>23.331399999999999</v>
      </c>
      <c r="AA30" s="62">
        <f t="shared" si="8"/>
        <v>23.288699999999999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0117-28</v>
      </c>
      <c r="AE30" s="85" t="str">
        <f t="shared" si="10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30" s="82" t="str">
        <f t="shared" si="11"/>
        <v>"C:\Program Files (x86)\AstroGrep\AstroGrep.exe" /spath="%USERPROFILE%\AppData\Local\Temp\OnboardLogs" /stypes="app*4007*20170228*"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6" t="str">
        <f t="shared" si="16"/>
        <v>"%USERPROFILE%\Documents\GitHub\eaglep3\Utilities\RefineRTDCRunTimes.py" --tripid 117-28 --locoid 4007 --swversion DE.1.0.9.0 --startMP 204:427 --initTime 2017-02-28T05:27:36 --startdatetime 2017-02-28T05:45:20 --delay 1 --endMP 204:233314 --enddatetime 2017-02-28T06:21:40 --enforcementcount 1 &gt;&gt;C:\Users\stu\Documents\GitHub\eaglep3-reporting\EC\2017-02-28-refined-times.txt</v>
      </c>
      <c r="AI30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{"issue":{"subject":"","project_id":79,"tracker_id":40,"status_id":1,"priority_id":2,"assigned_to_id":23,"start_date":"2017-02-28","description":"","custom_fields":[{"id":1,"name":"Subdivision","value":"EC"},{"id":4,"name":"Milepost","value":"23.3314"},{"id":17,"name":"Train ID","value":"117-28"},{"id":16,"name":"Locomotive ID","value":"4007"},{"id":130,"name":"Impact","value":""},{"id":150,"name":"Time of Event (Mountain Time)","value":"06:21:40"},{"id":151,"name":"Denver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4007 --day 2017-02-28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610</v>
      </c>
      <c r="B31" s="7">
        <v>4008</v>
      </c>
      <c r="C31" s="21" t="s">
        <v>274</v>
      </c>
      <c r="D31" s="21" t="s">
        <v>249</v>
      </c>
      <c r="E31" s="13">
        <v>42794.274189814816</v>
      </c>
      <c r="F31" s="13">
        <v>42794.278761574074</v>
      </c>
      <c r="G31" s="7">
        <v>0</v>
      </c>
      <c r="H31" s="21" t="s">
        <v>184</v>
      </c>
      <c r="I31" s="13">
        <v>42794.305925925924</v>
      </c>
      <c r="J31" s="7">
        <v>1</v>
      </c>
      <c r="K31" s="98" t="str">
        <f t="shared" si="0"/>
        <v>4007/4008</v>
      </c>
      <c r="L31" s="21" t="str">
        <f>VLOOKUP(A31,'Trips&amp;Operators'!$C$1:$G$99999,5,FALSE)</f>
        <v>MAELZER KURT</v>
      </c>
      <c r="M31" s="6">
        <f t="shared" si="1"/>
        <v>2.7164351849933155E-2</v>
      </c>
      <c r="N31" s="7">
        <f t="shared" si="20"/>
        <v>39.116666663903743</v>
      </c>
      <c r="O31" s="7"/>
      <c r="P31" s="7"/>
      <c r="Q31" s="22"/>
      <c r="R31" s="22"/>
      <c r="S31" s="31">
        <f t="shared" si="19"/>
        <v>1</v>
      </c>
      <c r="T31" s="46" t="str">
        <f t="shared" si="2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3"/>
        <v>https://d0f6bd738d7f1b3e5a7ca70fe4ff75f0.us-east-1.aws.found.io/app/kibana#/discover/Steve-Slow-Train-Analysis-(2080s-and-2083s)?_g=(refreshInterval:(display:Off,pause:!f,section:0,value:0),time:(from:'2017-02-28T05:34:50-0700',mode:absolute,to:'2017-02-28T08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87" t="str">
        <f t="shared" si="4"/>
        <v>N</v>
      </c>
      <c r="X31" s="187">
        <f t="shared" si="5"/>
        <v>1</v>
      </c>
      <c r="Y31" s="62">
        <f t="shared" si="6"/>
        <v>23.299600000000002</v>
      </c>
      <c r="Z31" s="62">
        <f t="shared" si="7"/>
        <v>1.49E-2</v>
      </c>
      <c r="AA31" s="62">
        <f t="shared" si="8"/>
        <v>23.284700000000001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0118-28</v>
      </c>
      <c r="AE31" s="85" t="str">
        <f t="shared" si="10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31" s="82" t="str">
        <f t="shared" si="11"/>
        <v>"C:\Program Files (x86)\AstroGrep\AstroGrep.exe" /spath="%USERPROFILE%\AppData\Local\Temp\OnboardLogs" /stypes="app*4008*20170228*"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6" t="str">
        <f t="shared" si="16"/>
        <v>"%USERPROFILE%\Documents\GitHub\eaglep3\Utilities\RefineRTDCRunTimes.py" --tripid 118-28 --locoid 4008 --swversion DE.1.0.9.0 --startMP 204:232996 --initTime 2017-02-28T06:34:50 --startdatetime 2017-02-28T06:41:25 --delay 0 --endMP 204:149 --enddatetime 2017-02-28T07:20:32 --enforcementcount 1 &gt;&gt;C:\Users\stu\Documents\GitHub\eaglep3-reporting\EC\2017-02-28-refined-times.txt</v>
      </c>
      <c r="AI31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ID","value":"118-28"},{"id":16,"name":"Locomotive ID","value":"4008"},{"id":130,"name":"Impact","value":""},{"id":150,"name":"Time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4008 --day 2017-02-28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539</v>
      </c>
      <c r="B32" s="7">
        <v>4027</v>
      </c>
      <c r="C32" s="21" t="s">
        <v>274</v>
      </c>
      <c r="D32" s="21" t="s">
        <v>225</v>
      </c>
      <c r="E32" s="13">
        <v>42794.247800925928</v>
      </c>
      <c r="F32" s="13">
        <v>42794.250208333331</v>
      </c>
      <c r="G32" s="7">
        <v>1</v>
      </c>
      <c r="H32" s="21" t="s">
        <v>352</v>
      </c>
      <c r="I32" s="13">
        <v>42794.277291666665</v>
      </c>
      <c r="J32" s="7">
        <v>1</v>
      </c>
      <c r="K32" s="98" t="str">
        <f t="shared" si="0"/>
        <v>4027/4028</v>
      </c>
      <c r="L32" s="21" t="str">
        <f>VLOOKUP(A32,'Trips&amp;Operators'!$C$1:$G$99999,5,FALSE)</f>
        <v>STARKS ANGELINA</v>
      </c>
      <c r="M32" s="6">
        <f t="shared" si="1"/>
        <v>2.7083333334303461E-2</v>
      </c>
      <c r="N32" s="7">
        <f t="shared" si="20"/>
        <v>39.000000001396984</v>
      </c>
      <c r="O32" s="7"/>
      <c r="P32" s="7"/>
      <c r="Q32" s="22"/>
      <c r="R32" s="22"/>
      <c r="S32" s="31">
        <f t="shared" si="19"/>
        <v>1</v>
      </c>
      <c r="T32" s="46" t="str">
        <f t="shared" si="2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3"/>
        <v>https://d0f6bd738d7f1b3e5a7ca70fe4ff75f0.us-east-1.aws.found.io/app/kibana#/discover/Steve-Slow-Train-Analysis-(2080s-and-2083s)?_g=(refreshInterval:(display:Off,pause:!f,section:0,value:0),time:(from:'2017-02-28T04:56:50-0700',mode:absolute,to:'2017-02-28T07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87" t="str">
        <f t="shared" si="4"/>
        <v>N</v>
      </c>
      <c r="X32" s="187">
        <f t="shared" si="5"/>
        <v>1</v>
      </c>
      <c r="Y32" s="62">
        <f t="shared" si="6"/>
        <v>4.5100000000000001E-2</v>
      </c>
      <c r="Z32" s="62">
        <f t="shared" si="7"/>
        <v>23.331099999999999</v>
      </c>
      <c r="AA32" s="62">
        <f t="shared" si="8"/>
        <v>23.285999999999998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9"/>
        <v>0119-28</v>
      </c>
      <c r="AE32" s="85" t="str">
        <f t="shared" si="10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32" s="82" t="str">
        <f t="shared" si="11"/>
        <v>"C:\Program Files (x86)\AstroGrep\AstroGrep.exe" /spath="%USERPROFILE%\AppData\Local\Temp\OnboardLogs" /stypes="app*4027*20170228*"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6" t="str">
        <f t="shared" si="16"/>
        <v>"%USERPROFILE%\Documents\GitHub\eaglep3\Utilities\RefineRTDCRunTimes.py" --tripid 119-28 --locoid 4027 --swversion DE.1.0.9.0 --startMP 204:451 --initTime 2017-02-28T05:56:50 --startdatetime 2017-02-28T06:00:18 --delay 1 --endMP 204:233311 --enddatetime 2017-02-28T06:39:18 --enforcementcount 1 &gt;&gt;C:\Users\stu\Documents\GitHub\eaglep3-reporting\EC\2017-02-28-refined-times.txt</v>
      </c>
      <c r="AI32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{"issue":{"subject":"","project_id":79,"tracker_id":40,"status_id":1,"priority_id":2,"assigned_to_id":23,"start_date":"2017-02-28","description":"","custom_fields":[{"id":1,"name":"Subdivision","value":"EC"},{"id":4,"name":"Milepost","value":"23.3311"},{"id":17,"name":"Train ID","value":"119-28"},{"id":16,"name":"Locomotive ID","value":"4027"},{"id":130,"name":"Impact","value":""},{"id":150,"name":"Time of Event (Mountain Time)","value":"06:39:18"},{"id":151,"name":"Denver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4027 --day 2017-02-28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545</v>
      </c>
      <c r="B33" s="7">
        <v>4028</v>
      </c>
      <c r="C33" s="21" t="s">
        <v>274</v>
      </c>
      <c r="D33" s="21" t="s">
        <v>346</v>
      </c>
      <c r="E33" s="13">
        <v>42794.286898148152</v>
      </c>
      <c r="F33" s="13">
        <v>42794.289074074077</v>
      </c>
      <c r="G33" s="7">
        <v>2</v>
      </c>
      <c r="H33" s="21" t="s">
        <v>262</v>
      </c>
      <c r="I33" s="13">
        <v>42794.31753472222</v>
      </c>
      <c r="J33" s="7">
        <v>1</v>
      </c>
      <c r="K33" s="98" t="str">
        <f t="shared" si="0"/>
        <v>4027/4028</v>
      </c>
      <c r="L33" s="21" t="str">
        <f>VLOOKUP(A33,'Trips&amp;Operators'!$C$1:$G$99999,5,FALSE)</f>
        <v>STARKS ANGELINA</v>
      </c>
      <c r="M33" s="6">
        <f t="shared" si="1"/>
        <v>2.8460648143664002E-2</v>
      </c>
      <c r="N33" s="7">
        <f t="shared" si="20"/>
        <v>40.983333326876163</v>
      </c>
      <c r="O33" s="7"/>
      <c r="P33" s="7"/>
      <c r="Q33" s="22"/>
      <c r="R33" s="22"/>
      <c r="S33" s="31">
        <f t="shared" si="19"/>
        <v>1</v>
      </c>
      <c r="T33" s="46" t="str">
        <f t="shared" si="2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3"/>
        <v>https://d0f6bd738d7f1b3e5a7ca70fe4ff75f0.us-east-1.aws.found.io/app/kibana#/discover/Steve-Slow-Train-Analysis-(2080s-and-2083s)?_g=(refreshInterval:(display:Off,pause:!f,section:0,value:0),time:(from:'2017-02-28T05:53:08-0700',mode:absolute,to:'2017-02-28T08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87" t="str">
        <f t="shared" si="4"/>
        <v>N</v>
      </c>
      <c r="X33" s="187">
        <f t="shared" si="5"/>
        <v>1</v>
      </c>
      <c r="Y33" s="62">
        <f t="shared" si="6"/>
        <v>23.297999999999998</v>
      </c>
      <c r="Z33" s="62">
        <f t="shared" si="7"/>
        <v>1.47E-2</v>
      </c>
      <c r="AA33" s="62">
        <f t="shared" si="8"/>
        <v>23.283299999999997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0120-28</v>
      </c>
      <c r="AE33" s="85" t="str">
        <f t="shared" si="10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33" s="82" t="str">
        <f t="shared" si="11"/>
        <v>"C:\Program Files (x86)\AstroGrep\AstroGrep.exe" /spath="%USERPROFILE%\AppData\Local\Temp\OnboardLogs" /stypes="app*4028*20170228*"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6" t="str">
        <f t="shared" si="16"/>
        <v>"%USERPROFILE%\Documents\GitHub\eaglep3\Utilities\RefineRTDCRunTimes.py" --tripid 120-28 --locoid 4028 --swversion DE.1.0.9.0 --startMP 204:232980 --initTime 2017-02-28T06:53:08 --startdatetime 2017-02-28T06:56:16 --delay 2 --endMP 204:147 --enddatetime 2017-02-28T07:37:15 --enforcementcount 1 &gt;&gt;C:\Users\stu\Documents\GitHub\eaglep3-reporting\EC\2017-02-28-refined-times.txt</v>
      </c>
      <c r="AI33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{"issue":{"subject":"","project_id":79,"tracker_id":40,"status_id":1,"priority_id":2,"assigned_to_id":23,"start_date":"2017-02-28","description":"","custom_fields":[{"id":1,"name":"Subdivision","value":"EC"},{"id":4,"name":"Milepost","value":"0.0147"},{"id":17,"name":"Train ID","value":"120-28"},{"id":16,"name":"Locomotive ID","value":"4028"},{"id":130,"name":"Impact","value":""},{"id":150,"name":"Time of Event (Mountain Time)","value":"07:37:15"},{"id":151,"name":"Denver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4028 --day 2017-02-28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606</v>
      </c>
      <c r="B34" s="7">
        <v>4018</v>
      </c>
      <c r="C34" s="21" t="s">
        <v>274</v>
      </c>
      <c r="D34" s="21" t="s">
        <v>315</v>
      </c>
      <c r="E34" s="13">
        <v>42794.256828703707</v>
      </c>
      <c r="F34" s="13">
        <v>42794.260648148149</v>
      </c>
      <c r="G34" s="7">
        <v>1</v>
      </c>
      <c r="H34" s="21" t="s">
        <v>282</v>
      </c>
      <c r="I34" s="13">
        <v>42794.287164351852</v>
      </c>
      <c r="J34" s="7">
        <v>1</v>
      </c>
      <c r="K34" s="98" t="str">
        <f t="shared" si="0"/>
        <v>4017/4018</v>
      </c>
      <c r="L34" s="21" t="str">
        <f>VLOOKUP(A34,'Trips&amp;Operators'!$C$1:$G$99999,5,FALSE)</f>
        <v>LOCKLEAR TRAVIS</v>
      </c>
      <c r="M34" s="6">
        <f t="shared" si="1"/>
        <v>2.6516203703067731E-2</v>
      </c>
      <c r="N34" s="7">
        <f t="shared" si="20"/>
        <v>38.183333332417533</v>
      </c>
      <c r="O34" s="7"/>
      <c r="P34" s="7"/>
      <c r="Q34" s="22"/>
      <c r="R34" s="22"/>
      <c r="S34" s="31">
        <f t="shared" si="19"/>
        <v>1</v>
      </c>
      <c r="T34" s="46" t="str">
        <f t="shared" si="2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3"/>
        <v>https://d0f6bd738d7f1b3e5a7ca70fe4ff75f0.us-east-1.aws.found.io/app/kibana#/discover/Steve-Slow-Train-Analysis-(2080s-and-2083s)?_g=(refreshInterval:(display:Off,pause:!f,section:0,value:0),time:(from:'2017-02-28T05:09:50-0700',mode:absolute,to:'2017-02-28T07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4" s="187" t="str">
        <f t="shared" si="4"/>
        <v>N</v>
      </c>
      <c r="X34" s="187">
        <f t="shared" si="5"/>
        <v>1</v>
      </c>
      <c r="Y34" s="62">
        <f t="shared" si="6"/>
        <v>4.6699999999999998E-2</v>
      </c>
      <c r="Z34" s="62">
        <f t="shared" si="7"/>
        <v>23.331399999999999</v>
      </c>
      <c r="AA34" s="62">
        <f t="shared" si="8"/>
        <v>23.284699999999997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0121-28</v>
      </c>
      <c r="AE34" s="85" t="str">
        <f t="shared" si="10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34" s="82" t="str">
        <f t="shared" si="11"/>
        <v>"C:\Program Files (x86)\AstroGrep\AstroGrep.exe" /spath="%USERPROFILE%\AppData\Local\Temp\OnboardLogs" /stypes="app*4018*20170228*"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6" t="str">
        <f t="shared" si="16"/>
        <v>"%USERPROFILE%\Documents\GitHub\eaglep3\Utilities\RefineRTDCRunTimes.py" --tripid 121-28 --locoid 4018 --swversion DE.1.0.9.0 --startMP 204:467 --initTime 2017-02-28T06:09:50 --startdatetime 2017-02-28T06:15:20 --delay 1 --endMP 204:233314 --enddatetime 2017-02-28T06:53:31 --enforcementcount 1 &gt;&gt;C:\Users\stu\Documents\GitHub\eaglep3-reporting\EC\2017-02-28-refined-times.txt</v>
      </c>
      <c r="AI34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{"issue":{"subject":"","project_id":79,"tracker_id":40,"status_id":1,"priority_id":2,"assigned_to_id":23,"start_date":"2017-02-28","description":"","custom_fields":[{"id":1,"name":"Subdivision","value":"EC"},{"id":4,"name":"Milepost","value":"23.3314"},{"id":17,"name":"Train ID","value":"121-28"},{"id":16,"name":"Locomotive ID","value":"4018"},{"id":130,"name":"Impact","value":""},{"id":150,"name":"Time of Event (Mountain Time)","value":"06:53:31"},{"id":151,"name":"Denver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4018 --day 2017-02-28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615</v>
      </c>
      <c r="B35" s="7">
        <v>4017</v>
      </c>
      <c r="C35" s="21" t="s">
        <v>274</v>
      </c>
      <c r="D35" s="21" t="s">
        <v>249</v>
      </c>
      <c r="E35" s="13">
        <v>42794.297581018516</v>
      </c>
      <c r="F35" s="13">
        <v>42794.299479166664</v>
      </c>
      <c r="G35" s="7">
        <v>1</v>
      </c>
      <c r="H35" s="21" t="s">
        <v>184</v>
      </c>
      <c r="I35" s="13">
        <v>42794.328182870369</v>
      </c>
      <c r="J35" s="7">
        <v>1</v>
      </c>
      <c r="K35" s="98" t="str">
        <f t="shared" si="0"/>
        <v>4017/4018</v>
      </c>
      <c r="L35" s="21" t="str">
        <f>VLOOKUP(A35,'Trips&amp;Operators'!$C$1:$G$99999,5,FALSE)</f>
        <v>LOCKLEAR TRAVIS</v>
      </c>
      <c r="M35" s="6">
        <f t="shared" si="1"/>
        <v>2.8703703705104999E-2</v>
      </c>
      <c r="N35" s="7">
        <f t="shared" si="20"/>
        <v>41.333333335351199</v>
      </c>
      <c r="O35" s="7"/>
      <c r="P35" s="7"/>
      <c r="Q35" s="22"/>
      <c r="R35" s="22"/>
      <c r="S35" s="31">
        <f t="shared" si="19"/>
        <v>1</v>
      </c>
      <c r="T35" s="46" t="str">
        <f t="shared" si="2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3"/>
        <v>https://d0f6bd738d7f1b3e5a7ca70fe4ff75f0.us-east-1.aws.found.io/app/kibana#/discover/Steve-Slow-Train-Analysis-(2080s-and-2083s)?_g=(refreshInterval:(display:Off,pause:!f,section:0,value:0),time:(from:'2017-02-28T06:08:31-0700',mode:absolute,to:'2017-02-28T08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5" s="187" t="str">
        <f t="shared" si="4"/>
        <v>N</v>
      </c>
      <c r="X35" s="187">
        <f t="shared" si="5"/>
        <v>1</v>
      </c>
      <c r="Y35" s="62">
        <f t="shared" si="6"/>
        <v>23.299600000000002</v>
      </c>
      <c r="Z35" s="62">
        <f t="shared" si="7"/>
        <v>1.49E-2</v>
      </c>
      <c r="AA35" s="62">
        <f t="shared" si="8"/>
        <v>23.284700000000001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0122-28</v>
      </c>
      <c r="AE35" s="85" t="str">
        <f t="shared" si="10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35" s="82" t="str">
        <f t="shared" si="11"/>
        <v>"C:\Program Files (x86)\AstroGrep\AstroGrep.exe" /spath="%USERPROFILE%\AppData\Local\Temp\OnboardLogs" /stypes="app*4017*20170228*"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6" t="str">
        <f t="shared" si="16"/>
        <v>"%USERPROFILE%\Documents\GitHub\eaglep3\Utilities\RefineRTDCRunTimes.py" --tripid 122-28 --locoid 4017 --swversion DE.1.0.9.0 --startMP 204:232996 --initTime 2017-02-28T07:08:31 --startdatetime 2017-02-28T07:11:15 --delay 1 --endMP 204:149 --enddatetime 2017-02-28T07:52:35 --enforcementcount 1 &gt;&gt;C:\Users\stu\Documents\GitHub\eaglep3-reporting\EC\2017-02-28-refined-times.txt</v>
      </c>
      <c r="AI35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ID","value":"122-28"},{"id":16,"name":"Locomotive ID","value":"4017"},{"id":130,"name":"Impact","value":""},{"id":150,"name":"Time of Event (Mountain Time)","value":"07:52:35"},{"id":151,"name":"Denver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4017 --day 2017-02-28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607</v>
      </c>
      <c r="B36" s="7">
        <v>4025</v>
      </c>
      <c r="C36" s="21" t="s">
        <v>274</v>
      </c>
      <c r="D36" s="21" t="s">
        <v>268</v>
      </c>
      <c r="E36" s="13">
        <v>42794.26734953704</v>
      </c>
      <c r="F36" s="13">
        <v>42794.271041666667</v>
      </c>
      <c r="G36" s="7">
        <v>2</v>
      </c>
      <c r="H36" s="21" t="s">
        <v>792</v>
      </c>
      <c r="I36" s="13">
        <v>42794.296365740738</v>
      </c>
      <c r="J36" s="7">
        <v>1</v>
      </c>
      <c r="K36" s="98" t="str">
        <f t="shared" si="0"/>
        <v>4025/4026</v>
      </c>
      <c r="L36" s="21" t="str">
        <f>VLOOKUP(A36,'Trips&amp;Operators'!$C$1:$G$99999,5,FALSE)</f>
        <v>ACKERMAN JARED</v>
      </c>
      <c r="M36" s="6">
        <f t="shared" si="1"/>
        <v>2.5324074071249925E-2</v>
      </c>
      <c r="N36" s="7">
        <f t="shared" si="20"/>
        <v>36.466666662599891</v>
      </c>
      <c r="O36" s="7"/>
      <c r="P36" s="7"/>
      <c r="Q36" s="22"/>
      <c r="R36" s="22"/>
      <c r="S36" s="31">
        <f t="shared" si="19"/>
        <v>1</v>
      </c>
      <c r="T36" s="46" t="str">
        <f t="shared" si="2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3"/>
        <v>https://d0f6bd738d7f1b3e5a7ca70fe4ff75f0.us-east-1.aws.found.io/app/kibana#/discover/Steve-Slow-Train-Analysis-(2080s-and-2083s)?_g=(refreshInterval:(display:Off,pause:!f,section:0,value:0),time:(from:'2017-02-28T05:24:59-0700',mode:absolute,to:'2017-02-28T08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87" t="str">
        <f t="shared" si="4"/>
        <v>N</v>
      </c>
      <c r="X36" s="187">
        <f t="shared" si="5"/>
        <v>1</v>
      </c>
      <c r="Y36" s="62">
        <f t="shared" si="6"/>
        <v>4.4699999999999997E-2</v>
      </c>
      <c r="Z36" s="62">
        <f t="shared" si="7"/>
        <v>23.332799999999999</v>
      </c>
      <c r="AA36" s="62">
        <f t="shared" si="8"/>
        <v>23.2881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0123-28</v>
      </c>
      <c r="AE36" s="85" t="str">
        <f t="shared" si="10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36" s="82" t="str">
        <f t="shared" si="11"/>
        <v>"C:\Program Files (x86)\AstroGrep\AstroGrep.exe" /spath="%USERPROFILE%\AppData\Local\Temp\OnboardLogs" /stypes="app*4025*20170228*"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6" t="str">
        <f t="shared" si="16"/>
        <v>"%USERPROFILE%\Documents\GitHub\eaglep3\Utilities\RefineRTDCRunTimes.py" --tripid 123-28 --locoid 4025 --swversion DE.1.0.9.0 --startMP 204:447 --initTime 2017-02-28T06:24:59 --startdatetime 2017-02-28T06:30:18 --delay 2 --endMP 204:233328 --enddatetime 2017-02-28T07:06:46 --enforcementcount 1 &gt;&gt;C:\Users\stu\Documents\GitHub\eaglep3-reporting\EC\2017-02-28-refined-times.txt</v>
      </c>
      <c r="AI3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{"issue":{"subject":"","project_id":79,"tracker_id":40,"status_id":1,"priority_id":2,"assigned_to_id":23,"start_date":"2017-02-28","description":"","custom_fields":[{"id":1,"name":"Subdivision","value":"EC"},{"id":4,"name":"Milepost","value":"23.3328"},{"id":17,"name":"Train ID","value":"123-28"},{"id":16,"name":"Locomotive ID","value":"4025"},{"id":130,"name":"Impact","value":""},{"id":150,"name":"Time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4025 --day 2017-02-28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616</v>
      </c>
      <c r="B37" s="7">
        <v>4026</v>
      </c>
      <c r="C37" s="21" t="s">
        <v>274</v>
      </c>
      <c r="D37" s="21" t="s">
        <v>277</v>
      </c>
      <c r="E37" s="13">
        <v>42794.302129629628</v>
      </c>
      <c r="F37" s="13">
        <v>42794.309907407405</v>
      </c>
      <c r="G37" s="7">
        <v>1</v>
      </c>
      <c r="H37" s="21" t="s">
        <v>213</v>
      </c>
      <c r="I37" s="13">
        <v>42794.338287037041</v>
      </c>
      <c r="J37" s="7">
        <v>1</v>
      </c>
      <c r="K37" s="98" t="str">
        <f t="shared" si="0"/>
        <v>4025/4026</v>
      </c>
      <c r="L37" s="21" t="str">
        <f>VLOOKUP(A37,'Trips&amp;Operators'!$C$1:$G$99999,5,FALSE)</f>
        <v>ACKERMAN JARED</v>
      </c>
      <c r="M37" s="6">
        <f t="shared" si="1"/>
        <v>2.8379629635310266E-2</v>
      </c>
      <c r="N37" s="7">
        <f t="shared" si="20"/>
        <v>40.866666674846783</v>
      </c>
      <c r="O37" s="7"/>
      <c r="P37" s="7"/>
      <c r="Q37" s="22"/>
      <c r="R37" s="22"/>
      <c r="S37" s="31">
        <f t="shared" si="19"/>
        <v>1</v>
      </c>
      <c r="T37" s="46" t="str">
        <f t="shared" si="2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3"/>
        <v>https://d0f6bd738d7f1b3e5a7ca70fe4ff75f0.us-east-1.aws.found.io/app/kibana#/discover/Steve-Slow-Train-Analysis-(2080s-and-2083s)?_g=(refreshInterval:(display:Off,pause:!f,section:0,value:0),time:(from:'2017-02-28T06:15:04-0700',mode:absolute,to:'2017-02-28T09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187" t="str">
        <f t="shared" si="4"/>
        <v>N</v>
      </c>
      <c r="X37" s="187">
        <f t="shared" si="5"/>
        <v>1</v>
      </c>
      <c r="Y37" s="62">
        <f t="shared" si="6"/>
        <v>23.299399999999999</v>
      </c>
      <c r="Z37" s="62">
        <f t="shared" si="7"/>
        <v>1.54E-2</v>
      </c>
      <c r="AA37" s="62">
        <f t="shared" si="8"/>
        <v>23.283999999999999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0124-28</v>
      </c>
      <c r="AE37" s="85" t="str">
        <f t="shared" si="10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37" s="82" t="str">
        <f t="shared" si="11"/>
        <v>"C:\Program Files (x86)\AstroGrep\AstroGrep.exe" /spath="%USERPROFILE%\AppData\Local\Temp\OnboardLogs" /stypes="app*4026*20170228*"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6" t="str">
        <f t="shared" si="16"/>
        <v>"%USERPROFILE%\Documents\GitHub\eaglep3\Utilities\RefineRTDCRunTimes.py" --tripid 124-28 --locoid 4026 --swversion DE.1.0.9.0 --startMP 204:232994 --initTime 2017-02-28T07:15:04 --startdatetime 2017-02-28T07:26:16 --delay 1 --endMP 204:154 --enddatetime 2017-02-28T08:07:08 --enforcementcount 1 &gt;&gt;C:\Users\stu\Documents\GitHub\eaglep3-reporting\EC\2017-02-28-refined-times.txt</v>
      </c>
      <c r="AI37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{"issue":{"subject":"","project_id":79,"tracker_id":40,"status_id":1,"priority_id":2,"assigned_to_id":23,"start_date":"2017-02-28","description":"","custom_fields":[{"id":1,"name":"Subdivision","value":"EC"},{"id":4,"name":"Milepost","value":"0.0154"},{"id":17,"name":"Train ID","value":"124-28"},{"id":16,"name":"Locomotive ID","value":"4026"},{"id":130,"name":"Impact","value":""},{"id":150,"name":"Time of Event (Mountain Time)","value":"08:07:08"},{"id":151,"name":"Denver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4026 --day 2017-02-28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612</v>
      </c>
      <c r="B38" s="7">
        <v>4003</v>
      </c>
      <c r="C38" s="21" t="s">
        <v>274</v>
      </c>
      <c r="D38" s="21" t="s">
        <v>226</v>
      </c>
      <c r="E38" s="13">
        <v>42794.278182870374</v>
      </c>
      <c r="F38" s="13">
        <v>42794.281643518516</v>
      </c>
      <c r="G38" s="7">
        <v>1</v>
      </c>
      <c r="H38" s="21" t="s">
        <v>282</v>
      </c>
      <c r="I38" s="13">
        <v>42794.306932870371</v>
      </c>
      <c r="J38" s="7">
        <v>1</v>
      </c>
      <c r="K38" s="98" t="str">
        <f t="shared" si="0"/>
        <v>4003/4004</v>
      </c>
      <c r="L38" s="21" t="str">
        <f>VLOOKUP(A38,'Trips&amp;Operators'!$C$1:$G$99999,5,FALSE)</f>
        <v>LOZA FIDEL</v>
      </c>
      <c r="M38" s="6">
        <f t="shared" si="1"/>
        <v>2.5289351855462883E-2</v>
      </c>
      <c r="N38" s="7">
        <f t="shared" si="20"/>
        <v>36.416666671866551</v>
      </c>
      <c r="O38" s="7"/>
      <c r="P38" s="7"/>
      <c r="Q38" s="22"/>
      <c r="R38" s="22"/>
      <c r="S38" s="31">
        <f t="shared" si="19"/>
        <v>1</v>
      </c>
      <c r="T38" s="46" t="str">
        <f t="shared" si="2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3"/>
        <v>https://d0f6bd738d7f1b3e5a7ca70fe4ff75f0.us-east-1.aws.found.io/app/kibana#/discover/Steve-Slow-Train-Analysis-(2080s-and-2083s)?_g=(refreshInterval:(display:Off,pause:!f,section:0,value:0),time:(from:'2017-02-28T05:40:35-0700',mode:absolute,to:'2017-02-28T08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187" t="str">
        <f t="shared" si="4"/>
        <v>N</v>
      </c>
      <c r="X38" s="187">
        <f t="shared" si="5"/>
        <v>1</v>
      </c>
      <c r="Y38" s="62">
        <f t="shared" si="6"/>
        <v>4.5699999999999998E-2</v>
      </c>
      <c r="Z38" s="62">
        <f t="shared" si="7"/>
        <v>23.331399999999999</v>
      </c>
      <c r="AA38" s="62">
        <f t="shared" si="8"/>
        <v>23.285699999999999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0125-28</v>
      </c>
      <c r="AE38" s="85" t="str">
        <f t="shared" si="10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38" s="82" t="str">
        <f t="shared" si="11"/>
        <v>"C:\Program Files (x86)\AstroGrep\AstroGrep.exe" /spath="%USERPROFILE%\AppData\Local\Temp\OnboardLogs" /stypes="app*4003*20170228*"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6" t="str">
        <f t="shared" si="16"/>
        <v>"%USERPROFILE%\Documents\GitHub\eaglep3\Utilities\RefineRTDCRunTimes.py" --tripid 125-28 --locoid 4003 --swversion DE.1.0.9.0 --startMP 204:457 --initTime 2017-02-28T06:40:35 --startdatetime 2017-02-28T06:45:34 --delay 1 --endMP 204:233314 --enddatetime 2017-02-28T07:21:59 --enforcementcount 1 &gt;&gt;C:\Users\stu\Documents\GitHub\eaglep3-reporting\EC\2017-02-28-refined-times.txt</v>
      </c>
      <c r="AI38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{"issue":{"subject":"","project_id":79,"tracker_id":40,"status_id":1,"priority_id":2,"assigned_to_id":23,"start_date":"2017-02-28","description":"","custom_fields":[{"id":1,"name":"Subdivision","value":"EC"},{"id":4,"name":"Milepost","value":"23.3314"},{"id":17,"name":"Train ID","value":"125-28"},{"id":16,"name":"Locomotive ID","value":"4003"},{"id":130,"name":"Impact","value":""},{"id":150,"name":"Time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4003 --day 2017-02-28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620</v>
      </c>
      <c r="B39" s="7">
        <v>4004</v>
      </c>
      <c r="C39" s="21" t="s">
        <v>274</v>
      </c>
      <c r="D39" s="21" t="s">
        <v>793</v>
      </c>
      <c r="E39" s="13">
        <v>42794.318738425929</v>
      </c>
      <c r="F39" s="13">
        <v>42794.320613425924</v>
      </c>
      <c r="G39" s="7">
        <v>2</v>
      </c>
      <c r="H39" s="21" t="s">
        <v>262</v>
      </c>
      <c r="I39" s="13">
        <v>42794.348368055558</v>
      </c>
      <c r="J39" s="7">
        <v>1</v>
      </c>
      <c r="K39" s="98" t="str">
        <f t="shared" si="0"/>
        <v>4003/4004</v>
      </c>
      <c r="L39" s="21" t="str">
        <f>VLOOKUP(A39,'Trips&amp;Operators'!$C$1:$G$99999,5,FALSE)</f>
        <v>LOZA FIDEL</v>
      </c>
      <c r="M39" s="6">
        <f t="shared" si="1"/>
        <v>2.775462963472819E-2</v>
      </c>
      <c r="N39" s="7">
        <f t="shared" si="20"/>
        <v>39.966666674008593</v>
      </c>
      <c r="O39" s="7"/>
      <c r="P39" s="7"/>
      <c r="Q39" s="22"/>
      <c r="R39" s="22"/>
      <c r="S39" s="31">
        <f t="shared" si="19"/>
        <v>1</v>
      </c>
      <c r="T39" s="46" t="str">
        <f t="shared" si="2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3"/>
        <v>https://d0f6bd738d7f1b3e5a7ca70fe4ff75f0.us-east-1.aws.found.io/app/kibana#/discover/Steve-Slow-Train-Analysis-(2080s-and-2083s)?_g=(refreshInterval:(display:Off,pause:!f,section:0,value:0),time:(from:'2017-02-28T06:38:59-0700',mode:absolute,to:'2017-02-28T09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87" t="str">
        <f t="shared" si="4"/>
        <v>N</v>
      </c>
      <c r="X39" s="187">
        <f t="shared" si="5"/>
        <v>1</v>
      </c>
      <c r="Y39" s="62">
        <f t="shared" si="6"/>
        <v>23.294</v>
      </c>
      <c r="Z39" s="62">
        <f t="shared" si="7"/>
        <v>1.47E-2</v>
      </c>
      <c r="AA39" s="62">
        <f t="shared" si="8"/>
        <v>23.279299999999999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0126-28</v>
      </c>
      <c r="AE39" s="85" t="str">
        <f t="shared" si="10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39" s="82" t="str">
        <f t="shared" si="11"/>
        <v>"C:\Program Files (x86)\AstroGrep\AstroGrep.exe" /spath="%USERPROFILE%\AppData\Local\Temp\OnboardLogs" /stypes="app*4004*20170228*"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6" t="str">
        <f t="shared" si="16"/>
        <v>"%USERPROFILE%\Documents\GitHub\eaglep3\Utilities\RefineRTDCRunTimes.py" --tripid 126-28 --locoid 4004 --swversion DE.1.0.9.0 --startMP 204:232940 --initTime 2017-02-28T07:38:59 --startdatetime 2017-02-28T07:41:41 --delay 2 --endMP 204:147 --enddatetime 2017-02-28T08:21:39 --enforcementcount 1 &gt;&gt;C:\Users\stu\Documents\GitHub\eaglep3-reporting\EC\2017-02-28-refined-times.txt</v>
      </c>
      <c r="AI39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{"issue":{"subject":"","project_id":79,"tracker_id":40,"status_id":1,"priority_id":2,"assigned_to_id":23,"start_date":"2017-02-28","description":"","custom_fields":[{"id":1,"name":"Subdivision","value":"EC"},{"id":4,"name":"Milepost","value":"0.0147"},{"id":17,"name":"Train ID","value":"126-28"},{"id":16,"name":"Locomotive ID","value":"4004"},{"id":130,"name":"Impact","value":""},{"id":150,"name":"Time of Event (Mountain Time)","value":"08:21:39"},{"id":151,"name":"Denver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4004 --day 2017-02-28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613</v>
      </c>
      <c r="B40" s="7">
        <v>4051</v>
      </c>
      <c r="C40" s="21" t="s">
        <v>274</v>
      </c>
      <c r="D40" s="21" t="s">
        <v>315</v>
      </c>
      <c r="E40" s="13">
        <v>42794.289456018516</v>
      </c>
      <c r="F40" s="13">
        <v>42794.291851851849</v>
      </c>
      <c r="G40" s="7">
        <v>1</v>
      </c>
      <c r="H40" s="21" t="s">
        <v>408</v>
      </c>
      <c r="I40" s="13">
        <v>42794.316643518519</v>
      </c>
      <c r="J40" s="7">
        <v>1</v>
      </c>
      <c r="K40" s="98" t="str">
        <f t="shared" si="0"/>
        <v>4051/4052</v>
      </c>
      <c r="L40" s="21" t="str">
        <f>VLOOKUP(A40,'Trips&amp;Operators'!$C$1:$G$99999,5,FALSE)</f>
        <v>SANTIZO D. EDY</v>
      </c>
      <c r="M40" s="6">
        <f t="shared" si="1"/>
        <v>2.4791666670353152E-2</v>
      </c>
      <c r="N40" s="7">
        <f t="shared" si="20"/>
        <v>35.700000005308539</v>
      </c>
      <c r="O40" s="7"/>
      <c r="P40" s="7"/>
      <c r="Q40" s="22"/>
      <c r="R40" s="22"/>
      <c r="S40" s="31">
        <f t="shared" si="19"/>
        <v>1</v>
      </c>
      <c r="T40" s="46" t="str">
        <f t="shared" si="2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3"/>
        <v>https://d0f6bd738d7f1b3e5a7ca70fe4ff75f0.us-east-1.aws.found.io/app/kibana#/discover/Steve-Slow-Train-Analysis-(2080s-and-2083s)?_g=(refreshInterval:(display:Off,pause:!f,section:0,value:0),time:(from:'2017-02-28T05:56:49-0700',mode:absolute,to:'2017-02-28T08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187" t="str">
        <f t="shared" si="4"/>
        <v>N</v>
      </c>
      <c r="X40" s="187">
        <f t="shared" si="5"/>
        <v>1</v>
      </c>
      <c r="Y40" s="62">
        <f t="shared" si="6"/>
        <v>4.6699999999999998E-2</v>
      </c>
      <c r="Z40" s="62">
        <f t="shared" si="7"/>
        <v>23.332000000000001</v>
      </c>
      <c r="AA40" s="62">
        <f t="shared" si="8"/>
        <v>23.285299999999999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0127-28</v>
      </c>
      <c r="AE40" s="85" t="str">
        <f t="shared" si="10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40" s="82" t="str">
        <f t="shared" si="11"/>
        <v>"C:\Program Files (x86)\AstroGrep\AstroGrep.exe" /spath="%USERPROFILE%\AppData\Local\Temp\OnboardLogs" /stypes="app*4051*20170228*"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6" t="str">
        <f t="shared" si="16"/>
        <v>"%USERPROFILE%\Documents\GitHub\eaglep3\Utilities\RefineRTDCRunTimes.py" --tripid 127-28 --locoid 4051 --swversion DE.1.0.9.0 --startMP 204:467 --initTime 2017-02-28T06:56:49 --startdatetime 2017-02-28T07:00:16 --delay 1 --endMP 204:233320 --enddatetime 2017-02-28T07:35:58 --enforcementcount 1 &gt;&gt;C:\Users\stu\Documents\GitHub\eaglep3-reporting\EC\2017-02-28-refined-times.txt</v>
      </c>
      <c r="AI40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{"issue":{"subject":"","project_id":79,"tracker_id":40,"status_id":1,"priority_id":2,"assigned_to_id":23,"start_date":"2017-02-28","description":"","custom_fields":[{"id":1,"name":"Subdivision","value":"EC"},{"id":4,"name":"Milepost","value":"23.332"},{"id":17,"name":"Train ID","value":"127-28"},{"id":16,"name":"Locomotive ID","value":"4051"},{"id":130,"name":"Impact","value":""},{"id":150,"name":"Time of Event (Mountain Time)","value":"07:35:58"},{"id":151,"name":"Denver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4051 --day 2017-02-28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619</v>
      </c>
      <c r="B41" s="7">
        <v>4052</v>
      </c>
      <c r="C41" s="21" t="s">
        <v>274</v>
      </c>
      <c r="D41" s="21" t="s">
        <v>265</v>
      </c>
      <c r="E41" s="13">
        <v>42794.318182870367</v>
      </c>
      <c r="F41" s="13">
        <v>42794.330752314818</v>
      </c>
      <c r="G41" s="7">
        <v>1</v>
      </c>
      <c r="H41" s="21" t="s">
        <v>286</v>
      </c>
      <c r="I41" s="13">
        <v>42794.357858796298</v>
      </c>
      <c r="J41" s="7">
        <v>1</v>
      </c>
      <c r="K41" s="98" t="str">
        <f t="shared" si="0"/>
        <v>4051/4052</v>
      </c>
      <c r="L41" s="21" t="str">
        <f>VLOOKUP(A41,'Trips&amp;Operators'!$C$1:$G$99999,5,FALSE)</f>
        <v>SANTIZO D. EDY</v>
      </c>
      <c r="M41" s="6">
        <f t="shared" si="1"/>
        <v>2.7106481480586808E-2</v>
      </c>
      <c r="N41" s="7">
        <f t="shared" si="20"/>
        <v>39.033333332045004</v>
      </c>
      <c r="O41" s="7"/>
      <c r="P41" s="7"/>
      <c r="Q41" s="22"/>
      <c r="R41" s="22"/>
      <c r="S41" s="31">
        <f t="shared" si="19"/>
        <v>1</v>
      </c>
      <c r="T41" s="46" t="str">
        <f t="shared" si="2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3"/>
        <v>https://d0f6bd738d7f1b3e5a7ca70fe4ff75f0.us-east-1.aws.found.io/app/kibana#/discover/Steve-Slow-Train-Analysis-(2080s-and-2083s)?_g=(refreshInterval:(display:Off,pause:!f,section:0,value:0),time:(from:'2017-02-28T06:38:11-0700',mode:absolute,to:'2017-02-28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187" t="str">
        <f t="shared" si="4"/>
        <v>N</v>
      </c>
      <c r="X41" s="187">
        <f t="shared" si="5"/>
        <v>1</v>
      </c>
      <c r="Y41" s="62">
        <f t="shared" si="6"/>
        <v>23.298200000000001</v>
      </c>
      <c r="Z41" s="62">
        <f t="shared" si="7"/>
        <v>1.6500000000000001E-2</v>
      </c>
      <c r="AA41" s="62">
        <f t="shared" si="8"/>
        <v>23.281700000000001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0128-28</v>
      </c>
      <c r="AE41" s="85" t="str">
        <f t="shared" si="10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41" s="82" t="str">
        <f t="shared" si="11"/>
        <v>"C:\Program Files (x86)\AstroGrep\AstroGrep.exe" /spath="%USERPROFILE%\AppData\Local\Temp\OnboardLogs" /stypes="app*4052*20170228*"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6" t="str">
        <f t="shared" si="16"/>
        <v>"%USERPROFILE%\Documents\GitHub\eaglep3\Utilities\RefineRTDCRunTimes.py" --tripid 128-28 --locoid 4052 --swversion DE.1.0.9.0 --startMP 204:232982 --initTime 2017-02-28T07:38:11 --startdatetime 2017-02-28T07:56:17 --delay 1 --endMP 204:165 --enddatetime 2017-02-28T08:35:19 --enforcementcount 1 &gt;&gt;C:\Users\stu\Documents\GitHub\eaglep3-reporting\EC\2017-02-28-refined-times.txt</v>
      </c>
      <c r="AI41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{"issue":{"subject":"","project_id":79,"tracker_id":40,"status_id":1,"priority_id":2,"assigned_to_id":23,"start_date":"2017-02-28","description":"","custom_fields":[{"id":1,"name":"Subdivision","value":"EC"},{"id":4,"name":"Milepost","value":"0.0165"},{"id":17,"name":"Train ID","value":"128-28"},{"id":16,"name":"Locomotive ID","value":"4052"},{"id":130,"name":"Impact","value":""},{"id":150,"name":"Time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4052 --day 2017-02-28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546</v>
      </c>
      <c r="B42" s="7">
        <v>4006</v>
      </c>
      <c r="C42" s="21" t="s">
        <v>274</v>
      </c>
      <c r="D42" s="21" t="s">
        <v>275</v>
      </c>
      <c r="E42" s="13">
        <v>42794.30263888889</v>
      </c>
      <c r="F42" s="13">
        <v>42794.303842592592</v>
      </c>
      <c r="G42" s="7">
        <v>1</v>
      </c>
      <c r="H42" s="21" t="s">
        <v>283</v>
      </c>
      <c r="I42" s="13">
        <v>42794.329236111109</v>
      </c>
      <c r="J42" s="7">
        <v>1</v>
      </c>
      <c r="K42" s="98" t="str">
        <f t="shared" si="0"/>
        <v>4005/4006</v>
      </c>
      <c r="L42" s="21" t="str">
        <f>VLOOKUP(A42,'Trips&amp;Operators'!$C$1:$G$99999,5,FALSE)</f>
        <v>ROCHA YAOTL</v>
      </c>
      <c r="M42" s="6">
        <f t="shared" si="1"/>
        <v>2.5393518517375924E-2</v>
      </c>
      <c r="N42" s="7">
        <f t="shared" si="20"/>
        <v>36.56666666502133</v>
      </c>
      <c r="O42" s="7"/>
      <c r="P42" s="7"/>
      <c r="Q42" s="22"/>
      <c r="R42" s="22"/>
      <c r="S42" s="31">
        <f t="shared" si="19"/>
        <v>1</v>
      </c>
      <c r="T42" s="46" t="str">
        <f t="shared" si="2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3"/>
        <v>https://d0f6bd738d7f1b3e5a7ca70fe4ff75f0.us-east-1.aws.found.io/app/kibana#/discover/Steve-Slow-Train-Analysis-(2080s-and-2083s)?_g=(refreshInterval:(display:Off,pause:!f,section:0,value:0),time:(from:'2017-02-28T06:15:48-0700',mode:absolute,to:'2017-02-28T08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2" s="187" t="str">
        <f t="shared" si="4"/>
        <v>N</v>
      </c>
      <c r="X42" s="187">
        <f t="shared" si="5"/>
        <v>1</v>
      </c>
      <c r="Y42" s="62">
        <f t="shared" si="6"/>
        <v>4.58E-2</v>
      </c>
      <c r="Z42" s="62">
        <f t="shared" si="7"/>
        <v>23.329699999999999</v>
      </c>
      <c r="AA42" s="62">
        <f t="shared" si="8"/>
        <v>23.283899999999999</v>
      </c>
      <c r="AB42" s="59" t="str">
        <f>VLOOKUP(A42,Enforcements!$C$7:$K$13,8,0)</f>
        <v>Bulletin (2)</v>
      </c>
      <c r="AC42" s="55" t="str">
        <f>VLOOKUP(A42,Enforcements!$C$7:$E$13,3,0)</f>
        <v>GRADE CROSSING</v>
      </c>
      <c r="AD42" s="56" t="str">
        <f t="shared" si="9"/>
        <v>0129-28</v>
      </c>
      <c r="AE42" s="85" t="str">
        <f t="shared" si="10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42" s="82" t="str">
        <f t="shared" si="11"/>
        <v>"C:\Program Files (x86)\AstroGrep\AstroGrep.exe" /spath="%USERPROFILE%\AppData\Local\Temp\OnboardLogs" /stypes="app*4006*20170228*"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6" t="str">
        <f t="shared" si="16"/>
        <v>"%USERPROFILE%\Documents\GitHub\eaglep3\Utilities\RefineRTDCRunTimes.py" --tripid 129-28 --locoid 4006 --swversion DE.1.0.9.0 --startMP 204:458 --initTime 2017-02-28T07:15:48 --startdatetime 2017-02-28T07:17:32 --delay 1 --endMP 204:233297 --enddatetime 2017-02-28T07:54:06 --enforcementcount 1 &gt;&gt;C:\Users\stu\Documents\GitHub\eaglep3-reporting\EC\2017-02-28-refined-times.txt</v>
      </c>
      <c r="AI42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{"issue":{"subject":"","project_id":79,"tracker_id":40,"status_id":1,"priority_id":2,"assigned_to_id":23,"start_date":"2017-02-28","description":"","custom_fields":[{"id":1,"name":"Subdivision","value":"EC"},{"id":4,"name":"Milepost","value":"23.3297"},{"id":17,"name":"Train ID","value":"129-28"},{"id":16,"name":"Locomotive ID","value":"4006"},{"id":130,"name":"Impact","value":""},{"id":150,"name":"Time of Event (Mountain Time)","value":"07:54:06"},{"id":151,"name":"Denver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4006 --day 2017-02-28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624</v>
      </c>
      <c r="B43" s="7">
        <v>4005</v>
      </c>
      <c r="C43" s="21" t="s">
        <v>274</v>
      </c>
      <c r="D43" s="21" t="s">
        <v>249</v>
      </c>
      <c r="E43" s="13">
        <v>42794.339386574073</v>
      </c>
      <c r="F43" s="13">
        <v>42794.341666666667</v>
      </c>
      <c r="G43" s="7">
        <v>1</v>
      </c>
      <c r="H43" s="21" t="s">
        <v>207</v>
      </c>
      <c r="I43" s="13">
        <v>42794.368263888886</v>
      </c>
      <c r="J43" s="7">
        <v>1</v>
      </c>
      <c r="K43" s="98" t="str">
        <f t="shared" si="0"/>
        <v>4005/4006</v>
      </c>
      <c r="L43" s="21" t="str">
        <f>VLOOKUP(A43,'Trips&amp;Operators'!$C$1:$G$99999,5,FALSE)</f>
        <v>ROCHA YAOTL</v>
      </c>
      <c r="M43" s="6">
        <f t="shared" si="1"/>
        <v>2.6597222218697425E-2</v>
      </c>
      <c r="N43" s="7">
        <f t="shared" si="20"/>
        <v>38.299999994924292</v>
      </c>
      <c r="O43" s="7"/>
      <c r="P43" s="7"/>
      <c r="Q43" s="22"/>
      <c r="R43" s="22"/>
      <c r="S43" s="31">
        <f t="shared" si="19"/>
        <v>1</v>
      </c>
      <c r="T43" s="46" t="str">
        <f t="shared" si="2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3"/>
        <v>https://d0f6bd738d7f1b3e5a7ca70fe4ff75f0.us-east-1.aws.found.io/app/kibana#/discover/Steve-Slow-Train-Analysis-(2080s-and-2083s)?_g=(refreshInterval:(display:Off,pause:!f,section:0,value:0),time:(from:'2017-02-28T07:08:43-0700',mode:absolute,to:'2017-02-28T09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3" s="187" t="str">
        <f t="shared" si="4"/>
        <v>N</v>
      </c>
      <c r="X43" s="187">
        <f t="shared" si="5"/>
        <v>1</v>
      </c>
      <c r="Y43" s="62">
        <f t="shared" si="6"/>
        <v>23.299600000000002</v>
      </c>
      <c r="Z43" s="62">
        <f t="shared" si="7"/>
        <v>1.5800000000000002E-2</v>
      </c>
      <c r="AA43" s="62">
        <f t="shared" si="8"/>
        <v>23.283800000000003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0130-28</v>
      </c>
      <c r="AE43" s="85" t="str">
        <f t="shared" si="10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43" s="82" t="str">
        <f t="shared" si="11"/>
        <v>"C:\Program Files (x86)\AstroGrep\AstroGrep.exe" /spath="%USERPROFILE%\AppData\Local\Temp\OnboardLogs" /stypes="app*4005*20170228*"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6" t="str">
        <f t="shared" si="16"/>
        <v>"%USERPROFILE%\Documents\GitHub\eaglep3\Utilities\RefineRTDCRunTimes.py" --tripid 130-28 --locoid 4005 --swversion DE.1.0.9.0 --startMP 204:232996 --initTime 2017-02-28T08:08:43 --startdatetime 2017-02-28T08:12:00 --delay 1 --endMP 204:158 --enddatetime 2017-02-28T08:50:18 --enforcementcount 1 &gt;&gt;C:\Users\stu\Documents\GitHub\eaglep3-reporting\EC\2017-02-28-refined-times.txt</v>
      </c>
      <c r="AI43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{"issue":{"subject":"","project_id":79,"tracker_id":40,"status_id":1,"priority_id":2,"assigned_to_id":23,"start_date":"2017-02-28","description":"","custom_fields":[{"id":1,"name":"Subdivision","value":"EC"},{"id":4,"name":"Milepost","value":"0.0158"},{"id":17,"name":"Train ID","value":"130-28"},{"id":16,"name":"Locomotive ID","value":"4005"},{"id":130,"name":"Impact","value":""},{"id":150,"name":"Time of Event (Mountain Time)","value":"08:50:18"},{"id":151,"name":"Denver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4005 --day 2017-02-28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"%USERPROFILE%\AppData\Local\Temp\OnboardLogs"\RTDC4005\*4005*20170228* | grep -SE "(Enforcement Action)|(\[TIMEOUT)|(CHR.+\|PRM\|1\|D.+(SWITCH|SIGNAL).+UNKNOWN)" - &gt;&gt; 2017-02-28-UncaughtWiMAX.txt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617</v>
      </c>
      <c r="B44" s="7">
        <v>4007</v>
      </c>
      <c r="C44" s="21" t="s">
        <v>274</v>
      </c>
      <c r="D44" s="21" t="s">
        <v>261</v>
      </c>
      <c r="E44" s="13">
        <v>42794.30804398148</v>
      </c>
      <c r="F44" s="13">
        <v>42794.312743055554</v>
      </c>
      <c r="G44" s="7">
        <v>1</v>
      </c>
      <c r="H44" s="21" t="s">
        <v>794</v>
      </c>
      <c r="I44" s="13">
        <v>42794.337291666663</v>
      </c>
      <c r="J44" s="7">
        <v>1</v>
      </c>
      <c r="K44" s="98" t="str">
        <f t="shared" si="0"/>
        <v>4007/4008</v>
      </c>
      <c r="L44" s="21" t="str">
        <f>VLOOKUP(A44,'Trips&amp;Operators'!$C$1:$G$99999,5,FALSE)</f>
        <v>MAELZER KURT</v>
      </c>
      <c r="M44" s="6">
        <f t="shared" si="1"/>
        <v>2.4548611108912155E-2</v>
      </c>
      <c r="N44" s="7">
        <f t="shared" si="20"/>
        <v>35.349999996833503</v>
      </c>
      <c r="O44" s="7"/>
      <c r="P44" s="7"/>
      <c r="Q44" s="22"/>
      <c r="R44" s="22"/>
      <c r="S44" s="31">
        <f t="shared" si="19"/>
        <v>1</v>
      </c>
      <c r="T44" s="46" t="str">
        <f t="shared" si="2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3"/>
        <v>https://d0f6bd738d7f1b3e5a7ca70fe4ff75f0.us-east-1.aws.found.io/app/kibana#/discover/Steve-Slow-Train-Analysis-(2080s-and-2083s)?_g=(refreshInterval:(display:Off,pause:!f,section:0,value:0),time:(from:'2017-02-28T06:23:35-0700',mode:absolute,to:'2017-02-28T09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87" t="str">
        <f t="shared" si="4"/>
        <v>N</v>
      </c>
      <c r="X44" s="187">
        <f t="shared" si="5"/>
        <v>1</v>
      </c>
      <c r="Y44" s="62">
        <f t="shared" si="6"/>
        <v>4.4400000000000002E-2</v>
      </c>
      <c r="Z44" s="62">
        <f t="shared" si="7"/>
        <v>23.3309</v>
      </c>
      <c r="AA44" s="62">
        <f t="shared" si="8"/>
        <v>23.2865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0131-28</v>
      </c>
      <c r="AE44" s="85" t="str">
        <f t="shared" si="10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44" s="82" t="str">
        <f t="shared" si="11"/>
        <v>"C:\Program Files (x86)\AstroGrep\AstroGrep.exe" /spath="%USERPROFILE%\AppData\Local\Temp\OnboardLogs" /stypes="app*4007*20170228*"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6" t="str">
        <f t="shared" si="16"/>
        <v>"%USERPROFILE%\Documents\GitHub\eaglep3\Utilities\RefineRTDCRunTimes.py" --tripid 131-28 --locoid 4007 --swversion DE.1.0.9.0 --startMP 204:444 --initTime 2017-02-28T07:23:35 --startdatetime 2017-02-28T07:30:21 --delay 1 --endMP 204:233309 --enddatetime 2017-02-28T08:05:42 --enforcementcount 1 &gt;&gt;C:\Users\stu\Documents\GitHub\eaglep3-reporting\EC\2017-02-28-refined-times.txt</v>
      </c>
      <c r="AI44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{"issue":{"subject":"","project_id":79,"tracker_id":40,"status_id":1,"priority_id":2,"assigned_to_id":23,"start_date":"2017-02-28","description":"","custom_fields":[{"id":1,"name":"Subdivision","value":"EC"},{"id":4,"name":"Milepost","value":"23.3309"},{"id":17,"name":"Train ID","value":"131-28"},{"id":16,"name":"Locomotive ID","value":"4007"},{"id":130,"name":"Impact","value":""},{"id":150,"name":"Time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4007 --day 2017-02-28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626</v>
      </c>
      <c r="B45" s="7">
        <v>4008</v>
      </c>
      <c r="C45" s="21" t="s">
        <v>274</v>
      </c>
      <c r="D45" s="21" t="s">
        <v>795</v>
      </c>
      <c r="E45" s="13">
        <v>42794.345520833333</v>
      </c>
      <c r="F45" s="13">
        <v>42794.351666666669</v>
      </c>
      <c r="G45" s="7">
        <v>1</v>
      </c>
      <c r="H45" s="21" t="s">
        <v>259</v>
      </c>
      <c r="I45" s="13">
        <v>42794.37903935185</v>
      </c>
      <c r="J45" s="7">
        <v>1</v>
      </c>
      <c r="K45" s="98" t="str">
        <f t="shared" si="0"/>
        <v>4007/4008</v>
      </c>
      <c r="L45" s="21" t="str">
        <f>VLOOKUP(A45,'Trips&amp;Operators'!$C$1:$G$99999,5,FALSE)</f>
        <v>MAELZER KURT</v>
      </c>
      <c r="M45" s="6">
        <f t="shared" si="1"/>
        <v>2.7372685181035195E-2</v>
      </c>
      <c r="N45" s="7">
        <f t="shared" si="20"/>
        <v>39.41666666069068</v>
      </c>
      <c r="O45" s="7"/>
      <c r="P45" s="7"/>
      <c r="Q45" s="22"/>
      <c r="R45" s="22"/>
      <c r="S45" s="31">
        <f t="shared" si="19"/>
        <v>1</v>
      </c>
      <c r="T45" s="46" t="str">
        <f t="shared" si="2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3"/>
        <v>https://d0f6bd738d7f1b3e5a7ca70fe4ff75f0.us-east-1.aws.found.io/app/kibana#/discover/Steve-Slow-Train-Analysis-(2080s-and-2083s)?_g=(refreshInterval:(display:Off,pause:!f,section:0,value:0),time:(from:'2017-02-28T07:17:33-0700',mode:absolute,to:'2017-02-28T10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87" t="str">
        <f t="shared" si="4"/>
        <v>N</v>
      </c>
      <c r="X45" s="187">
        <f t="shared" si="5"/>
        <v>1</v>
      </c>
      <c r="Y45" s="62">
        <f t="shared" si="6"/>
        <v>23.2986</v>
      </c>
      <c r="Z45" s="62">
        <f t="shared" si="7"/>
        <v>1.5599999999999999E-2</v>
      </c>
      <c r="AA45" s="62">
        <f t="shared" si="8"/>
        <v>23.283000000000001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0132-28</v>
      </c>
      <c r="AE45" s="85" t="str">
        <f t="shared" si="10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45" s="82" t="str">
        <f t="shared" si="11"/>
        <v>"C:\Program Files (x86)\AstroGrep\AstroGrep.exe" /spath="%USERPROFILE%\AppData\Local\Temp\OnboardLogs" /stypes="app*4008*20170228*"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6" t="str">
        <f t="shared" si="16"/>
        <v>"%USERPROFILE%\Documents\GitHub\eaglep3\Utilities\RefineRTDCRunTimes.py" --tripid 132-28 --locoid 4008 --swversion DE.1.0.9.0 --startMP 204:232986 --initTime 2017-02-28T08:17:33 --startdatetime 2017-02-28T08:26:24 --delay 1 --endMP 204:156 --enddatetime 2017-02-28T09:05:49 --enforcementcount 1 &gt;&gt;C:\Users\stu\Documents\GitHub\eaglep3-reporting\EC\2017-02-28-refined-times.txt</v>
      </c>
      <c r="AI45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{"issue":{"subject":"","project_id":79,"tracker_id":40,"status_id":1,"priority_id":2,"assigned_to_id":23,"start_date":"2017-02-28","description":"","custom_fields":[{"id":1,"name":"Subdivision","value":"EC"},{"id":4,"name":"Milepost","value":"0.0156"},{"id":17,"name":"Train ID","value":"132-28"},{"id":16,"name":"Locomotive ID","value":"4008"},{"id":130,"name":"Impact","value":""},{"id":150,"name":"Time of Event (Mountain Time)","value":"09:05:49"},{"id":151,"name":"Denver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4008 --day 2017-02-28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548</v>
      </c>
      <c r="B46" s="7">
        <v>4027</v>
      </c>
      <c r="C46" s="21" t="s">
        <v>274</v>
      </c>
      <c r="D46" s="21" t="s">
        <v>238</v>
      </c>
      <c r="E46" s="13">
        <v>42794.320462962962</v>
      </c>
      <c r="F46" s="13">
        <v>42794.323113425926</v>
      </c>
      <c r="G46" s="7">
        <v>1</v>
      </c>
      <c r="H46" s="21" t="s">
        <v>393</v>
      </c>
      <c r="I46" s="13">
        <v>42794.348796296297</v>
      </c>
      <c r="J46" s="7">
        <v>1</v>
      </c>
      <c r="K46" s="98" t="str">
        <f t="shared" si="0"/>
        <v>4027/4028</v>
      </c>
      <c r="L46" s="21" t="str">
        <f>VLOOKUP(A46,'Trips&amp;Operators'!$C$1:$G$99999,5,FALSE)</f>
        <v>STARKS ANGELINA</v>
      </c>
      <c r="M46" s="6">
        <f t="shared" si="1"/>
        <v>2.5682870371383615E-2</v>
      </c>
      <c r="N46" s="7">
        <f t="shared" si="20"/>
        <v>36.983333334792405</v>
      </c>
      <c r="O46" s="7"/>
      <c r="P46" s="7"/>
      <c r="Q46" s="22"/>
      <c r="R46" s="22"/>
      <c r="S46" s="31">
        <f t="shared" si="19"/>
        <v>1</v>
      </c>
      <c r="T46" s="46" t="str">
        <f t="shared" si="2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3"/>
        <v>https://d0f6bd738d7f1b3e5a7ca70fe4ff75f0.us-east-1.aws.found.io/app/kibana#/discover/Steve-Slow-Train-Analysis-(2080s-and-2083s)?_g=(refreshInterval:(display:Off,pause:!f,section:0,value:0),time:(from:'2017-02-28T06:41:28-0700',mode:absolute,to:'2017-02-28T09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87" t="str">
        <f t="shared" si="4"/>
        <v>N</v>
      </c>
      <c r="X46" s="187">
        <f t="shared" si="5"/>
        <v>1</v>
      </c>
      <c r="Y46" s="62">
        <f t="shared" si="6"/>
        <v>4.53E-2</v>
      </c>
      <c r="Z46" s="62">
        <f t="shared" si="7"/>
        <v>23.327999999999999</v>
      </c>
      <c r="AA46" s="62">
        <f t="shared" si="8"/>
        <v>23.282699999999998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9"/>
        <v>0133-28</v>
      </c>
      <c r="AE46" s="85" t="str">
        <f t="shared" si="10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46" s="82" t="str">
        <f t="shared" si="11"/>
        <v>"C:\Program Files (x86)\AstroGrep\AstroGrep.exe" /spath="%USERPROFILE%\AppData\Local\Temp\OnboardLogs" /stypes="app*4027*20170228*"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6" t="str">
        <f t="shared" si="16"/>
        <v>"%USERPROFILE%\Documents\GitHub\eaglep3\Utilities\RefineRTDCRunTimes.py" --tripid 133-28 --locoid 4027 --swversion DE.1.0.9.0 --startMP 204:453 --initTime 2017-02-28T07:41:28 --startdatetime 2017-02-28T07:45:17 --delay 1 --endMP 204:233280 --enddatetime 2017-02-28T08:22:16 --enforcementcount 1 &gt;&gt;C:\Users\stu\Documents\GitHub\eaglep3-reporting\EC\2017-02-28-refined-times.txt</v>
      </c>
      <c r="AI4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{"issue":{"subject":"","project_id":79,"tracker_id":40,"status_id":1,"priority_id":2,"assigned_to_id":23,"start_date":"2017-02-28","description":"","custom_fields":[{"id":1,"name":"Subdivision","value":"EC"},{"id":4,"name":"Milepost","value":"23.328"},{"id":17,"name":"Train ID","value":"133-28"},{"id":16,"name":"Locomotive ID","value":"4027"},{"id":130,"name":"Impact","value":""},{"id":150,"name":"Time of Event (Mountain Time)","value":"08:22:16"},{"id":151,"name":"Denver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4027 --day 2017-02-28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629</v>
      </c>
      <c r="B47" s="7">
        <v>4028</v>
      </c>
      <c r="C47" s="21" t="s">
        <v>274</v>
      </c>
      <c r="D47" s="21" t="s">
        <v>796</v>
      </c>
      <c r="E47" s="13">
        <v>42794.357627314814</v>
      </c>
      <c r="F47" s="13">
        <v>42794.361979166664</v>
      </c>
      <c r="G47" s="7">
        <v>1</v>
      </c>
      <c r="H47" s="21" t="s">
        <v>207</v>
      </c>
      <c r="I47" s="13">
        <v>42794.39099537037</v>
      </c>
      <c r="J47" s="7">
        <v>1</v>
      </c>
      <c r="K47" s="98" t="str">
        <f t="shared" si="0"/>
        <v>4027/4028</v>
      </c>
      <c r="L47" s="21" t="str">
        <f>VLOOKUP(A47,'Trips&amp;Operators'!$C$1:$G$99999,5,FALSE)</f>
        <v>STARKS ANGELINA</v>
      </c>
      <c r="M47" s="6">
        <f t="shared" si="1"/>
        <v>2.9016203705396038E-2</v>
      </c>
      <c r="N47" s="7">
        <f t="shared" si="20"/>
        <v>41.783333335770294</v>
      </c>
      <c r="O47" s="7"/>
      <c r="P47" s="7"/>
      <c r="Q47" s="22"/>
      <c r="R47" s="22" t="s">
        <v>961</v>
      </c>
      <c r="S47" s="31">
        <f t="shared" ref="S47:S80" si="21">SUM(U47:U47)/IF(AG47="EC",12,1)</f>
        <v>1</v>
      </c>
      <c r="T47" s="46" t="str">
        <f t="shared" si="2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3"/>
        <v>https://d0f6bd738d7f1b3e5a7ca70fe4ff75f0.us-east-1.aws.found.io/app/kibana#/discover/Steve-Slow-Train-Analysis-(2080s-and-2083s)?_g=(refreshInterval:(display:Off,pause:!f,section:0,value:0),time:(from:'2017-02-28T07:34:59-0700',mode:absolute,to:'2017-02-28T10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87" t="str">
        <f t="shared" si="4"/>
        <v>N</v>
      </c>
      <c r="X47" s="187">
        <f t="shared" si="5"/>
        <v>1</v>
      </c>
      <c r="Y47" s="62">
        <f t="shared" si="6"/>
        <v>23.2957</v>
      </c>
      <c r="Z47" s="62">
        <f t="shared" si="7"/>
        <v>1.5800000000000002E-2</v>
      </c>
      <c r="AA47" s="62">
        <f t="shared" si="8"/>
        <v>23.279900000000001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0134-28</v>
      </c>
      <c r="AE47" s="85" t="str">
        <f t="shared" si="10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47" s="82" t="str">
        <f t="shared" si="11"/>
        <v>"C:\Program Files (x86)\AstroGrep\AstroGrep.exe" /spath="%USERPROFILE%\AppData\Local\Temp\OnboardLogs" /stypes="app*4028*20170228*"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86" t="str">
        <f t="shared" si="16"/>
        <v>"%USERPROFILE%\Documents\GitHub\eaglep3\Utilities\RefineRTDCRunTimes.py" --tripid 134-28 --locoid 4028 --swversion DE.1.0.9.0 --startMP 204:232957 --initTime 2017-02-28T08:34:59 --startdatetime 2017-02-28T08:41:15 --delay 1 --endMP 204:158 --enddatetime 2017-02-28T09:23:02 --enforcementcount 1 &gt;&gt;C:\Users\stu\Documents\GitHub\eaglep3-reporting\EC\2017-02-28-refined-times.txt</v>
      </c>
      <c r="AI47" s="108" t="str">
        <f t="shared" si="17"/>
        <v>echo {"issue":{"subject":"Unhealthy @ Chambers due to train stop","project_id":79,"tracker_id":40,"status_id":1,"priority_id":2,"assigned_to_id":23,"start_date":"2017-02-28","description":"","custom_fields":[{"id":1,"name":"Subdivision","value":"EC"},{"id":4,"name":"Milepost","value":"0.0158"},{"id":17,"name":"Train ID","value":"134-28"},{"id":16,"name":"Locomotive ID","value":"4028"},{"id":130,"name":"Impact","value":""},{"id":150,"name":"Time of Event (Mountain Time)","value":"09:23:02"},{"id":151,"name":"Denver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4028 --day 2017-02-28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622</v>
      </c>
      <c r="B48" s="7">
        <v>4018</v>
      </c>
      <c r="C48" s="21" t="s">
        <v>274</v>
      </c>
      <c r="D48" s="21" t="s">
        <v>268</v>
      </c>
      <c r="E48" s="13">
        <v>42794.329421296294</v>
      </c>
      <c r="F48" s="13">
        <v>42794.333599537036</v>
      </c>
      <c r="G48" s="7">
        <v>1</v>
      </c>
      <c r="H48" s="21" t="s">
        <v>797</v>
      </c>
      <c r="I48" s="13">
        <v>42794.359212962961</v>
      </c>
      <c r="J48" s="7">
        <v>1</v>
      </c>
      <c r="K48" s="98" t="str">
        <f t="shared" si="0"/>
        <v>4017/4018</v>
      </c>
      <c r="L48" s="21" t="str">
        <f>VLOOKUP(A48,'Trips&amp;Operators'!$C$1:$G$99999,5,FALSE)</f>
        <v>LOCKLEAR TRAVIS</v>
      </c>
      <c r="M48" s="6">
        <f t="shared" si="1"/>
        <v>2.5613425925257616E-2</v>
      </c>
      <c r="N48" s="7">
        <f t="shared" si="20"/>
        <v>36.883333332370967</v>
      </c>
      <c r="O48" s="7"/>
      <c r="P48" s="7"/>
      <c r="Q48" s="22"/>
      <c r="R48" s="22"/>
      <c r="S48" s="31">
        <f t="shared" si="21"/>
        <v>1</v>
      </c>
      <c r="T48" s="46" t="str">
        <f t="shared" si="2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3"/>
        <v>https://d0f6bd738d7f1b3e5a7ca70fe4ff75f0.us-east-1.aws.found.io/app/kibana#/discover/Steve-Slow-Train-Analysis-(2080s-and-2083s)?_g=(refreshInterval:(display:Off,pause:!f,section:0,value:0),time:(from:'2017-02-28T06:54:22-0700',mode:absolute,to:'2017-02-28T09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187" t="str">
        <f t="shared" si="4"/>
        <v>N</v>
      </c>
      <c r="X48" s="187">
        <f t="shared" si="5"/>
        <v>1</v>
      </c>
      <c r="Y48" s="62">
        <f t="shared" si="6"/>
        <v>4.4699999999999997E-2</v>
      </c>
      <c r="Z48" s="62">
        <f t="shared" si="7"/>
        <v>23.335999999999999</v>
      </c>
      <c r="AA48" s="62">
        <f t="shared" si="8"/>
        <v>23.2913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0135-28</v>
      </c>
      <c r="AE48" s="85" t="str">
        <f t="shared" si="10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48" s="82" t="str">
        <f t="shared" si="11"/>
        <v>"C:\Program Files (x86)\AstroGrep\AstroGrep.exe" /spath="%USERPROFILE%\AppData\Local\Temp\OnboardLogs" /stypes="app*4018*20170228*"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86" t="str">
        <f t="shared" si="16"/>
        <v>"%USERPROFILE%\Documents\GitHub\eaglep3\Utilities\RefineRTDCRunTimes.py" --tripid 135-28 --locoid 4018 --swversion DE.1.0.9.0 --startMP 204:447 --initTime 2017-02-28T07:54:22 --startdatetime 2017-02-28T08:00:23 --delay 1 --endMP 204:233360 --enddatetime 2017-02-28T08:37:16 --enforcementcount 1 &gt;&gt;C:\Users\stu\Documents\GitHub\eaglep3-reporting\EC\2017-02-28-refined-times.txt</v>
      </c>
      <c r="AI48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{"issue":{"subject":"","project_id":79,"tracker_id":40,"status_id":1,"priority_id":2,"assigned_to_id":23,"start_date":"2017-02-28","description":"","custom_fields":[{"id":1,"name":"Subdivision","value":"EC"},{"id":4,"name":"Milepost","value":"23.336"},{"id":17,"name":"Train ID","value":"135-28"},{"id":16,"name":"Locomotive ID","value":"4018"},{"id":130,"name":"Impact","value":""},{"id":150,"name":"Time of Event (Mountain Time)","value":"08:37:16"},{"id":151,"name":"Denver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4018 --day 2017-02-28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552</v>
      </c>
      <c r="B49" s="7">
        <v>4017</v>
      </c>
      <c r="C49" s="21" t="s">
        <v>274</v>
      </c>
      <c r="D49" s="21" t="s">
        <v>798</v>
      </c>
      <c r="E49" s="13">
        <v>42794.384155092594</v>
      </c>
      <c r="F49" s="13">
        <v>42794.386099537034</v>
      </c>
      <c r="G49" s="7">
        <v>1</v>
      </c>
      <c r="H49" s="21" t="s">
        <v>184</v>
      </c>
      <c r="I49" s="13">
        <v>42794.405416666668</v>
      </c>
      <c r="J49" s="7">
        <v>1</v>
      </c>
      <c r="K49" s="98" t="str">
        <f t="shared" si="0"/>
        <v>4017/4018</v>
      </c>
      <c r="L49" s="21" t="str">
        <f>VLOOKUP(A49,'Trips&amp;Operators'!$C$1:$G$99999,5,FALSE)</f>
        <v>LOCKLEAR TRAVIS</v>
      </c>
      <c r="M49" s="6">
        <f t="shared" si="1"/>
        <v>1.9317129634146113E-2</v>
      </c>
      <c r="N49" s="7"/>
      <c r="O49" s="7"/>
      <c r="P49" s="7">
        <f>24*60*SUM($M49:$M49)</f>
        <v>27.816666673170403</v>
      </c>
      <c r="Q49" s="22"/>
      <c r="R49" s="22" t="s">
        <v>958</v>
      </c>
      <c r="S49" s="31">
        <f t="shared" si="21"/>
        <v>1</v>
      </c>
      <c r="T49" s="46" t="str">
        <f t="shared" si="2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3"/>
        <v>https://d0f6bd738d7f1b3e5a7ca70fe4ff75f0.us-east-1.aws.found.io/app/kibana#/discover/Steve-Slow-Train-Analysis-(2080s-and-2083s)?_g=(refreshInterval:(display:Off,pause:!f,section:0,value:0),time:(from:'2017-02-28T08:13:11-0700',mode:absolute,to:'2017-02-28T10:43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187" t="str">
        <f t="shared" si="4"/>
        <v>Y</v>
      </c>
      <c r="X49" s="187">
        <f t="shared" ref="X49:X53" si="22">VALUE(LEFT(AD49,4))-VALUE(LEFT(AD48,4))</f>
        <v>1</v>
      </c>
      <c r="Y49" s="62">
        <f t="shared" si="6"/>
        <v>12.786099999999999</v>
      </c>
      <c r="Z49" s="62">
        <f t="shared" si="7"/>
        <v>1.49E-2</v>
      </c>
      <c r="AA49" s="62">
        <f t="shared" si="8"/>
        <v>12.771199999999999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0136-28</v>
      </c>
      <c r="AE49" s="85" t="str">
        <f t="shared" si="10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49" s="82" t="str">
        <f t="shared" si="11"/>
        <v>"C:\Program Files (x86)\AstroGrep\AstroGrep.exe" /spath="%USERPROFILE%\AppData\Local\Temp\OnboardLogs" /stypes="app*4017*20170228*"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86" t="str">
        <f t="shared" si="16"/>
        <v>"%USERPROFILE%\Documents\GitHub\eaglep3\Utilities\RefineRTDCRunTimes.py" --tripid 136-28 --locoid 4017 --swversion DE.1.0.9.0 --startMP 204:127861 --initTime 2017-02-28T09:13:11 --startdatetime 2017-02-28T09:15:59 --delay 1 --endMP 204:149 --enddatetime 2017-02-28T09:43:48 --enforcementcount 1 &gt;&gt;C:\Users\stu\Documents\GitHub\eaglep3-reporting\EC\2017-02-28-refined-times.txt</v>
      </c>
      <c r="AI49" s="108" t="str">
        <f t="shared" si="17"/>
        <v>echo {"issue":{"subject":"Onboard in-route failure","project_id":79,"tracker_id":40,"status_id":1,"priority_id":2,"assigned_to_id":23,"start_date":"2017-02-28","description":"","custom_fields":[{"id":1,"name":"Subdivision","value":"EC"},{"id":4,"name":"Milepost","value":"0.0149"},{"id":17,"name":"Train ID","value":"136-28"},{"id":16,"name":"Locomotive ID","value":"4017"},{"id":130,"name":"Impact","value":""},{"id":150,"name":"Time of Event (Mountain Time)","value":"09:43:48"},{"id":151,"name":"Denver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4017 --day 2017-02-28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625</v>
      </c>
      <c r="B50" s="7">
        <v>4025</v>
      </c>
      <c r="C50" s="21" t="s">
        <v>274</v>
      </c>
      <c r="D50" s="21" t="s">
        <v>246</v>
      </c>
      <c r="E50" s="13">
        <v>42794.339675925927</v>
      </c>
      <c r="F50" s="13">
        <v>42794.343958333331</v>
      </c>
      <c r="G50" s="7">
        <v>1</v>
      </c>
      <c r="H50" s="21" t="s">
        <v>282</v>
      </c>
      <c r="I50" s="13">
        <v>42794.370312500003</v>
      </c>
      <c r="J50" s="7">
        <v>1</v>
      </c>
      <c r="K50" s="98" t="str">
        <f t="shared" si="0"/>
        <v>4025/4026</v>
      </c>
      <c r="L50" s="21" t="str">
        <f>VLOOKUP(A50,'Trips&amp;Operators'!$C$1:$G$99999,5,FALSE)</f>
        <v>ACKERMAN JARED</v>
      </c>
      <c r="M50" s="6">
        <f t="shared" si="1"/>
        <v>2.6354166671808343E-2</v>
      </c>
      <c r="N50" s="7">
        <f t="shared" ref="N50:N80" si="23">24*60*SUM($M50:$M50)</f>
        <v>37.950000007404014</v>
      </c>
      <c r="O50" s="7"/>
      <c r="P50" s="7"/>
      <c r="Q50" s="22"/>
      <c r="R50" s="22"/>
      <c r="S50" s="31">
        <f t="shared" si="21"/>
        <v>1</v>
      </c>
      <c r="T50" s="46" t="str">
        <f t="shared" si="2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3"/>
        <v>https://d0f6bd738d7f1b3e5a7ca70fe4ff75f0.us-east-1.aws.found.io/app/kibana#/discover/Steve-Slow-Train-Analysis-(2080s-and-2083s)?_g=(refreshInterval:(display:Off,pause:!f,section:0,value:0),time:(from:'2017-02-28T07:09:08-0700',mode:absolute,to:'2017-02-28T09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87" t="str">
        <f t="shared" si="4"/>
        <v>N</v>
      </c>
      <c r="X50" s="187">
        <f t="shared" si="22"/>
        <v>1</v>
      </c>
      <c r="Y50" s="62">
        <f t="shared" si="6"/>
        <v>4.6399999999999997E-2</v>
      </c>
      <c r="Z50" s="62">
        <f t="shared" si="7"/>
        <v>23.331399999999999</v>
      </c>
      <c r="AA50" s="62">
        <f t="shared" si="8"/>
        <v>23.285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0137-28</v>
      </c>
      <c r="AE50" s="85" t="str">
        <f t="shared" si="10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50" s="82" t="str">
        <f t="shared" si="11"/>
        <v>"C:\Program Files (x86)\AstroGrep\AstroGrep.exe" /spath="%USERPROFILE%\AppData\Local\Temp\OnboardLogs" /stypes="app*4025*20170228*" /stext=" 15:.+((SYSTEM_STATE.+slice.+state.+changed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86" t="str">
        <f t="shared" si="16"/>
        <v>"%USERPROFILE%\Documents\GitHub\eaglep3\Utilities\RefineRTDCRunTimes.py" --tripid 137-28 --locoid 4025 --swversion DE.1.0.9.0 --startMP 204:464 --initTime 2017-02-28T08:09:08 --startdatetime 2017-02-28T08:15:18 --delay 1 --endMP 204:233314 --enddatetime 2017-02-28T08:53:15 --enforcementcount 1 &gt;&gt;C:\Users\stu\Documents\GitHub\eaglep3-reporting\EC\2017-02-28-refined-times.txt</v>
      </c>
      <c r="AI50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{"issue":{"subject":"","project_id":79,"tracker_id":40,"status_id":1,"priority_id":2,"assigned_to_id":23,"start_date":"2017-02-28","description":"","custom_fields":[{"id":1,"name":"Subdivision","value":"EC"},{"id":4,"name":"Milepost","value":"23.3314"},{"id":17,"name":"Train ID","value":"137-28"},{"id":16,"name":"Locomotive ID","value":"4025"},{"id":130,"name":"Impact","value":""},{"id":150,"name":"Time of Event (Mountain Time)","value":"08:53:15"},{"id":151,"name":"Denver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4025 --day 2017-02-28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633</v>
      </c>
      <c r="B51" s="7">
        <v>4026</v>
      </c>
      <c r="C51" s="21" t="s">
        <v>274</v>
      </c>
      <c r="D51" s="21" t="s">
        <v>405</v>
      </c>
      <c r="E51" s="13">
        <v>42794.375185185185</v>
      </c>
      <c r="F51" s="13">
        <v>42794.382847222223</v>
      </c>
      <c r="G51" s="7">
        <v>1</v>
      </c>
      <c r="H51" s="21" t="s">
        <v>258</v>
      </c>
      <c r="I51" s="13">
        <v>42794.411192129628</v>
      </c>
      <c r="J51" s="7">
        <v>1</v>
      </c>
      <c r="K51" s="98" t="str">
        <f t="shared" si="0"/>
        <v>4025/4026</v>
      </c>
      <c r="L51" s="21" t="str">
        <f>VLOOKUP(A51,'Trips&amp;Operators'!$C$1:$G$99999,5,FALSE)</f>
        <v>ACKERMAN JARED</v>
      </c>
      <c r="M51" s="6">
        <f t="shared" si="1"/>
        <v>2.8344907404971309E-2</v>
      </c>
      <c r="N51" s="7">
        <f t="shared" si="23"/>
        <v>40.816666663158685</v>
      </c>
      <c r="O51" s="7"/>
      <c r="P51" s="7"/>
      <c r="Q51" s="22"/>
      <c r="R51" s="22"/>
      <c r="S51" s="31">
        <f t="shared" si="21"/>
        <v>1</v>
      </c>
      <c r="T51" s="46" t="str">
        <f t="shared" si="2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3"/>
        <v>https://d0f6bd738d7f1b3e5a7ca70fe4ff75f0.us-east-1.aws.found.io/app/kibana#/discover/Steve-Slow-Train-Analysis-(2080s-and-2083s)?_g=(refreshInterval:(display:Off,pause:!f,section:0,value:0),time:(from:'2017-02-28T08:00:16-0700',mode:absolute,to:'2017-02-28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187" t="str">
        <f t="shared" si="4"/>
        <v>N</v>
      </c>
      <c r="X51" s="187">
        <f t="shared" si="22"/>
        <v>1</v>
      </c>
      <c r="Y51" s="62">
        <f t="shared" si="6"/>
        <v>23.300999999999998</v>
      </c>
      <c r="Z51" s="62">
        <f t="shared" si="7"/>
        <v>1.3599999999999999E-2</v>
      </c>
      <c r="AA51" s="62">
        <f t="shared" si="8"/>
        <v>23.287399999999998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0138-28</v>
      </c>
      <c r="AE51" s="85" t="str">
        <f t="shared" si="10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51" s="82" t="str">
        <f t="shared" si="11"/>
        <v>"C:\Program Files (x86)\AstroGrep\AstroGrep.exe" /spath="%USERPROFILE%\AppData\Local\Temp\OnboardLogs" /stypes="app*4026*20170228*"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86" t="str">
        <f t="shared" si="16"/>
        <v>"%USERPROFILE%\Documents\GitHub\eaglep3\Utilities\RefineRTDCRunTimes.py" --tripid 138-28 --locoid 4026 --swversion DE.1.0.9.0 --startMP 204:233010 --initTime 2017-02-28T09:00:16 --startdatetime 2017-02-28T09:11:18 --delay 1 --endMP 204:136 --enddatetime 2017-02-28T09:52:07 --enforcementcount 1 &gt;&gt;C:\Users\stu\Documents\GitHub\eaglep3-reporting\EC\2017-02-28-refined-times.txt</v>
      </c>
      <c r="AI51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{"issue":{"subject":"","project_id":79,"tracker_id":40,"status_id":1,"priority_id":2,"assigned_to_id":23,"start_date":"2017-02-28","description":"","custom_fields":[{"id":1,"name":"Subdivision","value":"EC"},{"id":4,"name":"Milepost","value":"0.0136"},{"id":17,"name":"Train ID","value":"138-28"},{"id":16,"name":"Locomotive ID","value":"4026"},{"id":130,"name":"Impact","value":""},{"id":150,"name":"Time of Event (Mountain Time)","value":"09:52:07"},{"id":151,"name":"Denver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4026 --day 2017-02-28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627</v>
      </c>
      <c r="B52" s="7">
        <v>4003</v>
      </c>
      <c r="C52" s="21" t="s">
        <v>274</v>
      </c>
      <c r="D52" s="21" t="s">
        <v>398</v>
      </c>
      <c r="E52" s="13">
        <v>42794.351620370369</v>
      </c>
      <c r="F52" s="13">
        <v>42794.354756944442</v>
      </c>
      <c r="G52" s="7">
        <v>2</v>
      </c>
      <c r="H52" s="21" t="s">
        <v>408</v>
      </c>
      <c r="I52" s="13">
        <v>42794.379050925927</v>
      </c>
      <c r="J52" s="7">
        <v>1</v>
      </c>
      <c r="K52" s="98" t="str">
        <f t="shared" si="0"/>
        <v>4003/4004</v>
      </c>
      <c r="L52" s="21" t="str">
        <f>VLOOKUP(A52,'Trips&amp;Operators'!$C$1:$G$99999,5,FALSE)</f>
        <v>LOZA FIDEL</v>
      </c>
      <c r="M52" s="6">
        <f t="shared" si="1"/>
        <v>2.4293981485243421E-2</v>
      </c>
      <c r="N52" s="7">
        <f t="shared" si="23"/>
        <v>34.983333338750526</v>
      </c>
      <c r="O52" s="7"/>
      <c r="P52" s="7"/>
      <c r="Q52" s="22"/>
      <c r="R52" s="22"/>
      <c r="S52" s="31">
        <f t="shared" si="21"/>
        <v>1</v>
      </c>
      <c r="T52" s="46" t="str">
        <f t="shared" si="2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3"/>
        <v>https://d0f6bd738d7f1b3e5a7ca70fe4ff75f0.us-east-1.aws.found.io/app/kibana#/discover/Steve-Slow-Train-Analysis-(2080s-and-2083s)?_g=(refreshInterval:(display:Off,pause:!f,section:0,value:0),time:(from:'2017-02-28T07:26:20-0700',mode:absolute,to:'2017-02-28T10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187" t="str">
        <f t="shared" si="4"/>
        <v>N</v>
      </c>
      <c r="X52" s="187">
        <f t="shared" si="22"/>
        <v>1</v>
      </c>
      <c r="Y52" s="62">
        <f t="shared" si="6"/>
        <v>4.4200000000000003E-2</v>
      </c>
      <c r="Z52" s="62">
        <f t="shared" si="7"/>
        <v>23.332000000000001</v>
      </c>
      <c r="AA52" s="62">
        <f t="shared" si="8"/>
        <v>23.287800000000001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0139-28</v>
      </c>
      <c r="AE52" s="85" t="str">
        <f t="shared" si="10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52" s="82" t="str">
        <f t="shared" si="11"/>
        <v>"C:\Program Files (x86)\AstroGrep\AstroGrep.exe" /spath="%USERPROFILE%\AppData\Local\Temp\OnboardLogs" /stypes="app*4003*20170228*"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86" t="str">
        <f t="shared" si="16"/>
        <v>"%USERPROFILE%\Documents\GitHub\eaglep3\Utilities\RefineRTDCRunTimes.py" --tripid 139-28 --locoid 4003 --swversion DE.1.0.9.0 --startMP 204:442 --initTime 2017-02-28T08:26:20 --startdatetime 2017-02-28T08:30:51 --delay 2 --endMP 204:233320 --enddatetime 2017-02-28T09:05:50 --enforcementcount 1 &gt;&gt;C:\Users\stu\Documents\GitHub\eaglep3-reporting\EC\2017-02-28-refined-times.txt</v>
      </c>
      <c r="AI52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{"issue":{"subject":"","project_id":79,"tracker_id":40,"status_id":1,"priority_id":2,"assigned_to_id":23,"start_date":"2017-02-28","description":"","custom_fields":[{"id":1,"name":"Subdivision","value":"EC"},{"id":4,"name":"Milepost","value":"23.332"},{"id":17,"name":"Train ID","value":"139-28"},{"id":16,"name":"Locomotive ID","value":"4003"},{"id":130,"name":"Impact","value":""},{"id":150,"name":"Time of Event (Mountain Time)","value":"09:05:50"},{"id":151,"name":"Denver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4003 --day 2017-02-28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636</v>
      </c>
      <c r="B53" s="7">
        <v>4004</v>
      </c>
      <c r="C53" s="21" t="s">
        <v>274</v>
      </c>
      <c r="D53" s="21" t="s">
        <v>799</v>
      </c>
      <c r="E53" s="13">
        <v>42794.38958333333</v>
      </c>
      <c r="F53" s="13">
        <v>42794.393437500003</v>
      </c>
      <c r="G53" s="7">
        <v>1</v>
      </c>
      <c r="H53" s="21" t="s">
        <v>194</v>
      </c>
      <c r="I53" s="13">
        <v>42794.422777777778</v>
      </c>
      <c r="J53" s="7">
        <v>1</v>
      </c>
      <c r="K53" s="98" t="str">
        <f t="shared" si="0"/>
        <v>4003/4004</v>
      </c>
      <c r="L53" s="21" t="str">
        <f>VLOOKUP(A53,'Trips&amp;Operators'!$C$1:$G$99999,5,FALSE)</f>
        <v>LOZA FIDEL</v>
      </c>
      <c r="M53" s="6">
        <f t="shared" si="1"/>
        <v>2.9340277775190771E-2</v>
      </c>
      <c r="N53" s="7">
        <f t="shared" si="23"/>
        <v>42.24999999627471</v>
      </c>
      <c r="O53" s="7"/>
      <c r="P53" s="7"/>
      <c r="Q53" s="22"/>
      <c r="R53" s="22"/>
      <c r="S53" s="31">
        <f t="shared" si="21"/>
        <v>1</v>
      </c>
      <c r="T53" s="46" t="str">
        <f t="shared" si="2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3"/>
        <v>https://d0f6bd738d7f1b3e5a7ca70fe4ff75f0.us-east-1.aws.found.io/app/kibana#/discover/Steve-Slow-Train-Analysis-(2080s-and-2083s)?_g=(refreshInterval:(display:Off,pause:!f,section:0,value:0),time:(from:'2017-02-28T08:21:00-0700',mode:absolute,to:'2017-02-28T11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87" t="str">
        <f t="shared" si="4"/>
        <v>N</v>
      </c>
      <c r="X53" s="187">
        <f t="shared" si="22"/>
        <v>1</v>
      </c>
      <c r="Y53" s="62">
        <f t="shared" si="6"/>
        <v>23.302099999999999</v>
      </c>
      <c r="Z53" s="62">
        <f t="shared" si="7"/>
        <v>1.4999999999999999E-2</v>
      </c>
      <c r="AA53" s="62">
        <f t="shared" si="8"/>
        <v>23.287099999999999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0140-28</v>
      </c>
      <c r="AE53" s="85" t="str">
        <f t="shared" si="10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53" s="82" t="str">
        <f t="shared" si="11"/>
        <v>"C:\Program Files (x86)\AstroGrep\AstroGrep.exe" /spath="%USERPROFILE%\AppData\Local\Temp\OnboardLogs" /stypes="app*4004*20170228*"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86" t="str">
        <f t="shared" si="16"/>
        <v>"%USERPROFILE%\Documents\GitHub\eaglep3\Utilities\RefineRTDCRunTimes.py" --tripid 140-28 --locoid 4004 --swversion DE.1.0.9.0 --startMP 204:233021 --initTime 2017-02-28T09:21:00 --startdatetime 2017-02-28T09:26:33 --delay 1 --endMP 204:150 --enddatetime 2017-02-28T10:08:48 --enforcementcount 1 &gt;&gt;C:\Users\stu\Documents\GitHub\eaglep3-reporting\EC\2017-02-28-refined-times.txt</v>
      </c>
      <c r="AI53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{"issue":{"subject":"","project_id":79,"tracker_id":40,"status_id":1,"priority_id":2,"assigned_to_id":23,"start_date":"2017-02-28","description":"","custom_fields":[{"id":1,"name":"Subdivision","value":"EC"},{"id":4,"name":"Milepost","value":"0.015"},{"id":17,"name":"Train ID","value":"140-28"},{"id":16,"name":"Locomotive ID","value":"4004"},{"id":130,"name":"Impact","value":""},{"id":150,"name":"Time of Event (Mountain Time)","value":"10:08:48"},{"id":151,"name":"Denver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4004 --day 2017-02-28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630</v>
      </c>
      <c r="B54" s="7">
        <v>4051</v>
      </c>
      <c r="C54" s="21" t="s">
        <v>274</v>
      </c>
      <c r="D54" s="21" t="s">
        <v>406</v>
      </c>
      <c r="E54" s="13">
        <v>42794.359375</v>
      </c>
      <c r="F54" s="13">
        <v>42794.365046296298</v>
      </c>
      <c r="G54" s="7">
        <v>1</v>
      </c>
      <c r="H54" s="21" t="s">
        <v>800</v>
      </c>
      <c r="I54" s="13">
        <v>42794.390902777777</v>
      </c>
      <c r="J54" s="7">
        <v>1</v>
      </c>
      <c r="K54" s="98" t="str">
        <f t="shared" si="0"/>
        <v>4051/4052</v>
      </c>
      <c r="L54" s="21" t="str">
        <f>VLOOKUP(A54,'Trips&amp;Operators'!$C$1:$G$99999,5,FALSE)</f>
        <v>SANTIZO D. EDY</v>
      </c>
      <c r="M54" s="6">
        <f t="shared" si="1"/>
        <v>2.5856481479422655E-2</v>
      </c>
      <c r="N54" s="7">
        <f t="shared" si="23"/>
        <v>37.233333330368623</v>
      </c>
      <c r="O54" s="7"/>
      <c r="P54" s="7"/>
      <c r="Q54" s="22"/>
      <c r="R54" s="22"/>
      <c r="S54" s="31">
        <f t="shared" si="21"/>
        <v>1</v>
      </c>
      <c r="T54" s="46" t="str">
        <f t="shared" si="2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3"/>
        <v>https://d0f6bd738d7f1b3e5a7ca70fe4ff75f0.us-east-1.aws.found.io/app/kibana#/discover/Steve-Slow-Train-Analysis-(2080s-and-2083s)?_g=(refreshInterval:(display:Off,pause:!f,section:0,value:0),time:(from:'2017-02-28T07:37:30-0700',mode:absolute,to:'2017-02-28T10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4" s="187" t="str">
        <f t="shared" si="4"/>
        <v>N</v>
      </c>
      <c r="X54" s="187">
        <f t="shared" ref="X54:X85" si="24">VALUE(LEFT(AD54,4))-VALUE(LEFT(AD53,4))</f>
        <v>1</v>
      </c>
      <c r="Y54" s="62">
        <f t="shared" si="6"/>
        <v>4.8599999999999997E-2</v>
      </c>
      <c r="Z54" s="62">
        <f t="shared" si="7"/>
        <v>23.332100000000001</v>
      </c>
      <c r="AA54" s="62">
        <f t="shared" si="8"/>
        <v>23.2835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0141-28</v>
      </c>
      <c r="AE54" s="85" t="str">
        <f t="shared" si="10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54" s="82" t="str">
        <f t="shared" si="11"/>
        <v>"C:\Program Files (x86)\AstroGrep\AstroGrep.exe" /spath="%USERPROFILE%\AppData\Local\Temp\OnboardLogs" /stypes="app*4051*20170228*"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86" t="str">
        <f t="shared" si="16"/>
        <v>"%USERPROFILE%\Documents\GitHub\eaglep3\Utilities\RefineRTDCRunTimes.py" --tripid 141-28 --locoid 4051 --swversion DE.1.0.9.0 --startMP 204:486 --initTime 2017-02-28T08:37:30 --startdatetime 2017-02-28T08:45:40 --delay 1 --endMP 204:233321 --enddatetime 2017-02-28T09:22:54 --enforcementcount 1 &gt;&gt;C:\Users\stu\Documents\GitHub\eaglep3-reporting\EC\2017-02-28-refined-times.txt</v>
      </c>
      <c r="AI54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{"issue":{"subject":"","project_id":79,"tracker_id":40,"status_id":1,"priority_id":2,"assigned_to_id":23,"start_date":"2017-02-28","description":"","custom_fields":[{"id":1,"name":"Subdivision","value":"EC"},{"id":4,"name":"Milepost","value":"23.3321"},{"id":17,"name":"Train ID","value":"141-28"},{"id":16,"name":"Locomotive ID","value":"4051"},{"id":130,"name":"Impact","value":""},{"id":150,"name":"Time of Event (Mountain Time)","value":"09:22:54"},{"id":151,"name":"Denver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4051 --day 2017-02-28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637</v>
      </c>
      <c r="B55" s="7">
        <v>4052</v>
      </c>
      <c r="C55" s="21" t="s">
        <v>274</v>
      </c>
      <c r="D55" s="21" t="s">
        <v>341</v>
      </c>
      <c r="E55" s="13">
        <v>42794.392395833333</v>
      </c>
      <c r="F55" s="13">
        <v>42794.404131944444</v>
      </c>
      <c r="G55" s="7">
        <v>1</v>
      </c>
      <c r="H55" s="21" t="s">
        <v>243</v>
      </c>
      <c r="I55" s="13">
        <v>42794.430300925924</v>
      </c>
      <c r="J55" s="7">
        <v>1</v>
      </c>
      <c r="K55" s="98" t="str">
        <f t="shared" si="0"/>
        <v>4051/4052</v>
      </c>
      <c r="L55" s="21" t="str">
        <f>VLOOKUP(A55,'Trips&amp;Operators'!$C$1:$G$99999,5,FALSE)</f>
        <v>SANTIZO D. EDY</v>
      </c>
      <c r="M55" s="6">
        <f t="shared" si="1"/>
        <v>2.6168981479713693E-2</v>
      </c>
      <c r="N55" s="7">
        <f t="shared" si="23"/>
        <v>37.683333330787718</v>
      </c>
      <c r="O55" s="7"/>
      <c r="P55" s="7"/>
      <c r="Q55" s="22"/>
      <c r="R55" s="22"/>
      <c r="S55" s="31">
        <f t="shared" si="21"/>
        <v>1</v>
      </c>
      <c r="T55" s="46" t="str">
        <f t="shared" si="2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3"/>
        <v>https://d0f6bd738d7f1b3e5a7ca70fe4ff75f0.us-east-1.aws.found.io/app/kibana#/discover/Steve-Slow-Train-Analysis-(2080s-and-2083s)?_g=(refreshInterval:(display:Off,pause:!f,section:0,value:0),time:(from:'2017-02-28T08:25:03-0700',mode:absolute,to:'2017-02-28T11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5" s="187" t="str">
        <f t="shared" si="4"/>
        <v>N</v>
      </c>
      <c r="X55" s="187">
        <f t="shared" si="24"/>
        <v>1</v>
      </c>
      <c r="Y55" s="62">
        <f t="shared" si="6"/>
        <v>23.3</v>
      </c>
      <c r="Z55" s="62">
        <f t="shared" si="7"/>
        <v>1.3899999999999999E-2</v>
      </c>
      <c r="AA55" s="62">
        <f t="shared" si="8"/>
        <v>23.286100000000001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0142-28</v>
      </c>
      <c r="AE55" s="85" t="str">
        <f t="shared" si="10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55" s="82" t="str">
        <f t="shared" si="11"/>
        <v>"C:\Program Files (x86)\AstroGrep\AstroGrep.exe" /spath="%USERPROFILE%\AppData\Local\Temp\OnboardLogs" /stypes="app*4052*20170228*"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86" t="str">
        <f t="shared" si="16"/>
        <v>"%USERPROFILE%\Documents\GitHub\eaglep3\Utilities\RefineRTDCRunTimes.py" --tripid 142-28 --locoid 4052 --swversion DE.1.0.9.0 --startMP 204:233000 --initTime 2017-02-28T09:25:03 --startdatetime 2017-02-28T09:41:57 --delay 1 --endMP 204:139 --enddatetime 2017-02-28T10:19:38 --enforcementcount 1 &gt;&gt;C:\Users\stu\Documents\GitHub\eaglep3-reporting\EC\2017-02-28-refined-times.txt</v>
      </c>
      <c r="AI55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{"issue":{"subject":"","project_id":79,"tracker_id":40,"status_id":1,"priority_id":2,"assigned_to_id":23,"start_date":"2017-02-28","description":"","custom_fields":[{"id":1,"name":"Subdivision","value":"EC"},{"id":4,"name":"Milepost","value":"0.0139"},{"id":17,"name":"Train ID","value":"142-28"},{"id":16,"name":"Locomotive ID","value":"4052"},{"id":130,"name":"Impact","value":""},{"id":150,"name":"Time of Event (Mountain Time)","value":"10:19:38"},{"id":151,"name":"Denver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4052 --day 2017-02-28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551</v>
      </c>
      <c r="B56" s="7">
        <v>4006</v>
      </c>
      <c r="C56" s="21" t="s">
        <v>274</v>
      </c>
      <c r="D56" s="21" t="s">
        <v>242</v>
      </c>
      <c r="E56" s="13">
        <v>42794.369375000002</v>
      </c>
      <c r="F56" s="13">
        <v>42794.375486111108</v>
      </c>
      <c r="G56" s="7">
        <v>2</v>
      </c>
      <c r="H56" s="21" t="s">
        <v>283</v>
      </c>
      <c r="I56" s="13">
        <v>42794.40216435185</v>
      </c>
      <c r="J56" s="7">
        <v>1</v>
      </c>
      <c r="K56" s="98" t="str">
        <f t="shared" si="0"/>
        <v>4005/4006</v>
      </c>
      <c r="L56" s="21" t="str">
        <f>VLOOKUP(A56,'Trips&amp;Operators'!$C$1:$G$99999,5,FALSE)</f>
        <v>MAYBERRY BILL</v>
      </c>
      <c r="M56" s="6">
        <f t="shared" si="1"/>
        <v>2.6678240741603076E-2</v>
      </c>
      <c r="N56" s="7">
        <f t="shared" si="23"/>
        <v>38.41666666790843</v>
      </c>
      <c r="O56" s="7"/>
      <c r="P56" s="7"/>
      <c r="Q56" s="22"/>
      <c r="R56" s="22"/>
      <c r="S56" s="31">
        <f t="shared" si="21"/>
        <v>1</v>
      </c>
      <c r="T56" s="46" t="str">
        <f t="shared" si="2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3"/>
        <v>https://d0f6bd738d7f1b3e5a7ca70fe4ff75f0.us-east-1.aws.found.io/app/kibana#/discover/Steve-Slow-Train-Analysis-(2080s-and-2083s)?_g=(refreshInterval:(display:Off,pause:!f,section:0,value:0),time:(from:'2017-02-28T07:51:54-0700',mode:absolute,to:'2017-02-28T10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6" s="187" t="str">
        <f t="shared" si="4"/>
        <v>N</v>
      </c>
      <c r="X56" s="187">
        <f t="shared" si="24"/>
        <v>1</v>
      </c>
      <c r="Y56" s="62">
        <f t="shared" si="6"/>
        <v>4.5499999999999999E-2</v>
      </c>
      <c r="Z56" s="62">
        <f t="shared" si="7"/>
        <v>23.329699999999999</v>
      </c>
      <c r="AA56" s="62">
        <f t="shared" si="8"/>
        <v>23.284199999999998</v>
      </c>
      <c r="AB56" s="59" t="str">
        <f>VLOOKUP(A56,Enforcements!$C$7:$K$13,8,0)</f>
        <v>Bulletin (2)</v>
      </c>
      <c r="AC56" s="55" t="str">
        <f>VLOOKUP(A56,Enforcements!$C$7:$E$13,3,0)</f>
        <v>GRADE CROSSING</v>
      </c>
      <c r="AD56" s="56" t="str">
        <f t="shared" si="9"/>
        <v>0143-28</v>
      </c>
      <c r="AE56" s="85" t="str">
        <f t="shared" si="10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56" s="82" t="str">
        <f t="shared" si="11"/>
        <v>"C:\Program Files (x86)\AstroGrep\AstroGrep.exe" /spath="%USERPROFILE%\AppData\Local\Temp\OnboardLogs" /stypes="app*4006*20170228*"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86" t="str">
        <f t="shared" si="16"/>
        <v>"%USERPROFILE%\Documents\GitHub\eaglep3\Utilities\RefineRTDCRunTimes.py" --tripid 143-28 --locoid 4006 --swversion DE.1.0.9.0 --startMP 204:455 --initTime 2017-02-28T08:51:54 --startdatetime 2017-02-28T09:00:42 --delay 2 --endMP 204:233297 --enddatetime 2017-02-28T09:39:07 --enforcementcount 1 &gt;&gt;C:\Users\stu\Documents\GitHub\eaglep3-reporting\EC\2017-02-28-refined-times.txt</v>
      </c>
      <c r="AI5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{"issue":{"subject":"","project_id":79,"tracker_id":40,"status_id":1,"priority_id":2,"assigned_to_id":23,"start_date":"2017-02-28","description":"","custom_fields":[{"id":1,"name":"Subdivision","value":"EC"},{"id":4,"name":"Milepost","value":"23.3297"},{"id":17,"name":"Train ID","value":"143-28"},{"id":16,"name":"Locomotive ID","value":"4006"},{"id":130,"name":"Impact","value":""},{"id":150,"name":"Time of Event (Mountain Time)","value":"09:39:07"},{"id":151,"name":"Denver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4006 --day 2017-02-28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554</v>
      </c>
      <c r="B57" s="7">
        <v>4005</v>
      </c>
      <c r="C57" s="21" t="s">
        <v>274</v>
      </c>
      <c r="D57" s="21" t="s">
        <v>312</v>
      </c>
      <c r="E57" s="13">
        <v>42794.406377314815</v>
      </c>
      <c r="F57" s="13">
        <v>42794.414340277777</v>
      </c>
      <c r="G57" s="7">
        <v>1</v>
      </c>
      <c r="H57" s="21" t="s">
        <v>206</v>
      </c>
      <c r="I57" s="13">
        <v>42794.443055555559</v>
      </c>
      <c r="J57" s="7">
        <v>1</v>
      </c>
      <c r="K57" s="98" t="str">
        <f t="shared" si="0"/>
        <v>4005/4006</v>
      </c>
      <c r="L57" s="21" t="str">
        <f>VLOOKUP(A57,'Trips&amp;Operators'!$C$1:$G$99999,5,FALSE)</f>
        <v>MAYBERRY BILL</v>
      </c>
      <c r="M57" s="6">
        <f t="shared" si="1"/>
        <v>2.8715277781884652E-2</v>
      </c>
      <c r="N57" s="7">
        <f t="shared" si="23"/>
        <v>41.350000005913898</v>
      </c>
      <c r="O57" s="7"/>
      <c r="P57" s="7"/>
      <c r="Q57" s="22"/>
      <c r="R57" s="22"/>
      <c r="S57" s="31">
        <f t="shared" si="21"/>
        <v>1</v>
      </c>
      <c r="T57" s="46" t="str">
        <f t="shared" si="2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3"/>
        <v>https://d0f6bd738d7f1b3e5a7ca70fe4ff75f0.us-east-1.aws.found.io/app/kibana#/discover/Steve-Slow-Train-Analysis-(2080s-and-2083s)?_g=(refreshInterval:(display:Off,pause:!f,section:0,value:0),time:(from:'2017-02-28T08:45:11-0700',mode:absolute,to:'2017-02-28T11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7" s="187" t="str">
        <f t="shared" si="4"/>
        <v>N</v>
      </c>
      <c r="X57" s="187">
        <f t="shared" si="24"/>
        <v>1</v>
      </c>
      <c r="Y57" s="62">
        <f t="shared" si="6"/>
        <v>23.297699999999999</v>
      </c>
      <c r="Z57" s="62">
        <f t="shared" si="7"/>
        <v>1.52E-2</v>
      </c>
      <c r="AA57" s="62">
        <f t="shared" si="8"/>
        <v>23.282499999999999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0144-28</v>
      </c>
      <c r="AE57" s="85" t="str">
        <f t="shared" si="10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57" s="82" t="str">
        <f t="shared" si="11"/>
        <v>"C:\Program Files (x86)\AstroGrep\AstroGrep.exe" /spath="%USERPROFILE%\AppData\Local\Temp\OnboardLogs" /stypes="app*4005*20170228*" /stext=" 17:.+((SYSTEM_STATE.+slice.+state.+changed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86" t="str">
        <f t="shared" si="16"/>
        <v>"%USERPROFILE%\Documents\GitHub\eaglep3\Utilities\RefineRTDCRunTimes.py" --tripid 144-28 --locoid 4005 --swversion DE.1.0.9.0 --startMP 204:232977 --initTime 2017-02-28T09:45:11 --startdatetime 2017-02-28T09:56:39 --delay 1 --endMP 204:152 --enddatetime 2017-02-28T10:38:00 --enforcementcount 1 &gt;&gt;C:\Users\stu\Documents\GitHub\eaglep3-reporting\EC\2017-02-28-refined-times.txt</v>
      </c>
      <c r="AI57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{"issue":{"subject":"","project_id":79,"tracker_id":40,"status_id":1,"priority_id":2,"assigned_to_id":23,"start_date":"2017-02-28","description":"","custom_fields":[{"id":1,"name":"Subdivision","value":"EC"},{"id":4,"name":"Milepost","value":"0.0152"},{"id":17,"name":"Train ID","value":"144-28"},{"id":16,"name":"Locomotive ID","value":"4005"},{"id":130,"name":"Impact","value":""},{"id":150,"name":"Time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4005 --day 2017-02-28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"%USERPROFILE%\AppData\Local\Temp\OnboardLogs"\RTDC4005\*4005*20170228* | grep -SE "(Enforcement Action)|(\[TIMEOUT)|(CHR.+\|PRM\|1\|D.+(SWITCH|SIGNAL).+UNKNOWN)" - &gt;&gt; 2017-02-28-UncaughtWiMAX.txt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634</v>
      </c>
      <c r="B58" s="7">
        <v>4007</v>
      </c>
      <c r="C58" s="21" t="s">
        <v>274</v>
      </c>
      <c r="D58" s="21" t="s">
        <v>275</v>
      </c>
      <c r="E58" s="13">
        <v>42794.381805555553</v>
      </c>
      <c r="F58" s="13">
        <v>42794.385648148149</v>
      </c>
      <c r="G58" s="7">
        <v>1</v>
      </c>
      <c r="H58" s="21" t="s">
        <v>401</v>
      </c>
      <c r="I58" s="13">
        <v>42794.410740740743</v>
      </c>
      <c r="J58" s="7">
        <v>1</v>
      </c>
      <c r="K58" s="98" t="str">
        <f t="shared" si="0"/>
        <v>4007/4008</v>
      </c>
      <c r="L58" s="21" t="str">
        <f>VLOOKUP(A58,'Trips&amp;Operators'!$C$1:$G$99999,5,FALSE)</f>
        <v>MAELZER KURT</v>
      </c>
      <c r="M58" s="6">
        <f t="shared" si="1"/>
        <v>2.5092592593864538E-2</v>
      </c>
      <c r="N58" s="7">
        <f t="shared" si="23"/>
        <v>36.133333335164934</v>
      </c>
      <c r="O58" s="7"/>
      <c r="P58" s="7"/>
      <c r="Q58" s="22"/>
      <c r="R58" s="22"/>
      <c r="S58" s="31">
        <f t="shared" si="21"/>
        <v>1</v>
      </c>
      <c r="T58" s="46" t="str">
        <f t="shared" si="2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3"/>
        <v>https://d0f6bd738d7f1b3e5a7ca70fe4ff75f0.us-east-1.aws.found.io/app/kibana#/discover/Steve-Slow-Train-Analysis-(2080s-and-2083s)?_g=(refreshInterval:(display:Off,pause:!f,section:0,value:0),time:(from:'2017-02-28T08:09:48-0700',mode:absolute,to:'2017-02-28T10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87" t="str">
        <f t="shared" si="4"/>
        <v>N</v>
      </c>
      <c r="X58" s="187">
        <f t="shared" si="24"/>
        <v>1</v>
      </c>
      <c r="Y58" s="62">
        <f t="shared" si="6"/>
        <v>4.58E-2</v>
      </c>
      <c r="Z58" s="62">
        <f t="shared" si="7"/>
        <v>23.3323</v>
      </c>
      <c r="AA58" s="62">
        <f t="shared" si="8"/>
        <v>23.2865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0145-28</v>
      </c>
      <c r="AE58" s="85" t="str">
        <f t="shared" si="10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58" s="82" t="str">
        <f t="shared" si="11"/>
        <v>"C:\Program Files (x86)\AstroGrep\AstroGrep.exe" /spath="%USERPROFILE%\AppData\Local\Temp\OnboardLogs" /stypes="app*4007*20170228*" /stext=" 16:.+((SYSTEM_STATE.+slice.+state.+changed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86" t="str">
        <f t="shared" si="16"/>
        <v>"%USERPROFILE%\Documents\GitHub\eaglep3\Utilities\RefineRTDCRunTimes.py" --tripid 145-28 --locoid 4007 --swversion DE.1.0.9.0 --startMP 204:458 --initTime 2017-02-28T09:09:48 --startdatetime 2017-02-28T09:15:20 --delay 1 --endMP 204:233323 --enddatetime 2017-02-28T09:51:28 --enforcementcount 1 &gt;&gt;C:\Users\stu\Documents\GitHub\eaglep3-reporting\EC\2017-02-28-refined-times.txt</v>
      </c>
      <c r="AI58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{"issue":{"subject":"","project_id":79,"tracker_id":40,"status_id":1,"priority_id":2,"assigned_to_id":23,"start_date":"2017-02-28","description":"","custom_fields":[{"id":1,"name":"Subdivision","value":"EC"},{"id":4,"name":"Milepost","value":"23.3323"},{"id":17,"name":"Train ID","value":"145-28"},{"id":16,"name":"Locomotive ID","value":"4007"},{"id":130,"name":"Impact","value":""},{"id":150,"name":"Time of Event (Mountain Time)","value":"09:51:28"},{"id":151,"name":"Denver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4007 --day 2017-02-28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640</v>
      </c>
      <c r="B59" s="7">
        <v>4008</v>
      </c>
      <c r="C59" s="21" t="s">
        <v>274</v>
      </c>
      <c r="D59" s="21" t="s">
        <v>411</v>
      </c>
      <c r="E59" s="13">
        <v>42794.416064814817</v>
      </c>
      <c r="F59" s="13">
        <v>42794.424537037034</v>
      </c>
      <c r="G59" s="7">
        <v>1</v>
      </c>
      <c r="H59" s="21" t="s">
        <v>223</v>
      </c>
      <c r="I59" s="13">
        <v>42794.452048611114</v>
      </c>
      <c r="J59" s="7">
        <v>1</v>
      </c>
      <c r="K59" s="98" t="str">
        <f t="shared" si="0"/>
        <v>4007/4008</v>
      </c>
      <c r="L59" s="21" t="str">
        <f>VLOOKUP(A59,'Trips&amp;Operators'!$C$1:$G$99999,5,FALSE)</f>
        <v>MAELZER KURT</v>
      </c>
      <c r="M59" s="6">
        <f t="shared" si="1"/>
        <v>2.751157408056315E-2</v>
      </c>
      <c r="N59" s="7">
        <f t="shared" si="23"/>
        <v>39.616666676010936</v>
      </c>
      <c r="O59" s="7"/>
      <c r="P59" s="7"/>
      <c r="Q59" s="22"/>
      <c r="R59" s="22"/>
      <c r="S59" s="31">
        <f t="shared" si="21"/>
        <v>1</v>
      </c>
      <c r="T59" s="46" t="str">
        <f t="shared" si="2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3"/>
        <v>https://d0f6bd738d7f1b3e5a7ca70fe4ff75f0.us-east-1.aws.found.io/app/kibana#/discover/Steve-Slow-Train-Analysis-(2080s-and-2083s)?_g=(refreshInterval:(display:Off,pause:!f,section:0,value:0),time:(from:'2017-02-28T08:59:08-0700',mode:absolute,to:'2017-02-28T11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187" t="str">
        <f t="shared" si="4"/>
        <v>N</v>
      </c>
      <c r="X59" s="187">
        <f t="shared" si="24"/>
        <v>1</v>
      </c>
      <c r="Y59" s="62">
        <f t="shared" si="6"/>
        <v>23.300799999999999</v>
      </c>
      <c r="Z59" s="62">
        <f t="shared" si="7"/>
        <v>1.43E-2</v>
      </c>
      <c r="AA59" s="62">
        <f t="shared" si="8"/>
        <v>23.2865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0146-28</v>
      </c>
      <c r="AE59" s="85" t="str">
        <f t="shared" si="10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59" s="82" t="str">
        <f t="shared" si="11"/>
        <v>"C:\Program Files (x86)\AstroGrep\AstroGrep.exe" /spath="%USERPROFILE%\AppData\Local\Temp\OnboardLogs" /stypes="app*4008*20170228*" /stext=" 17:.+((SYSTEM_STATE.+slice.+state.+changed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86" t="str">
        <f t="shared" si="16"/>
        <v>"%USERPROFILE%\Documents\GitHub\eaglep3\Utilities\RefineRTDCRunTimes.py" --tripid 146-28 --locoid 4008 --swversion DE.1.0.9.0 --startMP 204:233008 --initTime 2017-02-28T09:59:08 --startdatetime 2017-02-28T10:11:20 --delay 1 --endMP 204:143 --enddatetime 2017-02-28T10:50:57 --enforcementcount 1 &gt;&gt;C:\Users\stu\Documents\GitHub\eaglep3-reporting\EC\2017-02-28-refined-times.txt</v>
      </c>
      <c r="AI59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{"issue":{"subject":"","project_id":79,"tracker_id":40,"status_id":1,"priority_id":2,"assigned_to_id":23,"start_date":"2017-02-28","description":"","custom_fields":[{"id":1,"name":"Subdivision","value":"EC"},{"id":4,"name":"Milepost","value":"0.0143"},{"id":17,"name":"Train ID","value":"146-28"},{"id":16,"name":"Locomotive ID","value":"4008"},{"id":130,"name":"Impact","value":""},{"id":150,"name":"Time of Event (Mountain Time)","value":"10:50:57"},{"id":151,"name":"Denver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4008 --day 2017-02-28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553</v>
      </c>
      <c r="B60" s="7">
        <v>4027</v>
      </c>
      <c r="C60" s="21" t="s">
        <v>274</v>
      </c>
      <c r="D60" s="21" t="s">
        <v>351</v>
      </c>
      <c r="E60" s="13">
        <v>42794.393310185187</v>
      </c>
      <c r="F60" s="13">
        <v>42794.396041666667</v>
      </c>
      <c r="G60" s="7">
        <v>2</v>
      </c>
      <c r="H60" s="21" t="s">
        <v>288</v>
      </c>
      <c r="I60" s="13">
        <v>42794.421782407408</v>
      </c>
      <c r="J60" s="7">
        <v>1</v>
      </c>
      <c r="K60" s="98" t="str">
        <f t="shared" si="0"/>
        <v>4027/4028</v>
      </c>
      <c r="L60" s="21" t="str">
        <f>VLOOKUP(A60,'Trips&amp;Operators'!$C$1:$G$99999,5,FALSE)</f>
        <v>STARKS ANGELINA</v>
      </c>
      <c r="M60" s="6">
        <f t="shared" si="1"/>
        <v>2.5740740740729962E-2</v>
      </c>
      <c r="N60" s="7">
        <f t="shared" si="23"/>
        <v>37.066666666651145</v>
      </c>
      <c r="O60" s="7"/>
      <c r="P60" s="7"/>
      <c r="Q60" s="22"/>
      <c r="R60" s="22"/>
      <c r="S60" s="31">
        <f t="shared" si="21"/>
        <v>1</v>
      </c>
      <c r="T60" s="46" t="str">
        <f t="shared" si="2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3"/>
        <v>https://d0f6bd738d7f1b3e5a7ca70fe4ff75f0.us-east-1.aws.found.io/app/kibana#/discover/Steve-Slow-Train-Analysis-(2080s-and-2083s)?_g=(refreshInterval:(display:Off,pause:!f,section:0,value:0),time:(from:'2017-02-28T08:26:22-0700',mode:absolute,to:'2017-02-28T11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7" t="str">
        <f t="shared" si="4"/>
        <v>N</v>
      </c>
      <c r="X60" s="187">
        <f t="shared" si="24"/>
        <v>1</v>
      </c>
      <c r="Y60" s="62">
        <f t="shared" si="6"/>
        <v>4.3499999999999997E-2</v>
      </c>
      <c r="Z60" s="62">
        <f t="shared" si="7"/>
        <v>23.329899999999999</v>
      </c>
      <c r="AA60" s="62">
        <f t="shared" si="8"/>
        <v>23.286399999999997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0147-28</v>
      </c>
      <c r="AE60" s="85" t="str">
        <f t="shared" si="10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60" s="82" t="str">
        <f t="shared" si="11"/>
        <v>"C:\Program Files (x86)\AstroGrep\AstroGrep.exe" /spath="%USERPROFILE%\AppData\Local\Temp\OnboardLogs" /stypes="app*4027*20170228*"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86" t="str">
        <f t="shared" si="16"/>
        <v>"%USERPROFILE%\Documents\GitHub\eaglep3\Utilities\RefineRTDCRunTimes.py" --tripid 147-28 --locoid 4027 --swversion DE.1.0.9.0 --startMP 204:435 --initTime 2017-02-28T09:26:22 --startdatetime 2017-02-28T09:30:18 --delay 2 --endMP 204:233299 --enddatetime 2017-02-28T10:07:22 --enforcementcount 1 &gt;&gt;C:\Users\stu\Documents\GitHub\eaglep3-reporting\EC\2017-02-28-refined-times.txt</v>
      </c>
      <c r="AI60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{"issue":{"subject":"","project_id":79,"tracker_id":40,"status_id":1,"priority_id":2,"assigned_to_id":23,"start_date":"2017-02-28","description":"","custom_fields":[{"id":1,"name":"Subdivision","value":"EC"},{"id":4,"name":"Milepost","value":"23.3299"},{"id":17,"name":"Train ID","value":"147-28"},{"id":16,"name":"Locomotive ID","value":"4027"},{"id":130,"name":"Impact","value":""},{"id":150,"name":"Time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4027 --day 2017-02-28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644</v>
      </c>
      <c r="B61" s="7">
        <v>4028</v>
      </c>
      <c r="C61" s="21" t="s">
        <v>274</v>
      </c>
      <c r="D61" s="21" t="s">
        <v>345</v>
      </c>
      <c r="E61" s="13">
        <v>42794.432916666665</v>
      </c>
      <c r="F61" s="13">
        <v>42794.434895833336</v>
      </c>
      <c r="G61" s="7">
        <v>1</v>
      </c>
      <c r="H61" s="21" t="s">
        <v>196</v>
      </c>
      <c r="I61" s="13">
        <v>42794.464409722219</v>
      </c>
      <c r="J61" s="7">
        <v>1</v>
      </c>
      <c r="K61" s="98" t="str">
        <f t="shared" si="0"/>
        <v>4027/4028</v>
      </c>
      <c r="L61" s="21" t="str">
        <f>VLOOKUP(A61,'Trips&amp;Operators'!$C$1:$G$99999,5,FALSE)</f>
        <v>STARKS ANGELINA</v>
      </c>
      <c r="M61" s="6">
        <f t="shared" si="1"/>
        <v>2.9513888883229811E-2</v>
      </c>
      <c r="N61" s="7">
        <f t="shared" si="23"/>
        <v>42.499999991850927</v>
      </c>
      <c r="O61" s="7"/>
      <c r="P61" s="7"/>
      <c r="Q61" s="22"/>
      <c r="R61" s="22"/>
      <c r="S61" s="31">
        <f t="shared" si="21"/>
        <v>1</v>
      </c>
      <c r="T61" s="46" t="str">
        <f t="shared" si="2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3"/>
        <v>https://d0f6bd738d7f1b3e5a7ca70fe4ff75f0.us-east-1.aws.found.io/app/kibana#/discover/Steve-Slow-Train-Analysis-(2080s-and-2083s)?_g=(refreshInterval:(display:Off,pause:!f,section:0,value:0),time:(from:'2017-02-28T09:23:24-0700',mode:absolute,to:'2017-02-28T12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87" t="str">
        <f t="shared" si="4"/>
        <v>N</v>
      </c>
      <c r="X61" s="187">
        <f t="shared" si="24"/>
        <v>1</v>
      </c>
      <c r="Y61" s="62">
        <f t="shared" si="6"/>
        <v>23.297499999999999</v>
      </c>
      <c r="Z61" s="62">
        <f t="shared" si="7"/>
        <v>1.4500000000000001E-2</v>
      </c>
      <c r="AA61" s="62">
        <f t="shared" si="8"/>
        <v>23.282999999999998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0148-28</v>
      </c>
      <c r="AE61" s="85" t="str">
        <f t="shared" si="10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61" s="82" t="str">
        <f t="shared" si="11"/>
        <v>"C:\Program Files (x86)\AstroGrep\AstroGrep.exe" /spath="%USERPROFILE%\AppData\Local\Temp\OnboardLogs" /stypes="app*4028*20170228*" /stext=" 18:.+((SYSTEM_STATE.+slice.+state.+changed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86" t="str">
        <f t="shared" si="16"/>
        <v>"%USERPROFILE%\Documents\GitHub\eaglep3\Utilities\RefineRTDCRunTimes.py" --tripid 148-28 --locoid 4028 --swversion DE.1.0.9.0 --startMP 204:232975 --initTime 2017-02-28T10:23:24 --startdatetime 2017-02-28T10:26:15 --delay 1 --endMP 204:145 --enddatetime 2017-02-28T11:08:45 --enforcementcount 1 &gt;&gt;C:\Users\stu\Documents\GitHub\eaglep3-reporting\EC\2017-02-28-refined-times.txt</v>
      </c>
      <c r="AI61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{"issue":{"subject":"","project_id":79,"tracker_id":40,"status_id":1,"priority_id":2,"assigned_to_id":23,"start_date":"2017-02-28","description":"","custom_fields":[{"id":1,"name":"Subdivision","value":"EC"},{"id":4,"name":"Milepost","value":"0.0145"},{"id":17,"name":"Train ID","value":"148-28"},{"id":16,"name":"Locomotive ID","value":"4028"},{"id":130,"name":"Impact","value":""},{"id":150,"name":"Time of Event (Mountain Time)","value":"11:08:45"},{"id":151,"name":"Denver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4028 --day 2017-02-28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555</v>
      </c>
      <c r="B62" s="7">
        <v>4018</v>
      </c>
      <c r="C62" s="21" t="s">
        <v>274</v>
      </c>
      <c r="D62" s="21" t="s">
        <v>242</v>
      </c>
      <c r="E62" s="13">
        <v>42794.406342592592</v>
      </c>
      <c r="F62" s="13">
        <v>42794.407557870371</v>
      </c>
      <c r="G62" s="7">
        <v>1</v>
      </c>
      <c r="H62" s="21" t="s">
        <v>801</v>
      </c>
      <c r="I62" s="13">
        <v>42794.432812500003</v>
      </c>
      <c r="J62" s="7">
        <v>1</v>
      </c>
      <c r="K62" s="98" t="str">
        <f t="shared" si="0"/>
        <v>4017/4018</v>
      </c>
      <c r="L62" s="21" t="str">
        <f>VLOOKUP(A62,'Trips&amp;Operators'!$C$1:$G$99999,5,FALSE)</f>
        <v>LOCKLEAR TRAVIS</v>
      </c>
      <c r="M62" s="6">
        <f t="shared" si="1"/>
        <v>2.5254629632399883E-2</v>
      </c>
      <c r="N62" s="7">
        <f t="shared" si="23"/>
        <v>36.366666670655832</v>
      </c>
      <c r="O62" s="7"/>
      <c r="P62" s="7"/>
      <c r="Q62" s="22"/>
      <c r="R62" s="22"/>
      <c r="S62" s="31">
        <f t="shared" si="21"/>
        <v>1</v>
      </c>
      <c r="T62" s="46" t="str">
        <f t="shared" si="2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3"/>
        <v>https://d0f6bd738d7f1b3e5a7ca70fe4ff75f0.us-east-1.aws.found.io/app/kibana#/discover/Steve-Slow-Train-Analysis-(2080s-and-2083s)?_g=(refreshInterval:(display:Off,pause:!f,section:0,value:0),time:(from:'2017-02-28T08:45:08-0700',mode:absolute,to:'2017-02-28T11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187" t="str">
        <f t="shared" si="4"/>
        <v>N</v>
      </c>
      <c r="X62" s="187">
        <f t="shared" si="24"/>
        <v>1</v>
      </c>
      <c r="Y62" s="62">
        <f t="shared" si="6"/>
        <v>4.5499999999999999E-2</v>
      </c>
      <c r="Z62" s="62">
        <f t="shared" si="7"/>
        <v>23.344000000000001</v>
      </c>
      <c r="AA62" s="62">
        <f t="shared" si="8"/>
        <v>23.298500000000001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0149-28</v>
      </c>
      <c r="AE62" s="85" t="str">
        <f t="shared" si="10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62" s="82" t="str">
        <f t="shared" si="11"/>
        <v>"C:\Program Files (x86)\AstroGrep\AstroGrep.exe" /spath="%USERPROFILE%\AppData\Local\Temp\OnboardLogs" /stypes="app*4018*20170228*" /stext=" 17:.+((SYSTEM_STATE.+slice.+state.+changed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86" t="str">
        <f t="shared" si="16"/>
        <v>"%USERPROFILE%\Documents\GitHub\eaglep3\Utilities\RefineRTDCRunTimes.py" --tripid 149-28 --locoid 4018 --swversion DE.1.0.9.0 --startMP 204:455 --initTime 2017-02-28T09:45:08 --startdatetime 2017-02-28T09:46:53 --delay 1 --endMP 204:233440 --enddatetime 2017-02-28T10:23:15 --enforcementcount 1 &gt;&gt;C:\Users\stu\Documents\GitHub\eaglep3-reporting\EC\2017-02-28-refined-times.txt</v>
      </c>
      <c r="AI62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{"issue":{"subject":"","project_id":79,"tracker_id":40,"status_id":1,"priority_id":2,"assigned_to_id":23,"start_date":"2017-02-28","description":"","custom_fields":[{"id":1,"name":"Subdivision","value":"EC"},{"id":4,"name":"Milepost","value":"23.344"},{"id":17,"name":"Train ID","value":"149-28"},{"id":16,"name":"Locomotive ID","value":"4018"},{"id":130,"name":"Impact","value":""},{"id":150,"name":"Time of Event (Mountain Time)","value":"10:23:15"},{"id":151,"name":"Denver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4018 --day 2017-02-28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646</v>
      </c>
      <c r="B63" s="7">
        <v>4017</v>
      </c>
      <c r="C63" s="21" t="s">
        <v>274</v>
      </c>
      <c r="D63" s="21" t="s">
        <v>802</v>
      </c>
      <c r="E63" s="13">
        <v>42794.442106481481</v>
      </c>
      <c r="F63" s="13">
        <v>42794.445497685185</v>
      </c>
      <c r="G63" s="7">
        <v>1</v>
      </c>
      <c r="H63" s="21" t="s">
        <v>196</v>
      </c>
      <c r="I63" s="13">
        <v>42794.473599537036</v>
      </c>
      <c r="J63" s="7">
        <v>1</v>
      </c>
      <c r="K63" s="98" t="str">
        <f t="shared" si="0"/>
        <v>4017/4018</v>
      </c>
      <c r="L63" s="21" t="str">
        <f>VLOOKUP(A63,'Trips&amp;Operators'!$C$1:$G$99999,5,FALSE)</f>
        <v>LOCKLEAR TRAVIS</v>
      </c>
      <c r="M63" s="6">
        <f t="shared" si="1"/>
        <v>2.810185185080627E-2</v>
      </c>
      <c r="N63" s="7">
        <f t="shared" si="23"/>
        <v>40.466666665161029</v>
      </c>
      <c r="O63" s="7"/>
      <c r="P63" s="7"/>
      <c r="Q63" s="22"/>
      <c r="R63" s="22"/>
      <c r="S63" s="31">
        <f t="shared" si="21"/>
        <v>1</v>
      </c>
      <c r="T63" s="46" t="str">
        <f t="shared" si="2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3"/>
        <v>https://d0f6bd738d7f1b3e5a7ca70fe4ff75f0.us-east-1.aws.found.io/app/kibana#/discover/Steve-Slow-Train-Analysis-(2080s-and-2083s)?_g=(refreshInterval:(display:Off,pause:!f,section:0,value:0),time:(from:'2017-02-28T09:36:38-0700',mode:absolute,to:'2017-02-28T12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187" t="str">
        <f t="shared" si="4"/>
        <v>N</v>
      </c>
      <c r="X63" s="187">
        <f t="shared" si="24"/>
        <v>1</v>
      </c>
      <c r="Y63" s="62">
        <f t="shared" si="6"/>
        <v>23.315100000000001</v>
      </c>
      <c r="Z63" s="62">
        <f t="shared" si="7"/>
        <v>1.4500000000000001E-2</v>
      </c>
      <c r="AA63" s="62">
        <f t="shared" si="8"/>
        <v>23.300599999999999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0150-28</v>
      </c>
      <c r="AE63" s="85" t="str">
        <f t="shared" si="10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63" s="82" t="str">
        <f t="shared" si="11"/>
        <v>"C:\Program Files (x86)\AstroGrep\AstroGrep.exe" /spath="%USERPROFILE%\AppData\Local\Temp\OnboardLogs" /stypes="app*4017*20170228*" /stext=" 18:.+((SYSTEM_STATE.+slice.+state.+changed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86" t="str">
        <f t="shared" si="16"/>
        <v>"%USERPROFILE%\Documents\GitHub\eaglep3\Utilities\RefineRTDCRunTimes.py" --tripid 150-28 --locoid 4017 --swversion DE.1.0.9.0 --startMP 204:233151 --initTime 2017-02-28T10:36:38 --startdatetime 2017-02-28T10:41:31 --delay 1 --endMP 204:145 --enddatetime 2017-02-28T11:21:59 --enforcementcount 1 &gt;&gt;C:\Users\stu\Documents\GitHub\eaglep3-reporting\EC\2017-02-28-refined-times.txt</v>
      </c>
      <c r="AI63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{"issue":{"subject":"","project_id":79,"tracker_id":40,"status_id":1,"priority_id":2,"assigned_to_id":23,"start_date":"2017-02-28","description":"","custom_fields":[{"id":1,"name":"Subdivision","value":"EC"},{"id":4,"name":"Milepost","value":"0.0145"},{"id":17,"name":"Train ID","value":"150-28"},{"id":16,"name":"Locomotive ID","value":"4017"},{"id":130,"name":"Impact","value":""},{"id":150,"name":"Time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4017 --day 2017-02-28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639</v>
      </c>
      <c r="B64" s="7">
        <v>4025</v>
      </c>
      <c r="C64" s="21" t="s">
        <v>274</v>
      </c>
      <c r="D64" s="21" t="s">
        <v>225</v>
      </c>
      <c r="E64" s="13">
        <v>42794.412615740737</v>
      </c>
      <c r="F64" s="13">
        <v>42794.416921296295</v>
      </c>
      <c r="G64" s="7">
        <v>1</v>
      </c>
      <c r="H64" s="21" t="s">
        <v>311</v>
      </c>
      <c r="I64" s="13">
        <v>42794.441759259258</v>
      </c>
      <c r="J64" s="7">
        <v>1</v>
      </c>
      <c r="K64" s="98" t="str">
        <f t="shared" si="0"/>
        <v>4025/4026</v>
      </c>
      <c r="L64" s="21" t="str">
        <f>VLOOKUP(A64,'Trips&amp;Operators'!$C$1:$G$99999,5,FALSE)</f>
        <v>ACKERMAN JARED</v>
      </c>
      <c r="M64" s="6">
        <f t="shared" si="1"/>
        <v>2.4837962962919846E-2</v>
      </c>
      <c r="N64" s="7">
        <f t="shared" si="23"/>
        <v>35.766666666604578</v>
      </c>
      <c r="O64" s="7"/>
      <c r="P64" s="7"/>
      <c r="Q64" s="22"/>
      <c r="R64" s="22"/>
      <c r="S64" s="31">
        <f t="shared" si="21"/>
        <v>1</v>
      </c>
      <c r="T64" s="46" t="str">
        <f t="shared" si="2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3"/>
        <v>https://d0f6bd738d7f1b3e5a7ca70fe4ff75f0.us-east-1.aws.found.io/app/kibana#/discover/Steve-Slow-Train-Analysis-(2080s-and-2083s)?_g=(refreshInterval:(display:Off,pause:!f,section:0,value:0),time:(from:'2017-02-28T08:54:10-0700',mode:absolute,to:'2017-02-28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87" t="str">
        <f t="shared" si="4"/>
        <v>N</v>
      </c>
      <c r="X64" s="187">
        <f t="shared" si="24"/>
        <v>1</v>
      </c>
      <c r="Y64" s="62">
        <f t="shared" si="6"/>
        <v>4.5100000000000001E-2</v>
      </c>
      <c r="Z64" s="62">
        <f t="shared" si="7"/>
        <v>23.331199999999999</v>
      </c>
      <c r="AA64" s="62">
        <f t="shared" si="8"/>
        <v>23.286099999999998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0151-28</v>
      </c>
      <c r="AE64" s="85" t="str">
        <f t="shared" si="10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64" s="82" t="str">
        <f t="shared" si="11"/>
        <v>"C:\Program Files (x86)\AstroGrep\AstroGrep.exe" /spath="%USERPROFILE%\AppData\Local\Temp\OnboardLogs" /stypes="app*4025*20170228*" /stext=" 17:.+((SYSTEM_STATE.+slice.+state.+changed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86" t="str">
        <f t="shared" si="16"/>
        <v>"%USERPROFILE%\Documents\GitHub\eaglep3\Utilities\RefineRTDCRunTimes.py" --tripid 151-28 --locoid 4025 --swversion DE.1.0.9.0 --startMP 204:451 --initTime 2017-02-28T09:54:10 --startdatetime 2017-02-28T10:00:22 --delay 1 --endMP 204:233312 --enddatetime 2017-02-28T10:36:08 --enforcementcount 1 &gt;&gt;C:\Users\stu\Documents\GitHub\eaglep3-reporting\EC\2017-02-28-refined-times.txt</v>
      </c>
      <c r="AI64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{"issue":{"subject":"","project_id":79,"tracker_id":40,"status_id":1,"priority_id":2,"assigned_to_id":23,"start_date":"2017-02-28","description":"","custom_fields":[{"id":1,"name":"Subdivision","value":"EC"},{"id":4,"name":"Milepost","value":"23.3312"},{"id":17,"name":"Train ID","value":"151-28"},{"id":16,"name":"Locomotive ID","value":"4025"},{"id":130,"name":"Impact","value":""},{"id":150,"name":"Time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4025 --day 2017-02-28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648</v>
      </c>
      <c r="B65" s="7">
        <v>4026</v>
      </c>
      <c r="C65" s="21" t="s">
        <v>274</v>
      </c>
      <c r="D65" s="21" t="s">
        <v>277</v>
      </c>
      <c r="E65" s="13">
        <v>42794.447395833333</v>
      </c>
      <c r="F65" s="13">
        <v>42794.45585648148</v>
      </c>
      <c r="G65" s="7">
        <v>2</v>
      </c>
      <c r="H65" s="21" t="s">
        <v>262</v>
      </c>
      <c r="I65" s="13">
        <v>42794.483634259261</v>
      </c>
      <c r="J65" s="7">
        <v>1</v>
      </c>
      <c r="K65" s="98" t="str">
        <f t="shared" si="0"/>
        <v>4025/4026</v>
      </c>
      <c r="L65" s="21" t="str">
        <f>VLOOKUP(A65,'Trips&amp;Operators'!$C$1:$G$99999,5,FALSE)</f>
        <v>ACKERMAN JARED</v>
      </c>
      <c r="M65" s="6">
        <f t="shared" si="1"/>
        <v>2.7777777781011537E-2</v>
      </c>
      <c r="N65" s="7">
        <f t="shared" si="23"/>
        <v>40.000000004656613</v>
      </c>
      <c r="O65" s="7"/>
      <c r="P65" s="7"/>
      <c r="Q65" s="22"/>
      <c r="R65" s="22"/>
      <c r="S65" s="31">
        <f t="shared" si="21"/>
        <v>1</v>
      </c>
      <c r="T65" s="46" t="str">
        <f t="shared" si="2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3"/>
        <v>https://d0f6bd738d7f1b3e5a7ca70fe4ff75f0.us-east-1.aws.found.io/app/kibana#/discover/Steve-Slow-Train-Analysis-(2080s-and-2083s)?_g=(refreshInterval:(display:Off,pause:!f,section:0,value:0),time:(from:'2017-02-28T09:44:15-0700',mode:absolute,to:'2017-02-28T12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187" t="str">
        <f t="shared" si="4"/>
        <v>N</v>
      </c>
      <c r="X65" s="187">
        <f t="shared" si="24"/>
        <v>1</v>
      </c>
      <c r="Y65" s="62">
        <f t="shared" si="6"/>
        <v>23.299399999999999</v>
      </c>
      <c r="Z65" s="62">
        <f t="shared" si="7"/>
        <v>1.47E-2</v>
      </c>
      <c r="AA65" s="62">
        <f t="shared" si="8"/>
        <v>23.284699999999997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0152-28</v>
      </c>
      <c r="AE65" s="85" t="str">
        <f t="shared" si="10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65" s="82" t="str">
        <f t="shared" si="11"/>
        <v>"C:\Program Files (x86)\AstroGrep\AstroGrep.exe" /spath="%USERPROFILE%\AppData\Local\Temp\OnboardLogs" /stypes="app*4026*20170228*" /stext=" 18:.+((SYSTEM_STATE.+slice.+state.+changed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86" t="str">
        <f t="shared" si="16"/>
        <v>"%USERPROFILE%\Documents\GitHub\eaglep3\Utilities\RefineRTDCRunTimes.py" --tripid 152-28 --locoid 4026 --swversion DE.1.0.9.0 --startMP 204:232994 --initTime 2017-02-28T10:44:15 --startdatetime 2017-02-28T10:56:26 --delay 2 --endMP 204:147 --enddatetime 2017-02-28T11:36:26 --enforcementcount 1 &gt;&gt;C:\Users\stu\Documents\GitHub\eaglep3-reporting\EC\2017-02-28-refined-times.txt</v>
      </c>
      <c r="AI65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{"issue":{"subject":"","project_id":79,"tracker_id":40,"status_id":1,"priority_id":2,"assigned_to_id":23,"start_date":"2017-02-28","description":"","custom_fields":[{"id":1,"name":"Subdivision","value":"EC"},{"id":4,"name":"Milepost","value":"0.0147"},{"id":17,"name":"Train ID","value":"152-28"},{"id":16,"name":"Locomotive ID","value":"4026"},{"id":130,"name":"Impact","value":""},{"id":150,"name":"Time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4026 --day 2017-02-28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641</v>
      </c>
      <c r="B66" s="7">
        <v>4003</v>
      </c>
      <c r="C66" s="21" t="s">
        <v>274</v>
      </c>
      <c r="D66" s="21" t="s">
        <v>246</v>
      </c>
      <c r="E66" s="13">
        <v>42794.42523148148</v>
      </c>
      <c r="F66" s="13">
        <v>42794.427372685182</v>
      </c>
      <c r="G66" s="7">
        <v>1</v>
      </c>
      <c r="H66" s="21" t="s">
        <v>409</v>
      </c>
      <c r="I66" s="13">
        <v>42794.452418981484</v>
      </c>
      <c r="J66" s="7">
        <v>1</v>
      </c>
      <c r="K66" s="98" t="str">
        <f t="shared" si="0"/>
        <v>4003/4004</v>
      </c>
      <c r="L66" s="21" t="str">
        <f>VLOOKUP(A66,'Trips&amp;Operators'!$C$1:$G$99999,5,FALSE)</f>
        <v>LOZA FIDEL</v>
      </c>
      <c r="M66" s="6">
        <f t="shared" si="1"/>
        <v>2.5046296301297843E-2</v>
      </c>
      <c r="N66" s="7">
        <f t="shared" si="23"/>
        <v>36.066666673868895</v>
      </c>
      <c r="O66" s="7"/>
      <c r="P66" s="7"/>
      <c r="Q66" s="22"/>
      <c r="R66" s="22"/>
      <c r="S66" s="31">
        <f t="shared" si="21"/>
        <v>1</v>
      </c>
      <c r="T66" s="46" t="str">
        <f t="shared" si="2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3"/>
        <v>https://d0f6bd738d7f1b3e5a7ca70fe4ff75f0.us-east-1.aws.found.io/app/kibana#/discover/Steve-Slow-Train-Analysis-(2080s-and-2083s)?_g=(refreshInterval:(display:Off,pause:!f,section:0,value:0),time:(from:'2017-02-28T09:12:20-0700',mode:absolute,to:'2017-02-28T11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187" t="str">
        <f t="shared" si="4"/>
        <v>N</v>
      </c>
      <c r="X66" s="187">
        <f t="shared" si="24"/>
        <v>1</v>
      </c>
      <c r="Y66" s="62">
        <f t="shared" si="6"/>
        <v>4.6399999999999997E-2</v>
      </c>
      <c r="Z66" s="62">
        <f t="shared" si="7"/>
        <v>23.333100000000002</v>
      </c>
      <c r="AA66" s="62">
        <f t="shared" si="8"/>
        <v>23.286700000000003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0153-28</v>
      </c>
      <c r="AE66" s="85" t="str">
        <f t="shared" si="10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66" s="82" t="str">
        <f t="shared" si="11"/>
        <v>"C:\Program Files (x86)\AstroGrep\AstroGrep.exe" /spath="%USERPROFILE%\AppData\Local\Temp\OnboardLogs" /stypes="app*4003*20170228*" /stext=" 17:.+((SYSTEM_STATE.+slice.+state.+changed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86" t="str">
        <f t="shared" si="16"/>
        <v>"%USERPROFILE%\Documents\GitHub\eaglep3\Utilities\RefineRTDCRunTimes.py" --tripid 153-28 --locoid 4003 --swversion DE.1.0.9.0 --startMP 204:464 --initTime 2017-02-28T10:12:20 --startdatetime 2017-02-28T10:15:25 --delay 1 --endMP 204:233331 --enddatetime 2017-02-28T10:51:29 --enforcementcount 1 &gt;&gt;C:\Users\stu\Documents\GitHub\eaglep3-reporting\EC\2017-02-28-refined-times.txt</v>
      </c>
      <c r="AI6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{"issue":{"subject":"","project_id":79,"tracker_id":40,"status_id":1,"priority_id":2,"assigned_to_id":23,"start_date":"2017-02-28","description":"","custom_fields":[{"id":1,"name":"Subdivision","value":"EC"},{"id":4,"name":"Milepost","value":"23.3331"},{"id":17,"name":"Train ID","value":"153-28"},{"id":16,"name":"Locomotive ID","value":"4003"},{"id":130,"name":"Impact","value":""},{"id":150,"name":"Time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4003 --day 2017-02-28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650</v>
      </c>
      <c r="B67" s="7">
        <v>4004</v>
      </c>
      <c r="C67" s="21" t="s">
        <v>274</v>
      </c>
      <c r="D67" s="21" t="s">
        <v>803</v>
      </c>
      <c r="E67" s="13">
        <v>42794.458923611113</v>
      </c>
      <c r="F67" s="13">
        <v>42794.466331018521</v>
      </c>
      <c r="G67" s="7">
        <v>1</v>
      </c>
      <c r="H67" s="21" t="s">
        <v>248</v>
      </c>
      <c r="I67" s="13">
        <v>42794.494780092595</v>
      </c>
      <c r="J67" s="7">
        <v>1</v>
      </c>
      <c r="K67" s="98" t="str">
        <f t="shared" si="0"/>
        <v>4003/4004</v>
      </c>
      <c r="L67" s="21" t="str">
        <f>VLOOKUP(A67,'Trips&amp;Operators'!$C$1:$G$99999,5,FALSE)</f>
        <v>LOZA FIDEL</v>
      </c>
      <c r="M67" s="6">
        <f t="shared" si="1"/>
        <v>2.8449074074160308E-2</v>
      </c>
      <c r="N67" s="7">
        <f t="shared" si="23"/>
        <v>40.966666666790843</v>
      </c>
      <c r="O67" s="7"/>
      <c r="P67" s="7"/>
      <c r="Q67" s="22"/>
      <c r="R67" s="22"/>
      <c r="S67" s="31">
        <f t="shared" si="21"/>
        <v>1</v>
      </c>
      <c r="T67" s="46" t="str">
        <f t="shared" si="2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3"/>
        <v>https://d0f6bd738d7f1b3e5a7ca70fe4ff75f0.us-east-1.aws.found.io/app/kibana#/discover/Steve-Slow-Train-Analysis-(2080s-and-2083s)?_g=(refreshInterval:(display:Off,pause:!f,section:0,value:0),time:(from:'2017-02-28T10:00:51-0700',mode:absolute,to:'2017-02-28T12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87" t="str">
        <f t="shared" si="4"/>
        <v>N</v>
      </c>
      <c r="X67" s="187">
        <f t="shared" si="24"/>
        <v>1</v>
      </c>
      <c r="Y67" s="62">
        <f t="shared" si="6"/>
        <v>23.301100000000002</v>
      </c>
      <c r="Z67" s="62">
        <f t="shared" si="7"/>
        <v>1.41E-2</v>
      </c>
      <c r="AA67" s="62">
        <f t="shared" si="8"/>
        <v>23.287000000000003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0154-28</v>
      </c>
      <c r="AE67" s="85" t="str">
        <f t="shared" si="10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67" s="82" t="str">
        <f t="shared" si="11"/>
        <v>"C:\Program Files (x86)\AstroGrep\AstroGrep.exe" /spath="%USERPROFILE%\AppData\Local\Temp\OnboardLogs" /stypes="app*4004*20170228*" /stext=" 18:.+((SYSTEM_STATE.+slice.+state.+changed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86" t="str">
        <f t="shared" si="16"/>
        <v>"%USERPROFILE%\Documents\GitHub\eaglep3\Utilities\RefineRTDCRunTimes.py" --tripid 154-28 --locoid 4004 --swversion DE.1.0.9.0 --startMP 204:233011 --initTime 2017-02-28T11:00:51 --startdatetime 2017-02-28T11:11:31 --delay 1 --endMP 204:141 --enddatetime 2017-02-28T11:52:29 --enforcementcount 1 &gt;&gt;C:\Users\stu\Documents\GitHub\eaglep3-reporting\EC\2017-02-28-refined-times.txt</v>
      </c>
      <c r="AI67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{"issue":{"subject":"","project_id":79,"tracker_id":40,"status_id":1,"priority_id":2,"assigned_to_id":23,"start_date":"2017-02-28","description":"","custom_fields":[{"id":1,"name":"Subdivision","value":"EC"},{"id":4,"name":"Milepost","value":"0.0141"},{"id":17,"name":"Train ID","value":"154-28"},{"id":16,"name":"Locomotive ID","value":"4004"},{"id":130,"name":"Impact","value":""},{"id":150,"name":"Time of Event (Mountain Time)","value":"11:52:29"},{"id":151,"name":"Denver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4004 --day 2017-02-28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643</v>
      </c>
      <c r="B68" s="7">
        <v>4051</v>
      </c>
      <c r="C68" s="21" t="s">
        <v>274</v>
      </c>
      <c r="D68" s="21" t="s">
        <v>402</v>
      </c>
      <c r="E68" s="13">
        <v>42794.432337962964</v>
      </c>
      <c r="F68" s="13">
        <v>42794.437974537039</v>
      </c>
      <c r="G68" s="7">
        <v>1</v>
      </c>
      <c r="H68" s="21" t="s">
        <v>284</v>
      </c>
      <c r="I68" s="13">
        <v>42794.461909722224</v>
      </c>
      <c r="J68" s="7">
        <v>1</v>
      </c>
      <c r="K68" s="98" t="str">
        <f t="shared" si="0"/>
        <v>4051/4052</v>
      </c>
      <c r="L68" s="21" t="str">
        <f>VLOOKUP(A68,'Trips&amp;Operators'!$C$1:$G$99999,5,FALSE)</f>
        <v>YORK EDGAR</v>
      </c>
      <c r="M68" s="6">
        <f t="shared" si="1"/>
        <v>2.3935185185109731E-2</v>
      </c>
      <c r="N68" s="7">
        <f t="shared" si="23"/>
        <v>34.466666666558012</v>
      </c>
      <c r="O68" s="7"/>
      <c r="P68" s="7"/>
      <c r="Q68" s="22"/>
      <c r="R68" s="22"/>
      <c r="S68" s="31">
        <f t="shared" si="21"/>
        <v>1</v>
      </c>
      <c r="T68" s="46" t="str">
        <f t="shared" si="2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3"/>
        <v>https://d0f6bd738d7f1b3e5a7ca70fe4ff75f0.us-east-1.aws.found.io/app/kibana#/discover/Steve-Slow-Train-Analysis-(2080s-and-2083s)?_g=(refreshInterval:(display:Off,pause:!f,section:0,value:0),time:(from:'2017-02-28T09:22:34-0700',mode:absolute,to:'2017-02-28T12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8" s="187" t="str">
        <f t="shared" si="4"/>
        <v>N</v>
      </c>
      <c r="X68" s="187">
        <f t="shared" si="24"/>
        <v>1</v>
      </c>
      <c r="Y68" s="62">
        <f t="shared" si="6"/>
        <v>4.3799999999999999E-2</v>
      </c>
      <c r="Z68" s="62">
        <f t="shared" si="7"/>
        <v>23.328900000000001</v>
      </c>
      <c r="AA68" s="62">
        <f t="shared" si="8"/>
        <v>23.2851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0155-28</v>
      </c>
      <c r="AE68" s="85" t="str">
        <f t="shared" si="10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68" s="82" t="str">
        <f t="shared" si="11"/>
        <v>"C:\Program Files (x86)\AstroGrep\AstroGrep.exe" /spath="%USERPROFILE%\AppData\Local\Temp\OnboardLogs" /stypes="app*4051*20170228*"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86" t="str">
        <f t="shared" si="16"/>
        <v>"%USERPROFILE%\Documents\GitHub\eaglep3\Utilities\RefineRTDCRunTimes.py" --tripid 155-28 --locoid 4051 --swversion DE.1.0.9.0 --startMP 204:438 --initTime 2017-02-28T10:22:34 --startdatetime 2017-02-28T10:30:41 --delay 1 --endMP 204:233289 --enddatetime 2017-02-28T11:05:09 --enforcementcount 1 &gt;&gt;C:\Users\stu\Documents\GitHub\eaglep3-reporting\EC\2017-02-28-refined-times.txt</v>
      </c>
      <c r="AI68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{"issue":{"subject":"","project_id":79,"tracker_id":40,"status_id":1,"priority_id":2,"assigned_to_id":23,"start_date":"2017-02-28","description":"","custom_fields":[{"id":1,"name":"Subdivision","value":"EC"},{"id":4,"name":"Milepost","value":"23.3289"},{"id":17,"name":"Train ID","value":"155-28"},{"id":16,"name":"Locomotive ID","value":"4051"},{"id":130,"name":"Impact","value":""},{"id":150,"name":"Time of Event (Mountain Time)","value":"11:05:09"},{"id":151,"name":"Denver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4051 --day 2017-02-28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20" customFormat="1" x14ac:dyDescent="0.25">
      <c r="A69" s="33" t="s">
        <v>557</v>
      </c>
      <c r="B69" s="7">
        <v>4052</v>
      </c>
      <c r="C69" s="21" t="s">
        <v>274</v>
      </c>
      <c r="D69" s="21" t="s">
        <v>796</v>
      </c>
      <c r="E69" s="13">
        <v>42794.46371527778</v>
      </c>
      <c r="F69" s="13">
        <v>42794.476724537039</v>
      </c>
      <c r="G69" s="7">
        <v>1</v>
      </c>
      <c r="H69" s="21" t="s">
        <v>206</v>
      </c>
      <c r="I69" s="13">
        <v>42794.508611111109</v>
      </c>
      <c r="J69" s="7">
        <v>1</v>
      </c>
      <c r="K69" s="98" t="str">
        <f t="shared" si="0"/>
        <v>4051/4052</v>
      </c>
      <c r="L69" s="21" t="str">
        <f>VLOOKUP(A69,'Trips&amp;Operators'!$C$1:$G$99999,5,FALSE)</f>
        <v>YORK EDGAR</v>
      </c>
      <c r="M69" s="6">
        <f t="shared" si="1"/>
        <v>3.1886574070085771E-2</v>
      </c>
      <c r="N69" s="7">
        <f t="shared" si="23"/>
        <v>45.916666660923511</v>
      </c>
      <c r="O69" s="7"/>
      <c r="P69" s="7"/>
      <c r="Q69" s="22"/>
      <c r="R69" s="22"/>
      <c r="S69" s="31">
        <f t="shared" si="21"/>
        <v>1</v>
      </c>
      <c r="T69" s="46" t="str">
        <f t="shared" si="2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3"/>
        <v>https://d0f6bd738d7f1b3e5a7ca70fe4ff75f0.us-east-1.aws.found.io/app/kibana#/discover/Steve-Slow-Train-Analysis-(2080s-and-2083s)?_g=(refreshInterval:(display:Off,pause:!f,section:0,value:0),time:(from:'2017-02-28T10:07:45-0700',mode:absolute,to:'2017-02-28T13:12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9" s="187" t="str">
        <f t="shared" si="4"/>
        <v>N</v>
      </c>
      <c r="X69" s="187">
        <f t="shared" si="24"/>
        <v>1</v>
      </c>
      <c r="Y69" s="62">
        <f t="shared" si="6"/>
        <v>23.2957</v>
      </c>
      <c r="Z69" s="62">
        <f t="shared" si="7"/>
        <v>1.52E-2</v>
      </c>
      <c r="AA69" s="62">
        <f t="shared" si="8"/>
        <v>23.2805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0156-28</v>
      </c>
      <c r="AE69" s="85" t="str">
        <f t="shared" si="10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69" s="82" t="str">
        <f t="shared" si="11"/>
        <v>"C:\Program Files (x86)\AstroGrep\AstroGrep.exe" /spath="%USERPROFILE%\AppData\Local\Temp\OnboardLogs" /stypes="app*4052*20170228*" /stext=" 19:.+((SYSTEM_STATE.+slice.+state.+changed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86" t="str">
        <f t="shared" si="16"/>
        <v>"%USERPROFILE%\Documents\GitHub\eaglep3\Utilities\RefineRTDCRunTimes.py" --tripid 156-28 --locoid 4052 --swversion DE.1.0.9.0 --startMP 204:232957 --initTime 2017-02-28T11:07:45 --startdatetime 2017-02-28T11:26:29 --delay 1 --endMP 204:152 --enddatetime 2017-02-28T12:12:24 --enforcementcount 1 &gt;&gt;C:\Users\stu\Documents\GitHub\eaglep3-reporting\EC\2017-02-28-refined-times.txt</v>
      </c>
      <c r="AI69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{"issue":{"subject":"","project_id":79,"tracker_id":40,"status_id":1,"priority_id":2,"assigned_to_id":23,"start_date":"2017-02-28","description":"","custom_fields":[{"id":1,"name":"Subdivision","value":"EC"},{"id":4,"name":"Milepost","value":"0.0152"},{"id":17,"name":"Train ID","value":"156-28"},{"id":16,"name":"Locomotive ID","value":"4052"},{"id":130,"name":"Impact","value":""},{"id":150,"name":"Time of Event (Mountain Time)","value":"12:12:24"},{"id":151,"name":"Denver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4052 --day 2017-02-28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647</v>
      </c>
      <c r="B70" s="7">
        <v>4006</v>
      </c>
      <c r="C70" s="21" t="s">
        <v>274</v>
      </c>
      <c r="D70" s="21" t="s">
        <v>268</v>
      </c>
      <c r="E70" s="13">
        <v>42794.445092592592</v>
      </c>
      <c r="F70" s="13">
        <v>42794.448310185187</v>
      </c>
      <c r="G70" s="7">
        <v>1</v>
      </c>
      <c r="H70" s="21" t="s">
        <v>791</v>
      </c>
      <c r="I70" s="13">
        <v>42794.473958333336</v>
      </c>
      <c r="J70" s="7">
        <v>1</v>
      </c>
      <c r="K70" s="98" t="str">
        <f t="shared" si="0"/>
        <v>4005/4006</v>
      </c>
      <c r="L70" s="21" t="str">
        <f>VLOOKUP(A70,'Trips&amp;Operators'!$C$1:$G$99999,5,FALSE)</f>
        <v>MAYBERRY BILL</v>
      </c>
      <c r="M70" s="6">
        <f t="shared" si="1"/>
        <v>2.5648148148320615E-2</v>
      </c>
      <c r="N70" s="7">
        <f t="shared" si="23"/>
        <v>36.933333333581686</v>
      </c>
      <c r="O70" s="7"/>
      <c r="P70" s="7"/>
      <c r="Q70" s="22"/>
      <c r="R70" s="22"/>
      <c r="S70" s="31">
        <f t="shared" si="21"/>
        <v>1</v>
      </c>
      <c r="T70" s="46" t="str">
        <f t="shared" si="2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3"/>
        <v>https://d0f6bd738d7f1b3e5a7ca70fe4ff75f0.us-east-1.aws.found.io/app/kibana#/discover/Steve-Slow-Train-Analysis-(2080s-and-2083s)?_g=(refreshInterval:(display:Off,pause:!f,section:0,value:0),time:(from:'2017-02-28T09:40:56-0700',mode:absolute,to:'2017-02-28T12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0" s="187" t="str">
        <f t="shared" si="4"/>
        <v>N</v>
      </c>
      <c r="X70" s="187">
        <f t="shared" si="24"/>
        <v>1</v>
      </c>
      <c r="Y70" s="62">
        <f t="shared" si="6"/>
        <v>4.4699999999999997E-2</v>
      </c>
      <c r="Z70" s="62">
        <f t="shared" si="7"/>
        <v>23.329499999999999</v>
      </c>
      <c r="AA70" s="62">
        <f t="shared" si="8"/>
        <v>23.284800000000001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0157-28</v>
      </c>
      <c r="AE70" s="85" t="str">
        <f t="shared" si="10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70" s="82" t="str">
        <f t="shared" si="11"/>
        <v>"C:\Program Files (x86)\AstroGrep\AstroGrep.exe" /spath="%USERPROFILE%\AppData\Local\Temp\OnboardLogs" /stypes="app*4006*20170228*" /stext=" 18:.+((SYSTEM_STATE.+slice.+state.+changed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86" t="str">
        <f t="shared" si="16"/>
        <v>"%USERPROFILE%\Documents\GitHub\eaglep3\Utilities\RefineRTDCRunTimes.py" --tripid 157-28 --locoid 4006 --swversion DE.1.0.9.0 --startMP 204:447 --initTime 2017-02-28T10:40:56 --startdatetime 2017-02-28T10:45:34 --delay 1 --endMP 204:233295 --enddatetime 2017-02-28T11:22:30 --enforcementcount 1 &gt;&gt;C:\Users\stu\Documents\GitHub\eaglep3-reporting\EC\2017-02-28-refined-times.txt</v>
      </c>
      <c r="AI70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{"issue":{"subject":"","project_id":79,"tracker_id":40,"status_id":1,"priority_id":2,"assigned_to_id":23,"start_date":"2017-02-28","description":"","custom_fields":[{"id":1,"name":"Subdivision","value":"EC"},{"id":4,"name":"Milepost","value":"23.3295"},{"id":17,"name":"Train ID","value":"157-28"},{"id":16,"name":"Locomotive ID","value":"4006"},{"id":130,"name":"Impact","value":""},{"id":150,"name":"Time of Event (Mountain Time)","value":"11:22:30"},{"id":151,"name":"Denver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4006 --day 2017-02-28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558</v>
      </c>
      <c r="B71" s="7">
        <v>4005</v>
      </c>
      <c r="C71" s="21" t="s">
        <v>274</v>
      </c>
      <c r="D71" s="21" t="s">
        <v>318</v>
      </c>
      <c r="E71" s="13">
        <v>42794.478796296295</v>
      </c>
      <c r="F71" s="13">
        <v>42794.487488425926</v>
      </c>
      <c r="G71" s="7">
        <v>1</v>
      </c>
      <c r="H71" s="21" t="s">
        <v>184</v>
      </c>
      <c r="I71" s="13">
        <v>42794.519849537035</v>
      </c>
      <c r="J71" s="7">
        <v>1</v>
      </c>
      <c r="K71" s="98" t="str">
        <f t="shared" si="0"/>
        <v>4005/4006</v>
      </c>
      <c r="L71" s="21" t="str">
        <f>VLOOKUP(A71,'Trips&amp;Operators'!$C$1:$G$99999,5,FALSE)</f>
        <v>MAYBERRY BILL</v>
      </c>
      <c r="M71" s="6">
        <f t="shared" si="1"/>
        <v>3.2361111108912155E-2</v>
      </c>
      <c r="N71" s="7">
        <f t="shared" si="23"/>
        <v>46.599999996833503</v>
      </c>
      <c r="O71" s="7"/>
      <c r="P71" s="7"/>
      <c r="Q71" s="22"/>
      <c r="R71" s="22"/>
      <c r="S71" s="31">
        <f t="shared" si="21"/>
        <v>1</v>
      </c>
      <c r="T71" s="46" t="str">
        <f t="shared" si="2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3"/>
        <v>https://d0f6bd738d7f1b3e5a7ca70fe4ff75f0.us-east-1.aws.found.io/app/kibana#/discover/Steve-Slow-Train-Analysis-(2080s-and-2083s)?_g=(refreshInterval:(display:Off,pause:!f,section:0,value:0),time:(from:'2017-02-28T10:29:28-0700',mode:absolute,to:'2017-02-28T13:28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1" s="187" t="str">
        <f t="shared" si="4"/>
        <v>N</v>
      </c>
      <c r="X71" s="187">
        <f t="shared" si="24"/>
        <v>1</v>
      </c>
      <c r="Y71" s="62">
        <f t="shared" si="6"/>
        <v>23.297599999999999</v>
      </c>
      <c r="Z71" s="62">
        <f t="shared" si="7"/>
        <v>1.49E-2</v>
      </c>
      <c r="AA71" s="62">
        <f t="shared" si="8"/>
        <v>23.282699999999998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0158-28</v>
      </c>
      <c r="AE71" s="85" t="str">
        <f t="shared" si="10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71" s="82" t="str">
        <f t="shared" si="11"/>
        <v>"C:\Program Files (x86)\AstroGrep\AstroGrep.exe" /spath="%USERPROFILE%\AppData\Local\Temp\OnboardLogs" /stypes="app*4005*20170228*" /stext=" 19:.+((SYSTEM_STATE.+slice.+state.+changed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86" t="str">
        <f t="shared" si="16"/>
        <v>"%USERPROFILE%\Documents\GitHub\eaglep3\Utilities\RefineRTDCRunTimes.py" --tripid 158-28 --locoid 4005 --swversion DE.1.0.9.0 --startMP 204:232976 --initTime 2017-02-28T11:29:28 --startdatetime 2017-02-28T11:41:59 --delay 1 --endMP 204:149 --enddatetime 2017-02-28T12:28:35 --enforcementcount 1 &gt;&gt;C:\Users\stu\Documents\GitHub\eaglep3-reporting\EC\2017-02-28-refined-times.txt</v>
      </c>
      <c r="AI71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ID","value":"158-28"},{"id":16,"name":"Locomotive ID","value":"4005"},{"id":130,"name":"Impact","value":""},{"id":150,"name":"Time of Event (Mountain Time)","value":"12:28:35"},{"id":151,"name":"Denver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4005 --day 2017-02-28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"%USERPROFILE%\AppData\Local\Temp\OnboardLogs"\RTDC4005\*4005*20170228* | grep -SE "(Enforcement Action)|(\[TIMEOUT)|(CHR.+\|PRM\|1\|D.+(SWITCH|SIGNAL).+UNKNOWN)" - &gt;&gt; 2017-02-28-UncaughtWiMAX.txt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x14ac:dyDescent="0.25">
      <c r="A72" s="33" t="s">
        <v>649</v>
      </c>
      <c r="B72" s="7">
        <v>4007</v>
      </c>
      <c r="C72" s="21" t="s">
        <v>274</v>
      </c>
      <c r="D72" s="21" t="s">
        <v>268</v>
      </c>
      <c r="E72" s="13">
        <v>42794.454583333332</v>
      </c>
      <c r="F72" s="13">
        <v>42794.458645833336</v>
      </c>
      <c r="G72" s="7">
        <v>2</v>
      </c>
      <c r="H72" s="21" t="s">
        <v>791</v>
      </c>
      <c r="I72" s="13">
        <v>42794.485590277778</v>
      </c>
      <c r="J72" s="7">
        <v>1</v>
      </c>
      <c r="K72" s="98" t="str">
        <f t="shared" si="0"/>
        <v>4007/4008</v>
      </c>
      <c r="L72" s="21" t="str">
        <f>VLOOKUP(A72,'Trips&amp;Operators'!$C$1:$G$99999,5,FALSE)</f>
        <v>DAVIS MICHAEL</v>
      </c>
      <c r="M72" s="6">
        <f t="shared" si="1"/>
        <v>2.6944444442051463E-2</v>
      </c>
      <c r="N72" s="7">
        <f t="shared" si="23"/>
        <v>38.799999996554106</v>
      </c>
      <c r="O72" s="7"/>
      <c r="P72" s="7"/>
      <c r="Q72" s="22"/>
      <c r="R72" s="22"/>
      <c r="S72" s="31">
        <f t="shared" si="21"/>
        <v>1</v>
      </c>
      <c r="T72" s="46" t="str">
        <f t="shared" si="2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3"/>
        <v>https://d0f6bd738d7f1b3e5a7ca70fe4ff75f0.us-east-1.aws.found.io/app/kibana#/discover/Steve-Slow-Train-Analysis-(2080s-and-2083s)?_g=(refreshInterval:(display:Off,pause:!f,section:0,value:0),time:(from:'2017-02-28T09:54:36-0700',mode:absolute,to:'2017-02-28T12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187" t="str">
        <f t="shared" si="4"/>
        <v>N</v>
      </c>
      <c r="X72" s="187">
        <f t="shared" si="24"/>
        <v>1</v>
      </c>
      <c r="Y72" s="62">
        <f t="shared" si="6"/>
        <v>4.4699999999999997E-2</v>
      </c>
      <c r="Z72" s="62">
        <f t="shared" si="7"/>
        <v>23.329499999999999</v>
      </c>
      <c r="AA72" s="62">
        <f t="shared" si="8"/>
        <v>23.284800000000001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0159-28</v>
      </c>
      <c r="AE72" s="85" t="str">
        <f t="shared" si="10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72" s="82" t="str">
        <f t="shared" si="11"/>
        <v>"C:\Program Files (x86)\AstroGrep\AstroGrep.exe" /spath="%USERPROFILE%\AppData\Local\Temp\OnboardLogs" /stypes="app*4007*20170228*" /stext=" 18:.+((SYSTEM_STATE.+slice.+state.+changed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86" t="str">
        <f t="shared" si="16"/>
        <v>"%USERPROFILE%\Documents\GitHub\eaglep3\Utilities\RefineRTDCRunTimes.py" --tripid 159-28 --locoid 4007 --swversion DE.1.0.9.0 --startMP 204:447 --initTime 2017-02-28T10:54:36 --startdatetime 2017-02-28T11:00:27 --delay 2 --endMP 204:233295 --enddatetime 2017-02-28T11:39:15 --enforcementcount 1 &gt;&gt;C:\Users\stu\Documents\GitHub\eaglep3-reporting\EC\2017-02-28-refined-times.txt</v>
      </c>
      <c r="AI72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{"issue":{"subject":"","project_id":79,"tracker_id":40,"status_id":1,"priority_id":2,"assigned_to_id":23,"start_date":"2017-02-28","description":"","custom_fields":[{"id":1,"name":"Subdivision","value":"EC"},{"id":4,"name":"Milepost","value":"23.3295"},{"id":17,"name":"Train ID","value":"159-28"},{"id":16,"name":"Locomotive ID","value":"4007"},{"id":130,"name":"Impact","value":""},{"id":150,"name":"Time of Event (Mountain Time)","value":"11:39:15"},{"id":151,"name":"Denver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4007 --day 2017-02-28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2017-02-28-UncaughtWiMAX.txt</v>
      </c>
    </row>
    <row r="73" spans="1:91" s="20" customFormat="1" x14ac:dyDescent="0.25">
      <c r="A73" s="33" t="s">
        <v>657</v>
      </c>
      <c r="B73" s="7">
        <v>4008</v>
      </c>
      <c r="C73" s="21" t="s">
        <v>274</v>
      </c>
      <c r="D73" s="21" t="s">
        <v>804</v>
      </c>
      <c r="E73" s="13">
        <v>42794.494212962964</v>
      </c>
      <c r="F73" s="13">
        <v>42794.497812499998</v>
      </c>
      <c r="G73" s="7">
        <v>2</v>
      </c>
      <c r="H73" s="21" t="s">
        <v>194</v>
      </c>
      <c r="I73" s="13">
        <v>42794.532731481479</v>
      </c>
      <c r="J73" s="7">
        <v>1</v>
      </c>
      <c r="K73" s="98" t="str">
        <f t="shared" si="0"/>
        <v>4007/4008</v>
      </c>
      <c r="L73" s="21" t="str">
        <f>VLOOKUP(A73,'Trips&amp;Operators'!$C$1:$G$99999,5,FALSE)</f>
        <v>DAVIS MICHAEL</v>
      </c>
      <c r="M73" s="6">
        <f t="shared" si="1"/>
        <v>3.4918981480586808E-2</v>
      </c>
      <c r="N73" s="7">
        <f t="shared" si="23"/>
        <v>50.283333332045004</v>
      </c>
      <c r="O73" s="7"/>
      <c r="P73" s="7"/>
      <c r="Q73" s="22"/>
      <c r="R73" s="22"/>
      <c r="S73" s="31">
        <f t="shared" si="21"/>
        <v>1</v>
      </c>
      <c r="T73" s="46" t="str">
        <f t="shared" si="2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3"/>
        <v>https://d0f6bd738d7f1b3e5a7ca70fe4ff75f0.us-east-1.aws.found.io/app/kibana#/discover/Steve-Slow-Train-Analysis-(2080s-and-2083s)?_g=(refreshInterval:(display:Off,pause:!f,section:0,value:0),time:(from:'2017-02-28T10:51:40-0700',mode:absolute,to:'2017-02-28T13:47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187" t="str">
        <f t="shared" si="4"/>
        <v>N</v>
      </c>
      <c r="X73" s="187">
        <f t="shared" si="24"/>
        <v>1</v>
      </c>
      <c r="Y73" s="62">
        <f t="shared" si="6"/>
        <v>23.2959</v>
      </c>
      <c r="Z73" s="62">
        <f t="shared" si="7"/>
        <v>1.4999999999999999E-2</v>
      </c>
      <c r="AA73" s="62">
        <f t="shared" si="8"/>
        <v>23.280899999999999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0160-28</v>
      </c>
      <c r="AE73" s="85" t="str">
        <f t="shared" si="10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73" s="82" t="str">
        <f t="shared" si="11"/>
        <v>"C:\Program Files (x86)\AstroGrep\AstroGrep.exe" /spath="%USERPROFILE%\AppData\Local\Temp\OnboardLogs" /stypes="app*4008*20170228*" /stext=" 19:.+((SYSTEM_STATE.+slice.+state.+changed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86" t="str">
        <f t="shared" si="16"/>
        <v>"%USERPROFILE%\Documents\GitHub\eaglep3\Utilities\RefineRTDCRunTimes.py" --tripid 160-28 --locoid 4008 --swversion DE.1.0.9.0 --startMP 204:232959 --initTime 2017-02-28T11:51:40 --startdatetime 2017-02-28T11:56:51 --delay 2 --endMP 204:150 --enddatetime 2017-02-28T12:47:08 --enforcementcount 1 &gt;&gt;C:\Users\stu\Documents\GitHub\eaglep3-reporting\EC\2017-02-28-refined-times.txt</v>
      </c>
      <c r="AI73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{"issue":{"subject":"","project_id":79,"tracker_id":40,"status_id":1,"priority_id":2,"assigned_to_id":23,"start_date":"2017-02-28","description":"","custom_fields":[{"id":1,"name":"Subdivision","value":"EC"},{"id":4,"name":"Milepost","value":"0.015"},{"id":17,"name":"Train ID","value":"160-28"},{"id":16,"name":"Locomotive ID","value":"4008"},{"id":130,"name":"Impact","value":""},{"id":150,"name":"Time of Event (Mountain Time)","value":"12:47:08"},{"id":151,"name":"Denver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4008 --day 2017-02-28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556</v>
      </c>
      <c r="B74" s="7">
        <v>4027</v>
      </c>
      <c r="C74" s="21" t="s">
        <v>274</v>
      </c>
      <c r="D74" s="21" t="s">
        <v>204</v>
      </c>
      <c r="E74" s="13">
        <v>42794.466111111113</v>
      </c>
      <c r="F74" s="13">
        <v>42794.469340277778</v>
      </c>
      <c r="G74" s="7">
        <v>2</v>
      </c>
      <c r="H74" s="21" t="s">
        <v>805</v>
      </c>
      <c r="I74" s="13">
        <v>42794.495648148149</v>
      </c>
      <c r="J74" s="7">
        <v>1</v>
      </c>
      <c r="K74" s="98" t="str">
        <f t="shared" si="0"/>
        <v>4027/4028</v>
      </c>
      <c r="L74" s="21" t="str">
        <f>VLOOKUP(A74,'Trips&amp;Operators'!$C$1:$G$99999,5,FALSE)</f>
        <v>STEWART MICHAEL</v>
      </c>
      <c r="M74" s="6">
        <f t="shared" si="1"/>
        <v>2.6307870371965691E-2</v>
      </c>
      <c r="N74" s="7">
        <f t="shared" si="23"/>
        <v>37.883333335630596</v>
      </c>
      <c r="O74" s="7"/>
      <c r="P74" s="7"/>
      <c r="Q74" s="22"/>
      <c r="R74" s="22"/>
      <c r="S74" s="31">
        <f t="shared" si="21"/>
        <v>1</v>
      </c>
      <c r="T74" s="46" t="str">
        <f t="shared" si="2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3"/>
        <v>https://d0f6bd738d7f1b3e5a7ca70fe4ff75f0.us-east-1.aws.found.io/app/kibana#/discover/Steve-Slow-Train-Analysis-(2080s-and-2083s)?_g=(refreshInterval:(display:Off,pause:!f,section:0,value:0),time:(from:'2017-02-28T10:11:12-0700',mode:absolute,to:'2017-02-28T12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7" t="str">
        <f t="shared" si="4"/>
        <v>N</v>
      </c>
      <c r="X74" s="187">
        <f t="shared" si="24"/>
        <v>1</v>
      </c>
      <c r="Y74" s="62">
        <f t="shared" si="6"/>
        <v>4.6199999999999998E-2</v>
      </c>
      <c r="Z74" s="62">
        <f t="shared" si="7"/>
        <v>23.333400000000001</v>
      </c>
      <c r="AA74" s="62">
        <f t="shared" si="8"/>
        <v>23.287200000000002</v>
      </c>
      <c r="AB74" s="59" t="str">
        <f>VLOOKUP(A74,Enforcements!$C$7:$K$13,8,0)</f>
        <v>Bulletin (2)</v>
      </c>
      <c r="AC74" s="55" t="str">
        <f>VLOOKUP(A74,Enforcements!$C$7:$E$13,3,0)</f>
        <v>GRADE CROSSING</v>
      </c>
      <c r="AD74" s="56" t="str">
        <f t="shared" si="9"/>
        <v>0161-28</v>
      </c>
      <c r="AE74" s="85" t="str">
        <f t="shared" si="10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74" s="82" t="str">
        <f t="shared" si="11"/>
        <v>"C:\Program Files (x86)\AstroGrep\AstroGrep.exe" /spath="%USERPROFILE%\AppData\Local\Temp\OnboardLogs" /stypes="app*4027*20170228*" /stext=" 18:.+((SYSTEM_STATE.+slice.+state.+changed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86" t="str">
        <f t="shared" si="16"/>
        <v>"%USERPROFILE%\Documents\GitHub\eaglep3\Utilities\RefineRTDCRunTimes.py" --tripid 161-28 --locoid 4027 --swversion DE.1.0.9.0 --startMP 204:462 --initTime 2017-02-28T11:11:12 --startdatetime 2017-02-28T11:15:51 --delay 2 --endMP 204:233334 --enddatetime 2017-02-28T11:53:44 --enforcementcount 1 &gt;&gt;C:\Users\stu\Documents\GitHub\eaglep3-reporting\EC\2017-02-28-refined-times.txt</v>
      </c>
      <c r="AI74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{"issue":{"subject":"","project_id":79,"tracker_id":40,"status_id":1,"priority_id":2,"assigned_to_id":23,"start_date":"2017-02-28","description":"","custom_fields":[{"id":1,"name":"Subdivision","value":"EC"},{"id":4,"name":"Milepost","value":"23.3334"},{"id":17,"name":"Train ID","value":"161-28"},{"id":16,"name":"Locomotive ID","value":"4027"},{"id":130,"name":"Impact","value":""},{"id":150,"name":"Time of Event (Mountain Time)","value":"11:53:44"},{"id":151,"name":"Denver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4027 --day 2017-02-28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659</v>
      </c>
      <c r="B75" s="7">
        <v>4028</v>
      </c>
      <c r="C75" s="21" t="s">
        <v>274</v>
      </c>
      <c r="D75" s="21" t="s">
        <v>244</v>
      </c>
      <c r="E75" s="13">
        <v>42794.506516203706</v>
      </c>
      <c r="F75" s="13">
        <v>42794.507951388892</v>
      </c>
      <c r="G75" s="7">
        <v>1</v>
      </c>
      <c r="H75" s="21" t="s">
        <v>184</v>
      </c>
      <c r="I75" s="13">
        <v>42794.543611111112</v>
      </c>
      <c r="J75" s="7">
        <v>1</v>
      </c>
      <c r="K75" s="98" t="str">
        <f t="shared" si="0"/>
        <v>4027/4028</v>
      </c>
      <c r="L75" s="21" t="str">
        <f>VLOOKUP(A75,'Trips&amp;Operators'!$C$1:$G$99999,5,FALSE)</f>
        <v>STEWART MICHAEL</v>
      </c>
      <c r="M75" s="6">
        <f t="shared" si="1"/>
        <v>3.5659722219861578E-2</v>
      </c>
      <c r="N75" s="7">
        <f t="shared" si="23"/>
        <v>51.349999996600673</v>
      </c>
      <c r="O75" s="7"/>
      <c r="P75" s="7"/>
      <c r="Q75" s="22"/>
      <c r="R75" s="22"/>
      <c r="S75" s="31">
        <f t="shared" si="21"/>
        <v>1</v>
      </c>
      <c r="T75" s="46" t="str">
        <f t="shared" si="2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3"/>
        <v>https://d0f6bd738d7f1b3e5a7ca70fe4ff75f0.us-east-1.aws.found.io/app/kibana#/discover/Steve-Slow-Train-Analysis-(2080s-and-2083s)?_g=(refreshInterval:(display:Off,pause:!f,section:0,value:0),time:(from:'2017-02-28T11:09:23-0700',mode:absolute,to:'2017-02-28T14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87" t="str">
        <f t="shared" si="4"/>
        <v>N</v>
      </c>
      <c r="X75" s="187">
        <f t="shared" si="24"/>
        <v>1</v>
      </c>
      <c r="Y75" s="62">
        <f t="shared" si="6"/>
        <v>23.299299999999999</v>
      </c>
      <c r="Z75" s="62">
        <f t="shared" si="7"/>
        <v>1.49E-2</v>
      </c>
      <c r="AA75" s="62">
        <f t="shared" si="8"/>
        <v>23.284399999999998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0162-28</v>
      </c>
      <c r="AE75" s="85" t="str">
        <f t="shared" si="10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75" s="82" t="str">
        <f t="shared" si="11"/>
        <v>"C:\Program Files (x86)\AstroGrep\AstroGrep.exe" /spath="%USERPROFILE%\AppData\Local\Temp\OnboardLogs" /stypes="app*4028*20170228*" /stext=" 20:.+((SYSTEM_STATE.+slice.+state.+changed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86" t="str">
        <f t="shared" si="16"/>
        <v>"%USERPROFILE%\Documents\GitHub\eaglep3\Utilities\RefineRTDCRunTimes.py" --tripid 162-28 --locoid 4028 --swversion DE.1.0.9.0 --startMP 204:232993 --initTime 2017-02-28T12:09:23 --startdatetime 2017-02-28T12:11:27 --delay 1 --endMP 204:149 --enddatetime 2017-02-28T13:02:48 --enforcementcount 1 &gt;&gt;C:\Users\stu\Documents\GitHub\eaglep3-reporting\EC\2017-02-28-refined-times.txt</v>
      </c>
      <c r="AI75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ID","value":"162-28"},{"id":16,"name":"Locomotive ID","value":"4028"},{"id":130,"name":"Impact","value":""},{"id":150,"name":"Time of Event (Mountain Time)","value":"13:02:48"},{"id":151,"name":"Denver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4028 --day 2017-02-28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652</v>
      </c>
      <c r="B76" s="7">
        <v>4018</v>
      </c>
      <c r="C76" s="21" t="s">
        <v>274</v>
      </c>
      <c r="D76" s="21" t="s">
        <v>268</v>
      </c>
      <c r="E76" s="13">
        <v>42794.474733796298</v>
      </c>
      <c r="F76" s="13">
        <v>42794.479328703703</v>
      </c>
      <c r="G76" s="7">
        <v>3</v>
      </c>
      <c r="H76" s="21" t="s">
        <v>794</v>
      </c>
      <c r="I76" s="13">
        <v>42794.505543981482</v>
      </c>
      <c r="J76" s="7">
        <v>1</v>
      </c>
      <c r="K76" s="98" t="str">
        <f t="shared" si="0"/>
        <v>4017/4018</v>
      </c>
      <c r="L76" s="21" t="str">
        <f>VLOOKUP(A76,'Trips&amp;Operators'!$C$1:$G$99999,5,FALSE)</f>
        <v>STRICKLAND EVAN</v>
      </c>
      <c r="M76" s="6">
        <f t="shared" si="1"/>
        <v>2.6215277779556345E-2</v>
      </c>
      <c r="N76" s="7">
        <f t="shared" si="23"/>
        <v>37.750000002561137</v>
      </c>
      <c r="O76" s="7"/>
      <c r="P76" s="7"/>
      <c r="Q76" s="22"/>
      <c r="R76" s="22"/>
      <c r="S76" s="31">
        <f t="shared" si="21"/>
        <v>1</v>
      </c>
      <c r="T76" s="46" t="str">
        <f t="shared" si="2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3"/>
        <v>https://d0f6bd738d7f1b3e5a7ca70fe4ff75f0.us-east-1.aws.found.io/app/kibana#/discover/Steve-Slow-Train-Analysis-(2080s-and-2083s)?_g=(refreshInterval:(display:Off,pause:!f,section:0,value:0),time:(from:'2017-02-28T10:23:37-0700',mode:absolute,to:'2017-02-28T13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187" t="str">
        <f t="shared" si="4"/>
        <v>N</v>
      </c>
      <c r="X76" s="187">
        <f t="shared" si="24"/>
        <v>1</v>
      </c>
      <c r="Y76" s="62">
        <f t="shared" si="6"/>
        <v>4.4699999999999997E-2</v>
      </c>
      <c r="Z76" s="62">
        <f t="shared" si="7"/>
        <v>23.3309</v>
      </c>
      <c r="AA76" s="62">
        <f t="shared" si="8"/>
        <v>23.286200000000001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0163-28</v>
      </c>
      <c r="AE76" s="85" t="str">
        <f t="shared" si="10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76" s="82" t="str">
        <f t="shared" si="11"/>
        <v>"C:\Program Files (x86)\AstroGrep\AstroGrep.exe" /spath="%USERPROFILE%\AppData\Local\Temp\OnboardLogs" /stypes="app*4018*20170228*" /stext=" 19:.+((SYSTEM_STATE.+slice.+state.+changed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86" t="str">
        <f t="shared" si="16"/>
        <v>"%USERPROFILE%\Documents\GitHub\eaglep3\Utilities\RefineRTDCRunTimes.py" --tripid 163-28 --locoid 4018 --swversion DE.1.0.9.0 --startMP 204:447 --initTime 2017-02-28T11:23:37 --startdatetime 2017-02-28T11:30:14 --delay 3 --endMP 204:233309 --enddatetime 2017-02-28T12:07:59 --enforcementcount 1 &gt;&gt;C:\Users\stu\Documents\GitHub\eaglep3-reporting\EC\2017-02-28-refined-times.txt</v>
      </c>
      <c r="AI76" s="108" t="str">
        <f t="shared" si="17"/>
        <v>echo {"issue":{"subject":"","project_id":79,"tracker_id":40,"status_id":1,"priority_id":2,"assigned_to_id":23,"start_date":"2017-02-28","description":"","custom_fields":[{"id":1,"name":"Subdivision","value":"EC"},{"id":4,"name":"Milepost","value":"23.3309"},{"id":17,"name":"Train ID","value":"163-28"},{"id":16,"name":"Locomotive ID","value":"4018"},{"id":130,"name":"Impact","value":""},{"id":150,"name":"Time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4018 --day 2017-02-28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559</v>
      </c>
      <c r="B77" s="7">
        <v>4017</v>
      </c>
      <c r="C77" s="21" t="s">
        <v>274</v>
      </c>
      <c r="D77" s="21" t="s">
        <v>277</v>
      </c>
      <c r="E77" s="13">
        <v>42794.507361111115</v>
      </c>
      <c r="F77" s="13">
        <v>42794.518287037034</v>
      </c>
      <c r="G77" s="7">
        <v>2</v>
      </c>
      <c r="H77" s="21" t="s">
        <v>194</v>
      </c>
      <c r="I77" s="13">
        <v>42794.55133101852</v>
      </c>
      <c r="J77" s="7">
        <v>1</v>
      </c>
      <c r="K77" s="98" t="str">
        <f t="shared" ref="K77:K140" si="25">IF(ISEVEN(B77),(B77-1)&amp;"/"&amp;B77,B77&amp;"/"&amp;(B77+1))</f>
        <v>4017/4018</v>
      </c>
      <c r="L77" s="21" t="str">
        <f>VLOOKUP(A77,'Trips&amp;Operators'!$C$1:$G$99999,5,FALSE)</f>
        <v>STRICKLAND EVAN</v>
      </c>
      <c r="M77" s="6">
        <f t="shared" ref="M77:M140" si="26">I77-F77</f>
        <v>3.3043981486116536E-2</v>
      </c>
      <c r="N77" s="7">
        <f t="shared" si="23"/>
        <v>47.583333340007812</v>
      </c>
      <c r="O77" s="7"/>
      <c r="P77" s="7"/>
      <c r="Q77" s="22"/>
      <c r="R77" s="22"/>
      <c r="S77" s="31">
        <f t="shared" si="21"/>
        <v>1</v>
      </c>
      <c r="T77" s="46" t="str">
        <f t="shared" ref="T77:T140" si="27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-28T11:10:36-0700',mode:absolute,to:'2017-02-28T14:13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187" t="str">
        <f t="shared" ref="W77:W140" si="29">IF(AA77&lt;IF(AG77="EC",23,5.65),"Y","N")</f>
        <v>N</v>
      </c>
      <c r="X77" s="187">
        <f t="shared" si="24"/>
        <v>1</v>
      </c>
      <c r="Y77" s="62">
        <f t="shared" ref="Y77:Y140" si="30">RIGHT(D77,LEN(D77)-4)/10000</f>
        <v>23.299399999999999</v>
      </c>
      <c r="Z77" s="62">
        <f t="shared" ref="Z77:Z140" si="31">RIGHT(H77,LEN(H77)-4)/10000</f>
        <v>1.4999999999999999E-2</v>
      </c>
      <c r="AA77" s="62">
        <f t="shared" ref="AA77:AA140" si="32">ABS(Z77-Y77)</f>
        <v>23.284399999999998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3">IF(LEN(A77)=6,"0"&amp;A77,A77)</f>
        <v>0164-28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77" s="82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/stypes="app*4017*20170228*" /stext=" 20:.+((SYSTEM_STATE.+slice.+state.+changed )|(ment ac)|(multiple cpu faults)|(system.+state.+changed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ref="AH77:AH140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164-28 --locoid 4017 --swversion DE.1.0.9.0 --startMP 204:232994 --initTime 2017-02-28T12:10:36 --startdatetime 2017-02-28T12:26:20 --delay 2 --endMP 204:150 --enddatetime 2017-02-28T13:13:55 --enforcementcount 1 &gt;&gt;C:\Users\stu\Documents\GitHub\eaglep3-reporting\EC\2017-02-28-refined-times.txt</v>
      </c>
      <c r="AI77" s="108" t="str">
        <f t="shared" ref="AI77:AI140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{"issue":{"subject":"","project_id":79,"tracker_id":40,"status_id":1,"priority_id":2,"assigned_to_id":23,"start_date":"2017-02-28","description":"","custom_fields":[{"id":1,"name":"Subdivision","value":"EC"},{"id":4,"name":"Milepost","value":"0.015"},{"id":17,"name":"Train ID","value":"164-28"},{"id":16,"name":"Locomotive ID","value":"4017"},{"id":130,"name":"Impact","value":""},{"id":150,"name":"Time of Event (Mountain Time)","value":"13:13:55"},{"id":151,"name":"Denver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40" si="39">"start /low /b "&amp;dls3logs&amp;" --loco "&amp;B77&amp;" --day "&amp;TEXT(F77,"YYYY-MM-DD")</f>
        <v>start /low /b %USERPROFILE%\Documents\GitHub\eaglep3\Utilities\DownloadLogsFromS3.py --loco 4017 --day 2017-02-28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</row>
    <row r="78" spans="1:91" s="20" customFormat="1" x14ac:dyDescent="0.25">
      <c r="A78" s="33" t="s">
        <v>656</v>
      </c>
      <c r="B78" s="7">
        <v>4025</v>
      </c>
      <c r="C78" s="21" t="s">
        <v>274</v>
      </c>
      <c r="D78" s="21" t="s">
        <v>225</v>
      </c>
      <c r="E78" s="13">
        <v>42794.485844907409</v>
      </c>
      <c r="F78" s="13">
        <v>42794.489745370367</v>
      </c>
      <c r="G78" s="7">
        <v>1</v>
      </c>
      <c r="H78" s="21" t="s">
        <v>800</v>
      </c>
      <c r="I78" s="13">
        <v>42794.516967592594</v>
      </c>
      <c r="J78" s="7">
        <v>1</v>
      </c>
      <c r="K78" s="98" t="str">
        <f t="shared" si="25"/>
        <v>4025/4026</v>
      </c>
      <c r="L78" s="21" t="str">
        <f>VLOOKUP(A78,'Trips&amp;Operators'!$C$1:$G$99999,5,FALSE)</f>
        <v>CLARK KATHLEEN</v>
      </c>
      <c r="M78" s="6">
        <f t="shared" si="26"/>
        <v>2.7222222226555459E-2</v>
      </c>
      <c r="N78" s="7">
        <f t="shared" si="23"/>
        <v>39.200000006239861</v>
      </c>
      <c r="O78" s="7"/>
      <c r="P78" s="7"/>
      <c r="Q78" s="22"/>
      <c r="R78" s="22"/>
      <c r="S78" s="31">
        <f t="shared" si="21"/>
        <v>1</v>
      </c>
      <c r="T78" s="46" t="str">
        <f t="shared" si="27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8"/>
        <v>https://d0f6bd738d7f1b3e5a7ca70fe4ff75f0.us-east-1.aws.found.io/app/kibana#/discover/Steve-Slow-Train-Analysis-(2080s-and-2083s)?_g=(refreshInterval:(display:Off,pause:!f,section:0,value:0),time:(from:'2017-02-28T10:39:37-0700',mode:absolute,to:'2017-02-28T13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87" t="str">
        <f t="shared" si="29"/>
        <v>N</v>
      </c>
      <c r="X78" s="187">
        <f t="shared" si="24"/>
        <v>1</v>
      </c>
      <c r="Y78" s="62">
        <f t="shared" si="30"/>
        <v>4.5100000000000001E-2</v>
      </c>
      <c r="Z78" s="62">
        <f t="shared" si="31"/>
        <v>23.332100000000001</v>
      </c>
      <c r="AA78" s="62">
        <f t="shared" si="32"/>
        <v>23.286999999999999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0165-28</v>
      </c>
      <c r="AE78" s="85" t="str">
        <f t="shared" si="34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78" s="82" t="str">
        <f t="shared" si="35"/>
        <v>"C:\Program Files (x86)\AstroGrep\AstroGrep.exe" /spath="%USERPROFILE%\AppData\Local\Temp\OnboardLogs" /stypes="app*4025*20170228*" /stext=" 19:.+((SYSTEM_STATE.+slice.+state.+changed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86" t="str">
        <f t="shared" si="37"/>
        <v>"%USERPROFILE%\Documents\GitHub\eaglep3\Utilities\RefineRTDCRunTimes.py" --tripid 165-28 --locoid 4025 --swversion DE.1.0.9.0 --startMP 204:451 --initTime 2017-02-28T11:39:37 --startdatetime 2017-02-28T11:45:14 --delay 1 --endMP 204:233321 --enddatetime 2017-02-28T12:24:26 --enforcementcount 1 &gt;&gt;C:\Users\stu\Documents\GitHub\eaglep3-reporting\EC\2017-02-28-refined-times.txt</v>
      </c>
      <c r="AI7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{"issue":{"subject":"","project_id":79,"tracker_id":40,"status_id":1,"priority_id":2,"assigned_to_id":23,"start_date":"2017-02-28","description":"","custom_fields":[{"id":1,"name":"Subdivision","value":"EC"},{"id":4,"name":"Milepost","value":"23.3321"},{"id":17,"name":"Train ID","value":"165-28"},{"id":16,"name":"Locomotive ID","value":"4025"},{"id":130,"name":"Impact","value":""},{"id":150,"name":"Time of Event (Mountain Time)","value":"12:24:26"},{"id":151,"name":"Denver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39"/>
        <v>start /low /b %USERPROFILE%\Documents\GitHub\eaglep3\Utilities\DownloadLogsFromS3.py --loco 4025 --day 2017-02-28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663</v>
      </c>
      <c r="B79" s="7">
        <v>4026</v>
      </c>
      <c r="C79" s="21" t="s">
        <v>274</v>
      </c>
      <c r="D79" s="21" t="s">
        <v>411</v>
      </c>
      <c r="E79" s="13">
        <v>42794.523553240739</v>
      </c>
      <c r="F79" s="13">
        <v>42794.528726851851</v>
      </c>
      <c r="G79" s="7">
        <v>1</v>
      </c>
      <c r="H79" s="21" t="s">
        <v>343</v>
      </c>
      <c r="I79" s="13">
        <v>42794.562384259261</v>
      </c>
      <c r="J79" s="7">
        <v>1</v>
      </c>
      <c r="K79" s="98" t="str">
        <f t="shared" si="25"/>
        <v>4025/4026</v>
      </c>
      <c r="L79" s="21" t="str">
        <f>VLOOKUP(A79,'Trips&amp;Operators'!$C$1:$G$99999,5,FALSE)</f>
        <v>CLARK KATHLEEN</v>
      </c>
      <c r="M79" s="6">
        <f t="shared" si="26"/>
        <v>3.365740740991896E-2</v>
      </c>
      <c r="N79" s="7">
        <f t="shared" si="23"/>
        <v>48.466666670283303</v>
      </c>
      <c r="O79" s="7"/>
      <c r="P79" s="7"/>
      <c r="Q79" s="22"/>
      <c r="R79" s="22"/>
      <c r="S79" s="31">
        <f t="shared" si="21"/>
        <v>1</v>
      </c>
      <c r="T79" s="46" t="str">
        <f t="shared" si="27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8"/>
        <v>https://d0f6bd738d7f1b3e5a7ca70fe4ff75f0.us-east-1.aws.found.io/app/kibana#/discover/Steve-Slow-Train-Analysis-(2080s-and-2083s)?_g=(refreshInterval:(display:Off,pause:!f,section:0,value:0),time:(from:'2017-02-28T11:33:55-0700',mode:absolute,to:'2017-02-28T14:29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187" t="str">
        <f t="shared" si="29"/>
        <v>N</v>
      </c>
      <c r="X79" s="187">
        <f t="shared" si="24"/>
        <v>1</v>
      </c>
      <c r="Y79" s="62">
        <f t="shared" si="30"/>
        <v>23.300799999999999</v>
      </c>
      <c r="Z79" s="62">
        <f t="shared" si="31"/>
        <v>1.7999999999999999E-2</v>
      </c>
      <c r="AA79" s="62">
        <f t="shared" si="32"/>
        <v>23.282799999999998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0166-28</v>
      </c>
      <c r="AE79" s="85" t="str">
        <f t="shared" si="34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79" s="82" t="str">
        <f t="shared" si="35"/>
        <v>"C:\Program Files (x86)\AstroGrep\AstroGrep.exe" /spath="%USERPROFILE%\AppData\Local\Temp\OnboardLogs" /stypes="app*4026*20170228*" /stext=" 20:.+((SYSTEM_STATE.+slice.+state.+changed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86" t="str">
        <f t="shared" si="37"/>
        <v>"%USERPROFILE%\Documents\GitHub\eaglep3\Utilities\RefineRTDCRunTimes.py" --tripid 166-28 --locoid 4026 --swversion DE.1.0.9.0 --startMP 204:233008 --initTime 2017-02-28T12:33:55 --startdatetime 2017-02-28T12:41:22 --delay 1 --endMP 204:180 --enddatetime 2017-02-28T13:29:50 --enforcementcount 1 &gt;&gt;C:\Users\stu\Documents\GitHub\eaglep3-reporting\EC\2017-02-28-refined-times.txt</v>
      </c>
      <c r="AI7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{"issue":{"subject":"","project_id":79,"tracker_id":40,"status_id":1,"priority_id":2,"assigned_to_id":23,"start_date":"2017-02-28","description":"","custom_fields":[{"id":1,"name":"Subdivision","value":"EC"},{"id":4,"name":"Milepost","value":"0.018"},{"id":17,"name":"Train ID","value":"166-28"},{"id":16,"name":"Locomotive ID","value":"4026"},{"id":130,"name":"Impact","value":""},{"id":150,"name":"Time of Event (Mountain Time)","value":"13:29:50"},{"id":151,"name":"Denver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4026 --day 2017-02-28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658</v>
      </c>
      <c r="B80" s="7">
        <v>4003</v>
      </c>
      <c r="C80" s="21" t="s">
        <v>274</v>
      </c>
      <c r="D80" s="21" t="s">
        <v>226</v>
      </c>
      <c r="E80" s="13">
        <v>42794.497546296298</v>
      </c>
      <c r="F80" s="13">
        <v>42794.500219907408</v>
      </c>
      <c r="G80" s="7">
        <v>1</v>
      </c>
      <c r="H80" s="21" t="s">
        <v>794</v>
      </c>
      <c r="I80" s="13">
        <v>42794.52747685185</v>
      </c>
      <c r="J80" s="7">
        <v>1</v>
      </c>
      <c r="K80" s="98" t="str">
        <f t="shared" si="25"/>
        <v>4003/4004</v>
      </c>
      <c r="L80" s="21" t="str">
        <f>VLOOKUP(A80,'Trips&amp;Operators'!$C$1:$G$99999,5,FALSE)</f>
        <v>SWANSON BRYCE</v>
      </c>
      <c r="M80" s="6">
        <f t="shared" si="26"/>
        <v>2.7256944442342501E-2</v>
      </c>
      <c r="N80" s="7">
        <f t="shared" si="23"/>
        <v>39.249999996973202</v>
      </c>
      <c r="O80" s="7"/>
      <c r="P80" s="7"/>
      <c r="Q80" s="22"/>
      <c r="R80" s="22"/>
      <c r="S80" s="31">
        <f t="shared" si="21"/>
        <v>1</v>
      </c>
      <c r="T80" s="46" t="str">
        <f t="shared" si="27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8"/>
        <v>https://d0f6bd738d7f1b3e5a7ca70fe4ff75f0.us-east-1.aws.found.io/app/kibana#/discover/Steve-Slow-Train-Analysis-(2080s-and-2083s)?_g=(refreshInterval:(display:Off,pause:!f,section:0,value:0),time:(from:'2017-02-28T10:56:28-0700',mode:absolute,to:'2017-02-28T13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187" t="str">
        <f t="shared" si="29"/>
        <v>N</v>
      </c>
      <c r="X80" s="187">
        <f t="shared" si="24"/>
        <v>1</v>
      </c>
      <c r="Y80" s="62">
        <f t="shared" si="30"/>
        <v>4.5699999999999998E-2</v>
      </c>
      <c r="Z80" s="62">
        <f t="shared" si="31"/>
        <v>23.3309</v>
      </c>
      <c r="AA80" s="62">
        <f t="shared" si="32"/>
        <v>23.2852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0167-28</v>
      </c>
      <c r="AE80" s="85" t="str">
        <f t="shared" si="34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80" s="82" t="str">
        <f t="shared" si="35"/>
        <v>"C:\Program Files (x86)\AstroGrep\AstroGrep.exe" /spath="%USERPROFILE%\AppData\Local\Temp\OnboardLogs" /stypes="app*4003*20170228*" /stext=" 19:.+((SYSTEM_STATE.+slice.+state.+changed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86" t="str">
        <f t="shared" si="37"/>
        <v>"%USERPROFILE%\Documents\GitHub\eaglep3\Utilities\RefineRTDCRunTimes.py" --tripid 167-28 --locoid 4003 --swversion DE.1.0.9.0 --startMP 204:457 --initTime 2017-02-28T11:56:28 --startdatetime 2017-02-28T12:00:19 --delay 1 --endMP 204:233309 --enddatetime 2017-02-28T12:39:34 --enforcementcount 1 &gt;&gt;C:\Users\stu\Documents\GitHub\eaglep3-reporting\EC\2017-02-28-refined-times.txt</v>
      </c>
      <c r="AI8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{"issue":{"subject":"","project_id":79,"tracker_id":40,"status_id":1,"priority_id":2,"assigned_to_id":23,"start_date":"2017-02-28","description":"","custom_fields":[{"id":1,"name":"Subdivision","value":"EC"},{"id":4,"name":"Milepost","value":"23.3309"},{"id":17,"name":"Train ID","value":"167-28"},{"id":16,"name":"Locomotive ID","value":"4003"},{"id":130,"name":"Impact","value":""},{"id":150,"name":"Time of Event (Mountain Time)","value":"12:39:34"},{"id":151,"name":"Denver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4003 --day 2017-02-28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665</v>
      </c>
      <c r="B81" s="7">
        <v>4004</v>
      </c>
      <c r="C81" s="21" t="s">
        <v>274</v>
      </c>
      <c r="D81" s="21" t="s">
        <v>341</v>
      </c>
      <c r="E81" s="13">
        <v>42794.530162037037</v>
      </c>
      <c r="F81" s="13">
        <v>42794.531747685185</v>
      </c>
      <c r="G81" s="7">
        <v>2</v>
      </c>
      <c r="H81" s="21" t="s">
        <v>806</v>
      </c>
      <c r="I81" s="13">
        <v>42794.55678240741</v>
      </c>
      <c r="J81" s="7">
        <v>0</v>
      </c>
      <c r="K81" s="98" t="str">
        <f t="shared" si="25"/>
        <v>4003/4004</v>
      </c>
      <c r="L81" s="21" t="str">
        <f>VLOOKUP(A81,'Trips&amp;Operators'!$C$1:$G$99999,5,FALSE)</f>
        <v>SWANSON BRYCE</v>
      </c>
      <c r="M81" s="6">
        <f t="shared" si="26"/>
        <v>2.5034722224518191E-2</v>
      </c>
      <c r="N81" s="7"/>
      <c r="O81" s="7"/>
      <c r="P81" s="7">
        <f>24*60*SUM($M81:$M82)</f>
        <v>48.266666665440425</v>
      </c>
      <c r="Q81" s="22"/>
      <c r="R81" s="22" t="s">
        <v>958</v>
      </c>
      <c r="S81" s="31">
        <f>SUM(U81:U82)/IF(AG81="EC",12,1)</f>
        <v>0.5</v>
      </c>
      <c r="T81" s="46" t="str">
        <f t="shared" si="27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86" t="str">
        <f t="shared" si="28"/>
        <v>https://d0f6bd738d7f1b3e5a7ca70fe4ff75f0.us-east-1.aws.found.io/app/kibana#/discover/Steve-Slow-Train-Analysis-(2080s-and-2083s)?_g=(refreshInterval:(display:Off,pause:!f,section:0,value:0),time:(from:'2017-02-28T11:43:26-0700',mode:absolute,to:'2017-02-28T14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7" t="str">
        <f t="shared" si="29"/>
        <v>Y</v>
      </c>
      <c r="X81" s="187">
        <f t="shared" si="24"/>
        <v>1</v>
      </c>
      <c r="Y81" s="62">
        <f t="shared" si="30"/>
        <v>23.3</v>
      </c>
      <c r="Z81" s="62">
        <f t="shared" si="31"/>
        <v>6.4158999999999997</v>
      </c>
      <c r="AA81" s="62">
        <f t="shared" si="32"/>
        <v>16.8841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0168-28</v>
      </c>
      <c r="AE81" s="85" t="str">
        <f t="shared" si="34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81" s="82" t="str">
        <f t="shared" si="35"/>
        <v>"C:\Program Files (x86)\AstroGrep\AstroGrep.exe" /spath="%USERPROFILE%\AppData\Local\Temp\OnboardLogs" /stypes="app*4004*20170228*" /stext=" 20:.+((SYSTEM_STATE.+slice.+state.+changed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86" t="str">
        <f t="shared" si="37"/>
        <v>"%USERPROFILE%\Documents\GitHub\eaglep3\Utilities\RefineRTDCRunTimes.py" --tripid 168-28 --locoid 4004 --swversion DE.1.0.9.0 --startMP 204:233000 --initTime 2017-02-28T12:43:26 --startdatetime 2017-02-28T12:45:43 --delay 2 --endMP 204:64159 --enddatetime 2017-02-28T13:21:46 --enforcementcount 0 &gt;&gt;C:\Users\stu\Documents\GitHub\eaglep3-reporting\EC\2017-02-28-refined-times.txt</v>
      </c>
      <c r="AI81" s="108" t="str">
        <f t="shared" si="38"/>
        <v>echo {"issue":{"subject":"Onboard in-route failure","project_id":79,"tracker_id":40,"status_id":1,"priority_id":2,"assigned_to_id":23,"start_date":"2017-02-28","description":"","custom_fields":[{"id":1,"name":"Subdivision","value":"EC"},{"id":4,"name":"Milepost","value":"6.4159"},{"id":17,"name":"Train ID","value":"168-28"},{"id":16,"name":"Locomotive ID","value":"4004"},{"id":130,"name":"Impact","value":""},{"id":150,"name":"Time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4004 --day 2017-02-28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665</v>
      </c>
      <c r="B82" s="7">
        <v>4004</v>
      </c>
      <c r="C82" s="21" t="s">
        <v>274</v>
      </c>
      <c r="D82" s="21" t="s">
        <v>807</v>
      </c>
      <c r="E82" s="13">
        <v>42794.563657407409</v>
      </c>
      <c r="F82" s="13">
        <v>42794.56422453704</v>
      </c>
      <c r="G82" s="7">
        <v>0</v>
      </c>
      <c r="H82" s="21" t="s">
        <v>266</v>
      </c>
      <c r="I82" s="13">
        <v>42794.572708333333</v>
      </c>
      <c r="J82" s="7">
        <v>0</v>
      </c>
      <c r="K82" s="98" t="str">
        <f t="shared" si="25"/>
        <v>4003/4004</v>
      </c>
      <c r="L82" s="21" t="str">
        <f>VLOOKUP(A82,'Trips&amp;Operators'!$C$1:$G$99999,5,FALSE)</f>
        <v>SWANSON BRYCE</v>
      </c>
      <c r="M82" s="6">
        <f t="shared" si="26"/>
        <v>8.4837962931487709E-3</v>
      </c>
      <c r="N82" s="7"/>
      <c r="O82" s="7"/>
      <c r="P82" s="7"/>
      <c r="Q82" s="22"/>
      <c r="R82" s="22"/>
      <c r="S82" s="31"/>
      <c r="T82" s="46" t="str">
        <f t="shared" si="27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3</v>
      </c>
      <c r="V82" s="186" t="str">
        <f t="shared" si="28"/>
        <v>https://d0f6bd738d7f1b3e5a7ca70fe4ff75f0.us-east-1.aws.found.io/app/kibana#/discover/Steve-Slow-Train-Analysis-(2080s-and-2083s)?_g=(refreshInterval:(display:Off,pause:!f,section:0,value:0),time:(from:'2017-02-28T12:31:40-0700',mode:absolute,to:'2017-02-28T14:44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187" t="str">
        <f t="shared" si="29"/>
        <v>Y</v>
      </c>
      <c r="X82" s="187">
        <f t="shared" si="24"/>
        <v>0</v>
      </c>
      <c r="Y82" s="62">
        <f t="shared" si="30"/>
        <v>3.6793</v>
      </c>
      <c r="Z82" s="62">
        <f t="shared" si="31"/>
        <v>1.6299999999999999E-2</v>
      </c>
      <c r="AA82" s="62">
        <f t="shared" si="32"/>
        <v>3.6629999999999998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0168-28</v>
      </c>
      <c r="AE82" s="85" t="str">
        <f t="shared" si="34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82" s="82" t="str">
        <f t="shared" si="35"/>
        <v>"C:\Program Files (x86)\AstroGrep\AstroGrep.exe" /spath="%USERPROFILE%\AppData\Local\Temp\OnboardLogs" /stypes="app*4004*20170228*" /stext=" 20:.+((SYSTEM_STATE.+slice.+state.+changed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86" t="str">
        <f t="shared" si="37"/>
        <v>"%USERPROFILE%\Documents\GitHub\eaglep3\Utilities\RefineRTDCRunTimes.py" --tripid 168-28 --locoid 4004 --swversion DE.1.0.9.0 --startMP 204:36793 --initTime 2017-02-28T13:31:40 --startdatetime 2017-02-28T13:32:29 --delay 0 --endMP 204:163 --enddatetime 2017-02-28T13:44:42 --enforcementcount 0 &gt;&gt;C:\Users\stu\Documents\GitHub\eaglep3-reporting\EC\2017-02-28-refined-times.txt</v>
      </c>
      <c r="AI82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{"issue":{"subject":"","project_id":79,"tracker_id":40,"status_id":1,"priority_id":2,"assigned_to_id":23,"start_date":"2017-02-28","description":"","custom_fields":[{"id":1,"name":"Subdivision","value":"EC"},{"id":4,"name":"Milepost","value":"0.0163"},{"id":17,"name":"Train ID","value":"168-28"},{"id":16,"name":"Locomotive ID","value":"4004"},{"id":130,"name":"Impact","value":""},{"id":150,"name":"Time of Event (Mountain Time)","value":"13:44:42"},{"id":151,"name":"Denver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4004 --day 2017-02-28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661</v>
      </c>
      <c r="B83" s="7">
        <v>4051</v>
      </c>
      <c r="C83" s="21" t="s">
        <v>274</v>
      </c>
      <c r="D83" s="21" t="s">
        <v>315</v>
      </c>
      <c r="E83" s="13">
        <v>42794.510405092595</v>
      </c>
      <c r="F83" s="13">
        <v>42794.51222222222</v>
      </c>
      <c r="G83" s="7">
        <v>1</v>
      </c>
      <c r="H83" s="21" t="s">
        <v>808</v>
      </c>
      <c r="I83" s="13">
        <v>42794.538564814815</v>
      </c>
      <c r="J83" s="7">
        <v>1</v>
      </c>
      <c r="K83" s="98" t="str">
        <f t="shared" si="25"/>
        <v>4051/4052</v>
      </c>
      <c r="L83" s="21" t="str">
        <f>VLOOKUP(A83,'Trips&amp;Operators'!$C$1:$G$99999,5,FALSE)</f>
        <v>ROMERO CHAD</v>
      </c>
      <c r="M83" s="6">
        <f t="shared" si="26"/>
        <v>2.6342592595028691E-2</v>
      </c>
      <c r="N83" s="7">
        <f t="shared" ref="N83:N100" si="40">24*60*SUM($M83:$M83)</f>
        <v>37.933333336841315</v>
      </c>
      <c r="O83" s="7"/>
      <c r="P83" s="7"/>
      <c r="Q83" s="22"/>
      <c r="R83" s="22"/>
      <c r="S83" s="31">
        <f t="shared" ref="S83:S114" si="41">SUM(U83:U83)/IF(AG83="EC",12,1)</f>
        <v>1</v>
      </c>
      <c r="T83" s="46" t="str">
        <f t="shared" si="27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8"/>
        <v>https://d0f6bd738d7f1b3e5a7ca70fe4ff75f0.us-east-1.aws.found.io/app/kibana#/discover/Steve-Slow-Train-Analysis-(2080s-and-2083s)?_g=(refreshInterval:(display:Off,pause:!f,section:0,value:0),time:(from:'2017-02-28T11:14:59-0700',mode:absolute,to:'2017-02-28T13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187" t="str">
        <f t="shared" si="29"/>
        <v>N</v>
      </c>
      <c r="X83" s="187">
        <f t="shared" si="24"/>
        <v>1</v>
      </c>
      <c r="Y83" s="62">
        <f t="shared" si="30"/>
        <v>4.6699999999999998E-2</v>
      </c>
      <c r="Z83" s="62">
        <f t="shared" si="31"/>
        <v>23.339300000000001</v>
      </c>
      <c r="AA83" s="62">
        <f t="shared" si="32"/>
        <v>23.2926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0169-28</v>
      </c>
      <c r="AE83" s="85" t="str">
        <f t="shared" si="34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83" s="82" t="str">
        <f t="shared" si="35"/>
        <v>"C:\Program Files (x86)\AstroGrep\AstroGrep.exe" /spath="%USERPROFILE%\AppData\Local\Temp\OnboardLogs" /stypes="app*4051*20170228*" /stext=" 19:.+((SYSTEM_STATE.+slice.+state.+changed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86" t="str">
        <f t="shared" si="37"/>
        <v>"%USERPROFILE%\Documents\GitHub\eaglep3\Utilities\RefineRTDCRunTimes.py" --tripid 169-28 --locoid 4051 --swversion DE.1.0.9.0 --startMP 204:467 --initTime 2017-02-28T12:14:59 --startdatetime 2017-02-28T12:17:36 --delay 1 --endMP 204:233393 --enddatetime 2017-02-28T12:55:32 --enforcementcount 1 &gt;&gt;C:\Users\stu\Documents\GitHub\eaglep3-reporting\EC\2017-02-28-refined-times.txt</v>
      </c>
      <c r="AI83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{"issue":{"subject":"","project_id":79,"tracker_id":40,"status_id":1,"priority_id":2,"assigned_to_id":23,"start_date":"2017-02-28","description":"","custom_fields":[{"id":1,"name":"Subdivision","value":"EC"},{"id":4,"name":"Milepost","value":"23.3393"},{"id":17,"name":"Train ID","value":"169-28"},{"id":16,"name":"Locomotive ID","value":"4051"},{"id":130,"name":"Impact","value":""},{"id":150,"name":"Time of Event (Mountain Time)","value":"12:55:32"},{"id":151,"name":"Denver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4051 --day 2017-02-28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667</v>
      </c>
      <c r="B84" s="7">
        <v>4052</v>
      </c>
      <c r="C84" s="21" t="s">
        <v>274</v>
      </c>
      <c r="D84" s="21" t="s">
        <v>809</v>
      </c>
      <c r="E84" s="13">
        <v>42794.540023148147</v>
      </c>
      <c r="F84" s="13">
        <v>42794.549479166664</v>
      </c>
      <c r="G84" s="7">
        <v>1</v>
      </c>
      <c r="H84" s="21" t="s">
        <v>407</v>
      </c>
      <c r="I84" s="13">
        <v>42794.575636574074</v>
      </c>
      <c r="J84" s="7">
        <v>1</v>
      </c>
      <c r="K84" s="98" t="str">
        <f t="shared" si="25"/>
        <v>4051/4052</v>
      </c>
      <c r="L84" s="21" t="str">
        <f>VLOOKUP(A84,'Trips&amp;Operators'!$C$1:$G$99999,5,FALSE)</f>
        <v>ROMERO CHAD</v>
      </c>
      <c r="M84" s="6">
        <f t="shared" si="26"/>
        <v>2.6157407410209998E-2</v>
      </c>
      <c r="N84" s="7">
        <f t="shared" si="40"/>
        <v>37.666666670702398</v>
      </c>
      <c r="O84" s="7"/>
      <c r="P84" s="7"/>
      <c r="Q84" s="22"/>
      <c r="R84" s="22"/>
      <c r="S84" s="31">
        <f t="shared" si="41"/>
        <v>1</v>
      </c>
      <c r="T84" s="46" t="str">
        <f t="shared" si="27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8"/>
        <v>https://d0f6bd738d7f1b3e5a7ca70fe4ff75f0.us-east-1.aws.found.io/app/kibana#/discover/Steve-Slow-Train-Analysis-(2080s-and-2083s)?_g=(refreshInterval:(display:Off,pause:!f,section:0,value:0),time:(from:'2017-02-28T11:57:38-0700',mode:absolute,to:'2017-02-28T14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4" s="187" t="str">
        <f t="shared" si="29"/>
        <v>N</v>
      </c>
      <c r="X84" s="187">
        <f t="shared" si="24"/>
        <v>1</v>
      </c>
      <c r="Y84" s="62">
        <f t="shared" si="30"/>
        <v>23.31</v>
      </c>
      <c r="Z84" s="62">
        <f t="shared" si="31"/>
        <v>1.32E-2</v>
      </c>
      <c r="AA84" s="62">
        <f t="shared" si="32"/>
        <v>23.296799999999998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0170-28</v>
      </c>
      <c r="AE84" s="85" t="str">
        <f t="shared" si="34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84" s="82" t="str">
        <f t="shared" si="35"/>
        <v>"C:\Program Files (x86)\AstroGrep\AstroGrep.exe" /spath="%USERPROFILE%\AppData\Local\Temp\OnboardLogs" /stypes="app*4052*20170228*" /stext=" 20:.+((SYSTEM_STATE.+slice.+state.+changed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86" t="str">
        <f t="shared" si="37"/>
        <v>"%USERPROFILE%\Documents\GitHub\eaglep3\Utilities\RefineRTDCRunTimes.py" --tripid 170-28 --locoid 4052 --swversion DE.1.0.9.0 --startMP 204:233100 --initTime 2017-02-28T12:57:38 --startdatetime 2017-02-28T13:11:15 --delay 1 --endMP 204:132 --enddatetime 2017-02-28T13:48:55 --enforcementcount 1 &gt;&gt;C:\Users\stu\Documents\GitHub\eaglep3-reporting\EC\2017-02-28-refined-times.txt</v>
      </c>
      <c r="AI84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{"issue":{"subject":"","project_id":79,"tracker_id":40,"status_id":1,"priority_id":2,"assigned_to_id":23,"start_date":"2017-02-28","description":"","custom_fields":[{"id":1,"name":"Subdivision","value":"EC"},{"id":4,"name":"Milepost","value":"0.0132"},{"id":17,"name":"Train ID","value":"170-28"},{"id":16,"name":"Locomotive ID","value":"4052"},{"id":130,"name":"Impact","value":""},{"id":150,"name":"Time of Event (Mountain Time)","value":"13:48:55"},{"id":151,"name":"Denver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4052 --day 2017-02-28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662</v>
      </c>
      <c r="B85" s="7">
        <v>4006</v>
      </c>
      <c r="C85" s="21" t="s">
        <v>274</v>
      </c>
      <c r="D85" s="21" t="s">
        <v>225</v>
      </c>
      <c r="E85" s="13">
        <v>42794.521365740744</v>
      </c>
      <c r="F85" s="13">
        <v>42794.52416666667</v>
      </c>
      <c r="G85" s="7">
        <v>2</v>
      </c>
      <c r="H85" s="21" t="s">
        <v>810</v>
      </c>
      <c r="I85" s="13">
        <v>42794.554594907408</v>
      </c>
      <c r="J85" s="7">
        <v>1</v>
      </c>
      <c r="K85" s="98" t="str">
        <f t="shared" si="25"/>
        <v>4005/4006</v>
      </c>
      <c r="L85" s="21" t="str">
        <f>VLOOKUP(A85,'Trips&amp;Operators'!$C$1:$G$99999,5,FALSE)</f>
        <v>BERLING GARY</v>
      </c>
      <c r="M85" s="6">
        <f t="shared" si="26"/>
        <v>3.0428240737819578E-2</v>
      </c>
      <c r="N85" s="7">
        <f t="shared" si="40"/>
        <v>43.816666662460193</v>
      </c>
      <c r="O85" s="7"/>
      <c r="P85" s="7"/>
      <c r="Q85" s="22"/>
      <c r="R85" s="22"/>
      <c r="S85" s="31">
        <f t="shared" si="41"/>
        <v>1</v>
      </c>
      <c r="T85" s="46" t="str">
        <f t="shared" si="27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8"/>
        <v>https://d0f6bd738d7f1b3e5a7ca70fe4ff75f0.us-east-1.aws.found.io/app/kibana#/discover/Steve-Slow-Train-Analysis-(2080s-and-2083s)?_g=(refreshInterval:(display:Off,pause:!f,section:0,value:0),time:(from:'2017-02-28T11:30:46-0700',mode:absolute,to:'2017-02-28T14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87" t="str">
        <f t="shared" si="29"/>
        <v>N</v>
      </c>
      <c r="X85" s="187">
        <f t="shared" si="24"/>
        <v>1</v>
      </c>
      <c r="Y85" s="62">
        <f t="shared" si="30"/>
        <v>4.5100000000000001E-2</v>
      </c>
      <c r="Z85" s="62">
        <f t="shared" si="31"/>
        <v>23.335899999999999</v>
      </c>
      <c r="AA85" s="62">
        <f t="shared" si="32"/>
        <v>23.290799999999997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0171-28</v>
      </c>
      <c r="AE85" s="85" t="str">
        <f t="shared" si="34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85" s="82" t="str">
        <f t="shared" si="35"/>
        <v>"C:\Program Files (x86)\AstroGrep\AstroGrep.exe" /spath="%USERPROFILE%\AppData\Local\Temp\OnboardLogs" /stypes="app*4006*20170228*" /stext=" 20:.+((SYSTEM_STATE.+slice.+state.+changed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86" t="str">
        <f t="shared" si="37"/>
        <v>"%USERPROFILE%\Documents\GitHub\eaglep3\Utilities\RefineRTDCRunTimes.py" --tripid 171-28 --locoid 4006 --swversion DE.1.0.9.0 --startMP 204:451 --initTime 2017-02-28T12:30:46 --startdatetime 2017-02-28T12:34:48 --delay 2 --endMP 204:233359 --enddatetime 2017-02-28T13:18:37 --enforcementcount 1 &gt;&gt;C:\Users\stu\Documents\GitHub\eaglep3-reporting\EC\2017-02-28-refined-times.txt</v>
      </c>
      <c r="AI85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{"issue":{"subject":"","project_id":79,"tracker_id":40,"status_id":1,"priority_id":2,"assigned_to_id":23,"start_date":"2017-02-28","description":"","custom_fields":[{"id":1,"name":"Subdivision","value":"EC"},{"id":4,"name":"Milepost","value":"23.3359"},{"id":17,"name":"Train ID","value":"171-28"},{"id":16,"name":"Locomotive ID","value":"4006"},{"id":130,"name":"Impact","value":""},{"id":150,"name":"Time of Event (Mountain Time)","value":"13:18:37"},{"id":151,"name":"Denver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4006 --day 2017-02-28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</row>
    <row r="86" spans="1:91" s="20" customFormat="1" x14ac:dyDescent="0.25">
      <c r="A86" s="33" t="s">
        <v>670</v>
      </c>
      <c r="B86" s="7">
        <v>4005</v>
      </c>
      <c r="C86" s="21" t="s">
        <v>274</v>
      </c>
      <c r="D86" s="21" t="s">
        <v>811</v>
      </c>
      <c r="E86" s="13">
        <v>42794.556469907409</v>
      </c>
      <c r="F86" s="13">
        <v>42794.559884259259</v>
      </c>
      <c r="G86" s="7">
        <v>1</v>
      </c>
      <c r="H86" s="21" t="s">
        <v>407</v>
      </c>
      <c r="I86" s="13">
        <v>42794.588055555556</v>
      </c>
      <c r="J86" s="7">
        <v>1</v>
      </c>
      <c r="K86" s="98" t="str">
        <f t="shared" si="25"/>
        <v>4005/4006</v>
      </c>
      <c r="L86" s="21" t="str">
        <f>VLOOKUP(A86,'Trips&amp;Operators'!$C$1:$G$99999,5,FALSE)</f>
        <v>BERLING GARY</v>
      </c>
      <c r="M86" s="6">
        <f t="shared" si="26"/>
        <v>2.8171296296932269E-2</v>
      </c>
      <c r="N86" s="7">
        <f t="shared" si="40"/>
        <v>40.566666667582467</v>
      </c>
      <c r="O86" s="7"/>
      <c r="P86" s="7"/>
      <c r="Q86" s="22"/>
      <c r="R86" s="22"/>
      <c r="S86" s="31">
        <f t="shared" si="41"/>
        <v>1</v>
      </c>
      <c r="T86" s="46" t="str">
        <f t="shared" si="27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8"/>
        <v>https://d0f6bd738d7f1b3e5a7ca70fe4ff75f0.us-east-1.aws.found.io/app/kibana#/discover/Steve-Slow-Train-Analysis-(2080s-and-2083s)?_g=(refreshInterval:(display:Off,pause:!f,section:0,value:0),time:(from:'2017-02-28T12:21:19-0700',mode:absolute,to:'2017-02-28T15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87" t="str">
        <f t="shared" si="29"/>
        <v>N</v>
      </c>
      <c r="X86" s="187">
        <f t="shared" ref="X86:X117" si="42">VALUE(LEFT(AD86,4))-VALUE(LEFT(AD85,4))</f>
        <v>1</v>
      </c>
      <c r="Y86" s="62">
        <f t="shared" si="30"/>
        <v>23.300899999999999</v>
      </c>
      <c r="Z86" s="62">
        <f t="shared" si="31"/>
        <v>1.32E-2</v>
      </c>
      <c r="AA86" s="62">
        <f t="shared" si="32"/>
        <v>23.287699999999997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0172-28</v>
      </c>
      <c r="AE86" s="85" t="str">
        <f t="shared" si="34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86" s="82" t="str">
        <f t="shared" si="35"/>
        <v>"C:\Program Files (x86)\AstroGrep\AstroGrep.exe" /spath="%USERPROFILE%\AppData\Local\Temp\OnboardLogs" /stypes="app*4005*20170228*" /stext=" 21:.+((SYSTEM_STATE.+slice.+state.+changed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86" t="str">
        <f t="shared" si="37"/>
        <v>"%USERPROFILE%\Documents\GitHub\eaglep3\Utilities\RefineRTDCRunTimes.py" --tripid 172-28 --locoid 4005 --swversion DE.1.0.9.0 --startMP 204:233009 --initTime 2017-02-28T13:21:19 --startdatetime 2017-02-28T13:26:14 --delay 1 --endMP 204:132 --enddatetime 2017-02-28T14:06:48 --enforcementcount 1 &gt;&gt;C:\Users\stu\Documents\GitHub\eaglep3-reporting\EC\2017-02-28-refined-times.txt</v>
      </c>
      <c r="AI86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{"issue":{"subject":"","project_id":79,"tracker_id":40,"status_id":1,"priority_id":2,"assigned_to_id":23,"start_date":"2017-02-28","description":"","custom_fields":[{"id":1,"name":"Subdivision","value":"EC"},{"id":4,"name":"Milepost","value":"0.0132"},{"id":17,"name":"Train ID","value":"172-28"},{"id":16,"name":"Locomotive ID","value":"4005"},{"id":130,"name":"Impact","value":""},{"id":150,"name":"Time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4005 --day 2017-02-28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"%USERPROFILE%\AppData\Local\Temp\OnboardLogs"\RTDC4005\*4005*20170228* | grep -SE "(Enforcement Action)|(\[TIMEOUT)|(CHR.+\|PRM\|1\|D.+(SWITCH|SIGNAL).+UNKNOWN)" - &gt;&gt; 2017-02-28-UncaughtWiMAX.txt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666</v>
      </c>
      <c r="B87" s="7">
        <v>4007</v>
      </c>
      <c r="C87" s="21" t="s">
        <v>274</v>
      </c>
      <c r="D87" s="21" t="s">
        <v>275</v>
      </c>
      <c r="E87" s="13">
        <v>42794.534282407411</v>
      </c>
      <c r="F87" s="13">
        <v>42794.535995370374</v>
      </c>
      <c r="G87" s="7">
        <v>1</v>
      </c>
      <c r="H87" s="21" t="s">
        <v>791</v>
      </c>
      <c r="I87" s="13">
        <v>42794.566307870373</v>
      </c>
      <c r="J87" s="7">
        <v>1</v>
      </c>
      <c r="K87" s="98" t="str">
        <f t="shared" si="25"/>
        <v>4007/4008</v>
      </c>
      <c r="L87" s="21" t="str">
        <f>VLOOKUP(A87,'Trips&amp;Operators'!$C$1:$G$99999,5,FALSE)</f>
        <v>DAVIS MICHAEL</v>
      </c>
      <c r="M87" s="6">
        <f t="shared" si="26"/>
        <v>3.0312499999126885E-2</v>
      </c>
      <c r="N87" s="7">
        <f t="shared" si="40"/>
        <v>43.649999998742715</v>
      </c>
      <c r="O87" s="7"/>
      <c r="P87" s="7"/>
      <c r="Q87" s="22"/>
      <c r="R87" s="22"/>
      <c r="S87" s="31">
        <f t="shared" si="41"/>
        <v>1</v>
      </c>
      <c r="T87" s="46" t="str">
        <f t="shared" si="27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8"/>
        <v>https://d0f6bd738d7f1b3e5a7ca70fe4ff75f0.us-east-1.aws.found.io/app/kibana#/discover/Steve-Slow-Train-Analysis-(2080s-and-2083s)?_g=(refreshInterval:(display:Off,pause:!f,section:0,value:0),time:(from:'2017-02-28T11:49:22-0700',mode:absolute,to:'2017-02-28T14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87" t="str">
        <f t="shared" si="29"/>
        <v>N</v>
      </c>
      <c r="X87" s="187">
        <f t="shared" si="42"/>
        <v>1</v>
      </c>
      <c r="Y87" s="62">
        <f t="shared" si="30"/>
        <v>4.58E-2</v>
      </c>
      <c r="Z87" s="62">
        <f t="shared" si="31"/>
        <v>23.329499999999999</v>
      </c>
      <c r="AA87" s="62">
        <f t="shared" si="32"/>
        <v>23.2837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0173-28</v>
      </c>
      <c r="AE87" s="85" t="str">
        <f t="shared" si="34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87" s="82" t="str">
        <f t="shared" si="35"/>
        <v>"C:\Program Files (x86)\AstroGrep\AstroGrep.exe" /spath="%USERPROFILE%\AppData\Local\Temp\OnboardLogs" /stypes="app*4007*20170228*" /stext=" 20:.+((SYSTEM_STATE.+slice.+state.+changed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86" t="str">
        <f t="shared" si="37"/>
        <v>"%USERPROFILE%\Documents\GitHub\eaglep3\Utilities\RefineRTDCRunTimes.py" --tripid 173-28 --locoid 4007 --swversion DE.1.0.9.0 --startMP 204:458 --initTime 2017-02-28T12:49:22 --startdatetime 2017-02-28T12:51:50 --delay 1 --endMP 204:233295 --enddatetime 2017-02-28T13:35:29 --enforcementcount 1 &gt;&gt;C:\Users\stu\Documents\GitHub\eaglep3-reporting\EC\2017-02-28-refined-times.txt</v>
      </c>
      <c r="AI87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{"issue":{"subject":"","project_id":79,"tracker_id":40,"status_id":1,"priority_id":2,"assigned_to_id":23,"start_date":"2017-02-28","description":"","custom_fields":[{"id":1,"name":"Subdivision","value":"EC"},{"id":4,"name":"Milepost","value":"23.3295"},{"id":17,"name":"Train ID","value":"173-28"},{"id":16,"name":"Locomotive ID","value":"4007"},{"id":130,"name":"Impact","value":""},{"id":150,"name":"Time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4007 --day 2017-02-28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672</v>
      </c>
      <c r="B88" s="7">
        <v>4008</v>
      </c>
      <c r="C88" s="21" t="s">
        <v>274</v>
      </c>
      <c r="D88" s="21" t="s">
        <v>353</v>
      </c>
      <c r="E88" s="13">
        <v>42794.569201388891</v>
      </c>
      <c r="F88" s="13">
        <v>42794.571527777778</v>
      </c>
      <c r="G88" s="7">
        <v>1</v>
      </c>
      <c r="H88" s="21" t="s">
        <v>812</v>
      </c>
      <c r="I88" s="13">
        <v>42794.602500000001</v>
      </c>
      <c r="J88" s="7">
        <v>1</v>
      </c>
      <c r="K88" s="98" t="str">
        <f t="shared" si="25"/>
        <v>4007/4008</v>
      </c>
      <c r="L88" s="21" t="str">
        <f>VLOOKUP(A88,'Trips&amp;Operators'!$C$1:$G$99999,5,FALSE)</f>
        <v>DAVIS MICHAEL</v>
      </c>
      <c r="M88" s="6">
        <f t="shared" si="26"/>
        <v>3.0972222222771961E-2</v>
      </c>
      <c r="N88" s="7">
        <f t="shared" si="40"/>
        <v>44.600000000791624</v>
      </c>
      <c r="O88" s="7"/>
      <c r="P88" s="7"/>
      <c r="Q88" s="22"/>
      <c r="R88" s="22"/>
      <c r="S88" s="31">
        <f t="shared" si="41"/>
        <v>1</v>
      </c>
      <c r="T88" s="46" t="str">
        <f t="shared" si="27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8"/>
        <v>https://d0f6bd738d7f1b3e5a7ca70fe4ff75f0.us-east-1.aws.found.io/app/kibana#/discover/Steve-Slow-Train-Analysis-(2080s-and-2083s)?_g=(refreshInterval:(display:Off,pause:!f,section:0,value:0),time:(from:'2017-02-28T12:39:39-0700',mode:absolute,to:'2017-02-28T15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187" t="str">
        <f t="shared" si="29"/>
        <v>N</v>
      </c>
      <c r="X88" s="187">
        <f t="shared" si="42"/>
        <v>1</v>
      </c>
      <c r="Y88" s="62">
        <f t="shared" si="30"/>
        <v>23.2989</v>
      </c>
      <c r="Z88" s="62">
        <f t="shared" si="31"/>
        <v>0.1169</v>
      </c>
      <c r="AA88" s="62">
        <f t="shared" si="32"/>
        <v>23.181999999999999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0174-28</v>
      </c>
      <c r="AE88" s="85" t="str">
        <f t="shared" si="34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88" s="82" t="str">
        <f t="shared" si="35"/>
        <v>"C:\Program Files (x86)\AstroGrep\AstroGrep.exe" /spath="%USERPROFILE%\AppData\Local\Temp\OnboardLogs" /stypes="app*4008*20170228*" /stext=" 21:.+((SYSTEM_STATE.+slice.+state.+changed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86" t="str">
        <f t="shared" si="37"/>
        <v>"%USERPROFILE%\Documents\GitHub\eaglep3\Utilities\RefineRTDCRunTimes.py" --tripid 174-28 --locoid 4008 --swversion DE.1.0.9.0 --startMP 204:232989 --initTime 2017-02-28T13:39:39 --startdatetime 2017-02-28T13:43:00 --delay 1 --endMP 204:1169 --enddatetime 2017-02-28T14:27:36 --enforcementcount 1 &gt;&gt;C:\Users\stu\Documents\GitHub\eaglep3-reporting\EC\2017-02-28-refined-times.txt</v>
      </c>
      <c r="AI8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{"issue":{"subject":"","project_id":79,"tracker_id":40,"status_id":1,"priority_id":2,"assigned_to_id":23,"start_date":"2017-02-28","description":"","custom_fields":[{"id":1,"name":"Subdivision","value":"EC"},{"id":4,"name":"Milepost","value":"0.1169"},{"id":17,"name":"Train ID","value":"174-28"},{"id":16,"name":"Locomotive ID","value":"4008"},{"id":130,"name":"Impact","value":""},{"id":150,"name":"Time of Event (Mountain Time)","value":"14:27:36"},{"id":151,"name":"Denver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4008 --day 2017-02-28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668</v>
      </c>
      <c r="B89" s="7">
        <v>4027</v>
      </c>
      <c r="C89" s="21" t="s">
        <v>274</v>
      </c>
      <c r="D89" s="21" t="s">
        <v>268</v>
      </c>
      <c r="E89" s="13">
        <v>42794.544490740744</v>
      </c>
      <c r="F89" s="13">
        <v>42794.546030092592</v>
      </c>
      <c r="G89" s="7">
        <v>1</v>
      </c>
      <c r="H89" s="21" t="s">
        <v>395</v>
      </c>
      <c r="I89" s="13">
        <v>42794.574444444443</v>
      </c>
      <c r="J89" s="7">
        <v>1</v>
      </c>
      <c r="K89" s="98" t="str">
        <f t="shared" si="25"/>
        <v>4027/4028</v>
      </c>
      <c r="L89" s="21" t="str">
        <f>VLOOKUP(A89,'Trips&amp;Operators'!$C$1:$G$99999,5,FALSE)</f>
        <v>STEWART MICHAEL</v>
      </c>
      <c r="M89" s="6">
        <f t="shared" si="26"/>
        <v>2.8414351851097308E-2</v>
      </c>
      <c r="N89" s="7">
        <f t="shared" si="40"/>
        <v>40.916666665580124</v>
      </c>
      <c r="O89" s="7"/>
      <c r="P89" s="7"/>
      <c r="Q89" s="22"/>
      <c r="R89" s="22"/>
      <c r="S89" s="31">
        <f t="shared" si="41"/>
        <v>1</v>
      </c>
      <c r="T89" s="46" t="str">
        <f t="shared" si="27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8"/>
        <v>https://d0f6bd738d7f1b3e5a7ca70fe4ff75f0.us-east-1.aws.found.io/app/kibana#/discover/Steve-Slow-Train-Analysis-(2080s-and-2083s)?_g=(refreshInterval:(display:Off,pause:!f,section:0,value:0),time:(from:'2017-02-28T12:04:04-0700',mode:absolute,to:'2017-02-28T14:47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87" t="str">
        <f t="shared" si="29"/>
        <v>N</v>
      </c>
      <c r="X89" s="187">
        <f t="shared" si="42"/>
        <v>1</v>
      </c>
      <c r="Y89" s="62">
        <f t="shared" si="30"/>
        <v>4.4699999999999997E-2</v>
      </c>
      <c r="Z89" s="62">
        <f t="shared" si="31"/>
        <v>23.330100000000002</v>
      </c>
      <c r="AA89" s="62">
        <f t="shared" si="32"/>
        <v>23.285400000000003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0175-28</v>
      </c>
      <c r="AE89" s="85" t="str">
        <f t="shared" si="34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89" s="82" t="str">
        <f t="shared" si="35"/>
        <v>"C:\Program Files (x86)\AstroGrep\AstroGrep.exe" /spath="%USERPROFILE%\AppData\Local\Temp\OnboardLogs" /stypes="app*4027*20170228*" /stext=" 20:.+((SYSTEM_STATE.+slice.+state.+changed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86" t="str">
        <f t="shared" si="37"/>
        <v>"%USERPROFILE%\Documents\GitHub\eaglep3\Utilities\RefineRTDCRunTimes.py" --tripid 175-28 --locoid 4027 --swversion DE.1.0.9.0 --startMP 204:447 --initTime 2017-02-28T13:04:04 --startdatetime 2017-02-28T13:06:17 --delay 1 --endMP 204:233301 --enddatetime 2017-02-28T13:47:12 --enforcementcount 1 &gt;&gt;C:\Users\stu\Documents\GitHub\eaglep3-reporting\EC\2017-02-28-refined-times.txt</v>
      </c>
      <c r="AI8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{"issue":{"subject":"","project_id":79,"tracker_id":40,"status_id":1,"priority_id":2,"assigned_to_id":23,"start_date":"2017-02-28","description":"","custom_fields":[{"id":1,"name":"Subdivision","value":"EC"},{"id":4,"name":"Milepost","value":"23.3301"},{"id":17,"name":"Train ID","value":"175-28"},{"id":16,"name":"Locomotive ID","value":"4027"},{"id":130,"name":"Impact","value":""},{"id":150,"name":"Time of Event (Mountain Time)","value":"13:47:12"},{"id":151,"name":"Denver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4027 --day 2017-02-28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675</v>
      </c>
      <c r="B90" s="7">
        <v>4028</v>
      </c>
      <c r="C90" s="21" t="s">
        <v>274</v>
      </c>
      <c r="D90" s="21" t="s">
        <v>341</v>
      </c>
      <c r="E90" s="13">
        <v>42794.580960648149</v>
      </c>
      <c r="F90" s="13">
        <v>42794.581932870373</v>
      </c>
      <c r="G90" s="7">
        <v>0</v>
      </c>
      <c r="H90" s="21" t="s">
        <v>262</v>
      </c>
      <c r="I90" s="13">
        <v>42794.610844907409</v>
      </c>
      <c r="J90" s="7">
        <v>1</v>
      </c>
      <c r="K90" s="98" t="str">
        <f t="shared" si="25"/>
        <v>4027/4028</v>
      </c>
      <c r="L90" s="21" t="str">
        <f>VLOOKUP(A90,'Trips&amp;Operators'!$C$1:$G$99999,5,FALSE)</f>
        <v>STEWART MICHAEL</v>
      </c>
      <c r="M90" s="6">
        <f t="shared" si="26"/>
        <v>2.8912037036207039E-2</v>
      </c>
      <c r="N90" s="7">
        <f t="shared" si="40"/>
        <v>41.633333332138136</v>
      </c>
      <c r="O90" s="7"/>
      <c r="P90" s="7"/>
      <c r="Q90" s="22"/>
      <c r="R90" s="22"/>
      <c r="S90" s="31">
        <f t="shared" si="41"/>
        <v>1</v>
      </c>
      <c r="T90" s="46" t="str">
        <f t="shared" si="27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8"/>
        <v>https://d0f6bd738d7f1b3e5a7ca70fe4ff75f0.us-east-1.aws.found.io/app/kibana#/discover/Steve-Slow-Train-Analysis-(2080s-and-2083s)?_g=(refreshInterval:(display:Off,pause:!f,section:0,value:0),time:(from:'2017-02-28T12:56:35-0700',mode:absolute,to:'2017-02-28T15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87" t="str">
        <f t="shared" si="29"/>
        <v>N</v>
      </c>
      <c r="X90" s="187">
        <f t="shared" si="42"/>
        <v>1</v>
      </c>
      <c r="Y90" s="62">
        <f t="shared" si="30"/>
        <v>23.3</v>
      </c>
      <c r="Z90" s="62">
        <f t="shared" si="31"/>
        <v>1.47E-2</v>
      </c>
      <c r="AA90" s="62">
        <f t="shared" si="32"/>
        <v>23.285299999999999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0176-28</v>
      </c>
      <c r="AE90" s="85" t="str">
        <f t="shared" si="34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90" s="82" t="str">
        <f t="shared" si="35"/>
        <v>"C:\Program Files (x86)\AstroGrep\AstroGrep.exe" /spath="%USERPROFILE%\AppData\Local\Temp\OnboardLogs" /stypes="app*4028*20170228*" /stext=" 21:.+((SYSTEM_STATE.+slice.+state.+changed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86" t="str">
        <f t="shared" si="37"/>
        <v>"%USERPROFILE%\Documents\GitHub\eaglep3\Utilities\RefineRTDCRunTimes.py" --tripid 176-28 --locoid 4028 --swversion DE.1.0.9.0 --startMP 204:233000 --initTime 2017-02-28T13:56:35 --startdatetime 2017-02-28T13:57:59 --delay 0 --endMP 204:147 --enddatetime 2017-02-28T14:39:37 --enforcementcount 1 &gt;&gt;C:\Users\stu\Documents\GitHub\eaglep3-reporting\EC\2017-02-28-refined-times.txt</v>
      </c>
      <c r="AI9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{"issue":{"subject":"","project_id":79,"tracker_id":40,"status_id":1,"priority_id":2,"assigned_to_id":23,"start_date":"2017-02-28","description":"","custom_fields":[{"id":1,"name":"Subdivision","value":"EC"},{"id":4,"name":"Milepost","value":"0.0147"},{"id":17,"name":"Train ID","value":"176-28"},{"id":16,"name":"Locomotive ID","value":"4028"},{"id":130,"name":"Impact","value":""},{"id":150,"name":"Time of Event (Mountain Time)","value":"14:39:37"},{"id":151,"name":"Denver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4028 --day 2017-02-28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669</v>
      </c>
      <c r="B91" s="7">
        <v>4018</v>
      </c>
      <c r="C91" s="21" t="s">
        <v>274</v>
      </c>
      <c r="D91" s="21" t="s">
        <v>238</v>
      </c>
      <c r="E91" s="13">
        <v>42794.552245370367</v>
      </c>
      <c r="F91" s="13">
        <v>42794.553900462961</v>
      </c>
      <c r="G91" s="7">
        <v>1</v>
      </c>
      <c r="H91" s="21" t="s">
        <v>287</v>
      </c>
      <c r="I91" s="13">
        <v>42794.585960648146</v>
      </c>
      <c r="J91" s="7">
        <v>1</v>
      </c>
      <c r="K91" s="98" t="str">
        <f t="shared" si="25"/>
        <v>4017/4018</v>
      </c>
      <c r="L91" s="21" t="str">
        <f>VLOOKUP(A91,'Trips&amp;Operators'!$C$1:$G$99999,5,FALSE)</f>
        <v>LEVERE CRAIG</v>
      </c>
      <c r="M91" s="6">
        <f t="shared" si="26"/>
        <v>3.2060185185400769E-2</v>
      </c>
      <c r="N91" s="7">
        <f t="shared" si="40"/>
        <v>46.166666666977108</v>
      </c>
      <c r="O91" s="7"/>
      <c r="P91" s="7"/>
      <c r="Q91" s="22"/>
      <c r="R91" s="22"/>
      <c r="S91" s="31">
        <f t="shared" si="41"/>
        <v>1</v>
      </c>
      <c r="T91" s="46" t="str">
        <f t="shared" si="27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8"/>
        <v>https://d0f6bd738d7f1b3e5a7ca70fe4ff75f0.us-east-1.aws.found.io/app/kibana#/discover/Steve-Slow-Train-Analysis-(2080s-and-2083s)?_g=(refreshInterval:(display:Off,pause:!f,section:0,value:0),time:(from:'2017-02-28T12:15:14-0700',mode:absolute,to:'2017-02-28T15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187" t="str">
        <f t="shared" si="29"/>
        <v>N</v>
      </c>
      <c r="X91" s="187">
        <f t="shared" si="42"/>
        <v>1</v>
      </c>
      <c r="Y91" s="62">
        <f t="shared" si="30"/>
        <v>4.53E-2</v>
      </c>
      <c r="Z91" s="62">
        <f t="shared" si="31"/>
        <v>23.330400000000001</v>
      </c>
      <c r="AA91" s="62">
        <f t="shared" si="32"/>
        <v>23.2851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0177-28</v>
      </c>
      <c r="AE91" s="85" t="str">
        <f t="shared" si="34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91" s="82" t="str">
        <f t="shared" si="35"/>
        <v>"C:\Program Files (x86)\AstroGrep\AstroGrep.exe" /spath="%USERPROFILE%\AppData\Local\Temp\OnboardLogs" /stypes="app*4018*20170228*" /stext=" 21:.+((SYSTEM_STATE.+slice.+state.+changed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86" t="str">
        <f t="shared" si="37"/>
        <v>"%USERPROFILE%\Documents\GitHub\eaglep3\Utilities\RefineRTDCRunTimes.py" --tripid 177-28 --locoid 4018 --swversion DE.1.0.9.0 --startMP 204:453 --initTime 2017-02-28T13:15:14 --startdatetime 2017-02-28T13:17:37 --delay 1 --endMP 204:233304 --enddatetime 2017-02-28T14:03:47 --enforcementcount 1 &gt;&gt;C:\Users\stu\Documents\GitHub\eaglep3-reporting\EC\2017-02-28-refined-times.txt</v>
      </c>
      <c r="AI91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{"issue":{"subject":"","project_id":79,"tracker_id":40,"status_id":1,"priority_id":2,"assigned_to_id":23,"start_date":"2017-02-28","description":"","custom_fields":[{"id":1,"name":"Subdivision","value":"EC"},{"id":4,"name":"Milepost","value":"23.3304"},{"id":17,"name":"Train ID","value":"177-28"},{"id":16,"name":"Locomotive ID","value":"4018"},{"id":130,"name":"Impact","value":""},{"id":150,"name":"Time of Event (Mountain Time)","value":"14:03:47"},{"id":151,"name":"Denver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4018 --day 2017-02-28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676</v>
      </c>
      <c r="B92" s="7">
        <v>4017</v>
      </c>
      <c r="C92" s="21" t="s">
        <v>274</v>
      </c>
      <c r="D92" s="21" t="s">
        <v>281</v>
      </c>
      <c r="E92" s="13">
        <v>42794.588750000003</v>
      </c>
      <c r="F92" s="13">
        <v>42794.591284722221</v>
      </c>
      <c r="G92" s="7">
        <v>1</v>
      </c>
      <c r="H92" s="21" t="s">
        <v>194</v>
      </c>
      <c r="I92" s="13">
        <v>42794.621041666665</v>
      </c>
      <c r="J92" s="7">
        <v>1</v>
      </c>
      <c r="K92" s="98" t="str">
        <f t="shared" si="25"/>
        <v>4017/4018</v>
      </c>
      <c r="L92" s="21" t="str">
        <f>VLOOKUP(A92,'Trips&amp;Operators'!$C$1:$G$99999,5,FALSE)</f>
        <v>LEVERE CRAIG</v>
      </c>
      <c r="M92" s="6">
        <f t="shared" si="26"/>
        <v>2.9756944444670808E-2</v>
      </c>
      <c r="N92" s="7">
        <f t="shared" si="40"/>
        <v>42.850000000325963</v>
      </c>
      <c r="O92" s="7"/>
      <c r="P92" s="7"/>
      <c r="Q92" s="22"/>
      <c r="R92" s="22"/>
      <c r="S92" s="31">
        <f t="shared" si="41"/>
        <v>1</v>
      </c>
      <c r="T92" s="46" t="str">
        <f t="shared" si="27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8"/>
        <v>https://d0f6bd738d7f1b3e5a7ca70fe4ff75f0.us-east-1.aws.found.io/app/kibana#/discover/Steve-Slow-Train-Analysis-(2080s-and-2083s)?_g=(refreshInterval:(display:Off,pause:!f,section:0,value:0),time:(from:'2017-02-28T13:07:48-0700',mode:absolute,to:'2017-02-28T15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187" t="str">
        <f t="shared" si="29"/>
        <v>N</v>
      </c>
      <c r="X92" s="187">
        <f t="shared" si="42"/>
        <v>1</v>
      </c>
      <c r="Y92" s="62">
        <f t="shared" si="30"/>
        <v>23.2987</v>
      </c>
      <c r="Z92" s="62">
        <f t="shared" si="31"/>
        <v>1.4999999999999999E-2</v>
      </c>
      <c r="AA92" s="62">
        <f t="shared" si="32"/>
        <v>23.2837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0178-28</v>
      </c>
      <c r="AE92" s="85" t="str">
        <f t="shared" si="34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92" s="82" t="str">
        <f t="shared" si="35"/>
        <v>"C:\Program Files (x86)\AstroGrep\AstroGrep.exe" /spath="%USERPROFILE%\AppData\Local\Temp\OnboardLogs" /stypes="app*4017*20170228*" /stext=" 21:.+((SYSTEM_STATE.+slice.+state.+changed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86" t="str">
        <f t="shared" si="37"/>
        <v>"%USERPROFILE%\Documents\GitHub\eaglep3\Utilities\RefineRTDCRunTimes.py" --tripid 178-28 --locoid 4017 --swversion DE.1.0.9.0 --startMP 204:232987 --initTime 2017-02-28T14:07:48 --startdatetime 2017-02-28T14:11:27 --delay 1 --endMP 204:150 --enddatetime 2017-02-28T14:54:18 --enforcementcount 1 &gt;&gt;C:\Users\stu\Documents\GitHub\eaglep3-reporting\EC\2017-02-28-refined-times.txt</v>
      </c>
      <c r="AI92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{"issue":{"subject":"","project_id":79,"tracker_id":40,"status_id":1,"priority_id":2,"assigned_to_id":23,"start_date":"2017-02-28","description":"","custom_fields":[{"id":1,"name":"Subdivision","value":"EC"},{"id":4,"name":"Milepost","value":"0.015"},{"id":17,"name":"Train ID","value":"178-28"},{"id":16,"name":"Locomotive ID","value":"4017"},{"id":130,"name":"Impact","value":""},{"id":150,"name":"Time of Event (Mountain Time)","value":"14:54:18"},{"id":151,"name":"Denver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4017 --day 2017-02-28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671</v>
      </c>
      <c r="B93" s="7">
        <v>4025</v>
      </c>
      <c r="C93" s="21" t="s">
        <v>274</v>
      </c>
      <c r="D93" s="21" t="s">
        <v>813</v>
      </c>
      <c r="E93" s="13">
        <v>42794.563472222224</v>
      </c>
      <c r="F93" s="13">
        <v>42794.565034722225</v>
      </c>
      <c r="G93" s="7">
        <v>1</v>
      </c>
      <c r="H93" s="21" t="s">
        <v>814</v>
      </c>
      <c r="I93" s="13">
        <v>42794.596180555556</v>
      </c>
      <c r="J93" s="7">
        <v>1</v>
      </c>
      <c r="K93" s="98" t="str">
        <f t="shared" si="25"/>
        <v>4025/4026</v>
      </c>
      <c r="L93" s="21" t="str">
        <f>VLOOKUP(A93,'Trips&amp;Operators'!$C$1:$G$99999,5,FALSE)</f>
        <v>CLARK KATHLEEN</v>
      </c>
      <c r="M93" s="6">
        <f t="shared" si="26"/>
        <v>3.1145833330811001E-2</v>
      </c>
      <c r="N93" s="7">
        <f t="shared" si="40"/>
        <v>44.849999996367842</v>
      </c>
      <c r="O93" s="7"/>
      <c r="P93" s="7"/>
      <c r="Q93" s="22"/>
      <c r="R93" s="22"/>
      <c r="S93" s="31">
        <f t="shared" si="41"/>
        <v>1</v>
      </c>
      <c r="T93" s="46" t="str">
        <f t="shared" si="27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8"/>
        <v>https://d0f6bd738d7f1b3e5a7ca70fe4ff75f0.us-east-1.aws.found.io/app/kibana#/discover/Steve-Slow-Train-Analysis-(2080s-and-2083s)?_g=(refreshInterval:(display:Off,pause:!f,section:0,value:0),time:(from:'2017-02-28T12:31:24-0700',mode:absolute,to:'2017-02-28T15:18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187" t="str">
        <f t="shared" si="29"/>
        <v>N</v>
      </c>
      <c r="X93" s="187">
        <f t="shared" si="42"/>
        <v>1</v>
      </c>
      <c r="Y93" s="62">
        <f t="shared" si="30"/>
        <v>4.9500000000000002E-2</v>
      </c>
      <c r="Z93" s="62">
        <f t="shared" si="31"/>
        <v>23.3247</v>
      </c>
      <c r="AA93" s="62">
        <f t="shared" si="32"/>
        <v>23.275200000000002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0179-28</v>
      </c>
      <c r="AE93" s="85" t="str">
        <f t="shared" si="34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93" s="82" t="str">
        <f t="shared" si="35"/>
        <v>"C:\Program Files (x86)\AstroGrep\AstroGrep.exe" /spath="%USERPROFILE%\AppData\Local\Temp\OnboardLogs" /stypes="app*4025*20170228*" /stext=" 21:.+((SYSTEM_STATE.+slice.+state.+changed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86" t="str">
        <f t="shared" si="37"/>
        <v>"%USERPROFILE%\Documents\GitHub\eaglep3\Utilities\RefineRTDCRunTimes.py" --tripid 179-28 --locoid 4025 --swversion DE.1.0.9.0 --startMP 204:495 --initTime 2017-02-28T13:31:24 --startdatetime 2017-02-28T13:33:39 --delay 1 --endMP 204:233247 --enddatetime 2017-02-28T14:18:30 --enforcementcount 1 &gt;&gt;C:\Users\stu\Documents\GitHub\eaglep3-reporting\EC\2017-02-28-refined-times.txt</v>
      </c>
      <c r="AI93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{"issue":{"subject":"","project_id":79,"tracker_id":40,"status_id":1,"priority_id":2,"assigned_to_id":23,"start_date":"2017-02-28","description":"","custom_fields":[{"id":1,"name":"Subdivision","value":"EC"},{"id":4,"name":"Milepost","value":"23.3247"},{"id":17,"name":"Train ID","value":"179-28"},{"id":16,"name":"Locomotive ID","value":"4025"},{"id":130,"name":"Impact","value":""},{"id":150,"name":"Time of Event (Mountain Time)","value":"14:18:30"},{"id":151,"name":"Denver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4025 --day 2017-02-28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681</v>
      </c>
      <c r="B94" s="7">
        <v>4026</v>
      </c>
      <c r="C94" s="21" t="s">
        <v>274</v>
      </c>
      <c r="D94" s="21" t="s">
        <v>815</v>
      </c>
      <c r="E94" s="13">
        <v>42794.598761574074</v>
      </c>
      <c r="F94" s="13">
        <v>42794.6015625</v>
      </c>
      <c r="G94" s="7">
        <v>1</v>
      </c>
      <c r="H94" s="21" t="s">
        <v>213</v>
      </c>
      <c r="I94" s="13">
        <v>42794.630185185182</v>
      </c>
      <c r="J94" s="7">
        <v>1</v>
      </c>
      <c r="K94" s="98" t="str">
        <f t="shared" si="25"/>
        <v>4025/4026</v>
      </c>
      <c r="L94" s="21" t="str">
        <f>VLOOKUP(A94,'Trips&amp;Operators'!$C$1:$G$99999,5,FALSE)</f>
        <v>CLARK KATHLEEN</v>
      </c>
      <c r="M94" s="6">
        <f t="shared" si="26"/>
        <v>2.8622685182199348E-2</v>
      </c>
      <c r="N94" s="7">
        <f t="shared" si="40"/>
        <v>41.216666662367061</v>
      </c>
      <c r="O94" s="7"/>
      <c r="P94" s="7"/>
      <c r="Q94" s="22"/>
      <c r="R94" s="22"/>
      <c r="S94" s="31">
        <f t="shared" si="41"/>
        <v>1</v>
      </c>
      <c r="T94" s="46" t="str">
        <f t="shared" si="27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8"/>
        <v>https://d0f6bd738d7f1b3e5a7ca70fe4ff75f0.us-east-1.aws.found.io/app/kibana#/discover/Steve-Slow-Train-Analysis-(2080s-and-2083s)?_g=(refreshInterval:(display:Off,pause:!f,section:0,value:0),time:(from:'2017-02-28T13:22:13-0700',mode:absolute,to:'2017-02-28T16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187" t="str">
        <f t="shared" si="29"/>
        <v>N</v>
      </c>
      <c r="X94" s="187">
        <f t="shared" si="42"/>
        <v>1</v>
      </c>
      <c r="Y94" s="62">
        <f t="shared" si="30"/>
        <v>23.2925</v>
      </c>
      <c r="Z94" s="62">
        <f t="shared" si="31"/>
        <v>1.54E-2</v>
      </c>
      <c r="AA94" s="62">
        <f t="shared" si="32"/>
        <v>23.277100000000001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3"/>
        <v>0180-28</v>
      </c>
      <c r="AE94" s="85" t="str">
        <f t="shared" si="34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94" s="82" t="str">
        <f t="shared" si="35"/>
        <v>"C:\Program Files (x86)\AstroGrep\AstroGrep.exe" /spath="%USERPROFILE%\AppData\Local\Temp\OnboardLogs" /stypes="app*4026*20170228*" /stext=" 22:.+((SYSTEM_STATE.+slice.+state.+changed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86" t="str">
        <f t="shared" si="37"/>
        <v>"%USERPROFILE%\Documents\GitHub\eaglep3\Utilities\RefineRTDCRunTimes.py" --tripid 180-28 --locoid 4026 --swversion DE.1.0.9.0 --startMP 204:232925 --initTime 2017-02-28T14:22:13 --startdatetime 2017-02-28T14:26:15 --delay 1 --endMP 204:154 --enddatetime 2017-02-28T15:07:28 --enforcementcount 1 &gt;&gt;C:\Users\stu\Documents\GitHub\eaglep3-reporting\EC\2017-02-28-refined-times.txt</v>
      </c>
      <c r="AI94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{"issue":{"subject":"","project_id":79,"tracker_id":40,"status_id":1,"priority_id":2,"assigned_to_id":23,"start_date":"2017-02-28","description":"","custom_fields":[{"id":1,"name":"Subdivision","value":"EC"},{"id":4,"name":"Milepost","value":"0.0154"},{"id":17,"name":"Train ID","value":"180-28"},{"id":16,"name":"Locomotive ID","value":"4026"},{"id":130,"name":"Impact","value":""},{"id":150,"name":"Time of Event (Mountain Time)","value":"15:07:28"},{"id":151,"name":"Denver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4026 --day 2017-02-28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673</v>
      </c>
      <c r="B95" s="7">
        <v>4003</v>
      </c>
      <c r="C95" s="21" t="s">
        <v>274</v>
      </c>
      <c r="D95" s="21" t="s">
        <v>404</v>
      </c>
      <c r="E95" s="13">
        <v>42794.573738425926</v>
      </c>
      <c r="F95" s="13">
        <v>42794.575208333335</v>
      </c>
      <c r="G95" s="7">
        <v>1</v>
      </c>
      <c r="H95" s="21" t="s">
        <v>313</v>
      </c>
      <c r="I95" s="13">
        <v>42794.601388888892</v>
      </c>
      <c r="J95" s="7">
        <v>1</v>
      </c>
      <c r="K95" s="98" t="str">
        <f t="shared" si="25"/>
        <v>4003/4004</v>
      </c>
      <c r="L95" s="21" t="str">
        <f>VLOOKUP(A95,'Trips&amp;Operators'!$C$1:$G$99999,5,FALSE)</f>
        <v>SWANSON BRYCE</v>
      </c>
      <c r="M95" s="6">
        <f t="shared" si="26"/>
        <v>2.6180555556493346E-2</v>
      </c>
      <c r="N95" s="7">
        <f t="shared" si="40"/>
        <v>37.700000001350418</v>
      </c>
      <c r="O95" s="7"/>
      <c r="P95" s="7"/>
      <c r="Q95" s="22"/>
      <c r="R95" s="22"/>
      <c r="S95" s="31">
        <f t="shared" si="41"/>
        <v>1</v>
      </c>
      <c r="T95" s="46" t="str">
        <f t="shared" si="27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8"/>
        <v>https://d0f6bd738d7f1b3e5a7ca70fe4ff75f0.us-east-1.aws.found.io/app/kibana#/discover/Steve-Slow-Train-Analysis-(2080s-and-2083s)?_g=(refreshInterval:(display:Off,pause:!f,section:0,value:0),time:(from:'2017-02-28T12:46:11-0700',mode:absolute,to:'2017-02-28T15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5" s="187" t="str">
        <f t="shared" si="29"/>
        <v>N</v>
      </c>
      <c r="X95" s="187">
        <f t="shared" si="42"/>
        <v>1</v>
      </c>
      <c r="Y95" s="62">
        <f t="shared" si="30"/>
        <v>4.8399999999999999E-2</v>
      </c>
      <c r="Z95" s="62">
        <f t="shared" si="31"/>
        <v>23.3308</v>
      </c>
      <c r="AA95" s="62">
        <f t="shared" si="32"/>
        <v>23.282399999999999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0181-28</v>
      </c>
      <c r="AE95" s="85" t="str">
        <f t="shared" si="34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95" s="82" t="str">
        <f t="shared" si="35"/>
        <v>"C:\Program Files (x86)\AstroGrep\AstroGrep.exe" /spath="%USERPROFILE%\AppData\Local\Temp\OnboardLogs" /stypes="app*4003*20170228*" /stext=" 21:.+((SYSTEM_STATE.+slice.+state.+changed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86" t="str">
        <f t="shared" si="37"/>
        <v>"%USERPROFILE%\Documents\GitHub\eaglep3\Utilities\RefineRTDCRunTimes.py" --tripid 181-28 --locoid 4003 --swversion DE.1.0.9.0 --startMP 204:484 --initTime 2017-02-28T13:46:11 --startdatetime 2017-02-28T13:48:18 --delay 1 --endMP 204:233308 --enddatetime 2017-02-28T14:26:00 --enforcementcount 1 &gt;&gt;C:\Users\stu\Documents\GitHub\eaglep3-reporting\EC\2017-02-28-refined-times.txt</v>
      </c>
      <c r="AI95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{"issue":{"subject":"","project_id":79,"tracker_id":40,"status_id":1,"priority_id":2,"assigned_to_id":23,"start_date":"2017-02-28","description":"","custom_fields":[{"id":1,"name":"Subdivision","value":"EC"},{"id":4,"name":"Milepost","value":"23.3308"},{"id":17,"name":"Train ID","value":"181-28"},{"id":16,"name":"Locomotive ID","value":"4003"},{"id":130,"name":"Impact","value":""},{"id":150,"name":"Time of Event (Mountain Time)","value":"14:26:00"},{"id":151,"name":"Denver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4003 --day 2017-02-28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683</v>
      </c>
      <c r="B96" s="7">
        <v>4004</v>
      </c>
      <c r="C96" s="21" t="s">
        <v>274</v>
      </c>
      <c r="D96" s="21" t="s">
        <v>816</v>
      </c>
      <c r="E96" s="13">
        <v>42794.605613425927</v>
      </c>
      <c r="F96" s="13">
        <v>42794.611979166664</v>
      </c>
      <c r="G96" s="7">
        <v>1</v>
      </c>
      <c r="H96" s="21" t="s">
        <v>184</v>
      </c>
      <c r="I96" s="13">
        <v>42794.641064814816</v>
      </c>
      <c r="J96" s="7">
        <v>1</v>
      </c>
      <c r="K96" s="98" t="str">
        <f t="shared" si="25"/>
        <v>4003/4004</v>
      </c>
      <c r="L96" s="21" t="str">
        <f>VLOOKUP(A96,'Trips&amp;Operators'!$C$1:$G$99999,5,FALSE)</f>
        <v>SWANSON BRYCE</v>
      </c>
      <c r="M96" s="6">
        <f t="shared" si="26"/>
        <v>2.9085648151522037E-2</v>
      </c>
      <c r="N96" s="7">
        <f t="shared" si="40"/>
        <v>41.883333338191733</v>
      </c>
      <c r="O96" s="7"/>
      <c r="P96" s="7"/>
      <c r="Q96" s="22"/>
      <c r="R96" s="22"/>
      <c r="S96" s="31">
        <f t="shared" si="41"/>
        <v>1</v>
      </c>
      <c r="T96" s="46" t="str">
        <f t="shared" si="27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8"/>
        <v>https://d0f6bd738d7f1b3e5a7ca70fe4ff75f0.us-east-1.aws.found.io/app/kibana#/discover/Steve-Slow-Train-Analysis-(2080s-and-2083s)?_g=(refreshInterval:(display:Off,pause:!f,section:0,value:0),time:(from:'2017-02-28T13:32:05-0700',mode:absolute,to:'2017-02-28T16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187" t="str">
        <f t="shared" si="29"/>
        <v>N</v>
      </c>
      <c r="X96" s="187">
        <f t="shared" si="42"/>
        <v>1</v>
      </c>
      <c r="Y96" s="62">
        <f t="shared" si="30"/>
        <v>23.299099999999999</v>
      </c>
      <c r="Z96" s="62">
        <f t="shared" si="31"/>
        <v>1.49E-2</v>
      </c>
      <c r="AA96" s="62">
        <f t="shared" si="32"/>
        <v>23.284199999999998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0182-28</v>
      </c>
      <c r="AE96" s="85" t="str">
        <f t="shared" si="34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96" s="82" t="str">
        <f t="shared" si="35"/>
        <v>"C:\Program Files (x86)\AstroGrep\AstroGrep.exe" /spath="%USERPROFILE%\AppData\Local\Temp\OnboardLogs" /stypes="app*4004*20170228*" /stext=" 22:.+((SYSTEM_STATE.+slice.+state.+changed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86" t="str">
        <f t="shared" si="37"/>
        <v>"%USERPROFILE%\Documents\GitHub\eaglep3\Utilities\RefineRTDCRunTimes.py" --tripid 182-28 --locoid 4004 --swversion DE.1.0.9.0 --startMP 204:232991 --initTime 2017-02-28T14:32:05 --startdatetime 2017-02-28T14:41:15 --delay 1 --endMP 204:149 --enddatetime 2017-02-28T15:23:08 --enforcementcount 1 &gt;&gt;C:\Users\stu\Documents\GitHub\eaglep3-reporting\EC\2017-02-28-refined-times.txt</v>
      </c>
      <c r="AI96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{"issue":{"subject":"","project_id":79,"tracker_id":40,"status_id":1,"priority_id":2,"assigned_to_id":23,"start_date":"2017-02-28","description":"","custom_fields":[{"id":1,"name":"Subdivision","value":"EC"},{"id":4,"name":"Milepost","value":"0.0149"},{"id":17,"name":"Train ID","value":"182-28"},{"id":16,"name":"Locomotive ID","value":"4004"},{"id":130,"name":"Impact","value":""},{"id":150,"name":"Time of Event (Mountain Time)","value":"15:23:08"},{"id":151,"name":"Denver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4004 --day 2017-02-28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674</v>
      </c>
      <c r="B97" s="7">
        <v>4051</v>
      </c>
      <c r="C97" s="21" t="s">
        <v>274</v>
      </c>
      <c r="D97" s="21" t="s">
        <v>268</v>
      </c>
      <c r="E97" s="13">
        <v>42794.578935185185</v>
      </c>
      <c r="F97" s="13">
        <v>42794.58357638889</v>
      </c>
      <c r="G97" s="7">
        <v>1</v>
      </c>
      <c r="H97" s="21" t="s">
        <v>817</v>
      </c>
      <c r="I97" s="13">
        <v>42794.608854166669</v>
      </c>
      <c r="J97" s="7">
        <v>1</v>
      </c>
      <c r="K97" s="98" t="str">
        <f t="shared" si="25"/>
        <v>4051/4052</v>
      </c>
      <c r="L97" s="21" t="str">
        <f>VLOOKUP(A97,'Trips&amp;Operators'!$C$1:$G$99999,5,FALSE)</f>
        <v>ROMERO CHAD</v>
      </c>
      <c r="M97" s="6">
        <f t="shared" si="26"/>
        <v>2.527777777868323E-2</v>
      </c>
      <c r="N97" s="7">
        <f t="shared" si="40"/>
        <v>36.400000001303852</v>
      </c>
      <c r="O97" s="7"/>
      <c r="P97" s="7"/>
      <c r="Q97" s="22"/>
      <c r="R97" s="22"/>
      <c r="S97" s="31">
        <f t="shared" si="41"/>
        <v>1</v>
      </c>
      <c r="T97" s="46" t="str">
        <f t="shared" si="27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8"/>
        <v>https://d0f6bd738d7f1b3e5a7ca70fe4ff75f0.us-east-1.aws.found.io/app/kibana#/discover/Steve-Slow-Train-Analysis-(2080s-and-2083s)?_g=(refreshInterval:(display:Off,pause:!f,section:0,value:0),time:(from:'2017-02-28T12:53:40-0700',mode:absolute,to:'2017-02-28T15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187" t="str">
        <f t="shared" si="29"/>
        <v>N</v>
      </c>
      <c r="X97" s="187">
        <f t="shared" si="42"/>
        <v>1</v>
      </c>
      <c r="Y97" s="62">
        <f t="shared" si="30"/>
        <v>4.4699999999999997E-2</v>
      </c>
      <c r="Z97" s="62">
        <f t="shared" si="31"/>
        <v>23.338699999999999</v>
      </c>
      <c r="AA97" s="62">
        <f t="shared" si="32"/>
        <v>23.294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0183-28</v>
      </c>
      <c r="AE97" s="85" t="str">
        <f t="shared" si="34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97" s="82" t="str">
        <f t="shared" si="35"/>
        <v>"C:\Program Files (x86)\AstroGrep\AstroGrep.exe" /spath="%USERPROFILE%\AppData\Local\Temp\OnboardLogs" /stypes="app*4051*20170228*" /stext=" 21:.+((SYSTEM_STATE.+slice.+state.+changed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86" t="str">
        <f t="shared" si="37"/>
        <v>"%USERPROFILE%\Documents\GitHub\eaglep3\Utilities\RefineRTDCRunTimes.py" --tripid 183-28 --locoid 4051 --swversion DE.1.0.9.0 --startMP 204:447 --initTime 2017-02-28T13:53:40 --startdatetime 2017-02-28T14:00:21 --delay 1 --endMP 204:233387 --enddatetime 2017-02-28T14:36:45 --enforcementcount 1 &gt;&gt;C:\Users\stu\Documents\GitHub\eaglep3-reporting\EC\2017-02-28-refined-times.txt</v>
      </c>
      <c r="AI97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{"issue":{"subject":"","project_id":79,"tracker_id":40,"status_id":1,"priority_id":2,"assigned_to_id":23,"start_date":"2017-02-28","description":"","custom_fields":[{"id":1,"name":"Subdivision","value":"EC"},{"id":4,"name":"Milepost","value":"23.3387"},{"id":17,"name":"Train ID","value":"183-28"},{"id":16,"name":"Locomotive ID","value":"4051"},{"id":130,"name":"Impact","value":""},{"id":150,"name":"Time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4051 --day 2017-02-28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684</v>
      </c>
      <c r="B98" s="7">
        <v>4052</v>
      </c>
      <c r="C98" s="21" t="s">
        <v>274</v>
      </c>
      <c r="D98" s="21" t="s">
        <v>818</v>
      </c>
      <c r="E98" s="13">
        <v>42794.610648148147</v>
      </c>
      <c r="F98" s="13">
        <v>42794.622361111113</v>
      </c>
      <c r="G98" s="7">
        <v>1</v>
      </c>
      <c r="H98" s="21" t="s">
        <v>392</v>
      </c>
      <c r="I98" s="13">
        <v>42794.648888888885</v>
      </c>
      <c r="J98" s="7">
        <v>1</v>
      </c>
      <c r="K98" s="98" t="str">
        <f t="shared" si="25"/>
        <v>4051/4052</v>
      </c>
      <c r="L98" s="21" t="str">
        <f>VLOOKUP(A98,'Trips&amp;Operators'!$C$1:$G$99999,5,FALSE)</f>
        <v>ROMERO CHAD</v>
      </c>
      <c r="M98" s="6">
        <f t="shared" si="26"/>
        <v>2.6527777772571426E-2</v>
      </c>
      <c r="N98" s="7">
        <f t="shared" si="40"/>
        <v>38.199999992502853</v>
      </c>
      <c r="O98" s="7"/>
      <c r="P98" s="7"/>
      <c r="Q98" s="22"/>
      <c r="R98" s="22"/>
      <c r="S98" s="31">
        <f t="shared" si="41"/>
        <v>1</v>
      </c>
      <c r="T98" s="46" t="str">
        <f t="shared" si="27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8"/>
        <v>https://d0f6bd738d7f1b3e5a7ca70fe4ff75f0.us-east-1.aws.found.io/app/kibana#/discover/Steve-Slow-Train-Analysis-(2080s-and-2083s)?_g=(refreshInterval:(display:Off,pause:!f,section:0,value:0),time:(from:'2017-02-28T13:39:20-0700',mode:absolute,to:'2017-02-28T16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187" t="str">
        <f t="shared" si="29"/>
        <v>N</v>
      </c>
      <c r="X98" s="187">
        <f t="shared" si="42"/>
        <v>1</v>
      </c>
      <c r="Y98" s="62">
        <f t="shared" si="30"/>
        <v>23.305299999999999</v>
      </c>
      <c r="Z98" s="62">
        <f t="shared" si="31"/>
        <v>1.34E-2</v>
      </c>
      <c r="AA98" s="62">
        <f t="shared" si="32"/>
        <v>23.291899999999998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0184-28</v>
      </c>
      <c r="AE98" s="85" t="str">
        <f t="shared" si="34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98" s="82" t="str">
        <f t="shared" si="35"/>
        <v>"C:\Program Files (x86)\AstroGrep\AstroGrep.exe" /spath="%USERPROFILE%\AppData\Local\Temp\OnboardLogs" /stypes="app*4052*20170228*" /stext=" 22:.+((SYSTEM_STATE.+slice.+state.+changed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86" t="str">
        <f t="shared" si="37"/>
        <v>"%USERPROFILE%\Documents\GitHub\eaglep3\Utilities\RefineRTDCRunTimes.py" --tripid 184-28 --locoid 4052 --swversion DE.1.0.9.0 --startMP 204:233053 --initTime 2017-02-28T14:39:20 --startdatetime 2017-02-28T14:56:12 --delay 1 --endMP 204:134 --enddatetime 2017-02-28T15:34:24 --enforcementcount 1 &gt;&gt;C:\Users\stu\Documents\GitHub\eaglep3-reporting\EC\2017-02-28-refined-times.txt</v>
      </c>
      <c r="AI9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{"issue":{"subject":"","project_id":79,"tracker_id":40,"status_id":1,"priority_id":2,"assigned_to_id":23,"start_date":"2017-02-28","description":"","custom_fields":[{"id":1,"name":"Subdivision","value":"EC"},{"id":4,"name":"Milepost","value":"0.0134"},{"id":17,"name":"Train ID","value":"184-28"},{"id":16,"name":"Locomotive ID","value":"4052"},{"id":130,"name":"Impact","value":""},{"id":150,"name":"Time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4052 --day 2017-02-28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677</v>
      </c>
      <c r="B99" s="7">
        <v>4006</v>
      </c>
      <c r="C99" s="21" t="s">
        <v>274</v>
      </c>
      <c r="D99" s="21" t="s">
        <v>819</v>
      </c>
      <c r="E99" s="13">
        <v>42794.589895833335</v>
      </c>
      <c r="F99" s="13">
        <v>42794.594004629631</v>
      </c>
      <c r="G99" s="7">
        <v>1</v>
      </c>
      <c r="H99" s="21" t="s">
        <v>820</v>
      </c>
      <c r="I99" s="13">
        <v>42794.620173611111</v>
      </c>
      <c r="J99" s="7">
        <v>1</v>
      </c>
      <c r="K99" s="98" t="str">
        <f t="shared" si="25"/>
        <v>4005/4006</v>
      </c>
      <c r="L99" s="21" t="str">
        <f>VLOOKUP(A99,'Trips&amp;Operators'!$C$1:$G$99999,5,FALSE)</f>
        <v>BERLING GARY</v>
      </c>
      <c r="M99" s="6">
        <f t="shared" si="26"/>
        <v>2.6168981479713693E-2</v>
      </c>
      <c r="N99" s="7">
        <f t="shared" si="40"/>
        <v>37.683333330787718</v>
      </c>
      <c r="O99" s="7"/>
      <c r="P99" s="7"/>
      <c r="Q99" s="22"/>
      <c r="R99" s="22"/>
      <c r="S99" s="31">
        <f t="shared" si="41"/>
        <v>1</v>
      </c>
      <c r="T99" s="46" t="str">
        <f t="shared" si="27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8"/>
        <v>https://d0f6bd738d7f1b3e5a7ca70fe4ff75f0.us-east-1.aws.found.io/app/kibana#/discover/Steve-Slow-Train-Analysis-(2080s-and-2083s)?_g=(refreshInterval:(display:Off,pause:!f,section:0,value:0),time:(from:'2017-02-28T13:09:27-0700',mode:absolute,to:'2017-02-28T15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187" t="str">
        <f t="shared" si="29"/>
        <v>N</v>
      </c>
      <c r="X99" s="187">
        <f t="shared" si="42"/>
        <v>1</v>
      </c>
      <c r="Y99" s="62">
        <f t="shared" si="30"/>
        <v>4.3299999999999998E-2</v>
      </c>
      <c r="Z99" s="62">
        <f t="shared" si="31"/>
        <v>23.336600000000001</v>
      </c>
      <c r="AA99" s="62">
        <f t="shared" si="32"/>
        <v>23.293300000000002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0185-28</v>
      </c>
      <c r="AE99" s="85" t="str">
        <f t="shared" si="34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99" s="82" t="str">
        <f t="shared" si="35"/>
        <v>"C:\Program Files (x86)\AstroGrep\AstroGrep.exe" /spath="%USERPROFILE%\AppData\Local\Temp\OnboardLogs" /stypes="app*4006*20170228*" /stext=" 21:.+((SYSTEM_STATE.+slice.+state.+changed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86" t="str">
        <f t="shared" si="37"/>
        <v>"%USERPROFILE%\Documents\GitHub\eaglep3\Utilities\RefineRTDCRunTimes.py" --tripid 185-28 --locoid 4006 --swversion DE.1.0.9.0 --startMP 204:433 --initTime 2017-02-28T14:09:27 --startdatetime 2017-02-28T14:15:22 --delay 1 --endMP 204:233366 --enddatetime 2017-02-28T14:53:03 --enforcementcount 1 &gt;&gt;C:\Users\stu\Documents\GitHub\eaglep3-reporting\EC\2017-02-28-refined-times.txt</v>
      </c>
      <c r="AI9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{"issue":{"subject":"","project_id":79,"tracker_id":40,"status_id":1,"priority_id":2,"assigned_to_id":23,"start_date":"2017-02-28","description":"","custom_fields":[{"id":1,"name":"Subdivision","value":"EC"},{"id":4,"name":"Milepost","value":"23.3366"},{"id":17,"name":"Train ID","value":"185-28"},{"id":16,"name":"Locomotive ID","value":"4006"},{"id":130,"name":"Impact","value":""},{"id":150,"name":"Time of Event (Mountain Time)","value":"14:53:03"},{"id":151,"name":"Denver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4006 --day 2017-02-28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687</v>
      </c>
      <c r="B100" s="7">
        <v>4005</v>
      </c>
      <c r="C100" s="21" t="s">
        <v>274</v>
      </c>
      <c r="D100" s="21" t="s">
        <v>821</v>
      </c>
      <c r="E100" s="13">
        <v>42794.62841435185</v>
      </c>
      <c r="F100" s="13">
        <v>42794.633032407408</v>
      </c>
      <c r="G100" s="7">
        <v>1</v>
      </c>
      <c r="H100" s="21" t="s">
        <v>194</v>
      </c>
      <c r="I100" s="13">
        <v>42794.661064814813</v>
      </c>
      <c r="J100" s="7">
        <v>1</v>
      </c>
      <c r="K100" s="98" t="str">
        <f t="shared" si="25"/>
        <v>4005/4006</v>
      </c>
      <c r="L100" s="21" t="str">
        <f>VLOOKUP(A100,'Trips&amp;Operators'!$C$1:$G$99999,5,FALSE)</f>
        <v>BERLING GARY</v>
      </c>
      <c r="M100" s="6">
        <f t="shared" si="26"/>
        <v>2.8032407404680271E-2</v>
      </c>
      <c r="N100" s="7">
        <f t="shared" si="40"/>
        <v>40.36666666273959</v>
      </c>
      <c r="O100" s="7"/>
      <c r="P100" s="7"/>
      <c r="Q100" s="22"/>
      <c r="R100" s="22"/>
      <c r="S100" s="31">
        <f t="shared" si="41"/>
        <v>1</v>
      </c>
      <c r="T100" s="46" t="str">
        <f t="shared" si="27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8"/>
        <v>https://d0f6bd738d7f1b3e5a7ca70fe4ff75f0.us-east-1.aws.found.io/app/kibana#/discover/Steve-Slow-Train-Analysis-(2080s-and-2083s)?_g=(refreshInterval:(display:Off,pause:!f,section:0,value:0),time:(from:'2017-02-28T14:04:55-0700',mode:absolute,to:'2017-02-28T16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187" t="str">
        <f t="shared" si="29"/>
        <v>N</v>
      </c>
      <c r="X100" s="187">
        <f t="shared" si="42"/>
        <v>1</v>
      </c>
      <c r="Y100" s="62">
        <f t="shared" si="30"/>
        <v>23.304200000000002</v>
      </c>
      <c r="Z100" s="62">
        <f t="shared" si="31"/>
        <v>1.4999999999999999E-2</v>
      </c>
      <c r="AA100" s="62">
        <f t="shared" si="32"/>
        <v>23.289200000000001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0186-28</v>
      </c>
      <c r="AE100" s="85" t="str">
        <f t="shared" si="34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100" s="82" t="str">
        <f t="shared" si="35"/>
        <v>"C:\Program Files (x86)\AstroGrep\AstroGrep.exe" /spath="%USERPROFILE%\AppData\Local\Temp\OnboardLogs" /stypes="app*4005*20170228*" /stext=" 22:.+((SYSTEM_STATE.+slice.+state.+changed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86" t="str">
        <f t="shared" si="37"/>
        <v>"%USERPROFILE%\Documents\GitHub\eaglep3\Utilities\RefineRTDCRunTimes.py" --tripid 186-28 --locoid 4005 --swversion DE.1.0.9.0 --startMP 204:233042 --initTime 2017-02-28T15:04:55 --startdatetime 2017-02-28T15:11:34 --delay 1 --endMP 204:150 --enddatetime 2017-02-28T15:51:56 --enforcementcount 1 &gt;&gt;C:\Users\stu\Documents\GitHub\eaglep3-reporting\EC\2017-02-28-refined-times.txt</v>
      </c>
      <c r="AI10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{"issue":{"subject":"","project_id":79,"tracker_id":40,"status_id":1,"priority_id":2,"assigned_to_id":23,"start_date":"2017-02-28","description":"","custom_fields":[{"id":1,"name":"Subdivision","value":"EC"},{"id":4,"name":"Milepost","value":"0.015"},{"id":17,"name":"Train ID","value":"186-28"},{"id":16,"name":"Locomotive ID","value":"4005"},{"id":130,"name":"Impact","value":""},{"id":150,"name":"Time of Event (Mountain Time)","value":"15:51:56"},{"id":151,"name":"Denver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4005 --day 2017-02-28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"%USERPROFILE%\AppData\Local\Temp\OnboardLogs"\RTDC4005\*4005*20170228* | grep -SE "(Enforcement Action)|(\[TIMEOUT)|(CHR.+\|PRM\|1\|D.+(SWITCH|SIGNAL).+UNKNOWN)" - &gt;&gt; 2017-02-28-UncaughtWiMAX.txt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562</v>
      </c>
      <c r="B101" s="7">
        <v>4044</v>
      </c>
      <c r="C101" s="21" t="s">
        <v>274</v>
      </c>
      <c r="D101" s="21" t="s">
        <v>250</v>
      </c>
      <c r="E101" s="13">
        <v>42794.595497685186</v>
      </c>
      <c r="F101" s="13">
        <v>42794.604421296295</v>
      </c>
      <c r="G101" s="7">
        <v>1</v>
      </c>
      <c r="H101" s="21" t="s">
        <v>822</v>
      </c>
      <c r="I101" s="13">
        <v>42794.628101851849</v>
      </c>
      <c r="J101" s="7">
        <v>1</v>
      </c>
      <c r="K101" s="98" t="str">
        <f t="shared" si="25"/>
        <v>4043/4044</v>
      </c>
      <c r="L101" s="21" t="str">
        <f>VLOOKUP(A101,'Trips&amp;Operators'!$C$1:$G$99999,5,FALSE)</f>
        <v>STRICKLAND EVAN</v>
      </c>
      <c r="M101" s="6">
        <f t="shared" si="26"/>
        <v>2.3680555554165039E-2</v>
      </c>
      <c r="N101" s="7"/>
      <c r="O101" s="7"/>
      <c r="P101" s="7">
        <f>24*60*SUM($M101:$M101)</f>
        <v>34.099999997997656</v>
      </c>
      <c r="Q101" s="22"/>
      <c r="R101" s="22" t="s">
        <v>436</v>
      </c>
      <c r="S101" s="31">
        <f t="shared" si="41"/>
        <v>1</v>
      </c>
      <c r="T101" s="46" t="str">
        <f t="shared" si="27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8"/>
        <v>https://d0f6bd738d7f1b3e5a7ca70fe4ff75f0.us-east-1.aws.found.io/app/kibana#/discover/Steve-Slow-Train-Analysis-(2080s-and-2083s)?_g=(refreshInterval:(display:Off,pause:!f,section:0,value:0),time:(from:'2017-02-28T13:17:31-0700',mode:absolute,to:'2017-02-28T16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1" s="187" t="str">
        <f t="shared" si="29"/>
        <v>Y</v>
      </c>
      <c r="X101" s="187">
        <f t="shared" si="42"/>
        <v>1</v>
      </c>
      <c r="Y101" s="62">
        <f t="shared" si="30"/>
        <v>4.3999999999999997E-2</v>
      </c>
      <c r="Z101" s="62">
        <f t="shared" si="31"/>
        <v>21.894100000000002</v>
      </c>
      <c r="AA101" s="62">
        <f t="shared" si="32"/>
        <v>21.850100000000001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0187-28</v>
      </c>
      <c r="AE101" s="85" t="str">
        <f t="shared" si="34"/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AF101" s="82" t="str">
        <f t="shared" si="35"/>
        <v>"C:\Program Files (x86)\AstroGrep\AstroGrep.exe" /spath="%USERPROFILE%\AppData\Local\Temp\OnboardLogs" /stypes="app*4044*20170228*" /stext=" 22:.+((SYSTEM_STATE.+slice.+state.+changed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86" t="str">
        <f t="shared" si="37"/>
        <v>"%USERPROFILE%\Documents\GitHub\eaglep3\Utilities\RefineRTDCRunTimes.py" --tripid 187-28 --locoid 4044 --swversion DE.1.0.9.0 --startMP 204:440 --initTime 2017-02-28T14:17:31 --startdatetime 2017-02-28T14:30:22 --delay 1 --endMP 204:218941 --enddatetime 2017-02-28T15:04:28 --enforcementcount 1 &gt;&gt;C:\Users\stu\Documents\GitHub\eaglep3-reporting\EC\2017-02-28-refined-times.txt</v>
      </c>
      <c r="AI101" s="108" t="str">
        <f t="shared" si="38"/>
        <v>echo {"issue":{"subject":"Wi-MAX data drop","project_id":79,"tracker_id":40,"status_id":1,"priority_id":2,"assigned_to_id":23,"start_date":"2017-02-28","description":"http://stevetu21.github.io/eaglep3/load_kml.html?kml=http://rtdc.gmaps-snips.s3.amazonaws.com/e1744335-b166-4853-80d3-a503fb03d8d3.kml","custom_fields":[{"id":1,"name":"Subdivision","value":"EC"},{"id":4,"name":"Milepost","value":"21.8941"},{"id":17,"name":"Train ID","value":"187-28"},{"id":16,"name":"Locomotive ID","value":"4044"},{"id":130,"name":"Impact","value":"Enforcement"},{"id":150,"name":"Time of Event (Mountain Time)","value":"15:04:28"},{"id":151,"name":"Denver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01" t="s">
        <v>959</v>
      </c>
      <c r="AK101" s="48" t="s">
        <v>124</v>
      </c>
      <c r="AL101" s="48" t="s">
        <v>137</v>
      </c>
      <c r="AM101" s="154" t="str">
        <f t="shared" si="39"/>
        <v>start /low /b %USERPROFILE%\Documents\GitHub\eaglep3\Utilities\DownloadLogsFromS3.py --loco 4044 --day 2017-02-28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"%USERPROFILE%\AppData\Local\Temp\OnboardLogs"\RTDC4044\*4044*20170228* | grep -SE "(Enforcement Action)|(\[TIMEOUT)|(CHR.+\|PRM\|1\|D.+(SWITCH|SIGNAL).+UNKNOWN)" - &gt;&gt; 2017-02-28-UncaughtWiMAX.txt</v>
      </c>
    </row>
    <row r="102" spans="1:91" s="20" customFormat="1" x14ac:dyDescent="0.25">
      <c r="A102" s="33" t="s">
        <v>689</v>
      </c>
      <c r="B102" s="7">
        <v>4043</v>
      </c>
      <c r="C102" s="21" t="s">
        <v>274</v>
      </c>
      <c r="D102" s="21" t="s">
        <v>789</v>
      </c>
      <c r="E102" s="13">
        <v>42794.633587962962</v>
      </c>
      <c r="F102" s="13">
        <v>42794.643425925926</v>
      </c>
      <c r="G102" s="7">
        <v>1</v>
      </c>
      <c r="H102" s="21" t="s">
        <v>206</v>
      </c>
      <c r="I102" s="13">
        <v>42794.671446759261</v>
      </c>
      <c r="J102" s="7">
        <v>1</v>
      </c>
      <c r="K102" s="98" t="str">
        <f t="shared" si="25"/>
        <v>4043/4044</v>
      </c>
      <c r="L102" s="21" t="str">
        <f>VLOOKUP(A102,'Trips&amp;Operators'!$C$1:$G$99999,5,FALSE)</f>
        <v>STRICKLAND EVAN</v>
      </c>
      <c r="M102" s="6">
        <f t="shared" si="26"/>
        <v>2.8020833335176576E-2</v>
      </c>
      <c r="N102" s="7">
        <f t="shared" ref="N102:N133" si="43">24*60*SUM($M102:$M102)</f>
        <v>40.350000002654269</v>
      </c>
      <c r="O102" s="7"/>
      <c r="P102" s="7"/>
      <c r="Q102" s="22"/>
      <c r="R102" s="22"/>
      <c r="S102" s="31">
        <f t="shared" si="41"/>
        <v>1</v>
      </c>
      <c r="T102" s="46" t="str">
        <f t="shared" si="27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8"/>
        <v>https://d0f6bd738d7f1b3e5a7ca70fe4ff75f0.us-east-1.aws.found.io/app/kibana#/discover/Steve-Slow-Train-Analysis-(2080s-and-2083s)?_g=(refreshInterval:(display:Off,pause:!f,section:0,value:0),time:(from:'2017-02-28T14:12:22-0700',mode:absolute,to:'2017-02-28T17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2" s="187" t="str">
        <f t="shared" si="29"/>
        <v>N</v>
      </c>
      <c r="X102" s="187">
        <f t="shared" si="42"/>
        <v>1</v>
      </c>
      <c r="Y102" s="62">
        <f t="shared" si="30"/>
        <v>23.3001</v>
      </c>
      <c r="Z102" s="62">
        <f t="shared" si="31"/>
        <v>1.52E-2</v>
      </c>
      <c r="AA102" s="62">
        <f t="shared" si="32"/>
        <v>23.2849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0188-28</v>
      </c>
      <c r="AE102" s="85" t="str">
        <f t="shared" si="34"/>
        <v>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 &amp; 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</v>
      </c>
      <c r="AF102" s="82" t="str">
        <f t="shared" si="35"/>
        <v>"C:\Program Files (x86)\AstroGrep\AstroGrep.exe" /spath="%USERPROFILE%\AppData\Local\Temp\OnboardLogs" /stypes="app*4043*20170228*" /stext=" 23:.+((SYSTEM_STATE.+slice.+state.+changed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86" t="str">
        <f t="shared" si="37"/>
        <v>"%USERPROFILE%\Documents\GitHub\eaglep3\Utilities\RefineRTDCRunTimes.py" --tripid 188-28 --locoid 4043 --swversion DE.1.0.9.0 --startMP 204:233001 --initTime 2017-02-28T15:12:22 --startdatetime 2017-02-28T15:26:32 --delay 1 --endMP 204:152 --enddatetime 2017-02-28T16:06:53 --enforcementcount 1 &gt;&gt;C:\Users\stu\Documents\GitHub\eaglep3-reporting\EC\2017-02-28-refined-times.txt</v>
      </c>
      <c r="AI102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{"issue":{"subject":"","project_id":79,"tracker_id":40,"status_id":1,"priority_id":2,"assigned_to_id":23,"start_date":"2017-02-28","description":"","custom_fields":[{"id":1,"name":"Subdivision","value":"EC"},{"id":4,"name":"Milepost","value":"0.0152"},{"id":17,"name":"Train ID","value":"188-28"},{"id":16,"name":"Locomotive ID","value":"4043"},{"id":130,"name":"Impact","value":""},{"id":150,"name":"Time of Event (Mountain Time)","value":"16:06:53"},{"id":151,"name":"Denver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4043 --day 2017-02-28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"%USERPROFILE%\AppData\Local\Temp\OnboardLogs"\RTDC4043\*4043*20170228* | grep -SE "(Enforcement Action)|(\[TIMEOUT)|(CHR.+\|PRM\|1\|D.+(SWITCH|SIGNAL).+UNKNOWN)" - &gt;&gt; 2017-02-28-UncaughtWiMAX.txt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685</v>
      </c>
      <c r="B103" s="7">
        <v>4027</v>
      </c>
      <c r="C103" s="21" t="s">
        <v>274</v>
      </c>
      <c r="D103" s="21" t="s">
        <v>351</v>
      </c>
      <c r="E103" s="13">
        <v>42794.612245370372</v>
      </c>
      <c r="F103" s="13">
        <v>42794.614872685182</v>
      </c>
      <c r="G103" s="7">
        <v>1</v>
      </c>
      <c r="H103" s="21" t="s">
        <v>791</v>
      </c>
      <c r="I103" s="13">
        <v>42794.639872685184</v>
      </c>
      <c r="J103" s="7">
        <v>1</v>
      </c>
      <c r="K103" s="98" t="str">
        <f t="shared" si="25"/>
        <v>4027/4028</v>
      </c>
      <c r="L103" s="21" t="str">
        <f>VLOOKUP(A103,'Trips&amp;Operators'!$C$1:$G$99999,5,FALSE)</f>
        <v>STEWART MICHAEL</v>
      </c>
      <c r="M103" s="6">
        <f t="shared" si="26"/>
        <v>2.5000000001455192E-2</v>
      </c>
      <c r="N103" s="7">
        <f t="shared" si="43"/>
        <v>36.000000002095476</v>
      </c>
      <c r="O103" s="7"/>
      <c r="P103" s="7"/>
      <c r="Q103" s="22"/>
      <c r="R103" s="22"/>
      <c r="S103" s="31">
        <f t="shared" si="41"/>
        <v>1</v>
      </c>
      <c r="T103" s="46" t="str">
        <f t="shared" si="27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8"/>
        <v>https://d0f6bd738d7f1b3e5a7ca70fe4ff75f0.us-east-1.aws.found.io/app/kibana#/discover/Steve-Slow-Train-Analysis-(2080s-and-2083s)?_g=(refreshInterval:(display:Off,pause:!f,section:0,value:0),time:(from:'2017-02-28T13:41:38-0700',mode:absolute,to:'2017-02-28T16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7" t="str">
        <f t="shared" si="29"/>
        <v>N</v>
      </c>
      <c r="X103" s="187">
        <f t="shared" si="42"/>
        <v>1</v>
      </c>
      <c r="Y103" s="62">
        <f t="shared" si="30"/>
        <v>4.3499999999999997E-2</v>
      </c>
      <c r="Z103" s="62">
        <f t="shared" si="31"/>
        <v>23.329499999999999</v>
      </c>
      <c r="AA103" s="62">
        <f t="shared" si="32"/>
        <v>23.285999999999998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0189-28</v>
      </c>
      <c r="AE103" s="85" t="str">
        <f t="shared" si="34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103" s="82" t="str">
        <f t="shared" si="35"/>
        <v>"C:\Program Files (x86)\AstroGrep\AstroGrep.exe" /spath="%USERPROFILE%\AppData\Local\Temp\OnboardLogs" /stypes="app*4027*20170228*" /stext=" 22:.+((SYSTEM_STATE.+slice.+state.+changed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86" t="str">
        <f t="shared" si="37"/>
        <v>"%USERPROFILE%\Documents\GitHub\eaglep3\Utilities\RefineRTDCRunTimes.py" --tripid 189-28 --locoid 4027 --swversion DE.1.0.9.0 --startMP 204:435 --initTime 2017-02-28T14:41:38 --startdatetime 2017-02-28T14:45:25 --delay 1 --endMP 204:233295 --enddatetime 2017-02-28T15:21:25 --enforcementcount 1 &gt;&gt;C:\Users\stu\Documents\GitHub\eaglep3-reporting\EC\2017-02-28-refined-times.txt</v>
      </c>
      <c r="AI103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{"issue":{"subject":"","project_id":79,"tracker_id":40,"status_id":1,"priority_id":2,"assigned_to_id":23,"start_date":"2017-02-28","description":"","custom_fields":[{"id":1,"name":"Subdivision","value":"EC"},{"id":4,"name":"Milepost","value":"23.3295"},{"id":17,"name":"Train ID","value":"189-28"},{"id":16,"name":"Locomotive ID","value":"4027"},{"id":130,"name":"Impact","value":""},{"id":150,"name":"Time of Event (Mountain Time)","value":"15:21:25"},{"id":151,"name":"Denver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4027 --day 2017-02-28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"%USERPROFILE%\AppData\Local\Temp\OnboardLogs"\RTDC4027\*4027*20170228* | grep -SE "(Enforcement Action)|(\[TIMEOUT)|(CHR.+\|PRM\|1\|D.+(SWITCH|SIGNAL).+UNKNOWN)" - &gt;&gt; 2017-02-28-UncaughtWiMAX.txt</v>
      </c>
    </row>
    <row r="104" spans="1:91" s="20" customFormat="1" x14ac:dyDescent="0.25">
      <c r="A104" s="33" t="s">
        <v>564</v>
      </c>
      <c r="B104" s="7">
        <v>4028</v>
      </c>
      <c r="C104" s="21" t="s">
        <v>274</v>
      </c>
      <c r="D104" s="21" t="s">
        <v>353</v>
      </c>
      <c r="E104" s="13">
        <v>42794.649062500001</v>
      </c>
      <c r="F104" s="13">
        <v>42794.653703703705</v>
      </c>
      <c r="G104" s="7">
        <v>1</v>
      </c>
      <c r="H104" s="21" t="s">
        <v>823</v>
      </c>
      <c r="I104" s="13">
        <v>42794.682685185187</v>
      </c>
      <c r="J104" s="7">
        <v>1</v>
      </c>
      <c r="K104" s="98" t="str">
        <f t="shared" si="25"/>
        <v>4027/4028</v>
      </c>
      <c r="L104" s="21" t="str">
        <f>VLOOKUP(A104,'Trips&amp;Operators'!$C$1:$G$99999,5,FALSE)</f>
        <v>STEWART MICHAEL</v>
      </c>
      <c r="M104" s="6">
        <f t="shared" si="26"/>
        <v>2.8981481482333038E-2</v>
      </c>
      <c r="N104" s="7">
        <f t="shared" si="43"/>
        <v>41.733333334559575</v>
      </c>
      <c r="O104" s="7"/>
      <c r="P104" s="7"/>
      <c r="Q104" s="22"/>
      <c r="R104" s="22"/>
      <c r="S104" s="31">
        <f t="shared" si="41"/>
        <v>1</v>
      </c>
      <c r="T104" s="46" t="str">
        <f t="shared" si="27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8"/>
        <v>https://d0f6bd738d7f1b3e5a7ca70fe4ff75f0.us-east-1.aws.found.io/app/kibana#/discover/Steve-Slow-Train-Analysis-(2080s-and-2083s)?_g=(refreshInterval:(display:Off,pause:!f,section:0,value:0),time:(from:'2017-02-28T14:34:39-0700',mode:absolute,to:'2017-02-28T17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7" t="str">
        <f t="shared" si="29"/>
        <v>N</v>
      </c>
      <c r="X104" s="187">
        <f t="shared" si="42"/>
        <v>1</v>
      </c>
      <c r="Y104" s="62">
        <f t="shared" si="30"/>
        <v>23.2989</v>
      </c>
      <c r="Z104" s="62">
        <f t="shared" si="31"/>
        <v>0.11840000000000001</v>
      </c>
      <c r="AA104" s="62">
        <f t="shared" si="32"/>
        <v>23.180499999999999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0190-28</v>
      </c>
      <c r="AE104" s="85" t="str">
        <f t="shared" si="34"/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AF104" s="82" t="str">
        <f t="shared" si="35"/>
        <v>"C:\Program Files (x86)\AstroGrep\AstroGrep.exe" /spath="%USERPROFILE%\AppData\Local\Temp\OnboardLogs" /stypes="app*4028*20170228*" /stext=" 23:.+((SYSTEM_STATE.+slice.+state.+changed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86" t="str">
        <f t="shared" si="37"/>
        <v>"%USERPROFILE%\Documents\GitHub\eaglep3\Utilities\RefineRTDCRunTimes.py" --tripid 190-28 --locoid 4028 --swversion DE.1.0.9.0 --startMP 204:232989 --initTime 2017-02-28T15:34:39 --startdatetime 2017-02-28T15:41:20 --delay 1 --endMP 204:1184 --enddatetime 2017-02-28T16:23:04 --enforcementcount 1 &gt;&gt;C:\Users\stu\Documents\GitHub\eaglep3-reporting\EC\2017-02-28-refined-times.txt</v>
      </c>
      <c r="AI104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{"issue":{"subject":"","project_id":79,"tracker_id":40,"status_id":1,"priority_id":2,"assigned_to_id":23,"start_date":"2017-02-28","description":"","custom_fields":[{"id":1,"name":"Subdivision","value":"EC"},{"id":4,"name":"Milepost","value":"0.1184"},{"id":17,"name":"Train ID","value":"190-28"},{"id":16,"name":"Locomotive ID","value":"4028"},{"id":130,"name":"Impact","value":""},{"id":150,"name":"Time of Event (Mountain Time)","value":"16:23:04"},{"id":151,"name":"Denver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4028 --day 2017-02-28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686</v>
      </c>
      <c r="B105" s="7">
        <v>4018</v>
      </c>
      <c r="C105" s="21" t="s">
        <v>274</v>
      </c>
      <c r="D105" s="21" t="s">
        <v>317</v>
      </c>
      <c r="E105" s="13">
        <v>42794.622175925928</v>
      </c>
      <c r="F105" s="13">
        <v>42794.625185185185</v>
      </c>
      <c r="G105" s="7">
        <v>1</v>
      </c>
      <c r="H105" s="21" t="s">
        <v>284</v>
      </c>
      <c r="I105" s="13">
        <v>42794.650648148148</v>
      </c>
      <c r="J105" s="7">
        <v>1</v>
      </c>
      <c r="K105" s="98" t="str">
        <f t="shared" si="25"/>
        <v>4017/4018</v>
      </c>
      <c r="L105" s="21" t="str">
        <f>VLOOKUP(A105,'Trips&amp;Operators'!$C$1:$G$99999,5,FALSE)</f>
        <v>LEVERE CRAIG</v>
      </c>
      <c r="M105" s="6">
        <f t="shared" si="26"/>
        <v>2.5462962963501923E-2</v>
      </c>
      <c r="N105" s="7">
        <f t="shared" si="43"/>
        <v>36.666666667442769</v>
      </c>
      <c r="O105" s="7"/>
      <c r="P105" s="7"/>
      <c r="Q105" s="22"/>
      <c r="R105" s="22"/>
      <c r="S105" s="31">
        <f t="shared" si="41"/>
        <v>1</v>
      </c>
      <c r="T105" s="46" t="str">
        <f t="shared" si="27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8"/>
        <v>https://d0f6bd738d7f1b3e5a7ca70fe4ff75f0.us-east-1.aws.found.io/app/kibana#/discover/Steve-Slow-Train-Analysis-(2080s-and-2083s)?_g=(refreshInterval:(display:Off,pause:!f,section:0,value:0),time:(from:'2017-02-28T13:55:56-0700',mode:absolute,to:'2017-02-28T16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87" t="str">
        <f t="shared" si="29"/>
        <v>N</v>
      </c>
      <c r="X105" s="187">
        <f t="shared" si="42"/>
        <v>1</v>
      </c>
      <c r="Y105" s="62">
        <f t="shared" si="30"/>
        <v>4.7300000000000002E-2</v>
      </c>
      <c r="Z105" s="62">
        <f t="shared" si="31"/>
        <v>23.328900000000001</v>
      </c>
      <c r="AA105" s="62">
        <f t="shared" si="32"/>
        <v>23.281600000000001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0191-28</v>
      </c>
      <c r="AE105" s="85" t="str">
        <f t="shared" si="34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105" s="82" t="str">
        <f t="shared" si="35"/>
        <v>"C:\Program Files (x86)\AstroGrep\AstroGrep.exe" /spath="%USERPROFILE%\AppData\Local\Temp\OnboardLogs" /stypes="app*4018*20170228*" /stext=" 22:.+((SYSTEM_STATE.+slice.+state.+changed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86" t="str">
        <f t="shared" si="37"/>
        <v>"%USERPROFILE%\Documents\GitHub\eaglep3\Utilities\RefineRTDCRunTimes.py" --tripid 191-28 --locoid 4018 --swversion DE.1.0.9.0 --startMP 204:473 --initTime 2017-02-28T14:55:56 --startdatetime 2017-02-28T15:00:16 --delay 1 --endMP 204:233289 --enddatetime 2017-02-28T15:36:56 --enforcementcount 1 &gt;&gt;C:\Users\stu\Documents\GitHub\eaglep3-reporting\EC\2017-02-28-refined-times.txt</v>
      </c>
      <c r="AI105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{"issue":{"subject":"","project_id":79,"tracker_id":40,"status_id":1,"priority_id":2,"assigned_to_id":23,"start_date":"2017-02-28","description":"","custom_fields":[{"id":1,"name":"Subdivision","value":"EC"},{"id":4,"name":"Milepost","value":"23.3289"},{"id":17,"name":"Train ID","value":"191-28"},{"id":16,"name":"Locomotive ID","value":"4018"},{"id":130,"name":"Impact","value":""},{"id":150,"name":"Time of Event (Mountain Time)","value":"15:36:56"},{"id":151,"name":"Denver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4018 --day 2017-02-28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696</v>
      </c>
      <c r="B106" s="7">
        <v>4017</v>
      </c>
      <c r="C106" s="21" t="s">
        <v>274</v>
      </c>
      <c r="D106" s="21" t="s">
        <v>824</v>
      </c>
      <c r="E106" s="13">
        <v>42794.655381944445</v>
      </c>
      <c r="F106" s="13">
        <v>42794.664074074077</v>
      </c>
      <c r="G106" s="7">
        <v>1</v>
      </c>
      <c r="H106" s="21" t="s">
        <v>259</v>
      </c>
      <c r="I106" s="13">
        <v>42794.692962962959</v>
      </c>
      <c r="J106" s="7">
        <v>1</v>
      </c>
      <c r="K106" s="98" t="str">
        <f t="shared" si="25"/>
        <v>4017/4018</v>
      </c>
      <c r="L106" s="21" t="str">
        <f>VLOOKUP(A106,'Trips&amp;Operators'!$C$1:$G$99999,5,FALSE)</f>
        <v>LEVERE CRAIG</v>
      </c>
      <c r="M106" s="6">
        <f t="shared" si="26"/>
        <v>2.8888888882647734E-2</v>
      </c>
      <c r="N106" s="7">
        <f t="shared" si="43"/>
        <v>41.599999991012737</v>
      </c>
      <c r="O106" s="7"/>
      <c r="P106" s="7"/>
      <c r="Q106" s="22"/>
      <c r="R106" s="22"/>
      <c r="S106" s="31">
        <f t="shared" si="41"/>
        <v>1</v>
      </c>
      <c r="T106" s="46" t="str">
        <f t="shared" si="27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8"/>
        <v>https://d0f6bd738d7f1b3e5a7ca70fe4ff75f0.us-east-1.aws.found.io/app/kibana#/discover/Steve-Slow-Train-Analysis-(2080s-and-2083s)?_g=(refreshInterval:(display:Off,pause:!f,section:0,value:0),time:(from:'2017-02-28T14:43:45-0700',mode:absolute,to:'2017-02-28T17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187" t="str">
        <f t="shared" si="29"/>
        <v>N</v>
      </c>
      <c r="X106" s="187">
        <f t="shared" si="42"/>
        <v>1</v>
      </c>
      <c r="Y106" s="62">
        <f t="shared" si="30"/>
        <v>23.295300000000001</v>
      </c>
      <c r="Z106" s="62">
        <f t="shared" si="31"/>
        <v>1.5599999999999999E-2</v>
      </c>
      <c r="AA106" s="62">
        <f t="shared" si="32"/>
        <v>23.279700000000002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0192-28</v>
      </c>
      <c r="AE106" s="85" t="str">
        <f t="shared" si="34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106" s="82" t="str">
        <f t="shared" si="35"/>
        <v>"C:\Program Files (x86)\AstroGrep\AstroGrep.exe" /spath="%USERPROFILE%\AppData\Local\Temp\OnboardLogs" /stypes="app*4017*20170228*" /stext=" 23:.+((SYSTEM_STATE.+slice.+state.+changed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86" t="str">
        <f t="shared" si="37"/>
        <v>"%USERPROFILE%\Documents\GitHub\eaglep3\Utilities\RefineRTDCRunTimes.py" --tripid 192-28 --locoid 4017 --swversion DE.1.0.9.0 --startMP 204:232953 --initTime 2017-02-28T15:43:45 --startdatetime 2017-02-28T15:56:16 --delay 1 --endMP 204:156 --enddatetime 2017-02-28T16:37:52 --enforcementcount 1 &gt;&gt;C:\Users\stu\Documents\GitHub\eaglep3-reporting\EC\2017-02-28-refined-times.txt</v>
      </c>
      <c r="AI106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{"issue":{"subject":"","project_id":79,"tracker_id":40,"status_id":1,"priority_id":2,"assigned_to_id":23,"start_date":"2017-02-28","description":"","custom_fields":[{"id":1,"name":"Subdivision","value":"EC"},{"id":4,"name":"Milepost","value":"0.0156"},{"id":17,"name":"Train ID","value":"192-28"},{"id":16,"name":"Locomotive ID","value":"4017"},{"id":130,"name":"Impact","value":""},{"id":150,"name":"Time of Event (Mountain Time)","value":"16:37:52"},{"id":151,"name":"Denver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4017 --day 2017-02-28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688</v>
      </c>
      <c r="B107" s="7">
        <v>4025</v>
      </c>
      <c r="C107" s="21" t="s">
        <v>274</v>
      </c>
      <c r="D107" s="21" t="s">
        <v>825</v>
      </c>
      <c r="E107" s="13">
        <v>42794.631504629629</v>
      </c>
      <c r="F107" s="13">
        <v>42794.635601851849</v>
      </c>
      <c r="G107" s="7">
        <v>1</v>
      </c>
      <c r="H107" s="21" t="s">
        <v>287</v>
      </c>
      <c r="I107" s="13">
        <v>42794.662129629629</v>
      </c>
      <c r="J107" s="7">
        <v>1</v>
      </c>
      <c r="K107" s="98" t="str">
        <f t="shared" si="25"/>
        <v>4025/4026</v>
      </c>
      <c r="L107" s="21" t="str">
        <f>VLOOKUP(A107,'Trips&amp;Operators'!$C$1:$G$99999,5,FALSE)</f>
        <v>CLARK KATHLEEN</v>
      </c>
      <c r="M107" s="6">
        <f t="shared" si="26"/>
        <v>2.6527777779847383E-2</v>
      </c>
      <c r="N107" s="7">
        <f t="shared" si="43"/>
        <v>38.200000002980232</v>
      </c>
      <c r="O107" s="7"/>
      <c r="P107" s="7"/>
      <c r="Q107" s="22"/>
      <c r="R107" s="22"/>
      <c r="S107" s="31">
        <f t="shared" si="41"/>
        <v>1</v>
      </c>
      <c r="T107" s="46" t="str">
        <f t="shared" si="27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8"/>
        <v>https://d0f6bd738d7f1b3e5a7ca70fe4ff75f0.us-east-1.aws.found.io/app/kibana#/discover/Steve-Slow-Train-Analysis-(2080s-and-2083s)?_g=(refreshInterval:(display:Off,pause:!f,section:0,value:0),time:(from:'2017-02-28T14:09:22-0700',mode:absolute,to:'2017-02-28T16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187" t="str">
        <f t="shared" si="29"/>
        <v>N</v>
      </c>
      <c r="X107" s="187">
        <f t="shared" si="42"/>
        <v>1</v>
      </c>
      <c r="Y107" s="62">
        <f t="shared" si="30"/>
        <v>4.4900000000000002E-2</v>
      </c>
      <c r="Z107" s="62">
        <f t="shared" si="31"/>
        <v>23.330400000000001</v>
      </c>
      <c r="AA107" s="62">
        <f t="shared" si="32"/>
        <v>23.285500000000003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0193-28</v>
      </c>
      <c r="AE107" s="85" t="str">
        <f t="shared" si="34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107" s="82" t="str">
        <f t="shared" si="35"/>
        <v>"C:\Program Files (x86)\AstroGrep\AstroGrep.exe" /spath="%USERPROFILE%\AppData\Local\Temp\OnboardLogs" /stypes="app*4025*20170228*" /stext=" 22:.+((SYSTEM_STATE.+slice.+state.+changed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86" t="str">
        <f t="shared" si="37"/>
        <v>"%USERPROFILE%\Documents\GitHub\eaglep3\Utilities\RefineRTDCRunTimes.py" --tripid 193-28 --locoid 4025 --swversion DE.1.0.9.0 --startMP 204:449 --initTime 2017-02-28T15:09:22 --startdatetime 2017-02-28T15:15:16 --delay 1 --endMP 204:233304 --enddatetime 2017-02-28T15:53:28 --enforcementcount 1 &gt;&gt;C:\Users\stu\Documents\GitHub\eaglep3-reporting\EC\2017-02-28-refined-times.txt</v>
      </c>
      <c r="AI107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{"issue":{"subject":"","project_id":79,"tracker_id":40,"status_id":1,"priority_id":2,"assigned_to_id":23,"start_date":"2017-02-28","description":"","custom_fields":[{"id":1,"name":"Subdivision","value":"EC"},{"id":4,"name":"Milepost","value":"23.3304"},{"id":17,"name":"Train ID","value":"193-28"},{"id":16,"name":"Locomotive ID","value":"4025"},{"id":130,"name":"Impact","value":""},{"id":150,"name":"Time of Event (Mountain Time)","value":"15:53:28"},{"id":151,"name":"Denver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4025 --day 2017-02-28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698</v>
      </c>
      <c r="B108" s="7">
        <v>4026</v>
      </c>
      <c r="C108" s="21" t="s">
        <v>274</v>
      </c>
      <c r="D108" s="21" t="s">
        <v>816</v>
      </c>
      <c r="E108" s="13">
        <v>42794.669988425929</v>
      </c>
      <c r="F108" s="13">
        <v>42794.674467592595</v>
      </c>
      <c r="G108" s="7">
        <v>1</v>
      </c>
      <c r="H108" s="21" t="s">
        <v>354</v>
      </c>
      <c r="I108" s="13">
        <v>42794.7033912037</v>
      </c>
      <c r="J108" s="7">
        <v>1</v>
      </c>
      <c r="K108" s="98" t="str">
        <f t="shared" si="25"/>
        <v>4025/4026</v>
      </c>
      <c r="L108" s="21" t="str">
        <f>VLOOKUP(A108,'Trips&amp;Operators'!$C$1:$G$99999,5,FALSE)</f>
        <v>CLARK KATHLEEN</v>
      </c>
      <c r="M108" s="6">
        <f t="shared" si="26"/>
        <v>2.8923611105710734E-2</v>
      </c>
      <c r="N108" s="7">
        <f t="shared" si="43"/>
        <v>41.649999992223457</v>
      </c>
      <c r="O108" s="7"/>
      <c r="P108" s="7"/>
      <c r="Q108" s="22"/>
      <c r="R108" s="22"/>
      <c r="S108" s="31">
        <f t="shared" si="41"/>
        <v>1</v>
      </c>
      <c r="T108" s="46" t="str">
        <f t="shared" si="27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8"/>
        <v>https://d0f6bd738d7f1b3e5a7ca70fe4ff75f0.us-east-1.aws.found.io/app/kibana#/discover/Steve-Slow-Train-Analysis-(2080s-and-2083s)?_g=(refreshInterval:(display:Off,pause:!f,section:0,value:0),time:(from:'2017-02-28T15:04:47-0700',mode:absolute,to:'2017-02-28T17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187" t="str">
        <f t="shared" si="29"/>
        <v>N</v>
      </c>
      <c r="X108" s="187">
        <f t="shared" si="42"/>
        <v>1</v>
      </c>
      <c r="Y108" s="62">
        <f t="shared" si="30"/>
        <v>23.299099999999999</v>
      </c>
      <c r="Z108" s="62">
        <f t="shared" si="31"/>
        <v>1.7399999999999999E-2</v>
      </c>
      <c r="AA108" s="62">
        <f t="shared" si="32"/>
        <v>23.281700000000001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0194-28</v>
      </c>
      <c r="AE108" s="85" t="str">
        <f t="shared" si="34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108" s="82" t="str">
        <f t="shared" si="35"/>
        <v>"C:\Program Files (x86)\AstroGrep\AstroGrep.exe" /spath="%USERPROFILE%\AppData\Local\Temp\OnboardLogs" /stypes="app*4026*20170228*" /stext=" 23:.+((SYSTEM_STATE.+slice.+state.+changed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86" t="str">
        <f t="shared" si="37"/>
        <v>"%USERPROFILE%\Documents\GitHub\eaglep3\Utilities\RefineRTDCRunTimes.py" --tripid 194-28 --locoid 4026 --swversion DE.1.0.9.0 --startMP 204:232991 --initTime 2017-02-28T16:04:47 --startdatetime 2017-02-28T16:11:14 --delay 1 --endMP 204:174 --enddatetime 2017-02-28T16:52:53 --enforcementcount 1 &gt;&gt;C:\Users\stu\Documents\GitHub\eaglep3-reporting\EC\2017-02-28-refined-times.txt</v>
      </c>
      <c r="AI10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{"issue":{"subject":"","project_id":79,"tracker_id":40,"status_id":1,"priority_id":2,"assigned_to_id":23,"start_date":"2017-02-28","description":"","custom_fields":[{"id":1,"name":"Subdivision","value":"EC"},{"id":4,"name":"Milepost","value":"0.0174"},{"id":17,"name":"Train ID","value":"194-28"},{"id":16,"name":"Locomotive ID","value":"4026"},{"id":130,"name":"Impact","value":""},{"id":150,"name":"Time of Event (Mountain Time)","value":"16:52:53"},{"id":151,"name":"Denver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4026 --day 2017-02-28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692</v>
      </c>
      <c r="B109" s="7">
        <v>4003</v>
      </c>
      <c r="C109" s="21" t="s">
        <v>274</v>
      </c>
      <c r="D109" s="21" t="s">
        <v>826</v>
      </c>
      <c r="E109" s="13">
        <v>42794.64266203704</v>
      </c>
      <c r="F109" s="13">
        <v>42794.645995370367</v>
      </c>
      <c r="G109" s="7">
        <v>1</v>
      </c>
      <c r="H109" s="21" t="s">
        <v>827</v>
      </c>
      <c r="I109" s="13">
        <v>42794.672233796293</v>
      </c>
      <c r="J109" s="7">
        <v>1</v>
      </c>
      <c r="K109" s="98" t="str">
        <f t="shared" si="25"/>
        <v>4003/4004</v>
      </c>
      <c r="L109" s="21" t="str">
        <f>VLOOKUP(A109,'Trips&amp;Operators'!$C$1:$G$99999,5,FALSE)</f>
        <v>SWANSON BRYCE</v>
      </c>
      <c r="M109" s="6">
        <f t="shared" si="26"/>
        <v>2.6238425925839692E-2</v>
      </c>
      <c r="N109" s="7">
        <f t="shared" si="43"/>
        <v>37.783333333209157</v>
      </c>
      <c r="O109" s="7"/>
      <c r="P109" s="7"/>
      <c r="Q109" s="22"/>
      <c r="R109" s="22"/>
      <c r="S109" s="31">
        <f t="shared" si="41"/>
        <v>1</v>
      </c>
      <c r="T109" s="46" t="str">
        <f t="shared" si="27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8"/>
        <v>https://d0f6bd738d7f1b3e5a7ca70fe4ff75f0.us-east-1.aws.found.io/app/kibana#/discover/Steve-Slow-Train-Analysis-(2080s-and-2083s)?_g=(refreshInterval:(display:Off,pause:!f,section:0,value:0),time:(from:'2017-02-28T14:25:26-0700',mode:absolute,to:'2017-02-28T17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9" s="187" t="str">
        <f t="shared" si="29"/>
        <v>N</v>
      </c>
      <c r="X109" s="187">
        <f t="shared" si="42"/>
        <v>1</v>
      </c>
      <c r="Y109" s="62">
        <f t="shared" si="30"/>
        <v>4.3099999999999999E-2</v>
      </c>
      <c r="Z109" s="62">
        <f t="shared" si="31"/>
        <v>23.331800000000001</v>
      </c>
      <c r="AA109" s="62">
        <f t="shared" si="32"/>
        <v>23.288700000000002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0195-28</v>
      </c>
      <c r="AE109" s="85" t="str">
        <f t="shared" si="34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09" s="82" t="str">
        <f t="shared" si="35"/>
        <v>"C:\Program Files (x86)\AstroGrep\AstroGrep.exe" /spath="%USERPROFILE%\AppData\Local\Temp\OnboardLogs" /stypes="app*4003*20170228*" /stext=" 23:.+((SYSTEM_STATE.+slice.+state.+changed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86" t="str">
        <f t="shared" si="37"/>
        <v>"%USERPROFILE%\Documents\GitHub\eaglep3\Utilities\RefineRTDCRunTimes.py" --tripid 195-28 --locoid 4003 --swversion DE.1.0.9.0 --startMP 204:431 --initTime 2017-02-28T15:25:26 --startdatetime 2017-02-28T15:30:14 --delay 1 --endMP 204:233318 --enddatetime 2017-02-28T16:08:01 --enforcementcount 1 &gt;&gt;C:\Users\stu\Documents\GitHub\eaglep3-reporting\EC\2017-02-28-refined-times.txt</v>
      </c>
      <c r="AI10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{"issue":{"subject":"","project_id":79,"tracker_id":40,"status_id":1,"priority_id":2,"assigned_to_id":23,"start_date":"2017-02-28","description":"","custom_fields":[{"id":1,"name":"Subdivision","value":"EC"},{"id":4,"name":"Milepost","value":"23.3318"},{"id":17,"name":"Train ID","value":"195-28"},{"id":16,"name":"Locomotive ID","value":"4003"},{"id":130,"name":"Impact","value":""},{"id":150,"name":"Time of Event (Mountain Time)","value":"16:08:01"},{"id":151,"name":"Denver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4003 --day 2017-02-28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"%USERPROFILE%\AppData\Local\Temp\OnboardLogs"\RTDC4003\*4003*20170228* | grep -SE "(Enforcement Action)|(\[TIMEOUT)|(CHR.+\|PRM\|1\|D.+(SWITCH|SIGNAL).+UNKNOWN)" - &gt;&gt; 2017-02-28-UncaughtWiMAX.txt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700</v>
      </c>
      <c r="B110" s="7">
        <v>4004</v>
      </c>
      <c r="C110" s="21" t="s">
        <v>274</v>
      </c>
      <c r="D110" s="21" t="s">
        <v>403</v>
      </c>
      <c r="E110" s="13">
        <v>42794.673796296294</v>
      </c>
      <c r="F110" s="13">
        <v>42794.684918981482</v>
      </c>
      <c r="G110" s="7">
        <v>1</v>
      </c>
      <c r="H110" s="21" t="s">
        <v>206</v>
      </c>
      <c r="I110" s="13">
        <v>42794.714537037034</v>
      </c>
      <c r="J110" s="7">
        <v>1</v>
      </c>
      <c r="K110" s="98" t="str">
        <f t="shared" si="25"/>
        <v>4003/4004</v>
      </c>
      <c r="L110" s="21" t="str">
        <f>VLOOKUP(A110,'Trips&amp;Operators'!$C$1:$G$99999,5,FALSE)</f>
        <v>SWANSON BRYCE</v>
      </c>
      <c r="M110" s="6">
        <f t="shared" si="26"/>
        <v>2.9618055552418809E-2</v>
      </c>
      <c r="N110" s="7">
        <f t="shared" si="43"/>
        <v>42.649999995483086</v>
      </c>
      <c r="O110" s="7"/>
      <c r="P110" s="7"/>
      <c r="Q110" s="22"/>
      <c r="R110" s="22"/>
      <c r="S110" s="31">
        <f t="shared" si="41"/>
        <v>1</v>
      </c>
      <c r="T110" s="46" t="str">
        <f t="shared" si="27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8"/>
        <v>https://d0f6bd738d7f1b3e5a7ca70fe4ff75f0.us-east-1.aws.found.io/app/kibana#/discover/Steve-Slow-Train-Analysis-(2080s-and-2083s)?_g=(refreshInterval:(display:Off,pause:!f,section:0,value:0),time:(from:'2017-02-28T15:10:16-0700',mode:absolute,to:'2017-02-28T18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187" t="str">
        <f t="shared" si="29"/>
        <v>N</v>
      </c>
      <c r="X110" s="187">
        <f t="shared" si="42"/>
        <v>1</v>
      </c>
      <c r="Y110" s="62">
        <f t="shared" si="30"/>
        <v>23.298999999999999</v>
      </c>
      <c r="Z110" s="62">
        <f t="shared" si="31"/>
        <v>1.52E-2</v>
      </c>
      <c r="AA110" s="62">
        <f t="shared" si="32"/>
        <v>23.283799999999999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0196-28</v>
      </c>
      <c r="AE110" s="85" t="str">
        <f t="shared" si="34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110" s="82" t="str">
        <f t="shared" si="35"/>
        <v>"C:\Program Files (x86)\AstroGrep\AstroGrep.exe" /spath="%USERPROFILE%\AppData\Local\Temp\OnboardLogs" /stypes="app*4004*20170301*" /stext=" 00:.+((SYSTEM_STATE.+slice.+state.+changed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86" t="str">
        <f t="shared" si="37"/>
        <v>"%USERPROFILE%\Documents\GitHub\eaglep3\Utilities\RefineRTDCRunTimes.py" --tripid 196-28 --locoid 4004 --swversion DE.1.0.9.0 --startMP 204:232990 --initTime 2017-02-28T16:10:16 --startdatetime 2017-02-28T16:26:17 --delay 1 --endMP 204:152 --enddatetime 2017-02-28T17:08:56 --enforcementcount 1 &gt;&gt;C:\Users\stu\Documents\GitHub\eaglep3-reporting\EC\2017-02-28-refined-times.txt</v>
      </c>
      <c r="AI11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{"issue":{"subject":"","project_id":79,"tracker_id":40,"status_id":1,"priority_id":2,"assigned_to_id":23,"start_date":"2017-02-28","description":"","custom_fields":[{"id":1,"name":"Subdivision","value":"EC"},{"id":4,"name":"Milepost","value":"0.0152"},{"id":17,"name":"Train ID","value":"196-28"},{"id":16,"name":"Locomotive ID","value":"4004"},{"id":130,"name":"Impact","value":""},{"id":150,"name":"Time of Event (Mountain Time)","value":"17:08:56"},{"id":151,"name":"Denver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4004 --day 2017-02-28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"%USERPROFILE%\AppData\Local\Temp\OnboardLogs"\RTDC4004\*4004*20170228* | grep -SE "(Enforcement Action)|(\[TIMEOUT)|(CHR.+\|PRM\|1\|D.+(SWITCH|SIGNAL).+UNKNOWN)" - &gt;&gt; 2017-02-28-UncaughtWiMAX.txt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695</v>
      </c>
      <c r="B111" s="7">
        <v>4051</v>
      </c>
      <c r="C111" s="21" t="s">
        <v>274</v>
      </c>
      <c r="D111" s="21" t="s">
        <v>825</v>
      </c>
      <c r="E111" s="13">
        <v>42794.650578703702</v>
      </c>
      <c r="F111" s="13">
        <v>42794.656493055554</v>
      </c>
      <c r="G111" s="7">
        <v>1</v>
      </c>
      <c r="H111" s="21" t="s">
        <v>264</v>
      </c>
      <c r="I111" s="13">
        <v>42794.681064814817</v>
      </c>
      <c r="J111" s="7">
        <v>1</v>
      </c>
      <c r="K111" s="98" t="str">
        <f t="shared" si="25"/>
        <v>4051/4052</v>
      </c>
      <c r="L111" s="21" t="str">
        <f>VLOOKUP(A111,'Trips&amp;Operators'!$C$1:$G$99999,5,FALSE)</f>
        <v>ROMERO CHAD</v>
      </c>
      <c r="M111" s="6">
        <f t="shared" si="26"/>
        <v>2.457175926247146E-2</v>
      </c>
      <c r="N111" s="7">
        <f t="shared" si="43"/>
        <v>35.383333337958902</v>
      </c>
      <c r="O111" s="7"/>
      <c r="P111" s="7"/>
      <c r="Q111" s="22"/>
      <c r="R111" s="22"/>
      <c r="S111" s="31">
        <f t="shared" si="41"/>
        <v>1</v>
      </c>
      <c r="T111" s="46" t="str">
        <f t="shared" si="27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8"/>
        <v>https://d0f6bd738d7f1b3e5a7ca70fe4ff75f0.us-east-1.aws.found.io/app/kibana#/discover/Steve-Slow-Train-Analysis-(2080s-and-2083s)?_g=(refreshInterval:(display:Off,pause:!f,section:0,value:0),time:(from:'2017-02-28T14:36:50-0700',mode:absolute,to:'2017-02-28T17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187" t="str">
        <f t="shared" si="29"/>
        <v>N</v>
      </c>
      <c r="X111" s="187">
        <f t="shared" si="42"/>
        <v>1</v>
      </c>
      <c r="Y111" s="62">
        <f t="shared" si="30"/>
        <v>4.4900000000000002E-2</v>
      </c>
      <c r="Z111" s="62">
        <f t="shared" si="31"/>
        <v>23.331700000000001</v>
      </c>
      <c r="AA111" s="62">
        <f t="shared" si="32"/>
        <v>23.286800000000003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0197-28</v>
      </c>
      <c r="AE111" s="85" t="str">
        <f t="shared" si="34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111" s="82" t="str">
        <f t="shared" si="35"/>
        <v>"C:\Program Files (x86)\AstroGrep\AstroGrep.exe" /spath="%USERPROFILE%\AppData\Local\Temp\OnboardLogs" /stypes="app*4051*20170228*" /stext=" 23:.+((SYSTEM_STATE.+slice.+state.+changed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86" t="str">
        <f t="shared" si="37"/>
        <v>"%USERPROFILE%\Documents\GitHub\eaglep3\Utilities\RefineRTDCRunTimes.py" --tripid 197-28 --locoid 4051 --swversion DE.1.0.9.0 --startMP 204:449 --initTime 2017-02-28T15:36:50 --startdatetime 2017-02-28T15:45:21 --delay 1 --endMP 204:233317 --enddatetime 2017-02-28T16:20:44 --enforcementcount 1 &gt;&gt;C:\Users\stu\Documents\GitHub\eaglep3-reporting\EC\2017-02-28-refined-times.txt</v>
      </c>
      <c r="AI111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{"issue":{"subject":"","project_id":79,"tracker_id":40,"status_id":1,"priority_id":2,"assigned_to_id":23,"start_date":"2017-02-28","description":"","custom_fields":[{"id":1,"name":"Subdivision","value":"EC"},{"id":4,"name":"Milepost","value":"23.3317"},{"id":17,"name":"Train ID","value":"197-28"},{"id":16,"name":"Locomotive ID","value":"4051"},{"id":130,"name":"Impact","value":""},{"id":150,"name":"Time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4051 --day 2017-02-28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"%USERPROFILE%\AppData\Local\Temp\OnboardLogs"\RTDC4051\*4051*20170228* | grep -SE "(Enforcement Action)|(\[TIMEOUT)|(CHR.+\|PRM\|1\|D.+(SWITCH|SIGNAL).+UNKNOWN)" - &gt;&gt; 2017-02-28-UncaughtWiMAX.txt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565</v>
      </c>
      <c r="B112" s="7">
        <v>4052</v>
      </c>
      <c r="C112" s="21" t="s">
        <v>274</v>
      </c>
      <c r="D112" s="21" t="s">
        <v>342</v>
      </c>
      <c r="E112" s="13">
        <v>42794.686527777776</v>
      </c>
      <c r="F112" s="13">
        <v>42794.695289351854</v>
      </c>
      <c r="G112" s="7">
        <v>1</v>
      </c>
      <c r="H112" s="21" t="s">
        <v>262</v>
      </c>
      <c r="I112" s="13">
        <v>42794.72384259259</v>
      </c>
      <c r="J112" s="7">
        <v>1</v>
      </c>
      <c r="K112" s="98" t="str">
        <f t="shared" si="25"/>
        <v>4051/4052</v>
      </c>
      <c r="L112" s="21" t="str">
        <f>VLOOKUP(A112,'Trips&amp;Operators'!$C$1:$G$99999,5,FALSE)</f>
        <v>ROMERO CHAD</v>
      </c>
      <c r="M112" s="6">
        <f t="shared" si="26"/>
        <v>2.8553240736073349E-2</v>
      </c>
      <c r="N112" s="7">
        <f t="shared" si="43"/>
        <v>41.116666659945622</v>
      </c>
      <c r="O112" s="7"/>
      <c r="P112" s="7"/>
      <c r="Q112" s="22"/>
      <c r="R112" s="22"/>
      <c r="S112" s="31">
        <f t="shared" si="41"/>
        <v>1</v>
      </c>
      <c r="T112" s="46" t="str">
        <f t="shared" si="27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8"/>
        <v>https://d0f6bd738d7f1b3e5a7ca70fe4ff75f0.us-east-1.aws.found.io/app/kibana#/discover/Steve-Slow-Train-Analysis-(2080s-and-2083s)?_g=(refreshInterval:(display:Off,pause:!f,section:0,value:0),time:(from:'2017-02-28T15:28:36-0700',mode:absolute,to:'2017-02-28T18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187" t="str">
        <f t="shared" si="29"/>
        <v>N</v>
      </c>
      <c r="X112" s="187">
        <f t="shared" si="42"/>
        <v>1</v>
      </c>
      <c r="Y112" s="62">
        <f t="shared" si="30"/>
        <v>23.299800000000001</v>
      </c>
      <c r="Z112" s="62">
        <f t="shared" si="31"/>
        <v>1.47E-2</v>
      </c>
      <c r="AA112" s="62">
        <f t="shared" si="32"/>
        <v>23.2851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3"/>
        <v>0198-28</v>
      </c>
      <c r="AE112" s="85" t="str">
        <f t="shared" si="34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112" s="82" t="str">
        <f t="shared" si="35"/>
        <v>"C:\Program Files (x86)\AstroGrep\AstroGrep.exe" /spath="%USERPROFILE%\AppData\Local\Temp\OnboardLogs" /stypes="app*4052*20170301*" /stext=" 00:.+((SYSTEM_STATE.+slice.+state.+changed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86" t="str">
        <f t="shared" si="37"/>
        <v>"%USERPROFILE%\Documents\GitHub\eaglep3\Utilities\RefineRTDCRunTimes.py" --tripid 198-28 --locoid 4052 --swversion DE.1.0.9.0 --startMP 204:232998 --initTime 2017-02-28T16:28:36 --startdatetime 2017-02-28T16:41:13 --delay 1 --endMP 204:147 --enddatetime 2017-02-28T17:22:20 --enforcementcount 1 &gt;&gt;C:\Users\stu\Documents\GitHub\eaglep3-reporting\EC\2017-02-28-refined-times.txt</v>
      </c>
      <c r="AI112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{"issue":{"subject":"","project_id":79,"tracker_id":40,"status_id":1,"priority_id":2,"assigned_to_id":23,"start_date":"2017-02-28","description":"","custom_fields":[{"id":1,"name":"Subdivision","value":"EC"},{"id":4,"name":"Milepost","value":"0.0147"},{"id":17,"name":"Train ID","value":"198-28"},{"id":16,"name":"Locomotive ID","value":"4052"},{"id":130,"name":"Impact","value":""},{"id":150,"name":"Time of Event (Mountain Time)","value":"17:22:20"},{"id":151,"name":"Denver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4052 --day 2017-02-28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"%USERPROFILE%\AppData\Local\Temp\OnboardLogs"\RTDC4052\*4052*20170301* | grep -SE "(Enforcement Action)|(\[TIMEOUT)|(CHR.+\|PRM\|1\|D.+(SWITCH|SIGNAL).+UNKNOWN)" - &gt;&gt; 2017-02-28-UncaughtWiMAX.txt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697</v>
      </c>
      <c r="B113" s="7">
        <v>4006</v>
      </c>
      <c r="C113" s="21" t="s">
        <v>274</v>
      </c>
      <c r="D113" s="21" t="s">
        <v>225</v>
      </c>
      <c r="E113" s="13">
        <v>42794.662546296298</v>
      </c>
      <c r="F113" s="13">
        <v>42794.667002314818</v>
      </c>
      <c r="G113" s="7">
        <v>2</v>
      </c>
      <c r="H113" s="21" t="s">
        <v>352</v>
      </c>
      <c r="I113" s="13">
        <v>42794.69259259259</v>
      </c>
      <c r="J113" s="7">
        <v>1</v>
      </c>
      <c r="K113" s="98" t="str">
        <f t="shared" si="25"/>
        <v>4005/4006</v>
      </c>
      <c r="L113" s="21" t="str">
        <f>VLOOKUP(A113,'Trips&amp;Operators'!$C$1:$G$99999,5,FALSE)</f>
        <v>BERLING GARY</v>
      </c>
      <c r="M113" s="6">
        <f t="shared" si="26"/>
        <v>2.5590277771698311E-2</v>
      </c>
      <c r="N113" s="7">
        <f t="shared" si="43"/>
        <v>36.849999991245568</v>
      </c>
      <c r="O113" s="7"/>
      <c r="P113" s="7"/>
      <c r="Q113" s="22"/>
      <c r="R113" s="22"/>
      <c r="S113" s="31">
        <f t="shared" si="41"/>
        <v>1</v>
      </c>
      <c r="T113" s="46" t="str">
        <f t="shared" si="27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8"/>
        <v>https://d0f6bd738d7f1b3e5a7ca70fe4ff75f0.us-east-1.aws.found.io/app/kibana#/discover/Steve-Slow-Train-Analysis-(2080s-and-2083s)?_g=(refreshInterval:(display:Off,pause:!f,section:0,value:0),time:(from:'2017-02-28T14:54:04-0700',mode:absolute,to:'2017-02-28T17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187" t="str">
        <f t="shared" si="29"/>
        <v>N</v>
      </c>
      <c r="X113" s="187">
        <f t="shared" si="42"/>
        <v>1</v>
      </c>
      <c r="Y113" s="62">
        <f t="shared" si="30"/>
        <v>4.5100000000000001E-2</v>
      </c>
      <c r="Z113" s="62">
        <f t="shared" si="31"/>
        <v>23.331099999999999</v>
      </c>
      <c r="AA113" s="62">
        <f t="shared" si="32"/>
        <v>23.285999999999998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0199-28</v>
      </c>
      <c r="AE113" s="85" t="str">
        <f t="shared" si="34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113" s="82" t="str">
        <f t="shared" si="35"/>
        <v>"C:\Program Files (x86)\AstroGrep\AstroGrep.exe" /spath="%USERPROFILE%\AppData\Local\Temp\OnboardLogs" /stypes="app*4006*20170228*" /stext=" 23:.+((SYSTEM_STATE.+slice.+state.+changed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86" t="str">
        <f t="shared" si="37"/>
        <v>"%USERPROFILE%\Documents\GitHub\eaglep3\Utilities\RefineRTDCRunTimes.py" --tripid 199-28 --locoid 4006 --swversion DE.1.0.9.0 --startMP 204:451 --initTime 2017-02-28T15:54:04 --startdatetime 2017-02-28T16:00:29 --delay 2 --endMP 204:233311 --enddatetime 2017-02-28T16:37:20 --enforcementcount 1 &gt;&gt;C:\Users\stu\Documents\GitHub\eaglep3-reporting\EC\2017-02-28-refined-times.txt</v>
      </c>
      <c r="AI113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{"issue":{"subject":"","project_id":79,"tracker_id":40,"status_id":1,"priority_id":2,"assigned_to_id":23,"start_date":"2017-02-28","description":"","custom_fields":[{"id":1,"name":"Subdivision","value":"EC"},{"id":4,"name":"Milepost","value":"23.3311"},{"id":17,"name":"Train ID","value":"199-28"},{"id":16,"name":"Locomotive ID","value":"4006"},{"id":130,"name":"Impact","value":""},{"id":150,"name":"Time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4006 --day 2017-02-28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"%USERPROFILE%\AppData\Local\Temp\OnboardLogs"\RTDC4006\*4006*20170228* | grep -SE "(Enforcement Action)|(\[TIMEOUT)|(CHR.+\|PRM\|1\|D.+(SWITCH|SIGNAL).+UNKNOWN)" - &gt;&gt; 2017-02-28-UncaughtWiMAX.txt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568</v>
      </c>
      <c r="B114" s="7">
        <v>4005</v>
      </c>
      <c r="C114" s="21" t="s">
        <v>274</v>
      </c>
      <c r="D114" s="21" t="s">
        <v>828</v>
      </c>
      <c r="E114" s="13">
        <v>42794.698379629626</v>
      </c>
      <c r="F114" s="13">
        <v>42794.705787037034</v>
      </c>
      <c r="G114" s="7">
        <v>2</v>
      </c>
      <c r="H114" s="21" t="s">
        <v>243</v>
      </c>
      <c r="I114" s="13">
        <v>42794.735960648148</v>
      </c>
      <c r="J114" s="7">
        <v>1</v>
      </c>
      <c r="K114" s="98" t="str">
        <f t="shared" si="25"/>
        <v>4005/4006</v>
      </c>
      <c r="L114" s="21" t="str">
        <f>VLOOKUP(A114,'Trips&amp;Operators'!$C$1:$G$99999,5,FALSE)</f>
        <v>BERLING GARY</v>
      </c>
      <c r="M114" s="6">
        <f t="shared" si="26"/>
        <v>3.0173611114150845E-2</v>
      </c>
      <c r="N114" s="7">
        <f t="shared" si="43"/>
        <v>43.450000004377216</v>
      </c>
      <c r="O114" s="7"/>
      <c r="P114" s="7"/>
      <c r="Q114" s="22"/>
      <c r="R114" s="22"/>
      <c r="S114" s="31">
        <f t="shared" si="41"/>
        <v>1</v>
      </c>
      <c r="T114" s="46" t="str">
        <f t="shared" si="27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8"/>
        <v>https://d0f6bd738d7f1b3e5a7ca70fe4ff75f0.us-east-1.aws.found.io/app/kibana#/discover/Steve-Slow-Train-Analysis-(2080s-and-2083s)?_g=(refreshInterval:(display:Off,pause:!f,section:0,value:0),time:(from:'2017-02-28T15:45:40-0700',mode:absolute,to:'2017-02-28T18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187" t="str">
        <f t="shared" si="29"/>
        <v>N</v>
      </c>
      <c r="X114" s="187">
        <f t="shared" si="42"/>
        <v>1</v>
      </c>
      <c r="Y114" s="62">
        <f t="shared" si="30"/>
        <v>23.301500000000001</v>
      </c>
      <c r="Z114" s="62">
        <f t="shared" si="31"/>
        <v>1.3899999999999999E-2</v>
      </c>
      <c r="AA114" s="62">
        <f t="shared" si="32"/>
        <v>23.287600000000001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0200-28</v>
      </c>
      <c r="AE114" s="85" t="str">
        <f t="shared" si="34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114" s="82" t="str">
        <f t="shared" si="35"/>
        <v>"C:\Program Files (x86)\AstroGrep\AstroGrep.exe" /spath="%USERPROFILE%\AppData\Local\Temp\OnboardLogs" /stypes="app*4005*20170301*" /stext=" 00:.+((SYSTEM_STATE.+slice.+state.+changed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86" t="str">
        <f t="shared" si="37"/>
        <v>"%USERPROFILE%\Documents\GitHub\eaglep3\Utilities\RefineRTDCRunTimes.py" --tripid 200-28 --locoid 4005 --swversion DE.1.0.9.0 --startMP 204:233015 --initTime 2017-02-28T16:45:40 --startdatetime 2017-02-28T16:56:20 --delay 2 --endMP 204:139 --enddatetime 2017-02-28T17:39:47 --enforcementcount 1 &gt;&gt;C:\Users\stu\Documents\GitHub\eaglep3-reporting\EC\2017-02-28-refined-times.txt</v>
      </c>
      <c r="AI114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{"issue":{"subject":"","project_id":79,"tracker_id":40,"status_id":1,"priority_id":2,"assigned_to_id":23,"start_date":"2017-02-28","description":"","custom_fields":[{"id":1,"name":"Subdivision","value":"EC"},{"id":4,"name":"Milepost","value":"0.0139"},{"id":17,"name":"Train ID","value":"200-28"},{"id":16,"name":"Locomotive ID","value":"4005"},{"id":130,"name":"Impact","value":""},{"id":150,"name":"Time of Event (Mountain Time)","value":"17:39:47"},{"id":151,"name":"Denver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4005 --day 2017-02-28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"%USERPROFILE%\AppData\Local\Temp\OnboardLogs"\RTDC4005\*4005*20170301* | grep -SE "(Enforcement Action)|(\[TIMEOUT)|(CHR.+\|PRM\|1\|D.+(SWITCH|SIGNAL).+UNKNOWN)" - &gt;&gt; 2017-02-28-UncaughtWiMAX.txt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701</v>
      </c>
      <c r="B115" s="7">
        <v>4044</v>
      </c>
      <c r="C115" s="21" t="s">
        <v>274</v>
      </c>
      <c r="D115" s="21" t="s">
        <v>268</v>
      </c>
      <c r="E115" s="13">
        <v>42794.673773148148</v>
      </c>
      <c r="F115" s="13">
        <v>42794.67763888889</v>
      </c>
      <c r="G115" s="7">
        <v>1</v>
      </c>
      <c r="H115" s="21" t="s">
        <v>829</v>
      </c>
      <c r="I115" s="13">
        <v>42794.704965277779</v>
      </c>
      <c r="J115" s="7">
        <v>1</v>
      </c>
      <c r="K115" s="98" t="str">
        <f t="shared" si="25"/>
        <v>4043/4044</v>
      </c>
      <c r="L115" s="21" t="str">
        <f>VLOOKUP(A115,'Trips&amp;Operators'!$C$1:$G$99999,5,FALSE)</f>
        <v>DAVIS MICHAEL</v>
      </c>
      <c r="M115" s="6">
        <f t="shared" si="26"/>
        <v>2.73263888884685E-2</v>
      </c>
      <c r="N115" s="7">
        <f t="shared" si="43"/>
        <v>39.34999999939464</v>
      </c>
      <c r="O115" s="7"/>
      <c r="P115" s="7"/>
      <c r="Q115" s="22"/>
      <c r="R115" s="22"/>
      <c r="S115" s="31">
        <f t="shared" ref="S115:S146" si="44">SUM(U115:U115)/IF(AG115="EC",12,1)</f>
        <v>1</v>
      </c>
      <c r="T115" s="46" t="str">
        <f t="shared" si="27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8"/>
        <v>https://d0f6bd738d7f1b3e5a7ca70fe4ff75f0.us-east-1.aws.found.io/app/kibana#/discover/Steve-Slow-Train-Analysis-(2080s-and-2083s)?_g=(refreshInterval:(display:Off,pause:!f,section:0,value:0),time:(from:'2017-02-28T15:10:14-0700',mode:absolute,to:'2017-02-28T17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5" s="187" t="str">
        <f t="shared" si="29"/>
        <v>N</v>
      </c>
      <c r="X115" s="187">
        <f t="shared" si="42"/>
        <v>1</v>
      </c>
      <c r="Y115" s="62">
        <f t="shared" si="30"/>
        <v>4.4699999999999997E-2</v>
      </c>
      <c r="Z115" s="62">
        <f t="shared" si="31"/>
        <v>23.334700000000002</v>
      </c>
      <c r="AA115" s="62">
        <f t="shared" si="32"/>
        <v>23.290000000000003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0201-28</v>
      </c>
      <c r="AE115" s="85" t="str">
        <f t="shared" si="34"/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AF115" s="82" t="str">
        <f t="shared" si="35"/>
        <v>"C:\Program Files (x86)\AstroGrep\AstroGrep.exe" /spath="%USERPROFILE%\AppData\Local\Temp\OnboardLogs" /stypes="app*4044*20170228*" /stext=" 23:.+((SYSTEM_STATE.+slice.+state.+changed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86" t="str">
        <f t="shared" si="37"/>
        <v>"%USERPROFILE%\Documents\GitHub\eaglep3\Utilities\RefineRTDCRunTimes.py" --tripid 201-28 --locoid 4044 --swversion DE.1.0.9.0 --startMP 204:447 --initTime 2017-02-28T16:10:14 --startdatetime 2017-02-28T16:15:48 --delay 1 --endMP 204:233347 --enddatetime 2017-02-28T16:55:09 --enforcementcount 1 &gt;&gt;C:\Users\stu\Documents\GitHub\eaglep3-reporting\EC\2017-02-28-refined-times.txt</v>
      </c>
      <c r="AI115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{"issue":{"subject":"","project_id":79,"tracker_id":40,"status_id":1,"priority_id":2,"assigned_to_id":23,"start_date":"2017-02-28","description":"","custom_fields":[{"id":1,"name":"Subdivision","value":"EC"},{"id":4,"name":"Milepost","value":"23.3347"},{"id":17,"name":"Train ID","value":"201-28"},{"id":16,"name":"Locomotive ID","value":"4044"},{"id":130,"name":"Impact","value":""},{"id":150,"name":"Time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4044 --day 2017-02-28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"%USERPROFILE%\AppData\Local\Temp\OnboardLogs"\RTDC4044\*4044*20170228* | grep -SE "(Enforcement Action)|(\[TIMEOUT)|(CHR.+\|PRM\|1\|D.+(SWITCH|SIGNAL).+UNKNOWN)" - &gt;&gt; 2017-02-28-UncaughtWiMAX.txt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569</v>
      </c>
      <c r="B116" s="7">
        <v>4043</v>
      </c>
      <c r="C116" s="21" t="s">
        <v>274</v>
      </c>
      <c r="D116" s="21" t="s">
        <v>289</v>
      </c>
      <c r="E116" s="13">
        <v>42794.71466435185</v>
      </c>
      <c r="F116" s="13">
        <v>42794.716840277775</v>
      </c>
      <c r="G116" s="7">
        <v>1</v>
      </c>
      <c r="H116" s="21" t="s">
        <v>830</v>
      </c>
      <c r="I116" s="13">
        <v>42794.746111111112</v>
      </c>
      <c r="J116" s="7">
        <v>1</v>
      </c>
      <c r="K116" s="98" t="str">
        <f t="shared" si="25"/>
        <v>4043/4044</v>
      </c>
      <c r="L116" s="21" t="str">
        <f>VLOOKUP(A116,'Trips&amp;Operators'!$C$1:$G$99999,5,FALSE)</f>
        <v>DAVIS MICHAEL</v>
      </c>
      <c r="M116" s="6">
        <f t="shared" si="26"/>
        <v>2.9270833336340729E-2</v>
      </c>
      <c r="N116" s="7">
        <f t="shared" si="43"/>
        <v>42.15000000433065</v>
      </c>
      <c r="O116" s="7"/>
      <c r="P116" s="7"/>
      <c r="Q116" s="22"/>
      <c r="R116" s="22"/>
      <c r="S116" s="31">
        <f t="shared" si="44"/>
        <v>1</v>
      </c>
      <c r="T116" s="46" t="str">
        <f t="shared" si="27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8"/>
        <v>https://d0f6bd738d7f1b3e5a7ca70fe4ff75f0.us-east-1.aws.found.io/app/kibana#/discover/Steve-Slow-Train-Analysis-(2080s-and-2083s)?_g=(refreshInterval:(display:Off,pause:!f,section:0,value:0),time:(from:'2017-02-28T16:09:07-0700',mode:absolute,to:'2017-02-28T18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6" s="187" t="str">
        <f t="shared" si="29"/>
        <v>N</v>
      </c>
      <c r="X116" s="187">
        <f t="shared" si="42"/>
        <v>1</v>
      </c>
      <c r="Y116" s="62">
        <f t="shared" si="30"/>
        <v>23.3019</v>
      </c>
      <c r="Z116" s="62">
        <f t="shared" si="31"/>
        <v>1.9099999999999999E-2</v>
      </c>
      <c r="AA116" s="62">
        <f t="shared" si="32"/>
        <v>23.282799999999998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0202-28</v>
      </c>
      <c r="AE116" s="85" t="str">
        <f t="shared" si="34"/>
        <v>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 &amp; 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</v>
      </c>
      <c r="AF116" s="82" t="str">
        <f t="shared" si="35"/>
        <v>"C:\Program Files (x86)\AstroGrep\AstroGrep.exe" /spath="%USERPROFILE%\AppData\Local\Temp\OnboardLogs" /stypes="app*4043*20170301*" /stext=" 00:.+((SYSTEM_STATE.+slice.+state.+changed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86" t="str">
        <f t="shared" si="37"/>
        <v>"%USERPROFILE%\Documents\GitHub\eaglep3\Utilities\RefineRTDCRunTimes.py" --tripid 202-28 --locoid 4043 --swversion DE.1.0.9.0 --startMP 204:233019 --initTime 2017-02-28T17:09:07 --startdatetime 2017-02-28T17:12:15 --delay 1 --endMP 204:191 --enddatetime 2017-02-28T17:54:24 --enforcementcount 1 &gt;&gt;C:\Users\stu\Documents\GitHub\eaglep3-reporting\EC\2017-02-28-refined-times.txt</v>
      </c>
      <c r="AI116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{"issue":{"subject":"","project_id":79,"tracker_id":40,"status_id":1,"priority_id":2,"assigned_to_id":23,"start_date":"2017-02-28","description":"","custom_fields":[{"id":1,"name":"Subdivision","value":"EC"},{"id":4,"name":"Milepost","value":"0.0191"},{"id":17,"name":"Train ID","value":"202-28"},{"id":16,"name":"Locomotive ID","value":"4043"},{"id":130,"name":"Impact","value":""},{"id":150,"name":"Time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4043 --day 2017-02-28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"%USERPROFILE%\AppData\Local\Temp\OnboardLogs"\RTDC4043\*4043*20170301* | grep -SE "(Enforcement Action)|(\[TIMEOUT)|(CHR.+\|PRM\|1\|D.+(SWITCH|SIGNAL).+UNKNOWN)" - &gt;&gt; 2017-02-28-UncaughtWiMAX.txt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704</v>
      </c>
      <c r="B117" s="7">
        <v>4007</v>
      </c>
      <c r="C117" s="21" t="s">
        <v>274</v>
      </c>
      <c r="D117" s="21" t="s">
        <v>261</v>
      </c>
      <c r="E117" s="13">
        <v>42794.686412037037</v>
      </c>
      <c r="F117" s="13">
        <v>42794.688738425924</v>
      </c>
      <c r="G117" s="7">
        <v>2</v>
      </c>
      <c r="H117" s="21" t="s">
        <v>794</v>
      </c>
      <c r="I117" s="13">
        <v>42794.715289351851</v>
      </c>
      <c r="J117" s="7">
        <v>1</v>
      </c>
      <c r="K117" s="98" t="str">
        <f t="shared" si="25"/>
        <v>4007/4008</v>
      </c>
      <c r="L117" s="21" t="str">
        <f>VLOOKUP(A117,'Trips&amp;Operators'!$C$1:$G$99999,5,FALSE)</f>
        <v>STEWART MICHAEL</v>
      </c>
      <c r="M117" s="6">
        <f t="shared" si="26"/>
        <v>2.6550925926130731E-2</v>
      </c>
      <c r="N117" s="7">
        <f t="shared" si="43"/>
        <v>38.233333333628252</v>
      </c>
      <c r="O117" s="7"/>
      <c r="P117" s="7"/>
      <c r="Q117" s="22"/>
      <c r="R117" s="22"/>
      <c r="S117" s="31">
        <f t="shared" si="44"/>
        <v>1</v>
      </c>
      <c r="T117" s="46" t="str">
        <f t="shared" si="27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8"/>
        <v>https://d0f6bd738d7f1b3e5a7ca70fe4ff75f0.us-east-1.aws.found.io/app/kibana#/discover/Steve-Slow-Train-Analysis-(2080s-and-2083s)?_g=(refreshInterval:(display:Off,pause:!f,section:0,value:0),time:(from:'2017-02-28T15:28:26-0700',mode:absolute,to:'2017-02-28T18:10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7" s="187" t="str">
        <f t="shared" si="29"/>
        <v>N</v>
      </c>
      <c r="X117" s="187">
        <f t="shared" si="42"/>
        <v>1</v>
      </c>
      <c r="Y117" s="62">
        <f t="shared" si="30"/>
        <v>4.4400000000000002E-2</v>
      </c>
      <c r="Z117" s="62">
        <f t="shared" si="31"/>
        <v>23.3309</v>
      </c>
      <c r="AA117" s="62">
        <f t="shared" si="32"/>
        <v>23.2865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0203-28</v>
      </c>
      <c r="AE117" s="85" t="str">
        <f t="shared" si="34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117" s="82" t="str">
        <f t="shared" si="35"/>
        <v>"C:\Program Files (x86)\AstroGrep\AstroGrep.exe" /spath="%USERPROFILE%\AppData\Local\Temp\OnboardLogs" /stypes="app*4007*20170301*" /stext=" 00:.+((SYSTEM_STATE.+slice.+state.+changed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86" t="str">
        <f t="shared" si="37"/>
        <v>"%USERPROFILE%\Documents\GitHub\eaglep3\Utilities\RefineRTDCRunTimes.py" --tripid 203-28 --locoid 4007 --swversion DE.1.0.9.0 --startMP 204:444 --initTime 2017-02-28T16:28:26 --startdatetime 2017-02-28T16:31:47 --delay 2 --endMP 204:233309 --enddatetime 2017-02-28T17:10:01 --enforcementcount 1 &gt;&gt;C:\Users\stu\Documents\GitHub\eaglep3-reporting\EC\2017-02-28-refined-times.txt</v>
      </c>
      <c r="AI117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{"issue":{"subject":"","project_id":79,"tracker_id":40,"status_id":1,"priority_id":2,"assigned_to_id":23,"start_date":"2017-02-28","description":"","custom_fields":[{"id":1,"name":"Subdivision","value":"EC"},{"id":4,"name":"Milepost","value":"23.3309"},{"id":17,"name":"Train ID","value":"203-28"},{"id":16,"name":"Locomotive ID","value":"4007"},{"id":130,"name":"Impact","value":""},{"id":150,"name":"Time of Event (Mountain Time)","value":"17:10:01"},{"id":151,"name":"Denver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4007 --day 2017-02-28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709</v>
      </c>
      <c r="B118" s="7">
        <v>4008</v>
      </c>
      <c r="C118" s="21" t="s">
        <v>274</v>
      </c>
      <c r="D118" s="21" t="s">
        <v>831</v>
      </c>
      <c r="E118" s="13">
        <v>42794.723946759259</v>
      </c>
      <c r="F118" s="13">
        <v>42794.726863425924</v>
      </c>
      <c r="G118" s="7">
        <v>2</v>
      </c>
      <c r="H118" s="21" t="s">
        <v>259</v>
      </c>
      <c r="I118" s="13">
        <v>42794.756898148145</v>
      </c>
      <c r="J118" s="7">
        <v>1</v>
      </c>
      <c r="K118" s="98" t="str">
        <f t="shared" si="25"/>
        <v>4007/4008</v>
      </c>
      <c r="L118" s="21" t="str">
        <f>VLOOKUP(A118,'Trips&amp;Operators'!$C$1:$G$99999,5,FALSE)</f>
        <v>STEWART MICHAEL</v>
      </c>
      <c r="M118" s="6">
        <f t="shared" si="26"/>
        <v>3.0034722221898846E-2</v>
      </c>
      <c r="N118" s="7">
        <f t="shared" si="43"/>
        <v>43.249999999534339</v>
      </c>
      <c r="O118" s="7"/>
      <c r="P118" s="7"/>
      <c r="Q118" s="22"/>
      <c r="R118" s="22"/>
      <c r="S118" s="31">
        <f t="shared" si="44"/>
        <v>1</v>
      </c>
      <c r="T118" s="46" t="str">
        <f t="shared" si="27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8"/>
        <v>https://d0f6bd738d7f1b3e5a7ca70fe4ff75f0.us-east-1.aws.found.io/app/kibana#/discover/Steve-Slow-Train-Analysis-(2080s-and-2083s)?_g=(refreshInterval:(display:Off,pause:!f,section:0,value:0),time:(from:'2017-02-28T16:22:29-0700',mode:absolute,to:'2017-02-28T19:09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187" t="str">
        <f t="shared" si="29"/>
        <v>N</v>
      </c>
      <c r="X118" s="187">
        <f t="shared" ref="X118:X149" si="45">VALUE(LEFT(AD118,4))-VALUE(LEFT(AD117,4))</f>
        <v>1</v>
      </c>
      <c r="Y118" s="62">
        <f t="shared" si="30"/>
        <v>23.296900000000001</v>
      </c>
      <c r="Z118" s="62">
        <f t="shared" si="31"/>
        <v>1.5599999999999999E-2</v>
      </c>
      <c r="AA118" s="62">
        <f t="shared" si="32"/>
        <v>23.281300000000002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0204-28</v>
      </c>
      <c r="AE118" s="85" t="str">
        <f t="shared" si="34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118" s="82" t="str">
        <f t="shared" si="35"/>
        <v>"C:\Program Files (x86)\AstroGrep\AstroGrep.exe" /spath="%USERPROFILE%\AppData\Local\Temp\OnboardLogs" /stypes="app*4008*20170301*" /stext=" 01:.+((SYSTEM_STATE.+slice.+state.+changed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86" t="str">
        <f t="shared" si="37"/>
        <v>"%USERPROFILE%\Documents\GitHub\eaglep3\Utilities\RefineRTDCRunTimes.py" --tripid 204-28 --locoid 4008 --swversion DE.1.0.9.0 --startMP 204:232969 --initTime 2017-02-28T17:22:29 --startdatetime 2017-02-28T17:26:41 --delay 2 --endMP 204:156 --enddatetime 2017-02-28T18:09:56 --enforcementcount 1 &gt;&gt;C:\Users\stu\Documents\GitHub\eaglep3-reporting\EC\2017-02-28-refined-times.txt</v>
      </c>
      <c r="AI11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{"issue":{"subject":"","project_id":79,"tracker_id":40,"status_id":1,"priority_id":2,"assigned_to_id":23,"start_date":"2017-02-28","description":"","custom_fields":[{"id":1,"name":"Subdivision","value":"EC"},{"id":4,"name":"Milepost","value":"0.0156"},{"id":17,"name":"Train ID","value":"204-28"},{"id":16,"name":"Locomotive ID","value":"4008"},{"id":130,"name":"Impact","value":""},{"id":150,"name":"Time of Event (Mountain Time)","value":"18:09:56"},{"id":151,"name":"Denver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4008 --day 2017-02-28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"%USERPROFILE%\AppData\Local\Temp\OnboardLogs"\RTDC4008\*4008*20170301* | grep -SE "(Enforcement Action)|(\[TIMEOUT)|(CHR.+\|PRM\|1\|D.+(SWITCH|SIGNAL).+UNKNOWN)" - &gt;&gt; 2017-02-28-UncaughtWiMAX.txt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706</v>
      </c>
      <c r="B119" s="7">
        <v>4018</v>
      </c>
      <c r="C119" s="21" t="s">
        <v>274</v>
      </c>
      <c r="D119" s="21" t="s">
        <v>269</v>
      </c>
      <c r="E119" s="13">
        <v>42794.695011574076</v>
      </c>
      <c r="F119" s="13">
        <v>42794.698101851849</v>
      </c>
      <c r="G119" s="7">
        <v>1</v>
      </c>
      <c r="H119" s="21" t="s">
        <v>287</v>
      </c>
      <c r="I119" s="13">
        <v>42794.724108796298</v>
      </c>
      <c r="J119" s="7">
        <v>1</v>
      </c>
      <c r="K119" s="98" t="str">
        <f t="shared" si="25"/>
        <v>4017/4018</v>
      </c>
      <c r="L119" s="21" t="str">
        <f>VLOOKUP(A119,'Trips&amp;Operators'!$C$1:$G$99999,5,FALSE)</f>
        <v>LEVERE CRAIG</v>
      </c>
      <c r="M119" s="6">
        <f t="shared" si="26"/>
        <v>2.6006944448454306E-2</v>
      </c>
      <c r="N119" s="7">
        <f t="shared" si="43"/>
        <v>37.4500000057742</v>
      </c>
      <c r="O119" s="7"/>
      <c r="P119" s="7"/>
      <c r="Q119" s="22"/>
      <c r="R119" s="22"/>
      <c r="S119" s="31">
        <f t="shared" si="44"/>
        <v>1</v>
      </c>
      <c r="T119" s="46" t="str">
        <f t="shared" si="27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8"/>
        <v>https://d0f6bd738d7f1b3e5a7ca70fe4ff75f0.us-east-1.aws.found.io/app/kibana#/discover/Steve-Slow-Train-Analysis-(2080s-and-2083s)?_g=(refreshInterval:(display:Off,pause:!f,section:0,value:0),time:(from:'2017-02-28T15:40:49-0700',mode:absolute,to:'2017-02-28T18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187" t="str">
        <f t="shared" si="29"/>
        <v>N</v>
      </c>
      <c r="X119" s="187">
        <f t="shared" si="45"/>
        <v>1</v>
      </c>
      <c r="Y119" s="62">
        <f t="shared" si="30"/>
        <v>4.6600000000000003E-2</v>
      </c>
      <c r="Z119" s="62">
        <f t="shared" si="31"/>
        <v>23.330400000000001</v>
      </c>
      <c r="AA119" s="62">
        <f t="shared" si="32"/>
        <v>23.283799999999999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0205-28</v>
      </c>
      <c r="AE119" s="85" t="str">
        <f t="shared" si="34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119" s="82" t="str">
        <f t="shared" si="35"/>
        <v>"C:\Program Files (x86)\AstroGrep\AstroGrep.exe" /spath="%USERPROFILE%\AppData\Local\Temp\OnboardLogs" /stypes="app*4018*20170301*" /stext=" 00:.+((SYSTEM_STATE.+slice.+state.+changed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86" t="str">
        <f t="shared" si="37"/>
        <v>"%USERPROFILE%\Documents\GitHub\eaglep3\Utilities\RefineRTDCRunTimes.py" --tripid 205-28 --locoid 4018 --swversion DE.1.0.9.0 --startMP 204:466 --initTime 2017-02-28T16:40:49 --startdatetime 2017-02-28T16:45:16 --delay 1 --endMP 204:233304 --enddatetime 2017-02-28T17:22:43 --enforcementcount 1 &gt;&gt;C:\Users\stu\Documents\GitHub\eaglep3-reporting\EC\2017-02-28-refined-times.txt</v>
      </c>
      <c r="AI11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{"issue":{"subject":"","project_id":79,"tracker_id":40,"status_id":1,"priority_id":2,"assigned_to_id":23,"start_date":"2017-02-28","description":"","custom_fields":[{"id":1,"name":"Subdivision","value":"EC"},{"id":4,"name":"Milepost","value":"23.3304"},{"id":17,"name":"Train ID","value":"205-28"},{"id":16,"name":"Locomotive ID","value":"4018"},{"id":130,"name":"Impact","value":""},{"id":150,"name":"Time of Event (Mountain Time)","value":"17:22:43"},{"id":151,"name":"Denver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4018 --day 2017-02-28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2017-02-28-UncaughtWiMAX.txt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712</v>
      </c>
      <c r="B120" s="7">
        <v>4017</v>
      </c>
      <c r="C120" s="21" t="s">
        <v>274</v>
      </c>
      <c r="D120" s="21" t="s">
        <v>353</v>
      </c>
      <c r="E120" s="13">
        <v>42794.73027777778</v>
      </c>
      <c r="F120" s="13">
        <v>42794.737083333333</v>
      </c>
      <c r="G120" s="7">
        <v>1</v>
      </c>
      <c r="H120" s="21" t="s">
        <v>206</v>
      </c>
      <c r="I120" s="13">
        <v>42794.767858796295</v>
      </c>
      <c r="J120" s="7">
        <v>1</v>
      </c>
      <c r="K120" s="98" t="str">
        <f t="shared" si="25"/>
        <v>4017/4018</v>
      </c>
      <c r="L120" s="21" t="str">
        <f>VLOOKUP(A120,'Trips&amp;Operators'!$C$1:$G$99999,5,FALSE)</f>
        <v>LEVERE CRAIG</v>
      </c>
      <c r="M120" s="6">
        <f t="shared" si="26"/>
        <v>3.0775462961173616E-2</v>
      </c>
      <c r="N120" s="7">
        <f t="shared" si="43"/>
        <v>44.316666664090008</v>
      </c>
      <c r="O120" s="7"/>
      <c r="P120" s="7"/>
      <c r="Q120" s="22"/>
      <c r="R120" s="22"/>
      <c r="S120" s="31">
        <f t="shared" si="44"/>
        <v>1</v>
      </c>
      <c r="T120" s="46" t="str">
        <f t="shared" si="27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8"/>
        <v>https://d0f6bd738d7f1b3e5a7ca70fe4ff75f0.us-east-1.aws.found.io/app/kibana#/discover/Steve-Slow-Train-Analysis-(2080s-and-2083s)?_g=(refreshInterval:(display:Off,pause:!f,section:0,value:0),time:(from:'2017-02-28T16:31:36-0700',mode:absolute,to:'2017-02-28T19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187" t="str">
        <f t="shared" si="29"/>
        <v>N</v>
      </c>
      <c r="X120" s="187">
        <f t="shared" si="45"/>
        <v>1</v>
      </c>
      <c r="Y120" s="62">
        <f t="shared" si="30"/>
        <v>23.2989</v>
      </c>
      <c r="Z120" s="62">
        <f t="shared" si="31"/>
        <v>1.52E-2</v>
      </c>
      <c r="AA120" s="62">
        <f t="shared" si="32"/>
        <v>23.2837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0206-28</v>
      </c>
      <c r="AE120" s="85" t="str">
        <f t="shared" si="34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120" s="82" t="str">
        <f t="shared" si="35"/>
        <v>"C:\Program Files (x86)\AstroGrep\AstroGrep.exe" /spath="%USERPROFILE%\AppData\Local\Temp\OnboardLogs" /stypes="app*4017*20170301*" /stext=" 01:.+((SYSTEM_STATE.+slice.+state.+changed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86" t="str">
        <f t="shared" si="37"/>
        <v>"%USERPROFILE%\Documents\GitHub\eaglep3\Utilities\RefineRTDCRunTimes.py" --tripid 206-28 --locoid 4017 --swversion DE.1.0.9.0 --startMP 204:232989 --initTime 2017-02-28T17:31:36 --startdatetime 2017-02-28T17:41:24 --delay 1 --endMP 204:152 --enddatetime 2017-02-28T18:25:43 --enforcementcount 1 &gt;&gt;C:\Users\stu\Documents\GitHub\eaglep3-reporting\EC\2017-02-28-refined-times.txt</v>
      </c>
      <c r="AI12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{"issue":{"subject":"","project_id":79,"tracker_id":40,"status_id":1,"priority_id":2,"assigned_to_id":23,"start_date":"2017-02-28","description":"","custom_fields":[{"id":1,"name":"Subdivision","value":"EC"},{"id":4,"name":"Milepost","value":"0.0152"},{"id":17,"name":"Train ID","value":"206-28"},{"id":16,"name":"Locomotive ID","value":"4017"},{"id":130,"name":"Impact","value":""},{"id":150,"name":"Time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4017 --day 2017-02-28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"%USERPROFILE%\AppData\Local\Temp\OnboardLogs"\RTDC4017\*4017*20170301* | grep -SE "(Enforcement Action)|(\[TIMEOUT)|(CHR.+\|PRM\|1\|D.+(SWITCH|SIGNAL).+UNKNOWN)" - &gt;&gt; 2017-02-28-UncaughtWiMAX.txt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566</v>
      </c>
      <c r="B121" s="7">
        <v>4025</v>
      </c>
      <c r="C121" s="21" t="s">
        <v>274</v>
      </c>
      <c r="D121" s="21" t="s">
        <v>832</v>
      </c>
      <c r="E121" s="13">
        <v>42794.704502314817</v>
      </c>
      <c r="F121" s="13">
        <v>42794.708506944444</v>
      </c>
      <c r="G121" s="7">
        <v>1</v>
      </c>
      <c r="H121" s="21" t="s">
        <v>393</v>
      </c>
      <c r="I121" s="13">
        <v>42794.736840277779</v>
      </c>
      <c r="J121" s="7">
        <v>1</v>
      </c>
      <c r="K121" s="98" t="str">
        <f t="shared" si="25"/>
        <v>4025/4026</v>
      </c>
      <c r="L121" s="21" t="str">
        <f>VLOOKUP(A121,'Trips&amp;Operators'!$C$1:$G$99999,5,FALSE)</f>
        <v>CLARK KATHLEEN</v>
      </c>
      <c r="M121" s="6">
        <f t="shared" si="26"/>
        <v>2.8333333335467614E-2</v>
      </c>
      <c r="N121" s="7">
        <f t="shared" si="43"/>
        <v>40.800000003073364</v>
      </c>
      <c r="O121" s="7"/>
      <c r="P121" s="7"/>
      <c r="Q121" s="22"/>
      <c r="R121" s="22"/>
      <c r="S121" s="31">
        <f t="shared" si="44"/>
        <v>1</v>
      </c>
      <c r="T121" s="46" t="str">
        <f t="shared" si="27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8"/>
        <v>https://d0f6bd738d7f1b3e5a7ca70fe4ff75f0.us-east-1.aws.found.io/app/kibana#/discover/Steve-Slow-Train-Analysis-(2080s-and-2083s)?_g=(refreshInterval:(display:Off,pause:!f,section:0,value:0),time:(from:'2017-02-28T15:54:29-0700',mode:absolute,to:'2017-02-28T18:41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87" t="str">
        <f t="shared" si="29"/>
        <v>N</v>
      </c>
      <c r="X121" s="187">
        <f t="shared" si="45"/>
        <v>1</v>
      </c>
      <c r="Y121" s="62">
        <f t="shared" si="30"/>
        <v>5.0799999999999998E-2</v>
      </c>
      <c r="Z121" s="62">
        <f t="shared" si="31"/>
        <v>23.327999999999999</v>
      </c>
      <c r="AA121" s="62">
        <f t="shared" si="32"/>
        <v>23.277200000000001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0207-28</v>
      </c>
      <c r="AE121" s="85" t="str">
        <f t="shared" si="34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121" s="82" t="str">
        <f t="shared" si="35"/>
        <v>"C:\Program Files (x86)\AstroGrep\AstroGrep.exe" /spath="%USERPROFILE%\AppData\Local\Temp\OnboardLogs" /stypes="app*4025*20170301*" /stext=" 00:.+((SYSTEM_STATE.+slice.+state.+changed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86" t="str">
        <f t="shared" si="37"/>
        <v>"%USERPROFILE%\Documents\GitHub\eaglep3\Utilities\RefineRTDCRunTimes.py" --tripid 207-28 --locoid 4025 --swversion DE.1.0.9.0 --startMP 204:508 --initTime 2017-02-28T16:54:29 --startdatetime 2017-02-28T17:00:15 --delay 1 --endMP 204:233280 --enddatetime 2017-02-28T17:41:03 --enforcementcount 1 &gt;&gt;C:\Users\stu\Documents\GitHub\eaglep3-reporting\EC\2017-02-28-refined-times.txt</v>
      </c>
      <c r="AI121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{"issue":{"subject":"","project_id":79,"tracker_id":40,"status_id":1,"priority_id":2,"assigned_to_id":23,"start_date":"2017-02-28","description":"","custom_fields":[{"id":1,"name":"Subdivision","value":"EC"},{"id":4,"name":"Milepost","value":"23.328"},{"id":17,"name":"Train ID","value":"207-28"},{"id":16,"name":"Locomotive ID","value":"4025"},{"id":130,"name":"Impact","value":""},{"id":150,"name":"Time of Event (Mountain Time)","value":"17:41:03"},{"id":151,"name":"Denver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4025 --day 2017-02-28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2017-02-28-UncaughtWiMAX.txt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716</v>
      </c>
      <c r="B122" s="7">
        <v>4026</v>
      </c>
      <c r="C122" s="21" t="s">
        <v>274</v>
      </c>
      <c r="D122" s="21" t="s">
        <v>312</v>
      </c>
      <c r="E122" s="13">
        <v>42794.744097222225</v>
      </c>
      <c r="F122" s="13">
        <v>42794.747384259259</v>
      </c>
      <c r="G122" s="7">
        <v>1</v>
      </c>
      <c r="H122" s="21" t="s">
        <v>413</v>
      </c>
      <c r="I122" s="13">
        <v>42794.776597222219</v>
      </c>
      <c r="J122" s="7">
        <v>1</v>
      </c>
      <c r="K122" s="98" t="str">
        <f t="shared" si="25"/>
        <v>4025/4026</v>
      </c>
      <c r="L122" s="21" t="str">
        <f>VLOOKUP(A122,'Trips&amp;Operators'!$C$1:$G$99999,5,FALSE)</f>
        <v>CLARK KATHLEEN</v>
      </c>
      <c r="M122" s="6">
        <f t="shared" si="26"/>
        <v>2.9212962959718425E-2</v>
      </c>
      <c r="N122" s="7">
        <f t="shared" si="43"/>
        <v>42.066666661994532</v>
      </c>
      <c r="O122" s="7"/>
      <c r="P122" s="7"/>
      <c r="Q122" s="22"/>
      <c r="R122" s="22"/>
      <c r="S122" s="31">
        <f t="shared" si="44"/>
        <v>1</v>
      </c>
      <c r="T122" s="46" t="str">
        <f t="shared" si="27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8"/>
        <v>https://d0f6bd738d7f1b3e5a7ca70fe4ff75f0.us-east-1.aws.found.io/app/kibana#/discover/Steve-Slow-Train-Analysis-(2080s-and-2083s)?_g=(refreshInterval:(display:Off,pause:!f,section:0,value:0),time:(from:'2017-02-28T16:51:30-0700',mode:absolute,to:'2017-02-28T19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187" t="str">
        <f t="shared" si="29"/>
        <v>N</v>
      </c>
      <c r="X122" s="187">
        <f t="shared" si="45"/>
        <v>1</v>
      </c>
      <c r="Y122" s="62">
        <f t="shared" si="30"/>
        <v>23.297699999999999</v>
      </c>
      <c r="Z122" s="62">
        <f t="shared" si="31"/>
        <v>0.02</v>
      </c>
      <c r="AA122" s="62">
        <f t="shared" si="32"/>
        <v>23.277699999999999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0208-28</v>
      </c>
      <c r="AE122" s="85" t="str">
        <f t="shared" si="34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122" s="82" t="str">
        <f t="shared" si="35"/>
        <v>"C:\Program Files (x86)\AstroGrep\AstroGrep.exe" /spath="%USERPROFILE%\AppData\Local\Temp\OnboardLogs" /stypes="app*4026*20170301*" /stext=" 01:.+((SYSTEM_STATE.+slice.+state.+changed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86" t="str">
        <f t="shared" si="37"/>
        <v>"%USERPROFILE%\Documents\GitHub\eaglep3\Utilities\RefineRTDCRunTimes.py" --tripid 208-28 --locoid 4026 --swversion DE.1.0.9.0 --startMP 204:232977 --initTime 2017-02-28T17:51:30 --startdatetime 2017-02-28T17:56:14 --delay 1 --endMP 204:200 --enddatetime 2017-02-28T18:38:18 --enforcementcount 1 &gt;&gt;C:\Users\stu\Documents\GitHub\eaglep3-reporting\EC\2017-02-28-refined-times.txt</v>
      </c>
      <c r="AI122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{"issue":{"subject":"","project_id":79,"tracker_id":40,"status_id":1,"priority_id":2,"assigned_to_id":23,"start_date":"2017-02-28","description":"","custom_fields":[{"id":1,"name":"Subdivision","value":"EC"},{"id":4,"name":"Milepost","value":"0.02"},{"id":17,"name":"Train ID","value":"208-28"},{"id":16,"name":"Locomotive ID","value":"4026"},{"id":130,"name":"Impact","value":""},{"id":150,"name":"Time of Event (Mountain Time)","value":"18:38:18"},{"id":151,"name":"Denver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4026 --day 2017-02-28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2017-02-28-UncaughtWiMAX.txt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567</v>
      </c>
      <c r="B123" s="7">
        <v>4003</v>
      </c>
      <c r="C123" s="21" t="s">
        <v>274</v>
      </c>
      <c r="D123" s="21" t="s">
        <v>229</v>
      </c>
      <c r="E123" s="13">
        <v>42794.718344907407</v>
      </c>
      <c r="F123" s="13">
        <v>42794.719363425924</v>
      </c>
      <c r="G123" s="7">
        <v>1</v>
      </c>
      <c r="H123" s="21" t="s">
        <v>263</v>
      </c>
      <c r="I123" s="13">
        <v>42794.745625000003</v>
      </c>
      <c r="J123" s="7">
        <v>1</v>
      </c>
      <c r="K123" s="98" t="str">
        <f t="shared" si="25"/>
        <v>4003/4004</v>
      </c>
      <c r="L123" s="21" t="str">
        <f>VLOOKUP(A123,'Trips&amp;Operators'!$C$1:$G$99999,5,FALSE)</f>
        <v>CHANDLER KELVIN</v>
      </c>
      <c r="M123" s="6">
        <f t="shared" si="26"/>
        <v>2.6261574079398997E-2</v>
      </c>
      <c r="N123" s="7">
        <f t="shared" si="43"/>
        <v>37.816666674334556</v>
      </c>
      <c r="O123" s="7"/>
      <c r="P123" s="7"/>
      <c r="Q123" s="22"/>
      <c r="R123" s="22"/>
      <c r="S123" s="31">
        <f t="shared" si="44"/>
        <v>1</v>
      </c>
      <c r="T123" s="46" t="str">
        <f t="shared" si="27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8"/>
        <v>https://d0f6bd738d7f1b3e5a7ca70fe4ff75f0.us-east-1.aws.found.io/app/kibana#/discover/Steve-Slow-Train-Analysis-(2080s-and-2083s)?_g=(refreshInterval:(display:Off,pause:!f,section:0,value:0),time:(from:'2017-02-28T16:14:25-0700',mode:absolute,to:'2017-02-28T18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3" s="187" t="str">
        <f t="shared" si="29"/>
        <v>N</v>
      </c>
      <c r="X123" s="187">
        <f t="shared" si="45"/>
        <v>1</v>
      </c>
      <c r="Y123" s="62">
        <f t="shared" si="30"/>
        <v>4.5999999999999999E-2</v>
      </c>
      <c r="Z123" s="62">
        <f t="shared" si="31"/>
        <v>23.3306</v>
      </c>
      <c r="AA123" s="62">
        <f t="shared" si="32"/>
        <v>23.284600000000001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3"/>
        <v>0209-28</v>
      </c>
      <c r="AE123" s="85" t="str">
        <f t="shared" si="34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23" s="82" t="str">
        <f t="shared" si="35"/>
        <v>"C:\Program Files (x86)\AstroGrep\AstroGrep.exe" /spath="%USERPROFILE%\AppData\Local\Temp\OnboardLogs" /stypes="app*4003*20170301*" /stext=" 00:.+((SYSTEM_STATE.+slice.+state.+changed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86" t="str">
        <f t="shared" si="37"/>
        <v>"%USERPROFILE%\Documents\GitHub\eaglep3\Utilities\RefineRTDCRunTimes.py" --tripid 209-28 --locoid 4003 --swversion DE.1.0.9.0 --startMP 204:460 --initTime 2017-02-28T17:14:25 --startdatetime 2017-02-28T17:15:53 --delay 1 --endMP 204:233306 --enddatetime 2017-02-28T17:53:42 --enforcementcount 1 &gt;&gt;C:\Users\stu\Documents\GitHub\eaglep3-reporting\EC\2017-02-28-refined-times.txt</v>
      </c>
      <c r="AI123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{"issue":{"subject":"","project_id":79,"tracker_id":40,"status_id":1,"priority_id":2,"assigned_to_id":23,"start_date":"2017-02-28","description":"","custom_fields":[{"id":1,"name":"Subdivision","value":"EC"},{"id":4,"name":"Milepost","value":"23.3306"},{"id":17,"name":"Train ID","value":"209-28"},{"id":16,"name":"Locomotive ID","value":"4003"},{"id":130,"name":"Impact","value":""},{"id":150,"name":"Time of Event (Mountain Time)","value":"17:53:42"},{"id":151,"name":"Denver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4003 --day 2017-02-28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"%USERPROFILE%\AppData\Local\Temp\OnboardLogs"\RTDC4003\*4003*20170301* | grep -SE "(Enforcement Action)|(\[TIMEOUT)|(CHR.+\|PRM\|1\|D.+(SWITCH|SIGNAL).+UNKNOWN)" - &gt;&gt; 2017-02-28-UncaughtWiMAX.txt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719</v>
      </c>
      <c r="B124" s="7">
        <v>4004</v>
      </c>
      <c r="C124" s="21" t="s">
        <v>274</v>
      </c>
      <c r="D124" s="21" t="s">
        <v>396</v>
      </c>
      <c r="E124" s="13">
        <v>42794.75577546296</v>
      </c>
      <c r="F124" s="13">
        <v>42794.757916666669</v>
      </c>
      <c r="G124" s="7">
        <v>2</v>
      </c>
      <c r="H124" s="21" t="s">
        <v>207</v>
      </c>
      <c r="I124" s="13">
        <v>42794.786261574074</v>
      </c>
      <c r="J124" s="7">
        <v>1</v>
      </c>
      <c r="K124" s="98" t="str">
        <f t="shared" si="25"/>
        <v>4003/4004</v>
      </c>
      <c r="L124" s="21" t="str">
        <f>VLOOKUP(A124,'Trips&amp;Operators'!$C$1:$G$99999,5,FALSE)</f>
        <v>CHANDLER KELVIN</v>
      </c>
      <c r="M124" s="6">
        <f t="shared" si="26"/>
        <v>2.8344907404971309E-2</v>
      </c>
      <c r="N124" s="7">
        <f t="shared" si="43"/>
        <v>40.816666663158685</v>
      </c>
      <c r="O124" s="7"/>
      <c r="P124" s="7"/>
      <c r="Q124" s="22"/>
      <c r="R124" s="22"/>
      <c r="S124" s="31">
        <f t="shared" si="44"/>
        <v>1</v>
      </c>
      <c r="T124" s="46" t="str">
        <f t="shared" si="27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8"/>
        <v>https://d0f6bd738d7f1b3e5a7ca70fe4ff75f0.us-east-1.aws.found.io/app/kibana#/discover/Steve-Slow-Train-Analysis-(2080s-and-2083s)?_g=(refreshInterval:(display:Off,pause:!f,section:0,value:0),time:(from:'2017-02-28T17:08:19-0700',mode:absolute,to:'2017-02-28T19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187" t="str">
        <f t="shared" si="29"/>
        <v>N</v>
      </c>
      <c r="X124" s="187">
        <f t="shared" si="45"/>
        <v>1</v>
      </c>
      <c r="Y124" s="62">
        <f t="shared" si="30"/>
        <v>23.297899999999998</v>
      </c>
      <c r="Z124" s="62">
        <f t="shared" si="31"/>
        <v>1.5800000000000002E-2</v>
      </c>
      <c r="AA124" s="62">
        <f t="shared" si="32"/>
        <v>23.2821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0210-28</v>
      </c>
      <c r="AE124" s="85" t="str">
        <f t="shared" si="34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124" s="82" t="str">
        <f t="shared" si="35"/>
        <v>"C:\Program Files (x86)\AstroGrep\AstroGrep.exe" /spath="%USERPROFILE%\AppData\Local\Temp\OnboardLogs" /stypes="app*4004*20170301*" /stext=" 01:.+((SYSTEM_STATE.+slice.+state.+changed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86" t="str">
        <f t="shared" si="37"/>
        <v>"%USERPROFILE%\Documents\GitHub\eaglep3\Utilities\RefineRTDCRunTimes.py" --tripid 210-28 --locoid 4004 --swversion DE.1.0.9.0 --startMP 204:232979 --initTime 2017-02-28T18:08:19 --startdatetime 2017-02-28T18:11:24 --delay 2 --endMP 204:158 --enddatetime 2017-02-28T18:52:13 --enforcementcount 1 &gt;&gt;C:\Users\stu\Documents\GitHub\eaglep3-reporting\EC\2017-02-28-refined-times.txt</v>
      </c>
      <c r="AI124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{"issue":{"subject":"","project_id":79,"tracker_id":40,"status_id":1,"priority_id":2,"assigned_to_id":23,"start_date":"2017-02-28","description":"","custom_fields":[{"id":1,"name":"Subdivision","value":"EC"},{"id":4,"name":"Milepost","value":"0.0158"},{"id":17,"name":"Train ID","value":"210-28"},{"id":16,"name":"Locomotive ID","value":"4004"},{"id":130,"name":"Impact","value":""},{"id":150,"name":"Time of Event (Mountain Time)","value":"18:52:13"},{"id":151,"name":"Denver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4004 --day 2017-02-28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"%USERPROFILE%\AppData\Local\Temp\OnboardLogs"\RTDC4004\*4004*20170301* | grep -SE "(Enforcement Action)|(\[TIMEOUT)|(CHR.+\|PRM\|1\|D.+(SWITCH|SIGNAL).+UNKNOWN)" - &gt;&gt; 2017-02-28-UncaughtWiMAX.txt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710</v>
      </c>
      <c r="B125" s="7">
        <v>4051</v>
      </c>
      <c r="C125" s="21" t="s">
        <v>274</v>
      </c>
      <c r="D125" s="21" t="s">
        <v>225</v>
      </c>
      <c r="E125" s="13">
        <v>42794.7262962963</v>
      </c>
      <c r="F125" s="13">
        <v>42794.729432870372</v>
      </c>
      <c r="G125" s="7">
        <v>1</v>
      </c>
      <c r="H125" s="21" t="s">
        <v>788</v>
      </c>
      <c r="I125" s="13">
        <v>42794.755555555559</v>
      </c>
      <c r="J125" s="7">
        <v>1</v>
      </c>
      <c r="K125" s="98" t="str">
        <f t="shared" si="25"/>
        <v>4051/4052</v>
      </c>
      <c r="L125" s="21" t="str">
        <f>VLOOKUP(A125,'Trips&amp;Operators'!$C$1:$G$99999,5,FALSE)</f>
        <v>SWANSON BRYCE</v>
      </c>
      <c r="M125" s="6">
        <f t="shared" si="26"/>
        <v>2.6122685187146999E-2</v>
      </c>
      <c r="N125" s="7">
        <f t="shared" si="43"/>
        <v>37.616666669491678</v>
      </c>
      <c r="O125" s="7"/>
      <c r="P125" s="7"/>
      <c r="Q125" s="22"/>
      <c r="R125" s="22"/>
      <c r="S125" s="31">
        <f t="shared" si="44"/>
        <v>1</v>
      </c>
      <c r="T125" s="46" t="str">
        <f t="shared" si="27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8"/>
        <v>https://d0f6bd738d7f1b3e5a7ca70fe4ff75f0.us-east-1.aws.found.io/app/kibana#/discover/Steve-Slow-Train-Analysis-(2080s-and-2083s)?_g=(refreshInterval:(display:Off,pause:!f,section:0,value:0),time:(from:'2017-02-28T16:25:52-0700',mode:absolute,to:'2017-02-28T19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187" t="str">
        <f t="shared" si="29"/>
        <v>N</v>
      </c>
      <c r="X125" s="187">
        <f t="shared" si="45"/>
        <v>1</v>
      </c>
      <c r="Y125" s="62">
        <f t="shared" si="30"/>
        <v>4.5100000000000001E-2</v>
      </c>
      <c r="Z125" s="62">
        <f t="shared" si="31"/>
        <v>23.3307</v>
      </c>
      <c r="AA125" s="62">
        <f t="shared" si="32"/>
        <v>23.285599999999999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3"/>
        <v>0211-28</v>
      </c>
      <c r="AE125" s="85" t="str">
        <f t="shared" si="34"/>
        <v>aws s3 cp s3://rtdc.mdm.uploadarchive.raw/RTDC4051/ "%USERPROFILE%\AppData\Local\Temp\OnboardLogs"\RTDC4051\2017-02-28 --exclude "*" --recursive --include "*20170228*" &amp; "%USERPROFILE%\Documents\GitHub\mrs-test-scripts\Headless Mode &amp; Sideloading\WalkAndUnGZ.bat" "%USERPROFILE%\AppData\Local\Temp\OnboardLogs"\RTDC4051\2017-02-28 &amp; aws s3 cp s3://rtdc.mdm.uploadarchive.raw/RTDC4051/ "%USERPROFILE%\AppData\Local\Temp\OnboardLogs"\RTDC4051\2017-03-01 --exclude "*" --recursive --include "*20170301*" &amp; "%USERPROFILE%\Documents\GitHub\mrs-test-scripts\Headless Mode &amp; Sideloading\WalkAndUnGZ.bat" "%USERPROFILE%\AppData\Local\Temp\OnboardLogs"\RTDC4051\2017-03-01</v>
      </c>
      <c r="AF125" s="82" t="str">
        <f t="shared" si="35"/>
        <v>"C:\Program Files (x86)\AstroGrep\AstroGrep.exe" /spath="%USERPROFILE%\AppData\Local\Temp\OnboardLogs" /stypes="app*4051*20170301*" /stext=" 01:.+((SYSTEM_STATE.+slice.+state.+changed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86" t="str">
        <f t="shared" si="37"/>
        <v>"%USERPROFILE%\Documents\GitHub\eaglep3\Utilities\RefineRTDCRunTimes.py" --tripid 211-28 --locoid 4051 --swversion DE.1.0.9.0 --startMP 204:451 --initTime 2017-02-28T17:25:52 --startdatetime 2017-02-28T17:30:23 --delay 1 --endMP 204:233307 --enddatetime 2017-02-28T18:08:00 --enforcementcount 1 &gt;&gt;C:\Users\stu\Documents\GitHub\eaglep3-reporting\EC\2017-02-28-refined-times.txt</v>
      </c>
      <c r="AI125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{"issue":{"subject":"","project_id":79,"tracker_id":40,"status_id":1,"priority_id":2,"assigned_to_id":23,"start_date":"2017-02-28","description":"","custom_fields":[{"id":1,"name":"Subdivision","value":"EC"},{"id":4,"name":"Milepost","value":"23.3307"},{"id":17,"name":"Train ID","value":"211-28"},{"id":16,"name":"Locomotive ID","value":"4051"},{"id":130,"name":"Impact","value":""},{"id":150,"name":"Time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4051 --day 2017-02-28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"%USERPROFILE%\AppData\Local\Temp\OnboardLogs"\RTDC4051\*4051*20170301* | grep -SE "(Enforcement Action)|(\[TIMEOUT)|(CHR.+\|PRM\|1\|D.+(SWITCH|SIGNAL).+UNKNOWN)" - &gt;&gt; 2017-02-28-UncaughtWiMAX.txt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720</v>
      </c>
      <c r="B126" s="7">
        <v>4052</v>
      </c>
      <c r="C126" s="21" t="s">
        <v>274</v>
      </c>
      <c r="D126" s="21" t="s">
        <v>795</v>
      </c>
      <c r="E126" s="13">
        <v>42794.758344907408</v>
      </c>
      <c r="F126" s="13">
        <v>42794.768240740741</v>
      </c>
      <c r="G126" s="7">
        <v>1</v>
      </c>
      <c r="H126" s="21" t="s">
        <v>207</v>
      </c>
      <c r="I126" s="13">
        <v>42794.797847222224</v>
      </c>
      <c r="J126" s="7">
        <v>1</v>
      </c>
      <c r="K126" s="98" t="str">
        <f t="shared" si="25"/>
        <v>4051/4052</v>
      </c>
      <c r="L126" s="21" t="str">
        <f>VLOOKUP(A126,'Trips&amp;Operators'!$C$1:$G$99999,5,FALSE)</f>
        <v>SWANSON BRYCE</v>
      </c>
      <c r="M126" s="6">
        <f t="shared" si="26"/>
        <v>2.9606481482915115E-2</v>
      </c>
      <c r="N126" s="7">
        <f t="shared" si="43"/>
        <v>42.633333335397765</v>
      </c>
      <c r="O126" s="7"/>
      <c r="P126" s="7"/>
      <c r="Q126" s="22"/>
      <c r="R126" s="22"/>
      <c r="S126" s="31">
        <f t="shared" si="44"/>
        <v>1</v>
      </c>
      <c r="T126" s="46" t="str">
        <f t="shared" si="27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8"/>
        <v>https://d0f6bd738d7f1b3e5a7ca70fe4ff75f0.us-east-1.aws.found.io/app/kibana#/discover/Steve-Slow-Train-Analysis-(2080s-and-2083s)?_g=(refreshInterval:(display:Off,pause:!f,section:0,value:0),time:(from:'2017-02-28T17:12:01-0700',mode:absolute,to:'2017-02-28T20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187" t="str">
        <f t="shared" si="29"/>
        <v>N</v>
      </c>
      <c r="X126" s="187">
        <f t="shared" si="45"/>
        <v>1</v>
      </c>
      <c r="Y126" s="62">
        <f t="shared" si="30"/>
        <v>23.2986</v>
      </c>
      <c r="Z126" s="62">
        <f t="shared" si="31"/>
        <v>1.5800000000000002E-2</v>
      </c>
      <c r="AA126" s="62">
        <f t="shared" si="32"/>
        <v>23.282800000000002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0212-28</v>
      </c>
      <c r="AE126" s="85" t="str">
        <f t="shared" si="34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126" s="82" t="str">
        <f t="shared" si="35"/>
        <v>"C:\Program Files (x86)\AstroGrep\AstroGrep.exe" /spath="%USERPROFILE%\AppData\Local\Temp\OnboardLogs" /stypes="app*4052*20170301*" /stext=" 02:.+((SYSTEM_STATE.+slice.+state.+changed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86" t="str">
        <f t="shared" si="37"/>
        <v>"%USERPROFILE%\Documents\GitHub\eaglep3\Utilities\RefineRTDCRunTimes.py" --tripid 212-28 --locoid 4052 --swversion DE.1.0.9.0 --startMP 204:232986 --initTime 2017-02-28T18:12:01 --startdatetime 2017-02-28T18:26:16 --delay 1 --endMP 204:158 --enddatetime 2017-02-28T19:08:54 --enforcementcount 1 &gt;&gt;C:\Users\stu\Documents\GitHub\eaglep3-reporting\EC\2017-02-28-refined-times.txt</v>
      </c>
      <c r="AI126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{"issue":{"subject":"","project_id":79,"tracker_id":40,"status_id":1,"priority_id":2,"assigned_to_id":23,"start_date":"2017-02-28","description":"","custom_fields":[{"id":1,"name":"Subdivision","value":"EC"},{"id":4,"name":"Milepost","value":"0.0158"},{"id":17,"name":"Train ID","value":"212-28"},{"id":16,"name":"Locomotive ID","value":"4052"},{"id":130,"name":"Impact","value":""},{"id":150,"name":"Time of Event (Mountain Time)","value":"19:08:54"},{"id":151,"name":"Denver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4052 --day 2017-02-28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"%USERPROFILE%\AppData\Local\Temp\OnboardLogs"\RTDC4052\*4052*20170301* | grep -SE "(Enforcement Action)|(\[TIMEOUT)|(CHR.+\|PRM\|1\|D.+(SWITCH|SIGNAL).+UNKNOWN)" - &gt;&gt; 2017-02-28-UncaughtWiMAX.txt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715</v>
      </c>
      <c r="B127" s="7">
        <v>4006</v>
      </c>
      <c r="C127" s="21" t="s">
        <v>274</v>
      </c>
      <c r="D127" s="21" t="s">
        <v>225</v>
      </c>
      <c r="E127" s="13">
        <v>42794.738865740743</v>
      </c>
      <c r="F127" s="13">
        <v>42794.740555555552</v>
      </c>
      <c r="G127" s="7">
        <v>1</v>
      </c>
      <c r="H127" s="21" t="s">
        <v>282</v>
      </c>
      <c r="I127" s="13">
        <v>42794.765486111108</v>
      </c>
      <c r="J127" s="7">
        <v>1</v>
      </c>
      <c r="K127" s="98" t="str">
        <f t="shared" si="25"/>
        <v>4005/4006</v>
      </c>
      <c r="L127" s="21" t="str">
        <f>VLOOKUP(A127,'Trips&amp;Operators'!$C$1:$G$99999,5,FALSE)</f>
        <v>NEWELL JAMES</v>
      </c>
      <c r="M127" s="6">
        <f t="shared" si="26"/>
        <v>2.4930555555329192E-2</v>
      </c>
      <c r="N127" s="7">
        <f t="shared" si="43"/>
        <v>35.899999999674037</v>
      </c>
      <c r="O127" s="7"/>
      <c r="P127" s="7"/>
      <c r="Q127" s="22"/>
      <c r="R127" s="22"/>
      <c r="S127" s="31">
        <f t="shared" si="44"/>
        <v>1</v>
      </c>
      <c r="T127" s="46" t="str">
        <f t="shared" si="27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8"/>
        <v>https://d0f6bd738d7f1b3e5a7ca70fe4ff75f0.us-east-1.aws.found.io/app/kibana#/discover/Steve-Slow-Train-Analysis-(2080s-and-2083s)?_g=(refreshInterval:(display:Off,pause:!f,section:0,value:0),time:(from:'2017-02-28T16:43:58-0700',mode:absolute,to:'2017-02-28T19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187" t="str">
        <f t="shared" si="29"/>
        <v>N</v>
      </c>
      <c r="X127" s="187">
        <f t="shared" si="45"/>
        <v>1</v>
      </c>
      <c r="Y127" s="62">
        <f t="shared" si="30"/>
        <v>4.5100000000000001E-2</v>
      </c>
      <c r="Z127" s="62">
        <f t="shared" si="31"/>
        <v>23.331399999999999</v>
      </c>
      <c r="AA127" s="62">
        <f t="shared" si="32"/>
        <v>23.286299999999997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0213-28</v>
      </c>
      <c r="AE127" s="85" t="str">
        <f t="shared" si="34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127" s="82" t="str">
        <f t="shared" si="35"/>
        <v>"C:\Program Files (x86)\AstroGrep\AstroGrep.exe" /spath="%USERPROFILE%\AppData\Local\Temp\OnboardLogs" /stypes="app*4006*20170301*" /stext=" 01:.+((SYSTEM_STATE.+slice.+state.+changed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86" t="str">
        <f t="shared" si="37"/>
        <v>"%USERPROFILE%\Documents\GitHub\eaglep3\Utilities\RefineRTDCRunTimes.py" --tripid 213-28 --locoid 4006 --swversion DE.1.0.9.0 --startMP 204:451 --initTime 2017-02-28T17:43:58 --startdatetime 2017-02-28T17:46:24 --delay 1 --endMP 204:233314 --enddatetime 2017-02-28T18:22:18 --enforcementcount 1 &gt;&gt;C:\Users\stu\Documents\GitHub\eaglep3-reporting\EC\2017-02-28-refined-times.txt</v>
      </c>
      <c r="AI127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{"issue":{"subject":"","project_id":79,"tracker_id":40,"status_id":1,"priority_id":2,"assigned_to_id":23,"start_date":"2017-02-28","description":"","custom_fields":[{"id":1,"name":"Subdivision","value":"EC"},{"id":4,"name":"Milepost","value":"23.3314"},{"id":17,"name":"Train ID","value":"213-28"},{"id":16,"name":"Locomotive ID","value":"4006"},{"id":130,"name":"Impact","value":""},{"id":150,"name":"Time of Event (Mountain Time)","value":"18:22:18"},{"id":151,"name":"Denver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4006 --day 2017-02-28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"%USERPROFILE%\AppData\Local\Temp\OnboardLogs"\RTDC4006\*4006*20170301* | grep -SE "(Enforcement Action)|(\[TIMEOUT)|(CHR.+\|PRM\|1\|D.+(SWITCH|SIGNAL).+UNKNOWN)" - &gt;&gt; 2017-02-28-UncaughtWiMAX.txt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727</v>
      </c>
      <c r="B128" s="7">
        <v>4005</v>
      </c>
      <c r="C128" s="21" t="s">
        <v>274</v>
      </c>
      <c r="D128" s="21" t="s">
        <v>244</v>
      </c>
      <c r="E128" s="13">
        <v>42794.771273148152</v>
      </c>
      <c r="F128" s="13">
        <v>42794.778634259259</v>
      </c>
      <c r="G128" s="7">
        <v>1</v>
      </c>
      <c r="H128" s="21" t="s">
        <v>196</v>
      </c>
      <c r="I128" s="13">
        <v>42794.806666666664</v>
      </c>
      <c r="J128" s="7">
        <v>1</v>
      </c>
      <c r="K128" s="98" t="str">
        <f t="shared" si="25"/>
        <v>4005/4006</v>
      </c>
      <c r="L128" s="21" t="str">
        <f>VLOOKUP(A128,'Trips&amp;Operators'!$C$1:$G$99999,5,FALSE)</f>
        <v>NEWELL JAMES</v>
      </c>
      <c r="M128" s="6">
        <f t="shared" si="26"/>
        <v>2.8032407404680271E-2</v>
      </c>
      <c r="N128" s="7">
        <f t="shared" si="43"/>
        <v>40.36666666273959</v>
      </c>
      <c r="O128" s="7"/>
      <c r="P128" s="7"/>
      <c r="Q128" s="22"/>
      <c r="R128" s="22"/>
      <c r="S128" s="31">
        <f t="shared" si="44"/>
        <v>1</v>
      </c>
      <c r="T128" s="46" t="str">
        <f t="shared" si="27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8"/>
        <v>https://d0f6bd738d7f1b3e5a7ca70fe4ff75f0.us-east-1.aws.found.io/app/kibana#/discover/Steve-Slow-Train-Analysis-(2080s-and-2083s)?_g=(refreshInterval:(display:Off,pause:!f,section:0,value:0),time:(from:'2017-02-28T17:30:38-0700',mode:absolute,to:'2017-02-28T20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187" t="str">
        <f t="shared" si="29"/>
        <v>N</v>
      </c>
      <c r="X128" s="187">
        <f t="shared" si="45"/>
        <v>1</v>
      </c>
      <c r="Y128" s="62">
        <f t="shared" si="30"/>
        <v>23.299299999999999</v>
      </c>
      <c r="Z128" s="62">
        <f t="shared" si="31"/>
        <v>1.4500000000000001E-2</v>
      </c>
      <c r="AA128" s="62">
        <f t="shared" si="32"/>
        <v>23.284799999999997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0214-28</v>
      </c>
      <c r="AE128" s="85" t="str">
        <f t="shared" si="34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128" s="82" t="str">
        <f t="shared" si="35"/>
        <v>"C:\Program Files (x86)\AstroGrep\AstroGrep.exe" /spath="%USERPROFILE%\AppData\Local\Temp\OnboardLogs" /stypes="app*4005*20170301*" /stext=" 02:.+((SYSTEM_STATE.+slice.+state.+changed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86" t="str">
        <f t="shared" si="37"/>
        <v>"%USERPROFILE%\Documents\GitHub\eaglep3\Utilities\RefineRTDCRunTimes.py" --tripid 214-28 --locoid 4005 --swversion DE.1.0.9.0 --startMP 204:232993 --initTime 2017-02-28T18:30:38 --startdatetime 2017-02-28T18:41:14 --delay 1 --endMP 204:145 --enddatetime 2017-02-28T19:21:36 --enforcementcount 1 &gt;&gt;C:\Users\stu\Documents\GitHub\eaglep3-reporting\EC\2017-02-28-refined-times.txt</v>
      </c>
      <c r="AI12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{"issue":{"subject":"","project_id":79,"tracker_id":40,"status_id":1,"priority_id":2,"assigned_to_id":23,"start_date":"2017-02-28","description":"","custom_fields":[{"id":1,"name":"Subdivision","value":"EC"},{"id":4,"name":"Milepost","value":"0.0145"},{"id":17,"name":"Train ID","value":"214-28"},{"id":16,"name":"Locomotive ID","value":"4005"},{"id":130,"name":"Impact","value":""},{"id":150,"name":"Time of Event (Mountain Time)","value":"19:21:36"},{"id":151,"name":"Denver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4005 --day 2017-02-28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"%USERPROFILE%\AppData\Local\Temp\OnboardLogs"\RTDC4005\*4005*20170301* | grep -SE "(Enforcement Action)|(\[TIMEOUT)|(CHR.+\|PRM\|1\|D.+(SWITCH|SIGNAL).+UNKNOWN)" - &gt;&gt; 2017-02-28-UncaughtWiMAX.txt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717</v>
      </c>
      <c r="B129" s="7">
        <v>4044</v>
      </c>
      <c r="C129" s="21" t="s">
        <v>274</v>
      </c>
      <c r="D129" s="21" t="s">
        <v>269</v>
      </c>
      <c r="E129" s="13">
        <v>42794.747800925928</v>
      </c>
      <c r="F129" s="13">
        <v>42794.750648148147</v>
      </c>
      <c r="G129" s="7">
        <v>2</v>
      </c>
      <c r="H129" s="21" t="s">
        <v>311</v>
      </c>
      <c r="I129" s="13">
        <v>42794.776053240741</v>
      </c>
      <c r="J129" s="7">
        <v>1</v>
      </c>
      <c r="K129" s="98" t="str">
        <f t="shared" si="25"/>
        <v>4043/4044</v>
      </c>
      <c r="L129" s="21" t="str">
        <f>VLOOKUP(A129,'Trips&amp;Operators'!$C$1:$G$99999,5,FALSE)</f>
        <v>BERLING GARY</v>
      </c>
      <c r="M129" s="6">
        <f t="shared" si="26"/>
        <v>2.5405092594155576E-2</v>
      </c>
      <c r="N129" s="7">
        <f t="shared" si="43"/>
        <v>36.58333333558403</v>
      </c>
      <c r="O129" s="7"/>
      <c r="P129" s="7"/>
      <c r="Q129" s="22"/>
      <c r="R129" s="22"/>
      <c r="S129" s="31">
        <f t="shared" si="44"/>
        <v>1</v>
      </c>
      <c r="T129" s="46" t="str">
        <f t="shared" si="27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8"/>
        <v>https://d0f6bd738d7f1b3e5a7ca70fe4ff75f0.us-east-1.aws.found.io/app/kibana#/discover/Steve-Slow-Train-Analysis-(2080s-and-2083s)?_g=(refreshInterval:(display:Off,pause:!f,section:0,value:0),time:(from:'2017-02-28T16:56:50-0700',mode:absolute,to:'2017-02-28T19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9" s="187" t="str">
        <f t="shared" si="29"/>
        <v>N</v>
      </c>
      <c r="X129" s="187">
        <f t="shared" si="45"/>
        <v>1</v>
      </c>
      <c r="Y129" s="62">
        <f t="shared" si="30"/>
        <v>4.6600000000000003E-2</v>
      </c>
      <c r="Z129" s="62">
        <f t="shared" si="31"/>
        <v>23.331199999999999</v>
      </c>
      <c r="AA129" s="62">
        <f t="shared" si="32"/>
        <v>23.284599999999998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3"/>
        <v>0215-28</v>
      </c>
      <c r="AE129" s="85" t="str">
        <f t="shared" si="34"/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AF129" s="82" t="str">
        <f t="shared" si="35"/>
        <v>"C:\Program Files (x86)\AstroGrep\AstroGrep.exe" /spath="%USERPROFILE%\AppData\Local\Temp\OnboardLogs" /stypes="app*4044*20170301*" /stext=" 01:.+((SYSTEM_STATE.+slice.+state.+changed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86" t="str">
        <f t="shared" si="37"/>
        <v>"%USERPROFILE%\Documents\GitHub\eaglep3\Utilities\RefineRTDCRunTimes.py" --tripid 215-28 --locoid 4044 --swversion DE.1.0.9.0 --startMP 204:466 --initTime 2017-02-28T17:56:50 --startdatetime 2017-02-28T18:00:56 --delay 2 --endMP 204:233312 --enddatetime 2017-02-28T18:37:31 --enforcementcount 1 &gt;&gt;C:\Users\stu\Documents\GitHub\eaglep3-reporting\EC\2017-02-28-refined-times.txt</v>
      </c>
      <c r="AI12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{"issue":{"subject":"","project_id":79,"tracker_id":40,"status_id":1,"priority_id":2,"assigned_to_id":23,"start_date":"2017-02-28","description":"","custom_fields":[{"id":1,"name":"Subdivision","value":"EC"},{"id":4,"name":"Milepost","value":"23.3312"},{"id":17,"name":"Train ID","value":"215-28"},{"id":16,"name":"Locomotive ID","value":"4044"},{"id":130,"name":"Impact","value":""},{"id":150,"name":"Time of Event (Mountain Time)","value":"18:37:31"},{"id":151,"name":"Denver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4044 --day 2017-02-28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"%USERPROFILE%\AppData\Local\Temp\OnboardLogs"\RTDC4044\*4044*20170301* | grep -SE "(Enforcement Action)|(\[TIMEOUT)|(CHR.+\|PRM\|1\|D.+(SWITCH|SIGNAL).+UNKNOWN)" - &gt;&gt; 2017-02-28-UncaughtWiMAX.txt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730</v>
      </c>
      <c r="B130" s="7">
        <v>4043</v>
      </c>
      <c r="C130" s="21" t="s">
        <v>274</v>
      </c>
      <c r="D130" s="21" t="s">
        <v>789</v>
      </c>
      <c r="E130" s="13">
        <v>42794.781192129631</v>
      </c>
      <c r="F130" s="13">
        <v>42794.789039351854</v>
      </c>
      <c r="G130" s="7">
        <v>2</v>
      </c>
      <c r="H130" s="21" t="s">
        <v>207</v>
      </c>
      <c r="I130" s="13">
        <v>42794.817627314813</v>
      </c>
      <c r="J130" s="7">
        <v>1</v>
      </c>
      <c r="K130" s="98" t="str">
        <f t="shared" si="25"/>
        <v>4043/4044</v>
      </c>
      <c r="L130" s="21" t="str">
        <f>VLOOKUP(A130,'Trips&amp;Operators'!$C$1:$G$99999,5,FALSE)</f>
        <v>BERLING GARY</v>
      </c>
      <c r="M130" s="6">
        <f t="shared" si="26"/>
        <v>2.8587962959136348E-2</v>
      </c>
      <c r="N130" s="7">
        <f t="shared" si="43"/>
        <v>41.166666661156341</v>
      </c>
      <c r="O130" s="7"/>
      <c r="P130" s="7"/>
      <c r="Q130" s="22"/>
      <c r="R130" s="22"/>
      <c r="S130" s="31">
        <f t="shared" si="44"/>
        <v>1</v>
      </c>
      <c r="T130" s="46" t="str">
        <f t="shared" si="27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8"/>
        <v>https://d0f6bd738d7f1b3e5a7ca70fe4ff75f0.us-east-1.aws.found.io/app/kibana#/discover/Steve-Slow-Train-Analysis-(2080s-and-2083s)?_g=(refreshInterval:(display:Off,pause:!f,section:0,value:0),time:(from:'2017-02-28T17:44:55-0700',mode:absolute,to:'2017-02-28T20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0" s="187" t="str">
        <f t="shared" si="29"/>
        <v>N</v>
      </c>
      <c r="X130" s="187">
        <f t="shared" si="45"/>
        <v>1</v>
      </c>
      <c r="Y130" s="62">
        <f t="shared" si="30"/>
        <v>23.3001</v>
      </c>
      <c r="Z130" s="62">
        <f t="shared" si="31"/>
        <v>1.5800000000000002E-2</v>
      </c>
      <c r="AA130" s="62">
        <f t="shared" si="32"/>
        <v>23.284300000000002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3"/>
        <v>0216-28</v>
      </c>
      <c r="AE130" s="85" t="str">
        <f t="shared" si="34"/>
        <v>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 &amp; 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</v>
      </c>
      <c r="AF130" s="82" t="str">
        <f t="shared" si="35"/>
        <v>"C:\Program Files (x86)\AstroGrep\AstroGrep.exe" /spath="%USERPROFILE%\AppData\Local\Temp\OnboardLogs" /stypes="app*4043*20170301*" /stext=" 02:.+((SYSTEM_STATE.+slice.+state.+changed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86" t="str">
        <f t="shared" si="37"/>
        <v>"%USERPROFILE%\Documents\GitHub\eaglep3\Utilities\RefineRTDCRunTimes.py" --tripid 216-28 --locoid 4043 --swversion DE.1.0.9.0 --startMP 204:233001 --initTime 2017-02-28T18:44:55 --startdatetime 2017-02-28T18:56:13 --delay 2 --endMP 204:158 --enddatetime 2017-02-28T19:37:23 --enforcementcount 1 &gt;&gt;C:\Users\stu\Documents\GitHub\eaglep3-reporting\EC\2017-02-28-refined-times.txt</v>
      </c>
      <c r="AI13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{"issue":{"subject":"","project_id":79,"tracker_id":40,"status_id":1,"priority_id":2,"assigned_to_id":23,"start_date":"2017-02-28","description":"","custom_fields":[{"id":1,"name":"Subdivision","value":"EC"},{"id":4,"name":"Milepost","value":"0.0158"},{"id":17,"name":"Train ID","value":"216-28"},{"id":16,"name":"Locomotive ID","value":"4043"},{"id":130,"name":"Impact","value":""},{"id":150,"name":"Time of Event (Mountain Time)","value":"19:37:23"},{"id":151,"name":"Denver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4043 --day 2017-02-28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"%USERPROFILE%\AppData\Local\Temp\OnboardLogs"\RTDC4043\*4043*20170301* | grep -SE "(Enforcement Action)|(\[TIMEOUT)|(CHR.+\|PRM\|1\|D.+(SWITCH|SIGNAL).+UNKNOWN)" - &gt;&gt; 2017-02-28-UncaughtWiMAX.txt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722</v>
      </c>
      <c r="B131" s="7">
        <v>4007</v>
      </c>
      <c r="C131" s="21" t="s">
        <v>274</v>
      </c>
      <c r="D131" s="21" t="s">
        <v>226</v>
      </c>
      <c r="E131" s="13">
        <v>42794.760254629633</v>
      </c>
      <c r="F131" s="13">
        <v>42794.762129629627</v>
      </c>
      <c r="G131" s="7">
        <v>2</v>
      </c>
      <c r="H131" s="21" t="s">
        <v>282</v>
      </c>
      <c r="I131" s="13">
        <v>42794.787152777775</v>
      </c>
      <c r="J131" s="7">
        <v>1</v>
      </c>
      <c r="K131" s="98" t="str">
        <f t="shared" si="25"/>
        <v>4007/4008</v>
      </c>
      <c r="L131" s="21" t="str">
        <f>VLOOKUP(A131,'Trips&amp;Operators'!$C$1:$G$99999,5,FALSE)</f>
        <v>STORY SAMANTHA</v>
      </c>
      <c r="M131" s="6">
        <f t="shared" si="26"/>
        <v>2.5023148147738539E-2</v>
      </c>
      <c r="N131" s="7">
        <f t="shared" si="43"/>
        <v>36.033333332743496</v>
      </c>
      <c r="O131" s="7"/>
      <c r="P131" s="7"/>
      <c r="Q131" s="22"/>
      <c r="R131" s="22"/>
      <c r="S131" s="31">
        <f t="shared" si="44"/>
        <v>1</v>
      </c>
      <c r="T131" s="46" t="str">
        <f t="shared" si="27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8"/>
        <v>https://d0f6bd738d7f1b3e5a7ca70fe4ff75f0.us-east-1.aws.found.io/app/kibana#/discover/Steve-Slow-Train-Analysis-(2080s-and-2083s)?_g=(refreshInterval:(display:Off,pause:!f,section:0,value:0),time:(from:'2017-02-28T17:14:46-0700',mode:absolute,to:'2017-02-28T19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1" s="187" t="str">
        <f t="shared" si="29"/>
        <v>N</v>
      </c>
      <c r="X131" s="187">
        <f t="shared" si="45"/>
        <v>1</v>
      </c>
      <c r="Y131" s="62">
        <f t="shared" si="30"/>
        <v>4.5699999999999998E-2</v>
      </c>
      <c r="Z131" s="62">
        <f t="shared" si="31"/>
        <v>23.331399999999999</v>
      </c>
      <c r="AA131" s="62">
        <f t="shared" si="32"/>
        <v>23.285699999999999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3"/>
        <v>0217-28</v>
      </c>
      <c r="AE131" s="85" t="str">
        <f t="shared" si="34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131" s="82" t="str">
        <f t="shared" si="35"/>
        <v>"C:\Program Files (x86)\AstroGrep\AstroGrep.exe" /spath="%USERPROFILE%\AppData\Local\Temp\OnboardLogs" /stypes="app*4007*20170301*" /stext=" 01:.+((SYSTEM_STATE.+slice.+state.+changed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86" t="str">
        <f t="shared" si="37"/>
        <v>"%USERPROFILE%\Documents\GitHub\eaglep3\Utilities\RefineRTDCRunTimes.py" --tripid 217-28 --locoid 4007 --swversion DE.1.0.9.0 --startMP 204:457 --initTime 2017-02-28T18:14:46 --startdatetime 2017-02-28T18:17:28 --delay 2 --endMP 204:233314 --enddatetime 2017-02-28T18:53:30 --enforcementcount 1 &gt;&gt;C:\Users\stu\Documents\GitHub\eaglep3-reporting\EC\2017-02-28-refined-times.txt</v>
      </c>
      <c r="AI131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{"issue":{"subject":"","project_id":79,"tracker_id":40,"status_id":1,"priority_id":2,"assigned_to_id":23,"start_date":"2017-02-28","description":"","custom_fields":[{"id":1,"name":"Subdivision","value":"EC"},{"id":4,"name":"Milepost","value":"23.3314"},{"id":17,"name":"Train ID","value":"217-28"},{"id":16,"name":"Locomotive ID","value":"4007"},{"id":130,"name":"Impact","value":""},{"id":150,"name":"Time of Event (Mountain Time)","value":"18:53:30"},{"id":151,"name":"Denver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4007 --day 2017-02-28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"%USERPROFILE%\AppData\Local\Temp\OnboardLogs"\RTDC4007\*4007*20170301* | grep -SE "(Enforcement Action)|(\[TIMEOUT)|(CHR.+\|PRM\|1\|D.+(SWITCH|SIGNAL).+UNKNOWN)" - &gt;&gt; 2017-02-28-UncaughtWiMAX.txt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733</v>
      </c>
      <c r="B132" s="7">
        <v>4008</v>
      </c>
      <c r="C132" s="21" t="s">
        <v>274</v>
      </c>
      <c r="D132" s="21" t="s">
        <v>281</v>
      </c>
      <c r="E132" s="13">
        <v>42794.792060185187</v>
      </c>
      <c r="F132" s="13">
        <v>42794.799571759257</v>
      </c>
      <c r="G132" s="7">
        <v>1</v>
      </c>
      <c r="H132" s="21" t="s">
        <v>203</v>
      </c>
      <c r="I132" s="13">
        <v>42794.826944444445</v>
      </c>
      <c r="J132" s="7">
        <v>1</v>
      </c>
      <c r="K132" s="98" t="str">
        <f t="shared" si="25"/>
        <v>4007/4008</v>
      </c>
      <c r="L132" s="21" t="str">
        <f>VLOOKUP(A132,'Trips&amp;Operators'!$C$1:$G$99999,5,FALSE)</f>
        <v>STORY SAMANTHA</v>
      </c>
      <c r="M132" s="6">
        <f t="shared" si="26"/>
        <v>2.7372685188311152E-2</v>
      </c>
      <c r="N132" s="7">
        <f t="shared" si="43"/>
        <v>39.416666671168059</v>
      </c>
      <c r="O132" s="7"/>
      <c r="P132" s="7"/>
      <c r="Q132" s="22"/>
      <c r="R132" s="22"/>
      <c r="S132" s="31">
        <f t="shared" si="44"/>
        <v>1</v>
      </c>
      <c r="T132" s="46" t="str">
        <f t="shared" si="27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8"/>
        <v>https://d0f6bd738d7f1b3e5a7ca70fe4ff75f0.us-east-1.aws.found.io/app/kibana#/discover/Steve-Slow-Train-Analysis-(2080s-and-2083s)?_g=(refreshInterval:(display:Off,pause:!f,section:0,value:0),time:(from:'2017-02-28T18:00:34-0700',mode:absolute,to:'2017-02-28T20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87" t="str">
        <f t="shared" si="29"/>
        <v>N</v>
      </c>
      <c r="X132" s="187">
        <f t="shared" si="45"/>
        <v>1</v>
      </c>
      <c r="Y132" s="62">
        <f t="shared" si="30"/>
        <v>23.2987</v>
      </c>
      <c r="Z132" s="62">
        <f t="shared" si="31"/>
        <v>1.6E-2</v>
      </c>
      <c r="AA132" s="62">
        <f t="shared" si="32"/>
        <v>23.282700000000002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0218-28</v>
      </c>
      <c r="AE132" s="85" t="str">
        <f t="shared" si="34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132" s="82" t="str">
        <f t="shared" si="35"/>
        <v>"C:\Program Files (x86)\AstroGrep\AstroGrep.exe" /spath="%USERPROFILE%\AppData\Local\Temp\OnboardLogs" /stypes="app*4008*20170301*" /stext=" 02:.+((SYSTEM_STATE.+slice.+state.+changed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86" t="str">
        <f t="shared" si="37"/>
        <v>"%USERPROFILE%\Documents\GitHub\eaglep3\Utilities\RefineRTDCRunTimes.py" --tripid 218-28 --locoid 4008 --swversion DE.1.0.9.0 --startMP 204:232987 --initTime 2017-02-28T19:00:34 --startdatetime 2017-02-28T19:11:23 --delay 1 --endMP 204:160 --enddatetime 2017-02-28T19:50:48 --enforcementcount 1 &gt;&gt;C:\Users\stu\Documents\GitHub\eaglep3-reporting\EC\2017-02-28-refined-times.txt</v>
      </c>
      <c r="AI132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{"issue":{"subject":"","project_id":79,"tracker_id":40,"status_id":1,"priority_id":2,"assigned_to_id":23,"start_date":"2017-02-28","description":"","custom_fields":[{"id":1,"name":"Subdivision","value":"EC"},{"id":4,"name":"Milepost","value":"0.016"},{"id":17,"name":"Train ID","value":"218-28"},{"id":16,"name":"Locomotive ID","value":"4008"},{"id":130,"name":"Impact","value":""},{"id":150,"name":"Time of Event (Mountain Time)","value":"19:50:48"},{"id":151,"name":"Denver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4008 --day 2017-02-28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"%USERPROFILE%\AppData\Local\Temp\OnboardLogs"\RTDC4008\*4008*20170301* | grep -SE "(Enforcement Action)|(\[TIMEOUT)|(CHR.+\|PRM\|1\|D.+(SWITCH|SIGNAL).+UNKNOWN)" - &gt;&gt; 2017-02-28-UncaughtWiMAX.txt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723</v>
      </c>
      <c r="B133" s="7">
        <v>4018</v>
      </c>
      <c r="C133" s="21" t="s">
        <v>274</v>
      </c>
      <c r="D133" s="21" t="s">
        <v>225</v>
      </c>
      <c r="E133" s="13">
        <v>42794.769675925927</v>
      </c>
      <c r="F133" s="13">
        <v>42794.771331018521</v>
      </c>
      <c r="G133" s="7">
        <v>2</v>
      </c>
      <c r="H133" s="21" t="s">
        <v>833</v>
      </c>
      <c r="I133" s="13">
        <v>42794.795868055553</v>
      </c>
      <c r="J133" s="7">
        <v>1</v>
      </c>
      <c r="K133" s="98" t="str">
        <f t="shared" si="25"/>
        <v>4017/4018</v>
      </c>
      <c r="L133" s="21" t="str">
        <f>VLOOKUP(A133,'Trips&amp;Operators'!$C$1:$G$99999,5,FALSE)</f>
        <v>HAUSER FRANK</v>
      </c>
      <c r="M133" s="6">
        <f t="shared" si="26"/>
        <v>2.4537037032132503E-2</v>
      </c>
      <c r="N133" s="7">
        <f t="shared" si="43"/>
        <v>35.333333326270804</v>
      </c>
      <c r="O133" s="7"/>
      <c r="P133" s="7"/>
      <c r="Q133" s="22"/>
      <c r="R133" s="22"/>
      <c r="S133" s="31">
        <f t="shared" si="44"/>
        <v>1</v>
      </c>
      <c r="T133" s="46" t="str">
        <f t="shared" si="27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8"/>
        <v>https://d0f6bd738d7f1b3e5a7ca70fe4ff75f0.us-east-1.aws.found.io/app/kibana#/discover/Steve-Slow-Train-Analysis-(2080s-and-2083s)?_g=(refreshInterval:(display:Off,pause:!f,section:0,value:0),time:(from:'2017-02-28T17:28:20-0700',mode:absolute,to:'2017-02-28T20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87" t="str">
        <f t="shared" si="29"/>
        <v>N</v>
      </c>
      <c r="X133" s="187">
        <f t="shared" si="45"/>
        <v>1</v>
      </c>
      <c r="Y133" s="62">
        <f t="shared" si="30"/>
        <v>4.5100000000000001E-2</v>
      </c>
      <c r="Z133" s="62">
        <f t="shared" si="31"/>
        <v>23.336400000000001</v>
      </c>
      <c r="AA133" s="62">
        <f t="shared" si="32"/>
        <v>23.2913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0219-28</v>
      </c>
      <c r="AE133" s="85" t="str">
        <f t="shared" si="34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133" s="82" t="str">
        <f t="shared" si="35"/>
        <v>"C:\Program Files (x86)\AstroGrep\AstroGrep.exe" /spath="%USERPROFILE%\AppData\Local\Temp\OnboardLogs" /stypes="app*4018*20170301*" /stext=" 02:.+((SYSTEM_STATE.+slice.+state.+changed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86" t="str">
        <f t="shared" si="37"/>
        <v>"%USERPROFILE%\Documents\GitHub\eaglep3\Utilities\RefineRTDCRunTimes.py" --tripid 219-28 --locoid 4018 --swversion DE.1.0.9.0 --startMP 204:451 --initTime 2017-02-28T18:28:20 --startdatetime 2017-02-28T18:30:43 --delay 2 --endMP 204:233364 --enddatetime 2017-02-28T19:06:03 --enforcementcount 1 &gt;&gt;C:\Users\stu\Documents\GitHub\eaglep3-reporting\EC\2017-02-28-refined-times.txt</v>
      </c>
      <c r="AI133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{"issue":{"subject":"","project_id":79,"tracker_id":40,"status_id":1,"priority_id":2,"assigned_to_id":23,"start_date":"2017-02-28","description":"","custom_fields":[{"id":1,"name":"Subdivision","value":"EC"},{"id":4,"name":"Milepost","value":"23.3364"},{"id":17,"name":"Train ID","value":"219-28"},{"id":16,"name":"Locomotive ID","value":"4018"},{"id":130,"name":"Impact","value":""},{"id":150,"name":"Time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4018 --day 2017-02-28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2017-02-28-UncaughtWiMAX.txt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736</v>
      </c>
      <c r="B134" s="7">
        <v>4017</v>
      </c>
      <c r="C134" s="21" t="s">
        <v>274</v>
      </c>
      <c r="D134" s="21" t="s">
        <v>799</v>
      </c>
      <c r="E134" s="13">
        <v>42794.798460648148</v>
      </c>
      <c r="F134" s="13">
        <v>42794.810104166667</v>
      </c>
      <c r="G134" s="7">
        <v>2</v>
      </c>
      <c r="H134" s="21" t="s">
        <v>196</v>
      </c>
      <c r="I134" s="13">
        <v>42794.838182870371</v>
      </c>
      <c r="J134" s="7">
        <v>1</v>
      </c>
      <c r="K134" s="98" t="str">
        <f t="shared" si="25"/>
        <v>4017/4018</v>
      </c>
      <c r="L134" s="21" t="str">
        <f>VLOOKUP(A134,'Trips&amp;Operators'!$C$1:$G$99999,5,FALSE)</f>
        <v>STAMBAUGH JAMES</v>
      </c>
      <c r="M134" s="6">
        <f t="shared" si="26"/>
        <v>2.8078703704522923E-2</v>
      </c>
      <c r="N134" s="7">
        <f t="shared" ref="N134:N165" si="46">24*60*SUM($M134:$M134)</f>
        <v>40.433333334513009</v>
      </c>
      <c r="O134" s="7"/>
      <c r="P134" s="7"/>
      <c r="Q134" s="22"/>
      <c r="R134" s="22"/>
      <c r="S134" s="31">
        <f t="shared" si="44"/>
        <v>1</v>
      </c>
      <c r="T134" s="46" t="str">
        <f t="shared" si="27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8"/>
        <v>https://d0f6bd738d7f1b3e5a7ca70fe4ff75f0.us-east-1.aws.found.io/app/kibana#/discover/Steve-Slow-Train-Analysis-(2080s-and-2083s)?_g=(refreshInterval:(display:Off,pause:!f,section:0,value:0),time:(from:'2017-02-28T18:09:47-0700',mode:absolute,to:'2017-02-28T21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87" t="str">
        <f t="shared" si="29"/>
        <v>N</v>
      </c>
      <c r="X134" s="187">
        <f t="shared" si="45"/>
        <v>1</v>
      </c>
      <c r="Y134" s="62">
        <f t="shared" si="30"/>
        <v>23.302099999999999</v>
      </c>
      <c r="Z134" s="62">
        <f t="shared" si="31"/>
        <v>1.4500000000000001E-2</v>
      </c>
      <c r="AA134" s="62">
        <f t="shared" si="32"/>
        <v>23.287599999999998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0220-28</v>
      </c>
      <c r="AE134" s="85" t="str">
        <f t="shared" si="34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134" s="82" t="str">
        <f t="shared" si="35"/>
        <v>"C:\Program Files (x86)\AstroGrep\AstroGrep.exe" /spath="%USERPROFILE%\AppData\Local\Temp\OnboardLogs" /stypes="app*4017*20170301*" /stext=" 03:.+((SYSTEM_STATE.+slice.+state.+changed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86" t="str">
        <f t="shared" si="37"/>
        <v>"%USERPROFILE%\Documents\GitHub\eaglep3\Utilities\RefineRTDCRunTimes.py" --tripid 220-28 --locoid 4017 --swversion DE.1.0.9.0 --startMP 204:233021 --initTime 2017-02-28T19:09:47 --startdatetime 2017-02-28T19:26:33 --delay 2 --endMP 204:145 --enddatetime 2017-02-28T20:06:59 --enforcementcount 1 &gt;&gt;C:\Users\stu\Documents\GitHub\eaglep3-reporting\EC\2017-02-28-refined-times.txt</v>
      </c>
      <c r="AI134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{"issue":{"subject":"","project_id":79,"tracker_id":40,"status_id":1,"priority_id":2,"assigned_to_id":23,"start_date":"2017-02-28","description":"","custom_fields":[{"id":1,"name":"Subdivision","value":"EC"},{"id":4,"name":"Milepost","value":"0.0145"},{"id":17,"name":"Train ID","value":"220-28"},{"id":16,"name":"Locomotive ID","value":"4017"},{"id":130,"name":"Impact","value":""},{"id":150,"name":"Time of Event (Mountain Time)","value":"20:06:59"},{"id":151,"name":"Denver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4017 --day 2017-02-28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"%USERPROFILE%\AppData\Local\Temp\OnboardLogs"\RTDC4017\*4017*20170301* | grep -SE "(Enforcement Action)|(\[TIMEOUT)|(CHR.+\|PRM\|1\|D.+(SWITCH|SIGNAL).+UNKNOWN)" - &gt;&gt; 2017-02-28-UncaughtWiMAX.txt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731</v>
      </c>
      <c r="B135" s="7">
        <v>4003</v>
      </c>
      <c r="C135" s="21" t="s">
        <v>274</v>
      </c>
      <c r="D135" s="21" t="s">
        <v>246</v>
      </c>
      <c r="E135" s="13">
        <v>42794.789212962962</v>
      </c>
      <c r="F135" s="13">
        <v>42794.791932870372</v>
      </c>
      <c r="G135" s="7">
        <v>1</v>
      </c>
      <c r="H135" s="21" t="s">
        <v>834</v>
      </c>
      <c r="I135" s="13">
        <v>42794.816967592589</v>
      </c>
      <c r="J135" s="7">
        <v>1</v>
      </c>
      <c r="K135" s="98" t="str">
        <f t="shared" si="25"/>
        <v>4003/4004</v>
      </c>
      <c r="L135" s="21" t="str">
        <f>VLOOKUP(A135,'Trips&amp;Operators'!$C$1:$G$99999,5,FALSE)</f>
        <v>CHANDLER KELVIN</v>
      </c>
      <c r="M135" s="6">
        <f t="shared" si="26"/>
        <v>2.5034722217242233E-2</v>
      </c>
      <c r="N135" s="7">
        <f t="shared" si="46"/>
        <v>36.049999992828816</v>
      </c>
      <c r="O135" s="7"/>
      <c r="P135" s="7"/>
      <c r="Q135" s="22"/>
      <c r="R135" s="22"/>
      <c r="S135" s="31">
        <f t="shared" si="44"/>
        <v>1</v>
      </c>
      <c r="T135" s="46" t="str">
        <f t="shared" si="27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8"/>
        <v>https://d0f6bd738d7f1b3e5a7ca70fe4ff75f0.us-east-1.aws.found.io/app/kibana#/discover/Steve-Slow-Train-Analysis-(2080s-and-2083s)?_g=(refreshInterval:(display:Off,pause:!f,section:0,value:0),time:(from:'2017-02-28T17:56:28-0700',mode:absolute,to:'2017-02-28T20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187" t="str">
        <f t="shared" si="29"/>
        <v>N</v>
      </c>
      <c r="X135" s="187">
        <f t="shared" si="45"/>
        <v>1</v>
      </c>
      <c r="Y135" s="62">
        <f t="shared" si="30"/>
        <v>4.6399999999999997E-2</v>
      </c>
      <c r="Z135" s="62">
        <f t="shared" si="31"/>
        <v>23.3249</v>
      </c>
      <c r="AA135" s="62">
        <f t="shared" si="32"/>
        <v>23.278500000000001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3"/>
        <v>0221-28</v>
      </c>
      <c r="AE135" s="85" t="str">
        <f t="shared" si="34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35" s="82" t="str">
        <f t="shared" si="35"/>
        <v>"C:\Program Files (x86)\AstroGrep\AstroGrep.exe" /spath="%USERPROFILE%\AppData\Local\Temp\OnboardLogs" /stypes="app*4003*20170301*" /stext=" 02:.+((SYSTEM_STATE.+slice.+state.+changed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86" t="str">
        <f t="shared" si="37"/>
        <v>"%USERPROFILE%\Documents\GitHub\eaglep3\Utilities\RefineRTDCRunTimes.py" --tripid 221-28 --locoid 4003 --swversion DE.1.0.9.0 --startMP 204:464 --initTime 2017-02-28T18:56:28 --startdatetime 2017-02-28T19:00:23 --delay 1 --endMP 204:233249 --enddatetime 2017-02-28T19:36:26 --enforcementcount 1 &gt;&gt;C:\Users\stu\Documents\GitHub\eaglep3-reporting\EC\2017-02-28-refined-times.txt</v>
      </c>
      <c r="AI135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{"issue":{"subject":"","project_id":79,"tracker_id":40,"status_id":1,"priority_id":2,"assigned_to_id":23,"start_date":"2017-02-28","description":"","custom_fields":[{"id":1,"name":"Subdivision","value":"EC"},{"id":4,"name":"Milepost","value":"23.3249"},{"id":17,"name":"Train ID","value":"221-28"},{"id":16,"name":"Locomotive ID","value":"4003"},{"id":130,"name":"Impact","value":""},{"id":150,"name":"Time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4003 --day 2017-02-28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"%USERPROFILE%\AppData\Local\Temp\OnboardLogs"\RTDC4003\*4003*20170301* | grep -SE "(Enforcement Action)|(\[TIMEOUT)|(CHR.+\|PRM\|1\|D.+(SWITCH|SIGNAL).+UNKNOWN)" - &gt;&gt; 2017-02-28-UncaughtWiMAX.txt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741</v>
      </c>
      <c r="B136" s="7">
        <v>4004</v>
      </c>
      <c r="C136" s="21" t="s">
        <v>274</v>
      </c>
      <c r="D136" s="21" t="s">
        <v>835</v>
      </c>
      <c r="E136" s="13">
        <v>42794.828912037039</v>
      </c>
      <c r="F136" s="13">
        <v>42794.830868055556</v>
      </c>
      <c r="G136" s="7">
        <v>1</v>
      </c>
      <c r="H136" s="21" t="s">
        <v>259</v>
      </c>
      <c r="I136" s="13">
        <v>42794.863819444443</v>
      </c>
      <c r="J136" s="7">
        <v>1</v>
      </c>
      <c r="K136" s="98" t="str">
        <f t="shared" si="25"/>
        <v>4003/4004</v>
      </c>
      <c r="L136" s="21" t="str">
        <f>VLOOKUP(A136,'Trips&amp;Operators'!$C$1:$G$99999,5,FALSE)</f>
        <v>CHANDLER KELVIN</v>
      </c>
      <c r="M136" s="6">
        <f t="shared" si="26"/>
        <v>3.2951388886431232E-2</v>
      </c>
      <c r="N136" s="7">
        <f t="shared" si="46"/>
        <v>47.449999996460974</v>
      </c>
      <c r="O136" s="7"/>
      <c r="P136" s="7"/>
      <c r="Q136" s="22"/>
      <c r="R136" s="22"/>
      <c r="S136" s="31">
        <f t="shared" si="44"/>
        <v>1</v>
      </c>
      <c r="T136" s="46" t="str">
        <f t="shared" si="27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8"/>
        <v>https://d0f6bd738d7f1b3e5a7ca70fe4ff75f0.us-east-1.aws.found.io/app/kibana#/discover/Steve-Slow-Train-Analysis-(2080s-and-2083s)?_g=(refreshInterval:(display:Off,pause:!f,section:0,value:0),time:(from:'2017-02-28T18:53:38-0700',mode:absolute,to:'2017-02-28T21:43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7" t="str">
        <f t="shared" si="29"/>
        <v>N</v>
      </c>
      <c r="X136" s="187">
        <f t="shared" si="45"/>
        <v>1</v>
      </c>
      <c r="Y136" s="62">
        <f t="shared" si="30"/>
        <v>23.295999999999999</v>
      </c>
      <c r="Z136" s="62">
        <f t="shared" si="31"/>
        <v>1.5599999999999999E-2</v>
      </c>
      <c r="AA136" s="62">
        <f t="shared" si="32"/>
        <v>23.2804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0222-28</v>
      </c>
      <c r="AE136" s="85" t="str">
        <f t="shared" si="34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136" s="82" t="str">
        <f t="shared" si="35"/>
        <v>"C:\Program Files (x86)\AstroGrep\AstroGrep.exe" /spath="%USERPROFILE%\AppData\Local\Temp\OnboardLogs" /stypes="app*4004*20170301*" /stext=" 03:.+((SYSTEM_STATE.+slice.+state.+changed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86" t="str">
        <f t="shared" si="37"/>
        <v>"%USERPROFILE%\Documents\GitHub\eaglep3\Utilities\RefineRTDCRunTimes.py" --tripid 222-28 --locoid 4004 --swversion DE.1.0.9.0 --startMP 204:232960 --initTime 2017-02-28T19:53:38 --startdatetime 2017-02-28T19:56:27 --delay 1 --endMP 204:156 --enddatetime 2017-02-28T20:43:54 --enforcementcount 1 &gt;&gt;C:\Users\stu\Documents\GitHub\eaglep3-reporting\EC\2017-02-28-refined-times.txt</v>
      </c>
      <c r="AI136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{"issue":{"subject":"","project_id":79,"tracker_id":40,"status_id":1,"priority_id":2,"assigned_to_id":23,"start_date":"2017-02-28","description":"","custom_fields":[{"id":1,"name":"Subdivision","value":"EC"},{"id":4,"name":"Milepost","value":"0.0156"},{"id":17,"name":"Train ID","value":"222-28"},{"id":16,"name":"Locomotive ID","value":"4004"},{"id":130,"name":"Impact","value":""},{"id":150,"name":"Time of Event (Mountain Time)","value":"20:43:54"},{"id":151,"name":"Denver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4004 --day 2017-02-28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"%USERPROFILE%\AppData\Local\Temp\OnboardLogs"\RTDC4004\*4004*20170301* | grep -SE "(Enforcement Action)|(\[TIMEOUT)|(CHR.+\|PRM\|1\|D.+(SWITCH|SIGNAL).+UNKNOWN)" - &gt;&gt; 2017-02-28-UncaughtWiMAX.txt</v>
      </c>
    </row>
    <row r="137" spans="1:91" s="20" customFormat="1" x14ac:dyDescent="0.25">
      <c r="A137" s="33" t="s">
        <v>570</v>
      </c>
      <c r="B137" s="7">
        <v>4006</v>
      </c>
      <c r="C137" s="21" t="s">
        <v>274</v>
      </c>
      <c r="D137" s="21" t="s">
        <v>275</v>
      </c>
      <c r="E137" s="13">
        <v>42794.808703703704</v>
      </c>
      <c r="F137" s="13">
        <v>42794.812650462962</v>
      </c>
      <c r="G137" s="7">
        <v>1</v>
      </c>
      <c r="H137" s="21" t="s">
        <v>245</v>
      </c>
      <c r="I137" s="13">
        <v>42794.839467592596</v>
      </c>
      <c r="J137" s="7">
        <v>1</v>
      </c>
      <c r="K137" s="98" t="str">
        <f t="shared" si="25"/>
        <v>4005/4006</v>
      </c>
      <c r="L137" s="21" t="str">
        <f>VLOOKUP(A137,'Trips&amp;Operators'!$C$1:$G$99999,5,FALSE)</f>
        <v>NEWELL JAMES</v>
      </c>
      <c r="M137" s="6">
        <f t="shared" si="26"/>
        <v>2.6817129633855075E-2</v>
      </c>
      <c r="N137" s="7">
        <f t="shared" si="46"/>
        <v>38.616666672751307</v>
      </c>
      <c r="O137" s="7"/>
      <c r="P137" s="7"/>
      <c r="Q137" s="22"/>
      <c r="R137" s="22"/>
      <c r="S137" s="31">
        <f t="shared" si="44"/>
        <v>1</v>
      </c>
      <c r="T137" s="46" t="str">
        <f t="shared" si="27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8"/>
        <v>https://d0f6bd738d7f1b3e5a7ca70fe4ff75f0.us-east-1.aws.found.io/app/kibana#/discover/Steve-Slow-Train-Analysis-(2080s-and-2083s)?_g=(refreshInterval:(display:Off,pause:!f,section:0,value:0),time:(from:'2017-02-28T18:24:32-0700',mode:absolute,to:'2017-02-28T21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87" t="str">
        <f t="shared" si="29"/>
        <v>N</v>
      </c>
      <c r="X137" s="187">
        <f t="shared" si="45"/>
        <v>1</v>
      </c>
      <c r="Y137" s="62">
        <f t="shared" si="30"/>
        <v>4.58E-2</v>
      </c>
      <c r="Z137" s="62">
        <f t="shared" si="31"/>
        <v>23.3293</v>
      </c>
      <c r="AA137" s="62">
        <f t="shared" si="32"/>
        <v>23.2835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0223-28</v>
      </c>
      <c r="AE137" s="85" t="str">
        <f t="shared" si="34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137" s="82" t="str">
        <f t="shared" si="35"/>
        <v>"C:\Program Files (x86)\AstroGrep\AstroGrep.exe" /spath="%USERPROFILE%\AppData\Local\Temp\OnboardLogs" /stypes="app*4006*20170301*" /stext=" 03:.+((SYSTEM_STATE.+slice.+state.+changed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86" t="str">
        <f t="shared" si="37"/>
        <v>"%USERPROFILE%\Documents\GitHub\eaglep3\Utilities\RefineRTDCRunTimes.py" --tripid 223-28 --locoid 4006 --swversion DE.1.0.9.0 --startMP 204:458 --initTime 2017-02-28T19:24:32 --startdatetime 2017-02-28T19:30:13 --delay 1 --endMP 204:233293 --enddatetime 2017-02-28T20:08:50 --enforcementcount 1 &gt;&gt;C:\Users\stu\Documents\GitHub\eaglep3-reporting\EC\2017-02-28-refined-times.txt</v>
      </c>
      <c r="AI137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{"issue":{"subject":"","project_id":79,"tracker_id":40,"status_id":1,"priority_id":2,"assigned_to_id":23,"start_date":"2017-02-28","description":"","custom_fields":[{"id":1,"name":"Subdivision","value":"EC"},{"id":4,"name":"Milepost","value":"23.3293"},{"id":17,"name":"Train ID","value":"223-28"},{"id":16,"name":"Locomotive ID","value":"4006"},{"id":130,"name":"Impact","value":""},{"id":150,"name":"Time of Event (Mountain Time)","value":"20:08:50"},{"id":151,"name":"Denver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4006 --day 2017-02-28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"%USERPROFILE%\AppData\Local\Temp\OnboardLogs"\RTDC4006\*4006*20170301* | grep -SE "(Enforcement Action)|(\[TIMEOUT)|(CHR.+\|PRM\|1\|D.+(SWITCH|SIGNAL).+UNKNOWN)" - &gt;&gt; 2017-02-28-UncaughtWiMAX.txt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744</v>
      </c>
      <c r="B138" s="7">
        <v>4005</v>
      </c>
      <c r="C138" s="21" t="s">
        <v>274</v>
      </c>
      <c r="D138" s="21" t="s">
        <v>836</v>
      </c>
      <c r="E138" s="13">
        <v>42794.845601851855</v>
      </c>
      <c r="F138" s="13">
        <v>42794.851539351854</v>
      </c>
      <c r="G138" s="7">
        <v>1</v>
      </c>
      <c r="H138" s="21" t="s">
        <v>213</v>
      </c>
      <c r="I138" s="13">
        <v>42794.879826388889</v>
      </c>
      <c r="J138" s="7">
        <v>1</v>
      </c>
      <c r="K138" s="98" t="str">
        <f t="shared" si="25"/>
        <v>4005/4006</v>
      </c>
      <c r="L138" s="21" t="str">
        <f>VLOOKUP(A138,'Trips&amp;Operators'!$C$1:$G$99999,5,FALSE)</f>
        <v>NEWELL JAMES</v>
      </c>
      <c r="M138" s="6">
        <f t="shared" si="26"/>
        <v>2.8287037035624962E-2</v>
      </c>
      <c r="N138" s="7">
        <f t="shared" si="46"/>
        <v>40.733333331299946</v>
      </c>
      <c r="O138" s="7"/>
      <c r="P138" s="7"/>
      <c r="Q138" s="22"/>
      <c r="R138" s="22"/>
      <c r="S138" s="31">
        <f t="shared" si="44"/>
        <v>1</v>
      </c>
      <c r="T138" s="46" t="str">
        <f t="shared" si="27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8"/>
        <v>https://d0f6bd738d7f1b3e5a7ca70fe4ff75f0.us-east-1.aws.found.io/app/kibana#/discover/Steve-Slow-Train-Analysis-(2080s-and-2083s)?_g=(refreshInterval:(display:Off,pause:!f,section:0,value:0),time:(from:'2017-02-28T19:17:40-0700',mode:absolute,to:'2017-02-28T22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87" t="str">
        <f t="shared" si="29"/>
        <v>N</v>
      </c>
      <c r="X138" s="187">
        <f t="shared" si="45"/>
        <v>1</v>
      </c>
      <c r="Y138" s="62">
        <f t="shared" si="30"/>
        <v>23.298100000000002</v>
      </c>
      <c r="Z138" s="62">
        <f t="shared" si="31"/>
        <v>1.54E-2</v>
      </c>
      <c r="AA138" s="62">
        <f t="shared" si="32"/>
        <v>23.282700000000002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3"/>
        <v>0224-28</v>
      </c>
      <c r="AE138" s="85" t="str">
        <f t="shared" si="34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138" s="82" t="str">
        <f t="shared" si="35"/>
        <v>"C:\Program Files (x86)\AstroGrep\AstroGrep.exe" /spath="%USERPROFILE%\AppData\Local\Temp\OnboardLogs" /stypes="app*4005*20170301*" /stext=" 04:.+((SYSTEM_STATE.+slice.+state.+changed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86" t="str">
        <f t="shared" si="37"/>
        <v>"%USERPROFILE%\Documents\GitHub\eaglep3\Utilities\RefineRTDCRunTimes.py" --tripid 224-28 --locoid 4005 --swversion DE.1.0.9.0 --startMP 204:232981 --initTime 2017-02-28T20:17:40 --startdatetime 2017-02-28T20:26:13 --delay 1 --endMP 204:154 --enddatetime 2017-02-28T21:06:57 --enforcementcount 1 &gt;&gt;C:\Users\stu\Documents\GitHub\eaglep3-reporting\EC\2017-02-28-refined-times.txt</v>
      </c>
      <c r="AI138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{"issue":{"subject":"","project_id":79,"tracker_id":40,"status_id":1,"priority_id":2,"assigned_to_id":23,"start_date":"2017-02-28","description":"","custom_fields":[{"id":1,"name":"Subdivision","value":"EC"},{"id":4,"name":"Milepost","value":"0.0154"},{"id":17,"name":"Train ID","value":"224-28"},{"id":16,"name":"Locomotive ID","value":"4005"},{"id":130,"name":"Impact","value":""},{"id":150,"name":"Time of Event (Mountain Time)","value":"21:06:57"},{"id":151,"name":"Denver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4005 --day 2017-02-28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"%USERPROFILE%\AppData\Local\Temp\OnboardLogs"\RTDC4005\*4005*20170301* | grep -SE "(Enforcement Action)|(\[TIMEOUT)|(CHR.+\|PRM\|1\|D.+(SWITCH|SIGNAL).+UNKNOWN)" - &gt;&gt; 2017-02-28-UncaughtWiMAX.txt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740</v>
      </c>
      <c r="B139" s="7">
        <v>4007</v>
      </c>
      <c r="C139" s="21" t="s">
        <v>274</v>
      </c>
      <c r="D139" s="21" t="s">
        <v>314</v>
      </c>
      <c r="E139" s="13">
        <v>42794.828194444446</v>
      </c>
      <c r="F139" s="13">
        <v>42794.83353009259</v>
      </c>
      <c r="G139" s="7">
        <v>1</v>
      </c>
      <c r="H139" s="21" t="s">
        <v>344</v>
      </c>
      <c r="I139" s="13">
        <v>42794.865358796298</v>
      </c>
      <c r="J139" s="7">
        <v>1</v>
      </c>
      <c r="K139" s="98" t="str">
        <f t="shared" si="25"/>
        <v>4007/4008</v>
      </c>
      <c r="L139" s="21" t="str">
        <f>VLOOKUP(A139,'Trips&amp;Operators'!$C$1:$G$99999,5,FALSE)</f>
        <v>STORY SAMANTHA</v>
      </c>
      <c r="M139" s="6">
        <f t="shared" si="26"/>
        <v>3.1828703708015382E-2</v>
      </c>
      <c r="N139" s="7">
        <f t="shared" si="46"/>
        <v>45.83333333954215</v>
      </c>
      <c r="O139" s="7"/>
      <c r="P139" s="7"/>
      <c r="Q139" s="22"/>
      <c r="R139" s="22"/>
      <c r="S139" s="31">
        <f t="shared" si="44"/>
        <v>1</v>
      </c>
      <c r="T139" s="46" t="str">
        <f t="shared" si="27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8"/>
        <v>https://d0f6bd738d7f1b3e5a7ca70fe4ff75f0.us-east-1.aws.found.io/app/kibana#/discover/Steve-Slow-Train-Analysis-(2080s-and-2083s)?_g=(refreshInterval:(display:Off,pause:!f,section:0,value:0),time:(from:'2017-02-28T18:52:36-0700',mode:absolute,to:'2017-02-28T21:46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9" s="187" t="str">
        <f t="shared" si="29"/>
        <v>N</v>
      </c>
      <c r="X139" s="187">
        <f t="shared" si="45"/>
        <v>1</v>
      </c>
      <c r="Y139" s="62">
        <f t="shared" si="30"/>
        <v>4.82E-2</v>
      </c>
      <c r="Z139" s="62">
        <f t="shared" si="31"/>
        <v>23.331499999999998</v>
      </c>
      <c r="AA139" s="62">
        <f t="shared" si="32"/>
        <v>23.283299999999997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3"/>
        <v>0225-28</v>
      </c>
      <c r="AE139" s="85" t="str">
        <f t="shared" si="34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139" s="82" t="str">
        <f t="shared" si="35"/>
        <v>"C:\Program Files (x86)\AstroGrep\AstroGrep.exe" /spath="%USERPROFILE%\AppData\Local\Temp\OnboardLogs" /stypes="app*4007*20170301*" /stext=" 03:.+((SYSTEM_STATE.+slice.+state.+changed )|(ment ac)|(multiple cpu faults)|(system.+state.+changed )|(\[timeout)|(PRM\|1\|D)|(kpr)|(kdp)|(\|lc)|(penalty))" /e /r /s</v>
      </c>
      <c r="AG139" s="1" t="str">
        <f t="shared" si="36"/>
        <v>EC</v>
      </c>
      <c r="AH139" s="86" t="str">
        <f t="shared" si="37"/>
        <v>"%USERPROFILE%\Documents\GitHub\eaglep3\Utilities\RefineRTDCRunTimes.py" --tripid 225-28 --locoid 4007 --swversion DE.1.0.9.0 --startMP 204:482 --initTime 2017-02-28T19:52:36 --startdatetime 2017-02-28T20:00:17 --delay 1 --endMP 204:233315 --enddatetime 2017-02-28T20:46:07 --enforcementcount 1 &gt;&gt;C:\Users\stu\Documents\GitHub\eaglep3-reporting\EC\2017-02-28-refined-times.txt</v>
      </c>
      <c r="AI139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{"issue":{"subject":"","project_id":79,"tracker_id":40,"status_id":1,"priority_id":2,"assigned_to_id":23,"start_date":"2017-02-28","description":"","custom_fields":[{"id":1,"name":"Subdivision","value":"EC"},{"id":4,"name":"Milepost","value":"23.3315"},{"id":17,"name":"Train ID","value":"225-28"},{"id":16,"name":"Locomotive ID","value":"4007"},{"id":130,"name":"Impact","value":""},{"id":150,"name":"Time of Event (Mountain Time)","value":"20:46:07"},{"id":151,"name":"Denver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4007 --day 2017-02-28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"%USERPROFILE%\AppData\Local\Temp\OnboardLogs"\RTDC4007\*4007*20170301* | grep -SE "(Enforcement Action)|(\[TIMEOUT)|(CHR.+\|PRM\|1\|D.+(SWITCH|SIGNAL).+UNKNOWN)" - &gt;&gt; 2017-02-28-UncaughtWiMAX.txt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571</v>
      </c>
      <c r="B140" s="7">
        <v>4008</v>
      </c>
      <c r="C140" s="21" t="s">
        <v>274</v>
      </c>
      <c r="D140" s="21" t="s">
        <v>244</v>
      </c>
      <c r="E140" s="13">
        <v>42794.869699074072</v>
      </c>
      <c r="F140" s="13">
        <v>42794.873414351852</v>
      </c>
      <c r="G140" s="7">
        <v>1</v>
      </c>
      <c r="H140" s="21" t="s">
        <v>207</v>
      </c>
      <c r="I140" s="13">
        <v>42794.902060185188</v>
      </c>
      <c r="J140" s="7">
        <v>1</v>
      </c>
      <c r="K140" s="98" t="str">
        <f t="shared" si="25"/>
        <v>4007/4008</v>
      </c>
      <c r="L140" s="21" t="str">
        <f>VLOOKUP(A140,'Trips&amp;Operators'!$C$1:$G$99999,5,FALSE)</f>
        <v>STORY SAMANTHA</v>
      </c>
      <c r="M140" s="6">
        <f t="shared" si="26"/>
        <v>2.8645833335758653E-2</v>
      </c>
      <c r="N140" s="7">
        <f t="shared" si="46"/>
        <v>41.25000000349246</v>
      </c>
      <c r="O140" s="7"/>
      <c r="P140" s="7"/>
      <c r="Q140" s="22"/>
      <c r="R140" s="22"/>
      <c r="S140" s="31">
        <f t="shared" si="44"/>
        <v>1</v>
      </c>
      <c r="T140" s="46" t="str">
        <f t="shared" si="27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8"/>
        <v>https://d0f6bd738d7f1b3e5a7ca70fe4ff75f0.us-east-1.aws.found.io/app/kibana#/discover/Steve-Slow-Train-Analysis-(2080s-and-2083s)?_g=(refreshInterval:(display:Off,pause:!f,section:0,value:0),time:(from:'2017-02-28T19:52:22-0700',mode:absolute,to:'2017-02-28T22:38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0" s="187" t="str">
        <f t="shared" si="29"/>
        <v>N</v>
      </c>
      <c r="X140" s="187">
        <f t="shared" si="45"/>
        <v>1</v>
      </c>
      <c r="Y140" s="62">
        <f t="shared" si="30"/>
        <v>23.299299999999999</v>
      </c>
      <c r="Z140" s="62">
        <f t="shared" si="31"/>
        <v>1.5800000000000002E-2</v>
      </c>
      <c r="AA140" s="62">
        <f t="shared" si="32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3"/>
        <v>0226-28</v>
      </c>
      <c r="AE140" s="85" t="str">
        <f t="shared" si="34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140" s="82" t="str">
        <f t="shared" si="35"/>
        <v>"C:\Program Files (x86)\AstroGrep\AstroGrep.exe" /spath="%USERPROFILE%\AppData\Local\Temp\OnboardLogs" /stypes="app*4008*20170301*" /stext=" 04:.+((SYSTEM_STATE.+slice.+state.+changed )|(ment ac)|(multiple cpu faults)|(system.+state.+changed )|(\[timeout)|(PRM\|1\|D)|(kpr)|(kdp)|(\|lc)|(penalty))" /e /r /s</v>
      </c>
      <c r="AG140" s="1" t="str">
        <f t="shared" si="36"/>
        <v>EC</v>
      </c>
      <c r="AH140" s="86" t="str">
        <f t="shared" si="37"/>
        <v>"%USERPROFILE%\Documents\GitHub\eaglep3\Utilities\RefineRTDCRunTimes.py" --tripid 226-28 --locoid 4008 --swversion DE.1.0.9.0 --startMP 204:232993 --initTime 2017-02-28T20:52:22 --startdatetime 2017-02-28T20:57:43 --delay 1 --endMP 204:158 --enddatetime 2017-02-28T21:38:58 --enforcementcount 1 &gt;&gt;C:\Users\stu\Documents\GitHub\eaglep3-reporting\EC\2017-02-28-refined-times.txt</v>
      </c>
      <c r="AI140" s="108" t="str">
        <f t="shared" si="38"/>
        <v>echo {"issue":{"subject":"","project_id":79,"tracker_id":40,"status_id":1,"priority_id":2,"assigned_to_id":23,"start_date":"2017-02-28","description":"","custom_fields":[{"id":1,"name":"Subdivision","value":"EC"},{"id":4,"name":"Milepost","value":"0.0158"},{"id":17,"name":"Train ID","value":"226-28"},{"id":16,"name":"Locomotive ID","value":"4008"},{"id":130,"name":"Impact","value":""},{"id":150,"name":"Time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4008 --day 2017-02-28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"%USERPROFILE%\AppData\Local\Temp\OnboardLogs"\RTDC4008\*4008*20170301* | grep -SE "(Enforcement Action)|(\[TIMEOUT)|(CHR.+\|PRM\|1\|D.+(SWITCH|SIGNAL).+UNKNOWN)" - &gt;&gt; 2017-02-28-UncaughtWiMAX.txt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742</v>
      </c>
      <c r="B141" s="7">
        <v>4018</v>
      </c>
      <c r="C141" s="21" t="s">
        <v>274</v>
      </c>
      <c r="D141" s="21" t="s">
        <v>241</v>
      </c>
      <c r="E141" s="13">
        <v>42794.839814814812</v>
      </c>
      <c r="F141" s="13">
        <v>42794.854594907411</v>
      </c>
      <c r="G141" s="7">
        <v>1</v>
      </c>
      <c r="H141" s="21" t="s">
        <v>276</v>
      </c>
      <c r="I141" s="13">
        <v>42794.880312499998</v>
      </c>
      <c r="J141" s="7">
        <v>1</v>
      </c>
      <c r="K141" s="98" t="str">
        <f t="shared" ref="K141:K204" si="47">IF(ISEVEN(B141),(B141-1)&amp;"/"&amp;B141,B141&amp;"/"&amp;(B141+1))</f>
        <v>4017/4018</v>
      </c>
      <c r="L141" s="21" t="str">
        <f>VLOOKUP(A141,'Trips&amp;Operators'!$C$1:$G$99999,5,FALSE)</f>
        <v>STAMBAUGH JAMES</v>
      </c>
      <c r="M141" s="6">
        <f t="shared" ref="M141:M204" si="48">I141-F141</f>
        <v>2.5717592587170657E-2</v>
      </c>
      <c r="N141" s="7">
        <f t="shared" si="46"/>
        <v>37.033333325525746</v>
      </c>
      <c r="O141" s="7"/>
      <c r="P141" s="7"/>
      <c r="Q141" s="22"/>
      <c r="R141" s="22"/>
      <c r="S141" s="31">
        <f t="shared" si="44"/>
        <v>1</v>
      </c>
      <c r="T141" s="46" t="str">
        <f t="shared" ref="T141:T204" si="49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-28T19:09:20-0700',mode:absolute,to:'2017-02-28T22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87" t="str">
        <f t="shared" ref="W141:W204" si="51">IF(AA141&lt;IF(AG141="EC",23,5.65),"Y","N")</f>
        <v>N</v>
      </c>
      <c r="X141" s="187">
        <f t="shared" si="45"/>
        <v>1</v>
      </c>
      <c r="Y141" s="62">
        <f t="shared" ref="Y141:Y204" si="52">RIGHT(D141,LEN(D141)-4)/10000</f>
        <v>4.4600000000000001E-2</v>
      </c>
      <c r="Z141" s="62">
        <f t="shared" ref="Z141:Z204" si="53">RIGHT(H141,LEN(H141)-4)/10000</f>
        <v>23.333200000000001</v>
      </c>
      <c r="AA141" s="62">
        <f t="shared" ref="AA141:AA204" si="54">ABS(Z141-Y141)</f>
        <v>23.288600000000002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5">IF(LEN(A141)=6,"0"&amp;A141,A141)</f>
        <v>0227-28</v>
      </c>
      <c r="AE141" s="8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141" s="82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/stypes="app*4018*20170301*" /stext=" 04:.+((SYSTEM_STATE.+slice.+state.+changed )|(ment ac)|(multiple cpu faults)|(system.+state.+changed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86" t="str">
        <f t="shared" ref="AH141:AH204" si="5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227-28 --locoid 4018 --swversion DE.1.0.9.0 --startMP 204:446 --initTime 2017-02-28T20:09:20 --startdatetime 2017-02-28T20:30:37 --delay 1 --endMP 204:233332 --enddatetime 2017-02-28T21:07:39 --enforcementcount 1 &gt;&gt;C:\Users\stu\Documents\GitHub\eaglep3-reporting\EC\2017-02-28-refined-times.txt</v>
      </c>
      <c r="AI141" s="108" t="str">
        <f t="shared" ref="AI141:AI204" si="6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{"issue":{"subject":"","project_id":79,"tracker_id":40,"status_id":1,"priority_id":2,"assigned_to_id":23,"start_date":"2017-02-28","description":"","custom_fields":[{"id":1,"name":"Subdivision","value":"EC"},{"id":4,"name":"Milepost","value":"23.3332"},{"id":17,"name":"Train ID","value":"227-28"},{"id":16,"name":"Locomotive ID","value":"4018"},{"id":130,"name":"Impact","value":""},{"id":150,"name":"Time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4" si="61">"start /low /b "&amp;dls3logs&amp;" --loco "&amp;B141&amp;" --day "&amp;TEXT(F141,"YYYY-MM-DD")</f>
        <v>start /low /b %USERPROFILE%\Documents\GitHub\eaglep3\Utilities\DownloadLogsFromS3.py --loco 4018 --day 2017-02-28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2017-02-28-UncaughtWiMAX.txt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750</v>
      </c>
      <c r="B142" s="7">
        <v>4017</v>
      </c>
      <c r="C142" s="21" t="s">
        <v>274</v>
      </c>
      <c r="D142" s="21" t="s">
        <v>837</v>
      </c>
      <c r="E142" s="13">
        <v>42794.903611111113</v>
      </c>
      <c r="F142" s="13">
        <v>42794.904861111114</v>
      </c>
      <c r="G142" s="7">
        <v>1</v>
      </c>
      <c r="H142" s="21" t="s">
        <v>258</v>
      </c>
      <c r="I142" s="13">
        <v>42794.930509259262</v>
      </c>
      <c r="J142" s="7">
        <v>1</v>
      </c>
      <c r="K142" s="98" t="str">
        <f t="shared" si="47"/>
        <v>4017/4018</v>
      </c>
      <c r="L142" s="21" t="str">
        <f>VLOOKUP(A142,'Trips&amp;Operators'!$C$1:$G$99999,5,FALSE)</f>
        <v>STAMBAUGH JAMES</v>
      </c>
      <c r="M142" s="6">
        <f t="shared" si="48"/>
        <v>2.5648148148320615E-2</v>
      </c>
      <c r="N142" s="7">
        <f t="shared" si="46"/>
        <v>36.933333333581686</v>
      </c>
      <c r="O142" s="7"/>
      <c r="P142" s="7"/>
      <c r="Q142" s="22"/>
      <c r="R142" s="22"/>
      <c r="S142" s="31">
        <f t="shared" si="44"/>
        <v>1</v>
      </c>
      <c r="T142" s="46" t="str">
        <f t="shared" si="49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0"/>
        <v>https://d0f6bd738d7f1b3e5a7ca70fe4ff75f0.us-east-1.aws.found.io/app/kibana#/discover/Steve-Slow-Train-Analysis-(2080s-and-2083s)?_g=(refreshInterval:(display:Off,pause:!f,section:0,value:0),time:(from:'2017-02-28T20:41:12-0700',mode:absolute,to:'2017-02-28T23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87" t="str">
        <f t="shared" si="51"/>
        <v>N</v>
      </c>
      <c r="X142" s="187">
        <f t="shared" si="45"/>
        <v>1</v>
      </c>
      <c r="Y142" s="62">
        <f t="shared" si="52"/>
        <v>23.2834</v>
      </c>
      <c r="Z142" s="62">
        <f t="shared" si="53"/>
        <v>1.3599999999999999E-2</v>
      </c>
      <c r="AA142" s="62">
        <f t="shared" si="54"/>
        <v>23.2698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5"/>
        <v>0228-28</v>
      </c>
      <c r="AE142" s="85" t="str">
        <f t="shared" si="56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142" s="82" t="str">
        <f t="shared" si="57"/>
        <v>"C:\Program Files (x86)\AstroGrep\AstroGrep.exe" /spath="%USERPROFILE%\AppData\Local\Temp\OnboardLogs" /stypes="app*4017*20170301*" /stext=" 05:.+((SYSTEM_STATE.+slice.+state.+changed )|(ment ac)|(multiple cpu faults)|(system.+state.+changed )|(\[timeout)|(PRM\|1\|D)|(kpr)|(kdp)|(\|lc)|(penalty))" /e /r /s</v>
      </c>
      <c r="AG142" s="1" t="str">
        <f t="shared" si="58"/>
        <v>EC</v>
      </c>
      <c r="AH142" s="86" t="str">
        <f t="shared" si="59"/>
        <v>"%USERPROFILE%\Documents\GitHub\eaglep3\Utilities\RefineRTDCRunTimes.py" --tripid 228-28 --locoid 4017 --swversion DE.1.0.9.0 --startMP 204:232834 --initTime 2017-02-28T21:41:12 --startdatetime 2017-02-28T21:43:00 --delay 1 --endMP 204:136 --enddatetime 2017-02-28T22:19:56 --enforcementcount 1 &gt;&gt;C:\Users\stu\Documents\GitHub\eaglep3-reporting\EC\2017-02-28-refined-times.txt</v>
      </c>
      <c r="AI142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{"issue":{"subject":"","project_id":79,"tracker_id":40,"status_id":1,"priority_id":2,"assigned_to_id":23,"start_date":"2017-02-28","description":"","custom_fields":[{"id":1,"name":"Subdivision","value":"EC"},{"id":4,"name":"Milepost","value":"0.0136"},{"id":17,"name":"Train ID","value":"228-28"},{"id":16,"name":"Locomotive ID","value":"4017"},{"id":130,"name":"Impact","value":""},{"id":150,"name":"Time of Event (Mountain Time)","value":"22:19:56"},{"id":151,"name":"Denver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1"/>
        <v>start /low /b %USERPROFILE%\Documents\GitHub\eaglep3\Utilities\DownloadLogsFromS3.py --loco 4017 --day 2017-02-28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"%USERPROFILE%\AppData\Local\Temp\OnboardLogs"\RTDC4017\*4017*20170301* | grep -SE "(Enforcement Action)|(\[TIMEOUT)|(CHR.+\|PRM\|1\|D.+(SWITCH|SIGNAL).+UNKNOWN)" - &gt;&gt; 2017-02-28-UncaughtWiMAX.txt</v>
      </c>
    </row>
    <row r="143" spans="1:91" s="20" customFormat="1" x14ac:dyDescent="0.25">
      <c r="A143" s="33" t="s">
        <v>746</v>
      </c>
      <c r="B143" s="7">
        <v>4003</v>
      </c>
      <c r="C143" s="21" t="s">
        <v>274</v>
      </c>
      <c r="D143" s="21" t="s">
        <v>398</v>
      </c>
      <c r="E143" s="13">
        <v>42794.868773148148</v>
      </c>
      <c r="F143" s="13">
        <v>42794.875462962962</v>
      </c>
      <c r="G143" s="7">
        <v>1</v>
      </c>
      <c r="H143" s="21" t="s">
        <v>838</v>
      </c>
      <c r="I143" s="13">
        <v>42794.90253472222</v>
      </c>
      <c r="J143" s="7">
        <v>1</v>
      </c>
      <c r="K143" s="98" t="str">
        <f t="shared" si="47"/>
        <v>4003/4004</v>
      </c>
      <c r="L143" s="21" t="str">
        <f>VLOOKUP(A143,'Trips&amp;Operators'!$C$1:$G$99999,5,FALSE)</f>
        <v>CHANDLER KELVIN</v>
      </c>
      <c r="M143" s="6">
        <f t="shared" si="48"/>
        <v>2.7071759257523809E-2</v>
      </c>
      <c r="N143" s="7">
        <f t="shared" si="46"/>
        <v>38.983333330834284</v>
      </c>
      <c r="O143" s="7"/>
      <c r="P143" s="7"/>
      <c r="Q143" s="22"/>
      <c r="R143" s="22"/>
      <c r="S143" s="31">
        <f t="shared" si="44"/>
        <v>1</v>
      </c>
      <c r="T143" s="46" t="str">
        <f t="shared" si="49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0"/>
        <v>https://d0f6bd738d7f1b3e5a7ca70fe4ff75f0.us-east-1.aws.found.io/app/kibana#/discover/Steve-Slow-Train-Analysis-(2080s-and-2083s)?_g=(refreshInterval:(display:Off,pause:!f,section:0,value:0),time:(from:'2017-02-28T19:51:02-0700',mode:absolute,to:'2017-02-28T22:39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3" s="187" t="str">
        <f t="shared" si="51"/>
        <v>N</v>
      </c>
      <c r="X143" s="187">
        <f t="shared" si="45"/>
        <v>1</v>
      </c>
      <c r="Y143" s="62">
        <f t="shared" si="52"/>
        <v>4.4200000000000003E-2</v>
      </c>
      <c r="Z143" s="62">
        <f t="shared" si="53"/>
        <v>23.327400000000001</v>
      </c>
      <c r="AA143" s="62">
        <f t="shared" si="54"/>
        <v>23.283200000000001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5"/>
        <v>0229-28</v>
      </c>
      <c r="AE143" s="85" t="str">
        <f t="shared" si="56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43" s="82" t="str">
        <f t="shared" si="57"/>
        <v>"C:\Program Files (x86)\AstroGrep\AstroGrep.exe" /spath="%USERPROFILE%\AppData\Local\Temp\OnboardLogs" /stypes="app*4003*20170301*" /stext=" 04:.+((SYSTEM_STATE.+slice.+state.+changed )|(ment ac)|(multiple cpu faults)|(system.+state.+changed )|(\[timeout)|(PRM\|1\|D)|(kpr)|(kdp)|(\|lc)|(penalty))" /e /r /s</v>
      </c>
      <c r="AG143" s="1" t="str">
        <f t="shared" si="58"/>
        <v>EC</v>
      </c>
      <c r="AH143" s="86" t="str">
        <f t="shared" si="59"/>
        <v>"%USERPROFILE%\Documents\GitHub\eaglep3\Utilities\RefineRTDCRunTimes.py" --tripid 229-28 --locoid 4003 --swversion DE.1.0.9.0 --startMP 204:442 --initTime 2017-02-28T20:51:02 --startdatetime 2017-02-28T21:00:40 --delay 1 --endMP 204:233274 --enddatetime 2017-02-28T21:39:39 --enforcementcount 1 &gt;&gt;C:\Users\stu\Documents\GitHub\eaglep3-reporting\EC\2017-02-28-refined-times.txt</v>
      </c>
      <c r="AI143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{"issue":{"subject":"","project_id":79,"tracker_id":40,"status_id":1,"priority_id":2,"assigned_to_id":23,"start_date":"2017-02-28","description":"","custom_fields":[{"id":1,"name":"Subdivision","value":"EC"},{"id":4,"name":"Milepost","value":"23.3274"},{"id":17,"name":"Train ID","value":"229-28"},{"id":16,"name":"Locomotive ID","value":"4003"},{"id":130,"name":"Impact","value":""},{"id":150,"name":"Time of Event (Mountain Time)","value":"21:39:39"},{"id":151,"name":"Denver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1"/>
        <v>start /low /b %USERPROFILE%\Documents\GitHub\eaglep3\Utilities\DownloadLogsFromS3.py --loco 4003 --day 2017-02-28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"%USERPROFILE%\AppData\Local\Temp\OnboardLogs"\RTDC4003\*4003*20170301* | grep -SE "(Enforcement Action)|(\[TIMEOUT)|(CHR.+\|PRM\|1\|D.+(SWITCH|SIGNAL).+UNKNOWN)" - &gt;&gt; 2017-02-28-UncaughtWiMAX.txt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751</v>
      </c>
      <c r="B144" s="7">
        <v>4004</v>
      </c>
      <c r="C144" s="21" t="s">
        <v>274</v>
      </c>
      <c r="D144" s="21" t="s">
        <v>839</v>
      </c>
      <c r="E144" s="13">
        <v>42794.912326388891</v>
      </c>
      <c r="F144" s="13">
        <v>42794.914120370369</v>
      </c>
      <c r="G144" s="7">
        <v>1</v>
      </c>
      <c r="H144" s="21" t="s">
        <v>194</v>
      </c>
      <c r="I144" s="13">
        <v>42794.941412037035</v>
      </c>
      <c r="J144" s="7">
        <v>1</v>
      </c>
      <c r="K144" s="98" t="str">
        <f t="shared" si="47"/>
        <v>4003/4004</v>
      </c>
      <c r="L144" s="21" t="str">
        <f>VLOOKUP(A144,'Trips&amp;Operators'!$C$1:$G$99999,5,FALSE)</f>
        <v>CHANDLER KELVIN</v>
      </c>
      <c r="M144" s="6">
        <f t="shared" si="48"/>
        <v>2.7291666665405501E-2</v>
      </c>
      <c r="N144" s="7">
        <f t="shared" si="46"/>
        <v>39.299999998183921</v>
      </c>
      <c r="O144" s="7"/>
      <c r="P144" s="7"/>
      <c r="Q144" s="22"/>
      <c r="R144" s="22"/>
      <c r="S144" s="31">
        <f t="shared" si="44"/>
        <v>1</v>
      </c>
      <c r="T144" s="46" t="str">
        <f t="shared" si="49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0"/>
        <v>https://d0f6bd738d7f1b3e5a7ca70fe4ff75f0.us-east-1.aws.found.io/app/kibana#/discover/Steve-Slow-Train-Analysis-(2080s-and-2083s)?_g=(refreshInterval:(display:Off,pause:!f,section:0,value:0),time:(from:'2017-02-28T20:53:45-0700',mode:absolute,to:'2017-02-28T23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87" t="str">
        <f t="shared" si="51"/>
        <v>N</v>
      </c>
      <c r="X144" s="187">
        <f t="shared" si="45"/>
        <v>1</v>
      </c>
      <c r="Y144" s="62">
        <f t="shared" si="52"/>
        <v>23.2971</v>
      </c>
      <c r="Z144" s="62">
        <f t="shared" si="53"/>
        <v>1.4999999999999999E-2</v>
      </c>
      <c r="AA144" s="62">
        <f t="shared" si="54"/>
        <v>23.2821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5"/>
        <v>0230-28</v>
      </c>
      <c r="AE144" s="85" t="str">
        <f t="shared" si="56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144" s="82" t="str">
        <f t="shared" si="57"/>
        <v>"C:\Program Files (x86)\AstroGrep\AstroGrep.exe" /spath="%USERPROFILE%\AppData\Local\Temp\OnboardLogs" /stypes="app*4004*20170301*" /stext=" 05:.+((SYSTEM_STATE.+slice.+state.+changed )|(ment ac)|(multiple cpu faults)|(system.+state.+changed )|(\[timeout)|(PRM\|1\|D)|(kpr)|(kdp)|(\|lc)|(penalty))" /e /r /s</v>
      </c>
      <c r="AG144" s="1" t="str">
        <f t="shared" si="58"/>
        <v>EC</v>
      </c>
      <c r="AH144" s="86" t="str">
        <f t="shared" si="59"/>
        <v>"%USERPROFILE%\Documents\GitHub\eaglep3\Utilities\RefineRTDCRunTimes.py" --tripid 230-28 --locoid 4004 --swversion DE.1.0.9.0 --startMP 204:232971 --initTime 2017-02-28T21:53:45 --startdatetime 2017-02-28T21:56:20 --delay 1 --endMP 204:150 --enddatetime 2017-02-28T22:35:38 --enforcementcount 1 &gt;&gt;C:\Users\stu\Documents\GitHub\eaglep3-reporting\EC\2017-02-28-refined-times.txt</v>
      </c>
      <c r="AI144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{"issue":{"subject":"","project_id":79,"tracker_id":40,"status_id":1,"priority_id":2,"assigned_to_id":23,"start_date":"2017-02-28","description":"","custom_fields":[{"id":1,"name":"Subdivision","value":"EC"},{"id":4,"name":"Milepost","value":"0.015"},{"id":17,"name":"Train ID","value":"230-28"},{"id":16,"name":"Locomotive ID","value":"4004"},{"id":130,"name":"Impact","value":""},{"id":150,"name":"Time of Event (Mountain Time)","value":"22:35:38"},{"id":151,"name":"Denver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1"/>
        <v>start /low /b %USERPROFILE%\Documents\GitHub\eaglep3\Utilities\DownloadLogsFromS3.py --loco 4004 --day 2017-02-28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"%USERPROFILE%\AppData\Local\Temp\OnboardLogs"\RTDC4004\*4004*20170301* | grep -SE "(Enforcement Action)|(\[TIMEOUT)|(CHR.+\|PRM\|1\|D.+(SWITCH|SIGNAL).+UNKNOWN)" - &gt;&gt; 2017-02-28-UncaughtWiMAX.txt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748</v>
      </c>
      <c r="B145" s="7">
        <v>4006</v>
      </c>
      <c r="C145" s="21" t="s">
        <v>274</v>
      </c>
      <c r="D145" s="21" t="s">
        <v>225</v>
      </c>
      <c r="E145" s="13">
        <v>42794.892453703702</v>
      </c>
      <c r="F145" s="13">
        <v>42794.89607638889</v>
      </c>
      <c r="G145" s="7">
        <v>2</v>
      </c>
      <c r="H145" s="21" t="s">
        <v>840</v>
      </c>
      <c r="I145" s="13">
        <v>42794.920844907407</v>
      </c>
      <c r="J145" s="7">
        <v>1</v>
      </c>
      <c r="K145" s="98" t="str">
        <f t="shared" si="47"/>
        <v>4005/4006</v>
      </c>
      <c r="L145" s="21" t="str">
        <f>VLOOKUP(A145,'Trips&amp;Operators'!$C$1:$G$99999,5,FALSE)</f>
        <v>NEWELL JAMES</v>
      </c>
      <c r="M145" s="6">
        <f t="shared" si="48"/>
        <v>2.4768518516793847E-2</v>
      </c>
      <c r="N145" s="7">
        <f t="shared" si="46"/>
        <v>35.66666666418314</v>
      </c>
      <c r="O145" s="7"/>
      <c r="P145" s="7"/>
      <c r="Q145" s="22"/>
      <c r="R145" s="22"/>
      <c r="S145" s="31">
        <f t="shared" si="44"/>
        <v>1</v>
      </c>
      <c r="T145" s="46" t="str">
        <f t="shared" si="49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0"/>
        <v>https://d0f6bd738d7f1b3e5a7ca70fe4ff75f0.us-east-1.aws.found.io/app/kibana#/discover/Steve-Slow-Train-Analysis-(2080s-and-2083s)?_g=(refreshInterval:(display:Off,pause:!f,section:0,value:0),time:(from:'2017-02-28T20:25:08-0700',mode:absolute,to:'2017-02-28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187" t="str">
        <f t="shared" si="51"/>
        <v>N</v>
      </c>
      <c r="X145" s="187">
        <f t="shared" si="45"/>
        <v>1</v>
      </c>
      <c r="Y145" s="62">
        <f t="shared" si="52"/>
        <v>4.5100000000000001E-2</v>
      </c>
      <c r="Z145" s="62">
        <f t="shared" si="53"/>
        <v>23.335699999999999</v>
      </c>
      <c r="AA145" s="62">
        <f t="shared" si="54"/>
        <v>23.290599999999998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5"/>
        <v>0231-28</v>
      </c>
      <c r="AE145" s="85" t="str">
        <f t="shared" si="56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145" s="82" t="str">
        <f t="shared" si="57"/>
        <v>"C:\Program Files (x86)\AstroGrep\AstroGrep.exe" /spath="%USERPROFILE%\AppData\Local\Temp\OnboardLogs" /stypes="app*4006*20170301*" /stext=" 05:.+((SYSTEM_STATE.+slice.+state.+changed )|(ment ac)|(multiple cpu faults)|(system.+state.+changed )|(\[timeout)|(PRM\|1\|D)|(kpr)|(kdp)|(\|lc)|(penalty))" /e /r /s</v>
      </c>
      <c r="AG145" s="1" t="str">
        <f t="shared" si="58"/>
        <v>EC</v>
      </c>
      <c r="AH145" s="86" t="str">
        <f t="shared" si="59"/>
        <v>"%USERPROFILE%\Documents\GitHub\eaglep3\Utilities\RefineRTDCRunTimes.py" --tripid 231-28 --locoid 4006 --swversion DE.1.0.9.0 --startMP 204:451 --initTime 2017-02-28T21:25:08 --startdatetime 2017-02-28T21:30:21 --delay 2 --endMP 204:233357 --enddatetime 2017-02-28T22:06:01 --enforcementcount 1 &gt;&gt;C:\Users\stu\Documents\GitHub\eaglep3-reporting\EC\2017-02-28-refined-times.txt</v>
      </c>
      <c r="AI145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{"issue":{"subject":"","project_id":79,"tracker_id":40,"status_id":1,"priority_id":2,"assigned_to_id":23,"start_date":"2017-02-28","description":"","custom_fields":[{"id":1,"name":"Subdivision","value":"EC"},{"id":4,"name":"Milepost","value":"23.3357"},{"id":17,"name":"Train ID","value":"231-28"},{"id":16,"name":"Locomotive ID","value":"4006"},{"id":130,"name":"Impact","value":""},{"id":150,"name":"Time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1"/>
        <v>start /low /b %USERPROFILE%\Documents\GitHub\eaglep3\Utilities\DownloadLogsFromS3.py --loco 4006 --day 2017-02-28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"%USERPROFILE%\AppData\Local\Temp\OnboardLogs"\RTDC4006\*4006*20170301* | grep -SE "(Enforcement Action)|(\[TIMEOUT)|(CHR.+\|PRM\|1\|D.+(SWITCH|SIGNAL).+UNKNOWN)" - &gt;&gt; 2017-02-28-UncaughtWiMAX.txt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753</v>
      </c>
      <c r="B146" s="7">
        <v>4005</v>
      </c>
      <c r="C146" s="21" t="s">
        <v>274</v>
      </c>
      <c r="D146" s="21" t="s">
        <v>244</v>
      </c>
      <c r="E146" s="13">
        <v>42794.928587962961</v>
      </c>
      <c r="F146" s="13">
        <v>42794.934884259259</v>
      </c>
      <c r="G146" s="7">
        <v>1</v>
      </c>
      <c r="H146" s="21" t="s">
        <v>207</v>
      </c>
      <c r="I146" s="13">
        <v>42794.962175925924</v>
      </c>
      <c r="J146" s="7">
        <v>1</v>
      </c>
      <c r="K146" s="98" t="str">
        <f t="shared" si="47"/>
        <v>4005/4006</v>
      </c>
      <c r="L146" s="21" t="str">
        <f>VLOOKUP(A146,'Trips&amp;Operators'!$C$1:$G$99999,5,FALSE)</f>
        <v>NEWELL JAMES</v>
      </c>
      <c r="M146" s="6">
        <f t="shared" si="48"/>
        <v>2.7291666665405501E-2</v>
      </c>
      <c r="N146" s="7">
        <f t="shared" si="46"/>
        <v>39.299999998183921</v>
      </c>
      <c r="O146" s="7"/>
      <c r="P146" s="7"/>
      <c r="Q146" s="22"/>
      <c r="R146" s="22"/>
      <c r="S146" s="31">
        <f t="shared" si="44"/>
        <v>1</v>
      </c>
      <c r="T146" s="46" t="str">
        <f t="shared" si="49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0"/>
        <v>https://d0f6bd738d7f1b3e5a7ca70fe4ff75f0.us-east-1.aws.found.io/app/kibana#/discover/Steve-Slow-Train-Analysis-(2080s-and-2083s)?_g=(refreshInterval:(display:Off,pause:!f,section:0,value:0),time:(from:'2017-02-28T21:17:10-0700',mode:absolute,to:'2017-03-01T00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187" t="str">
        <f t="shared" si="51"/>
        <v>N</v>
      </c>
      <c r="X146" s="187">
        <f t="shared" si="45"/>
        <v>1</v>
      </c>
      <c r="Y146" s="62">
        <f t="shared" si="52"/>
        <v>23.299299999999999</v>
      </c>
      <c r="Z146" s="62">
        <f t="shared" si="53"/>
        <v>1.5800000000000002E-2</v>
      </c>
      <c r="AA146" s="62">
        <f t="shared" si="54"/>
        <v>23.2835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5"/>
        <v>0232-28</v>
      </c>
      <c r="AE146" s="85" t="str">
        <f t="shared" si="56"/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AF146" s="82" t="str">
        <f t="shared" si="57"/>
        <v>"C:\Program Files (x86)\AstroGrep\AstroGrep.exe" /spath="%USERPROFILE%\AppData\Local\Temp\OnboardLogs" /stypes="app*4005*20170301*" /stext=" 06:.+((SYSTEM_STATE.+slice.+state.+changed )|(ment ac)|(multiple cpu faults)|(system.+state.+changed )|(\[timeout)|(PRM\|1\|D)|(kpr)|(kdp)|(\|lc)|(penalty))" /e /r /s</v>
      </c>
      <c r="AG146" s="1" t="str">
        <f t="shared" si="58"/>
        <v>EC</v>
      </c>
      <c r="AH146" s="86" t="str">
        <f t="shared" si="59"/>
        <v>"%USERPROFILE%\Documents\GitHub\eaglep3\Utilities\RefineRTDCRunTimes.py" --tripid 232-28 --locoid 4005 --swversion DE.1.0.9.0 --startMP 204:232993 --initTime 2017-02-28T22:17:10 --startdatetime 2017-02-28T22:26:14 --delay 1 --endMP 204:158 --enddatetime 2017-02-28T23:05:32 --enforcementcount 1 &gt;&gt;C:\Users\stu\Documents\GitHub\eaglep3-reporting\EC\2017-02-28-refined-times.txt</v>
      </c>
      <c r="AI146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{"issue":{"subject":"","project_id":79,"tracker_id":40,"status_id":1,"priority_id":2,"assigned_to_id":23,"start_date":"2017-02-28","description":"","custom_fields":[{"id":1,"name":"Subdivision","value":"EC"},{"id":4,"name":"Milepost","value":"0.0158"},{"id":17,"name":"Train ID","value":"232-28"},{"id":16,"name":"Locomotive ID","value":"4005"},{"id":130,"name":"Impact","value":""},{"id":150,"name":"Time of Event (Mountain Time)","value":"23:05:32"},{"id":151,"name":"Denver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1"/>
        <v>start /low /b %USERPROFILE%\Documents\GitHub\eaglep3\Utilities\DownloadLogsFromS3.py --loco 4005 --day 2017-02-28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"%USERPROFILE%\AppData\Local\Temp\OnboardLogs"\RTDC4005\*4005*20170301* | grep -SE "(Enforcement Action)|(\[TIMEOUT)|(CHR.+\|PRM\|1\|D.+(SWITCH|SIGNAL).+UNKNOWN)" - &gt;&gt; 2017-02-28-UncaughtWiMAX.txt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572</v>
      </c>
      <c r="B147" s="7">
        <v>4007</v>
      </c>
      <c r="C147" s="21" t="s">
        <v>274</v>
      </c>
      <c r="D147" s="21" t="s">
        <v>204</v>
      </c>
      <c r="E147" s="13">
        <v>42794.909791666665</v>
      </c>
      <c r="F147" s="13">
        <v>42794.916898148149</v>
      </c>
      <c r="G147" s="7">
        <v>2</v>
      </c>
      <c r="H147" s="21" t="s">
        <v>841</v>
      </c>
      <c r="I147" s="13">
        <v>42794.942731481482</v>
      </c>
      <c r="J147" s="7">
        <v>1</v>
      </c>
      <c r="K147" s="98" t="str">
        <f t="shared" si="47"/>
        <v>4007/4008</v>
      </c>
      <c r="L147" s="21" t="str">
        <f>VLOOKUP(A147,'Trips&amp;Operators'!$C$1:$G$99999,5,FALSE)</f>
        <v>STORY SAMANTHA</v>
      </c>
      <c r="M147" s="6">
        <f t="shared" si="48"/>
        <v>2.5833333333139308E-2</v>
      </c>
      <c r="N147" s="7">
        <f t="shared" si="46"/>
        <v>37.199999999720603</v>
      </c>
      <c r="O147" s="7"/>
      <c r="P147" s="7"/>
      <c r="Q147" s="22"/>
      <c r="R147" s="22"/>
      <c r="S147" s="31">
        <f t="shared" ref="S147:S178" si="62">SUM(U147:U147)/IF(AG147="EC",12,1)</f>
        <v>1</v>
      </c>
      <c r="T147" s="46" t="str">
        <f t="shared" si="49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0"/>
        <v>https://d0f6bd738d7f1b3e5a7ca70fe4ff75f0.us-east-1.aws.found.io/app/kibana#/discover/Steve-Slow-Train-Analysis-(2080s-and-2083s)?_g=(refreshInterval:(display:Off,pause:!f,section:0,value:0),time:(from:'2017-02-28T20:50:06-0700',mode:absolute,to:'2017-02-28T23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187" t="str">
        <f t="shared" si="51"/>
        <v>N</v>
      </c>
      <c r="X147" s="187">
        <f t="shared" si="45"/>
        <v>1</v>
      </c>
      <c r="Y147" s="62">
        <f t="shared" si="52"/>
        <v>4.6199999999999998E-2</v>
      </c>
      <c r="Z147" s="62">
        <f t="shared" si="53"/>
        <v>23.340399999999999</v>
      </c>
      <c r="AA147" s="62">
        <f t="shared" si="54"/>
        <v>23.2942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5"/>
        <v>0233-28</v>
      </c>
      <c r="AE147" s="85" t="str">
        <f t="shared" si="56"/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AF147" s="82" t="str">
        <f t="shared" si="57"/>
        <v>"C:\Program Files (x86)\AstroGrep\AstroGrep.exe" /spath="%USERPROFILE%\AppData\Local\Temp\OnboardLogs" /stypes="app*4007*20170301*" /stext=" 05:.+((SYSTEM_STATE.+slice.+state.+changed )|(ment ac)|(multiple cpu faults)|(system.+state.+changed )|(\[timeout)|(PRM\|1\|D)|(kpr)|(kdp)|(\|lc)|(penalty))" /e /r /s</v>
      </c>
      <c r="AG147" s="1" t="str">
        <f t="shared" si="58"/>
        <v>EC</v>
      </c>
      <c r="AH147" s="86" t="str">
        <f t="shared" si="59"/>
        <v>"%USERPROFILE%\Documents\GitHub\eaglep3\Utilities\RefineRTDCRunTimes.py" --tripid 233-28 --locoid 4007 --swversion DE.1.0.9.0 --startMP 204:462 --initTime 2017-02-28T21:50:06 --startdatetime 2017-02-28T22:00:20 --delay 2 --endMP 204:233404 --enddatetime 2017-02-28T22:37:32 --enforcementcount 1 &gt;&gt;C:\Users\stu\Documents\GitHub\eaglep3-reporting\EC\2017-02-28-refined-times.txt</v>
      </c>
      <c r="AI147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{"issue":{"subject":"","project_id":79,"tracker_id":40,"status_id":1,"priority_id":2,"assigned_to_id":23,"start_date":"2017-02-28","description":"","custom_fields":[{"id":1,"name":"Subdivision","value":"EC"},{"id":4,"name":"Milepost","value":"23.3404"},{"id":17,"name":"Train ID","value":"233-28"},{"id":16,"name":"Locomotive ID","value":"4007"},{"id":130,"name":"Impact","value":""},{"id":150,"name":"Time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1"/>
        <v>start /low /b %USERPROFILE%\Documents\GitHub\eaglep3\Utilities\DownloadLogsFromS3.py --loco 4007 --day 2017-02-28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"%USERPROFILE%\AppData\Local\Temp\OnboardLogs"\RTDC4007\*4007*20170301* | grep -SE "(Enforcement Action)|(\[TIMEOUT)|(CHR.+\|PRM\|1\|D.+(SWITCH|SIGNAL).+UNKNOWN)" - &gt;&gt; 2017-02-28-UncaughtWiMAX.txt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756</v>
      </c>
      <c r="B148" s="7">
        <v>4008</v>
      </c>
      <c r="C148" s="21" t="s">
        <v>274</v>
      </c>
      <c r="D148" s="21" t="s">
        <v>842</v>
      </c>
      <c r="E148" s="13">
        <v>42794.94798611111</v>
      </c>
      <c r="F148" s="13">
        <v>42794.955891203703</v>
      </c>
      <c r="G148" s="7">
        <v>1</v>
      </c>
      <c r="H148" s="21" t="s">
        <v>843</v>
      </c>
      <c r="I148" s="13">
        <v>42794.98778935185</v>
      </c>
      <c r="J148" s="7">
        <v>1</v>
      </c>
      <c r="K148" s="98" t="str">
        <f t="shared" si="47"/>
        <v>4007/4008</v>
      </c>
      <c r="L148" s="21" t="str">
        <f>VLOOKUP(A148,'Trips&amp;Operators'!$C$1:$G$99999,5,FALSE)</f>
        <v>STORY SAMANTHA</v>
      </c>
      <c r="M148" s="6">
        <f t="shared" si="48"/>
        <v>3.1898148146865424E-2</v>
      </c>
      <c r="N148" s="7">
        <f t="shared" si="46"/>
        <v>45.93333333148621</v>
      </c>
      <c r="O148" s="7"/>
      <c r="P148" s="7"/>
      <c r="Q148" s="22"/>
      <c r="R148" s="22"/>
      <c r="S148" s="31">
        <f t="shared" si="62"/>
        <v>1</v>
      </c>
      <c r="T148" s="46" t="str">
        <f t="shared" si="49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0"/>
        <v>https://d0f6bd738d7f1b3e5a7ca70fe4ff75f0.us-east-1.aws.found.io/app/kibana#/discover/Steve-Slow-Train-Analysis-(2080s-and-2083s)?_g=(refreshInterval:(display:Off,pause:!f,section:0,value:0),time:(from:'2017-02-28T21:45:06-0700',mode:absolute,to:'2017-03-01T00:42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8" s="187" t="str">
        <f t="shared" si="51"/>
        <v>N</v>
      </c>
      <c r="X148" s="187">
        <f t="shared" si="45"/>
        <v>1</v>
      </c>
      <c r="Y148" s="62">
        <f t="shared" si="52"/>
        <v>23.3079</v>
      </c>
      <c r="Z148" s="62">
        <f t="shared" si="53"/>
        <v>8.7099999999999997E-2</v>
      </c>
      <c r="AA148" s="62">
        <f t="shared" si="54"/>
        <v>23.220800000000001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5"/>
        <v>0234-28</v>
      </c>
      <c r="AE148" s="85" t="str">
        <f t="shared" si="56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148" s="82" t="str">
        <f t="shared" si="57"/>
        <v>"C:\Program Files (x86)\AstroGrep\AstroGrep.exe" /spath="%USERPROFILE%\AppData\Local\Temp\OnboardLogs" /stypes="app*4008*20170301*" /stext=" 06:.+((SYSTEM_STATE.+slice.+state.+changed )|(ment ac)|(multiple cpu faults)|(system.+state.+changed )|(\[timeout)|(PRM\|1\|D)|(kpr)|(kdp)|(\|lc)|(penalty))" /e /r /s</v>
      </c>
      <c r="AG148" s="1" t="str">
        <f t="shared" si="58"/>
        <v>EC</v>
      </c>
      <c r="AH148" s="86" t="str">
        <f t="shared" si="59"/>
        <v>"%USERPROFILE%\Documents\GitHub\eaglep3\Utilities\RefineRTDCRunTimes.py" --tripid 234-28 --locoid 4008 --swversion DE.1.0.9.0 --startMP 204:233079 --initTime 2017-02-28T22:45:06 --startdatetime 2017-02-28T22:56:29 --delay 1 --endMP 204:871 --enddatetime 2017-02-28T23:42:25 --enforcementcount 1 &gt;&gt;C:\Users\stu\Documents\GitHub\eaglep3-reporting\EC\2017-02-28-refined-times.txt</v>
      </c>
      <c r="AI148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{"issue":{"subject":"","project_id":79,"tracker_id":40,"status_id":1,"priority_id":2,"assigned_to_id":23,"start_date":"2017-02-28","description":"","custom_fields":[{"id":1,"name":"Subdivision","value":"EC"},{"id":4,"name":"Milepost","value":"0.0871"},{"id":17,"name":"Train ID","value":"234-28"},{"id":16,"name":"Locomotive ID","value":"4008"},{"id":130,"name":"Impact","value":""},{"id":150,"name":"Time of Event (Mountain Time)","value":"23:42:25"},{"id":151,"name":"Denver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1"/>
        <v>start /low /b %USERPROFILE%\Documents\GitHub\eaglep3\Utilities\DownloadLogsFromS3.py --loco 4008 --day 2017-02-28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"%USERPROFILE%\AppData\Local\Temp\OnboardLogs"\RTDC4008\*4008*20170301* | grep -SE "(Enforcement Action)|(\[TIMEOUT)|(CHR.+\|PRM\|1\|D.+(SWITCH|SIGNAL).+UNKNOWN)" - &gt;&gt; 2017-02-28-UncaughtWiMAX.txt</v>
      </c>
    </row>
    <row r="149" spans="1:91" x14ac:dyDescent="0.25">
      <c r="A149" s="33" t="s">
        <v>754</v>
      </c>
      <c r="B149" s="7">
        <v>4018</v>
      </c>
      <c r="C149" s="21" t="s">
        <v>274</v>
      </c>
      <c r="D149" s="21" t="s">
        <v>402</v>
      </c>
      <c r="E149" s="13">
        <v>42794.932592592595</v>
      </c>
      <c r="F149" s="13">
        <v>42794.937685185185</v>
      </c>
      <c r="G149" s="7">
        <v>1</v>
      </c>
      <c r="H149" s="21" t="s">
        <v>844</v>
      </c>
      <c r="I149" s="13">
        <v>42794.962256944447</v>
      </c>
      <c r="J149" s="7">
        <v>1</v>
      </c>
      <c r="K149" s="98" t="str">
        <f t="shared" si="47"/>
        <v>4017/4018</v>
      </c>
      <c r="L149" s="21" t="str">
        <f>VLOOKUP(A149,'Trips&amp;Operators'!$C$1:$G$99999,5,FALSE)</f>
        <v>STAMBAUGH JAMES</v>
      </c>
      <c r="M149" s="6">
        <f t="shared" si="48"/>
        <v>2.457175926247146E-2</v>
      </c>
      <c r="N149" s="7">
        <f t="shared" si="46"/>
        <v>35.383333337958902</v>
      </c>
      <c r="O149" s="7"/>
      <c r="P149" s="7"/>
      <c r="Q149" s="22"/>
      <c r="R149" s="22"/>
      <c r="S149" s="31">
        <f t="shared" si="62"/>
        <v>1</v>
      </c>
      <c r="T149" s="46" t="str">
        <f t="shared" si="49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0"/>
        <v>https://d0f6bd738d7f1b3e5a7ca70fe4ff75f0.us-east-1.aws.found.io/app/kibana#/discover/Steve-Slow-Train-Analysis-(2080s-and-2083s)?_g=(refreshInterval:(display:Off,pause:!f,section:0,value:0),time:(from:'2017-02-28T21:22:56-0700',mode:absolute,to:'2017-03-01T00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87" t="str">
        <f t="shared" si="51"/>
        <v>N</v>
      </c>
      <c r="X149" s="187">
        <f t="shared" si="45"/>
        <v>1</v>
      </c>
      <c r="Y149" s="62">
        <f t="shared" si="52"/>
        <v>4.3799999999999999E-2</v>
      </c>
      <c r="Z149" s="62">
        <f t="shared" si="53"/>
        <v>23.3353</v>
      </c>
      <c r="AA149" s="62">
        <f t="shared" si="54"/>
        <v>23.291499999999999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5"/>
        <v>0235-28</v>
      </c>
      <c r="AE149" s="85" t="str">
        <f t="shared" si="56"/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AF149" s="82" t="str">
        <f t="shared" si="57"/>
        <v>"C:\Program Files (x86)\AstroGrep\AstroGrep.exe" /spath="%USERPROFILE%\AppData\Local\Temp\OnboardLogs" /stypes="app*4018*20170301*" /stext=" 06:.+((SYSTEM_STATE.+slice.+state.+changed )|(ment ac)|(multiple cpu faults)|(system.+state.+changed )|(\[timeout)|(PRM\|1\|D)|(kpr)|(kdp)|(\|lc)|(penalty))" /e /r /s</v>
      </c>
      <c r="AG149" s="1" t="str">
        <f t="shared" si="58"/>
        <v>EC</v>
      </c>
      <c r="AH149" s="86" t="str">
        <f t="shared" si="59"/>
        <v>"%USERPROFILE%\Documents\GitHub\eaglep3\Utilities\RefineRTDCRunTimes.py" --tripid 235-28 --locoid 4018 --swversion DE.1.0.9.0 --startMP 204:438 --initTime 2017-02-28T22:22:56 --startdatetime 2017-02-28T22:30:16 --delay 1 --endMP 204:233353 --enddatetime 2017-02-28T23:05:39 --enforcementcount 1 &gt;&gt;C:\Users\stu\Documents\GitHub\eaglep3-reporting\EC\2017-02-28-refined-times.txt</v>
      </c>
      <c r="AI149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{"issue":{"subject":"","project_id":79,"tracker_id":40,"status_id":1,"priority_id":2,"assigned_to_id":23,"start_date":"2017-02-28","description":"","custom_fields":[{"id":1,"name":"Subdivision","value":"EC"},{"id":4,"name":"Milepost","value":"23.3353"},{"id":17,"name":"Train ID","value":"235-28"},{"id":16,"name":"Locomotive ID","value":"4018"},{"id":130,"name":"Impact","value":""},{"id":150,"name":"Time of Event (Mountain Time)","value":"23:05:39"},{"id":151,"name":"Denver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1"/>
        <v>start /low /b %USERPROFILE%\Documents\GitHub\eaglep3\Utilities\DownloadLogsFromS3.py --loco 4018 --day 2017-02-28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2017-02-28-UncaughtWiMAX.txt</v>
      </c>
    </row>
    <row r="150" spans="1:91" x14ac:dyDescent="0.25">
      <c r="A150" s="33" t="s">
        <v>758</v>
      </c>
      <c r="B150" s="7">
        <v>4017</v>
      </c>
      <c r="C150" s="21" t="s">
        <v>274</v>
      </c>
      <c r="D150" s="21" t="s">
        <v>845</v>
      </c>
      <c r="E150" s="13">
        <v>42794.974259259259</v>
      </c>
      <c r="F150" s="13">
        <v>42794.976805555554</v>
      </c>
      <c r="G150" s="7">
        <v>1</v>
      </c>
      <c r="H150" s="21" t="s">
        <v>243</v>
      </c>
      <c r="I150" s="13">
        <v>42795.005532407406</v>
      </c>
      <c r="J150" s="7">
        <v>1</v>
      </c>
      <c r="K150" s="98" t="str">
        <f t="shared" si="47"/>
        <v>4017/4018</v>
      </c>
      <c r="L150" s="21" t="str">
        <f>VLOOKUP(A150,'Trips&amp;Operators'!$C$1:$G$99999,5,FALSE)</f>
        <v>STAMBAUGH JAMES</v>
      </c>
      <c r="M150" s="6">
        <f t="shared" si="48"/>
        <v>2.8726851851388346E-2</v>
      </c>
      <c r="N150" s="7">
        <f t="shared" si="46"/>
        <v>41.366666665999219</v>
      </c>
      <c r="O150" s="7"/>
      <c r="P150" s="7"/>
      <c r="Q150" s="22"/>
      <c r="R150" s="22"/>
      <c r="S150" s="31">
        <f t="shared" si="62"/>
        <v>1</v>
      </c>
      <c r="T150" s="46" t="str">
        <f t="shared" si="49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0"/>
        <v>https://d0f6bd738d7f1b3e5a7ca70fe4ff75f0.us-east-1.aws.found.io/app/kibana#/discover/Steve-Slow-Train-Analysis-(2080s-and-2083s)?_g=(refreshInterval:(display:Off,pause:!f,section:0,value:0),time:(from:'2017-02-28T22:22:56-0700',mode:absolute,to:'2017-03-01T01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87" t="str">
        <f t="shared" si="51"/>
        <v>N</v>
      </c>
      <c r="X150" s="187">
        <f t="shared" ref="X150:X181" si="63">VALUE(LEFT(AD150,4))-VALUE(LEFT(AD149,4))</f>
        <v>1</v>
      </c>
      <c r="Y150" s="62">
        <f t="shared" si="52"/>
        <v>23.303599999999999</v>
      </c>
      <c r="Z150" s="62">
        <f t="shared" si="53"/>
        <v>1.3899999999999999E-2</v>
      </c>
      <c r="AA150" s="62">
        <f t="shared" si="54"/>
        <v>23.2897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5"/>
        <v>0236-28</v>
      </c>
      <c r="AE150" s="85" t="str">
        <f t="shared" si="56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150" s="82" t="str">
        <f t="shared" si="57"/>
        <v>"C:\Program Files (x86)\AstroGrep\AstroGrep.exe" /spath="%USERPROFILE%\AppData\Local\Temp\OnboardLogs" /stypes="app*4017*20170301*" /stext=" 07:.+((SYSTEM_STATE.+slice.+state.+changed )|(ment ac)|(multiple cpu faults)|(system.+state.+changed )|(\[timeout)|(PRM\|1\|D)|(kpr)|(kdp)|(\|lc)|(penalty))" /e /r /s</v>
      </c>
      <c r="AG150" s="1" t="str">
        <f t="shared" si="58"/>
        <v>EC</v>
      </c>
      <c r="AH150" s="86" t="str">
        <f t="shared" si="59"/>
        <v>"%USERPROFILE%\Documents\GitHub\eaglep3\Utilities\RefineRTDCRunTimes.py" --tripid 236-28 --locoid 4017 --swversion DE.1.0.9.0 --startMP 204:233036 --initTime 2017-02-28T23:22:56 --startdatetime 2017-02-28T23:26:36 --delay 1 --endMP 204:139 --enddatetime 2017-03-01T00:07:58 --enforcementcount 1 &gt;&gt;C:\Users\stu\Documents\GitHub\eaglep3-reporting\EC\2017-02-28-refined-times.txt</v>
      </c>
      <c r="AI150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{"issue":{"subject":"","project_id":79,"tracker_id":40,"status_id":1,"priority_id":2,"assigned_to_id":23,"start_date":"2017-03-01","description":"","custom_fields":[{"id":1,"name":"Subdivision","value":"EC"},{"id":4,"name":"Milepost","value":"0.0139"},{"id":17,"name":"Train ID","value":"236-28"},{"id":16,"name":"Locomotive ID","value":"4017"},{"id":130,"name":"Impact","value":""},{"id":150,"name":"Time of Event (Mountain Time)","value":"00:07:58"},{"id":151,"name":"Denver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1"/>
        <v>start /low /b %USERPROFILE%\Documents\GitHub\eaglep3\Utilities\DownloadLogsFromS3.py --loco 4017 --day 2017-02-28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"%USERPROFILE%\AppData\Local\Temp\OnboardLogs"\RTDC4017\*4017*20170301* | grep -SE "(Enforcement Action)|(\[TIMEOUT)|(CHR.+\|PRM\|1\|D.+(SWITCH|SIGNAL).+UNKNOWN)" - &gt;&gt; 2017-02-28-UncaughtWiMAX.txt</v>
      </c>
    </row>
    <row r="151" spans="1:91" x14ac:dyDescent="0.25">
      <c r="A151" s="33" t="s">
        <v>757</v>
      </c>
      <c r="B151" s="7">
        <v>4003</v>
      </c>
      <c r="C151" s="21" t="s">
        <v>274</v>
      </c>
      <c r="D151" s="21" t="s">
        <v>242</v>
      </c>
      <c r="E151" s="13">
        <v>42794.94971064815</v>
      </c>
      <c r="F151" s="13">
        <v>42794.95857638889</v>
      </c>
      <c r="G151" s="7">
        <v>1</v>
      </c>
      <c r="H151" s="21" t="s">
        <v>846</v>
      </c>
      <c r="I151" s="13">
        <v>42794.984722222223</v>
      </c>
      <c r="J151" s="7">
        <v>1</v>
      </c>
      <c r="K151" s="98" t="str">
        <f t="shared" si="47"/>
        <v>4003/4004</v>
      </c>
      <c r="L151" s="21" t="str">
        <f>VLOOKUP(A151,'Trips&amp;Operators'!$C$1:$G$99999,5,FALSE)</f>
        <v>CHANDLER KELVIN</v>
      </c>
      <c r="M151" s="6">
        <f t="shared" si="48"/>
        <v>2.6145833333430346E-2</v>
      </c>
      <c r="N151" s="7">
        <f t="shared" si="46"/>
        <v>37.650000000139698</v>
      </c>
      <c r="O151" s="7"/>
      <c r="P151" s="7"/>
      <c r="Q151" s="22"/>
      <c r="R151" s="22"/>
      <c r="S151" s="31">
        <f t="shared" si="62"/>
        <v>1</v>
      </c>
      <c r="T151" s="46" t="str">
        <f t="shared" si="49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0"/>
        <v>https://d0f6bd738d7f1b3e5a7ca70fe4ff75f0.us-east-1.aws.found.io/app/kibana#/discover/Steve-Slow-Train-Analysis-(2080s-and-2083s)?_g=(refreshInterval:(display:Off,pause:!f,section:0,value:0),time:(from:'2017-02-28T21:47:35-0700',mode:absolute,to:'2017-03-01T00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187" t="str">
        <f t="shared" si="51"/>
        <v>N</v>
      </c>
      <c r="X151" s="187">
        <f t="shared" si="63"/>
        <v>1</v>
      </c>
      <c r="Y151" s="62">
        <f t="shared" si="52"/>
        <v>4.5499999999999999E-2</v>
      </c>
      <c r="Z151" s="62">
        <f t="shared" si="53"/>
        <v>23.328099999999999</v>
      </c>
      <c r="AA151" s="62">
        <f t="shared" si="54"/>
        <v>23.282599999999999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5"/>
        <v>0237-28</v>
      </c>
      <c r="AE151" s="85" t="str">
        <f t="shared" si="56"/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AF151" s="82" t="str">
        <f t="shared" si="57"/>
        <v>"C:\Program Files (x86)\AstroGrep\AstroGrep.exe" /spath="%USERPROFILE%\AppData\Local\Temp\OnboardLogs" /stypes="app*4003*20170301*" /stext=" 06:.+((SYSTEM_STATE.+slice.+state.+changed )|(ment ac)|(multiple cpu faults)|(system.+state.+changed )|(\[timeout)|(PRM\|1\|D)|(kpr)|(kdp)|(\|lc)|(penalty))" /e /r /s</v>
      </c>
      <c r="AG151" s="1" t="str">
        <f t="shared" si="58"/>
        <v>EC</v>
      </c>
      <c r="AH151" s="86" t="str">
        <f t="shared" si="59"/>
        <v>"%USERPROFILE%\Documents\GitHub\eaglep3\Utilities\RefineRTDCRunTimes.py" --tripid 237-28 --locoid 4003 --swversion DE.1.0.9.0 --startMP 204:455 --initTime 2017-02-28T22:47:35 --startdatetime 2017-02-28T23:00:21 --delay 1 --endMP 204:233281 --enddatetime 2017-02-28T23:38:00 --enforcementcount 1 &gt;&gt;C:\Users\stu\Documents\GitHub\eaglep3-reporting\EC\2017-02-28-refined-times.txt</v>
      </c>
      <c r="AI151" s="108" t="str">
        <f t="shared" si="60"/>
        <v>echo {"issue":{"subject":"","project_id":79,"tracker_id":40,"status_id":1,"priority_id":2,"assigned_to_id":23,"start_date":"2017-02-28","description":"","custom_fields":[{"id":1,"name":"Subdivision","value":"EC"},{"id":4,"name":"Milepost","value":"23.3281"},{"id":17,"name":"Train ID","value":"237-28"},{"id":16,"name":"Locomotive ID","value":"4003"},{"id":130,"name":"Impact","value":""},{"id":150,"name":"Time of Event (Mountain Time)","value":"23:38:00"},{"id":151,"name":"Denver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1"/>
        <v>start /low /b %USERPROFILE%\Documents\GitHub\eaglep3\Utilities\DownloadLogsFromS3.py --loco 4003 --day 2017-02-28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"%USERPROFILE%\AppData\Local\Temp\OnboardLogs"\RTDC4003\*4003*20170301* | grep -SE "(Enforcement Action)|(\[TIMEOUT)|(CHR.+\|PRM\|1\|D.+(SWITCH|SIGNAL).+UNKNOWN)" - &gt;&gt; 2017-02-28-UncaughtWiMAX.txt</v>
      </c>
    </row>
    <row r="152" spans="1:91" x14ac:dyDescent="0.25">
      <c r="A152" s="33" t="s">
        <v>759</v>
      </c>
      <c r="B152" s="7">
        <v>4004</v>
      </c>
      <c r="C152" s="21" t="s">
        <v>274</v>
      </c>
      <c r="D152" s="21" t="s">
        <v>281</v>
      </c>
      <c r="E152" s="13">
        <v>42794.994143518517</v>
      </c>
      <c r="F152" s="13">
        <v>42794.998136574075</v>
      </c>
      <c r="G152" s="7">
        <v>0</v>
      </c>
      <c r="H152" s="21" t="s">
        <v>412</v>
      </c>
      <c r="I152" s="13">
        <v>42795.027002314811</v>
      </c>
      <c r="J152" s="7">
        <v>1</v>
      </c>
      <c r="K152" s="98" t="str">
        <f t="shared" si="47"/>
        <v>4003/4004</v>
      </c>
      <c r="L152" s="21" t="str">
        <f>VLOOKUP(A152,'Trips&amp;Operators'!$C$1:$G$99999,5,FALSE)</f>
        <v>CHANDLER KELVIN</v>
      </c>
      <c r="M152" s="6">
        <f t="shared" si="48"/>
        <v>2.8865740736364387E-2</v>
      </c>
      <c r="N152" s="7">
        <f t="shared" si="46"/>
        <v>41.566666660364717</v>
      </c>
      <c r="O152" s="7"/>
      <c r="P152" s="7"/>
      <c r="Q152" s="22"/>
      <c r="R152" s="22"/>
      <c r="S152" s="31">
        <f t="shared" si="62"/>
        <v>1</v>
      </c>
      <c r="T152" s="46" t="str">
        <f t="shared" si="49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0"/>
        <v>https://d0f6bd738d7f1b3e5a7ca70fe4ff75f0.us-east-1.aws.found.io/app/kibana#/discover/Steve-Slow-Train-Analysis-(2080s-and-2083s)?_g=(refreshInterval:(display:Off,pause:!f,section:0,value:0),time:(from:'2017-02-28T22:51:34-0700',mode:absolute,to:'2017-03-01T01:38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87" t="str">
        <f t="shared" si="51"/>
        <v>N</v>
      </c>
      <c r="X152" s="187">
        <f t="shared" si="63"/>
        <v>1</v>
      </c>
      <c r="Y152" s="62">
        <f t="shared" si="52"/>
        <v>23.2987</v>
      </c>
      <c r="Z152" s="62">
        <f t="shared" si="53"/>
        <v>1.67E-2</v>
      </c>
      <c r="AA152" s="62">
        <f t="shared" si="54"/>
        <v>23.282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5"/>
        <v>0238-28</v>
      </c>
      <c r="AE152" s="85" t="str">
        <f t="shared" si="56"/>
        <v>aws s3 cp s3://rtdc.mdm.uploadarchive.raw/RTDC4004/ "%USERPROFILE%\AppData\Local\Temp\OnboardLogs"\RTDC4004\2017-02-28 --exclude "*" --recursive --include "*20170228*" &amp; "%USERPROFILE%\Documents\GitHub\mrs-test-scripts\Headless Mode &amp; Sideloading\WalkAndUnGZ.bat" "%USERPROFILE%\AppData\Local\Temp\OnboardLogs"\RTDC4004\2017-02-28 &amp; aws s3 cp s3://rtdc.mdm.uploadarchive.raw/RTDC4004/ "%USERPROFILE%\AppData\Local\Temp\OnboardLogs"\RTDC4004\2017-03-01 --exclude "*" --recursive --include "*20170301*" &amp; "%USERPROFILE%\Documents\GitHub\mrs-test-scripts\Headless Mode &amp; Sideloading\WalkAndUnGZ.bat" "%USERPROFILE%\AppData\Local\Temp\OnboardLogs"\RTDC4004\2017-03-01</v>
      </c>
      <c r="AF152" s="82" t="str">
        <f t="shared" si="57"/>
        <v>"C:\Program Files (x86)\AstroGrep\AstroGrep.exe" /spath="%USERPROFILE%\AppData\Local\Temp\OnboardLogs" /stypes="app*4004*20170301*" /stext=" 07:.+((SYSTEM_STATE.+slice.+state.+changed )|(ment ac)|(multiple cpu faults)|(system.+state.+changed )|(\[timeout)|(PRM\|1\|D)|(kpr)|(kdp)|(\|lc)|(penalty))" /e /r /s</v>
      </c>
      <c r="AG152" s="1" t="str">
        <f t="shared" si="58"/>
        <v>EC</v>
      </c>
      <c r="AH152" s="86" t="str">
        <f t="shared" si="59"/>
        <v>"%USERPROFILE%\Documents\GitHub\eaglep3\Utilities\RefineRTDCRunTimes.py" --tripid 238-28 --locoid 4004 --swversion DE.1.0.9.0 --startMP 204:232987 --initTime 2017-02-28T23:51:34 --startdatetime 2017-02-28T23:57:19 --delay 0 --endMP 204:167 --enddatetime 2017-03-01T00:38:53 --enforcementcount 1 &gt;&gt;C:\Users\stu\Documents\GitHub\eaglep3-reporting\EC\2017-02-28-refined-times.txt</v>
      </c>
      <c r="AI152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{"issue":{"subject":"","project_id":79,"tracker_id":40,"status_id":1,"priority_id":2,"assigned_to_id":23,"start_date":"2017-03-01","description":"","custom_fields":[{"id":1,"name":"Subdivision","value":"EC"},{"id":4,"name":"Milepost","value":"0.0167"},{"id":17,"name":"Train ID","value":"238-28"},{"id":16,"name":"Locomotive ID","value":"4004"},{"id":130,"name":"Impact","value":""},{"id":150,"name":"Time of Event (Mountain Time)","value":"00:38:53"},{"id":151,"name":"Denver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1"/>
        <v>start /low /b %USERPROFILE%\Documents\GitHub\eaglep3\Utilities\DownloadLogsFromS3.py --loco 4004 --day 2017-02-28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"%USERPROFILE%\AppData\Local\Temp\OnboardLogs"\RTDC4004\*4004*20170301* | grep -SE "(Enforcement Action)|(\[TIMEOUT)|(CHR.+\|PRM\|1\|D.+(SWITCH|SIGNAL).+UNKNOWN)" - &gt;&gt; 2017-02-28-UncaughtWiMAX.txt</v>
      </c>
    </row>
    <row r="153" spans="1:91" x14ac:dyDescent="0.25">
      <c r="A153" s="33" t="s">
        <v>573</v>
      </c>
      <c r="B153" s="7">
        <v>4006</v>
      </c>
      <c r="C153" s="21" t="s">
        <v>274</v>
      </c>
      <c r="D153" s="21" t="s">
        <v>267</v>
      </c>
      <c r="E153" s="13">
        <v>42794.976898148147</v>
      </c>
      <c r="F153" s="13">
        <v>42794.979328703703</v>
      </c>
      <c r="G153" s="7">
        <v>1</v>
      </c>
      <c r="H153" s="21" t="s">
        <v>847</v>
      </c>
      <c r="I153" s="13">
        <v>42795.004641203705</v>
      </c>
      <c r="J153" s="7">
        <v>1</v>
      </c>
      <c r="K153" s="98" t="str">
        <f t="shared" si="47"/>
        <v>4005/4006</v>
      </c>
      <c r="L153" s="21" t="str">
        <f>VLOOKUP(A153,'Trips&amp;Operators'!$C$1:$G$99999,5,FALSE)</f>
        <v>NEWELL JAMES</v>
      </c>
      <c r="M153" s="6">
        <f t="shared" si="48"/>
        <v>2.531250000174623E-2</v>
      </c>
      <c r="N153" s="7">
        <f t="shared" si="46"/>
        <v>36.450000002514571</v>
      </c>
      <c r="O153" s="7"/>
      <c r="P153" s="7"/>
      <c r="Q153" s="22"/>
      <c r="R153" s="22"/>
      <c r="S153" s="31">
        <f t="shared" si="62"/>
        <v>1</v>
      </c>
      <c r="T153" s="46" t="str">
        <f t="shared" si="49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0"/>
        <v>https://d0f6bd738d7f1b3e5a7ca70fe4ff75f0.us-east-1.aws.found.io/app/kibana#/discover/Steve-Slow-Train-Analysis-(2080s-and-2083s)?_g=(refreshInterval:(display:Off,pause:!f,section:0,value:0),time:(from:'2017-02-28T22:26:44-0700',mode:absolute,to:'2017-03-01T01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87" t="str">
        <f t="shared" si="51"/>
        <v>N</v>
      </c>
      <c r="X153" s="187">
        <f t="shared" si="63"/>
        <v>1</v>
      </c>
      <c r="Y153" s="62">
        <f t="shared" si="52"/>
        <v>4.7500000000000001E-2</v>
      </c>
      <c r="Z153" s="62">
        <f t="shared" si="53"/>
        <v>23.331900000000001</v>
      </c>
      <c r="AA153" s="62">
        <f t="shared" si="54"/>
        <v>23.284400000000002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55"/>
        <v>0239-28</v>
      </c>
      <c r="AE153" s="85" t="str">
        <f t="shared" si="56"/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AF153" s="82" t="str">
        <f t="shared" si="57"/>
        <v>"C:\Program Files (x86)\AstroGrep\AstroGrep.exe" /spath="%USERPROFILE%\AppData\Local\Temp\OnboardLogs" /stypes="app*4006*20170301*" /stext=" 07:.+((SYSTEM_STATE.+slice.+state.+changed )|(ment ac)|(multiple cpu faults)|(system.+state.+changed )|(\[timeout)|(PRM\|1\|D)|(kpr)|(kdp)|(\|lc)|(penalty))" /e /r /s</v>
      </c>
      <c r="AG153" s="1" t="str">
        <f t="shared" si="58"/>
        <v>EC</v>
      </c>
      <c r="AH153" s="86" t="str">
        <f t="shared" si="59"/>
        <v>"%USERPROFILE%\Documents\GitHub\eaglep3\Utilities\RefineRTDCRunTimes.py" --tripid 239-28 --locoid 4006 --swversion DE.1.0.9.0 --startMP 204:475 --initTime 2017-02-28T23:26:44 --startdatetime 2017-02-28T23:30:14 --delay 1 --endMP 204:233319 --enddatetime 2017-03-01T00:06:41 --enforcementcount 1 &gt;&gt;C:\Users\stu\Documents\GitHub\eaglep3-reporting\EC\2017-02-28-refined-times.txt</v>
      </c>
      <c r="AI153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{"issue":{"subject":"","project_id":79,"tracker_id":40,"status_id":1,"priority_id":2,"assigned_to_id":23,"start_date":"2017-03-01","description":"","custom_fields":[{"id":1,"name":"Subdivision","value":"EC"},{"id":4,"name":"Milepost","value":"23.3319"},{"id":17,"name":"Train ID","value":"239-28"},{"id":16,"name":"Locomotive ID","value":"4006"},{"id":130,"name":"Impact","value":""},{"id":150,"name":"Time of Event (Mountain Time)","value":"00:06:41"},{"id":151,"name":"Denver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1"/>
        <v>start /low /b %USERPROFILE%\Documents\GitHub\eaglep3\Utilities\DownloadLogsFromS3.py --loco 4006 --day 2017-02-28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"%USERPROFILE%\AppData\Local\Temp\OnboardLogs"\RTDC4006\*4006*20170301* | grep -SE "(Enforcement Action)|(\[TIMEOUT)|(CHR.+\|PRM\|1\|D.+(SWITCH|SIGNAL).+UNKNOWN)" - &gt;&gt; 2017-02-28-UncaughtWiMAX.txt</v>
      </c>
    </row>
    <row r="154" spans="1:91" x14ac:dyDescent="0.25">
      <c r="A154" s="33" t="s">
        <v>762</v>
      </c>
      <c r="B154" s="7">
        <v>4005</v>
      </c>
      <c r="C154" s="21" t="s">
        <v>274</v>
      </c>
      <c r="D154" s="21" t="s">
        <v>244</v>
      </c>
      <c r="E154" s="13">
        <v>42795.0155787037</v>
      </c>
      <c r="F154" s="13">
        <v>42795.019444444442</v>
      </c>
      <c r="G154" s="7">
        <v>1</v>
      </c>
      <c r="H154" s="21" t="s">
        <v>400</v>
      </c>
      <c r="I154" s="13">
        <v>42795.049432870372</v>
      </c>
      <c r="J154" s="7">
        <v>1</v>
      </c>
      <c r="K154" s="98" t="str">
        <f t="shared" si="47"/>
        <v>4005/4006</v>
      </c>
      <c r="L154" s="21" t="str">
        <f>VLOOKUP(A154,'Trips&amp;Operators'!$C$1:$G$99999,5,FALSE)</f>
        <v>NEWELL JAMES</v>
      </c>
      <c r="M154" s="6">
        <f t="shared" si="48"/>
        <v>2.9988425929332152E-2</v>
      </c>
      <c r="N154" s="7">
        <f t="shared" si="46"/>
        <v>43.183333338238299</v>
      </c>
      <c r="O154" s="7"/>
      <c r="P154" s="7"/>
      <c r="Q154" s="22"/>
      <c r="R154" s="22"/>
      <c r="S154" s="31">
        <f t="shared" si="62"/>
        <v>1</v>
      </c>
      <c r="T154" s="46" t="str">
        <f t="shared" si="49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0"/>
        <v>https://d0f6bd738d7f1b3e5a7ca70fe4ff75f0.us-east-1.aws.found.io/app/kibana#/discover/Steve-Slow-Train-Analysis-(2080s-and-2083s)?_g=(refreshInterval:(display:Off,pause:!f,section:0,value:0),time:(from:'2017-02-28T23:22:26-0700',mode:absolute,to:'2017-03-01T02:11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87" t="str">
        <f t="shared" si="51"/>
        <v>N</v>
      </c>
      <c r="X154" s="187">
        <f t="shared" si="63"/>
        <v>1</v>
      </c>
      <c r="Y154" s="62">
        <f t="shared" si="52"/>
        <v>23.299299999999999</v>
      </c>
      <c r="Z154" s="62">
        <f t="shared" si="53"/>
        <v>1.61E-2</v>
      </c>
      <c r="AA154" s="62">
        <f t="shared" si="54"/>
        <v>23.283199999999997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5"/>
        <v>0240-28</v>
      </c>
      <c r="AE154" s="85" t="str">
        <f t="shared" si="56"/>
        <v>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 &amp; 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</v>
      </c>
      <c r="AF154" s="82" t="str">
        <f t="shared" si="57"/>
        <v>"C:\Program Files (x86)\AstroGrep\AstroGrep.exe" /spath="%USERPROFILE%\AppData\Local\Temp\OnboardLogs" /stypes="app*4005*20170301*" /stext=" 08:.+((SYSTEM_STATE.+slice.+state.+changed )|(ment ac)|(multiple cpu faults)|(system.+state.+changed )|(\[timeout)|(PRM\|1\|D)|(kpr)|(kdp)|(\|lc)|(penalty))" /e /r /s</v>
      </c>
      <c r="AG154" s="1" t="str">
        <f t="shared" si="58"/>
        <v>EC</v>
      </c>
      <c r="AH154" s="86" t="str">
        <f t="shared" si="59"/>
        <v>"%USERPROFILE%\Documents\GitHub\eaglep3\Utilities\RefineRTDCRunTimes.py" --tripid 240-28 --locoid 4005 --swversion DE.1.0.9.0 --startMP 204:232993 --initTime 2017-03-01T00:22:26 --startdatetime 2017-03-01T00:28:00 --delay 1 --endMP 204:161 --enddatetime 2017-03-01T01:11:11 --enforcementcount 1 &gt;&gt;C:\Users\stu\Documents\GitHub\eaglep3-reporting\EC\2017-02-28-refined-times.txt</v>
      </c>
      <c r="AI154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{"issue":{"subject":"","project_id":79,"tracker_id":40,"status_id":1,"priority_id":2,"assigned_to_id":23,"start_date":"2017-03-01","description":"","custom_fields":[{"id":1,"name":"Subdivision","value":"EC"},{"id":4,"name":"Milepost","value":"0.0161"},{"id":17,"name":"Train ID","value":"240-28"},{"id":16,"name":"Locomotive ID","value":"4005"},{"id":130,"name":"Impact","value":""},{"id":150,"name":"Time of Event (Mountain Time)","value":"01:11:11"},{"id":151,"name":"Denver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1"/>
        <v>start /low /b %USERPROFILE%\Documents\GitHub\eaglep3\Utilities\DownloadLogsFromS3.py --loco 4005 --day 2017-03-01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"%USERPROFILE%\AppData\Local\Temp\OnboardLogs"\RTDC4005\*4005*20170301* | grep -SE "(Enforcement Action)|(\[TIMEOUT)|(CHR.+\|PRM\|1\|D.+(SWITCH|SIGNAL).+UNKNOWN)" - &gt;&gt; 2017-02-28-UncaughtWiMAX.txt</v>
      </c>
    </row>
    <row r="155" spans="1:91" x14ac:dyDescent="0.25">
      <c r="A155" s="33" t="s">
        <v>760</v>
      </c>
      <c r="B155" s="7">
        <v>4046</v>
      </c>
      <c r="C155" s="21" t="s">
        <v>274</v>
      </c>
      <c r="D155" s="21" t="s">
        <v>317</v>
      </c>
      <c r="E155" s="13">
        <v>42794.995266203703</v>
      </c>
      <c r="F155" s="13">
        <v>42795.000335648147</v>
      </c>
      <c r="G155" s="7">
        <v>2</v>
      </c>
      <c r="H155" s="21" t="s">
        <v>800</v>
      </c>
      <c r="I155" s="13">
        <v>42795.028402777774</v>
      </c>
      <c r="J155" s="7">
        <v>1</v>
      </c>
      <c r="K155" s="98" t="str">
        <f t="shared" si="47"/>
        <v>4045/4046</v>
      </c>
      <c r="L155" s="21" t="str">
        <f>VLOOKUP(A155,'Trips&amp;Operators'!$C$1:$G$99999,5,FALSE)</f>
        <v>STORY SAMANTHA</v>
      </c>
      <c r="M155" s="6">
        <f t="shared" si="48"/>
        <v>2.806712962774327E-2</v>
      </c>
      <c r="N155" s="7">
        <f t="shared" si="46"/>
        <v>40.416666663950309</v>
      </c>
      <c r="O155" s="7"/>
      <c r="P155" s="7"/>
      <c r="Q155" s="22"/>
      <c r="R155" s="22"/>
      <c r="S155" s="31">
        <f t="shared" si="62"/>
        <v>1</v>
      </c>
      <c r="T155" s="46" t="str">
        <f t="shared" si="49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0"/>
        <v>https://d0f6bd738d7f1b3e5a7ca70fe4ff75f0.us-east-1.aws.found.io/app/kibana#/discover/Steve-Slow-Train-Analysis-(2080s-and-2083s)?_g=(refreshInterval:(display:Off,pause:!f,section:0,value:0),time:(from:'2017-02-28T22:53:11-0700',mode:absolute,to:'2017-03-01T01:40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5" s="187" t="str">
        <f t="shared" si="51"/>
        <v>N</v>
      </c>
      <c r="X155" s="187">
        <f t="shared" si="63"/>
        <v>1</v>
      </c>
      <c r="Y155" s="62">
        <f t="shared" si="52"/>
        <v>4.7300000000000002E-2</v>
      </c>
      <c r="Z155" s="62">
        <f t="shared" si="53"/>
        <v>23.332100000000001</v>
      </c>
      <c r="AA155" s="62">
        <f t="shared" si="54"/>
        <v>23.284800000000001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5"/>
        <v>0241-28</v>
      </c>
      <c r="AE155" s="85" t="str">
        <f t="shared" si="56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155" s="82" t="str">
        <f t="shared" si="57"/>
        <v>"C:\Program Files (x86)\AstroGrep\AstroGrep.exe" /spath="%USERPROFILE%\AppData\Local\Temp\OnboardLogs" /stypes="app*4046*20170301*" /stext=" 07:.+((SYSTEM_STATE.+slice.+state.+changed )|(ment ac)|(multiple cpu faults)|(system.+state.+changed )|(\[timeout)|(PRM\|1\|D)|(kpr)|(kdp)|(\|lc)|(penalty))" /e /r /s</v>
      </c>
      <c r="AG155" s="1" t="str">
        <f t="shared" si="58"/>
        <v>EC</v>
      </c>
      <c r="AH155" s="86" t="str">
        <f t="shared" si="59"/>
        <v>"%USERPROFILE%\Documents\GitHub\eaglep3\Utilities\RefineRTDCRunTimes.py" --tripid 241-28 --locoid 4046 --swversion DE.1.0.9.0 --startMP 204:473 --initTime 2017-02-28T23:53:11 --startdatetime 2017-03-01T00:00:29 --delay 2 --endMP 204:233321 --enddatetime 2017-03-01T00:40:54 --enforcementcount 1 &gt;&gt;C:\Users\stu\Documents\GitHub\eaglep3-reporting\EC\2017-02-28-refined-times.txt</v>
      </c>
      <c r="AI155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{"issue":{"subject":"","project_id":79,"tracker_id":40,"status_id":1,"priority_id":2,"assigned_to_id":23,"start_date":"2017-03-01","description":"","custom_fields":[{"id":1,"name":"Subdivision","value":"EC"},{"id":4,"name":"Milepost","value":"23.3321"},{"id":17,"name":"Train ID","value":"241-28"},{"id":16,"name":"Locomotive ID","value":"4046"},{"id":130,"name":"Impact","value":""},{"id":150,"name":"Time of Event (Mountain Time)","value":"00:40:54"},{"id":151,"name":"Denver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1"/>
        <v>start /low /b %USERPROFILE%\Documents\GitHub\eaglep3\Utilities\DownloadLogsFromS3.py --loco 4046 --day 2017-03-01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2017-02-28-UncaughtWiMAX.txt</v>
      </c>
    </row>
    <row r="156" spans="1:91" s="20" customFormat="1" x14ac:dyDescent="0.25">
      <c r="A156" s="33" t="s">
        <v>764</v>
      </c>
      <c r="B156" s="7">
        <v>4045</v>
      </c>
      <c r="C156" s="21" t="s">
        <v>274</v>
      </c>
      <c r="D156" s="21" t="s">
        <v>803</v>
      </c>
      <c r="E156" s="13">
        <v>42795.034085648149</v>
      </c>
      <c r="F156" s="13">
        <v>42795.039756944447</v>
      </c>
      <c r="G156" s="7">
        <v>2</v>
      </c>
      <c r="H156" s="21" t="s">
        <v>206</v>
      </c>
      <c r="I156" s="13">
        <v>42795.070011574076</v>
      </c>
      <c r="J156" s="7">
        <v>1</v>
      </c>
      <c r="K156" s="98" t="str">
        <f t="shared" si="47"/>
        <v>4045/4046</v>
      </c>
      <c r="L156" s="21" t="str">
        <f>VLOOKUP(A156,'Trips&amp;Operators'!$C$1:$G$99999,5,FALSE)</f>
        <v>STORY SAMANTHA</v>
      </c>
      <c r="M156" s="6">
        <f t="shared" si="48"/>
        <v>3.0254629629780538E-2</v>
      </c>
      <c r="N156" s="7">
        <f t="shared" si="46"/>
        <v>43.566666666883975</v>
      </c>
      <c r="O156" s="7"/>
      <c r="P156" s="7"/>
      <c r="Q156" s="22"/>
      <c r="R156" s="22"/>
      <c r="S156" s="31">
        <f t="shared" si="62"/>
        <v>1</v>
      </c>
      <c r="T156" s="46" t="str">
        <f t="shared" si="49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0"/>
        <v>https://d0f6bd738d7f1b3e5a7ca70fe4ff75f0.us-east-1.aws.found.io/app/kibana#/discover/Steve-Slow-Train-Analysis-(2080s-and-2083s)?_g=(refreshInterval:(display:Off,pause:!f,section:0,value:0),time:(from:'2017-02-28T23:49:05-0700',mode:absolute,to:'2017-03-01T02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6" s="187" t="str">
        <f t="shared" si="51"/>
        <v>N</v>
      </c>
      <c r="X156" s="187">
        <f t="shared" si="63"/>
        <v>1</v>
      </c>
      <c r="Y156" s="62">
        <f t="shared" si="52"/>
        <v>23.301100000000002</v>
      </c>
      <c r="Z156" s="62">
        <f t="shared" si="53"/>
        <v>1.52E-2</v>
      </c>
      <c r="AA156" s="62">
        <f t="shared" si="54"/>
        <v>23.285900000000002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5"/>
        <v>0242-28</v>
      </c>
      <c r="AE156" s="85" t="str">
        <f t="shared" si="56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156" s="82" t="str">
        <f t="shared" si="57"/>
        <v>"C:\Program Files (x86)\AstroGrep\AstroGrep.exe" /spath="%USERPROFILE%\AppData\Local\Temp\OnboardLogs" /stypes="app*4045*20170301*" /stext=" 08:.+((SYSTEM_STATE.+slice.+state.+changed )|(ment ac)|(multiple cpu faults)|(system.+state.+changed )|(\[timeout)|(PRM\|1\|D)|(kpr)|(kdp)|(\|lc)|(penalty))" /e /r /s</v>
      </c>
      <c r="AG156" s="1" t="str">
        <f t="shared" si="58"/>
        <v>EC</v>
      </c>
      <c r="AH156" s="86" t="str">
        <f t="shared" si="59"/>
        <v>"%USERPROFILE%\Documents\GitHub\eaglep3\Utilities\RefineRTDCRunTimes.py" --tripid 242-28 --locoid 4045 --swversion DE.1.0.9.0 --startMP 204:233011 --initTime 2017-03-01T00:49:05 --startdatetime 2017-03-01T00:57:15 --delay 2 --endMP 204:152 --enddatetime 2017-03-01T01:40:49 --enforcementcount 1 &gt;&gt;C:\Users\stu\Documents\GitHub\eaglep3-reporting\EC\2017-02-28-refined-times.txt</v>
      </c>
      <c r="AI156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{"issue":{"subject":"","project_id":79,"tracker_id":40,"status_id":1,"priority_id":2,"assigned_to_id":23,"start_date":"2017-03-01","description":"","custom_fields":[{"id":1,"name":"Subdivision","value":"EC"},{"id":4,"name":"Milepost","value":"0.0152"},{"id":17,"name":"Train ID","value":"242-28"},{"id":16,"name":"Locomotive ID","value":"4045"},{"id":130,"name":"Impact","value":""},{"id":150,"name":"Time of Event (Mountain Time)","value":"01:40:49"},{"id":151,"name":"Denver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1"/>
        <v>start /low /b %USERPROFILE%\Documents\GitHub\eaglep3\Utilities\DownloadLogsFromS3.py --loco 4045 --day 2017-03-01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2017-02-28-UncaughtWiMAX.txt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761</v>
      </c>
      <c r="B157" s="7">
        <v>4018</v>
      </c>
      <c r="C157" s="21" t="s">
        <v>274</v>
      </c>
      <c r="D157" s="21" t="s">
        <v>226</v>
      </c>
      <c r="E157" s="13">
        <v>42795.007384259261</v>
      </c>
      <c r="F157" s="13">
        <v>42795.021331018521</v>
      </c>
      <c r="G157" s="7">
        <v>1</v>
      </c>
      <c r="H157" s="21" t="s">
        <v>264</v>
      </c>
      <c r="I157" s="13">
        <v>42795.047465277778</v>
      </c>
      <c r="J157" s="7">
        <v>1</v>
      </c>
      <c r="K157" s="98" t="str">
        <f t="shared" si="47"/>
        <v>4017/4018</v>
      </c>
      <c r="L157" s="21" t="str">
        <f>VLOOKUP(A157,'Trips&amp;Operators'!$C$1:$G$99999,5,FALSE)</f>
        <v>STAMBAUGH JAMES</v>
      </c>
      <c r="M157" s="6">
        <f t="shared" si="48"/>
        <v>2.6134259256650694E-2</v>
      </c>
      <c r="N157" s="7">
        <f t="shared" si="46"/>
        <v>37.633333329576999</v>
      </c>
      <c r="O157" s="7"/>
      <c r="P157" s="7"/>
      <c r="Q157" s="22"/>
      <c r="R157" s="22"/>
      <c r="S157" s="31">
        <f t="shared" si="62"/>
        <v>1</v>
      </c>
      <c r="T157" s="46" t="str">
        <f t="shared" si="49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0"/>
        <v>https://d0f6bd738d7f1b3e5a7ca70fe4ff75f0.us-east-1.aws.found.io/app/kibana#/discover/Steve-Slow-Train-Analysis-(2080s-and-2083s)?_g=(refreshInterval:(display:Off,pause:!f,section:0,value:0),time:(from:'2017-02-28T23:10:38-0700',mode:absolute,to:'2017-03-01T02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187" t="str">
        <f t="shared" si="51"/>
        <v>N</v>
      </c>
      <c r="X157" s="187">
        <f t="shared" si="63"/>
        <v>1</v>
      </c>
      <c r="Y157" s="62">
        <f t="shared" si="52"/>
        <v>4.5699999999999998E-2</v>
      </c>
      <c r="Z157" s="62">
        <f t="shared" si="53"/>
        <v>23.331700000000001</v>
      </c>
      <c r="AA157" s="62">
        <f t="shared" si="54"/>
        <v>23.286000000000001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5"/>
        <v>0243-28</v>
      </c>
      <c r="AE157" s="85" t="str">
        <f t="shared" si="56"/>
        <v>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 &amp; aws s3 cp s3://rtdc.mdm.uploadarchive.raw/RTDC4018/ "%USERPROFILE%\AppData\Local\Temp\OnboardLogs"\RTDC4018\2017-03-02 --exclude "*" --recursive --include "*20170302*" &amp; "%USERPROFILE%\Documents\GitHub\mrs-test-scripts\Headless Mode &amp; Sideloading\WalkAndUnGZ.bat" "%USERPROFILE%\AppData\Local\Temp\OnboardLogs"\RTDC4018\2017-03-02</v>
      </c>
      <c r="AF157" s="82" t="str">
        <f t="shared" si="57"/>
        <v>"C:\Program Files (x86)\AstroGrep\AstroGrep.exe" /spath="%USERPROFILE%\AppData\Local\Temp\OnboardLogs" /stypes="app*4018*20170301*" /stext=" 08:.+((SYSTEM_STATE.+slice.+state.+changed )|(ment ac)|(multiple cpu faults)|(system.+state.+changed )|(\[timeout)|(PRM\|1\|D)|(kpr)|(kdp)|(\|lc)|(penalty))" /e /r /s</v>
      </c>
      <c r="AG157" s="1" t="str">
        <f t="shared" si="58"/>
        <v>EC</v>
      </c>
      <c r="AH157" s="86" t="str">
        <f t="shared" si="59"/>
        <v>"%USERPROFILE%\Documents\GitHub\eaglep3\Utilities\RefineRTDCRunTimes.py" --tripid 243-28 --locoid 4018 --swversion DE.1.0.9.0 --startMP 204:457 --initTime 2017-03-01T00:10:38 --startdatetime 2017-03-01T00:30:43 --delay 1 --endMP 204:233317 --enddatetime 2017-03-01T01:08:21 --enforcementcount 1 &gt;&gt;C:\Users\stu\Documents\GitHub\eaglep3-reporting\EC\2017-02-28-refined-times.txt</v>
      </c>
      <c r="AI157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{"issue":{"subject":"","project_id":79,"tracker_id":40,"status_id":1,"priority_id":2,"assigned_to_id":23,"start_date":"2017-03-01","description":"","custom_fields":[{"id":1,"name":"Subdivision","value":"EC"},{"id":4,"name":"Milepost","value":"23.3317"},{"id":17,"name":"Train ID","value":"243-28"},{"id":16,"name":"Locomotive ID","value":"4018"},{"id":130,"name":"Impact","value":""},{"id":150,"name":"Time of Event (Mountain Time)","value":"01:08:21"},{"id":151,"name":"Denver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1"/>
        <v>start /low /b %USERPROFILE%\Documents\GitHub\eaglep3\Utilities\DownloadLogsFromS3.py --loco 4018 --day 2017-03-01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2017-02-28-UncaughtWiMAX.txt</v>
      </c>
    </row>
    <row r="158" spans="1:91" x14ac:dyDescent="0.25">
      <c r="A158" s="33" t="s">
        <v>766</v>
      </c>
      <c r="B158" s="7">
        <v>4017</v>
      </c>
      <c r="C158" s="21" t="s">
        <v>274</v>
      </c>
      <c r="D158" s="21" t="s">
        <v>411</v>
      </c>
      <c r="E158" s="13">
        <v>42795.058576388888</v>
      </c>
      <c r="F158" s="13">
        <v>42795.059988425928</v>
      </c>
      <c r="G158" s="7">
        <v>1</v>
      </c>
      <c r="H158" s="21" t="s">
        <v>826</v>
      </c>
      <c r="I158" s="13">
        <v>42795.087361111109</v>
      </c>
      <c r="J158" s="7">
        <v>1</v>
      </c>
      <c r="K158" s="98" t="str">
        <f t="shared" si="47"/>
        <v>4017/4018</v>
      </c>
      <c r="L158" s="21" t="str">
        <f>VLOOKUP(A158,'Trips&amp;Operators'!$C$1:$G$99999,5,FALSE)</f>
        <v>STAMBAUGH JAMES</v>
      </c>
      <c r="M158" s="6">
        <f t="shared" si="48"/>
        <v>2.7372685181035195E-2</v>
      </c>
      <c r="N158" s="7">
        <f t="shared" si="46"/>
        <v>39.41666666069068</v>
      </c>
      <c r="O158" s="7"/>
      <c r="P158" s="7"/>
      <c r="Q158" s="22"/>
      <c r="R158" s="22"/>
      <c r="S158" s="31">
        <f t="shared" si="62"/>
        <v>1</v>
      </c>
      <c r="T158" s="46" t="str">
        <f t="shared" si="49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0"/>
        <v>https://d0f6bd738d7f1b3e5a7ca70fe4ff75f0.us-east-1.aws.found.io/app/kibana#/discover/Steve-Slow-Train-Analysis-(2080s-and-2083s)?_g=(refreshInterval:(display:Off,pause:!f,section:0,value:0),time:(from:'2017-03-01T00:24:21-0700',mode:absolute,to:'2017-03-01T03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87" t="str">
        <f t="shared" si="51"/>
        <v>N</v>
      </c>
      <c r="X158" s="187">
        <f t="shared" si="63"/>
        <v>1</v>
      </c>
      <c r="Y158" s="62">
        <f t="shared" si="52"/>
        <v>23.300799999999999</v>
      </c>
      <c r="Z158" s="62">
        <f t="shared" si="53"/>
        <v>4.3099999999999999E-2</v>
      </c>
      <c r="AA158" s="62">
        <f t="shared" si="54"/>
        <v>23.2577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5"/>
        <v>0244-28</v>
      </c>
      <c r="AE158" s="85" t="str">
        <f t="shared" si="56"/>
        <v>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 &amp; aws s3 cp s3://rtdc.mdm.uploadarchive.raw/RTDC4017/ "%USERPROFILE%\AppData\Local\Temp\OnboardLogs"\RTDC4017\2017-03-02 --exclude "*" --recursive --include "*20170302*" &amp; "%USERPROFILE%\Documents\GitHub\mrs-test-scripts\Headless Mode &amp; Sideloading\WalkAndUnGZ.bat" "%USERPROFILE%\AppData\Local\Temp\OnboardLogs"\RTDC4017\2017-03-02</v>
      </c>
      <c r="AF158" s="82" t="str">
        <f t="shared" si="57"/>
        <v>"C:\Program Files (x86)\AstroGrep\AstroGrep.exe" /spath="%USERPROFILE%\AppData\Local\Temp\OnboardLogs" /stypes="app*4017*20170301*" /stext=" 09:.+((SYSTEM_STATE.+slice.+state.+changed )|(ment ac)|(multiple cpu faults)|(system.+state.+changed )|(\[timeout)|(PRM\|1\|D)|(kpr)|(kdp)|(\|lc)|(penalty))" /e /r /s</v>
      </c>
      <c r="AG158" s="1" t="str">
        <f t="shared" si="58"/>
        <v>EC</v>
      </c>
      <c r="AH158" s="86" t="str">
        <f t="shared" si="59"/>
        <v>"%USERPROFILE%\Documents\GitHub\eaglep3\Utilities\RefineRTDCRunTimes.py" --tripid 244-28 --locoid 4017 --swversion DE.1.0.9.0 --startMP 204:233008 --initTime 2017-03-01T01:24:21 --startdatetime 2017-03-01T01:26:23 --delay 1 --endMP 204:431 --enddatetime 2017-03-01T02:05:48 --enforcementcount 1 &gt;&gt;C:\Users\stu\Documents\GitHub\eaglep3-reporting\EC\2017-02-28-refined-times.txt</v>
      </c>
      <c r="AI158" s="108" t="str">
        <f t="shared" si="60"/>
        <v>echo {"issue":{"subject":"","project_id":79,"tracker_id":40,"status_id":1,"priority_id":2,"assigned_to_id":23,"start_date":"2017-03-01","description":"","custom_fields":[{"id":1,"name":"Subdivision","value":"EC"},{"id":4,"name":"Milepost","value":"0.0431"},{"id":17,"name":"Train ID","value":"244-28"},{"id":16,"name":"Locomotive ID","value":"4017"},{"id":130,"name":"Impact","value":""},{"id":150,"name":"Time of Event (Mountain Time)","value":"02:05:48"},{"id":151,"name":"Denver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1"/>
        <v>start /low /b %USERPROFILE%\Documents\GitHub\eaglep3\Utilities\DownloadLogsFromS3.py --loco 4017 --day 2017-03-01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"%USERPROFILE%\AppData\Local\Temp\OnboardLogs"\RTDC4017\*4017*20170301* | grep -SE "(Enforcement Action)|(\[TIMEOUT)|(CHR.+\|PRM\|1\|D.+(SWITCH|SIGNAL).+UNKNOWN)" - &gt;&gt; 2017-02-28-UncaughtWiMAX.txt</v>
      </c>
    </row>
    <row r="159" spans="1:91" x14ac:dyDescent="0.25">
      <c r="A159" s="33" t="s">
        <v>590</v>
      </c>
      <c r="B159" s="7">
        <v>4015</v>
      </c>
      <c r="C159" s="21" t="s">
        <v>274</v>
      </c>
      <c r="D159" s="21" t="s">
        <v>428</v>
      </c>
      <c r="E159" s="13">
        <v>42794.209768518522</v>
      </c>
      <c r="F159" s="13">
        <v>42794.213865740741</v>
      </c>
      <c r="G159" s="7">
        <v>1</v>
      </c>
      <c r="H159" s="21" t="s">
        <v>881</v>
      </c>
      <c r="I159" s="13">
        <v>42794.225011574075</v>
      </c>
      <c r="J159" s="7">
        <v>1</v>
      </c>
      <c r="K159" s="98" t="str">
        <f t="shared" si="47"/>
        <v>4015/4016</v>
      </c>
      <c r="L159" s="21" t="str">
        <f>VLOOKUP(A159,'Trips&amp;Operators'!$C$1:$G$99999,5,FALSE)</f>
        <v>YORK EDGAR</v>
      </c>
      <c r="M159" s="6">
        <f t="shared" si="48"/>
        <v>1.1145833334012423E-2</v>
      </c>
      <c r="N159" s="7">
        <f t="shared" si="46"/>
        <v>16.050000000977889</v>
      </c>
      <c r="O159" s="7"/>
      <c r="P159" s="7"/>
      <c r="Q159" s="22"/>
      <c r="R159" s="22"/>
      <c r="S159" s="31">
        <f t="shared" si="62"/>
        <v>1</v>
      </c>
      <c r="T159" s="46" t="str">
        <f t="shared" si="49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0"/>
        <v>https://d0f6bd738d7f1b3e5a7ca70fe4ff75f0.us-east-1.aws.found.io/app/kibana#/discover/Steve-Slow-Train-Analysis-(2080s-and-2083s)?_g=(refreshInterval:(display:Off,pause:!f,section:0,value:0),time:(from:'2017-02-28T04:02:04-0700',mode:absolute,to:'2017-02-28T06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87" t="str">
        <f t="shared" si="51"/>
        <v>N</v>
      </c>
      <c r="X159" s="187">
        <f t="shared" si="63"/>
        <v>556</v>
      </c>
      <c r="Y159" s="62">
        <f t="shared" si="52"/>
        <v>5.8611000000000004</v>
      </c>
      <c r="Z159" s="62">
        <f t="shared" si="53"/>
        <v>7.4499999999999997E-2</v>
      </c>
      <c r="AA159" s="62">
        <f t="shared" si="54"/>
        <v>5.7866000000000009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5"/>
        <v>0800-28</v>
      </c>
      <c r="AE159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59" s="82" t="str">
        <f t="shared" si="57"/>
        <v>"C:\Program Files (x86)\AstroGrep\AstroGrep.exe" /spath="%USERPROFILE%\AppData\Local\Temp\OnboardLogs" /stypes="app*4015*20170228*" /stext=" 12:.+((SYSTEM_STATE.+slice.+state.+changed )|(ment ac)|(multiple cpu faults)|(system.+state.+changed )|(\[timeout)|(PRM\|1\|D)|(kpr)|(kdp)|(\|lc)|(penalty))" /e /r /s</v>
      </c>
      <c r="AG159" s="1" t="str">
        <f t="shared" si="58"/>
        <v>NW</v>
      </c>
      <c r="AH159" s="86" t="str">
        <f t="shared" si="59"/>
        <v>"%USERPROFILE%\Documents\GitHub\eaglep3\Utilities\RefineRTDCRunTimes.py" --tripid 800-28 --locoid 4015 --swversion DE.1.0.9.0 --startMP 300:58611 --initTime 2017-02-28T05:02:04 --startdatetime 2017-02-28T05:07:58 --delay 1 --endMP 204:745 --enddatetime 2017-02-28T05:24:01 --enforcementcount 1 &gt;&gt;C:\Users\stu\Documents\GitHub\eaglep3-reporting\EC\2017-02-28-refined-times.txt</v>
      </c>
      <c r="AI159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{"issue":{"subject":"","project_id":79,"tracker_id":40,"status_id":1,"priority_id":2,"assigned_to_id":23,"start_date":"2017-02-28","description":"","custom_fields":[{"id":1,"name":"Subdivision","value":"NW"},{"id":4,"name":"Milepost","value":"0.0745"},{"id":17,"name":"Train ID","value":"800-28"},{"id":16,"name":"Locomotive ID","value":"4015"},{"id":130,"name":"Impact","value":""},{"id":150,"name":"Time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1"/>
        <v>start /low /b %USERPROFILE%\Documents\GitHub\eaglep3\Utilities\DownloadLogsFromS3.py --loco 4015 --day 2017-02-28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"%USERPROFILE%\AppData\Local\Temp\OnboardLogs"\RTDC4015\*4015*20170228* | grep -SE "(Enforcement Action)|(\[TIMEOUT)|(CHR.+\|PRM\|1\|D.+(SWITCH|SIGNAL).+UNKNOWN)" - &gt;&gt; 2017-02-28-UncaughtWiMAX.txt</v>
      </c>
    </row>
    <row r="160" spans="1:91" s="20" customFormat="1" x14ac:dyDescent="0.25">
      <c r="A160" s="33" t="s">
        <v>592</v>
      </c>
      <c r="B160" s="7">
        <v>4016</v>
      </c>
      <c r="C160" s="21" t="s">
        <v>274</v>
      </c>
      <c r="D160" s="21" t="s">
        <v>882</v>
      </c>
      <c r="E160" s="13">
        <v>42794.226365740738</v>
      </c>
      <c r="F160" s="13">
        <v>42794.243935185186</v>
      </c>
      <c r="G160" s="7">
        <v>1</v>
      </c>
      <c r="H160" s="21" t="s">
        <v>348</v>
      </c>
      <c r="I160" s="13">
        <v>42794.252476851849</v>
      </c>
      <c r="J160" s="7">
        <v>1</v>
      </c>
      <c r="K160" s="98" t="str">
        <f t="shared" si="47"/>
        <v>4015/4016</v>
      </c>
      <c r="L160" s="21" t="str">
        <f>VLOOKUP(A160,'Trips&amp;Operators'!$C$1:$G$99999,5,FALSE)</f>
        <v>YORK EDGAR</v>
      </c>
      <c r="M160" s="6">
        <f t="shared" si="48"/>
        <v>8.5416666624951176E-3</v>
      </c>
      <c r="N160" s="7">
        <f t="shared" si="46"/>
        <v>12.299999993992969</v>
      </c>
      <c r="O160" s="7"/>
      <c r="P160" s="7"/>
      <c r="Q160" s="22"/>
      <c r="R160" s="22"/>
      <c r="S160" s="31">
        <f t="shared" si="62"/>
        <v>1</v>
      </c>
      <c r="T160" s="46" t="str">
        <f t="shared" si="49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0"/>
        <v>https://d0f6bd738d7f1b3e5a7ca70fe4ff75f0.us-east-1.aws.found.io/app/kibana#/discover/Steve-Slow-Train-Analysis-(2080s-and-2083s)?_g=(refreshInterval:(display:Off,pause:!f,section:0,value:0),time:(from:'2017-02-28T04:25:58-0700',mode:absolute,to:'2017-02-28T07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87" t="str">
        <f t="shared" si="51"/>
        <v>N</v>
      </c>
      <c r="X160" s="187">
        <f t="shared" si="63"/>
        <v>1</v>
      </c>
      <c r="Y160" s="62">
        <f t="shared" si="52"/>
        <v>0.1032</v>
      </c>
      <c r="Z160" s="62">
        <f t="shared" si="53"/>
        <v>5.8928000000000003</v>
      </c>
      <c r="AA160" s="62">
        <f t="shared" si="54"/>
        <v>5.7896000000000001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5"/>
        <v>0801-28</v>
      </c>
      <c r="AE160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60" s="82" t="str">
        <f t="shared" si="57"/>
        <v>"C:\Program Files (x86)\AstroGrep\AstroGrep.exe" /spath="%USERPROFILE%\AppData\Local\Temp\OnboardLogs" /stypes="app*4016*20170228*" /stext=" 13:.+((SYSTEM_STATE.+slice.+state.+changed )|(ment ac)|(multiple cpu faults)|(system.+state.+changed )|(\[timeout)|(PRM\|1\|D)|(kpr)|(kdp)|(\|lc)|(penalty))" /e /r /s</v>
      </c>
      <c r="AG160" s="1" t="str">
        <f t="shared" si="58"/>
        <v>NW</v>
      </c>
      <c r="AH160" s="86" t="str">
        <f t="shared" si="59"/>
        <v>"%USERPROFILE%\Documents\GitHub\eaglep3\Utilities\RefineRTDCRunTimes.py" --tripid 801-28 --locoid 4016 --swversion DE.1.0.9.0 --startMP 204:1032 --initTime 2017-02-28T05:25:58 --startdatetime 2017-02-28T05:51:16 --delay 1 --endMP 300:58928 --enddatetime 2017-02-28T06:03:34 --enforcementcount 1 &gt;&gt;C:\Users\stu\Documents\GitHub\eaglep3-reporting\EC\2017-02-28-refined-times.txt</v>
      </c>
      <c r="AI160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{"issue":{"subject":"","project_id":79,"tracker_id":40,"status_id":1,"priority_id":2,"assigned_to_id":23,"start_date":"2017-02-28","description":"","custom_fields":[{"id":1,"name":"Subdivision","value":"NW"},{"id":4,"name":"Milepost","value":"5.8928"},{"id":17,"name":"Train ID","value":"801-28"},{"id":16,"name":"Locomotive ID","value":"4016"},{"id":130,"name":"Impact","value":""},{"id":150,"name":"Time of Event (Mountain Time)","value":"06:03:34"},{"id":151,"name":"Denver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1"/>
        <v>start /low /b %USERPROFILE%\Documents\GitHub\eaglep3\Utilities\DownloadLogsFromS3.py --loco 4016 --day 2017-02-28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"%USERPROFILE%\AppData\Local\Temp\OnboardLogs"\RTDC4016\*4016*20170228* | grep -SE "(Enforcement Action)|(\[TIMEOUT)|(CHR.+\|PRM\|1\|D.+(SWITCH|SIGNAL).+UNKNOWN)" - &gt;&gt; 2017-02-28-UncaughtWiMAX.txt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541</v>
      </c>
      <c r="B161" s="7">
        <v>4015</v>
      </c>
      <c r="C161" s="21" t="s">
        <v>274</v>
      </c>
      <c r="D161" s="21" t="s">
        <v>427</v>
      </c>
      <c r="E161" s="13">
        <v>42794.254444444443</v>
      </c>
      <c r="F161" s="13">
        <v>42794.257372685184</v>
      </c>
      <c r="G161" s="7">
        <v>2</v>
      </c>
      <c r="H161" s="21" t="s">
        <v>883</v>
      </c>
      <c r="I161" s="13">
        <v>42794.267384259256</v>
      </c>
      <c r="J161" s="7">
        <v>1</v>
      </c>
      <c r="K161" s="98" t="str">
        <f t="shared" si="47"/>
        <v>4015/4016</v>
      </c>
      <c r="L161" s="21" t="str">
        <f>VLOOKUP(A161,'Trips&amp;Operators'!$C$1:$G$99999,5,FALSE)</f>
        <v>YORK EDGAR</v>
      </c>
      <c r="M161" s="6">
        <f t="shared" si="48"/>
        <v>1.0011574071540963E-2</v>
      </c>
      <c r="N161" s="7">
        <f t="shared" si="46"/>
        <v>14.416666663018987</v>
      </c>
      <c r="O161" s="7"/>
      <c r="P161" s="7"/>
      <c r="Q161" s="22"/>
      <c r="R161" s="22"/>
      <c r="S161" s="31">
        <f t="shared" si="62"/>
        <v>1</v>
      </c>
      <c r="T161" s="46" t="str">
        <f t="shared" si="49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0"/>
        <v>https://d0f6bd738d7f1b3e5a7ca70fe4ff75f0.us-east-1.aws.found.io/app/kibana#/discover/Steve-Slow-Train-Analysis-(2080s-and-2083s)?_g=(refreshInterval:(display:Off,pause:!f,section:0,value:0),time:(from:'2017-02-28T05:06:24-0700',mode:absolute,to:'2017-02-28T07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87" t="str">
        <f t="shared" si="51"/>
        <v>N</v>
      </c>
      <c r="X161" s="187">
        <f t="shared" si="63"/>
        <v>1</v>
      </c>
      <c r="Y161" s="62">
        <f t="shared" si="52"/>
        <v>5.8613</v>
      </c>
      <c r="Z161" s="62">
        <f t="shared" si="53"/>
        <v>9.9199999999999997E-2</v>
      </c>
      <c r="AA161" s="62">
        <f t="shared" si="54"/>
        <v>5.7621000000000002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5"/>
        <v>0802-28</v>
      </c>
      <c r="AE161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61" s="82" t="str">
        <f t="shared" si="57"/>
        <v>"C:\Program Files (x86)\AstroGrep\AstroGrep.exe" /spath="%USERPROFILE%\AppData\Local\Temp\OnboardLogs" /stypes="app*4015*20170228*" /stext=" 13:.+((SYSTEM_STATE.+slice.+state.+changed )|(ment ac)|(multiple cpu faults)|(system.+state.+changed )|(\[timeout)|(PRM\|1\|D)|(kpr)|(kdp)|(\|lc)|(penalty))" /e /r /s</v>
      </c>
      <c r="AG161" s="1" t="str">
        <f t="shared" si="58"/>
        <v>NW</v>
      </c>
      <c r="AH161" s="86" t="str">
        <f t="shared" si="59"/>
        <v>"%USERPROFILE%\Documents\GitHub\eaglep3\Utilities\RefineRTDCRunTimes.py" --tripid 802-28 --locoid 4015 --swversion DE.1.0.9.0 --startMP 300:58613 --initTime 2017-02-28T06:06:24 --startdatetime 2017-02-28T06:10:37 --delay 2 --endMP 204:992 --enddatetime 2017-02-28T06:25:02 --enforcementcount 1 &gt;&gt;C:\Users\stu\Documents\GitHub\eaglep3-reporting\EC\2017-02-28-refined-times.txt</v>
      </c>
      <c r="AI161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{"issue":{"subject":"","project_id":79,"tracker_id":40,"status_id":1,"priority_id":2,"assigned_to_id":23,"start_date":"2017-02-28","description":"","custom_fields":[{"id":1,"name":"Subdivision","value":"NW"},{"id":4,"name":"Milepost","value":"0.0992"},{"id":17,"name":"Train ID","value":"802-28"},{"id":16,"name":"Locomotive ID","value":"4015"},{"id":130,"name":"Impact","value":""},{"id":150,"name":"Time of Event (Mountain Time)","value":"06:25:02"},{"id":151,"name":"Denver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1"/>
        <v>start /low /b %USERPROFILE%\Documents\GitHub\eaglep3\Utilities\DownloadLogsFromS3.py --loco 4015 --day 2017-02-28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"%USERPROFILE%\AppData\Local\Temp\OnboardLogs"\RTDC4015\*4015*20170228* | grep -SE "(Enforcement Action)|(\[TIMEOUT)|(CHR.+\|PRM\|1\|D.+(SWITCH|SIGNAL).+UNKNOWN)" - &gt;&gt; 2017-02-28-UncaughtWiMAX.txt</v>
      </c>
    </row>
    <row r="162" spans="1:91" x14ac:dyDescent="0.25">
      <c r="A162" s="33" t="s">
        <v>542</v>
      </c>
      <c r="B162" s="7">
        <v>4053</v>
      </c>
      <c r="C162" s="21" t="s">
        <v>274</v>
      </c>
      <c r="D162" s="21" t="s">
        <v>414</v>
      </c>
      <c r="E162" s="13">
        <v>42794.263321759259</v>
      </c>
      <c r="F162" s="13">
        <v>42794.264861111114</v>
      </c>
      <c r="G162" s="7">
        <v>1</v>
      </c>
      <c r="H162" s="21" t="s">
        <v>884</v>
      </c>
      <c r="I162" s="13">
        <v>42794.274687500001</v>
      </c>
      <c r="J162" s="7">
        <v>1</v>
      </c>
      <c r="K162" s="98" t="str">
        <f t="shared" si="47"/>
        <v>4053/4054</v>
      </c>
      <c r="L162" s="21" t="str">
        <f>VLOOKUP(A162,'Trips&amp;Operators'!$C$1:$G$99999,5,FALSE)</f>
        <v>COOLAHAN JOHN</v>
      </c>
      <c r="M162" s="6">
        <f t="shared" si="48"/>
        <v>9.8263888867222704E-3</v>
      </c>
      <c r="N162" s="7">
        <f t="shared" si="46"/>
        <v>14.149999996880069</v>
      </c>
      <c r="O162" s="7"/>
      <c r="P162" s="7"/>
      <c r="Q162" s="22"/>
      <c r="R162" s="22"/>
      <c r="S162" s="31">
        <f t="shared" si="62"/>
        <v>1</v>
      </c>
      <c r="T162" s="46" t="str">
        <f t="shared" si="49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0"/>
        <v>https://d0f6bd738d7f1b3e5a7ca70fe4ff75f0.us-east-1.aws.found.io/app/kibana#/discover/Steve-Slow-Train-Analysis-(2080s-and-2083s)?_g=(refreshInterval:(display:Off,pause:!f,section:0,value:0),time:(from:'2017-02-28T05:19:11-0700',mode:absolute,to:'2017-02-28T07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187" t="str">
        <f t="shared" si="51"/>
        <v>N</v>
      </c>
      <c r="X162" s="187">
        <f t="shared" si="63"/>
        <v>1</v>
      </c>
      <c r="Y162" s="62">
        <f t="shared" si="52"/>
        <v>9.3600000000000003E-2</v>
      </c>
      <c r="Z162" s="62">
        <f t="shared" si="53"/>
        <v>5.8975</v>
      </c>
      <c r="AA162" s="62">
        <f t="shared" si="54"/>
        <v>5.8038999999999996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5"/>
        <v>0803-28</v>
      </c>
      <c r="AE162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62" s="82" t="str">
        <f t="shared" si="57"/>
        <v>"C:\Program Files (x86)\AstroGrep\AstroGrep.exe" /spath="%USERPROFILE%\AppData\Local\Temp\OnboardLogs" /stypes="app*4053*20170228*" /stext=" 13:.+((SYSTEM_STATE.+slice.+state.+changed )|(ment ac)|(multiple cpu faults)|(system.+state.+changed )|(\[timeout)|(PRM\|1\|D)|(kpr)|(kdp)|(\|lc)|(penalty))" /e /r /s</v>
      </c>
      <c r="AG162" s="1" t="str">
        <f t="shared" si="58"/>
        <v>NW</v>
      </c>
      <c r="AH162" s="86" t="str">
        <f t="shared" si="59"/>
        <v>"%USERPROFILE%\Documents\GitHub\eaglep3\Utilities\RefineRTDCRunTimes.py" --tripid 803-28 --locoid 4053 --swversion DE.1.0.9.0 --startMP 204:936 --initTime 2017-02-28T06:19:11 --startdatetime 2017-02-28T06:21:24 --delay 1 --endMP 300:58975 --enddatetime 2017-02-28T06:35:33 --enforcementcount 1 &gt;&gt;C:\Users\stu\Documents\GitHub\eaglep3-reporting\EC\2017-02-28-refined-times.txt</v>
      </c>
      <c r="AI162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{"issue":{"subject":"","project_id":79,"tracker_id":40,"status_id":1,"priority_id":2,"assigned_to_id":23,"start_date":"2017-02-28","description":"","custom_fields":[{"id":1,"name":"Subdivision","value":"NW"},{"id":4,"name":"Milepost","value":"5.8975"},{"id":17,"name":"Train ID","value":"803-28"},{"id":16,"name":"Locomotive ID","value":"4053"},{"id":130,"name":"Impact","value":""},{"id":150,"name":"Time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1"/>
        <v>start /low /b %USERPROFILE%\Documents\GitHub\eaglep3\Utilities\DownloadLogsFromS3.py --loco 4053 --day 2017-02-28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63" spans="1:91" s="20" customFormat="1" x14ac:dyDescent="0.25">
      <c r="A163" s="33" t="s">
        <v>611</v>
      </c>
      <c r="B163" s="7">
        <v>4054</v>
      </c>
      <c r="C163" s="21" t="s">
        <v>274</v>
      </c>
      <c r="D163" s="21" t="s">
        <v>885</v>
      </c>
      <c r="E163" s="13">
        <v>42794.275902777779</v>
      </c>
      <c r="F163" s="13">
        <v>42794.277280092596</v>
      </c>
      <c r="G163" s="7">
        <v>1</v>
      </c>
      <c r="H163" s="21" t="s">
        <v>434</v>
      </c>
      <c r="I163" s="13">
        <v>42794.28875</v>
      </c>
      <c r="J163" s="7">
        <v>1</v>
      </c>
      <c r="K163" s="98" t="str">
        <f t="shared" si="47"/>
        <v>4053/4054</v>
      </c>
      <c r="L163" s="21" t="str">
        <f>VLOOKUP(A163,'Trips&amp;Operators'!$C$1:$G$99999,5,FALSE)</f>
        <v>COOLAHAN JOHN</v>
      </c>
      <c r="M163" s="6">
        <f t="shared" si="48"/>
        <v>1.1469907403807156E-2</v>
      </c>
      <c r="N163" s="7">
        <f t="shared" si="46"/>
        <v>16.516666661482304</v>
      </c>
      <c r="O163" s="7"/>
      <c r="P163" s="7"/>
      <c r="Q163" s="22"/>
      <c r="R163" s="22"/>
      <c r="S163" s="31">
        <f t="shared" si="62"/>
        <v>1</v>
      </c>
      <c r="T163" s="46" t="str">
        <f t="shared" si="49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0"/>
        <v>https://d0f6bd738d7f1b3e5a7ca70fe4ff75f0.us-east-1.aws.found.io/app/kibana#/discover/Steve-Slow-Train-Analysis-(2080s-and-2083s)?_g=(refreshInterval:(display:Off,pause:!f,section:0,value:0),time:(from:'2017-02-28T05:37:18-0700',mode:absolute,to:'2017-02-28T07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3" s="187" t="str">
        <f t="shared" si="51"/>
        <v>N</v>
      </c>
      <c r="X163" s="187">
        <f t="shared" si="63"/>
        <v>1</v>
      </c>
      <c r="Y163" s="62">
        <f t="shared" si="52"/>
        <v>5.8655999999999997</v>
      </c>
      <c r="Z163" s="62">
        <f t="shared" si="53"/>
        <v>6.5600000000000006E-2</v>
      </c>
      <c r="AA163" s="62">
        <f t="shared" si="54"/>
        <v>5.8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5"/>
        <v>0804-28</v>
      </c>
      <c r="AE163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63" s="82" t="str">
        <f t="shared" si="57"/>
        <v>"C:\Program Files (x86)\AstroGrep\AstroGrep.exe" /spath="%USERPROFILE%\AppData\Local\Temp\OnboardLogs" /stypes="app*4054*20170228*" /stext=" 13:.+((SYSTEM_STATE.+slice.+state.+changed )|(ment ac)|(multiple cpu faults)|(system.+state.+changed )|(\[timeout)|(PRM\|1\|D)|(kpr)|(kdp)|(\|lc)|(penalty))" /e /r /s</v>
      </c>
      <c r="AG163" s="1" t="str">
        <f t="shared" si="58"/>
        <v>NW</v>
      </c>
      <c r="AH163" s="86" t="str">
        <f t="shared" si="59"/>
        <v>"%USERPROFILE%\Documents\GitHub\eaglep3\Utilities\RefineRTDCRunTimes.py" --tripid 804-28 --locoid 4054 --swversion DE.1.0.9.0 --startMP 300:58656 --initTime 2017-02-28T06:37:18 --startdatetime 2017-02-28T06:39:17 --delay 1 --endMP 204:656 --enddatetime 2017-02-28T06:55:48 --enforcementcount 1 &gt;&gt;C:\Users\stu\Documents\GitHub\eaglep3-reporting\EC\2017-02-28-refined-times.txt</v>
      </c>
      <c r="AI163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{"issue":{"subject":"","project_id":79,"tracker_id":40,"status_id":1,"priority_id":2,"assigned_to_id":23,"start_date":"2017-02-28","description":"","custom_fields":[{"id":1,"name":"Subdivision","value":"NW"},{"id":4,"name":"Milepost","value":"0.0656"},{"id":17,"name":"Train ID","value":"804-28"},{"id":16,"name":"Locomotive ID","value":"4054"},{"id":130,"name":"Impact","value":""},{"id":150,"name":"Time of Event (Mountain Time)","value":"06:55:48"},{"id":151,"name":"Denver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1"/>
        <v>start /low /b %USERPROFILE%\Documents\GitHub\eaglep3\Utilities\DownloadLogsFromS3.py --loco 4054 --day 2017-02-28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608</v>
      </c>
      <c r="B164" s="7">
        <v>4016</v>
      </c>
      <c r="C164" s="21" t="s">
        <v>274</v>
      </c>
      <c r="D164" s="21" t="s">
        <v>886</v>
      </c>
      <c r="E164" s="13">
        <v>42794.26972222222</v>
      </c>
      <c r="F164" s="13">
        <v>42794.285578703704</v>
      </c>
      <c r="G164" s="7">
        <v>1</v>
      </c>
      <c r="H164" s="21" t="s">
        <v>285</v>
      </c>
      <c r="I164" s="13">
        <v>42794.294479166667</v>
      </c>
      <c r="J164" s="7">
        <v>1</v>
      </c>
      <c r="K164" s="98" t="str">
        <f t="shared" si="47"/>
        <v>4015/4016</v>
      </c>
      <c r="L164" s="21" t="str">
        <f>VLOOKUP(A164,'Trips&amp;Operators'!$C$1:$G$99999,5,FALSE)</f>
        <v>YORK EDGAR</v>
      </c>
      <c r="M164" s="6">
        <f t="shared" si="48"/>
        <v>8.9004629626288079E-3</v>
      </c>
      <c r="N164" s="7">
        <f t="shared" si="46"/>
        <v>12.816666666185483</v>
      </c>
      <c r="O164" s="7"/>
      <c r="P164" s="7"/>
      <c r="Q164" s="22"/>
      <c r="R164" s="22" t="s">
        <v>960</v>
      </c>
      <c r="S164" s="31">
        <f t="shared" si="62"/>
        <v>1</v>
      </c>
      <c r="T164" s="46" t="str">
        <f t="shared" si="49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0"/>
        <v>https://d0f6bd738d7f1b3e5a7ca70fe4ff75f0.us-east-1.aws.found.io/app/kibana#/discover/Steve-Slow-Train-Analysis-(2080s-and-2083s)?_g=(refreshInterval:(display:Off,pause:!f,section:0,value:0),time:(from:'2017-02-28T05:28:24-0700',mode:absolute,to:'2017-02-28T08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187" t="str">
        <f t="shared" si="51"/>
        <v>N</v>
      </c>
      <c r="X164" s="187">
        <f t="shared" si="63"/>
        <v>1</v>
      </c>
      <c r="Y164" s="62">
        <f t="shared" si="52"/>
        <v>0.1293</v>
      </c>
      <c r="Z164" s="62">
        <f t="shared" si="53"/>
        <v>5.8930999999999996</v>
      </c>
      <c r="AA164" s="62">
        <f t="shared" si="54"/>
        <v>5.7637999999999998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5"/>
        <v>0805-28</v>
      </c>
      <c r="AE164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64" s="82" t="str">
        <f t="shared" si="57"/>
        <v>"C:\Program Files (x86)\AstroGrep\AstroGrep.exe" /spath="%USERPROFILE%\AppData\Local\Temp\OnboardLogs" /stypes="app*4016*20170228*" /stext=" 14:.+((SYSTEM_STATE.+slice.+state.+changed )|(ment ac)|(multiple cpu faults)|(system.+state.+changed )|(\[timeout)|(PRM\|1\|D)|(kpr)|(kdp)|(\|lc)|(penalty))" /e /r /s</v>
      </c>
      <c r="AG164" s="1" t="str">
        <f t="shared" si="58"/>
        <v>NW</v>
      </c>
      <c r="AH164" s="86" t="str">
        <f t="shared" si="59"/>
        <v>"%USERPROFILE%\Documents\GitHub\eaglep3\Utilities\RefineRTDCRunTimes.py" --tripid 805-28 --locoid 4016 --swversion DE.1.0.9.0 --startMP 204:1293 --initTime 2017-02-28T06:28:24 --startdatetime 2017-02-28T06:51:14 --delay 1 --endMP 300:58931 --enddatetime 2017-02-28T07:04:03 --enforcementcount 1 &gt;&gt;C:\Users\stu\Documents\GitHub\eaglep3-reporting\EC\2017-02-28-refined-times.txt</v>
      </c>
      <c r="AI164" s="108" t="str">
        <f t="shared" si="60"/>
        <v>echo {"issue":{"subject":"Initialized too close to DUS 16N, got switch alignment prompt","project_id":79,"tracker_id":40,"status_id":1,"priority_id":2,"assigned_to_id":23,"start_date":"2017-02-28","description":"","custom_fields":[{"id":1,"name":"Subdivision","value":"NW"},{"id":4,"name":"Milepost","value":"5.8931"},{"id":17,"name":"Train ID","value":"805-28"},{"id":16,"name":"Locomotive ID","value":"4016"},{"id":130,"name":"Impact","value":""},{"id":150,"name":"Time of Event (Mountain Time)","value":"07:04:03"},{"id":151,"name":"Denver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1"/>
        <v>start /low /b %USERPROFILE%\Documents\GitHub\eaglep3\Utilities\DownloadLogsFromS3.py --loco 4016 --day 2017-02-28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"%USERPROFILE%\AppData\Local\Temp\OnboardLogs"\RTDC4016\*4016*20170228* | grep -SE "(Enforcement Action)|(\[TIMEOUT)|(CHR.+\|PRM\|1\|D.+(SWITCH|SIGNAL).+UNKNOWN)" - &gt;&gt; 2017-02-28-UncaughtWiMAX.txt</v>
      </c>
    </row>
    <row r="165" spans="1:91" s="20" customFormat="1" x14ac:dyDescent="0.25">
      <c r="A165" s="33" t="s">
        <v>614</v>
      </c>
      <c r="B165" s="7">
        <v>4015</v>
      </c>
      <c r="C165" s="21" t="s">
        <v>274</v>
      </c>
      <c r="D165" s="21" t="s">
        <v>320</v>
      </c>
      <c r="E165" s="13">
        <v>42794.296909722223</v>
      </c>
      <c r="F165" s="13">
        <v>42794.299097222225</v>
      </c>
      <c r="G165" s="7">
        <v>0</v>
      </c>
      <c r="H165" s="21" t="s">
        <v>887</v>
      </c>
      <c r="I165" s="13">
        <v>42794.310347222221</v>
      </c>
      <c r="J165" s="7">
        <v>1</v>
      </c>
      <c r="K165" s="98" t="str">
        <f t="shared" si="47"/>
        <v>4015/4016</v>
      </c>
      <c r="L165" s="21" t="str">
        <f>VLOOKUP(A165,'Trips&amp;Operators'!$C$1:$G$99999,5,FALSE)</f>
        <v>YORK EDGAR</v>
      </c>
      <c r="M165" s="6">
        <f t="shared" si="48"/>
        <v>1.1249999995925464E-2</v>
      </c>
      <c r="N165" s="7">
        <f t="shared" si="46"/>
        <v>16.199999994132668</v>
      </c>
      <c r="O165" s="7"/>
      <c r="P165" s="7"/>
      <c r="Q165" s="22"/>
      <c r="R165" s="22"/>
      <c r="S165" s="31">
        <f t="shared" si="62"/>
        <v>1</v>
      </c>
      <c r="T165" s="46" t="str">
        <f t="shared" si="49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0"/>
        <v>https://d0f6bd738d7f1b3e5a7ca70fe4ff75f0.us-east-1.aws.found.io/app/kibana#/discover/Steve-Slow-Train-Analysis-(2080s-and-2083s)?_g=(refreshInterval:(display:Off,pause:!f,section:0,value:0),time:(from:'2017-02-28T06:07:33-0700',mode:absolute,to:'2017-02-28T08:26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187" t="str">
        <f t="shared" si="51"/>
        <v>N</v>
      </c>
      <c r="X165" s="187">
        <f t="shared" si="63"/>
        <v>1</v>
      </c>
      <c r="Y165" s="62">
        <f t="shared" si="52"/>
        <v>5.8619000000000003</v>
      </c>
      <c r="Z165" s="62">
        <f t="shared" si="53"/>
        <v>7.3999999999999996E-2</v>
      </c>
      <c r="AA165" s="62">
        <f t="shared" si="54"/>
        <v>5.7879000000000005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5"/>
        <v>0806-28</v>
      </c>
      <c r="AE165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65" s="82" t="str">
        <f t="shared" si="57"/>
        <v>"C:\Program Files (x86)\AstroGrep\AstroGrep.exe" /spath="%USERPROFILE%\AppData\Local\Temp\OnboardLogs" /stypes="app*4015*20170228*" /stext=" 14:.+((SYSTEM_STATE.+slice.+state.+changed )|(ment ac)|(multiple cpu faults)|(system.+state.+changed )|(\[timeout)|(PRM\|1\|D)|(kpr)|(kdp)|(\|lc)|(penalty))" /e /r /s</v>
      </c>
      <c r="AG165" s="1" t="str">
        <f t="shared" si="58"/>
        <v>NW</v>
      </c>
      <c r="AH165" s="86" t="str">
        <f t="shared" si="59"/>
        <v>"%USERPROFILE%\Documents\GitHub\eaglep3\Utilities\RefineRTDCRunTimes.py" --tripid 806-28 --locoid 4015 --swversion DE.1.0.9.0 --startMP 300:58619 --initTime 2017-02-28T07:07:33 --startdatetime 2017-02-28T07:10:42 --delay 0 --endMP 204:740 --enddatetime 2017-02-28T07:26:54 --enforcementcount 1 &gt;&gt;C:\Users\stu\Documents\GitHub\eaglep3-reporting\EC\2017-02-28-refined-times.txt</v>
      </c>
      <c r="AI165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{"issue":{"subject":"","project_id":79,"tracker_id":40,"status_id":1,"priority_id":2,"assigned_to_id":23,"start_date":"2017-02-28","description":"","custom_fields":[{"id":1,"name":"Subdivision","value":"NW"},{"id":4,"name":"Milepost","value":"0.074"},{"id":17,"name":"Train ID","value":"806-28"},{"id":16,"name":"Locomotive ID","value":"4015"},{"id":130,"name":"Impact","value":""},{"id":150,"name":"Time of Event (Mountain Time)","value":"07:26:54"},{"id":151,"name":"Denver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1"/>
        <v>start /low /b %USERPROFILE%\Documents\GitHub\eaglep3\Utilities\DownloadLogsFromS3.py --loco 4015 --day 2017-02-28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"%USERPROFILE%\AppData\Local\Temp\OnboardLogs"\RTDC4015\*4015*20170228* | grep -SE "(Enforcement Action)|(\[TIMEOUT)|(CHR.+\|PRM\|1\|D.+(SWITCH|SIGNAL).+UNKNOWN)" - &gt;&gt; 2017-02-28-UncaughtWiMAX.txt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547</v>
      </c>
      <c r="B166" s="7">
        <v>4053</v>
      </c>
      <c r="C166" s="21" t="s">
        <v>274</v>
      </c>
      <c r="D166" s="21" t="s">
        <v>888</v>
      </c>
      <c r="E166" s="13">
        <v>42794.30164351852</v>
      </c>
      <c r="F166" s="13">
        <v>42794.306481481479</v>
      </c>
      <c r="G166" s="7">
        <v>1</v>
      </c>
      <c r="H166" s="21" t="s">
        <v>889</v>
      </c>
      <c r="I166" s="13">
        <v>42794.31521990741</v>
      </c>
      <c r="J166" s="7">
        <v>1</v>
      </c>
      <c r="K166" s="98" t="str">
        <f t="shared" si="47"/>
        <v>4053/4054</v>
      </c>
      <c r="L166" s="21" t="str">
        <f>VLOOKUP(A166,'Trips&amp;Operators'!$C$1:$G$99999,5,FALSE)</f>
        <v>COOLAHAN JOHN</v>
      </c>
      <c r="M166" s="6">
        <f t="shared" si="48"/>
        <v>8.7384259313694201E-3</v>
      </c>
      <c r="N166" s="7">
        <f t="shared" ref="N166:N197" si="64">24*60*SUM($M166:$M166)</f>
        <v>12.583333341171965</v>
      </c>
      <c r="O166" s="7"/>
      <c r="P166" s="7"/>
      <c r="Q166" s="22"/>
      <c r="R166" s="22"/>
      <c r="S166" s="31">
        <f t="shared" si="62"/>
        <v>1</v>
      </c>
      <c r="T166" s="46" t="str">
        <f t="shared" si="49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0"/>
        <v>https://d0f6bd738d7f1b3e5a7ca70fe4ff75f0.us-east-1.aws.found.io/app/kibana#/discover/Steve-Slow-Train-Analysis-(2080s-and-2083s)?_g=(refreshInterval:(display:Off,pause:!f,section:0,value:0),time:(from:'2017-02-28T06:14:22-0700',mode:absolute,to:'2017-02-28T08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187" t="str">
        <f t="shared" si="51"/>
        <v>N</v>
      </c>
      <c r="X166" s="187">
        <f t="shared" si="63"/>
        <v>1</v>
      </c>
      <c r="Y166" s="62">
        <f t="shared" si="52"/>
        <v>9.4100000000000003E-2</v>
      </c>
      <c r="Z166" s="62">
        <f t="shared" si="53"/>
        <v>5.8982000000000001</v>
      </c>
      <c r="AA166" s="62">
        <f t="shared" si="54"/>
        <v>5.8041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5"/>
        <v>0807-28</v>
      </c>
      <c r="AE166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66" s="82" t="str">
        <f t="shared" si="57"/>
        <v>"C:\Program Files (x86)\AstroGrep\AstroGrep.exe" /spath="%USERPROFILE%\AppData\Local\Temp\OnboardLogs" /stypes="app*4053*20170228*" /stext=" 14:.+((SYSTEM_STATE.+slice.+state.+changed )|(ment ac)|(multiple cpu faults)|(system.+state.+changed )|(\[timeout)|(PRM\|1\|D)|(kpr)|(kdp)|(\|lc)|(penalty))" /e /r /s</v>
      </c>
      <c r="AG166" s="1" t="str">
        <f t="shared" si="58"/>
        <v>NW</v>
      </c>
      <c r="AH166" s="86" t="str">
        <f t="shared" si="59"/>
        <v>"%USERPROFILE%\Documents\GitHub\eaglep3\Utilities\RefineRTDCRunTimes.py" --tripid 807-28 --locoid 4053 --swversion DE.1.0.9.0 --startMP 204:941 --initTime 2017-02-28T07:14:22 --startdatetime 2017-02-28T07:21:20 --delay 1 --endMP 300:58982 --enddatetime 2017-02-28T07:33:55 --enforcementcount 1 &gt;&gt;C:\Users\stu\Documents\GitHub\eaglep3-reporting\EC\2017-02-28-refined-times.txt</v>
      </c>
      <c r="AI166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{"issue":{"subject":"","project_id":79,"tracker_id":40,"status_id":1,"priority_id":2,"assigned_to_id":23,"start_date":"2017-02-28","description":"","custom_fields":[{"id":1,"name":"Subdivision","value":"NW"},{"id":4,"name":"Milepost","value":"5.8982"},{"id":17,"name":"Train ID","value":"807-28"},{"id":16,"name":"Locomotive ID","value":"4053"},{"id":130,"name":"Impact","value":""},{"id":150,"name":"Time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1"/>
        <v>start /low /b %USERPROFILE%\Documents\GitHub\eaglep3\Utilities\DownloadLogsFromS3.py --loco 4053 --day 2017-02-28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67" spans="1:91" s="20" customFormat="1" x14ac:dyDescent="0.25">
      <c r="A167" s="33" t="s">
        <v>618</v>
      </c>
      <c r="B167" s="7">
        <v>4054</v>
      </c>
      <c r="C167" s="21" t="s">
        <v>274</v>
      </c>
      <c r="D167" s="21" t="s">
        <v>890</v>
      </c>
      <c r="E167" s="13">
        <v>42794.316712962966</v>
      </c>
      <c r="F167" s="13">
        <v>42794.31790509259</v>
      </c>
      <c r="G167" s="7">
        <v>1</v>
      </c>
      <c r="H167" s="21" t="s">
        <v>891</v>
      </c>
      <c r="I167" s="13">
        <v>42794.330023148148</v>
      </c>
      <c r="J167" s="7">
        <v>1</v>
      </c>
      <c r="K167" s="98" t="str">
        <f t="shared" si="47"/>
        <v>4053/4054</v>
      </c>
      <c r="L167" s="21" t="str">
        <f>VLOOKUP(A167,'Trips&amp;Operators'!$C$1:$G$99999,5,FALSE)</f>
        <v>COOLAHAN JOHN</v>
      </c>
      <c r="M167" s="6">
        <f t="shared" si="48"/>
        <v>1.2118055557948537E-2</v>
      </c>
      <c r="N167" s="7">
        <f t="shared" si="64"/>
        <v>17.450000003445894</v>
      </c>
      <c r="O167" s="7"/>
      <c r="P167" s="7"/>
      <c r="Q167" s="22"/>
      <c r="R167" s="22" t="s">
        <v>964</v>
      </c>
      <c r="S167" s="31">
        <f t="shared" si="62"/>
        <v>1</v>
      </c>
      <c r="T167" s="46" t="str">
        <f t="shared" si="49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0"/>
        <v>https://d0f6bd738d7f1b3e5a7ca70fe4ff75f0.us-east-1.aws.found.io/app/kibana#/discover/Steve-Slow-Train-Analysis-(2080s-and-2083s)?_g=(refreshInterval:(display:Off,pause:!f,section:0,value:0),time:(from:'2017-02-28T06:36:04-0700',mode:absolute,to:'2017-02-28T08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7" s="187" t="str">
        <f t="shared" si="51"/>
        <v>N</v>
      </c>
      <c r="X167" s="187">
        <f t="shared" si="63"/>
        <v>1</v>
      </c>
      <c r="Y167" s="62">
        <f t="shared" si="52"/>
        <v>5.8672000000000004</v>
      </c>
      <c r="Z167" s="62">
        <f t="shared" si="53"/>
        <v>6.8699999999999997E-2</v>
      </c>
      <c r="AA167" s="62">
        <f t="shared" si="54"/>
        <v>5.7985000000000007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5"/>
        <v>0808-28</v>
      </c>
      <c r="AE167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67" s="82" t="str">
        <f t="shared" si="57"/>
        <v>"C:\Program Files (x86)\AstroGrep\AstroGrep.exe" /spath="%USERPROFILE%\AppData\Local\Temp\OnboardLogs" /stypes="app*4054*20170228*" /stext=" 14:.+((SYSTEM_STATE.+slice.+state.+changed )|(ment ac)|(multiple cpu faults)|(system.+state.+changed )|(\[timeout)|(PRM\|1\|D)|(kpr)|(kdp)|(\|lc)|(penalty))" /e /r /s</v>
      </c>
      <c r="AG167" s="1" t="str">
        <f t="shared" si="58"/>
        <v>NW</v>
      </c>
      <c r="AH167" s="86" t="str">
        <f t="shared" si="59"/>
        <v>"%USERPROFILE%\Documents\GitHub\eaglep3\Utilities\RefineRTDCRunTimes.py" --tripid 808-28 --locoid 4054 --swversion DE.1.0.9.0 --startMP 300:58672 --initTime 2017-02-28T07:36:04 --startdatetime 2017-02-28T07:37:47 --delay 1 --endMP 204:687 --enddatetime 2017-02-28T07:55:14 --enforcementcount 1 &gt;&gt;C:\Users\stu\Documents\GitHub\eaglep3-reporting\EC\2017-02-28-refined-times.txt</v>
      </c>
      <c r="AI167" s="108" t="str">
        <f t="shared" si="60"/>
        <v>echo {"issue":{"subject":"Poor GPS under Delgany St overpass - crew did not press button (good)","project_id":79,"tracker_id":40,"status_id":1,"priority_id":2,"assigned_to_id":23,"start_date":"2017-02-28","description":"","custom_fields":[{"id":1,"name":"Subdivision","value":"NW"},{"id":4,"name":"Milepost","value":"0.0687"},{"id":17,"name":"Train ID","value":"808-28"},{"id":16,"name":"Locomotive ID","value":"4054"},{"id":130,"name":"Impact","value":""},{"id":150,"name":"Time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1"/>
        <v>start /low /b %USERPROFILE%\Documents\GitHub\eaglep3\Utilities\DownloadLogsFromS3.py --loco 4054 --day 2017-02-28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621</v>
      </c>
      <c r="B168" s="7">
        <v>4016</v>
      </c>
      <c r="C168" s="21" t="s">
        <v>274</v>
      </c>
      <c r="D168" s="21" t="s">
        <v>892</v>
      </c>
      <c r="E168" s="13">
        <v>42794.325381944444</v>
      </c>
      <c r="F168" s="13">
        <v>42794.327303240738</v>
      </c>
      <c r="G168" s="7">
        <v>1</v>
      </c>
      <c r="H168" s="21" t="s">
        <v>348</v>
      </c>
      <c r="I168" s="13">
        <v>42794.335694444446</v>
      </c>
      <c r="J168" s="7">
        <v>1</v>
      </c>
      <c r="K168" s="98" t="str">
        <f t="shared" si="47"/>
        <v>4015/4016</v>
      </c>
      <c r="L168" s="21" t="str">
        <f>VLOOKUP(A168,'Trips&amp;Operators'!$C$1:$G$99999,5,FALSE)</f>
        <v>YORK EDGAR</v>
      </c>
      <c r="M168" s="6">
        <f t="shared" si="48"/>
        <v>8.3912037080153823E-3</v>
      </c>
      <c r="N168" s="7">
        <f t="shared" si="64"/>
        <v>12.08333333954215</v>
      </c>
      <c r="O168" s="7"/>
      <c r="P168" s="7"/>
      <c r="Q168" s="22"/>
      <c r="R168" s="22"/>
      <c r="S168" s="31">
        <f t="shared" si="62"/>
        <v>1</v>
      </c>
      <c r="T168" s="46" t="str">
        <f t="shared" si="49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0"/>
        <v>https://d0f6bd738d7f1b3e5a7ca70fe4ff75f0.us-east-1.aws.found.io/app/kibana#/discover/Steve-Slow-Train-Analysis-(2080s-and-2083s)?_g=(refreshInterval:(display:Off,pause:!f,section:0,value:0),time:(from:'2017-02-28T06:48:33-0700',mode:absolute,to:'2017-02-28T09:03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187" t="str">
        <f t="shared" si="51"/>
        <v>N</v>
      </c>
      <c r="X168" s="187">
        <f t="shared" si="63"/>
        <v>1</v>
      </c>
      <c r="Y168" s="62">
        <f t="shared" si="52"/>
        <v>0.10349999999999999</v>
      </c>
      <c r="Z168" s="62">
        <f t="shared" si="53"/>
        <v>5.8928000000000003</v>
      </c>
      <c r="AA168" s="62">
        <f t="shared" si="54"/>
        <v>5.7892999999999999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5"/>
        <v>0809-28</v>
      </c>
      <c r="AE168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68" s="82" t="str">
        <f t="shared" si="57"/>
        <v>"C:\Program Files (x86)\AstroGrep\AstroGrep.exe" /spath="%USERPROFILE%\AppData\Local\Temp\OnboardLogs" /stypes="app*4016*20170228*" /stext=" 15:.+((SYSTEM_STATE.+slice.+state.+changed )|(ment ac)|(multiple cpu faults)|(system.+state.+changed )|(\[timeout)|(PRM\|1\|D)|(kpr)|(kdp)|(\|lc)|(penalty))" /e /r /s</v>
      </c>
      <c r="AG168" s="1" t="str">
        <f t="shared" si="58"/>
        <v>NW</v>
      </c>
      <c r="AH168" s="86" t="str">
        <f t="shared" si="59"/>
        <v>"%USERPROFILE%\Documents\GitHub\eaglep3\Utilities\RefineRTDCRunTimes.py" --tripid 809-28 --locoid 4016 --swversion DE.1.0.9.0 --startMP 204:1035 --initTime 2017-02-28T07:48:33 --startdatetime 2017-02-28T07:51:19 --delay 1 --endMP 300:58928 --enddatetime 2017-02-28T08:03:24 --enforcementcount 1 &gt;&gt;C:\Users\stu\Documents\GitHub\eaglep3-reporting\EC\2017-02-28-refined-times.txt</v>
      </c>
      <c r="AI168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{"issue":{"subject":"","project_id":79,"tracker_id":40,"status_id":1,"priority_id":2,"assigned_to_id":23,"start_date":"2017-02-28","description":"","custom_fields":[{"id":1,"name":"Subdivision","value":"NW"},{"id":4,"name":"Milepost","value":"5.8928"},{"id":17,"name":"Train ID","value":"809-28"},{"id":16,"name":"Locomotive ID","value":"4016"},{"id":130,"name":"Impact","value":""},{"id":150,"name":"Time of Event (Mountain Time)","value":"08:03:24"},{"id":151,"name":"Denver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1"/>
        <v>start /low /b %USERPROFILE%\Documents\GitHub\eaglep3\Utilities\DownloadLogsFromS3.py --loco 4016 --day 2017-02-28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"%USERPROFILE%\AppData\Local\Temp\OnboardLogs"\RTDC4016\*4016*20170228* | grep -SE "(Enforcement Action)|(\[TIMEOUT)|(CHR.+\|PRM\|1\|D.+(SWITCH|SIGNAL).+UNKNOWN)" - &gt;&gt; 2017-02-28-UncaughtWiMAX.txt</v>
      </c>
    </row>
    <row r="169" spans="1:91" s="20" customFormat="1" x14ac:dyDescent="0.25">
      <c r="A169" s="33" t="s">
        <v>623</v>
      </c>
      <c r="B169" s="7">
        <v>4015</v>
      </c>
      <c r="C169" s="21" t="s">
        <v>274</v>
      </c>
      <c r="D169" s="21" t="s">
        <v>320</v>
      </c>
      <c r="E169" s="13">
        <v>42794.338055555556</v>
      </c>
      <c r="F169" s="13">
        <v>42794.33965277778</v>
      </c>
      <c r="G169" s="7">
        <v>1</v>
      </c>
      <c r="H169" s="21" t="s">
        <v>893</v>
      </c>
      <c r="I169" s="13">
        <v>42794.350694444445</v>
      </c>
      <c r="J169" s="7">
        <v>1</v>
      </c>
      <c r="K169" s="98" t="str">
        <f t="shared" si="47"/>
        <v>4015/4016</v>
      </c>
      <c r="L169" s="21" t="str">
        <f>VLOOKUP(A169,'Trips&amp;Operators'!$C$1:$G$99999,5,FALSE)</f>
        <v>YORK EDGAR</v>
      </c>
      <c r="M169" s="6">
        <f t="shared" si="48"/>
        <v>1.1041666664823424E-2</v>
      </c>
      <c r="N169" s="7">
        <f t="shared" si="64"/>
        <v>15.899999997345731</v>
      </c>
      <c r="O169" s="7"/>
      <c r="P169" s="7"/>
      <c r="Q169" s="22"/>
      <c r="R169" s="22"/>
      <c r="S169" s="31">
        <f t="shared" si="62"/>
        <v>1</v>
      </c>
      <c r="T169" s="46" t="str">
        <f t="shared" si="49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0"/>
        <v>https://d0f6bd738d7f1b3e5a7ca70fe4ff75f0.us-east-1.aws.found.io/app/kibana#/discover/Steve-Slow-Train-Analysis-(2080s-and-2083s)?_g=(refreshInterval:(display:Off,pause:!f,section:0,value:0),time:(from:'2017-02-28T07:06:48-0700',mode:absolute,to:'2017-02-28T09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187" t="str">
        <f t="shared" si="51"/>
        <v>N</v>
      </c>
      <c r="X169" s="187">
        <f t="shared" si="63"/>
        <v>1</v>
      </c>
      <c r="Y169" s="62">
        <f t="shared" si="52"/>
        <v>5.8619000000000003</v>
      </c>
      <c r="Z169" s="62">
        <f t="shared" si="53"/>
        <v>9.11E-2</v>
      </c>
      <c r="AA169" s="62">
        <f t="shared" si="54"/>
        <v>5.7708000000000004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5"/>
        <v>0810-28</v>
      </c>
      <c r="AE169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69" s="82" t="str">
        <f t="shared" si="57"/>
        <v>"C:\Program Files (x86)\AstroGrep\AstroGrep.exe" /spath="%USERPROFILE%\AppData\Local\Temp\OnboardLogs" /stypes="app*4015*20170228*" /stext=" 15:.+((SYSTEM_STATE.+slice.+state.+changed )|(ment ac)|(multiple cpu faults)|(system.+state.+changed )|(\[timeout)|(PRM\|1\|D)|(kpr)|(kdp)|(\|lc)|(penalty))" /e /r /s</v>
      </c>
      <c r="AG169" s="1" t="str">
        <f t="shared" si="58"/>
        <v>NW</v>
      </c>
      <c r="AH169" s="86" t="str">
        <f t="shared" si="59"/>
        <v>"%USERPROFILE%\Documents\GitHub\eaglep3\Utilities\RefineRTDCRunTimes.py" --tripid 810-28 --locoid 4015 --swversion DE.1.0.9.0 --startMP 300:58619 --initTime 2017-02-28T08:06:48 --startdatetime 2017-02-28T08:09:06 --delay 1 --endMP 204:911 --enddatetime 2017-02-28T08:25:00 --enforcementcount 1 &gt;&gt;C:\Users\stu\Documents\GitHub\eaglep3-reporting\EC\2017-02-28-refined-times.txt</v>
      </c>
      <c r="AI169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{"issue":{"subject":"","project_id":79,"tracker_id":40,"status_id":1,"priority_id":2,"assigned_to_id":23,"start_date":"2017-02-28","description":"","custom_fields":[{"id":1,"name":"Subdivision","value":"NW"},{"id":4,"name":"Milepost","value":"0.0911"},{"id":17,"name":"Train ID","value":"810-28"},{"id":16,"name":"Locomotive ID","value":"4015"},{"id":130,"name":"Impact","value":""},{"id":150,"name":"Time of Event (Mountain Time)","value":"08:25:00"},{"id":151,"name":"Denver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1"/>
        <v>start /low /b %USERPROFILE%\Documents\GitHub\eaglep3\Utilities\DownloadLogsFromS3.py --loco 4015 --day 2017-02-28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"%USERPROFILE%\AppData\Local\Temp\OnboardLogs"\RTDC4015\*4015*20170228* | grep -SE "(Enforcement Action)|(\[TIMEOUT)|(CHR.+\|PRM\|1\|D.+(SWITCH|SIGNAL).+UNKNOWN)" - &gt;&gt; 2017-02-28-UncaughtWiMAX.txt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549</v>
      </c>
      <c r="B170" s="7">
        <v>4053</v>
      </c>
      <c r="C170" s="21" t="s">
        <v>274</v>
      </c>
      <c r="D170" s="21" t="s">
        <v>894</v>
      </c>
      <c r="E170" s="13">
        <v>42794.342800925922</v>
      </c>
      <c r="F170" s="13">
        <v>42794.34814814815</v>
      </c>
      <c r="G170" s="7">
        <v>1</v>
      </c>
      <c r="H170" s="21" t="s">
        <v>433</v>
      </c>
      <c r="I170" s="13">
        <v>42794.357511574075</v>
      </c>
      <c r="J170" s="7">
        <v>1</v>
      </c>
      <c r="K170" s="98" t="str">
        <f t="shared" si="47"/>
        <v>4053/4054</v>
      </c>
      <c r="L170" s="21" t="str">
        <f>VLOOKUP(A170,'Trips&amp;Operators'!$C$1:$G$99999,5,FALSE)</f>
        <v>COOLAHAN JOHN</v>
      </c>
      <c r="M170" s="6">
        <f t="shared" si="48"/>
        <v>9.3634259246755391E-3</v>
      </c>
      <c r="N170" s="7">
        <f t="shared" si="64"/>
        <v>13.483333331532776</v>
      </c>
      <c r="O170" s="7"/>
      <c r="P170" s="7"/>
      <c r="Q170" s="22"/>
      <c r="R170" s="22"/>
      <c r="S170" s="31">
        <f t="shared" si="62"/>
        <v>1</v>
      </c>
      <c r="T170" s="46" t="str">
        <f t="shared" si="49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0"/>
        <v>https://d0f6bd738d7f1b3e5a7ca70fe4ff75f0.us-east-1.aws.found.io/app/kibana#/discover/Steve-Slow-Train-Analysis-(2080s-and-2083s)?_g=(refreshInterval:(display:Off,pause:!f,section:0,value:0),time:(from:'2017-02-28T07:13:38-0700',mode:absolute,to:'2017-02-28T09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0" s="187" t="str">
        <f t="shared" si="51"/>
        <v>N</v>
      </c>
      <c r="X170" s="187">
        <f t="shared" si="63"/>
        <v>1</v>
      </c>
      <c r="Y170" s="62">
        <f t="shared" si="52"/>
        <v>9.74E-2</v>
      </c>
      <c r="Z170" s="62">
        <f t="shared" si="53"/>
        <v>5.8959999999999999</v>
      </c>
      <c r="AA170" s="62">
        <f t="shared" si="54"/>
        <v>5.7985999999999995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5"/>
        <v>0811-28</v>
      </c>
      <c r="AE170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70" s="82" t="str">
        <f t="shared" si="57"/>
        <v>"C:\Program Files (x86)\AstroGrep\AstroGrep.exe" /spath="%USERPROFILE%\AppData\Local\Temp\OnboardLogs" /stypes="app*4053*20170228*" /stext=" 15:.+((SYSTEM_STATE.+slice.+state.+changed )|(ment ac)|(multiple cpu faults)|(system.+state.+changed )|(\[timeout)|(PRM\|1\|D)|(kpr)|(kdp)|(\|lc)|(penalty))" /e /r /s</v>
      </c>
      <c r="AG170" s="1" t="str">
        <f t="shared" si="58"/>
        <v>NW</v>
      </c>
      <c r="AH170" s="86" t="str">
        <f t="shared" si="59"/>
        <v>"%USERPROFILE%\Documents\GitHub\eaglep3\Utilities\RefineRTDCRunTimes.py" --tripid 811-28 --locoid 4053 --swversion DE.1.0.9.0 --startMP 204:974 --initTime 2017-02-28T08:13:38 --startdatetime 2017-02-28T08:21:20 --delay 1 --endMP 300:58960 --enddatetime 2017-02-28T08:34:49 --enforcementcount 1 &gt;&gt;C:\Users\stu\Documents\GitHub\eaglep3-reporting\EC\2017-02-28-refined-times.txt</v>
      </c>
      <c r="AI170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{"issue":{"subject":"","project_id":79,"tracker_id":40,"status_id":1,"priority_id":2,"assigned_to_id":23,"start_date":"2017-02-28","description":"","custom_fields":[{"id":1,"name":"Subdivision","value":"NW"},{"id":4,"name":"Milepost","value":"5.896"},{"id":17,"name":"Train ID","value":"811-28"},{"id":16,"name":"Locomotive ID","value":"4053"},{"id":130,"name":"Impact","value":""},{"id":150,"name":"Time of Event (Mountain Time)","value":"08:34:49"},{"id":151,"name":"Denver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1"/>
        <v>start /low /b %USERPROFILE%\Documents\GitHub\eaglep3\Utilities\DownloadLogsFromS3.py --loco 4053 --day 2017-02-28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71" spans="1:91" x14ac:dyDescent="0.25">
      <c r="A171" s="33" t="s">
        <v>550</v>
      </c>
      <c r="B171" s="7">
        <v>4054</v>
      </c>
      <c r="C171" s="21" t="s">
        <v>274</v>
      </c>
      <c r="D171" s="21" t="s">
        <v>895</v>
      </c>
      <c r="E171" s="13">
        <v>42794.358761574076</v>
      </c>
      <c r="F171" s="13">
        <v>42794.360081018516</v>
      </c>
      <c r="G171" s="7">
        <v>1</v>
      </c>
      <c r="H171" s="21" t="s">
        <v>896</v>
      </c>
      <c r="I171" s="13">
        <v>42794.373113425929</v>
      </c>
      <c r="J171" s="7">
        <v>1</v>
      </c>
      <c r="K171" s="98" t="str">
        <f t="shared" si="47"/>
        <v>4053/4054</v>
      </c>
      <c r="L171" s="21" t="str">
        <f>VLOOKUP(A171,'Trips&amp;Operators'!$C$1:$G$99999,5,FALSE)</f>
        <v>COOLAHAN JOHN</v>
      </c>
      <c r="M171" s="6">
        <f t="shared" si="48"/>
        <v>1.3032407412538305E-2</v>
      </c>
      <c r="N171" s="7">
        <f t="shared" si="64"/>
        <v>18.766666674055159</v>
      </c>
      <c r="O171" s="7"/>
      <c r="P171" s="7"/>
      <c r="Q171" s="22"/>
      <c r="R171" s="22"/>
      <c r="S171" s="31">
        <f t="shared" si="62"/>
        <v>1</v>
      </c>
      <c r="T171" s="46" t="str">
        <f t="shared" si="49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0"/>
        <v>https://d0f6bd738d7f1b3e5a7ca70fe4ff75f0.us-east-1.aws.found.io/app/kibana#/discover/Steve-Slow-Train-Analysis-(2080s-and-2083s)?_g=(refreshInterval:(display:Off,pause:!f,section:0,value:0),time:(from:'2017-02-28T07:36:37-0700',mode:absolute,to:'2017-02-28T09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1" s="187" t="str">
        <f t="shared" si="51"/>
        <v>N</v>
      </c>
      <c r="X171" s="187">
        <f t="shared" si="63"/>
        <v>1</v>
      </c>
      <c r="Y171" s="62">
        <f t="shared" si="52"/>
        <v>5.8644999999999996</v>
      </c>
      <c r="Z171" s="62">
        <f t="shared" si="53"/>
        <v>7.1199999999999999E-2</v>
      </c>
      <c r="AA171" s="62">
        <f t="shared" si="54"/>
        <v>5.7932999999999995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5"/>
        <v>0812-28</v>
      </c>
      <c r="AE171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71" s="82" t="str">
        <f t="shared" si="57"/>
        <v>"C:\Program Files (x86)\AstroGrep\AstroGrep.exe" /spath="%USERPROFILE%\AppData\Local\Temp\OnboardLogs" /stypes="app*4054*20170228*" /stext=" 15:.+((SYSTEM_STATE.+slice.+state.+changed )|(ment ac)|(multiple cpu faults)|(system.+state.+changed )|(\[timeout)|(PRM\|1\|D)|(kpr)|(kdp)|(\|lc)|(penalty))" /e /r /s</v>
      </c>
      <c r="AG171" s="1" t="str">
        <f t="shared" si="58"/>
        <v>NW</v>
      </c>
      <c r="AH171" s="86" t="str">
        <f t="shared" si="59"/>
        <v>"%USERPROFILE%\Documents\GitHub\eaglep3\Utilities\RefineRTDCRunTimes.py" --tripid 812-28 --locoid 4054 --swversion DE.1.0.9.0 --startMP 300:58645 --initTime 2017-02-28T08:36:37 --startdatetime 2017-02-28T08:38:31 --delay 1 --endMP 204:712 --enddatetime 2017-02-28T08:57:17 --enforcementcount 1 &gt;&gt;C:\Users\stu\Documents\GitHub\eaglep3-reporting\EC\2017-02-28-refined-times.txt</v>
      </c>
      <c r="AI171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{"issue":{"subject":"","project_id":79,"tracker_id":40,"status_id":1,"priority_id":2,"assigned_to_id":23,"start_date":"2017-02-28","description":"","custom_fields":[{"id":1,"name":"Subdivision","value":"NW"},{"id":4,"name":"Milepost","value":"0.0712"},{"id":17,"name":"Train ID","value":"812-28"},{"id":16,"name":"Locomotive ID","value":"4054"},{"id":130,"name":"Impact","value":""},{"id":150,"name":"Time of Event (Mountain Time)","value":"08:57:17"},{"id":151,"name":"Denver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1"/>
        <v>start /low /b %USERPROFILE%\Documents\GitHub\eaglep3\Utilities\DownloadLogsFromS3.py --loco 4054 --day 2017-02-28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72" spans="1:91" x14ac:dyDescent="0.25">
      <c r="A172" s="33" t="s">
        <v>635</v>
      </c>
      <c r="B172" s="7">
        <v>4053</v>
      </c>
      <c r="C172" s="21" t="s">
        <v>274</v>
      </c>
      <c r="D172" s="21" t="s">
        <v>877</v>
      </c>
      <c r="E172" s="13">
        <v>42794.385798611111</v>
      </c>
      <c r="F172" s="13">
        <v>42794.389780092592</v>
      </c>
      <c r="G172" s="7">
        <v>1</v>
      </c>
      <c r="H172" s="21" t="s">
        <v>897</v>
      </c>
      <c r="I172" s="13">
        <v>42794.399027777778</v>
      </c>
      <c r="J172" s="7">
        <v>1</v>
      </c>
      <c r="K172" s="98" t="str">
        <f t="shared" si="47"/>
        <v>4053/4054</v>
      </c>
      <c r="L172" s="21" t="str">
        <f>VLOOKUP(A172,'Trips&amp;Operators'!$C$1:$G$99999,5,FALSE)</f>
        <v>COOLAHAN JOHN</v>
      </c>
      <c r="M172" s="6">
        <f t="shared" si="48"/>
        <v>9.2476851859828457E-3</v>
      </c>
      <c r="N172" s="7">
        <f t="shared" si="64"/>
        <v>13.316666667815298</v>
      </c>
      <c r="O172" s="7"/>
      <c r="P172" s="7"/>
      <c r="Q172" s="22"/>
      <c r="R172" s="22"/>
      <c r="S172" s="31">
        <f t="shared" si="62"/>
        <v>1</v>
      </c>
      <c r="T172" s="46" t="str">
        <f t="shared" si="49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0"/>
        <v>https://d0f6bd738d7f1b3e5a7ca70fe4ff75f0.us-east-1.aws.found.io/app/kibana#/discover/Steve-Slow-Train-Analysis-(2080s-and-2083s)?_g=(refreshInterval:(display:Off,pause:!f,section:0,value:0),time:(from:'2017-02-28T08:15:33-0700',mode:absolute,to:'2017-02-28T10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2" s="187" t="str">
        <f t="shared" si="51"/>
        <v>N</v>
      </c>
      <c r="X172" s="187">
        <f t="shared" si="63"/>
        <v>1</v>
      </c>
      <c r="Y172" s="62">
        <f t="shared" si="52"/>
        <v>9.8799999999999999E-2</v>
      </c>
      <c r="Z172" s="62">
        <f t="shared" si="53"/>
        <v>5.8978000000000002</v>
      </c>
      <c r="AA172" s="62">
        <f t="shared" si="54"/>
        <v>5.7990000000000004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5"/>
        <v>0813-28</v>
      </c>
      <c r="AE172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72" s="82" t="str">
        <f t="shared" si="57"/>
        <v>"C:\Program Files (x86)\AstroGrep\AstroGrep.exe" /spath="%USERPROFILE%\AppData\Local\Temp\OnboardLogs" /stypes="app*4053*20170228*" /stext=" 16:.+((SYSTEM_STATE.+slice.+state.+changed )|(ment ac)|(multiple cpu faults)|(system.+state.+changed )|(\[timeout)|(PRM\|1\|D)|(kpr)|(kdp)|(\|lc)|(penalty))" /e /r /s</v>
      </c>
      <c r="AG172" s="1" t="str">
        <f t="shared" si="58"/>
        <v>NW</v>
      </c>
      <c r="AH172" s="86" t="str">
        <f t="shared" si="59"/>
        <v>"%USERPROFILE%\Documents\GitHub\eaglep3\Utilities\RefineRTDCRunTimes.py" --tripid 813-28 --locoid 4053 --swversion DE.1.0.9.0 --startMP 204:988 --initTime 2017-02-28T09:15:33 --startdatetime 2017-02-28T09:21:17 --delay 1 --endMP 300:58978 --enddatetime 2017-02-28T09:34:36 --enforcementcount 1 &gt;&gt;C:\Users\stu\Documents\GitHub\eaglep3-reporting\EC\2017-02-28-refined-times.txt</v>
      </c>
      <c r="AI172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{"issue":{"subject":"","project_id":79,"tracker_id":40,"status_id":1,"priority_id":2,"assigned_to_id":23,"start_date":"2017-02-28","description":"","custom_fields":[{"id":1,"name":"Subdivision","value":"NW"},{"id":4,"name":"Milepost","value":"5.8978"},{"id":17,"name":"Train ID","value":"813-28"},{"id":16,"name":"Locomotive ID","value":"4053"},{"id":130,"name":"Impact","value":""},{"id":150,"name":"Time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1"/>
        <v>start /low /b %USERPROFILE%\Documents\GitHub\eaglep3\Utilities\DownloadLogsFromS3.py --loco 4053 --day 2017-02-28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73" spans="1:91" s="20" customFormat="1" x14ac:dyDescent="0.25">
      <c r="A173" s="33" t="s">
        <v>638</v>
      </c>
      <c r="B173" s="7">
        <v>4054</v>
      </c>
      <c r="C173" s="21" t="s">
        <v>274</v>
      </c>
      <c r="D173" s="21" t="s">
        <v>898</v>
      </c>
      <c r="E173" s="13">
        <v>42794.39980324074</v>
      </c>
      <c r="F173" s="13">
        <v>42794.40116898148</v>
      </c>
      <c r="G173" s="7">
        <v>1</v>
      </c>
      <c r="H173" s="21" t="s">
        <v>899</v>
      </c>
      <c r="I173" s="13">
        <v>42794.414861111109</v>
      </c>
      <c r="J173" s="7">
        <v>1</v>
      </c>
      <c r="K173" s="98" t="str">
        <f t="shared" si="47"/>
        <v>4053/4054</v>
      </c>
      <c r="L173" s="21" t="str">
        <f>VLOOKUP(A173,'Trips&amp;Operators'!$C$1:$G$99999,5,FALSE)</f>
        <v>COOLAHAN JOHN</v>
      </c>
      <c r="M173" s="6">
        <f t="shared" si="48"/>
        <v>1.3692129628907423E-2</v>
      </c>
      <c r="N173" s="7">
        <f t="shared" si="64"/>
        <v>19.71666666562669</v>
      </c>
      <c r="O173" s="7"/>
      <c r="P173" s="7"/>
      <c r="Q173" s="22"/>
      <c r="R173" s="22"/>
      <c r="S173" s="31">
        <f t="shared" si="62"/>
        <v>1</v>
      </c>
      <c r="T173" s="46" t="str">
        <f t="shared" si="49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0"/>
        <v>https://d0f6bd738d7f1b3e5a7ca70fe4ff75f0.us-east-1.aws.found.io/app/kibana#/discover/Steve-Slow-Train-Analysis-(2080s-and-2083s)?_g=(refreshInterval:(display:Off,pause:!f,section:0,value:0),time:(from:'2017-02-28T08:35:43-0700',mode:absolute,to:'2017-02-28T10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3" s="187" t="str">
        <f t="shared" si="51"/>
        <v>N</v>
      </c>
      <c r="X173" s="187">
        <f t="shared" si="63"/>
        <v>1</v>
      </c>
      <c r="Y173" s="62">
        <f t="shared" si="52"/>
        <v>5.8666</v>
      </c>
      <c r="Z173" s="62">
        <f t="shared" si="53"/>
        <v>6.5199999999999994E-2</v>
      </c>
      <c r="AA173" s="62">
        <f t="shared" si="54"/>
        <v>5.8014000000000001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5"/>
        <v>0814-28</v>
      </c>
      <c r="AE173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73" s="82" t="str">
        <f t="shared" si="57"/>
        <v>"C:\Program Files (x86)\AstroGrep\AstroGrep.exe" /spath="%USERPROFILE%\AppData\Local\Temp\OnboardLogs" /stypes="app*4054*20170228*" /stext=" 16:.+((SYSTEM_STATE.+slice.+state.+changed )|(ment ac)|(multiple cpu faults)|(system.+state.+changed )|(\[timeout)|(PRM\|1\|D)|(kpr)|(kdp)|(\|lc)|(penalty))" /e /r /s</v>
      </c>
      <c r="AG173" s="1" t="str">
        <f t="shared" si="58"/>
        <v>NW</v>
      </c>
      <c r="AH173" s="86" t="str">
        <f t="shared" si="59"/>
        <v>"%USERPROFILE%\Documents\GitHub\eaglep3\Utilities\RefineRTDCRunTimes.py" --tripid 814-28 --locoid 4054 --swversion DE.1.0.9.0 --startMP 300:58666 --initTime 2017-02-28T09:35:43 --startdatetime 2017-02-28T09:37:41 --delay 1 --endMP 204:652 --enddatetime 2017-02-28T09:57:24 --enforcementcount 1 &gt;&gt;C:\Users\stu\Documents\GitHub\eaglep3-reporting\EC\2017-02-28-refined-times.txt</v>
      </c>
      <c r="AI173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{"issue":{"subject":"","project_id":79,"tracker_id":40,"status_id":1,"priority_id":2,"assigned_to_id":23,"start_date":"2017-02-28","description":"","custom_fields":[{"id":1,"name":"Subdivision","value":"NW"},{"id":4,"name":"Milepost","value":"0.0652"},{"id":17,"name":"Train ID","value":"814-28"},{"id":16,"name":"Locomotive ID","value":"4054"},{"id":130,"name":"Impact","value":""},{"id":150,"name":"Time of Event (Mountain Time)","value":"09:57:24"},{"id":151,"name":"Denver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1"/>
        <v>start /low /b %USERPROFILE%\Documents\GitHub\eaglep3\Utilities\DownloadLogsFromS3.py --loco 4054 --day 2017-02-28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642</v>
      </c>
      <c r="B174" s="7">
        <v>4053</v>
      </c>
      <c r="C174" s="21" t="s">
        <v>274</v>
      </c>
      <c r="D174" s="21" t="s">
        <v>900</v>
      </c>
      <c r="E174" s="13">
        <v>42794.428182870368</v>
      </c>
      <c r="F174" s="13">
        <v>42794.431527777779</v>
      </c>
      <c r="G174" s="7">
        <v>1</v>
      </c>
      <c r="H174" s="21" t="s">
        <v>901</v>
      </c>
      <c r="I174" s="13">
        <v>42794.440601851849</v>
      </c>
      <c r="J174" s="7">
        <v>1</v>
      </c>
      <c r="K174" s="98" t="str">
        <f t="shared" si="47"/>
        <v>4053/4054</v>
      </c>
      <c r="L174" s="21" t="str">
        <f>VLOOKUP(A174,'Trips&amp;Operators'!$C$1:$G$99999,5,FALSE)</f>
        <v>COOLAHAN JOHN</v>
      </c>
      <c r="M174" s="6">
        <f t="shared" si="48"/>
        <v>9.074074070667848E-3</v>
      </c>
      <c r="N174" s="7">
        <f t="shared" si="64"/>
        <v>13.066666661761701</v>
      </c>
      <c r="O174" s="7"/>
      <c r="P174" s="7"/>
      <c r="Q174" s="22"/>
      <c r="R174" s="22"/>
      <c r="S174" s="31">
        <f t="shared" si="62"/>
        <v>1</v>
      </c>
      <c r="T174" s="46" t="str">
        <f t="shared" si="49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0"/>
        <v>https://d0f6bd738d7f1b3e5a7ca70fe4ff75f0.us-east-1.aws.found.io/app/kibana#/discover/Steve-Slow-Train-Analysis-(2080s-and-2083s)?_g=(refreshInterval:(display:Off,pause:!f,section:0,value:0),time:(from:'2017-02-28T09:16:35-0700',mode:absolute,to:'2017-02-28T11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4" s="187" t="str">
        <f t="shared" si="51"/>
        <v>N</v>
      </c>
      <c r="X174" s="187">
        <f t="shared" si="63"/>
        <v>1</v>
      </c>
      <c r="Y174" s="62">
        <f t="shared" si="52"/>
        <v>9.3899999999999997E-2</v>
      </c>
      <c r="Z174" s="62">
        <f t="shared" si="53"/>
        <v>5.8979999999999997</v>
      </c>
      <c r="AA174" s="62">
        <f t="shared" si="54"/>
        <v>5.8041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5"/>
        <v>0815-28</v>
      </c>
      <c r="AE174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74" s="82" t="str">
        <f t="shared" si="57"/>
        <v>"C:\Program Files (x86)\AstroGrep\AstroGrep.exe" /spath="%USERPROFILE%\AppData\Local\Temp\OnboardLogs" /stypes="app*4053*20170228*" /stext=" 17:.+((SYSTEM_STATE.+slice.+state.+changed )|(ment ac)|(multiple cpu faults)|(system.+state.+changed )|(\[timeout)|(PRM\|1\|D)|(kpr)|(kdp)|(\|lc)|(penalty))" /e /r /s</v>
      </c>
      <c r="AG174" s="1" t="str">
        <f t="shared" si="58"/>
        <v>NW</v>
      </c>
      <c r="AH174" s="86" t="str">
        <f t="shared" si="59"/>
        <v>"%USERPROFILE%\Documents\GitHub\eaglep3\Utilities\RefineRTDCRunTimes.py" --tripid 815-28 --locoid 4053 --swversion DE.1.0.9.0 --startMP 204:939 --initTime 2017-02-28T10:16:35 --startdatetime 2017-02-28T10:21:24 --delay 1 --endMP 300:58980 --enddatetime 2017-02-28T10:34:28 --enforcementcount 1 &gt;&gt;C:\Users\stu\Documents\GitHub\eaglep3-reporting\EC\2017-02-28-refined-times.txt</v>
      </c>
      <c r="AI174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{"issue":{"subject":"","project_id":79,"tracker_id":40,"status_id":1,"priority_id":2,"assigned_to_id":23,"start_date":"2017-02-28","description":"","custom_fields":[{"id":1,"name":"Subdivision","value":"NW"},{"id":4,"name":"Milepost","value":"5.898"},{"id":17,"name":"Train ID","value":"815-28"},{"id":16,"name":"Locomotive ID","value":"4053"},{"id":130,"name":"Impact","value":""},{"id":150,"name":"Time of Event (Mountain Time)","value":"10:34:28"},{"id":151,"name":"Denver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1"/>
        <v>start /low /b %USERPROFILE%\Documents\GitHub\eaglep3\Utilities\DownloadLogsFromS3.py --loco 4053 --day 2017-02-28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75" spans="1:91" s="20" customFormat="1" x14ac:dyDescent="0.25">
      <c r="A175" s="33" t="s">
        <v>645</v>
      </c>
      <c r="B175" s="7">
        <v>4054</v>
      </c>
      <c r="C175" s="21" t="s">
        <v>274</v>
      </c>
      <c r="D175" s="21" t="s">
        <v>898</v>
      </c>
      <c r="E175" s="13">
        <v>42794.441342592596</v>
      </c>
      <c r="F175" s="13">
        <v>42794.442557870374</v>
      </c>
      <c r="G175" s="7">
        <v>1</v>
      </c>
      <c r="H175" s="21" t="s">
        <v>899</v>
      </c>
      <c r="I175" s="13">
        <v>42794.454907407409</v>
      </c>
      <c r="J175" s="7">
        <v>1</v>
      </c>
      <c r="K175" s="98" t="str">
        <f t="shared" si="47"/>
        <v>4053/4054</v>
      </c>
      <c r="L175" s="21" t="str">
        <f>VLOOKUP(A175,'Trips&amp;Operators'!$C$1:$G$99999,5,FALSE)</f>
        <v>COOLAHAN JOHN</v>
      </c>
      <c r="M175" s="6">
        <f t="shared" si="48"/>
        <v>1.2349537035333924E-2</v>
      </c>
      <c r="N175" s="7">
        <f t="shared" si="64"/>
        <v>17.783333330880851</v>
      </c>
      <c r="O175" s="7"/>
      <c r="P175" s="7"/>
      <c r="Q175" s="22"/>
      <c r="R175" s="22"/>
      <c r="S175" s="31">
        <f t="shared" si="62"/>
        <v>1</v>
      </c>
      <c r="T175" s="46" t="str">
        <f t="shared" si="49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0"/>
        <v>https://d0f6bd738d7f1b3e5a7ca70fe4ff75f0.us-east-1.aws.found.io/app/kibana#/discover/Steve-Slow-Train-Analysis-(2080s-and-2083s)?_g=(refreshInterval:(display:Off,pause:!f,section:0,value:0),time:(from:'2017-02-28T09:35:32-0700',mode:absolute,to:'2017-02-28T11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5" s="187" t="str">
        <f t="shared" si="51"/>
        <v>N</v>
      </c>
      <c r="X175" s="187">
        <f t="shared" si="63"/>
        <v>1</v>
      </c>
      <c r="Y175" s="62">
        <f t="shared" si="52"/>
        <v>5.8666</v>
      </c>
      <c r="Z175" s="62">
        <f t="shared" si="53"/>
        <v>6.5199999999999994E-2</v>
      </c>
      <c r="AA175" s="62">
        <f t="shared" si="54"/>
        <v>5.8014000000000001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5"/>
        <v>0816-28</v>
      </c>
      <c r="AE175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75" s="82" t="str">
        <f t="shared" si="57"/>
        <v>"C:\Program Files (x86)\AstroGrep\AstroGrep.exe" /spath="%USERPROFILE%\AppData\Local\Temp\OnboardLogs" /stypes="app*4054*20170228*" /stext=" 17:.+((SYSTEM_STATE.+slice.+state.+changed )|(ment ac)|(multiple cpu faults)|(system.+state.+changed )|(\[timeout)|(PRM\|1\|D)|(kpr)|(kdp)|(\|lc)|(penalty))" /e /r /s</v>
      </c>
      <c r="AG175" s="1" t="str">
        <f t="shared" si="58"/>
        <v>NW</v>
      </c>
      <c r="AH175" s="86" t="str">
        <f t="shared" si="59"/>
        <v>"%USERPROFILE%\Documents\GitHub\eaglep3\Utilities\RefineRTDCRunTimes.py" --tripid 816-28 --locoid 4054 --swversion DE.1.0.9.0 --startMP 300:58666 --initTime 2017-02-28T10:35:32 --startdatetime 2017-02-28T10:37:17 --delay 1 --endMP 204:652 --enddatetime 2017-02-28T10:55:04 --enforcementcount 1 &gt;&gt;C:\Users\stu\Documents\GitHub\eaglep3-reporting\EC\2017-02-28-refined-times.txt</v>
      </c>
      <c r="AI175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{"issue":{"subject":"","project_id":79,"tracker_id":40,"status_id":1,"priority_id":2,"assigned_to_id":23,"start_date":"2017-02-28","description":"","custom_fields":[{"id":1,"name":"Subdivision","value":"NW"},{"id":4,"name":"Milepost","value":"0.0652"},{"id":17,"name":"Train ID","value":"816-28"},{"id":16,"name":"Locomotive ID","value":"4054"},{"id":130,"name":"Impact","value":""},{"id":150,"name":"Time of Event (Mountain Time)","value":"10:55:04"},{"id":151,"name":"Denver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1"/>
        <v>start /low /b %USERPROFILE%\Documents\GitHub\eaglep3\Utilities\DownloadLogsFromS3.py --loco 4054 --day 2017-02-28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651</v>
      </c>
      <c r="B176" s="7">
        <v>4053</v>
      </c>
      <c r="C176" s="21" t="s">
        <v>274</v>
      </c>
      <c r="D176" s="21" t="s">
        <v>432</v>
      </c>
      <c r="E176" s="13">
        <v>42794.468657407408</v>
      </c>
      <c r="F176" s="13">
        <v>42794.473113425927</v>
      </c>
      <c r="G176" s="7">
        <v>1</v>
      </c>
      <c r="H176" s="21" t="s">
        <v>902</v>
      </c>
      <c r="I176" s="13">
        <v>42794.482222222221</v>
      </c>
      <c r="J176" s="7">
        <v>1</v>
      </c>
      <c r="K176" s="98" t="str">
        <f t="shared" si="47"/>
        <v>4053/4054</v>
      </c>
      <c r="L176" s="21" t="str">
        <f>VLOOKUP(A176,'Trips&amp;Operators'!$C$1:$G$99999,5,FALSE)</f>
        <v>COOLAHAN JOHN</v>
      </c>
      <c r="M176" s="6">
        <f t="shared" si="48"/>
        <v>9.1087962937308475E-3</v>
      </c>
      <c r="N176" s="7">
        <f t="shared" si="64"/>
        <v>13.11666666297242</v>
      </c>
      <c r="O176" s="7"/>
      <c r="P176" s="7"/>
      <c r="Q176" s="22"/>
      <c r="R176" s="22"/>
      <c r="S176" s="31">
        <f t="shared" si="62"/>
        <v>1</v>
      </c>
      <c r="T176" s="46" t="str">
        <f t="shared" si="49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0"/>
        <v>https://d0f6bd738d7f1b3e5a7ca70fe4ff75f0.us-east-1.aws.found.io/app/kibana#/discover/Steve-Slow-Train-Analysis-(2080s-and-2083s)?_g=(refreshInterval:(display:Off,pause:!f,section:0,value:0),time:(from:'2017-02-28T10:14:52-0700',mode:absolute,to:'2017-02-28T12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187" t="str">
        <f t="shared" si="51"/>
        <v>N</v>
      </c>
      <c r="X176" s="187">
        <f t="shared" si="63"/>
        <v>1</v>
      </c>
      <c r="Y176" s="62">
        <f t="shared" si="52"/>
        <v>9.5000000000000001E-2</v>
      </c>
      <c r="Z176" s="62">
        <f t="shared" si="53"/>
        <v>5.8987999999999996</v>
      </c>
      <c r="AA176" s="62">
        <f t="shared" si="54"/>
        <v>5.8037999999999998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5"/>
        <v>0817-28</v>
      </c>
      <c r="AE176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76" s="82" t="str">
        <f t="shared" si="57"/>
        <v>"C:\Program Files (x86)\AstroGrep\AstroGrep.exe" /spath="%USERPROFILE%\AppData\Local\Temp\OnboardLogs" /stypes="app*4053*20170228*" /stext=" 18:.+((SYSTEM_STATE.+slice.+state.+changed )|(ment ac)|(multiple cpu faults)|(system.+state.+changed )|(\[timeout)|(PRM\|1\|D)|(kpr)|(kdp)|(\|lc)|(penalty))" /e /r /s</v>
      </c>
      <c r="AG176" s="1" t="str">
        <f t="shared" si="58"/>
        <v>NW</v>
      </c>
      <c r="AH176" s="86" t="str">
        <f t="shared" si="59"/>
        <v>"%USERPROFILE%\Documents\GitHub\eaglep3\Utilities\RefineRTDCRunTimes.py" --tripid 817-28 --locoid 4053 --swversion DE.1.0.9.0 --startMP 204:950 --initTime 2017-02-28T11:14:52 --startdatetime 2017-02-28T11:21:17 --delay 1 --endMP 300:58988 --enddatetime 2017-02-28T11:34:24 --enforcementcount 1 &gt;&gt;C:\Users\stu\Documents\GitHub\eaglep3-reporting\EC\2017-02-28-refined-times.txt</v>
      </c>
      <c r="AI176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{"issue":{"subject":"","project_id":79,"tracker_id":40,"status_id":1,"priority_id":2,"assigned_to_id":23,"start_date":"2017-02-28","description":"","custom_fields":[{"id":1,"name":"Subdivision","value":"NW"},{"id":4,"name":"Milepost","value":"5.8988"},{"id":17,"name":"Train ID","value":"817-28"},{"id":16,"name":"Locomotive ID","value":"4053"},{"id":130,"name":"Impact","value":""},{"id":150,"name":"Time of Event (Mountain Time)","value":"11:34:24"},{"id":151,"name":"Denver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1"/>
        <v>start /low /b %USERPROFILE%\Documents\GitHub\eaglep3\Utilities\DownloadLogsFromS3.py --loco 4053 --day 2017-02-28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77" spans="1:40" x14ac:dyDescent="0.25">
      <c r="A177" s="33" t="s">
        <v>655</v>
      </c>
      <c r="B177" s="7">
        <v>4054</v>
      </c>
      <c r="C177" s="21" t="s">
        <v>274</v>
      </c>
      <c r="D177" s="21" t="s">
        <v>903</v>
      </c>
      <c r="E177" s="13">
        <v>42794.483055555553</v>
      </c>
      <c r="F177" s="13">
        <v>42794.484918981485</v>
      </c>
      <c r="G177" s="7">
        <v>1</v>
      </c>
      <c r="H177" s="21" t="s">
        <v>904</v>
      </c>
      <c r="I177" s="13">
        <v>42794.496400462966</v>
      </c>
      <c r="J177" s="7">
        <v>1</v>
      </c>
      <c r="K177" s="98" t="str">
        <f t="shared" si="47"/>
        <v>4053/4054</v>
      </c>
      <c r="L177" s="21" t="str">
        <f>VLOOKUP(A177,'Trips&amp;Operators'!$C$1:$G$99999,5,FALSE)</f>
        <v>COOLAHAN JOHN</v>
      </c>
      <c r="M177" s="6">
        <f t="shared" si="48"/>
        <v>1.1481481480586808E-2</v>
      </c>
      <c r="N177" s="7">
        <f t="shared" si="64"/>
        <v>16.533333332045004</v>
      </c>
      <c r="O177" s="7"/>
      <c r="P177" s="7"/>
      <c r="Q177" s="22"/>
      <c r="R177" s="22" t="s">
        <v>963</v>
      </c>
      <c r="S177" s="31">
        <f t="shared" si="62"/>
        <v>1</v>
      </c>
      <c r="T177" s="46" t="str">
        <f t="shared" si="49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0"/>
        <v>https://d0f6bd738d7f1b3e5a7ca70fe4ff75f0.us-east-1.aws.found.io/app/kibana#/discover/Steve-Slow-Train-Analysis-(2080s-and-2083s)?_g=(refreshInterval:(display:Off,pause:!f,section:0,value:0),time:(from:'2017-02-28T10:35:36-0700',mode:absolute,to:'2017-02-28T12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187" t="str">
        <f t="shared" si="51"/>
        <v>N</v>
      </c>
      <c r="X177" s="187">
        <f t="shared" si="63"/>
        <v>1</v>
      </c>
      <c r="Y177" s="62">
        <f t="shared" si="52"/>
        <v>5.8674999999999997</v>
      </c>
      <c r="Z177" s="62">
        <f t="shared" si="53"/>
        <v>6.6299999999999998E-2</v>
      </c>
      <c r="AA177" s="62">
        <f t="shared" si="54"/>
        <v>5.8011999999999997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5"/>
        <v>0818-28</v>
      </c>
      <c r="AE177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77" s="82" t="str">
        <f t="shared" si="57"/>
        <v>"C:\Program Files (x86)\AstroGrep\AstroGrep.exe" /spath="%USERPROFILE%\AppData\Local\Temp\OnboardLogs" /stypes="app*4054*20170228*" /stext=" 18:.+((SYSTEM_STATE.+slice.+state.+changed )|(ment ac)|(multiple cpu faults)|(system.+state.+changed )|(\[timeout)|(PRM\|1\|D)|(kpr)|(kdp)|(\|lc)|(penalty))" /e /r /s</v>
      </c>
      <c r="AG177" s="1" t="str">
        <f t="shared" si="58"/>
        <v>NW</v>
      </c>
      <c r="AH177" s="86" t="str">
        <f t="shared" si="59"/>
        <v>"%USERPROFILE%\Documents\GitHub\eaglep3\Utilities\RefineRTDCRunTimes.py" --tripid 818-28 --locoid 4054 --swversion DE.1.0.9.0 --startMP 300:58675 --initTime 2017-02-28T11:35:36 --startdatetime 2017-02-28T11:38:17 --delay 1 --endMP 204:663 --enddatetime 2017-02-28T11:54:49 --enforcementcount 1 &gt;&gt;C:\Users\stu\Documents\GitHub\eaglep3-reporting\EC\2017-02-28-refined-times.txt</v>
      </c>
      <c r="AI177" s="108" t="str">
        <f t="shared" si="60"/>
        <v>echo {"issue":{"subject":"Initialized too close to Westminster 2S, got yellow fence til MP4.8","project_id":79,"tracker_id":40,"status_id":1,"priority_id":2,"assigned_to_id":23,"start_date":"2017-02-28","description":"","custom_fields":[{"id":1,"name":"Subdivision","value":"NW"},{"id":4,"name":"Milepost","value":"0.0663"},{"id":17,"name":"Train ID","value":"818-28"},{"id":16,"name":"Locomotive ID","value":"4054"},{"id":130,"name":"Impact","value":""},{"id":150,"name":"Time of Event (Mountain Time)","value":"11:54:49"},{"id":151,"name":"Denver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1"/>
        <v>start /low /b %USERPROFILE%\Documents\GitHub\eaglep3\Utilities\DownloadLogsFromS3.py --loco 4054 --day 2017-02-28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78" spans="1:40" x14ac:dyDescent="0.25">
      <c r="A178" s="33" t="s">
        <v>660</v>
      </c>
      <c r="B178" s="7">
        <v>4053</v>
      </c>
      <c r="C178" s="21" t="s">
        <v>274</v>
      </c>
      <c r="D178" s="21" t="s">
        <v>905</v>
      </c>
      <c r="E178" s="13">
        <v>42794.510324074072</v>
      </c>
      <c r="F178" s="13">
        <v>42794.514791666668</v>
      </c>
      <c r="G178" s="7">
        <v>1</v>
      </c>
      <c r="H178" s="21" t="s">
        <v>350</v>
      </c>
      <c r="I178" s="13">
        <v>42794.52412037037</v>
      </c>
      <c r="J178" s="7">
        <v>1</v>
      </c>
      <c r="K178" s="98" t="str">
        <f t="shared" si="47"/>
        <v>4053/4054</v>
      </c>
      <c r="L178" s="21" t="str">
        <f>VLOOKUP(A178,'Trips&amp;Operators'!$C$1:$G$99999,5,FALSE)</f>
        <v>COOLAHAN JOHN</v>
      </c>
      <c r="M178" s="6">
        <f t="shared" si="48"/>
        <v>9.3287037016125396E-3</v>
      </c>
      <c r="N178" s="7">
        <f t="shared" si="64"/>
        <v>13.433333330322057</v>
      </c>
      <c r="O178" s="7"/>
      <c r="P178" s="7"/>
      <c r="Q178" s="22"/>
      <c r="R178" s="22"/>
      <c r="S178" s="31">
        <f t="shared" si="62"/>
        <v>1</v>
      </c>
      <c r="T178" s="46" t="str">
        <f t="shared" si="49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0"/>
        <v>https://d0f6bd738d7f1b3e5a7ca70fe4ff75f0.us-east-1.aws.found.io/app/kibana#/discover/Steve-Slow-Train-Analysis-(2080s-and-2083s)?_g=(refreshInterval:(display:Off,pause:!f,section:0,value:0),time:(from:'2017-02-28T11:14:52-0700',mode:absolute,to:'2017-02-28T13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8" s="187" t="str">
        <f t="shared" si="51"/>
        <v>N</v>
      </c>
      <c r="X178" s="187">
        <f t="shared" si="63"/>
        <v>1</v>
      </c>
      <c r="Y178" s="62">
        <f t="shared" si="52"/>
        <v>9.3700000000000006E-2</v>
      </c>
      <c r="Z178" s="62">
        <f t="shared" si="53"/>
        <v>5.8958000000000004</v>
      </c>
      <c r="AA178" s="62">
        <f t="shared" si="54"/>
        <v>5.8021000000000003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5"/>
        <v>0819-28</v>
      </c>
      <c r="AE178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78" s="82" t="str">
        <f t="shared" si="57"/>
        <v>"C:\Program Files (x86)\AstroGrep\AstroGrep.exe" /spath="%USERPROFILE%\AppData\Local\Temp\OnboardLogs" /stypes="app*4053*20170228*" /stext=" 19:.+((SYSTEM_STATE.+slice.+state.+changed )|(ment ac)|(multiple cpu faults)|(system.+state.+changed )|(\[timeout)|(PRM\|1\|D)|(kpr)|(kdp)|(\|lc)|(penalty))" /e /r /s</v>
      </c>
      <c r="AG178" s="1" t="str">
        <f t="shared" si="58"/>
        <v>NW</v>
      </c>
      <c r="AH178" s="86" t="str">
        <f t="shared" si="59"/>
        <v>"%USERPROFILE%\Documents\GitHub\eaglep3\Utilities\RefineRTDCRunTimes.py" --tripid 819-28 --locoid 4053 --swversion DE.1.0.9.0 --startMP 204:937 --initTime 2017-02-28T12:14:52 --startdatetime 2017-02-28T12:21:18 --delay 1 --endMP 300:58958 --enddatetime 2017-02-28T12:34:44 --enforcementcount 1 &gt;&gt;C:\Users\stu\Documents\GitHub\eaglep3-reporting\EC\2017-02-28-refined-times.txt</v>
      </c>
      <c r="AI178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{"issue":{"subject":"","project_id":79,"tracker_id":40,"status_id":1,"priority_id":2,"assigned_to_id":23,"start_date":"2017-02-28","description":"","custom_fields":[{"id":1,"name":"Subdivision","value":"NW"},{"id":4,"name":"Milepost","value":"5.8958"},{"id":17,"name":"Train ID","value":"819-28"},{"id":16,"name":"Locomotive ID","value":"4053"},{"id":130,"name":"Impact","value":""},{"id":150,"name":"Time of Event (Mountain Time)","value":"12:34:44"},{"id":151,"name":"Denver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1"/>
        <v>start /low /b %USERPROFILE%\Documents\GitHub\eaglep3\Utilities\DownloadLogsFromS3.py --loco 4053 --day 2017-02-28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79" spans="1:40" x14ac:dyDescent="0.25">
      <c r="A179" s="33" t="s">
        <v>664</v>
      </c>
      <c r="B179" s="7">
        <v>4054</v>
      </c>
      <c r="C179" s="21" t="s">
        <v>274</v>
      </c>
      <c r="D179" s="21" t="s">
        <v>885</v>
      </c>
      <c r="E179" s="13">
        <v>42794.525023148148</v>
      </c>
      <c r="F179" s="13">
        <v>42794.526689814818</v>
      </c>
      <c r="G179" s="7">
        <v>1</v>
      </c>
      <c r="H179" s="21" t="s">
        <v>906</v>
      </c>
      <c r="I179" s="13">
        <v>42794.538252314815</v>
      </c>
      <c r="J179" s="7">
        <v>1</v>
      </c>
      <c r="K179" s="98" t="str">
        <f t="shared" si="47"/>
        <v>4053/4054</v>
      </c>
      <c r="L179" s="21" t="str">
        <f>VLOOKUP(A179,'Trips&amp;Operators'!$C$1:$G$99999,5,FALSE)</f>
        <v>COOLAHAN JOHN</v>
      </c>
      <c r="M179" s="6">
        <f t="shared" si="48"/>
        <v>1.1562499996216502E-2</v>
      </c>
      <c r="N179" s="7">
        <f t="shared" si="64"/>
        <v>16.649999994551763</v>
      </c>
      <c r="O179" s="7"/>
      <c r="P179" s="7"/>
      <c r="Q179" s="22"/>
      <c r="R179" s="22"/>
      <c r="S179" s="31">
        <f t="shared" ref="S179:S210" si="65">SUM(U179:U179)/IF(AG179="EC",12,1)</f>
        <v>1</v>
      </c>
      <c r="T179" s="46" t="str">
        <f t="shared" si="49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0"/>
        <v>https://d0f6bd738d7f1b3e5a7ca70fe4ff75f0.us-east-1.aws.found.io/app/kibana#/discover/Steve-Slow-Train-Analysis-(2080s-and-2083s)?_g=(refreshInterval:(display:Off,pause:!f,section:0,value:0),time:(from:'2017-02-28T11:36:02-0700',mode:absolute,to:'2017-02-28T13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9" s="187" t="str">
        <f t="shared" si="51"/>
        <v>N</v>
      </c>
      <c r="X179" s="187">
        <f t="shared" si="63"/>
        <v>1</v>
      </c>
      <c r="Y179" s="62">
        <f t="shared" si="52"/>
        <v>5.8655999999999997</v>
      </c>
      <c r="Z179" s="62">
        <f t="shared" si="53"/>
        <v>6.4699999999999994E-2</v>
      </c>
      <c r="AA179" s="62">
        <f t="shared" si="54"/>
        <v>5.8008999999999995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5"/>
        <v>0820-28</v>
      </c>
      <c r="AE179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79" s="82" t="str">
        <f t="shared" si="57"/>
        <v>"C:\Program Files (x86)\AstroGrep\AstroGrep.exe" /spath="%USERPROFILE%\AppData\Local\Temp\OnboardLogs" /stypes="app*4054*20170228*" /stext=" 19:.+((SYSTEM_STATE.+slice.+state.+changed )|(ment ac)|(multiple cpu faults)|(system.+state.+changed )|(\[timeout)|(PRM\|1\|D)|(kpr)|(kdp)|(\|lc)|(penalty))" /e /r /s</v>
      </c>
      <c r="AG179" s="1" t="str">
        <f t="shared" si="58"/>
        <v>NW</v>
      </c>
      <c r="AH179" s="86" t="str">
        <f t="shared" si="59"/>
        <v>"%USERPROFILE%\Documents\GitHub\eaglep3\Utilities\RefineRTDCRunTimes.py" --tripid 820-28 --locoid 4054 --swversion DE.1.0.9.0 --startMP 300:58656 --initTime 2017-02-28T12:36:02 --startdatetime 2017-02-28T12:38:26 --delay 1 --endMP 204:647 --enddatetime 2017-02-28T12:55:05 --enforcementcount 1 &gt;&gt;C:\Users\stu\Documents\GitHub\eaglep3-reporting\EC\2017-02-28-refined-times.txt</v>
      </c>
      <c r="AI179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{"issue":{"subject":"","project_id":79,"tracker_id":40,"status_id":1,"priority_id":2,"assigned_to_id":23,"start_date":"2017-02-28","description":"","custom_fields":[{"id":1,"name":"Subdivision","value":"NW"},{"id":4,"name":"Milepost","value":"0.0647"},{"id":17,"name":"Train ID","value":"820-28"},{"id":16,"name":"Locomotive ID","value":"4054"},{"id":130,"name":"Impact","value":""},{"id":150,"name":"Time of Event (Mountain Time)","value":"12:55:05"},{"id":151,"name":"Denver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1"/>
        <v>start /low /b %USERPROFILE%\Documents\GitHub\eaglep3\Utilities\DownloadLogsFromS3.py --loco 4054 --day 2017-02-28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80" spans="1:40" x14ac:dyDescent="0.25">
      <c r="A180" s="33" t="s">
        <v>560</v>
      </c>
      <c r="B180" s="7">
        <v>4053</v>
      </c>
      <c r="C180" s="21" t="s">
        <v>274</v>
      </c>
      <c r="D180" s="21" t="s">
        <v>900</v>
      </c>
      <c r="E180" s="13">
        <v>42794.550092592595</v>
      </c>
      <c r="F180" s="13">
        <v>42794.556435185186</v>
      </c>
      <c r="G180" s="7">
        <v>2</v>
      </c>
      <c r="H180" s="21" t="s">
        <v>285</v>
      </c>
      <c r="I180" s="13">
        <v>42794.565833333334</v>
      </c>
      <c r="J180" s="7">
        <v>1</v>
      </c>
      <c r="K180" s="98" t="str">
        <f t="shared" si="47"/>
        <v>4053/4054</v>
      </c>
      <c r="L180" s="21" t="str">
        <f>VLOOKUP(A180,'Trips&amp;Operators'!$C$1:$G$99999,5,FALSE)</f>
        <v>LEVIN SCOTT</v>
      </c>
      <c r="M180" s="6">
        <f t="shared" si="48"/>
        <v>9.3981481477385387E-3</v>
      </c>
      <c r="N180" s="7">
        <f t="shared" si="64"/>
        <v>13.533333332743496</v>
      </c>
      <c r="O180" s="7"/>
      <c r="P180" s="7"/>
      <c r="Q180" s="22"/>
      <c r="R180" s="22"/>
      <c r="S180" s="31">
        <f t="shared" si="65"/>
        <v>1</v>
      </c>
      <c r="T180" s="46" t="str">
        <f t="shared" si="49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0"/>
        <v>https://d0f6bd738d7f1b3e5a7ca70fe4ff75f0.us-east-1.aws.found.io/app/kibana#/discover/Steve-Slow-Train-Analysis-(2080s-and-2083s)?_g=(refreshInterval:(display:Off,pause:!f,section:0,value:0),time:(from:'2017-02-28T12:12:08-0700',mode:absolute,to:'2017-02-28T14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187" t="str">
        <f t="shared" si="51"/>
        <v>N</v>
      </c>
      <c r="X180" s="187">
        <f t="shared" si="63"/>
        <v>1</v>
      </c>
      <c r="Y180" s="62">
        <f t="shared" si="52"/>
        <v>9.3899999999999997E-2</v>
      </c>
      <c r="Z180" s="62">
        <f t="shared" si="53"/>
        <v>5.8930999999999996</v>
      </c>
      <c r="AA180" s="62">
        <f t="shared" si="54"/>
        <v>5.7991999999999999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5"/>
        <v>0821-28</v>
      </c>
      <c r="AE180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80" s="82" t="str">
        <f t="shared" si="57"/>
        <v>"C:\Program Files (x86)\AstroGrep\AstroGrep.exe" /spath="%USERPROFILE%\AppData\Local\Temp\OnboardLogs" /stypes="app*4053*20170228*" /stext=" 20:.+((SYSTEM_STATE.+slice.+state.+changed )|(ment ac)|(multiple cpu faults)|(system.+state.+changed )|(\[timeout)|(PRM\|1\|D)|(kpr)|(kdp)|(\|lc)|(penalty))" /e /r /s</v>
      </c>
      <c r="AG180" s="1" t="str">
        <f t="shared" si="58"/>
        <v>NW</v>
      </c>
      <c r="AH180" s="86" t="str">
        <f t="shared" si="59"/>
        <v>"%USERPROFILE%\Documents\GitHub\eaglep3\Utilities\RefineRTDCRunTimes.py" --tripid 821-28 --locoid 4053 --swversion DE.1.0.9.0 --startMP 204:939 --initTime 2017-02-28T13:12:08 --startdatetime 2017-02-28T13:21:16 --delay 2 --endMP 300:58931 --enddatetime 2017-02-28T13:34:48 --enforcementcount 1 &gt;&gt;C:\Users\stu\Documents\GitHub\eaglep3-reporting\EC\2017-02-28-refined-times.txt</v>
      </c>
      <c r="AI180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{"issue":{"subject":"","project_id":79,"tracker_id":40,"status_id":1,"priority_id":2,"assigned_to_id":23,"start_date":"2017-02-28","description":"","custom_fields":[{"id":1,"name":"Subdivision","value":"NW"},{"id":4,"name":"Milepost","value":"5.8931"},{"id":17,"name":"Train ID","value":"821-28"},{"id":16,"name":"Locomotive ID","value":"4053"},{"id":130,"name":"Impact","value":""},{"id":150,"name":"Time of Event (Mountain Time)","value":"13:34:48"},{"id":151,"name":"Denver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1"/>
        <v>start /low /b %USERPROFILE%\Documents\GitHub\eaglep3\Utilities\DownloadLogsFromS3.py --loco 4053 --day 2017-02-28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81" spans="1:40" x14ac:dyDescent="0.25">
      <c r="A181" s="33" t="s">
        <v>561</v>
      </c>
      <c r="B181" s="7">
        <v>4054</v>
      </c>
      <c r="C181" s="21" t="s">
        <v>274</v>
      </c>
      <c r="D181" s="21" t="s">
        <v>320</v>
      </c>
      <c r="E181" s="13">
        <v>42794.566874999997</v>
      </c>
      <c r="F181" s="13">
        <v>42794.568611111114</v>
      </c>
      <c r="G181" s="7">
        <v>1</v>
      </c>
      <c r="H181" s="21" t="s">
        <v>907</v>
      </c>
      <c r="I181" s="13">
        <v>42794.579502314817</v>
      </c>
      <c r="J181" s="7">
        <v>1</v>
      </c>
      <c r="K181" s="98" t="str">
        <f t="shared" si="47"/>
        <v>4053/4054</v>
      </c>
      <c r="L181" s="21" t="str">
        <f>VLOOKUP(A181,'Trips&amp;Operators'!$C$1:$G$99999,5,FALSE)</f>
        <v>LEVIN SCOTT</v>
      </c>
      <c r="M181" s="6">
        <f t="shared" si="48"/>
        <v>1.0891203703067731E-2</v>
      </c>
      <c r="N181" s="7">
        <f t="shared" si="64"/>
        <v>15.683333332417533</v>
      </c>
      <c r="O181" s="7"/>
      <c r="P181" s="7"/>
      <c r="Q181" s="22"/>
      <c r="R181" s="22"/>
      <c r="S181" s="31">
        <f t="shared" si="65"/>
        <v>1</v>
      </c>
      <c r="T181" s="46" t="str">
        <f t="shared" si="49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0"/>
        <v>https://d0f6bd738d7f1b3e5a7ca70fe4ff75f0.us-east-1.aws.found.io/app/kibana#/discover/Steve-Slow-Train-Analysis-(2080s-and-2083s)?_g=(refreshInterval:(display:Off,pause:!f,section:0,value:0),time:(from:'2017-02-28T12:36:18-0700',mode:absolute,to:'2017-02-28T14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187" t="str">
        <f t="shared" si="51"/>
        <v>N</v>
      </c>
      <c r="X181" s="187">
        <f t="shared" si="63"/>
        <v>1</v>
      </c>
      <c r="Y181" s="62">
        <f t="shared" si="52"/>
        <v>5.8619000000000003</v>
      </c>
      <c r="Z181" s="62">
        <f t="shared" si="53"/>
        <v>6.7100000000000007E-2</v>
      </c>
      <c r="AA181" s="62">
        <f t="shared" si="54"/>
        <v>5.7948000000000004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5"/>
        <v>0822-28</v>
      </c>
      <c r="AE181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81" s="82" t="str">
        <f t="shared" si="57"/>
        <v>"C:\Program Files (x86)\AstroGrep\AstroGrep.exe" /spath="%USERPROFILE%\AppData\Local\Temp\OnboardLogs" /stypes="app*4054*20170228*" /stext=" 20:.+((SYSTEM_STATE.+slice.+state.+changed )|(ment ac)|(multiple cpu faults)|(system.+state.+changed )|(\[timeout)|(PRM\|1\|D)|(kpr)|(kdp)|(\|lc)|(penalty))" /e /r /s</v>
      </c>
      <c r="AG181" s="1" t="str">
        <f t="shared" si="58"/>
        <v>NW</v>
      </c>
      <c r="AH181" s="86" t="str">
        <f t="shared" si="59"/>
        <v>"%USERPROFILE%\Documents\GitHub\eaglep3\Utilities\RefineRTDCRunTimes.py" --tripid 822-28 --locoid 4054 --swversion DE.1.0.9.0 --startMP 300:58619 --initTime 2017-02-28T13:36:18 --startdatetime 2017-02-28T13:38:48 --delay 1 --endMP 204:671 --enddatetime 2017-02-28T13:54:29 --enforcementcount 1 &gt;&gt;C:\Users\stu\Documents\GitHub\eaglep3-reporting\EC\2017-02-28-refined-times.txt</v>
      </c>
      <c r="AI181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{"issue":{"subject":"","project_id":79,"tracker_id":40,"status_id":1,"priority_id":2,"assigned_to_id":23,"start_date":"2017-02-28","description":"","custom_fields":[{"id":1,"name":"Subdivision","value":"NW"},{"id":4,"name":"Milepost","value":"0.0671"},{"id":17,"name":"Train ID","value":"822-28"},{"id":16,"name":"Locomotive ID","value":"4054"},{"id":130,"name":"Impact","value":""},{"id":150,"name":"Time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1"/>
        <v>start /low /b %USERPROFILE%\Documents\GitHub\eaglep3\Utilities\DownloadLogsFromS3.py --loco 4054 --day 2017-02-28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82" spans="1:40" x14ac:dyDescent="0.25">
      <c r="A182" s="33" t="s">
        <v>680</v>
      </c>
      <c r="B182" s="7">
        <v>4053</v>
      </c>
      <c r="C182" s="21" t="s">
        <v>274</v>
      </c>
      <c r="D182" s="21" t="s">
        <v>414</v>
      </c>
      <c r="E182" s="13">
        <v>42794.593391203707</v>
      </c>
      <c r="F182" s="13">
        <v>42794.598090277781</v>
      </c>
      <c r="G182" s="7">
        <v>1</v>
      </c>
      <c r="H182" s="21" t="s">
        <v>422</v>
      </c>
      <c r="I182" s="13">
        <v>42794.607037037036</v>
      </c>
      <c r="J182" s="7">
        <v>1</v>
      </c>
      <c r="K182" s="98" t="str">
        <f t="shared" si="47"/>
        <v>4053/4054</v>
      </c>
      <c r="L182" s="21" t="str">
        <f>VLOOKUP(A182,'Trips&amp;Operators'!$C$1:$G$99999,5,FALSE)</f>
        <v>LEVIN SCOTT</v>
      </c>
      <c r="M182" s="6">
        <f t="shared" si="48"/>
        <v>8.9467592551955022E-3</v>
      </c>
      <c r="N182" s="7">
        <f t="shared" si="64"/>
        <v>12.883333327481523</v>
      </c>
      <c r="O182" s="7"/>
      <c r="P182" s="7"/>
      <c r="Q182" s="22"/>
      <c r="R182" s="22"/>
      <c r="S182" s="31">
        <f t="shared" si="65"/>
        <v>1</v>
      </c>
      <c r="T182" s="46" t="str">
        <f t="shared" si="49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0"/>
        <v>https://d0f6bd738d7f1b3e5a7ca70fe4ff75f0.us-east-1.aws.found.io/app/kibana#/discover/Steve-Slow-Train-Analysis-(2080s-and-2083s)?_g=(refreshInterval:(display:Off,pause:!f,section:0,value:0),time:(from:'2017-02-28T13:14:29-0700',mode:absolute,to:'2017-02-28T15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2" s="187" t="str">
        <f t="shared" si="51"/>
        <v>N</v>
      </c>
      <c r="X182" s="187">
        <f t="shared" ref="X182:X213" si="66">VALUE(LEFT(AD182,4))-VALUE(LEFT(AD181,4))</f>
        <v>1</v>
      </c>
      <c r="Y182" s="62">
        <f t="shared" si="52"/>
        <v>9.3600000000000003E-2</v>
      </c>
      <c r="Z182" s="62">
        <f t="shared" si="53"/>
        <v>5.8971</v>
      </c>
      <c r="AA182" s="62">
        <f t="shared" si="54"/>
        <v>5.8034999999999997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5"/>
        <v>0823-28</v>
      </c>
      <c r="AE182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82" s="82" t="str">
        <f t="shared" si="57"/>
        <v>"C:\Program Files (x86)\AstroGrep\AstroGrep.exe" /spath="%USERPROFILE%\AppData\Local\Temp\OnboardLogs" /stypes="app*4053*20170228*" /stext=" 21:.+((SYSTEM_STATE.+slice.+state.+changed )|(ment ac)|(multiple cpu faults)|(system.+state.+changed )|(\[timeout)|(PRM\|1\|D)|(kpr)|(kdp)|(\|lc)|(penalty))" /e /r /s</v>
      </c>
      <c r="AG182" s="1" t="str">
        <f t="shared" si="58"/>
        <v>NW</v>
      </c>
      <c r="AH182" s="86" t="str">
        <f t="shared" si="59"/>
        <v>"%USERPROFILE%\Documents\GitHub\eaglep3\Utilities\RefineRTDCRunTimes.py" --tripid 823-28 --locoid 4053 --swversion DE.1.0.9.0 --startMP 204:936 --initTime 2017-02-28T14:14:29 --startdatetime 2017-02-28T14:21:15 --delay 1 --endMP 300:58971 --enddatetime 2017-02-28T14:34:08 --enforcementcount 1 &gt;&gt;C:\Users\stu\Documents\GitHub\eaglep3-reporting\EC\2017-02-28-refined-times.txt</v>
      </c>
      <c r="AI182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{"issue":{"subject":"","project_id":79,"tracker_id":40,"status_id":1,"priority_id":2,"assigned_to_id":23,"start_date":"2017-02-28","description":"","custom_fields":[{"id":1,"name":"Subdivision","value":"NW"},{"id":4,"name":"Milepost","value":"5.8971"},{"id":17,"name":"Train ID","value":"823-28"},{"id":16,"name":"Locomotive ID","value":"4053"},{"id":130,"name":"Impact","value":""},{"id":150,"name":"Time of Event (Mountain Time)","value":"14:34:08"},{"id":151,"name":"Denver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1"/>
        <v>start /low /b %USERPROFILE%\Documents\GitHub\eaglep3\Utilities\DownloadLogsFromS3.py --loco 4053 --day 2017-02-28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83" spans="1:40" x14ac:dyDescent="0.25">
      <c r="A183" s="33" t="s">
        <v>563</v>
      </c>
      <c r="B183" s="7">
        <v>4054</v>
      </c>
      <c r="C183" s="21" t="s">
        <v>274</v>
      </c>
      <c r="D183" s="21" t="s">
        <v>908</v>
      </c>
      <c r="E183" s="13">
        <v>42794.608217592591</v>
      </c>
      <c r="F183" s="13">
        <v>42794.61</v>
      </c>
      <c r="G183" s="7">
        <v>1</v>
      </c>
      <c r="H183" s="21" t="s">
        <v>907</v>
      </c>
      <c r="I183" s="13">
        <v>42794.621296296296</v>
      </c>
      <c r="J183" s="7">
        <v>1</v>
      </c>
      <c r="K183" s="98" t="str">
        <f t="shared" si="47"/>
        <v>4053/4054</v>
      </c>
      <c r="L183" s="21" t="str">
        <f>VLOOKUP(A183,'Trips&amp;Operators'!$C$1:$G$99999,5,FALSE)</f>
        <v>LEVIN SCOTT</v>
      </c>
      <c r="M183" s="6">
        <f t="shared" si="48"/>
        <v>1.1296296295768116E-2</v>
      </c>
      <c r="N183" s="7">
        <f t="shared" si="64"/>
        <v>16.266666665906087</v>
      </c>
      <c r="O183" s="7"/>
      <c r="P183" s="7"/>
      <c r="Q183" s="22"/>
      <c r="R183" s="22"/>
      <c r="S183" s="31">
        <f t="shared" si="65"/>
        <v>1</v>
      </c>
      <c r="T183" s="46" t="str">
        <f t="shared" si="49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0"/>
        <v>https://d0f6bd738d7f1b3e5a7ca70fe4ff75f0.us-east-1.aws.found.io/app/kibana#/discover/Steve-Slow-Train-Analysis-(2080s-and-2083s)?_g=(refreshInterval:(display:Off,pause:!f,section:0,value:0),time:(from:'2017-02-28T13:35:50-0700',mode:absolute,to:'2017-02-28T15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187" t="str">
        <f t="shared" si="51"/>
        <v>N</v>
      </c>
      <c r="X183" s="187">
        <f t="shared" si="66"/>
        <v>1</v>
      </c>
      <c r="Y183" s="62">
        <f t="shared" si="52"/>
        <v>5.8648999999999996</v>
      </c>
      <c r="Z183" s="62">
        <f t="shared" si="53"/>
        <v>6.7100000000000007E-2</v>
      </c>
      <c r="AA183" s="62">
        <f t="shared" si="54"/>
        <v>5.7977999999999996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5"/>
        <v>0824-28</v>
      </c>
      <c r="AE183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83" s="82" t="str">
        <f t="shared" si="57"/>
        <v>"C:\Program Files (x86)\AstroGrep\AstroGrep.exe" /spath="%USERPROFILE%\AppData\Local\Temp\OnboardLogs" /stypes="app*4054*20170228*" /stext=" 21:.+((SYSTEM_STATE.+slice.+state.+changed )|(ment ac)|(multiple cpu faults)|(system.+state.+changed )|(\[timeout)|(PRM\|1\|D)|(kpr)|(kdp)|(\|lc)|(penalty))" /e /r /s</v>
      </c>
      <c r="AG183" s="1" t="str">
        <f t="shared" si="58"/>
        <v>NW</v>
      </c>
      <c r="AH183" s="86" t="str">
        <f t="shared" si="59"/>
        <v>"%USERPROFILE%\Documents\GitHub\eaglep3\Utilities\RefineRTDCRunTimes.py" --tripid 824-28 --locoid 4054 --swversion DE.1.0.9.0 --startMP 300:58649 --initTime 2017-02-28T14:35:50 --startdatetime 2017-02-28T14:38:24 --delay 1 --endMP 204:671 --enddatetime 2017-02-28T14:54:40 --enforcementcount 1 &gt;&gt;C:\Users\stu\Documents\GitHub\eaglep3-reporting\EC\2017-02-28-refined-times.txt</v>
      </c>
      <c r="AI183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{"issue":{"subject":"","project_id":79,"tracker_id":40,"status_id":1,"priority_id":2,"assigned_to_id":23,"start_date":"2017-02-28","description":"","custom_fields":[{"id":1,"name":"Subdivision","value":"NW"},{"id":4,"name":"Milepost","value":"0.0671"},{"id":17,"name":"Train ID","value":"824-28"},{"id":16,"name":"Locomotive ID","value":"4054"},{"id":130,"name":"Impact","value":""},{"id":150,"name":"Time of Event (Mountain Time)","value":"14:54:40"},{"id":151,"name":"Denver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1"/>
        <v>start /low /b %USERPROFILE%\Documents\GitHub\eaglep3\Utilities\DownloadLogsFromS3.py --loco 4054 --day 2017-02-28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84" spans="1:40" x14ac:dyDescent="0.25">
      <c r="A184" s="33" t="s">
        <v>690</v>
      </c>
      <c r="B184" s="7">
        <v>4053</v>
      </c>
      <c r="C184" s="21" t="s">
        <v>274</v>
      </c>
      <c r="D184" s="21" t="s">
        <v>418</v>
      </c>
      <c r="E184" s="13">
        <v>42794.636689814812</v>
      </c>
      <c r="F184" s="13">
        <v>42794.639756944445</v>
      </c>
      <c r="G184" s="7">
        <v>1</v>
      </c>
      <c r="H184" s="21" t="s">
        <v>348</v>
      </c>
      <c r="I184" s="13">
        <v>42794.6484837963</v>
      </c>
      <c r="J184" s="7">
        <v>1</v>
      </c>
      <c r="K184" s="98" t="str">
        <f t="shared" si="47"/>
        <v>4053/4054</v>
      </c>
      <c r="L184" s="21" t="str">
        <f>VLOOKUP(A184,'Trips&amp;Operators'!$C$1:$G$99999,5,FALSE)</f>
        <v>LEVIN SCOTT</v>
      </c>
      <c r="M184" s="6">
        <f t="shared" si="48"/>
        <v>8.7268518545897678E-3</v>
      </c>
      <c r="N184" s="7">
        <f t="shared" si="64"/>
        <v>12.566666670609266</v>
      </c>
      <c r="O184" s="7"/>
      <c r="P184" s="7"/>
      <c r="Q184" s="22"/>
      <c r="R184" s="22"/>
      <c r="S184" s="31">
        <f t="shared" si="65"/>
        <v>1</v>
      </c>
      <c r="T184" s="46" t="str">
        <f t="shared" si="49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0"/>
        <v>https://d0f6bd738d7f1b3e5a7ca70fe4ff75f0.us-east-1.aws.found.io/app/kibana#/discover/Steve-Slow-Train-Analysis-(2080s-and-2083s)?_g=(refreshInterval:(display:Off,pause:!f,section:0,value:0),time:(from:'2017-02-28T14:16:50-0700',mode:absolute,to:'2017-02-28T16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187" t="str">
        <f t="shared" si="51"/>
        <v>N</v>
      </c>
      <c r="X184" s="187">
        <f t="shared" si="66"/>
        <v>1</v>
      </c>
      <c r="Y184" s="62">
        <f t="shared" si="52"/>
        <v>9.5699999999999993E-2</v>
      </c>
      <c r="Z184" s="62">
        <f t="shared" si="53"/>
        <v>5.8928000000000003</v>
      </c>
      <c r="AA184" s="62">
        <f t="shared" si="54"/>
        <v>5.7971000000000004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5"/>
        <v>0825-28</v>
      </c>
      <c r="AE184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84" s="82" t="str">
        <f t="shared" si="57"/>
        <v>"C:\Program Files (x86)\AstroGrep\AstroGrep.exe" /spath="%USERPROFILE%\AppData\Local\Temp\OnboardLogs" /stypes="app*4053*20170228*" /stext=" 22:.+((SYSTEM_STATE.+slice.+state.+changed )|(ment ac)|(multiple cpu faults)|(system.+state.+changed )|(\[timeout)|(PRM\|1\|D)|(kpr)|(kdp)|(\|lc)|(penalty))" /e /r /s</v>
      </c>
      <c r="AG184" s="1" t="str">
        <f t="shared" si="58"/>
        <v>NW</v>
      </c>
      <c r="AH184" s="86" t="str">
        <f t="shared" si="59"/>
        <v>"%USERPROFILE%\Documents\GitHub\eaglep3\Utilities\RefineRTDCRunTimes.py" --tripid 825-28 --locoid 4053 --swversion DE.1.0.9.0 --startMP 204:957 --initTime 2017-02-28T15:16:50 --startdatetime 2017-02-28T15:21:15 --delay 1 --endMP 300:58928 --enddatetime 2017-02-28T15:33:49 --enforcementcount 1 &gt;&gt;C:\Users\stu\Documents\GitHub\eaglep3-reporting\EC\2017-02-28-refined-times.txt</v>
      </c>
      <c r="AI184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{"issue":{"subject":"","project_id":79,"tracker_id":40,"status_id":1,"priority_id":2,"assigned_to_id":23,"start_date":"2017-02-28","description":"","custom_fields":[{"id":1,"name":"Subdivision","value":"NW"},{"id":4,"name":"Milepost","value":"5.8928"},{"id":17,"name":"Train ID","value":"825-28"},{"id":16,"name":"Locomotive ID","value":"4053"},{"id":130,"name":"Impact","value":""},{"id":150,"name":"Time of Event (Mountain Time)","value":"15:33:49"},{"id":151,"name":"Denver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1"/>
        <v>start /low /b %USERPROFILE%\Documents\GitHub\eaglep3\Utilities\DownloadLogsFromS3.py --loco 4053 --day 2017-02-28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85" spans="1:40" x14ac:dyDescent="0.25">
      <c r="A185" s="33" t="s">
        <v>693</v>
      </c>
      <c r="B185" s="7">
        <v>4054</v>
      </c>
      <c r="C185" s="21" t="s">
        <v>274</v>
      </c>
      <c r="D185" s="21" t="s">
        <v>320</v>
      </c>
      <c r="E185" s="13">
        <v>42794.650034722225</v>
      </c>
      <c r="F185" s="13">
        <v>42794.651307870372</v>
      </c>
      <c r="G185" s="7">
        <v>0</v>
      </c>
      <c r="H185" s="21" t="s">
        <v>423</v>
      </c>
      <c r="I185" s="13">
        <v>42794.663229166668</v>
      </c>
      <c r="J185" s="7">
        <v>1</v>
      </c>
      <c r="K185" s="98" t="str">
        <f t="shared" si="47"/>
        <v>4053/4054</v>
      </c>
      <c r="L185" s="21" t="str">
        <f>VLOOKUP(A185,'Trips&amp;Operators'!$C$1:$G$99999,5,FALSE)</f>
        <v>LEVIN SCOTT</v>
      </c>
      <c r="M185" s="6">
        <f t="shared" si="48"/>
        <v>1.1921296296350192E-2</v>
      </c>
      <c r="N185" s="7">
        <f t="shared" si="64"/>
        <v>17.166666666744277</v>
      </c>
      <c r="O185" s="7"/>
      <c r="P185" s="7"/>
      <c r="Q185" s="22"/>
      <c r="R185" s="22"/>
      <c r="S185" s="31">
        <f t="shared" si="65"/>
        <v>1</v>
      </c>
      <c r="T185" s="46" t="str">
        <f t="shared" si="49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0"/>
        <v>https://d0f6bd738d7f1b3e5a7ca70fe4ff75f0.us-east-1.aws.found.io/app/kibana#/discover/Steve-Slow-Train-Analysis-(2080s-and-2083s)?_g=(refreshInterval:(display:Off,pause:!f,section:0,value:0),time:(from:'2017-02-28T14:36:03-0700',mode:absolute,to:'2017-02-28T16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5" s="187" t="str">
        <f t="shared" si="51"/>
        <v>N</v>
      </c>
      <c r="X185" s="187">
        <f t="shared" si="66"/>
        <v>1</v>
      </c>
      <c r="Y185" s="62">
        <f t="shared" si="52"/>
        <v>5.8619000000000003</v>
      </c>
      <c r="Z185" s="62">
        <f t="shared" si="53"/>
        <v>6.3799999999999996E-2</v>
      </c>
      <c r="AA185" s="62">
        <f t="shared" si="54"/>
        <v>5.7981000000000007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5"/>
        <v>0826-28</v>
      </c>
      <c r="AE185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85" s="82" t="str">
        <f t="shared" si="57"/>
        <v>"C:\Program Files (x86)\AstroGrep\AstroGrep.exe" /spath="%USERPROFILE%\AppData\Local\Temp\OnboardLogs" /stypes="app*4054*20170228*" /stext=" 22:.+((SYSTEM_STATE.+slice.+state.+changed )|(ment ac)|(multiple cpu faults)|(system.+state.+changed )|(\[timeout)|(PRM\|1\|D)|(kpr)|(kdp)|(\|lc)|(penalty))" /e /r /s</v>
      </c>
      <c r="AG185" s="1" t="str">
        <f t="shared" si="58"/>
        <v>NW</v>
      </c>
      <c r="AH185" s="86" t="str">
        <f t="shared" si="59"/>
        <v>"%USERPROFILE%\Documents\GitHub\eaglep3\Utilities\RefineRTDCRunTimes.py" --tripid 826-28 --locoid 4054 --swversion DE.1.0.9.0 --startMP 300:58619 --initTime 2017-02-28T15:36:03 --startdatetime 2017-02-28T15:37:53 --delay 0 --endMP 204:638 --enddatetime 2017-02-28T15:55:03 --enforcementcount 1 &gt;&gt;C:\Users\stu\Documents\GitHub\eaglep3-reporting\EC\2017-02-28-refined-times.txt</v>
      </c>
      <c r="AI185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{"issue":{"subject":"","project_id":79,"tracker_id":40,"status_id":1,"priority_id":2,"assigned_to_id":23,"start_date":"2017-02-28","description":"","custom_fields":[{"id":1,"name":"Subdivision","value":"NW"},{"id":4,"name":"Milepost","value":"0.0638"},{"id":17,"name":"Train ID","value":"826-28"},{"id":16,"name":"Locomotive ID","value":"4054"},{"id":130,"name":"Impact","value":""},{"id":150,"name":"Time of Event (Mountain Time)","value":"15:55:03"},{"id":151,"name":"Denver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1"/>
        <v>start /low /b %USERPROFILE%\Documents\GitHub\eaglep3\Utilities\DownloadLogsFromS3.py --loco 4054 --day 2017-02-28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86" spans="1:40" x14ac:dyDescent="0.25">
      <c r="A186" s="33" t="s">
        <v>694</v>
      </c>
      <c r="B186" s="7">
        <v>4016</v>
      </c>
      <c r="C186" s="21" t="s">
        <v>274</v>
      </c>
      <c r="D186" s="21" t="s">
        <v>909</v>
      </c>
      <c r="E186" s="13">
        <v>42794.649907407409</v>
      </c>
      <c r="F186" s="13">
        <v>42794.660590277781</v>
      </c>
      <c r="G186" s="7">
        <v>1</v>
      </c>
      <c r="H186" s="21" t="s">
        <v>910</v>
      </c>
      <c r="I186" s="13">
        <v>42794.670138888891</v>
      </c>
      <c r="J186" s="7">
        <v>1</v>
      </c>
      <c r="K186" s="98" t="str">
        <f t="shared" si="47"/>
        <v>4015/4016</v>
      </c>
      <c r="L186" s="21" t="str">
        <f>VLOOKUP(A186,'Trips&amp;Operators'!$C$1:$G$99999,5,FALSE)</f>
        <v>LALONDE GREGORY</v>
      </c>
      <c r="M186" s="6">
        <f t="shared" si="48"/>
        <v>9.5486111094942316E-3</v>
      </c>
      <c r="N186" s="7">
        <f t="shared" si="64"/>
        <v>13.749999997671694</v>
      </c>
      <c r="O186" s="7"/>
      <c r="P186" s="7"/>
      <c r="Q186" s="22"/>
      <c r="R186" s="22"/>
      <c r="S186" s="31">
        <f t="shared" si="65"/>
        <v>1</v>
      </c>
      <c r="T186" s="46" t="str">
        <f t="shared" si="49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0"/>
        <v>https://d0f6bd738d7f1b3e5a7ca70fe4ff75f0.us-east-1.aws.found.io/app/kibana#/discover/Steve-Slow-Train-Analysis-(2080s-and-2083s)?_g=(refreshInterval:(display:Off,pause:!f,section:0,value:0),time:(from:'2017-02-28T14:35:52-0700',mode:absolute,to:'2017-02-28T17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187" t="str">
        <f t="shared" si="51"/>
        <v>N</v>
      </c>
      <c r="X186" s="187">
        <f t="shared" si="66"/>
        <v>1</v>
      </c>
      <c r="Y186" s="62">
        <f t="shared" si="52"/>
        <v>9.6199999999999994E-2</v>
      </c>
      <c r="Z186" s="62">
        <f t="shared" si="53"/>
        <v>5.8986000000000001</v>
      </c>
      <c r="AA186" s="62">
        <f t="shared" si="54"/>
        <v>5.8024000000000004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5"/>
        <v>0827-28</v>
      </c>
      <c r="AE186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86" s="82" t="str">
        <f t="shared" si="57"/>
        <v>"C:\Program Files (x86)\AstroGrep\AstroGrep.exe" /spath="%USERPROFILE%\AppData\Local\Temp\OnboardLogs" /stypes="app*4016*20170228*" /stext=" 23:.+((SYSTEM_STATE.+slice.+state.+changed )|(ment ac)|(multiple cpu faults)|(system.+state.+changed )|(\[timeout)|(PRM\|1\|D)|(kpr)|(kdp)|(\|lc)|(penalty))" /e /r /s</v>
      </c>
      <c r="AG186" s="1" t="str">
        <f t="shared" si="58"/>
        <v>NW</v>
      </c>
      <c r="AH186" s="86" t="str">
        <f t="shared" si="59"/>
        <v>"%USERPROFILE%\Documents\GitHub\eaglep3\Utilities\RefineRTDCRunTimes.py" --tripid 827-28 --locoid 4016 --swversion DE.1.0.9.0 --startMP 204:962 --initTime 2017-02-28T15:35:52 --startdatetime 2017-02-28T15:51:15 --delay 1 --endMP 300:58986 --enddatetime 2017-02-28T16:05:00 --enforcementcount 1 &gt;&gt;C:\Users\stu\Documents\GitHub\eaglep3-reporting\EC\2017-02-28-refined-times.txt</v>
      </c>
      <c r="AI186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{"issue":{"subject":"","project_id":79,"tracker_id":40,"status_id":1,"priority_id":2,"assigned_to_id":23,"start_date":"2017-02-28","description":"","custom_fields":[{"id":1,"name":"Subdivision","value":"NW"},{"id":4,"name":"Milepost","value":"5.8986"},{"id":17,"name":"Train ID","value":"827-28"},{"id":16,"name":"Locomotive ID","value":"4016"},{"id":130,"name":"Impact","value":""},{"id":150,"name":"Time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1"/>
        <v>start /low /b %USERPROFILE%\Documents\GitHub\eaglep3\Utilities\DownloadLogsFromS3.py --loco 4016 --day 2017-02-28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"%USERPROFILE%\AppData\Local\Temp\OnboardLogs"\RTDC4016\*4016*20170228* | grep -SE "(Enforcement Action)|(\[TIMEOUT)|(CHR.+\|PRM\|1\|D.+(SWITCH|SIGNAL).+UNKNOWN)" - &gt;&gt; 2017-02-28-UncaughtWiMAX.txt</v>
      </c>
    </row>
    <row r="187" spans="1:40" x14ac:dyDescent="0.25">
      <c r="A187" s="33" t="s">
        <v>699</v>
      </c>
      <c r="B187" s="7">
        <v>4015</v>
      </c>
      <c r="C187" s="21" t="s">
        <v>274</v>
      </c>
      <c r="D187" s="21" t="s">
        <v>911</v>
      </c>
      <c r="E187" s="13">
        <v>42794.671331018515</v>
      </c>
      <c r="F187" s="13">
        <v>42794.672708333332</v>
      </c>
      <c r="G187" s="7">
        <v>1</v>
      </c>
      <c r="H187" s="21" t="s">
        <v>912</v>
      </c>
      <c r="I187" s="13">
        <v>42794.68409722222</v>
      </c>
      <c r="J187" s="7">
        <v>1</v>
      </c>
      <c r="K187" s="98" t="str">
        <f t="shared" si="47"/>
        <v>4015/4016</v>
      </c>
      <c r="L187" s="21" t="str">
        <f>VLOOKUP(A187,'Trips&amp;Operators'!$C$1:$G$99999,5,FALSE)</f>
        <v>LALONDE GREGORY</v>
      </c>
      <c r="M187" s="6">
        <f t="shared" si="48"/>
        <v>1.1388888888177462E-2</v>
      </c>
      <c r="N187" s="7">
        <f t="shared" si="64"/>
        <v>16.399999998975545</v>
      </c>
      <c r="O187" s="7"/>
      <c r="P187" s="7"/>
      <c r="Q187" s="22"/>
      <c r="R187" s="22"/>
      <c r="S187" s="31">
        <f t="shared" si="65"/>
        <v>1</v>
      </c>
      <c r="T187" s="46" t="str">
        <f t="shared" si="49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0"/>
        <v>https://d0f6bd738d7f1b3e5a7ca70fe4ff75f0.us-east-1.aws.found.io/app/kibana#/discover/Steve-Slow-Train-Analysis-(2080s-and-2083s)?_g=(refreshInterval:(display:Off,pause:!f,section:0,value:0),time:(from:'2017-02-28T15:06:43-0700',mode:absolute,to:'2017-02-28T17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187" t="str">
        <f t="shared" si="51"/>
        <v>N</v>
      </c>
      <c r="X187" s="187">
        <f t="shared" si="66"/>
        <v>1</v>
      </c>
      <c r="Y187" s="62">
        <f t="shared" si="52"/>
        <v>5.8667999999999996</v>
      </c>
      <c r="Z187" s="62">
        <f t="shared" si="53"/>
        <v>6.8199999999999997E-2</v>
      </c>
      <c r="AA187" s="62">
        <f t="shared" si="54"/>
        <v>5.7985999999999995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5"/>
        <v>0828-28</v>
      </c>
      <c r="AE187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87" s="82" t="str">
        <f t="shared" si="57"/>
        <v>"C:\Program Files (x86)\AstroGrep\AstroGrep.exe" /spath="%USERPROFILE%\AppData\Local\Temp\OnboardLogs" /stypes="app*4015*20170228*" /stext=" 23:.+((SYSTEM_STATE.+slice.+state.+changed )|(ment ac)|(multiple cpu faults)|(system.+state.+changed )|(\[timeout)|(PRM\|1\|D)|(kpr)|(kdp)|(\|lc)|(penalty))" /e /r /s</v>
      </c>
      <c r="AG187" s="1" t="str">
        <f t="shared" si="58"/>
        <v>NW</v>
      </c>
      <c r="AH187" s="86" t="str">
        <f t="shared" si="59"/>
        <v>"%USERPROFILE%\Documents\GitHub\eaglep3\Utilities\RefineRTDCRunTimes.py" --tripid 828-28 --locoid 4015 --swversion DE.1.0.9.0 --startMP 300:58668 --initTime 2017-02-28T16:06:43 --startdatetime 2017-02-28T16:08:42 --delay 1 --endMP 204:682 --enddatetime 2017-02-28T16:25:06 --enforcementcount 1 &gt;&gt;C:\Users\stu\Documents\GitHub\eaglep3-reporting\EC\2017-02-28-refined-times.txt</v>
      </c>
      <c r="AI187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{"issue":{"subject":"","project_id":79,"tracker_id":40,"status_id":1,"priority_id":2,"assigned_to_id":23,"start_date":"2017-02-28","description":"","custom_fields":[{"id":1,"name":"Subdivision","value":"NW"},{"id":4,"name":"Milepost","value":"0.0682"},{"id":17,"name":"Train ID","value":"828-28"},{"id":16,"name":"Locomotive ID","value":"4015"},{"id":130,"name":"Impact","value":""},{"id":150,"name":"Time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1"/>
        <v>start /low /b %USERPROFILE%\Documents\GitHub\eaglep3\Utilities\DownloadLogsFromS3.py --loco 4015 --day 2017-02-28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"%USERPROFILE%\AppData\Local\Temp\OnboardLogs"\RTDC4015\*4015*20170228* | grep -SE "(Enforcement Action)|(\[TIMEOUT)|(CHR.+\|PRM\|1\|D.+(SWITCH|SIGNAL).+UNKNOWN)" - &gt;&gt; 2017-02-28-UncaughtWiMAX.txt</v>
      </c>
    </row>
    <row r="188" spans="1:40" x14ac:dyDescent="0.25">
      <c r="A188" s="33" t="s">
        <v>702</v>
      </c>
      <c r="B188" s="7">
        <v>4053</v>
      </c>
      <c r="C188" s="21" t="s">
        <v>274</v>
      </c>
      <c r="D188" s="21" t="s">
        <v>425</v>
      </c>
      <c r="E188" s="13">
        <v>42794.677199074074</v>
      </c>
      <c r="F188" s="13">
        <v>42794.681435185186</v>
      </c>
      <c r="G188" s="7">
        <v>1</v>
      </c>
      <c r="H188" s="21" t="s">
        <v>913</v>
      </c>
      <c r="I188" s="13">
        <v>42794.690312500003</v>
      </c>
      <c r="J188" s="7">
        <v>1</v>
      </c>
      <c r="K188" s="98" t="str">
        <f t="shared" si="47"/>
        <v>4053/4054</v>
      </c>
      <c r="L188" s="21" t="str">
        <f>VLOOKUP(A188,'Trips&amp;Operators'!$C$1:$G$99999,5,FALSE)</f>
        <v>LEVIN SCOTT</v>
      </c>
      <c r="M188" s="6">
        <f t="shared" si="48"/>
        <v>8.8773148163454607E-3</v>
      </c>
      <c r="N188" s="7">
        <f t="shared" si="64"/>
        <v>12.783333335537463</v>
      </c>
      <c r="O188" s="7"/>
      <c r="P188" s="7"/>
      <c r="Q188" s="22"/>
      <c r="R188" s="22"/>
      <c r="S188" s="31">
        <f t="shared" si="65"/>
        <v>1</v>
      </c>
      <c r="T188" s="46" t="str">
        <f t="shared" si="49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0"/>
        <v>https://d0f6bd738d7f1b3e5a7ca70fe4ff75f0.us-east-1.aws.found.io/app/kibana#/discover/Steve-Slow-Train-Analysis-(2080s-and-2083s)?_g=(refreshInterval:(display:Off,pause:!f,section:0,value:0),time:(from:'2017-02-28T15:15:10-0700',mode:absolute,to:'2017-02-28T17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187" t="str">
        <f t="shared" si="51"/>
        <v>N</v>
      </c>
      <c r="X188" s="187">
        <f t="shared" si="66"/>
        <v>1</v>
      </c>
      <c r="Y188" s="62">
        <f t="shared" si="52"/>
        <v>9.4799999999999995E-2</v>
      </c>
      <c r="Z188" s="62">
        <f t="shared" si="53"/>
        <v>5.8936999999999999</v>
      </c>
      <c r="AA188" s="62">
        <f t="shared" si="54"/>
        <v>5.7988999999999997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5"/>
        <v>0829-28</v>
      </c>
      <c r="AE188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88" s="82" t="str">
        <f t="shared" si="57"/>
        <v>"C:\Program Files (x86)\AstroGrep\AstroGrep.exe" /spath="%USERPROFILE%\AppData\Local\Temp\OnboardLogs" /stypes="app*4053*20170228*" /stext=" 23:.+((SYSTEM_STATE.+slice.+state.+changed )|(ment ac)|(multiple cpu faults)|(system.+state.+changed )|(\[timeout)|(PRM\|1\|D)|(kpr)|(kdp)|(\|lc)|(penalty))" /e /r /s</v>
      </c>
      <c r="AG188" s="1" t="str">
        <f t="shared" si="58"/>
        <v>NW</v>
      </c>
      <c r="AH188" s="86" t="str">
        <f t="shared" si="59"/>
        <v>"%USERPROFILE%\Documents\GitHub\eaglep3\Utilities\RefineRTDCRunTimes.py" --tripid 829-28 --locoid 4053 --swversion DE.1.0.9.0 --startMP 204:948 --initTime 2017-02-28T16:15:10 --startdatetime 2017-02-28T16:21:16 --delay 1 --endMP 300:58937 --enddatetime 2017-02-28T16:34:03 --enforcementcount 1 &gt;&gt;C:\Users\stu\Documents\GitHub\eaglep3-reporting\EC\2017-02-28-refined-times.txt</v>
      </c>
      <c r="AI188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{"issue":{"subject":"","project_id":79,"tracker_id":40,"status_id":1,"priority_id":2,"assigned_to_id":23,"start_date":"2017-02-28","description":"","custom_fields":[{"id":1,"name":"Subdivision","value":"NW"},{"id":4,"name":"Milepost","value":"5.8937"},{"id":17,"name":"Train ID","value":"829-28"},{"id":16,"name":"Locomotive ID","value":"4053"},{"id":130,"name":"Impact","value":""},{"id":150,"name":"Time of Event (Mountain Time)","value":"16:34:03"},{"id":151,"name":"Denver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1"/>
        <v>start /low /b %USERPROFILE%\Documents\GitHub\eaglep3\Utilities\DownloadLogsFromS3.py --loco 4053 --day 2017-02-28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"%USERPROFILE%\AppData\Local\Temp\OnboardLogs"\RTDC4053\*4053*20170228* | grep -SE "(Enforcement Action)|(\[TIMEOUT)|(CHR.+\|PRM\|1\|D.+(SWITCH|SIGNAL).+UNKNOWN)" - &gt;&gt; 2017-02-28-UncaughtWiMAX.txt</v>
      </c>
    </row>
    <row r="189" spans="1:40" x14ac:dyDescent="0.25">
      <c r="A189" s="33" t="s">
        <v>705</v>
      </c>
      <c r="B189" s="7">
        <v>4054</v>
      </c>
      <c r="C189" s="21" t="s">
        <v>274</v>
      </c>
      <c r="D189" s="21" t="s">
        <v>349</v>
      </c>
      <c r="E189" s="13">
        <v>42794.691296296296</v>
      </c>
      <c r="F189" s="13">
        <v>42794.692986111113</v>
      </c>
      <c r="G189" s="7">
        <v>1</v>
      </c>
      <c r="H189" s="21" t="s">
        <v>430</v>
      </c>
      <c r="I189" s="13">
        <v>42794.704918981479</v>
      </c>
      <c r="J189" s="7">
        <v>1</v>
      </c>
      <c r="K189" s="98" t="str">
        <f t="shared" si="47"/>
        <v>4053/4054</v>
      </c>
      <c r="L189" s="21" t="str">
        <f>VLOOKUP(A189,'Trips&amp;Operators'!$C$1:$G$99999,5,FALSE)</f>
        <v>LEVIN SCOTT</v>
      </c>
      <c r="M189" s="6">
        <f t="shared" si="48"/>
        <v>1.1932870365853887E-2</v>
      </c>
      <c r="N189" s="7">
        <f t="shared" si="64"/>
        <v>17.183333326829597</v>
      </c>
      <c r="O189" s="7"/>
      <c r="P189" s="7"/>
      <c r="Q189" s="22"/>
      <c r="R189" s="22"/>
      <c r="S189" s="31">
        <f t="shared" si="65"/>
        <v>1</v>
      </c>
      <c r="T189" s="46" t="str">
        <f t="shared" si="49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0"/>
        <v>https://d0f6bd738d7f1b3e5a7ca70fe4ff75f0.us-east-1.aws.found.io/app/kibana#/discover/Steve-Slow-Train-Analysis-(2080s-and-2083s)?_g=(refreshInterval:(display:Off,pause:!f,section:0,value:0),time:(from:'2017-02-28T15:35:28-0700',mode:absolute,to:'2017-02-28T17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9" s="187" t="str">
        <f t="shared" si="51"/>
        <v>N</v>
      </c>
      <c r="X189" s="187">
        <f t="shared" si="66"/>
        <v>1</v>
      </c>
      <c r="Y189" s="62">
        <f t="shared" si="52"/>
        <v>5.8623000000000003</v>
      </c>
      <c r="Z189" s="62">
        <f t="shared" si="53"/>
        <v>6.4500000000000002E-2</v>
      </c>
      <c r="AA189" s="62">
        <f t="shared" si="54"/>
        <v>5.7978000000000005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5"/>
        <v>0830-28</v>
      </c>
      <c r="AE189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89" s="82" t="str">
        <f t="shared" si="57"/>
        <v>"C:\Program Files (x86)\AstroGrep\AstroGrep.exe" /spath="%USERPROFILE%\AppData\Local\Temp\OnboardLogs" /stypes="app*4054*20170228*" /stext=" 23:.+((SYSTEM_STATE.+slice.+state.+changed )|(ment ac)|(multiple cpu faults)|(system.+state.+changed )|(\[timeout)|(PRM\|1\|D)|(kpr)|(kdp)|(\|lc)|(penalty))" /e /r /s</v>
      </c>
      <c r="AG189" s="1" t="str">
        <f t="shared" si="58"/>
        <v>NW</v>
      </c>
      <c r="AH189" s="86" t="str">
        <f t="shared" si="59"/>
        <v>"%USERPROFILE%\Documents\GitHub\eaglep3\Utilities\RefineRTDCRunTimes.py" --tripid 830-28 --locoid 4054 --swversion DE.1.0.9.0 --startMP 300:58623 --initTime 2017-02-28T16:35:28 --startdatetime 2017-02-28T16:37:54 --delay 1 --endMP 204:645 --enddatetime 2017-02-28T16:55:05 --enforcementcount 1 &gt;&gt;C:\Users\stu\Documents\GitHub\eaglep3-reporting\EC\2017-02-28-refined-times.txt</v>
      </c>
      <c r="AI189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{"issue":{"subject":"","project_id":79,"tracker_id":40,"status_id":1,"priority_id":2,"assigned_to_id":23,"start_date":"2017-02-28","description":"","custom_fields":[{"id":1,"name":"Subdivision","value":"NW"},{"id":4,"name":"Milepost","value":"0.0645"},{"id":17,"name":"Train ID","value":"830-28"},{"id":16,"name":"Locomotive ID","value":"4054"},{"id":130,"name":"Impact","value":""},{"id":150,"name":"Time of Event (Mountain Time)","value":"16:55:05"},{"id":151,"name":"Denver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1"/>
        <v>start /low /b %USERPROFILE%\Documents\GitHub\eaglep3\Utilities\DownloadLogsFromS3.py --loco 4054 --day 2017-02-28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190" spans="1:40" x14ac:dyDescent="0.25">
      <c r="A190" s="33" t="s">
        <v>703</v>
      </c>
      <c r="B190" s="7">
        <v>4016</v>
      </c>
      <c r="C190" s="21" t="s">
        <v>274</v>
      </c>
      <c r="D190" s="21" t="s">
        <v>909</v>
      </c>
      <c r="E190" s="13">
        <v>42794.685937499999</v>
      </c>
      <c r="F190" s="13">
        <v>42794.702314814815</v>
      </c>
      <c r="G190" s="7">
        <v>1</v>
      </c>
      <c r="H190" s="21" t="s">
        <v>901</v>
      </c>
      <c r="I190" s="13">
        <v>42794.712060185186</v>
      </c>
      <c r="J190" s="7">
        <v>1</v>
      </c>
      <c r="K190" s="98" t="str">
        <f t="shared" si="47"/>
        <v>4015/4016</v>
      </c>
      <c r="L190" s="21" t="str">
        <f>VLOOKUP(A190,'Trips&amp;Operators'!$C$1:$G$99999,5,FALSE)</f>
        <v>LALONDE GREGORY</v>
      </c>
      <c r="M190" s="6">
        <f t="shared" si="48"/>
        <v>9.7453703710925765E-3</v>
      </c>
      <c r="N190" s="7">
        <f t="shared" si="64"/>
        <v>14.03333333437331</v>
      </c>
      <c r="O190" s="7"/>
      <c r="P190" s="7"/>
      <c r="Q190" s="22"/>
      <c r="R190" s="22"/>
      <c r="S190" s="31">
        <f t="shared" si="65"/>
        <v>1</v>
      </c>
      <c r="T190" s="46" t="str">
        <f t="shared" si="49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0"/>
        <v>https://d0f6bd738d7f1b3e5a7ca70fe4ff75f0.us-east-1.aws.found.io/app/kibana#/discover/Steve-Slow-Train-Analysis-(2080s-and-2083s)?_g=(refreshInterval:(display:Off,pause:!f,section:0,value:0),time:(from:'2017-02-28T15:27:45-0700',mode:absolute,to:'2017-02-28T18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187" t="str">
        <f t="shared" si="51"/>
        <v>N</v>
      </c>
      <c r="X190" s="187">
        <f t="shared" si="66"/>
        <v>1</v>
      </c>
      <c r="Y190" s="62">
        <f t="shared" si="52"/>
        <v>9.6199999999999994E-2</v>
      </c>
      <c r="Z190" s="62">
        <f t="shared" si="53"/>
        <v>5.8979999999999997</v>
      </c>
      <c r="AA190" s="62">
        <f t="shared" si="54"/>
        <v>5.8018000000000001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5"/>
        <v>0831-28</v>
      </c>
      <c r="AE190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90" s="82" t="str">
        <f t="shared" si="57"/>
        <v>"C:\Program Files (x86)\AstroGrep\AstroGrep.exe" /spath="%USERPROFILE%\AppData\Local\Temp\OnboardLogs" /stypes="app*4016*20170301*" /stext=" 00:.+((SYSTEM_STATE.+slice.+state.+changed )|(ment ac)|(multiple cpu faults)|(system.+state.+changed )|(\[timeout)|(PRM\|1\|D)|(kpr)|(kdp)|(\|lc)|(penalty))" /e /r /s</v>
      </c>
      <c r="AG190" s="1" t="str">
        <f t="shared" si="58"/>
        <v>NW</v>
      </c>
      <c r="AH190" s="86" t="str">
        <f t="shared" si="59"/>
        <v>"%USERPROFILE%\Documents\GitHub\eaglep3\Utilities\RefineRTDCRunTimes.py" --tripid 831-28 --locoid 4016 --swversion DE.1.0.9.0 --startMP 204:962 --initTime 2017-02-28T16:27:45 --startdatetime 2017-02-28T16:51:20 --delay 1 --endMP 300:58980 --enddatetime 2017-02-28T17:05:22 --enforcementcount 1 &gt;&gt;C:\Users\stu\Documents\GitHub\eaglep3-reporting\EC\2017-02-28-refined-times.txt</v>
      </c>
      <c r="AI190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{"issue":{"subject":"","project_id":79,"tracker_id":40,"status_id":1,"priority_id":2,"assigned_to_id":23,"start_date":"2017-02-28","description":"","custom_fields":[{"id":1,"name":"Subdivision","value":"NW"},{"id":4,"name":"Milepost","value":"5.898"},{"id":17,"name":"Train ID","value":"831-28"},{"id":16,"name":"Locomotive ID","value":"4016"},{"id":130,"name":"Impact","value":""},{"id":150,"name":"Time of Event (Mountain Time)","value":"17:05:22"},{"id":151,"name":"Denver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1"/>
        <v>start /low /b %USERPROFILE%\Documents\GitHub\eaglep3\Utilities\DownloadLogsFromS3.py --loco 4016 --day 2017-02-28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"%USERPROFILE%\AppData\Local\Temp\OnboardLogs"\RTDC4016\*4016*20170228* | grep -SE "(Enforcement Action)|(\[TIMEOUT)|(CHR.+\|PRM\|1\|D.+(SWITCH|SIGNAL).+UNKNOWN)" - &gt;&gt; 2017-02-28-UncaughtWiMAX.txt</v>
      </c>
    </row>
    <row r="191" spans="1:40" x14ac:dyDescent="0.25">
      <c r="A191" s="33" t="s">
        <v>707</v>
      </c>
      <c r="B191" s="7">
        <v>4015</v>
      </c>
      <c r="C191" s="21" t="s">
        <v>274</v>
      </c>
      <c r="D191" s="21" t="s">
        <v>914</v>
      </c>
      <c r="E191" s="13">
        <v>42794.713217592594</v>
      </c>
      <c r="F191" s="13">
        <v>42794.714768518519</v>
      </c>
      <c r="G191" s="7">
        <v>1</v>
      </c>
      <c r="H191" s="21" t="s">
        <v>912</v>
      </c>
      <c r="I191" s="13">
        <v>42794.725821759261</v>
      </c>
      <c r="J191" s="7">
        <v>1</v>
      </c>
      <c r="K191" s="98" t="str">
        <f t="shared" si="47"/>
        <v>4015/4016</v>
      </c>
      <c r="L191" s="21" t="str">
        <f>VLOOKUP(A191,'Trips&amp;Operators'!$C$1:$G$99999,5,FALSE)</f>
        <v>LALONDE GREGORY</v>
      </c>
      <c r="M191" s="6">
        <f t="shared" si="48"/>
        <v>1.1053240741603076E-2</v>
      </c>
      <c r="N191" s="7">
        <f t="shared" si="64"/>
        <v>15.91666666790843</v>
      </c>
      <c r="O191" s="7"/>
      <c r="P191" s="7"/>
      <c r="Q191" s="22"/>
      <c r="R191" s="22"/>
      <c r="S191" s="31">
        <f t="shared" si="65"/>
        <v>1</v>
      </c>
      <c r="T191" s="46" t="str">
        <f t="shared" si="49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0"/>
        <v>https://d0f6bd738d7f1b3e5a7ca70fe4ff75f0.us-east-1.aws.found.io/app/kibana#/discover/Steve-Slow-Train-Analysis-(2080s-and-2083s)?_g=(refreshInterval:(display:Off,pause:!f,section:0,value:0),time:(from:'2017-02-28T16:07:02-0700',mode:absolute,to:'2017-02-28T18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187" t="str">
        <f t="shared" si="51"/>
        <v>N</v>
      </c>
      <c r="X191" s="187">
        <f t="shared" si="66"/>
        <v>1</v>
      </c>
      <c r="Y191" s="62">
        <f t="shared" si="52"/>
        <v>5.8663999999999996</v>
      </c>
      <c r="Z191" s="62">
        <f t="shared" si="53"/>
        <v>6.8199999999999997E-2</v>
      </c>
      <c r="AA191" s="62">
        <f t="shared" si="54"/>
        <v>5.7981999999999996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5"/>
        <v>0832-28</v>
      </c>
      <c r="AE191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91" s="82" t="str">
        <f t="shared" si="57"/>
        <v>"C:\Program Files (x86)\AstroGrep\AstroGrep.exe" /spath="%USERPROFILE%\AppData\Local\Temp\OnboardLogs" /stypes="app*4015*20170301*" /stext=" 00:.+((SYSTEM_STATE.+slice.+state.+changed )|(ment ac)|(multiple cpu faults)|(system.+state.+changed )|(\[timeout)|(PRM\|1\|D)|(kpr)|(kdp)|(\|lc)|(penalty))" /e /r /s</v>
      </c>
      <c r="AG191" s="1" t="str">
        <f t="shared" si="58"/>
        <v>NW</v>
      </c>
      <c r="AH191" s="86" t="str">
        <f t="shared" si="59"/>
        <v>"%USERPROFILE%\Documents\GitHub\eaglep3\Utilities\RefineRTDCRunTimes.py" --tripid 832-28 --locoid 4015 --swversion DE.1.0.9.0 --startMP 300:58664 --initTime 2017-02-28T17:07:02 --startdatetime 2017-02-28T17:09:16 --delay 1 --endMP 204:682 --enddatetime 2017-02-28T17:25:11 --enforcementcount 1 &gt;&gt;C:\Users\stu\Documents\GitHub\eaglep3-reporting\EC\2017-02-28-refined-times.txt</v>
      </c>
      <c r="AI191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{"issue":{"subject":"","project_id":79,"tracker_id":40,"status_id":1,"priority_id":2,"assigned_to_id":23,"start_date":"2017-02-28","description":"","custom_fields":[{"id":1,"name":"Subdivision","value":"NW"},{"id":4,"name":"Milepost","value":"0.0682"},{"id":17,"name":"Train ID","value":"832-28"},{"id":16,"name":"Locomotive ID","value":"4015"},{"id":130,"name":"Impact","value":""},{"id":150,"name":"Time of Event (Mountain Time)","value":"17:25:11"},{"id":151,"name":"Denver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1"/>
        <v>start /low /b %USERPROFILE%\Documents\GitHub\eaglep3\Utilities\DownloadLogsFromS3.py --loco 4015 --day 2017-02-28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"%USERPROFILE%\AppData\Local\Temp\OnboardLogs"\RTDC4015\*4015*20170301* | grep -SE "(Enforcement Action)|(\[TIMEOUT)|(CHR.+\|PRM\|1\|D.+(SWITCH|SIGNAL).+UNKNOWN)" - &gt;&gt; 2017-02-28-UncaughtWiMAX.txt</v>
      </c>
    </row>
    <row r="192" spans="1:40" x14ac:dyDescent="0.25">
      <c r="A192" s="33" t="s">
        <v>708</v>
      </c>
      <c r="B192" s="7">
        <v>4053</v>
      </c>
      <c r="C192" s="21" t="s">
        <v>274</v>
      </c>
      <c r="D192" s="21" t="s">
        <v>905</v>
      </c>
      <c r="E192" s="13">
        <v>42794.716828703706</v>
      </c>
      <c r="F192" s="13">
        <v>42794.723090277781</v>
      </c>
      <c r="G192" s="7">
        <v>1</v>
      </c>
      <c r="H192" s="21" t="s">
        <v>915</v>
      </c>
      <c r="I192" s="13">
        <v>42794.732210648152</v>
      </c>
      <c r="J192" s="7">
        <v>1</v>
      </c>
      <c r="K192" s="98" t="str">
        <f t="shared" si="47"/>
        <v>4053/4054</v>
      </c>
      <c r="L192" s="21" t="str">
        <f>VLOOKUP(A192,'Trips&amp;Operators'!$C$1:$G$99999,5,FALSE)</f>
        <v>LEVIN SCOTT</v>
      </c>
      <c r="M192" s="6">
        <f t="shared" si="48"/>
        <v>9.1203703705104999E-3</v>
      </c>
      <c r="N192" s="7">
        <f t="shared" si="64"/>
        <v>13.13333333353512</v>
      </c>
      <c r="O192" s="7"/>
      <c r="P192" s="7"/>
      <c r="Q192" s="22"/>
      <c r="R192" s="22"/>
      <c r="S192" s="31">
        <f t="shared" si="65"/>
        <v>1</v>
      </c>
      <c r="T192" s="46" t="str">
        <f t="shared" si="49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0"/>
        <v>https://d0f6bd738d7f1b3e5a7ca70fe4ff75f0.us-east-1.aws.found.io/app/kibana#/discover/Steve-Slow-Train-Analysis-(2080s-and-2083s)?_g=(refreshInterval:(display:Off,pause:!f,section:0,value:0),time:(from:'2017-02-28T16:12:14-0700',mode:absolute,to:'2017-02-28T18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187" t="str">
        <f t="shared" si="51"/>
        <v>N</v>
      </c>
      <c r="X192" s="187">
        <f t="shared" si="66"/>
        <v>1</v>
      </c>
      <c r="Y192" s="62">
        <f t="shared" si="52"/>
        <v>9.3700000000000006E-2</v>
      </c>
      <c r="Z192" s="62">
        <f t="shared" si="53"/>
        <v>5.8945999999999996</v>
      </c>
      <c r="AA192" s="62">
        <f t="shared" si="54"/>
        <v>5.8008999999999995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5"/>
        <v>0833-28</v>
      </c>
      <c r="AE192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92" s="82" t="str">
        <f t="shared" si="57"/>
        <v>"C:\Program Files (x86)\AstroGrep\AstroGrep.exe" /spath="%USERPROFILE%\AppData\Local\Temp\OnboardLogs" /stypes="app*4053*20170301*" /stext=" 00:.+((SYSTEM_STATE.+slice.+state.+changed )|(ment ac)|(multiple cpu faults)|(system.+state.+changed )|(\[timeout)|(PRM\|1\|D)|(kpr)|(kdp)|(\|lc)|(penalty))" /e /r /s</v>
      </c>
      <c r="AG192" s="1" t="str">
        <f t="shared" si="58"/>
        <v>NW</v>
      </c>
      <c r="AH192" s="86" t="str">
        <f t="shared" si="59"/>
        <v>"%USERPROFILE%\Documents\GitHub\eaglep3\Utilities\RefineRTDCRunTimes.py" --tripid 833-28 --locoid 4053 --swversion DE.1.0.9.0 --startMP 204:937 --initTime 2017-02-28T17:12:14 --startdatetime 2017-02-28T17:21:15 --delay 1 --endMP 300:58946 --enddatetime 2017-02-28T17:34:23 --enforcementcount 1 &gt;&gt;C:\Users\stu\Documents\GitHub\eaglep3-reporting\EC\2017-02-28-refined-times.txt</v>
      </c>
      <c r="AI192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{"issue":{"subject":"","project_id":79,"tracker_id":40,"status_id":1,"priority_id":2,"assigned_to_id":23,"start_date":"2017-02-28","description":"","custom_fields":[{"id":1,"name":"Subdivision","value":"NW"},{"id":4,"name":"Milepost","value":"5.8946"},{"id":17,"name":"Train ID","value":"833-28"},{"id":16,"name":"Locomotive ID","value":"4053"},{"id":130,"name":"Impact","value":""},{"id":150,"name":"Time of Event (Mountain Time)","value":"17:34:23"},{"id":151,"name":"Denver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1"/>
        <v>start /low /b %USERPROFILE%\Documents\GitHub\eaglep3\Utilities\DownloadLogsFromS3.py --loco 4053 --day 2017-02-28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"%USERPROFILE%\AppData\Local\Temp\OnboardLogs"\RTDC4053\*4053*20170301* | grep -SE "(Enforcement Action)|(\[TIMEOUT)|(CHR.+\|PRM\|1\|D.+(SWITCH|SIGNAL).+UNKNOWN)" - &gt;&gt; 2017-02-28-UncaughtWiMAX.txt</v>
      </c>
    </row>
    <row r="193" spans="1:40" x14ac:dyDescent="0.25">
      <c r="A193" s="33" t="s">
        <v>714</v>
      </c>
      <c r="B193" s="7">
        <v>4054</v>
      </c>
      <c r="C193" s="21" t="s">
        <v>274</v>
      </c>
      <c r="D193" s="21" t="s">
        <v>417</v>
      </c>
      <c r="E193" s="13">
        <v>42794.734479166669</v>
      </c>
      <c r="F193" s="13">
        <v>42794.735844907409</v>
      </c>
      <c r="G193" s="7">
        <v>1</v>
      </c>
      <c r="H193" s="21" t="s">
        <v>906</v>
      </c>
      <c r="I193" s="13">
        <v>42794.746574074074</v>
      </c>
      <c r="J193" s="7">
        <v>1</v>
      </c>
      <c r="K193" s="98" t="str">
        <f t="shared" si="47"/>
        <v>4053/4054</v>
      </c>
      <c r="L193" s="21" t="str">
        <f>VLOOKUP(A193,'Trips&amp;Operators'!$C$1:$G$99999,5,FALSE)</f>
        <v>LEVIN SCOTT</v>
      </c>
      <c r="M193" s="6">
        <f t="shared" si="48"/>
        <v>1.0729166664532386E-2</v>
      </c>
      <c r="N193" s="7">
        <f t="shared" si="64"/>
        <v>15.449999996926636</v>
      </c>
      <c r="O193" s="7"/>
      <c r="P193" s="7"/>
      <c r="Q193" s="22"/>
      <c r="R193" s="22"/>
      <c r="S193" s="31">
        <f t="shared" si="65"/>
        <v>1</v>
      </c>
      <c r="T193" s="46" t="str">
        <f t="shared" si="49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0"/>
        <v>https://d0f6bd738d7f1b3e5a7ca70fe4ff75f0.us-east-1.aws.found.io/app/kibana#/discover/Steve-Slow-Train-Analysis-(2080s-and-2083s)?_g=(refreshInterval:(display:Off,pause:!f,section:0,value:0),time:(from:'2017-02-28T16:37:39-0700',mode:absolute,to:'2017-02-28T18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3" s="187" t="str">
        <f t="shared" si="51"/>
        <v>N</v>
      </c>
      <c r="X193" s="187">
        <f t="shared" si="66"/>
        <v>1</v>
      </c>
      <c r="Y193" s="62">
        <f t="shared" si="52"/>
        <v>5.8635999999999999</v>
      </c>
      <c r="Z193" s="62">
        <f t="shared" si="53"/>
        <v>6.4699999999999994E-2</v>
      </c>
      <c r="AA193" s="62">
        <f t="shared" si="54"/>
        <v>5.7988999999999997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5"/>
        <v>0834-28</v>
      </c>
      <c r="AE193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93" s="82" t="str">
        <f t="shared" si="57"/>
        <v>"C:\Program Files (x86)\AstroGrep\AstroGrep.exe" /spath="%USERPROFILE%\AppData\Local\Temp\OnboardLogs" /stypes="app*4054*20170301*" /stext=" 00:.+((SYSTEM_STATE.+slice.+state.+changed )|(ment ac)|(multiple cpu faults)|(system.+state.+changed )|(\[timeout)|(PRM\|1\|D)|(kpr)|(kdp)|(\|lc)|(penalty))" /e /r /s</v>
      </c>
      <c r="AG193" s="1" t="str">
        <f t="shared" si="58"/>
        <v>NW</v>
      </c>
      <c r="AH193" s="86" t="str">
        <f t="shared" si="59"/>
        <v>"%USERPROFILE%\Documents\GitHub\eaglep3\Utilities\RefineRTDCRunTimes.py" --tripid 834-28 --locoid 4054 --swversion DE.1.0.9.0 --startMP 300:58636 --initTime 2017-02-28T17:37:39 --startdatetime 2017-02-28T17:39:37 --delay 1 --endMP 204:647 --enddatetime 2017-02-28T17:55:04 --enforcementcount 1 &gt;&gt;C:\Users\stu\Documents\GitHub\eaglep3-reporting\EC\2017-02-28-refined-times.txt</v>
      </c>
      <c r="AI193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{"issue":{"subject":"","project_id":79,"tracker_id":40,"status_id":1,"priority_id":2,"assigned_to_id":23,"start_date":"2017-02-28","description":"","custom_fields":[{"id":1,"name":"Subdivision","value":"NW"},{"id":4,"name":"Milepost","value":"0.0647"},{"id":17,"name":"Train ID","value":"834-28"},{"id":16,"name":"Locomotive ID","value":"4054"},{"id":130,"name":"Impact","value":""},{"id":150,"name":"Time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1"/>
        <v>start /low /b %USERPROFILE%\Documents\GitHub\eaglep3\Utilities\DownloadLogsFromS3.py --loco 4054 --day 2017-02-28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"%USERPROFILE%\AppData\Local\Temp\OnboardLogs"\RTDC4054\*4054*20170301* | grep -SE "(Enforcement Action)|(\[TIMEOUT)|(CHR.+\|PRM\|1\|D.+(SWITCH|SIGNAL).+UNKNOWN)" - &gt;&gt; 2017-02-28-UncaughtWiMAX.txt</v>
      </c>
    </row>
    <row r="194" spans="1:40" x14ac:dyDescent="0.25">
      <c r="A194" s="33" t="s">
        <v>711</v>
      </c>
      <c r="B194" s="7">
        <v>4016</v>
      </c>
      <c r="C194" s="21" t="s">
        <v>274</v>
      </c>
      <c r="D194" s="21" t="s">
        <v>916</v>
      </c>
      <c r="E194" s="13">
        <v>42794.72828703704</v>
      </c>
      <c r="F194" s="13">
        <v>42794.743969907409</v>
      </c>
      <c r="G194" s="7">
        <v>2</v>
      </c>
      <c r="H194" s="21" t="s">
        <v>910</v>
      </c>
      <c r="I194" s="13">
        <v>42794.753599537034</v>
      </c>
      <c r="J194" s="7">
        <v>1</v>
      </c>
      <c r="K194" s="98" t="str">
        <f t="shared" si="47"/>
        <v>4015/4016</v>
      </c>
      <c r="L194" s="21" t="str">
        <f>VLOOKUP(A194,'Trips&amp;Operators'!$C$1:$G$99999,5,FALSE)</f>
        <v>LALONDE GREGORY</v>
      </c>
      <c r="M194" s="6">
        <f t="shared" si="48"/>
        <v>9.6296296251239255E-3</v>
      </c>
      <c r="N194" s="7">
        <f t="shared" si="64"/>
        <v>13.866666660178453</v>
      </c>
      <c r="O194" s="7"/>
      <c r="P194" s="7"/>
      <c r="Q194" s="22"/>
      <c r="R194" s="22"/>
      <c r="S194" s="31">
        <f t="shared" si="65"/>
        <v>1</v>
      </c>
      <c r="T194" s="46" t="str">
        <f t="shared" si="49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0"/>
        <v>https://d0f6bd738d7f1b3e5a7ca70fe4ff75f0.us-east-1.aws.found.io/app/kibana#/discover/Steve-Slow-Train-Analysis-(2080s-and-2083s)?_g=(refreshInterval:(display:Off,pause:!f,section:0,value:0),time:(from:'2017-02-28T16:28:44-0700',mode:absolute,to:'2017-02-28T19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187" t="str">
        <f t="shared" si="51"/>
        <v>N</v>
      </c>
      <c r="X194" s="187">
        <f t="shared" si="66"/>
        <v>1</v>
      </c>
      <c r="Y194" s="62">
        <f t="shared" si="52"/>
        <v>9.69E-2</v>
      </c>
      <c r="Z194" s="62">
        <f t="shared" si="53"/>
        <v>5.8986000000000001</v>
      </c>
      <c r="AA194" s="62">
        <f t="shared" si="54"/>
        <v>5.8017000000000003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5"/>
        <v>0835-28</v>
      </c>
      <c r="AE194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94" s="82" t="str">
        <f t="shared" si="57"/>
        <v>"C:\Program Files (x86)\AstroGrep\AstroGrep.exe" /spath="%USERPROFILE%\AppData\Local\Temp\OnboardLogs" /stypes="app*4016*20170301*" /stext=" 01:.+((SYSTEM_STATE.+slice.+state.+changed )|(ment ac)|(multiple cpu faults)|(system.+state.+changed )|(\[timeout)|(PRM\|1\|D)|(kpr)|(kdp)|(\|lc)|(penalty))" /e /r /s</v>
      </c>
      <c r="AG194" s="1" t="str">
        <f t="shared" si="58"/>
        <v>NW</v>
      </c>
      <c r="AH194" s="86" t="str">
        <f t="shared" si="59"/>
        <v>"%USERPROFILE%\Documents\GitHub\eaglep3\Utilities\RefineRTDCRunTimes.py" --tripid 835-28 --locoid 4016 --swversion DE.1.0.9.0 --startMP 204:969 --initTime 2017-02-28T17:28:44 --startdatetime 2017-02-28T17:51:19 --delay 2 --endMP 300:58986 --enddatetime 2017-02-28T18:05:11 --enforcementcount 1 &gt;&gt;C:\Users\stu\Documents\GitHub\eaglep3-reporting\EC\2017-02-28-refined-times.txt</v>
      </c>
      <c r="AI194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{"issue":{"subject":"","project_id":79,"tracker_id":40,"status_id":1,"priority_id":2,"assigned_to_id":23,"start_date":"2017-02-28","description":"","custom_fields":[{"id":1,"name":"Subdivision","value":"NW"},{"id":4,"name":"Milepost","value":"5.8986"},{"id":17,"name":"Train ID","value":"835-28"},{"id":16,"name":"Locomotive ID","value":"4016"},{"id":130,"name":"Impact","value":""},{"id":150,"name":"Time of Event (Mountain Time)","value":"18:05:11"},{"id":151,"name":"Denver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1"/>
        <v>start /low /b %USERPROFILE%\Documents\GitHub\eaglep3\Utilities\DownloadLogsFromS3.py --loco 4016 --day 2017-02-28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"%USERPROFILE%\AppData\Local\Temp\OnboardLogs"\RTDC4016\*4016*20170301* | grep -SE "(Enforcement Action)|(\[TIMEOUT)|(CHR.+\|PRM\|1\|D.+(SWITCH|SIGNAL).+UNKNOWN)" - &gt;&gt; 2017-02-28-UncaughtWiMAX.txt</v>
      </c>
    </row>
    <row r="195" spans="1:40" x14ac:dyDescent="0.25">
      <c r="A195" s="33" t="s">
        <v>718</v>
      </c>
      <c r="B195" s="7">
        <v>4015</v>
      </c>
      <c r="C195" s="21" t="s">
        <v>274</v>
      </c>
      <c r="D195" s="21" t="s">
        <v>917</v>
      </c>
      <c r="E195" s="13">
        <v>42794.754861111112</v>
      </c>
      <c r="F195" s="13">
        <v>42794.756249999999</v>
      </c>
      <c r="G195" s="7">
        <v>1</v>
      </c>
      <c r="H195" s="21" t="s">
        <v>426</v>
      </c>
      <c r="I195" s="13">
        <v>42794.768842592595</v>
      </c>
      <c r="J195" s="7">
        <v>1</v>
      </c>
      <c r="K195" s="98" t="str">
        <f t="shared" si="47"/>
        <v>4015/4016</v>
      </c>
      <c r="L195" s="21" t="str">
        <f>VLOOKUP(A195,'Trips&amp;Operators'!$C$1:$G$99999,5,FALSE)</f>
        <v>LALONDE GREGORY</v>
      </c>
      <c r="M195" s="6">
        <f t="shared" si="48"/>
        <v>1.2592592596774921E-2</v>
      </c>
      <c r="N195" s="7">
        <f t="shared" si="64"/>
        <v>18.133333339355886</v>
      </c>
      <c r="O195" s="7"/>
      <c r="P195" s="7"/>
      <c r="Q195" s="22"/>
      <c r="R195" s="22"/>
      <c r="S195" s="31">
        <f t="shared" si="65"/>
        <v>1</v>
      </c>
      <c r="T195" s="46" t="str">
        <f t="shared" si="49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0"/>
        <v>https://d0f6bd738d7f1b3e5a7ca70fe4ff75f0.us-east-1.aws.found.io/app/kibana#/discover/Steve-Slow-Train-Analysis-(2080s-and-2083s)?_g=(refreshInterval:(display:Off,pause:!f,section:0,value:0),time:(from:'2017-02-28T17:07:00-0700',mode:absolute,to:'2017-02-28T19:27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187" t="str">
        <f t="shared" si="51"/>
        <v>N</v>
      </c>
      <c r="X195" s="187">
        <f t="shared" si="66"/>
        <v>1</v>
      </c>
      <c r="Y195" s="62">
        <f t="shared" si="52"/>
        <v>5.8682999999999996</v>
      </c>
      <c r="Z195" s="62">
        <f t="shared" si="53"/>
        <v>6.5699999999999995E-2</v>
      </c>
      <c r="AA195" s="62">
        <f t="shared" si="54"/>
        <v>5.8026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5"/>
        <v>0836-28</v>
      </c>
      <c r="AE195" s="85" t="str">
        <f t="shared" si="56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195" s="82" t="str">
        <f t="shared" si="57"/>
        <v>"C:\Program Files (x86)\AstroGrep\AstroGrep.exe" /spath="%USERPROFILE%\AppData\Local\Temp\OnboardLogs" /stypes="app*4015*20170301*" /stext=" 01:.+((SYSTEM_STATE.+slice.+state.+changed )|(ment ac)|(multiple cpu faults)|(system.+state.+changed )|(\[timeout)|(PRM\|1\|D)|(kpr)|(kdp)|(\|lc)|(penalty))" /e /r /s</v>
      </c>
      <c r="AG195" s="1" t="str">
        <f t="shared" si="58"/>
        <v>NW</v>
      </c>
      <c r="AH195" s="86" t="str">
        <f t="shared" si="59"/>
        <v>"%USERPROFILE%\Documents\GitHub\eaglep3\Utilities\RefineRTDCRunTimes.py" --tripid 836-28 --locoid 4015 --swversion DE.1.0.9.0 --startMP 300:58683 --initTime 2017-02-28T18:07:00 --startdatetime 2017-02-28T18:09:00 --delay 1 --endMP 204:657 --enddatetime 2017-02-28T18:27:08 --enforcementcount 1 &gt;&gt;C:\Users\stu\Documents\GitHub\eaglep3-reporting\EC\2017-02-28-refined-times.txt</v>
      </c>
      <c r="AI195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{"issue":{"subject":"","project_id":79,"tracker_id":40,"status_id":1,"priority_id":2,"assigned_to_id":23,"start_date":"2017-02-28","description":"","custom_fields":[{"id":1,"name":"Subdivision","value":"NW"},{"id":4,"name":"Milepost","value":"0.0657"},{"id":17,"name":"Train ID","value":"836-28"},{"id":16,"name":"Locomotive ID","value":"4015"},{"id":130,"name":"Impact","value":""},{"id":150,"name":"Time of Event (Mountain Time)","value":"18:27:08"},{"id":151,"name":"Denver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1"/>
        <v>start /low /b %USERPROFILE%\Documents\GitHub\eaglep3\Utilities\DownloadLogsFromS3.py --loco 4015 --day 2017-02-28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"%USERPROFILE%\AppData\Local\Temp\OnboardLogs"\RTDC4015\*4015*20170301* | grep -SE "(Enforcement Action)|(\[TIMEOUT)|(CHR.+\|PRM\|1\|D.+(SWITCH|SIGNAL).+UNKNOWN)" - &gt;&gt; 2017-02-28-UncaughtWiMAX.txt</v>
      </c>
    </row>
    <row r="196" spans="1:40" x14ac:dyDescent="0.25">
      <c r="A196" s="33" t="s">
        <v>721</v>
      </c>
      <c r="B196" s="7">
        <v>4053</v>
      </c>
      <c r="C196" s="21" t="s">
        <v>274</v>
      </c>
      <c r="D196" s="21" t="s">
        <v>918</v>
      </c>
      <c r="E196" s="13">
        <v>42794.76017361111</v>
      </c>
      <c r="F196" s="13">
        <v>42794.764768518522</v>
      </c>
      <c r="G196" s="7">
        <v>1</v>
      </c>
      <c r="H196" s="21" t="s">
        <v>347</v>
      </c>
      <c r="I196" s="13">
        <v>42794.77447916667</v>
      </c>
      <c r="J196" s="7">
        <v>1</v>
      </c>
      <c r="K196" s="98" t="str">
        <f t="shared" si="47"/>
        <v>4053/4054</v>
      </c>
      <c r="L196" s="21" t="str">
        <f>VLOOKUP(A196,'Trips&amp;Operators'!$C$1:$G$99999,5,FALSE)</f>
        <v>LEVIN SCOTT</v>
      </c>
      <c r="M196" s="6">
        <f t="shared" si="48"/>
        <v>9.710648148029577E-3</v>
      </c>
      <c r="N196" s="7">
        <f t="shared" si="64"/>
        <v>13.983333333162591</v>
      </c>
      <c r="O196" s="7"/>
      <c r="P196" s="7"/>
      <c r="Q196" s="22"/>
      <c r="R196" s="22"/>
      <c r="S196" s="31">
        <f t="shared" si="65"/>
        <v>1</v>
      </c>
      <c r="T196" s="46" t="str">
        <f t="shared" si="49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0"/>
        <v>https://d0f6bd738d7f1b3e5a7ca70fe4ff75f0.us-east-1.aws.found.io/app/kibana#/discover/Steve-Slow-Train-Analysis-(2080s-and-2083s)?_g=(refreshInterval:(display:Off,pause:!f,section:0,value:0),time:(from:'2017-02-28T17:14:39-0700',mode:absolute,to:'2017-02-28T19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87" t="str">
        <f t="shared" si="51"/>
        <v>N</v>
      </c>
      <c r="X196" s="187">
        <f t="shared" si="66"/>
        <v>1</v>
      </c>
      <c r="Y196" s="62">
        <f t="shared" si="52"/>
        <v>9.5100000000000004E-2</v>
      </c>
      <c r="Z196" s="62">
        <f t="shared" si="53"/>
        <v>5.8933</v>
      </c>
      <c r="AA196" s="62">
        <f t="shared" si="54"/>
        <v>5.7981999999999996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5"/>
        <v>0837-28</v>
      </c>
      <c r="AE196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196" s="82" t="str">
        <f t="shared" si="57"/>
        <v>"C:\Program Files (x86)\AstroGrep\AstroGrep.exe" /spath="%USERPROFILE%\AppData\Local\Temp\OnboardLogs" /stypes="app*4053*20170301*" /stext=" 01:.+((SYSTEM_STATE.+slice.+state.+changed )|(ment ac)|(multiple cpu faults)|(system.+state.+changed )|(\[timeout)|(PRM\|1\|D)|(kpr)|(kdp)|(\|lc)|(penalty))" /e /r /s</v>
      </c>
      <c r="AG196" s="1" t="str">
        <f t="shared" si="58"/>
        <v>NW</v>
      </c>
      <c r="AH196" s="86" t="str">
        <f t="shared" si="59"/>
        <v>"%USERPROFILE%\Documents\GitHub\eaglep3\Utilities\RefineRTDCRunTimes.py" --tripid 837-28 --locoid 4053 --swversion DE.1.0.9.0 --startMP 204:951 --initTime 2017-02-28T18:14:39 --startdatetime 2017-02-28T18:21:16 --delay 1 --endMP 300:58933 --enddatetime 2017-02-28T18:35:15 --enforcementcount 1 &gt;&gt;C:\Users\stu\Documents\GitHub\eaglep3-reporting\EC\2017-02-28-refined-times.txt</v>
      </c>
      <c r="AI196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{"issue":{"subject":"","project_id":79,"tracker_id":40,"status_id":1,"priority_id":2,"assigned_to_id":23,"start_date":"2017-02-28","description":"","custom_fields":[{"id":1,"name":"Subdivision","value":"NW"},{"id":4,"name":"Milepost","value":"5.8933"},{"id":17,"name":"Train ID","value":"837-28"},{"id":16,"name":"Locomotive ID","value":"4053"},{"id":130,"name":"Impact","value":""},{"id":150,"name":"Time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1"/>
        <v>start /low /b %USERPROFILE%\Documents\GitHub\eaglep3\Utilities\DownloadLogsFromS3.py --loco 4053 --day 2017-02-28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"%USERPROFILE%\AppData\Local\Temp\OnboardLogs"\RTDC4053\*4053*20170301* | grep -SE "(Enforcement Action)|(\[TIMEOUT)|(CHR.+\|PRM\|1\|D.+(SWITCH|SIGNAL).+UNKNOWN)" - &gt;&gt; 2017-02-28-UncaughtWiMAX.txt</v>
      </c>
    </row>
    <row r="197" spans="1:40" x14ac:dyDescent="0.25">
      <c r="A197" s="33" t="s">
        <v>728</v>
      </c>
      <c r="B197" s="7">
        <v>4054</v>
      </c>
      <c r="C197" s="21" t="s">
        <v>274</v>
      </c>
      <c r="D197" s="21" t="s">
        <v>919</v>
      </c>
      <c r="E197" s="13">
        <v>42794.776076388887</v>
      </c>
      <c r="F197" s="13">
        <v>42794.777499999997</v>
      </c>
      <c r="G197" s="7">
        <v>1</v>
      </c>
      <c r="H197" s="21" t="s">
        <v>920</v>
      </c>
      <c r="I197" s="13">
        <v>42794.788483796299</v>
      </c>
      <c r="J197" s="7">
        <v>1</v>
      </c>
      <c r="K197" s="98" t="str">
        <f t="shared" si="47"/>
        <v>4053/4054</v>
      </c>
      <c r="L197" s="21" t="str">
        <f>VLOOKUP(A197,'Trips&amp;Operators'!$C$1:$G$99999,5,FALSE)</f>
        <v>LEVIN SCOTT</v>
      </c>
      <c r="M197" s="6">
        <f t="shared" si="48"/>
        <v>1.0983796302753035E-2</v>
      </c>
      <c r="N197" s="7">
        <f t="shared" si="64"/>
        <v>15.81666667596437</v>
      </c>
      <c r="O197" s="7"/>
      <c r="P197" s="7"/>
      <c r="Q197" s="22"/>
      <c r="R197" s="22"/>
      <c r="S197" s="31">
        <f t="shared" si="65"/>
        <v>1</v>
      </c>
      <c r="T197" s="46" t="str">
        <f t="shared" si="49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0"/>
        <v>https://d0f6bd738d7f1b3e5a7ca70fe4ff75f0.us-east-1.aws.found.io/app/kibana#/discover/Steve-Slow-Train-Analysis-(2080s-and-2083s)?_g=(refreshInterval:(display:Off,pause:!f,section:0,value:0),time:(from:'2017-02-28T17:37:33-0700',mode:absolute,to:'2017-02-28T19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7" s="187" t="str">
        <f t="shared" si="51"/>
        <v>N</v>
      </c>
      <c r="X197" s="187">
        <f t="shared" si="66"/>
        <v>1</v>
      </c>
      <c r="Y197" s="62">
        <f t="shared" si="52"/>
        <v>5.8609</v>
      </c>
      <c r="Z197" s="62">
        <f t="shared" si="53"/>
        <v>6.4199999999999993E-2</v>
      </c>
      <c r="AA197" s="62">
        <f t="shared" si="54"/>
        <v>5.7967000000000004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5"/>
        <v>0838-28</v>
      </c>
      <c r="AE197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97" s="82" t="str">
        <f t="shared" si="57"/>
        <v>"C:\Program Files (x86)\AstroGrep\AstroGrep.exe" /spath="%USERPROFILE%\AppData\Local\Temp\OnboardLogs" /stypes="app*4054*20170301*" /stext=" 01:.+((SYSTEM_STATE.+slice.+state.+changed )|(ment ac)|(multiple cpu faults)|(system.+state.+changed )|(\[timeout)|(PRM\|1\|D)|(kpr)|(kdp)|(\|lc)|(penalty))" /e /r /s</v>
      </c>
      <c r="AG197" s="1" t="str">
        <f t="shared" si="58"/>
        <v>NW</v>
      </c>
      <c r="AH197" s="86" t="str">
        <f t="shared" si="59"/>
        <v>"%USERPROFILE%\Documents\GitHub\eaglep3\Utilities\RefineRTDCRunTimes.py" --tripid 838-28 --locoid 4054 --swversion DE.1.0.9.0 --startMP 300:58609 --initTime 2017-02-28T18:37:33 --startdatetime 2017-02-28T18:39:36 --delay 1 --endMP 204:642 --enddatetime 2017-02-28T18:55:25 --enforcementcount 1 &gt;&gt;C:\Users\stu\Documents\GitHub\eaglep3-reporting\EC\2017-02-28-refined-times.txt</v>
      </c>
      <c r="AI197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{"issue":{"subject":"","project_id":79,"tracker_id":40,"status_id":1,"priority_id":2,"assigned_to_id":23,"start_date":"2017-02-28","description":"","custom_fields":[{"id":1,"name":"Subdivision","value":"NW"},{"id":4,"name":"Milepost","value":"0.0642"},{"id":17,"name":"Train ID","value":"838-28"},{"id":16,"name":"Locomotive ID","value":"4054"},{"id":130,"name":"Impact","value":""},{"id":150,"name":"Time of Event (Mountain Time)","value":"18:55:25"},{"id":151,"name":"Denver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1"/>
        <v>start /low /b %USERPROFILE%\Documents\GitHub\eaglep3\Utilities\DownloadLogsFromS3.py --loco 4054 --day 2017-02-28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"%USERPROFILE%\AppData\Local\Temp\OnboardLogs"\RTDC4054\*4054*20170301* | grep -SE "(Enforcement Action)|(\[TIMEOUT)|(CHR.+\|PRM\|1\|D.+(SWITCH|SIGNAL).+UNKNOWN)" - &gt;&gt; 2017-02-28-UncaughtWiMAX.txt</v>
      </c>
    </row>
    <row r="198" spans="1:40" x14ac:dyDescent="0.25">
      <c r="A198" s="33" t="s">
        <v>726</v>
      </c>
      <c r="B198" s="7">
        <v>4016</v>
      </c>
      <c r="C198" s="21" t="s">
        <v>274</v>
      </c>
      <c r="D198" s="21" t="s">
        <v>921</v>
      </c>
      <c r="E198" s="13">
        <v>42794.771192129629</v>
      </c>
      <c r="F198" s="13">
        <v>42794.785578703704</v>
      </c>
      <c r="G198" s="7">
        <v>1</v>
      </c>
      <c r="H198" s="21" t="s">
        <v>419</v>
      </c>
      <c r="I198" s="13">
        <v>42794.794930555552</v>
      </c>
      <c r="J198" s="7">
        <v>1</v>
      </c>
      <c r="K198" s="98" t="str">
        <f t="shared" si="47"/>
        <v>4015/4016</v>
      </c>
      <c r="L198" s="21" t="str">
        <f>VLOOKUP(A198,'Trips&amp;Operators'!$C$1:$G$99999,5,FALSE)</f>
        <v>LALONDE GREGORY</v>
      </c>
      <c r="M198" s="6">
        <f t="shared" si="48"/>
        <v>9.3518518478958867E-3</v>
      </c>
      <c r="N198" s="7">
        <f t="shared" ref="N198:N229" si="67">24*60*SUM($M198:$M198)</f>
        <v>13.466666660970077</v>
      </c>
      <c r="O198" s="7"/>
      <c r="P198" s="7"/>
      <c r="Q198" s="22"/>
      <c r="R198" s="22"/>
      <c r="S198" s="31">
        <f t="shared" si="65"/>
        <v>1</v>
      </c>
      <c r="T198" s="46" t="str">
        <f t="shared" si="49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0"/>
        <v>https://d0f6bd738d7f1b3e5a7ca70fe4ff75f0.us-east-1.aws.found.io/app/kibana#/discover/Steve-Slow-Train-Analysis-(2080s-and-2083s)?_g=(refreshInterval:(display:Off,pause:!f,section:0,value:0),time:(from:'2017-02-28T17:30:31-0700',mode:absolute,to:'2017-02-28T20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187" t="str">
        <f t="shared" si="51"/>
        <v>N</v>
      </c>
      <c r="X198" s="187">
        <f t="shared" si="66"/>
        <v>1</v>
      </c>
      <c r="Y198" s="62">
        <f t="shared" si="52"/>
        <v>9.3399999999999997E-2</v>
      </c>
      <c r="Z198" s="62">
        <f t="shared" si="53"/>
        <v>5.8956</v>
      </c>
      <c r="AA198" s="62">
        <f t="shared" si="54"/>
        <v>5.8022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5"/>
        <v>0839-28</v>
      </c>
      <c r="AE198" s="85" t="str">
        <f t="shared" si="56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198" s="82" t="str">
        <f t="shared" si="57"/>
        <v>"C:\Program Files (x86)\AstroGrep\AstroGrep.exe" /spath="%USERPROFILE%\AppData\Local\Temp\OnboardLogs" /stypes="app*4016*20170301*" /stext=" 02:.+((SYSTEM_STATE.+slice.+state.+changed )|(ment ac)|(multiple cpu faults)|(system.+state.+changed )|(\[timeout)|(PRM\|1\|D)|(kpr)|(kdp)|(\|lc)|(penalty))" /e /r /s</v>
      </c>
      <c r="AG198" s="1" t="str">
        <f t="shared" si="58"/>
        <v>NW</v>
      </c>
      <c r="AH198" s="86" t="str">
        <f t="shared" si="59"/>
        <v>"%USERPROFILE%\Documents\GitHub\eaglep3\Utilities\RefineRTDCRunTimes.py" --tripid 839-28 --locoid 4016 --swversion DE.1.0.9.0 --startMP 204:934 --initTime 2017-02-28T18:30:31 --startdatetime 2017-02-28T18:51:14 --delay 1 --endMP 300:58956 --enddatetime 2017-02-28T19:04:42 --enforcementcount 1 &gt;&gt;C:\Users\stu\Documents\GitHub\eaglep3-reporting\EC\2017-02-28-refined-times.txt</v>
      </c>
      <c r="AI198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{"issue":{"subject":"","project_id":79,"tracker_id":40,"status_id":1,"priority_id":2,"assigned_to_id":23,"start_date":"2017-02-28","description":"","custom_fields":[{"id":1,"name":"Subdivision","value":"NW"},{"id":4,"name":"Milepost","value":"5.8956"},{"id":17,"name":"Train ID","value":"839-28"},{"id":16,"name":"Locomotive ID","value":"4016"},{"id":130,"name":"Impact","value":""},{"id":150,"name":"Time of Event (Mountain Time)","value":"19:04:42"},{"id":151,"name":"Denver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1"/>
        <v>start /low /b %USERPROFILE%\Documents\GitHub\eaglep3\Utilities\DownloadLogsFromS3.py --loco 4016 --day 2017-02-28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"%USERPROFILE%\AppData\Local\Temp\OnboardLogs"\RTDC4016\*4016*20170301* | grep -SE "(Enforcement Action)|(\[TIMEOUT)|(CHR.+\|PRM\|1\|D.+(SWITCH|SIGNAL).+UNKNOWN)" - &gt;&gt; 2017-02-28-UncaughtWiMAX.txt</v>
      </c>
    </row>
    <row r="199" spans="1:40" x14ac:dyDescent="0.25">
      <c r="A199" s="33" t="s">
        <v>738</v>
      </c>
      <c r="B199" s="7">
        <v>4054</v>
      </c>
      <c r="C199" s="21" t="s">
        <v>274</v>
      </c>
      <c r="D199" s="21" t="s">
        <v>922</v>
      </c>
      <c r="E199" s="13">
        <v>42794.817476851851</v>
      </c>
      <c r="F199" s="13">
        <v>42794.818807870368</v>
      </c>
      <c r="G199" s="7">
        <v>1</v>
      </c>
      <c r="H199" s="21" t="s">
        <v>429</v>
      </c>
      <c r="I199" s="13">
        <v>42794.83153935185</v>
      </c>
      <c r="J199" s="7">
        <v>1</v>
      </c>
      <c r="K199" s="98" t="str">
        <f t="shared" si="47"/>
        <v>4053/4054</v>
      </c>
      <c r="L199" s="21" t="str">
        <f>VLOOKUP(A199,'Trips&amp;Operators'!$C$1:$G$99999,5,FALSE)</f>
        <v>LEVIN SCOTT</v>
      </c>
      <c r="M199" s="6">
        <f t="shared" si="48"/>
        <v>1.2731481481750961E-2</v>
      </c>
      <c r="N199" s="7">
        <f t="shared" si="67"/>
        <v>18.333333333721384</v>
      </c>
      <c r="O199" s="7"/>
      <c r="P199" s="7"/>
      <c r="Q199" s="22"/>
      <c r="R199" s="22"/>
      <c r="S199" s="31">
        <f t="shared" si="65"/>
        <v>1</v>
      </c>
      <c r="T199" s="46" t="str">
        <f t="shared" si="49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0"/>
        <v>https://d0f6bd738d7f1b3e5a7ca70fe4ff75f0.us-east-1.aws.found.io/app/kibana#/discover/Steve-Slow-Train-Analysis-(2080s-and-2083s)?_g=(refreshInterval:(display:Off,pause:!f,section:0,value:0),time:(from:'2017-02-28T18:37:10-0700',mode:absolute,to:'2017-02-28T20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187" t="str">
        <f t="shared" si="51"/>
        <v>N</v>
      </c>
      <c r="X199" s="187">
        <f t="shared" si="66"/>
        <v>1</v>
      </c>
      <c r="Y199" s="62">
        <f t="shared" si="52"/>
        <v>5.8620999999999999</v>
      </c>
      <c r="Z199" s="62">
        <f t="shared" si="53"/>
        <v>6.6400000000000001E-2</v>
      </c>
      <c r="AA199" s="62">
        <f t="shared" si="54"/>
        <v>5.7957000000000001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5"/>
        <v>0840-28</v>
      </c>
      <c r="AE199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199" s="82" t="str">
        <f t="shared" si="57"/>
        <v>"C:\Program Files (x86)\AstroGrep\AstroGrep.exe" /spath="%USERPROFILE%\AppData\Local\Temp\OnboardLogs" /stypes="app*4054*20170301*" /stext=" 02:.+((SYSTEM_STATE.+slice.+state.+changed )|(ment ac)|(multiple cpu faults)|(system.+state.+changed )|(\[timeout)|(PRM\|1\|D)|(kpr)|(kdp)|(\|lc)|(penalty))" /e /r /s</v>
      </c>
      <c r="AG199" s="1" t="str">
        <f t="shared" si="58"/>
        <v>NW</v>
      </c>
      <c r="AH199" s="86" t="str">
        <f t="shared" si="59"/>
        <v>"%USERPROFILE%\Documents\GitHub\eaglep3\Utilities\RefineRTDCRunTimes.py" --tripid 840-28 --locoid 4054 --swversion DE.1.0.9.0 --startMP 300:58621 --initTime 2017-02-28T19:37:10 --startdatetime 2017-02-28T19:39:05 --delay 1 --endMP 204:664 --enddatetime 2017-02-28T19:57:25 --enforcementcount 1 &gt;&gt;C:\Users\stu\Documents\GitHub\eaglep3-reporting\EC\2017-02-28-refined-times.txt</v>
      </c>
      <c r="AI199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{"issue":{"subject":"","project_id":79,"tracker_id":40,"status_id":1,"priority_id":2,"assigned_to_id":23,"start_date":"2017-02-28","description":"","custom_fields":[{"id":1,"name":"Subdivision","value":"NW"},{"id":4,"name":"Milepost","value":"0.0664"},{"id":17,"name":"Train ID","value":"840-28"},{"id":16,"name":"Locomotive ID","value":"4054"},{"id":130,"name":"Impact","value":""},{"id":150,"name":"Time of Event (Mountain Time)","value":"19:57:25"},{"id":151,"name":"Denver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1"/>
        <v>start /low /b %USERPROFILE%\Documents\GitHub\eaglep3\Utilities\DownloadLogsFromS3.py --loco 4054 --day 2017-02-28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"%USERPROFILE%\AppData\Local\Temp\OnboardLogs"\RTDC4054\*4054*20170301* | grep -SE "(Enforcement Action)|(\[TIMEOUT)|(CHR.+\|PRM\|1\|D.+(SWITCH|SIGNAL).+UNKNOWN)" - &gt;&gt; 2017-02-28-UncaughtWiMAX.txt</v>
      </c>
    </row>
    <row r="200" spans="1:40" x14ac:dyDescent="0.25">
      <c r="A200" s="33" t="s">
        <v>735</v>
      </c>
      <c r="B200" s="7">
        <v>4053</v>
      </c>
      <c r="C200" s="21" t="s">
        <v>274</v>
      </c>
      <c r="D200" s="21" t="s">
        <v>923</v>
      </c>
      <c r="E200" s="13">
        <v>42794.796898148146</v>
      </c>
      <c r="F200" s="13">
        <v>42794.806435185186</v>
      </c>
      <c r="G200" s="7">
        <v>1</v>
      </c>
      <c r="H200" s="21" t="s">
        <v>321</v>
      </c>
      <c r="I200" s="13">
        <v>42794.81554398148</v>
      </c>
      <c r="J200" s="7">
        <v>1</v>
      </c>
      <c r="K200" s="98" t="str">
        <f t="shared" si="47"/>
        <v>4053/4054</v>
      </c>
      <c r="L200" s="21" t="str">
        <f>VLOOKUP(A200,'Trips&amp;Operators'!$C$1:$G$99999,5,FALSE)</f>
        <v>LEVIN SCOTT</v>
      </c>
      <c r="M200" s="6">
        <f t="shared" si="48"/>
        <v>9.1087962937308475E-3</v>
      </c>
      <c r="N200" s="7">
        <f t="shared" si="67"/>
        <v>13.11666666297242</v>
      </c>
      <c r="O200" s="7"/>
      <c r="P200" s="7"/>
      <c r="Q200" s="22"/>
      <c r="R200" s="22"/>
      <c r="S200" s="31">
        <f t="shared" si="65"/>
        <v>1</v>
      </c>
      <c r="T200" s="46" t="str">
        <f t="shared" si="49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0"/>
        <v>https://d0f6bd738d7f1b3e5a7ca70fe4ff75f0.us-east-1.aws.found.io/app/kibana#/discover/Steve-Slow-Train-Analysis-(2080s-and-2083s)?_g=(refreshInterval:(display:Off,pause:!f,section:0,value:0),time:(from:'2017-02-28T18:07:32-0700',mode:absolute,to:'2017-02-28T20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87" t="str">
        <f t="shared" si="51"/>
        <v>N</v>
      </c>
      <c r="X200" s="187">
        <f t="shared" si="66"/>
        <v>1</v>
      </c>
      <c r="Y200" s="62">
        <f t="shared" si="52"/>
        <v>9.3200000000000005E-2</v>
      </c>
      <c r="Z200" s="62">
        <f t="shared" si="53"/>
        <v>5.8935000000000004</v>
      </c>
      <c r="AA200" s="62">
        <f t="shared" si="54"/>
        <v>5.8003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5"/>
        <v>0841-28</v>
      </c>
      <c r="AE200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200" s="82" t="str">
        <f t="shared" si="57"/>
        <v>"C:\Program Files (x86)\AstroGrep\AstroGrep.exe" /spath="%USERPROFILE%\AppData\Local\Temp\OnboardLogs" /stypes="app*4053*20170301*" /stext=" 02:.+((SYSTEM_STATE.+slice.+state.+changed )|(ment ac)|(multiple cpu faults)|(system.+state.+changed )|(\[timeout)|(PRM\|1\|D)|(kpr)|(kdp)|(\|lc)|(penalty))" /e /r /s</v>
      </c>
      <c r="AG200" s="1" t="str">
        <f t="shared" si="58"/>
        <v>NW</v>
      </c>
      <c r="AH200" s="86" t="str">
        <f t="shared" si="59"/>
        <v>"%USERPROFILE%\Documents\GitHub\eaglep3\Utilities\RefineRTDCRunTimes.py" --tripid 841-28 --locoid 4053 --swversion DE.1.0.9.0 --startMP 204:932 --initTime 2017-02-28T19:07:32 --startdatetime 2017-02-28T19:21:16 --delay 1 --endMP 300:58935 --enddatetime 2017-02-28T19:34:23 --enforcementcount 1 &gt;&gt;C:\Users\stu\Documents\GitHub\eaglep3-reporting\EC\2017-02-28-refined-times.txt</v>
      </c>
      <c r="AI200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{"issue":{"subject":"","project_id":79,"tracker_id":40,"status_id":1,"priority_id":2,"assigned_to_id":23,"start_date":"2017-02-28","description":"","custom_fields":[{"id":1,"name":"Subdivision","value":"NW"},{"id":4,"name":"Milepost","value":"5.8935"},{"id":17,"name":"Train ID","value":"841-28"},{"id":16,"name":"Locomotive ID","value":"4053"},{"id":130,"name":"Impact","value":""},{"id":150,"name":"Time of Event (Mountain Time)","value":"19:34:23"},{"id":151,"name":"Denver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1"/>
        <v>start /low /b %USERPROFILE%\Documents\GitHub\eaglep3\Utilities\DownloadLogsFromS3.py --loco 4053 --day 2017-02-28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"%USERPROFILE%\AppData\Local\Temp\OnboardLogs"\RTDC4053\*4053*20170301* | grep -SE "(Enforcement Action)|(\[TIMEOUT)|(CHR.+\|PRM\|1\|D.+(SWITCH|SIGNAL).+UNKNOWN)" - &gt;&gt; 2017-02-28-UncaughtWiMAX.txt</v>
      </c>
    </row>
    <row r="201" spans="1:40" x14ac:dyDescent="0.25">
      <c r="A201" s="33" t="s">
        <v>745</v>
      </c>
      <c r="B201" s="7">
        <v>4054</v>
      </c>
      <c r="C201" s="21" t="s">
        <v>274</v>
      </c>
      <c r="D201" s="21" t="s">
        <v>922</v>
      </c>
      <c r="E201" s="13">
        <v>42794.858206018522</v>
      </c>
      <c r="F201" s="13">
        <v>42794.859537037039</v>
      </c>
      <c r="G201" s="7">
        <v>0</v>
      </c>
      <c r="H201" s="21" t="s">
        <v>924</v>
      </c>
      <c r="I201" s="13">
        <v>42794.871562499997</v>
      </c>
      <c r="J201" s="7">
        <v>1</v>
      </c>
      <c r="K201" s="98" t="str">
        <f t="shared" si="47"/>
        <v>4053/4054</v>
      </c>
      <c r="L201" s="21" t="str">
        <f>VLOOKUP(A201,'Trips&amp;Operators'!$C$1:$G$99999,5,FALSE)</f>
        <v>LEVIN SCOTT</v>
      </c>
      <c r="M201" s="6">
        <f t="shared" si="48"/>
        <v>1.2025462958263233E-2</v>
      </c>
      <c r="N201" s="7">
        <f t="shared" si="67"/>
        <v>17.316666659899056</v>
      </c>
      <c r="O201" s="7"/>
      <c r="P201" s="7"/>
      <c r="Q201" s="22"/>
      <c r="R201" s="22"/>
      <c r="S201" s="31">
        <f t="shared" si="65"/>
        <v>1</v>
      </c>
      <c r="T201" s="46" t="str">
        <f t="shared" si="49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0"/>
        <v>https://d0f6bd738d7f1b3e5a7ca70fe4ff75f0.us-east-1.aws.found.io/app/kibana#/discover/Steve-Slow-Train-Analysis-(2080s-and-2083s)?_g=(refreshInterval:(display:Off,pause:!f,section:0,value:0),time:(from:'2017-02-28T19:35:49-0700',mode:absolute,to:'2017-02-28T21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187" t="str">
        <f t="shared" si="51"/>
        <v>N</v>
      </c>
      <c r="X201" s="187">
        <f t="shared" si="66"/>
        <v>1</v>
      </c>
      <c r="Y201" s="62">
        <f t="shared" si="52"/>
        <v>5.8620999999999999</v>
      </c>
      <c r="Z201" s="62">
        <f t="shared" si="53"/>
        <v>6.5000000000000002E-2</v>
      </c>
      <c r="AA201" s="62">
        <f t="shared" si="54"/>
        <v>5.7970999999999995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5"/>
        <v>0842-28</v>
      </c>
      <c r="AE201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201" s="82" t="str">
        <f t="shared" si="57"/>
        <v>"C:\Program Files (x86)\AstroGrep\AstroGrep.exe" /spath="%USERPROFILE%\AppData\Local\Temp\OnboardLogs" /stypes="app*4054*20170301*" /stext=" 03:.+((SYSTEM_STATE.+slice.+state.+changed )|(ment ac)|(multiple cpu faults)|(system.+state.+changed )|(\[timeout)|(PRM\|1\|D)|(kpr)|(kdp)|(\|lc)|(penalty))" /e /r /s</v>
      </c>
      <c r="AG201" s="1" t="str">
        <f t="shared" si="58"/>
        <v>NW</v>
      </c>
      <c r="AH201" s="86" t="str">
        <f t="shared" si="59"/>
        <v>"%USERPROFILE%\Documents\GitHub\eaglep3\Utilities\RefineRTDCRunTimes.py" --tripid 842-28 --locoid 4054 --swversion DE.1.0.9.0 --startMP 300:58621 --initTime 2017-02-28T20:35:49 --startdatetime 2017-02-28T20:37:44 --delay 0 --endMP 204:650 --enddatetime 2017-02-28T20:55:03 --enforcementcount 1 &gt;&gt;C:\Users\stu\Documents\GitHub\eaglep3-reporting\EC\2017-02-28-refined-times.txt</v>
      </c>
      <c r="AI201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{"issue":{"subject":"","project_id":79,"tracker_id":40,"status_id":1,"priority_id":2,"assigned_to_id":23,"start_date":"2017-02-28","description":"","custom_fields":[{"id":1,"name":"Subdivision","value":"NW"},{"id":4,"name":"Milepost","value":"0.065"},{"id":17,"name":"Train ID","value":"842-28"},{"id":16,"name":"Locomotive ID","value":"4054"},{"id":130,"name":"Impact","value":""},{"id":150,"name":"Time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1"/>
        <v>start /low /b %USERPROFILE%\Documents\GitHub\eaglep3\Utilities\DownloadLogsFromS3.py --loco 4054 --day 2017-02-28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"%USERPROFILE%\AppData\Local\Temp\OnboardLogs"\RTDC4054\*4054*20170301* | grep -SE "(Enforcement Action)|(\[TIMEOUT)|(CHR.+\|PRM\|1\|D.+(SWITCH|SIGNAL).+UNKNOWN)" - &gt;&gt; 2017-02-28-UncaughtWiMAX.txt</v>
      </c>
    </row>
    <row r="202" spans="1:40" x14ac:dyDescent="0.25">
      <c r="A202" s="33" t="s">
        <v>743</v>
      </c>
      <c r="B202" s="7">
        <v>4053</v>
      </c>
      <c r="C202" s="21" t="s">
        <v>274</v>
      </c>
      <c r="D202" s="21" t="s">
        <v>424</v>
      </c>
      <c r="E202" s="13">
        <v>42794.840914351851</v>
      </c>
      <c r="F202" s="13">
        <v>42794.848113425927</v>
      </c>
      <c r="G202" s="7">
        <v>1</v>
      </c>
      <c r="H202" s="21" t="s">
        <v>347</v>
      </c>
      <c r="I202" s="13">
        <v>42794.857094907406</v>
      </c>
      <c r="J202" s="7">
        <v>1</v>
      </c>
      <c r="K202" s="98" t="str">
        <f t="shared" si="47"/>
        <v>4053/4054</v>
      </c>
      <c r="L202" s="21" t="str">
        <f>VLOOKUP(A202,'Trips&amp;Operators'!$C$1:$G$99999,5,FALSE)</f>
        <v>LEVIN SCOTT</v>
      </c>
      <c r="M202" s="6">
        <f t="shared" si="48"/>
        <v>8.9814814782585017E-3</v>
      </c>
      <c r="N202" s="7">
        <f t="shared" si="67"/>
        <v>12.933333328692243</v>
      </c>
      <c r="O202" s="7"/>
      <c r="P202" s="7"/>
      <c r="Q202" s="22"/>
      <c r="R202" s="22"/>
      <c r="S202" s="31">
        <f t="shared" si="65"/>
        <v>1</v>
      </c>
      <c r="T202" s="46" t="str">
        <f t="shared" si="49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0"/>
        <v>https://d0f6bd738d7f1b3e5a7ca70fe4ff75f0.us-east-1.aws.found.io/app/kibana#/discover/Steve-Slow-Train-Analysis-(2080s-and-2083s)?_g=(refreshInterval:(display:Off,pause:!f,section:0,value:0),time:(from:'2017-02-28T19:10:55-0700',mode:absolute,to:'2017-02-28T21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187" t="str">
        <f t="shared" si="51"/>
        <v>N</v>
      </c>
      <c r="X202" s="187">
        <f t="shared" si="66"/>
        <v>1</v>
      </c>
      <c r="Y202" s="62">
        <f t="shared" si="52"/>
        <v>9.4299999999999995E-2</v>
      </c>
      <c r="Z202" s="62">
        <f t="shared" si="53"/>
        <v>5.8933</v>
      </c>
      <c r="AA202" s="62">
        <f t="shared" si="54"/>
        <v>5.7990000000000004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5"/>
        <v>0843-28</v>
      </c>
      <c r="AE202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202" s="82" t="str">
        <f t="shared" si="57"/>
        <v>"C:\Program Files (x86)\AstroGrep\AstroGrep.exe" /spath="%USERPROFILE%\AppData\Local\Temp\OnboardLogs" /stypes="app*4053*20170301*" /stext=" 03:.+((SYSTEM_STATE.+slice.+state.+changed )|(ment ac)|(multiple cpu faults)|(system.+state.+changed )|(\[timeout)|(PRM\|1\|D)|(kpr)|(kdp)|(\|lc)|(penalty))" /e /r /s</v>
      </c>
      <c r="AG202" s="1" t="str">
        <f t="shared" si="58"/>
        <v>NW</v>
      </c>
      <c r="AH202" s="86" t="str">
        <f t="shared" si="59"/>
        <v>"%USERPROFILE%\Documents\GitHub\eaglep3\Utilities\RefineRTDCRunTimes.py" --tripid 843-28 --locoid 4053 --swversion DE.1.0.9.0 --startMP 204:943 --initTime 2017-02-28T20:10:55 --startdatetime 2017-02-28T20:21:17 --delay 1 --endMP 300:58933 --enddatetime 2017-02-28T20:34:13 --enforcementcount 1 &gt;&gt;C:\Users\stu\Documents\GitHub\eaglep3-reporting\EC\2017-02-28-refined-times.txt</v>
      </c>
      <c r="AI202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{"issue":{"subject":"","project_id":79,"tracker_id":40,"status_id":1,"priority_id":2,"assigned_to_id":23,"start_date":"2017-02-28","description":"","custom_fields":[{"id":1,"name":"Subdivision","value":"NW"},{"id":4,"name":"Milepost","value":"5.8933"},{"id":17,"name":"Train ID","value":"843-28"},{"id":16,"name":"Locomotive ID","value":"4053"},{"id":130,"name":"Impact","value":""},{"id":150,"name":"Time of Event (Mountain Time)","value":"20:34:13"},{"id":151,"name":"Denver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1"/>
        <v>start /low /b %USERPROFILE%\Documents\GitHub\eaglep3\Utilities\DownloadLogsFromS3.py --loco 4053 --day 2017-02-28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"%USERPROFILE%\AppData\Local\Temp\OnboardLogs"\RTDC4053\*4053*20170301* | grep -SE "(Enforcement Action)|(\[TIMEOUT)|(CHR.+\|PRM\|1\|D.+(SWITCH|SIGNAL).+UNKNOWN)" - &gt;&gt; 2017-02-28-UncaughtWiMAX.txt</v>
      </c>
    </row>
    <row r="203" spans="1:40" x14ac:dyDescent="0.25">
      <c r="A203" s="33" t="s">
        <v>749</v>
      </c>
      <c r="B203" s="7">
        <v>4054</v>
      </c>
      <c r="C203" s="21" t="s">
        <v>274</v>
      </c>
      <c r="D203" s="21" t="s">
        <v>917</v>
      </c>
      <c r="E203" s="13">
        <v>42794.900567129633</v>
      </c>
      <c r="F203" s="13">
        <v>42794.902488425927</v>
      </c>
      <c r="G203" s="7">
        <v>1</v>
      </c>
      <c r="H203" s="21" t="s">
        <v>925</v>
      </c>
      <c r="I203" s="13">
        <v>42794.913055555553</v>
      </c>
      <c r="J203" s="7">
        <v>1</v>
      </c>
      <c r="K203" s="98" t="str">
        <f t="shared" si="47"/>
        <v>4053/4054</v>
      </c>
      <c r="L203" s="21" t="str">
        <f>VLOOKUP(A203,'Trips&amp;Operators'!$C$1:$G$99999,5,FALSE)</f>
        <v>LALONDE GREGORY</v>
      </c>
      <c r="M203" s="6">
        <f t="shared" si="48"/>
        <v>1.056712962599704E-2</v>
      </c>
      <c r="N203" s="7">
        <f t="shared" si="67"/>
        <v>15.216666661435738</v>
      </c>
      <c r="O203" s="7"/>
      <c r="P203" s="7"/>
      <c r="Q203" s="22"/>
      <c r="R203" s="22"/>
      <c r="S203" s="31">
        <f t="shared" si="65"/>
        <v>1</v>
      </c>
      <c r="T203" s="46" t="str">
        <f t="shared" si="49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0"/>
        <v>https://d0f6bd738d7f1b3e5a7ca70fe4ff75f0.us-east-1.aws.found.io/app/kibana#/discover/Steve-Slow-Train-Analysis-(2080s-and-2083s)?_g=(refreshInterval:(display:Off,pause:!f,section:0,value:0),time:(from:'2017-02-28T20:36:49-0700',mode:absolute,to:'2017-02-28T22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3" s="187" t="str">
        <f t="shared" si="51"/>
        <v>N</v>
      </c>
      <c r="X203" s="187">
        <f t="shared" si="66"/>
        <v>1</v>
      </c>
      <c r="Y203" s="62">
        <f t="shared" si="52"/>
        <v>5.8682999999999996</v>
      </c>
      <c r="Z203" s="62">
        <f t="shared" si="53"/>
        <v>7.0300000000000001E-2</v>
      </c>
      <c r="AA203" s="62">
        <f t="shared" si="54"/>
        <v>5.798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5"/>
        <v>0844-28</v>
      </c>
      <c r="AE203" s="85" t="str">
        <f t="shared" si="56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203" s="82" t="str">
        <f t="shared" si="57"/>
        <v>"C:\Program Files (x86)\AstroGrep\AstroGrep.exe" /spath="%USERPROFILE%\AppData\Local\Temp\OnboardLogs" /stypes="app*4054*20170301*" /stext=" 04:.+((SYSTEM_STATE.+slice.+state.+changed )|(ment ac)|(multiple cpu faults)|(system.+state.+changed )|(\[timeout)|(PRM\|1\|D)|(kpr)|(kdp)|(\|lc)|(penalty))" /e /r /s</v>
      </c>
      <c r="AG203" s="1" t="str">
        <f t="shared" si="58"/>
        <v>NW</v>
      </c>
      <c r="AH203" s="86" t="str">
        <f t="shared" si="59"/>
        <v>"%USERPROFILE%\Documents\GitHub\eaglep3\Utilities\RefineRTDCRunTimes.py" --tripid 844-28 --locoid 4054 --swversion DE.1.0.9.0 --startMP 300:58683 --initTime 2017-02-28T21:36:49 --startdatetime 2017-02-28T21:39:35 --delay 1 --endMP 204:703 --enddatetime 2017-02-28T21:54:48 --enforcementcount 1 &gt;&gt;C:\Users\stu\Documents\GitHub\eaglep3-reporting\EC\2017-02-28-refined-times.txt</v>
      </c>
      <c r="AI203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{"issue":{"subject":"","project_id":79,"tracker_id":40,"status_id":1,"priority_id":2,"assigned_to_id":23,"start_date":"2017-02-28","description":"","custom_fields":[{"id":1,"name":"Subdivision","value":"NW"},{"id":4,"name":"Milepost","value":"0.0703"},{"id":17,"name":"Train ID","value":"844-28"},{"id":16,"name":"Locomotive ID","value":"4054"},{"id":130,"name":"Impact","value":""},{"id":150,"name":"Time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1"/>
        <v>start /low /b %USERPROFILE%\Documents\GitHub\eaglep3\Utilities\DownloadLogsFromS3.py --loco 4054 --day 2017-02-28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"%USERPROFILE%\AppData\Local\Temp\OnboardLogs"\RTDC4054\*4054*20170301* | grep -SE "(Enforcement Action)|(\[TIMEOUT)|(CHR.+\|PRM\|1\|D.+(SWITCH|SIGNAL).+UNKNOWN)" - &gt;&gt; 2017-02-28-UncaughtWiMAX.txt</v>
      </c>
    </row>
    <row r="204" spans="1:40" x14ac:dyDescent="0.25">
      <c r="A204" s="33" t="s">
        <v>747</v>
      </c>
      <c r="B204" s="7">
        <v>4053</v>
      </c>
      <c r="C204" s="21" t="s">
        <v>274</v>
      </c>
      <c r="D204" s="21" t="s">
        <v>431</v>
      </c>
      <c r="E204" s="13">
        <v>42794.875138888892</v>
      </c>
      <c r="F204" s="13">
        <v>42794.889826388891</v>
      </c>
      <c r="G204" s="7">
        <v>1</v>
      </c>
      <c r="H204" s="21" t="s">
        <v>926</v>
      </c>
      <c r="I204" s="13">
        <v>42794.899467592593</v>
      </c>
      <c r="J204" s="7">
        <v>1</v>
      </c>
      <c r="K204" s="98" t="str">
        <f t="shared" si="47"/>
        <v>4053/4054</v>
      </c>
      <c r="L204" s="21" t="str">
        <f>VLOOKUP(A204,'Trips&amp;Operators'!$C$1:$G$99999,5,FALSE)</f>
        <v>LALONDE GREGORY</v>
      </c>
      <c r="M204" s="6">
        <f t="shared" si="48"/>
        <v>9.6412037019035779E-3</v>
      </c>
      <c r="N204" s="7">
        <f t="shared" si="67"/>
        <v>13.883333330741152</v>
      </c>
      <c r="O204" s="7"/>
      <c r="P204" s="7"/>
      <c r="Q204" s="22"/>
      <c r="R204" s="22"/>
      <c r="S204" s="31">
        <f t="shared" si="65"/>
        <v>1</v>
      </c>
      <c r="T204" s="46" t="str">
        <f t="shared" si="49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0"/>
        <v>https://d0f6bd738d7f1b3e5a7ca70fe4ff75f0.us-east-1.aws.found.io/app/kibana#/discover/Steve-Slow-Train-Analysis-(2080s-and-2083s)?_g=(refreshInterval:(display:Off,pause:!f,section:0,value:0),time:(from:'2017-02-28T20:00:12-0700',mode:absolute,to:'2017-02-28T22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4" s="187" t="str">
        <f t="shared" si="51"/>
        <v>N</v>
      </c>
      <c r="X204" s="187">
        <f t="shared" si="66"/>
        <v>1</v>
      </c>
      <c r="Y204" s="62">
        <f t="shared" si="52"/>
        <v>9.2999999999999999E-2</v>
      </c>
      <c r="Z204" s="62">
        <f t="shared" si="53"/>
        <v>5.8992000000000004</v>
      </c>
      <c r="AA204" s="62">
        <f t="shared" si="54"/>
        <v>5.8062000000000005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5"/>
        <v>0845-28</v>
      </c>
      <c r="AE204" s="85" t="str">
        <f t="shared" si="56"/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204" s="82" t="str">
        <f t="shared" si="57"/>
        <v>"C:\Program Files (x86)\AstroGrep\AstroGrep.exe" /spath="%USERPROFILE%\AppData\Local\Temp\OnboardLogs" /stypes="app*4053*20170301*" /stext=" 04:.+((SYSTEM_STATE.+slice.+state.+changed )|(ment ac)|(multiple cpu faults)|(system.+state.+changed )|(\[timeout)|(PRM\|1\|D)|(kpr)|(kdp)|(\|lc)|(penalty))" /e /r /s</v>
      </c>
      <c r="AG204" s="1" t="str">
        <f t="shared" si="58"/>
        <v>NW</v>
      </c>
      <c r="AH204" s="86" t="str">
        <f t="shared" si="59"/>
        <v>"%USERPROFILE%\Documents\GitHub\eaglep3\Utilities\RefineRTDCRunTimes.py" --tripid 845-28 --locoid 4053 --swversion DE.1.0.9.0 --startMP 204:930 --initTime 2017-02-28T21:00:12 --startdatetime 2017-02-28T21:21:21 --delay 1 --endMP 300:58992 --enddatetime 2017-02-28T21:35:14 --enforcementcount 1 &gt;&gt;C:\Users\stu\Documents\GitHub\eaglep3-reporting\EC\2017-02-28-refined-times.txt</v>
      </c>
      <c r="AI204" s="108" t="str">
        <f t="shared" si="60"/>
        <v>echo {"issue":{"subject":"","project_id":79,"tracker_id":40,"status_id":1,"priority_id":2,"assigned_to_id":23,"start_date":"2017-02-28","description":"","custom_fields":[{"id":1,"name":"Subdivision","value":"NW"},{"id":4,"name":"Milepost","value":"5.8992"},{"id":17,"name":"Train ID","value":"845-28"},{"id":16,"name":"Locomotive ID","value":"4053"},{"id":130,"name":"Impact","value":""},{"id":150,"name":"Time of Event (Mountain Time)","value":"21:35:14"},{"id":151,"name":"Denver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1"/>
        <v>start /low /b %USERPROFILE%\Documents\GitHub\eaglep3\Utilities\DownloadLogsFromS3.py --loco 4053 --day 2017-02-28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"%USERPROFILE%\AppData\Local\Temp\OnboardLogs"\RTDC4053\*4053*20170301* | grep -SE "(Enforcement Action)|(\[TIMEOUT)|(CHR.+\|PRM\|1\|D.+(SWITCH|SIGNAL).+UNKNOWN)" - &gt;&gt; 2017-02-28-UncaughtWiMAX.txt</v>
      </c>
    </row>
    <row r="205" spans="1:40" x14ac:dyDescent="0.25">
      <c r="A205" s="33" t="s">
        <v>752</v>
      </c>
      <c r="B205" s="7">
        <v>4053</v>
      </c>
      <c r="C205" s="21" t="s">
        <v>274</v>
      </c>
      <c r="D205" s="21" t="s">
        <v>927</v>
      </c>
      <c r="E205" s="13">
        <v>42794.915567129632</v>
      </c>
      <c r="F205" s="13">
        <v>42794.931423611109</v>
      </c>
      <c r="G205" s="7">
        <v>1</v>
      </c>
      <c r="H205" s="21" t="s">
        <v>897</v>
      </c>
      <c r="I205" s="13">
        <v>42794.9452662037</v>
      </c>
      <c r="J205" s="7">
        <v>1</v>
      </c>
      <c r="K205" s="98" t="str">
        <f t="shared" ref="K205:K236" si="68">IF(ISEVEN(B205),(B205-1)&amp;"/"&amp;B205,B205&amp;"/"&amp;(B205+1))</f>
        <v>4053/4054</v>
      </c>
      <c r="L205" s="21" t="str">
        <f>VLOOKUP(A205,'Trips&amp;Operators'!$C$1:$G$99999,5,FALSE)</f>
        <v>LALONDE GREGORY</v>
      </c>
      <c r="M205" s="6">
        <f t="shared" ref="M205:M236" si="69">I205-F205</f>
        <v>1.3842592590663116E-2</v>
      </c>
      <c r="N205" s="7">
        <f t="shared" si="67"/>
        <v>19.933333330554888</v>
      </c>
      <c r="O205" s="7"/>
      <c r="P205" s="7"/>
      <c r="Q205" s="22"/>
      <c r="R205" s="22"/>
      <c r="S205" s="31">
        <f t="shared" si="65"/>
        <v>1</v>
      </c>
      <c r="T205" s="46" t="str">
        <f t="shared" ref="T205:T236" si="70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6" si="7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-28T20:58:25-0700',mode:absolute,to:'2017-02-28T23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7" t="str">
        <f t="shared" ref="W205:W236" si="72">IF(AA205&lt;IF(AG205="EC",23,5.65),"Y","N")</f>
        <v>N</v>
      </c>
      <c r="X205" s="187">
        <f t="shared" si="66"/>
        <v>2</v>
      </c>
      <c r="Y205" s="62">
        <f t="shared" ref="Y205:Y236" si="73">RIGHT(D205,LEN(D205)-4)/10000</f>
        <v>0.1</v>
      </c>
      <c r="Z205" s="62">
        <f t="shared" ref="Z205:Z236" si="74">RIGHT(H205,LEN(H205)-4)/10000</f>
        <v>5.8978000000000002</v>
      </c>
      <c r="AA205" s="62">
        <f t="shared" ref="AA205:AA236" si="75">ABS(Z205-Y205)</f>
        <v>5.7978000000000005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6" si="76">IF(LEN(A205)=6,"0"&amp;A205,A205)</f>
        <v>0847-28</v>
      </c>
      <c r="AE205" s="85" t="str">
        <f t="shared" ref="AE205:AE236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AF205" s="82" t="str">
        <f t="shared" ref="AF205:AF236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/stypes="app*4053*20170301*" /stext=" 05:.+((SYSTEM_STATE.+slice.+state.+changed )|(ment ac)|(multiple cpu faults)|(system.+state.+changed )|(\[timeout)|(PRM\|1\|D)|(kpr)|(kdp)|(\|lc)|(penalty))" /e /r /s</v>
      </c>
      <c r="AG205" s="1" t="str">
        <f t="shared" ref="AG205:AG236" si="79">IFERROR(IF(VALUE(LEFT(AD205,2))&lt;=2,"EC",IF(OR(VALUE(LEFT(AD205,2))=8,VALUE(LEFT(AD205,2))=18),"NW","Other")),"Other")</f>
        <v>NW</v>
      </c>
      <c r="AH205" s="86" t="str">
        <f t="shared" ref="AH205:AH236" si="8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847-28 --locoid 4053 --swversion DE.1.0.9.0 --startMP 204:1000 --initTime 2017-02-28T21:58:25 --startdatetime 2017-02-28T22:21:15 --delay 1 --endMP 300:58978 --enddatetime 2017-02-28T22:41:11 --enforcementcount 1 &gt;&gt;C:\Users\stu\Documents\GitHub\eaglep3-reporting\EC\2017-02-28-refined-times.txt</v>
      </c>
      <c r="AI205" s="108" t="str">
        <f t="shared" ref="AI205:AI236" si="8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{"issue":{"subject":"","project_id":79,"tracker_id":40,"status_id":1,"priority_id":2,"assigned_to_id":23,"start_date":"2017-02-28","description":"","custom_fields":[{"id":1,"name":"Subdivision","value":"NW"},{"id":4,"name":"Milepost","value":"5.8978"},{"id":17,"name":"Train ID","value":"847-28"},{"id":16,"name":"Locomotive ID","value":"4053"},{"id":130,"name":"Impact","value":""},{"id":150,"name":"Time of Event (Mountain Time)","value":"22:41:11"},{"id":151,"name":"Denver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36" si="82">"start /low /b "&amp;dls3logs&amp;" --loco "&amp;B205&amp;" --day "&amp;TEXT(F205,"YYYY-MM-DD")</f>
        <v>start /low /b %USERPROFILE%\Documents\GitHub\eaglep3\Utilities\DownloadLogsFromS3.py --loco 4053 --day 2017-02-28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"%USERPROFILE%\AppData\Local\Temp\OnboardLogs"\RTDC4053\*4053*20170301* | grep -SE "(Enforcement Action)|(\[TIMEOUT)|(CHR.+\|PRM\|1\|D.+(SWITCH|SIGNAL).+UNKNOWN)" - &gt;&gt; 2017-02-28-UncaughtWiMAX.txt</v>
      </c>
    </row>
    <row r="206" spans="1:40" x14ac:dyDescent="0.25">
      <c r="A206" s="33" t="s">
        <v>530</v>
      </c>
      <c r="B206" s="7">
        <v>4052</v>
      </c>
      <c r="C206" s="21" t="s">
        <v>274</v>
      </c>
      <c r="D206" s="21" t="s">
        <v>848</v>
      </c>
      <c r="E206" s="13">
        <v>42794.116886574076</v>
      </c>
      <c r="F206" s="13">
        <v>42794.119467592594</v>
      </c>
      <c r="G206" s="7">
        <v>3</v>
      </c>
      <c r="H206" s="21" t="s">
        <v>262</v>
      </c>
      <c r="I206" s="13">
        <v>42794.125625000001</v>
      </c>
      <c r="J206" s="7">
        <v>1</v>
      </c>
      <c r="K206" s="98" t="str">
        <f t="shared" si="68"/>
        <v>4051/4052</v>
      </c>
      <c r="L206" s="21" t="str">
        <f>VLOOKUP(A206,'Trips&amp;Operators'!$C$1:$G$99999,5,FALSE)</f>
        <v>SANTIZO D. EDY</v>
      </c>
      <c r="M206" s="6">
        <f t="shared" si="69"/>
        <v>6.1574074061354622E-3</v>
      </c>
      <c r="N206" s="7">
        <f t="shared" si="67"/>
        <v>8.8666666648350656</v>
      </c>
      <c r="O206" s="7"/>
      <c r="P206" s="7"/>
      <c r="Q206" s="22"/>
      <c r="R206" s="22"/>
      <c r="S206" s="31">
        <f t="shared" si="65"/>
        <v>1</v>
      </c>
      <c r="T206" s="46" t="str">
        <f t="shared" si="70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1"/>
        <v>https://d0f6bd738d7f1b3e5a7ca70fe4ff75f0.us-east-1.aws.found.io/app/kibana#/discover/Steve-Slow-Train-Analysis-(2080s-and-2083s)?_g=(refreshInterval:(display:Off,pause:!f,section:0,value:0),time:(from:'2017-02-28T01:48:19-0700',mode:absolute,to:'2017-02-28T04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187" t="str">
        <f t="shared" si="72"/>
        <v>Y</v>
      </c>
      <c r="X206" s="187">
        <f t="shared" si="66"/>
        <v>-545</v>
      </c>
      <c r="Y206" s="62">
        <f t="shared" si="73"/>
        <v>1.9604999999999999</v>
      </c>
      <c r="Z206" s="62">
        <f t="shared" si="74"/>
        <v>1.47E-2</v>
      </c>
      <c r="AA206" s="62">
        <f t="shared" si="75"/>
        <v>1.9458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6"/>
        <v>0302-28</v>
      </c>
      <c r="AE206" s="85" t="str">
        <f t="shared" si="77"/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AF206" s="82" t="str">
        <f t="shared" si="78"/>
        <v>"C:\Program Files (x86)\AstroGrep\AstroGrep.exe" /spath="%USERPROFILE%\AppData\Local\Temp\OnboardLogs" /stypes="app*4052*20170228*" /stext=" 10:.+((SYSTEM_STATE.+slice.+state.+changed )|(ment ac)|(multiple cpu faults)|(system.+state.+changed )|(\[timeout)|(PRM\|1\|D)|(kpr)|(kdp)|(\|lc)|(penalty))" /e /r /s</v>
      </c>
      <c r="AG206" s="1" t="str">
        <f t="shared" si="79"/>
        <v>Other</v>
      </c>
      <c r="AH206" s="86" t="str">
        <f t="shared" si="80"/>
        <v>"%USERPROFILE%\Documents\GitHub\eaglep3\Utilities\RefineRTDCRunTimes.py" --tripid 302-28 --locoid 4052 --swversion DE.1.0.9.0 --startMP 300:19605 --initTime 2017-02-28T02:48:19 --startdatetime 2017-02-28T02:52:02 --delay 3 --endMP 204:147 --enddatetime 2017-02-28T03:00:54 --enforcementcount 1 &gt;&gt;C:\Users\stu\Documents\GitHub\eaglep3-reporting\EC\2017-02-28-refined-times.txt</v>
      </c>
      <c r="AI206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{"issue":{"subject":"","project_id":79,"tracker_id":40,"status_id":1,"priority_id":2,"assigned_to_id":23,"start_date":"2017-02-28","description":"","custom_fields":[{"id":1,"name":"Subdivision","value":"Other"},{"id":4,"name":"Milepost","value":"0.0147"},{"id":17,"name":"Train ID","value":"302-28"},{"id":16,"name":"Locomotive ID","value":"4052"},{"id":130,"name":"Impact","value":""},{"id":150,"name":"Time of Event (Mountain Time)","value":"03:00:54"},{"id":151,"name":"Denver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2"/>
        <v>start /low /b %USERPROFILE%\Documents\GitHub\eaglep3\Utilities\DownloadLogsFromS3.py --loco 4052 --day 2017-02-28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"%USERPROFILE%\AppData\Local\Temp\OnboardLogs"\RTDC4052\*4052*20170228* | grep -SE "(Enforcement Action)|(\[TIMEOUT)|(CHR.+\|PRM\|1\|D.+(SWITCH|SIGNAL).+UNKNOWN)" - &gt;&gt; 2017-02-28-UncaughtWiMAX.txt</v>
      </c>
    </row>
    <row r="207" spans="1:40" x14ac:dyDescent="0.25">
      <c r="A207" s="33" t="s">
        <v>729</v>
      </c>
      <c r="B207" s="7">
        <v>4025</v>
      </c>
      <c r="C207" s="21" t="s">
        <v>274</v>
      </c>
      <c r="D207" s="21" t="s">
        <v>849</v>
      </c>
      <c r="E207" s="13">
        <v>42794.781412037039</v>
      </c>
      <c r="F207" s="13">
        <v>42794.788622685184</v>
      </c>
      <c r="G207" s="7">
        <v>1</v>
      </c>
      <c r="H207" s="21" t="s">
        <v>850</v>
      </c>
      <c r="I207" s="13">
        <v>42794.795775462961</v>
      </c>
      <c r="J207" s="7">
        <v>1</v>
      </c>
      <c r="K207" s="98" t="str">
        <f t="shared" si="68"/>
        <v>4025/4026</v>
      </c>
      <c r="L207" s="21" t="str">
        <f>VLOOKUP(A207,'Trips&amp;Operators'!$C$1:$G$99999,5,FALSE)</f>
        <v>CLARK KATHLEEN</v>
      </c>
      <c r="M207" s="6">
        <f t="shared" si="69"/>
        <v>7.1527777763549238E-3</v>
      </c>
      <c r="N207" s="7">
        <f t="shared" si="67"/>
        <v>10.29999999795109</v>
      </c>
      <c r="O207" s="7"/>
      <c r="P207" s="7"/>
      <c r="Q207" s="22"/>
      <c r="R207" s="22"/>
      <c r="S207" s="31">
        <f t="shared" si="65"/>
        <v>1</v>
      </c>
      <c r="T207" s="46" t="str">
        <f t="shared" si="70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1"/>
        <v>https://d0f6bd738d7f1b3e5a7ca70fe4ff75f0.us-east-1.aws.found.io/app/kibana#/discover/Steve-Slow-Train-Analysis-(2080s-and-2083s)?_g=(refreshInterval:(display:Off,pause:!f,section:0,value:0),time:(from:'2017-02-28T17:45:14-0700',mode:absolute,to:'2017-02-28T20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7" s="187" t="str">
        <f t="shared" si="72"/>
        <v>Y</v>
      </c>
      <c r="X207" s="187">
        <f t="shared" si="66"/>
        <v>1</v>
      </c>
      <c r="Y207" s="62">
        <f t="shared" si="73"/>
        <v>4.9700000000000001E-2</v>
      </c>
      <c r="Z207" s="62">
        <f t="shared" si="74"/>
        <v>3.1597</v>
      </c>
      <c r="AA207" s="62">
        <f t="shared" si="75"/>
        <v>3.11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6"/>
        <v>0303-28</v>
      </c>
      <c r="AE207" s="85" t="str">
        <f t="shared" si="77"/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AF207" s="82" t="str">
        <f t="shared" si="78"/>
        <v>"C:\Program Files (x86)\AstroGrep\AstroGrep.exe" /spath="%USERPROFILE%\AppData\Local\Temp\OnboardLogs" /stypes="app*4025*20170301*" /stext=" 02:.+((SYSTEM_STATE.+slice.+state.+changed )|(ment ac)|(multiple cpu faults)|(system.+state.+changed )|(\[timeout)|(PRM\|1\|D)|(kpr)|(kdp)|(\|lc)|(penalty))" /e /r /s</v>
      </c>
      <c r="AG207" s="1" t="str">
        <f t="shared" si="79"/>
        <v>Other</v>
      </c>
      <c r="AH207" s="86" t="str">
        <f t="shared" si="80"/>
        <v>"%USERPROFILE%\Documents\GitHub\eaglep3\Utilities\RefineRTDCRunTimes.py" --tripid 303-28 --locoid 4025 --swversion DE.1.0.9.0 --startMP 204:497 --initTime 2017-02-28T18:45:14 --startdatetime 2017-02-28T18:55:37 --delay 1 --endMP 300:31597 --enddatetime 2017-02-28T19:05:55 --enforcementcount 1 &gt;&gt;C:\Users\stu\Documents\GitHub\eaglep3-reporting\EC\2017-02-28-refined-times.txt</v>
      </c>
      <c r="AI207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{"issue":{"subject":"","project_id":79,"tracker_id":40,"status_id":1,"priority_id":2,"assigned_to_id":23,"start_date":"2017-02-28","description":"","custom_fields":[{"id":1,"name":"Subdivision","value":"Other"},{"id":4,"name":"Milepost","value":"3.1597"},{"id":17,"name":"Train ID","value":"303-28"},{"id":16,"name":"Locomotive ID","value":"4025"},{"id":130,"name":"Impact","value":""},{"id":150,"name":"Time of Event (Mountain Time)","value":"19:05:55"},{"id":151,"name":"Denver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2"/>
        <v>start /low /b %USERPROFILE%\Documents\GitHub\eaglep3\Utilities\DownloadLogsFromS3.py --loco 4025 --day 2017-02-28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2017-02-28-UncaughtWiMAX.txt</v>
      </c>
    </row>
    <row r="208" spans="1:40" x14ac:dyDescent="0.25">
      <c r="A208" s="33" t="s">
        <v>575</v>
      </c>
      <c r="B208" s="7">
        <v>4008</v>
      </c>
      <c r="C208" s="21" t="s">
        <v>274</v>
      </c>
      <c r="D208" s="21" t="s">
        <v>851</v>
      </c>
      <c r="E208" s="13">
        <v>42794.141331018516</v>
      </c>
      <c r="F208" s="13">
        <v>42794.14503472222</v>
      </c>
      <c r="G208" s="7">
        <v>5</v>
      </c>
      <c r="H208" s="21" t="s">
        <v>213</v>
      </c>
      <c r="I208" s="13">
        <v>42794.149826388886</v>
      </c>
      <c r="J208" s="7">
        <v>1</v>
      </c>
      <c r="K208" s="98" t="str">
        <f t="shared" si="68"/>
        <v>4007/4008</v>
      </c>
      <c r="L208" s="21" t="str">
        <f>VLOOKUP(A208,'Trips&amp;Operators'!$C$1:$G$99999,5,FALSE)</f>
        <v>MAELZER KURT</v>
      </c>
      <c r="M208" s="6">
        <f t="shared" si="69"/>
        <v>4.7916666662786156E-3</v>
      </c>
      <c r="N208" s="7">
        <f t="shared" si="67"/>
        <v>6.8999999994412065</v>
      </c>
      <c r="O208" s="7"/>
      <c r="P208" s="7"/>
      <c r="Q208" s="22"/>
      <c r="R208" s="22"/>
      <c r="S208" s="31">
        <f t="shared" si="65"/>
        <v>1</v>
      </c>
      <c r="T208" s="46" t="str">
        <f t="shared" si="70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1"/>
        <v>https://d0f6bd738d7f1b3e5a7ca70fe4ff75f0.us-east-1.aws.found.io/app/kibana#/discover/Steve-Slow-Train-Analysis-(2080s-and-2083s)?_g=(refreshInterval:(display:Off,pause:!f,section:0,value:0),time:(from:'2017-02-28T02:23:31-0700',mode:absolute,to:'2017-02-28T04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187" t="str">
        <f t="shared" si="72"/>
        <v>Y</v>
      </c>
      <c r="X208" s="187">
        <f t="shared" si="66"/>
        <v>1</v>
      </c>
      <c r="Y208" s="62">
        <f t="shared" si="73"/>
        <v>1.9745999999999999</v>
      </c>
      <c r="Z208" s="62">
        <f t="shared" si="74"/>
        <v>1.54E-2</v>
      </c>
      <c r="AA208" s="62">
        <f t="shared" si="75"/>
        <v>1.9591999999999998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6"/>
        <v>0304-28</v>
      </c>
      <c r="AE208" s="85" t="str">
        <f t="shared" si="77"/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AF208" s="82" t="str">
        <f t="shared" si="78"/>
        <v>"C:\Program Files (x86)\AstroGrep\AstroGrep.exe" /spath="%USERPROFILE%\AppData\Local\Temp\OnboardLogs" /stypes="app*4008*20170228*" /stext=" 10:.+((SYSTEM_STATE.+slice.+state.+changed )|(ment ac)|(multiple cpu faults)|(system.+state.+changed )|(\[timeout)|(PRM\|1\|D)|(kpr)|(kdp)|(\|lc)|(penalty))" /e /r /s</v>
      </c>
      <c r="AG208" s="1" t="str">
        <f t="shared" si="79"/>
        <v>Other</v>
      </c>
      <c r="AH208" s="86" t="str">
        <f t="shared" si="80"/>
        <v>"%USERPROFILE%\Documents\GitHub\eaglep3\Utilities\RefineRTDCRunTimes.py" --tripid 304-28 --locoid 4008 --swversion DE.1.0.9.0 --startMP 300:19746 --initTime 2017-02-28T03:23:31 --startdatetime 2017-02-28T03:28:51 --delay 5 --endMP 204:154 --enddatetime 2017-02-28T03:35:45 --enforcementcount 1 &gt;&gt;C:\Users\stu\Documents\GitHub\eaglep3-reporting\EC\2017-02-28-refined-times.txt</v>
      </c>
      <c r="AI208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{"issue":{"subject":"","project_id":79,"tracker_id":40,"status_id":1,"priority_id":2,"assigned_to_id":23,"start_date":"2017-02-28","description":"","custom_fields":[{"id":1,"name":"Subdivision","value":"Other"},{"id":4,"name":"Milepost","value":"0.0154"},{"id":17,"name":"Train ID","value":"304-28"},{"id":16,"name":"Locomotive ID","value":"4008"},{"id":130,"name":"Impact","value":""},{"id":150,"name":"Time of Event (Mountain Time)","value":"03:35:45"},{"id":151,"name":"Denver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2"/>
        <v>start /low /b %USERPROFILE%\Documents\GitHub\eaglep3\Utilities\DownloadLogsFromS3.py --loco 4008 --day 2017-02-28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2017-02-28-UncaughtWiMAX.txt</v>
      </c>
    </row>
    <row r="209" spans="1:40" x14ac:dyDescent="0.25">
      <c r="A209" s="33" t="s">
        <v>737</v>
      </c>
      <c r="B209" s="7">
        <v>4051</v>
      </c>
      <c r="C209" s="21" t="s">
        <v>274</v>
      </c>
      <c r="D209" s="21" t="s">
        <v>852</v>
      </c>
      <c r="E209" s="13">
        <v>42794.800856481481</v>
      </c>
      <c r="F209" s="13">
        <v>25568.708333333332</v>
      </c>
      <c r="G209" s="7">
        <v>1</v>
      </c>
      <c r="H209" s="21" t="s">
        <v>853</v>
      </c>
      <c r="I209" s="13">
        <v>25568.708333333332</v>
      </c>
      <c r="J209" s="7">
        <v>1</v>
      </c>
      <c r="K209" s="98" t="str">
        <f t="shared" si="68"/>
        <v>4051/4052</v>
      </c>
      <c r="L209" s="21" t="str">
        <f>VLOOKUP(A209,'Trips&amp;Operators'!$C$1:$G$99999,5,FALSE)</f>
        <v>SWANSON BRYCE</v>
      </c>
      <c r="M209" s="6">
        <f t="shared" si="69"/>
        <v>0</v>
      </c>
      <c r="N209" s="7">
        <f t="shared" si="67"/>
        <v>0</v>
      </c>
      <c r="O209" s="7"/>
      <c r="P209" s="7"/>
      <c r="Q209" s="22"/>
      <c r="R209" s="22"/>
      <c r="S209" s="31">
        <f t="shared" si="65"/>
        <v>1</v>
      </c>
      <c r="T209" s="46" t="str">
        <f t="shared" si="70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1"/>
        <v>https://d0f6bd738d7f1b3e5a7ca70fe4ff75f0.us-east-1.aws.found.io/app/kibana#/discover/Steve-Slow-Train-Analysis-(2080s-and-2083s)?_g=(refreshInterval:(display:Off,pause:!f,section:0,value:0),time:(from:'2017-02-28T18:13:14-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187" t="str">
        <f t="shared" si="72"/>
        <v>Y</v>
      </c>
      <c r="X209" s="187">
        <f t="shared" si="66"/>
        <v>1</v>
      </c>
      <c r="Y209" s="62">
        <f t="shared" si="73"/>
        <v>4.7699999999999999E-2</v>
      </c>
      <c r="Z209" s="62">
        <f t="shared" si="74"/>
        <v>2.4207999999999998</v>
      </c>
      <c r="AA209" s="62">
        <f t="shared" si="75"/>
        <v>2.3731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6"/>
        <v>0305-28</v>
      </c>
      <c r="AE209" s="85" t="str">
        <f t="shared" si="77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9" s="82" t="str">
        <f t="shared" si="78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9" s="1" t="str">
        <f t="shared" si="79"/>
        <v>Other</v>
      </c>
      <c r="AH209" s="86" t="str">
        <f t="shared" si="80"/>
        <v>"%USERPROFILE%\Documents\GitHub\eaglep3\Utilities\RefineRTDCRunTimes.py" --tripid 305-28 --locoid 4051 --swversion DE.1.0.9.0 --startMP 204:477 --initTime 2017-02-28T19:13:14 --startdatetime 1969-12-31T17:00:00 --delay 1 --endMP 300:24208 --enddatetime 1969-12-31T17:00:00 --enforcementcount 1 &gt;&gt;C:\Users\stu\Documents\GitHub\eaglep3-reporting\EC\2017-02-28-refined-times.txt</v>
      </c>
      <c r="AI209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{"issue":{"subject":"","project_id":79,"tracker_id":40,"status_id":1,"priority_id":2,"assigned_to_id":23,"start_date":"1969-12-31","description":"","custom_fields":[{"id":1,"name":"Subdivision","value":"Other"},{"id":4,"name":"Milepost","value":"2.4208"},{"id":17,"name":"Train ID","value":"305-28"},{"id":16,"name":"Locomotive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2"/>
        <v>start /low /b %USERPROFILE%\Documents\GitHub\eaglep3\Utilities\DownloadLogsFromS3.py --loco 4051 --day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2017-02-28-UncaughtWiMAX.txt</v>
      </c>
    </row>
    <row r="210" spans="1:40" x14ac:dyDescent="0.25">
      <c r="A210" s="33" t="s">
        <v>739</v>
      </c>
      <c r="B210" s="7">
        <v>4044</v>
      </c>
      <c r="C210" s="21" t="s">
        <v>274</v>
      </c>
      <c r="D210" s="21" t="s">
        <v>238</v>
      </c>
      <c r="E210" s="13">
        <v>42794.81927083333</v>
      </c>
      <c r="F210" s="13">
        <v>42794.823206018518</v>
      </c>
      <c r="G210" s="7">
        <v>1</v>
      </c>
      <c r="H210" s="21" t="s">
        <v>854</v>
      </c>
      <c r="I210" s="13">
        <v>42794.82885416667</v>
      </c>
      <c r="J210" s="7">
        <v>1</v>
      </c>
      <c r="K210" s="98" t="str">
        <f t="shared" si="68"/>
        <v>4043/4044</v>
      </c>
      <c r="L210" s="21" t="str">
        <f>VLOOKUP(A210,'Trips&amp;Operators'!$C$1:$G$99999,5,FALSE)</f>
        <v>BERLING GARY</v>
      </c>
      <c r="M210" s="6">
        <f t="shared" si="69"/>
        <v>5.6481481515220366E-3</v>
      </c>
      <c r="N210" s="7">
        <f t="shared" si="67"/>
        <v>8.1333333381917328</v>
      </c>
      <c r="O210" s="7"/>
      <c r="P210" s="7"/>
      <c r="Q210" s="22"/>
      <c r="R210" s="22"/>
      <c r="S210" s="31">
        <f t="shared" si="65"/>
        <v>1</v>
      </c>
      <c r="T210" s="46" t="str">
        <f t="shared" si="70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1"/>
        <v>https://d0f6bd738d7f1b3e5a7ca70fe4ff75f0.us-east-1.aws.found.io/app/kibana#/discover/Steve-Slow-Train-Analysis-(2080s-and-2083s)?_g=(refreshInterval:(display:Off,pause:!f,section:0,value:0),time:(from:'2017-02-28T18:39:45-0700',mode:absolute,to:'2017-02-28T20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87" t="str">
        <f t="shared" si="72"/>
        <v>Y</v>
      </c>
      <c r="X210" s="187">
        <f t="shared" si="66"/>
        <v>2</v>
      </c>
      <c r="Y210" s="62">
        <f t="shared" si="73"/>
        <v>4.53E-2</v>
      </c>
      <c r="Z210" s="62">
        <f t="shared" si="74"/>
        <v>2.4220000000000002</v>
      </c>
      <c r="AA210" s="62">
        <f t="shared" si="75"/>
        <v>2.3767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6"/>
        <v>0307-28</v>
      </c>
      <c r="AE210" s="85" t="str">
        <f t="shared" si="77"/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AF210" s="82" t="str">
        <f t="shared" si="78"/>
        <v>"C:\Program Files (x86)\AstroGrep\AstroGrep.exe" /spath="%USERPROFILE%\AppData\Local\Temp\OnboardLogs" /stypes="app*4044*20170301*" /stext=" 02:.+((SYSTEM_STATE.+slice.+state.+changed )|(ment ac)|(multiple cpu faults)|(system.+state.+changed )|(\[timeout)|(PRM\|1\|D)|(kpr)|(kdp)|(\|lc)|(penalty))" /e /r /s</v>
      </c>
      <c r="AG210" s="1" t="str">
        <f t="shared" si="79"/>
        <v>Other</v>
      </c>
      <c r="AH210" s="86" t="str">
        <f t="shared" si="80"/>
        <v>"%USERPROFILE%\Documents\GitHub\eaglep3\Utilities\RefineRTDCRunTimes.py" --tripid 307-28 --locoid 4044 --swversion DE.1.0.9.0 --startMP 204:453 --initTime 2017-02-28T19:39:45 --startdatetime 2017-02-28T19:45:25 --delay 1 --endMP 300:24220 --enddatetime 2017-02-28T19:53:33 --enforcementcount 1 &gt;&gt;C:\Users\stu\Documents\GitHub\eaglep3-reporting\EC\2017-02-28-refined-times.txt</v>
      </c>
      <c r="AI210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{"issue":{"subject":"","project_id":79,"tracker_id":40,"status_id":1,"priority_id":2,"assigned_to_id":23,"start_date":"2017-02-28","description":"","custom_fields":[{"id":1,"name":"Subdivision","value":"Other"},{"id":4,"name":"Milepost","value":"2.422"},{"id":17,"name":"Train ID","value":"307-28"},{"id":16,"name":"Locomotive ID","value":"4044"},{"id":130,"name":"Impact","value":""},{"id":150,"name":"Time of Event (Mountain Time)","value":"19:53:33"},{"id":151,"name":"Denver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2"/>
        <v>start /low /b %USERPROFILE%\Documents\GitHub\eaglep3\Utilities\DownloadLogsFromS3.py --loco 4044 --day 2017-02-28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"%USERPROFILE%\AppData\Local\Temp\OnboardLogs"\RTDC4044\*4044*20170301* | grep -SE "(Enforcement Action)|(\[TIMEOUT)|(CHR.+\|PRM\|1\|D.+(SWITCH|SIGNAL).+UNKNOWN)" - &gt;&gt; 2017-02-28-UncaughtWiMAX.txt</v>
      </c>
    </row>
    <row r="211" spans="1:40" x14ac:dyDescent="0.25">
      <c r="A211" s="33" t="s">
        <v>580</v>
      </c>
      <c r="B211" s="7">
        <v>4017</v>
      </c>
      <c r="C211" s="21" t="s">
        <v>274</v>
      </c>
      <c r="D211" s="21" t="s">
        <v>855</v>
      </c>
      <c r="E211" s="13">
        <v>42794.17496527778</v>
      </c>
      <c r="F211" s="13">
        <v>42794.182037037041</v>
      </c>
      <c r="G211" s="7">
        <v>3</v>
      </c>
      <c r="H211" s="21" t="s">
        <v>194</v>
      </c>
      <c r="I211" s="13">
        <v>42794.189837962964</v>
      </c>
      <c r="J211" s="7">
        <v>1</v>
      </c>
      <c r="K211" s="98" t="str">
        <f t="shared" si="68"/>
        <v>4017/4018</v>
      </c>
      <c r="L211" s="21" t="str">
        <f>VLOOKUP(A211,'Trips&amp;Operators'!$C$1:$G$99999,5,FALSE)</f>
        <v>LOCKLEAR TRAVIS</v>
      </c>
      <c r="M211" s="6">
        <f t="shared" si="69"/>
        <v>7.8009259232203476E-3</v>
      </c>
      <c r="N211" s="7">
        <f t="shared" si="67"/>
        <v>11.233333329437301</v>
      </c>
      <c r="O211" s="7"/>
      <c r="P211" s="7"/>
      <c r="Q211" s="22"/>
      <c r="R211" s="22"/>
      <c r="S211" s="31">
        <f t="shared" ref="S211:S236" si="83">SUM(U211:U211)/IF(AG211="EC",12,1)</f>
        <v>1</v>
      </c>
      <c r="T211" s="46" t="str">
        <f t="shared" si="70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1"/>
        <v>https://d0f6bd738d7f1b3e5a7ca70fe4ff75f0.us-east-1.aws.found.io/app/kibana#/discover/Steve-Slow-Train-Analysis-(2080s-and-2083s)?_g=(refreshInterval:(display:Off,pause:!f,section:0,value:0),time:(from:'2017-02-28T03:11:57-0700',mode:absolute,to:'2017-02-28T05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7" t="str">
        <f t="shared" si="72"/>
        <v>Y</v>
      </c>
      <c r="X211" s="187">
        <f t="shared" si="66"/>
        <v>1</v>
      </c>
      <c r="Y211" s="62">
        <f t="shared" si="73"/>
        <v>2.2092000000000001</v>
      </c>
      <c r="Z211" s="62">
        <f t="shared" si="74"/>
        <v>1.4999999999999999E-2</v>
      </c>
      <c r="AA211" s="62">
        <f t="shared" si="75"/>
        <v>2.1941999999999999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6"/>
        <v>0308-28</v>
      </c>
      <c r="AE211" s="85" t="str">
        <f t="shared" si="77"/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AF211" s="82" t="str">
        <f t="shared" si="78"/>
        <v>"C:\Program Files (x86)\AstroGrep\AstroGrep.exe" /spath="%USERPROFILE%\AppData\Local\Temp\OnboardLogs" /stypes="app*4017*20170228*" /stext=" 11:.+((SYSTEM_STATE.+slice.+state.+changed )|(ment ac)|(multiple cpu faults)|(system.+state.+changed )|(\[timeout)|(PRM\|1\|D)|(kpr)|(kdp)|(\|lc)|(penalty))" /e /r /s</v>
      </c>
      <c r="AG211" s="1" t="str">
        <f t="shared" si="79"/>
        <v>Other</v>
      </c>
      <c r="AH211" s="86" t="str">
        <f t="shared" si="80"/>
        <v>"%USERPROFILE%\Documents\GitHub\eaglep3\Utilities\RefineRTDCRunTimes.py" --tripid 308-28 --locoid 4017 --swversion DE.1.0.9.0 --startMP 300:22092 --initTime 2017-02-28T04:11:57 --startdatetime 2017-02-28T04:22:08 --delay 3 --endMP 204:150 --enddatetime 2017-02-28T04:33:22 --enforcementcount 1 &gt;&gt;C:\Users\stu\Documents\GitHub\eaglep3-reporting\EC\2017-02-28-refined-times.txt</v>
      </c>
      <c r="AI211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{"issue":{"subject":"","project_id":79,"tracker_id":40,"status_id":1,"priority_id":2,"assigned_to_id":23,"start_date":"2017-02-28","description":"","custom_fields":[{"id":1,"name":"Subdivision","value":"Other"},{"id":4,"name":"Milepost","value":"0.015"},{"id":17,"name":"Train ID","value":"308-28"},{"id":16,"name":"Locomotive ID","value":"4017"},{"id":130,"name":"Impact","value":""},{"id":150,"name":"Time of Event (Mountain Time)","value":"04:33:22"},{"id":151,"name":"Denver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2"/>
        <v>start /low /b %USERPROFILE%\Documents\GitHub\eaglep3\Utilities\DownloadLogsFromS3.py --loco 4017 --day 2017-02-28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2017-02-28-UncaughtWiMAX.txt</v>
      </c>
    </row>
    <row r="212" spans="1:40" x14ac:dyDescent="0.25">
      <c r="A212" s="33" t="s">
        <v>765</v>
      </c>
      <c r="B212" s="7">
        <v>4006</v>
      </c>
      <c r="C212" s="21" t="s">
        <v>274</v>
      </c>
      <c r="D212" s="21" t="s">
        <v>246</v>
      </c>
      <c r="E212" s="13">
        <v>42795.052222222221</v>
      </c>
      <c r="F212" s="13">
        <v>42795.053981481484</v>
      </c>
      <c r="G212" s="7">
        <v>1</v>
      </c>
      <c r="H212" s="21" t="s">
        <v>856</v>
      </c>
      <c r="I212" s="13">
        <v>42795.059502314813</v>
      </c>
      <c r="J212" s="7">
        <v>1</v>
      </c>
      <c r="K212" s="98" t="str">
        <f t="shared" si="68"/>
        <v>4005/4006</v>
      </c>
      <c r="L212" s="21" t="str">
        <f>VLOOKUP(A212,'Trips&amp;Operators'!$C$1:$G$99999,5,FALSE)</f>
        <v>NEWELL JAMES</v>
      </c>
      <c r="M212" s="6">
        <f t="shared" si="69"/>
        <v>5.5208333287737332E-3</v>
      </c>
      <c r="N212" s="7">
        <f t="shared" si="67"/>
        <v>7.9499999934341758</v>
      </c>
      <c r="O212" s="7"/>
      <c r="P212" s="7"/>
      <c r="Q212" s="22"/>
      <c r="R212" s="22"/>
      <c r="S212" s="31">
        <f t="shared" si="83"/>
        <v>1</v>
      </c>
      <c r="T212" s="46" t="str">
        <f t="shared" si="70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1"/>
        <v>https://d0f6bd738d7f1b3e5a7ca70fe4ff75f0.us-east-1.aws.found.io/app/kibana#/discover/Steve-Slow-Train-Analysis-(2080s-and-2083s)?_g=(refreshInterval:(display:Off,pause:!f,section:0,value:0),time:(from:'2017-03-01T00:15:12-0700',mode:absolute,to:'2017-03-01T02:25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87" t="str">
        <f t="shared" si="72"/>
        <v>Y</v>
      </c>
      <c r="X212" s="187">
        <f t="shared" si="66"/>
        <v>1</v>
      </c>
      <c r="Y212" s="62">
        <f t="shared" si="73"/>
        <v>4.6399999999999997E-2</v>
      </c>
      <c r="Z212" s="62">
        <f t="shared" si="74"/>
        <v>2.4190999999999998</v>
      </c>
      <c r="AA212" s="62">
        <f t="shared" si="75"/>
        <v>2.3727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6"/>
        <v>0309-28</v>
      </c>
      <c r="AE212" s="85" t="str">
        <f t="shared" si="77"/>
        <v>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 &amp; 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</v>
      </c>
      <c r="AF212" s="82" t="str">
        <f t="shared" si="78"/>
        <v>"C:\Program Files (x86)\AstroGrep\AstroGrep.exe" /spath="%USERPROFILE%\AppData\Local\Temp\OnboardLogs" /stypes="app*4006*20170301*" /stext=" 08:.+((SYSTEM_STATE.+slice.+state.+changed )|(ment ac)|(multiple cpu faults)|(system.+state.+changed )|(\[timeout)|(PRM\|1\|D)|(kpr)|(kdp)|(\|lc)|(penalty))" /e /r /s</v>
      </c>
      <c r="AG212" s="1" t="str">
        <f t="shared" si="79"/>
        <v>Other</v>
      </c>
      <c r="AH212" s="86" t="str">
        <f t="shared" si="80"/>
        <v>"%USERPROFILE%\Documents\GitHub\eaglep3\Utilities\RefineRTDCRunTimes.py" --tripid 309-28 --locoid 4006 --swversion DE.1.0.9.0 --startMP 204:464 --initTime 2017-03-01T01:15:12 --startdatetime 2017-03-01T01:17:44 --delay 1 --endMP 300:24191 --enddatetime 2017-03-01T01:25:41 --enforcementcount 1 &gt;&gt;C:\Users\stu\Documents\GitHub\eaglep3-reporting\EC\2017-02-28-refined-times.txt</v>
      </c>
      <c r="AI212" s="108" t="str">
        <f t="shared" si="81"/>
        <v>echo {"issue":{"subject":"","project_id":79,"tracker_id":40,"status_id":1,"priority_id":2,"assigned_to_id":23,"start_date":"2017-03-01","description":"","custom_fields":[{"id":1,"name":"Subdivision","value":"Other"},{"id":4,"name":"Milepost","value":"2.4191"},{"id":17,"name":"Train ID","value":"309-28"},{"id":16,"name":"Locomotive ID","value":"4006"},{"id":130,"name":"Impact","value":""},{"id":150,"name":"Time of Event (Mountain Time)","value":"01:25:41"},{"id":151,"name":"Denver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2"/>
        <v>start /low /b %USERPROFILE%\Documents\GitHub\eaglep3\Utilities\DownloadLogsFromS3.py --loco 4006 --day 2017-03-01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"%USERPROFILE%\AppData\Local\Temp\OnboardLogs"\RTDC4006\*4006*20170301* | grep -SE "(Enforcement Action)|(\[TIMEOUT)|(CHR.+\|PRM\|1\|D.+(SWITCH|SIGNAL).+UNKNOWN)" - &gt;&gt; 2017-02-28-UncaughtWiMAX.txt</v>
      </c>
    </row>
    <row r="213" spans="1:40" x14ac:dyDescent="0.25">
      <c r="A213" s="33" t="s">
        <v>581</v>
      </c>
      <c r="B213" s="7">
        <v>4026</v>
      </c>
      <c r="C213" s="21" t="s">
        <v>274</v>
      </c>
      <c r="D213" s="21" t="s">
        <v>857</v>
      </c>
      <c r="E213" s="13">
        <v>42794.184537037036</v>
      </c>
      <c r="F213" s="13">
        <v>42794.185613425929</v>
      </c>
      <c r="G213" s="7">
        <v>1</v>
      </c>
      <c r="H213" s="21" t="s">
        <v>785</v>
      </c>
      <c r="I213" s="13">
        <v>42794.192210648151</v>
      </c>
      <c r="J213" s="7">
        <v>1</v>
      </c>
      <c r="K213" s="98" t="str">
        <f t="shared" si="68"/>
        <v>4025/4026</v>
      </c>
      <c r="L213" s="21" t="str">
        <f>VLOOKUP(A213,'Trips&amp;Operators'!$C$1:$G$99999,5,FALSE)</f>
        <v>ACKERMAN JARED</v>
      </c>
      <c r="M213" s="6">
        <f t="shared" si="69"/>
        <v>6.5972222218988463E-3</v>
      </c>
      <c r="N213" s="7">
        <f t="shared" si="67"/>
        <v>9.4999999995343387</v>
      </c>
      <c r="O213" s="7"/>
      <c r="P213" s="7"/>
      <c r="Q213" s="22"/>
      <c r="R213" s="22"/>
      <c r="S213" s="31">
        <f t="shared" si="83"/>
        <v>1</v>
      </c>
      <c r="T213" s="46" t="str">
        <f t="shared" si="70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1"/>
        <v>https://d0f6bd738d7f1b3e5a7ca70fe4ff75f0.us-east-1.aws.found.io/app/kibana#/discover/Steve-Slow-Train-Analysis-(2080s-and-2083s)?_g=(refreshInterval:(display:Off,pause:!f,section:0,value:0),time:(from:'2017-02-28T03:25:44-0700',mode:absolute,to:'2017-02-28T05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187" t="str">
        <f t="shared" si="72"/>
        <v>Y</v>
      </c>
      <c r="X213" s="187">
        <f t="shared" si="66"/>
        <v>1</v>
      </c>
      <c r="Y213" s="62">
        <f t="shared" si="73"/>
        <v>2.2671000000000001</v>
      </c>
      <c r="Z213" s="62">
        <f t="shared" si="74"/>
        <v>1.2699999999999999E-2</v>
      </c>
      <c r="AA213" s="62">
        <f t="shared" si="75"/>
        <v>2.2544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6"/>
        <v>0310-28</v>
      </c>
      <c r="AE213" s="85" t="str">
        <f t="shared" si="77"/>
        <v>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 &amp; 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</v>
      </c>
      <c r="AF213" s="82" t="str">
        <f t="shared" si="78"/>
        <v>"C:\Program Files (x86)\AstroGrep\AstroGrep.exe" /spath="%USERPROFILE%\AppData\Local\Temp\OnboardLogs" /stypes="app*4026*20170228*" /stext=" 11:.+((SYSTEM_STATE.+slice.+state.+changed )|(ment ac)|(multiple cpu faults)|(system.+state.+changed )|(\[timeout)|(PRM\|1\|D)|(kpr)|(kdp)|(\|lc)|(penalty))" /e /r /s</v>
      </c>
      <c r="AG213" s="1" t="str">
        <f t="shared" si="79"/>
        <v>Other</v>
      </c>
      <c r="AH213" s="86" t="str">
        <f t="shared" si="80"/>
        <v>"%USERPROFILE%\Documents\GitHub\eaglep3\Utilities\RefineRTDCRunTimes.py" --tripid 310-28 --locoid 4026 --swversion DE.1.0.9.0 --startMP 300:22671 --initTime 2017-02-28T04:25:44 --startdatetime 2017-02-28T04:27:17 --delay 1 --endMP 204:127 --enddatetime 2017-02-28T04:36:47 --enforcementcount 1 &gt;&gt;C:\Users\stu\Documents\GitHub\eaglep3-reporting\EC\2017-02-28-refined-times.txt</v>
      </c>
      <c r="AI213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{"issue":{"subject":"","project_id":79,"tracker_id":40,"status_id":1,"priority_id":2,"assigned_to_id":23,"start_date":"2017-02-28","description":"","custom_fields":[{"id":1,"name":"Subdivision","value":"Other"},{"id":4,"name":"Milepost","value":"0.0127"},{"id":17,"name":"Train ID","value":"310-28"},{"id":16,"name":"Locomotive ID","value":"4026"},{"id":130,"name":"Impact","value":""},{"id":150,"name":"Time of Event (Mountain Time)","value":"04:36:47"},{"id":151,"name":"Denver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2"/>
        <v>start /low /b %USERPROFILE%\Documents\GitHub\eaglep3\Utilities\DownloadLogsFromS3.py --loco 4026 --day 2017-02-28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2017-02-28-UncaughtWiMAX.txt</v>
      </c>
    </row>
    <row r="214" spans="1:40" x14ac:dyDescent="0.25">
      <c r="A214" s="33" t="s">
        <v>767</v>
      </c>
      <c r="B214" s="7">
        <v>4007</v>
      </c>
      <c r="C214" s="21" t="s">
        <v>274</v>
      </c>
      <c r="D214" s="21" t="s">
        <v>812</v>
      </c>
      <c r="E214" s="13">
        <v>42795.074988425928</v>
      </c>
      <c r="F214" s="13">
        <v>25568.708333333332</v>
      </c>
      <c r="G214" s="7">
        <v>1</v>
      </c>
      <c r="H214" s="21" t="s">
        <v>858</v>
      </c>
      <c r="I214" s="13">
        <v>25568.708333333332</v>
      </c>
      <c r="J214" s="7">
        <v>1</v>
      </c>
      <c r="K214" s="98" t="str">
        <f t="shared" si="68"/>
        <v>4007/4008</v>
      </c>
      <c r="L214" s="21" t="str">
        <f>VLOOKUP(A214,'Trips&amp;Operators'!$C$1:$G$99999,5,FALSE)</f>
        <v>STORY SAMANTHA</v>
      </c>
      <c r="M214" s="6">
        <f t="shared" si="69"/>
        <v>0</v>
      </c>
      <c r="N214" s="7">
        <f t="shared" si="67"/>
        <v>0</v>
      </c>
      <c r="O214" s="7"/>
      <c r="P214" s="7"/>
      <c r="Q214" s="22"/>
      <c r="R214" s="22"/>
      <c r="S214" s="31">
        <f t="shared" si="83"/>
        <v>1</v>
      </c>
      <c r="T214" s="46" t="str">
        <f t="shared" si="70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1"/>
        <v>https://d0f6bd738d7f1b3e5a7ca70fe4ff75f0.us-east-1.aws.found.io/app/kibana#/discover/Steve-Slow-Train-Analysis-(2080s-and-2083s)?_g=(refreshInterval:(display:Off,pause:!f,section:0,value:0),time:(from:'2017-03-01T00:47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187" t="str">
        <f t="shared" si="72"/>
        <v>Y</v>
      </c>
      <c r="X214" s="187">
        <f t="shared" ref="X214:X236" si="84">VALUE(LEFT(AD214,4))-VALUE(LEFT(AD213,4))</f>
        <v>1</v>
      </c>
      <c r="Y214" s="62">
        <f t="shared" si="73"/>
        <v>0.1169</v>
      </c>
      <c r="Z214" s="62">
        <f t="shared" si="74"/>
        <v>2.4214000000000002</v>
      </c>
      <c r="AA214" s="62">
        <f t="shared" si="75"/>
        <v>2.3045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6"/>
        <v>0311-28</v>
      </c>
      <c r="AE214" s="85" t="str">
        <f t="shared" si="77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4" s="82" t="str">
        <f t="shared" si="78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4" s="1" t="str">
        <f t="shared" si="79"/>
        <v>Other</v>
      </c>
      <c r="AH214" s="86" t="str">
        <f t="shared" si="80"/>
        <v>"%USERPROFILE%\Documents\GitHub\eaglep3\Utilities\RefineRTDCRunTimes.py" --tripid 311-28 --locoid 4007 --swversion DE.1.0.9.0 --startMP 204:1169 --initTime 2017-03-01T01:47:59 --startdatetime 1969-12-31T17:00:00 --delay 1 --endMP 300:24214 --enddatetime 1969-12-31T17:00:00 --enforcementcount 1 &gt;&gt;C:\Users\stu\Documents\GitHub\eaglep3-reporting\EC\2017-02-28-refined-times.txt</v>
      </c>
      <c r="AI214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ID","value":"311-28"},{"id":16,"name":"Locomotive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2"/>
        <v>start /low /b %USERPROFILE%\Documents\GitHub\eaglep3\Utilities\DownloadLogsFromS3.py --loco 4007 --day 1969-12-31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2017-02-28-UncaughtWiMAX.txt</v>
      </c>
    </row>
    <row r="215" spans="1:40" x14ac:dyDescent="0.25">
      <c r="A215" s="33" t="s">
        <v>384</v>
      </c>
      <c r="B215" s="7">
        <v>4011</v>
      </c>
      <c r="C215" s="21" t="s">
        <v>274</v>
      </c>
      <c r="D215" s="21" t="s">
        <v>316</v>
      </c>
      <c r="E215" s="13">
        <v>42794.089826388888</v>
      </c>
      <c r="F215" s="13">
        <v>25568.708333333332</v>
      </c>
      <c r="G215" s="7">
        <v>1</v>
      </c>
      <c r="H215" s="21" t="s">
        <v>319</v>
      </c>
      <c r="I215" s="13">
        <v>25568.708333333332</v>
      </c>
      <c r="J215" s="7">
        <v>1</v>
      </c>
      <c r="K215" s="98" t="str">
        <f t="shared" si="68"/>
        <v>4011/4012</v>
      </c>
      <c r="L215" s="21" t="str">
        <f>VLOOKUP(A215,'Trips&amp;Operators'!$C$1:$G$99999,5,FALSE)</f>
        <v>STORY SAMANTHA</v>
      </c>
      <c r="M215" s="6">
        <f t="shared" si="69"/>
        <v>0</v>
      </c>
      <c r="N215" s="7">
        <f t="shared" si="67"/>
        <v>0</v>
      </c>
      <c r="O215" s="7"/>
      <c r="P215" s="7"/>
      <c r="Q215" s="22"/>
      <c r="R215" s="22"/>
      <c r="S215" s="31">
        <f t="shared" si="83"/>
        <v>1</v>
      </c>
      <c r="T215" s="46" t="str">
        <f t="shared" si="70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1"/>
        <v>https://d0f6bd738d7f1b3e5a7ca70fe4ff75f0.us-east-1.aws.found.io/app/kibana#/discover/Steve-Slow-Train-Analysis-(2080s-and-2083s)?_g=(refreshInterval:(display:Off,pause:!f,section:0,value:0),time:(from:'2017-02-28T01:09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187" t="str">
        <f t="shared" si="72"/>
        <v>Y</v>
      </c>
      <c r="X215" s="187">
        <f t="shared" si="84"/>
        <v>2</v>
      </c>
      <c r="Y215" s="62">
        <f t="shared" si="73"/>
        <v>4.9099999999999998E-2</v>
      </c>
      <c r="Z215" s="62">
        <f t="shared" si="74"/>
        <v>2.3304</v>
      </c>
      <c r="AA215" s="62">
        <f t="shared" si="75"/>
        <v>2.2812999999999999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6"/>
        <v>0313-27</v>
      </c>
      <c r="AE215" s="85" t="str">
        <f t="shared" si="7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5" s="82" t="str">
        <f t="shared" si="78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5" s="1" t="str">
        <f t="shared" si="79"/>
        <v>Other</v>
      </c>
      <c r="AH215" s="86" t="str">
        <f t="shared" si="80"/>
        <v>"%USERPROFILE%\Documents\GitHub\eaglep3\Utilities\RefineRTDCRunTimes.py" --tripid 313-27 --locoid 4011 --swversion DE.1.0.9.0 --startMP 204:491 --initTime 2017-02-28T02:09:21 --startdatetime 1969-12-31T17:00:00 --delay 1 --endMP 300:23304 --enddatetime 1969-12-31T17:00:00 --enforcementcount 1 &gt;&gt;C:\Users\stu\Documents\GitHub\eaglep3-reporting\EC\2017-02-28-refined-times.txt</v>
      </c>
      <c r="AI215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2"/>
        <v>start /low /b %USERPROFILE%\Documents\GitHub\eaglep3\Utilities\DownloadLogsFromS3.py --loco 4011 --day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2017-02-28-UncaughtWiMAX.txt</v>
      </c>
    </row>
    <row r="216" spans="1:40" x14ac:dyDescent="0.25">
      <c r="A216" s="33" t="s">
        <v>769</v>
      </c>
      <c r="B216" s="7">
        <v>4018</v>
      </c>
      <c r="C216" s="21" t="s">
        <v>274</v>
      </c>
      <c r="D216" s="21" t="s">
        <v>859</v>
      </c>
      <c r="E216" s="13">
        <v>42795.08935185185</v>
      </c>
      <c r="F216" s="13">
        <v>42795.090624999997</v>
      </c>
      <c r="G216" s="7">
        <v>1</v>
      </c>
      <c r="H216" s="21" t="s">
        <v>860</v>
      </c>
      <c r="I216" s="13">
        <v>42795.097361111111</v>
      </c>
      <c r="J216" s="7">
        <v>1</v>
      </c>
      <c r="K216" s="98" t="str">
        <f t="shared" si="68"/>
        <v>4017/4018</v>
      </c>
      <c r="L216" s="21" t="str">
        <f>VLOOKUP(A216,'Trips&amp;Operators'!$C$1:$G$99999,5,FALSE)</f>
        <v>STAMBAUGH JAMES</v>
      </c>
      <c r="M216" s="6">
        <f t="shared" si="69"/>
        <v>6.7361111141508445E-3</v>
      </c>
      <c r="N216" s="7">
        <f t="shared" si="67"/>
        <v>9.7000000043772161</v>
      </c>
      <c r="O216" s="7"/>
      <c r="P216" s="7"/>
      <c r="Q216" s="22"/>
      <c r="R216" s="22"/>
      <c r="S216" s="31">
        <f t="shared" si="83"/>
        <v>1</v>
      </c>
      <c r="T216" s="46" t="str">
        <f t="shared" si="70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1"/>
        <v>https://d0f6bd738d7f1b3e5a7ca70fe4ff75f0.us-east-1.aws.found.io/app/kibana#/discover/Steve-Slow-Train-Analysis-(2080s-and-2083s)?_g=(refreshInterval:(display:Off,pause:!f,section:0,value:0),time:(from:'2017-03-01T01:08:40-0700',mode:absolute,to:'2017-03-01T03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7" t="str">
        <f t="shared" si="72"/>
        <v>Y</v>
      </c>
      <c r="X216" s="187">
        <f t="shared" si="84"/>
        <v>0</v>
      </c>
      <c r="Y216" s="62">
        <f t="shared" si="73"/>
        <v>7.5200000000000003E-2</v>
      </c>
      <c r="Z216" s="62">
        <f t="shared" si="74"/>
        <v>2.4192999999999998</v>
      </c>
      <c r="AA216" s="62">
        <f t="shared" si="75"/>
        <v>2.3440999999999996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6"/>
        <v>0313-28</v>
      </c>
      <c r="AE216" s="85" t="str">
        <f t="shared" si="77"/>
        <v>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 &amp; aws s3 cp s3://rtdc.mdm.uploadarchive.raw/RTDC4018/ "%USERPROFILE%\AppData\Local\Temp\OnboardLogs"\RTDC4018\2017-03-02 --exclude "*" --recursive --include "*20170302*" &amp; "%USERPROFILE%\Documents\GitHub\mrs-test-scripts\Headless Mode &amp; Sideloading\WalkAndUnGZ.bat" "%USERPROFILE%\AppData\Local\Temp\OnboardLogs"\RTDC4018\2017-03-02</v>
      </c>
      <c r="AF216" s="82" t="str">
        <f t="shared" si="78"/>
        <v>"C:\Program Files (x86)\AstroGrep\AstroGrep.exe" /spath="%USERPROFILE%\AppData\Local\Temp\OnboardLogs" /stypes="app*4018*20170301*" /stext=" 09:.+((SYSTEM_STATE.+slice.+state.+changed )|(ment ac)|(multiple cpu faults)|(system.+state.+changed )|(\[timeout)|(PRM\|1\|D)|(kpr)|(kdp)|(\|lc)|(penalty))" /e /r /s</v>
      </c>
      <c r="AG216" s="1" t="str">
        <f t="shared" si="79"/>
        <v>Other</v>
      </c>
      <c r="AH216" s="86" t="str">
        <f t="shared" si="80"/>
        <v>"%USERPROFILE%\Documents\GitHub\eaglep3\Utilities\RefineRTDCRunTimes.py" --tripid 313-28 --locoid 4018 --swversion DE.1.0.9.0 --startMP 204:752 --initTime 2017-03-01T02:08:40 --startdatetime 2017-03-01T02:10:30 --delay 1 --endMP 300:24193 --enddatetime 2017-03-01T02:20:12 --enforcementcount 1 &gt;&gt;C:\Users\stu\Documents\GitHub\eaglep3-reporting\EC\2017-02-28-refined-times.txt</v>
      </c>
      <c r="AI216" s="108" t="str">
        <f t="shared" si="81"/>
        <v>echo {"issue":{"subject":"","project_id":79,"tracker_id":40,"status_id":1,"priority_id":2,"assigned_to_id":23,"start_date":"2017-03-01","description":"","custom_fields":[{"id":1,"name":"Subdivision","value":"Other"},{"id":4,"name":"Milepost","value":"2.4193"},{"id":17,"name":"Train ID","value":"313-28"},{"id":16,"name":"Locomotive ID","value":"4018"},{"id":130,"name":"Impact","value":""},{"id":150,"name":"Time of Event (Mountain Time)","value":"02:20:12"},{"id":151,"name":"Denver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2"/>
        <v>start /low /b %USERPROFILE%\Documents\GitHub\eaglep3\Utilities\DownloadLogsFromS3.py --loco 4018 --day 2017-03-01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2017-02-28-UncaughtWiMAX.txt</v>
      </c>
    </row>
    <row r="217" spans="1:40" x14ac:dyDescent="0.25">
      <c r="A217" s="33" t="s">
        <v>763</v>
      </c>
      <c r="B217" s="7">
        <v>4003</v>
      </c>
      <c r="C217" s="21" t="s">
        <v>274</v>
      </c>
      <c r="D217" s="21" t="s">
        <v>317</v>
      </c>
      <c r="E217" s="13">
        <v>42795.029641203706</v>
      </c>
      <c r="F217" s="13">
        <v>42795.032199074078</v>
      </c>
      <c r="G217" s="7">
        <v>3</v>
      </c>
      <c r="H217" s="21" t="s">
        <v>861</v>
      </c>
      <c r="I217" s="13">
        <v>42795.040358796294</v>
      </c>
      <c r="J217" s="7">
        <v>1</v>
      </c>
      <c r="K217" s="98" t="str">
        <f t="shared" si="68"/>
        <v>4003/4004</v>
      </c>
      <c r="L217" s="21" t="str">
        <f>VLOOKUP(A217,'Trips&amp;Operators'!$C$1:$G$99999,5,FALSE)</f>
        <v>CHANDLER KELVIN</v>
      </c>
      <c r="M217" s="6">
        <f t="shared" si="69"/>
        <v>8.1597222160780802E-3</v>
      </c>
      <c r="N217" s="7">
        <f t="shared" si="67"/>
        <v>11.749999991152436</v>
      </c>
      <c r="O217" s="7"/>
      <c r="P217" s="7"/>
      <c r="Q217" s="22"/>
      <c r="R217" s="22"/>
      <c r="S217" s="31">
        <f t="shared" si="83"/>
        <v>1</v>
      </c>
      <c r="T217" s="46" t="str">
        <f t="shared" si="70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1"/>
        <v>https://d0f6bd738d7f1b3e5a7ca70fe4ff75f0.us-east-1.aws.found.io/app/kibana#/discover/Steve-Slow-Train-Analysis-(2080s-and-2083s)?_g=(refreshInterval:(display:Off,pause:!f,section:0,value:0),time:(from:'2017-02-28T23:42:41-0700',mode:absolute,to:'2017-03-01T01:58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187" t="str">
        <f t="shared" si="72"/>
        <v>Y</v>
      </c>
      <c r="X217" s="187">
        <f t="shared" si="84"/>
        <v>2</v>
      </c>
      <c r="Y217" s="62">
        <f t="shared" si="73"/>
        <v>4.7300000000000002E-2</v>
      </c>
      <c r="Z217" s="62">
        <f t="shared" si="74"/>
        <v>2.4072</v>
      </c>
      <c r="AA217" s="62">
        <f t="shared" si="75"/>
        <v>2.3599000000000001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6"/>
        <v>0315-28</v>
      </c>
      <c r="AE217" s="85" t="str">
        <f t="shared" si="77"/>
        <v>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 &amp; 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</v>
      </c>
      <c r="AF217" s="82" t="str">
        <f t="shared" si="78"/>
        <v>"C:\Program Files (x86)\AstroGrep\AstroGrep.exe" /spath="%USERPROFILE%\AppData\Local\Temp\OnboardLogs" /stypes="app*4003*20170301*" /stext=" 07:.+((SYSTEM_STATE.+slice.+state.+changed )|(ment ac)|(multiple cpu faults)|(system.+state.+changed )|(\[timeout)|(PRM\|1\|D)|(kpr)|(kdp)|(\|lc)|(penalty))" /e /r /s</v>
      </c>
      <c r="AG217" s="1" t="str">
        <f t="shared" si="79"/>
        <v>Other</v>
      </c>
      <c r="AH217" s="86" t="str">
        <f t="shared" si="80"/>
        <v>"%USERPROFILE%\Documents\GitHub\eaglep3\Utilities\RefineRTDCRunTimes.py" --tripid 315-28 --locoid 4003 --swversion DE.1.0.9.0 --startMP 204:473 --initTime 2017-03-01T00:42:41 --startdatetime 2017-03-01T00:46:22 --delay 3 --endMP 300:24072 --enddatetime 2017-03-01T00:58:07 --enforcementcount 1 &gt;&gt;C:\Users\stu\Documents\GitHub\eaglep3-reporting\EC\2017-02-28-refined-times.txt</v>
      </c>
      <c r="AI217" s="108" t="str">
        <f t="shared" si="81"/>
        <v>echo {"issue":{"subject":"","project_id":79,"tracker_id":40,"status_id":1,"priority_id":2,"assigned_to_id":23,"start_date":"2017-03-01","description":"","custom_fields":[{"id":1,"name":"Subdivision","value":"Other"},{"id":4,"name":"Milepost","value":"2.4072"},{"id":17,"name":"Train ID","value":"315-28"},{"id":16,"name":"Locomotive ID","value":"4003"},{"id":130,"name":"Impact","value":""},{"id":150,"name":"Time of Event (Mountain Time)","value":"00:58:07"},{"id":151,"name":"Denver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2"/>
        <v>start /low /b %USERPROFILE%\Documents\GitHub\eaglep3\Utilities\DownloadLogsFromS3.py --loco 4003 --day 2017-03-01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"%USERPROFILE%\AppData\Local\Temp\OnboardLogs"\RTDC4003\*4003*20170301* | grep -SE "(Enforcement Action)|(\[TIMEOUT)|(CHR.+\|PRM\|1\|D.+(SWITCH|SIGNAL).+UNKNOWN)" - &gt;&gt; 2017-02-28-UncaughtWiMAX.txt</v>
      </c>
    </row>
    <row r="218" spans="1:40" x14ac:dyDescent="0.25">
      <c r="A218" s="33" t="s">
        <v>536</v>
      </c>
      <c r="B218" s="7">
        <v>4016</v>
      </c>
      <c r="C218" s="21" t="s">
        <v>274</v>
      </c>
      <c r="D218" s="21" t="s">
        <v>928</v>
      </c>
      <c r="E218" s="13">
        <v>42794.199907407405</v>
      </c>
      <c r="F218" s="13">
        <v>42794.202696759261</v>
      </c>
      <c r="G218" s="7">
        <v>3</v>
      </c>
      <c r="H218" s="21" t="s">
        <v>348</v>
      </c>
      <c r="I218" s="13">
        <v>42794.208171296297</v>
      </c>
      <c r="J218" s="7">
        <v>1</v>
      </c>
      <c r="K218" s="98" t="str">
        <f t="shared" si="68"/>
        <v>4015/4016</v>
      </c>
      <c r="L218" s="21" t="str">
        <f>VLOOKUP(A218,'Trips&amp;Operators'!$C$1:$G$99999,5,FALSE)</f>
        <v>YORK EDGAR</v>
      </c>
      <c r="M218" s="6">
        <f t="shared" si="69"/>
        <v>5.4745370362070389E-3</v>
      </c>
      <c r="N218" s="7">
        <f t="shared" si="67"/>
        <v>7.883333332138136</v>
      </c>
      <c r="O218" s="7"/>
      <c r="P218" s="7"/>
      <c r="Q218" s="22"/>
      <c r="R218" s="22"/>
      <c r="S218" s="31">
        <f t="shared" si="83"/>
        <v>0</v>
      </c>
      <c r="T218" s="46" t="str">
        <f t="shared" si="70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1"/>
        <v>https://d0f6bd738d7f1b3e5a7ca70fe4ff75f0.us-east-1.aws.found.io/app/kibana#/discover/Steve-Slow-Train-Analysis-(2080s-and-2083s)?_g=(refreshInterval:(display:Off,pause:!f,section:0,value:0),time:(from:'2017-02-28T03:47:52-0700',mode:absolute,to:'2017-02-28T05:59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87" t="str">
        <f t="shared" si="72"/>
        <v>Y</v>
      </c>
      <c r="X218" s="187">
        <f t="shared" si="84"/>
        <v>586</v>
      </c>
      <c r="Y218" s="62">
        <f t="shared" si="73"/>
        <v>3.004</v>
      </c>
      <c r="Z218" s="62">
        <f t="shared" si="74"/>
        <v>5.8928000000000003</v>
      </c>
      <c r="AA218" s="62">
        <f t="shared" si="75"/>
        <v>2.8888000000000003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6"/>
        <v>0901-28</v>
      </c>
      <c r="AE218" s="85" t="str">
        <f t="shared" si="77"/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AF218" s="82" t="str">
        <f t="shared" si="78"/>
        <v>"C:\Program Files (x86)\AstroGrep\AstroGrep.exe" /spath="%USERPROFILE%\AppData\Local\Temp\OnboardLogs" /stypes="app*4016*20170228*" /stext=" 11:.+((SYSTEM_STATE.+slice.+state.+changed )|(ment ac)|(multiple cpu faults)|(system.+state.+changed )|(\[timeout)|(PRM\|1\|D)|(kpr)|(kdp)|(\|lc)|(penalty))" /e /r /s</v>
      </c>
      <c r="AG218" s="1" t="str">
        <f t="shared" si="79"/>
        <v>Other</v>
      </c>
      <c r="AH218" s="86" t="str">
        <f t="shared" si="80"/>
        <v>"%USERPROFILE%\Documents\GitHub\eaglep3\Utilities\RefineRTDCRunTimes.py" --tripid 901-28 --locoid 4016 --swversion DE.1.0.9.0 --startMP 300:30040 --initTime 2017-02-28T04:47:52 --startdatetime 2017-02-28T04:51:53 --delay 3 --endMP 300:58928 --enddatetime 2017-02-28T04:59:46 --enforcementcount 1 &gt;&gt;C:\Users\stu\Documents\GitHub\eaglep3-reporting\EC\2017-02-28-refined-times.txt</v>
      </c>
      <c r="AI218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{"issue":{"subject":"","project_id":79,"tracker_id":40,"status_id":1,"priority_id":2,"assigned_to_id":23,"start_date":"2017-02-28","description":"","custom_fields":[{"id":1,"name":"Subdivision","value":"Other"},{"id":4,"name":"Milepost","value":"5.8928"},{"id":17,"name":"Train ID","value":"901-28"},{"id":16,"name":"Locomotive ID","value":"4016"},{"id":130,"name":"Impact","value":""},{"id":150,"name":"Time of Event (Mountain Time)","value":"04:59:46"},{"id":151,"name":"Denver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2"/>
        <v>start /low /b %USERPROFILE%\Documents\GitHub\eaglep3\Utilities\DownloadLogsFromS3.py --loco 4016 --day 2017-02-28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"%USERPROFILE%\AppData\Local\Temp\OnboardLogs"\RTDC4016\*4016*20170228* | grep -SE "(Enforcement Action)|(\[TIMEOUT)|(CHR.+\|PRM\|1\|D.+(SWITCH|SIGNAL).+UNKNOWN)" - &gt;&gt; 2017-02-28-UncaughtWiMAX.txt</v>
      </c>
    </row>
    <row r="219" spans="1:40" x14ac:dyDescent="0.25">
      <c r="A219" s="33" t="s">
        <v>604</v>
      </c>
      <c r="B219" s="7">
        <v>4054</v>
      </c>
      <c r="C219" s="21" t="s">
        <v>274</v>
      </c>
      <c r="D219" s="21" t="s">
        <v>929</v>
      </c>
      <c r="E219" s="13">
        <v>42794.245150462964</v>
      </c>
      <c r="F219" s="13">
        <v>42794.251863425925</v>
      </c>
      <c r="G219" s="7">
        <v>9</v>
      </c>
      <c r="H219" s="21" t="s">
        <v>430</v>
      </c>
      <c r="I219" s="13">
        <v>42794.259768518517</v>
      </c>
      <c r="J219" s="7">
        <v>1</v>
      </c>
      <c r="K219" s="98" t="str">
        <f t="shared" si="68"/>
        <v>4053/4054</v>
      </c>
      <c r="L219" s="21" t="str">
        <f>VLOOKUP(A219,'Trips&amp;Operators'!$C$1:$G$99999,5,FALSE)</f>
        <v>COOLAHAN JOHN</v>
      </c>
      <c r="M219" s="6">
        <f t="shared" si="69"/>
        <v>7.9050925924093463E-3</v>
      </c>
      <c r="N219" s="7">
        <f t="shared" si="67"/>
        <v>11.383333333069459</v>
      </c>
      <c r="O219" s="7"/>
      <c r="P219" s="7"/>
      <c r="Q219" s="22"/>
      <c r="R219" s="22"/>
      <c r="S219" s="31">
        <f t="shared" si="83"/>
        <v>1</v>
      </c>
      <c r="T219" s="46" t="str">
        <f t="shared" si="70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1"/>
        <v>https://d0f6bd738d7f1b3e5a7ca70fe4ff75f0.us-east-1.aws.found.io/app/kibana#/discover/Steve-Slow-Train-Analysis-(2080s-and-2083s)?_g=(refreshInterval:(display:Off,pause:!f,section:0,value:0),time:(from:'2017-02-28T04:53:01-0700',mode:absolute,to:'2017-02-28T07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9" s="187" t="str">
        <f t="shared" si="72"/>
        <v>Y</v>
      </c>
      <c r="X219" s="187">
        <f t="shared" si="84"/>
        <v>1</v>
      </c>
      <c r="Y219" s="62">
        <f t="shared" si="73"/>
        <v>2.3330000000000002</v>
      </c>
      <c r="Z219" s="62">
        <f t="shared" si="74"/>
        <v>6.4500000000000002E-2</v>
      </c>
      <c r="AA219" s="62">
        <f t="shared" si="75"/>
        <v>2.2685000000000004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6"/>
        <v>0902-28</v>
      </c>
      <c r="AE219" s="85" t="str">
        <f t="shared" si="77"/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AF219" s="82" t="str">
        <f t="shared" si="78"/>
        <v>"C:\Program Files (x86)\AstroGrep\AstroGrep.exe" /spath="%USERPROFILE%\AppData\Local\Temp\OnboardLogs" /stypes="app*4054*20170228*" /stext=" 13:.+((SYSTEM_STATE.+slice.+state.+changed )|(ment ac)|(multiple cpu faults)|(system.+state.+changed )|(\[timeout)|(PRM\|1\|D)|(kpr)|(kdp)|(\|lc)|(penalty))" /e /r /s</v>
      </c>
      <c r="AG219" s="1" t="str">
        <f t="shared" si="79"/>
        <v>Other</v>
      </c>
      <c r="AH219" s="86" t="str">
        <f t="shared" si="80"/>
        <v>"%USERPROFILE%\Documents\GitHub\eaglep3\Utilities\RefineRTDCRunTimes.py" --tripid 902-28 --locoid 4054 --swversion DE.1.0.9.0 --startMP 300:23330 --initTime 2017-02-28T05:53:01 --startdatetime 2017-02-28T06:02:41 --delay 9 --endMP 204:645 --enddatetime 2017-02-28T06:14:04 --enforcementcount 1 &gt;&gt;C:\Users\stu\Documents\GitHub\eaglep3-reporting\EC\2017-02-28-refined-times.txt</v>
      </c>
      <c r="AI219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{"issue":{"subject":"","project_id":79,"tracker_id":40,"status_id":1,"priority_id":2,"assigned_to_id":23,"start_date":"2017-02-28","description":"","custom_fields":[{"id":1,"name":"Subdivision","value":"Other"},{"id":4,"name":"Milepost","value":"0.0645"},{"id":17,"name":"Train ID","value":"902-28"},{"id":16,"name":"Locomotive ID","value":"4054"},{"id":130,"name":"Impact","value":""},{"id":150,"name":"Time of Event (Mountain Time)","value":"06:14:04"},{"id":151,"name":"Denver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2"/>
        <v>start /low /b %USERPROFILE%\Documents\GitHub\eaglep3\Utilities\DownloadLogsFromS3.py --loco 4054 --day 2017-02-28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"%USERPROFILE%\AppData\Local\Temp\OnboardLogs"\RTDC4054\*4054*20170228* | grep -SE "(Enforcement Action)|(\[TIMEOUT)|(CHR.+\|PRM\|1\|D.+(SWITCH|SIGNAL).+UNKNOWN)" - &gt;&gt; 2017-02-28-UncaughtWiMAX.txt</v>
      </c>
    </row>
    <row r="220" spans="1:40" x14ac:dyDescent="0.25">
      <c r="A220" s="33" t="s">
        <v>628</v>
      </c>
      <c r="B220" s="7">
        <v>4016</v>
      </c>
      <c r="C220" s="21" t="s">
        <v>274</v>
      </c>
      <c r="D220" s="21" t="s">
        <v>930</v>
      </c>
      <c r="E220" s="13">
        <v>42794.352662037039</v>
      </c>
      <c r="F220" s="13">
        <v>25568.708333333332</v>
      </c>
      <c r="G220" s="7">
        <v>0</v>
      </c>
      <c r="H220" s="21" t="s">
        <v>931</v>
      </c>
      <c r="I220" s="13">
        <v>25568.708333333332</v>
      </c>
      <c r="J220" s="7">
        <v>1</v>
      </c>
      <c r="K220" s="98" t="str">
        <f t="shared" si="68"/>
        <v>4015/4016</v>
      </c>
      <c r="L220" s="21" t="str">
        <f>VLOOKUP(A220,'Trips&amp;Operators'!$C$1:$G$99999,5,FALSE)</f>
        <v>YORK EDGAR</v>
      </c>
      <c r="M220" s="6">
        <f t="shared" si="69"/>
        <v>0</v>
      </c>
      <c r="N220" s="7">
        <f t="shared" si="67"/>
        <v>0</v>
      </c>
      <c r="O220" s="7"/>
      <c r="P220" s="7"/>
      <c r="Q220" s="22"/>
      <c r="R220" s="22"/>
      <c r="S220" s="31">
        <f t="shared" si="83"/>
        <v>1</v>
      </c>
      <c r="T220" s="46" t="str">
        <f t="shared" si="70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1"/>
        <v>https://d0f6bd738d7f1b3e5a7ca70fe4ff75f0.us-east-1.aws.found.io/app/kibana#/discover/Steve-Slow-Train-Analysis-(2080s-and-2083s)?_g=(refreshInterval:(display:Off,pause:!f,section:0,value:0),time:(from:'2017-02-28T07:27:50-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187" t="str">
        <f t="shared" si="72"/>
        <v>Y</v>
      </c>
      <c r="X220" s="187">
        <f t="shared" si="84"/>
        <v>1</v>
      </c>
      <c r="Y220" s="62">
        <f t="shared" si="73"/>
        <v>0.1195</v>
      </c>
      <c r="Z220" s="62">
        <f t="shared" si="74"/>
        <v>2.4228999999999998</v>
      </c>
      <c r="AA220" s="62">
        <f t="shared" si="75"/>
        <v>2.3033999999999999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6"/>
        <v>0903-28</v>
      </c>
      <c r="AE220" s="85" t="str">
        <f t="shared" si="7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0" s="82" t="str">
        <f t="shared" si="78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0" s="1" t="str">
        <f t="shared" si="79"/>
        <v>Other</v>
      </c>
      <c r="AH220" s="86" t="str">
        <f t="shared" si="80"/>
        <v>"%USERPROFILE%\Documents\GitHub\eaglep3\Utilities\RefineRTDCRunTimes.py" --tripid 903-28 --locoid 4016 --swversion DE.1.0.9.0 --startMP 204:1195 --initTime 2017-02-28T08:27:50 --startdatetime 1969-12-31T17:00:00 --delay 0 --endMP 300:24229 --enddatetime 1969-12-31T17:00:00 --enforcementcount 1 &gt;&gt;C:\Users\stu\Documents\GitHub\eaglep3-reporting\EC\2017-02-28-refined-times.txt</v>
      </c>
      <c r="AI220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{"issue":{"subject":"","project_id":79,"tracker_id":40,"status_id":1,"priority_id":2,"assigned_to_id":23,"start_date":"1969-12-31","description":"","custom_fields":[{"id":1,"name":"Subdivision","value":"Other"},{"id":4,"name":"Milepost","value":"2.4229"},{"id":17,"name":"Train ID","value":"903-28"},{"id":16,"name":"Locomotive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2"/>
        <v>start /low /b %USERPROFILE%\Documents\GitHub\eaglep3\Utilities\DownloadLogsFromS3.py --loco 4016 --day 1969-12-31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2017-02-28-UncaughtWiMAX.txt</v>
      </c>
    </row>
    <row r="221" spans="1:40" x14ac:dyDescent="0.25">
      <c r="A221" s="33" t="s">
        <v>691</v>
      </c>
      <c r="B221" s="7">
        <v>4015</v>
      </c>
      <c r="C221" s="21" t="s">
        <v>274</v>
      </c>
      <c r="D221" s="21" t="s">
        <v>932</v>
      </c>
      <c r="E221" s="13">
        <v>42794.640509259261</v>
      </c>
      <c r="F221" s="13">
        <v>42794.642326388886</v>
      </c>
      <c r="G221" s="7">
        <v>2</v>
      </c>
      <c r="H221" s="21" t="s">
        <v>933</v>
      </c>
      <c r="I221" s="13">
        <v>42794.64739583333</v>
      </c>
      <c r="J221" s="7">
        <v>1</v>
      </c>
      <c r="K221" s="98" t="str">
        <f t="shared" si="68"/>
        <v>4015/4016</v>
      </c>
      <c r="L221" s="21" t="str">
        <f>VLOOKUP(A221,'Trips&amp;Operators'!$C$1:$G$99999,5,FALSE)</f>
        <v>LALONDE GREGORY</v>
      </c>
      <c r="M221" s="6">
        <f t="shared" si="69"/>
        <v>5.0694444435066544E-3</v>
      </c>
      <c r="N221" s="7">
        <f t="shared" si="67"/>
        <v>7.2999999986495823</v>
      </c>
      <c r="O221" s="7"/>
      <c r="P221" s="7"/>
      <c r="Q221" s="22"/>
      <c r="R221" s="22"/>
      <c r="S221" s="31">
        <f t="shared" si="83"/>
        <v>1</v>
      </c>
      <c r="T221" s="46" t="str">
        <f t="shared" si="70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1"/>
        <v>https://d0f6bd738d7f1b3e5a7ca70fe4ff75f0.us-east-1.aws.found.io/app/kibana#/discover/Steve-Slow-Train-Analysis-(2080s-and-2083s)?_g=(refreshInterval:(display:Off,pause:!f,section:0,value:0),time:(from:'2017-02-28T14:22:20-0700',mode:absolute,to:'2017-02-28T16:32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187" t="str">
        <f t="shared" si="72"/>
        <v>Y</v>
      </c>
      <c r="X221" s="187">
        <f t="shared" si="84"/>
        <v>1</v>
      </c>
      <c r="Y221" s="62">
        <f t="shared" si="73"/>
        <v>2.3321000000000001</v>
      </c>
      <c r="Z221" s="62">
        <f t="shared" si="74"/>
        <v>6.8900000000000003E-2</v>
      </c>
      <c r="AA221" s="62">
        <f t="shared" si="75"/>
        <v>2.2631999999999999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6"/>
        <v>0904-28</v>
      </c>
      <c r="AE221" s="85" t="str">
        <f t="shared" si="77"/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AF221" s="82" t="str">
        <f t="shared" si="78"/>
        <v>"C:\Program Files (x86)\AstroGrep\AstroGrep.exe" /spath="%USERPROFILE%\AppData\Local\Temp\OnboardLogs" /stypes="app*4015*20170228*" /stext=" 22:.+((SYSTEM_STATE.+slice.+state.+changed )|(ment ac)|(multiple cpu faults)|(system.+state.+changed )|(\[timeout)|(PRM\|1\|D)|(kpr)|(kdp)|(\|lc)|(penalty))" /e /r /s</v>
      </c>
      <c r="AG221" s="1" t="str">
        <f t="shared" si="79"/>
        <v>Other</v>
      </c>
      <c r="AH221" s="86" t="str">
        <f t="shared" si="80"/>
        <v>"%USERPROFILE%\Documents\GitHub\eaglep3\Utilities\RefineRTDCRunTimes.py" --tripid 904-28 --locoid 4015 --swversion DE.1.0.9.0 --startMP 300:23321 --initTime 2017-02-28T15:22:20 --startdatetime 2017-02-28T15:24:57 --delay 2 --endMP 204:689 --enddatetime 2017-02-28T15:32:15 --enforcementcount 1 &gt;&gt;C:\Users\stu\Documents\GitHub\eaglep3-reporting\EC\2017-02-28-refined-times.txt</v>
      </c>
      <c r="AI221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{"issue":{"subject":"","project_id":79,"tracker_id":40,"status_id":1,"priority_id":2,"assigned_to_id":23,"start_date":"2017-02-28","description":"","custom_fields":[{"id":1,"name":"Subdivision","value":"Other"},{"id":4,"name":"Milepost","value":"0.0689"},{"id":17,"name":"Train ID","value":"904-28"},{"id":16,"name":"Locomotive ID","value":"4015"},{"id":130,"name":"Impact","value":""},{"id":150,"name":"Time of Event (Mountain Time)","value":"15:32:15"},{"id":151,"name":"Denver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2"/>
        <v>start /low /b %USERPROFILE%\Documents\GitHub\eaglep3\Utilities\DownloadLogsFromS3.py --loco 4015 --day 2017-02-28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"%USERPROFILE%\AppData\Local\Temp\OnboardLogs"\RTDC4015\*4015*20170228* | grep -SE "(Enforcement Action)|(\[TIMEOUT)|(CHR.+\|PRM\|1\|D.+(SWITCH|SIGNAL).+UNKNOWN)" - &gt;&gt; 2017-02-28-UncaughtWiMAX.txt</v>
      </c>
    </row>
    <row r="222" spans="1:40" x14ac:dyDescent="0.25">
      <c r="A222" s="33" t="s">
        <v>734</v>
      </c>
      <c r="B222" s="7">
        <v>4015</v>
      </c>
      <c r="C222" s="21" t="s">
        <v>274</v>
      </c>
      <c r="D222" s="21" t="s">
        <v>416</v>
      </c>
      <c r="E222" s="13">
        <v>42794.795659722222</v>
      </c>
      <c r="F222" s="13">
        <v>25568.708333333332</v>
      </c>
      <c r="G222" s="7">
        <v>1</v>
      </c>
      <c r="H222" s="21" t="s">
        <v>934</v>
      </c>
      <c r="I222" s="13">
        <v>25568.708333333332</v>
      </c>
      <c r="J222" s="7">
        <v>1</v>
      </c>
      <c r="K222" s="98" t="str">
        <f t="shared" si="68"/>
        <v>4015/4016</v>
      </c>
      <c r="L222" s="21" t="str">
        <f>VLOOKUP(A222,'Trips&amp;Operators'!$C$1:$G$99999,5,FALSE)</f>
        <v>LALONDE GREGORY</v>
      </c>
      <c r="M222" s="6">
        <f t="shared" si="69"/>
        <v>0</v>
      </c>
      <c r="N222" s="7">
        <f t="shared" si="67"/>
        <v>0</v>
      </c>
      <c r="O222" s="7"/>
      <c r="P222" s="7"/>
      <c r="Q222" s="22"/>
      <c r="R222" s="22"/>
      <c r="S222" s="31">
        <f t="shared" si="83"/>
        <v>0</v>
      </c>
      <c r="T222" s="46" t="str">
        <f t="shared" si="70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1"/>
        <v>https://d0f6bd738d7f1b3e5a7ca70fe4ff75f0.us-east-1.aws.found.io/app/kibana#/discover/Steve-Slow-Train-Analysis-(2080s-and-2083s)?_g=(refreshInterval:(display:Off,pause:!f,section:0,value:0),time:(from:'2017-02-28T18:05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7" t="str">
        <f t="shared" si="72"/>
        <v>Y</v>
      </c>
      <c r="X222" s="187">
        <f t="shared" si="84"/>
        <v>2</v>
      </c>
      <c r="Y222" s="62">
        <f t="shared" si="73"/>
        <v>5.8640999999999996</v>
      </c>
      <c r="Z222" s="62">
        <f t="shared" si="74"/>
        <v>2.8776000000000002</v>
      </c>
      <c r="AA222" s="62">
        <f t="shared" si="75"/>
        <v>2.9864999999999995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6"/>
        <v>0906-28</v>
      </c>
      <c r="AE222" s="85" t="str">
        <f t="shared" si="77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2" s="82" t="str">
        <f t="shared" si="78"/>
        <v>"C:\Program Files (x86)\AstroGrep\AstroGrep.exe" /spath="%USERPROFILE%\AppData\Local\Temp\OnboardLogs" /stypes="app*4015*19700101*" /stext=" 00:.+((SYSTEM_STATE.+slice.+state.+changed )|(ment ac)|(multiple cpu faults)|(system.+state.+changed )|(\[timeout)|(PRM\|1\|D)|(kpr)|(kdp)|(\|lc)|(penalty))" /e /r /s</v>
      </c>
      <c r="AG222" s="1" t="str">
        <f t="shared" si="79"/>
        <v>Other</v>
      </c>
      <c r="AH222" s="86" t="str">
        <f t="shared" si="80"/>
        <v>"%USERPROFILE%\Documents\GitHub\eaglep3\Utilities\RefineRTDCRunTimes.py" --tripid 906-28 --locoid 4015 --swversion DE.1.0.9.0 --startMP 300:58641 --initTime 2017-02-28T19:05:45 --startdatetime 1969-12-31T17:00:00 --delay 1 --endMP 300:28776 --enddatetime 1969-12-31T17:00:00 --enforcementcount 1 &gt;&gt;C:\Users\stu\Documents\GitHub\eaglep3-reporting\EC\2017-02-28-refined-times.txt</v>
      </c>
      <c r="AI222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{"issue":{"subject":"","project_id":79,"tracker_id":40,"status_id":1,"priority_id":2,"assigned_to_id":23,"start_date":"1969-12-31","description":"","custom_fields":[{"id":1,"name":"Subdivision","value":"Other"},{"id":4,"name":"Milepost","value":"2.8776"},{"id":17,"name":"Train ID","value":"906-28"},{"id":16,"name":"Locomotive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2"/>
        <v>start /low /b %USERPROFILE%\Documents\GitHub\eaglep3\Utilities\DownloadLogsFromS3.py --loco 4015 --day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"%USERPROFILE%\AppData\Local\Temp\OnboardLogs"\RTDC4015\*4015*19700101* | grep -SE "(Enforcement Action)|(\[TIMEOUT)|(CHR.+\|PRM\|1\|D.+(SWITCH|SIGNAL).+UNKNOWN)" - &gt;&gt; 2017-02-28-UncaughtWiMAX.txt</v>
      </c>
    </row>
    <row r="223" spans="1:40" x14ac:dyDescent="0.25">
      <c r="A223" s="33" t="s">
        <v>755</v>
      </c>
      <c r="B223" s="7">
        <v>4054</v>
      </c>
      <c r="C223" s="21" t="s">
        <v>274</v>
      </c>
      <c r="D223" s="21" t="s">
        <v>935</v>
      </c>
      <c r="E223" s="13">
        <v>42794.946516203701</v>
      </c>
      <c r="F223" s="13">
        <v>25568.708333333332</v>
      </c>
      <c r="G223" s="7">
        <v>1</v>
      </c>
      <c r="H223" s="21" t="s">
        <v>936</v>
      </c>
      <c r="I223" s="13">
        <v>25568.708333333332</v>
      </c>
      <c r="J223" s="7">
        <v>1</v>
      </c>
      <c r="K223" s="98" t="str">
        <f t="shared" si="68"/>
        <v>4053/4054</v>
      </c>
      <c r="L223" s="21" t="str">
        <f>VLOOKUP(A223,'Trips&amp;Operators'!$C$1:$G$99999,5,FALSE)</f>
        <v>LALONDE GREGORY</v>
      </c>
      <c r="M223" s="6">
        <f t="shared" si="69"/>
        <v>0</v>
      </c>
      <c r="N223" s="7">
        <f t="shared" si="67"/>
        <v>0</v>
      </c>
      <c r="O223" s="7"/>
      <c r="P223" s="7"/>
      <c r="Q223" s="22"/>
      <c r="R223" s="22"/>
      <c r="S223" s="31">
        <f t="shared" si="83"/>
        <v>0</v>
      </c>
      <c r="T223" s="46" t="str">
        <f t="shared" si="70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1"/>
        <v>https://d0f6bd738d7f1b3e5a7ca70fe4ff75f0.us-east-1.aws.found.io/app/kibana#/discover/Steve-Slow-Train-Analysis-(2080s-and-2083s)?_g=(refreshInterval:(display:Off,pause:!f,section:0,value:0),time:(from:'2017-02-28T21:42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3" s="187" t="str">
        <f t="shared" si="72"/>
        <v>Y</v>
      </c>
      <c r="X223" s="187">
        <f t="shared" si="84"/>
        <v>2</v>
      </c>
      <c r="Y223" s="62">
        <f t="shared" si="73"/>
        <v>5.8661000000000003</v>
      </c>
      <c r="Z223" s="62">
        <f t="shared" si="74"/>
        <v>2.8772000000000002</v>
      </c>
      <c r="AA223" s="62">
        <f t="shared" si="75"/>
        <v>2.9889000000000001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6"/>
        <v>0908-28</v>
      </c>
      <c r="AE223" s="85" t="str">
        <f t="shared" si="77"/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23" s="82" t="str">
        <f t="shared" si="78"/>
        <v>"C:\Program Files (x86)\AstroGrep\AstroGrep.exe" /spath="%USERPROFILE%\AppData\Local\Temp\OnboardLogs" /stypes="app*4054*19700101*" /stext=" 00:.+((SYSTEM_STATE.+slice.+state.+changed )|(ment ac)|(multiple cpu faults)|(system.+state.+changed )|(\[timeout)|(PRM\|1\|D)|(kpr)|(kdp)|(\|lc)|(penalty))" /e /r /s</v>
      </c>
      <c r="AG223" s="1" t="str">
        <f t="shared" si="79"/>
        <v>Other</v>
      </c>
      <c r="AH223" s="86" t="str">
        <f t="shared" si="80"/>
        <v>"%USERPROFILE%\Documents\GitHub\eaglep3\Utilities\RefineRTDCRunTimes.py" --tripid 908-28 --locoid 4054 --swversion DE.1.0.9.0 --startMP 300:58661 --initTime 2017-02-28T22:42:59 --startdatetime 1969-12-31T17:00:00 --delay 1 --endMP 300:28772 --enddatetime 1969-12-31T17:00:00 --enforcementcount 1 &gt;&gt;C:\Users\stu\Documents\GitHub\eaglep3-reporting\EC\2017-02-28-refined-times.txt</v>
      </c>
      <c r="AI223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ID","value":"908-28"},{"id":16,"name":"Locomotive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2"/>
        <v>start /low /b %USERPROFILE%\Documents\GitHub\eaglep3\Utilities\DownloadLogsFromS3.py --loco 4054 --day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"%USERPROFILE%\AppData\Local\Temp\OnboardLogs"\RTDC4054\*4054*19700101* | grep -SE "(Enforcement Action)|(\[TIMEOUT)|(CHR.+\|PRM\|1\|D.+(SWITCH|SIGNAL).+UNKNOWN)" - &gt;&gt; 2017-02-28-UncaughtWiMAX.txt</v>
      </c>
    </row>
    <row r="224" spans="1:40" x14ac:dyDescent="0.25">
      <c r="A224" s="33" t="s">
        <v>770</v>
      </c>
      <c r="B224" s="7">
        <v>4045</v>
      </c>
      <c r="C224" s="21" t="s">
        <v>274</v>
      </c>
      <c r="D224" s="21" t="s">
        <v>862</v>
      </c>
      <c r="E224" s="13">
        <v>42795.097372685188</v>
      </c>
      <c r="F224" s="13">
        <v>42795.099120370367</v>
      </c>
      <c r="G224" s="7">
        <v>1</v>
      </c>
      <c r="H224" s="21" t="s">
        <v>421</v>
      </c>
      <c r="I224" s="13">
        <v>42795.11818287037</v>
      </c>
      <c r="J224" s="7">
        <v>1</v>
      </c>
      <c r="K224" s="98" t="str">
        <f t="shared" si="68"/>
        <v>4045/4046</v>
      </c>
      <c r="L224" s="21" t="str">
        <f>VLOOKUP(A224,'Trips&amp;Operators'!$C$1:$G$99999,5,FALSE)</f>
        <v>YANG JAN</v>
      </c>
      <c r="M224" s="6">
        <f t="shared" si="69"/>
        <v>1.9062500003201421E-2</v>
      </c>
      <c r="N224" s="7">
        <f t="shared" si="67"/>
        <v>27.450000004610047</v>
      </c>
      <c r="O224" s="7"/>
      <c r="P224" s="7"/>
      <c r="Q224" s="22"/>
      <c r="R224" s="22"/>
      <c r="S224" s="31">
        <f t="shared" si="83"/>
        <v>0</v>
      </c>
      <c r="T224" s="46" t="e">
        <f t="shared" si="70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1"/>
        <v>https://d0f6bd738d7f1b3e5a7ca70fe4ff75f0.us-east-1.aws.found.io/app/kibana#/discover/Steve-Slow-Train-Analysis-(2080s-and-2083s)?_g=(refreshInterval:(display:Off,pause:!f,section:0,value:0),time:(from:'2017-03-01T01:20:13-0700',mode:absolute,to:'2017-03-01T03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187" t="str">
        <f t="shared" si="72"/>
        <v>N</v>
      </c>
      <c r="X224" s="187" t="e">
        <f t="shared" si="84"/>
        <v>#VALUE!</v>
      </c>
      <c r="Y224" s="62">
        <f t="shared" si="73"/>
        <v>11.1759</v>
      </c>
      <c r="Z224" s="62">
        <f t="shared" si="74"/>
        <v>9.9900000000000003E-2</v>
      </c>
      <c r="AA224" s="62">
        <f t="shared" si="75"/>
        <v>11.076000000000001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6"/>
        <v>50-01</v>
      </c>
      <c r="AE224" s="85" t="str">
        <f t="shared" si="7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224" s="82" t="str">
        <f t="shared" si="78"/>
        <v>"C:\Program Files (x86)\AstroGrep\AstroGrep.exe" /spath="%USERPROFILE%\AppData\Local\Temp\OnboardLogs" /stypes="app*4045*20170301*" /stext=" 09:.+((SYSTEM_STATE.+slice.+state.+changed )|(ment ac)|(multiple cpu faults)|(system.+state.+changed )|(\[timeout)|(PRM\|1\|D)|(kpr)|(kdp)|(\|lc)|(penalty))" /e /r /s</v>
      </c>
      <c r="AG224" s="1" t="str">
        <f t="shared" si="79"/>
        <v>Other</v>
      </c>
      <c r="AH224" s="86" t="str">
        <f t="shared" si="80"/>
        <v>"%USERPROFILE%\Documents\GitHub\eaglep3\Utilities\RefineRTDCRunTimes.py" --tripid 50-01 --locoid 4045 --swversion DE.1.0.9.0 --startMP 204:111759 --initTime 2017-03-01T02:20:13 --startdatetime 2017-03-01T02:22:44 --delay 1 --endMP 204:999 --enddatetime 2017-03-01T02:50:11 --enforcementcount 1 &gt;&gt;C:\Users\stu\Documents\GitHub\eaglep3-reporting\EC\2017-02-28-refined-times.txt</v>
      </c>
      <c r="AI224" s="108" t="str">
        <f t="shared" si="81"/>
        <v>echo {"issue":{"subject":"","project_id":79,"tracker_id":40,"status_id":1,"priority_id":2,"assigned_to_id":23,"start_date":"2017-03-01","description":"","custom_fields":[{"id":1,"name":"Subdivision","value":"Other"},{"id":4,"name":"Milepost","value":"0.0999"},{"id":17,"name":"Train ID","value":"50-01"},{"id":16,"name":"Locomotive ID","value":"4045"},{"id":130,"name":"Impact","value":""},{"id":150,"name":"Time of Event (Mountain Time)","value":"02:50:11"},{"id":151,"name":"Denver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2"/>
        <v>start /low /b %USERPROFILE%\Documents\GitHub\eaglep3\Utilities\DownloadLogsFromS3.py --loco 4045 --day 2017-03-01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2017-02-28-UncaughtWiMAX.txt</v>
      </c>
    </row>
    <row r="225" spans="1:40" x14ac:dyDescent="0.25">
      <c r="A225" s="33" t="s">
        <v>574</v>
      </c>
      <c r="B225" s="7">
        <v>4050</v>
      </c>
      <c r="C225" s="21" t="s">
        <v>274</v>
      </c>
      <c r="D225" s="21" t="s">
        <v>863</v>
      </c>
      <c r="E225" s="13">
        <v>42794.154074074075</v>
      </c>
      <c r="F225" s="13">
        <v>42794.155162037037</v>
      </c>
      <c r="G225" s="7">
        <v>1</v>
      </c>
      <c r="H225" s="21" t="s">
        <v>184</v>
      </c>
      <c r="I225" s="13">
        <v>42794.168611111112</v>
      </c>
      <c r="J225" s="7">
        <v>1</v>
      </c>
      <c r="K225" s="98" t="str">
        <f t="shared" si="68"/>
        <v>4049/4050</v>
      </c>
      <c r="L225" s="21" t="str">
        <f>VLOOKUP(A225,'Trips&amp;Operators'!$C$1:$G$99999,5,FALSE)</f>
        <v>MAGEE KENYA</v>
      </c>
      <c r="M225" s="6">
        <f t="shared" si="69"/>
        <v>1.3449074074742384E-2</v>
      </c>
      <c r="N225" s="7">
        <f t="shared" si="67"/>
        <v>19.366666667629033</v>
      </c>
      <c r="O225" s="7"/>
      <c r="P225" s="7"/>
      <c r="Q225" s="22"/>
      <c r="R225" s="22"/>
      <c r="S225" s="31">
        <f t="shared" si="83"/>
        <v>0</v>
      </c>
      <c r="T225" s="46" t="e">
        <f t="shared" si="70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1"/>
        <v>https://d0f6bd738d7f1b3e5a7ca70fe4ff75f0.us-east-1.aws.found.io/app/kibana#/discover/Steve-Slow-Train-Analysis-(2080s-and-2083s)?_g=(refreshInterval:(display:Off,pause:!f,section:0,value:0),time:(from:'2017-02-28T02:41:52-0700',mode:absolute,to:'2017-02-28T05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187" t="str">
        <f t="shared" si="72"/>
        <v>N</v>
      </c>
      <c r="X225" s="187" t="e">
        <f t="shared" si="84"/>
        <v>#VALUE!</v>
      </c>
      <c r="Y225" s="62">
        <f t="shared" si="73"/>
        <v>5.8964999999999996</v>
      </c>
      <c r="Z225" s="62">
        <f t="shared" si="74"/>
        <v>1.49E-2</v>
      </c>
      <c r="AA225" s="62">
        <f t="shared" si="75"/>
        <v>5.8815999999999997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6"/>
        <v>50-28</v>
      </c>
      <c r="AE225" s="85" t="str">
        <f t="shared" si="77"/>
        <v>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 &amp; aws s3 cp s3://rtdc.mdm.uploadarchive.raw/RTDC4050/ "%USERPROFILE%\AppData\Local\Temp\OnboardLogs"\RTDC4050\2017-03-01 --exclude "*" --recursive --include "*20170301*" &amp; "%USERPROFILE%\Documents\GitHub\mrs-test-scripts\Headless Mode &amp; Sideloading\WalkAndUnGZ.bat" "%USERPROFILE%\AppData\Local\Temp\OnboardLogs"\RTDC4050\2017-03-01</v>
      </c>
      <c r="AF225" s="82" t="str">
        <f t="shared" si="78"/>
        <v>"C:\Program Files (x86)\AstroGrep\AstroGrep.exe" /spath="%USERPROFILE%\AppData\Local\Temp\OnboardLogs" /stypes="app*4050*20170228*" /stext=" 11:.+((SYSTEM_STATE.+slice.+state.+changed )|(ment ac)|(multiple cpu faults)|(system.+state.+changed )|(\[timeout)|(PRM\|1\|D)|(kpr)|(kdp)|(\|lc)|(penalty))" /e /r /s</v>
      </c>
      <c r="AG225" s="1" t="str">
        <f t="shared" si="79"/>
        <v>Other</v>
      </c>
      <c r="AH225" s="86" t="str">
        <f t="shared" si="80"/>
        <v>"%USERPROFILE%\Documents\GitHub\eaglep3\Utilities\RefineRTDCRunTimes.py" --tripid 50-28 --locoid 4050 --swversion DE.1.0.9.0 --startMP 204:58965 --initTime 2017-02-28T03:41:52 --startdatetime 2017-02-28T03:43:26 --delay 1 --endMP 204:149 --enddatetime 2017-02-28T04:02:48 --enforcementcount 1 &gt;&gt;C:\Users\stu\Documents\GitHub\eaglep3-reporting\EC\2017-02-28-refined-times.txt</v>
      </c>
      <c r="AI225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{"issue":{"subject":"","project_id":79,"tracker_id":40,"status_id":1,"priority_id":2,"assigned_to_id":23,"start_date":"2017-02-28","description":"","custom_fields":[{"id":1,"name":"Subdivision","value":"Other"},{"id":4,"name":"Milepost","value":"0.0149"},{"id":17,"name":"Train ID","value":"50-28"},{"id":16,"name":"Locomotive ID","value":"4050"},{"id":130,"name":"Impact","value":""},{"id":150,"name":"Time of Event (Mountain Time)","value":"04:02:48"},{"id":151,"name":"Denver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2"/>
        <v>start /low /b %USERPROFILE%\Documents\GitHub\eaglep3\Utilities\DownloadLogsFromS3.py --loco 4050 --day 2017-02-28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"%USERPROFILE%\AppData\Local\Temp\OnboardLogs"\RTDC4050\*4050*20170228* | grep -SE "(Enforcement Action)|(\[TIMEOUT)|(CHR.+\|PRM\|1\|D.+(SWITCH|SIGNAL).+UNKNOWN)" - &gt;&gt; 2017-02-28-UncaughtWiMAX.txt</v>
      </c>
    </row>
    <row r="226" spans="1:40" x14ac:dyDescent="0.25">
      <c r="A226" s="33" t="s">
        <v>574</v>
      </c>
      <c r="B226" s="7">
        <v>4050</v>
      </c>
      <c r="C226" s="21" t="s">
        <v>274</v>
      </c>
      <c r="D226" s="21" t="s">
        <v>864</v>
      </c>
      <c r="E226" s="13">
        <v>42794.138159722221</v>
      </c>
      <c r="F226" s="13">
        <v>42794.155162037037</v>
      </c>
      <c r="G226" s="7">
        <v>1</v>
      </c>
      <c r="H226" s="21" t="s">
        <v>865</v>
      </c>
      <c r="I226" s="13">
        <v>42794.168611111112</v>
      </c>
      <c r="J226" s="7">
        <v>1</v>
      </c>
      <c r="K226" s="98" t="str">
        <f t="shared" si="68"/>
        <v>4049/4050</v>
      </c>
      <c r="L226" s="21" t="str">
        <f>VLOOKUP(A226,'Trips&amp;Operators'!$C$1:$G$99999,5,FALSE)</f>
        <v>MAGEE KENYA</v>
      </c>
      <c r="M226" s="6">
        <f t="shared" si="69"/>
        <v>1.3449074074742384E-2</v>
      </c>
      <c r="N226" s="7">
        <f t="shared" si="67"/>
        <v>19.366666667629033</v>
      </c>
      <c r="O226" s="7"/>
      <c r="P226" s="7"/>
      <c r="Q226" s="22"/>
      <c r="R226" s="22"/>
      <c r="S226" s="31">
        <f t="shared" si="83"/>
        <v>0</v>
      </c>
      <c r="T226" s="46" t="e">
        <f t="shared" si="70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1"/>
        <v>https://d0f6bd738d7f1b3e5a7ca70fe4ff75f0.us-east-1.aws.found.io/app/kibana#/discover/Steve-Slow-Train-Analysis-(2080s-and-2083s)?_g=(refreshInterval:(display:Off,pause:!f,section:0,value:0),time:(from:'2017-02-28T02:18:57-0700',mode:absolute,to:'2017-02-28T05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6" s="187" t="str">
        <f t="shared" si="72"/>
        <v>Y</v>
      </c>
      <c r="X226" s="187" t="e">
        <f t="shared" si="84"/>
        <v>#VALUE!</v>
      </c>
      <c r="Y226" s="62">
        <f t="shared" si="73"/>
        <v>6.5339999999999998</v>
      </c>
      <c r="Z226" s="62">
        <f t="shared" si="74"/>
        <v>6.4043000000000001</v>
      </c>
      <c r="AA226" s="62">
        <f t="shared" si="75"/>
        <v>0.1296999999999997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6"/>
        <v>50-28</v>
      </c>
      <c r="AE226" s="85" t="str">
        <f t="shared" si="77"/>
        <v>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 &amp; aws s3 cp s3://rtdc.mdm.uploadarchive.raw/RTDC4050/ "%USERPROFILE%\AppData\Local\Temp\OnboardLogs"\RTDC4050\2017-03-01 --exclude "*" --recursive --include "*20170301*" &amp; "%USERPROFILE%\Documents\GitHub\mrs-test-scripts\Headless Mode &amp; Sideloading\WalkAndUnGZ.bat" "%USERPROFILE%\AppData\Local\Temp\OnboardLogs"\RTDC4050\2017-03-01</v>
      </c>
      <c r="AF226" s="82" t="str">
        <f t="shared" si="78"/>
        <v>"C:\Program Files (x86)\AstroGrep\AstroGrep.exe" /spath="%USERPROFILE%\AppData\Local\Temp\OnboardLogs" /stypes="app*4050*20170228*" /stext=" 11:.+((SYSTEM_STATE.+slice.+state.+changed )|(ment ac)|(multiple cpu faults)|(system.+state.+changed )|(\[timeout)|(PRM\|1\|D)|(kpr)|(kdp)|(\|lc)|(penalty))" /e /r /s</v>
      </c>
      <c r="AG226" s="1" t="str">
        <f t="shared" si="79"/>
        <v>Other</v>
      </c>
      <c r="AH226" s="86" t="str">
        <f t="shared" si="80"/>
        <v>"%USERPROFILE%\Documents\GitHub\eaglep3\Utilities\RefineRTDCRunTimes.py" --tripid 50-28 --locoid 4050 --swversion DE.1.0.9.0 --startMP 204:65340 --initTime 2017-02-28T03:18:57 --startdatetime 2017-02-28T03:43:26 --delay 1 --endMP 204:64043 --enddatetime 2017-02-28T04:02:48 --enforcementcount 1 &gt;&gt;C:\Users\stu\Documents\GitHub\eaglep3-reporting\EC\2017-02-28-refined-times.txt</v>
      </c>
      <c r="AI226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{"issue":{"subject":"","project_id":79,"tracker_id":40,"status_id":1,"priority_id":2,"assigned_to_id":23,"start_date":"2017-02-28","description":"","custom_fields":[{"id":1,"name":"Subdivision","value":"Other"},{"id":4,"name":"Milepost","value":"6.4043"},{"id":17,"name":"Train ID","value":"50-28"},{"id":16,"name":"Locomotive ID","value":"4050"},{"id":130,"name":"Impact","value":""},{"id":150,"name":"Time of Event (Mountain Time)","value":"04:02:48"},{"id":151,"name":"Denver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2"/>
        <v>start /low /b %USERPROFILE%\Documents\GitHub\eaglep3\Utilities\DownloadLogsFromS3.py --loco 4050 --day 2017-02-28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"%USERPROFILE%\AppData\Local\Temp\OnboardLogs"\RTDC4050\*4050*20170228* | grep -SE "(Enforcement Action)|(\[TIMEOUT)|(CHR.+\|PRM\|1\|D.+(SWITCH|SIGNAL).+UNKNOWN)" - &gt;&gt; 2017-02-28-UncaughtWiMAX.txt</v>
      </c>
    </row>
    <row r="227" spans="1:40" x14ac:dyDescent="0.25">
      <c r="A227" s="33" t="s">
        <v>768</v>
      </c>
      <c r="B227" s="7">
        <v>4046</v>
      </c>
      <c r="C227" s="21" t="s">
        <v>274</v>
      </c>
      <c r="D227" s="21" t="s">
        <v>410</v>
      </c>
      <c r="E227" s="13">
        <v>42795.075787037036</v>
      </c>
      <c r="F227" s="13">
        <v>42795.078344907408</v>
      </c>
      <c r="G227" s="7">
        <v>2</v>
      </c>
      <c r="H227" s="21" t="s">
        <v>866</v>
      </c>
      <c r="I227" s="13">
        <v>42795.096018518518</v>
      </c>
      <c r="J227" s="7">
        <v>1</v>
      </c>
      <c r="K227" s="98" t="str">
        <f t="shared" si="68"/>
        <v>4045/4046</v>
      </c>
      <c r="L227" s="21" t="str">
        <f>VLOOKUP(A227,'Trips&amp;Operators'!$C$1:$G$99999,5,FALSE)</f>
        <v>YANG JAN</v>
      </c>
      <c r="M227" s="6">
        <f t="shared" si="69"/>
        <v>1.767361110978527E-2</v>
      </c>
      <c r="N227" s="7">
        <f t="shared" si="67"/>
        <v>25.449999998090789</v>
      </c>
      <c r="O227" s="7"/>
      <c r="P227" s="7"/>
      <c r="Q227" s="22"/>
      <c r="R227" s="22"/>
      <c r="S227" s="31">
        <f t="shared" si="83"/>
        <v>0</v>
      </c>
      <c r="T227" s="46" t="e">
        <f t="shared" si="70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1"/>
        <v>https://d0f6bd738d7f1b3e5a7ca70fe4ff75f0.us-east-1.aws.found.io/app/kibana#/discover/Steve-Slow-Train-Analysis-(2080s-and-2083s)?_g=(refreshInterval:(display:Off,pause:!f,section:0,value:0),time:(from:'2017-03-01T00:49:08-0700',mode:absolute,to:'2017-03-01T03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7" s="187" t="str">
        <f t="shared" si="72"/>
        <v>N</v>
      </c>
      <c r="X227" s="187" t="e">
        <f t="shared" si="84"/>
        <v>#VALUE!</v>
      </c>
      <c r="Y227" s="62">
        <f t="shared" si="73"/>
        <v>4.0599999999999997E-2</v>
      </c>
      <c r="Z227" s="62">
        <f t="shared" si="74"/>
        <v>11.208500000000001</v>
      </c>
      <c r="AA227" s="62">
        <f t="shared" si="75"/>
        <v>11.167900000000001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6"/>
        <v>51-01</v>
      </c>
      <c r="AE227" s="85" t="str">
        <f t="shared" si="7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227" s="82" t="str">
        <f t="shared" si="78"/>
        <v>"C:\Program Files (x86)\AstroGrep\AstroGrep.exe" /spath="%USERPROFILE%\AppData\Local\Temp\OnboardLogs" /stypes="app*4046*20170301*" /stext=" 09:.+((SYSTEM_STATE.+slice.+state.+changed )|(ment ac)|(multiple cpu faults)|(system.+state.+changed )|(\[timeout)|(PRM\|1\|D)|(kpr)|(kdp)|(\|lc)|(penalty))" /e /r /s</v>
      </c>
      <c r="AG227" s="1" t="str">
        <f t="shared" si="79"/>
        <v>Other</v>
      </c>
      <c r="AH227" s="86" t="str">
        <f t="shared" si="80"/>
        <v>"%USERPROFILE%\Documents\GitHub\eaglep3\Utilities\RefineRTDCRunTimes.py" --tripid 51-01 --locoid 4046 --swversion DE.1.0.9.0 --startMP 204:406 --initTime 2017-03-01T01:49:08 --startdatetime 2017-03-01T01:52:49 --delay 2 --endMP 204:112085 --enddatetime 2017-03-01T02:18:16 --enforcementcount 1 &gt;&gt;C:\Users\stu\Documents\GitHub\eaglep3-reporting\EC\2017-02-28-refined-times.txt</v>
      </c>
      <c r="AI227" s="108" t="str">
        <f t="shared" si="81"/>
        <v>echo {"issue":{"subject":"","project_id":79,"tracker_id":40,"status_id":1,"priority_id":2,"assigned_to_id":23,"start_date":"2017-03-01","description":"","custom_fields":[{"id":1,"name":"Subdivision","value":"Other"},{"id":4,"name":"Milepost","value":"11.2085"},{"id":17,"name":"Train ID","value":"51-01"},{"id":16,"name":"Locomotive ID","value":"4046"},{"id":130,"name":"Impact","value":""},{"id":150,"name":"Time of Event (Mountain Time)","value":"02:18:16"},{"id":151,"name":"Denver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2"/>
        <v>start /low /b %USERPROFILE%\Documents\GitHub\eaglep3\Utilities\DownloadLogsFromS3.py --loco 4046 --day 2017-03-01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2017-02-28-UncaughtWiMAX.txt</v>
      </c>
    </row>
    <row r="228" spans="1:40" x14ac:dyDescent="0.25">
      <c r="A228" s="33" t="s">
        <v>385</v>
      </c>
      <c r="B228" s="7">
        <v>4049</v>
      </c>
      <c r="C228" s="21" t="s">
        <v>274</v>
      </c>
      <c r="D228" s="21" t="s">
        <v>317</v>
      </c>
      <c r="E228" s="13">
        <v>42794.098113425927</v>
      </c>
      <c r="F228" s="13">
        <v>42794.106064814812</v>
      </c>
      <c r="G228" s="7">
        <v>3</v>
      </c>
      <c r="H228" s="21" t="s">
        <v>867</v>
      </c>
      <c r="I228" s="13">
        <v>42794.135509259257</v>
      </c>
      <c r="J228" s="7">
        <v>1</v>
      </c>
      <c r="K228" s="98" t="str">
        <f t="shared" si="68"/>
        <v>4049/4050</v>
      </c>
      <c r="L228" s="21" t="str">
        <f>VLOOKUP(A228,'Trips&amp;Operators'!$C$1:$G$99999,5,FALSE)</f>
        <v>MAGEE KENYA</v>
      </c>
      <c r="M228" s="6">
        <f t="shared" si="69"/>
        <v>2.9444444444379769E-2</v>
      </c>
      <c r="N228" s="7">
        <f t="shared" si="67"/>
        <v>42.399999999906868</v>
      </c>
      <c r="O228" s="7"/>
      <c r="P228" s="7"/>
      <c r="Q228" s="22"/>
      <c r="R228" s="22"/>
      <c r="S228" s="31">
        <f t="shared" si="83"/>
        <v>0</v>
      </c>
      <c r="T228" s="46" t="e">
        <f t="shared" si="70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1"/>
        <v>https://d0f6bd738d7f1b3e5a7ca70fe4ff75f0.us-east-1.aws.found.io/app/kibana#/discover/Steve-Slow-Train-Analysis-(2080s-and-2083s)?_g=(refreshInterval:(display:Off,pause:!f,section:0,value:0),time:(from:'2017-02-28T01:21:17-0700',mode:absolute,to:'2017-02-28T04:15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8" s="187" t="str">
        <f t="shared" si="72"/>
        <v>N</v>
      </c>
      <c r="X228" s="187" t="e">
        <f t="shared" si="84"/>
        <v>#VALUE!</v>
      </c>
      <c r="Y228" s="62">
        <f t="shared" si="73"/>
        <v>4.7300000000000002E-2</v>
      </c>
      <c r="Z228" s="62">
        <f t="shared" si="74"/>
        <v>6.5670000000000002</v>
      </c>
      <c r="AA228" s="62">
        <f t="shared" si="75"/>
        <v>6.5197000000000003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6"/>
        <v>51-28</v>
      </c>
      <c r="AE228" s="85" t="str">
        <f t="shared" si="77"/>
        <v>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 &amp; aws s3 cp s3://rtdc.mdm.uploadarchive.raw/RTDC4049/ "%USERPROFILE%\AppData\Local\Temp\OnboardLogs"\RTDC4049\2017-03-01 --exclude "*" --recursive --include "*20170301*" &amp; "%USERPROFILE%\Documents\GitHub\mrs-test-scripts\Headless Mode &amp; Sideloading\WalkAndUnGZ.bat" "%USERPROFILE%\AppData\Local\Temp\OnboardLogs"\RTDC4049\2017-03-01</v>
      </c>
      <c r="AF228" s="82" t="str">
        <f t="shared" si="78"/>
        <v>"C:\Program Files (x86)\AstroGrep\AstroGrep.exe" /spath="%USERPROFILE%\AppData\Local\Temp\OnboardLogs" /stypes="app*4049*20170228*" /stext=" 10:.+((SYSTEM_STATE.+slice.+state.+changed )|(ment ac)|(multiple cpu faults)|(system.+state.+changed )|(\[timeout)|(PRM\|1\|D)|(kpr)|(kdp)|(\|lc)|(penalty))" /e /r /s</v>
      </c>
      <c r="AG228" s="1" t="str">
        <f t="shared" si="79"/>
        <v>Other</v>
      </c>
      <c r="AH228" s="86" t="str">
        <f t="shared" si="80"/>
        <v>"%USERPROFILE%\Documents\GitHub\eaglep3\Utilities\RefineRTDCRunTimes.py" --tripid 51-28 --locoid 4049 --swversion DE.1.0.9.0 --startMP 204:473 --initTime 2017-02-28T02:21:17 --startdatetime 2017-02-28T02:32:44 --delay 3 --endMP 204:65670 --enddatetime 2017-02-28T03:15:08 --enforcementcount 1 &gt;&gt;C:\Users\stu\Documents\GitHub\eaglep3-reporting\EC\2017-02-28-refined-times.txt</v>
      </c>
      <c r="AI228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{"issue":{"subject":"","project_id":79,"tracker_id":40,"status_id":1,"priority_id":2,"assigned_to_id":23,"start_date":"2017-02-28","description":"","custom_fields":[{"id":1,"name":"Subdivision","value":"Other"},{"id":4,"name":"Milepost","value":"6.567"},{"id":17,"name":"Train ID","value":"51-28"},{"id":16,"name":"Locomotive ID","value":"4049"},{"id":130,"name":"Impact","value":""},{"id":150,"name":"Time of Event (Mountain Time)","value":"03:15:08"},{"id":151,"name":"Denver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2"/>
        <v>start /low /b %USERPROFILE%\Documents\GitHub\eaglep3\Utilities\DownloadLogsFromS3.py --loco 4049 --day 2017-02-28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"%USERPROFILE%\AppData\Local\Temp\OnboardLogs"\RTDC4049\*4049*20170228* | grep -SE "(Enforcement Action)|(\[TIMEOUT)|(CHR.+\|PRM\|1\|D.+(SWITCH|SIGNAL).+UNKNOWN)" - &gt;&gt; 2017-02-28-UncaughtWiMAX.txt</v>
      </c>
    </row>
    <row r="229" spans="1:40" x14ac:dyDescent="0.25">
      <c r="A229" s="33" t="s">
        <v>601</v>
      </c>
      <c r="B229" s="7">
        <v>4010</v>
      </c>
      <c r="C229" s="21" t="s">
        <v>274</v>
      </c>
      <c r="D229" s="21" t="s">
        <v>868</v>
      </c>
      <c r="E229" s="13">
        <v>42794.24082175926</v>
      </c>
      <c r="F229" s="13">
        <v>42794.242199074077</v>
      </c>
      <c r="G229" s="7">
        <v>1</v>
      </c>
      <c r="H229" s="21" t="s">
        <v>869</v>
      </c>
      <c r="I229" s="13">
        <v>42794.250347222223</v>
      </c>
      <c r="J229" s="7">
        <v>1</v>
      </c>
      <c r="K229" s="98" t="str">
        <f t="shared" si="68"/>
        <v>4009/4010</v>
      </c>
      <c r="L229" s="21" t="str">
        <f>VLOOKUP(A229,'Trips&amp;Operators'!$C$1:$G$99999,5,FALSE)</f>
        <v>YANAI IAN</v>
      </c>
      <c r="M229" s="6">
        <f t="shared" si="69"/>
        <v>8.1481481465743855E-3</v>
      </c>
      <c r="N229" s="7">
        <f t="shared" si="67"/>
        <v>11.733333331067115</v>
      </c>
      <c r="O229" s="7"/>
      <c r="P229" s="7"/>
      <c r="Q229" s="22"/>
      <c r="R229" s="22"/>
      <c r="S229" s="31">
        <f t="shared" si="83"/>
        <v>0</v>
      </c>
      <c r="T229" s="46" t="e">
        <f t="shared" si="70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1"/>
        <v>https://d0f6bd738d7f1b3e5a7ca70fe4ff75f0.us-east-1.aws.found.io/app/kibana#/discover/Steve-Slow-Train-Analysis-(2080s-and-2083s)?_g=(refreshInterval:(display:Off,pause:!f,section:0,value:0),time:(from:'2017-02-28T04:46:47-0700',mode:absolute,to:'2017-02-28T07:00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9" s="187" t="str">
        <f t="shared" si="72"/>
        <v>Y</v>
      </c>
      <c r="X229" s="187" t="e">
        <f t="shared" si="84"/>
        <v>#VALUE!</v>
      </c>
      <c r="Y229" s="62">
        <f t="shared" si="73"/>
        <v>3.2035999999999998</v>
      </c>
      <c r="Z229" s="62">
        <f t="shared" si="74"/>
        <v>2.085</v>
      </c>
      <c r="AA229" s="62">
        <f t="shared" si="75"/>
        <v>1.1185999999999998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6"/>
        <v>52-28</v>
      </c>
      <c r="AE229" s="85" t="str">
        <f t="shared" si="77"/>
        <v>aws s3 cp s3://rtdc.mdm.uploadarchive.raw/RTDC4010/ "%USERPROFILE%\AppData\Local\Temp\OnboardLogs"\RTDC4010\2017-02-28 --exclude "*" --recursive --include "*20170228*" &amp; "%USERPROFILE%\Documents\GitHub\mrs-test-scripts\Headless Mode &amp; Sideloading\WalkAndUnGZ.bat" "%USERPROFILE%\AppData\Local\Temp\OnboardLogs"\RTDC4010\2017-02-28 &amp; 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</v>
      </c>
      <c r="AF229" s="82" t="str">
        <f t="shared" si="78"/>
        <v>"C:\Program Files (x86)\AstroGrep\AstroGrep.exe" /spath="%USERPROFILE%\AppData\Local\Temp\OnboardLogs" /stypes="app*4010*20170228*" /stext=" 13:.+((SYSTEM_STATE.+slice.+state.+changed )|(ment ac)|(multiple cpu faults)|(system.+state.+changed )|(\[timeout)|(PRM\|1\|D)|(kpr)|(kdp)|(\|lc)|(penalty))" /e /r /s</v>
      </c>
      <c r="AG229" s="1" t="str">
        <f t="shared" si="79"/>
        <v>Other</v>
      </c>
      <c r="AH229" s="86" t="str">
        <f t="shared" si="80"/>
        <v>"%USERPROFILE%\Documents\GitHub\eaglep3\Utilities\RefineRTDCRunTimes.py" --tripid 52-28 --locoid 4010 --swversion DE.1.0.9.0 --startMP 300:32036 --initTime 2017-02-28T05:46:47 --startdatetime 2017-02-28T05:48:46 --delay 1 --endMP 300:20850 --enddatetime 2017-02-28T06:00:30 --enforcementcount 1 &gt;&gt;C:\Users\stu\Documents\GitHub\eaglep3-reporting\EC\2017-02-28-refined-times.txt</v>
      </c>
      <c r="AI229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{"issue":{"subject":"","project_id":79,"tracker_id":40,"status_id":1,"priority_id":2,"assigned_to_id":23,"start_date":"2017-02-28","description":"","custom_fields":[{"id":1,"name":"Subdivision","value":"Other"},{"id":4,"name":"Milepost","value":"2.085"},{"id":17,"name":"Train ID","value":"52-28"},{"id":16,"name":"Locomotive ID","value":"4010"},{"id":130,"name":"Impact","value":""},{"id":150,"name":"Time of Event (Mountain Time)","value":"06:00:30"},{"id":151,"name":"Denver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2"/>
        <v>start /low /b %USERPROFILE%\Documents\GitHub\eaglep3\Utilities\DownloadLogsFromS3.py --loco 4010 --day 2017-02-28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"%USERPROFILE%\AppData\Local\Temp\OnboardLogs"\RTDC4010\*4010*20170228* | grep -SE "(Enforcement Action)|(\[TIMEOUT)|(CHR.+\|PRM\|1\|D.+(SWITCH|SIGNAL).+UNKNOWN)" - &gt;&gt; 2017-02-28-UncaughtWiMAX.txt</v>
      </c>
    </row>
    <row r="230" spans="1:40" x14ac:dyDescent="0.25">
      <c r="A230" s="33" t="s">
        <v>598</v>
      </c>
      <c r="B230" s="7">
        <v>4014</v>
      </c>
      <c r="C230" s="21" t="s">
        <v>274</v>
      </c>
      <c r="D230" s="21" t="s">
        <v>415</v>
      </c>
      <c r="E230" s="13">
        <v>42794.231608796297</v>
      </c>
      <c r="F230" s="13">
        <v>42794.242199074077</v>
      </c>
      <c r="G230" s="7">
        <v>1</v>
      </c>
      <c r="H230" s="21" t="s">
        <v>870</v>
      </c>
      <c r="I230" s="13">
        <v>42794.250347222223</v>
      </c>
      <c r="J230" s="7">
        <v>1</v>
      </c>
      <c r="K230" s="98" t="str">
        <f t="shared" si="68"/>
        <v>4013/4014</v>
      </c>
      <c r="L230" s="21" t="str">
        <f>VLOOKUP(A230,'Trips&amp;Operators'!$C$1:$G$99999,5,FALSE)</f>
        <v>YANAI IAN</v>
      </c>
      <c r="M230" s="6">
        <f t="shared" si="69"/>
        <v>8.1481481465743855E-3</v>
      </c>
      <c r="N230" s="7">
        <f t="shared" ref="N230:N236" si="85">24*60*SUM($M230:$M230)</f>
        <v>11.733333331067115</v>
      </c>
      <c r="O230" s="7"/>
      <c r="P230" s="7"/>
      <c r="Q230" s="22"/>
      <c r="R230" s="22"/>
      <c r="S230" s="31">
        <f t="shared" si="83"/>
        <v>0</v>
      </c>
      <c r="T230" s="46" t="e">
        <f t="shared" si="70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1"/>
        <v>https://d0f6bd738d7f1b3e5a7ca70fe4ff75f0.us-east-1.aws.found.io/app/kibana#/discover/Steve-Slow-Train-Analysis-(2080s-and-2083s)?_g=(refreshInterval:(display:Off,pause:!f,section:0,value:0),time:(from:'2017-02-28T04:33:31-0700',mode:absolute,to:'2017-02-28T07:00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0" s="187" t="str">
        <f t="shared" si="72"/>
        <v>Y</v>
      </c>
      <c r="X230" s="187" t="e">
        <f t="shared" si="84"/>
        <v>#VALUE!</v>
      </c>
      <c r="Y230" s="62">
        <f t="shared" si="73"/>
        <v>0.14660000000000001</v>
      </c>
      <c r="Z230" s="62">
        <f t="shared" si="74"/>
        <v>3.2671999999999999</v>
      </c>
      <c r="AA230" s="62">
        <f t="shared" si="75"/>
        <v>3.1206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6"/>
        <v>53-28</v>
      </c>
      <c r="AE230" s="85" t="str">
        <f t="shared" si="77"/>
        <v>aws s3 cp s3://rtdc.mdm.uploadarchive.raw/RTDC4014/ "%USERPROFILE%\AppData\Local\Temp\OnboardLogs"\RTDC4014\2017-02-28 --exclude "*" --recursive --include "*20170228*" &amp; "%USERPROFILE%\Documents\GitHub\mrs-test-scripts\Headless Mode &amp; Sideloading\WalkAndUnGZ.bat" "%USERPROFILE%\AppData\Local\Temp\OnboardLogs"\RTDC4014\2017-02-28 &amp; 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</v>
      </c>
      <c r="AF230" s="82" t="str">
        <f t="shared" si="78"/>
        <v>"C:\Program Files (x86)\AstroGrep\AstroGrep.exe" /spath="%USERPROFILE%\AppData\Local\Temp\OnboardLogs" /stypes="app*4014*20170228*" /stext=" 13:.+((SYSTEM_STATE.+slice.+state.+changed )|(ment ac)|(multiple cpu faults)|(system.+state.+changed )|(\[timeout)|(PRM\|1\|D)|(kpr)|(kdp)|(\|lc)|(penalty))" /e /r /s</v>
      </c>
      <c r="AG230" s="1" t="str">
        <f t="shared" si="79"/>
        <v>Other</v>
      </c>
      <c r="AH230" s="86" t="str">
        <f t="shared" si="80"/>
        <v>"%USERPROFILE%\Documents\GitHub\eaglep3\Utilities\RefineRTDCRunTimes.py" --tripid 53-28 --locoid 4014 --swversion DE.1.0.9.0 --startMP 204:1466 --initTime 2017-02-28T05:33:31 --startdatetime 2017-02-28T05:48:46 --delay 1 --endMP 300:32672 --enddatetime 2017-02-28T06:00:30 --enforcementcount 1 &gt;&gt;C:\Users\stu\Documents\GitHub\eaglep3-reporting\EC\2017-02-28-refined-times.txt</v>
      </c>
      <c r="AI230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{"issue":{"subject":"","project_id":79,"tracker_id":40,"status_id":1,"priority_id":2,"assigned_to_id":23,"start_date":"2017-02-28","description":"","custom_fields":[{"id":1,"name":"Subdivision","value":"Other"},{"id":4,"name":"Milepost","value":"3.2672"},{"id":17,"name":"Train ID","value":"53-28"},{"id":16,"name":"Locomotive ID","value":"4014"},{"id":130,"name":"Impact","value":""},{"id":150,"name":"Time of Event (Mountain Time)","value":"06:00:30"},{"id":151,"name":"Denver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2"/>
        <v>start /low /b %USERPROFILE%\Documents\GitHub\eaglep3\Utilities\DownloadLogsFromS3.py --loco 4014 --day 2017-02-28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"%USERPROFILE%\AppData\Local\Temp\OnboardLogs"\RTDC4014\*4014*20170228* | grep -SE "(Enforcement Action)|(\[TIMEOUT)|(CHR.+\|PRM\|1\|D.+(SWITCH|SIGNAL).+UNKNOWN)" - &gt;&gt; 2017-02-28-UncaughtWiMAX.txt</v>
      </c>
    </row>
    <row r="231" spans="1:40" x14ac:dyDescent="0.25">
      <c r="A231" s="33" t="s">
        <v>609</v>
      </c>
      <c r="B231" s="7">
        <v>4013</v>
      </c>
      <c r="C231" s="21" t="s">
        <v>274</v>
      </c>
      <c r="D231" s="21" t="s">
        <v>871</v>
      </c>
      <c r="E231" s="13">
        <v>42794.273888888885</v>
      </c>
      <c r="F231" s="13">
        <v>42794.275185185186</v>
      </c>
      <c r="G231" s="7">
        <v>1</v>
      </c>
      <c r="H231" s="21" t="s">
        <v>872</v>
      </c>
      <c r="I231" s="13">
        <v>42794.280405092592</v>
      </c>
      <c r="J231" s="7">
        <v>1</v>
      </c>
      <c r="K231" s="98" t="str">
        <f t="shared" si="68"/>
        <v>4013/4014</v>
      </c>
      <c r="L231" s="21" t="str">
        <f>VLOOKUP(A231,'Trips&amp;Operators'!$C$1:$G$99999,5,FALSE)</f>
        <v>YANAI IAN</v>
      </c>
      <c r="M231" s="6">
        <f t="shared" si="69"/>
        <v>5.2199074052623473E-3</v>
      </c>
      <c r="N231" s="7">
        <f t="shared" si="85"/>
        <v>7.5166666635777801</v>
      </c>
      <c r="O231" s="7"/>
      <c r="P231" s="7"/>
      <c r="Q231" s="22"/>
      <c r="R231" s="22"/>
      <c r="S231" s="31">
        <f t="shared" si="83"/>
        <v>0</v>
      </c>
      <c r="T231" s="46" t="e">
        <f t="shared" si="70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1"/>
        <v>https://d0f6bd738d7f1b3e5a7ca70fe4ff75f0.us-east-1.aws.found.io/app/kibana#/discover/Steve-Slow-Train-Analysis-(2080s-and-2083s)?_g=(refreshInterval:(display:Off,pause:!f,section:0,value:0),time:(from:'2017-02-28T05:34:24-0700',mode:absolute,to:'2017-02-28T07:43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1" s="187" t="str">
        <f t="shared" si="72"/>
        <v>Y</v>
      </c>
      <c r="X231" s="187" t="e">
        <f t="shared" si="84"/>
        <v>#VALUE!</v>
      </c>
      <c r="Y231" s="62">
        <f t="shared" si="73"/>
        <v>3.0888</v>
      </c>
      <c r="Z231" s="62">
        <f t="shared" si="74"/>
        <v>0.15840000000000001</v>
      </c>
      <c r="AA231" s="62">
        <f t="shared" si="75"/>
        <v>2.9304000000000001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6"/>
        <v>54-28</v>
      </c>
      <c r="AE231" s="85" t="str">
        <f t="shared" si="77"/>
        <v>aws s3 cp s3://rtdc.mdm.uploadarchive.raw/RTDC4013/ "%USERPROFILE%\AppData\Local\Temp\OnboardLogs"\RTDC4013\2017-02-28 --exclude "*" --recursive --include "*20170228*" &amp; "%USERPROFILE%\Documents\GitHub\mrs-test-scripts\Headless Mode &amp; Sideloading\WalkAndUnGZ.bat" "%USERPROFILE%\AppData\Local\Temp\OnboardLogs"\RTDC4013\2017-02-28 &amp; 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</v>
      </c>
      <c r="AF231" s="82" t="str">
        <f t="shared" si="78"/>
        <v>"C:\Program Files (x86)\AstroGrep\AstroGrep.exe" /spath="%USERPROFILE%\AppData\Local\Temp\OnboardLogs" /stypes="app*4013*20170228*" /stext=" 13:.+((SYSTEM_STATE.+slice.+state.+changed )|(ment ac)|(multiple cpu faults)|(system.+state.+changed )|(\[timeout)|(PRM\|1\|D)|(kpr)|(kdp)|(\|lc)|(penalty))" /e /r /s</v>
      </c>
      <c r="AG231" s="1" t="str">
        <f t="shared" si="79"/>
        <v>Other</v>
      </c>
      <c r="AH231" s="86" t="str">
        <f t="shared" si="80"/>
        <v>"%USERPROFILE%\Documents\GitHub\eaglep3\Utilities\RefineRTDCRunTimes.py" --tripid 54-28 --locoid 4013 --swversion DE.1.0.9.0 --startMP 300:30888 --initTime 2017-02-28T06:34:24 --startdatetime 2017-02-28T06:36:16 --delay 1 --endMP 204:1584 --enddatetime 2017-02-28T06:43:47 --enforcementcount 1 &gt;&gt;C:\Users\stu\Documents\GitHub\eaglep3-reporting\EC\2017-02-28-refined-times.txt</v>
      </c>
      <c r="AI231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{"issue":{"subject":"","project_id":79,"tracker_id":40,"status_id":1,"priority_id":2,"assigned_to_id":23,"start_date":"2017-02-28","description":"","custom_fields":[{"id":1,"name":"Subdivision","value":"Other"},{"id":4,"name":"Milepost","value":"0.1584"},{"id":17,"name":"Train ID","value":"54-28"},{"id":16,"name":"Locomotive ID","value":"4013"},{"id":130,"name":"Impact","value":""},{"id":150,"name":"Time of Event (Mountain Time)","value":"06:43:47"},{"id":151,"name":"Denver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2"/>
        <v>start /low /b %USERPROFILE%\Documents\GitHub\eaglep3\Utilities\DownloadLogsFromS3.py --loco 4013 --day 2017-02-28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"%USERPROFILE%\AppData\Local\Temp\OnboardLogs"\RTDC4013\*4013*20170228* | grep -SE "(Enforcement Action)|(\[TIMEOUT)|(CHR.+\|PRM\|1\|D.+(SWITCH|SIGNAL).+UNKNOWN)" - &gt;&gt; 2017-02-28-UncaughtWiMAX.txt</v>
      </c>
    </row>
    <row r="232" spans="1:40" x14ac:dyDescent="0.25">
      <c r="A232" s="33" t="s">
        <v>609</v>
      </c>
      <c r="B232" s="7">
        <v>4030</v>
      </c>
      <c r="C232" s="21" t="s">
        <v>274</v>
      </c>
      <c r="D232" s="21" t="s">
        <v>873</v>
      </c>
      <c r="E232" s="13">
        <v>42794.714120370372</v>
      </c>
      <c r="F232" s="13">
        <v>42794.716458333336</v>
      </c>
      <c r="G232" s="7">
        <v>3</v>
      </c>
      <c r="H232" s="21" t="s">
        <v>874</v>
      </c>
      <c r="I232" s="13">
        <v>42794.721550925926</v>
      </c>
      <c r="J232" s="7">
        <v>1</v>
      </c>
      <c r="K232" s="98" t="str">
        <f t="shared" si="68"/>
        <v>4029/4030</v>
      </c>
      <c r="L232" s="21" t="str">
        <f>VLOOKUP(A232,'Trips&amp;Operators'!$C$1:$G$99999,5,FALSE)</f>
        <v>YANAI IAN</v>
      </c>
      <c r="M232" s="6">
        <f t="shared" si="69"/>
        <v>5.0925925897900015E-3</v>
      </c>
      <c r="N232" s="7">
        <f t="shared" si="85"/>
        <v>7.3333333292976022</v>
      </c>
      <c r="O232" s="7"/>
      <c r="P232" s="7"/>
      <c r="Q232" s="22"/>
      <c r="R232" s="22"/>
      <c r="S232" s="31">
        <f t="shared" si="83"/>
        <v>0</v>
      </c>
      <c r="T232" s="46" t="e">
        <f t="shared" si="70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1"/>
        <v>https://d0f6bd738d7f1b3e5a7ca70fe4ff75f0.us-east-1.aws.found.io/app/kibana#/discover/Steve-Slow-Train-Analysis-(2080s-and-2083s)?_g=(refreshInterval:(display:Off,pause:!f,section:0,value:0),time:(from:'2017-02-28T16:08:20-0700',mode:absolute,to:'2017-02-28T18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2" s="187" t="str">
        <f t="shared" si="72"/>
        <v>Y</v>
      </c>
      <c r="X232" s="187" t="e">
        <f t="shared" si="84"/>
        <v>#VALUE!</v>
      </c>
      <c r="Y232" s="62">
        <f t="shared" si="73"/>
        <v>2.3271000000000002</v>
      </c>
      <c r="Z232" s="62">
        <f t="shared" si="74"/>
        <v>1.4200000000000001E-2</v>
      </c>
      <c r="AA232" s="62">
        <f t="shared" si="75"/>
        <v>2.3129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6"/>
        <v>54-28</v>
      </c>
      <c r="AE232" s="85" t="str">
        <f t="shared" si="77"/>
        <v>aws s3 cp s3://rtdc.mdm.uploadarchive.raw/RTDC4030/ "%USERPROFILE%\AppData\Local\Temp\OnboardLogs"\RTDC4030\2017-02-28 --exclude "*" --recursive --include "*20170228*" &amp; "%USERPROFILE%\Documents\GitHub\mrs-test-scripts\Headless Mode &amp; Sideloading\WalkAndUnGZ.bat" "%USERPROFILE%\AppData\Local\Temp\OnboardLogs"\RTDC4030\2017-02-28 &amp; 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</v>
      </c>
      <c r="AF232" s="82" t="str">
        <f t="shared" si="78"/>
        <v>"C:\Program Files (x86)\AstroGrep\AstroGrep.exe" /spath="%USERPROFILE%\AppData\Local\Temp\OnboardLogs" /stypes="app*4030*20170301*" /stext=" 00:.+((SYSTEM_STATE.+slice.+state.+changed )|(ment ac)|(multiple cpu faults)|(system.+state.+changed )|(\[timeout)|(PRM\|1\|D)|(kpr)|(kdp)|(\|lc)|(penalty))" /e /r /s</v>
      </c>
      <c r="AG232" s="1" t="str">
        <f t="shared" si="79"/>
        <v>Other</v>
      </c>
      <c r="AH232" s="86" t="str">
        <f t="shared" si="80"/>
        <v>"%USERPROFILE%\Documents\GitHub\eaglep3\Utilities\RefineRTDCRunTimes.py" --tripid 54-28 --locoid 4030 --swversion DE.1.0.9.0 --startMP 300:23271 --initTime 2017-02-28T17:08:20 --startdatetime 2017-02-28T17:11:42 --delay 3 --endMP 204:142 --enddatetime 2017-02-28T17:19:02 --enforcementcount 1 &gt;&gt;C:\Users\stu\Documents\GitHub\eaglep3-reporting\EC\2017-02-28-refined-times.txt</v>
      </c>
      <c r="AI232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{"issue":{"subject":"","project_id":79,"tracker_id":40,"status_id":1,"priority_id":2,"assigned_to_id":23,"start_date":"2017-02-28","description":"","custom_fields":[{"id":1,"name":"Subdivision","value":"Other"},{"id":4,"name":"Milepost","value":"0.0142"},{"id":17,"name":"Train ID","value":"54-28"},{"id":16,"name":"Locomotive ID","value":"4030"},{"id":130,"name":"Impact","value":""},{"id":150,"name":"Time of Event (Mountain Time)","value":"17:19:02"},{"id":151,"name":"Denver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2"/>
        <v>start /low /b %USERPROFILE%\Documents\GitHub\eaglep3\Utilities\DownloadLogsFromS3.py --loco 4030 --day 2017-02-28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2017-02-28-UncaughtWiMAX.txt</v>
      </c>
    </row>
    <row r="233" spans="1:40" x14ac:dyDescent="0.25">
      <c r="A233" s="33" t="s">
        <v>679</v>
      </c>
      <c r="B233" s="7">
        <v>4009</v>
      </c>
      <c r="C233" s="21" t="s">
        <v>274</v>
      </c>
      <c r="D233" s="21" t="s">
        <v>875</v>
      </c>
      <c r="E233" s="13">
        <v>42794.592824074076</v>
      </c>
      <c r="F233" s="13">
        <v>42794.594537037039</v>
      </c>
      <c r="G233" s="7">
        <v>1</v>
      </c>
      <c r="H233" s="21" t="s">
        <v>420</v>
      </c>
      <c r="I233" s="13">
        <v>42794.600439814814</v>
      </c>
      <c r="J233" s="7">
        <v>1</v>
      </c>
      <c r="K233" s="98" t="str">
        <f t="shared" si="68"/>
        <v>4009/4010</v>
      </c>
      <c r="L233" s="21" t="str">
        <f>VLOOKUP(A233,'Trips&amp;Operators'!$C$1:$G$99999,5,FALSE)</f>
        <v>HOLCOMB KAMDEN</v>
      </c>
      <c r="M233" s="6">
        <f t="shared" si="69"/>
        <v>5.9027777751907706E-3</v>
      </c>
      <c r="N233" s="7">
        <f t="shared" si="85"/>
        <v>8.4999999962747097</v>
      </c>
      <c r="O233" s="7"/>
      <c r="P233" s="7"/>
      <c r="Q233" s="22"/>
      <c r="R233" s="22"/>
      <c r="S233" s="31">
        <f t="shared" si="83"/>
        <v>0</v>
      </c>
      <c r="T233" s="46" t="e">
        <f t="shared" si="70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1"/>
        <v>https://d0f6bd738d7f1b3e5a7ca70fe4ff75f0.us-east-1.aws.found.io/app/kibana#/discover/Steve-Slow-Train-Analysis-(2080s-and-2083s)?_g=(refreshInterval:(display:Off,pause:!f,section:0,value:0),time:(from:'2017-02-28T13:13:40-0700',mode:absolute,to:'2017-02-28T15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3" s="187" t="str">
        <f t="shared" si="72"/>
        <v>Y</v>
      </c>
      <c r="X233" s="187" t="e">
        <f t="shared" si="84"/>
        <v>#VALUE!</v>
      </c>
      <c r="Y233" s="62">
        <f t="shared" si="73"/>
        <v>3.0377000000000001</v>
      </c>
      <c r="Z233" s="62">
        <f t="shared" si="74"/>
        <v>5.8949999999999996</v>
      </c>
      <c r="AA233" s="62">
        <f t="shared" si="75"/>
        <v>2.8572999999999995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6"/>
        <v>55-28</v>
      </c>
      <c r="AE233" s="85" t="str">
        <f t="shared" si="77"/>
        <v>aws s3 cp s3://rtdc.mdm.uploadarchive.raw/RTDC4009/ "%USERPROFILE%\AppData\Local\Temp\OnboardLogs"\RTDC4009\2017-02-28 --exclude "*" --recursive --include "*20170228*" &amp; "%USERPROFILE%\Documents\GitHub\mrs-test-scripts\Headless Mode &amp; Sideloading\WalkAndUnGZ.bat" "%USERPROFILE%\AppData\Local\Temp\OnboardLogs"\RTDC4009\2017-02-28 &amp; 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</v>
      </c>
      <c r="AF233" s="82" t="str">
        <f t="shared" si="78"/>
        <v>"C:\Program Files (x86)\AstroGrep\AstroGrep.exe" /spath="%USERPROFILE%\AppData\Local\Temp\OnboardLogs" /stypes="app*4009*20170228*" /stext=" 21:.+((SYSTEM_STATE.+slice.+state.+changed )|(ment ac)|(multiple cpu faults)|(system.+state.+changed )|(\[timeout)|(PRM\|1\|D)|(kpr)|(kdp)|(\|lc)|(penalty))" /e /r /s</v>
      </c>
      <c r="AG233" s="1" t="str">
        <f t="shared" si="79"/>
        <v>Other</v>
      </c>
      <c r="AH233" s="86" t="str">
        <f t="shared" si="80"/>
        <v>"%USERPROFILE%\Documents\GitHub\eaglep3\Utilities\RefineRTDCRunTimes.py" --tripid 55-28 --locoid 4009 --swversion DE.1.0.9.0 --startMP 300:30377 --initTime 2017-02-28T14:13:40 --startdatetime 2017-02-28T14:16:08 --delay 1 --endMP 300:58950 --enddatetime 2017-02-28T14:24:38 --enforcementcount 1 &gt;&gt;C:\Users\stu\Documents\GitHub\eaglep3-reporting\EC\2017-02-28-refined-times.txt</v>
      </c>
      <c r="AI233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{"issue":{"subject":"","project_id":79,"tracker_id":40,"status_id":1,"priority_id":2,"assigned_to_id":23,"start_date":"2017-02-28","description":"","custom_fields":[{"id":1,"name":"Subdivision","value":"Other"},{"id":4,"name":"Milepost","value":"5.895"},{"id":17,"name":"Train ID","value":"55-28"},{"id":16,"name":"Locomotive ID","value":"4009"},{"id":130,"name":"Impact","value":""},{"id":150,"name":"Time of Event (Mountain Time)","value":"14:24:38"},{"id":151,"name":"Denver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2"/>
        <v>start /low /b %USERPROFILE%\Documents\GitHub\eaglep3\Utilities\DownloadLogsFromS3.py --loco 4009 --day 2017-02-28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"%USERPROFILE%\AppData\Local\Temp\OnboardLogs"\RTDC4009\*4009*20170228* | grep -SE "(Enforcement Action)|(\[TIMEOUT)|(CHR.+\|PRM\|1\|D.+(SWITCH|SIGNAL).+UNKNOWN)" - &gt;&gt; 2017-02-28-UncaughtWiMAX.txt</v>
      </c>
    </row>
    <row r="234" spans="1:40" x14ac:dyDescent="0.25">
      <c r="A234" s="33" t="s">
        <v>682</v>
      </c>
      <c r="B234" s="7">
        <v>4045</v>
      </c>
      <c r="C234" s="21" t="s">
        <v>274</v>
      </c>
      <c r="D234" s="21" t="s">
        <v>876</v>
      </c>
      <c r="E234" s="13">
        <v>42794.763622685183</v>
      </c>
      <c r="F234" s="13">
        <v>42794.764780092592</v>
      </c>
      <c r="G234" s="7">
        <v>1</v>
      </c>
      <c r="H234" s="21" t="s">
        <v>877</v>
      </c>
      <c r="I234" s="13">
        <v>42794.778854166667</v>
      </c>
      <c r="J234" s="7">
        <v>1</v>
      </c>
      <c r="K234" s="98" t="str">
        <f t="shared" si="68"/>
        <v>4045/4046</v>
      </c>
      <c r="L234" s="21" t="str">
        <f>VLOOKUP(A234,'Trips&amp;Operators'!$C$1:$G$99999,5,FALSE)</f>
        <v>HOLCOMB KAMDEN</v>
      </c>
      <c r="M234" s="6">
        <f t="shared" si="69"/>
        <v>1.4074074075324461E-2</v>
      </c>
      <c r="N234" s="7">
        <f t="shared" si="85"/>
        <v>20.266666668467224</v>
      </c>
      <c r="O234" s="7"/>
      <c r="P234" s="7"/>
      <c r="Q234" s="22"/>
      <c r="R234" s="22"/>
      <c r="S234" s="31">
        <f t="shared" si="83"/>
        <v>0</v>
      </c>
      <c r="T234" s="46" t="e">
        <f t="shared" si="70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1"/>
        <v>https://d0f6bd738d7f1b3e5a7ca70fe4ff75f0.us-east-1.aws.found.io/app/kibana#/discover/Steve-Slow-Train-Analysis-(2080s-and-2083s)?_g=(refreshInterval:(display:Off,pause:!f,section:0,value:0),time:(from:'2017-02-28T17:19:37-0700',mode:absolute,to:'2017-02-28T19:41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4" s="187" t="str">
        <f t="shared" si="72"/>
        <v>Y</v>
      </c>
      <c r="X234" s="187" t="e">
        <f t="shared" si="84"/>
        <v>#VALUE!</v>
      </c>
      <c r="Y234" s="62">
        <f t="shared" si="73"/>
        <v>2.3172999999999999</v>
      </c>
      <c r="Z234" s="62">
        <f t="shared" si="74"/>
        <v>9.8799999999999999E-2</v>
      </c>
      <c r="AA234" s="62">
        <f t="shared" si="75"/>
        <v>2.2184999999999997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6"/>
        <v>56-28</v>
      </c>
      <c r="AE234" s="85" t="str">
        <f t="shared" si="77"/>
        <v>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 &amp; 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</v>
      </c>
      <c r="AF234" s="82" t="str">
        <f t="shared" si="78"/>
        <v>"C:\Program Files (x86)\AstroGrep\AstroGrep.exe" /spath="%USERPROFILE%\AppData\Local\Temp\OnboardLogs" /stypes="app*4045*20170301*" /stext=" 01:.+((SYSTEM_STATE.+slice.+state.+changed )|(ment ac)|(multiple cpu faults)|(system.+state.+changed )|(\[timeout)|(PRM\|1\|D)|(kpr)|(kdp)|(\|lc)|(penalty))" /e /r /s</v>
      </c>
      <c r="AG234" s="1" t="str">
        <f t="shared" si="79"/>
        <v>Other</v>
      </c>
      <c r="AH234" s="86" t="str">
        <f t="shared" si="80"/>
        <v>"%USERPROFILE%\Documents\GitHub\eaglep3\Utilities\RefineRTDCRunTimes.py" --tripid 56-28 --locoid 4045 --swversion DE.1.0.9.0 --startMP 300:23173 --initTime 2017-02-28T18:19:37 --startdatetime 2017-02-28T18:21:17 --delay 1 --endMP 204:988 --enddatetime 2017-02-28T18:41:33 --enforcementcount 1 &gt;&gt;C:\Users\stu\Documents\GitHub\eaglep3-reporting\EC\2017-02-28-refined-times.txt</v>
      </c>
      <c r="AI234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{"issue":{"subject":"","project_id":79,"tracker_id":40,"status_id":1,"priority_id":2,"assigned_to_id":23,"start_date":"2017-02-28","description":"","custom_fields":[{"id":1,"name":"Subdivision","value":"Other"},{"id":4,"name":"Milepost","value":"0.0988"},{"id":17,"name":"Train ID","value":"56-28"},{"id":16,"name":"Locomotive ID","value":"4045"},{"id":130,"name":"Impact","value":""},{"id":150,"name":"Time of Event (Mountain Time)","value":"18:41:33"},{"id":151,"name":"Denver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2"/>
        <v>start /low /b %USERPROFILE%\Documents\GitHub\eaglep3\Utilities\DownloadLogsFromS3.py --loco 4045 --day 2017-02-28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2017-02-28-UncaughtWiMAX.txt</v>
      </c>
    </row>
    <row r="235" spans="1:40" x14ac:dyDescent="0.25">
      <c r="A235" s="33" t="s">
        <v>732</v>
      </c>
      <c r="B235" s="7">
        <v>4029</v>
      </c>
      <c r="C235" s="21" t="s">
        <v>274</v>
      </c>
      <c r="D235" s="21" t="s">
        <v>204</v>
      </c>
      <c r="E235" s="13">
        <v>42794.793530092589</v>
      </c>
      <c r="F235" s="13">
        <v>42794.795844907407</v>
      </c>
      <c r="G235" s="7">
        <v>1</v>
      </c>
      <c r="H235" s="21" t="s">
        <v>878</v>
      </c>
      <c r="I235" s="13">
        <v>42794.802210648151</v>
      </c>
      <c r="J235" s="7">
        <v>1</v>
      </c>
      <c r="K235" s="98" t="str">
        <f t="shared" si="68"/>
        <v>4029/4030</v>
      </c>
      <c r="L235" s="21" t="str">
        <f>VLOOKUP(A235,'Trips&amp;Operators'!$C$1:$G$99999,5,FALSE)</f>
        <v>DAVIDSON DAVID</v>
      </c>
      <c r="M235" s="6">
        <f t="shared" si="69"/>
        <v>6.3657407445134595E-3</v>
      </c>
      <c r="N235" s="7">
        <f t="shared" si="85"/>
        <v>9.1666666720993817</v>
      </c>
      <c r="O235" s="7"/>
      <c r="P235" s="7"/>
      <c r="Q235" s="22"/>
      <c r="R235" s="22"/>
      <c r="S235" s="31">
        <f t="shared" si="83"/>
        <v>0</v>
      </c>
      <c r="T235" s="46" t="e">
        <f t="shared" si="70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1"/>
        <v>https://d0f6bd738d7f1b3e5a7ca70fe4ff75f0.us-east-1.aws.found.io/app/kibana#/discover/Steve-Slow-Train-Analysis-(2080s-and-2083s)?_g=(refreshInterval:(display:Off,pause:!f,section:0,value:0),time:(from:'2017-02-28T18:02:41-0700',mode:absolute,to:'2017-02-28T20:15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5" s="187" t="str">
        <f t="shared" si="72"/>
        <v>Y</v>
      </c>
      <c r="X235" s="187" t="e">
        <f t="shared" si="84"/>
        <v>#VALUE!</v>
      </c>
      <c r="Y235" s="62">
        <f t="shared" si="73"/>
        <v>4.6199999999999998E-2</v>
      </c>
      <c r="Z235" s="62">
        <f t="shared" si="74"/>
        <v>2.4222000000000001</v>
      </c>
      <c r="AA235" s="62">
        <f t="shared" si="75"/>
        <v>2.3760000000000003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6"/>
        <v>57-28</v>
      </c>
      <c r="AE235" s="85" t="str">
        <f t="shared" si="77"/>
        <v>aws s3 cp s3://rtdc.mdm.uploadarchive.raw/RTDC4029/ "%USERPROFILE%\AppData\Local\Temp\OnboardLogs"\RTDC4029\2017-02-28 --exclude "*" --recursive --include "*20170228*" &amp; "%USERPROFILE%\Documents\GitHub\mrs-test-scripts\Headless Mode &amp; Sideloading\WalkAndUnGZ.bat" "%USERPROFILE%\AppData\Local\Temp\OnboardLogs"\RTDC4029\2017-02-28 &amp; 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</v>
      </c>
      <c r="AF235" s="82" t="str">
        <f t="shared" si="78"/>
        <v>"C:\Program Files (x86)\AstroGrep\AstroGrep.exe" /spath="%USERPROFILE%\AppData\Local\Temp\OnboardLogs" /stypes="app*4029*20170301*" /stext=" 02:.+((SYSTEM_STATE.+slice.+state.+changed )|(ment ac)|(multiple cpu faults)|(system.+state.+changed )|(\[timeout)|(PRM\|1\|D)|(kpr)|(kdp)|(\|lc)|(penalty))" /e /r /s</v>
      </c>
      <c r="AG235" s="1" t="str">
        <f t="shared" si="79"/>
        <v>Other</v>
      </c>
      <c r="AH235" s="86" t="str">
        <f t="shared" si="80"/>
        <v>"%USERPROFILE%\Documents\GitHub\eaglep3\Utilities\RefineRTDCRunTimes.py" --tripid 57-28 --locoid 4029 --swversion DE.1.0.9.0 --startMP 204:462 --initTime 2017-02-28T19:02:41 --startdatetime 2017-02-28T19:06:01 --delay 1 --endMP 300:24222 --enddatetime 2017-02-28T19:15:11 --enforcementcount 1 &gt;&gt;C:\Users\stu\Documents\GitHub\eaglep3-reporting\EC\2017-02-28-refined-times.txt</v>
      </c>
      <c r="AI235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{"issue":{"subject":"","project_id":79,"tracker_id":40,"status_id":1,"priority_id":2,"assigned_to_id":23,"start_date":"2017-02-28","description":"","custom_fields":[{"id":1,"name":"Subdivision","value":"Other"},{"id":4,"name":"Milepost","value":"2.4222"},{"id":17,"name":"Train ID","value":"57-28"},{"id":16,"name":"Locomotive ID","value":"4029"},{"id":130,"name":"Impact","value":""},{"id":150,"name":"Time of Event (Mountain Time)","value":"19:15:11"},{"id":151,"name":"Denver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2"/>
        <v>start /low /b %USERPROFILE%\Documents\GitHub\eaglep3\Utilities\DownloadLogsFromS3.py --loco 4029 --day 2017-02-28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2017-02-28-UncaughtWiMAX.txt</v>
      </c>
    </row>
    <row r="236" spans="1:40" x14ac:dyDescent="0.25">
      <c r="A236" s="33" t="s">
        <v>713</v>
      </c>
      <c r="B236" s="7">
        <v>4027</v>
      </c>
      <c r="C236" s="21" t="s">
        <v>274</v>
      </c>
      <c r="D236" s="21" t="s">
        <v>879</v>
      </c>
      <c r="E236" s="13">
        <v>42794.730555555558</v>
      </c>
      <c r="F236" s="13">
        <v>42794.746967592589</v>
      </c>
      <c r="G236" s="7">
        <v>1</v>
      </c>
      <c r="H236" s="21" t="s">
        <v>880</v>
      </c>
      <c r="I236" s="13">
        <v>42794.752916666665</v>
      </c>
      <c r="J236" s="7">
        <v>1</v>
      </c>
      <c r="K236" s="98" t="str">
        <f t="shared" si="68"/>
        <v>4027/4028</v>
      </c>
      <c r="L236" s="21" t="str">
        <f>VLOOKUP(A236,'Trips&amp;Operators'!$C$1:$G$99999,5,FALSE)</f>
        <v>STRICKLAND EVAN</v>
      </c>
      <c r="M236" s="6">
        <f t="shared" si="69"/>
        <v>5.9490740750334226E-3</v>
      </c>
      <c r="N236" s="7">
        <f t="shared" si="85"/>
        <v>8.5666666680481285</v>
      </c>
      <c r="O236" s="7"/>
      <c r="P236" s="7"/>
      <c r="Q236" s="22"/>
      <c r="R236" s="22"/>
      <c r="S236" s="31">
        <f t="shared" si="83"/>
        <v>0</v>
      </c>
      <c r="T236" s="46" t="e">
        <f t="shared" si="70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1"/>
        <v>https://d0f6bd738d7f1b3e5a7ca70fe4ff75f0.us-east-1.aws.found.io/app/kibana#/discover/Steve-Slow-Train-Analysis-(2080s-and-2083s)?_g=(refreshInterval:(display:Off,pause:!f,section:0,value:0),time:(from:'2017-02-28T16:32:00-0700',mode:absolute,to:'2017-02-28T19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6" s="187" t="str">
        <f t="shared" si="72"/>
        <v>Y</v>
      </c>
      <c r="X236" s="187" t="e">
        <f t="shared" si="84"/>
        <v>#VALUE!</v>
      </c>
      <c r="Y236" s="62">
        <f t="shared" si="73"/>
        <v>0.1479</v>
      </c>
      <c r="Z236" s="62">
        <f t="shared" si="74"/>
        <v>3.1957</v>
      </c>
      <c r="AA236" s="62">
        <f t="shared" si="75"/>
        <v>3.0478000000000001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6"/>
        <v>65-28</v>
      </c>
      <c r="AE236" s="85" t="str">
        <f t="shared" si="77"/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AF236" s="82" t="str">
        <f t="shared" si="78"/>
        <v>"C:\Program Files (x86)\AstroGrep\AstroGrep.exe" /spath="%USERPROFILE%\AppData\Local\Temp\OnboardLogs" /stypes="app*4027*20170301*" /stext=" 01:.+((SYSTEM_STATE.+slice.+state.+changed )|(ment ac)|(multiple cpu faults)|(system.+state.+changed )|(\[timeout)|(PRM\|1\|D)|(kpr)|(kdp)|(\|lc)|(penalty))" /e /r /s</v>
      </c>
      <c r="AG236" s="1" t="str">
        <f t="shared" si="79"/>
        <v>Other</v>
      </c>
      <c r="AH236" s="86" t="str">
        <f t="shared" si="80"/>
        <v>"%USERPROFILE%\Documents\GitHub\eaglep3\Utilities\RefineRTDCRunTimes.py" --tripid 65-28 --locoid 4027 --swversion DE.1.0.9.0 --startMP 204:1479 --initTime 2017-02-28T17:32:00 --startdatetime 2017-02-28T17:55:38 --delay 1 --endMP 300:31957 --enddatetime 2017-02-28T18:04:12 --enforcementcount 1 &gt;&gt;C:\Users\stu\Documents\GitHub\eaglep3-reporting\EC\2017-02-28-refined-times.txt</v>
      </c>
      <c r="AI236" s="108" t="str">
        <f t="shared" si="81"/>
        <v>echo {"issue":{"subject":"","project_id":79,"tracker_id":40,"status_id":1,"priority_id":2,"assigned_to_id":23,"start_date":"2017-02-28","description":"","custom_fields":[{"id":1,"name":"Subdivision","value":"Other"},{"id":4,"name":"Milepost","value":"3.1957"},{"id":17,"name":"Train ID","value":"65-28"},{"id":16,"name":"Locomotive ID","value":"4027"},{"id":130,"name":"Impact","value":""},{"id":150,"name":"Time of Event (Mountain Time)","value":"18:04:12"},{"id":151,"name":"Denver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2"/>
        <v>start /low /b %USERPROFILE%\Documents\GitHub\eaglep3\Utilities\DownloadLogsFromS3.py --loco 4027 --day 2017-02-28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"%USERPROFILE%\AppData\Local\Temp\OnboardLogs"\RTDC4027\*4027*20170301* | grep -SE "(Enforcement Action)|(\[TIMEOUT)|(CHR.+\|PRM\|1\|D.+(SWITCH|SIGNAL).+UNKNOWN)" - &gt;&gt; 2017-02-28-UncaughtWiMAX.txt</v>
      </c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51"/>
  <sortState ref="A13:AH200">
    <sortCondition ref="AG13:AG200"/>
    <sortCondition ref="AD13:AD200"/>
  </sortState>
  <mergeCells count="1">
    <mergeCell ref="A11:P11"/>
  </mergeCells>
  <conditionalFormatting sqref="W11:W12 W270:X1048576 W13:X236">
    <cfRule type="cellIs" dxfId="10" priority="356" operator="equal">
      <formula>"Y"</formula>
    </cfRule>
  </conditionalFormatting>
  <conditionalFormatting sqref="X270:X1048576 X13:X236">
    <cfRule type="cellIs" dxfId="9" priority="339" operator="greaterThan">
      <formula>1</formula>
    </cfRule>
  </conditionalFormatting>
  <conditionalFormatting sqref="X270:X1048576 X12:X236">
    <cfRule type="cellIs" dxfId="8" priority="336" operator="equal">
      <formula>0</formula>
    </cfRule>
  </conditionalFormatting>
  <conditionalFormatting sqref="A13:S23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9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7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47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- 2017-02-28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42794.308194444442</v>
      </c>
      <c r="B7" s="30" t="s">
        <v>359</v>
      </c>
      <c r="C7" s="30" t="s">
        <v>546</v>
      </c>
      <c r="D7" s="30" t="s">
        <v>49</v>
      </c>
      <c r="E7" s="30" t="s">
        <v>197</v>
      </c>
      <c r="F7" s="43">
        <v>0</v>
      </c>
      <c r="G7" s="43">
        <v>188</v>
      </c>
      <c r="H7" s="43">
        <v>27031</v>
      </c>
      <c r="I7" s="43">
        <v>27285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-122.496</v>
      </c>
      <c r="N7" s="145" t="str">
        <f>VLOOKUP(C7,'Trips&amp;Operators'!$C$1:$G$99999,5,FALSE)</f>
        <v>ROCHA YAOTL</v>
      </c>
      <c r="O7" s="194" t="s">
        <v>185</v>
      </c>
      <c r="P7" s="146" t="s">
        <v>356</v>
      </c>
      <c r="Q7" s="30"/>
      <c r="R7" s="89" t="str">
        <f>VLOOKUP(C7,'Train Runs'!$A$13:$AE$9939,31,0)</f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S7" s="92" t="str">
        <f>VLOOKUP(C7,'Train Runs'!$A$13:$AE$9939,22,0)</f>
        <v>https://d0f6bd738d7f1b3e5a7ca70fe4ff75f0.us-east-1.aws.found.io/app/kibana#/discover/Steve-Slow-Train-Analysis-(2080s-and-2083s)?_g=(refreshInterval:(display:Off,pause:!f,section:0,value:0),time:(from:'2017-02-28T06:15:48-0700',mode:absolute,to:'2017-02-28T08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/stypes="*4006*201702281*" /stext=" 14:.+((SYSTEM_STATE.+slice.+state.+changed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4006</v>
      </c>
      <c r="V7" s="32">
        <f t="shared" ref="V7:V38" si="3">A7-utc_offset/24</f>
        <v>42794.599861111106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ID","value":"129-28"},{"id":16,"name":"Locomotive ID","value":"4006"},{"id":130,"name":"Impact","value":""},{"id":150,"name":"Time of Event (Mountain Time)","value":"07:23:48"},{"id":151,"name":"Denver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"%USERPROFILE%\AppData\Local\Temp\OnboardLogs"\RTDC4006\*4006*201702281*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"%USERPROFILE%\AppData\Local\Temp\OnboardLogs"\RTDC4006\*4006*201702281* &gt;&gt; 2017-02-28-SliceDisagreementCheck.txt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4006 --day 2017-02-28</v>
      </c>
    </row>
    <row r="8" spans="1:32" s="1" customFormat="1" x14ac:dyDescent="0.25">
      <c r="A8" s="32">
        <v>42794.327488425923</v>
      </c>
      <c r="B8" s="30" t="s">
        <v>220</v>
      </c>
      <c r="C8" s="30" t="s">
        <v>548</v>
      </c>
      <c r="D8" s="30" t="s">
        <v>49</v>
      </c>
      <c r="E8" s="30" t="s">
        <v>197</v>
      </c>
      <c r="F8" s="43">
        <v>0</v>
      </c>
      <c r="G8" s="43">
        <v>206</v>
      </c>
      <c r="H8" s="43">
        <v>26958</v>
      </c>
      <c r="I8" s="43">
        <v>27236</v>
      </c>
      <c r="J8" s="30" t="s">
        <v>198</v>
      </c>
      <c r="K8" s="43">
        <v>27053</v>
      </c>
      <c r="L8" s="143" t="s">
        <v>50</v>
      </c>
      <c r="M8" s="144">
        <f t="shared" si="0"/>
        <v>-96.623999999999995</v>
      </c>
      <c r="N8" s="145" t="str">
        <f>VLOOKUP(C8,'Trips&amp;Operators'!$C$1:$G$99999,5,FALSE)</f>
        <v>STARKS ANGELINA</v>
      </c>
      <c r="O8" s="194" t="s">
        <v>185</v>
      </c>
      <c r="P8" s="146" t="s">
        <v>356</v>
      </c>
      <c r="Q8" s="30"/>
      <c r="R8" s="89" t="str">
        <f>VLOOKUP(C8,'Train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8" s="92" t="str">
        <f>VLOOKUP(C8,'Train Runs'!$A$13:$AE$9939,22,0)</f>
        <v>https://d0f6bd738d7f1b3e5a7ca70fe4ff75f0.us-east-1.aws.found.io/app/kibana#/discover/Steve-Slow-Train-Analysis-(2080s-and-2083s)?_g=(refreshInterval:(display:Off,pause:!f,section:0,value:0),time:(from:'2017-02-28T06:41:28-0700',mode:absolute,to:'2017-02-28T09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94" t="str">
        <f t="shared" si="1"/>
        <v>"C:\Program Files (x86)\AstroGrep\AstroGrep.exe" /spath="%USERPROFILE%\AppData\Local\Temp\OnboardLogs" /stypes="*4027*201702281*" /stext=" 14:.+((SYSTEM_STATE.+slice.+state.+changed )|(ment ac)|(multiple cpu faults)|(system.+state.+changed )|(\[timeout)|(PRM\|1\|D)|(kpr)|(kdp)|(\|lc)|(penalty))" /e /r /s</v>
      </c>
      <c r="U8" s="9" t="str">
        <f t="shared" si="2"/>
        <v>4027</v>
      </c>
      <c r="V8" s="32">
        <f t="shared" si="3"/>
        <v>42794.619155092587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ID","value":"133-28"},{"id":16,"name":"Locomotive ID","value":"4027"},{"id":130,"name":"Impact","value":""},{"id":150,"name":"Time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"%USERPROFILE%\AppData\Local\Temp\OnboardLogs"\RTDC4027\*4027*201702281*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8" s="157" t="str">
        <f t="shared" ref="AE8:AE60" si="9">"start /low /b "&amp;dls3logs&amp;" --loco "&amp;U8&amp;" --day "&amp;TEXT(V8,"YYYY-MM-DD")</f>
        <v>start /low /b %USERPROFILE%\Documents\GitHub\eaglep3\Utilities\DownloadLogsFromS3.py --loco 4027 --day 2017-02-28</v>
      </c>
    </row>
    <row r="9" spans="1:32" s="1" customFormat="1" x14ac:dyDescent="0.25">
      <c r="A9" s="32">
        <v>42794.38008101852</v>
      </c>
      <c r="B9" s="30" t="s">
        <v>359</v>
      </c>
      <c r="C9" s="30" t="s">
        <v>551</v>
      </c>
      <c r="D9" s="30" t="s">
        <v>49</v>
      </c>
      <c r="E9" s="30" t="s">
        <v>197</v>
      </c>
      <c r="F9" s="43">
        <v>0</v>
      </c>
      <c r="G9" s="43">
        <v>165</v>
      </c>
      <c r="H9" s="43">
        <v>26943</v>
      </c>
      <c r="I9" s="43">
        <v>27149</v>
      </c>
      <c r="J9" s="30" t="s">
        <v>198</v>
      </c>
      <c r="K9" s="43">
        <v>27053</v>
      </c>
      <c r="L9" s="143" t="s">
        <v>50</v>
      </c>
      <c r="M9" s="144">
        <f t="shared" si="0"/>
        <v>-50.688000000000002</v>
      </c>
      <c r="N9" s="145" t="str">
        <f>VLOOKUP(C9,'Trips&amp;Operators'!$C$1:$G$99999,5,FALSE)</f>
        <v>MAYBERRY BILL</v>
      </c>
      <c r="O9" s="194" t="s">
        <v>185</v>
      </c>
      <c r="P9" s="146" t="s">
        <v>356</v>
      </c>
      <c r="Q9" s="30"/>
      <c r="R9" s="89" t="str">
        <f>VLOOKUP(C9,'Train Runs'!$A$13:$AE$9939,31,0)</f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S9" s="92" t="str">
        <f>VLOOKUP(C9,'Train Runs'!$A$13:$AE$9939,22,0)</f>
        <v>https://d0f6bd738d7f1b3e5a7ca70fe4ff75f0.us-east-1.aws.found.io/app/kibana#/discover/Steve-Slow-Train-Analysis-(2080s-and-2083s)?_g=(refreshInterval:(display:Off,pause:!f,section:0,value:0),time:(from:'2017-02-28T07:51:54-0700',mode:absolute,to:'2017-02-28T10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9" s="94" t="str">
        <f t="shared" si="1"/>
        <v>"C:\Program Files (x86)\AstroGrep\AstroGrep.exe" /spath="%USERPROFILE%\AppData\Local\Temp\OnboardLogs" /stypes="*4006*201702281*" /stext=" 16:.+((SYSTEM_STATE.+slice.+state.+changed )|(ment ac)|(multiple cpu faults)|(system.+state.+changed )|(\[timeout)|(PRM\|1\|D)|(kpr)|(kdp)|(\|lc)|(penalty))" /e /r /s</v>
      </c>
      <c r="U9" s="9" t="str">
        <f t="shared" si="2"/>
        <v>4006</v>
      </c>
      <c r="V9" s="32">
        <f t="shared" si="3"/>
        <v>42794.671747685185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ID","value":"143-28"},{"id":16,"name":"Locomotive ID","value":"4006"},{"id":130,"name":"Impact","value":""},{"id":150,"name":"Time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"%USERPROFILE%\AppData\Local\Temp\OnboardLogs"\RTDC4006\*4006*201702281*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"%USERPROFILE%\AppData\Local\Temp\OnboardLogs"\RTDC4006\*4006*201702281* &gt;&gt; 2017-02-28-SliceDisagreementCheck.txt</v>
      </c>
      <c r="AE9" s="157" t="str">
        <f t="shared" si="9"/>
        <v>start /low /b %USERPROFILE%\Documents\GitHub\eaglep3\Utilities\DownloadLogsFromS3.py --loco 4006 --day 2017-02-28</v>
      </c>
    </row>
    <row r="10" spans="1:32" s="1" customFormat="1" x14ac:dyDescent="0.25">
      <c r="A10" s="32">
        <v>42794.47383101852</v>
      </c>
      <c r="B10" s="30" t="s">
        <v>220</v>
      </c>
      <c r="C10" s="30" t="s">
        <v>556</v>
      </c>
      <c r="D10" s="30" t="s">
        <v>98</v>
      </c>
      <c r="E10" s="30" t="s">
        <v>197</v>
      </c>
      <c r="F10" s="43">
        <v>0</v>
      </c>
      <c r="G10" s="43">
        <v>201</v>
      </c>
      <c r="H10" s="43">
        <v>27088</v>
      </c>
      <c r="I10" s="43">
        <v>27352</v>
      </c>
      <c r="J10" s="30" t="s">
        <v>198</v>
      </c>
      <c r="K10" s="43">
        <v>27053</v>
      </c>
      <c r="L10" s="143" t="s">
        <v>50</v>
      </c>
      <c r="M10" s="144">
        <f t="shared" si="0"/>
        <v>-157.87200000000001</v>
      </c>
      <c r="N10" s="145" t="str">
        <f>VLOOKUP(C10,'Trips&amp;Operators'!$C$1:$G$99999,5,FALSE)</f>
        <v>STEWART MICHAEL</v>
      </c>
      <c r="O10" s="194" t="s">
        <v>185</v>
      </c>
      <c r="P10" s="146" t="s">
        <v>356</v>
      </c>
      <c r="Q10" s="30"/>
      <c r="R10" s="89" t="str">
        <f>VLOOKUP(C10,'Train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10" s="92" t="str">
        <f>VLOOKUP(C10,'Train Runs'!$A$13:$AE$9939,22,0)</f>
        <v>https://d0f6bd738d7f1b3e5a7ca70fe4ff75f0.us-east-1.aws.found.io/app/kibana#/discover/Steve-Slow-Train-Analysis-(2080s-and-2083s)?_g=(refreshInterval:(display:Off,pause:!f,section:0,value:0),time:(from:'2017-02-28T10:11:12-0700',mode:absolute,to:'2017-02-28T12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 t="shared" si="1"/>
        <v>"C:\Program Files (x86)\AstroGrep\AstroGrep.exe" /spath="%USERPROFILE%\AppData\Local\Temp\OnboardLogs" /stypes="*4027*201702281*" /stext=" 18:.+((SYSTEM_STATE.+slice.+state.+changed )|(ment ac)|(multiple cpu faults)|(system.+state.+changed )|(\[timeout)|(PRM\|1\|D)|(kpr)|(kdp)|(\|lc)|(penalty))" /e /r /s</v>
      </c>
      <c r="U10" s="9" t="str">
        <f t="shared" si="2"/>
        <v>4027</v>
      </c>
      <c r="V10" s="32">
        <f t="shared" si="3"/>
        <v>42794.765497685185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ID","value":"161-28"},{"id":16,"name":"Locomotive ID","value":"4027"},{"id":130,"name":"Impact","value":""},{"id":150,"name":"Time of Event (Mountain Time)","value":"11:22:19"},{"id":151,"name":"Denver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"%USERPROFILE%\AppData\Local\Temp\OnboardLogs"\RTDC4027\*4027*201702281*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10" s="157" t="str">
        <f t="shared" si="9"/>
        <v>start /low /b %USERPROFILE%\Documents\GitHub\eaglep3\Utilities\DownloadLogsFromS3.py --loco 4027 --day 2017-02-28</v>
      </c>
    </row>
    <row r="11" spans="1:32" s="1" customFormat="1" x14ac:dyDescent="0.25">
      <c r="A11" s="32">
        <v>42794.723865740743</v>
      </c>
      <c r="B11" s="30" t="s">
        <v>531</v>
      </c>
      <c r="C11" s="30" t="s">
        <v>567</v>
      </c>
      <c r="D11" s="30" t="s">
        <v>49</v>
      </c>
      <c r="E11" s="30" t="s">
        <v>197</v>
      </c>
      <c r="F11" s="43">
        <v>0</v>
      </c>
      <c r="G11" s="43">
        <v>243</v>
      </c>
      <c r="H11" s="43">
        <v>26889</v>
      </c>
      <c r="I11" s="43">
        <v>27257</v>
      </c>
      <c r="J11" s="30" t="s">
        <v>198</v>
      </c>
      <c r="K11" s="43">
        <v>27053</v>
      </c>
      <c r="L11" s="143" t="s">
        <v>50</v>
      </c>
      <c r="M11" s="144">
        <f t="shared" si="0"/>
        <v>-107.712</v>
      </c>
      <c r="N11" s="145" t="str">
        <f>VLOOKUP(C11,'Trips&amp;Operators'!$C$1:$G$99999,5,FALSE)</f>
        <v>CHANDLER KELVIN</v>
      </c>
      <c r="O11" s="194" t="s">
        <v>185</v>
      </c>
      <c r="P11" s="146" t="s">
        <v>356</v>
      </c>
      <c r="Q11" s="30"/>
      <c r="R11" s="89" t="str">
        <f>VLOOKUP(C11,'Train Runs'!$A$13:$AE$9939,31,0)</f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S11" s="92" t="str">
        <f>VLOOKUP(C11,'Train Runs'!$A$13:$AE$9939,22,0)</f>
        <v>https://d0f6bd738d7f1b3e5a7ca70fe4ff75f0.us-east-1.aws.found.io/app/kibana#/discover/Steve-Slow-Train-Analysis-(2080s-and-2083s)?_g=(refreshInterval:(display:Off,pause:!f,section:0,value:0),time:(from:'2017-02-28T16:14:25-0700',mode:absolute,to:'2017-02-28T18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94" t="str">
        <f t="shared" si="1"/>
        <v>"C:\Program Files (x86)\AstroGrep\AstroGrep.exe" /spath="%USERPROFILE%\AppData\Local\Temp\OnboardLogs" /stypes="*4003*201703010*" /stext=" 00:.+((SYSTEM_STATE.+slice.+state.+changed )|(ment ac)|(multiple cpu faults)|(system.+state.+changed )|(\[timeout)|(PRM\|1\|D)|(kpr)|(kdp)|(\|lc)|(penalty))" /e /r /s</v>
      </c>
      <c r="U11" s="9" t="str">
        <f t="shared" si="2"/>
        <v>4003</v>
      </c>
      <c r="V11" s="32">
        <f t="shared" si="3"/>
        <v>42795.015532407408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ID","value":"209-28"},{"id":16,"name":"Locomotive ID","value":"4003"},{"id":130,"name":"Impact","value":""},{"id":150,"name":"Time of Event (Mountain Time)","value":"17:22:22"},{"id":151,"name":"Denver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"%USERPROFILE%\AppData\Local\Temp\OnboardLogs"\RTDC4003\*4003*201703010*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"%USERPROFILE%\AppData\Local\Temp\OnboardLogs"\RTDC4003\*4003*201703010* &gt;&gt; 2017-02-28-SliceDisagreementCheck.txt</v>
      </c>
      <c r="AE11" s="157" t="str">
        <f t="shared" si="9"/>
        <v>start /low /b %USERPROFILE%\Documents\GitHub\eaglep3\Utilities\DownloadLogsFromS3.py --loco 4003 --day 2017-03-01</v>
      </c>
    </row>
    <row r="12" spans="1:32" s="1" customFormat="1" x14ac:dyDescent="0.25">
      <c r="A12" s="32">
        <v>42794.98369212963</v>
      </c>
      <c r="B12" s="30" t="s">
        <v>359</v>
      </c>
      <c r="C12" s="30" t="s">
        <v>573</v>
      </c>
      <c r="D12" s="30" t="s">
        <v>49</v>
      </c>
      <c r="E12" s="30" t="s">
        <v>197</v>
      </c>
      <c r="F12" s="43">
        <v>0</v>
      </c>
      <c r="G12" s="43">
        <v>185</v>
      </c>
      <c r="H12" s="43">
        <v>27012</v>
      </c>
      <c r="I12" s="43">
        <v>27280</v>
      </c>
      <c r="J12" s="30" t="s">
        <v>198</v>
      </c>
      <c r="K12" s="43">
        <v>27053</v>
      </c>
      <c r="L12" s="143" t="s">
        <v>50</v>
      </c>
      <c r="M12" s="144">
        <f t="shared" si="0"/>
        <v>-119.85599999999999</v>
      </c>
      <c r="N12" s="145" t="str">
        <f>VLOOKUP(C12,'Trips&amp;Operators'!$C$1:$G$99999,5,FALSE)</f>
        <v>NEWELL JAMES</v>
      </c>
      <c r="O12" s="194" t="s">
        <v>185</v>
      </c>
      <c r="P12" s="146" t="s">
        <v>356</v>
      </c>
      <c r="Q12" s="30"/>
      <c r="R12" s="89" t="str">
        <f>VLOOKUP(C12,'Train Runs'!$A$13:$AE$9939,31,0)</f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S12" s="92" t="str">
        <f>VLOOKUP(C12,'Train Runs'!$A$13:$AE$9939,22,0)</f>
        <v>https://d0f6bd738d7f1b3e5a7ca70fe4ff75f0.us-east-1.aws.found.io/app/kibana#/discover/Steve-Slow-Train-Analysis-(2080s-and-2083s)?_g=(refreshInterval:(display:Off,pause:!f,section:0,value:0),time:(from:'2017-02-28T22:26:44-0700',mode:absolute,to:'2017-03-01T01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94" t="str">
        <f t="shared" si="1"/>
        <v>"C:\Program Files (x86)\AstroGrep\AstroGrep.exe" /spath="%USERPROFILE%\AppData\Local\Temp\OnboardLogs" /stypes="*4006*201703010*" /stext=" 06:.+((SYSTEM_STATE.+slice.+state.+changed )|(ment ac)|(multiple cpu faults)|(system.+state.+changed )|(\[timeout)|(PRM\|1\|D)|(kpr)|(kdp)|(\|lc)|(penalty))" /e /r /s</v>
      </c>
      <c r="U12" s="9" t="str">
        <f t="shared" si="2"/>
        <v>4006</v>
      </c>
      <c r="V12" s="32">
        <f t="shared" si="3"/>
        <v>42795.275358796294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ID","value":"239-28"},{"id":16,"name":"Locomotive ID","value":"4006"},{"id":130,"name":"Impact","value":""},{"id":150,"name":"Time of Event (Mountain Time)","value":"23:36:31"},{"id":151,"name":"Denver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"%USERPROFILE%\AppData\Local\Temp\OnboardLogs"\RTDC4006\*4006*201703010*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"%USERPROFILE%\AppData\Local\Temp\OnboardLogs"\RTDC4006\*4006*201703010* &gt;&gt; 2017-02-28-SliceDisagreementCheck.txt</v>
      </c>
      <c r="AE12" s="157" t="str">
        <f t="shared" si="9"/>
        <v>start /low /b %USERPROFILE%\Documents\GitHub\eaglep3\Utilities\DownloadLogsFromS3.py --loco 4006 --day 2017-03-01</v>
      </c>
    </row>
    <row r="13" spans="1:32" s="1" customFormat="1" x14ac:dyDescent="0.25">
      <c r="A13" s="32">
        <v>42794.255925925929</v>
      </c>
      <c r="B13" s="30" t="s">
        <v>220</v>
      </c>
      <c r="C13" s="30" t="s">
        <v>539</v>
      </c>
      <c r="D13" s="30" t="s">
        <v>98</v>
      </c>
      <c r="E13" s="30" t="s">
        <v>197</v>
      </c>
      <c r="F13" s="43">
        <v>100</v>
      </c>
      <c r="G13" s="43">
        <v>152</v>
      </c>
      <c r="H13" s="43">
        <v>30854</v>
      </c>
      <c r="I13" s="43">
        <v>30944</v>
      </c>
      <c r="J13" s="30" t="s">
        <v>198</v>
      </c>
      <c r="K13" s="43">
        <v>30830</v>
      </c>
      <c r="L13" s="143" t="s">
        <v>50</v>
      </c>
      <c r="M13" s="144">
        <f t="shared" si="0"/>
        <v>-60.192</v>
      </c>
      <c r="N13" s="145" t="str">
        <f>VLOOKUP(C13,'Trips&amp;Operators'!$C$1:$G$99999,5,FALSE)</f>
        <v>STARKS ANGELINA</v>
      </c>
      <c r="O13" s="194" t="s">
        <v>185</v>
      </c>
      <c r="P13" s="146" t="s">
        <v>356</v>
      </c>
      <c r="Q13" s="30"/>
      <c r="R13" s="89" t="str">
        <f>VLOOKUP(C13,'Train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13" s="92" t="str">
        <f>VLOOKUP(C13,'Train Runs'!$A$13:$AE$9939,22,0)</f>
        <v>https://d0f6bd738d7f1b3e5a7ca70fe4ff75f0.us-east-1.aws.found.io/app/kibana#/discover/Steve-Slow-Train-Analysis-(2080s-and-2083s)?_g=(refreshInterval:(display:Off,pause:!f,section:0,value:0),time:(from:'2017-02-28T04:56:50-0700',mode:absolute,to:'2017-02-28T07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94" t="str">
        <f t="shared" si="1"/>
        <v>"C:\Program Files (x86)\AstroGrep\AstroGrep.exe" /spath="%USERPROFILE%\AppData\Local\Temp\OnboardLogs" /stypes="*4027*201702281*" /stext=" 13:.+((SYSTEM_STATE.+slice.+state.+changed )|(ment ac)|(multiple cpu faults)|(system.+state.+changed )|(\[timeout)|(PRM\|1\|D)|(kpr)|(kdp)|(\|lc)|(penalty))" /e /r /s</v>
      </c>
      <c r="U13" s="9" t="str">
        <f t="shared" si="2"/>
        <v>4027</v>
      </c>
      <c r="V13" s="32">
        <f t="shared" si="3"/>
        <v>42794.547592592593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arrival","project_id":79,"tracker_id":40,"status_id":1,"priority_id":2,"assigned_to_id":23,"start_date":"2017-02-28","description":"","custom_fields":[{"id":1,"name":"Subdivision","value":"EC"},{"id":4,"name":"Milepost","value":"3.083"},{"id":17,"name":"Train ID","value":"119-28"},{"id":16,"name":"Locomotive ID","value":"4027"},{"id":130,"name":"Impact","value":""},{"id":150,"name":"Time of Event (Mountain Time)","value":"06:08:32"},{"id":151,"name":"Denver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"%USERPROFILE%\AppData\Local\Temp\OnboardLogs"\RTDC4027\*4027*201702281*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13" s="157" t="str">
        <f t="shared" si="9"/>
        <v>start /low /b %USERPROFILE%\Documents\GitHub\eaglep3\Utilities\DownloadLogsFromS3.py --loco 4027 --day 2017-02-28</v>
      </c>
    </row>
    <row r="14" spans="1:32" x14ac:dyDescent="0.25">
      <c r="A14" s="32">
        <v>42794.198206018518</v>
      </c>
      <c r="B14" s="30" t="s">
        <v>252</v>
      </c>
      <c r="C14" s="30" t="s">
        <v>534</v>
      </c>
      <c r="D14" s="30" t="s">
        <v>98</v>
      </c>
      <c r="E14" s="30" t="s">
        <v>197</v>
      </c>
      <c r="F14" s="43">
        <v>270</v>
      </c>
      <c r="G14" s="43">
        <v>320</v>
      </c>
      <c r="H14" s="43">
        <v>33161</v>
      </c>
      <c r="I14" s="43">
        <v>33719</v>
      </c>
      <c r="J14" s="30" t="s">
        <v>198</v>
      </c>
      <c r="K14" s="43">
        <v>33137</v>
      </c>
      <c r="L14" s="143" t="s">
        <v>50</v>
      </c>
      <c r="M14" s="144">
        <f t="shared" si="0"/>
        <v>-307.29599999999999</v>
      </c>
      <c r="N14" s="145" t="str">
        <f>VLOOKUP(C14,'Trips&amp;Operators'!$C$1:$G$99999,5,FALSE)</f>
        <v>LOCKLEAR TRAVIS</v>
      </c>
      <c r="O14" s="194" t="s">
        <v>185</v>
      </c>
      <c r="P14" s="146" t="s">
        <v>356</v>
      </c>
      <c r="Q14" s="30"/>
      <c r="R14" s="89" t="str">
        <f>VLOOKUP(C14,'Train Runs'!$A$13:$AE$9939,31,0)</f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S14" s="92" t="str">
        <f>VLOOKUP(C14,'Train Runs'!$A$13:$AE$9939,22,0)</f>
        <v>https://d0f6bd738d7f1b3e5a7ca70fe4ff75f0.us-east-1.aws.found.io/app/kibana#/discover/Steve-Slow-Train-Analysis-(2080s-and-2083s)?_g=(refreshInterval:(display:Off,pause:!f,section:0,value:0),time:(from:'2017-02-28T03:34:53-0700',mode:absolute,to:'2017-02-28T06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4" s="94" t="str">
        <f t="shared" si="1"/>
        <v>"C:\Program Files (x86)\AstroGrep\AstroGrep.exe" /spath="%USERPROFILE%\AppData\Local\Temp\OnboardLogs" /stypes="*4018*201702281*" /stext=" 11:.+((SYSTEM_STATE.+slice.+state.+changed )|(ment ac)|(multiple cpu faults)|(system.+state.+changed )|(\[timeout)|(PRM\|1\|D)|(kpr)|(kdp)|(\|lc)|(penalty))" /e /r /s</v>
      </c>
      <c r="U14" s="9" t="str">
        <f t="shared" si="2"/>
        <v>4018</v>
      </c>
      <c r="V14" s="32">
        <f t="shared" si="3"/>
        <v>42794.489872685182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arrival","project_id":79,"tracker_id":40,"status_id":1,"priority_id":2,"assigned_to_id":23,"start_date":"2017-02-28","description":"","custom_fields":[{"id":1,"name":"Subdivision","value":"EC"},{"id":4,"name":"Milepost","value":"3.3137"},{"id":17,"name":"Train ID","value":"107-28"},{"id":16,"name":"Locomotive ID","value":"4018"},{"id":130,"name":"Impact","value":""},{"id":150,"name":"Time of Event (Mountain Time)","value":"04:45:25"},{"id":151,"name":"Denver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"%USERPROFILE%\AppData\Local\Temp\OnboardLogs"\RTDC4018\*4018*201702281*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"%USERPROFILE%\AppData\Local\Temp\OnboardLogs"\RTDC4018\*4018*201702281* &gt;&gt; 2017-02-28-SliceDisagreementCheck.txt</v>
      </c>
      <c r="AE14" s="157" t="str">
        <f t="shared" si="9"/>
        <v>start /low /b %USERPROFILE%\Documents\GitHub\eaglep3\Utilities\DownloadLogsFromS3.py --loco 4018 --day 2017-02-28</v>
      </c>
      <c r="AF14" s="1"/>
    </row>
    <row r="15" spans="1:32" x14ac:dyDescent="0.25">
      <c r="A15" s="32">
        <v>42794.475659722222</v>
      </c>
      <c r="B15" s="30" t="s">
        <v>220</v>
      </c>
      <c r="C15" s="30" t="s">
        <v>556</v>
      </c>
      <c r="D15" s="30" t="s">
        <v>98</v>
      </c>
      <c r="E15" s="30" t="s">
        <v>197</v>
      </c>
      <c r="F15" s="43">
        <v>350</v>
      </c>
      <c r="G15" s="43">
        <v>404</v>
      </c>
      <c r="H15" s="43">
        <v>33226</v>
      </c>
      <c r="I15" s="43">
        <v>34267</v>
      </c>
      <c r="J15" s="30" t="s">
        <v>198</v>
      </c>
      <c r="K15" s="43">
        <v>33137</v>
      </c>
      <c r="L15" s="143" t="s">
        <v>50</v>
      </c>
      <c r="M15" s="144">
        <f t="shared" si="0"/>
        <v>-596.64</v>
      </c>
      <c r="N15" s="145" t="str">
        <f>VLOOKUP(C15,'Trips&amp;Operators'!$C$1:$G$99999,5,FALSE)</f>
        <v>STEWART MICHAEL</v>
      </c>
      <c r="O15" s="194" t="s">
        <v>185</v>
      </c>
      <c r="P15" s="146" t="s">
        <v>356</v>
      </c>
      <c r="Q15" s="30"/>
      <c r="R15" s="89" t="str">
        <f>VLOOKUP(C15,'Train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15" s="92" t="str">
        <f>VLOOKUP(C15,'Train Runs'!$A$13:$AE$9939,22,0)</f>
        <v>https://d0f6bd738d7f1b3e5a7ca70fe4ff75f0.us-east-1.aws.found.io/app/kibana#/discover/Steve-Slow-Train-Analysis-(2080s-and-2083s)?_g=(refreshInterval:(display:Off,pause:!f,section:0,value:0),time:(from:'2017-02-28T10:11:12-0700',mode:absolute,to:'2017-02-28T12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94" t="str">
        <f t="shared" si="1"/>
        <v>"C:\Program Files (x86)\AstroGrep\AstroGrep.exe" /spath="%USERPROFILE%\AppData\Local\Temp\OnboardLogs" /stypes="*4027*201702281*" /stext=" 18:.+((SYSTEM_STATE.+slice.+state.+changed )|(ment ac)|(multiple cpu faults)|(system.+state.+changed )|(\[timeout)|(PRM\|1\|D)|(kpr)|(kdp)|(\|lc)|(penalty))" /e /r /s</v>
      </c>
      <c r="U15" s="9" t="str">
        <f t="shared" si="2"/>
        <v>4027</v>
      </c>
      <c r="V15" s="32">
        <f t="shared" si="3"/>
        <v>42794.767326388886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arrival","project_id":79,"tracker_id":40,"status_id":1,"priority_id":2,"assigned_to_id":23,"start_date":"2017-02-28","description":"","custom_fields":[{"id":1,"name":"Subdivision","value":"EC"},{"id":4,"name":"Milepost","value":"3.3137"},{"id":17,"name":"Train ID","value":"161-28"},{"id":16,"name":"Locomotive ID","value":"4027"},{"id":130,"name":"Impact","value":""},{"id":150,"name":"Time of Event (Mountain Time)","value":"11:24:57"},{"id":151,"name":"Denver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"%USERPROFILE%\AppData\Local\Temp\OnboardLogs"\RTDC4027\*4027*201702281*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15" s="157" t="str">
        <f t="shared" si="9"/>
        <v>start /low /b %USERPROFILE%\Documents\GitHub\eaglep3\Utilities\DownloadLogsFromS3.py --loco 4027 --day 2017-02-28</v>
      </c>
      <c r="AF15" s="1"/>
    </row>
    <row r="16" spans="1:32" x14ac:dyDescent="0.25">
      <c r="A16" s="32">
        <v>42794.398194444446</v>
      </c>
      <c r="B16" s="30" t="s">
        <v>253</v>
      </c>
      <c r="C16" s="30" t="s">
        <v>552</v>
      </c>
      <c r="D16" s="30" t="s">
        <v>49</v>
      </c>
      <c r="E16" s="30" t="s">
        <v>197</v>
      </c>
      <c r="F16" s="43">
        <v>0</v>
      </c>
      <c r="G16" s="43">
        <v>262</v>
      </c>
      <c r="H16" s="43">
        <v>33329</v>
      </c>
      <c r="I16" s="43">
        <v>32870</v>
      </c>
      <c r="J16" s="30" t="s">
        <v>198</v>
      </c>
      <c r="K16" s="43">
        <v>33257</v>
      </c>
      <c r="L16" s="143" t="s">
        <v>51</v>
      </c>
      <c r="M16" s="144">
        <f t="shared" si="0"/>
        <v>-204.33600000000001</v>
      </c>
      <c r="N16" s="145" t="str">
        <f>VLOOKUP(C16,'Trips&amp;Operators'!$C$1:$G$99999,5,FALSE)</f>
        <v>LOCKLEAR TRAVIS</v>
      </c>
      <c r="O16" s="194" t="s">
        <v>185</v>
      </c>
      <c r="P16" s="146" t="s">
        <v>356</v>
      </c>
      <c r="Q16" s="30"/>
      <c r="R16" s="89" t="str">
        <f>VLOOKUP(C16,'Train Runs'!$A$13:$AE$9939,31,0)</f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S16" s="92" t="str">
        <f>VLOOKUP(C16,'Train Runs'!$A$13:$AE$9939,22,0)</f>
        <v>https://d0f6bd738d7f1b3e5a7ca70fe4ff75f0.us-east-1.aws.found.io/app/kibana#/discover/Steve-Slow-Train-Analysis-(2080s-and-2083s)?_g=(refreshInterval:(display:Off,pause:!f,section:0,value:0),time:(from:'2017-02-28T08:13:11-0700',mode:absolute,to:'2017-02-28T10:43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94" t="str">
        <f t="shared" si="1"/>
        <v>"C:\Program Files (x86)\AstroGrep\AstroGrep.exe" /spath="%USERPROFILE%\AppData\Local\Temp\OnboardLogs" /stypes="*4017*201702281*" /stext=" 16:.+((SYSTEM_STATE.+slice.+state.+changed )|(ment ac)|(multiple cpu faults)|(system.+state.+changed )|(\[timeout)|(PRM\|1\|D)|(kpr)|(kdp)|(\|lc)|(penalty))" /e /r /s</v>
      </c>
      <c r="U16" s="9" t="str">
        <f t="shared" si="2"/>
        <v>4017</v>
      </c>
      <c r="V16" s="32">
        <f t="shared" si="3"/>
        <v>42794.68986111111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arrival","project_id":79,"tracker_id":40,"status_id":1,"priority_id":2,"assigned_to_id":23,"start_date":"2017-02-28","description":"","custom_fields":[{"id":1,"name":"Subdivision","value":"EC"},{"id":4,"name":"Milepost","value":"3.3257"},{"id":17,"name":"Train ID","value":"136-28"},{"id":16,"name":"Locomotive ID","value":"4017"},{"id":130,"name":"Impact","value":""},{"id":150,"name":"Time of Event (Mountain Time)","value":"09:33:24"},{"id":151,"name":"Denver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"%USERPROFILE%\AppData\Local\Temp\OnboardLogs"\RTDC4017\*4017*201702281*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"%USERPROFILE%\AppData\Local\Temp\OnboardLogs"\RTDC4017\*4017*201702281* &gt;&gt; 2017-02-28-SliceDisagreementCheck.txt</v>
      </c>
      <c r="AE16" s="157" t="str">
        <f t="shared" si="9"/>
        <v>start /low /b %USERPROFILE%\Documents\GitHub\eaglep3\Utilities\DownloadLogsFromS3.py --loco 4017 --day 2017-02-28</v>
      </c>
      <c r="AF16" s="1"/>
    </row>
    <row r="17" spans="1:32" x14ac:dyDescent="0.25">
      <c r="A17" s="32">
        <v>42794.507303240738</v>
      </c>
      <c r="B17" s="30" t="s">
        <v>357</v>
      </c>
      <c r="C17" s="30" t="s">
        <v>558</v>
      </c>
      <c r="D17" s="30" t="s">
        <v>49</v>
      </c>
      <c r="E17" s="30" t="s">
        <v>197</v>
      </c>
      <c r="F17" s="43">
        <v>480</v>
      </c>
      <c r="G17" s="43">
        <v>563</v>
      </c>
      <c r="H17" s="43">
        <v>49829</v>
      </c>
      <c r="I17" s="43">
        <v>47891</v>
      </c>
      <c r="J17" s="30" t="s">
        <v>198</v>
      </c>
      <c r="K17" s="43">
        <v>48048</v>
      </c>
      <c r="L17" s="143" t="s">
        <v>51</v>
      </c>
      <c r="M17" s="144">
        <f t="shared" si="0"/>
        <v>-82.895999999999987</v>
      </c>
      <c r="N17" s="145" t="str">
        <f>VLOOKUP(C17,'Trips&amp;Operators'!$C$1:$G$99999,5,FALSE)</f>
        <v>MAYBERRY BILL</v>
      </c>
      <c r="O17" s="194" t="s">
        <v>185</v>
      </c>
      <c r="P17" s="146" t="s">
        <v>356</v>
      </c>
      <c r="Q17" s="30"/>
      <c r="R17" s="89" t="str">
        <f>VLOOKUP(C17,'Train Runs'!$A$13:$AE$9939,31,0)</f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S17" s="92" t="str">
        <f>VLOOKUP(C17,'Train Runs'!$A$13:$AE$9939,22,0)</f>
        <v>https://d0f6bd738d7f1b3e5a7ca70fe4ff75f0.us-east-1.aws.found.io/app/kibana#/discover/Steve-Slow-Train-Analysis-(2080s-and-2083s)?_g=(refreshInterval:(display:Off,pause:!f,section:0,value:0),time:(from:'2017-02-28T10:29:28-0700',mode:absolute,to:'2017-02-28T13:28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7" s="94" t="str">
        <f t="shared" si="1"/>
        <v>"C:\Program Files (x86)\AstroGrep\AstroGrep.exe" /spath="%USERPROFILE%\AppData\Local\Temp\OnboardLogs" /stypes="*4005*201702281*" /stext=" 19:.+((SYSTEM_STATE.+slice.+state.+changed )|(ment ac)|(multiple cpu faults)|(system.+state.+changed )|(\[timeout)|(PRM\|1\|D)|(kpr)|(kdp)|(\|lc)|(penalty))" /e /r /s</v>
      </c>
      <c r="U17" s="9" t="str">
        <f t="shared" si="2"/>
        <v>4005</v>
      </c>
      <c r="V17" s="32">
        <f t="shared" si="3"/>
        <v>42794.798969907402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arrival","project_id":79,"tracker_id":40,"status_id":1,"priority_id":2,"assigned_to_id":23,"start_date":"2017-02-28","description":"","custom_fields":[{"id":1,"name":"Subdivision","value":"EC"},{"id":4,"name":"Milepost","value":"4.8048"},{"id":17,"name":"Train ID","value":"158-28"},{"id":16,"name":"Locomotive ID","value":"4005"},{"id":130,"name":"Impact","value":""},{"id":150,"name":"Time of Event (Mountain Time)","value":"12:10:31"},{"id":151,"name":"Denver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"%USERPROFILE%\AppData\Local\Temp\OnboardLogs"\RTDC4005\*4005*201702281*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"%USERPROFILE%\AppData\Local\Temp\OnboardLogs"\RTDC4005\*4005*201702281* &gt;&gt; 2017-02-28-SliceDisagreementCheck.txt</v>
      </c>
      <c r="AE17" s="157" t="str">
        <f t="shared" si="9"/>
        <v>start /low /b %USERPROFILE%\Documents\GitHub\eaglep3\Utilities\DownloadLogsFromS3.py --loco 4005 --day 2017-02-28</v>
      </c>
      <c r="AF17" s="1"/>
    </row>
    <row r="18" spans="1:32" ht="15" customHeight="1" x14ac:dyDescent="0.25">
      <c r="A18" s="32">
        <v>42794.821956018517</v>
      </c>
      <c r="B18" s="30" t="s">
        <v>359</v>
      </c>
      <c r="C18" s="30" t="s">
        <v>570</v>
      </c>
      <c r="D18" s="30" t="s">
        <v>49</v>
      </c>
      <c r="E18" s="30" t="s">
        <v>197</v>
      </c>
      <c r="F18" s="43">
        <v>340</v>
      </c>
      <c r="G18" s="43">
        <v>390</v>
      </c>
      <c r="H18" s="43">
        <v>57322</v>
      </c>
      <c r="I18" s="43">
        <v>58601</v>
      </c>
      <c r="J18" s="30" t="s">
        <v>198</v>
      </c>
      <c r="K18" s="43">
        <v>58118</v>
      </c>
      <c r="L18" s="143" t="s">
        <v>50</v>
      </c>
      <c r="M18" s="144">
        <f t="shared" si="0"/>
        <v>-255.024</v>
      </c>
      <c r="N18" s="145" t="str">
        <f>VLOOKUP(C18,'Trips&amp;Operators'!$C$1:$G$99999,5,FALSE)</f>
        <v>NEWELL JAMES</v>
      </c>
      <c r="O18" s="194" t="s">
        <v>185</v>
      </c>
      <c r="P18" s="146" t="s">
        <v>356</v>
      </c>
      <c r="Q18" s="30"/>
      <c r="R18" s="89" t="str">
        <f>VLOOKUP(C18,'Train Runs'!$A$13:$AE$9939,31,0)</f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S18" s="92" t="str">
        <f>VLOOKUP(C18,'Train Runs'!$A$13:$AE$9939,22,0)</f>
        <v>https://d0f6bd738d7f1b3e5a7ca70fe4ff75f0.us-east-1.aws.found.io/app/kibana#/discover/Steve-Slow-Train-Analysis-(2080s-and-2083s)?_g=(refreshInterval:(display:Off,pause:!f,section:0,value:0),time:(from:'2017-02-28T18:24:32-0700',mode:absolute,to:'2017-02-28T21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8" s="94" t="str">
        <f t="shared" si="1"/>
        <v>"C:\Program Files (x86)\AstroGrep\AstroGrep.exe" /spath="%USERPROFILE%\AppData\Local\Temp\OnboardLogs" /stypes="*4006*201703010*" /stext=" 02:.+((SYSTEM_STATE.+slice.+state.+changed )|(ment ac)|(multiple cpu faults)|(system.+state.+changed )|(\[timeout)|(PRM\|1\|D)|(kpr)|(kdp)|(\|lc)|(penalty))" /e /r /s</v>
      </c>
      <c r="U18" s="9" t="str">
        <f t="shared" si="2"/>
        <v>4006</v>
      </c>
      <c r="V18" s="32">
        <f t="shared" si="3"/>
        <v>42795.113622685181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arrival","project_id":79,"tracker_id":40,"status_id":1,"priority_id":2,"assigned_to_id":23,"start_date":"2017-02-28","description":"","custom_fields":[{"id":1,"name":"Subdivision","value":"EC"},{"id":4,"name":"Milepost","value":"5.8118"},{"id":17,"name":"Train ID","value":"223-28"},{"id":16,"name":"Locomotive ID","value":"4006"},{"id":130,"name":"Impact","value":""},{"id":150,"name":"Time of Event (Mountain Time)","value":"19:43:37"},{"id":151,"name":"Denver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"%USERPROFILE%\AppData\Local\Temp\OnboardLogs"\RTDC4006\*4006*201703010*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"%USERPROFILE%\AppData\Local\Temp\OnboardLogs"\RTDC4006\*4006*201703010* &gt;&gt; 2017-02-28-SliceDisagreementCheck.txt</v>
      </c>
      <c r="AE18" s="157" t="str">
        <f t="shared" si="9"/>
        <v>start /low /b %USERPROFILE%\Documents\GitHub\eaglep3\Utilities\DownloadLogsFromS3.py --loco 4006 --day 2017-03-01</v>
      </c>
      <c r="AF18" s="1"/>
    </row>
    <row r="19" spans="1:32" x14ac:dyDescent="0.25">
      <c r="A19" s="32">
        <v>42794.822546296295</v>
      </c>
      <c r="B19" s="30" t="s">
        <v>359</v>
      </c>
      <c r="C19" s="30" t="s">
        <v>570</v>
      </c>
      <c r="D19" s="30" t="s">
        <v>49</v>
      </c>
      <c r="E19" s="30" t="s">
        <v>197</v>
      </c>
      <c r="F19" s="43">
        <v>10</v>
      </c>
      <c r="G19" s="43">
        <v>64</v>
      </c>
      <c r="H19" s="43">
        <v>58651</v>
      </c>
      <c r="I19" s="43">
        <v>58810</v>
      </c>
      <c r="J19" s="30" t="s">
        <v>198</v>
      </c>
      <c r="K19" s="43">
        <v>58783</v>
      </c>
      <c r="L19" s="143" t="s">
        <v>50</v>
      </c>
      <c r="M19" s="144">
        <f t="shared" si="0"/>
        <v>-14.256</v>
      </c>
      <c r="N19" s="145" t="str">
        <f>VLOOKUP(C19,'Trips&amp;Operators'!$C$1:$G$99999,5,FALSE)</f>
        <v>NEWELL JAMES</v>
      </c>
      <c r="O19" s="194" t="s">
        <v>185</v>
      </c>
      <c r="P19" s="146" t="s">
        <v>356</v>
      </c>
      <c r="Q19" s="30"/>
      <c r="R19" s="89" t="str">
        <f>VLOOKUP(C19,'Train Runs'!$A$13:$AE$9939,31,0)</f>
        <v>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 &amp; aws s3 cp s3://rtdc.mdm.uploadarchive.raw/RTDC4006/ "%USERPROFILE%\AppData\Local\Temp\OnboardLogs"\RTDC4006\2017-03-01 --exclude "*" --recursive --include "*20170301*" &amp; "%USERPROFILE%\Documents\GitHub\mrs-test-scripts\Headless Mode &amp; Sideloading\WalkAndUnGZ.bat" "%USERPROFILE%\AppData\Local\Temp\OnboardLogs"\RTDC4006\2017-03-01</v>
      </c>
      <c r="S19" s="92" t="str">
        <f>VLOOKUP(C19,'Train Runs'!$A$13:$AE$9939,22,0)</f>
        <v>https://d0f6bd738d7f1b3e5a7ca70fe4ff75f0.us-east-1.aws.found.io/app/kibana#/discover/Steve-Slow-Train-Analysis-(2080s-and-2083s)?_g=(refreshInterval:(display:Off,pause:!f,section:0,value:0),time:(from:'2017-02-28T18:24:32-0700',mode:absolute,to:'2017-02-28T21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94" t="str">
        <f t="shared" si="1"/>
        <v>"C:\Program Files (x86)\AstroGrep\AstroGrep.exe" /spath="%USERPROFILE%\AppData\Local\Temp\OnboardLogs" /stypes="*4006*201703010*" /stext=" 02:.+((SYSTEM_STATE.+slice.+state.+changed )|(ment ac)|(multiple cpu faults)|(system.+state.+changed )|(\[timeout)|(PRM\|1\|D)|(kpr)|(kdp)|(\|lc)|(penalty))" /e /r /s</v>
      </c>
      <c r="U19" s="9" t="str">
        <f t="shared" si="2"/>
        <v>4006</v>
      </c>
      <c r="V19" s="32">
        <f t="shared" si="3"/>
        <v>42795.114212962959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arrival","project_id":79,"tracker_id":40,"status_id":1,"priority_id":2,"assigned_to_id":23,"start_date":"2017-02-28","description":"","custom_fields":[{"id":1,"name":"Subdivision","value":"EC"},{"id":4,"name":"Milepost","value":"5.8783"},{"id":17,"name":"Train ID","value":"223-28"},{"id":16,"name":"Locomotive ID","value":"4006"},{"id":130,"name":"Impact","value":""},{"id":150,"name":"Time of Event (Mountain Time)","value":"19:44:28"},{"id":151,"name":"Denver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"%USERPROFILE%\AppData\Local\Temp\OnboardLogs"\RTDC4006\*4006*201703010*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"%USERPROFILE%\AppData\Local\Temp\OnboardLogs"\RTDC4006\*4006*201703010* &gt;&gt; 2017-02-28-SliceDisagreementCheck.txt</v>
      </c>
      <c r="AE19" s="157" t="str">
        <f t="shared" si="9"/>
        <v>start /low /b %USERPROFILE%\Documents\GitHub\eaglep3\Utilities\DownloadLogsFromS3.py --loco 4006 --day 2017-03-01</v>
      </c>
      <c r="AF19" s="1"/>
    </row>
    <row r="20" spans="1:32" x14ac:dyDescent="0.25">
      <c r="A20" s="32">
        <v>42794.718148148146</v>
      </c>
      <c r="B20" s="30" t="s">
        <v>232</v>
      </c>
      <c r="C20" s="30" t="s">
        <v>566</v>
      </c>
      <c r="D20" s="30" t="s">
        <v>49</v>
      </c>
      <c r="E20" s="30" t="s">
        <v>197</v>
      </c>
      <c r="F20" s="43">
        <v>0</v>
      </c>
      <c r="G20" s="43">
        <v>375</v>
      </c>
      <c r="H20" s="43">
        <v>62836</v>
      </c>
      <c r="I20" s="43">
        <v>63479</v>
      </c>
      <c r="J20" s="30" t="s">
        <v>198</v>
      </c>
      <c r="K20" s="43">
        <v>63069</v>
      </c>
      <c r="L20" s="143" t="s">
        <v>50</v>
      </c>
      <c r="M20" s="144">
        <f t="shared" si="0"/>
        <v>-216.48</v>
      </c>
      <c r="N20" s="145" t="str">
        <f>VLOOKUP(C20,'Trips&amp;Operators'!$C$1:$G$99999,5,FALSE)</f>
        <v>CLARK KATHLEEN</v>
      </c>
      <c r="O20" s="194" t="s">
        <v>185</v>
      </c>
      <c r="P20" s="146" t="s">
        <v>356</v>
      </c>
      <c r="Q20" s="30"/>
      <c r="R20" s="89" t="str">
        <f>VLOOKUP(C20,'Train Runs'!$A$13:$AE$9939,31,0)</f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S20" s="92" t="str">
        <f>VLOOKUP(C20,'Train Runs'!$A$13:$AE$9939,22,0)</f>
        <v>https://d0f6bd738d7f1b3e5a7ca70fe4ff75f0.us-east-1.aws.found.io/app/kibana#/discover/Steve-Slow-Train-Analysis-(2080s-and-2083s)?_g=(refreshInterval:(display:Off,pause:!f,section:0,value:0),time:(from:'2017-02-28T15:54:29-0700',mode:absolute,to:'2017-02-28T18:41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94" t="str">
        <f t="shared" si="1"/>
        <v>"C:\Program Files (x86)\AstroGrep\AstroGrep.exe" /spath="%USERPROFILE%\AppData\Local\Temp\OnboardLogs" /stypes="*4025*201703010*" /stext=" 00:.+((SYSTEM_STATE.+slice.+state.+changed )|(ment ac)|(multiple cpu faults)|(system.+state.+changed )|(\[timeout)|(PRM\|1\|D)|(kpr)|(kdp)|(\|lc)|(penalty))" /e /r /s</v>
      </c>
      <c r="U20" s="9" t="str">
        <f t="shared" si="2"/>
        <v>4025</v>
      </c>
      <c r="V20" s="32">
        <f t="shared" si="3"/>
        <v>42795.00981481481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arrival","project_id":79,"tracker_id":40,"status_id":1,"priority_id":2,"assigned_to_id":23,"start_date":"2017-02-28","description":"","custom_fields":[{"id":1,"name":"Subdivision","value":"EC"},{"id":4,"name":"Milepost","value":"6.3069"},{"id":17,"name":"Train ID","value":"207-28"},{"id":16,"name":"Locomotive ID","value":"4025"},{"id":130,"name":"Impact","value":""},{"id":150,"name":"Time of Event (Mountain Time)","value":"17:14:08"},{"id":151,"name":"Denver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"%USERPROFILE%\AppData\Local\Temp\OnboardLogs"\RTDC4025\*4025*201703010*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"%USERPROFILE%\AppData\Local\Temp\OnboardLogs"\RTDC4025\*4025*201703010* &gt;&gt; 2017-02-28-SliceDisagreementCheck.txt</v>
      </c>
      <c r="AE20" s="157" t="str">
        <f t="shared" si="9"/>
        <v>start /low /b %USERPROFILE%\Documents\GitHub\eaglep3\Utilities\DownloadLogsFromS3.py --loco 4025 --day 2017-03-01</v>
      </c>
      <c r="AF20" s="1"/>
    </row>
    <row r="21" spans="1:32" x14ac:dyDescent="0.25">
      <c r="A21" s="32">
        <v>42794.614155092589</v>
      </c>
      <c r="B21" s="30" t="s">
        <v>247</v>
      </c>
      <c r="C21" s="30" t="s">
        <v>562</v>
      </c>
      <c r="D21" s="30" t="s">
        <v>49</v>
      </c>
      <c r="E21" s="30" t="s">
        <v>197</v>
      </c>
      <c r="F21" s="43">
        <v>30</v>
      </c>
      <c r="G21" s="43">
        <v>85</v>
      </c>
      <c r="H21" s="43">
        <v>62822</v>
      </c>
      <c r="I21" s="43">
        <v>62956</v>
      </c>
      <c r="J21" s="30" t="s">
        <v>198</v>
      </c>
      <c r="K21" s="43">
        <v>63069</v>
      </c>
      <c r="L21" s="143" t="s">
        <v>50</v>
      </c>
      <c r="M21" s="144">
        <f t="shared" si="0"/>
        <v>59.664000000000001</v>
      </c>
      <c r="N21" s="145" t="str">
        <f>VLOOKUP(C21,'Trips&amp;Operators'!$C$1:$G$99999,5,FALSE)</f>
        <v>STRICKLAND EVAN</v>
      </c>
      <c r="O21" s="194" t="s">
        <v>185</v>
      </c>
      <c r="P21" s="146" t="s">
        <v>356</v>
      </c>
      <c r="Q21" s="30"/>
      <c r="R21" s="89" t="str">
        <f>VLOOKUP(C21,'Train Runs'!$A$13:$AE$9939,31,0)</f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S21" s="92" t="str">
        <f>VLOOKUP(C21,'Train Runs'!$A$13:$AE$9939,22,0)</f>
        <v>https://d0f6bd738d7f1b3e5a7ca70fe4ff75f0.us-east-1.aws.found.io/app/kibana#/discover/Steve-Slow-Train-Analysis-(2080s-and-2083s)?_g=(refreshInterval:(display:Off,pause:!f,section:0,value:0),time:(from:'2017-02-28T13:17:31-0700',mode:absolute,to:'2017-02-28T16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1" s="94" t="str">
        <f t="shared" si="1"/>
        <v>"C:\Program Files (x86)\AstroGrep\AstroGrep.exe" /spath="%USERPROFILE%\AppData\Local\Temp\OnboardLogs" /stypes="*4044*201702282*" /stext=" 21:.+((SYSTEM_STATE.+slice.+state.+changed )|(ment ac)|(multiple cpu faults)|(system.+state.+changed )|(\[timeout)|(PRM\|1\|D)|(kpr)|(kdp)|(\|lc)|(penalty))" /e /r /s</v>
      </c>
      <c r="U21" s="9" t="str">
        <f t="shared" si="2"/>
        <v>4044</v>
      </c>
      <c r="V21" s="32">
        <f t="shared" si="3"/>
        <v>42794.905821759254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arrival","project_id":79,"tracker_id":40,"status_id":1,"priority_id":2,"assigned_to_id":23,"start_date":"2017-02-28","description":"","custom_fields":[{"id":1,"name":"Subdivision","value":"EC"},{"id":4,"name":"Milepost","value":"6.3069"},{"id":17,"name":"Train ID","value":"187-28"},{"id":16,"name":"Locomotive ID","value":"4044"},{"id":130,"name":"Impact","value":""},{"id":150,"name":"Time of Event (Mountain Time)","value":"14:44:23"},{"id":151,"name":"Denver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"%USERPROFILE%\AppData\Local\Temp\OnboardLogs"\RTDC4044\*4044*201702282*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"%USERPROFILE%\AppData\Local\Temp\OnboardLogs"\RTDC4044\*4044*201702282* &gt;&gt; 2017-02-28-SliceDisagreementCheck.txt</v>
      </c>
      <c r="AE21" s="157" t="str">
        <f t="shared" si="9"/>
        <v>start /low /b %USERPROFILE%\Documents\GitHub\eaglep3\Utilities\DownloadLogsFromS3.py --loco 4044 --day 2017-02-28</v>
      </c>
      <c r="AF21" s="1"/>
    </row>
    <row r="22" spans="1:32" x14ac:dyDescent="0.25">
      <c r="A22" s="32">
        <v>42794.260057870371</v>
      </c>
      <c r="B22" s="30" t="s">
        <v>220</v>
      </c>
      <c r="C22" s="30" t="s">
        <v>539</v>
      </c>
      <c r="D22" s="30" t="s">
        <v>49</v>
      </c>
      <c r="E22" s="30" t="s">
        <v>197</v>
      </c>
      <c r="F22" s="43">
        <v>310</v>
      </c>
      <c r="G22" s="43">
        <v>468</v>
      </c>
      <c r="H22" s="43">
        <v>62308</v>
      </c>
      <c r="I22" s="43">
        <v>63421</v>
      </c>
      <c r="J22" s="30" t="s">
        <v>198</v>
      </c>
      <c r="K22" s="43">
        <v>63069</v>
      </c>
      <c r="L22" s="143" t="s">
        <v>50</v>
      </c>
      <c r="M22" s="144">
        <f t="shared" si="0"/>
        <v>-185.85599999999999</v>
      </c>
      <c r="N22" s="145" t="str">
        <f>VLOOKUP(C22,'Trips&amp;Operators'!$C$1:$G$99999,5,FALSE)</f>
        <v>STARKS ANGELINA</v>
      </c>
      <c r="O22" s="194" t="s">
        <v>185</v>
      </c>
      <c r="P22" s="146" t="s">
        <v>356</v>
      </c>
      <c r="Q22" s="30"/>
      <c r="R22" s="89" t="str">
        <f>VLOOKUP(C22,'Train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22" s="92" t="str">
        <f>VLOOKUP(C22,'Train Runs'!$A$13:$AE$9939,22,0)</f>
        <v>https://d0f6bd738d7f1b3e5a7ca70fe4ff75f0.us-east-1.aws.found.io/app/kibana#/discover/Steve-Slow-Train-Analysis-(2080s-and-2083s)?_g=(refreshInterval:(display:Off,pause:!f,section:0,value:0),time:(from:'2017-02-28T04:56:50-0700',mode:absolute,to:'2017-02-28T07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94" t="str">
        <f t="shared" si="1"/>
        <v>"C:\Program Files (x86)\AstroGrep\AstroGrep.exe" /spath="%USERPROFILE%\AppData\Local\Temp\OnboardLogs" /stypes="*4027*201702281*" /stext=" 13:.+((SYSTEM_STATE.+slice.+state.+changed )|(ment ac)|(multiple cpu faults)|(system.+state.+changed )|(\[timeout)|(PRM\|1\|D)|(kpr)|(kdp)|(\|lc)|(penalty))" /e /r /s</v>
      </c>
      <c r="U22" s="9" t="str">
        <f t="shared" si="2"/>
        <v>4027</v>
      </c>
      <c r="V22" s="32">
        <f t="shared" si="3"/>
        <v>42794.551724537036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arrival","project_id":79,"tracker_id":40,"status_id":1,"priority_id":2,"assigned_to_id":23,"start_date":"2017-02-28","description":"","custom_fields":[{"id":1,"name":"Subdivision","value":"EC"},{"id":4,"name":"Milepost","value":"6.3069"},{"id":17,"name":"Train ID","value":"119-28"},{"id":16,"name":"Locomotive ID","value":"4027"},{"id":130,"name":"Impact","value":""},{"id":150,"name":"Time of Event (Mountain Time)","value":"06:14:29"},{"id":151,"name":"Denver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"%USERPROFILE%\AppData\Local\Temp\OnboardLogs"\RTDC4027\*4027*201702281*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22" s="157" t="str">
        <f t="shared" si="9"/>
        <v>start /low /b %USERPROFILE%\Documents\GitHub\eaglep3\Utilities\DownloadLogsFromS3.py --loco 4027 --day 2017-02-28</v>
      </c>
      <c r="AF22" s="1"/>
    </row>
    <row r="23" spans="1:32" x14ac:dyDescent="0.25">
      <c r="A23" s="32">
        <v>42794.613692129627</v>
      </c>
      <c r="B23" s="30" t="s">
        <v>247</v>
      </c>
      <c r="C23" s="30" t="s">
        <v>562</v>
      </c>
      <c r="D23" s="30" t="s">
        <v>49</v>
      </c>
      <c r="E23" s="30" t="s">
        <v>197</v>
      </c>
      <c r="F23" s="43">
        <v>380</v>
      </c>
      <c r="G23" s="43">
        <v>524</v>
      </c>
      <c r="H23" s="43">
        <v>61157</v>
      </c>
      <c r="I23" s="43">
        <v>62750</v>
      </c>
      <c r="J23" s="30" t="s">
        <v>198</v>
      </c>
      <c r="K23" s="43">
        <v>63069</v>
      </c>
      <c r="L23" s="143" t="s">
        <v>50</v>
      </c>
      <c r="M23" s="144">
        <f t="shared" si="0"/>
        <v>168.43199999999999</v>
      </c>
      <c r="N23" s="145" t="str">
        <f>VLOOKUP(C23,'Trips&amp;Operators'!$C$1:$G$99999,5,FALSE)</f>
        <v>STRICKLAND EVAN</v>
      </c>
      <c r="O23" s="194" t="s">
        <v>185</v>
      </c>
      <c r="P23" s="146" t="s">
        <v>356</v>
      </c>
      <c r="Q23" s="30"/>
      <c r="R23" s="89" t="str">
        <f>VLOOKUP(C23,'Train Runs'!$A$13:$AE$9939,31,0)</f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S23" s="92" t="str">
        <f>VLOOKUP(C23,'Train Runs'!$A$13:$AE$9939,22,0)</f>
        <v>https://d0f6bd738d7f1b3e5a7ca70fe4ff75f0.us-east-1.aws.found.io/app/kibana#/discover/Steve-Slow-Train-Analysis-(2080s-and-2083s)?_g=(refreshInterval:(display:Off,pause:!f,section:0,value:0),time:(from:'2017-02-28T13:17:31-0700',mode:absolute,to:'2017-02-28T16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3" s="94" t="str">
        <f t="shared" si="1"/>
        <v>"C:\Program Files (x86)\AstroGrep\AstroGrep.exe" /spath="%USERPROFILE%\AppData\Local\Temp\OnboardLogs" /stypes="*4044*201702282*" /stext=" 21:.+((SYSTEM_STATE.+slice.+state.+changed )|(ment ac)|(multiple cpu faults)|(system.+state.+changed )|(\[timeout)|(PRM\|1\|D)|(kpr)|(kdp)|(\|lc)|(penalty))" /e /r /s</v>
      </c>
      <c r="U23" s="9" t="str">
        <f t="shared" si="2"/>
        <v>4044</v>
      </c>
      <c r="V23" s="32">
        <f t="shared" si="3"/>
        <v>42794.905358796292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arrival","project_id":79,"tracker_id":40,"status_id":1,"priority_id":2,"assigned_to_id":23,"start_date":"2017-02-28","description":"","custom_fields":[{"id":1,"name":"Subdivision","value":"EC"},{"id":4,"name":"Milepost","value":"6.3069"},{"id":17,"name":"Train ID","value":"187-28"},{"id":16,"name":"Locomotive ID","value":"4044"},{"id":130,"name":"Impact","value":""},{"id":150,"name":"Time of Event (Mountain Time)","value":"14:43:43"},{"id":151,"name":"Denver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"%USERPROFILE%\AppData\Local\Temp\OnboardLogs"\RTDC4044\*4044*201702282*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"%USERPROFILE%\AppData\Local\Temp\OnboardLogs"\RTDC4044\*4044*201702282* &gt;&gt; 2017-02-28-SliceDisagreementCheck.txt</v>
      </c>
      <c r="AE23" s="157" t="str">
        <f t="shared" si="9"/>
        <v>start /low /b %USERPROFILE%\Documents\GitHub\eaglep3\Utilities\DownloadLogsFromS3.py --loco 4044 --day 2017-02-28</v>
      </c>
      <c r="AF23" s="1"/>
    </row>
    <row r="24" spans="1:32" x14ac:dyDescent="0.25">
      <c r="A24" s="32">
        <v>42794.494699074072</v>
      </c>
      <c r="B24" s="30" t="s">
        <v>529</v>
      </c>
      <c r="C24" s="30" t="s">
        <v>557</v>
      </c>
      <c r="D24" s="30" t="s">
        <v>98</v>
      </c>
      <c r="E24" s="30" t="s">
        <v>197</v>
      </c>
      <c r="F24" s="43">
        <v>0</v>
      </c>
      <c r="G24" s="43">
        <v>94</v>
      </c>
      <c r="H24" s="43">
        <v>63283</v>
      </c>
      <c r="I24" s="43">
        <v>63218</v>
      </c>
      <c r="J24" s="30" t="s">
        <v>198</v>
      </c>
      <c r="K24" s="43">
        <v>63309</v>
      </c>
      <c r="L24" s="143" t="s">
        <v>51</v>
      </c>
      <c r="M24" s="144">
        <f t="shared" si="0"/>
        <v>-48.048000000000002</v>
      </c>
      <c r="N24" s="145" t="str">
        <f>VLOOKUP(C24,'Trips&amp;Operators'!$C$1:$G$99999,5,FALSE)</f>
        <v>YORK EDGAR</v>
      </c>
      <c r="O24" s="194" t="s">
        <v>185</v>
      </c>
      <c r="P24" s="146" t="s">
        <v>356</v>
      </c>
      <c r="Q24" s="30"/>
      <c r="R24" s="89" t="str">
        <f>VLOOKUP(C24,'Train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24" s="92" t="str">
        <f>VLOOKUP(C24,'Train Runs'!$A$13:$AE$9939,22,0)</f>
        <v>https://d0f6bd738d7f1b3e5a7ca70fe4ff75f0.us-east-1.aws.found.io/app/kibana#/discover/Steve-Slow-Train-Analysis-(2080s-and-2083s)?_g=(refreshInterval:(display:Off,pause:!f,section:0,value:0),time:(from:'2017-02-28T10:07:45-0700',mode:absolute,to:'2017-02-28T13:12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94" t="str">
        <f t="shared" si="1"/>
        <v>"C:\Program Files (x86)\AstroGrep\AstroGrep.exe" /spath="%USERPROFILE%\AppData\Local\Temp\OnboardLogs" /stypes="*4052*201702281*" /stext=" 18:.+((SYSTEM_STATE.+slice.+state.+changed )|(ment ac)|(multiple cpu faults)|(system.+state.+changed )|(\[timeout)|(PRM\|1\|D)|(kpr)|(kdp)|(\|lc)|(penalty))" /e /r /s</v>
      </c>
      <c r="U24" s="9" t="str">
        <f t="shared" si="2"/>
        <v>4052</v>
      </c>
      <c r="V24" s="32">
        <f t="shared" si="3"/>
        <v>42794.786365740736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arrival","project_id":79,"tracker_id":40,"status_id":1,"priority_id":2,"assigned_to_id":23,"start_date":"2017-02-28","description":"","custom_fields":[{"id":1,"name":"Subdivision","value":"EC"},{"id":4,"name":"Milepost","value":"6.3309"},{"id":17,"name":"Train ID","value":"156-28"},{"id":16,"name":"Locomotive ID","value":"4052"},{"id":130,"name":"Impact","value":""},{"id":150,"name":"Time of Event (Mountain Time)","value":"11:52:22"},{"id":151,"name":"Denver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"%USERPROFILE%\AppData\Local\Temp\OnboardLogs"\RTDC4052\*4052*201702281*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"%USERPROFILE%\AppData\Local\Temp\OnboardLogs"\RTDC4052\*4052*201702281* &gt;&gt; 2017-02-28-SliceDisagreementCheck.txt</v>
      </c>
      <c r="AE24" s="157" t="str">
        <f t="shared" si="9"/>
        <v>start /low /b %USERPROFILE%\Documents\GitHub\eaglep3\Utilities\DownloadLogsFromS3.py --loco 4052 --day 2017-02-28</v>
      </c>
      <c r="AF24" s="1"/>
    </row>
    <row r="25" spans="1:32" x14ac:dyDescent="0.25">
      <c r="A25" s="32">
        <v>42794.431354166663</v>
      </c>
      <c r="B25" s="30" t="s">
        <v>357</v>
      </c>
      <c r="C25" s="30" t="s">
        <v>554</v>
      </c>
      <c r="D25" s="30" t="s">
        <v>49</v>
      </c>
      <c r="E25" s="30" t="s">
        <v>197</v>
      </c>
      <c r="F25" s="43">
        <v>100</v>
      </c>
      <c r="G25" s="43">
        <v>150</v>
      </c>
      <c r="H25" s="43">
        <v>64006</v>
      </c>
      <c r="I25" s="43">
        <v>63727</v>
      </c>
      <c r="J25" s="30" t="s">
        <v>198</v>
      </c>
      <c r="K25" s="43">
        <v>63309</v>
      </c>
      <c r="L25" s="143" t="s">
        <v>51</v>
      </c>
      <c r="M25" s="144">
        <f t="shared" si="0"/>
        <v>220.70400000000001</v>
      </c>
      <c r="N25" s="145" t="str">
        <f>VLOOKUP(C25,'Trips&amp;Operators'!$C$1:$G$99999,5,FALSE)</f>
        <v>MAYBERRY BILL</v>
      </c>
      <c r="O25" s="194" t="s">
        <v>185</v>
      </c>
      <c r="P25" s="146" t="s">
        <v>356</v>
      </c>
      <c r="Q25" s="30"/>
      <c r="R25" s="89" t="str">
        <f>VLOOKUP(C25,'Train Runs'!$A$13:$AE$9939,31,0)</f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S25" s="92" t="str">
        <f>VLOOKUP(C25,'Train Runs'!$A$13:$AE$9939,22,0)</f>
        <v>https://d0f6bd738d7f1b3e5a7ca70fe4ff75f0.us-east-1.aws.found.io/app/kibana#/discover/Steve-Slow-Train-Analysis-(2080s-and-2083s)?_g=(refreshInterval:(display:Off,pause:!f,section:0,value:0),time:(from:'2017-02-28T08:45:11-0700',mode:absolute,to:'2017-02-28T11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94" t="str">
        <f t="shared" si="1"/>
        <v>"C:\Program Files (x86)\AstroGrep\AstroGrep.exe" /spath="%USERPROFILE%\AppData\Local\Temp\OnboardLogs" /stypes="*4005*201702281*" /stext=" 17:.+((SYSTEM_STATE.+slice.+state.+changed )|(ment ac)|(multiple cpu faults)|(system.+state.+changed )|(\[timeout)|(PRM\|1\|D)|(kpr)|(kdp)|(\|lc)|(penalty))" /e /r /s</v>
      </c>
      <c r="U25" s="9" t="str">
        <f t="shared" si="2"/>
        <v>4005</v>
      </c>
      <c r="V25" s="32">
        <f t="shared" si="3"/>
        <v>42794.723020833328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arrival","project_id":79,"tracker_id":40,"status_id":1,"priority_id":2,"assigned_to_id":23,"start_date":"2017-02-28","description":"","custom_fields":[{"id":1,"name":"Subdivision","value":"EC"},{"id":4,"name":"Milepost","value":"6.3309"},{"id":17,"name":"Train ID","value":"144-28"},{"id":16,"name":"Locomotive ID","value":"4005"},{"id":130,"name":"Impact","value":""},{"id":150,"name":"Time of Event (Mountain Time)","value":"10:21:09"},{"id":151,"name":"Denver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"%USERPROFILE%\AppData\Local\Temp\OnboardLogs"\RTDC4005\*4005*201702281*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"%USERPROFILE%\AppData\Local\Temp\OnboardLogs"\RTDC4005\*4005*201702281* &gt;&gt; 2017-02-28-SliceDisagreementCheck.txt</v>
      </c>
      <c r="AE25" s="157" t="str">
        <f t="shared" si="9"/>
        <v>start /low /b %USERPROFILE%\Documents\GitHub\eaglep3\Utilities\DownloadLogsFromS3.py --loco 4005 --day 2017-02-28</v>
      </c>
      <c r="AF25" s="1"/>
    </row>
    <row r="26" spans="1:32" x14ac:dyDescent="0.25">
      <c r="A26" s="32">
        <v>42794.302129629628</v>
      </c>
      <c r="B26" s="30" t="s">
        <v>219</v>
      </c>
      <c r="C26" s="30" t="s">
        <v>545</v>
      </c>
      <c r="D26" s="30" t="s">
        <v>49</v>
      </c>
      <c r="E26" s="30" t="s">
        <v>197</v>
      </c>
      <c r="F26" s="43">
        <v>0</v>
      </c>
      <c r="G26" s="43">
        <v>678</v>
      </c>
      <c r="H26" s="43">
        <v>104843</v>
      </c>
      <c r="I26" s="43">
        <v>101211</v>
      </c>
      <c r="J26" s="30" t="s">
        <v>198</v>
      </c>
      <c r="K26" s="43">
        <v>103800</v>
      </c>
      <c r="L26" s="143" t="s">
        <v>51</v>
      </c>
      <c r="M26" s="144">
        <f t="shared" si="0"/>
        <v>-1366.9920000000002</v>
      </c>
      <c r="N26" s="145" t="str">
        <f>VLOOKUP(C26,'Trips&amp;Operators'!$C$1:$G$99999,5,FALSE)</f>
        <v>STARKS ANGELINA</v>
      </c>
      <c r="O26" s="194" t="s">
        <v>185</v>
      </c>
      <c r="P26" s="146" t="s">
        <v>356</v>
      </c>
      <c r="Q26" s="30"/>
      <c r="R26" s="89" t="str">
        <f>VLOOKUP(C26,'Train Runs'!$A$13:$AE$9939,31,0)</f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S26" s="92" t="str">
        <f>VLOOKUP(C26,'Train Runs'!$A$13:$AE$9939,22,0)</f>
        <v>https://d0f6bd738d7f1b3e5a7ca70fe4ff75f0.us-east-1.aws.found.io/app/kibana#/discover/Steve-Slow-Train-Analysis-(2080s-and-2083s)?_g=(refreshInterval:(display:Off,pause:!f,section:0,value:0),time:(from:'2017-02-28T05:53:08-0700',mode:absolute,to:'2017-02-28T08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 t="shared" si="1"/>
        <v>"C:\Program Files (x86)\AstroGrep\AstroGrep.exe" /spath="%USERPROFILE%\AppData\Local\Temp\OnboardLogs" /stypes="*4028*201702281*" /stext=" 14:.+((SYSTEM_STATE.+slice.+state.+changed )|(ment ac)|(multiple cpu faults)|(system.+state.+changed )|(\[timeout)|(PRM\|1\|D)|(kpr)|(kdp)|(\|lc)|(penalty))" /e /r /s</v>
      </c>
      <c r="U26" s="9" t="str">
        <f t="shared" si="2"/>
        <v>4028</v>
      </c>
      <c r="V26" s="32">
        <f t="shared" si="3"/>
        <v>42794.593796296293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arrival","project_id":79,"tracker_id":40,"status_id":1,"priority_id":2,"assigned_to_id":23,"start_date":"2017-02-28","description":"","custom_fields":[{"id":1,"name":"Subdivision","value":"EC"},{"id":4,"name":"Milepost","value":"10.38"},{"id":17,"name":"Train ID","value":"120-28"},{"id":16,"name":"Locomotive ID","value":"4028"},{"id":130,"name":"Impact","value":""},{"id":150,"name":"Time of Event (Mountain Time)","value":"07:15:04"},{"id":151,"name":"Denver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"%USERPROFILE%\AppData\Local\Temp\OnboardLogs"\RTDC4028\*4028*201702281*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"%USERPROFILE%\AppData\Local\Temp\OnboardLogs"\RTDC4028\*4028*201702281* &gt;&gt; 2017-02-28-SliceDisagreementCheck.txt</v>
      </c>
      <c r="AE26" s="157" t="str">
        <f t="shared" si="9"/>
        <v>start /low /b %USERPROFILE%\Documents\GitHub\eaglep3\Utilities\DownloadLogsFromS3.py --loco 4028 --day 2017-02-28</v>
      </c>
      <c r="AF26" s="1"/>
    </row>
    <row r="27" spans="1:32" x14ac:dyDescent="0.25">
      <c r="A27" s="32">
        <v>42794.28230324074</v>
      </c>
      <c r="B27" s="30" t="s">
        <v>357</v>
      </c>
      <c r="C27" s="30" t="s">
        <v>544</v>
      </c>
      <c r="D27" s="30" t="s">
        <v>49</v>
      </c>
      <c r="E27" s="30" t="s">
        <v>197</v>
      </c>
      <c r="F27" s="43">
        <v>460</v>
      </c>
      <c r="G27" s="43">
        <v>575</v>
      </c>
      <c r="H27" s="43">
        <v>104882</v>
      </c>
      <c r="I27" s="43">
        <v>102777</v>
      </c>
      <c r="J27" s="30" t="s">
        <v>198</v>
      </c>
      <c r="K27" s="43">
        <v>103800</v>
      </c>
      <c r="L27" s="143" t="s">
        <v>51</v>
      </c>
      <c r="M27" s="144">
        <f t="shared" si="0"/>
        <v>-540.14400000000001</v>
      </c>
      <c r="N27" s="145" t="str">
        <f>VLOOKUP(C27,'Trips&amp;Operators'!$C$1:$G$99999,5,FALSE)</f>
        <v>ROCHA YAOTL</v>
      </c>
      <c r="O27" s="194" t="s">
        <v>185</v>
      </c>
      <c r="P27" s="146" t="s">
        <v>356</v>
      </c>
      <c r="Q27" s="30"/>
      <c r="R27" s="89" t="str">
        <f>VLOOKUP(C27,'Train Runs'!$A$13:$AE$9939,31,0)</f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S27" s="92" t="str">
        <f>VLOOKUP(C27,'Train Runs'!$A$13:$AE$9939,22,0)</f>
        <v>https://d0f6bd738d7f1b3e5a7ca70fe4ff75f0.us-east-1.aws.found.io/app/kibana#/discover/Steve-Slow-Train-Analysis-(2080s-and-2083s)?_g=(refreshInterval:(display:Off,pause:!f,section:0,value:0),time:(from:'2017-02-28T05:19:41-0700',mode:absolute,to:'2017-02-28T08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94" t="str">
        <f t="shared" si="1"/>
        <v>"C:\Program Files (x86)\AstroGrep\AstroGrep.exe" /spath="%USERPROFILE%\AppData\Local\Temp\OnboardLogs" /stypes="*4005*201702281*" /stext=" 13:.+((SYSTEM_STATE.+slice.+state.+changed )|(ment ac)|(multiple cpu faults)|(system.+state.+changed )|(\[timeout)|(PRM\|1\|D)|(kpr)|(kdp)|(\|lc)|(penalty))" /e /r /s</v>
      </c>
      <c r="U27" s="9" t="str">
        <f t="shared" si="2"/>
        <v>4005</v>
      </c>
      <c r="V27" s="32">
        <f t="shared" si="3"/>
        <v>42794.573969907404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arrival","project_id":79,"tracker_id":40,"status_id":1,"priority_id":2,"assigned_to_id":23,"start_date":"2017-02-28","description":"","custom_fields":[{"id":1,"name":"Subdivision","value":"EC"},{"id":4,"name":"Milepost","value":"10.38"},{"id":17,"name":"Train ID","value":"116-28"},{"id":16,"name":"Locomotive ID","value":"4005"},{"id":130,"name":"Impact","value":""},{"id":150,"name":"Time of Event (Mountain Time)","value":"06:46:31"},{"id":151,"name":"Denver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"%USERPROFILE%\AppData\Local\Temp\OnboardLogs"\RTDC4005\*4005*201702281*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"%USERPROFILE%\AppData\Local\Temp\OnboardLogs"\RTDC4005\*4005*201702281* &gt;&gt; 2017-02-28-SliceDisagreementCheck.txt</v>
      </c>
      <c r="AE27" s="157" t="str">
        <f t="shared" si="9"/>
        <v>start /low /b %USERPROFILE%\Documents\GitHub\eaglep3\Utilities\DownloadLogsFromS3.py --loco 4005 --day 2017-02-28</v>
      </c>
      <c r="AF27" s="1"/>
    </row>
    <row r="28" spans="1:32" x14ac:dyDescent="0.25">
      <c r="A28" s="32">
        <v>42794.271006944444</v>
      </c>
      <c r="B28" s="30" t="s">
        <v>529</v>
      </c>
      <c r="C28" s="30" t="s">
        <v>543</v>
      </c>
      <c r="D28" s="30" t="s">
        <v>49</v>
      </c>
      <c r="E28" s="30" t="s">
        <v>197</v>
      </c>
      <c r="F28" s="43">
        <v>0</v>
      </c>
      <c r="G28" s="43">
        <v>386</v>
      </c>
      <c r="H28" s="43">
        <v>109223</v>
      </c>
      <c r="I28" s="43">
        <v>108733</v>
      </c>
      <c r="J28" s="30" t="s">
        <v>198</v>
      </c>
      <c r="K28" s="43">
        <v>109135</v>
      </c>
      <c r="L28" s="143" t="s">
        <v>51</v>
      </c>
      <c r="M28" s="144">
        <f t="shared" si="0"/>
        <v>-212.256</v>
      </c>
      <c r="N28" s="145" t="str">
        <f>VLOOKUP(C28,'Trips&amp;Operators'!$C$1:$G$99999,5,FALSE)</f>
        <v>SANTIZO D. EDY</v>
      </c>
      <c r="O28" s="194" t="s">
        <v>185</v>
      </c>
      <c r="P28" s="146" t="s">
        <v>356</v>
      </c>
      <c r="Q28" s="30"/>
      <c r="R28" s="89" t="str">
        <f>VLOOKUP(C28,'Train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28" s="92" t="str">
        <f>VLOOKUP(C28,'Train Runs'!$A$13:$AE$9939,22,0)</f>
        <v>https://d0f6bd738d7f1b3e5a7ca70fe4ff75f0.us-east-1.aws.found.io/app/kibana#/discover/Steve-Slow-Train-Analysis-(2080s-and-2083s)?_g=(refreshInterval:(display:Off,pause:!f,section:0,value:0),time:(from:'2017-02-28T04:54:52-0700',mode:absolute,to:'2017-02-28T07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8" s="94" t="str">
        <f t="shared" si="1"/>
        <v>"C:\Program Files (x86)\AstroGrep\AstroGrep.exe" /spath="%USERPROFILE%\AppData\Local\Temp\OnboardLogs" /stypes="*4052*201702281*" /stext=" 13:.+((SYSTEM_STATE.+slice.+state.+changed )|(ment ac)|(multiple cpu faults)|(system.+state.+changed )|(\[timeout)|(PRM\|1\|D)|(kpr)|(kdp)|(\|lc)|(penalty))" /e /r /s</v>
      </c>
      <c r="U28" s="9" t="str">
        <f t="shared" si="2"/>
        <v>4052</v>
      </c>
      <c r="V28" s="32">
        <f t="shared" si="3"/>
        <v>42794.562673611108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arrival","project_id":79,"tracker_id":40,"status_id":1,"priority_id":2,"assigned_to_id":23,"start_date":"2017-02-28","description":"","custom_fields":[{"id":1,"name":"Subdivision","value":"EC"},{"id":4,"name":"Milepost","value":"10.9135"},{"id":17,"name":"Train ID","value":"114-28"},{"id":16,"name":"Locomotive ID","value":"4052"},{"id":130,"name":"Impact","value":""},{"id":150,"name":"Time of Event (Mountain Time)","value":"06:30:15"},{"id":151,"name":"Denver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"%USERPROFILE%\AppData\Local\Temp\OnboardLogs"\RTDC4052\*4052*201702281*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"%USERPROFILE%\AppData\Local\Temp\OnboardLogs"\RTDC4052\*4052*201702281* &gt;&gt; 2017-02-28-SliceDisagreementCheck.txt</v>
      </c>
      <c r="AE28" s="157" t="str">
        <f t="shared" si="9"/>
        <v>start /low /b %USERPROFILE%\Documents\GitHub\eaglep3\Utilities\DownloadLogsFromS3.py --loco 4052 --day 2017-02-28</v>
      </c>
      <c r="AF28" s="1"/>
    </row>
    <row r="29" spans="1:32" x14ac:dyDescent="0.25">
      <c r="A29" s="32">
        <v>42794.885381944441</v>
      </c>
      <c r="B29" s="30" t="s">
        <v>251</v>
      </c>
      <c r="C29" s="30" t="s">
        <v>571</v>
      </c>
      <c r="D29" s="30" t="s">
        <v>49</v>
      </c>
      <c r="E29" s="30" t="s">
        <v>197</v>
      </c>
      <c r="F29" s="43">
        <v>0</v>
      </c>
      <c r="G29" s="43">
        <v>360</v>
      </c>
      <c r="H29" s="43">
        <v>109417</v>
      </c>
      <c r="I29" s="43">
        <v>108617</v>
      </c>
      <c r="J29" s="30" t="s">
        <v>198</v>
      </c>
      <c r="K29" s="43">
        <v>109135</v>
      </c>
      <c r="L29" s="143" t="s">
        <v>51</v>
      </c>
      <c r="M29" s="144">
        <f t="shared" si="0"/>
        <v>-273.50400000000002</v>
      </c>
      <c r="N29" s="145" t="str">
        <f>VLOOKUP(C29,'Trips&amp;Operators'!$C$1:$G$99999,5,FALSE)</f>
        <v>STORY SAMANTHA</v>
      </c>
      <c r="O29" s="194" t="s">
        <v>185</v>
      </c>
      <c r="P29" s="146" t="s">
        <v>356</v>
      </c>
      <c r="Q29" s="30"/>
      <c r="R29" s="89" t="str">
        <f>VLOOKUP(C29,'Train Runs'!$A$13:$AE$9939,31,0)</f>
        <v>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 &amp; aws s3 cp s3://rtdc.mdm.uploadarchive.raw/RTDC4008/ "%USERPROFILE%\AppData\Local\Temp\OnboardLogs"\RTDC4008\2017-03-01 --exclude "*" --recursive --include "*20170301*" &amp; "%USERPROFILE%\Documents\GitHub\mrs-test-scripts\Headless Mode &amp; Sideloading\WalkAndUnGZ.bat" "%USERPROFILE%\AppData\Local\Temp\OnboardLogs"\RTDC4008\2017-03-01</v>
      </c>
      <c r="S29" s="92" t="str">
        <f>VLOOKUP(C29,'Train Runs'!$A$13:$AE$9939,22,0)</f>
        <v>https://d0f6bd738d7f1b3e5a7ca70fe4ff75f0.us-east-1.aws.found.io/app/kibana#/discover/Steve-Slow-Train-Analysis-(2080s-and-2083s)?_g=(refreshInterval:(display:Off,pause:!f,section:0,value:0),time:(from:'2017-02-28T19:52:22-0700',mode:absolute,to:'2017-02-28T22:38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9" s="94" t="str">
        <f t="shared" si="1"/>
        <v>"C:\Program Files (x86)\AstroGrep\AstroGrep.exe" /spath="%USERPROFILE%\AppData\Local\Temp\OnboardLogs" /stypes="*4008*201703010*" /stext=" 04:.+((SYSTEM_STATE.+slice.+state.+changed )|(ment ac)|(multiple cpu faults)|(system.+state.+changed )|(\[timeout)|(PRM\|1\|D)|(kpr)|(kdp)|(\|lc)|(penalty))" /e /r /s</v>
      </c>
      <c r="U29" s="9" t="str">
        <f t="shared" si="2"/>
        <v>4008</v>
      </c>
      <c r="V29" s="32">
        <f t="shared" si="3"/>
        <v>42795.177048611105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arrival","project_id":79,"tracker_id":40,"status_id":1,"priority_id":2,"assigned_to_id":23,"start_date":"2017-02-28","description":"","custom_fields":[{"id":1,"name":"Subdivision","value":"EC"},{"id":4,"name":"Milepost","value":"10.9135"},{"id":17,"name":"Train ID","value":"226-28"},{"id":16,"name":"Locomotive ID","value":"4008"},{"id":130,"name":"Impact","value":""},{"id":150,"name":"Time of Event (Mountain Time)","value":"21:14:57"},{"id":151,"name":"Denver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"%USERPROFILE%\AppData\Local\Temp\OnboardLogs"\RTDC4008\*4008*201703010*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"%USERPROFILE%\AppData\Local\Temp\OnboardLogs"\RTDC4008\*4008*201703010* &gt;&gt; 2017-02-28-SliceDisagreementCheck.txt</v>
      </c>
      <c r="AE29" s="157" t="str">
        <f t="shared" si="9"/>
        <v>start /low /b %USERPROFILE%\Documents\GitHub\eaglep3\Utilities\DownloadLogsFromS3.py --loco 4008 --day 2017-03-01</v>
      </c>
      <c r="AF29" s="1"/>
    </row>
    <row r="30" spans="1:32" x14ac:dyDescent="0.25">
      <c r="A30" s="32">
        <v>42794.240914351853</v>
      </c>
      <c r="B30" s="30" t="s">
        <v>219</v>
      </c>
      <c r="C30" s="30" t="s">
        <v>538</v>
      </c>
      <c r="D30" s="30" t="s">
        <v>49</v>
      </c>
      <c r="E30" s="30" t="s">
        <v>270</v>
      </c>
      <c r="F30" s="43">
        <v>300</v>
      </c>
      <c r="G30" s="43">
        <v>400</v>
      </c>
      <c r="H30" s="43">
        <v>23337</v>
      </c>
      <c r="I30" s="43">
        <v>22032</v>
      </c>
      <c r="J30" s="30" t="s">
        <v>271</v>
      </c>
      <c r="K30" s="43">
        <v>21848</v>
      </c>
      <c r="L30" s="143" t="s">
        <v>51</v>
      </c>
      <c r="M30" s="144">
        <f t="shared" si="0"/>
        <v>97.152000000000001</v>
      </c>
      <c r="N30" s="145" t="str">
        <f>VLOOKUP(C30,'Trips&amp;Operators'!$C$1:$G$99999,5,FALSE)</f>
        <v>SPECTOR MICHAEL</v>
      </c>
      <c r="O30" s="194" t="s">
        <v>185</v>
      </c>
      <c r="P30" s="146"/>
      <c r="Q30" s="30"/>
      <c r="R30" s="89" t="str">
        <f>VLOOKUP(C30,'Train Runs'!$A$13:$AE$9939,31,0)</f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S30" s="92" t="str">
        <f>VLOOKUP(C30,'Train Runs'!$A$13:$AE$9939,22,0)</f>
        <v>https://d0f6bd738d7f1b3e5a7ca70fe4ff75f0.us-east-1.aws.found.io/app/kibana#/discover/Steve-Slow-Train-Analysis-(2080s-and-2083s)?_g=(refreshInterval:(display:Off,pause:!f,section:0,value:0),time:(from:'2017-02-28T04:04:22-0700',mode:absolute,to:'2017-02-28T06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/spath="%USERPROFILE%\AppData\Local\Temp\OnboardLogs" /stypes="*4028*201702281*" /stext=" 12:.+((SYSTEM_STATE.+slice.+state.+changed )|(ment ac)|(multiple cpu faults)|(system.+state.+changed )|(\[timeout)|(PRM\|1\|D)|(kpr)|(kdp)|(\|lc)|(penalty))" /e /r /s</v>
      </c>
      <c r="U30" s="9" t="str">
        <f t="shared" si="2"/>
        <v>4028</v>
      </c>
      <c r="V30" s="32">
        <f t="shared" si="3"/>
        <v>42794.532581018517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{"issue":{"subject":"","project_id":79,"tracker_id":40,"status_id":1,"priority_id":2,"assigned_to_id":23,"start_date":"2017-02-28","description":"","custom_fields":[{"id":1,"name":"Subdivision","value":"EC"},{"id":4,"name":"Milepost","value":"2.1848"},{"id":17,"name":"Train ID","value":"106-28"},{"id":16,"name":"Locomotive ID","value":"4028"},{"id":130,"name":"Impact","value":""},{"id":150,"name":"Time of Event (Mountain Time)","value":"05:46:55"},{"id":151,"name":"Denver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"%USERPROFILE%\AppData\Local\Temp\OnboardLogs"\RTDC4028\*4028*201702281*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"%USERPROFILE%\AppData\Local\Temp\OnboardLogs"\RTDC4028\*4028*201702281* &gt;&gt; 2017-02-28-SliceDisagreementCheck.txt</v>
      </c>
      <c r="AE30" s="157" t="str">
        <f t="shared" si="9"/>
        <v>start /low /b %USERPROFILE%\Documents\GitHub\eaglep3\Utilities\DownloadLogsFromS3.py --loco 4028 --day 2017-02-28</v>
      </c>
      <c r="AF30" s="1"/>
    </row>
    <row r="31" spans="1:32" x14ac:dyDescent="0.25">
      <c r="A31" s="32">
        <v>42794.514328703706</v>
      </c>
      <c r="B31" s="30" t="s">
        <v>357</v>
      </c>
      <c r="C31" s="30" t="s">
        <v>558</v>
      </c>
      <c r="D31" s="30" t="s">
        <v>49</v>
      </c>
      <c r="E31" s="30" t="s">
        <v>270</v>
      </c>
      <c r="F31" s="43">
        <v>300</v>
      </c>
      <c r="G31" s="43">
        <v>393</v>
      </c>
      <c r="H31" s="43">
        <v>23116</v>
      </c>
      <c r="I31" s="43">
        <v>22049</v>
      </c>
      <c r="J31" s="30" t="s">
        <v>271</v>
      </c>
      <c r="K31" s="43">
        <v>21848</v>
      </c>
      <c r="L31" s="143" t="s">
        <v>51</v>
      </c>
      <c r="M31" s="144">
        <f t="shared" si="0"/>
        <v>106.128</v>
      </c>
      <c r="N31" s="145" t="str">
        <f>VLOOKUP(C31,'Trips&amp;Operators'!$C$1:$G$99999,5,FALSE)</f>
        <v>MAYBERRY BILL</v>
      </c>
      <c r="O31" s="194" t="s">
        <v>185</v>
      </c>
      <c r="P31" s="146"/>
      <c r="Q31" s="30"/>
      <c r="R31" s="89" t="str">
        <f>VLOOKUP(C31,'Train Runs'!$A$13:$AE$9939,31,0)</f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S31" s="92" t="str">
        <f>VLOOKUP(C31,'Train Runs'!$A$13:$AE$9939,22,0)</f>
        <v>https://d0f6bd738d7f1b3e5a7ca70fe4ff75f0.us-east-1.aws.found.io/app/kibana#/discover/Steve-Slow-Train-Analysis-(2080s-and-2083s)?_g=(refreshInterval:(display:Off,pause:!f,section:0,value:0),time:(from:'2017-02-28T10:29:28-0700',mode:absolute,to:'2017-02-28T13:28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94" t="str">
        <f t="shared" si="1"/>
        <v>"C:\Program Files (x86)\AstroGrep\AstroGrep.exe" /spath="%USERPROFILE%\AppData\Local\Temp\OnboardLogs" /stypes="*4005*201702281*" /stext=" 19:.+((SYSTEM_STATE.+slice.+state.+changed )|(ment ac)|(multiple cpu faults)|(system.+state.+changed )|(\[timeout)|(PRM\|1\|D)|(kpr)|(kdp)|(\|lc)|(penalty))" /e /r /s</v>
      </c>
      <c r="U31" s="9" t="str">
        <f t="shared" si="2"/>
        <v>4005</v>
      </c>
      <c r="V31" s="32">
        <f t="shared" si="3"/>
        <v>42794.805995370371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{"issue":{"subject":"","project_id":79,"tracker_id":40,"status_id":1,"priority_id":2,"assigned_to_id":23,"start_date":"2017-02-28","description":"","custom_fields":[{"id":1,"name":"Subdivision","value":"EC"},{"id":4,"name":"Milepost","value":"2.1848"},{"id":17,"name":"Train ID","value":"158-28"},{"id":16,"name":"Locomotive ID","value":"4005"},{"id":130,"name":"Impact","value":""},{"id":150,"name":"Time of Event (Mountain Time)","value":"12:20:38"},{"id":151,"name":"Denver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"%USERPROFILE%\AppData\Local\Temp\OnboardLogs"\RTDC4005\*4005*201702281*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"%USERPROFILE%\AppData\Local\Temp\OnboardLogs"\RTDC4005\*4005*201702281* &gt;&gt; 2017-02-28-SliceDisagreementCheck.txt</v>
      </c>
      <c r="AE31" s="157" t="str">
        <f t="shared" si="9"/>
        <v>start /low /b %USERPROFILE%\Documents\GitHub\eaglep3\Utilities\DownloadLogsFromS3.py --loco 4005 --day 2017-02-28</v>
      </c>
      <c r="AF31" s="1"/>
    </row>
    <row r="32" spans="1:32" x14ac:dyDescent="0.25">
      <c r="A32" s="32">
        <v>42794.702615740738</v>
      </c>
      <c r="B32" s="30" t="s">
        <v>529</v>
      </c>
      <c r="C32" s="30" t="s">
        <v>565</v>
      </c>
      <c r="D32" s="30" t="s">
        <v>98</v>
      </c>
      <c r="E32" s="30" t="s">
        <v>270</v>
      </c>
      <c r="F32" s="43">
        <v>700</v>
      </c>
      <c r="G32" s="43">
        <v>753</v>
      </c>
      <c r="H32" s="43">
        <v>180161</v>
      </c>
      <c r="I32" s="43">
        <v>176691</v>
      </c>
      <c r="J32" s="30" t="s">
        <v>271</v>
      </c>
      <c r="K32" s="43">
        <v>183829</v>
      </c>
      <c r="L32" s="143" t="s">
        <v>51</v>
      </c>
      <c r="M32" s="144">
        <f t="shared" si="0"/>
        <v>-3768.864</v>
      </c>
      <c r="N32" s="145" t="str">
        <f>VLOOKUP(C32,'Trips&amp;Operators'!$C$1:$G$99999,5,FALSE)</f>
        <v>ROMERO CHAD</v>
      </c>
      <c r="O32" s="194" t="s">
        <v>185</v>
      </c>
      <c r="P32" s="146"/>
      <c r="Q32" s="30"/>
      <c r="R32" s="89" t="str">
        <f>VLOOKUP(C32,'Train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32" s="92" t="str">
        <f>VLOOKUP(C32,'Train Runs'!$A$13:$AE$9939,22,0)</f>
        <v>https://d0f6bd738d7f1b3e5a7ca70fe4ff75f0.us-east-1.aws.found.io/app/kibana#/discover/Steve-Slow-Train-Analysis-(2080s-and-2083s)?_g=(refreshInterval:(display:Off,pause:!f,section:0,value:0),time:(from:'2017-02-28T15:28:36-0700',mode:absolute,to:'2017-02-28T18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2" s="94" t="str">
        <f t="shared" si="1"/>
        <v>"C:\Program Files (x86)\AstroGrep\AstroGrep.exe" /spath="%USERPROFILE%\AppData\Local\Temp\OnboardLogs" /stypes="*4052*201702282*" /stext=" 23:.+((SYSTEM_STATE.+slice.+state.+changed )|(ment ac)|(multiple cpu faults)|(system.+state.+changed )|(\[timeout)|(PRM\|1\|D)|(kpr)|(kdp)|(\|lc)|(penalty))" /e /r /s</v>
      </c>
      <c r="U32" s="9" t="str">
        <f t="shared" si="2"/>
        <v>4052</v>
      </c>
      <c r="V32" s="32">
        <f t="shared" si="3"/>
        <v>42794.994282407402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{"issue":{"subject":"","project_id":79,"tracker_id":40,"status_id":1,"priority_id":2,"assigned_to_id":23,"start_date":"2017-02-28","description":"","custom_fields":[{"id":1,"name":"Subdivision","value":"EC"},{"id":4,"name":"Milepost","value":"18.3829"},{"id":17,"name":"Train ID","value":"198-28"},{"id":16,"name":"Locomotive ID","value":"4052"},{"id":130,"name":"Impact","value":""},{"id":150,"name":"Time of Event (Mountain Time)","value":"16:51:46"},{"id":151,"name":"Denver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"%USERPROFILE%\AppData\Local\Temp\OnboardLogs"\RTDC4052\*4052*201702282*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"%USERPROFILE%\AppData\Local\Temp\OnboardLogs"\RTDC4052\*4052*201702282* &gt;&gt; 2017-02-28-SliceDisagreementCheck.txt</v>
      </c>
      <c r="AE32" s="157" t="str">
        <f t="shared" si="9"/>
        <v>start /low /b %USERPROFILE%\Documents\GitHub\eaglep3\Utilities\DownloadLogsFromS3.py --loco 4052 --day 2017-02-28</v>
      </c>
      <c r="AF32" s="1"/>
    </row>
    <row r="33" spans="1:32" x14ac:dyDescent="0.25">
      <c r="A33" s="32">
        <v>42794.520289351851</v>
      </c>
      <c r="B33" s="30" t="s">
        <v>253</v>
      </c>
      <c r="C33" s="30" t="s">
        <v>559</v>
      </c>
      <c r="D33" s="30" t="s">
        <v>98</v>
      </c>
      <c r="E33" s="30" t="s">
        <v>270</v>
      </c>
      <c r="F33" s="43">
        <v>350</v>
      </c>
      <c r="G33" s="43">
        <v>400</v>
      </c>
      <c r="H33" s="43">
        <v>224834</v>
      </c>
      <c r="I33" s="43">
        <v>223349</v>
      </c>
      <c r="J33" s="30" t="s">
        <v>271</v>
      </c>
      <c r="K33" s="43">
        <v>228668</v>
      </c>
      <c r="L33" s="143" t="s">
        <v>51</v>
      </c>
      <c r="M33" s="144">
        <f t="shared" si="0"/>
        <v>-2808.4320000000002</v>
      </c>
      <c r="N33" s="145" t="str">
        <f>VLOOKUP(C33,'Trips&amp;Operators'!$C$1:$G$99999,5,FALSE)</f>
        <v>STRICKLAND EVAN</v>
      </c>
      <c r="O33" s="194" t="s">
        <v>185</v>
      </c>
      <c r="P33" s="146"/>
      <c r="Q33" s="30"/>
      <c r="R33" s="89" t="str">
        <f>VLOOKUP(C33,'Train Runs'!$A$13:$AE$9939,31,0)</f>
        <v>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 &amp; aws s3 cp s3://rtdc.mdm.uploadarchive.raw/RTDC4017/ "%USERPROFILE%\AppData\Local\Temp\OnboardLogs"\RTDC4017\2017-03-01 --exclude "*" --recursive --include "*20170301*" &amp; "%USERPROFILE%\Documents\GitHub\mrs-test-scripts\Headless Mode &amp; Sideloading\WalkAndUnGZ.bat" "%USERPROFILE%\AppData\Local\Temp\OnboardLogs"\RTDC4017\2017-03-01</v>
      </c>
      <c r="S33" s="92" t="str">
        <f>VLOOKUP(C33,'Train Runs'!$A$13:$AE$9939,22,0)</f>
        <v>https://d0f6bd738d7f1b3e5a7ca70fe4ff75f0.us-east-1.aws.found.io/app/kibana#/discover/Steve-Slow-Train-Analysis-(2080s-and-2083s)?_g=(refreshInterval:(display:Off,pause:!f,section:0,value:0),time:(from:'2017-02-28T11:10:36-0700',mode:absolute,to:'2017-02-28T14:13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3" s="94" t="str">
        <f t="shared" si="1"/>
        <v>"C:\Program Files (x86)\AstroGrep\AstroGrep.exe" /spath="%USERPROFILE%\AppData\Local\Temp\OnboardLogs" /stypes="*4017*201702281*" /stext=" 19:.+((SYSTEM_STATE.+slice.+state.+changed )|(ment ac)|(multiple cpu faults)|(system.+state.+changed )|(\[timeout)|(PRM\|1\|D)|(kpr)|(kdp)|(\|lc)|(penalty))" /e /r /s</v>
      </c>
      <c r="U33" s="9" t="str">
        <f t="shared" si="2"/>
        <v>4017</v>
      </c>
      <c r="V33" s="32">
        <f t="shared" si="3"/>
        <v>42794.811956018515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{"issue":{"subject":"","project_id":79,"tracker_id":40,"status_id":1,"priority_id":2,"assigned_to_id":23,"start_date":"2017-02-28","description":"","custom_fields":[{"id":1,"name":"Subdivision","value":"EC"},{"id":4,"name":"Milepost","value":"22.8668"},{"id":17,"name":"Train ID","value":"164-28"},{"id":16,"name":"Locomotive ID","value":"4017"},{"id":130,"name":"Impact","value":""},{"id":150,"name":"Time of Event (Mountain Time)","value":"12:29:13"},{"id":151,"name":"Denver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"%USERPROFILE%\AppData\Local\Temp\OnboardLogs"\RTDC4017\*4017*201702281*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"%USERPROFILE%\AppData\Local\Temp\OnboardLogs"\RTDC4017\*4017*201702281* &gt;&gt; 2017-02-28-SliceDisagreementCheck.txt</v>
      </c>
      <c r="AE33" s="157" t="str">
        <f t="shared" si="9"/>
        <v>start /low /b %USERPROFILE%\Documents\GitHub\eaglep3\Utilities\DownloadLogsFromS3.py --loco 4017 --day 2017-02-28</v>
      </c>
      <c r="AF33" s="1"/>
    </row>
    <row r="34" spans="1:32" x14ac:dyDescent="0.25">
      <c r="A34" s="32">
        <v>42794.143287037034</v>
      </c>
      <c r="B34" s="30" t="s">
        <v>531</v>
      </c>
      <c r="C34" s="30" t="s">
        <v>532</v>
      </c>
      <c r="D34" s="30" t="s">
        <v>49</v>
      </c>
      <c r="E34" s="30" t="s">
        <v>186</v>
      </c>
      <c r="F34" s="43">
        <v>0</v>
      </c>
      <c r="G34" s="43">
        <v>138</v>
      </c>
      <c r="H34" s="43">
        <v>37901</v>
      </c>
      <c r="I34" s="43">
        <v>38200</v>
      </c>
      <c r="J34" s="30" t="s">
        <v>187</v>
      </c>
      <c r="K34" s="43">
        <v>38639</v>
      </c>
      <c r="L34" s="143" t="s">
        <v>50</v>
      </c>
      <c r="M34" s="144">
        <f t="shared" si="0"/>
        <v>231.792</v>
      </c>
      <c r="N34" s="145" t="str">
        <f>VLOOKUP(C34,'Trips&amp;Operators'!$C$1:$G$99999,5,FALSE)</f>
        <v>SANTIZO D. EDY</v>
      </c>
      <c r="O34" s="194" t="s">
        <v>363</v>
      </c>
      <c r="P34" s="146" t="s">
        <v>957</v>
      </c>
      <c r="Q34" s="30"/>
      <c r="R34" s="89" t="str">
        <f>VLOOKUP(C34,'Train Runs'!$A$13:$AE$9939,31,0)</f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S34" s="92" t="str">
        <f>VLOOKUP(C34,'Train Runs'!$A$13:$AE$9939,22,0)</f>
        <v>https://d0f6bd738d7f1b3e5a7ca70fe4ff75f0.us-east-1.aws.found.io/app/kibana#/discover/Steve-Slow-Train-Analysis-(2080s-and-2083s)?_g=(refreshInterval:(display:Off,pause:!f,section:0,value:0),time:(from:'2017-02-28T02:31:25-0700',mode:absolute,to:'2017-02-28T04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4" s="94" t="str">
        <f t="shared" si="1"/>
        <v>"C:\Program Files (x86)\AstroGrep\AstroGrep.exe" /spath="%USERPROFILE%\AppData\Local\Temp\OnboardLogs" /stypes="*4003*201702281*" /stext=" 10:.+((SYSTEM_STATE.+slice.+state.+changed )|(ment ac)|(multiple cpu faults)|(system.+state.+changed )|(\[timeout)|(PRM\|1\|D)|(kpr)|(kdp)|(\|lc)|(penalty))" /e /r /s</v>
      </c>
      <c r="U34" s="9" t="str">
        <f t="shared" si="2"/>
        <v>4003</v>
      </c>
      <c r="V34" s="32">
        <f t="shared" si="3"/>
        <v>42794.434953703698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(4051/4052)","project_id":79,"tracker_id":40,"status_id":1,"priority_id":2,"assigned_to_id":23,"start_date":"2017-02-28","description":"","custom_fields":[{"id":1,"name":"Subdivision","value":"EC"},{"id":4,"name":"Milepost","value":"3.8639"},{"id":17,"name":"Train ID","value":"101-28"},{"id":16,"name":"Locomotive ID","value":"4003"},{"id":130,"name":"Impact","value":""},{"id":150,"name":"Time of Event (Mountain Time)","value":"03:26:20"},{"id":151,"name":"Denver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"%USERPROFILE%\AppData\Local\Temp\OnboardLogs"\RTDC4003\*4003*201702281*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"%USERPROFILE%\AppData\Local\Temp\OnboardLogs"\RTDC4003\*4003*201702281* &gt;&gt; 2017-02-28-SliceDisagreementCheck.txt</v>
      </c>
      <c r="AE34" s="157" t="str">
        <f t="shared" si="9"/>
        <v>start /low /b %USERPROFILE%\Documents\GitHub\eaglep3\Utilities\DownloadLogsFromS3.py --loco 4003 --day 2017-02-28</v>
      </c>
      <c r="AF34" s="1"/>
    </row>
    <row r="35" spans="1:32" x14ac:dyDescent="0.25">
      <c r="A35" s="32">
        <v>42794.149317129632</v>
      </c>
      <c r="B35" s="30" t="s">
        <v>531</v>
      </c>
      <c r="C35" s="30" t="s">
        <v>532</v>
      </c>
      <c r="D35" s="30" t="s">
        <v>49</v>
      </c>
      <c r="E35" s="30" t="s">
        <v>186</v>
      </c>
      <c r="F35" s="43">
        <v>0</v>
      </c>
      <c r="G35" s="43">
        <v>83</v>
      </c>
      <c r="H35" s="43">
        <v>68021</v>
      </c>
      <c r="I35" s="43">
        <v>68093</v>
      </c>
      <c r="J35" s="30" t="s">
        <v>187</v>
      </c>
      <c r="K35" s="43">
        <v>68372</v>
      </c>
      <c r="L35" s="143" t="s">
        <v>50</v>
      </c>
      <c r="M35" s="144">
        <f t="shared" si="0"/>
        <v>147.31200000000001</v>
      </c>
      <c r="N35" s="145" t="str">
        <f>VLOOKUP(C35,'Trips&amp;Operators'!$C$1:$G$99999,5,FALSE)</f>
        <v>SANTIZO D. EDY</v>
      </c>
      <c r="O35" s="194" t="s">
        <v>363</v>
      </c>
      <c r="P35" s="146" t="s">
        <v>957</v>
      </c>
      <c r="Q35" s="30"/>
      <c r="R35" s="89" t="str">
        <f>VLOOKUP(C35,'Train Runs'!$A$13:$AE$9939,31,0)</f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S35" s="92" t="str">
        <f>VLOOKUP(C35,'Train Runs'!$A$13:$AE$9939,22,0)</f>
        <v>https://d0f6bd738d7f1b3e5a7ca70fe4ff75f0.us-east-1.aws.found.io/app/kibana#/discover/Steve-Slow-Train-Analysis-(2080s-and-2083s)?_g=(refreshInterval:(display:Off,pause:!f,section:0,value:0),time:(from:'2017-02-28T02:31:25-0700',mode:absolute,to:'2017-02-28T04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5" s="94" t="str">
        <f t="shared" si="1"/>
        <v>"C:\Program Files (x86)\AstroGrep\AstroGrep.exe" /spath="%USERPROFILE%\AppData\Local\Temp\OnboardLogs" /stypes="*4003*201702281*" /stext=" 10:.+((SYSTEM_STATE.+slice.+state.+changed )|(ment ac)|(multiple cpu faults)|(system.+state.+changed )|(\[timeout)|(PRM\|1\|D)|(kpr)|(kdp)|(\|lc)|(penalty))" /e /r /s</v>
      </c>
      <c r="U35" s="9" t="str">
        <f t="shared" si="2"/>
        <v>4003</v>
      </c>
      <c r="V35" s="32">
        <f t="shared" si="3"/>
        <v>42794.440983796296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(4051/4052)","project_id":79,"tracker_id":40,"status_id":1,"priority_id":2,"assigned_to_id":23,"start_date":"2017-02-28","description":"","custom_fields":[{"id":1,"name":"Subdivision","value":"EC"},{"id":4,"name":"Milepost","value":"6.8372"},{"id":17,"name":"Train ID","value":"101-28"},{"id":16,"name":"Locomotive ID","value":"4003"},{"id":130,"name":"Impact","value":""},{"id":150,"name":"Time of Event (Mountain Time)","value":"03:35:01"},{"id":151,"name":"Denver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"%USERPROFILE%\AppData\Local\Temp\OnboardLogs"\RTDC4003\*4003*201702281*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"%USERPROFILE%\AppData\Local\Temp\OnboardLogs"\RTDC4003\*4003*201702281* &gt;&gt; 2017-02-28-SliceDisagreementCheck.txt</v>
      </c>
      <c r="AE35" s="157" t="str">
        <f t="shared" si="9"/>
        <v>start /low /b %USERPROFILE%\Documents\GitHub\eaglep3\Utilities\DownloadLogsFromS3.py --loco 4003 --day 2017-02-28</v>
      </c>
      <c r="AF35" s="1"/>
    </row>
    <row r="36" spans="1:32" x14ac:dyDescent="0.25">
      <c r="A36" s="32">
        <v>42794.179594907408</v>
      </c>
      <c r="B36" s="30" t="s">
        <v>529</v>
      </c>
      <c r="C36" s="30" t="s">
        <v>533</v>
      </c>
      <c r="D36" s="30" t="s">
        <v>49</v>
      </c>
      <c r="E36" s="30" t="s">
        <v>186</v>
      </c>
      <c r="F36" s="43">
        <v>0</v>
      </c>
      <c r="G36" s="43">
        <v>682</v>
      </c>
      <c r="H36" s="43">
        <v>199068</v>
      </c>
      <c r="I36" s="43">
        <v>196197</v>
      </c>
      <c r="J36" s="30" t="s">
        <v>187</v>
      </c>
      <c r="K36" s="43">
        <v>198256</v>
      </c>
      <c r="L36" s="143" t="s">
        <v>51</v>
      </c>
      <c r="M36" s="144">
        <f t="shared" si="0"/>
        <v>-1087.152</v>
      </c>
      <c r="N36" s="145" t="str">
        <f>VLOOKUP(C36,'Trips&amp;Operators'!$C$1:$G$99999,5,FALSE)</f>
        <v>SANTIZO D. EDY</v>
      </c>
      <c r="O36" s="194" t="s">
        <v>363</v>
      </c>
      <c r="P36" s="146" t="s">
        <v>957</v>
      </c>
      <c r="Q36" s="30"/>
      <c r="R36" s="89" t="str">
        <f>VLOOKUP(C36,'Train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36" s="92" t="str">
        <f>VLOOKUP(C36,'Train Runs'!$A$13:$AE$9939,22,0)</f>
        <v>https://d0f6bd738d7f1b3e5a7ca70fe4ff75f0.us-east-1.aws.found.io/app/kibana#/discover/Steve-Slow-Train-Analysis-(2080s-and-2083s)?_g=(refreshInterval:(display:Off,pause:!f,section:0,value:0),time:(from:'2017-02-28T03:03:26-0700',mode:absolute,to:'2017-02-28T05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6" s="94" t="str">
        <f t="shared" si="1"/>
        <v>"C:\Program Files (x86)\AstroGrep\AstroGrep.exe" /spath="%USERPROFILE%\AppData\Local\Temp\OnboardLogs" /stypes="*4052*201702281*" /stext=" 11:.+((SYSTEM_STATE.+slice.+state.+changed )|(ment ac)|(multiple cpu faults)|(system.+state.+changed )|(\[timeout)|(PRM\|1\|D)|(kpr)|(kdp)|(\|lc)|(penalty))" /e /r /s</v>
      </c>
      <c r="U36" s="9" t="str">
        <f t="shared" si="2"/>
        <v>4052</v>
      </c>
      <c r="V36" s="32">
        <f t="shared" si="3"/>
        <v>42794.471261574072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(4051/4052)","project_id":79,"tracker_id":40,"status_id":1,"priority_id":2,"assigned_to_id":23,"start_date":"2017-02-28","description":"","custom_fields":[{"id":1,"name":"Subdivision","value":"EC"},{"id":4,"name":"Milepost","value":"19.8256"},{"id":17,"name":"Train ID","value":"102-28"},{"id":16,"name":"Locomotive ID","value":"4052"},{"id":130,"name":"Impact","value":""},{"id":150,"name":"Time of Event (Mountain Time)","value":"04:18:37"},{"id":151,"name":"Denver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"%USERPROFILE%\AppData\Local\Temp\OnboardLogs"\RTDC4052\*4052*201702281*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"%USERPROFILE%\AppData\Local\Temp\OnboardLogs"\RTDC4052\*4052*201702281* &gt;&gt; 2017-02-28-SliceDisagreementCheck.txt</v>
      </c>
      <c r="AE36" s="157" t="str">
        <f t="shared" si="9"/>
        <v>start /low /b %USERPROFILE%\Documents\GitHub\eaglep3\Utilities\DownloadLogsFromS3.py --loco 4052 --day 2017-02-28</v>
      </c>
      <c r="AF36" s="1"/>
    </row>
    <row r="37" spans="1:32" x14ac:dyDescent="0.25">
      <c r="A37" s="32">
        <v>42794.135960648149</v>
      </c>
      <c r="B37" s="30" t="s">
        <v>531</v>
      </c>
      <c r="C37" s="30" t="s">
        <v>532</v>
      </c>
      <c r="D37" s="30" t="s">
        <v>49</v>
      </c>
      <c r="E37" s="30" t="s">
        <v>360</v>
      </c>
      <c r="F37" s="43">
        <v>0</v>
      </c>
      <c r="G37" s="43">
        <v>112</v>
      </c>
      <c r="H37" s="43">
        <v>1209</v>
      </c>
      <c r="I37" s="43">
        <v>1415</v>
      </c>
      <c r="J37" s="30" t="s">
        <v>361</v>
      </c>
      <c r="K37" s="43">
        <v>1692</v>
      </c>
      <c r="L37" s="143" t="s">
        <v>50</v>
      </c>
      <c r="M37" s="144">
        <f t="shared" si="0"/>
        <v>146.256</v>
      </c>
      <c r="N37" s="145" t="str">
        <f>VLOOKUP(C37,'Trips&amp;Operators'!$C$1:$G$99999,5,FALSE)</f>
        <v>SANTIZO D. EDY</v>
      </c>
      <c r="O37" s="194" t="s">
        <v>363</v>
      </c>
      <c r="P37" s="146" t="s">
        <v>957</v>
      </c>
      <c r="Q37" s="30"/>
      <c r="R37" s="89" t="str">
        <f>VLOOKUP(C37,'Train Runs'!$A$13:$AE$9939,31,0)</f>
        <v>aws s3 cp s3://rtdc.mdm.uploadarchive.raw/RTDC4003/ "%USERPROFILE%\AppData\Local\Temp\OnboardLogs"\RTDC4003\2017-02-28 --exclude "*" --recursive --include "*20170228*" &amp; "%USERPROFILE%\Documents\GitHub\mrs-test-scripts\Headless Mode &amp; Sideloading\WalkAndUnGZ.bat" "%USERPROFILE%\AppData\Local\Temp\OnboardLogs"\RTDC4003\2017-02-28 &amp; aws s3 cp s3://rtdc.mdm.uploadarchive.raw/RTDC4003/ "%USERPROFILE%\AppData\Local\Temp\OnboardLogs"\RTDC4003\2017-03-01 --exclude "*" --recursive --include "*20170301*" &amp; "%USERPROFILE%\Documents\GitHub\mrs-test-scripts\Headless Mode &amp; Sideloading\WalkAndUnGZ.bat" "%USERPROFILE%\AppData\Local\Temp\OnboardLogs"\RTDC4003\2017-03-01</v>
      </c>
      <c r="S37" s="92" t="str">
        <f>VLOOKUP(C37,'Train Runs'!$A$13:$AE$9939,22,0)</f>
        <v>https://d0f6bd738d7f1b3e5a7ca70fe4ff75f0.us-east-1.aws.found.io/app/kibana#/discover/Steve-Slow-Train-Analysis-(2080s-and-2083s)?_g=(refreshInterval:(display:Off,pause:!f,section:0,value:0),time:(from:'2017-02-28T02:31:25-0700',mode:absolute,to:'2017-02-28T04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7" s="94" t="str">
        <f t="shared" si="1"/>
        <v>"C:\Program Files (x86)\AstroGrep\AstroGrep.exe" /spath="%USERPROFILE%\AppData\Local\Temp\OnboardLogs" /stypes="*4003*201702281*" /stext=" 10:.+((SYSTEM_STATE.+slice.+state.+changed )|(ment ac)|(multiple cpu faults)|(system.+state.+changed )|(\[timeout)|(PRM\|1\|D)|(kpr)|(kdp)|(\|lc)|(penalty))" /e /r /s</v>
      </c>
      <c r="U37" s="9" t="str">
        <f t="shared" si="2"/>
        <v>4003</v>
      </c>
      <c r="V37" s="32">
        <f t="shared" si="3"/>
        <v>42794.427627314813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(4051/4052)","project_id":79,"tracker_id":40,"status_id":1,"priority_id":2,"assigned_to_id":23,"start_date":"2017-02-28","description":"","custom_fields":[{"id":1,"name":"Subdivision","value":"EC"},{"id":4,"name":"Milepost","value":"0.1692"},{"id":17,"name":"Train ID","value":"101-28"},{"id":16,"name":"Locomotive ID","value":"4003"},{"id":130,"name":"Impact","value":""},{"id":150,"name":"Time of Event (Mountain Time)","value":"03:15:47"},{"id":151,"name":"Denver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"%USERPROFILE%\AppData\Local\Temp\OnboardLogs"\RTDC4003\*4003*201702281*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"%USERPROFILE%\AppData\Local\Temp\OnboardLogs"\RTDC4003\*4003*201702281* &gt;&gt; 2017-02-28-SliceDisagreementCheck.txt</v>
      </c>
      <c r="AE37" s="157" t="str">
        <f t="shared" si="9"/>
        <v>start /low /b %USERPROFILE%\Documents\GitHub\eaglep3\Utilities\DownloadLogsFromS3.py --loco 4003 --day 2017-02-28</v>
      </c>
      <c r="AF37" s="1"/>
    </row>
    <row r="38" spans="1:32" x14ac:dyDescent="0.25">
      <c r="A38" s="32">
        <v>42794.679027777776</v>
      </c>
      <c r="B38" s="30" t="s">
        <v>219</v>
      </c>
      <c r="C38" s="30" t="s">
        <v>564</v>
      </c>
      <c r="D38" s="30" t="s">
        <v>98</v>
      </c>
      <c r="E38" s="30" t="s">
        <v>360</v>
      </c>
      <c r="F38" s="43">
        <v>0</v>
      </c>
      <c r="G38" s="43">
        <v>328</v>
      </c>
      <c r="H38" s="43">
        <v>11459</v>
      </c>
      <c r="I38" s="43">
        <v>10540</v>
      </c>
      <c r="J38" s="30" t="s">
        <v>361</v>
      </c>
      <c r="K38" s="43">
        <v>17100</v>
      </c>
      <c r="L38" s="143" t="s">
        <v>51</v>
      </c>
      <c r="M38" s="144">
        <f t="shared" si="0"/>
        <v>-3463.68</v>
      </c>
      <c r="N38" s="145" t="str">
        <f>VLOOKUP(C38,'Trips&amp;Operators'!$C$1:$G$99999,5,FALSE)</f>
        <v>STEWART MICHAEL</v>
      </c>
      <c r="O38" s="194" t="s">
        <v>363</v>
      </c>
      <c r="P38" s="146" t="s">
        <v>436</v>
      </c>
      <c r="Q38" s="30"/>
      <c r="R38" s="89" t="str">
        <f>VLOOKUP(C38,'Train Runs'!$A$13:$AE$9939,31,0)</f>
        <v>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 &amp; aws s3 cp s3://rtdc.mdm.uploadarchive.raw/RTDC4028/ "%USERPROFILE%\AppData\Local\Temp\OnboardLogs"\RTDC4028\2017-03-01 --exclude "*" --recursive --include "*20170301*" &amp; "%USERPROFILE%\Documents\GitHub\mrs-test-scripts\Headless Mode &amp; Sideloading\WalkAndUnGZ.bat" "%USERPROFILE%\AppData\Local\Temp\OnboardLogs"\RTDC4028\2017-03-01</v>
      </c>
      <c r="S38" s="92" t="str">
        <f>VLOOKUP(C38,'Train Runs'!$A$13:$AE$9939,22,0)</f>
        <v>https://d0f6bd738d7f1b3e5a7ca70fe4ff75f0.us-east-1.aws.found.io/app/kibana#/discover/Steve-Slow-Train-Analysis-(2080s-and-2083s)?_g=(refreshInterval:(display:Off,pause:!f,section:0,value:0),time:(from:'2017-02-28T14:34:39-0700',mode:absolute,to:'2017-02-28T17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8" s="94" t="str">
        <f t="shared" si="1"/>
        <v>"C:\Program Files (x86)\AstroGrep\AstroGrep.exe" /spath="%USERPROFILE%\AppData\Local\Temp\OnboardLogs" /stypes="*4028*201702282*" /stext=" 23:.+((SYSTEM_STATE.+slice.+state.+changed )|(ment ac)|(multiple cpu faults)|(system.+state.+changed )|(\[timeout)|(PRM\|1\|D)|(kpr)|(kdp)|(\|lc)|(penalty))" /e /r /s</v>
      </c>
      <c r="U38" s="9" t="str">
        <f t="shared" si="2"/>
        <v>4028</v>
      </c>
      <c r="V38" s="32">
        <f t="shared" si="3"/>
        <v>42794.970694444441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{"issue":{"subject":"Wi-MAX data drop","project_id":79,"tracker_id":40,"status_id":1,"priority_id":2,"assigned_to_id":23,"start_date":"2017-02-28","description":"http://stevetu21.github.io/eaglep3/load_kml.html?kml=http://rtdc.gmaps-snips.s3.amazonaws.com/9108c875-28a2-4160-bcdc-e8e28ad7ad22.kml","custom_fields":[{"id":1,"name":"Subdivision","value":"EC"},{"id":4,"name":"Milepost","value":"1.71"},{"id":17,"name":"Train ID","value":"190-28"},{"id":16,"name":"Locomotive ID","value":"4028"},{"id":130,"name":"Impact","value":"Enforcement"},{"id":150,"name":"Time of Event (Mountain Time)","value":"16:17:48"},{"id":151,"name":"Denver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t="s">
        <v>962</v>
      </c>
      <c r="AA38" s="48" t="s">
        <v>124</v>
      </c>
      <c r="AB38" s="48" t="s">
        <v>137</v>
      </c>
      <c r="AC38" s="127" t="str">
        <f t="shared" si="7"/>
        <v>grep -hSE -A400 "Enforcement Action" "%USERPROFILE%\AppData\Local\Temp\OnboardLogs"\RTDC4028\*4028*201702282*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"%USERPROFILE%\AppData\Local\Temp\OnboardLogs"\RTDC4028\*4028*201702282* &gt;&gt; 2017-02-28-SliceDisagreementCheck.txt</v>
      </c>
      <c r="AE38" s="157" t="str">
        <f t="shared" si="9"/>
        <v>start /low /b %USERPROFILE%\Documents\GitHub\eaglep3\Utilities\DownloadLogsFromS3.py --loco 4028 --day 2017-02-28</v>
      </c>
      <c r="AF38" s="1"/>
    </row>
    <row r="39" spans="1:32" x14ac:dyDescent="0.25">
      <c r="A39" s="32">
        <v>42794.628101851849</v>
      </c>
      <c r="B39" s="30" t="s">
        <v>247</v>
      </c>
      <c r="C39" s="30" t="s">
        <v>562</v>
      </c>
      <c r="D39" s="30" t="s">
        <v>49</v>
      </c>
      <c r="E39" s="30" t="s">
        <v>360</v>
      </c>
      <c r="F39" s="43">
        <v>0</v>
      </c>
      <c r="G39" s="43">
        <v>631</v>
      </c>
      <c r="H39" s="43">
        <v>216543</v>
      </c>
      <c r="I39" s="43">
        <v>218973</v>
      </c>
      <c r="J39" s="30" t="s">
        <v>361</v>
      </c>
      <c r="K39" s="43">
        <v>217106</v>
      </c>
      <c r="L39" s="143" t="s">
        <v>50</v>
      </c>
      <c r="M39" s="144">
        <f t="shared" ref="M39:M60" si="10">CONVERT((I39-K39)/10000,"mi","ft")*IF(L39="Increasing Mileposts (1)",-1,1)</f>
        <v>-985.77599999999995</v>
      </c>
      <c r="N39" s="145" t="str">
        <f>VLOOKUP(C39,'Trips&amp;Operators'!$C$1:$G$99999,5,FALSE)</f>
        <v>STRICKLAND EVAN</v>
      </c>
      <c r="O39" s="194" t="s">
        <v>363</v>
      </c>
      <c r="P39" s="146" t="s">
        <v>436</v>
      </c>
      <c r="Q39" s="30"/>
      <c r="R39" s="89" t="str">
        <f>VLOOKUP(C39,'Train Runs'!$A$13:$AE$9939,31,0)</f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S39" s="92" t="str">
        <f>VLOOKUP(C39,'Train Runs'!$A$13:$AE$9939,22,0)</f>
        <v>https://d0f6bd738d7f1b3e5a7ca70fe4ff75f0.us-east-1.aws.found.io/app/kibana#/discover/Steve-Slow-Train-Analysis-(2080s-and-2083s)?_g=(refreshInterval:(display:Off,pause:!f,section:0,value:0),time:(from:'2017-02-28T13:17:31-0700',mode:absolute,to:'2017-02-28T16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94" t="str">
        <f t="shared" ref="T39:T60" si="11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/stypes="*4044*201702282*" /stext=" 22:.+((SYSTEM_STATE.+slice.+state.+changed )|(ment ac)|(multiple cpu faults)|(system.+state.+changed )|(\[timeout)|(PRM\|1\|D)|(kpr)|(kdp)|(\|lc)|(penalty))" /e /r /s</v>
      </c>
      <c r="U39" s="9" t="str">
        <f t="shared" ref="U39:U60" si="12">MID(B39,13,4)</f>
        <v>4044</v>
      </c>
      <c r="V39" s="32">
        <f t="shared" ref="V39:V60" si="13">A39-utc_offset/24</f>
        <v>42794.919768518514</v>
      </c>
      <c r="W39" s="46" t="str">
        <f t="shared" ref="W39:W60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0" si="15">IF(AND(E39="TRACK WARRANT AUTHORITY",G39&lt;10),"OMIT","KEEP")</f>
        <v>KEEP</v>
      </c>
      <c r="Y39" s="108" t="str">
        <f t="shared" ref="Y39:Y6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-28","description":"http://stevetu21.github.io/eaglep3/load_kml.html?kml=http://rtdc.gmaps-snips.s3.amazonaws.com/e1744335-b166-4853-80d3-a503fb03d8d3.kml","custom_fields":[{"id":1,"name":"Subdivision","value":"EC"},{"id":4,"name":"Milepost","value":"21.7106"},{"id":17,"name":"Train ID","value":"187-28"},{"id":16,"name":"Locomotive ID","value":"4044"},{"id":130,"name":"Impact","value":"Enforcement"},{"id":150,"name":"Time of Event (Mountain Time)","value":"15:04:28"},{"id":151,"name":"Denver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9" s="20" t="s">
        <v>959</v>
      </c>
      <c r="AA39" s="48" t="s">
        <v>124</v>
      </c>
      <c r="AB39" s="48" t="s">
        <v>137</v>
      </c>
      <c r="AC39" s="127" t="str">
        <f t="shared" ref="AC39:AC60" si="17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"%USERPROFILE%\AppData\Local\Temp\OnboardLogs"\RTDC4044\*4044*201702282*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"%USERPROFILE%\AppData\Local\Temp\OnboardLogs"\RTDC4044\*4044*201702282* &gt;&gt; 2017-02-28-SliceDisagreementCheck.txt</v>
      </c>
      <c r="AE39" s="157" t="str">
        <f t="shared" si="9"/>
        <v>start /low /b %USERPROFILE%\Documents\GitHub\eaglep3\Utilities\DownloadLogsFromS3.py --loco 4044 --day 2017-02-28</v>
      </c>
      <c r="AF39" s="1"/>
    </row>
    <row r="40" spans="1:32" x14ac:dyDescent="0.25">
      <c r="A40" s="32">
        <v>42794.177349537036</v>
      </c>
      <c r="B40" s="30" t="s">
        <v>529</v>
      </c>
      <c r="C40" s="30" t="s">
        <v>533</v>
      </c>
      <c r="D40" s="30" t="s">
        <v>98</v>
      </c>
      <c r="E40" s="30" t="s">
        <v>360</v>
      </c>
      <c r="F40" s="43">
        <v>0</v>
      </c>
      <c r="G40" s="43">
        <v>658</v>
      </c>
      <c r="H40" s="43">
        <v>218967</v>
      </c>
      <c r="I40" s="43">
        <v>216084</v>
      </c>
      <c r="J40" s="30" t="s">
        <v>361</v>
      </c>
      <c r="K40" s="43">
        <v>219875</v>
      </c>
      <c r="L40" s="143" t="s">
        <v>51</v>
      </c>
      <c r="M40" s="144">
        <f t="shared" si="10"/>
        <v>-2001.6479999999999</v>
      </c>
      <c r="N40" s="145" t="str">
        <f>VLOOKUP(C40,'Trips&amp;Operators'!$C$1:$G$99999,5,FALSE)</f>
        <v>SANTIZO D. EDY</v>
      </c>
      <c r="O40" s="194" t="s">
        <v>363</v>
      </c>
      <c r="P40" s="146" t="s">
        <v>957</v>
      </c>
      <c r="Q40" s="30"/>
      <c r="R40" s="89" t="str">
        <f>VLOOKUP(C40,'Train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40" s="92" t="str">
        <f>VLOOKUP(C40,'Train Runs'!$A$13:$AE$9939,22,0)</f>
        <v>https://d0f6bd738d7f1b3e5a7ca70fe4ff75f0.us-east-1.aws.found.io/app/kibana#/discover/Steve-Slow-Train-Analysis-(2080s-and-2083s)?_g=(refreshInterval:(display:Off,pause:!f,section:0,value:0),time:(from:'2017-02-28T03:03:26-0700',mode:absolute,to:'2017-02-28T05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0" s="94" t="str">
        <f t="shared" si="11"/>
        <v>"C:\Program Files (x86)\AstroGrep\AstroGrep.exe" /spath="%USERPROFILE%\AppData\Local\Temp\OnboardLogs" /stypes="*4052*201702281*" /stext=" 11:.+((SYSTEM_STATE.+slice.+state.+changed )|(ment ac)|(multiple cpu faults)|(system.+state.+changed )|(\[timeout)|(PRM\|1\|D)|(kpr)|(kdp)|(\|lc)|(penalty))" /e /r /s</v>
      </c>
      <c r="U40" s="9" t="str">
        <f t="shared" si="12"/>
        <v>4052</v>
      </c>
      <c r="V40" s="32">
        <f t="shared" si="13"/>
        <v>42794.4690162037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{"issue":{"subject":"Extended Onboard Wi-MAX outage (4051/4052)","project_id":79,"tracker_id":40,"status_id":1,"priority_id":2,"assigned_to_id":23,"start_date":"2017-02-28","description":"","custom_fields":[{"id":1,"name":"Subdivision","value":"EC"},{"id":4,"name":"Milepost","value":"21.9875"},{"id":17,"name":"Train ID","value":"102-28"},{"id":16,"name":"Locomotive ID","value":"4052"},{"id":130,"name":"Impact","value":""},{"id":150,"name":"Time of Event (Mountain Time)","value":"04:15:23"},{"id":151,"name":"Denver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"%USERPROFILE%\AppData\Local\Temp\OnboardLogs"\RTDC4052\*4052*201702281*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"%USERPROFILE%\AppData\Local\Temp\OnboardLogs"\RTDC4052\*4052*201702281* &gt;&gt; 2017-02-28-SliceDisagreementCheck.txt</v>
      </c>
      <c r="AE40" s="157" t="str">
        <f t="shared" si="9"/>
        <v>start /low /b %USERPROFILE%\Documents\GitHub\eaglep3\Utilities\DownloadLogsFromS3.py --loco 4052 --day 2017-02-28</v>
      </c>
      <c r="AF40" s="1"/>
    </row>
    <row r="41" spans="1:32" x14ac:dyDescent="0.25">
      <c r="A41" s="32">
        <v>42794.287418981483</v>
      </c>
      <c r="B41" s="30" t="s">
        <v>357</v>
      </c>
      <c r="C41" s="30" t="s">
        <v>544</v>
      </c>
      <c r="D41" s="30" t="s">
        <v>49</v>
      </c>
      <c r="E41" s="30" t="s">
        <v>358</v>
      </c>
      <c r="F41" s="43">
        <v>150</v>
      </c>
      <c r="G41" s="43">
        <v>209</v>
      </c>
      <c r="H41" s="43">
        <v>63707</v>
      </c>
      <c r="I41" s="43">
        <v>63381</v>
      </c>
      <c r="J41" s="30" t="s">
        <v>198</v>
      </c>
      <c r="K41" s="43">
        <v>63300</v>
      </c>
      <c r="L41" s="143" t="s">
        <v>51</v>
      </c>
      <c r="M41" s="144">
        <f t="shared" si="10"/>
        <v>42.768000000000001</v>
      </c>
      <c r="N41" s="145" t="str">
        <f>VLOOKUP(C41,'Trips&amp;Operators'!$C$1:$G$99999,5,FALSE)</f>
        <v>ROCHA YAOTL</v>
      </c>
      <c r="O41" s="194" t="s">
        <v>185</v>
      </c>
      <c r="P41" s="146"/>
      <c r="Q41" s="30"/>
      <c r="R41" s="89" t="str">
        <f>VLOOKUP(C41,'Train Runs'!$A$13:$AE$9939,31,0)</f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S41" s="92" t="str">
        <f>VLOOKUP(C41,'Train Runs'!$A$13:$AE$9939,22,0)</f>
        <v>https://d0f6bd738d7f1b3e5a7ca70fe4ff75f0.us-east-1.aws.found.io/app/kibana#/discover/Steve-Slow-Train-Analysis-(2080s-and-2083s)?_g=(refreshInterval:(display:Off,pause:!f,section:0,value:0),time:(from:'2017-02-28T05:19:41-0700',mode:absolute,to:'2017-02-28T08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94" t="str">
        <f t="shared" si="11"/>
        <v>"C:\Program Files (x86)\AstroGrep\AstroGrep.exe" /spath="%USERPROFILE%\AppData\Local\Temp\OnboardLogs" /stypes="*4005*201702281*" /stext=" 13:.+((SYSTEM_STATE.+slice.+state.+changed )|(ment ac)|(multiple cpu faults)|(system.+state.+changed )|(\[timeout)|(PRM\|1\|D)|(kpr)|(kdp)|(\|lc)|(penalty))" /e /r /s</v>
      </c>
      <c r="U41" s="9" t="str">
        <f t="shared" si="12"/>
        <v>4005</v>
      </c>
      <c r="V41" s="32">
        <f t="shared" si="13"/>
        <v>42794.579085648147</v>
      </c>
      <c r="W41" s="46" t="str">
        <f t="shared" si="14"/>
        <v>EC</v>
      </c>
      <c r="X41" s="46" t="str">
        <f t="shared" si="15"/>
        <v>KEEP</v>
      </c>
      <c r="Y41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{"issue":{"subject":"","project_id":79,"tracker_id":40,"status_id":1,"priority_id":2,"assigned_to_id":23,"start_date":"2017-02-28","description":"","custom_fields":[{"id":1,"name":"Subdivision","value":"EC"},{"id":4,"name":"Milepost","value":"6.33"},{"id":17,"name":"Train ID","value":"116-28"},{"id":16,"name":"Locomotive ID","value":"4005"},{"id":130,"name":"Impact","value":""},{"id":150,"name":"Time of Event (Mountain Time)","value":"06:53:53"},{"id":151,"name":"Denver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"%USERPROFILE%\AppData\Local\Temp\OnboardLogs"\RTDC4005\*4005*201702281*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"%USERPROFILE%\AppData\Local\Temp\OnboardLogs"\RTDC4005\*4005*201702281* &gt;&gt; 2017-02-28-SliceDisagreementCheck.txt</v>
      </c>
      <c r="AE41" s="157" t="str">
        <f t="shared" si="9"/>
        <v>start /low /b %USERPROFILE%\Documents\GitHub\eaglep3\Utilities\DownloadLogsFromS3.py --loco 4005 --day 2017-02-28</v>
      </c>
      <c r="AF41" s="1"/>
    </row>
    <row r="42" spans="1:32" x14ac:dyDescent="0.25">
      <c r="A42" s="32">
        <v>42794.735960648148</v>
      </c>
      <c r="B42" s="30" t="s">
        <v>357</v>
      </c>
      <c r="C42" s="30" t="s">
        <v>568</v>
      </c>
      <c r="D42" s="30" t="s">
        <v>49</v>
      </c>
      <c r="E42" s="30" t="s">
        <v>188</v>
      </c>
      <c r="F42" s="43">
        <v>0</v>
      </c>
      <c r="G42" s="43">
        <v>42</v>
      </c>
      <c r="H42" s="43">
        <v>154</v>
      </c>
      <c r="I42" s="43">
        <v>112</v>
      </c>
      <c r="J42" s="30" t="s">
        <v>189</v>
      </c>
      <c r="K42" s="43">
        <v>1</v>
      </c>
      <c r="L42" s="143" t="s">
        <v>51</v>
      </c>
      <c r="M42" s="144">
        <f t="shared" si="10"/>
        <v>58.607999999999997</v>
      </c>
      <c r="N42" s="145" t="str">
        <f>VLOOKUP(C42,'Trips&amp;Operators'!$C$1:$G$99999,5,FALSE)</f>
        <v>BERLING GARY</v>
      </c>
      <c r="O42" s="194" t="s">
        <v>185</v>
      </c>
      <c r="P42" s="146"/>
      <c r="Q42" s="30"/>
      <c r="R42" s="89" t="str">
        <f>VLOOKUP(C42,'Train Runs'!$A$13:$AE$9939,31,0)</f>
        <v>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 &amp; aws s3 cp s3://rtdc.mdm.uploadarchive.raw/RTDC4005/ "%USERPROFILE%\AppData\Local\Temp\OnboardLogs"\RTDC4005\2017-03-01 --exclude "*" --recursive --include "*20170301*" &amp; "%USERPROFILE%\Documents\GitHub\mrs-test-scripts\Headless Mode &amp; Sideloading\WalkAndUnGZ.bat" "%USERPROFILE%\AppData\Local\Temp\OnboardLogs"\RTDC4005\2017-03-01</v>
      </c>
      <c r="S42" s="92" t="str">
        <f>VLOOKUP(C42,'Train Runs'!$A$13:$AE$9939,22,0)</f>
        <v>https://d0f6bd738d7f1b3e5a7ca70fe4ff75f0.us-east-1.aws.found.io/app/kibana#/discover/Steve-Slow-Train-Analysis-(2080s-and-2083s)?_g=(refreshInterval:(display:Off,pause:!f,section:0,value:0),time:(from:'2017-02-28T15:45:40-0700',mode:absolute,to:'2017-02-28T18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2" s="94" t="str">
        <f t="shared" si="11"/>
        <v>"C:\Program Files (x86)\AstroGrep\AstroGrep.exe" /spath="%USERPROFILE%\AppData\Local\Temp\OnboardLogs" /stypes="*4005*201703010*" /stext=" 00:.+((SYSTEM_STATE.+slice.+state.+changed )|(ment ac)|(multiple cpu faults)|(system.+state.+changed )|(\[timeout)|(PRM\|1\|D)|(kpr)|(kdp)|(\|lc)|(penalty))" /e /r /s</v>
      </c>
      <c r="U42" s="9" t="str">
        <f t="shared" si="12"/>
        <v>4005</v>
      </c>
      <c r="V42" s="32">
        <f t="shared" si="13"/>
        <v>42795.027627314812</v>
      </c>
      <c r="W42" s="46" t="str">
        <f t="shared" si="14"/>
        <v>EC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{"issue":{"subject":"","project_id":79,"tracker_id":40,"status_id":1,"priority_id":2,"assigned_to_id":23,"start_date":"2017-02-28","description":"","custom_fields":[{"id":1,"name":"Subdivision","value":"EC"},{"id":4,"name":"Milepost","value":"0.0001"},{"id":17,"name":"Train ID","value":"200-28"},{"id":16,"name":"Locomotive ID","value":"4005"},{"id":130,"name":"Impact","value":""},{"id":150,"name":"Time of Event (Mountain Time)","value":"17:39:47"},{"id":151,"name":"Denver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"%USERPROFILE%\AppData\Local\Temp\OnboardLogs"\RTDC4005\*4005*201703010*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"%USERPROFILE%\AppData\Local\Temp\OnboardLogs"\RTDC4005\*4005*201703010* &gt;&gt; 2017-02-28-SliceDisagreementCheck.txt</v>
      </c>
      <c r="AE42" s="157" t="str">
        <f t="shared" si="9"/>
        <v>start /low /b %USERPROFILE%\Documents\GitHub\eaglep3\Utilities\DownloadLogsFromS3.py --loco 4005 --day 2017-03-01</v>
      </c>
      <c r="AF42" s="1"/>
    </row>
    <row r="43" spans="1:32" x14ac:dyDescent="0.25">
      <c r="A43" s="32">
        <v>42794.746111111112</v>
      </c>
      <c r="B43" s="30" t="s">
        <v>237</v>
      </c>
      <c r="C43" s="30" t="s">
        <v>569</v>
      </c>
      <c r="D43" s="30" t="s">
        <v>49</v>
      </c>
      <c r="E43" s="30" t="s">
        <v>188</v>
      </c>
      <c r="F43" s="43">
        <v>0</v>
      </c>
      <c r="G43" s="43">
        <v>62</v>
      </c>
      <c r="H43" s="43">
        <v>212</v>
      </c>
      <c r="I43" s="43">
        <v>156</v>
      </c>
      <c r="J43" s="30" t="s">
        <v>189</v>
      </c>
      <c r="K43" s="43">
        <v>1</v>
      </c>
      <c r="L43" s="143" t="s">
        <v>51</v>
      </c>
      <c r="M43" s="144">
        <f t="shared" si="10"/>
        <v>81.84</v>
      </c>
      <c r="N43" s="145" t="str">
        <f>VLOOKUP(C43,'Trips&amp;Operators'!$C$1:$G$99999,5,FALSE)</f>
        <v>DAVIS MICHAEL</v>
      </c>
      <c r="O43" s="194" t="s">
        <v>185</v>
      </c>
      <c r="P43" s="146"/>
      <c r="Q43" s="30"/>
      <c r="R43" s="89" t="str">
        <f>VLOOKUP(C43,'Train Runs'!$A$13:$AE$9939,31,0)</f>
        <v>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 &amp; 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</v>
      </c>
      <c r="S43" s="92" t="str">
        <f>VLOOKUP(C43,'Train Runs'!$A$13:$AE$9939,22,0)</f>
        <v>https://d0f6bd738d7f1b3e5a7ca70fe4ff75f0.us-east-1.aws.found.io/app/kibana#/discover/Steve-Slow-Train-Analysis-(2080s-and-2083s)?_g=(refreshInterval:(display:Off,pause:!f,section:0,value:0),time:(from:'2017-02-28T16:09:07-0700',mode:absolute,to:'2017-02-28T18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3" s="94" t="str">
        <f t="shared" si="11"/>
        <v>"C:\Program Files (x86)\AstroGrep\AstroGrep.exe" /spath="%USERPROFILE%\AppData\Local\Temp\OnboardLogs" /stypes="*4043*201703010*" /stext=" 00:.+((SYSTEM_STATE.+slice.+state.+changed )|(ment ac)|(multiple cpu faults)|(system.+state.+changed )|(\[timeout)|(PRM\|1\|D)|(kpr)|(kdp)|(\|lc)|(penalty))" /e /r /s</v>
      </c>
      <c r="U43" s="9" t="str">
        <f t="shared" si="12"/>
        <v>4043</v>
      </c>
      <c r="V43" s="32">
        <f t="shared" si="13"/>
        <v>42795.037777777776</v>
      </c>
      <c r="W43" s="46" t="str">
        <f t="shared" si="14"/>
        <v>EC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{"issue":{"subject":"","project_id":79,"tracker_id":40,"status_id":1,"priority_id":2,"assigned_to_id":23,"start_date":"2017-02-28","description":"","custom_fields":[{"id":1,"name":"Subdivision","value":"EC"},{"id":4,"name":"Milepost","value":"0.0001"},{"id":17,"name":"Train ID","value":"202-28"},{"id":16,"name":"Locomotive ID","value":"4043"},{"id":130,"name":"Impact","value":""},{"id":150,"name":"Time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7"/>
        <v>grep -hSE -A400 "Enforcement Action" "%USERPROFILE%\AppData\Local\Temp\OnboardLogs"\RTDC4043\*4043*201703010*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"%USERPROFILE%\AppData\Local\Temp\OnboardLogs"\RTDC4043\*4043*201703010* &gt;&gt; 2017-02-28-SliceDisagreementCheck.txt</v>
      </c>
      <c r="AE43" s="157" t="str">
        <f t="shared" si="9"/>
        <v>start /low /b %USERPROFILE%\Documents\GitHub\eaglep3\Utilities\DownloadLogsFromS3.py --loco 4043 --day 2017-03-01</v>
      </c>
      <c r="AF43" s="1"/>
    </row>
    <row r="44" spans="1:32" x14ac:dyDescent="0.25">
      <c r="A44" s="32">
        <v>42794.225439814814</v>
      </c>
      <c r="B44" s="30" t="s">
        <v>232</v>
      </c>
      <c r="C44" s="30" t="s">
        <v>537</v>
      </c>
      <c r="D44" s="30" t="s">
        <v>49</v>
      </c>
      <c r="E44" s="30" t="s">
        <v>188</v>
      </c>
      <c r="F44" s="43">
        <v>0</v>
      </c>
      <c r="G44" s="43">
        <v>52</v>
      </c>
      <c r="H44" s="43">
        <v>233298</v>
      </c>
      <c r="I44" s="43">
        <v>233338</v>
      </c>
      <c r="J44" s="30" t="s">
        <v>189</v>
      </c>
      <c r="K44" s="43">
        <v>233491</v>
      </c>
      <c r="L44" s="143" t="s">
        <v>50</v>
      </c>
      <c r="M44" s="144">
        <f t="shared" si="10"/>
        <v>80.784000000000006</v>
      </c>
      <c r="N44" s="145" t="str">
        <f>VLOOKUP(C44,'Trips&amp;Operators'!$C$1:$G$99999,5,FALSE)</f>
        <v>ACKERMAN JARED</v>
      </c>
      <c r="O44" s="194" t="s">
        <v>185</v>
      </c>
      <c r="P44" s="146"/>
      <c r="Q44" s="30"/>
      <c r="R44" s="89" t="str">
        <f>VLOOKUP(C44,'Train Runs'!$A$13:$AE$9939,31,0)</f>
        <v>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 &amp; 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</v>
      </c>
      <c r="S44" s="92" t="str">
        <f>VLOOKUP(C44,'Train Runs'!$A$13:$AE$9939,22,0)</f>
        <v>https://d0f6bd738d7f1b3e5a7ca70fe4ff75f0.us-east-1.aws.found.io/app/kibana#/discover/Steve-Slow-Train-Analysis-(2080s-and-2083s)?_g=(refreshInterval:(display:Off,pause:!f,section:0,value:0),time:(from:'2017-02-28T03:39:37-0700',mode:absolute,to:'2017-02-28T06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4" s="94" t="str">
        <f t="shared" si="11"/>
        <v>"C:\Program Files (x86)\AstroGrep\AstroGrep.exe" /spath="%USERPROFILE%\AppData\Local\Temp\OnboardLogs" /stypes="*4025*201702281*" /stext=" 12:.+((SYSTEM_STATE.+slice.+state.+changed )|(ment ac)|(multiple cpu faults)|(system.+state.+changed )|(\[timeout)|(PRM\|1\|D)|(kpr)|(kdp)|(\|lc)|(penalty))" /e /r /s</v>
      </c>
      <c r="U44" s="9" t="str">
        <f t="shared" si="12"/>
        <v>4025</v>
      </c>
      <c r="V44" s="32">
        <f t="shared" si="13"/>
        <v>42794.517106481479</v>
      </c>
      <c r="W44" s="46" t="str">
        <f t="shared" si="14"/>
        <v>EC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{"issue":{"subject":"","project_id":79,"tracker_id":40,"status_id":1,"priority_id":2,"assigned_to_id":23,"start_date":"2017-02-28","description":"","custom_fields":[{"id":1,"name":"Subdivision","value":"EC"},{"id":4,"name":"Milepost","value":"23.3491"},{"id":17,"name":"Train ID","value":"109-28"},{"id":16,"name":"Locomotive ID","value":"4025"},{"id":130,"name":"Impact","value":""},{"id":150,"name":"Time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"%USERPROFILE%\AppData\Local\Temp\OnboardLogs"\RTDC4025\*4025*201702281*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"%USERPROFILE%\AppData\Local\Temp\OnboardLogs"\RTDC4025\*4025*201702281* &gt;&gt; 2017-02-28-SliceDisagreementCheck.txt</v>
      </c>
      <c r="AE44" s="157" t="str">
        <f t="shared" si="9"/>
        <v>start /low /b %USERPROFILE%\Documents\GitHub\eaglep3\Utilities\DownloadLogsFromS3.py --loco 4025 --day 2017-02-28</v>
      </c>
      <c r="AF44" s="1"/>
    </row>
    <row r="45" spans="1:32" x14ac:dyDescent="0.25">
      <c r="A45" s="32">
        <v>42794.348796296297</v>
      </c>
      <c r="B45" s="30" t="s">
        <v>220</v>
      </c>
      <c r="C45" s="30" t="s">
        <v>548</v>
      </c>
      <c r="D45" s="30" t="s">
        <v>49</v>
      </c>
      <c r="E45" s="30" t="s">
        <v>188</v>
      </c>
      <c r="F45" s="43">
        <v>0</v>
      </c>
      <c r="G45" s="43">
        <v>71</v>
      </c>
      <c r="H45" s="43">
        <v>233212</v>
      </c>
      <c r="I45" s="43">
        <v>233312</v>
      </c>
      <c r="J45" s="30" t="s">
        <v>189</v>
      </c>
      <c r="K45" s="43">
        <v>233491</v>
      </c>
      <c r="L45" s="143" t="s">
        <v>50</v>
      </c>
      <c r="M45" s="144">
        <f t="shared" si="10"/>
        <v>94.512</v>
      </c>
      <c r="N45" s="145" t="str">
        <f>VLOOKUP(C45,'Trips&amp;Operators'!$C$1:$G$99999,5,FALSE)</f>
        <v>STARKS ANGELINA</v>
      </c>
      <c r="O45" s="194" t="s">
        <v>185</v>
      </c>
      <c r="P45" s="146"/>
      <c r="Q45" s="30"/>
      <c r="R45" s="89" t="str">
        <f>VLOOKUP(C45,'Train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45" s="92" t="str">
        <f>VLOOKUP(C45,'Train Runs'!$A$13:$AE$9939,22,0)</f>
        <v>https://d0f6bd738d7f1b3e5a7ca70fe4ff75f0.us-east-1.aws.found.io/app/kibana#/discover/Steve-Slow-Train-Analysis-(2080s-and-2083s)?_g=(refreshInterval:(display:Off,pause:!f,section:0,value:0),time:(from:'2017-02-28T06:41:28-0700',mode:absolute,to:'2017-02-28T09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5" s="94" t="str">
        <f t="shared" si="11"/>
        <v>"C:\Program Files (x86)\AstroGrep\AstroGrep.exe" /spath="%USERPROFILE%\AppData\Local\Temp\OnboardLogs" /stypes="*4027*201702281*" /stext=" 15:.+((SYSTEM_STATE.+slice.+state.+changed )|(ment ac)|(multiple cpu faults)|(system.+state.+changed )|(\[timeout)|(PRM\|1\|D)|(kpr)|(kdp)|(\|lc)|(penalty))" /e /r /s</v>
      </c>
      <c r="U45" s="9" t="str">
        <f t="shared" si="12"/>
        <v>4027</v>
      </c>
      <c r="V45" s="32">
        <f t="shared" si="13"/>
        <v>42794.640462962961</v>
      </c>
      <c r="W45" s="46" t="str">
        <f t="shared" si="14"/>
        <v>EC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{"issue":{"subject":"","project_id":79,"tracker_id":40,"status_id":1,"priority_id":2,"assigned_to_id":23,"start_date":"2017-02-28","description":"","custom_fields":[{"id":1,"name":"Subdivision","value":"EC"},{"id":4,"name":"Milepost","value":"23.3491"},{"id":17,"name":"Train ID","value":"133-28"},{"id":16,"name":"Locomotive ID","value":"4027"},{"id":130,"name":"Impact","value":""},{"id":150,"name":"Time of Event (Mountain Time)","value":"08:22:16"},{"id":151,"name":"Denver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"%USERPROFILE%\AppData\Local\Temp\OnboardLogs"\RTDC4027\*4027*201702281*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45" s="157" t="str">
        <f t="shared" si="9"/>
        <v>start /low /b %USERPROFILE%\Documents\GitHub\eaglep3\Utilities\DownloadLogsFromS3.py --loco 4027 --day 2017-02-28</v>
      </c>
      <c r="AF45" s="1"/>
    </row>
    <row r="46" spans="1:32" x14ac:dyDescent="0.25">
      <c r="A46" s="32">
        <v>42794.421782407408</v>
      </c>
      <c r="B46" s="30" t="s">
        <v>220</v>
      </c>
      <c r="C46" s="30" t="s">
        <v>553</v>
      </c>
      <c r="D46" s="30" t="s">
        <v>49</v>
      </c>
      <c r="E46" s="30" t="s">
        <v>188</v>
      </c>
      <c r="F46" s="43">
        <v>0</v>
      </c>
      <c r="G46" s="43">
        <v>119</v>
      </c>
      <c r="H46" s="43">
        <v>233097</v>
      </c>
      <c r="I46" s="43">
        <v>233199</v>
      </c>
      <c r="J46" s="30" t="s">
        <v>189</v>
      </c>
      <c r="K46" s="43">
        <v>233491</v>
      </c>
      <c r="L46" s="143" t="s">
        <v>50</v>
      </c>
      <c r="M46" s="144">
        <f t="shared" si="10"/>
        <v>154.17599999999999</v>
      </c>
      <c r="N46" s="145" t="str">
        <f>VLOOKUP(C46,'Trips&amp;Operators'!$C$1:$G$99999,5,FALSE)</f>
        <v>STARKS ANGELINA</v>
      </c>
      <c r="O46" s="194" t="s">
        <v>185</v>
      </c>
      <c r="P46" s="146"/>
      <c r="Q46" s="30"/>
      <c r="R46" s="89" t="str">
        <f>VLOOKUP(C46,'Train Runs'!$A$13:$AE$9939,31,0)</f>
        <v>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 &amp; aws s3 cp s3://rtdc.mdm.uploadarchive.raw/RTDC4027/ "%USERPROFILE%\AppData\Local\Temp\OnboardLogs"\RTDC4027\2017-03-01 --exclude "*" --recursive --include "*20170301*" &amp; "%USERPROFILE%\Documents\GitHub\mrs-test-scripts\Headless Mode &amp; Sideloading\WalkAndUnGZ.bat" "%USERPROFILE%\AppData\Local\Temp\OnboardLogs"\RTDC4027\2017-03-01</v>
      </c>
      <c r="S46" s="92" t="str">
        <f>VLOOKUP(C46,'Train Runs'!$A$13:$AE$9939,22,0)</f>
        <v>https://d0f6bd738d7f1b3e5a7ca70fe4ff75f0.us-east-1.aws.found.io/app/kibana#/discover/Steve-Slow-Train-Analysis-(2080s-and-2083s)?_g=(refreshInterval:(display:Off,pause:!f,section:0,value:0),time:(from:'2017-02-28T08:26:22-0700',mode:absolute,to:'2017-02-28T11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6" s="94" t="str">
        <f t="shared" si="11"/>
        <v>"C:\Program Files (x86)\AstroGrep\AstroGrep.exe" /spath="%USERPROFILE%\AppData\Local\Temp\OnboardLogs" /stypes="*4027*201702281*" /stext=" 17:.+((SYSTEM_STATE.+slice.+state.+changed )|(ment ac)|(multiple cpu faults)|(system.+state.+changed )|(\[timeout)|(PRM\|1\|D)|(kpr)|(kdp)|(\|lc)|(penalty))" /e /r /s</v>
      </c>
      <c r="U46" s="9" t="str">
        <f t="shared" si="12"/>
        <v>4027</v>
      </c>
      <c r="V46" s="32">
        <f t="shared" si="13"/>
        <v>42794.713449074072</v>
      </c>
      <c r="W46" s="46" t="str">
        <f t="shared" si="14"/>
        <v>EC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{"issue":{"subject":"","project_id":79,"tracker_id":40,"status_id":1,"priority_id":2,"assigned_to_id":23,"start_date":"2017-02-28","description":"","custom_fields":[{"id":1,"name":"Subdivision","value":"EC"},{"id":4,"name":"Milepost","value":"23.3491"},{"id":17,"name":"Train ID","value":"147-28"},{"id":16,"name":"Locomotive ID","value":"4027"},{"id":130,"name":"Impact","value":""},{"id":150,"name":"Time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"%USERPROFILE%\AppData\Local\Temp\OnboardLogs"\RTDC4027\*4027*201702281*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"%USERPROFILE%\AppData\Local\Temp\OnboardLogs"\RTDC4027\*4027*201702281* &gt;&gt; 2017-02-28-SliceDisagreementCheck.txt</v>
      </c>
      <c r="AE46" s="157" t="str">
        <f t="shared" si="9"/>
        <v>start /low /b %USERPROFILE%\Documents\GitHub\eaglep3\Utilities\DownloadLogsFromS3.py --loco 4027 --day 2017-02-28</v>
      </c>
      <c r="AF46" s="1"/>
    </row>
    <row r="47" spans="1:32" x14ac:dyDescent="0.25">
      <c r="A47" s="32">
        <v>42794.432800925926</v>
      </c>
      <c r="B47" s="30" t="s">
        <v>252</v>
      </c>
      <c r="C47" s="30" t="s">
        <v>555</v>
      </c>
      <c r="D47" s="30" t="s">
        <v>49</v>
      </c>
      <c r="E47" s="30" t="s">
        <v>188</v>
      </c>
      <c r="F47" s="43">
        <v>0</v>
      </c>
      <c r="G47" s="43">
        <v>16</v>
      </c>
      <c r="H47" s="43">
        <v>233468</v>
      </c>
      <c r="I47" s="43">
        <v>233472</v>
      </c>
      <c r="J47" s="30" t="s">
        <v>189</v>
      </c>
      <c r="K47" s="43">
        <v>233491</v>
      </c>
      <c r="L47" s="143" t="s">
        <v>50</v>
      </c>
      <c r="M47" s="144">
        <f t="shared" si="10"/>
        <v>10.032</v>
      </c>
      <c r="N47" s="145" t="str">
        <f>VLOOKUP(C47,'Trips&amp;Operators'!$C$1:$G$99999,5,FALSE)</f>
        <v>LOCKLEAR TRAVIS</v>
      </c>
      <c r="O47" s="194" t="s">
        <v>185</v>
      </c>
      <c r="P47" s="146"/>
      <c r="Q47" s="30"/>
      <c r="R47" s="89" t="str">
        <f>VLOOKUP(C47,'Train Runs'!$A$13:$AE$9939,31,0)</f>
        <v>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 &amp; 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</v>
      </c>
      <c r="S47" s="92" t="str">
        <f>VLOOKUP(C47,'Train Runs'!$A$13:$AE$9939,22,0)</f>
        <v>https://d0f6bd738d7f1b3e5a7ca70fe4ff75f0.us-east-1.aws.found.io/app/kibana#/discover/Steve-Slow-Train-Analysis-(2080s-and-2083s)?_g=(refreshInterval:(display:Off,pause:!f,section:0,value:0),time:(from:'2017-02-28T08:45:08-0700',mode:absolute,to:'2017-02-28T11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94" t="str">
        <f t="shared" si="11"/>
        <v>"C:\Program Files (x86)\AstroGrep\AstroGrep.exe" /spath="%USERPROFILE%\AppData\Local\Temp\OnboardLogs" /stypes="*4018*201702281*" /stext=" 17:.+((SYSTEM_STATE.+slice.+state.+changed )|(ment ac)|(multiple cpu faults)|(system.+state.+changed )|(\[timeout)|(PRM\|1\|D)|(kpr)|(kdp)|(\|lc)|(penalty))" /e /r /s</v>
      </c>
      <c r="U47" s="9" t="str">
        <f t="shared" si="12"/>
        <v>4018</v>
      </c>
      <c r="V47" s="32">
        <f t="shared" si="13"/>
        <v>42794.72446759259</v>
      </c>
      <c r="W47" s="46" t="str">
        <f t="shared" si="14"/>
        <v>EC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{"issue":{"subject":"","project_id":79,"tracker_id":40,"status_id":1,"priority_id":2,"assigned_to_id":23,"start_date":"2017-02-28","description":"","custom_fields":[{"id":1,"name":"Subdivision","value":"EC"},{"id":4,"name":"Milepost","value":"23.3491"},{"id":17,"name":"Train ID","value":"149-28"},{"id":16,"name":"Locomotive ID","value":"4018"},{"id":130,"name":"Impact","value":""},{"id":150,"name":"Time of Event (Mountain Time)","value":"10:23:14"},{"id":151,"name":"Denver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"%USERPROFILE%\AppData\Local\Temp\OnboardLogs"\RTDC4018\*4018*201702281*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"%USERPROFILE%\AppData\Local\Temp\OnboardLogs"\RTDC4018\*4018*201702281* &gt;&gt; 2017-02-28-SliceDisagreementCheck.txt</v>
      </c>
      <c r="AE47" s="157" t="str">
        <f t="shared" si="9"/>
        <v>start /low /b %USERPROFILE%\Documents\GitHub\eaglep3\Utilities\DownloadLogsFromS3.py --loco 4018 --day 2017-02-28</v>
      </c>
      <c r="AF47" s="1"/>
    </row>
    <row r="48" spans="1:32" x14ac:dyDescent="0.25">
      <c r="A48" s="32">
        <v>42794.942743055559</v>
      </c>
      <c r="B48" s="30" t="s">
        <v>329</v>
      </c>
      <c r="C48" s="30" t="s">
        <v>572</v>
      </c>
      <c r="D48" s="30" t="s">
        <v>49</v>
      </c>
      <c r="E48" s="30" t="s">
        <v>188</v>
      </c>
      <c r="F48" s="43">
        <v>0</v>
      </c>
      <c r="G48" s="43">
        <v>113</v>
      </c>
      <c r="H48" s="43">
        <v>232979</v>
      </c>
      <c r="I48" s="43">
        <v>233104</v>
      </c>
      <c r="J48" s="30" t="s">
        <v>189</v>
      </c>
      <c r="K48" s="43">
        <v>233491</v>
      </c>
      <c r="L48" s="143" t="s">
        <v>50</v>
      </c>
      <c r="M48" s="144">
        <f t="shared" si="10"/>
        <v>204.33600000000001</v>
      </c>
      <c r="N48" s="145" t="str">
        <f>VLOOKUP(C48,'Trips&amp;Operators'!$C$1:$G$99999,5,FALSE)</f>
        <v>STORY SAMANTHA</v>
      </c>
      <c r="O48" s="194" t="s">
        <v>185</v>
      </c>
      <c r="P48" s="146"/>
      <c r="Q48" s="30"/>
      <c r="R48" s="89" t="str">
        <f>VLOOKUP(C48,'Train Runs'!$A$13:$AE$9939,31,0)</f>
        <v>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 &amp; aws s3 cp s3://rtdc.mdm.uploadarchive.raw/RTDC4007/ "%USERPROFILE%\AppData\Local\Temp\OnboardLogs"\RTDC4007\2017-03-01 --exclude "*" --recursive --include "*20170301*" &amp; "%USERPROFILE%\Documents\GitHub\mrs-test-scripts\Headless Mode &amp; Sideloading\WalkAndUnGZ.bat" "%USERPROFILE%\AppData\Local\Temp\OnboardLogs"\RTDC4007\2017-03-01</v>
      </c>
      <c r="S48" s="92" t="str">
        <f>VLOOKUP(C48,'Train Runs'!$A$13:$AE$9939,22,0)</f>
        <v>https://d0f6bd738d7f1b3e5a7ca70fe4ff75f0.us-east-1.aws.found.io/app/kibana#/discover/Steve-Slow-Train-Analysis-(2080s-and-2083s)?_g=(refreshInterval:(display:Off,pause:!f,section:0,value:0),time:(from:'2017-02-28T20:50:06-0700',mode:absolute,to:'2017-02-28T23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8" s="94" t="str">
        <f t="shared" si="11"/>
        <v>"C:\Program Files (x86)\AstroGrep\AstroGrep.exe" /spath="%USERPROFILE%\AppData\Local\Temp\OnboardLogs" /stypes="*4007*201703010*" /stext=" 05:.+((SYSTEM_STATE.+slice.+state.+changed )|(ment ac)|(multiple cpu faults)|(system.+state.+changed )|(\[timeout)|(PRM\|1\|D)|(kpr)|(kdp)|(\|lc)|(penalty))" /e /r /s</v>
      </c>
      <c r="U48" s="9" t="str">
        <f t="shared" si="12"/>
        <v>4007</v>
      </c>
      <c r="V48" s="32">
        <f t="shared" si="13"/>
        <v>42795.234409722223</v>
      </c>
      <c r="W48" s="46" t="str">
        <f t="shared" si="14"/>
        <v>EC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{"issue":{"subject":"","project_id":79,"tracker_id":40,"status_id":1,"priority_id":2,"assigned_to_id":23,"start_date":"2017-02-28","description":"","custom_fields":[{"id":1,"name":"Subdivision","value":"EC"},{"id":4,"name":"Milepost","value":"23.3491"},{"id":17,"name":"Train ID","value":"233-28"},{"id":16,"name":"Locomotive ID","value":"4007"},{"id":130,"name":"Impact","value":""},{"id":150,"name":"Time of Event (Mountain Time)","value":"22:37:33"},{"id":151,"name":"Denver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"%USERPROFILE%\AppData\Local\Temp\OnboardLogs"\RTDC4007\*4007*201703010*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"%USERPROFILE%\AppData\Local\Temp\OnboardLogs"\RTDC4007\*4007*201703010* &gt;&gt; 2017-02-28-SliceDisagreementCheck.txt</v>
      </c>
      <c r="AE48" s="157" t="str">
        <f t="shared" si="9"/>
        <v>start /low /b %USERPROFILE%\Documents\GitHub\eaglep3\Utilities\DownloadLogsFromS3.py --loco 4007 --day 2017-03-01</v>
      </c>
      <c r="AF48" s="1"/>
    </row>
    <row r="49" spans="1:32" x14ac:dyDescent="0.25">
      <c r="A49" s="32">
        <v>42794.266828703701</v>
      </c>
      <c r="B49" s="30" t="s">
        <v>236</v>
      </c>
      <c r="C49" s="30" t="s">
        <v>542</v>
      </c>
      <c r="D49" s="30" t="s">
        <v>49</v>
      </c>
      <c r="E49" s="30" t="s">
        <v>197</v>
      </c>
      <c r="F49" s="43">
        <v>350</v>
      </c>
      <c r="G49" s="43">
        <v>413</v>
      </c>
      <c r="H49" s="43">
        <v>8201</v>
      </c>
      <c r="I49" s="43">
        <v>9254</v>
      </c>
      <c r="J49" s="30" t="s">
        <v>198</v>
      </c>
      <c r="K49" s="43">
        <v>10714</v>
      </c>
      <c r="L49" s="143" t="s">
        <v>50</v>
      </c>
      <c r="M49" s="144">
        <f t="shared" si="10"/>
        <v>770.88</v>
      </c>
      <c r="N49" s="145" t="str">
        <f>VLOOKUP(C49,'Trips&amp;Operators'!$C$1:$G$99999,5,FALSE)</f>
        <v>COOLAHAN JOHN</v>
      </c>
      <c r="O49" s="194" t="s">
        <v>185</v>
      </c>
      <c r="P49" s="146" t="s">
        <v>356</v>
      </c>
      <c r="Q49" s="30"/>
      <c r="R49" s="89" t="str">
        <f>VLOOKUP(C49,'Train Runs'!$A$13:$AE$9939,31,0)</f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S49" s="92" t="str">
        <f>VLOOKUP(C49,'Train Runs'!$A$13:$AE$9939,22,0)</f>
        <v>https://d0f6bd738d7f1b3e5a7ca70fe4ff75f0.us-east-1.aws.found.io/app/kibana#/discover/Steve-Slow-Train-Analysis-(2080s-and-2083s)?_g=(refreshInterval:(display:Off,pause:!f,section:0,value:0),time:(from:'2017-02-28T05:19:11-0700',mode:absolute,to:'2017-02-28T07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9" s="94" t="str">
        <f t="shared" si="11"/>
        <v>"C:\Program Files (x86)\AstroGrep\AstroGrep.exe" /spath="%USERPROFILE%\AppData\Local\Temp\OnboardLogs" /stypes="*4053*201702281*" /stext=" 13:.+((SYSTEM_STATE.+slice.+state.+changed )|(ment ac)|(multiple cpu faults)|(system.+state.+changed )|(\[timeout)|(PRM\|1\|D)|(kpr)|(kdp)|(\|lc)|(penalty))" /e /r /s</v>
      </c>
      <c r="U49" s="9" t="str">
        <f t="shared" si="12"/>
        <v>4053</v>
      </c>
      <c r="V49" s="32">
        <f t="shared" si="13"/>
        <v>42794.558495370366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{"issue":{"subject":"Early arrival","project_id":79,"tracker_id":40,"status_id":1,"priority_id":2,"assigned_to_id":23,"start_date":"2017-02-28","description":"","custom_fields":[{"id":1,"name":"Subdivision","value":"NW"},{"id":4,"name":"Milepost","value":"1.0714"},{"id":17,"name":"Train ID","value":"803-28"},{"id":16,"name":"Locomotive ID","value":"4053"},{"id":130,"name":"Impact","value":""},{"id":150,"name":"Time of Event (Mountain Time)","value":"06:24:14"},{"id":151,"name":"Denver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"%USERPROFILE%\AppData\Local\Temp\OnboardLogs"\RTDC4053\*4053*201702281*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"%USERPROFILE%\AppData\Local\Temp\OnboardLogs"\RTDC4053\*4053*201702281* &gt;&gt; 2017-02-28-SliceDisagreementCheck.txt</v>
      </c>
      <c r="AE49" s="157" t="str">
        <f t="shared" si="9"/>
        <v>start /low /b %USERPROFILE%\Documents\GitHub\eaglep3\Utilities\DownloadLogsFromS3.py --loco 4053 --day 2017-02-28</v>
      </c>
      <c r="AF49" s="1"/>
    </row>
    <row r="50" spans="1:32" x14ac:dyDescent="0.25">
      <c r="A50" s="32">
        <v>42794.349456018521</v>
      </c>
      <c r="B50" s="30" t="s">
        <v>236</v>
      </c>
      <c r="C50" s="30" t="s">
        <v>549</v>
      </c>
      <c r="D50" s="30" t="s">
        <v>98</v>
      </c>
      <c r="E50" s="30" t="s">
        <v>270</v>
      </c>
      <c r="F50" s="43">
        <v>150</v>
      </c>
      <c r="G50" s="43">
        <v>210</v>
      </c>
      <c r="H50" s="43">
        <v>5548</v>
      </c>
      <c r="I50" s="43">
        <v>5886</v>
      </c>
      <c r="J50" s="30" t="s">
        <v>271</v>
      </c>
      <c r="K50" s="43">
        <v>574</v>
      </c>
      <c r="L50" s="143" t="s">
        <v>50</v>
      </c>
      <c r="M50" s="144">
        <f t="shared" si="10"/>
        <v>-2804.7359999999999</v>
      </c>
      <c r="N50" s="145" t="str">
        <f>VLOOKUP(C50,'Trips&amp;Operators'!$C$1:$G$99999,5,FALSE)</f>
        <v>COOLAHAN JOHN</v>
      </c>
      <c r="O50" s="194" t="s">
        <v>185</v>
      </c>
      <c r="P50" s="146"/>
      <c r="Q50" s="30"/>
      <c r="R50" s="89" t="str">
        <f>VLOOKUP(C50,'Train Runs'!$A$13:$AE$9939,31,0)</f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S50" s="92" t="str">
        <f>VLOOKUP(C50,'Train Runs'!$A$13:$AE$9939,22,0)</f>
        <v>https://d0f6bd738d7f1b3e5a7ca70fe4ff75f0.us-east-1.aws.found.io/app/kibana#/discover/Steve-Slow-Train-Analysis-(2080s-and-2083s)?_g=(refreshInterval:(display:Off,pause:!f,section:0,value:0),time:(from:'2017-02-28T07:13:38-0700',mode:absolute,to:'2017-02-28T09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0" s="94" t="str">
        <f t="shared" si="11"/>
        <v>"C:\Program Files (x86)\AstroGrep\AstroGrep.exe" /spath="%USERPROFILE%\AppData\Local\Temp\OnboardLogs" /stypes="*4053*201702281*" /stext=" 15:.+((SYSTEM_STATE.+slice.+state.+changed )|(ment ac)|(multiple cpu faults)|(system.+state.+changed )|(\[timeout)|(PRM\|1\|D)|(kpr)|(kdp)|(\|lc)|(penalty))" /e /r /s</v>
      </c>
      <c r="U50" s="9" t="str">
        <f t="shared" si="12"/>
        <v>4053</v>
      </c>
      <c r="V50" s="32">
        <f t="shared" si="13"/>
        <v>42794.641122685185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{"issue":{"subject":"","project_id":79,"tracker_id":40,"status_id":1,"priority_id":2,"assigned_to_id":23,"start_date":"2017-02-28","description":"","custom_fields":[{"id":1,"name":"Subdivision","value":"NW"},{"id":4,"name":"Milepost","value":"0.0574"},{"id":17,"name":"Train ID","value":"811-28"},{"id":16,"name":"Locomotive ID","value":"4053"},{"id":130,"name":"Impact","value":""},{"id":150,"name":"Time of Event (Mountain Time)","value":"08:23:13"},{"id":151,"name":"Denver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"%USERPROFILE%\AppData\Local\Temp\OnboardLogs"\RTDC4053\*4053*201702281*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"%USERPROFILE%\AppData\Local\Temp\OnboardLogs"\RTDC4053\*4053*201702281* &gt;&gt; 2017-02-28-SliceDisagreementCheck.txt</v>
      </c>
      <c r="AE50" s="157" t="str">
        <f t="shared" si="9"/>
        <v>start /low /b %USERPROFILE%\Documents\GitHub\eaglep3\Utilities\DownloadLogsFromS3.py --loco 4053 --day 2017-02-28</v>
      </c>
      <c r="AF50" s="1"/>
    </row>
    <row r="51" spans="1:32" x14ac:dyDescent="0.25">
      <c r="A51" s="32">
        <v>42794.562245370369</v>
      </c>
      <c r="B51" s="30" t="s">
        <v>236</v>
      </c>
      <c r="C51" s="30" t="s">
        <v>560</v>
      </c>
      <c r="D51" s="30" t="s">
        <v>98</v>
      </c>
      <c r="E51" s="30" t="s">
        <v>270</v>
      </c>
      <c r="F51" s="43">
        <v>400</v>
      </c>
      <c r="G51" s="43">
        <v>453</v>
      </c>
      <c r="H51" s="43">
        <v>43686</v>
      </c>
      <c r="I51" s="43">
        <v>44969</v>
      </c>
      <c r="J51" s="30" t="s">
        <v>271</v>
      </c>
      <c r="K51" s="43">
        <v>41797</v>
      </c>
      <c r="L51" s="143" t="s">
        <v>50</v>
      </c>
      <c r="M51" s="144">
        <f t="shared" si="10"/>
        <v>-1674.816</v>
      </c>
      <c r="N51" s="145" t="str">
        <f>VLOOKUP(C51,'Trips&amp;Operators'!$C$1:$G$99999,5,FALSE)</f>
        <v>LEVIN SCOTT</v>
      </c>
      <c r="O51" s="194" t="s">
        <v>185</v>
      </c>
      <c r="P51" s="146"/>
      <c r="Q51" s="30"/>
      <c r="R51" s="89" t="str">
        <f>VLOOKUP(C51,'Train Runs'!$A$13:$AE$9939,31,0)</f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S51" s="92" t="str">
        <f>VLOOKUP(C51,'Train Runs'!$A$13:$AE$9939,22,0)</f>
        <v>https://d0f6bd738d7f1b3e5a7ca70fe4ff75f0.us-east-1.aws.found.io/app/kibana#/discover/Steve-Slow-Train-Analysis-(2080s-and-2083s)?_g=(refreshInterval:(display:Off,pause:!f,section:0,value:0),time:(from:'2017-02-28T12:12:08-0700',mode:absolute,to:'2017-02-28T14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1" s="94" t="str">
        <f t="shared" si="11"/>
        <v>"C:\Program Files (x86)\AstroGrep\AstroGrep.exe" /spath="%USERPROFILE%\AppData\Local\Temp\OnboardLogs" /stypes="*4053*201702282*" /stext=" 20:.+((SYSTEM_STATE.+slice.+state.+changed )|(ment ac)|(multiple cpu faults)|(system.+state.+changed )|(\[timeout)|(PRM\|1\|D)|(kpr)|(kdp)|(\|lc)|(penalty))" /e /r /s</v>
      </c>
      <c r="U51" s="9" t="str">
        <f t="shared" si="12"/>
        <v>4053</v>
      </c>
      <c r="V51" s="32">
        <f t="shared" si="13"/>
        <v>42794.853912037033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{"issue":{"subject":"","project_id":79,"tracker_id":40,"status_id":1,"priority_id":2,"assigned_to_id":23,"start_date":"2017-02-28","description":"","custom_fields":[{"id":1,"name":"Subdivision","value":"NW"},{"id":4,"name":"Milepost","value":"4.1797"},{"id":17,"name":"Train ID","value":"821-28"},{"id":16,"name":"Locomotive ID","value":"4053"},{"id":130,"name":"Impact","value":""},{"id":150,"name":"Time of Event (Mountain Time)","value":"13:29:38"},{"id":151,"name":"Denver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"%USERPROFILE%\AppData\Local\Temp\OnboardLogs"\RTDC4053\*4053*201702282*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"%USERPROFILE%\AppData\Local\Temp\OnboardLogs"\RTDC4053\*4053*201702282* &gt;&gt; 2017-02-28-SliceDisagreementCheck.txt</v>
      </c>
      <c r="AE51" s="157" t="str">
        <f t="shared" si="9"/>
        <v>start /low /b %USERPROFILE%\Documents\GitHub\eaglep3\Utilities\DownloadLogsFromS3.py --loco 4053 --day 2017-02-28</v>
      </c>
      <c r="AF51" s="1"/>
    </row>
    <row r="52" spans="1:32" x14ac:dyDescent="0.25">
      <c r="A52" s="32">
        <v>42794.260601851849</v>
      </c>
      <c r="B52" s="30" t="s">
        <v>540</v>
      </c>
      <c r="C52" s="30" t="s">
        <v>541</v>
      </c>
      <c r="D52" s="30" t="s">
        <v>49</v>
      </c>
      <c r="E52" s="30" t="s">
        <v>270</v>
      </c>
      <c r="F52" s="43">
        <v>400</v>
      </c>
      <c r="G52" s="43">
        <v>522</v>
      </c>
      <c r="H52" s="43">
        <v>51905</v>
      </c>
      <c r="I52" s="43">
        <v>50136</v>
      </c>
      <c r="J52" s="30" t="s">
        <v>271</v>
      </c>
      <c r="K52" s="43">
        <v>49775</v>
      </c>
      <c r="L52" s="143" t="s">
        <v>51</v>
      </c>
      <c r="M52" s="144">
        <f t="shared" si="10"/>
        <v>190.608</v>
      </c>
      <c r="N52" s="145" t="str">
        <f>VLOOKUP(C52,'Trips&amp;Operators'!$C$1:$G$99999,5,FALSE)</f>
        <v>YORK EDGAR</v>
      </c>
      <c r="O52" s="194" t="s">
        <v>185</v>
      </c>
      <c r="P52" s="146"/>
      <c r="Q52" s="30"/>
      <c r="R52" s="89" t="str">
        <f>VLOOKUP(C52,'Train Runs'!$A$13:$AE$9939,31,0)</f>
        <v>aws s3 cp s3://rtdc.mdm.uploadarchive.raw/RTDC4015/ "%USERPROFILE%\AppData\Local\Temp\OnboardLogs"\RTDC4015\2017-02-28 --exclude "*" --recursive --include "*20170228*" &amp; "%USERPROFILE%\Documents\GitHub\mrs-test-scripts\Headless Mode &amp; Sideloading\WalkAndUnGZ.bat" "%USERPROFILE%\AppData\Local\Temp\OnboardLogs"\RTDC4015\2017-02-28 &amp; 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</v>
      </c>
      <c r="S52" s="92" t="str">
        <f>VLOOKUP(C52,'Train Runs'!$A$13:$AE$9939,22,0)</f>
        <v>https://d0f6bd738d7f1b3e5a7ca70fe4ff75f0.us-east-1.aws.found.io/app/kibana#/discover/Steve-Slow-Train-Analysis-(2080s-and-2083s)?_g=(refreshInterval:(display:Off,pause:!f,section:0,value:0),time:(from:'2017-02-28T05:06:24-0700',mode:absolute,to:'2017-02-28T07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2" s="94" t="str">
        <f t="shared" si="11"/>
        <v>"C:\Program Files (x86)\AstroGrep\AstroGrep.exe" /spath="%USERPROFILE%\AppData\Local\Temp\OnboardLogs" /stypes="*4015*201702281*" /stext=" 13:.+((SYSTEM_STATE.+slice.+state.+changed )|(ment ac)|(multiple cpu faults)|(system.+state.+changed )|(\[timeout)|(PRM\|1\|D)|(kpr)|(kdp)|(\|lc)|(penalty))" /e /r /s</v>
      </c>
      <c r="U52" s="9" t="str">
        <f t="shared" si="12"/>
        <v>4015</v>
      </c>
      <c r="V52" s="32">
        <f t="shared" si="13"/>
        <v>42794.552268518513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{"issue":{"subject":"","project_id":79,"tracker_id":40,"status_id":1,"priority_id":2,"assigned_to_id":23,"start_date":"2017-02-28","description":"","custom_fields":[{"id":1,"name":"Subdivision","value":"NW"},{"id":4,"name":"Milepost","value":"4.9775"},{"id":17,"name":"Train ID","value":"802-28"},{"id":16,"name":"Locomotive ID","value":"4015"},{"id":130,"name":"Impact","value":""},{"id":150,"name":"Time of Event (Mountain Time)","value":"06:15:16"},{"id":151,"name":"Denver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"%USERPROFILE%\AppData\Local\Temp\OnboardLogs"\RTDC4015\*4015*201702281*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"%USERPROFILE%\AppData\Local\Temp\OnboardLogs"\RTDC4015\*4015*201702281* &gt;&gt; 2017-02-28-SliceDisagreementCheck.txt</v>
      </c>
      <c r="AE52" s="157" t="str">
        <f t="shared" si="9"/>
        <v>start /low /b %USERPROFILE%\Documents\GitHub\eaglep3\Utilities\DownloadLogsFromS3.py --loco 4015 --day 2017-02-28</v>
      </c>
      <c r="AF52" s="1"/>
    </row>
    <row r="53" spans="1:32" x14ac:dyDescent="0.25">
      <c r="A53" s="32">
        <v>42794.373113425929</v>
      </c>
      <c r="B53" s="30" t="s">
        <v>233</v>
      </c>
      <c r="C53" s="30" t="s">
        <v>550</v>
      </c>
      <c r="D53" s="30" t="s">
        <v>49</v>
      </c>
      <c r="E53" s="30" t="s">
        <v>188</v>
      </c>
      <c r="F53" s="43">
        <v>0</v>
      </c>
      <c r="G53" s="43">
        <v>42</v>
      </c>
      <c r="H53" s="43">
        <v>708</v>
      </c>
      <c r="I53" s="43">
        <v>677</v>
      </c>
      <c r="J53" s="30" t="s">
        <v>189</v>
      </c>
      <c r="K53" s="43">
        <v>575</v>
      </c>
      <c r="L53" s="143" t="s">
        <v>51</v>
      </c>
      <c r="M53" s="144">
        <f t="shared" si="10"/>
        <v>53.856000000000002</v>
      </c>
      <c r="N53" s="145" t="str">
        <f>VLOOKUP(C53,'Trips&amp;Operators'!$C$1:$G$99999,5,FALSE)</f>
        <v>COOLAHAN JOHN</v>
      </c>
      <c r="O53" s="194" t="s">
        <v>185</v>
      </c>
      <c r="P53" s="146"/>
      <c r="Q53" s="30"/>
      <c r="R53" s="89" t="str">
        <f>VLOOKUP(C53,'Train Runs'!$A$13:$AE$9939,31,0)</f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S53" s="92" t="str">
        <f>VLOOKUP(C53,'Train Runs'!$A$13:$AE$9939,22,0)</f>
        <v>https://d0f6bd738d7f1b3e5a7ca70fe4ff75f0.us-east-1.aws.found.io/app/kibana#/discover/Steve-Slow-Train-Analysis-(2080s-and-2083s)?_g=(refreshInterval:(display:Off,pause:!f,section:0,value:0),time:(from:'2017-02-28T07:36:37-0700',mode:absolute,to:'2017-02-28T09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53" s="94" t="str">
        <f t="shared" si="11"/>
        <v>"C:\Program Files (x86)\AstroGrep\AstroGrep.exe" /spath="%USERPROFILE%\AppData\Local\Temp\OnboardLogs" /stypes="*4054*201702281*" /stext=" 15:.+((SYSTEM_STATE.+slice.+state.+changed )|(ment ac)|(multiple cpu faults)|(system.+state.+changed )|(\[timeout)|(PRM\|1\|D)|(kpr)|(kdp)|(\|lc)|(penalty))" /e /r /s</v>
      </c>
      <c r="U53" s="9" t="str">
        <f t="shared" si="12"/>
        <v>4054</v>
      </c>
      <c r="V53" s="32">
        <f t="shared" si="13"/>
        <v>42794.664780092593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{"issue":{"subject":"","project_id":79,"tracker_id":40,"status_id":1,"priority_id":2,"assigned_to_id":23,"start_date":"2017-02-28","description":"","custom_fields":[{"id":1,"name":"Subdivision","value":"NW"},{"id":4,"name":"Milepost","value":"0.0575"},{"id":17,"name":"Train ID","value":"812-28"},{"id":16,"name":"Locomotive ID","value":"4054"},{"id":130,"name":"Impact","value":""},{"id":150,"name":"Time of Event (Mountain Time)","value":"08:57:17"},{"id":151,"name":"Denver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"%USERPROFILE%\AppData\Local\Temp\OnboardLogs"\RTDC4054\*4054*201702281*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"%USERPROFILE%\AppData\Local\Temp\OnboardLogs"\RTDC4054\*4054*201702281* &gt;&gt; 2017-02-28-SliceDisagreementCheck.txt</v>
      </c>
      <c r="AE53" s="157" t="str">
        <f t="shared" si="9"/>
        <v>start /low /b %USERPROFILE%\Documents\GitHub\eaglep3\Utilities\DownloadLogsFromS3.py --loco 4054 --day 2017-02-28</v>
      </c>
      <c r="AF53" s="1"/>
    </row>
    <row r="54" spans="1:32" x14ac:dyDescent="0.25">
      <c r="A54" s="32">
        <v>42794.579502314817</v>
      </c>
      <c r="B54" s="30" t="s">
        <v>233</v>
      </c>
      <c r="C54" s="30" t="s">
        <v>561</v>
      </c>
      <c r="D54" s="30" t="s">
        <v>49</v>
      </c>
      <c r="E54" s="30" t="s">
        <v>188</v>
      </c>
      <c r="F54" s="43">
        <v>0</v>
      </c>
      <c r="G54" s="43">
        <v>38</v>
      </c>
      <c r="H54" s="43">
        <v>670</v>
      </c>
      <c r="I54" s="43">
        <v>638</v>
      </c>
      <c r="J54" s="30" t="s">
        <v>189</v>
      </c>
      <c r="K54" s="43">
        <v>575</v>
      </c>
      <c r="L54" s="143" t="s">
        <v>51</v>
      </c>
      <c r="M54" s="144">
        <f t="shared" si="10"/>
        <v>33.264000000000003</v>
      </c>
      <c r="N54" s="145" t="str">
        <f>VLOOKUP(C54,'Trips&amp;Operators'!$C$1:$G$99999,5,FALSE)</f>
        <v>LEVIN SCOTT</v>
      </c>
      <c r="O54" s="194" t="s">
        <v>185</v>
      </c>
      <c r="P54" s="146"/>
      <c r="Q54" s="30"/>
      <c r="R54" s="89" t="str">
        <f>VLOOKUP(C54,'Train Runs'!$A$13:$AE$9939,31,0)</f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S54" s="92" t="str">
        <f>VLOOKUP(C54,'Train Runs'!$A$13:$AE$9939,22,0)</f>
        <v>https://d0f6bd738d7f1b3e5a7ca70fe4ff75f0.us-east-1.aws.found.io/app/kibana#/discover/Steve-Slow-Train-Analysis-(2080s-and-2083s)?_g=(refreshInterval:(display:Off,pause:!f,section:0,value:0),time:(from:'2017-02-28T12:36:18-0700',mode:absolute,to:'2017-02-28T14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54" s="94" t="str">
        <f t="shared" si="11"/>
        <v>"C:\Program Files (x86)\AstroGrep\AstroGrep.exe" /spath="%USERPROFILE%\AppData\Local\Temp\OnboardLogs" /stypes="*4054*201702282*" /stext=" 20:.+((SYSTEM_STATE.+slice.+state.+changed )|(ment ac)|(multiple cpu faults)|(system.+state.+changed )|(\[timeout)|(PRM\|1\|D)|(kpr)|(kdp)|(\|lc)|(penalty))" /e /r /s</v>
      </c>
      <c r="U54" s="9" t="str">
        <f t="shared" si="12"/>
        <v>4054</v>
      </c>
      <c r="V54" s="32">
        <f t="shared" si="13"/>
        <v>42794.871168981481</v>
      </c>
      <c r="W54" s="46" t="str">
        <f t="shared" si="14"/>
        <v>NW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{"issue":{"subject":"","project_id":79,"tracker_id":40,"status_id":1,"priority_id":2,"assigned_to_id":23,"start_date":"2017-02-28","description":"","custom_fields":[{"id":1,"name":"Subdivision","value":"NW"},{"id":4,"name":"Milepost","value":"0.0575"},{"id":17,"name":"Train ID","value":"822-28"},{"id":16,"name":"Locomotive ID","value":"4054"},{"id":130,"name":"Impact","value":""},{"id":150,"name":"Time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"%USERPROFILE%\AppData\Local\Temp\OnboardLogs"\RTDC4054\*4054*201702282*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"%USERPROFILE%\AppData\Local\Temp\OnboardLogs"\RTDC4054\*4054*201702282* &gt;&gt; 2017-02-28-SliceDisagreementCheck.txt</v>
      </c>
      <c r="AE54" s="157" t="str">
        <f t="shared" si="9"/>
        <v>start /low /b %USERPROFILE%\Documents\GitHub\eaglep3\Utilities\DownloadLogsFromS3.py --loco 4054 --day 2017-02-28</v>
      </c>
      <c r="AF54" s="1"/>
    </row>
    <row r="55" spans="1:32" x14ac:dyDescent="0.25">
      <c r="A55" s="32">
        <v>42794.621296296296</v>
      </c>
      <c r="B55" s="30" t="s">
        <v>233</v>
      </c>
      <c r="C55" s="30" t="s">
        <v>563</v>
      </c>
      <c r="D55" s="30" t="s">
        <v>49</v>
      </c>
      <c r="E55" s="30" t="s">
        <v>188</v>
      </c>
      <c r="F55" s="43">
        <v>0</v>
      </c>
      <c r="G55" s="43">
        <v>37</v>
      </c>
      <c r="H55" s="43">
        <v>673</v>
      </c>
      <c r="I55" s="43">
        <v>642</v>
      </c>
      <c r="J55" s="30" t="s">
        <v>189</v>
      </c>
      <c r="K55" s="43">
        <v>575</v>
      </c>
      <c r="L55" s="143" t="s">
        <v>51</v>
      </c>
      <c r="M55" s="144">
        <f t="shared" si="10"/>
        <v>35.375999999999998</v>
      </c>
      <c r="N55" s="145" t="str">
        <f>VLOOKUP(C55,'Trips&amp;Operators'!$C$1:$G$99999,5,FALSE)</f>
        <v>LEVIN SCOTT</v>
      </c>
      <c r="O55" s="194" t="s">
        <v>185</v>
      </c>
      <c r="P55" s="146"/>
      <c r="Q55" s="30"/>
      <c r="R55" s="89" t="str">
        <f>VLOOKUP(C55,'Train Runs'!$A$13:$AE$9939,31,0)</f>
        <v>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 &amp; aws s3 cp s3://rtdc.mdm.uploadarchive.raw/RTDC4054/ "%USERPROFILE%\AppData\Local\Temp\OnboardLogs"\RTDC4054\2017-03-01 --exclude "*" --recursive --include "*20170301*" &amp; "%USERPROFILE%\Documents\GitHub\mrs-test-scripts\Headless Mode &amp; Sideloading\WalkAndUnGZ.bat" "%USERPROFILE%\AppData\Local\Temp\OnboardLogs"\RTDC4054\2017-03-01</v>
      </c>
      <c r="S55" s="92" t="str">
        <f>VLOOKUP(C55,'Train Runs'!$A$13:$AE$9939,22,0)</f>
        <v>https://d0f6bd738d7f1b3e5a7ca70fe4ff75f0.us-east-1.aws.found.io/app/kibana#/discover/Steve-Slow-Train-Analysis-(2080s-and-2083s)?_g=(refreshInterval:(display:Off,pause:!f,section:0,value:0),time:(from:'2017-02-28T13:35:50-0700',mode:absolute,to:'2017-02-28T15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55" s="94" t="str">
        <f t="shared" si="11"/>
        <v>"C:\Program Files (x86)\AstroGrep\AstroGrep.exe" /spath="%USERPROFILE%\AppData\Local\Temp\OnboardLogs" /stypes="*4054*201702282*" /stext=" 21:.+((SYSTEM_STATE.+slice.+state.+changed )|(ment ac)|(multiple cpu faults)|(system.+state.+changed )|(\[timeout)|(PRM\|1\|D)|(kpr)|(kdp)|(\|lc)|(penalty))" /e /r /s</v>
      </c>
      <c r="U55" s="9" t="str">
        <f t="shared" si="12"/>
        <v>4054</v>
      </c>
      <c r="V55" s="32">
        <f t="shared" si="13"/>
        <v>42794.912962962961</v>
      </c>
      <c r="W55" s="46" t="str">
        <f t="shared" si="14"/>
        <v>NW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{"issue":{"subject":"","project_id":79,"tracker_id":40,"status_id":1,"priority_id":2,"assigned_to_id":23,"start_date":"2017-02-28","description":"","custom_fields":[{"id":1,"name":"Subdivision","value":"NW"},{"id":4,"name":"Milepost","value":"0.0575"},{"id":17,"name":"Train ID","value":"824-28"},{"id":16,"name":"Locomotive ID","value":"4054"},{"id":130,"name":"Impact","value":""},{"id":150,"name":"Time of Event (Mountain Time)","value":"14:54:40"},{"id":151,"name":"Denver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"%USERPROFILE%\AppData\Local\Temp\OnboardLogs"\RTDC4054\*4054*201702282*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"%USERPROFILE%\AppData\Local\Temp\OnboardLogs"\RTDC4054\*4054*201702282* &gt;&gt; 2017-02-28-SliceDisagreementCheck.txt</v>
      </c>
      <c r="AE55" s="157" t="str">
        <f t="shared" si="9"/>
        <v>start /low /b %USERPROFILE%\Documents\GitHub\eaglep3\Utilities\DownloadLogsFromS3.py --loco 4054 --day 2017-02-28</v>
      </c>
      <c r="AF55" s="1"/>
    </row>
    <row r="56" spans="1:32" x14ac:dyDescent="0.25">
      <c r="A56" s="32">
        <v>42794.31521990741</v>
      </c>
      <c r="B56" s="30" t="s">
        <v>236</v>
      </c>
      <c r="C56" s="30" t="s">
        <v>547</v>
      </c>
      <c r="D56" s="30" t="s">
        <v>49</v>
      </c>
      <c r="E56" s="30" t="s">
        <v>188</v>
      </c>
      <c r="F56" s="43">
        <v>0</v>
      </c>
      <c r="G56" s="43">
        <v>82</v>
      </c>
      <c r="H56" s="43">
        <v>58766</v>
      </c>
      <c r="I56" s="43">
        <v>58848</v>
      </c>
      <c r="J56" s="30" t="s">
        <v>189</v>
      </c>
      <c r="K56" s="43">
        <v>59048</v>
      </c>
      <c r="L56" s="143" t="s">
        <v>50</v>
      </c>
      <c r="M56" s="144">
        <f t="shared" si="10"/>
        <v>105.6</v>
      </c>
      <c r="N56" s="145" t="str">
        <f>VLOOKUP(C56,'Trips&amp;Operators'!$C$1:$G$99999,5,FALSE)</f>
        <v>COOLAHAN JOHN</v>
      </c>
      <c r="O56" s="194" t="s">
        <v>185</v>
      </c>
      <c r="P56" s="146"/>
      <c r="Q56" s="30"/>
      <c r="R56" s="89" t="str">
        <f>VLOOKUP(C56,'Train Runs'!$A$13:$AE$9939,31,0)</f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S56" s="92" t="str">
        <f>VLOOKUP(C56,'Train Runs'!$A$13:$AE$9939,22,0)</f>
        <v>https://d0f6bd738d7f1b3e5a7ca70fe4ff75f0.us-east-1.aws.found.io/app/kibana#/discover/Steve-Slow-Train-Analysis-(2080s-and-2083s)?_g=(refreshInterval:(display:Off,pause:!f,section:0,value:0),time:(from:'2017-02-28T06:14:22-0700',mode:absolute,to:'2017-02-28T08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6" s="94" t="str">
        <f t="shared" si="11"/>
        <v>"C:\Program Files (x86)\AstroGrep\AstroGrep.exe" /spath="%USERPROFILE%\AppData\Local\Temp\OnboardLogs" /stypes="*4053*201702281*" /stext=" 14:.+((SYSTEM_STATE.+slice.+state.+changed )|(ment ac)|(multiple cpu faults)|(system.+state.+changed )|(\[timeout)|(PRM\|1\|D)|(kpr)|(kdp)|(\|lc)|(penalty))" /e /r /s</v>
      </c>
      <c r="U56" s="9" t="str">
        <f t="shared" si="12"/>
        <v>4053</v>
      </c>
      <c r="V56" s="32">
        <f t="shared" si="13"/>
        <v>42794.606886574074</v>
      </c>
      <c r="W56" s="46" t="str">
        <f t="shared" si="14"/>
        <v>NW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{"issue":{"subject":"","project_id":79,"tracker_id":40,"status_id":1,"priority_id":2,"assigned_to_id":23,"start_date":"2017-02-28","description":"","custom_fields":[{"id":1,"name":"Subdivision","value":"NW"},{"id":4,"name":"Milepost","value":"5.9048"},{"id":17,"name":"Train ID","value":"807-28"},{"id":16,"name":"Locomotive ID","value":"4053"},{"id":130,"name":"Impact","value":""},{"id":150,"name":"Time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"%USERPROFILE%\AppData\Local\Temp\OnboardLogs"\RTDC4053\*4053*201702281*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"%USERPROFILE%\AppData\Local\Temp\OnboardLogs"\RTDC4053\*4053*201702281* &gt;&gt; 2017-02-28-SliceDisagreementCheck.txt</v>
      </c>
      <c r="AE56" s="157" t="str">
        <f t="shared" si="9"/>
        <v>start /low /b %USERPROFILE%\Documents\GitHub\eaglep3\Utilities\DownloadLogsFromS3.py --loco 4053 --day 2017-02-28</v>
      </c>
      <c r="AF56" s="1"/>
    </row>
    <row r="57" spans="1:32" x14ac:dyDescent="0.25">
      <c r="A57" s="32">
        <v>42794.31590277778</v>
      </c>
      <c r="B57" s="30" t="s">
        <v>236</v>
      </c>
      <c r="C57" s="30" t="s">
        <v>547</v>
      </c>
      <c r="D57" s="30" t="s">
        <v>49</v>
      </c>
      <c r="E57" s="30" t="s">
        <v>188</v>
      </c>
      <c r="F57" s="43">
        <v>0</v>
      </c>
      <c r="G57" s="43">
        <v>17</v>
      </c>
      <c r="H57" s="43">
        <v>59008</v>
      </c>
      <c r="I57" s="43">
        <v>59014</v>
      </c>
      <c r="J57" s="30" t="s">
        <v>189</v>
      </c>
      <c r="K57" s="43">
        <v>59048</v>
      </c>
      <c r="L57" s="143" t="s">
        <v>50</v>
      </c>
      <c r="M57" s="144">
        <f t="shared" si="10"/>
        <v>17.952000000000002</v>
      </c>
      <c r="N57" s="145" t="str">
        <f>VLOOKUP(C57,'Trips&amp;Operators'!$C$1:$G$99999,5,FALSE)</f>
        <v>COOLAHAN JOHN</v>
      </c>
      <c r="O57" s="194" t="s">
        <v>185</v>
      </c>
      <c r="P57" s="146"/>
      <c r="Q57" s="30"/>
      <c r="R57" s="89" t="str">
        <f>VLOOKUP(C57,'Train Runs'!$A$13:$AE$9939,31,0)</f>
        <v>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 &amp; aws s3 cp s3://rtdc.mdm.uploadarchive.raw/RTDC4053/ "%USERPROFILE%\AppData\Local\Temp\OnboardLogs"\RTDC4053\2017-03-01 --exclude "*" --recursive --include "*20170301*" &amp; "%USERPROFILE%\Documents\GitHub\mrs-test-scripts\Headless Mode &amp; Sideloading\WalkAndUnGZ.bat" "%USERPROFILE%\AppData\Local\Temp\OnboardLogs"\RTDC4053\2017-03-01</v>
      </c>
      <c r="S57" s="92" t="str">
        <f>VLOOKUP(C57,'Train Runs'!$A$13:$AE$9939,22,0)</f>
        <v>https://d0f6bd738d7f1b3e5a7ca70fe4ff75f0.us-east-1.aws.found.io/app/kibana#/discover/Steve-Slow-Train-Analysis-(2080s-and-2083s)?_g=(refreshInterval:(display:Off,pause:!f,section:0,value:0),time:(from:'2017-02-28T06:14:22-0700',mode:absolute,to:'2017-02-28T08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7" s="94" t="str">
        <f t="shared" si="11"/>
        <v>"C:\Program Files (x86)\AstroGrep\AstroGrep.exe" /spath="%USERPROFILE%\AppData\Local\Temp\OnboardLogs" /stypes="*4053*201702281*" /stext=" 14:.+((SYSTEM_STATE.+slice.+state.+changed )|(ment ac)|(multiple cpu faults)|(system.+state.+changed )|(\[timeout)|(PRM\|1\|D)|(kpr)|(kdp)|(\|lc)|(penalty))" /e /r /s</v>
      </c>
      <c r="U57" s="9" t="str">
        <f t="shared" si="12"/>
        <v>4053</v>
      </c>
      <c r="V57" s="32">
        <f t="shared" si="13"/>
        <v>42794.607569444444</v>
      </c>
      <c r="W57" s="46" t="str">
        <f t="shared" si="14"/>
        <v>NW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{"issue":{"subject":"","project_id":79,"tracker_id":40,"status_id":1,"priority_id":2,"assigned_to_id":23,"start_date":"2017-02-28","description":"","custom_fields":[{"id":1,"name":"Subdivision","value":"NW"},{"id":4,"name":"Milepost","value":"5.9048"},{"id":17,"name":"Train ID","value":"807-28"},{"id":16,"name":"Locomotive ID","value":"4053"},{"id":130,"name":"Impact","value":""},{"id":150,"name":"Time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"%USERPROFILE%\AppData\Local\Temp\OnboardLogs"\RTDC4053\*4053*201702281*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"%USERPROFILE%\AppData\Local\Temp\OnboardLogs"\RTDC4053\*4053*201702281* &gt;&gt; 2017-02-28-SliceDisagreementCheck.txt</v>
      </c>
      <c r="AE57" s="157" t="str">
        <f t="shared" si="9"/>
        <v>start /low /b %USERPROFILE%\Documents\GitHub\eaglep3\Utilities\DownloadLogsFromS3.py --loco 4053 --day 2017-02-28</v>
      </c>
      <c r="AF57" s="1"/>
    </row>
    <row r="58" spans="1:32" x14ac:dyDescent="0.25">
      <c r="A58" s="32">
        <v>42794.204062500001</v>
      </c>
      <c r="B58" s="30" t="s">
        <v>535</v>
      </c>
      <c r="C58" s="30" t="s">
        <v>536</v>
      </c>
      <c r="D58" s="30" t="s">
        <v>49</v>
      </c>
      <c r="E58" s="30" t="s">
        <v>270</v>
      </c>
      <c r="F58" s="43">
        <v>400</v>
      </c>
      <c r="G58" s="43">
        <v>455</v>
      </c>
      <c r="H58" s="43">
        <v>35405</v>
      </c>
      <c r="I58" s="43">
        <v>36940</v>
      </c>
      <c r="J58" s="30" t="s">
        <v>271</v>
      </c>
      <c r="K58" s="43">
        <v>38172</v>
      </c>
      <c r="L58" s="143" t="s">
        <v>50</v>
      </c>
      <c r="M58" s="144">
        <f t="shared" si="10"/>
        <v>650.49599999999998</v>
      </c>
      <c r="N58" s="145" t="str">
        <f>VLOOKUP(C58,'Trips&amp;Operators'!$C$1:$G$99999,5,FALSE)</f>
        <v>YORK EDGAR</v>
      </c>
      <c r="O58" s="194" t="s">
        <v>185</v>
      </c>
      <c r="P58" s="146"/>
      <c r="Q58" s="30"/>
      <c r="R58" s="89" t="str">
        <f>VLOOKUP(C58,'Train Runs'!$A$13:$AE$9939,31,0)</f>
        <v>aws s3 cp s3://rtdc.mdm.uploadarchive.raw/RTDC4016/ "%USERPROFILE%\AppData\Local\Temp\OnboardLogs"\RTDC4016\2017-02-28 --exclude "*" --recursive --include "*20170228*" &amp; "%USERPROFILE%\Documents\GitHub\mrs-test-scripts\Headless Mode &amp; Sideloading\WalkAndUnGZ.bat" "%USERPROFILE%\AppData\Local\Temp\OnboardLogs"\RTDC4016\2017-02-28 &amp; aws s3 cp s3://rtdc.mdm.uploadarchive.raw/RTDC4016/ "%USERPROFILE%\AppData\Local\Temp\OnboardLogs"\RTDC4016\2017-03-01 --exclude "*" --recursive --include "*20170301*" &amp; "%USERPROFILE%\Documents\GitHub\mrs-test-scripts\Headless Mode &amp; Sideloading\WalkAndUnGZ.bat" "%USERPROFILE%\AppData\Local\Temp\OnboardLogs"\RTDC4016\2017-03-01</v>
      </c>
      <c r="S58" s="92" t="str">
        <f>VLOOKUP(C58,'Train Runs'!$A$13:$AE$9939,22,0)</f>
        <v>https://d0f6bd738d7f1b3e5a7ca70fe4ff75f0.us-east-1.aws.found.io/app/kibana#/discover/Steve-Slow-Train-Analysis-(2080s-and-2083s)?_g=(refreshInterval:(display:Off,pause:!f,section:0,value:0),time:(from:'2017-02-28T03:47:52-0700',mode:absolute,to:'2017-02-28T05:59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8" s="94" t="str">
        <f t="shared" si="11"/>
        <v>"C:\Program Files (x86)\AstroGrep\AstroGrep.exe" /spath="%USERPROFILE%\AppData\Local\Temp\OnboardLogs" /stypes="*4016*201702281*" /stext=" 11:.+((SYSTEM_STATE.+slice.+state.+changed )|(ment ac)|(multiple cpu faults)|(system.+state.+changed )|(\[timeout)|(PRM\|1\|D)|(kpr)|(kdp)|(\|lc)|(penalty))" /e /r /s</v>
      </c>
      <c r="U58" s="9" t="str">
        <f t="shared" si="12"/>
        <v>4016</v>
      </c>
      <c r="V58" s="32">
        <f t="shared" si="13"/>
        <v>42794.495729166665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{"issue":{"subject":"","project_id":79,"tracker_id":40,"status_id":1,"priority_id":2,"assigned_to_id":23,"start_date":"2017-02-28","description":"","custom_fields":[{"id":1,"name":"Subdivision","value":"Other"},{"id":4,"name":"Milepost","value":"3.8172"},{"id":17,"name":"Train ID","value":"901-28"},{"id":16,"name":"Locomotive ID","value":"4016"},{"id":130,"name":"Impact","value":""},{"id":150,"name":"Time of Event (Mountain Time)","value":"04:53:51"},{"id":151,"name":"Denver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"%USERPROFILE%\AppData\Local\Temp\OnboardLogs"\RTDC4016\*4016*201702281*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"%USERPROFILE%\AppData\Local\Temp\OnboardLogs"\RTDC4016\*4016*201702281* &gt;&gt; 2017-02-28-SliceDisagreementCheck.txt</v>
      </c>
      <c r="AE58" s="157" t="str">
        <f t="shared" si="9"/>
        <v>start /low /b %USERPROFILE%\Documents\GitHub\eaglep3\Utilities\DownloadLogsFromS3.py --loco 4016 --day 2017-02-28</v>
      </c>
      <c r="AF58" s="1"/>
    </row>
    <row r="59" spans="1:32" x14ac:dyDescent="0.25">
      <c r="A59" s="32">
        <v>42794.119641203702</v>
      </c>
      <c r="B59" s="30" t="s">
        <v>529</v>
      </c>
      <c r="C59" s="30" t="s">
        <v>530</v>
      </c>
      <c r="D59" s="30" t="s">
        <v>49</v>
      </c>
      <c r="E59" s="30" t="s">
        <v>186</v>
      </c>
      <c r="F59" s="43">
        <v>0</v>
      </c>
      <c r="G59" s="43">
        <v>114</v>
      </c>
      <c r="H59" s="43">
        <v>19417</v>
      </c>
      <c r="I59" s="43">
        <v>19261</v>
      </c>
      <c r="J59" s="30" t="s">
        <v>187</v>
      </c>
      <c r="K59" s="43">
        <v>19000</v>
      </c>
      <c r="L59" s="143" t="s">
        <v>51</v>
      </c>
      <c r="M59" s="144">
        <f t="shared" si="10"/>
        <v>137.80799999999999</v>
      </c>
      <c r="N59" s="145" t="str">
        <f>VLOOKUP(C59,'Trips&amp;Operators'!$C$1:$G$99999,5,FALSE)</f>
        <v>SANTIZO D. EDY</v>
      </c>
      <c r="O59" s="194" t="s">
        <v>185</v>
      </c>
      <c r="P59" s="146"/>
      <c r="Q59" s="30"/>
      <c r="R59" s="89" t="str">
        <f>VLOOKUP(C59,'Train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59" s="92" t="str">
        <f>VLOOKUP(C59,'Train Runs'!$A$13:$AE$9939,22,0)</f>
        <v>https://d0f6bd738d7f1b3e5a7ca70fe4ff75f0.us-east-1.aws.found.io/app/kibana#/discover/Steve-Slow-Train-Analysis-(2080s-and-2083s)?_g=(refreshInterval:(display:Off,pause:!f,section:0,value:0),time:(from:'2017-02-28T01:48:19-0700',mode:absolute,to:'2017-02-28T04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9" s="94" t="str">
        <f t="shared" si="11"/>
        <v>"C:\Program Files (x86)\AstroGrep\AstroGrep.exe" /spath="%USERPROFILE%\AppData\Local\Temp\OnboardLogs" /stypes="*4052*201702280*" /stext=" 09:.+((SYSTEM_STATE.+slice.+state.+changed )|(ment ac)|(multiple cpu faults)|(system.+state.+changed )|(\[timeout)|(PRM\|1\|D)|(kpr)|(kdp)|(\|lc)|(penalty))" /e /r /s</v>
      </c>
      <c r="U59" s="9" t="str">
        <f t="shared" si="12"/>
        <v>4052</v>
      </c>
      <c r="V59" s="32">
        <f t="shared" si="13"/>
        <v>42794.411307870367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{"issue":{"subject":"","project_id":79,"tracker_id":40,"status_id":1,"priority_id":2,"assigned_to_id":23,"start_date":"2017-02-28","description":"","custom_fields":[{"id":1,"name":"Subdivision","value":"Other"},{"id":4,"name":"Milepost","value":"1.9"},{"id":17,"name":"Train ID","value":"302-28"},{"id":16,"name":"Locomotive ID","value":"4052"},{"id":130,"name":"Impact","value":""},{"id":150,"name":"Time of Event (Mountain Time)","value":"02:52:17"},{"id":151,"name":"Denver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"%USERPROFILE%\AppData\Local\Temp\OnboardLogs"\RTDC4052\*4052*201702280*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"%USERPROFILE%\AppData\Local\Temp\OnboardLogs"\RTDC4052\*4052*201702280* &gt;&gt; 2017-02-28-SliceDisagreementCheck.txt</v>
      </c>
      <c r="AE59" s="157" t="str">
        <f t="shared" si="9"/>
        <v>start /low /b %USERPROFILE%\Documents\GitHub\eaglep3\Utilities\DownloadLogsFromS3.py --loco 4052 --day 2017-02-28</v>
      </c>
      <c r="AF59" s="1"/>
    </row>
    <row r="60" spans="1:32" x14ac:dyDescent="0.25">
      <c r="A60" s="32">
        <v>42794.123981481483</v>
      </c>
      <c r="B60" s="30" t="s">
        <v>529</v>
      </c>
      <c r="C60" s="30" t="s">
        <v>530</v>
      </c>
      <c r="D60" s="30" t="s">
        <v>98</v>
      </c>
      <c r="E60" s="30" t="s">
        <v>360</v>
      </c>
      <c r="F60" s="43">
        <v>0</v>
      </c>
      <c r="G60" s="43">
        <v>152</v>
      </c>
      <c r="H60" s="43">
        <v>3836</v>
      </c>
      <c r="I60" s="43">
        <v>3483</v>
      </c>
      <c r="J60" s="30" t="s">
        <v>361</v>
      </c>
      <c r="K60" s="43">
        <v>4790</v>
      </c>
      <c r="L60" s="143" t="s">
        <v>51</v>
      </c>
      <c r="M60" s="144">
        <f t="shared" si="10"/>
        <v>-690.09600000000012</v>
      </c>
      <c r="N60" s="145" t="str">
        <f>VLOOKUP(C60,'Trips&amp;Operators'!$C$1:$G$99999,5,FALSE)</f>
        <v>SANTIZO D. EDY</v>
      </c>
      <c r="O60" s="194" t="s">
        <v>185</v>
      </c>
      <c r="P60" s="146"/>
      <c r="Q60" s="30"/>
      <c r="R60" s="89" t="str">
        <f>VLOOKUP(C60,'Train Runs'!$A$13:$AE$9939,31,0)</f>
        <v>aws s3 cp s3://rtdc.mdm.uploadarchive.raw/RTDC4052/ "%USERPROFILE%\AppData\Local\Temp\OnboardLogs"\RTDC4052\2017-02-28 --exclude "*" --recursive --include "*20170228*" &amp; "%USERPROFILE%\Documents\GitHub\mrs-test-scripts\Headless Mode &amp; Sideloading\WalkAndUnGZ.bat" "%USERPROFILE%\AppData\Local\Temp\OnboardLogs"\RTDC4052\2017-02-28 &amp; aws s3 cp s3://rtdc.mdm.uploadarchive.raw/RTDC4052/ "%USERPROFILE%\AppData\Local\Temp\OnboardLogs"\RTDC4052\2017-03-01 --exclude "*" --recursive --include "*20170301*" &amp; "%USERPROFILE%\Documents\GitHub\mrs-test-scripts\Headless Mode &amp; Sideloading\WalkAndUnGZ.bat" "%USERPROFILE%\AppData\Local\Temp\OnboardLogs"\RTDC4052\2017-03-01</v>
      </c>
      <c r="S60" s="92" t="str">
        <f>VLOOKUP(C60,'Train Runs'!$A$13:$AE$9939,22,0)</f>
        <v>https://d0f6bd738d7f1b3e5a7ca70fe4ff75f0.us-east-1.aws.found.io/app/kibana#/discover/Steve-Slow-Train-Analysis-(2080s-and-2083s)?_g=(refreshInterval:(display:Off,pause:!f,section:0,value:0),time:(from:'2017-02-28T01:48:19-0700',mode:absolute,to:'2017-02-28T04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60" s="94" t="str">
        <f t="shared" si="11"/>
        <v>"C:\Program Files (x86)\AstroGrep\AstroGrep.exe" /spath="%USERPROFILE%\AppData\Local\Temp\OnboardLogs" /stypes="*4052*201702280*" /stext=" 09:.+((SYSTEM_STATE.+slice.+state.+changed )|(ment ac)|(multiple cpu faults)|(system.+state.+changed )|(\[timeout)|(PRM\|1\|D)|(kpr)|(kdp)|(\|lc)|(penalty))" /e /r /s</v>
      </c>
      <c r="U60" s="9" t="str">
        <f t="shared" si="12"/>
        <v>4052</v>
      </c>
      <c r="V60" s="32">
        <f t="shared" si="13"/>
        <v>42794.415648148148</v>
      </c>
      <c r="W60" s="46" t="str">
        <f t="shared" si="14"/>
        <v>Other</v>
      </c>
      <c r="X60" s="46" t="str">
        <f t="shared" si="15"/>
        <v>KEEP</v>
      </c>
      <c r="Y60" s="108" t="str">
        <f t="shared" si="16"/>
        <v>echo {"issue":{"subject":"","project_id":79,"tracker_id":40,"status_id":1,"priority_id":2,"assigned_to_id":23,"start_date":"2017-02-28","description":"","custom_fields":[{"id":1,"name":"Subdivision","value":"Other"},{"id":4,"name":"Milepost","value":"0.479"},{"id":17,"name":"Train ID","value":"302-28"},{"id":16,"name":"Locomotive ID","value":"4052"},{"id":130,"name":"Impact","value":""},{"id":150,"name":"Time of Event (Mountain Time)","value":"02:58:32"},{"id":151,"name":"Denver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7"/>
        <v>grep -hSE -A400 "Enforcement Action" "%USERPROFILE%\AppData\Local\Temp\OnboardLogs"\RTDC4052\*4052*201702280*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"%USERPROFILE%\AppData\Local\Temp\OnboardLogs"\RTDC4052\*4052*201702280* &gt;&gt; 2017-02-28-SliceDisagreementCheck.txt</v>
      </c>
      <c r="AE60" s="157" t="str">
        <f t="shared" si="9"/>
        <v>start /low /b %USERPROFILE%\Documents\GitHub\eaglep3\Utilities\DownloadLogsFromS3.py --loco 4052 --day 2017-02-28</v>
      </c>
      <c r="AF60" s="1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</sheetData>
  <autoFilter ref="A6:AC69">
    <sortState ref="A7:AC69">
      <sortCondition ref="W7:W60"/>
      <sortCondition ref="E7:E60"/>
      <sortCondition ref="K7:K60"/>
      <sortCondition ref="F7:F60"/>
    </sortState>
  </autoFilter>
  <sortState ref="A7:AE45">
    <sortCondition ref="W7:W45"/>
    <sortCondition ref="E7:E45"/>
    <sortCondition ref="K7:K45"/>
    <sortCondition ref="C7:C45"/>
    <sortCondition ref="F7:F45"/>
  </sortState>
  <mergeCells count="1">
    <mergeCell ref="A5:O5"/>
  </mergeCells>
  <conditionalFormatting sqref="O6:P6 R6 O70:O1048576 O7:O6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4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2017-02-28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-28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0" t="e">
        <f>VLOOKUP(B3,'Train Runs'!$A$13:$A$99936,1,FALSE)</f>
        <v>#N/A</v>
      </c>
    </row>
    <row r="4" spans="1:10" x14ac:dyDescent="0.25">
      <c r="A4" s="185"/>
      <c r="B4" s="43" t="str">
        <f>A4&amp;"-"&amp;IF(DAY(Variables!$A$2)&lt;10,0,"")&amp;DAY(Variables!$A$2)</f>
        <v>-28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Runs'!$A$13:$A$99936,1,FALSE)</f>
        <v>#N/A</v>
      </c>
    </row>
    <row r="5" spans="1:10" x14ac:dyDescent="0.25">
      <c r="A5" s="185"/>
      <c r="B5" s="43" t="str">
        <f>A5&amp;"-"&amp;IF(DAY(Variables!$A$2)&lt;10,0,"")&amp;DAY(Variables!$A$2)</f>
        <v>-28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Runs'!$A$13:$A$99936,1,FALSE)</f>
        <v>#N/A</v>
      </c>
    </row>
    <row r="6" spans="1:10" x14ac:dyDescent="0.25">
      <c r="A6" s="185"/>
      <c r="B6" s="43" t="str">
        <f>A6&amp;"-"&amp;IF(DAY(Variables!$A$2)&lt;10,0,"")&amp;DAY(Variables!$A$2)</f>
        <v>-28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Runs'!$A$13:$A$99936,1,FALSE)</f>
        <v>#N/A</v>
      </c>
    </row>
    <row r="7" spans="1:10" x14ac:dyDescent="0.25">
      <c r="A7" s="185"/>
      <c r="B7" s="43" t="str">
        <f>A7&amp;"-"&amp;IF(DAY(Variables!$A$2)&lt;10,0,"")&amp;DAY(Variables!$A$2)</f>
        <v>-28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Runs'!$A$13:$A$99936,1,FALSE)</f>
        <v>#N/A</v>
      </c>
    </row>
    <row r="8" spans="1:10" x14ac:dyDescent="0.25">
      <c r="A8" s="185"/>
      <c r="B8" s="43" t="str">
        <f>A8&amp;"-"&amp;IF(DAY(Variables!$A$2)&lt;10,0,"")&amp;DAY(Variables!$A$2)</f>
        <v>-28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Runs'!$A$13:$A$99936,1,FALSE)</f>
        <v>#N/A</v>
      </c>
    </row>
    <row r="9" spans="1:10" x14ac:dyDescent="0.25">
      <c r="A9" s="185"/>
      <c r="B9" s="43" t="str">
        <f>A9&amp;"-"&amp;IF(DAY(Variables!$A$2)&lt;10,0,"")&amp;DAY(Variables!$A$2)</f>
        <v>-28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Runs'!$A$13:$A$99936,1,FALSE)</f>
        <v>#N/A</v>
      </c>
    </row>
    <row r="10" spans="1:10" x14ac:dyDescent="0.25">
      <c r="A10" s="185"/>
      <c r="B10" s="43" t="str">
        <f>A10&amp;"-"&amp;IF(DAY(Variables!$A$2)&lt;10,0,"")&amp;DAY(Variables!$A$2)</f>
        <v>-28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Runs'!$A$13:$A$99936,1,FALSE)</f>
        <v>#N/A</v>
      </c>
    </row>
    <row r="11" spans="1:10" x14ac:dyDescent="0.25">
      <c r="A11" s="185"/>
      <c r="B11" s="43" t="str">
        <f>A11&amp;"-"&amp;IF(DAY(Variables!$A$2)&lt;10,0,"")&amp;DAY(Variables!$A$2)</f>
        <v>-28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Runs'!$A$13:$A$99936,1,FALSE)</f>
        <v>#N/A</v>
      </c>
    </row>
    <row r="12" spans="1:10" x14ac:dyDescent="0.25">
      <c r="A12" s="185"/>
      <c r="B12" s="43" t="str">
        <f>A12&amp;"-"&amp;IF(DAY(Variables!$A$2)&lt;10,0,"")&amp;DAY(Variables!$A$2)</f>
        <v>-28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Runs'!$A$13:$A$99936,1,FALSE)</f>
        <v>#N/A</v>
      </c>
    </row>
    <row r="13" spans="1:10" x14ac:dyDescent="0.25">
      <c r="A13" s="185"/>
      <c r="B13" s="43" t="str">
        <f>A13&amp;"-"&amp;IF(DAY(Variables!$A$2)&lt;10,0,"")&amp;DAY(Variables!$A$2)</f>
        <v>-28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Runs'!$A$13:$A$99936,1,FALSE)</f>
        <v>#N/A</v>
      </c>
    </row>
    <row r="14" spans="1:10" x14ac:dyDescent="0.25">
      <c r="A14" s="185"/>
      <c r="B14" s="43" t="str">
        <f>A14&amp;"-"&amp;IF(DAY(Variables!$A$2)&lt;10,0,"")&amp;DAY(Variables!$A$2)</f>
        <v>-28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Runs'!$A$13:$A$99936,1,FALSE)</f>
        <v>#N/A</v>
      </c>
    </row>
    <row r="15" spans="1:10" x14ac:dyDescent="0.25">
      <c r="A15" s="185"/>
      <c r="B15" s="43" t="str">
        <f>A15&amp;"-"&amp;IF(DAY(Variables!$A$2)&lt;10,0,"")&amp;DAY(Variables!$A$2)</f>
        <v>-28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Runs'!$A$13:$A$99936,1,FALSE)</f>
        <v>#N/A</v>
      </c>
    </row>
    <row r="16" spans="1:10" x14ac:dyDescent="0.25">
      <c r="A16" s="185"/>
      <c r="B16" s="43" t="str">
        <f>A16&amp;"-"&amp;IF(DAY(Variables!$A$2)&lt;10,0,"")&amp;DAY(Variables!$A$2)</f>
        <v>-28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Runs'!$A$13:$A$99936,1,FALSE)</f>
        <v>#N/A</v>
      </c>
    </row>
    <row r="17" spans="1:10" x14ac:dyDescent="0.25">
      <c r="A17" s="185"/>
      <c r="B17" s="43" t="str">
        <f>A17&amp;"-"&amp;IF(DAY(Variables!$A$2)&lt;10,0,"")&amp;DAY(Variables!$A$2)</f>
        <v>-28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Runs'!$A$13:$A$99936,1,FALSE)</f>
        <v>#N/A</v>
      </c>
    </row>
    <row r="18" spans="1:10" x14ac:dyDescent="0.25">
      <c r="A18" s="185"/>
      <c r="B18" s="43" t="str">
        <f>A18&amp;"-"&amp;IF(DAY(Variables!$A$2)&lt;10,0,"")&amp;DAY(Variables!$A$2)</f>
        <v>-28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Runs'!$A$13:$A$99936,1,FALSE)</f>
        <v>#N/A</v>
      </c>
    </row>
    <row r="19" spans="1:10" x14ac:dyDescent="0.25">
      <c r="A19" s="185"/>
      <c r="B19" s="43" t="str">
        <f>A19&amp;"-"&amp;IF(DAY(Variables!$A$2)&lt;10,0,"")&amp;DAY(Variables!$A$2)</f>
        <v>-28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0" t="e">
        <f>VLOOKUP(B19,'Train Runs'!$A$13:$A$99936,1,FALSE)</f>
        <v>#N/A</v>
      </c>
    </row>
    <row r="20" spans="1:10" x14ac:dyDescent="0.25">
      <c r="A20" s="185"/>
      <c r="B20" s="43" t="str">
        <f>A20&amp;"-"&amp;IF(DAY(Variables!$A$2)&lt;10,0,"")&amp;DAY(Variables!$A$2)</f>
        <v>-28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0" t="e">
        <f>VLOOKUP(B20,'Train Runs'!$A$13:$A$99936,1,FALSE)</f>
        <v>#N/A</v>
      </c>
    </row>
    <row r="21" spans="1:10" x14ac:dyDescent="0.25">
      <c r="A21" s="185"/>
      <c r="B21" s="43" t="str">
        <f>A21&amp;"-"&amp;IF(DAY(Variables!$A$2)&lt;10,0,"")&amp;DAY(Variables!$A$2)</f>
        <v>-28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0" t="e">
        <f>VLOOKUP(B21,'Train Runs'!$A$13:$A$99936,1,FALSE)</f>
        <v>#N/A</v>
      </c>
    </row>
    <row r="22" spans="1:10" x14ac:dyDescent="0.25">
      <c r="A22" s="185"/>
      <c r="B22" s="43" t="str">
        <f>A22&amp;"-"&amp;IF(DAY(Variables!$A$2)&lt;10,0,"")&amp;DAY(Variables!$A$2)</f>
        <v>-28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0" t="e">
        <f>VLOOKUP(B22,'Train Runs'!$A$13:$A$99936,1,FALSE)</f>
        <v>#N/A</v>
      </c>
    </row>
    <row r="23" spans="1:10" x14ac:dyDescent="0.25">
      <c r="A23" s="185"/>
      <c r="B23" s="43" t="str">
        <f>A23&amp;"-"&amp;IF(DAY(Variables!$A$2)&lt;10,0,"")&amp;DAY(Variables!$A$2)</f>
        <v>-28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0" t="e">
        <f>VLOOKUP(B23,'Train Runs'!$A$13:$A$99936,1,FALSE)</f>
        <v>#N/A</v>
      </c>
    </row>
    <row r="24" spans="1:10" x14ac:dyDescent="0.25">
      <c r="A24" s="185"/>
      <c r="B24" s="43" t="str">
        <f>A24&amp;"-"&amp;IF(DAY(Variables!$A$2)&lt;10,0,"")&amp;DAY(Variables!$A$2)</f>
        <v>-28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4" s="30" t="e">
        <f>VLOOKUP(B24,'Train Runs'!$A$13:$A$99936,1,FALSE)</f>
        <v>#N/A</v>
      </c>
    </row>
    <row r="25" spans="1:10" x14ac:dyDescent="0.25">
      <c r="A25" s="185"/>
      <c r="B25" s="43" t="str">
        <f>A25&amp;"-"&amp;IF(DAY(Variables!$A$2)&lt;10,0,"")&amp;DAY(Variables!$A$2)</f>
        <v>-28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5" s="30" t="e">
        <f>VLOOKUP(B25,'Train Runs'!$A$13:$A$99936,1,FALSE)</f>
        <v>#N/A</v>
      </c>
    </row>
    <row r="26" spans="1:10" x14ac:dyDescent="0.25">
      <c r="A26" s="185"/>
      <c r="B26" s="43" t="str">
        <f>A26&amp;"-"&amp;IF(DAY(Variables!$A$2)&lt;10,0,"")&amp;DAY(Variables!$A$2)</f>
        <v>-28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6" s="30" t="e">
        <f>VLOOKUP(B26,'Train Runs'!$A$13:$A$99936,1,FALSE)</f>
        <v>#N/A</v>
      </c>
    </row>
    <row r="27" spans="1:10" x14ac:dyDescent="0.25">
      <c r="A27" s="185"/>
      <c r="B27" s="43" t="str">
        <f>A27&amp;"-"&amp;IF(DAY(Variables!$A$2)&lt;10,0,"")&amp;DAY(Variables!$A$2)</f>
        <v>-28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7" s="30" t="e">
        <f>VLOOKUP(B27,'Train Runs'!$A$13:$A$99936,1,FALSE)</f>
        <v>#N/A</v>
      </c>
    </row>
    <row r="28" spans="1:10" x14ac:dyDescent="0.25">
      <c r="A28" s="185"/>
      <c r="B28" s="43" t="str">
        <f>A28&amp;"-"&amp;IF(DAY(Variables!$A$2)&lt;10,0,"")&amp;DAY(Variables!$A$2)</f>
        <v>-28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8" s="30" t="e">
        <f>VLOOKUP(B28,'Train Runs'!$A$13:$A$99936,1,FALSE)</f>
        <v>#N/A</v>
      </c>
    </row>
    <row r="29" spans="1:10" x14ac:dyDescent="0.25">
      <c r="A29" s="185"/>
      <c r="B29" s="43" t="str">
        <f>A29&amp;"-"&amp;IF(DAY(Variables!$A$2)&lt;10,0,"")&amp;DAY(Variables!$A$2)</f>
        <v>-28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ref="I29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9" s="30" t="e">
        <f>VLOOKUP(B29,'Train Runs'!$A$13:$A$99936,1,FALSE)</f>
        <v>#N/A</v>
      </c>
    </row>
    <row r="30" spans="1:10" x14ac:dyDescent="0.25">
      <c r="A30" s="185"/>
      <c r="B30" s="43" t="str">
        <f>A30&amp;"-"&amp;IF(DAY(Variables!$A$2)&lt;10,0,"")&amp;DAY(Variables!$A$2)</f>
        <v>-28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0" s="30" t="e">
        <f>VLOOKUP(B30,'Train Runs'!$A$13:$A$99936,1,FALSE)</f>
        <v>#N/A</v>
      </c>
    </row>
    <row r="31" spans="1:10" x14ac:dyDescent="0.25">
      <c r="A31" s="185"/>
      <c r="B31" s="43" t="str">
        <f>A31&amp;"-"&amp;IF(DAY(Variables!$A$2)&lt;10,0,"")&amp;DAY(Variables!$A$2)</f>
        <v>-28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1" s="30" t="e">
        <f>VLOOKUP(B31,'Train Runs'!$A$13:$A$99936,1,FALSE)</f>
        <v>#N/A</v>
      </c>
    </row>
    <row r="32" spans="1:10" x14ac:dyDescent="0.25">
      <c r="A32" s="185"/>
      <c r="B32" s="43" t="str">
        <f>A32&amp;"-"&amp;IF(DAY(Variables!$A$2)&lt;10,0,"")&amp;DAY(Variables!$A$2)</f>
        <v>-28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2" s="30" t="e">
        <f>VLOOKUP(B32,'Train Runs'!$A$13:$A$99936,1,FALSE)</f>
        <v>#N/A</v>
      </c>
    </row>
    <row r="33" spans="1:10" x14ac:dyDescent="0.25">
      <c r="A33" s="185"/>
      <c r="B33" s="43" t="str">
        <f>A33&amp;"-"&amp;IF(DAY(Variables!$A$2)&lt;10,0,"")&amp;DAY(Variables!$A$2)</f>
        <v>-28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3" s="30" t="e">
        <f>VLOOKUP(B33,'Train Runs'!$A$13:$A$99936,1,FALSE)</f>
        <v>#N/A</v>
      </c>
    </row>
    <row r="34" spans="1:10" x14ac:dyDescent="0.25">
      <c r="A34" s="185"/>
      <c r="B34" s="43" t="str">
        <f>A34&amp;"-"&amp;IF(DAY(Variables!$A$2)&lt;10,0,"")&amp;DAY(Variables!$A$2)</f>
        <v>-28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4" s="30" t="e">
        <f>VLOOKUP(B34,'Train Runs'!$A$13:$A$99936,1,FALSE)</f>
        <v>#N/A</v>
      </c>
    </row>
    <row r="35" spans="1:10" x14ac:dyDescent="0.25">
      <c r="A35" s="185"/>
      <c r="B35" s="43" t="str">
        <f>A35&amp;"-"&amp;IF(DAY(Variables!$A$2)&lt;10,0,"")&amp;DAY(Variables!$A$2)</f>
        <v>-28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5" s="30" t="e">
        <f>VLOOKUP(B35,'Train Runs'!$A$13:$A$99936,1,FALSE)</f>
        <v>#N/A</v>
      </c>
    </row>
    <row r="36" spans="1:10" x14ac:dyDescent="0.25">
      <c r="A36" s="185"/>
      <c r="B36" s="43" t="str">
        <f>A36&amp;"-"&amp;IF(DAY(Variables!$A$2)&lt;10,0,"")&amp;DAY(Variables!$A$2)</f>
        <v>-28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6" s="30" t="e">
        <f>VLOOKUP(B36,'Train Runs'!$A$13:$A$99936,1,FALSE)</f>
        <v>#N/A</v>
      </c>
    </row>
    <row r="37" spans="1:10" x14ac:dyDescent="0.25">
      <c r="A37" s="185"/>
      <c r="B37" s="43" t="str">
        <f>A37&amp;"-"&amp;IF(DAY(Variables!$A$2)&lt;10,0,"")&amp;DAY(Variables!$A$2)</f>
        <v>-28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7" s="30" t="e">
        <f>VLOOKUP(B37,'Train Runs'!$A$13:$A$99936,1,FALSE)</f>
        <v>#N/A</v>
      </c>
    </row>
    <row r="38" spans="1:10" x14ac:dyDescent="0.25">
      <c r="A38" s="185"/>
      <c r="B38" s="43" t="str">
        <f>A38&amp;"-"&amp;IF(DAY(Variables!$A$2)&lt;10,0,"")&amp;DAY(Variables!$A$2)</f>
        <v>-28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8" s="30" t="e">
        <f>VLOOKUP(B38,'Train Runs'!$A$13:$A$99936,1,FALSE)</f>
        <v>#N/A</v>
      </c>
    </row>
    <row r="39" spans="1:10" x14ac:dyDescent="0.25">
      <c r="A39" s="185"/>
      <c r="B39" s="43" t="str">
        <f>A39&amp;"-"&amp;IF(DAY(Variables!$A$2)&lt;10,0,"")&amp;DAY(Variables!$A$2)</f>
        <v>-28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9" s="30" t="e">
        <f>VLOOKUP(B39,'Train Runs'!$A$13:$A$99936,1,FALSE)</f>
        <v>#N/A</v>
      </c>
    </row>
    <row r="40" spans="1:10" x14ac:dyDescent="0.25">
      <c r="A40" s="185"/>
      <c r="B40" s="43" t="str">
        <f>A40&amp;"-"&amp;IF(DAY(Variables!$A$2)&lt;10,0,"")&amp;DAY(Variables!$A$2)</f>
        <v>-28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0" s="30" t="e">
        <f>VLOOKUP(B40,'Train Runs'!$A$13:$A$99936,1,FALSE)</f>
        <v>#N/A</v>
      </c>
    </row>
    <row r="41" spans="1:10" x14ac:dyDescent="0.25">
      <c r="A41" s="185"/>
      <c r="B41" s="43" t="str">
        <f>A41&amp;"-"&amp;IF(DAY(Variables!$A$2)&lt;10,0,"")&amp;DAY(Variables!$A$2)</f>
        <v>-28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1" s="30" t="e">
        <f>VLOOKUP(B41,'Train Runs'!$A$13:$A$99936,1,FALSE)</f>
        <v>#N/A</v>
      </c>
    </row>
    <row r="42" spans="1:10" x14ac:dyDescent="0.25">
      <c r="A42" s="185"/>
      <c r="B42" s="43" t="str">
        <f>A42&amp;"-"&amp;IF(DAY(Variables!$A$2)&lt;10,0,"")&amp;DAY(Variables!$A$2)</f>
        <v>-28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2" s="30" t="e">
        <f>VLOOKUP(B42,'Train Runs'!$A$13:$A$99936,1,FALSE)</f>
        <v>#N/A</v>
      </c>
    </row>
    <row r="43" spans="1:10" x14ac:dyDescent="0.25">
      <c r="A43" s="185"/>
      <c r="B43" s="43" t="str">
        <f>A43&amp;"-"&amp;IF(DAY(Variables!$A$2)&lt;10,0,"")&amp;DAY(Variables!$A$2)</f>
        <v>-28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3" s="30" t="e">
        <f>VLOOKUP(B43,'Train Runs'!$A$13:$A$99936,1,FALSE)</f>
        <v>#N/A</v>
      </c>
    </row>
    <row r="44" spans="1:10" x14ac:dyDescent="0.25">
      <c r="A44" s="185"/>
      <c r="B44" s="43" t="str">
        <f>A44&amp;"-"&amp;IF(DAY(Variables!$A$2)&lt;10,0,"")&amp;DAY(Variables!$A$2)</f>
        <v>-28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4" s="30" t="e">
        <f>VLOOKUP(B44,'Train Runs'!$A$13:$A$99936,1,FALSE)</f>
        <v>#N/A</v>
      </c>
    </row>
    <row r="45" spans="1:10" x14ac:dyDescent="0.25">
      <c r="A45" s="185"/>
      <c r="B45" s="43" t="str">
        <f>A45&amp;"-"&amp;IF(DAY(Variables!$A$2)&lt;10,0,"")&amp;DAY(Variables!$A$2)</f>
        <v>-28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5" s="30" t="e">
        <f>VLOOKUP(B45,'Train Runs'!$A$13:$A$99936,1,FALSE)</f>
        <v>#N/A</v>
      </c>
    </row>
    <row r="46" spans="1:10" x14ac:dyDescent="0.25">
      <c r="A46" s="185"/>
      <c r="B46" s="43" t="str">
        <f>A46&amp;"-"&amp;IF(DAY(Variables!$A$2)&lt;10,0,"")&amp;DAY(Variables!$A$2)</f>
        <v>-28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6" s="30" t="e">
        <f>VLOOKUP(B46,'Train Runs'!$A$13:$A$99936,1,FALSE)</f>
        <v>#N/A</v>
      </c>
    </row>
    <row r="47" spans="1:10" x14ac:dyDescent="0.25">
      <c r="A47" s="185"/>
      <c r="B47" s="43" t="str">
        <f>A47&amp;"-"&amp;IF(DAY(Variables!$A$2)&lt;10,0,"")&amp;DAY(Variables!$A$2)</f>
        <v>-28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7" s="30" t="e">
        <f>VLOOKUP(B47,'Train Runs'!$A$13:$A$99936,1,FALSE)</f>
        <v>#N/A</v>
      </c>
    </row>
    <row r="48" spans="1:10" x14ac:dyDescent="0.25">
      <c r="A48" s="185"/>
      <c r="B48" s="43" t="str">
        <f>A48&amp;"-"&amp;IF(DAY(Variables!$A$2)&lt;10,0,"")&amp;DAY(Variables!$A$2)</f>
        <v>-28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8" s="30" t="e">
        <f>VLOOKUP(B48,'Train Runs'!$A$13:$A$99936,1,FALSE)</f>
        <v>#N/A</v>
      </c>
    </row>
    <row r="49" spans="1:10" x14ac:dyDescent="0.25">
      <c r="A49" s="185"/>
      <c r="B49" s="43" t="str">
        <f>A49&amp;"-"&amp;IF(DAY(Variables!$A$2)&lt;10,0,"")&amp;DAY(Variables!$A$2)</f>
        <v>-28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9" s="30" t="e">
        <f>VLOOKUP(B49,'Train Runs'!$A$13:$A$99936,1,FALSE)</f>
        <v>#N/A</v>
      </c>
    </row>
    <row r="50" spans="1:10" x14ac:dyDescent="0.25">
      <c r="A50" s="185"/>
      <c r="B50" s="43" t="str">
        <f>A50&amp;"-"&amp;IF(DAY(Variables!$A$2)&lt;10,0,"")&amp;DAY(Variables!$A$2)</f>
        <v>-28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0" s="30" t="e">
        <f>VLOOKUP(B50,'Train Runs'!$A$13:$A$99936,1,FALSE)</f>
        <v>#N/A</v>
      </c>
    </row>
    <row r="51" spans="1:10" x14ac:dyDescent="0.25">
      <c r="A51" s="185"/>
      <c r="B51" s="43" t="str">
        <f>A51&amp;"-"&amp;IF(DAY(Variables!$A$2)&lt;10,0,"")&amp;DAY(Variables!$A$2)</f>
        <v>-28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1" s="30" t="e">
        <f>VLOOKUP(B51,'Train Runs'!$A$13:$A$99936,1,FALSE)</f>
        <v>#N/A</v>
      </c>
    </row>
    <row r="52" spans="1:10" x14ac:dyDescent="0.25">
      <c r="A52" s="185"/>
      <c r="B52" s="43" t="str">
        <f>A52&amp;"-"&amp;IF(DAY(Variables!$A$2)&lt;10,0,"")&amp;DAY(Variables!$A$2)</f>
        <v>-28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2" s="30" t="e">
        <f>VLOOKUP(B52,'Train Runs'!$A$13:$A$99936,1,FALSE)</f>
        <v>#N/A</v>
      </c>
    </row>
    <row r="53" spans="1:10" x14ac:dyDescent="0.25">
      <c r="A53" s="185"/>
      <c r="B53" s="43" t="str">
        <f>A53&amp;"-"&amp;IF(DAY(Variables!$A$2)&lt;10,0,"")&amp;DAY(Variables!$A$2)</f>
        <v>-28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3" s="30" t="e">
        <f>VLOOKUP(B53,'Train Runs'!$A$13:$A$99936,1,FALSE)</f>
        <v>#N/A</v>
      </c>
    </row>
    <row r="54" spans="1:10" x14ac:dyDescent="0.25">
      <c r="A54" s="185"/>
      <c r="B54" s="43" t="str">
        <f>A54&amp;"-"&amp;IF(DAY(Variables!$A$2)&lt;10,0,"")&amp;DAY(Variables!$A$2)</f>
        <v>-28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4" s="30" t="e">
        <f>VLOOKUP(B54,'Train Runs'!$A$13:$A$99936,1,FALSE)</f>
        <v>#N/A</v>
      </c>
    </row>
    <row r="55" spans="1:10" x14ac:dyDescent="0.25">
      <c r="A55" s="185"/>
      <c r="B55" s="43" t="str">
        <f>A55&amp;"-"&amp;IF(DAY(Variables!$A$2)&lt;10,0,"")&amp;DAY(Variables!$A$2)</f>
        <v>-28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5" s="30" t="e">
        <f>VLOOKUP(B55,'Train Runs'!$A$13:$A$99936,1,FALSE)</f>
        <v>#N/A</v>
      </c>
    </row>
    <row r="56" spans="1:10" x14ac:dyDescent="0.25">
      <c r="A56" s="185"/>
      <c r="B56" s="43" t="str">
        <f>A56&amp;"-"&amp;IF(DAY(Variables!$A$2)&lt;10,0,"")&amp;DAY(Variables!$A$2)</f>
        <v>-28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6" s="30" t="e">
        <f>VLOOKUP(B56,'Train Runs'!$A$13:$A$99936,1,FALSE)</f>
        <v>#N/A</v>
      </c>
    </row>
    <row r="57" spans="1:10" x14ac:dyDescent="0.25">
      <c r="A57" s="185"/>
      <c r="B57" s="43" t="str">
        <f>A57&amp;"-"&amp;IF(DAY(Variables!$A$2)&lt;10,0,"")&amp;DAY(Variables!$A$2)</f>
        <v>-28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7" s="30" t="e">
        <f>VLOOKUP(B57,'Train Runs'!$A$13:$A$99936,1,FALSE)</f>
        <v>#N/A</v>
      </c>
    </row>
    <row r="58" spans="1:10" x14ac:dyDescent="0.25">
      <c r="A58" s="185"/>
      <c r="B58" s="43" t="str">
        <f>A58&amp;"-"&amp;IF(DAY(Variables!$A$2)&lt;10,0,"")&amp;DAY(Variables!$A$2)</f>
        <v>-28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8" s="30" t="e">
        <f>VLOOKUP(B58,'Train Runs'!$A$13:$A$99936,1,FALSE)</f>
        <v>#N/A</v>
      </c>
    </row>
    <row r="59" spans="1:10" x14ac:dyDescent="0.25">
      <c r="A59" s="185"/>
      <c r="B59" s="43" t="str">
        <f>A59&amp;"-"&amp;IF(DAY(Variables!$A$2)&lt;10,0,"")&amp;DAY(Variables!$A$2)</f>
        <v>-28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9" s="30" t="e">
        <f>VLOOKUP(B59,'Train Runs'!$A$13:$A$99936,1,FALSE)</f>
        <v>#N/A</v>
      </c>
    </row>
    <row r="60" spans="1:10" x14ac:dyDescent="0.25">
      <c r="A60" s="185"/>
      <c r="B60" s="43" t="str">
        <f>A60&amp;"-"&amp;IF(DAY(Variables!$A$2)&lt;10,0,"")&amp;DAY(Variables!$A$2)</f>
        <v>-28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0" s="30" t="e">
        <f>VLOOKUP(B60,'Train Runs'!$A$13:$A$99936,1,FALSE)</f>
        <v>#N/A</v>
      </c>
    </row>
    <row r="61" spans="1:10" x14ac:dyDescent="0.25">
      <c r="A61" s="185"/>
      <c r="B61" s="43" t="str">
        <f>A61&amp;"-"&amp;IF(DAY(Variables!$A$2)&lt;10,0,"")&amp;DAY(Variables!$A$2)</f>
        <v>-28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ref="I61:I9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1" s="30" t="e">
        <f>VLOOKUP(B61,'Train Runs'!$A$13:$A$99936,1,FALSE)</f>
        <v>#N/A</v>
      </c>
    </row>
    <row r="62" spans="1:10" x14ac:dyDescent="0.25">
      <c r="A62" s="185"/>
      <c r="B62" s="43" t="str">
        <f>A62&amp;"-"&amp;IF(DAY(Variables!$A$2)&lt;10,0,"")&amp;DAY(Variables!$A$2)</f>
        <v>-28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2" s="30" t="e">
        <f>VLOOKUP(B62,'Train Runs'!$A$13:$A$99936,1,FALSE)</f>
        <v>#N/A</v>
      </c>
    </row>
    <row r="63" spans="1:10" x14ac:dyDescent="0.25">
      <c r="A63" s="185"/>
      <c r="B63" s="43" t="str">
        <f>A63&amp;"-"&amp;IF(DAY(Variables!$A$2)&lt;10,0,"")&amp;DAY(Variables!$A$2)</f>
        <v>-28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3" s="30" t="e">
        <f>VLOOKUP(B63,'Train Runs'!$A$13:$A$99936,1,FALSE)</f>
        <v>#N/A</v>
      </c>
    </row>
    <row r="64" spans="1:10" x14ac:dyDescent="0.25">
      <c r="A64" s="185"/>
      <c r="B64" s="43" t="str">
        <f>A64&amp;"-"&amp;IF(DAY(Variables!$A$2)&lt;10,0,"")&amp;DAY(Variables!$A$2)</f>
        <v>-28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4" s="30" t="e">
        <f>VLOOKUP(B64,'Train Runs'!$A$13:$A$99936,1,FALSE)</f>
        <v>#N/A</v>
      </c>
    </row>
    <row r="65" spans="1:10" x14ac:dyDescent="0.25">
      <c r="A65" s="185"/>
      <c r="B65" s="43" t="str">
        <f>A65&amp;"-"&amp;IF(DAY(Variables!$A$2)&lt;10,0,"")&amp;DAY(Variables!$A$2)</f>
        <v>-28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5" s="30" t="e">
        <f>VLOOKUP(B65,'Train Runs'!$A$13:$A$99936,1,FALSE)</f>
        <v>#N/A</v>
      </c>
    </row>
    <row r="66" spans="1:10" x14ac:dyDescent="0.25">
      <c r="A66" s="185"/>
      <c r="B66" s="43" t="str">
        <f>A66&amp;"-"&amp;IF(DAY(Variables!$A$2)&lt;10,0,"")&amp;DAY(Variables!$A$2)</f>
        <v>-28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6" s="30" t="e">
        <f>VLOOKUP(B66,'Train Runs'!$A$13:$A$99936,1,FALSE)</f>
        <v>#N/A</v>
      </c>
    </row>
    <row r="67" spans="1:10" x14ac:dyDescent="0.25">
      <c r="A67" s="185"/>
      <c r="B67" s="43" t="str">
        <f>A67&amp;"-"&amp;IF(DAY(Variables!$A$2)&lt;10,0,"")&amp;DAY(Variables!$A$2)</f>
        <v>-28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7" s="30" t="e">
        <f>VLOOKUP(B67,'Train Runs'!$A$13:$A$99936,1,FALSE)</f>
        <v>#N/A</v>
      </c>
    </row>
    <row r="68" spans="1:10" x14ac:dyDescent="0.25">
      <c r="A68" s="185"/>
      <c r="B68" s="43" t="str">
        <f>A68&amp;"-"&amp;IF(DAY(Variables!$A$2)&lt;10,0,"")&amp;DAY(Variables!$A$2)</f>
        <v>-28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8" s="30" t="e">
        <f>VLOOKUP(B68,'Train Runs'!$A$13:$A$99936,1,FALSE)</f>
        <v>#N/A</v>
      </c>
    </row>
    <row r="69" spans="1:10" x14ac:dyDescent="0.25">
      <c r="A69" s="185"/>
      <c r="B69" s="43" t="str">
        <f>A69&amp;"-"&amp;IF(DAY(Variables!$A$2)&lt;10,0,"")&amp;DAY(Variables!$A$2)</f>
        <v>-28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9" s="30" t="e">
        <f>VLOOKUP(B69,'Train Runs'!$A$13:$A$99936,1,FALSE)</f>
        <v>#N/A</v>
      </c>
    </row>
    <row r="70" spans="1:10" x14ac:dyDescent="0.25">
      <c r="A70" s="185"/>
      <c r="B70" s="43" t="str">
        <f>A70&amp;"-"&amp;IF(DAY(Variables!$A$2)&lt;10,0,"")&amp;DAY(Variables!$A$2)</f>
        <v>-28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0" s="30" t="e">
        <f>VLOOKUP(B70,'Train Runs'!$A$13:$A$99936,1,FALSE)</f>
        <v>#N/A</v>
      </c>
    </row>
    <row r="71" spans="1:10" x14ac:dyDescent="0.25">
      <c r="A71" s="185"/>
      <c r="B71" s="43" t="str">
        <f>A71&amp;"-"&amp;IF(DAY(Variables!$A$2)&lt;10,0,"")&amp;DAY(Variables!$A$2)</f>
        <v>-28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1" s="30" t="e">
        <f>VLOOKUP(B71,'Train Runs'!$A$13:$A$99936,1,FALSE)</f>
        <v>#N/A</v>
      </c>
    </row>
    <row r="72" spans="1:10" x14ac:dyDescent="0.25">
      <c r="A72" s="185"/>
      <c r="B72" s="43" t="str">
        <f>A72&amp;"-"&amp;IF(DAY(Variables!$A$2)&lt;10,0,"")&amp;DAY(Variables!$A$2)</f>
        <v>-28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2" s="30" t="e">
        <f>VLOOKUP(B72,'Train Runs'!$A$13:$A$99936,1,FALSE)</f>
        <v>#N/A</v>
      </c>
    </row>
    <row r="73" spans="1:10" x14ac:dyDescent="0.25">
      <c r="A73" s="185"/>
      <c r="B73" s="43" t="str">
        <f>A73&amp;"-"&amp;IF(DAY(Variables!$A$2)&lt;10,0,"")&amp;DAY(Variables!$A$2)</f>
        <v>-28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3" s="30" t="e">
        <f>VLOOKUP(B73,'Train Runs'!$A$13:$A$99936,1,FALSE)</f>
        <v>#N/A</v>
      </c>
    </row>
    <row r="74" spans="1:10" x14ac:dyDescent="0.25">
      <c r="A74" s="185"/>
      <c r="B74" s="43" t="str">
        <f>A74&amp;"-"&amp;IF(DAY(Variables!$A$2)&lt;10,0,"")&amp;DAY(Variables!$A$2)</f>
        <v>-28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4" s="30" t="e">
        <f>VLOOKUP(B74,'Train Runs'!$A$13:$A$99936,1,FALSE)</f>
        <v>#N/A</v>
      </c>
    </row>
    <row r="75" spans="1:10" x14ac:dyDescent="0.25">
      <c r="A75" s="185"/>
      <c r="B75" s="43" t="str">
        <f>A75&amp;"-"&amp;IF(DAY(Variables!$A$2)&lt;10,0,"")&amp;DAY(Variables!$A$2)</f>
        <v>-28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5" s="30" t="e">
        <f>VLOOKUP(B75,'Train Runs'!$A$13:$A$99936,1,FALSE)</f>
        <v>#N/A</v>
      </c>
    </row>
    <row r="76" spans="1:10" x14ac:dyDescent="0.25">
      <c r="A76" s="185"/>
      <c r="B76" s="43" t="str">
        <f>A76&amp;"-"&amp;IF(DAY(Variables!$A$2)&lt;10,0,"")&amp;DAY(Variables!$A$2)</f>
        <v>-28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6" s="30" t="e">
        <f>VLOOKUP(B76,'Train Runs'!$A$13:$A$99936,1,FALSE)</f>
        <v>#N/A</v>
      </c>
    </row>
    <row r="77" spans="1:10" x14ac:dyDescent="0.25">
      <c r="A77" s="185"/>
      <c r="B77" s="43" t="str">
        <f>A77&amp;"-"&amp;IF(DAY(Variables!$A$2)&lt;10,0,"")&amp;DAY(Variables!$A$2)</f>
        <v>-28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7" s="30" t="e">
        <f>VLOOKUP(B77,'Train Runs'!$A$13:$A$99936,1,FALSE)</f>
        <v>#N/A</v>
      </c>
    </row>
    <row r="78" spans="1:10" x14ac:dyDescent="0.25">
      <c r="A78" s="185"/>
      <c r="B78" s="43" t="str">
        <f>A78&amp;"-"&amp;IF(DAY(Variables!$A$2)&lt;10,0,"")&amp;DAY(Variables!$A$2)</f>
        <v>-28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8" s="30" t="e">
        <f>VLOOKUP(B78,'Train Runs'!$A$13:$A$99936,1,FALSE)</f>
        <v>#N/A</v>
      </c>
    </row>
    <row r="79" spans="1:10" x14ac:dyDescent="0.25">
      <c r="A79" s="185"/>
      <c r="B79" s="43" t="str">
        <f>A79&amp;"-"&amp;IF(DAY(Variables!$A$2)&lt;10,0,"")&amp;DAY(Variables!$A$2)</f>
        <v>-28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9" s="30" t="e">
        <f>VLOOKUP(B79,'Train Runs'!$A$13:$A$99936,1,FALSE)</f>
        <v>#N/A</v>
      </c>
    </row>
    <row r="80" spans="1:10" x14ac:dyDescent="0.25">
      <c r="A80" s="185"/>
      <c r="B80" s="43" t="str">
        <f>A80&amp;"-"&amp;IF(DAY(Variables!$A$2)&lt;10,0,"")&amp;DAY(Variables!$A$2)</f>
        <v>-28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0" s="30" t="e">
        <f>VLOOKUP(B80,'Train Runs'!$A$13:$A$99936,1,FALSE)</f>
        <v>#N/A</v>
      </c>
    </row>
    <row r="81" spans="1:10" x14ac:dyDescent="0.25">
      <c r="A81" s="185"/>
      <c r="B81" s="43" t="str">
        <f>A81&amp;"-"&amp;IF(DAY(Variables!$A$2)&lt;10,0,"")&amp;DAY(Variables!$A$2)</f>
        <v>-28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1" s="30" t="e">
        <f>VLOOKUP(B81,'Train Runs'!$A$13:$A$99936,1,FALSE)</f>
        <v>#N/A</v>
      </c>
    </row>
    <row r="82" spans="1:10" x14ac:dyDescent="0.25">
      <c r="A82" s="185"/>
      <c r="B82" s="43" t="str">
        <f>A82&amp;"-"&amp;IF(DAY(Variables!$A$2)&lt;10,0,"")&amp;DAY(Variables!$A$2)</f>
        <v>-28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2" s="30" t="e">
        <f>VLOOKUP(B82,'Train Runs'!$A$13:$A$99936,1,FALSE)</f>
        <v>#N/A</v>
      </c>
    </row>
    <row r="83" spans="1:10" x14ac:dyDescent="0.25">
      <c r="A83" s="185"/>
      <c r="B83" s="43" t="str">
        <f>A83&amp;"-"&amp;IF(DAY(Variables!$A$2)&lt;10,0,"")&amp;DAY(Variables!$A$2)</f>
        <v>-28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3" s="30" t="e">
        <f>VLOOKUP(B83,'Train Runs'!$A$13:$A$99936,1,FALSE)</f>
        <v>#N/A</v>
      </c>
    </row>
    <row r="84" spans="1:10" x14ac:dyDescent="0.25">
      <c r="A84" s="185"/>
      <c r="B84" s="43" t="str">
        <f>A84&amp;"-"&amp;IF(DAY(Variables!$A$2)&lt;10,0,"")&amp;DAY(Variables!$A$2)</f>
        <v>-28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4" s="30" t="e">
        <f>VLOOKUP(B84,'Train Runs'!$A$13:$A$99936,1,FALSE)</f>
        <v>#N/A</v>
      </c>
    </row>
    <row r="85" spans="1:10" x14ac:dyDescent="0.25">
      <c r="A85" s="185"/>
      <c r="B85" s="43" t="str">
        <f>A85&amp;"-"&amp;IF(DAY(Variables!$A$2)&lt;10,0,"")&amp;DAY(Variables!$A$2)</f>
        <v>-28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5" s="30" t="e">
        <f>VLOOKUP(B85,'Train Runs'!$A$13:$A$99936,1,FALSE)</f>
        <v>#N/A</v>
      </c>
    </row>
    <row r="86" spans="1:10" x14ac:dyDescent="0.25">
      <c r="A86" s="185"/>
      <c r="B86" s="43" t="str">
        <f>A86&amp;"-"&amp;IF(DAY(Variables!$A$2)&lt;10,0,"")&amp;DAY(Variables!$A$2)</f>
        <v>-28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6" s="30" t="e">
        <f>VLOOKUP(B86,'Train Runs'!$A$13:$A$99936,1,FALSE)</f>
        <v>#N/A</v>
      </c>
    </row>
    <row r="87" spans="1:10" x14ac:dyDescent="0.25">
      <c r="A87" s="185"/>
      <c r="B87" s="43" t="str">
        <f>A87&amp;"-"&amp;IF(DAY(Variables!$A$2)&lt;10,0,"")&amp;DAY(Variables!$A$2)</f>
        <v>-28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7" s="30" t="e">
        <f>VLOOKUP(B87,'Train Runs'!$A$13:$A$99936,1,FALSE)</f>
        <v>#N/A</v>
      </c>
    </row>
    <row r="88" spans="1:10" x14ac:dyDescent="0.25">
      <c r="A88" s="185"/>
      <c r="B88" s="43" t="str">
        <f>A88&amp;"-"&amp;IF(DAY(Variables!$A$2)&lt;10,0,"")&amp;DAY(Variables!$A$2)</f>
        <v>-28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8" s="30" t="e">
        <f>VLOOKUP(B88,'Train Runs'!$A$13:$A$99936,1,FALSE)</f>
        <v>#N/A</v>
      </c>
    </row>
    <row r="89" spans="1:10" x14ac:dyDescent="0.25">
      <c r="A89" s="185"/>
      <c r="B89" s="43" t="str">
        <f>A89&amp;"-"&amp;IF(DAY(Variables!$A$2)&lt;10,0,"")&amp;DAY(Variables!$A$2)</f>
        <v>-28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9" s="30" t="e">
        <f>VLOOKUP(B89,'Train Runs'!$A$13:$A$99936,1,FALSE)</f>
        <v>#N/A</v>
      </c>
    </row>
    <row r="90" spans="1:10" x14ac:dyDescent="0.25">
      <c r="A90" s="185"/>
      <c r="B90" s="43" t="str">
        <f>A90&amp;"-"&amp;IF(DAY(Variables!$A$2)&lt;10,0,"")&amp;DAY(Variables!$A$2)</f>
        <v>-28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0" s="30" t="e">
        <f>VLOOKUP(B90,'Train Runs'!$A$13:$A$99936,1,FALSE)</f>
        <v>#N/A</v>
      </c>
    </row>
    <row r="91" spans="1:10" x14ac:dyDescent="0.25">
      <c r="A91" s="185"/>
      <c r="B91" s="43" t="str">
        <f>A91&amp;"-"&amp;IF(DAY(Variables!$A$2)&lt;10,0,"")&amp;DAY(Variables!$A$2)</f>
        <v>-28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1" s="30" t="e">
        <f>VLOOKUP(B91,'Train Runs'!$A$13:$A$99936,1,FALSE)</f>
        <v>#N/A</v>
      </c>
    </row>
    <row r="92" spans="1:10" x14ac:dyDescent="0.25">
      <c r="A92" s="185"/>
      <c r="B92" s="43" t="str">
        <f>A92&amp;"-"&amp;IF(DAY(Variables!$A$2)&lt;10,0,"")&amp;DAY(Variables!$A$2)</f>
        <v>-28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2" s="30" t="e">
        <f>VLOOKUP(B92,'Train Runs'!$A$13:$A$99936,1,FALSE)</f>
        <v>#N/A</v>
      </c>
    </row>
    <row r="93" spans="1:10" x14ac:dyDescent="0.25">
      <c r="A93" s="185"/>
      <c r="B93" s="43" t="str">
        <f>A93&amp;"-"&amp;IF(DAY(Variables!$A$2)&lt;10,0,"")&amp;DAY(Variables!$A$2)</f>
        <v>-28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ref="I93:I11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3" s="30" t="e">
        <f>VLOOKUP(B93,'Train Runs'!$A$13:$A$99936,1,FALSE)</f>
        <v>#N/A</v>
      </c>
    </row>
    <row r="94" spans="1:10" x14ac:dyDescent="0.25">
      <c r="A94" s="185"/>
      <c r="B94" s="43" t="str">
        <f>A94&amp;"-"&amp;IF(DAY(Variables!$A$2)&lt;10,0,"")&amp;DAY(Variables!$A$2)</f>
        <v>-28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4" s="30" t="e">
        <f>VLOOKUP(B94,'Train Runs'!$A$13:$A$99936,1,FALSE)</f>
        <v>#N/A</v>
      </c>
    </row>
    <row r="95" spans="1:10" x14ac:dyDescent="0.25">
      <c r="A95" s="185"/>
      <c r="B95" s="43" t="str">
        <f>A95&amp;"-"&amp;IF(DAY(Variables!$A$2)&lt;10,0,"")&amp;DAY(Variables!$A$2)</f>
        <v>-28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5" s="30" t="e">
        <f>VLOOKUP(B95,'Train Runs'!$A$13:$A$99936,1,FALSE)</f>
        <v>#N/A</v>
      </c>
    </row>
    <row r="96" spans="1:10" x14ac:dyDescent="0.25">
      <c r="A96" s="185"/>
      <c r="B96" s="43" t="str">
        <f>A96&amp;"-"&amp;IF(DAY(Variables!$A$2)&lt;10,0,"")&amp;DAY(Variables!$A$2)</f>
        <v>-28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6" s="30" t="e">
        <f>VLOOKUP(B96,'Train Runs'!$A$13:$A$99936,1,FALSE)</f>
        <v>#N/A</v>
      </c>
    </row>
    <row r="97" spans="1:10" x14ac:dyDescent="0.25">
      <c r="A97" s="185"/>
      <c r="B97" s="43" t="str">
        <f>A97&amp;"-"&amp;IF(DAY(Variables!$A$2)&lt;10,0,"")&amp;DAY(Variables!$A$2)</f>
        <v>-28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7" s="30" t="e">
        <f>VLOOKUP(B97,'Train Runs'!$A$13:$A$99936,1,FALSE)</f>
        <v>#N/A</v>
      </c>
    </row>
    <row r="98" spans="1:10" x14ac:dyDescent="0.25">
      <c r="A98" s="185"/>
      <c r="B98" s="43" t="str">
        <f>A98&amp;"-"&amp;IF(DAY(Variables!$A$2)&lt;10,0,"")&amp;DAY(Variables!$A$2)</f>
        <v>-28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8" s="30" t="e">
        <f>VLOOKUP(B98,'Train Runs'!$A$13:$A$99936,1,FALSE)</f>
        <v>#N/A</v>
      </c>
    </row>
    <row r="99" spans="1:10" x14ac:dyDescent="0.25">
      <c r="A99" s="185"/>
      <c r="B99" s="43" t="str">
        <f>A99&amp;"-"&amp;IF(DAY(Variables!$A$2)&lt;10,0,"")&amp;DAY(Variables!$A$2)</f>
        <v>-28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9" s="30" t="e">
        <f>VLOOKUP(B99,'Train Runs'!$A$13:$A$99936,1,FALSE)</f>
        <v>#N/A</v>
      </c>
    </row>
    <row r="100" spans="1:10" x14ac:dyDescent="0.25">
      <c r="A100" s="185"/>
      <c r="B100" s="43" t="str">
        <f>A100&amp;"-"&amp;IF(DAY(Variables!$A$2)&lt;10,0,"")&amp;DAY(Variables!$A$2)</f>
        <v>-28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0" s="30" t="e">
        <f>VLOOKUP(B100,'Train Runs'!$A$13:$A$99936,1,FALSE)</f>
        <v>#N/A</v>
      </c>
    </row>
    <row r="101" spans="1:10" x14ac:dyDescent="0.25">
      <c r="A101" s="185"/>
      <c r="B101" s="43" t="str">
        <f>A101&amp;"-"&amp;IF(DAY(Variables!$A$2)&lt;10,0,"")&amp;DAY(Variables!$A$2)</f>
        <v>-28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1" s="30" t="e">
        <f>VLOOKUP(B101,'Train Runs'!$A$13:$A$99936,1,FALSE)</f>
        <v>#N/A</v>
      </c>
    </row>
    <row r="102" spans="1:10" x14ac:dyDescent="0.25">
      <c r="A102" s="185"/>
      <c r="B102" s="43" t="str">
        <f>A102&amp;"-"&amp;IF(DAY(Variables!$A$2)&lt;10,0,"")&amp;DAY(Variables!$A$2)</f>
        <v>-28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2" s="30" t="e">
        <f>VLOOKUP(B102,'Train Runs'!$A$13:$A$99936,1,FALSE)</f>
        <v>#N/A</v>
      </c>
    </row>
    <row r="103" spans="1:10" x14ac:dyDescent="0.25">
      <c r="A103" s="185"/>
      <c r="B103" s="43" t="str">
        <f>A103&amp;"-"&amp;IF(DAY(Variables!$A$2)&lt;10,0,"")&amp;DAY(Variables!$A$2)</f>
        <v>-28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3" s="30" t="e">
        <f>VLOOKUP(B103,'Train Runs'!$A$13:$A$99936,1,FALSE)</f>
        <v>#N/A</v>
      </c>
    </row>
    <row r="104" spans="1:10" x14ac:dyDescent="0.25">
      <c r="A104" s="185"/>
      <c r="B104" s="43" t="str">
        <f>A104&amp;"-"&amp;IF(DAY(Variables!$A$2)&lt;10,0,"")&amp;DAY(Variables!$A$2)</f>
        <v>-28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4" s="30" t="e">
        <f>VLOOKUP(B104,'Train Runs'!$A$13:$A$99936,1,FALSE)</f>
        <v>#N/A</v>
      </c>
    </row>
    <row r="105" spans="1:10" x14ac:dyDescent="0.25">
      <c r="A105" s="185"/>
      <c r="B105" s="43" t="str">
        <f>A105&amp;"-"&amp;IF(DAY(Variables!$A$2)&lt;10,0,"")&amp;DAY(Variables!$A$2)</f>
        <v>-28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5" s="30" t="e">
        <f>VLOOKUP(B105,'Train Runs'!$A$13:$A$99936,1,FALSE)</f>
        <v>#N/A</v>
      </c>
    </row>
    <row r="106" spans="1:10" x14ac:dyDescent="0.25">
      <c r="A106" s="185"/>
      <c r="B106" s="43" t="str">
        <f>A106&amp;"-"&amp;IF(DAY(Variables!$A$2)&lt;10,0,"")&amp;DAY(Variables!$A$2)</f>
        <v>-28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6" s="30" t="e">
        <f>VLOOKUP(B106,'Train Runs'!$A$13:$A$99936,1,FALSE)</f>
        <v>#N/A</v>
      </c>
    </row>
    <row r="107" spans="1:10" x14ac:dyDescent="0.25">
      <c r="A107" s="185"/>
      <c r="B107" s="43" t="str">
        <f>A107&amp;"-"&amp;IF(DAY(Variables!$A$2)&lt;10,0,"")&amp;DAY(Variables!$A$2)</f>
        <v>-28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7" s="30" t="e">
        <f>VLOOKUP(B107,'Train Runs'!$A$13:$A$99936,1,FALSE)</f>
        <v>#N/A</v>
      </c>
    </row>
    <row r="108" spans="1:10" x14ac:dyDescent="0.25">
      <c r="A108" s="185"/>
      <c r="B108" s="43" t="str">
        <f>A108&amp;"-"&amp;IF(DAY(Variables!$A$2)&lt;10,0,"")&amp;DAY(Variables!$A$2)</f>
        <v>-28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8" s="30" t="e">
        <f>VLOOKUP(B108,'Train Runs'!$A$13:$A$99936,1,FALSE)</f>
        <v>#N/A</v>
      </c>
    </row>
    <row r="109" spans="1:10" x14ac:dyDescent="0.25">
      <c r="A109" s="185"/>
      <c r="B109" s="43" t="str">
        <f>A109&amp;"-"&amp;IF(DAY(Variables!$A$2)&lt;10,0,"")&amp;DAY(Variables!$A$2)</f>
        <v>-28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9" s="30" t="e">
        <f>VLOOKUP(B109,'Train Runs'!$A$13:$A$99936,1,FALSE)</f>
        <v>#N/A</v>
      </c>
    </row>
    <row r="110" spans="1:10" x14ac:dyDescent="0.25">
      <c r="A110" s="185"/>
      <c r="B110" s="43" t="str">
        <f>A110&amp;"-"&amp;IF(DAY(Variables!$A$2)&lt;10,0,"")&amp;DAY(Variables!$A$2)</f>
        <v>-28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0" s="30" t="e">
        <f>VLOOKUP(B110,'Train Runs'!$A$13:$A$99936,1,FALSE)</f>
        <v>#N/A</v>
      </c>
    </row>
    <row r="111" spans="1:10" x14ac:dyDescent="0.25">
      <c r="A111" s="185"/>
      <c r="B111" s="43" t="str">
        <f>A111&amp;"-"&amp;IF(DAY(Variables!$A$2)&lt;10,0,"")&amp;DAY(Variables!$A$2)</f>
        <v>-28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1" s="30" t="e">
        <f>VLOOKUP(B111,'Train Runs'!$A$13:$A$99936,1,FALSE)</f>
        <v>#N/A</v>
      </c>
    </row>
    <row r="112" spans="1:10" x14ac:dyDescent="0.25">
      <c r="A112" s="185"/>
      <c r="B112" s="43" t="str">
        <f>A112&amp;"-"&amp;IF(DAY(Variables!$A$2)&lt;10,0,"")&amp;DAY(Variables!$A$2)</f>
        <v>-28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2" s="30" t="e">
        <f>VLOOKUP(B112,'Train Runs'!$A$13:$A$99936,1,FALSE)</f>
        <v>#N/A</v>
      </c>
    </row>
    <row r="113" spans="1:10" x14ac:dyDescent="0.25">
      <c r="A113" s="185"/>
      <c r="B113" s="43" t="str">
        <f>A113&amp;"-"&amp;IF(DAY(Variables!$A$2)&lt;10,0,"")&amp;DAY(Variables!$A$2)</f>
        <v>-28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3" s="30" t="e">
        <f>VLOOKUP(B113,'Train Runs'!$A$13:$A$99936,1,FALSE)</f>
        <v>#N/A</v>
      </c>
    </row>
    <row r="114" spans="1:10" x14ac:dyDescent="0.25">
      <c r="A114" s="185"/>
      <c r="B114" s="43" t="str">
        <f>A114&amp;"-"&amp;IF(DAY(Variables!$A$2)&lt;10,0,"")&amp;DAY(Variables!$A$2)</f>
        <v>-28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4" s="30" t="e">
        <f>VLOOKUP(B114,'Train Runs'!$A$13:$A$99936,1,FALSE)</f>
        <v>#N/A</v>
      </c>
    </row>
  </sheetData>
  <autoFilter ref="A2:J11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42794.038506944446</v>
      </c>
      <c r="B2" s="20" t="s">
        <v>237</v>
      </c>
      <c r="C2" s="20" t="s">
        <v>381</v>
      </c>
      <c r="D2" s="150">
        <v>2000000</v>
      </c>
      <c r="E2" s="20" t="s">
        <v>324</v>
      </c>
      <c r="F2" s="20" t="s">
        <v>199</v>
      </c>
      <c r="G2" s="8" t="str">
        <f>E2&amp;" "&amp;F2</f>
        <v>STAMBAUGH JAMES</v>
      </c>
    </row>
    <row r="3" spans="1:7" x14ac:dyDescent="0.25">
      <c r="A3" s="8">
        <v>42794.041446759256</v>
      </c>
      <c r="B3" s="20" t="s">
        <v>278</v>
      </c>
      <c r="C3" s="20" t="s">
        <v>380</v>
      </c>
      <c r="D3" s="150">
        <v>2610000</v>
      </c>
      <c r="E3" s="20" t="s">
        <v>338</v>
      </c>
      <c r="F3" s="20" t="s">
        <v>339</v>
      </c>
      <c r="G3" s="8" t="str">
        <f t="shared" ref="G3:G66" si="0">E3&amp;" "&amp;F3</f>
        <v>MAGEE KENYA</v>
      </c>
    </row>
    <row r="4" spans="1:7" x14ac:dyDescent="0.25">
      <c r="A4" s="8">
        <v>42794.050902777781</v>
      </c>
      <c r="B4" s="20" t="s">
        <v>216</v>
      </c>
      <c r="C4" s="20" t="s">
        <v>362</v>
      </c>
      <c r="D4" s="150">
        <v>2230000</v>
      </c>
      <c r="E4" s="20" t="s">
        <v>295</v>
      </c>
      <c r="F4" s="20" t="s">
        <v>202</v>
      </c>
      <c r="G4" s="8" t="str">
        <f t="shared" si="0"/>
        <v>SMITH MICHAEL</v>
      </c>
    </row>
    <row r="5" spans="1:7" x14ac:dyDescent="0.25">
      <c r="A5" s="8">
        <v>42794.050949074073</v>
      </c>
      <c r="B5" s="20" t="s">
        <v>254</v>
      </c>
      <c r="C5" s="20" t="s">
        <v>382</v>
      </c>
      <c r="D5" s="150">
        <v>1740000</v>
      </c>
      <c r="E5" s="20" t="s">
        <v>227</v>
      </c>
      <c r="F5" s="20" t="s">
        <v>228</v>
      </c>
      <c r="G5" s="8" t="str">
        <f t="shared" si="0"/>
        <v>STORY SAMANTHA</v>
      </c>
    </row>
    <row r="6" spans="1:7" x14ac:dyDescent="0.25">
      <c r="A6" s="8">
        <v>42794.066805555558</v>
      </c>
      <c r="B6" s="20" t="s">
        <v>247</v>
      </c>
      <c r="C6" s="20" t="s">
        <v>383</v>
      </c>
      <c r="D6" s="150">
        <v>2000000</v>
      </c>
      <c r="E6" s="20" t="s">
        <v>324</v>
      </c>
      <c r="F6" s="20" t="s">
        <v>199</v>
      </c>
      <c r="G6" s="8" t="str">
        <f t="shared" si="0"/>
        <v>STAMBAUGH JAMES</v>
      </c>
    </row>
    <row r="7" spans="1:7" x14ac:dyDescent="0.25">
      <c r="A7" s="8">
        <v>42794.090138888889</v>
      </c>
      <c r="B7" s="20" t="s">
        <v>192</v>
      </c>
      <c r="C7" s="20" t="s">
        <v>384</v>
      </c>
      <c r="D7" s="150">
        <v>1740000</v>
      </c>
      <c r="E7" s="20" t="s">
        <v>227</v>
      </c>
      <c r="F7" s="20" t="s">
        <v>228</v>
      </c>
      <c r="G7" s="8" t="str">
        <f t="shared" si="0"/>
        <v>STORY SAMANTHA</v>
      </c>
    </row>
    <row r="8" spans="1:7" x14ac:dyDescent="0.25">
      <c r="A8" s="8">
        <v>42794.097604166665</v>
      </c>
      <c r="B8" s="20" t="s">
        <v>279</v>
      </c>
      <c r="C8" s="20" t="s">
        <v>380</v>
      </c>
      <c r="D8" s="150">
        <v>2610000</v>
      </c>
      <c r="E8" s="20" t="s">
        <v>338</v>
      </c>
      <c r="F8" s="20" t="s">
        <v>339</v>
      </c>
      <c r="G8" s="8" t="str">
        <f t="shared" si="0"/>
        <v>MAGEE KENYA</v>
      </c>
    </row>
    <row r="9" spans="1:7" ht="15.75" thickBot="1" x14ac:dyDescent="0.3">
      <c r="A9" s="24">
        <v>42794.099583333336</v>
      </c>
      <c r="B9" s="20" t="s">
        <v>279</v>
      </c>
      <c r="C9" s="20" t="s">
        <v>385</v>
      </c>
      <c r="D9" s="150">
        <v>2610000</v>
      </c>
      <c r="E9" s="20" t="s">
        <v>338</v>
      </c>
      <c r="F9" s="20" t="s">
        <v>339</v>
      </c>
      <c r="G9" s="8" t="str">
        <f t="shared" si="0"/>
        <v>MAGEE KENYA</v>
      </c>
    </row>
    <row r="10" spans="1:7" x14ac:dyDescent="0.25">
      <c r="A10" s="8">
        <v>42794.117384259262</v>
      </c>
      <c r="B10" s="20" t="s">
        <v>529</v>
      </c>
      <c r="C10" s="20" t="s">
        <v>530</v>
      </c>
      <c r="D10" s="150">
        <v>1360000</v>
      </c>
      <c r="E10" s="20" t="s">
        <v>325</v>
      </c>
      <c r="F10" s="20" t="s">
        <v>326</v>
      </c>
      <c r="G10" s="8" t="str">
        <f t="shared" si="0"/>
        <v>SANTIZO D. EDY</v>
      </c>
    </row>
    <row r="11" spans="1:7" x14ac:dyDescent="0.25">
      <c r="A11" s="8">
        <v>42794.129872685182</v>
      </c>
      <c r="B11" s="20" t="s">
        <v>531</v>
      </c>
      <c r="C11" s="20" t="s">
        <v>532</v>
      </c>
      <c r="D11" s="150">
        <v>1360000</v>
      </c>
      <c r="E11" s="20" t="s">
        <v>325</v>
      </c>
      <c r="F11" s="20" t="s">
        <v>326</v>
      </c>
      <c r="G11" s="8" t="str">
        <f t="shared" si="0"/>
        <v>SANTIZO D. EDY</v>
      </c>
    </row>
    <row r="12" spans="1:7" x14ac:dyDescent="0.25">
      <c r="A12" s="8">
        <v>42794.13857638889</v>
      </c>
      <c r="B12" s="20" t="s">
        <v>278</v>
      </c>
      <c r="C12" s="20" t="s">
        <v>574</v>
      </c>
      <c r="D12" s="150">
        <v>2610000</v>
      </c>
      <c r="E12" s="20" t="s">
        <v>338</v>
      </c>
      <c r="F12" s="20" t="s">
        <v>339</v>
      </c>
      <c r="G12" s="8" t="str">
        <f t="shared" si="0"/>
        <v>MAGEE KENYA</v>
      </c>
    </row>
    <row r="13" spans="1:7" x14ac:dyDescent="0.25">
      <c r="A13" s="8">
        <v>42794.142222222225</v>
      </c>
      <c r="B13" s="20" t="s">
        <v>251</v>
      </c>
      <c r="C13" s="20" t="s">
        <v>575</v>
      </c>
      <c r="D13" s="150">
        <v>2010000</v>
      </c>
      <c r="E13" s="20" t="s">
        <v>327</v>
      </c>
      <c r="F13" s="20" t="s">
        <v>328</v>
      </c>
      <c r="G13" s="8" t="str">
        <f t="shared" si="0"/>
        <v>MAELZER KURT</v>
      </c>
    </row>
    <row r="14" spans="1:7" x14ac:dyDescent="0.25">
      <c r="A14" s="8">
        <v>42794.146990740737</v>
      </c>
      <c r="B14" s="20" t="s">
        <v>531</v>
      </c>
      <c r="C14" s="20" t="s">
        <v>532</v>
      </c>
      <c r="D14" s="150">
        <v>1360000</v>
      </c>
      <c r="E14" s="20" t="s">
        <v>325</v>
      </c>
      <c r="F14" s="20" t="s">
        <v>326</v>
      </c>
      <c r="G14" s="8" t="str">
        <f t="shared" si="0"/>
        <v>SANTIZO D. EDY</v>
      </c>
    </row>
    <row r="15" spans="1:7" x14ac:dyDescent="0.25">
      <c r="A15" s="8">
        <v>42794.153680555559</v>
      </c>
      <c r="B15" s="20" t="s">
        <v>359</v>
      </c>
      <c r="C15" s="20" t="s">
        <v>576</v>
      </c>
      <c r="D15" s="150">
        <v>2010000</v>
      </c>
      <c r="E15" s="20" t="s">
        <v>327</v>
      </c>
      <c r="F15" s="20" t="s">
        <v>328</v>
      </c>
      <c r="G15" s="8" t="str">
        <f t="shared" si="0"/>
        <v>MAELZER KURT</v>
      </c>
    </row>
    <row r="16" spans="1:7" x14ac:dyDescent="0.25">
      <c r="A16" s="8">
        <v>42794.154293981483</v>
      </c>
      <c r="B16" s="20" t="s">
        <v>278</v>
      </c>
      <c r="C16" s="20" t="s">
        <v>574</v>
      </c>
      <c r="D16" s="150">
        <v>2610000</v>
      </c>
      <c r="E16" s="20" t="s">
        <v>338</v>
      </c>
      <c r="F16" s="20" t="s">
        <v>339</v>
      </c>
      <c r="G16" s="8" t="str">
        <f t="shared" si="0"/>
        <v>MAGEE KENYA</v>
      </c>
    </row>
    <row r="17" spans="1:7" x14ac:dyDescent="0.25">
      <c r="A17" s="8">
        <v>42794.161944444444</v>
      </c>
      <c r="B17" s="20" t="s">
        <v>577</v>
      </c>
      <c r="C17" s="20" t="s">
        <v>578</v>
      </c>
      <c r="D17" s="150">
        <v>1110000</v>
      </c>
      <c r="E17" s="20" t="s">
        <v>365</v>
      </c>
      <c r="F17" s="20" t="s">
        <v>366</v>
      </c>
      <c r="G17" s="8" t="str">
        <f t="shared" si="0"/>
        <v>STARKS ANGELINA</v>
      </c>
    </row>
    <row r="18" spans="1:7" x14ac:dyDescent="0.25">
      <c r="A18" s="8">
        <v>42794.169988425929</v>
      </c>
      <c r="B18" s="20" t="s">
        <v>279</v>
      </c>
      <c r="C18" s="20" t="s">
        <v>385</v>
      </c>
      <c r="D18" s="150">
        <v>2610000</v>
      </c>
      <c r="E18" s="20" t="s">
        <v>338</v>
      </c>
      <c r="F18" s="20" t="s">
        <v>339</v>
      </c>
      <c r="G18" s="8" t="str">
        <f t="shared" si="0"/>
        <v>MAGEE KENYA</v>
      </c>
    </row>
    <row r="19" spans="1:7" x14ac:dyDescent="0.25">
      <c r="A19" s="8">
        <v>42794.170173611114</v>
      </c>
      <c r="B19" s="20" t="s">
        <v>529</v>
      </c>
      <c r="C19" s="20" t="s">
        <v>533</v>
      </c>
      <c r="D19" s="150">
        <v>1360000</v>
      </c>
      <c r="E19" s="20" t="s">
        <v>325</v>
      </c>
      <c r="F19" s="20" t="s">
        <v>326</v>
      </c>
      <c r="G19" s="8" t="str">
        <f t="shared" si="0"/>
        <v>SANTIZO D. EDY</v>
      </c>
    </row>
    <row r="20" spans="1:7" x14ac:dyDescent="0.25">
      <c r="A20" s="8">
        <v>42794.174907407411</v>
      </c>
      <c r="B20" s="20" t="s">
        <v>220</v>
      </c>
      <c r="C20" s="20" t="s">
        <v>579</v>
      </c>
      <c r="D20" s="150">
        <v>1090000</v>
      </c>
      <c r="E20" s="20" t="s">
        <v>364</v>
      </c>
      <c r="F20" s="20" t="s">
        <v>202</v>
      </c>
      <c r="G20" s="8" t="str">
        <f t="shared" si="0"/>
        <v>SPECTOR MICHAEL</v>
      </c>
    </row>
    <row r="21" spans="1:7" x14ac:dyDescent="0.25">
      <c r="A21" s="8">
        <v>42794.175439814811</v>
      </c>
      <c r="B21" s="20" t="s">
        <v>253</v>
      </c>
      <c r="C21" s="20" t="s">
        <v>580</v>
      </c>
      <c r="D21" s="150">
        <v>1120000</v>
      </c>
      <c r="E21" s="20" t="s">
        <v>371</v>
      </c>
      <c r="F21" s="20" t="s">
        <v>372</v>
      </c>
      <c r="G21" s="8" t="str">
        <f t="shared" si="0"/>
        <v>LOCKLEAR TRAVIS</v>
      </c>
    </row>
    <row r="22" spans="1:7" x14ac:dyDescent="0.25">
      <c r="A22" s="26">
        <v>42794.185011574074</v>
      </c>
      <c r="B22" s="20" t="s">
        <v>212</v>
      </c>
      <c r="C22" s="20" t="s">
        <v>581</v>
      </c>
      <c r="D22" s="150">
        <v>1260000</v>
      </c>
      <c r="E22" s="20" t="s">
        <v>582</v>
      </c>
      <c r="F22" s="20" t="s">
        <v>583</v>
      </c>
      <c r="G22" s="8" t="str">
        <f t="shared" si="0"/>
        <v>ACKERMAN JARED</v>
      </c>
    </row>
    <row r="23" spans="1:7" x14ac:dyDescent="0.25">
      <c r="A23" s="8">
        <v>42794.191469907404</v>
      </c>
      <c r="B23" s="20" t="s">
        <v>252</v>
      </c>
      <c r="C23" s="20" t="s">
        <v>534</v>
      </c>
      <c r="D23" s="150">
        <v>1120000</v>
      </c>
      <c r="E23" s="20" t="s">
        <v>371</v>
      </c>
      <c r="F23" s="20" t="s">
        <v>372</v>
      </c>
      <c r="G23" s="8" t="str">
        <f t="shared" si="0"/>
        <v>LOCKLEAR TRAVIS</v>
      </c>
    </row>
    <row r="24" spans="1:7" x14ac:dyDescent="0.25">
      <c r="A24" s="8">
        <v>42794.192094907405</v>
      </c>
      <c r="B24" s="20" t="s">
        <v>251</v>
      </c>
      <c r="C24" s="20" t="s">
        <v>584</v>
      </c>
      <c r="D24" s="150">
        <v>2010000</v>
      </c>
      <c r="E24" s="20" t="s">
        <v>327</v>
      </c>
      <c r="F24" s="20" t="s">
        <v>328</v>
      </c>
      <c r="G24" s="8" t="str">
        <f t="shared" si="0"/>
        <v>MAELZER KURT</v>
      </c>
    </row>
    <row r="25" spans="1:7" x14ac:dyDescent="0.25">
      <c r="A25" s="8">
        <v>42794.195081018515</v>
      </c>
      <c r="B25" s="20" t="s">
        <v>232</v>
      </c>
      <c r="C25" s="20" t="s">
        <v>537</v>
      </c>
      <c r="D25" s="150">
        <v>1260000</v>
      </c>
      <c r="E25" s="20" t="s">
        <v>582</v>
      </c>
      <c r="F25" s="20" t="s">
        <v>583</v>
      </c>
      <c r="G25" s="8" t="str">
        <f t="shared" si="0"/>
        <v>ACKERMAN JARED</v>
      </c>
    </row>
    <row r="26" spans="1:7" x14ac:dyDescent="0.25">
      <c r="A26" s="8">
        <v>42794.200335648151</v>
      </c>
      <c r="B26" s="20" t="s">
        <v>535</v>
      </c>
      <c r="C26" s="20" t="s">
        <v>536</v>
      </c>
      <c r="D26" s="150">
        <v>1830000</v>
      </c>
      <c r="E26" s="20" t="s">
        <v>256</v>
      </c>
      <c r="F26" s="20" t="s">
        <v>257</v>
      </c>
      <c r="G26" s="8" t="str">
        <f t="shared" si="0"/>
        <v>YORK EDGAR</v>
      </c>
    </row>
    <row r="27" spans="1:7" x14ac:dyDescent="0.25">
      <c r="A27" s="8">
        <v>42794.206145833334</v>
      </c>
      <c r="B27" s="20" t="s">
        <v>531</v>
      </c>
      <c r="C27" s="20" t="s">
        <v>585</v>
      </c>
      <c r="D27" s="150">
        <v>890000</v>
      </c>
      <c r="E27" s="20" t="s">
        <v>586</v>
      </c>
      <c r="F27" s="20" t="s">
        <v>587</v>
      </c>
      <c r="G27" s="8" t="str">
        <f t="shared" si="0"/>
        <v>LOZA FIDEL</v>
      </c>
    </row>
    <row r="28" spans="1:7" x14ac:dyDescent="0.25">
      <c r="A28" s="8">
        <v>42794.210034722222</v>
      </c>
      <c r="B28" s="20" t="s">
        <v>588</v>
      </c>
      <c r="C28" s="20" t="s">
        <v>589</v>
      </c>
      <c r="D28" s="150">
        <v>1360000</v>
      </c>
      <c r="E28" s="20" t="s">
        <v>325</v>
      </c>
      <c r="F28" s="20" t="s">
        <v>326</v>
      </c>
      <c r="G28" s="8" t="str">
        <f t="shared" si="0"/>
        <v>SANTIZO D. EDY</v>
      </c>
    </row>
    <row r="29" spans="1:7" x14ac:dyDescent="0.25">
      <c r="A29" s="8">
        <v>42794.210173611114</v>
      </c>
      <c r="B29" s="20" t="s">
        <v>540</v>
      </c>
      <c r="C29" s="20" t="s">
        <v>590</v>
      </c>
      <c r="D29" s="150">
        <v>1830000</v>
      </c>
      <c r="E29" s="20" t="s">
        <v>256</v>
      </c>
      <c r="F29" s="20" t="s">
        <v>257</v>
      </c>
      <c r="G29" s="8" t="str">
        <f t="shared" si="0"/>
        <v>YORK EDGAR</v>
      </c>
    </row>
    <row r="30" spans="1:7" x14ac:dyDescent="0.25">
      <c r="A30" s="8">
        <v>42794.21230324074</v>
      </c>
      <c r="B30" s="20" t="s">
        <v>219</v>
      </c>
      <c r="C30" s="20" t="s">
        <v>538</v>
      </c>
      <c r="D30" s="150">
        <v>1090000</v>
      </c>
      <c r="E30" s="20" t="s">
        <v>364</v>
      </c>
      <c r="F30" s="20" t="s">
        <v>202</v>
      </c>
      <c r="G30" s="8" t="str">
        <f t="shared" si="0"/>
        <v>SPECTOR MICHAEL</v>
      </c>
    </row>
    <row r="31" spans="1:7" x14ac:dyDescent="0.25">
      <c r="A31" s="8">
        <v>42794.224756944444</v>
      </c>
      <c r="B31" s="20" t="s">
        <v>253</v>
      </c>
      <c r="C31" s="20" t="s">
        <v>591</v>
      </c>
      <c r="D31" s="150">
        <v>1120000</v>
      </c>
      <c r="E31" s="20" t="s">
        <v>371</v>
      </c>
      <c r="F31" s="20" t="s">
        <v>372</v>
      </c>
      <c r="G31" s="8" t="str">
        <f t="shared" si="0"/>
        <v>LOCKLEAR TRAVIS</v>
      </c>
    </row>
    <row r="32" spans="1:7" x14ac:dyDescent="0.25">
      <c r="A32" s="8">
        <v>42794.227002314816</v>
      </c>
      <c r="B32" s="20" t="s">
        <v>535</v>
      </c>
      <c r="C32" s="20" t="s">
        <v>592</v>
      </c>
      <c r="D32" s="150">
        <v>1830000</v>
      </c>
      <c r="E32" s="20" t="s">
        <v>256</v>
      </c>
      <c r="F32" s="20" t="s">
        <v>257</v>
      </c>
      <c r="G32" s="8" t="str">
        <f t="shared" si="0"/>
        <v>YORK EDGAR</v>
      </c>
    </row>
    <row r="33" spans="1:7" x14ac:dyDescent="0.25">
      <c r="A33" s="8">
        <v>42794.228078703702</v>
      </c>
      <c r="B33" s="20" t="s">
        <v>329</v>
      </c>
      <c r="C33" s="20" t="s">
        <v>593</v>
      </c>
      <c r="D33" s="150">
        <v>2010000</v>
      </c>
      <c r="E33" s="20" t="s">
        <v>327</v>
      </c>
      <c r="F33" s="20" t="s">
        <v>328</v>
      </c>
      <c r="G33" s="8" t="str">
        <f t="shared" si="0"/>
        <v>MAELZER KURT</v>
      </c>
    </row>
    <row r="34" spans="1:7" x14ac:dyDescent="0.25">
      <c r="A34" s="8">
        <v>42794.22934027778</v>
      </c>
      <c r="B34" s="20" t="s">
        <v>359</v>
      </c>
      <c r="C34" s="20" t="s">
        <v>594</v>
      </c>
      <c r="D34" s="150">
        <v>900000</v>
      </c>
      <c r="E34" s="20" t="s">
        <v>595</v>
      </c>
      <c r="F34" s="20" t="s">
        <v>596</v>
      </c>
      <c r="G34" s="8" t="str">
        <f t="shared" si="0"/>
        <v>ROCHA YAOTL</v>
      </c>
    </row>
    <row r="35" spans="1:7" x14ac:dyDescent="0.25">
      <c r="A35" s="8">
        <v>42794.230185185188</v>
      </c>
      <c r="B35" s="20" t="s">
        <v>359</v>
      </c>
      <c r="C35" s="20" t="s">
        <v>594</v>
      </c>
      <c r="D35" s="150">
        <v>900000</v>
      </c>
      <c r="E35" s="20" t="s">
        <v>595</v>
      </c>
      <c r="F35" s="20" t="s">
        <v>596</v>
      </c>
      <c r="G35" s="8" t="str">
        <f t="shared" si="0"/>
        <v>ROCHA YAOTL</v>
      </c>
    </row>
    <row r="36" spans="1:7" x14ac:dyDescent="0.25">
      <c r="A36" s="8">
        <v>42794.230636574073</v>
      </c>
      <c r="B36" s="20" t="s">
        <v>212</v>
      </c>
      <c r="C36" s="20" t="s">
        <v>597</v>
      </c>
      <c r="D36" s="150">
        <v>1260000</v>
      </c>
      <c r="E36" s="20" t="s">
        <v>582</v>
      </c>
      <c r="F36" s="20" t="s">
        <v>583</v>
      </c>
      <c r="G36" s="8" t="str">
        <f t="shared" si="0"/>
        <v>ACKERMAN JARED</v>
      </c>
    </row>
    <row r="37" spans="1:7" x14ac:dyDescent="0.25">
      <c r="A37" s="8">
        <v>42794.231979166667</v>
      </c>
      <c r="B37" s="20" t="s">
        <v>293</v>
      </c>
      <c r="C37" s="20" t="s">
        <v>598</v>
      </c>
      <c r="D37" s="150">
        <v>1230000</v>
      </c>
      <c r="E37" s="20" t="s">
        <v>599</v>
      </c>
      <c r="F37" s="20" t="s">
        <v>600</v>
      </c>
      <c r="G37" s="8" t="str">
        <f t="shared" si="0"/>
        <v>YANAI IAN</v>
      </c>
    </row>
    <row r="38" spans="1:7" x14ac:dyDescent="0.25">
      <c r="A38" s="8">
        <v>42794.240104166667</v>
      </c>
      <c r="B38" s="20" t="s">
        <v>577</v>
      </c>
      <c r="C38" s="20" t="s">
        <v>598</v>
      </c>
      <c r="D38" s="150">
        <v>1230000</v>
      </c>
      <c r="E38" s="20" t="s">
        <v>599</v>
      </c>
      <c r="F38" s="20" t="s">
        <v>600</v>
      </c>
      <c r="G38" s="8" t="str">
        <f t="shared" si="0"/>
        <v>YANAI IAN</v>
      </c>
    </row>
    <row r="39" spans="1:7" x14ac:dyDescent="0.25">
      <c r="A39" s="8">
        <v>42794.240636574075</v>
      </c>
      <c r="B39" s="20" t="s">
        <v>577</v>
      </c>
      <c r="C39" s="20" t="s">
        <v>601</v>
      </c>
      <c r="D39" s="150">
        <v>1230000</v>
      </c>
      <c r="E39" s="20" t="s">
        <v>599</v>
      </c>
      <c r="F39" s="20" t="s">
        <v>600</v>
      </c>
      <c r="G39" s="8" t="str">
        <f t="shared" si="0"/>
        <v>YANAI IAN</v>
      </c>
    </row>
    <row r="40" spans="1:7" x14ac:dyDescent="0.25">
      <c r="A40" s="8">
        <v>42794.241180555553</v>
      </c>
      <c r="B40" s="25" t="s">
        <v>577</v>
      </c>
      <c r="C40" s="20" t="s">
        <v>601</v>
      </c>
      <c r="D40" s="150">
        <v>1230000</v>
      </c>
      <c r="E40" s="20" t="s">
        <v>599</v>
      </c>
      <c r="F40" s="20" t="s">
        <v>600</v>
      </c>
      <c r="G40" s="8" t="str">
        <f t="shared" si="0"/>
        <v>YANAI IAN</v>
      </c>
    </row>
    <row r="41" spans="1:7" x14ac:dyDescent="0.25">
      <c r="A41" s="8">
        <v>42794.245856481481</v>
      </c>
      <c r="B41" s="20" t="s">
        <v>602</v>
      </c>
      <c r="C41" s="20" t="s">
        <v>603</v>
      </c>
      <c r="D41" s="150">
        <v>890000</v>
      </c>
      <c r="E41" s="20" t="s">
        <v>586</v>
      </c>
      <c r="F41" s="20" t="s">
        <v>587</v>
      </c>
      <c r="G41" s="8" t="str">
        <f t="shared" si="0"/>
        <v>LOZA FIDEL</v>
      </c>
    </row>
    <row r="42" spans="1:7" x14ac:dyDescent="0.25">
      <c r="A42" s="8">
        <v>42794.246435185189</v>
      </c>
      <c r="B42" s="20" t="s">
        <v>233</v>
      </c>
      <c r="C42" s="20" t="s">
        <v>604</v>
      </c>
      <c r="D42" s="150">
        <v>1290000</v>
      </c>
      <c r="E42" s="20" t="s">
        <v>605</v>
      </c>
      <c r="F42" s="20" t="s">
        <v>255</v>
      </c>
      <c r="G42" s="8" t="str">
        <f t="shared" si="0"/>
        <v>COOLAHAN JOHN</v>
      </c>
    </row>
    <row r="43" spans="1:7" x14ac:dyDescent="0.25">
      <c r="A43" s="8">
        <v>42794.246932870374</v>
      </c>
      <c r="B43" s="20" t="s">
        <v>529</v>
      </c>
      <c r="C43" s="20" t="s">
        <v>543</v>
      </c>
      <c r="D43" s="150">
        <v>1360000</v>
      </c>
      <c r="E43" s="20" t="s">
        <v>325</v>
      </c>
      <c r="F43" s="20" t="s">
        <v>326</v>
      </c>
      <c r="G43" s="8" t="str">
        <f t="shared" si="0"/>
        <v>SANTIZO D. EDY</v>
      </c>
    </row>
    <row r="44" spans="1:7" x14ac:dyDescent="0.25">
      <c r="A44" s="8">
        <v>42794.248553240737</v>
      </c>
      <c r="B44" s="20" t="s">
        <v>220</v>
      </c>
      <c r="C44" s="20" t="s">
        <v>539</v>
      </c>
      <c r="D44" s="150">
        <v>1110000</v>
      </c>
      <c r="E44" s="20" t="s">
        <v>365</v>
      </c>
      <c r="F44" s="20" t="s">
        <v>366</v>
      </c>
      <c r="G44" s="8" t="str">
        <f t="shared" si="0"/>
        <v>STARKS ANGELINA</v>
      </c>
    </row>
    <row r="45" spans="1:7" x14ac:dyDescent="0.25">
      <c r="A45" s="8">
        <v>42794.255439814813</v>
      </c>
      <c r="B45" s="20" t="s">
        <v>540</v>
      </c>
      <c r="C45" s="20" t="s">
        <v>541</v>
      </c>
      <c r="D45" s="150">
        <v>1830000</v>
      </c>
      <c r="E45" s="20" t="s">
        <v>256</v>
      </c>
      <c r="F45" s="20" t="s">
        <v>257</v>
      </c>
      <c r="G45" s="8" t="str">
        <f t="shared" si="0"/>
        <v>YORK EDGAR</v>
      </c>
    </row>
    <row r="46" spans="1:7" x14ac:dyDescent="0.25">
      <c r="A46" s="8">
        <v>42794.257210648146</v>
      </c>
      <c r="B46" s="20" t="s">
        <v>252</v>
      </c>
      <c r="C46" s="20" t="s">
        <v>606</v>
      </c>
      <c r="D46" s="150">
        <v>1120000</v>
      </c>
      <c r="E46" s="20" t="s">
        <v>371</v>
      </c>
      <c r="F46" s="20" t="s">
        <v>372</v>
      </c>
      <c r="G46" s="8" t="str">
        <f t="shared" si="0"/>
        <v>LOCKLEAR TRAVIS</v>
      </c>
    </row>
    <row r="47" spans="1:7" x14ac:dyDescent="0.25">
      <c r="A47" s="8">
        <v>42794.26394675926</v>
      </c>
      <c r="B47" s="20" t="s">
        <v>236</v>
      </c>
      <c r="C47" s="20" t="s">
        <v>542</v>
      </c>
      <c r="D47" s="150">
        <v>1290000</v>
      </c>
      <c r="E47" s="20" t="s">
        <v>605</v>
      </c>
      <c r="F47" s="20" t="s">
        <v>255</v>
      </c>
      <c r="G47" s="8" t="str">
        <f t="shared" si="0"/>
        <v>COOLAHAN JOHN</v>
      </c>
    </row>
    <row r="48" spans="1:7" x14ac:dyDescent="0.25">
      <c r="A48" s="8">
        <v>42794.264224537037</v>
      </c>
      <c r="B48" s="20" t="s">
        <v>357</v>
      </c>
      <c r="C48" s="20" t="s">
        <v>544</v>
      </c>
      <c r="D48" s="150">
        <v>900000</v>
      </c>
      <c r="E48" s="20" t="s">
        <v>595</v>
      </c>
      <c r="F48" s="20" t="s">
        <v>596</v>
      </c>
      <c r="G48" s="8" t="str">
        <f t="shared" si="0"/>
        <v>ROCHA YAOTL</v>
      </c>
    </row>
    <row r="49" spans="1:7" x14ac:dyDescent="0.25">
      <c r="A49" s="8">
        <v>42794.268194444441</v>
      </c>
      <c r="B49" s="20" t="s">
        <v>232</v>
      </c>
      <c r="C49" s="20" t="s">
        <v>607</v>
      </c>
      <c r="D49" s="150">
        <v>1260000</v>
      </c>
      <c r="E49" s="20" t="s">
        <v>582</v>
      </c>
      <c r="F49" s="20" t="s">
        <v>583</v>
      </c>
      <c r="G49" s="8" t="str">
        <f t="shared" si="0"/>
        <v>ACKERMAN JARED</v>
      </c>
    </row>
    <row r="50" spans="1:7" x14ac:dyDescent="0.25">
      <c r="A50" s="8">
        <v>42794.270115740743</v>
      </c>
      <c r="B50" s="20" t="s">
        <v>535</v>
      </c>
      <c r="C50" s="20" t="s">
        <v>608</v>
      </c>
      <c r="D50" s="150">
        <v>1830000</v>
      </c>
      <c r="E50" s="20" t="s">
        <v>256</v>
      </c>
      <c r="F50" s="20" t="s">
        <v>257</v>
      </c>
      <c r="G50" s="8" t="str">
        <f t="shared" si="0"/>
        <v>YORK EDGAR</v>
      </c>
    </row>
    <row r="51" spans="1:7" x14ac:dyDescent="0.25">
      <c r="A51" s="8">
        <v>42794.274247685185</v>
      </c>
      <c r="B51" s="20" t="s">
        <v>291</v>
      </c>
      <c r="C51" s="20" t="s">
        <v>609</v>
      </c>
      <c r="D51" s="150">
        <v>1230000</v>
      </c>
      <c r="E51" s="20" t="s">
        <v>599</v>
      </c>
      <c r="F51" s="20" t="s">
        <v>600</v>
      </c>
      <c r="G51" s="8" t="str">
        <f t="shared" si="0"/>
        <v>YANAI IAN</v>
      </c>
    </row>
    <row r="52" spans="1:7" x14ac:dyDescent="0.25">
      <c r="A52" s="8">
        <v>42794.274456018517</v>
      </c>
      <c r="B52" s="20" t="s">
        <v>251</v>
      </c>
      <c r="C52" s="20" t="s">
        <v>610</v>
      </c>
      <c r="D52" s="150">
        <v>2010000</v>
      </c>
      <c r="E52" s="20" t="s">
        <v>327</v>
      </c>
      <c r="F52" s="20" t="s">
        <v>328</v>
      </c>
      <c r="G52" s="8" t="str">
        <f t="shared" si="0"/>
        <v>MAELZER KURT</v>
      </c>
    </row>
    <row r="53" spans="1:7" x14ac:dyDescent="0.25">
      <c r="A53" s="8">
        <v>42794.276342592595</v>
      </c>
      <c r="B53" s="20" t="s">
        <v>233</v>
      </c>
      <c r="C53" s="20" t="s">
        <v>611</v>
      </c>
      <c r="D53" s="150">
        <v>1290000</v>
      </c>
      <c r="E53" s="20" t="s">
        <v>605</v>
      </c>
      <c r="F53" s="20" t="s">
        <v>255</v>
      </c>
      <c r="G53" s="8" t="str">
        <f t="shared" si="0"/>
        <v>COOLAHAN JOHN</v>
      </c>
    </row>
    <row r="54" spans="1:7" x14ac:dyDescent="0.25">
      <c r="A54" s="8">
        <v>42794.278599537036</v>
      </c>
      <c r="B54" s="20" t="s">
        <v>531</v>
      </c>
      <c r="C54" s="20" t="s">
        <v>612</v>
      </c>
      <c r="D54" s="150">
        <v>890000</v>
      </c>
      <c r="E54" s="20" t="s">
        <v>586</v>
      </c>
      <c r="F54" s="20" t="s">
        <v>587</v>
      </c>
      <c r="G54" s="8" t="str">
        <f t="shared" si="0"/>
        <v>LOZA FIDEL</v>
      </c>
    </row>
    <row r="55" spans="1:7" x14ac:dyDescent="0.25">
      <c r="A55" s="8">
        <v>42794.28800925926</v>
      </c>
      <c r="B55" s="20" t="s">
        <v>219</v>
      </c>
      <c r="C55" s="20" t="s">
        <v>545</v>
      </c>
      <c r="D55" s="150">
        <v>1110000</v>
      </c>
      <c r="E55" s="20" t="s">
        <v>365</v>
      </c>
      <c r="F55" s="20" t="s">
        <v>366</v>
      </c>
      <c r="G55" s="8" t="str">
        <f t="shared" si="0"/>
        <v>STARKS ANGELINA</v>
      </c>
    </row>
    <row r="56" spans="1:7" x14ac:dyDescent="0.25">
      <c r="A56" s="8">
        <v>42794.289907407408</v>
      </c>
      <c r="B56" s="20" t="s">
        <v>588</v>
      </c>
      <c r="C56" s="20" t="s">
        <v>613</v>
      </c>
      <c r="D56" s="150">
        <v>1360000</v>
      </c>
      <c r="E56" s="20" t="s">
        <v>325</v>
      </c>
      <c r="F56" s="20" t="s">
        <v>326</v>
      </c>
      <c r="G56" s="8" t="str">
        <f t="shared" si="0"/>
        <v>SANTIZO D. EDY</v>
      </c>
    </row>
    <row r="57" spans="1:7" x14ac:dyDescent="0.25">
      <c r="A57" s="8">
        <v>42794.297199074077</v>
      </c>
      <c r="B57" s="20" t="s">
        <v>540</v>
      </c>
      <c r="C57" s="20" t="s">
        <v>614</v>
      </c>
      <c r="D57" s="150">
        <v>1830000</v>
      </c>
      <c r="E57" s="20" t="s">
        <v>256</v>
      </c>
      <c r="F57" s="20" t="s">
        <v>257</v>
      </c>
      <c r="G57" s="8" t="str">
        <f t="shared" si="0"/>
        <v>YORK EDGAR</v>
      </c>
    </row>
    <row r="58" spans="1:7" x14ac:dyDescent="0.25">
      <c r="A58" s="8">
        <v>42794.297905092593</v>
      </c>
      <c r="B58" s="20" t="s">
        <v>253</v>
      </c>
      <c r="C58" s="20" t="s">
        <v>615</v>
      </c>
      <c r="D58" s="150">
        <v>1120000</v>
      </c>
      <c r="E58" s="20" t="s">
        <v>371</v>
      </c>
      <c r="F58" s="20" t="s">
        <v>372</v>
      </c>
      <c r="G58" s="8" t="str">
        <f t="shared" si="0"/>
        <v>LOCKLEAR TRAVIS</v>
      </c>
    </row>
    <row r="59" spans="1:7" x14ac:dyDescent="0.25">
      <c r="A59" s="8">
        <v>42794.302256944444</v>
      </c>
      <c r="B59" s="20" t="s">
        <v>236</v>
      </c>
      <c r="C59" s="20" t="s">
        <v>547</v>
      </c>
      <c r="D59" s="150">
        <v>1290000</v>
      </c>
      <c r="E59" s="20" t="s">
        <v>605</v>
      </c>
      <c r="F59" s="20" t="s">
        <v>255</v>
      </c>
      <c r="G59" s="8" t="str">
        <f t="shared" si="0"/>
        <v>COOLAHAN JOHN</v>
      </c>
    </row>
    <row r="60" spans="1:7" x14ac:dyDescent="0.25">
      <c r="A60" s="8">
        <v>42794.303078703706</v>
      </c>
      <c r="B60" s="20" t="s">
        <v>359</v>
      </c>
      <c r="C60" s="20" t="s">
        <v>546</v>
      </c>
      <c r="D60" s="150">
        <v>900000</v>
      </c>
      <c r="E60" s="20" t="s">
        <v>595</v>
      </c>
      <c r="F60" s="20" t="s">
        <v>596</v>
      </c>
      <c r="G60" s="8" t="str">
        <f t="shared" si="0"/>
        <v>ROCHA YAOTL</v>
      </c>
    </row>
    <row r="61" spans="1:7" x14ac:dyDescent="0.25">
      <c r="A61" s="8">
        <v>42794.303090277775</v>
      </c>
      <c r="B61" s="20" t="s">
        <v>212</v>
      </c>
      <c r="C61" s="20" t="s">
        <v>616</v>
      </c>
      <c r="D61" s="150">
        <v>1260000</v>
      </c>
      <c r="E61" s="20" t="s">
        <v>582</v>
      </c>
      <c r="F61" s="20" t="s">
        <v>583</v>
      </c>
      <c r="G61" s="8" t="str">
        <f t="shared" si="0"/>
        <v>ACKERMAN JARED</v>
      </c>
    </row>
    <row r="62" spans="1:7" x14ac:dyDescent="0.25">
      <c r="A62" s="8">
        <v>42794.308344907404</v>
      </c>
      <c r="B62" s="20" t="s">
        <v>329</v>
      </c>
      <c r="C62" s="20" t="s">
        <v>617</v>
      </c>
      <c r="D62" s="150">
        <v>2010000</v>
      </c>
      <c r="E62" s="20" t="s">
        <v>327</v>
      </c>
      <c r="F62" s="20" t="s">
        <v>328</v>
      </c>
      <c r="G62" s="8" t="str">
        <f t="shared" si="0"/>
        <v>MAELZER KURT</v>
      </c>
    </row>
    <row r="63" spans="1:7" x14ac:dyDescent="0.25">
      <c r="A63" s="8">
        <v>42794.317129629628</v>
      </c>
      <c r="B63" s="20" t="s">
        <v>233</v>
      </c>
      <c r="C63" s="20" t="s">
        <v>618</v>
      </c>
      <c r="D63" s="150">
        <v>1290000</v>
      </c>
      <c r="E63" s="20" t="s">
        <v>605</v>
      </c>
      <c r="F63" s="20" t="s">
        <v>255</v>
      </c>
      <c r="G63" s="8" t="str">
        <f t="shared" si="0"/>
        <v>COOLAHAN JOHN</v>
      </c>
    </row>
    <row r="64" spans="1:7" x14ac:dyDescent="0.25">
      <c r="A64" s="26">
        <v>42794.318483796298</v>
      </c>
      <c r="B64" s="20" t="s">
        <v>529</v>
      </c>
      <c r="C64" s="20" t="s">
        <v>619</v>
      </c>
      <c r="D64" s="150">
        <v>1360000</v>
      </c>
      <c r="E64" s="20" t="s">
        <v>325</v>
      </c>
      <c r="F64" s="20" t="s">
        <v>326</v>
      </c>
      <c r="G64" s="8" t="str">
        <f t="shared" si="0"/>
        <v>SANTIZO D. EDY</v>
      </c>
    </row>
    <row r="65" spans="1:7" x14ac:dyDescent="0.25">
      <c r="A65" s="8">
        <v>42794.319236111114</v>
      </c>
      <c r="B65" s="20" t="s">
        <v>602</v>
      </c>
      <c r="C65" s="20" t="s">
        <v>620</v>
      </c>
      <c r="D65" s="150">
        <v>890000</v>
      </c>
      <c r="E65" s="20" t="s">
        <v>586</v>
      </c>
      <c r="F65" s="20" t="s">
        <v>587</v>
      </c>
      <c r="G65" s="8" t="str">
        <f t="shared" si="0"/>
        <v>LOZA FIDEL</v>
      </c>
    </row>
    <row r="66" spans="1:7" x14ac:dyDescent="0.25">
      <c r="A66" s="8">
        <v>42794.32099537037</v>
      </c>
      <c r="B66" s="20" t="s">
        <v>220</v>
      </c>
      <c r="C66" s="20" t="s">
        <v>548</v>
      </c>
      <c r="D66" s="150">
        <v>1110000</v>
      </c>
      <c r="E66" s="20" t="s">
        <v>365</v>
      </c>
      <c r="F66" s="20" t="s">
        <v>366</v>
      </c>
      <c r="G66" s="8" t="str">
        <f t="shared" si="0"/>
        <v>STARKS ANGELINA</v>
      </c>
    </row>
    <row r="67" spans="1:7" x14ac:dyDescent="0.25">
      <c r="A67" s="8">
        <v>42794.32576388889</v>
      </c>
      <c r="B67" s="20" t="s">
        <v>535</v>
      </c>
      <c r="C67" s="20" t="s">
        <v>621</v>
      </c>
      <c r="D67" s="150">
        <v>1830000</v>
      </c>
      <c r="E67" s="20" t="s">
        <v>256</v>
      </c>
      <c r="F67" s="20" t="s">
        <v>257</v>
      </c>
      <c r="G67" s="8" t="str">
        <f t="shared" ref="G67:G130" si="1">E67&amp;" "&amp;F67</f>
        <v>YORK EDGAR</v>
      </c>
    </row>
    <row r="68" spans="1:7" x14ac:dyDescent="0.25">
      <c r="A68" s="8">
        <v>42794.329872685186</v>
      </c>
      <c r="B68" s="20" t="s">
        <v>252</v>
      </c>
      <c r="C68" s="20" t="s">
        <v>622</v>
      </c>
      <c r="D68" s="150">
        <v>1120000</v>
      </c>
      <c r="E68" s="20" t="s">
        <v>371</v>
      </c>
      <c r="F68" s="20" t="s">
        <v>372</v>
      </c>
      <c r="G68" s="8" t="str">
        <f t="shared" si="1"/>
        <v>LOCKLEAR TRAVIS</v>
      </c>
    </row>
    <row r="69" spans="1:7" x14ac:dyDescent="0.25">
      <c r="A69" s="8">
        <v>42794.338587962964</v>
      </c>
      <c r="B69" s="20" t="s">
        <v>540</v>
      </c>
      <c r="C69" s="20" t="s">
        <v>623</v>
      </c>
      <c r="D69" s="150">
        <v>1830000</v>
      </c>
      <c r="E69" s="20" t="s">
        <v>256</v>
      </c>
      <c r="F69" s="20" t="s">
        <v>257</v>
      </c>
      <c r="G69" s="8" t="str">
        <f t="shared" si="1"/>
        <v>YORK EDGAR</v>
      </c>
    </row>
    <row r="70" spans="1:7" x14ac:dyDescent="0.25">
      <c r="A70" s="8">
        <v>42794.339733796296</v>
      </c>
      <c r="B70" s="20" t="s">
        <v>357</v>
      </c>
      <c r="C70" s="20" t="s">
        <v>624</v>
      </c>
      <c r="D70" s="150">
        <v>900000</v>
      </c>
      <c r="E70" s="20" t="s">
        <v>595</v>
      </c>
      <c r="F70" s="20" t="s">
        <v>596</v>
      </c>
      <c r="G70" s="8" t="str">
        <f t="shared" si="1"/>
        <v>ROCHA YAOTL</v>
      </c>
    </row>
    <row r="71" spans="1:7" x14ac:dyDescent="0.25">
      <c r="A71" s="8">
        <v>42794.340289351851</v>
      </c>
      <c r="B71" s="20" t="s">
        <v>232</v>
      </c>
      <c r="C71" s="20" t="s">
        <v>625</v>
      </c>
      <c r="D71" s="150">
        <v>1260000</v>
      </c>
      <c r="E71" s="20" t="s">
        <v>582</v>
      </c>
      <c r="F71" s="20" t="s">
        <v>583</v>
      </c>
      <c r="G71" s="8" t="str">
        <f t="shared" si="1"/>
        <v>ACKERMAN JARED</v>
      </c>
    </row>
    <row r="72" spans="1:7" x14ac:dyDescent="0.25">
      <c r="A72" s="8">
        <v>42794.343518518515</v>
      </c>
      <c r="B72" s="20" t="s">
        <v>236</v>
      </c>
      <c r="C72" s="20" t="s">
        <v>549</v>
      </c>
      <c r="D72" s="150">
        <v>1290000</v>
      </c>
      <c r="E72" s="20" t="s">
        <v>605</v>
      </c>
      <c r="F72" s="20" t="s">
        <v>255</v>
      </c>
      <c r="G72" s="8" t="str">
        <f t="shared" si="1"/>
        <v>COOLAHAN JOHN</v>
      </c>
    </row>
    <row r="73" spans="1:7" x14ac:dyDescent="0.25">
      <c r="A73" s="8">
        <v>42794.345833333333</v>
      </c>
      <c r="B73" s="20" t="s">
        <v>251</v>
      </c>
      <c r="C73" s="20" t="s">
        <v>626</v>
      </c>
      <c r="D73" s="150">
        <v>2010000</v>
      </c>
      <c r="E73" s="20" t="s">
        <v>327</v>
      </c>
      <c r="F73" s="20" t="s">
        <v>328</v>
      </c>
      <c r="G73" s="8" t="str">
        <f t="shared" si="1"/>
        <v>MAELZER KURT</v>
      </c>
    </row>
    <row r="74" spans="1:7" x14ac:dyDescent="0.25">
      <c r="A74" s="8">
        <v>42794.352083333331</v>
      </c>
      <c r="B74" s="20" t="s">
        <v>531</v>
      </c>
      <c r="C74" s="20" t="s">
        <v>627</v>
      </c>
      <c r="D74" s="150">
        <v>890000</v>
      </c>
      <c r="E74" s="20" t="s">
        <v>586</v>
      </c>
      <c r="F74" s="20" t="s">
        <v>587</v>
      </c>
      <c r="G74" s="8" t="str">
        <f t="shared" si="1"/>
        <v>LOZA FIDEL</v>
      </c>
    </row>
    <row r="75" spans="1:7" x14ac:dyDescent="0.25">
      <c r="A75" s="8">
        <v>42794.35292824074</v>
      </c>
      <c r="B75" s="20" t="s">
        <v>535</v>
      </c>
      <c r="C75" s="20" t="s">
        <v>628</v>
      </c>
      <c r="D75" s="150">
        <v>1830000</v>
      </c>
      <c r="E75" s="20" t="s">
        <v>256</v>
      </c>
      <c r="F75" s="20" t="s">
        <v>257</v>
      </c>
      <c r="G75" s="8" t="str">
        <f t="shared" si="1"/>
        <v>YORK EDGAR</v>
      </c>
    </row>
    <row r="76" spans="1:7" x14ac:dyDescent="0.25">
      <c r="A76" s="8">
        <v>42794.358402777776</v>
      </c>
      <c r="B76" s="20" t="s">
        <v>219</v>
      </c>
      <c r="C76" s="20" t="s">
        <v>629</v>
      </c>
      <c r="D76" s="150">
        <v>1110000</v>
      </c>
      <c r="E76" s="20" t="s">
        <v>365</v>
      </c>
      <c r="F76" s="20" t="s">
        <v>366</v>
      </c>
      <c r="G76" s="8" t="str">
        <f t="shared" si="1"/>
        <v>STARKS ANGELINA</v>
      </c>
    </row>
    <row r="77" spans="1:7" x14ac:dyDescent="0.25">
      <c r="A77" s="8">
        <v>42794.359236111108</v>
      </c>
      <c r="B77" s="20" t="s">
        <v>233</v>
      </c>
      <c r="C77" s="20" t="s">
        <v>550</v>
      </c>
      <c r="D77" s="150">
        <v>1290000</v>
      </c>
      <c r="E77" s="20" t="s">
        <v>605</v>
      </c>
      <c r="F77" s="20" t="s">
        <v>255</v>
      </c>
      <c r="G77" s="8" t="str">
        <f t="shared" si="1"/>
        <v>COOLAHAN JOHN</v>
      </c>
    </row>
    <row r="78" spans="1:7" x14ac:dyDescent="0.25">
      <c r="A78" s="8">
        <v>42794.35974537037</v>
      </c>
      <c r="B78" s="20" t="s">
        <v>588</v>
      </c>
      <c r="C78" s="20" t="s">
        <v>630</v>
      </c>
      <c r="D78" s="150">
        <v>1360000</v>
      </c>
      <c r="E78" s="20" t="s">
        <v>325</v>
      </c>
      <c r="F78" s="20" t="s">
        <v>326</v>
      </c>
      <c r="G78" s="8" t="str">
        <f t="shared" si="1"/>
        <v>SANTIZO D. EDY</v>
      </c>
    </row>
    <row r="79" spans="1:7" x14ac:dyDescent="0.25">
      <c r="A79" s="8">
        <v>42794.370335648149</v>
      </c>
      <c r="B79" s="20" t="s">
        <v>359</v>
      </c>
      <c r="C79" s="20" t="s">
        <v>551</v>
      </c>
      <c r="D79" s="150">
        <v>1520000</v>
      </c>
      <c r="E79" s="20" t="s">
        <v>631</v>
      </c>
      <c r="F79" s="20" t="s">
        <v>632</v>
      </c>
      <c r="G79" s="8" t="str">
        <f t="shared" si="1"/>
        <v>MAYBERRY BILL</v>
      </c>
    </row>
    <row r="80" spans="1:7" x14ac:dyDescent="0.25">
      <c r="A80" s="8">
        <v>42794.370509259257</v>
      </c>
      <c r="B80" s="20" t="s">
        <v>253</v>
      </c>
      <c r="C80" s="20" t="s">
        <v>552</v>
      </c>
      <c r="D80" s="150">
        <v>1120000</v>
      </c>
      <c r="E80" s="20" t="s">
        <v>371</v>
      </c>
      <c r="F80" s="20" t="s">
        <v>372</v>
      </c>
      <c r="G80" s="8" t="str">
        <f t="shared" si="1"/>
        <v>LOCKLEAR TRAVIS</v>
      </c>
    </row>
    <row r="81" spans="1:7" x14ac:dyDescent="0.25">
      <c r="A81" s="8">
        <v>42794.375844907408</v>
      </c>
      <c r="B81" s="20" t="s">
        <v>212</v>
      </c>
      <c r="C81" s="20" t="s">
        <v>633</v>
      </c>
      <c r="D81" s="150">
        <v>1260000</v>
      </c>
      <c r="E81" s="20" t="s">
        <v>582</v>
      </c>
      <c r="F81" s="20" t="s">
        <v>583</v>
      </c>
      <c r="G81" s="8" t="str">
        <f t="shared" si="1"/>
        <v>ACKERMAN JARED</v>
      </c>
    </row>
    <row r="82" spans="1:7" x14ac:dyDescent="0.25">
      <c r="A82" s="8">
        <v>42794.382175925923</v>
      </c>
      <c r="B82" s="20" t="s">
        <v>329</v>
      </c>
      <c r="C82" s="20" t="s">
        <v>634</v>
      </c>
      <c r="D82" s="150">
        <v>2010000</v>
      </c>
      <c r="E82" s="20" t="s">
        <v>327</v>
      </c>
      <c r="F82" s="20" t="s">
        <v>328</v>
      </c>
      <c r="G82" s="8" t="str">
        <f t="shared" si="1"/>
        <v>MAELZER KURT</v>
      </c>
    </row>
    <row r="83" spans="1:7" x14ac:dyDescent="0.25">
      <c r="A83" s="8">
        <v>42794.384618055556</v>
      </c>
      <c r="B83" s="20" t="s">
        <v>253</v>
      </c>
      <c r="C83" s="20" t="s">
        <v>552</v>
      </c>
      <c r="D83" s="150">
        <v>1120000</v>
      </c>
      <c r="E83" s="20" t="s">
        <v>371</v>
      </c>
      <c r="F83" s="20" t="s">
        <v>372</v>
      </c>
      <c r="G83" s="8" t="str">
        <f t="shared" si="1"/>
        <v>LOCKLEAR TRAVIS</v>
      </c>
    </row>
    <row r="84" spans="1:7" x14ac:dyDescent="0.25">
      <c r="A84" s="8">
        <v>42794.38616898148</v>
      </c>
      <c r="B84" s="20" t="s">
        <v>236</v>
      </c>
      <c r="C84" s="20" t="s">
        <v>635</v>
      </c>
      <c r="D84" s="150">
        <v>1290000</v>
      </c>
      <c r="E84" s="20" t="s">
        <v>605</v>
      </c>
      <c r="F84" s="20" t="s">
        <v>255</v>
      </c>
      <c r="G84" s="8" t="str">
        <f t="shared" si="1"/>
        <v>COOLAHAN JOHN</v>
      </c>
    </row>
    <row r="85" spans="1:7" x14ac:dyDescent="0.25">
      <c r="A85" s="8">
        <v>42794.38989583333</v>
      </c>
      <c r="B85" s="20" t="s">
        <v>602</v>
      </c>
      <c r="C85" s="20" t="s">
        <v>636</v>
      </c>
      <c r="D85" s="150">
        <v>890000</v>
      </c>
      <c r="E85" s="20" t="s">
        <v>586</v>
      </c>
      <c r="F85" s="20" t="s">
        <v>587</v>
      </c>
      <c r="G85" s="8" t="str">
        <f t="shared" si="1"/>
        <v>LOZA FIDEL</v>
      </c>
    </row>
    <row r="86" spans="1:7" x14ac:dyDescent="0.25">
      <c r="A86" s="8">
        <v>42794.392708333333</v>
      </c>
      <c r="B86" s="20" t="s">
        <v>529</v>
      </c>
      <c r="C86" s="20" t="s">
        <v>637</v>
      </c>
      <c r="D86" s="150">
        <v>1360000</v>
      </c>
      <c r="E86" s="20" t="s">
        <v>325</v>
      </c>
      <c r="F86" s="20" t="s">
        <v>326</v>
      </c>
      <c r="G86" s="8" t="str">
        <f t="shared" si="1"/>
        <v>SANTIZO D. EDY</v>
      </c>
    </row>
    <row r="87" spans="1:7" x14ac:dyDescent="0.25">
      <c r="A87" s="8">
        <v>42794.394143518519</v>
      </c>
      <c r="B87" s="20" t="s">
        <v>220</v>
      </c>
      <c r="C87" s="20" t="s">
        <v>553</v>
      </c>
      <c r="D87" s="150">
        <v>1110000</v>
      </c>
      <c r="E87" s="20" t="s">
        <v>365</v>
      </c>
      <c r="F87" s="20" t="s">
        <v>366</v>
      </c>
      <c r="G87" s="8" t="str">
        <f t="shared" si="1"/>
        <v>STARKS ANGELINA</v>
      </c>
    </row>
    <row r="88" spans="1:7" x14ac:dyDescent="0.25">
      <c r="A88" s="8">
        <v>42794.400208333333</v>
      </c>
      <c r="B88" s="20" t="s">
        <v>233</v>
      </c>
      <c r="C88" s="20" t="s">
        <v>638</v>
      </c>
      <c r="D88" s="150">
        <v>1290000</v>
      </c>
      <c r="E88" s="20" t="s">
        <v>605</v>
      </c>
      <c r="F88" s="20" t="s">
        <v>255</v>
      </c>
      <c r="G88" s="8" t="str">
        <f t="shared" si="1"/>
        <v>COOLAHAN JOHN</v>
      </c>
    </row>
    <row r="89" spans="1:7" x14ac:dyDescent="0.25">
      <c r="A89" s="8">
        <v>42794.406666666669</v>
      </c>
      <c r="B89" s="20" t="s">
        <v>252</v>
      </c>
      <c r="C89" s="20" t="s">
        <v>555</v>
      </c>
      <c r="D89" s="150">
        <v>1120000</v>
      </c>
      <c r="E89" s="20" t="s">
        <v>371</v>
      </c>
      <c r="F89" s="20" t="s">
        <v>372</v>
      </c>
      <c r="G89" s="8" t="str">
        <f t="shared" si="1"/>
        <v>LOCKLEAR TRAVIS</v>
      </c>
    </row>
    <row r="90" spans="1:7" x14ac:dyDescent="0.25">
      <c r="A90" s="8">
        <v>42794.407175925924</v>
      </c>
      <c r="B90" s="20" t="s">
        <v>357</v>
      </c>
      <c r="C90" s="20" t="s">
        <v>554</v>
      </c>
      <c r="D90" s="150">
        <v>1520000</v>
      </c>
      <c r="E90" s="20" t="s">
        <v>631</v>
      </c>
      <c r="F90" s="20" t="s">
        <v>632</v>
      </c>
      <c r="G90" s="8" t="str">
        <f t="shared" si="1"/>
        <v>MAYBERRY BILL</v>
      </c>
    </row>
    <row r="91" spans="1:7" x14ac:dyDescent="0.25">
      <c r="A91" s="8">
        <v>42794.413368055553</v>
      </c>
      <c r="B91" s="20" t="s">
        <v>232</v>
      </c>
      <c r="C91" s="20" t="s">
        <v>639</v>
      </c>
      <c r="D91" s="150">
        <v>1260000</v>
      </c>
      <c r="E91" s="20" t="s">
        <v>582</v>
      </c>
      <c r="F91" s="20" t="s">
        <v>583</v>
      </c>
      <c r="G91" s="8" t="str">
        <f t="shared" si="1"/>
        <v>ACKERMAN JARED</v>
      </c>
    </row>
    <row r="92" spans="1:7" x14ac:dyDescent="0.25">
      <c r="A92" s="8">
        <v>42794.416365740741</v>
      </c>
      <c r="B92" s="20" t="s">
        <v>251</v>
      </c>
      <c r="C92" s="20" t="s">
        <v>640</v>
      </c>
      <c r="D92" s="150">
        <v>2010000</v>
      </c>
      <c r="E92" s="20" t="s">
        <v>327</v>
      </c>
      <c r="F92" s="20" t="s">
        <v>328</v>
      </c>
      <c r="G92" s="8" t="str">
        <f t="shared" si="1"/>
        <v>MAELZER KURT</v>
      </c>
    </row>
    <row r="93" spans="1:7" x14ac:dyDescent="0.25">
      <c r="A93" s="8">
        <v>42794.425532407404</v>
      </c>
      <c r="B93" s="20" t="s">
        <v>531</v>
      </c>
      <c r="C93" s="20" t="s">
        <v>641</v>
      </c>
      <c r="D93" s="150">
        <v>890000</v>
      </c>
      <c r="E93" s="20" t="s">
        <v>586</v>
      </c>
      <c r="F93" s="20" t="s">
        <v>587</v>
      </c>
      <c r="G93" s="8" t="str">
        <f t="shared" si="1"/>
        <v>LOZA FIDEL</v>
      </c>
    </row>
    <row r="94" spans="1:7" x14ac:dyDescent="0.25">
      <c r="A94" s="8">
        <v>42794.428530092591</v>
      </c>
      <c r="B94" s="20" t="s">
        <v>236</v>
      </c>
      <c r="C94" s="20" t="s">
        <v>642</v>
      </c>
      <c r="D94" s="150">
        <v>1290000</v>
      </c>
      <c r="E94" s="20" t="s">
        <v>605</v>
      </c>
      <c r="F94" s="20" t="s">
        <v>255</v>
      </c>
      <c r="G94" s="8" t="str">
        <f t="shared" si="1"/>
        <v>COOLAHAN JOHN</v>
      </c>
    </row>
    <row r="95" spans="1:7" x14ac:dyDescent="0.25">
      <c r="A95" s="8">
        <v>42794.432708333334</v>
      </c>
      <c r="B95" s="20" t="s">
        <v>588</v>
      </c>
      <c r="C95" s="20" t="s">
        <v>643</v>
      </c>
      <c r="D95" s="150">
        <v>1830000</v>
      </c>
      <c r="E95" s="20" t="s">
        <v>256</v>
      </c>
      <c r="F95" s="20" t="s">
        <v>257</v>
      </c>
      <c r="G95" s="8" t="str">
        <f t="shared" si="1"/>
        <v>YORK EDGAR</v>
      </c>
    </row>
    <row r="96" spans="1:7" x14ac:dyDescent="0.25">
      <c r="A96" s="8">
        <v>42794.433518518519</v>
      </c>
      <c r="B96" s="20" t="s">
        <v>219</v>
      </c>
      <c r="C96" s="20" t="s">
        <v>644</v>
      </c>
      <c r="D96" s="150">
        <v>1110000</v>
      </c>
      <c r="E96" s="20" t="s">
        <v>365</v>
      </c>
      <c r="F96" s="20" t="s">
        <v>366</v>
      </c>
      <c r="G96" s="8" t="str">
        <f t="shared" si="1"/>
        <v>STARKS ANGELINA</v>
      </c>
    </row>
    <row r="97" spans="1:7" x14ac:dyDescent="0.25">
      <c r="A97" s="8">
        <v>42794.441701388889</v>
      </c>
      <c r="B97" s="20" t="s">
        <v>233</v>
      </c>
      <c r="C97" s="20" t="s">
        <v>645</v>
      </c>
      <c r="D97" s="150">
        <v>1290000</v>
      </c>
      <c r="E97" s="20" t="s">
        <v>605</v>
      </c>
      <c r="F97" s="20" t="s">
        <v>255</v>
      </c>
      <c r="G97" s="8" t="str">
        <f t="shared" si="1"/>
        <v>COOLAHAN JOHN</v>
      </c>
    </row>
    <row r="98" spans="1:7" x14ac:dyDescent="0.25">
      <c r="A98" s="8">
        <v>42794.442453703705</v>
      </c>
      <c r="B98" s="20" t="s">
        <v>253</v>
      </c>
      <c r="C98" s="20" t="s">
        <v>646</v>
      </c>
      <c r="D98" s="150">
        <v>1120000</v>
      </c>
      <c r="E98" s="20" t="s">
        <v>371</v>
      </c>
      <c r="F98" s="20" t="s">
        <v>372</v>
      </c>
      <c r="G98" s="8" t="str">
        <f t="shared" si="1"/>
        <v>LOCKLEAR TRAVIS</v>
      </c>
    </row>
    <row r="99" spans="1:7" x14ac:dyDescent="0.25">
      <c r="A99" s="8">
        <v>42794.4455787037</v>
      </c>
      <c r="B99" s="20" t="s">
        <v>359</v>
      </c>
      <c r="C99" s="20" t="s">
        <v>647</v>
      </c>
      <c r="D99" s="150">
        <v>1520000</v>
      </c>
      <c r="E99" s="20" t="s">
        <v>631</v>
      </c>
      <c r="F99" s="20" t="s">
        <v>632</v>
      </c>
      <c r="G99" s="8" t="str">
        <f t="shared" si="1"/>
        <v>MAYBERRY BILL</v>
      </c>
    </row>
    <row r="100" spans="1:7" x14ac:dyDescent="0.25">
      <c r="A100" s="8">
        <v>42794.44809027778</v>
      </c>
      <c r="B100" s="20" t="s">
        <v>212</v>
      </c>
      <c r="C100" s="20" t="s">
        <v>648</v>
      </c>
      <c r="D100" s="150">
        <v>1260000</v>
      </c>
      <c r="E100" s="20" t="s">
        <v>582</v>
      </c>
      <c r="F100" s="20" t="s">
        <v>583</v>
      </c>
      <c r="G100" s="8" t="str">
        <f t="shared" si="1"/>
        <v>ACKERMAN JARED</v>
      </c>
    </row>
    <row r="101" spans="1:7" x14ac:dyDescent="0.25">
      <c r="A101" s="8">
        <v>42794.455694444441</v>
      </c>
      <c r="B101" s="20" t="s">
        <v>329</v>
      </c>
      <c r="C101" s="20" t="s">
        <v>649</v>
      </c>
      <c r="D101" s="150">
        <v>920000</v>
      </c>
      <c r="E101" s="20" t="s">
        <v>333</v>
      </c>
      <c r="F101" s="20" t="s">
        <v>202</v>
      </c>
      <c r="G101" s="8" t="str">
        <f t="shared" si="1"/>
        <v>DAVIS MICHAEL</v>
      </c>
    </row>
    <row r="102" spans="1:7" x14ac:dyDescent="0.25">
      <c r="A102" s="8">
        <v>42794.459363425929</v>
      </c>
      <c r="B102" s="20" t="s">
        <v>602</v>
      </c>
      <c r="C102" s="20" t="s">
        <v>650</v>
      </c>
      <c r="D102" s="150">
        <v>890000</v>
      </c>
      <c r="E102" s="20" t="s">
        <v>586</v>
      </c>
      <c r="F102" s="20" t="s">
        <v>587</v>
      </c>
      <c r="G102" s="8" t="str">
        <f t="shared" si="1"/>
        <v>LOZA FIDEL</v>
      </c>
    </row>
    <row r="103" spans="1:7" x14ac:dyDescent="0.25">
      <c r="A103" s="8">
        <v>42794.464108796295</v>
      </c>
      <c r="B103" s="20" t="s">
        <v>529</v>
      </c>
      <c r="C103" s="20" t="s">
        <v>557</v>
      </c>
      <c r="D103" s="150">
        <v>1830000</v>
      </c>
      <c r="E103" s="20" t="s">
        <v>256</v>
      </c>
      <c r="F103" s="20" t="s">
        <v>257</v>
      </c>
      <c r="G103" s="8" t="str">
        <f t="shared" si="1"/>
        <v>YORK EDGAR</v>
      </c>
    </row>
    <row r="104" spans="1:7" x14ac:dyDescent="0.25">
      <c r="A104" s="8">
        <v>42794.466886574075</v>
      </c>
      <c r="B104" s="20" t="s">
        <v>220</v>
      </c>
      <c r="C104" s="20" t="s">
        <v>556</v>
      </c>
      <c r="D104" s="150">
        <v>880000</v>
      </c>
      <c r="E104" s="20" t="s">
        <v>332</v>
      </c>
      <c r="F104" s="20" t="s">
        <v>202</v>
      </c>
      <c r="G104" s="8" t="str">
        <f t="shared" si="1"/>
        <v>STEWART MICHAEL</v>
      </c>
    </row>
    <row r="105" spans="1:7" x14ac:dyDescent="0.25">
      <c r="A105" s="8">
        <v>42794.469259259262</v>
      </c>
      <c r="B105" s="20" t="s">
        <v>236</v>
      </c>
      <c r="C105" s="20" t="s">
        <v>651</v>
      </c>
      <c r="D105" s="150">
        <v>1290000</v>
      </c>
      <c r="E105" s="20" t="s">
        <v>605</v>
      </c>
      <c r="F105" s="20" t="s">
        <v>255</v>
      </c>
      <c r="G105" s="8" t="str">
        <f t="shared" si="1"/>
        <v>COOLAHAN JOHN</v>
      </c>
    </row>
    <row r="106" spans="1:7" x14ac:dyDescent="0.25">
      <c r="A106" s="8">
        <v>42794.476631944446</v>
      </c>
      <c r="B106" s="20" t="s">
        <v>252</v>
      </c>
      <c r="C106" s="20" t="s">
        <v>652</v>
      </c>
      <c r="D106" s="150">
        <v>1760000</v>
      </c>
      <c r="E106" s="20" t="s">
        <v>653</v>
      </c>
      <c r="F106" s="20" t="s">
        <v>654</v>
      </c>
      <c r="G106" s="8" t="str">
        <f t="shared" si="1"/>
        <v>STRICKLAND EVAN</v>
      </c>
    </row>
    <row r="107" spans="1:7" x14ac:dyDescent="0.25">
      <c r="A107" s="8">
        <v>42794.479328703703</v>
      </c>
      <c r="B107" s="20" t="s">
        <v>357</v>
      </c>
      <c r="C107" s="20" t="s">
        <v>558</v>
      </c>
      <c r="D107" s="150">
        <v>1520000</v>
      </c>
      <c r="E107" s="20" t="s">
        <v>631</v>
      </c>
      <c r="F107" s="20" t="s">
        <v>632</v>
      </c>
      <c r="G107" s="8" t="str">
        <f t="shared" si="1"/>
        <v>MAYBERRY BILL</v>
      </c>
    </row>
    <row r="108" spans="1:7" x14ac:dyDescent="0.25">
      <c r="A108" s="8">
        <v>42794.483437499999</v>
      </c>
      <c r="B108" s="20" t="s">
        <v>233</v>
      </c>
      <c r="C108" s="20" t="s">
        <v>655</v>
      </c>
      <c r="D108" s="150">
        <v>1290000</v>
      </c>
      <c r="E108" s="20" t="s">
        <v>605</v>
      </c>
      <c r="F108" s="20" t="s">
        <v>255</v>
      </c>
      <c r="G108" s="8" t="str">
        <f t="shared" si="1"/>
        <v>COOLAHAN JOHN</v>
      </c>
    </row>
    <row r="109" spans="1:7" x14ac:dyDescent="0.25">
      <c r="A109" s="8">
        <v>42794.486273148148</v>
      </c>
      <c r="B109" s="20" t="s">
        <v>232</v>
      </c>
      <c r="C109" s="20" t="s">
        <v>656</v>
      </c>
      <c r="D109" s="150">
        <v>930000</v>
      </c>
      <c r="E109" s="20" t="s">
        <v>369</v>
      </c>
      <c r="F109" s="20" t="s">
        <v>370</v>
      </c>
      <c r="G109" s="8" t="str">
        <f t="shared" si="1"/>
        <v>CLARK KATHLEEN</v>
      </c>
    </row>
    <row r="110" spans="1:7" x14ac:dyDescent="0.25">
      <c r="A110" s="8">
        <v>42794.495185185187</v>
      </c>
      <c r="B110" s="20" t="s">
        <v>251</v>
      </c>
      <c r="C110" s="20" t="s">
        <v>657</v>
      </c>
      <c r="D110" s="150">
        <v>920000</v>
      </c>
      <c r="E110" s="20" t="s">
        <v>333</v>
      </c>
      <c r="F110" s="20" t="s">
        <v>202</v>
      </c>
      <c r="G110" s="8" t="str">
        <f t="shared" si="1"/>
        <v>DAVIS MICHAEL</v>
      </c>
    </row>
    <row r="111" spans="1:7" x14ac:dyDescent="0.25">
      <c r="A111" s="8">
        <v>42794.498206018521</v>
      </c>
      <c r="B111" s="20" t="s">
        <v>531</v>
      </c>
      <c r="C111" s="20" t="s">
        <v>658</v>
      </c>
      <c r="D111" s="150">
        <v>2150000</v>
      </c>
      <c r="E111" s="20" t="s">
        <v>367</v>
      </c>
      <c r="F111" s="20" t="s">
        <v>368</v>
      </c>
      <c r="G111" s="8" t="str">
        <f t="shared" si="1"/>
        <v>SWANSON BRYCE</v>
      </c>
    </row>
    <row r="112" spans="1:7" x14ac:dyDescent="0.25">
      <c r="A112" s="8">
        <v>42794.50712962963</v>
      </c>
      <c r="B112" s="20" t="s">
        <v>219</v>
      </c>
      <c r="C112" s="20" t="s">
        <v>659</v>
      </c>
      <c r="D112" s="150">
        <v>880000</v>
      </c>
      <c r="E112" s="20" t="s">
        <v>332</v>
      </c>
      <c r="F112" s="20" t="s">
        <v>202</v>
      </c>
      <c r="G112" s="8" t="str">
        <f t="shared" si="1"/>
        <v>STEWART MICHAEL</v>
      </c>
    </row>
    <row r="113" spans="1:7" x14ac:dyDescent="0.25">
      <c r="A113" s="8">
        <v>42794.508252314816</v>
      </c>
      <c r="B113" s="20" t="s">
        <v>253</v>
      </c>
      <c r="C113" s="20" t="s">
        <v>559</v>
      </c>
      <c r="D113" s="150">
        <v>1760000</v>
      </c>
      <c r="E113" s="20" t="s">
        <v>653</v>
      </c>
      <c r="F113" s="20" t="s">
        <v>654</v>
      </c>
      <c r="G113" s="8" t="str">
        <f t="shared" si="1"/>
        <v>STRICKLAND EVAN</v>
      </c>
    </row>
    <row r="114" spans="1:7" x14ac:dyDescent="0.25">
      <c r="A114" s="8">
        <v>42794.510648148149</v>
      </c>
      <c r="B114" s="20" t="s">
        <v>236</v>
      </c>
      <c r="C114" s="20" t="s">
        <v>660</v>
      </c>
      <c r="D114" s="150">
        <v>1290000</v>
      </c>
      <c r="E114" s="20" t="s">
        <v>605</v>
      </c>
      <c r="F114" s="20" t="s">
        <v>255</v>
      </c>
      <c r="G114" s="8" t="str">
        <f t="shared" si="1"/>
        <v>COOLAHAN JOHN</v>
      </c>
    </row>
    <row r="115" spans="1:7" x14ac:dyDescent="0.25">
      <c r="A115" s="8">
        <v>42794.510972222219</v>
      </c>
      <c r="B115" s="20" t="s">
        <v>588</v>
      </c>
      <c r="C115" s="20" t="s">
        <v>661</v>
      </c>
      <c r="D115" s="150">
        <v>2470000</v>
      </c>
      <c r="E115" s="20" t="s">
        <v>330</v>
      </c>
      <c r="F115" s="20" t="s">
        <v>331</v>
      </c>
      <c r="G115" s="8" t="str">
        <f t="shared" si="1"/>
        <v>ROMERO CHAD</v>
      </c>
    </row>
    <row r="116" spans="1:7" x14ac:dyDescent="0.25">
      <c r="A116" s="8">
        <v>42794.522048611114</v>
      </c>
      <c r="B116" s="20" t="s">
        <v>359</v>
      </c>
      <c r="C116" s="20" t="s">
        <v>662</v>
      </c>
      <c r="D116" s="150">
        <v>2350000</v>
      </c>
      <c r="E116" s="20" t="s">
        <v>377</v>
      </c>
      <c r="F116" s="20" t="s">
        <v>378</v>
      </c>
      <c r="G116" s="8" t="str">
        <f t="shared" si="1"/>
        <v>BERLING GARY</v>
      </c>
    </row>
    <row r="117" spans="1:7" x14ac:dyDescent="0.25">
      <c r="A117" s="8">
        <v>42794.524189814816</v>
      </c>
      <c r="B117" s="20" t="s">
        <v>212</v>
      </c>
      <c r="C117" s="20" t="s">
        <v>663</v>
      </c>
      <c r="D117" s="150">
        <v>930000</v>
      </c>
      <c r="E117" s="20" t="s">
        <v>369</v>
      </c>
      <c r="F117" s="20" t="s">
        <v>370</v>
      </c>
      <c r="G117" s="8" t="str">
        <f t="shared" si="1"/>
        <v>CLARK KATHLEEN</v>
      </c>
    </row>
    <row r="118" spans="1:7" x14ac:dyDescent="0.25">
      <c r="A118" s="8">
        <v>42794.52548611111</v>
      </c>
      <c r="B118" s="20" t="s">
        <v>233</v>
      </c>
      <c r="C118" s="20" t="s">
        <v>664</v>
      </c>
      <c r="D118" s="150">
        <v>1290000</v>
      </c>
      <c r="E118" s="20" t="s">
        <v>605</v>
      </c>
      <c r="F118" s="20" t="s">
        <v>255</v>
      </c>
      <c r="G118" s="8" t="str">
        <f t="shared" si="1"/>
        <v>COOLAHAN JOHN</v>
      </c>
    </row>
    <row r="119" spans="1:7" x14ac:dyDescent="0.25">
      <c r="A119" s="8">
        <v>42794.530914351853</v>
      </c>
      <c r="B119" s="20" t="s">
        <v>602</v>
      </c>
      <c r="C119" s="20" t="s">
        <v>665</v>
      </c>
      <c r="D119" s="150">
        <v>2150000</v>
      </c>
      <c r="E119" s="20" t="s">
        <v>367</v>
      </c>
      <c r="F119" s="20" t="s">
        <v>368</v>
      </c>
      <c r="G119" s="8" t="str">
        <f t="shared" si="1"/>
        <v>SWANSON BRYCE</v>
      </c>
    </row>
    <row r="120" spans="1:7" x14ac:dyDescent="0.25">
      <c r="A120" s="8">
        <v>42794.534675925926</v>
      </c>
      <c r="B120" s="20" t="s">
        <v>329</v>
      </c>
      <c r="C120" s="20" t="s">
        <v>666</v>
      </c>
      <c r="D120" s="150">
        <v>920000</v>
      </c>
      <c r="E120" s="20" t="s">
        <v>333</v>
      </c>
      <c r="F120" s="20" t="s">
        <v>202</v>
      </c>
      <c r="G120" s="8" t="str">
        <f t="shared" si="1"/>
        <v>DAVIS MICHAEL</v>
      </c>
    </row>
    <row r="121" spans="1:7" x14ac:dyDescent="0.25">
      <c r="A121" s="8">
        <v>42794.540833333333</v>
      </c>
      <c r="B121" s="20" t="s">
        <v>529</v>
      </c>
      <c r="C121" s="20" t="s">
        <v>667</v>
      </c>
      <c r="D121" s="150">
        <v>2470000</v>
      </c>
      <c r="E121" s="20" t="s">
        <v>330</v>
      </c>
      <c r="F121" s="20" t="s">
        <v>331</v>
      </c>
      <c r="G121" s="8" t="str">
        <f t="shared" si="1"/>
        <v>ROMERO CHAD</v>
      </c>
    </row>
    <row r="122" spans="1:7" x14ac:dyDescent="0.25">
      <c r="A122" s="8">
        <v>42794.54482638889</v>
      </c>
      <c r="B122" s="25" t="s">
        <v>220</v>
      </c>
      <c r="C122" s="20" t="s">
        <v>668</v>
      </c>
      <c r="D122" s="150">
        <v>880000</v>
      </c>
      <c r="E122" s="20" t="s">
        <v>332</v>
      </c>
      <c r="F122" s="20" t="s">
        <v>202</v>
      </c>
      <c r="G122" s="8" t="str">
        <f t="shared" si="1"/>
        <v>STEWART MICHAEL</v>
      </c>
    </row>
    <row r="123" spans="1:7" x14ac:dyDescent="0.25">
      <c r="A123" s="8">
        <v>42794.551400462966</v>
      </c>
      <c r="B123" s="20" t="s">
        <v>236</v>
      </c>
      <c r="C123" s="20" t="s">
        <v>560</v>
      </c>
      <c r="D123" s="150">
        <v>1300000</v>
      </c>
      <c r="E123" s="20" t="s">
        <v>334</v>
      </c>
      <c r="F123" s="20" t="s">
        <v>335</v>
      </c>
      <c r="G123" s="8" t="str">
        <f t="shared" si="1"/>
        <v>LEVIN SCOTT</v>
      </c>
    </row>
    <row r="124" spans="1:7" x14ac:dyDescent="0.25">
      <c r="A124" s="8">
        <v>42794.552743055552</v>
      </c>
      <c r="B124" s="20" t="s">
        <v>252</v>
      </c>
      <c r="C124" s="20" t="s">
        <v>669</v>
      </c>
      <c r="D124" s="150">
        <v>1180000</v>
      </c>
      <c r="E124" s="20" t="s">
        <v>375</v>
      </c>
      <c r="F124" s="20" t="s">
        <v>376</v>
      </c>
      <c r="G124" s="8" t="str">
        <f t="shared" si="1"/>
        <v>LEVERE CRAIG</v>
      </c>
    </row>
    <row r="125" spans="1:7" x14ac:dyDescent="0.25">
      <c r="A125" s="8">
        <v>42794.557152777779</v>
      </c>
      <c r="B125" s="20" t="s">
        <v>357</v>
      </c>
      <c r="C125" s="20" t="s">
        <v>670</v>
      </c>
      <c r="D125" s="150">
        <v>2350000</v>
      </c>
      <c r="E125" s="20" t="s">
        <v>377</v>
      </c>
      <c r="F125" s="20" t="s">
        <v>378</v>
      </c>
      <c r="G125" s="8" t="str">
        <f t="shared" si="1"/>
        <v>BERLING GARY</v>
      </c>
    </row>
    <row r="126" spans="1:7" x14ac:dyDescent="0.25">
      <c r="A126" s="8">
        <v>42794.563807870371</v>
      </c>
      <c r="B126" s="20" t="s">
        <v>232</v>
      </c>
      <c r="C126" s="20" t="s">
        <v>671</v>
      </c>
      <c r="D126" s="150">
        <v>930000</v>
      </c>
      <c r="E126" s="20" t="s">
        <v>369</v>
      </c>
      <c r="F126" s="20" t="s">
        <v>370</v>
      </c>
      <c r="G126" s="8" t="str">
        <f t="shared" si="1"/>
        <v>CLARK KATHLEEN</v>
      </c>
    </row>
    <row r="127" spans="1:7" x14ac:dyDescent="0.25">
      <c r="A127" s="8">
        <v>42794.563831018517</v>
      </c>
      <c r="B127" s="20" t="s">
        <v>602</v>
      </c>
      <c r="C127" s="20" t="s">
        <v>665</v>
      </c>
      <c r="D127" s="150">
        <v>2150000</v>
      </c>
      <c r="E127" s="20" t="s">
        <v>367</v>
      </c>
      <c r="F127" s="20" t="s">
        <v>368</v>
      </c>
      <c r="G127" s="8" t="str">
        <f t="shared" si="1"/>
        <v>SWANSON BRYCE</v>
      </c>
    </row>
    <row r="128" spans="1:7" x14ac:dyDescent="0.25">
      <c r="A128" s="8">
        <v>42794.567488425928</v>
      </c>
      <c r="B128" s="20" t="s">
        <v>233</v>
      </c>
      <c r="C128" s="20" t="s">
        <v>561</v>
      </c>
      <c r="D128" s="150">
        <v>1300000</v>
      </c>
      <c r="E128" s="20" t="s">
        <v>334</v>
      </c>
      <c r="F128" s="20" t="s">
        <v>335</v>
      </c>
      <c r="G128" s="8" t="str">
        <f t="shared" si="1"/>
        <v>LEVIN SCOTT</v>
      </c>
    </row>
    <row r="129" spans="1:7" x14ac:dyDescent="0.25">
      <c r="A129" s="8">
        <v>42794.569571759261</v>
      </c>
      <c r="B129" s="20" t="s">
        <v>251</v>
      </c>
      <c r="C129" s="20" t="s">
        <v>672</v>
      </c>
      <c r="D129" s="150">
        <v>920000</v>
      </c>
      <c r="E129" s="20" t="s">
        <v>333</v>
      </c>
      <c r="F129" s="20" t="s">
        <v>202</v>
      </c>
      <c r="G129" s="8" t="str">
        <f t="shared" si="1"/>
        <v>DAVIS MICHAEL</v>
      </c>
    </row>
    <row r="130" spans="1:7" x14ac:dyDescent="0.25">
      <c r="A130" s="8">
        <v>42794.574108796296</v>
      </c>
      <c r="B130" s="20" t="s">
        <v>531</v>
      </c>
      <c r="C130" s="20" t="s">
        <v>673</v>
      </c>
      <c r="D130" s="150">
        <v>2150000</v>
      </c>
      <c r="E130" s="20" t="s">
        <v>367</v>
      </c>
      <c r="F130" s="20" t="s">
        <v>368</v>
      </c>
      <c r="G130" s="8" t="str">
        <f t="shared" si="1"/>
        <v>SWANSON BRYCE</v>
      </c>
    </row>
    <row r="131" spans="1:7" x14ac:dyDescent="0.25">
      <c r="A131" s="8">
        <v>42794.579351851855</v>
      </c>
      <c r="B131" s="20" t="s">
        <v>588</v>
      </c>
      <c r="C131" s="20" t="s">
        <v>674</v>
      </c>
      <c r="D131" s="150">
        <v>2470000</v>
      </c>
      <c r="E131" s="20" t="s">
        <v>330</v>
      </c>
      <c r="F131" s="20" t="s">
        <v>331</v>
      </c>
      <c r="G131" s="8" t="str">
        <f t="shared" ref="G131:G194" si="2">E131&amp;" "&amp;F131</f>
        <v>ROMERO CHAD</v>
      </c>
    </row>
    <row r="132" spans="1:7" x14ac:dyDescent="0.25">
      <c r="A132" s="8">
        <v>42794.581307870372</v>
      </c>
      <c r="B132" s="20" t="s">
        <v>219</v>
      </c>
      <c r="C132" s="20" t="s">
        <v>675</v>
      </c>
      <c r="D132" s="150">
        <v>880000</v>
      </c>
      <c r="E132" s="20" t="s">
        <v>332</v>
      </c>
      <c r="F132" s="20" t="s">
        <v>202</v>
      </c>
      <c r="G132" s="8" t="str">
        <f t="shared" si="2"/>
        <v>STEWART MICHAEL</v>
      </c>
    </row>
    <row r="133" spans="1:7" x14ac:dyDescent="0.25">
      <c r="A133" s="8">
        <v>42794.589236111111</v>
      </c>
      <c r="B133" s="20" t="s">
        <v>253</v>
      </c>
      <c r="C133" s="20" t="s">
        <v>676</v>
      </c>
      <c r="D133" s="150">
        <v>1180000</v>
      </c>
      <c r="E133" s="20" t="s">
        <v>375</v>
      </c>
      <c r="F133" s="20" t="s">
        <v>376</v>
      </c>
      <c r="G133" s="8" t="str">
        <f t="shared" si="2"/>
        <v>LEVERE CRAIG</v>
      </c>
    </row>
    <row r="134" spans="1:7" x14ac:dyDescent="0.25">
      <c r="A134" s="8">
        <v>42794.590439814812</v>
      </c>
      <c r="B134" s="20" t="s">
        <v>359</v>
      </c>
      <c r="C134" s="20" t="s">
        <v>677</v>
      </c>
      <c r="D134" s="150">
        <v>2350000</v>
      </c>
      <c r="E134" s="20" t="s">
        <v>377</v>
      </c>
      <c r="F134" s="20" t="s">
        <v>378</v>
      </c>
      <c r="G134" s="8" t="str">
        <f t="shared" si="2"/>
        <v>BERLING GARY</v>
      </c>
    </row>
    <row r="135" spans="1:7" x14ac:dyDescent="0.25">
      <c r="A135" s="8">
        <v>42794.593275462961</v>
      </c>
      <c r="B135" s="20" t="s">
        <v>678</v>
      </c>
      <c r="C135" s="20" t="s">
        <v>679</v>
      </c>
      <c r="D135" s="150">
        <v>2420000</v>
      </c>
      <c r="E135" s="20" t="s">
        <v>336</v>
      </c>
      <c r="F135" s="20" t="s">
        <v>337</v>
      </c>
      <c r="G135" s="8" t="str">
        <f t="shared" si="2"/>
        <v>HOLCOMB KAMDEN</v>
      </c>
    </row>
    <row r="136" spans="1:7" x14ac:dyDescent="0.25">
      <c r="A136" s="8">
        <v>42794.593761574077</v>
      </c>
      <c r="B136" s="20" t="s">
        <v>236</v>
      </c>
      <c r="C136" s="20" t="s">
        <v>680</v>
      </c>
      <c r="D136" s="150">
        <v>1300000</v>
      </c>
      <c r="E136" s="20" t="s">
        <v>334</v>
      </c>
      <c r="F136" s="20" t="s">
        <v>335</v>
      </c>
      <c r="G136" s="8" t="str">
        <f t="shared" si="2"/>
        <v>LEVIN SCOTT</v>
      </c>
    </row>
    <row r="137" spans="1:7" x14ac:dyDescent="0.25">
      <c r="A137" s="8">
        <v>42794.594085648147</v>
      </c>
      <c r="B137" s="20" t="s">
        <v>247</v>
      </c>
      <c r="C137" s="20" t="s">
        <v>562</v>
      </c>
      <c r="D137" s="150">
        <v>1760000</v>
      </c>
      <c r="E137" s="20" t="s">
        <v>653</v>
      </c>
      <c r="F137" s="20" t="s">
        <v>654</v>
      </c>
      <c r="G137" s="8" t="str">
        <f t="shared" si="2"/>
        <v>STRICKLAND EVAN</v>
      </c>
    </row>
    <row r="138" spans="1:7" x14ac:dyDescent="0.25">
      <c r="A138" s="8">
        <v>42794.594826388886</v>
      </c>
      <c r="B138" s="20" t="s">
        <v>247</v>
      </c>
      <c r="C138" s="20" t="s">
        <v>562</v>
      </c>
      <c r="D138" s="150">
        <v>1760000</v>
      </c>
      <c r="E138" s="20" t="s">
        <v>653</v>
      </c>
      <c r="F138" s="20" t="s">
        <v>654</v>
      </c>
      <c r="G138" s="8" t="str">
        <f t="shared" si="2"/>
        <v>STRICKLAND EVAN</v>
      </c>
    </row>
    <row r="139" spans="1:7" x14ac:dyDescent="0.25">
      <c r="A139" s="8">
        <v>42794.595937500002</v>
      </c>
      <c r="B139" s="20" t="s">
        <v>247</v>
      </c>
      <c r="C139" s="20" t="s">
        <v>562</v>
      </c>
      <c r="D139" s="150">
        <v>1760000</v>
      </c>
      <c r="E139" s="20" t="s">
        <v>653</v>
      </c>
      <c r="F139" s="20" t="s">
        <v>654</v>
      </c>
      <c r="G139" s="8" t="str">
        <f t="shared" si="2"/>
        <v>STRICKLAND EVAN</v>
      </c>
    </row>
    <row r="140" spans="1:7" x14ac:dyDescent="0.25">
      <c r="A140" s="8">
        <v>42794.599143518521</v>
      </c>
      <c r="B140" s="20" t="s">
        <v>212</v>
      </c>
      <c r="C140" s="20" t="s">
        <v>681</v>
      </c>
      <c r="D140" s="150">
        <v>930000</v>
      </c>
      <c r="E140" s="20" t="s">
        <v>369</v>
      </c>
      <c r="F140" s="20" t="s">
        <v>370</v>
      </c>
      <c r="G140" s="8" t="str">
        <f t="shared" si="2"/>
        <v>CLARK KATHLEEN</v>
      </c>
    </row>
    <row r="141" spans="1:7" x14ac:dyDescent="0.25">
      <c r="A141" s="8">
        <v>42794.601678240739</v>
      </c>
      <c r="B141" s="20" t="s">
        <v>577</v>
      </c>
      <c r="C141" s="20" t="s">
        <v>682</v>
      </c>
      <c r="D141" s="150">
        <v>2420000</v>
      </c>
      <c r="E141" s="20" t="s">
        <v>336</v>
      </c>
      <c r="F141" s="20" t="s">
        <v>337</v>
      </c>
      <c r="G141" s="8" t="str">
        <f t="shared" si="2"/>
        <v>HOLCOMB KAMDEN</v>
      </c>
    </row>
    <row r="142" spans="1:7" x14ac:dyDescent="0.25">
      <c r="A142" s="8">
        <v>42794.606076388889</v>
      </c>
      <c r="B142" s="20" t="s">
        <v>602</v>
      </c>
      <c r="C142" s="20" t="s">
        <v>683</v>
      </c>
      <c r="D142" s="150">
        <v>2150000</v>
      </c>
      <c r="E142" s="20" t="s">
        <v>367</v>
      </c>
      <c r="F142" s="20" t="s">
        <v>368</v>
      </c>
      <c r="G142" s="8" t="str">
        <f t="shared" si="2"/>
        <v>SWANSON BRYCE</v>
      </c>
    </row>
    <row r="143" spans="1:7" x14ac:dyDescent="0.25">
      <c r="A143" s="8">
        <v>42794.608784722222</v>
      </c>
      <c r="B143" s="20" t="s">
        <v>233</v>
      </c>
      <c r="C143" s="20" t="s">
        <v>563</v>
      </c>
      <c r="D143" s="150">
        <v>1300000</v>
      </c>
      <c r="E143" s="20" t="s">
        <v>334</v>
      </c>
      <c r="F143" s="20" t="s">
        <v>335</v>
      </c>
      <c r="G143" s="8" t="str">
        <f t="shared" si="2"/>
        <v>LEVIN SCOTT</v>
      </c>
    </row>
    <row r="144" spans="1:7" x14ac:dyDescent="0.25">
      <c r="A144" s="8">
        <v>42794.61109953704</v>
      </c>
      <c r="B144" s="20" t="s">
        <v>529</v>
      </c>
      <c r="C144" s="20" t="s">
        <v>684</v>
      </c>
      <c r="D144" s="150">
        <v>2470000</v>
      </c>
      <c r="E144" s="20" t="s">
        <v>330</v>
      </c>
      <c r="F144" s="20" t="s">
        <v>331</v>
      </c>
      <c r="G144" s="8" t="str">
        <f t="shared" si="2"/>
        <v>ROMERO CHAD</v>
      </c>
    </row>
    <row r="145" spans="1:7" x14ac:dyDescent="0.25">
      <c r="A145" s="8">
        <v>42794.612835648149</v>
      </c>
      <c r="B145" s="20" t="s">
        <v>220</v>
      </c>
      <c r="C145" s="20" t="s">
        <v>685</v>
      </c>
      <c r="D145" s="150">
        <v>880000</v>
      </c>
      <c r="E145" s="20" t="s">
        <v>332</v>
      </c>
      <c r="F145" s="20" t="s">
        <v>202</v>
      </c>
      <c r="G145" s="8" t="str">
        <f t="shared" si="2"/>
        <v>STEWART MICHAEL</v>
      </c>
    </row>
    <row r="146" spans="1:7" x14ac:dyDescent="0.25">
      <c r="A146" s="8">
        <v>42794.622569444444</v>
      </c>
      <c r="B146" s="20" t="s">
        <v>252</v>
      </c>
      <c r="C146" s="20" t="s">
        <v>686</v>
      </c>
      <c r="D146" s="150">
        <v>1180000</v>
      </c>
      <c r="E146" s="20" t="s">
        <v>375</v>
      </c>
      <c r="F146" s="20" t="s">
        <v>376</v>
      </c>
      <c r="G146" s="8" t="str">
        <f t="shared" si="2"/>
        <v>LEVERE CRAIG</v>
      </c>
    </row>
    <row r="147" spans="1:7" x14ac:dyDescent="0.25">
      <c r="A147" s="8">
        <v>42794.628877314812</v>
      </c>
      <c r="B147" s="20" t="s">
        <v>357</v>
      </c>
      <c r="C147" s="20" t="s">
        <v>687</v>
      </c>
      <c r="D147" s="150">
        <v>2350000</v>
      </c>
      <c r="E147" s="20" t="s">
        <v>377</v>
      </c>
      <c r="F147" s="20" t="s">
        <v>378</v>
      </c>
      <c r="G147" s="8" t="str">
        <f t="shared" si="2"/>
        <v>BERLING GARY</v>
      </c>
    </row>
    <row r="148" spans="1:7" x14ac:dyDescent="0.25">
      <c r="A148" s="8">
        <v>42794.631840277776</v>
      </c>
      <c r="B148" s="20" t="s">
        <v>232</v>
      </c>
      <c r="C148" s="20" t="s">
        <v>688</v>
      </c>
      <c r="D148" s="150">
        <v>930000</v>
      </c>
      <c r="E148" s="20" t="s">
        <v>369</v>
      </c>
      <c r="F148" s="20" t="s">
        <v>370</v>
      </c>
      <c r="G148" s="8" t="str">
        <f t="shared" si="2"/>
        <v>CLARK KATHLEEN</v>
      </c>
    </row>
    <row r="149" spans="1:7" x14ac:dyDescent="0.25">
      <c r="A149" s="8">
        <v>42794.634247685186</v>
      </c>
      <c r="B149" s="20" t="s">
        <v>237</v>
      </c>
      <c r="C149" s="20" t="s">
        <v>689</v>
      </c>
      <c r="D149" s="150">
        <v>1760000</v>
      </c>
      <c r="E149" s="20" t="s">
        <v>653</v>
      </c>
      <c r="F149" s="20" t="s">
        <v>654</v>
      </c>
      <c r="G149" s="8" t="str">
        <f t="shared" si="2"/>
        <v>STRICKLAND EVAN</v>
      </c>
    </row>
    <row r="150" spans="1:7" x14ac:dyDescent="0.25">
      <c r="A150" s="8">
        <v>42794.63722222222</v>
      </c>
      <c r="B150" s="20" t="s">
        <v>236</v>
      </c>
      <c r="C150" s="20" t="s">
        <v>690</v>
      </c>
      <c r="D150" s="150">
        <v>1300000</v>
      </c>
      <c r="E150" s="20" t="s">
        <v>334</v>
      </c>
      <c r="F150" s="20" t="s">
        <v>335</v>
      </c>
      <c r="G150" s="8" t="str">
        <f t="shared" si="2"/>
        <v>LEVIN SCOTT</v>
      </c>
    </row>
    <row r="151" spans="1:7" x14ac:dyDescent="0.25">
      <c r="A151" s="8">
        <v>42794.640983796293</v>
      </c>
      <c r="B151" s="20" t="s">
        <v>540</v>
      </c>
      <c r="C151" s="20" t="s">
        <v>691</v>
      </c>
      <c r="D151" s="150">
        <v>2530000</v>
      </c>
      <c r="E151" s="20" t="s">
        <v>373</v>
      </c>
      <c r="F151" s="20" t="s">
        <v>374</v>
      </c>
      <c r="G151" s="8" t="str">
        <f t="shared" si="2"/>
        <v>LALONDE GREGORY</v>
      </c>
    </row>
    <row r="152" spans="1:7" x14ac:dyDescent="0.25">
      <c r="A152" s="8">
        <v>42794.643043981479</v>
      </c>
      <c r="B152" s="20" t="s">
        <v>531</v>
      </c>
      <c r="C152" s="20" t="s">
        <v>692</v>
      </c>
      <c r="D152" s="150">
        <v>2150000</v>
      </c>
      <c r="E152" s="20" t="s">
        <v>367</v>
      </c>
      <c r="F152" s="20" t="s">
        <v>368</v>
      </c>
      <c r="G152" s="8" t="str">
        <f t="shared" si="2"/>
        <v>SWANSON BRYCE</v>
      </c>
    </row>
    <row r="153" spans="1:7" x14ac:dyDescent="0.25">
      <c r="A153" s="8">
        <v>42794.649965277778</v>
      </c>
      <c r="B153" s="20" t="s">
        <v>219</v>
      </c>
      <c r="C153" s="20" t="s">
        <v>564</v>
      </c>
      <c r="D153" s="150">
        <v>880000</v>
      </c>
      <c r="E153" s="20" t="s">
        <v>332</v>
      </c>
      <c r="F153" s="20" t="s">
        <v>202</v>
      </c>
      <c r="G153" s="8" t="str">
        <f t="shared" si="2"/>
        <v>STEWART MICHAEL</v>
      </c>
    </row>
    <row r="154" spans="1:7" x14ac:dyDescent="0.25">
      <c r="A154" s="8">
        <v>42794.650381944448</v>
      </c>
      <c r="B154" s="20" t="s">
        <v>233</v>
      </c>
      <c r="C154" s="20" t="s">
        <v>693</v>
      </c>
      <c r="D154" s="150">
        <v>1300000</v>
      </c>
      <c r="E154" s="20" t="s">
        <v>334</v>
      </c>
      <c r="F154" s="20" t="s">
        <v>335</v>
      </c>
      <c r="G154" s="8" t="str">
        <f t="shared" si="2"/>
        <v>LEVIN SCOTT</v>
      </c>
    </row>
    <row r="155" spans="1:7" x14ac:dyDescent="0.25">
      <c r="A155" s="8">
        <v>42794.65047453704</v>
      </c>
      <c r="B155" s="20" t="s">
        <v>535</v>
      </c>
      <c r="C155" s="20" t="s">
        <v>694</v>
      </c>
      <c r="D155" s="150">
        <v>2530000</v>
      </c>
      <c r="E155" s="20" t="s">
        <v>373</v>
      </c>
      <c r="F155" s="20" t="s">
        <v>374</v>
      </c>
      <c r="G155" s="8" t="str">
        <f t="shared" si="2"/>
        <v>LALONDE GREGORY</v>
      </c>
    </row>
    <row r="156" spans="1:7" x14ac:dyDescent="0.25">
      <c r="A156" s="8">
        <v>42794.651134259257</v>
      </c>
      <c r="B156" s="20" t="s">
        <v>588</v>
      </c>
      <c r="C156" s="20" t="s">
        <v>695</v>
      </c>
      <c r="D156" s="150">
        <v>2470000</v>
      </c>
      <c r="E156" s="20" t="s">
        <v>330</v>
      </c>
      <c r="F156" s="20" t="s">
        <v>331</v>
      </c>
      <c r="G156" s="8" t="str">
        <f t="shared" si="2"/>
        <v>ROMERO CHAD</v>
      </c>
    </row>
    <row r="157" spans="1:7" x14ac:dyDescent="0.25">
      <c r="A157" s="8">
        <v>42794.655763888892</v>
      </c>
      <c r="B157" s="20" t="s">
        <v>253</v>
      </c>
      <c r="C157" s="20" t="s">
        <v>696</v>
      </c>
      <c r="D157" s="150">
        <v>1180000</v>
      </c>
      <c r="E157" s="20" t="s">
        <v>375</v>
      </c>
      <c r="F157" s="20" t="s">
        <v>376</v>
      </c>
      <c r="G157" s="8" t="str">
        <f t="shared" si="2"/>
        <v>LEVERE CRAIG</v>
      </c>
    </row>
    <row r="158" spans="1:7" x14ac:dyDescent="0.25">
      <c r="A158" s="8">
        <v>42794.663402777776</v>
      </c>
      <c r="B158" s="20" t="s">
        <v>359</v>
      </c>
      <c r="C158" s="20" t="s">
        <v>697</v>
      </c>
      <c r="D158" s="150">
        <v>2350000</v>
      </c>
      <c r="E158" s="20" t="s">
        <v>377</v>
      </c>
      <c r="F158" s="20" t="s">
        <v>378</v>
      </c>
      <c r="G158" s="8" t="str">
        <f t="shared" si="2"/>
        <v>BERLING GARY</v>
      </c>
    </row>
    <row r="159" spans="1:7" x14ac:dyDescent="0.25">
      <c r="A159" s="8">
        <v>42794.670324074075</v>
      </c>
      <c r="B159" s="20" t="s">
        <v>212</v>
      </c>
      <c r="C159" s="20" t="s">
        <v>698</v>
      </c>
      <c r="D159" s="150">
        <v>930000</v>
      </c>
      <c r="E159" s="20" t="s">
        <v>369</v>
      </c>
      <c r="F159" s="20" t="s">
        <v>370</v>
      </c>
      <c r="G159" s="8" t="str">
        <f t="shared" si="2"/>
        <v>CLARK KATHLEEN</v>
      </c>
    </row>
    <row r="160" spans="1:7" x14ac:dyDescent="0.25">
      <c r="A160" s="8">
        <v>42794.671655092592</v>
      </c>
      <c r="B160" s="20" t="s">
        <v>540</v>
      </c>
      <c r="C160" s="20" t="s">
        <v>699</v>
      </c>
      <c r="D160" s="150">
        <v>2530000</v>
      </c>
      <c r="E160" s="20" t="s">
        <v>373</v>
      </c>
      <c r="F160" s="20" t="s">
        <v>374</v>
      </c>
      <c r="G160" s="8" t="str">
        <f t="shared" si="2"/>
        <v>LALONDE GREGORY</v>
      </c>
    </row>
    <row r="161" spans="1:7" x14ac:dyDescent="0.25">
      <c r="A161" s="8">
        <v>42794.674259259256</v>
      </c>
      <c r="B161" s="20" t="s">
        <v>602</v>
      </c>
      <c r="C161" s="20" t="s">
        <v>700</v>
      </c>
      <c r="D161" s="150">
        <v>2150000</v>
      </c>
      <c r="E161" s="20" t="s">
        <v>367</v>
      </c>
      <c r="F161" s="20" t="s">
        <v>368</v>
      </c>
      <c r="G161" s="8" t="str">
        <f t="shared" si="2"/>
        <v>SWANSON BRYCE</v>
      </c>
    </row>
    <row r="162" spans="1:7" x14ac:dyDescent="0.25">
      <c r="A162" s="8">
        <v>42794.674479166664</v>
      </c>
      <c r="B162" s="20" t="s">
        <v>247</v>
      </c>
      <c r="C162" s="20" t="s">
        <v>701</v>
      </c>
      <c r="D162" s="150">
        <v>920000</v>
      </c>
      <c r="E162" s="20" t="s">
        <v>333</v>
      </c>
      <c r="F162" s="20" t="s">
        <v>202</v>
      </c>
      <c r="G162" s="8" t="str">
        <f t="shared" si="2"/>
        <v>DAVIS MICHAEL</v>
      </c>
    </row>
    <row r="163" spans="1:7" x14ac:dyDescent="0.25">
      <c r="A163" s="8">
        <v>42794.677847222221</v>
      </c>
      <c r="B163" s="20" t="s">
        <v>236</v>
      </c>
      <c r="C163" s="20" t="s">
        <v>702</v>
      </c>
      <c r="D163" s="150">
        <v>1300000</v>
      </c>
      <c r="E163" s="20" t="s">
        <v>334</v>
      </c>
      <c r="F163" s="20" t="s">
        <v>335</v>
      </c>
      <c r="G163" s="8" t="str">
        <f t="shared" si="2"/>
        <v>LEVIN SCOTT</v>
      </c>
    </row>
    <row r="164" spans="1:7" x14ac:dyDescent="0.25">
      <c r="A164" s="8">
        <v>42794.686562499999</v>
      </c>
      <c r="B164" s="20" t="s">
        <v>535</v>
      </c>
      <c r="C164" s="20" t="s">
        <v>703</v>
      </c>
      <c r="D164" s="150">
        <v>2530000</v>
      </c>
      <c r="E164" s="20" t="s">
        <v>373</v>
      </c>
      <c r="F164" s="20" t="s">
        <v>374</v>
      </c>
      <c r="G164" s="8" t="str">
        <f t="shared" si="2"/>
        <v>LALONDE GREGORY</v>
      </c>
    </row>
    <row r="165" spans="1:7" x14ac:dyDescent="0.25">
      <c r="A165" s="8">
        <v>42794.686898148146</v>
      </c>
      <c r="B165" s="20" t="s">
        <v>529</v>
      </c>
      <c r="C165" s="20" t="s">
        <v>565</v>
      </c>
      <c r="D165" s="150">
        <v>2470000</v>
      </c>
      <c r="E165" s="20" t="s">
        <v>330</v>
      </c>
      <c r="F165" s="20" t="s">
        <v>331</v>
      </c>
      <c r="G165" s="8" t="str">
        <f t="shared" si="2"/>
        <v>ROMERO CHAD</v>
      </c>
    </row>
    <row r="166" spans="1:7" x14ac:dyDescent="0.25">
      <c r="A166" s="8">
        <v>42794.687337962961</v>
      </c>
      <c r="B166" s="20" t="s">
        <v>329</v>
      </c>
      <c r="C166" s="20" t="s">
        <v>704</v>
      </c>
      <c r="D166" s="150">
        <v>880000</v>
      </c>
      <c r="E166" s="20" t="s">
        <v>332</v>
      </c>
      <c r="F166" s="20" t="s">
        <v>202</v>
      </c>
      <c r="G166" s="8" t="str">
        <f t="shared" si="2"/>
        <v>STEWART MICHAEL</v>
      </c>
    </row>
    <row r="167" spans="1:7" x14ac:dyDescent="0.25">
      <c r="A167" s="8">
        <v>42794.691840277781</v>
      </c>
      <c r="B167" s="20" t="s">
        <v>233</v>
      </c>
      <c r="C167" s="20" t="s">
        <v>705</v>
      </c>
      <c r="D167" s="150">
        <v>1300000</v>
      </c>
      <c r="E167" s="20" t="s">
        <v>334</v>
      </c>
      <c r="F167" s="20" t="s">
        <v>335</v>
      </c>
      <c r="G167" s="8" t="str">
        <f t="shared" si="2"/>
        <v>LEVIN SCOTT</v>
      </c>
    </row>
    <row r="168" spans="1:7" x14ac:dyDescent="0.25">
      <c r="A168" s="8">
        <v>42794.695462962962</v>
      </c>
      <c r="B168" s="20" t="s">
        <v>252</v>
      </c>
      <c r="C168" s="20" t="s">
        <v>706</v>
      </c>
      <c r="D168" s="150">
        <v>1180000</v>
      </c>
      <c r="E168" s="20" t="s">
        <v>375</v>
      </c>
      <c r="F168" s="20" t="s">
        <v>376</v>
      </c>
      <c r="G168" s="8" t="str">
        <f t="shared" si="2"/>
        <v>LEVERE CRAIG</v>
      </c>
    </row>
    <row r="169" spans="1:7" x14ac:dyDescent="0.25">
      <c r="A169" s="8">
        <v>42794.69971064815</v>
      </c>
      <c r="B169" s="20" t="s">
        <v>357</v>
      </c>
      <c r="C169" s="20" t="s">
        <v>568</v>
      </c>
      <c r="D169" s="150">
        <v>2350000</v>
      </c>
      <c r="E169" s="20" t="s">
        <v>377</v>
      </c>
      <c r="F169" s="20" t="s">
        <v>378</v>
      </c>
      <c r="G169" s="8" t="str">
        <f t="shared" si="2"/>
        <v>BERLING GARY</v>
      </c>
    </row>
    <row r="170" spans="1:7" x14ac:dyDescent="0.25">
      <c r="A170" s="8">
        <v>42794.704895833333</v>
      </c>
      <c r="B170" s="20" t="s">
        <v>232</v>
      </c>
      <c r="C170" s="20" t="s">
        <v>566</v>
      </c>
      <c r="D170" s="150">
        <v>930000</v>
      </c>
      <c r="E170" s="20" t="s">
        <v>369</v>
      </c>
      <c r="F170" s="20" t="s">
        <v>370</v>
      </c>
      <c r="G170" s="8" t="str">
        <f t="shared" si="2"/>
        <v>CLARK KATHLEEN</v>
      </c>
    </row>
    <row r="171" spans="1:7" x14ac:dyDescent="0.25">
      <c r="A171" s="8">
        <v>42794.71361111111</v>
      </c>
      <c r="B171" s="20" t="s">
        <v>540</v>
      </c>
      <c r="C171" s="20" t="s">
        <v>707</v>
      </c>
      <c r="D171" s="150">
        <v>2530000</v>
      </c>
      <c r="E171" s="20" t="s">
        <v>373</v>
      </c>
      <c r="F171" s="20" t="s">
        <v>374</v>
      </c>
      <c r="G171" s="8" t="str">
        <f t="shared" si="2"/>
        <v>LALONDE GREGORY</v>
      </c>
    </row>
    <row r="172" spans="1:7" x14ac:dyDescent="0.25">
      <c r="A172" s="8">
        <v>42794.714884259258</v>
      </c>
      <c r="B172" s="20" t="s">
        <v>208</v>
      </c>
      <c r="C172" s="20" t="s">
        <v>609</v>
      </c>
      <c r="D172" s="150">
        <v>1810000</v>
      </c>
      <c r="E172" s="20" t="s">
        <v>205</v>
      </c>
      <c r="F172" s="20" t="s">
        <v>199</v>
      </c>
      <c r="G172" s="8" t="str">
        <f t="shared" si="2"/>
        <v>NEWELL JAMES</v>
      </c>
    </row>
    <row r="173" spans="1:7" x14ac:dyDescent="0.25">
      <c r="A173" s="8">
        <v>42794.715405092589</v>
      </c>
      <c r="B173" s="20" t="s">
        <v>237</v>
      </c>
      <c r="C173" s="20" t="s">
        <v>569</v>
      </c>
      <c r="D173" s="150">
        <v>920000</v>
      </c>
      <c r="E173" s="20" t="s">
        <v>333</v>
      </c>
      <c r="F173" s="20" t="s">
        <v>202</v>
      </c>
      <c r="G173" s="8" t="str">
        <f t="shared" si="2"/>
        <v>DAVIS MICHAEL</v>
      </c>
    </row>
    <row r="174" spans="1:7" x14ac:dyDescent="0.25">
      <c r="A174" s="8">
        <v>42794.717372685183</v>
      </c>
      <c r="B174" s="20" t="s">
        <v>236</v>
      </c>
      <c r="C174" s="20" t="s">
        <v>708</v>
      </c>
      <c r="D174" s="150">
        <v>1300000</v>
      </c>
      <c r="E174" s="20" t="s">
        <v>334</v>
      </c>
      <c r="F174" s="20" t="s">
        <v>335</v>
      </c>
      <c r="G174" s="8" t="str">
        <f t="shared" si="2"/>
        <v>LEVIN SCOTT</v>
      </c>
    </row>
    <row r="175" spans="1:7" x14ac:dyDescent="0.25">
      <c r="A175" s="8">
        <v>42794.718784722223</v>
      </c>
      <c r="B175" s="20" t="s">
        <v>531</v>
      </c>
      <c r="C175" s="20" t="s">
        <v>567</v>
      </c>
      <c r="D175" s="150">
        <v>1800000</v>
      </c>
      <c r="E175" s="20" t="s">
        <v>239</v>
      </c>
      <c r="F175" s="20" t="s">
        <v>240</v>
      </c>
      <c r="G175" s="8" t="str">
        <f t="shared" si="2"/>
        <v>CHANDLER KELVIN</v>
      </c>
    </row>
    <row r="176" spans="1:7" x14ac:dyDescent="0.25">
      <c r="A176" s="8">
        <v>42794.725023148145</v>
      </c>
      <c r="B176" s="20" t="s">
        <v>251</v>
      </c>
      <c r="C176" s="20" t="s">
        <v>709</v>
      </c>
      <c r="D176" s="150">
        <v>880000</v>
      </c>
      <c r="E176" s="20" t="s">
        <v>332</v>
      </c>
      <c r="F176" s="20" t="s">
        <v>202</v>
      </c>
      <c r="G176" s="8" t="str">
        <f t="shared" si="2"/>
        <v>STEWART MICHAEL</v>
      </c>
    </row>
    <row r="177" spans="1:7" x14ac:dyDescent="0.25">
      <c r="A177" s="8">
        <v>42794.726770833331</v>
      </c>
      <c r="B177" s="20" t="s">
        <v>588</v>
      </c>
      <c r="C177" s="20" t="s">
        <v>710</v>
      </c>
      <c r="D177" s="150">
        <v>2150000</v>
      </c>
      <c r="E177" s="20" t="s">
        <v>367</v>
      </c>
      <c r="F177" s="20" t="s">
        <v>368</v>
      </c>
      <c r="G177" s="8" t="str">
        <f t="shared" si="2"/>
        <v>SWANSON BRYCE</v>
      </c>
    </row>
    <row r="178" spans="1:7" x14ac:dyDescent="0.25">
      <c r="A178" s="8">
        <v>42794.729490740741</v>
      </c>
      <c r="B178" s="20" t="s">
        <v>535</v>
      </c>
      <c r="C178" s="20" t="s">
        <v>711</v>
      </c>
      <c r="D178" s="150">
        <v>2530000</v>
      </c>
      <c r="E178" s="20" t="s">
        <v>373</v>
      </c>
      <c r="F178" s="20" t="s">
        <v>374</v>
      </c>
      <c r="G178" s="8" t="str">
        <f t="shared" si="2"/>
        <v>LALONDE GREGORY</v>
      </c>
    </row>
    <row r="179" spans="1:7" x14ac:dyDescent="0.25">
      <c r="A179" s="8">
        <v>42794.730787037035</v>
      </c>
      <c r="B179" s="20" t="s">
        <v>253</v>
      </c>
      <c r="C179" s="20" t="s">
        <v>712</v>
      </c>
      <c r="D179" s="150">
        <v>1180000</v>
      </c>
      <c r="E179" s="20" t="s">
        <v>375</v>
      </c>
      <c r="F179" s="20" t="s">
        <v>376</v>
      </c>
      <c r="G179" s="8" t="str">
        <f t="shared" si="2"/>
        <v>LEVERE CRAIG</v>
      </c>
    </row>
    <row r="180" spans="1:7" x14ac:dyDescent="0.25">
      <c r="A180" s="8">
        <v>42794.731354166666</v>
      </c>
      <c r="B180" s="20" t="s">
        <v>220</v>
      </c>
      <c r="C180" s="20" t="s">
        <v>713</v>
      </c>
      <c r="D180" s="150">
        <v>1760000</v>
      </c>
      <c r="E180" s="20" t="s">
        <v>653</v>
      </c>
      <c r="F180" s="20" t="s">
        <v>654</v>
      </c>
      <c r="G180" s="8" t="str">
        <f t="shared" si="2"/>
        <v>STRICKLAND EVAN</v>
      </c>
    </row>
    <row r="181" spans="1:7" x14ac:dyDescent="0.25">
      <c r="A181" s="8">
        <v>42794.734884259262</v>
      </c>
      <c r="B181" s="20" t="s">
        <v>233</v>
      </c>
      <c r="C181" s="20" t="s">
        <v>714</v>
      </c>
      <c r="D181" s="150">
        <v>1300000</v>
      </c>
      <c r="E181" s="20" t="s">
        <v>334</v>
      </c>
      <c r="F181" s="20" t="s">
        <v>335</v>
      </c>
      <c r="G181" s="8" t="str">
        <f t="shared" si="2"/>
        <v>LEVIN SCOTT</v>
      </c>
    </row>
    <row r="182" spans="1:7" x14ac:dyDescent="0.25">
      <c r="A182" s="8">
        <v>42794.739571759259</v>
      </c>
      <c r="B182" s="20" t="s">
        <v>359</v>
      </c>
      <c r="C182" s="20" t="s">
        <v>715</v>
      </c>
      <c r="D182" s="150">
        <v>1810000</v>
      </c>
      <c r="E182" s="20" t="s">
        <v>205</v>
      </c>
      <c r="F182" s="20" t="s">
        <v>199</v>
      </c>
      <c r="G182" s="8" t="str">
        <f t="shared" si="2"/>
        <v>NEWELL JAMES</v>
      </c>
    </row>
    <row r="183" spans="1:7" x14ac:dyDescent="0.25">
      <c r="A183" s="8">
        <v>42794.744456018518</v>
      </c>
      <c r="B183" s="20" t="s">
        <v>212</v>
      </c>
      <c r="C183" s="20" t="s">
        <v>716</v>
      </c>
      <c r="D183" s="150">
        <v>930000</v>
      </c>
      <c r="E183" s="20" t="s">
        <v>369</v>
      </c>
      <c r="F183" s="20" t="s">
        <v>370</v>
      </c>
      <c r="G183" s="8" t="str">
        <f t="shared" si="2"/>
        <v>CLARK KATHLEEN</v>
      </c>
    </row>
    <row r="184" spans="1:7" x14ac:dyDescent="0.25">
      <c r="A184" s="8">
        <v>42794.749039351853</v>
      </c>
      <c r="B184" s="20" t="s">
        <v>247</v>
      </c>
      <c r="C184" s="20" t="s">
        <v>717</v>
      </c>
      <c r="D184" s="150">
        <v>2350000</v>
      </c>
      <c r="E184" s="20" t="s">
        <v>377</v>
      </c>
      <c r="F184" s="20" t="s">
        <v>378</v>
      </c>
      <c r="G184" s="8" t="str">
        <f t="shared" si="2"/>
        <v>BERLING GARY</v>
      </c>
    </row>
    <row r="185" spans="1:7" x14ac:dyDescent="0.25">
      <c r="A185" s="8">
        <v>42794.755219907405</v>
      </c>
      <c r="B185" s="20" t="s">
        <v>540</v>
      </c>
      <c r="C185" s="20" t="s">
        <v>718</v>
      </c>
      <c r="D185" s="150">
        <v>2530000</v>
      </c>
      <c r="E185" s="20" t="s">
        <v>373</v>
      </c>
      <c r="F185" s="20" t="s">
        <v>374</v>
      </c>
      <c r="G185" s="8" t="str">
        <f t="shared" si="2"/>
        <v>LALONDE GREGORY</v>
      </c>
    </row>
    <row r="186" spans="1:7" x14ac:dyDescent="0.25">
      <c r="A186" s="8">
        <v>42794.756874999999</v>
      </c>
      <c r="B186" s="20" t="s">
        <v>602</v>
      </c>
      <c r="C186" s="20" t="s">
        <v>719</v>
      </c>
      <c r="D186" s="150">
        <v>1800000</v>
      </c>
      <c r="E186" s="20" t="s">
        <v>239</v>
      </c>
      <c r="F186" s="20" t="s">
        <v>240</v>
      </c>
      <c r="G186" s="8" t="str">
        <f t="shared" si="2"/>
        <v>CHANDLER KELVIN</v>
      </c>
    </row>
    <row r="187" spans="1:7" x14ac:dyDescent="0.25">
      <c r="A187" s="8">
        <v>42794.758981481478</v>
      </c>
      <c r="B187" s="20" t="s">
        <v>529</v>
      </c>
      <c r="C187" s="20" t="s">
        <v>720</v>
      </c>
      <c r="D187" s="150">
        <v>2150000</v>
      </c>
      <c r="E187" s="20" t="s">
        <v>367</v>
      </c>
      <c r="F187" s="20" t="s">
        <v>368</v>
      </c>
      <c r="G187" s="8" t="str">
        <f t="shared" si="2"/>
        <v>SWANSON BRYCE</v>
      </c>
    </row>
    <row r="188" spans="1:7" x14ac:dyDescent="0.25">
      <c r="A188" s="8">
        <v>42794.760682870372</v>
      </c>
      <c r="B188" s="20" t="s">
        <v>236</v>
      </c>
      <c r="C188" s="20" t="s">
        <v>721</v>
      </c>
      <c r="D188" s="150">
        <v>1300000</v>
      </c>
      <c r="E188" s="20" t="s">
        <v>334</v>
      </c>
      <c r="F188" s="20" t="s">
        <v>335</v>
      </c>
      <c r="G188" s="8" t="str">
        <f t="shared" si="2"/>
        <v>LEVIN SCOTT</v>
      </c>
    </row>
    <row r="189" spans="1:7" x14ac:dyDescent="0.25">
      <c r="A189" s="8">
        <v>42794.760787037034</v>
      </c>
      <c r="B189" s="20" t="s">
        <v>329</v>
      </c>
      <c r="C189" s="20" t="s">
        <v>722</v>
      </c>
      <c r="D189" s="150">
        <v>1740000</v>
      </c>
      <c r="E189" s="20" t="s">
        <v>227</v>
      </c>
      <c r="F189" s="20" t="s">
        <v>228</v>
      </c>
      <c r="G189" s="8" t="str">
        <f t="shared" si="2"/>
        <v>STORY SAMANTHA</v>
      </c>
    </row>
    <row r="190" spans="1:7" x14ac:dyDescent="0.25">
      <c r="A190" s="8">
        <v>42794.761747685188</v>
      </c>
      <c r="B190" s="20" t="s">
        <v>217</v>
      </c>
      <c r="C190" s="20" t="s">
        <v>682</v>
      </c>
      <c r="D190" s="150">
        <v>2630000</v>
      </c>
      <c r="E190" s="20" t="s">
        <v>322</v>
      </c>
      <c r="F190" s="20" t="s">
        <v>323</v>
      </c>
      <c r="G190" s="8" t="str">
        <f t="shared" si="2"/>
        <v>SAFIEF AEIMEN</v>
      </c>
    </row>
    <row r="191" spans="1:7" x14ac:dyDescent="0.25">
      <c r="A191" s="8">
        <v>42794.762673611112</v>
      </c>
      <c r="B191" s="20" t="s">
        <v>217</v>
      </c>
      <c r="C191" s="20" t="s">
        <v>682</v>
      </c>
      <c r="D191" s="150">
        <v>2630000</v>
      </c>
      <c r="E191" s="20" t="s">
        <v>322</v>
      </c>
      <c r="F191" s="20" t="s">
        <v>323</v>
      </c>
      <c r="G191" s="8" t="str">
        <f t="shared" si="2"/>
        <v>SAFIEF AEIMEN</v>
      </c>
    </row>
    <row r="192" spans="1:7" x14ac:dyDescent="0.25">
      <c r="A192" s="8">
        <v>42794.763969907406</v>
      </c>
      <c r="B192" s="20" t="s">
        <v>217</v>
      </c>
      <c r="C192" s="20" t="s">
        <v>682</v>
      </c>
      <c r="D192" s="150">
        <v>2630000</v>
      </c>
      <c r="E192" s="20" t="s">
        <v>322</v>
      </c>
      <c r="F192" s="20" t="s">
        <v>323</v>
      </c>
      <c r="G192" s="8" t="str">
        <f t="shared" si="2"/>
        <v>SAFIEF AEIMEN</v>
      </c>
    </row>
    <row r="193" spans="1:7" x14ac:dyDescent="0.25">
      <c r="A193" s="8">
        <v>42794.77034722222</v>
      </c>
      <c r="B193" s="20" t="s">
        <v>252</v>
      </c>
      <c r="C193" s="20" t="s">
        <v>723</v>
      </c>
      <c r="D193" s="150">
        <v>0</v>
      </c>
      <c r="E193" s="20" t="s">
        <v>724</v>
      </c>
      <c r="F193" s="20" t="s">
        <v>725</v>
      </c>
      <c r="G193" s="8" t="str">
        <f t="shared" si="2"/>
        <v>HAUSER FRANK</v>
      </c>
    </row>
    <row r="194" spans="1:7" x14ac:dyDescent="0.25">
      <c r="A194" s="8">
        <v>42794.771608796298</v>
      </c>
      <c r="B194" s="20" t="s">
        <v>535</v>
      </c>
      <c r="C194" s="20" t="s">
        <v>726</v>
      </c>
      <c r="D194" s="150">
        <v>2530000</v>
      </c>
      <c r="E194" s="20" t="s">
        <v>373</v>
      </c>
      <c r="F194" s="20" t="s">
        <v>374</v>
      </c>
      <c r="G194" s="8" t="str">
        <f t="shared" si="2"/>
        <v>LALONDE GREGORY</v>
      </c>
    </row>
    <row r="195" spans="1:7" x14ac:dyDescent="0.25">
      <c r="A195" s="8">
        <v>42794.771736111114</v>
      </c>
      <c r="B195" s="20" t="s">
        <v>357</v>
      </c>
      <c r="C195" s="20" t="s">
        <v>727</v>
      </c>
      <c r="D195" s="150">
        <v>1810000</v>
      </c>
      <c r="E195" s="20" t="s">
        <v>205</v>
      </c>
      <c r="F195" s="20" t="s">
        <v>199</v>
      </c>
      <c r="G195" s="8" t="str">
        <f t="shared" ref="G195:G258" si="3">E195&amp;" "&amp;F195</f>
        <v>NEWELL JAMES</v>
      </c>
    </row>
    <row r="196" spans="1:7" x14ac:dyDescent="0.25">
      <c r="A196" s="8">
        <v>42794.776493055557</v>
      </c>
      <c r="B196" s="20" t="s">
        <v>233</v>
      </c>
      <c r="C196" s="20" t="s">
        <v>728</v>
      </c>
      <c r="D196" s="150">
        <v>1300000</v>
      </c>
      <c r="E196" s="20" t="s">
        <v>334</v>
      </c>
      <c r="F196" s="20" t="s">
        <v>335</v>
      </c>
      <c r="G196" s="8" t="str">
        <f t="shared" si="3"/>
        <v>LEVIN SCOTT</v>
      </c>
    </row>
    <row r="197" spans="1:7" x14ac:dyDescent="0.25">
      <c r="A197" s="8">
        <v>42794.781886574077</v>
      </c>
      <c r="B197" s="20" t="s">
        <v>232</v>
      </c>
      <c r="C197" s="20" t="s">
        <v>729</v>
      </c>
      <c r="D197" s="150">
        <v>930000</v>
      </c>
      <c r="E197" s="20" t="s">
        <v>369</v>
      </c>
      <c r="F197" s="20" t="s">
        <v>370</v>
      </c>
      <c r="G197" s="8" t="str">
        <f t="shared" si="3"/>
        <v>CLARK KATHLEEN</v>
      </c>
    </row>
    <row r="198" spans="1:7" x14ac:dyDescent="0.25">
      <c r="A198" s="8">
        <v>42794.782361111109</v>
      </c>
      <c r="B198" s="20" t="s">
        <v>237</v>
      </c>
      <c r="C198" s="20" t="s">
        <v>730</v>
      </c>
      <c r="D198" s="150">
        <v>2350000</v>
      </c>
      <c r="E198" s="20" t="s">
        <v>377</v>
      </c>
      <c r="F198" s="20" t="s">
        <v>378</v>
      </c>
      <c r="G198" s="8" t="str">
        <f t="shared" si="3"/>
        <v>BERLING GARY</v>
      </c>
    </row>
    <row r="199" spans="1:7" x14ac:dyDescent="0.25">
      <c r="A199" s="8">
        <v>42794.789583333331</v>
      </c>
      <c r="B199" s="20" t="s">
        <v>531</v>
      </c>
      <c r="C199" s="20" t="s">
        <v>731</v>
      </c>
      <c r="D199" s="150">
        <v>1800000</v>
      </c>
      <c r="E199" s="20" t="s">
        <v>239</v>
      </c>
      <c r="F199" s="20" t="s">
        <v>240</v>
      </c>
      <c r="G199" s="8" t="str">
        <f t="shared" si="3"/>
        <v>CHANDLER KELVIN</v>
      </c>
    </row>
    <row r="200" spans="1:7" x14ac:dyDescent="0.25">
      <c r="A200" s="8">
        <v>42794.792384259257</v>
      </c>
      <c r="B200" s="20" t="s">
        <v>224</v>
      </c>
      <c r="C200" s="20" t="s">
        <v>732</v>
      </c>
      <c r="D200" s="150">
        <v>2600000</v>
      </c>
      <c r="E200" s="20" t="s">
        <v>379</v>
      </c>
      <c r="F200" s="20" t="s">
        <v>294</v>
      </c>
      <c r="G200" s="8" t="str">
        <f t="shared" si="3"/>
        <v>DAVIDSON DAVID</v>
      </c>
    </row>
    <row r="201" spans="1:7" x14ac:dyDescent="0.25">
      <c r="A201" s="8">
        <v>42794.79277777778</v>
      </c>
      <c r="B201" s="20" t="s">
        <v>251</v>
      </c>
      <c r="C201" s="20" t="s">
        <v>733</v>
      </c>
      <c r="D201" s="150">
        <v>1740000</v>
      </c>
      <c r="E201" s="20" t="s">
        <v>227</v>
      </c>
      <c r="F201" s="20" t="s">
        <v>228</v>
      </c>
      <c r="G201" s="8" t="str">
        <f t="shared" si="3"/>
        <v>STORY SAMANTHA</v>
      </c>
    </row>
    <row r="202" spans="1:7" x14ac:dyDescent="0.25">
      <c r="A202" s="26">
        <v>42794.793865740743</v>
      </c>
      <c r="B202" s="20" t="s">
        <v>224</v>
      </c>
      <c r="C202" s="20" t="s">
        <v>732</v>
      </c>
      <c r="D202" s="150">
        <v>2600000</v>
      </c>
      <c r="E202" s="20" t="s">
        <v>379</v>
      </c>
      <c r="F202" s="20" t="s">
        <v>294</v>
      </c>
      <c r="G202" s="8" t="str">
        <f t="shared" si="3"/>
        <v>DAVIDSON DAVID</v>
      </c>
    </row>
    <row r="203" spans="1:7" x14ac:dyDescent="0.25">
      <c r="A203" s="8">
        <v>42794.796168981484</v>
      </c>
      <c r="B203" s="20" t="s">
        <v>540</v>
      </c>
      <c r="C203" s="20" t="s">
        <v>734</v>
      </c>
      <c r="D203" s="150">
        <v>2530000</v>
      </c>
      <c r="E203" s="20" t="s">
        <v>373</v>
      </c>
      <c r="F203" s="20" t="s">
        <v>374</v>
      </c>
      <c r="G203" s="8" t="str">
        <f t="shared" si="3"/>
        <v>LALONDE GREGORY</v>
      </c>
    </row>
    <row r="204" spans="1:7" x14ac:dyDescent="0.25">
      <c r="A204" s="8">
        <v>42794.79724537037</v>
      </c>
      <c r="B204" s="20" t="s">
        <v>236</v>
      </c>
      <c r="C204" s="20" t="s">
        <v>735</v>
      </c>
      <c r="D204" s="150">
        <v>1300000</v>
      </c>
      <c r="E204" s="20" t="s">
        <v>334</v>
      </c>
      <c r="F204" s="20" t="s">
        <v>335</v>
      </c>
      <c r="G204" s="8" t="str">
        <f t="shared" si="3"/>
        <v>LEVIN SCOTT</v>
      </c>
    </row>
    <row r="205" spans="1:7" x14ac:dyDescent="0.25">
      <c r="A205" s="8">
        <v>42794.798946759256</v>
      </c>
      <c r="B205" s="20" t="s">
        <v>253</v>
      </c>
      <c r="C205" s="20" t="s">
        <v>736</v>
      </c>
      <c r="D205" s="150">
        <v>2000000</v>
      </c>
      <c r="E205" s="20" t="s">
        <v>324</v>
      </c>
      <c r="F205" s="20" t="s">
        <v>199</v>
      </c>
      <c r="G205" s="8" t="str">
        <f t="shared" si="3"/>
        <v>STAMBAUGH JAMES</v>
      </c>
    </row>
    <row r="206" spans="1:7" x14ac:dyDescent="0.25">
      <c r="A206" s="8">
        <v>42794.801365740743</v>
      </c>
      <c r="B206" s="20" t="s">
        <v>588</v>
      </c>
      <c r="C206" s="20" t="s">
        <v>737</v>
      </c>
      <c r="D206" s="150">
        <v>2150000</v>
      </c>
      <c r="E206" s="20" t="s">
        <v>367</v>
      </c>
      <c r="F206" s="20" t="s">
        <v>368</v>
      </c>
      <c r="G206" s="8" t="str">
        <f t="shared" si="3"/>
        <v>SWANSON BRYCE</v>
      </c>
    </row>
    <row r="207" spans="1:7" x14ac:dyDescent="0.25">
      <c r="A207" s="8">
        <v>42794.809131944443</v>
      </c>
      <c r="B207" s="20" t="s">
        <v>359</v>
      </c>
      <c r="C207" s="20" t="s">
        <v>570</v>
      </c>
      <c r="D207" s="150">
        <v>1810000</v>
      </c>
      <c r="E207" s="20" t="s">
        <v>205</v>
      </c>
      <c r="F207" s="20" t="s">
        <v>199</v>
      </c>
      <c r="G207" s="8" t="str">
        <f t="shared" si="3"/>
        <v>NEWELL JAMES</v>
      </c>
    </row>
    <row r="208" spans="1:7" x14ac:dyDescent="0.25">
      <c r="A208" s="8">
        <v>42794.81795138889</v>
      </c>
      <c r="B208" s="20" t="s">
        <v>233</v>
      </c>
      <c r="C208" s="20" t="s">
        <v>738</v>
      </c>
      <c r="D208" s="150">
        <v>1300000</v>
      </c>
      <c r="E208" s="20" t="s">
        <v>334</v>
      </c>
      <c r="F208" s="20" t="s">
        <v>335</v>
      </c>
      <c r="G208" s="8" t="str">
        <f t="shared" si="3"/>
        <v>LEVIN SCOTT</v>
      </c>
    </row>
    <row r="209" spans="1:7" x14ac:dyDescent="0.25">
      <c r="A209" s="8">
        <v>42794.819849537038</v>
      </c>
      <c r="B209" s="20" t="s">
        <v>247</v>
      </c>
      <c r="C209" s="20" t="s">
        <v>739</v>
      </c>
      <c r="D209" s="150">
        <v>2350000</v>
      </c>
      <c r="E209" s="20" t="s">
        <v>377</v>
      </c>
      <c r="F209" s="20" t="s">
        <v>378</v>
      </c>
      <c r="G209" s="8" t="str">
        <f t="shared" si="3"/>
        <v>BERLING GARY</v>
      </c>
    </row>
    <row r="210" spans="1:7" x14ac:dyDescent="0.25">
      <c r="A210" s="8">
        <v>42794.828587962962</v>
      </c>
      <c r="B210" s="20" t="s">
        <v>329</v>
      </c>
      <c r="C210" s="20" t="s">
        <v>740</v>
      </c>
      <c r="D210" s="150">
        <v>1740000</v>
      </c>
      <c r="E210" s="20" t="s">
        <v>227</v>
      </c>
      <c r="F210" s="20" t="s">
        <v>228</v>
      </c>
      <c r="G210" s="8" t="str">
        <f t="shared" si="3"/>
        <v>STORY SAMANTHA</v>
      </c>
    </row>
    <row r="211" spans="1:7" x14ac:dyDescent="0.25">
      <c r="A211" s="8">
        <v>42794.829270833332</v>
      </c>
      <c r="B211" s="20" t="s">
        <v>602</v>
      </c>
      <c r="C211" s="20" t="s">
        <v>741</v>
      </c>
      <c r="D211" s="150">
        <v>1800000</v>
      </c>
      <c r="E211" s="20" t="s">
        <v>239</v>
      </c>
      <c r="F211" s="20" t="s">
        <v>240</v>
      </c>
      <c r="G211" s="8" t="str">
        <f t="shared" si="3"/>
        <v>CHANDLER KELVIN</v>
      </c>
    </row>
    <row r="212" spans="1:7" x14ac:dyDescent="0.25">
      <c r="A212" s="8">
        <v>42794.840208333335</v>
      </c>
      <c r="B212" s="20" t="s">
        <v>252</v>
      </c>
      <c r="C212" s="20" t="s">
        <v>742</v>
      </c>
      <c r="D212" s="150">
        <v>2000000</v>
      </c>
      <c r="E212" s="20" t="s">
        <v>324</v>
      </c>
      <c r="F212" s="20" t="s">
        <v>199</v>
      </c>
      <c r="G212" s="8" t="str">
        <f t="shared" si="3"/>
        <v>STAMBAUGH JAMES</v>
      </c>
    </row>
    <row r="213" spans="1:7" x14ac:dyDescent="0.25">
      <c r="A213" s="8">
        <v>42794.841400462959</v>
      </c>
      <c r="B213" s="20" t="s">
        <v>236</v>
      </c>
      <c r="C213" s="20" t="s">
        <v>743</v>
      </c>
      <c r="D213" s="150">
        <v>1300000</v>
      </c>
      <c r="E213" s="20" t="s">
        <v>334</v>
      </c>
      <c r="F213" s="20" t="s">
        <v>335</v>
      </c>
      <c r="G213" s="8" t="str">
        <f t="shared" si="3"/>
        <v>LEVIN SCOTT</v>
      </c>
    </row>
    <row r="214" spans="1:7" x14ac:dyDescent="0.25">
      <c r="A214" s="8">
        <v>42794.845972222225</v>
      </c>
      <c r="B214" s="20" t="s">
        <v>357</v>
      </c>
      <c r="C214" s="20" t="s">
        <v>744</v>
      </c>
      <c r="D214" s="150">
        <v>1810000</v>
      </c>
      <c r="E214" s="20" t="s">
        <v>205</v>
      </c>
      <c r="F214" s="20" t="s">
        <v>199</v>
      </c>
      <c r="G214" s="8" t="str">
        <f t="shared" si="3"/>
        <v>NEWELL JAMES</v>
      </c>
    </row>
    <row r="215" spans="1:7" x14ac:dyDescent="0.25">
      <c r="A215" s="8">
        <v>42794.858530092592</v>
      </c>
      <c r="B215" s="20" t="s">
        <v>233</v>
      </c>
      <c r="C215" s="20" t="s">
        <v>745</v>
      </c>
      <c r="D215" s="150">
        <v>1300000</v>
      </c>
      <c r="E215" s="20" t="s">
        <v>334</v>
      </c>
      <c r="F215" s="20" t="s">
        <v>335</v>
      </c>
      <c r="G215" s="8" t="str">
        <f t="shared" si="3"/>
        <v>LEVIN SCOTT</v>
      </c>
    </row>
    <row r="216" spans="1:7" x14ac:dyDescent="0.25">
      <c r="A216" s="8">
        <v>42794.86917824074</v>
      </c>
      <c r="B216" s="20" t="s">
        <v>531</v>
      </c>
      <c r="C216" s="20" t="s">
        <v>746</v>
      </c>
      <c r="D216" s="150">
        <v>1800000</v>
      </c>
      <c r="E216" s="20" t="s">
        <v>239</v>
      </c>
      <c r="F216" s="20" t="s">
        <v>240</v>
      </c>
      <c r="G216" s="8" t="str">
        <f t="shared" si="3"/>
        <v>CHANDLER KELVIN</v>
      </c>
    </row>
    <row r="217" spans="1:7" x14ac:dyDescent="0.25">
      <c r="A217" s="8">
        <v>42794.87</v>
      </c>
      <c r="B217" s="20" t="s">
        <v>251</v>
      </c>
      <c r="C217" s="20" t="s">
        <v>571</v>
      </c>
      <c r="D217" s="150">
        <v>1740000</v>
      </c>
      <c r="E217" s="20" t="s">
        <v>227</v>
      </c>
      <c r="F217" s="20" t="s">
        <v>228</v>
      </c>
      <c r="G217" s="8" t="str">
        <f t="shared" si="3"/>
        <v>STORY SAMANTHA</v>
      </c>
    </row>
    <row r="218" spans="1:7" x14ac:dyDescent="0.25">
      <c r="A218" s="8">
        <v>42794.875798611109</v>
      </c>
      <c r="B218" s="20" t="s">
        <v>236</v>
      </c>
      <c r="C218" s="20" t="s">
        <v>747</v>
      </c>
      <c r="D218" s="150">
        <v>2530000</v>
      </c>
      <c r="E218" s="20" t="s">
        <v>373</v>
      </c>
      <c r="F218" s="20" t="s">
        <v>374</v>
      </c>
      <c r="G218" s="8" t="str">
        <f t="shared" si="3"/>
        <v>LALONDE GREGORY</v>
      </c>
    </row>
    <row r="219" spans="1:7" x14ac:dyDescent="0.25">
      <c r="A219" s="8">
        <v>42794.892893518518</v>
      </c>
      <c r="B219" s="20" t="s">
        <v>359</v>
      </c>
      <c r="C219" s="20" t="s">
        <v>748</v>
      </c>
      <c r="D219" s="150">
        <v>1810000</v>
      </c>
      <c r="E219" s="20" t="s">
        <v>205</v>
      </c>
      <c r="F219" s="20" t="s">
        <v>199</v>
      </c>
      <c r="G219" s="8" t="str">
        <f t="shared" si="3"/>
        <v>NEWELL JAMES</v>
      </c>
    </row>
    <row r="220" spans="1:7" x14ac:dyDescent="0.25">
      <c r="A220" s="8">
        <v>42794.901226851849</v>
      </c>
      <c r="B220" s="20" t="s">
        <v>233</v>
      </c>
      <c r="C220" s="20" t="s">
        <v>749</v>
      </c>
      <c r="D220" s="150">
        <v>2530000</v>
      </c>
      <c r="E220" s="20" t="s">
        <v>373</v>
      </c>
      <c r="F220" s="20" t="s">
        <v>374</v>
      </c>
      <c r="G220" s="8" t="str">
        <f t="shared" si="3"/>
        <v>LALONDE GREGORY</v>
      </c>
    </row>
    <row r="221" spans="1:7" x14ac:dyDescent="0.25">
      <c r="A221" s="8">
        <v>42794.904062499998</v>
      </c>
      <c r="B221" s="20" t="s">
        <v>253</v>
      </c>
      <c r="C221" s="20" t="s">
        <v>750</v>
      </c>
      <c r="D221" s="150">
        <v>2000000</v>
      </c>
      <c r="E221" s="20" t="s">
        <v>324</v>
      </c>
      <c r="F221" s="20" t="s">
        <v>199</v>
      </c>
      <c r="G221" s="8" t="str">
        <f t="shared" si="3"/>
        <v>STAMBAUGH JAMES</v>
      </c>
    </row>
    <row r="222" spans="1:7" x14ac:dyDescent="0.25">
      <c r="A222" s="8">
        <v>42794.910162037035</v>
      </c>
      <c r="B222" s="20" t="s">
        <v>329</v>
      </c>
      <c r="C222" s="20" t="s">
        <v>572</v>
      </c>
      <c r="D222" s="150">
        <v>1740000</v>
      </c>
      <c r="E222" s="20" t="s">
        <v>227</v>
      </c>
      <c r="F222" s="20" t="s">
        <v>228</v>
      </c>
      <c r="G222" s="8" t="str">
        <f t="shared" si="3"/>
        <v>STORY SAMANTHA</v>
      </c>
    </row>
    <row r="223" spans="1:7" x14ac:dyDescent="0.25">
      <c r="A223" s="8">
        <v>42794.912604166668</v>
      </c>
      <c r="B223" s="20" t="s">
        <v>602</v>
      </c>
      <c r="C223" s="20" t="s">
        <v>751</v>
      </c>
      <c r="D223" s="150">
        <v>1800000</v>
      </c>
      <c r="E223" s="20" t="s">
        <v>239</v>
      </c>
      <c r="F223" s="20" t="s">
        <v>240</v>
      </c>
      <c r="G223" s="8" t="str">
        <f t="shared" si="3"/>
        <v>CHANDLER KELVIN</v>
      </c>
    </row>
    <row r="224" spans="1:7" x14ac:dyDescent="0.25">
      <c r="A224" s="8">
        <v>42794.916030092594</v>
      </c>
      <c r="B224" t="s">
        <v>236</v>
      </c>
      <c r="C224" t="s">
        <v>752</v>
      </c>
      <c r="D224" s="150">
        <v>2530000</v>
      </c>
      <c r="E224" t="s">
        <v>373</v>
      </c>
      <c r="F224" s="20" t="s">
        <v>374</v>
      </c>
      <c r="G224" s="8" t="str">
        <f t="shared" si="3"/>
        <v>LALONDE GREGORY</v>
      </c>
    </row>
    <row r="225" spans="1:7" x14ac:dyDescent="0.25">
      <c r="A225" s="8">
        <v>42794.928912037038</v>
      </c>
      <c r="B225" t="s">
        <v>357</v>
      </c>
      <c r="C225" t="s">
        <v>753</v>
      </c>
      <c r="D225" s="150">
        <v>1810000</v>
      </c>
      <c r="E225" t="s">
        <v>205</v>
      </c>
      <c r="F225" s="20" t="s">
        <v>199</v>
      </c>
      <c r="G225" s="8" t="str">
        <f t="shared" si="3"/>
        <v>NEWELL JAMES</v>
      </c>
    </row>
    <row r="226" spans="1:7" x14ac:dyDescent="0.25">
      <c r="A226" s="8">
        <v>42794.933240740742</v>
      </c>
      <c r="B226" t="s">
        <v>252</v>
      </c>
      <c r="C226" t="s">
        <v>754</v>
      </c>
      <c r="D226" s="150">
        <v>2000000</v>
      </c>
      <c r="E226" t="s">
        <v>324</v>
      </c>
      <c r="F226" s="20" t="s">
        <v>199</v>
      </c>
      <c r="G226" s="8" t="str">
        <f t="shared" si="3"/>
        <v>STAMBAUGH JAMES</v>
      </c>
    </row>
    <row r="227" spans="1:7" x14ac:dyDescent="0.25">
      <c r="A227" s="8">
        <v>42794.947199074071</v>
      </c>
      <c r="B227" t="s">
        <v>233</v>
      </c>
      <c r="C227" t="s">
        <v>755</v>
      </c>
      <c r="D227" s="150">
        <v>2530000</v>
      </c>
      <c r="E227" t="s">
        <v>373</v>
      </c>
      <c r="F227" s="20" t="s">
        <v>374</v>
      </c>
      <c r="G227" s="8" t="str">
        <f t="shared" si="3"/>
        <v>LALONDE GREGORY</v>
      </c>
    </row>
    <row r="228" spans="1:7" x14ac:dyDescent="0.25">
      <c r="A228" s="8">
        <v>42794.948298611111</v>
      </c>
      <c r="B228" t="s">
        <v>251</v>
      </c>
      <c r="C228" t="s">
        <v>756</v>
      </c>
      <c r="D228" s="150">
        <v>1740000</v>
      </c>
      <c r="E228" t="s">
        <v>227</v>
      </c>
      <c r="F228" s="20" t="s">
        <v>228</v>
      </c>
      <c r="G228" s="8" t="str">
        <f t="shared" si="3"/>
        <v>STORY SAMANTHA</v>
      </c>
    </row>
    <row r="229" spans="1:7" x14ac:dyDescent="0.25">
      <c r="A229" s="8">
        <v>42794.950092592589</v>
      </c>
      <c r="B229" t="s">
        <v>531</v>
      </c>
      <c r="C229" t="s">
        <v>757</v>
      </c>
      <c r="D229" s="150">
        <v>1800000</v>
      </c>
      <c r="E229" t="s">
        <v>239</v>
      </c>
      <c r="F229" s="20" t="s">
        <v>240</v>
      </c>
      <c r="G229" s="8" t="str">
        <f t="shared" si="3"/>
        <v>CHANDLER KELVIN</v>
      </c>
    </row>
    <row r="230" spans="1:7" x14ac:dyDescent="0.25">
      <c r="A230" s="8">
        <v>42794.974560185183</v>
      </c>
      <c r="B230" t="s">
        <v>253</v>
      </c>
      <c r="C230" t="s">
        <v>758</v>
      </c>
      <c r="D230" s="150">
        <v>2000000</v>
      </c>
      <c r="E230" t="s">
        <v>324</v>
      </c>
      <c r="F230" s="20" t="s">
        <v>199</v>
      </c>
      <c r="G230" s="8" t="str">
        <f t="shared" si="3"/>
        <v>STAMBAUGH JAMES</v>
      </c>
    </row>
    <row r="231" spans="1:7" x14ac:dyDescent="0.25">
      <c r="A231" s="8">
        <v>42794.977210648147</v>
      </c>
      <c r="B231" t="s">
        <v>359</v>
      </c>
      <c r="C231" t="s">
        <v>573</v>
      </c>
      <c r="D231" s="150">
        <v>1810000</v>
      </c>
      <c r="E231" t="s">
        <v>205</v>
      </c>
      <c r="F231" s="20" t="s">
        <v>199</v>
      </c>
      <c r="G231" s="8" t="str">
        <f t="shared" si="3"/>
        <v>NEWELL JAMES</v>
      </c>
    </row>
    <row r="232" spans="1:7" x14ac:dyDescent="0.25">
      <c r="A232" s="8">
        <v>42794.994467592594</v>
      </c>
      <c r="B232" t="s">
        <v>602</v>
      </c>
      <c r="C232" t="s">
        <v>759</v>
      </c>
      <c r="D232" s="150">
        <v>1800000</v>
      </c>
      <c r="E232" t="s">
        <v>239</v>
      </c>
      <c r="F232" s="20" t="s">
        <v>240</v>
      </c>
      <c r="G232" s="8" t="str">
        <f t="shared" si="3"/>
        <v>CHANDLER KELVIN</v>
      </c>
    </row>
    <row r="233" spans="1:7" x14ac:dyDescent="0.25">
      <c r="A233" s="8">
        <v>42794.995775462965</v>
      </c>
      <c r="B233" t="s">
        <v>216</v>
      </c>
      <c r="C233" t="s">
        <v>760</v>
      </c>
      <c r="D233" s="150">
        <v>1740000</v>
      </c>
      <c r="E233" t="s">
        <v>227</v>
      </c>
      <c r="F233" s="20" t="s">
        <v>228</v>
      </c>
      <c r="G233" s="8" t="str">
        <f t="shared" si="3"/>
        <v>STORY SAMANTHA</v>
      </c>
    </row>
    <row r="234" spans="1:7" x14ac:dyDescent="0.25">
      <c r="A234" s="8">
        <v>42795.007800925923</v>
      </c>
      <c r="B234" t="s">
        <v>252</v>
      </c>
      <c r="C234" t="s">
        <v>761</v>
      </c>
      <c r="D234" s="150">
        <v>2000000</v>
      </c>
      <c r="E234" t="s">
        <v>324</v>
      </c>
      <c r="F234" s="20" t="s">
        <v>199</v>
      </c>
      <c r="G234" s="8" t="str">
        <f t="shared" si="3"/>
        <v>STAMBAUGH JAMES</v>
      </c>
    </row>
    <row r="235" spans="1:7" x14ac:dyDescent="0.25">
      <c r="A235" s="8">
        <v>42795.016134259262</v>
      </c>
      <c r="B235" t="s">
        <v>357</v>
      </c>
      <c r="C235" t="s">
        <v>762</v>
      </c>
      <c r="D235" s="150">
        <v>1810000</v>
      </c>
      <c r="E235" t="s">
        <v>205</v>
      </c>
      <c r="F235" s="20" t="s">
        <v>199</v>
      </c>
      <c r="G235" s="8" t="str">
        <f t="shared" si="3"/>
        <v>NEWELL JAMES</v>
      </c>
    </row>
    <row r="236" spans="1:7" x14ac:dyDescent="0.25">
      <c r="A236" s="8">
        <v>42795.030034722222</v>
      </c>
      <c r="B236" t="s">
        <v>531</v>
      </c>
      <c r="C236" t="s">
        <v>763</v>
      </c>
      <c r="D236" s="150">
        <v>1800000</v>
      </c>
      <c r="E236" t="s">
        <v>239</v>
      </c>
      <c r="F236" s="20" t="s">
        <v>240</v>
      </c>
      <c r="G236" s="8" t="str">
        <f t="shared" si="3"/>
        <v>CHANDLER KELVIN</v>
      </c>
    </row>
    <row r="237" spans="1:7" x14ac:dyDescent="0.25">
      <c r="A237" s="8">
        <v>42795.03460648148</v>
      </c>
      <c r="B237" t="s">
        <v>217</v>
      </c>
      <c r="C237" t="s">
        <v>764</v>
      </c>
      <c r="D237" s="150">
        <v>1740000</v>
      </c>
      <c r="E237" t="s">
        <v>227</v>
      </c>
      <c r="F237" s="20" t="s">
        <v>228</v>
      </c>
      <c r="G237" s="8" t="str">
        <f t="shared" si="3"/>
        <v>STORY SAMANTHA</v>
      </c>
    </row>
    <row r="238" spans="1:7" x14ac:dyDescent="0.25">
      <c r="A238" s="8">
        <v>42795.052523148152</v>
      </c>
      <c r="B238" t="s">
        <v>359</v>
      </c>
      <c r="C238" t="s">
        <v>765</v>
      </c>
      <c r="D238" s="150">
        <v>1810000</v>
      </c>
      <c r="E238" t="s">
        <v>205</v>
      </c>
      <c r="F238" s="20" t="s">
        <v>199</v>
      </c>
      <c r="G238" s="8" t="str">
        <f t="shared" si="3"/>
        <v>NEWELL JAMES</v>
      </c>
    </row>
    <row r="239" spans="1:7" x14ac:dyDescent="0.25">
      <c r="A239" s="8">
        <v>42795.058912037035</v>
      </c>
      <c r="B239" t="s">
        <v>253</v>
      </c>
      <c r="C239" t="s">
        <v>766</v>
      </c>
      <c r="D239" s="150">
        <v>2000000</v>
      </c>
      <c r="E239" t="s">
        <v>324</v>
      </c>
      <c r="F239" s="20" t="s">
        <v>199</v>
      </c>
      <c r="G239" s="8" t="str">
        <f t="shared" si="3"/>
        <v>STAMBAUGH JAMES</v>
      </c>
    </row>
    <row r="240" spans="1:7" x14ac:dyDescent="0.25">
      <c r="A240" s="8">
        <v>42795.075578703705</v>
      </c>
      <c r="B240" t="s">
        <v>329</v>
      </c>
      <c r="C240" t="s">
        <v>767</v>
      </c>
      <c r="D240" s="150">
        <v>1740000</v>
      </c>
      <c r="E240" t="s">
        <v>227</v>
      </c>
      <c r="F240" s="20" t="s">
        <v>228</v>
      </c>
      <c r="G240" s="8" t="str">
        <f t="shared" si="3"/>
        <v>STORY SAMANTHA</v>
      </c>
    </row>
    <row r="241" spans="1:7" x14ac:dyDescent="0.25">
      <c r="A241" s="8">
        <v>42795.076909722222</v>
      </c>
      <c r="B241" t="s">
        <v>216</v>
      </c>
      <c r="C241" t="s">
        <v>768</v>
      </c>
      <c r="D241" s="150">
        <v>2730000</v>
      </c>
      <c r="E241" t="s">
        <v>272</v>
      </c>
      <c r="F241" s="20" t="s">
        <v>273</v>
      </c>
      <c r="G241" s="8" t="str">
        <f t="shared" si="3"/>
        <v>YANG JAN</v>
      </c>
    </row>
    <row r="242" spans="1:7" x14ac:dyDescent="0.25">
      <c r="A242" s="8">
        <v>42795.08966435185</v>
      </c>
      <c r="B242" t="s">
        <v>252</v>
      </c>
      <c r="C242" t="s">
        <v>769</v>
      </c>
      <c r="D242" s="150">
        <v>2000000</v>
      </c>
      <c r="E242" t="s">
        <v>324</v>
      </c>
      <c r="F242" s="20" t="s">
        <v>199</v>
      </c>
      <c r="G242" s="8" t="str">
        <f t="shared" si="3"/>
        <v>STAMBAUGH JAMES</v>
      </c>
    </row>
    <row r="243" spans="1:7" x14ac:dyDescent="0.25">
      <c r="A243" s="8">
        <v>42795.097881944443</v>
      </c>
      <c r="B243" t="s">
        <v>217</v>
      </c>
      <c r="C243" t="s">
        <v>770</v>
      </c>
      <c r="D243" s="150">
        <v>2730000</v>
      </c>
      <c r="E243" t="s">
        <v>272</v>
      </c>
      <c r="F243" s="20" t="s">
        <v>273</v>
      </c>
      <c r="G243" s="8" t="str">
        <f t="shared" si="3"/>
        <v>YANG JAN</v>
      </c>
    </row>
    <row r="244" spans="1:7" x14ac:dyDescent="0.25">
      <c r="A244" s="8">
        <v>42789.973611111112</v>
      </c>
      <c r="B244" t="s">
        <v>254</v>
      </c>
      <c r="C244" t="s">
        <v>300</v>
      </c>
      <c r="D244" s="150">
        <v>2370000</v>
      </c>
      <c r="E244" t="s">
        <v>297</v>
      </c>
      <c r="F244" s="20" t="s">
        <v>298</v>
      </c>
      <c r="G244" s="8" t="str">
        <f t="shared" si="3"/>
        <v>DELGADO DIANAH</v>
      </c>
    </row>
    <row r="245" spans="1:7" x14ac:dyDescent="0.25">
      <c r="A245" s="8">
        <v>42789.974247685182</v>
      </c>
      <c r="B245" t="s">
        <v>216</v>
      </c>
      <c r="C245" t="s">
        <v>301</v>
      </c>
      <c r="D245" s="150">
        <v>2540000</v>
      </c>
      <c r="E245" t="s">
        <v>221</v>
      </c>
      <c r="F245" s="20" t="s">
        <v>222</v>
      </c>
      <c r="G245" s="8" t="str">
        <f t="shared" si="3"/>
        <v>MCREYNOLDS KYLE</v>
      </c>
    </row>
    <row r="246" spans="1:7" x14ac:dyDescent="0.25">
      <c r="A246" s="8">
        <v>42789.977164351854</v>
      </c>
      <c r="B246" t="s">
        <v>278</v>
      </c>
      <c r="C246" t="s">
        <v>296</v>
      </c>
      <c r="D246" s="150">
        <v>2670000</v>
      </c>
      <c r="E246" t="s">
        <v>234</v>
      </c>
      <c r="F246" s="20" t="s">
        <v>235</v>
      </c>
      <c r="G246" s="8" t="str">
        <f t="shared" si="3"/>
        <v>COMELLA JUSTIN</v>
      </c>
    </row>
    <row r="247" spans="1:7" x14ac:dyDescent="0.25">
      <c r="A247" s="8">
        <v>42789.984456018516</v>
      </c>
      <c r="B247" t="s">
        <v>279</v>
      </c>
      <c r="C247" t="s">
        <v>299</v>
      </c>
      <c r="D247" s="150">
        <v>2730000</v>
      </c>
      <c r="E247" t="s">
        <v>272</v>
      </c>
      <c r="F247" s="20" t="s">
        <v>273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278</v>
      </c>
      <c r="C248" t="s">
        <v>296</v>
      </c>
      <c r="D248" s="150">
        <v>2670000</v>
      </c>
      <c r="E248" t="s">
        <v>234</v>
      </c>
      <c r="F248" s="20" t="s">
        <v>235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219</v>
      </c>
      <c r="C249" t="s">
        <v>302</v>
      </c>
      <c r="D249" s="150">
        <v>1800000</v>
      </c>
      <c r="E249" t="s">
        <v>239</v>
      </c>
      <c r="F249" s="20" t="s">
        <v>240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293</v>
      </c>
      <c r="C250" t="s">
        <v>303</v>
      </c>
      <c r="D250" s="150">
        <v>2270000</v>
      </c>
      <c r="E250" t="s">
        <v>230</v>
      </c>
      <c r="F250" s="20" t="s">
        <v>231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279</v>
      </c>
      <c r="C251" t="s">
        <v>299</v>
      </c>
      <c r="D251" s="150">
        <v>2730000</v>
      </c>
      <c r="E251" t="s">
        <v>272</v>
      </c>
      <c r="F251" s="20" t="s">
        <v>273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278</v>
      </c>
      <c r="C252" t="s">
        <v>296</v>
      </c>
      <c r="D252" s="150">
        <v>2670000</v>
      </c>
      <c r="E252" t="s">
        <v>234</v>
      </c>
      <c r="F252" s="20" t="s">
        <v>235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279</v>
      </c>
      <c r="C253" t="s">
        <v>299</v>
      </c>
      <c r="D253" s="150">
        <v>2730000</v>
      </c>
      <c r="E253" t="s">
        <v>272</v>
      </c>
      <c r="F253" s="20" t="s">
        <v>273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304</v>
      </c>
      <c r="D254" s="150">
        <v>2220000</v>
      </c>
      <c r="E254" t="s">
        <v>214</v>
      </c>
      <c r="F254" s="20" t="s">
        <v>215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217</v>
      </c>
      <c r="C255" t="s">
        <v>305</v>
      </c>
      <c r="D255" s="150">
        <v>2540000</v>
      </c>
      <c r="E255" t="s">
        <v>221</v>
      </c>
      <c r="F255" s="20" t="s">
        <v>222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278</v>
      </c>
      <c r="C256" t="s">
        <v>296</v>
      </c>
      <c r="D256" s="150">
        <v>2670000</v>
      </c>
      <c r="E256" t="s">
        <v>234</v>
      </c>
      <c r="F256" s="20" t="s">
        <v>235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279</v>
      </c>
      <c r="C257" t="s">
        <v>299</v>
      </c>
      <c r="D257" s="150">
        <v>2730000</v>
      </c>
      <c r="E257" t="s">
        <v>272</v>
      </c>
      <c r="F257" s="20" t="s">
        <v>273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278</v>
      </c>
      <c r="C258" t="s">
        <v>296</v>
      </c>
      <c r="D258" s="150">
        <v>2670000</v>
      </c>
      <c r="E258" t="s">
        <v>234</v>
      </c>
      <c r="F258" s="20" t="s">
        <v>235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220</v>
      </c>
      <c r="C259" t="s">
        <v>306</v>
      </c>
      <c r="D259" s="150">
        <v>1800000</v>
      </c>
      <c r="E259" t="s">
        <v>239</v>
      </c>
      <c r="F259" s="20" t="s">
        <v>240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279</v>
      </c>
      <c r="C260" t="s">
        <v>299</v>
      </c>
      <c r="D260" s="150">
        <v>2730000</v>
      </c>
      <c r="E260" t="s">
        <v>272</v>
      </c>
      <c r="F260" s="20" t="s">
        <v>273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291</v>
      </c>
      <c r="C261" t="s">
        <v>292</v>
      </c>
      <c r="D261" s="150">
        <v>2270000</v>
      </c>
      <c r="E261" t="s">
        <v>230</v>
      </c>
      <c r="F261" s="20" t="s">
        <v>231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278</v>
      </c>
      <c r="C262" t="s">
        <v>296</v>
      </c>
      <c r="D262" s="150">
        <v>2670000</v>
      </c>
      <c r="E262" t="s">
        <v>234</v>
      </c>
      <c r="F262" s="20" t="s">
        <v>235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216</v>
      </c>
      <c r="C263" t="s">
        <v>307</v>
      </c>
      <c r="D263" s="150">
        <v>2540000</v>
      </c>
      <c r="E263" t="s">
        <v>221</v>
      </c>
      <c r="F263" s="20" t="s">
        <v>222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279</v>
      </c>
      <c r="C264" t="s">
        <v>299</v>
      </c>
      <c r="D264" s="150">
        <v>2730000</v>
      </c>
      <c r="E264" t="s">
        <v>272</v>
      </c>
      <c r="F264" s="20" t="s">
        <v>273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254</v>
      </c>
      <c r="C265" t="s">
        <v>308</v>
      </c>
      <c r="D265" s="150">
        <v>2220000</v>
      </c>
      <c r="E265" t="s">
        <v>214</v>
      </c>
      <c r="F265" s="20" t="s">
        <v>215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278</v>
      </c>
      <c r="C266" t="s">
        <v>296</v>
      </c>
      <c r="D266" s="150">
        <v>2670000</v>
      </c>
      <c r="E266" t="s">
        <v>234</v>
      </c>
      <c r="F266" s="20" t="s">
        <v>235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279</v>
      </c>
      <c r="C267" t="s">
        <v>299</v>
      </c>
      <c r="D267" s="150">
        <v>2730000</v>
      </c>
      <c r="E267" t="s">
        <v>272</v>
      </c>
      <c r="F267" s="20" t="s">
        <v>273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293</v>
      </c>
      <c r="C268" t="s">
        <v>309</v>
      </c>
      <c r="D268" s="150">
        <v>2270000</v>
      </c>
      <c r="E268" t="s">
        <v>230</v>
      </c>
      <c r="F268" s="20" t="s">
        <v>231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278</v>
      </c>
      <c r="C269" t="s">
        <v>296</v>
      </c>
      <c r="D269" s="150">
        <v>2670000</v>
      </c>
      <c r="E269" t="s">
        <v>234</v>
      </c>
      <c r="F269" s="20" t="s">
        <v>235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279</v>
      </c>
      <c r="C270" t="s">
        <v>299</v>
      </c>
      <c r="D270" s="150">
        <v>2730000</v>
      </c>
      <c r="E270" t="s">
        <v>272</v>
      </c>
      <c r="F270" s="20" t="s">
        <v>273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310</v>
      </c>
      <c r="D271" s="150">
        <v>2220000</v>
      </c>
      <c r="E271" t="s">
        <v>214</v>
      </c>
      <c r="F271" s="20" t="s">
        <v>215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278</v>
      </c>
      <c r="C272" t="s">
        <v>296</v>
      </c>
      <c r="D272" s="150">
        <v>2670000</v>
      </c>
      <c r="E272" t="s">
        <v>234</v>
      </c>
      <c r="F272" s="20" t="s">
        <v>235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279</v>
      </c>
      <c r="C273" t="s">
        <v>299</v>
      </c>
      <c r="D273" s="150">
        <v>2730000</v>
      </c>
      <c r="E273" t="s">
        <v>272</v>
      </c>
      <c r="F273" s="20" t="s">
        <v>273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386</v>
      </c>
      <c r="I1" s="190" t="s">
        <v>168</v>
      </c>
      <c r="J1" s="190" t="s">
        <v>169</v>
      </c>
      <c r="K1" s="190" t="s">
        <v>387</v>
      </c>
      <c r="L1" s="190" t="s">
        <v>163</v>
      </c>
      <c r="M1" s="190" t="s">
        <v>161</v>
      </c>
      <c r="N1" s="190" t="s">
        <v>156</v>
      </c>
      <c r="O1" s="190" t="s">
        <v>166</v>
      </c>
      <c r="P1" s="190" t="s">
        <v>160</v>
      </c>
      <c r="Q1" s="190" t="s">
        <v>167</v>
      </c>
      <c r="R1" s="190" t="s">
        <v>164</v>
      </c>
    </row>
    <row r="2" spans="1:18" x14ac:dyDescent="0.25">
      <c r="A2" s="168">
        <v>30.88</v>
      </c>
      <c r="B2" s="168">
        <v>0.42</v>
      </c>
      <c r="C2" s="168">
        <v>20.440000000000001</v>
      </c>
      <c r="D2" s="8">
        <v>42794</v>
      </c>
      <c r="E2" s="168">
        <v>0.65</v>
      </c>
      <c r="F2" s="168" t="s">
        <v>390</v>
      </c>
      <c r="G2" s="168">
        <v>343.51</v>
      </c>
      <c r="H2" s="168">
        <v>1.7000000000000001E-2</v>
      </c>
      <c r="I2" s="168">
        <v>2.0999999999999999E-3</v>
      </c>
      <c r="J2" s="168">
        <v>0.05</v>
      </c>
      <c r="K2" s="168" t="s">
        <v>390</v>
      </c>
      <c r="L2" s="168">
        <v>1008.35</v>
      </c>
      <c r="M2" s="168" t="s">
        <v>391</v>
      </c>
      <c r="N2" s="168">
        <v>30.88</v>
      </c>
      <c r="O2" s="168">
        <v>1488265200</v>
      </c>
      <c r="P2" s="168">
        <v>6.47</v>
      </c>
      <c r="Q2" s="168">
        <v>351</v>
      </c>
      <c r="R2" s="168">
        <v>2.13</v>
      </c>
    </row>
    <row r="3" spans="1:18" x14ac:dyDescent="0.25">
      <c r="A3" s="168">
        <v>29.37</v>
      </c>
      <c r="B3" s="168">
        <v>0.33</v>
      </c>
      <c r="C3" s="168">
        <v>20.18</v>
      </c>
      <c r="D3" s="8">
        <v>42794.041666666664</v>
      </c>
      <c r="E3" s="168">
        <v>0.68</v>
      </c>
      <c r="F3" s="168" t="s">
        <v>388</v>
      </c>
      <c r="G3" s="168">
        <v>343.76</v>
      </c>
      <c r="H3" s="168">
        <v>8.9999999999999993E-3</v>
      </c>
      <c r="I3" s="168">
        <v>1E-3</v>
      </c>
      <c r="J3" s="168">
        <v>0.01</v>
      </c>
      <c r="K3" s="168" t="s">
        <v>390</v>
      </c>
      <c r="L3" s="168">
        <v>1008.72</v>
      </c>
      <c r="M3" s="168" t="s">
        <v>340</v>
      </c>
      <c r="N3" s="168">
        <v>29.37</v>
      </c>
      <c r="O3" s="168">
        <v>1488268800</v>
      </c>
      <c r="P3" s="168">
        <v>5.72</v>
      </c>
      <c r="Q3" s="168">
        <v>159</v>
      </c>
      <c r="R3" s="168">
        <v>1.33</v>
      </c>
    </row>
    <row r="4" spans="1:18" x14ac:dyDescent="0.25">
      <c r="A4" s="168">
        <v>28.1</v>
      </c>
      <c r="B4" s="168">
        <v>0.26</v>
      </c>
      <c r="C4" s="168">
        <v>19.57</v>
      </c>
      <c r="D4" s="8">
        <v>42794.083333333336</v>
      </c>
      <c r="E4" s="168">
        <v>0.7</v>
      </c>
      <c r="F4" s="168" t="s">
        <v>390</v>
      </c>
      <c r="G4" s="168">
        <v>344.01</v>
      </c>
      <c r="H4" s="168">
        <v>1.4999999999999999E-2</v>
      </c>
      <c r="I4" s="168">
        <v>1.5E-3</v>
      </c>
      <c r="J4" s="168">
        <v>0.03</v>
      </c>
      <c r="K4" s="168" t="s">
        <v>390</v>
      </c>
      <c r="L4" s="168">
        <v>1009.04</v>
      </c>
      <c r="M4" s="168" t="s">
        <v>391</v>
      </c>
      <c r="N4" s="168">
        <v>28.1</v>
      </c>
      <c r="O4" s="168">
        <v>1488272400</v>
      </c>
      <c r="P4" s="168">
        <v>6.11</v>
      </c>
      <c r="Q4" s="168">
        <v>156</v>
      </c>
      <c r="R4" s="168">
        <v>1.65</v>
      </c>
    </row>
    <row r="5" spans="1:18" x14ac:dyDescent="0.25">
      <c r="A5" s="168">
        <v>23.77</v>
      </c>
      <c r="B5" s="168">
        <v>0.36</v>
      </c>
      <c r="C5" s="168">
        <v>19.13</v>
      </c>
      <c r="D5" s="8">
        <v>42794.125</v>
      </c>
      <c r="E5" s="168">
        <v>0.71</v>
      </c>
      <c r="F5" s="168" t="s">
        <v>388</v>
      </c>
      <c r="G5" s="168">
        <v>345.39</v>
      </c>
      <c r="H5" s="168">
        <v>8.9999999999999993E-3</v>
      </c>
      <c r="I5" s="168">
        <v>8.9999999999999998E-4</v>
      </c>
      <c r="J5" s="168">
        <v>0.01</v>
      </c>
      <c r="K5" s="168" t="s">
        <v>390</v>
      </c>
      <c r="L5" s="168">
        <v>1009.4</v>
      </c>
      <c r="M5" s="168" t="s">
        <v>340</v>
      </c>
      <c r="N5" s="168">
        <v>27.33</v>
      </c>
      <c r="O5" s="168">
        <v>1488276000</v>
      </c>
      <c r="P5" s="168">
        <v>6.05</v>
      </c>
      <c r="Q5" s="168">
        <v>185</v>
      </c>
      <c r="R5" s="168">
        <v>3.17</v>
      </c>
    </row>
    <row r="6" spans="1:18" x14ac:dyDescent="0.25">
      <c r="A6" s="168">
        <v>27.24</v>
      </c>
      <c r="B6" s="168">
        <v>0.54</v>
      </c>
      <c r="C6" s="168">
        <v>18.829999999999998</v>
      </c>
      <c r="D6" s="8">
        <v>42794.166666666664</v>
      </c>
      <c r="E6" s="168">
        <v>0.7</v>
      </c>
      <c r="F6" s="168" t="s">
        <v>390</v>
      </c>
      <c r="G6" s="168">
        <v>347.2</v>
      </c>
      <c r="H6" s="168">
        <v>2.7E-2</v>
      </c>
      <c r="I6" s="168">
        <v>2.5000000000000001E-3</v>
      </c>
      <c r="J6" s="168">
        <v>7.0000000000000007E-2</v>
      </c>
      <c r="K6" s="168" t="s">
        <v>390</v>
      </c>
      <c r="L6" s="168">
        <v>1009.78</v>
      </c>
      <c r="M6" s="168" t="s">
        <v>771</v>
      </c>
      <c r="N6" s="168">
        <v>27.24</v>
      </c>
      <c r="O6" s="168">
        <v>1488279600</v>
      </c>
      <c r="P6" s="168">
        <v>4.93</v>
      </c>
      <c r="Q6" s="168">
        <v>179</v>
      </c>
      <c r="R6" s="168">
        <v>2.71</v>
      </c>
    </row>
    <row r="7" spans="1:18" x14ac:dyDescent="0.25">
      <c r="A7" s="168">
        <v>28.09</v>
      </c>
      <c r="B7" s="168">
        <v>0.65</v>
      </c>
      <c r="C7" s="168">
        <v>19.52</v>
      </c>
      <c r="D7" s="8">
        <v>42794.208333333336</v>
      </c>
      <c r="E7" s="168">
        <v>0.7</v>
      </c>
      <c r="F7" s="168" t="s">
        <v>390</v>
      </c>
      <c r="G7" s="168">
        <v>348.63</v>
      </c>
      <c r="H7" s="168">
        <v>0.05</v>
      </c>
      <c r="I7" s="168">
        <v>4.8999999999999998E-3</v>
      </c>
      <c r="J7" s="168">
        <v>0.2</v>
      </c>
      <c r="K7" s="168" t="s">
        <v>390</v>
      </c>
      <c r="L7" s="168">
        <v>1010.01</v>
      </c>
      <c r="M7" s="168" t="s">
        <v>771</v>
      </c>
      <c r="N7" s="168">
        <v>28.09</v>
      </c>
      <c r="O7" s="168">
        <v>1488283200</v>
      </c>
      <c r="P7" s="168">
        <v>5.09</v>
      </c>
      <c r="Q7" s="168">
        <v>181</v>
      </c>
      <c r="R7" s="168">
        <v>2.62</v>
      </c>
    </row>
    <row r="8" spans="1:18" x14ac:dyDescent="0.25">
      <c r="A8" s="168">
        <v>27.38</v>
      </c>
      <c r="B8" s="168">
        <v>0.61</v>
      </c>
      <c r="C8" s="168">
        <v>18.7</v>
      </c>
      <c r="D8" s="8">
        <v>42794.25</v>
      </c>
      <c r="E8" s="168">
        <v>0.69</v>
      </c>
      <c r="F8" s="168" t="s">
        <v>390</v>
      </c>
      <c r="G8" s="168">
        <v>349.12</v>
      </c>
      <c r="H8" s="168">
        <v>3.3000000000000002E-2</v>
      </c>
      <c r="I8" s="168">
        <v>3.0999999999999999E-3</v>
      </c>
      <c r="J8" s="168">
        <v>0.1</v>
      </c>
      <c r="K8" s="168" t="s">
        <v>390</v>
      </c>
      <c r="L8" s="168">
        <v>1009.79</v>
      </c>
      <c r="M8" s="168" t="s">
        <v>771</v>
      </c>
      <c r="N8" s="168">
        <v>27.38</v>
      </c>
      <c r="O8" s="168">
        <v>1488286800</v>
      </c>
      <c r="P8" s="168">
        <v>6.51</v>
      </c>
      <c r="Q8" s="168">
        <v>186</v>
      </c>
      <c r="R8" s="168">
        <v>2.17</v>
      </c>
    </row>
    <row r="9" spans="1:18" x14ac:dyDescent="0.25">
      <c r="A9" s="168">
        <v>28.3</v>
      </c>
      <c r="B9" s="168">
        <v>0.54</v>
      </c>
      <c r="C9" s="168">
        <v>19.3</v>
      </c>
      <c r="D9" s="8">
        <v>42794.291666666664</v>
      </c>
      <c r="E9" s="168">
        <v>0.69</v>
      </c>
      <c r="F9" s="168" t="s">
        <v>390</v>
      </c>
      <c r="G9" s="168">
        <v>349.22</v>
      </c>
      <c r="H9" s="168">
        <v>3.3000000000000002E-2</v>
      </c>
      <c r="I9" s="168">
        <v>3.3E-3</v>
      </c>
      <c r="J9" s="168">
        <v>0.11</v>
      </c>
      <c r="K9" s="168" t="s">
        <v>390</v>
      </c>
      <c r="L9" s="168">
        <v>1009.26</v>
      </c>
      <c r="M9" s="168" t="s">
        <v>771</v>
      </c>
      <c r="N9" s="168">
        <v>28.3</v>
      </c>
      <c r="O9" s="168">
        <v>1488290400</v>
      </c>
      <c r="P9" s="168">
        <v>5.66</v>
      </c>
      <c r="Q9" s="168">
        <v>162</v>
      </c>
      <c r="R9" s="168">
        <v>1.52</v>
      </c>
    </row>
    <row r="10" spans="1:18" x14ac:dyDescent="0.25">
      <c r="A10" s="168">
        <v>29.55</v>
      </c>
      <c r="B10" s="168">
        <v>0.5</v>
      </c>
      <c r="C10" s="168">
        <v>19.41</v>
      </c>
      <c r="D10" s="8">
        <v>42794.333333333336</v>
      </c>
      <c r="E10" s="168">
        <v>0.65</v>
      </c>
      <c r="F10" s="168" t="s">
        <v>390</v>
      </c>
      <c r="G10" s="168">
        <v>349.8</v>
      </c>
      <c r="H10" s="168">
        <v>8.3000000000000004E-2</v>
      </c>
      <c r="I10" s="168">
        <v>9.1000000000000004E-3</v>
      </c>
      <c r="J10" s="168">
        <v>0.49</v>
      </c>
      <c r="K10" s="168" t="s">
        <v>390</v>
      </c>
      <c r="L10" s="168">
        <v>1008.75</v>
      </c>
      <c r="M10" s="168" t="s">
        <v>771</v>
      </c>
      <c r="N10" s="168">
        <v>29.55</v>
      </c>
      <c r="O10" s="168">
        <v>1488294000</v>
      </c>
      <c r="P10" s="168">
        <v>4.45</v>
      </c>
      <c r="Q10" s="168">
        <v>145</v>
      </c>
      <c r="R10" s="168">
        <v>1.47</v>
      </c>
    </row>
    <row r="11" spans="1:18" x14ac:dyDescent="0.25">
      <c r="A11" s="168">
        <v>31.68</v>
      </c>
      <c r="B11" s="168">
        <v>0.53</v>
      </c>
      <c r="C11" s="168">
        <v>20.22</v>
      </c>
      <c r="D11" s="8">
        <v>42794.375</v>
      </c>
      <c r="E11" s="168">
        <v>0.62</v>
      </c>
      <c r="F11" s="168" t="s">
        <v>390</v>
      </c>
      <c r="G11" s="168">
        <v>351.13</v>
      </c>
      <c r="H11" s="168">
        <v>0.121</v>
      </c>
      <c r="I11" s="168">
        <v>1.54E-2</v>
      </c>
      <c r="J11" s="168">
        <v>0.56999999999999995</v>
      </c>
      <c r="K11" s="168" t="s">
        <v>390</v>
      </c>
      <c r="L11" s="168">
        <v>1008.38</v>
      </c>
      <c r="M11" s="168" t="s">
        <v>771</v>
      </c>
      <c r="N11" s="168">
        <v>31.68</v>
      </c>
      <c r="O11" s="168">
        <v>1488297600</v>
      </c>
      <c r="P11" s="168">
        <v>2.81</v>
      </c>
      <c r="Q11" s="168">
        <v>144</v>
      </c>
      <c r="R11" s="168">
        <v>2.31</v>
      </c>
    </row>
    <row r="12" spans="1:18" x14ac:dyDescent="0.25">
      <c r="A12" s="168">
        <v>30.55</v>
      </c>
      <c r="B12" s="168">
        <v>0.67</v>
      </c>
      <c r="C12" s="168">
        <v>20.63</v>
      </c>
      <c r="D12" s="8">
        <v>42794.416666666664</v>
      </c>
      <c r="E12" s="168">
        <v>0.56999999999999995</v>
      </c>
      <c r="F12" s="168" t="s">
        <v>390</v>
      </c>
      <c r="G12" s="168">
        <v>352.95</v>
      </c>
      <c r="H12" s="168">
        <v>5.5E-2</v>
      </c>
      <c r="I12" s="168">
        <v>7.3000000000000001E-3</v>
      </c>
      <c r="J12" s="168">
        <v>0.36</v>
      </c>
      <c r="K12" s="168" t="s">
        <v>390</v>
      </c>
      <c r="L12" s="168">
        <v>1008.09</v>
      </c>
      <c r="M12" s="168" t="s">
        <v>771</v>
      </c>
      <c r="N12" s="168">
        <v>34.119999999999997</v>
      </c>
      <c r="O12" s="168">
        <v>1488301200</v>
      </c>
      <c r="P12" s="168">
        <v>2.57</v>
      </c>
      <c r="Q12" s="168">
        <v>144</v>
      </c>
      <c r="R12" s="168">
        <v>3.98</v>
      </c>
    </row>
    <row r="13" spans="1:18" x14ac:dyDescent="0.25">
      <c r="A13" s="168">
        <v>32.35</v>
      </c>
      <c r="B13" s="168">
        <v>0.72</v>
      </c>
      <c r="C13" s="168">
        <v>20.58</v>
      </c>
      <c r="D13" s="8">
        <v>42794.458333333336</v>
      </c>
      <c r="E13" s="168">
        <v>0.52</v>
      </c>
      <c r="F13" s="168" t="s">
        <v>772</v>
      </c>
      <c r="G13" s="168">
        <v>355.21</v>
      </c>
      <c r="H13" s="168"/>
      <c r="I13" s="168">
        <v>7.6E-3</v>
      </c>
      <c r="J13" s="168">
        <v>0.38</v>
      </c>
      <c r="K13" s="168" t="s">
        <v>772</v>
      </c>
      <c r="L13" s="168">
        <v>1007.96</v>
      </c>
      <c r="M13" s="168" t="s">
        <v>773</v>
      </c>
      <c r="N13" s="168">
        <v>36.49</v>
      </c>
      <c r="O13" s="168">
        <v>1488304800</v>
      </c>
      <c r="P13" s="168">
        <v>3.36</v>
      </c>
      <c r="Q13" s="168">
        <v>152</v>
      </c>
      <c r="R13" s="168">
        <v>5.01</v>
      </c>
    </row>
    <row r="14" spans="1:18" x14ac:dyDescent="0.25">
      <c r="A14" s="168">
        <v>35.450000000000003</v>
      </c>
      <c r="B14" s="168">
        <v>0.66</v>
      </c>
      <c r="C14" s="168">
        <v>21.25</v>
      </c>
      <c r="D14" s="8">
        <v>42794.5</v>
      </c>
      <c r="E14" s="168">
        <v>0.51</v>
      </c>
      <c r="F14" s="168" t="s">
        <v>772</v>
      </c>
      <c r="G14" s="168">
        <v>358.1</v>
      </c>
      <c r="H14" s="168"/>
      <c r="I14" s="168">
        <v>8.2000000000000007E-3</v>
      </c>
      <c r="J14" s="168">
        <v>0.42</v>
      </c>
      <c r="K14" s="168" t="s">
        <v>772</v>
      </c>
      <c r="L14" s="168">
        <v>1007.87</v>
      </c>
      <c r="M14" s="168" t="s">
        <v>773</v>
      </c>
      <c r="N14" s="168">
        <v>37.94</v>
      </c>
      <c r="O14" s="168">
        <v>1488308400</v>
      </c>
      <c r="P14" s="168">
        <v>3.84</v>
      </c>
      <c r="Q14" s="168">
        <v>114</v>
      </c>
      <c r="R14" s="168">
        <v>3.5</v>
      </c>
    </row>
    <row r="15" spans="1:18" x14ac:dyDescent="0.25">
      <c r="A15" s="168">
        <v>35.49</v>
      </c>
      <c r="B15" s="168">
        <v>0.53</v>
      </c>
      <c r="C15" s="168">
        <v>22.22</v>
      </c>
      <c r="D15" s="8">
        <v>42794.541666666664</v>
      </c>
      <c r="E15" s="168">
        <v>0.52</v>
      </c>
      <c r="F15" s="168" t="s">
        <v>772</v>
      </c>
      <c r="G15" s="168">
        <v>361.45</v>
      </c>
      <c r="H15" s="168"/>
      <c r="I15" s="168">
        <v>1.5100000000000001E-2</v>
      </c>
      <c r="J15" s="168">
        <v>0.56999999999999995</v>
      </c>
      <c r="K15" s="168" t="s">
        <v>772</v>
      </c>
      <c r="L15" s="168">
        <v>1007.92</v>
      </c>
      <c r="M15" s="168" t="s">
        <v>774</v>
      </c>
      <c r="N15" s="168">
        <v>38.369999999999997</v>
      </c>
      <c r="O15" s="168">
        <v>1488312000</v>
      </c>
      <c r="P15" s="168">
        <v>2.64</v>
      </c>
      <c r="Q15" s="168">
        <v>80</v>
      </c>
      <c r="R15" s="168">
        <v>3.94</v>
      </c>
    </row>
    <row r="16" spans="1:18" x14ac:dyDescent="0.25">
      <c r="A16" s="168">
        <v>32.86</v>
      </c>
      <c r="B16" s="168">
        <v>0.52</v>
      </c>
      <c r="C16" s="168">
        <v>26.31</v>
      </c>
      <c r="D16" s="8">
        <v>42794.583333333336</v>
      </c>
      <c r="E16" s="168">
        <v>0.67</v>
      </c>
      <c r="F16" s="168" t="s">
        <v>772</v>
      </c>
      <c r="G16" s="168">
        <v>364.67</v>
      </c>
      <c r="H16" s="168"/>
      <c r="I16" s="168">
        <v>1.8800000000000001E-2</v>
      </c>
      <c r="J16" s="168">
        <v>0.6</v>
      </c>
      <c r="K16" s="168" t="s">
        <v>772</v>
      </c>
      <c r="L16" s="168">
        <v>1008.43</v>
      </c>
      <c r="M16" s="168" t="s">
        <v>774</v>
      </c>
      <c r="N16" s="168">
        <v>36.11</v>
      </c>
      <c r="O16" s="168">
        <v>1488315600</v>
      </c>
      <c r="P16" s="168">
        <v>3.83</v>
      </c>
      <c r="Q16" s="168">
        <v>77</v>
      </c>
      <c r="R16" s="168">
        <v>3.97</v>
      </c>
    </row>
    <row r="17" spans="1:18" x14ac:dyDescent="0.25">
      <c r="A17" s="168">
        <v>32.229999999999997</v>
      </c>
      <c r="B17" s="168">
        <v>0.56000000000000005</v>
      </c>
      <c r="C17" s="168">
        <v>26.93</v>
      </c>
      <c r="D17" s="8">
        <v>42794.625</v>
      </c>
      <c r="E17" s="168">
        <v>0.69</v>
      </c>
      <c r="F17" s="168" t="s">
        <v>772</v>
      </c>
      <c r="G17" s="168">
        <v>367.61</v>
      </c>
      <c r="H17" s="168"/>
      <c r="I17" s="168">
        <v>1.8499999999999999E-2</v>
      </c>
      <c r="J17" s="168">
        <v>0.6</v>
      </c>
      <c r="K17" s="168" t="s">
        <v>772</v>
      </c>
      <c r="L17" s="168">
        <v>1009.62</v>
      </c>
      <c r="M17" s="168" t="s">
        <v>774</v>
      </c>
      <c r="N17" s="168">
        <v>36.19</v>
      </c>
      <c r="O17" s="168">
        <v>1488319200</v>
      </c>
      <c r="P17" s="168">
        <v>3.73</v>
      </c>
      <c r="Q17" s="168">
        <v>64</v>
      </c>
      <c r="R17" s="168">
        <v>4.7300000000000004</v>
      </c>
    </row>
    <row r="18" spans="1:18" x14ac:dyDescent="0.25">
      <c r="A18" s="168">
        <v>31.83</v>
      </c>
      <c r="B18" s="168">
        <v>0.67</v>
      </c>
      <c r="C18" s="168">
        <v>27.29</v>
      </c>
      <c r="D18" s="8">
        <v>42794.666666666664</v>
      </c>
      <c r="E18" s="168">
        <v>0.69</v>
      </c>
      <c r="F18" s="168" t="s">
        <v>772</v>
      </c>
      <c r="G18" s="168">
        <v>370.43</v>
      </c>
      <c r="H18" s="168"/>
      <c r="I18" s="168">
        <v>8.6E-3</v>
      </c>
      <c r="J18" s="168">
        <v>0.45</v>
      </c>
      <c r="K18" s="168" t="s">
        <v>772</v>
      </c>
      <c r="L18" s="168">
        <v>1010.73</v>
      </c>
      <c r="M18" s="168" t="s">
        <v>773</v>
      </c>
      <c r="N18" s="168">
        <v>36.36</v>
      </c>
      <c r="O18" s="168">
        <v>1488322800</v>
      </c>
      <c r="P18" s="168">
        <v>3.46</v>
      </c>
      <c r="Q18" s="168">
        <v>67</v>
      </c>
      <c r="R18" s="168">
        <v>5.45</v>
      </c>
    </row>
    <row r="19" spans="1:18" x14ac:dyDescent="0.25">
      <c r="A19" s="168">
        <v>31.01</v>
      </c>
      <c r="B19" s="168">
        <v>0.74</v>
      </c>
      <c r="C19" s="168">
        <v>25.91</v>
      </c>
      <c r="D19" s="8">
        <v>42794.708333333336</v>
      </c>
      <c r="E19" s="168">
        <v>0.7</v>
      </c>
      <c r="F19" s="168" t="s">
        <v>390</v>
      </c>
      <c r="G19" s="168">
        <v>373.04</v>
      </c>
      <c r="H19" s="168">
        <v>0.10199999999999999</v>
      </c>
      <c r="I19" s="168">
        <v>1.34E-2</v>
      </c>
      <c r="J19" s="168">
        <v>0.55000000000000004</v>
      </c>
      <c r="K19" s="168" t="s">
        <v>390</v>
      </c>
      <c r="L19" s="168">
        <v>1012.08</v>
      </c>
      <c r="M19" s="168" t="s">
        <v>771</v>
      </c>
      <c r="N19" s="168">
        <v>34.729999999999997</v>
      </c>
      <c r="O19" s="168">
        <v>1488326400</v>
      </c>
      <c r="P19" s="168">
        <v>3.16</v>
      </c>
      <c r="Q19" s="168">
        <v>25</v>
      </c>
      <c r="R19" s="168">
        <v>4.22</v>
      </c>
    </row>
    <row r="20" spans="1:18" x14ac:dyDescent="0.25">
      <c r="A20" s="168">
        <v>26.22</v>
      </c>
      <c r="B20" s="168">
        <v>0.79</v>
      </c>
      <c r="C20" s="168">
        <v>25.89</v>
      </c>
      <c r="D20" s="8">
        <v>42794.75</v>
      </c>
      <c r="E20" s="168">
        <v>0.79</v>
      </c>
      <c r="F20" s="168" t="s">
        <v>390</v>
      </c>
      <c r="G20" s="168">
        <v>375.57</v>
      </c>
      <c r="H20" s="168">
        <v>3.5000000000000003E-2</v>
      </c>
      <c r="I20" s="168">
        <v>4.4999999999999997E-3</v>
      </c>
      <c r="J20" s="168">
        <v>0.18</v>
      </c>
      <c r="K20" s="168" t="s">
        <v>390</v>
      </c>
      <c r="L20" s="168">
        <v>1013.7</v>
      </c>
      <c r="M20" s="168" t="s">
        <v>771</v>
      </c>
      <c r="N20" s="168">
        <v>31.69</v>
      </c>
      <c r="O20" s="168">
        <v>1488330000</v>
      </c>
      <c r="P20" s="168">
        <v>3.95</v>
      </c>
      <c r="Q20" s="168">
        <v>352</v>
      </c>
      <c r="R20" s="168">
        <v>5.56</v>
      </c>
    </row>
    <row r="21" spans="1:18" x14ac:dyDescent="0.25">
      <c r="A21" s="168">
        <v>25.1</v>
      </c>
      <c r="B21" s="168">
        <v>0.61</v>
      </c>
      <c r="C21" s="168">
        <v>23.65</v>
      </c>
      <c r="D21" s="8">
        <v>42794.791666666664</v>
      </c>
      <c r="E21" s="168">
        <v>0.75</v>
      </c>
      <c r="F21" s="168" t="s">
        <v>388</v>
      </c>
      <c r="G21" s="168">
        <v>377.9</v>
      </c>
      <c r="H21" s="168">
        <v>8.9999999999999993E-3</v>
      </c>
      <c r="I21" s="168">
        <v>1.1000000000000001E-3</v>
      </c>
      <c r="J21" s="168">
        <v>0.01</v>
      </c>
      <c r="K21" s="168" t="s">
        <v>390</v>
      </c>
      <c r="L21" s="168">
        <v>1015.68</v>
      </c>
      <c r="M21" s="168" t="s">
        <v>389</v>
      </c>
      <c r="N21" s="168">
        <v>30.47</v>
      </c>
      <c r="O21" s="168">
        <v>1488333600</v>
      </c>
      <c r="P21" s="168">
        <v>5.96</v>
      </c>
      <c r="Q21" s="168">
        <v>339</v>
      </c>
      <c r="R21" s="168">
        <v>5.2</v>
      </c>
    </row>
    <row r="22" spans="1:18" x14ac:dyDescent="0.25">
      <c r="A22" s="168">
        <v>23.48</v>
      </c>
      <c r="B22" s="168">
        <v>0.41</v>
      </c>
      <c r="C22" s="168">
        <v>15.8</v>
      </c>
      <c r="D22" s="8">
        <v>42794.833333333336</v>
      </c>
      <c r="E22" s="168">
        <v>0.55000000000000004</v>
      </c>
      <c r="F22" s="168" t="s">
        <v>388</v>
      </c>
      <c r="G22" s="168">
        <v>379.54</v>
      </c>
      <c r="H22" s="168"/>
      <c r="I22" s="168">
        <v>0</v>
      </c>
      <c r="J22" s="168">
        <v>0</v>
      </c>
      <c r="K22" s="168"/>
      <c r="L22" s="168">
        <v>1017.56</v>
      </c>
      <c r="M22" s="168" t="s">
        <v>340</v>
      </c>
      <c r="N22" s="168">
        <v>29.84</v>
      </c>
      <c r="O22" s="168">
        <v>1488337200</v>
      </c>
      <c r="P22" s="168">
        <v>6.48</v>
      </c>
      <c r="Q22" s="168">
        <v>299</v>
      </c>
      <c r="R22" s="168">
        <v>6.23</v>
      </c>
    </row>
    <row r="23" spans="1:18" x14ac:dyDescent="0.25">
      <c r="A23" s="168">
        <v>23.36</v>
      </c>
      <c r="B23" s="168">
        <v>0.33</v>
      </c>
      <c r="C23" s="168">
        <v>8.3699999999999992</v>
      </c>
      <c r="D23" s="8">
        <v>42794.875</v>
      </c>
      <c r="E23" s="168">
        <v>0.41</v>
      </c>
      <c r="F23" s="168" t="s">
        <v>388</v>
      </c>
      <c r="G23" s="168">
        <v>380.45</v>
      </c>
      <c r="H23" s="168"/>
      <c r="I23" s="168">
        <v>0</v>
      </c>
      <c r="J23" s="168">
        <v>0</v>
      </c>
      <c r="K23" s="168"/>
      <c r="L23" s="168">
        <v>1019.18</v>
      </c>
      <c r="M23" s="168" t="s">
        <v>340</v>
      </c>
      <c r="N23" s="168">
        <v>29.26</v>
      </c>
      <c r="O23" s="168">
        <v>1488340800</v>
      </c>
      <c r="P23" s="168">
        <v>5.65</v>
      </c>
      <c r="Q23" s="168">
        <v>303</v>
      </c>
      <c r="R23" s="168">
        <v>5.54</v>
      </c>
    </row>
    <row r="24" spans="1:18" x14ac:dyDescent="0.25">
      <c r="A24" s="168">
        <v>22.48</v>
      </c>
      <c r="B24" s="168">
        <v>0.26</v>
      </c>
      <c r="C24" s="168">
        <v>5.81</v>
      </c>
      <c r="D24" s="8">
        <v>42794.916666666664</v>
      </c>
      <c r="E24" s="168">
        <v>0.38</v>
      </c>
      <c r="F24" s="168" t="s">
        <v>388</v>
      </c>
      <c r="G24" s="168">
        <v>380.68</v>
      </c>
      <c r="H24" s="168"/>
      <c r="I24" s="168">
        <v>0</v>
      </c>
      <c r="J24" s="168">
        <v>0</v>
      </c>
      <c r="K24" s="168"/>
      <c r="L24" s="168">
        <v>1020.59</v>
      </c>
      <c r="M24" s="168" t="s">
        <v>340</v>
      </c>
      <c r="N24" s="168">
        <v>28.37</v>
      </c>
      <c r="O24" s="168">
        <v>1488344400</v>
      </c>
      <c r="P24" s="168">
        <v>5.4</v>
      </c>
      <c r="Q24" s="168">
        <v>302</v>
      </c>
      <c r="R24" s="168">
        <v>5.35</v>
      </c>
    </row>
    <row r="25" spans="1:18" x14ac:dyDescent="0.25">
      <c r="A25" s="168">
        <v>23.85</v>
      </c>
      <c r="B25" s="168">
        <v>0.17</v>
      </c>
      <c r="C25" s="168">
        <v>5.48</v>
      </c>
      <c r="D25" s="8">
        <v>42794.958333333336</v>
      </c>
      <c r="E25" s="168">
        <v>0.37</v>
      </c>
      <c r="F25" s="168" t="s">
        <v>775</v>
      </c>
      <c r="G25" s="168">
        <v>379.85</v>
      </c>
      <c r="H25" s="168"/>
      <c r="I25" s="168">
        <v>0</v>
      </c>
      <c r="J25" s="168">
        <v>0</v>
      </c>
      <c r="K25" s="168"/>
      <c r="L25" s="168">
        <v>1021.65</v>
      </c>
      <c r="M25" s="168" t="s">
        <v>776</v>
      </c>
      <c r="N25" s="168">
        <v>28.25</v>
      </c>
      <c r="O25" s="168">
        <v>1488348000</v>
      </c>
      <c r="P25" s="168">
        <v>10</v>
      </c>
      <c r="Q25" s="168">
        <v>306</v>
      </c>
      <c r="R25" s="168">
        <v>3.91</v>
      </c>
    </row>
    <row r="26" spans="1:18" x14ac:dyDescent="0.25">
      <c r="A26" s="168">
        <v>22.71</v>
      </c>
      <c r="B26" s="168">
        <v>0.18</v>
      </c>
      <c r="C26" s="168">
        <v>3.87</v>
      </c>
      <c r="D26" s="8">
        <v>42795</v>
      </c>
      <c r="E26" s="168">
        <v>0.37</v>
      </c>
      <c r="F26" s="168" t="s">
        <v>775</v>
      </c>
      <c r="G26" s="168">
        <v>376.78</v>
      </c>
      <c r="H26" s="168"/>
      <c r="I26" s="168">
        <v>0</v>
      </c>
      <c r="J26" s="168">
        <v>0</v>
      </c>
      <c r="K26" s="168"/>
      <c r="L26" s="168">
        <v>1022.04</v>
      </c>
      <c r="M26" s="168" t="s">
        <v>776</v>
      </c>
      <c r="N26" s="168">
        <v>26.47</v>
      </c>
      <c r="O26" s="168">
        <v>1488351600</v>
      </c>
      <c r="P26" s="168">
        <v>5.71</v>
      </c>
      <c r="Q26" s="168">
        <v>319</v>
      </c>
      <c r="R26" s="168">
        <v>3.24</v>
      </c>
    </row>
    <row r="27" spans="1:18" x14ac:dyDescent="0.25">
      <c r="A27" s="168">
        <v>26.38</v>
      </c>
      <c r="B27" s="168">
        <v>0.11</v>
      </c>
      <c r="C27" s="168">
        <v>3.42</v>
      </c>
      <c r="D27" s="8">
        <v>42795.041666666664</v>
      </c>
      <c r="E27" s="168">
        <v>0.37</v>
      </c>
      <c r="F27" s="168" t="s">
        <v>775</v>
      </c>
      <c r="G27" s="168">
        <v>373.72</v>
      </c>
      <c r="H27" s="168"/>
      <c r="I27" s="168">
        <v>0</v>
      </c>
      <c r="J27" s="168">
        <v>0</v>
      </c>
      <c r="K27" s="168"/>
      <c r="L27" s="168">
        <v>1022.41</v>
      </c>
      <c r="M27" s="168" t="s">
        <v>776</v>
      </c>
      <c r="N27" s="168">
        <v>26.38</v>
      </c>
      <c r="O27" s="168">
        <v>1488355200</v>
      </c>
      <c r="P27" s="168">
        <v>5.64</v>
      </c>
      <c r="Q27" s="168">
        <v>316</v>
      </c>
      <c r="R27" s="168">
        <v>1.98</v>
      </c>
    </row>
    <row r="28" spans="1:18" x14ac:dyDescent="0.25">
      <c r="A28" s="168">
        <v>26.26</v>
      </c>
      <c r="B28" s="168">
        <v>0.08</v>
      </c>
      <c r="C28" s="168">
        <v>4.3</v>
      </c>
      <c r="D28" s="8">
        <v>42795.083333333336</v>
      </c>
      <c r="E28" s="168">
        <v>0.38</v>
      </c>
      <c r="F28" s="168" t="s">
        <v>775</v>
      </c>
      <c r="G28" s="168">
        <v>370.65</v>
      </c>
      <c r="H28" s="168"/>
      <c r="I28" s="168">
        <v>0</v>
      </c>
      <c r="J28" s="168">
        <v>0</v>
      </c>
      <c r="K28" s="168"/>
      <c r="L28" s="168">
        <v>1022.82</v>
      </c>
      <c r="M28" s="168" t="s">
        <v>776</v>
      </c>
      <c r="N28" s="168">
        <v>26.26</v>
      </c>
      <c r="O28" s="168">
        <v>1488358800</v>
      </c>
      <c r="P28" s="168">
        <v>3.91</v>
      </c>
      <c r="Q28" s="168">
        <v>300</v>
      </c>
      <c r="R28" s="168">
        <v>1.98</v>
      </c>
    </row>
    <row r="29" spans="1:18" x14ac:dyDescent="0.25">
      <c r="A29" s="168">
        <v>17.989999999999998</v>
      </c>
      <c r="B29" s="168">
        <v>7.0000000000000007E-2</v>
      </c>
      <c r="C29" s="168">
        <v>3.28</v>
      </c>
      <c r="D29" s="8">
        <v>42795.125</v>
      </c>
      <c r="E29" s="168">
        <v>0.43</v>
      </c>
      <c r="F29" s="168" t="s">
        <v>775</v>
      </c>
      <c r="G29" s="168">
        <v>368.27</v>
      </c>
      <c r="H29" s="168"/>
      <c r="I29" s="168">
        <v>0</v>
      </c>
      <c r="J29" s="168">
        <v>0</v>
      </c>
      <c r="K29" s="168"/>
      <c r="L29" s="168">
        <v>1023.83</v>
      </c>
      <c r="M29" s="168" t="s">
        <v>776</v>
      </c>
      <c r="N29" s="168">
        <v>22.37</v>
      </c>
      <c r="O29" s="168">
        <v>1488362400</v>
      </c>
      <c r="P29" s="168">
        <v>6.57</v>
      </c>
      <c r="Q29" s="168">
        <v>279</v>
      </c>
      <c r="R29" s="168">
        <v>3.27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937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938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939</v>
      </c>
      <c r="J20" s="152" t="s">
        <v>87</v>
      </c>
      <c r="M20" s="168" t="s">
        <v>355</v>
      </c>
      <c r="N20" s="168" t="s">
        <v>290</v>
      </c>
    </row>
    <row r="21" spans="3:14" x14ac:dyDescent="0.25">
      <c r="C21" t="s">
        <v>940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435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941</v>
      </c>
      <c r="J23" s="162" t="s">
        <v>95</v>
      </c>
      <c r="M23" s="168" t="str">
        <f>"-07"</f>
        <v>-07</v>
      </c>
    </row>
    <row r="24" spans="3:14" x14ac:dyDescent="0.25">
      <c r="C24" t="s">
        <v>942</v>
      </c>
      <c r="J24" s="152" t="s">
        <v>108</v>
      </c>
      <c r="M24" s="168" t="s">
        <v>110</v>
      </c>
    </row>
    <row r="25" spans="3:14" x14ac:dyDescent="0.25">
      <c r="C25" t="s">
        <v>943</v>
      </c>
      <c r="J25" s="152" t="s">
        <v>150</v>
      </c>
      <c r="M25" s="168" t="b">
        <v>1</v>
      </c>
    </row>
    <row r="26" spans="3:14" x14ac:dyDescent="0.25">
      <c r="C26" t="s">
        <v>944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C:\Users\stu\Documents\GitHub\eaglep3-reporting\EC\2017-02-28-refined-times.txt</v>
      </c>
    </row>
    <row r="27" spans="3:14" x14ac:dyDescent="0.25">
      <c r="C27" t="s">
        <v>945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C:\Users\stu\Documents\GitHub\eaglep3-reporting\EC\2017-02-28-Enforcements.txt</v>
      </c>
    </row>
    <row r="28" spans="3:14" x14ac:dyDescent="0.25">
      <c r="C28" t="s">
        <v>946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C:\Users\stu\Documents\GitHub\eaglep3-reporting\EC\2017-02-28-Runs-refined.txt</v>
      </c>
    </row>
    <row r="29" spans="3:14" x14ac:dyDescent="0.25">
      <c r="C29" t="s">
        <v>947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C:\Users\stu\Documents\GitHub\eaglep3-reporting\EC\2017-02-28-Trips.txt</v>
      </c>
    </row>
    <row r="30" spans="3:14" x14ac:dyDescent="0.25">
      <c r="C30" t="s">
        <v>948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C:\Users\stu\Documents\GitHub\eaglep3-reporting\EC\2017-02-28-Weather.txt</v>
      </c>
    </row>
    <row r="31" spans="3:14" x14ac:dyDescent="0.25">
      <c r="C31" t="s">
        <v>949</v>
      </c>
      <c r="J31" s="152" t="s">
        <v>210</v>
      </c>
      <c r="M31" s="168" t="s">
        <v>211</v>
      </c>
    </row>
    <row r="32" spans="3:14" x14ac:dyDescent="0.25">
      <c r="C32" t="s">
        <v>950</v>
      </c>
    </row>
    <row r="33" spans="3:3" x14ac:dyDescent="0.25">
      <c r="C33" t="s">
        <v>951</v>
      </c>
    </row>
    <row r="34" spans="3:3" x14ac:dyDescent="0.25">
      <c r="C34" t="s">
        <v>952</v>
      </c>
    </row>
    <row r="35" spans="3:3" x14ac:dyDescent="0.25">
      <c r="C35" t="s">
        <v>953</v>
      </c>
    </row>
    <row r="36" spans="3:3" x14ac:dyDescent="0.25">
      <c r="C36" t="s">
        <v>954</v>
      </c>
    </row>
    <row r="37" spans="3:3" x14ac:dyDescent="0.25">
      <c r="C37" t="s">
        <v>955</v>
      </c>
    </row>
    <row r="38" spans="3:3" x14ac:dyDescent="0.25">
      <c r="C38" t="s">
        <v>956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437</v>
      </c>
      <c r="B1" t="str">
        <f t="shared" ref="B1:B30" si="0">MID(A1,6,23)</f>
        <v>2017/02/27 10:31:51.370</v>
      </c>
      <c r="C1" t="e">
        <f>ABS(B1-#REF!)</f>
        <v>#REF!</v>
      </c>
    </row>
    <row r="2" spans="1:3" x14ac:dyDescent="0.25">
      <c r="A2" t="s">
        <v>438</v>
      </c>
      <c r="B2" s="20" t="str">
        <f t="shared" si="0"/>
        <v>2017/02/27 11:51:27.761</v>
      </c>
      <c r="C2">
        <f>ABS(B2-B1)</f>
        <v>5.5282303241256159E-2</v>
      </c>
    </row>
    <row r="3" spans="1:3" x14ac:dyDescent="0.25">
      <c r="A3" t="s">
        <v>439</v>
      </c>
      <c r="B3" s="20" t="str">
        <f t="shared" si="0"/>
        <v>2017/02/27 11:51:28.062</v>
      </c>
      <c r="C3" s="20">
        <f t="shared" ref="C3:C30" si="1">ABS(B3-B2)</f>
        <v>3.4838012652471662E-6</v>
      </c>
    </row>
    <row r="4" spans="1:3" x14ac:dyDescent="0.25">
      <c r="A4" t="s">
        <v>440</v>
      </c>
      <c r="B4" s="20" t="str">
        <f t="shared" si="0"/>
        <v>2017/02/27 12:59:40.756</v>
      </c>
      <c r="C4" s="20">
        <f t="shared" si="1"/>
        <v>4.7369143518153578E-2</v>
      </c>
    </row>
    <row r="5" spans="1:3" x14ac:dyDescent="0.25">
      <c r="A5" t="s">
        <v>441</v>
      </c>
      <c r="B5" s="20" t="str">
        <f t="shared" si="0"/>
        <v>2017/02/27 12:59:41.332</v>
      </c>
      <c r="C5" s="20">
        <f t="shared" si="1"/>
        <v>6.6666616476140916E-6</v>
      </c>
    </row>
    <row r="6" spans="1:3" x14ac:dyDescent="0.25">
      <c r="A6" t="s">
        <v>442</v>
      </c>
      <c r="B6" s="20" t="str">
        <f t="shared" si="0"/>
        <v>2017/02/27 12:59:41.569</v>
      </c>
      <c r="C6" s="20">
        <f t="shared" si="1"/>
        <v>2.7430578484199941E-6</v>
      </c>
    </row>
    <row r="7" spans="1:3" x14ac:dyDescent="0.25">
      <c r="A7" t="s">
        <v>443</v>
      </c>
      <c r="B7" s="20" t="str">
        <f t="shared" si="0"/>
        <v>2017/02/27 13:21:42.393</v>
      </c>
      <c r="C7" s="20">
        <f t="shared" si="1"/>
        <v>1.5287314818124287E-2</v>
      </c>
    </row>
    <row r="8" spans="1:3" x14ac:dyDescent="0.25">
      <c r="A8" t="s">
        <v>444</v>
      </c>
      <c r="B8" s="20" t="str">
        <f t="shared" si="0"/>
        <v>2017/02/27 13:21:42.713</v>
      </c>
      <c r="C8" s="20">
        <f t="shared" si="1"/>
        <v>3.7037025322206318E-6</v>
      </c>
    </row>
    <row r="9" spans="1:3" x14ac:dyDescent="0.25">
      <c r="A9" t="s">
        <v>445</v>
      </c>
      <c r="B9" s="20" t="str">
        <f t="shared" si="0"/>
        <v>2017/02/27 13:21:43.132</v>
      </c>
      <c r="C9" s="20">
        <f t="shared" si="1"/>
        <v>4.8495348892174661E-6</v>
      </c>
    </row>
    <row r="10" spans="1:3" x14ac:dyDescent="0.25">
      <c r="A10" t="s">
        <v>446</v>
      </c>
      <c r="B10" s="20" t="str">
        <f t="shared" si="0"/>
        <v>2017/02/27 13:23:24.697</v>
      </c>
      <c r="C10" s="20">
        <f t="shared" si="1"/>
        <v>1.1755208324757405E-3</v>
      </c>
    </row>
    <row r="11" spans="1:3" x14ac:dyDescent="0.25">
      <c r="A11" t="s">
        <v>447</v>
      </c>
      <c r="B11" s="20" t="str">
        <f t="shared" si="0"/>
        <v>2017/02/27 13:23:25.539</v>
      </c>
      <c r="C11" s="20">
        <f t="shared" si="1"/>
        <v>9.7453739726915956E-6</v>
      </c>
    </row>
    <row r="12" spans="1:3" x14ac:dyDescent="0.25">
      <c r="A12" t="s">
        <v>448</v>
      </c>
      <c r="B12" s="20" t="str">
        <f t="shared" si="0"/>
        <v>2017/02/27 13:23:26.265</v>
      </c>
      <c r="C12" s="20">
        <f t="shared" si="1"/>
        <v>8.4027778939343989E-6</v>
      </c>
    </row>
    <row r="13" spans="1:3" x14ac:dyDescent="0.25">
      <c r="A13" t="s">
        <v>449</v>
      </c>
      <c r="B13" s="20" t="str">
        <f t="shared" si="0"/>
        <v>2017/02/27 13:50:09.066</v>
      </c>
      <c r="C13" s="20">
        <f t="shared" si="1"/>
        <v>1.855093750054948E-2</v>
      </c>
    </row>
    <row r="14" spans="1:3" x14ac:dyDescent="0.25">
      <c r="A14" t="s">
        <v>450</v>
      </c>
      <c r="B14" s="20" t="str">
        <f t="shared" si="0"/>
        <v>2017/02/27 13:50:09.661</v>
      </c>
      <c r="C14" s="20">
        <f t="shared" si="1"/>
        <v>6.8865701905451715E-6</v>
      </c>
    </row>
    <row r="15" spans="1:3" x14ac:dyDescent="0.25">
      <c r="A15" t="s">
        <v>451</v>
      </c>
      <c r="B15" s="20" t="str">
        <f t="shared" si="0"/>
        <v>2017/02/27 13:50:09.755</v>
      </c>
      <c r="C15" s="20">
        <f t="shared" si="1"/>
        <v>1.0879666660912335E-6</v>
      </c>
    </row>
    <row r="16" spans="1:3" x14ac:dyDescent="0.25">
      <c r="A16" t="s">
        <v>452</v>
      </c>
      <c r="B16" s="20" t="str">
        <f t="shared" si="0"/>
        <v>2017/02/27 14:35:30.465</v>
      </c>
      <c r="C16" s="20">
        <f t="shared" si="1"/>
        <v>3.1489699067606125E-2</v>
      </c>
    </row>
    <row r="17" spans="1:3" x14ac:dyDescent="0.25">
      <c r="A17" t="s">
        <v>453</v>
      </c>
      <c r="B17" s="20" t="str">
        <f t="shared" si="0"/>
        <v>2017/02/27 14:35:30.594</v>
      </c>
      <c r="C17" s="20">
        <f t="shared" si="1"/>
        <v>1.4930556062608957E-6</v>
      </c>
    </row>
    <row r="18" spans="1:3" x14ac:dyDescent="0.25">
      <c r="A18" t="s">
        <v>454</v>
      </c>
      <c r="B18" s="20" t="str">
        <f t="shared" si="0"/>
        <v>2017/02/27 14:35:30.776</v>
      </c>
      <c r="C18" s="20">
        <f t="shared" si="1"/>
        <v>2.1064843167550862E-6</v>
      </c>
    </row>
    <row r="19" spans="1:3" x14ac:dyDescent="0.25">
      <c r="A19" t="s">
        <v>455</v>
      </c>
      <c r="B19" s="20" t="str">
        <f t="shared" si="0"/>
        <v>2017/02/27 15:10:04.735</v>
      </c>
      <c r="C19" s="20">
        <f t="shared" si="1"/>
        <v>2.4004155093280133E-2</v>
      </c>
    </row>
    <row r="20" spans="1:3" x14ac:dyDescent="0.25">
      <c r="A20" t="s">
        <v>456</v>
      </c>
      <c r="B20" s="20" t="str">
        <f t="shared" si="0"/>
        <v>2017/02/27 15:10:05.118</v>
      </c>
      <c r="C20" s="20">
        <f t="shared" si="1"/>
        <v>4.432869900483638E-6</v>
      </c>
    </row>
    <row r="21" spans="1:3" x14ac:dyDescent="0.25">
      <c r="A21" t="s">
        <v>457</v>
      </c>
      <c r="B21" s="20" t="str">
        <f t="shared" si="0"/>
        <v>2017/02/27 15:10:05.393</v>
      </c>
      <c r="C21" s="20">
        <f t="shared" si="1"/>
        <v>3.1828676583245397E-6</v>
      </c>
    </row>
    <row r="22" spans="1:3" x14ac:dyDescent="0.25">
      <c r="A22" t="s">
        <v>458</v>
      </c>
      <c r="B22" s="20" t="str">
        <f t="shared" si="0"/>
        <v>2017/02/27 15:20:26.777</v>
      </c>
      <c r="C22" s="20">
        <f t="shared" si="1"/>
        <v>7.1919444453669712E-3</v>
      </c>
    </row>
    <row r="23" spans="1:3" x14ac:dyDescent="0.25">
      <c r="A23" t="s">
        <v>459</v>
      </c>
      <c r="B23" s="20" t="str">
        <f t="shared" si="0"/>
        <v>2017/02/27 15:20:27.077</v>
      </c>
      <c r="C23" s="20">
        <f t="shared" si="1"/>
        <v>3.4722252166830003E-6</v>
      </c>
    </row>
    <row r="24" spans="1:3" x14ac:dyDescent="0.25">
      <c r="A24" t="s">
        <v>460</v>
      </c>
      <c r="B24" s="20" t="str">
        <f t="shared" si="0"/>
        <v>2017/02/27 15:20:27.679</v>
      </c>
      <c r="C24" s="20">
        <f t="shared" si="1"/>
        <v>6.9675879785791039E-6</v>
      </c>
    </row>
    <row r="25" spans="1:3" x14ac:dyDescent="0.25">
      <c r="A25" t="s">
        <v>461</v>
      </c>
      <c r="B25" s="20" t="str">
        <f t="shared" si="0"/>
        <v>2017/02/27 15:24:08.410</v>
      </c>
      <c r="C25" s="20">
        <f t="shared" si="1"/>
        <v>2.5547569457557984E-3</v>
      </c>
    </row>
    <row r="26" spans="1:3" x14ac:dyDescent="0.25">
      <c r="A26" t="s">
        <v>462</v>
      </c>
      <c r="B26" s="20" t="str">
        <f t="shared" si="0"/>
        <v>2017/02/27 15:24:09.305</v>
      </c>
      <c r="C26" s="20">
        <f t="shared" si="1"/>
        <v>1.0358795407228172E-5</v>
      </c>
    </row>
    <row r="27" spans="1:3" x14ac:dyDescent="0.25">
      <c r="A27" t="s">
        <v>463</v>
      </c>
      <c r="B27" s="20" t="str">
        <f t="shared" si="0"/>
        <v>2017/02/27 15:35:45.662</v>
      </c>
      <c r="C27" s="20">
        <f t="shared" si="1"/>
        <v>8.0596875050105155E-3</v>
      </c>
    </row>
    <row r="28" spans="1:3" x14ac:dyDescent="0.25">
      <c r="A28" t="s">
        <v>464</v>
      </c>
      <c r="B28" s="20" t="str">
        <f t="shared" si="0"/>
        <v>2017/02/27 15:35:45.763</v>
      </c>
      <c r="C28" s="20">
        <f t="shared" si="1"/>
        <v>1.1689771781675518E-6</v>
      </c>
    </row>
    <row r="29" spans="1:3" x14ac:dyDescent="0.25">
      <c r="A29" t="s">
        <v>465</v>
      </c>
      <c r="B29" s="20" t="str">
        <f t="shared" si="0"/>
        <v>2017/02/27 15:35:46.063</v>
      </c>
      <c r="C29" s="20">
        <f t="shared" si="1"/>
        <v>3.4722252166830003E-6</v>
      </c>
    </row>
    <row r="30" spans="1:3" x14ac:dyDescent="0.25">
      <c r="A30" t="s">
        <v>466</v>
      </c>
      <c r="B30" s="20" t="str">
        <f t="shared" si="0"/>
        <v>2017/02/27 17:20:53.754</v>
      </c>
      <c r="C30" s="20">
        <f t="shared" si="1"/>
        <v>7.3005682868824806E-2</v>
      </c>
    </row>
    <row r="31" spans="1:3" x14ac:dyDescent="0.25">
      <c r="A31" t="s">
        <v>467</v>
      </c>
      <c r="B31" s="20" t="str">
        <f t="shared" ref="B31:B32" si="2">MID(A31,6,23)</f>
        <v>2017/02/27 17:20:54.066</v>
      </c>
      <c r="C31" s="20">
        <f t="shared" ref="C31:C32" si="3">ABS(B31-B30)</f>
        <v>3.6111086956225336E-6</v>
      </c>
    </row>
    <row r="32" spans="1:3" x14ac:dyDescent="0.25">
      <c r="A32" t="s">
        <v>468</v>
      </c>
      <c r="B32" s="20" t="str">
        <f t="shared" si="2"/>
        <v>2017/02/27 17:27:04.298</v>
      </c>
      <c r="C32" s="20">
        <f t="shared" si="3"/>
        <v>4.2850925965467468E-3</v>
      </c>
    </row>
    <row r="33" spans="1:3" x14ac:dyDescent="0.25">
      <c r="A33" t="s">
        <v>469</v>
      </c>
      <c r="B33" s="20" t="str">
        <f t="shared" ref="B33:B49" si="4">MID(A33,6,23)</f>
        <v>2017/02/27 17:27:04.404</v>
      </c>
      <c r="C33" s="20">
        <f t="shared" ref="C33:C49" si="5">ABS(B33-B32)</f>
        <v>1.2268501450307667E-6</v>
      </c>
    </row>
    <row r="34" spans="1:3" x14ac:dyDescent="0.25">
      <c r="A34" t="s">
        <v>470</v>
      </c>
      <c r="B34" s="20" t="str">
        <f t="shared" si="4"/>
        <v>2017/02/27 17:27:04.450</v>
      </c>
      <c r="C34" s="20">
        <f t="shared" si="5"/>
        <v>5.3241092246025801E-7</v>
      </c>
    </row>
    <row r="35" spans="1:3" x14ac:dyDescent="0.25">
      <c r="A35" t="s">
        <v>471</v>
      </c>
      <c r="B35" s="20" t="str">
        <f t="shared" si="4"/>
        <v>2017/02/27 17:38:30.277</v>
      </c>
      <c r="C35" s="20">
        <f t="shared" si="5"/>
        <v>7.937812501040753E-3</v>
      </c>
    </row>
    <row r="36" spans="1:3" x14ac:dyDescent="0.25">
      <c r="A36" t="s">
        <v>472</v>
      </c>
      <c r="B36" s="20" t="str">
        <f t="shared" si="4"/>
        <v>2017/02/27 17:38:30.707</v>
      </c>
      <c r="C36" s="20">
        <f t="shared" si="5"/>
        <v>4.9768495955504477E-6</v>
      </c>
    </row>
    <row r="37" spans="1:3" x14ac:dyDescent="0.25">
      <c r="A37" t="s">
        <v>473</v>
      </c>
      <c r="B37" s="20" t="str">
        <f t="shared" si="4"/>
        <v>2017/02/27 17:38:31.208</v>
      </c>
      <c r="C37" s="20">
        <f t="shared" si="5"/>
        <v>5.7986108004115522E-6</v>
      </c>
    </row>
    <row r="38" spans="1:3" x14ac:dyDescent="0.25">
      <c r="A38" t="s">
        <v>474</v>
      </c>
      <c r="B38" s="20" t="str">
        <f t="shared" si="4"/>
        <v>2017/02/27 17:45:26.212</v>
      </c>
      <c r="C38" s="20">
        <f t="shared" si="5"/>
        <v>4.8032870327006094E-3</v>
      </c>
    </row>
    <row r="39" spans="1:3" x14ac:dyDescent="0.25">
      <c r="A39" t="s">
        <v>475</v>
      </c>
      <c r="B39" s="20" t="str">
        <f t="shared" si="4"/>
        <v>2017/02/27 17:50:21.851</v>
      </c>
      <c r="C39" s="20">
        <f t="shared" si="5"/>
        <v>3.4217476859339513E-3</v>
      </c>
    </row>
    <row r="40" spans="1:3" x14ac:dyDescent="0.25">
      <c r="A40" t="s">
        <v>476</v>
      </c>
      <c r="B40" s="20" t="str">
        <f t="shared" si="4"/>
        <v>2017/02/27 17:50:22.132</v>
      </c>
      <c r="C40" s="20">
        <f t="shared" si="5"/>
        <v>3.2523166737519205E-6</v>
      </c>
    </row>
    <row r="41" spans="1:3" x14ac:dyDescent="0.25">
      <c r="A41" t="s">
        <v>477</v>
      </c>
      <c r="B41" s="20" t="str">
        <f t="shared" si="4"/>
        <v>2017/02/27 17:50:24.777</v>
      </c>
      <c r="C41" s="20">
        <f t="shared" si="5"/>
        <v>3.0613424314651638E-5</v>
      </c>
    </row>
    <row r="42" spans="1:3" x14ac:dyDescent="0.25">
      <c r="A42" t="s">
        <v>478</v>
      </c>
      <c r="B42" s="20" t="str">
        <f t="shared" si="4"/>
        <v>2017/02/27 18:07:12.489</v>
      </c>
      <c r="C42" s="20">
        <f t="shared" si="5"/>
        <v>1.1663333338219672E-2</v>
      </c>
    </row>
    <row r="43" spans="1:3" x14ac:dyDescent="0.25">
      <c r="A43" t="s">
        <v>479</v>
      </c>
      <c r="B43" s="20" t="str">
        <f t="shared" si="4"/>
        <v>2017/02/27 18:07:13.605</v>
      </c>
      <c r="C43" s="20">
        <f t="shared" si="5"/>
        <v>1.2916665582451969E-5</v>
      </c>
    </row>
    <row r="44" spans="1:3" x14ac:dyDescent="0.25">
      <c r="A44" t="s">
        <v>480</v>
      </c>
      <c r="B44" s="20" t="str">
        <f t="shared" si="4"/>
        <v>2017/02/27 18:07:13.982</v>
      </c>
      <c r="C44" s="20">
        <f t="shared" si="5"/>
        <v>4.3634281610138714E-6</v>
      </c>
    </row>
    <row r="45" spans="1:3" x14ac:dyDescent="0.25">
      <c r="A45" t="s">
        <v>481</v>
      </c>
      <c r="B45" s="20" t="str">
        <f t="shared" si="4"/>
        <v>2017/02/27 18:15:28.350</v>
      </c>
      <c r="C45" s="20">
        <f t="shared" si="5"/>
        <v>5.7218518486479297E-3</v>
      </c>
    </row>
    <row r="46" spans="1:3" x14ac:dyDescent="0.25">
      <c r="A46" t="s">
        <v>482</v>
      </c>
      <c r="B46" s="20" t="str">
        <f t="shared" si="4"/>
        <v>2017/02/27 18:15:28.967</v>
      </c>
      <c r="C46" s="20">
        <f t="shared" si="5"/>
        <v>7.1412068791687489E-6</v>
      </c>
    </row>
    <row r="47" spans="1:3" x14ac:dyDescent="0.25">
      <c r="A47" t="s">
        <v>483</v>
      </c>
      <c r="B47" s="20" t="str">
        <f t="shared" si="4"/>
        <v>2017/02/27 18:15:29.577</v>
      </c>
      <c r="C47" s="20">
        <f t="shared" si="5"/>
        <v>7.0601818151772022E-6</v>
      </c>
    </row>
    <row r="48" spans="1:3" x14ac:dyDescent="0.25">
      <c r="A48" t="s">
        <v>484</v>
      </c>
      <c r="B48" s="20" t="str">
        <f t="shared" si="4"/>
        <v>2017/02/27 18:27:26.302</v>
      </c>
      <c r="C48" s="20">
        <f t="shared" si="5"/>
        <v>8.2954282406717539E-3</v>
      </c>
    </row>
    <row r="49" spans="1:3" x14ac:dyDescent="0.25">
      <c r="A49" t="s">
        <v>485</v>
      </c>
      <c r="B49" s="20" t="str">
        <f t="shared" si="4"/>
        <v>2017/02/27 18:49:34.778</v>
      </c>
      <c r="C49" s="20">
        <f t="shared" si="5"/>
        <v>1.5375879629573319E-2</v>
      </c>
    </row>
    <row r="50" spans="1:3" x14ac:dyDescent="0.25">
      <c r="A50" t="s">
        <v>486</v>
      </c>
      <c r="B50" s="20" t="str">
        <f t="shared" ref="B50:B54" si="6">MID(A50,6,23)</f>
        <v>2017/02/27 18:49:34.853</v>
      </c>
      <c r="C50" s="20">
        <f t="shared" ref="C50:C54" si="7">ABS(B50-B49)</f>
        <v>8.6805812316015363E-7</v>
      </c>
    </row>
    <row r="51" spans="1:3" x14ac:dyDescent="0.25">
      <c r="A51" t="s">
        <v>487</v>
      </c>
      <c r="B51" s="20" t="str">
        <f t="shared" si="6"/>
        <v>2017/02/27 18:49:35.123</v>
      </c>
      <c r="C51" s="20">
        <f t="shared" si="7"/>
        <v>3.1249946914613247E-6</v>
      </c>
    </row>
    <row r="52" spans="1:3" x14ac:dyDescent="0.25">
      <c r="A52" t="s">
        <v>488</v>
      </c>
      <c r="B52" s="20" t="str">
        <f t="shared" si="6"/>
        <v>2017/02/27 18:57:45.941</v>
      </c>
      <c r="C52" s="20">
        <f t="shared" si="7"/>
        <v>5.6807638902682811E-3</v>
      </c>
    </row>
    <row r="53" spans="1:3" x14ac:dyDescent="0.25">
      <c r="A53" t="s">
        <v>489</v>
      </c>
      <c r="B53" s="20" t="str">
        <f t="shared" si="6"/>
        <v>2017/02/27 18:57:46.704</v>
      </c>
      <c r="C53" s="20">
        <f t="shared" si="7"/>
        <v>8.8310189312323928E-6</v>
      </c>
    </row>
    <row r="54" spans="1:3" x14ac:dyDescent="0.25">
      <c r="A54" t="s">
        <v>490</v>
      </c>
      <c r="B54" s="20" t="str">
        <f t="shared" si="6"/>
        <v>2017/02/27 18:57:46.763</v>
      </c>
      <c r="C54" s="20">
        <f t="shared" si="7"/>
        <v>6.8287044996395707E-7</v>
      </c>
    </row>
    <row r="55" spans="1:3" x14ac:dyDescent="0.25">
      <c r="A55" t="s">
        <v>491</v>
      </c>
      <c r="B55" s="20" t="str">
        <f t="shared" ref="B55:B62" si="8">MID(A55,6,23)</f>
        <v>2017/02/27 19:18:15.947</v>
      </c>
      <c r="C55" s="20">
        <f t="shared" ref="C55:C62" si="9">ABS(B55-B54)</f>
        <v>1.422666666621808E-2</v>
      </c>
    </row>
    <row r="56" spans="1:3" x14ac:dyDescent="0.25">
      <c r="A56" t="s">
        <v>492</v>
      </c>
      <c r="B56" s="20" t="str">
        <f t="shared" si="8"/>
        <v>2017/02/27 19:18:16.236</v>
      </c>
      <c r="C56" s="20">
        <f t="shared" si="9"/>
        <v>3.3449105103500187E-6</v>
      </c>
    </row>
    <row r="57" spans="1:3" x14ac:dyDescent="0.25">
      <c r="A57" t="s">
        <v>493</v>
      </c>
      <c r="B57" s="20" t="str">
        <f t="shared" si="8"/>
        <v>2017/02/27 19:18:16.481</v>
      </c>
      <c r="C57" s="20">
        <f t="shared" si="9"/>
        <v>2.8356444090604782E-6</v>
      </c>
    </row>
    <row r="58" spans="1:3" x14ac:dyDescent="0.25">
      <c r="A58" t="s">
        <v>494</v>
      </c>
      <c r="B58" s="20" t="str">
        <f t="shared" si="8"/>
        <v>2017/02/27 19:27:45.268</v>
      </c>
      <c r="C58" s="20">
        <f t="shared" si="9"/>
        <v>6.5831828687805682E-3</v>
      </c>
    </row>
    <row r="59" spans="1:3" x14ac:dyDescent="0.25">
      <c r="A59" t="s">
        <v>495</v>
      </c>
      <c r="B59" s="20" t="str">
        <f t="shared" si="8"/>
        <v>2017/02/27 19:27:45.863</v>
      </c>
      <c r="C59" s="20">
        <f t="shared" si="9"/>
        <v>6.8865774665027857E-6</v>
      </c>
    </row>
    <row r="60" spans="1:3" x14ac:dyDescent="0.25">
      <c r="A60" t="s">
        <v>496</v>
      </c>
      <c r="B60" s="20" t="str">
        <f t="shared" si="8"/>
        <v>2017/02/27 19:27:46.596</v>
      </c>
      <c r="C60" s="20">
        <f t="shared" si="9"/>
        <v>8.4837956819683313E-6</v>
      </c>
    </row>
    <row r="61" spans="1:3" x14ac:dyDescent="0.25">
      <c r="A61" t="s">
        <v>497</v>
      </c>
      <c r="B61" s="20" t="str">
        <f t="shared" si="8"/>
        <v>2017/02/27 19:48:16.236</v>
      </c>
      <c r="C61" s="20">
        <f t="shared" si="9"/>
        <v>1.4231944442144595E-2</v>
      </c>
    </row>
    <row r="62" spans="1:3" x14ac:dyDescent="0.25">
      <c r="A62" t="s">
        <v>498</v>
      </c>
      <c r="B62" s="20" t="str">
        <f t="shared" si="8"/>
        <v>2017/02/27 19:48:16.837</v>
      </c>
      <c r="C62" s="20">
        <f t="shared" si="9"/>
        <v>6.9560192059725523E-6</v>
      </c>
    </row>
    <row r="63" spans="1:3" x14ac:dyDescent="0.25">
      <c r="A63" t="s">
        <v>499</v>
      </c>
      <c r="B63" s="20" t="str">
        <f t="shared" ref="B63:B86" si="10">MID(A63,6,23)</f>
        <v>2017/02/27 19:48:17.850</v>
      </c>
      <c r="C63" s="20">
        <f t="shared" ref="C63:C86" si="11">ABS(B63-B62)</f>
        <v>1.1724536307156086E-5</v>
      </c>
    </row>
    <row r="64" spans="1:3" x14ac:dyDescent="0.25">
      <c r="A64" t="s">
        <v>500</v>
      </c>
      <c r="B64" s="20" t="str">
        <f t="shared" si="10"/>
        <v>2017/02/27 20:26:46.310</v>
      </c>
      <c r="C64" s="20">
        <f t="shared" si="11"/>
        <v>2.6718287037510891E-2</v>
      </c>
    </row>
    <row r="65" spans="1:3" x14ac:dyDescent="0.25">
      <c r="A65" t="s">
        <v>501</v>
      </c>
      <c r="B65" s="20" t="str">
        <f t="shared" si="10"/>
        <v>2017/02/27 20:26:46.406</v>
      </c>
      <c r="C65" s="20">
        <f t="shared" si="11"/>
        <v>1.111111487261951E-6</v>
      </c>
    </row>
    <row r="66" spans="1:3" x14ac:dyDescent="0.25">
      <c r="A66" t="s">
        <v>502</v>
      </c>
      <c r="B66" s="20" t="str">
        <f t="shared" si="10"/>
        <v>2017/02/27 20:26:47.457</v>
      </c>
      <c r="C66" s="20">
        <f t="shared" si="11"/>
        <v>1.2164353393018246E-5</v>
      </c>
    </row>
    <row r="67" spans="1:3" x14ac:dyDescent="0.25">
      <c r="A67" t="s">
        <v>503</v>
      </c>
      <c r="B67" s="20" t="str">
        <f t="shared" si="10"/>
        <v>2017/02/27 20:48:26.851</v>
      </c>
      <c r="C67" s="20">
        <f t="shared" si="11"/>
        <v>1.503928240708774E-2</v>
      </c>
    </row>
    <row r="68" spans="1:3" x14ac:dyDescent="0.25">
      <c r="A68" t="s">
        <v>504</v>
      </c>
      <c r="B68" s="20" t="str">
        <f t="shared" si="10"/>
        <v>2017/02/27 20:48:27.120</v>
      </c>
      <c r="C68" s="20">
        <f t="shared" si="11"/>
        <v>3.113425918854773E-6</v>
      </c>
    </row>
    <row r="69" spans="1:3" x14ac:dyDescent="0.25">
      <c r="A69" t="s">
        <v>505</v>
      </c>
      <c r="B69" s="20" t="str">
        <f t="shared" si="10"/>
        <v>2017/02/27 20:48:28.774</v>
      </c>
      <c r="C69" s="20">
        <f t="shared" si="11"/>
        <v>1.9143517420161515E-5</v>
      </c>
    </row>
    <row r="70" spans="1:3" x14ac:dyDescent="0.25">
      <c r="A70" t="s">
        <v>506</v>
      </c>
      <c r="B70" s="20" t="str">
        <f t="shared" si="10"/>
        <v>2017/02/27 21:24:53.202</v>
      </c>
      <c r="C70" s="20">
        <f t="shared" si="11"/>
        <v>2.528273148345761E-2</v>
      </c>
    </row>
    <row r="71" spans="1:3" x14ac:dyDescent="0.25">
      <c r="A71" t="s">
        <v>507</v>
      </c>
      <c r="B71" s="20" t="str">
        <f t="shared" si="10"/>
        <v>2017/02/27 21:24:53.272</v>
      </c>
      <c r="C71" s="20">
        <f t="shared" si="11"/>
        <v>8.1018515629693866E-7</v>
      </c>
    </row>
    <row r="72" spans="1:3" x14ac:dyDescent="0.25">
      <c r="A72" t="s">
        <v>508</v>
      </c>
      <c r="B72" s="20" t="str">
        <f t="shared" si="10"/>
        <v>2017/02/27 21:24:53.699</v>
      </c>
      <c r="C72" s="20">
        <f t="shared" si="11"/>
        <v>4.9421287258155644E-6</v>
      </c>
    </row>
    <row r="73" spans="1:3" x14ac:dyDescent="0.25">
      <c r="A73" t="s">
        <v>509</v>
      </c>
      <c r="B73" s="20" t="str">
        <f t="shared" si="10"/>
        <v>2017/02/27 21:43:10.926</v>
      </c>
      <c r="C73" s="20">
        <f t="shared" si="11"/>
        <v>1.2699386577878613E-2</v>
      </c>
    </row>
    <row r="74" spans="1:3" x14ac:dyDescent="0.25">
      <c r="A74" t="s">
        <v>510</v>
      </c>
      <c r="B74" s="20" t="str">
        <f t="shared" si="10"/>
        <v>2017/02/27 21:43:11.224</v>
      </c>
      <c r="C74" s="20">
        <f t="shared" si="11"/>
        <v>3.4490731195546687E-6</v>
      </c>
    </row>
    <row r="75" spans="1:3" x14ac:dyDescent="0.25">
      <c r="A75" t="s">
        <v>511</v>
      </c>
      <c r="B75" s="20" t="str">
        <f t="shared" si="10"/>
        <v>2017/02/27 21:43:11.453</v>
      </c>
      <c r="C75" s="20">
        <f t="shared" si="11"/>
        <v>2.6504640118218958E-6</v>
      </c>
    </row>
    <row r="76" spans="1:3" x14ac:dyDescent="0.25">
      <c r="A76" t="s">
        <v>512</v>
      </c>
      <c r="B76" s="20" t="str">
        <f t="shared" si="10"/>
        <v>2017/02/27 22:12:36.701</v>
      </c>
      <c r="C76" s="20">
        <f t="shared" si="11"/>
        <v>2.0431111108337063E-2</v>
      </c>
    </row>
    <row r="77" spans="1:3" x14ac:dyDescent="0.25">
      <c r="A77" t="s">
        <v>513</v>
      </c>
      <c r="B77" s="20" t="str">
        <f t="shared" si="10"/>
        <v>2017/02/27 22:12:37.106</v>
      </c>
      <c r="C77" s="20">
        <f t="shared" si="11"/>
        <v>4.6874993131496012E-6</v>
      </c>
    </row>
    <row r="78" spans="1:3" x14ac:dyDescent="0.25">
      <c r="A78" t="s">
        <v>514</v>
      </c>
      <c r="B78" s="20" t="str">
        <f t="shared" si="10"/>
        <v>2017/02/27 22:12:37.382</v>
      </c>
      <c r="C78" s="20">
        <f t="shared" si="11"/>
        <v>3.1944437068887055E-6</v>
      </c>
    </row>
    <row r="79" spans="1:3" x14ac:dyDescent="0.25">
      <c r="A79" t="s">
        <v>515</v>
      </c>
      <c r="B79" s="20" t="str">
        <f t="shared" si="10"/>
        <v>2017/02/27 22:24:04.309</v>
      </c>
      <c r="C79" s="20">
        <f t="shared" si="11"/>
        <v>7.9505439862259664E-3</v>
      </c>
    </row>
    <row r="80" spans="1:3" x14ac:dyDescent="0.25">
      <c r="A80" t="s">
        <v>516</v>
      </c>
      <c r="B80" s="20" t="str">
        <f t="shared" si="10"/>
        <v>2017/02/27 22:24:04.434</v>
      </c>
      <c r="C80" s="20">
        <f t="shared" si="11"/>
        <v>1.4467586879618466E-6</v>
      </c>
    </row>
    <row r="81" spans="1:3" x14ac:dyDescent="0.25">
      <c r="A81" t="s">
        <v>517</v>
      </c>
      <c r="B81" s="20" t="str">
        <f t="shared" si="10"/>
        <v>2017/02/27 22:24:04.461</v>
      </c>
      <c r="C81" s="20">
        <f t="shared" si="11"/>
        <v>3.1249510357156396E-7</v>
      </c>
    </row>
    <row r="82" spans="1:3" x14ac:dyDescent="0.25">
      <c r="A82" t="s">
        <v>518</v>
      </c>
      <c r="B82" s="20" t="str">
        <f t="shared" si="10"/>
        <v>2017/02/27 22:43:21.887</v>
      </c>
      <c r="C82" s="20">
        <f t="shared" si="11"/>
        <v>1.3396134258073289E-2</v>
      </c>
    </row>
    <row r="83" spans="1:3" x14ac:dyDescent="0.25">
      <c r="A83" t="s">
        <v>519</v>
      </c>
      <c r="B83" s="20" t="str">
        <f t="shared" si="10"/>
        <v>2017/02/27 22:43:22.161</v>
      </c>
      <c r="C83" s="20">
        <f t="shared" si="11"/>
        <v>3.171298885717988E-6</v>
      </c>
    </row>
    <row r="84" spans="1:3" x14ac:dyDescent="0.25">
      <c r="A84" t="s">
        <v>520</v>
      </c>
      <c r="B84" s="20" t="str">
        <f t="shared" si="10"/>
        <v>2017/02/27 22:43:22.814</v>
      </c>
      <c r="C84" s="20">
        <f t="shared" si="11"/>
        <v>7.5578718679025769E-6</v>
      </c>
    </row>
    <row r="85" spans="1:3" x14ac:dyDescent="0.25">
      <c r="A85" t="s">
        <v>521</v>
      </c>
      <c r="B85" s="20" t="str">
        <f t="shared" si="10"/>
        <v>2017/02/27 23:47:42.883</v>
      </c>
      <c r="C85" s="20">
        <f t="shared" si="11"/>
        <v>4.467672453756677E-2</v>
      </c>
    </row>
    <row r="86" spans="1:3" x14ac:dyDescent="0.25">
      <c r="A86" t="s">
        <v>522</v>
      </c>
      <c r="B86" s="20" t="str">
        <f t="shared" si="10"/>
        <v>2017/02/27 23:47:42.930</v>
      </c>
      <c r="C86" s="20">
        <f t="shared" si="11"/>
        <v>5.4397969506680965E-7</v>
      </c>
    </row>
    <row r="87" spans="1:3" x14ac:dyDescent="0.25">
      <c r="A87" t="s">
        <v>523</v>
      </c>
      <c r="B87" s="20" t="str">
        <f t="shared" ref="B87:B92" si="12">MID(A87,6,23)</f>
        <v>2017/02/27 23:47:43.157</v>
      </c>
      <c r="C87" s="20">
        <f t="shared" ref="C87:C92" si="13">ABS(B87-B86)</f>
        <v>2.6273119146935642E-6</v>
      </c>
    </row>
    <row r="88" spans="1:3" x14ac:dyDescent="0.25">
      <c r="A88" t="s">
        <v>524</v>
      </c>
      <c r="B88" s="20" t="str">
        <f t="shared" si="12"/>
        <v>2017/02/27 23:47:43.184</v>
      </c>
      <c r="C88" s="20">
        <f t="shared" si="13"/>
        <v>3.1250237952917814E-7</v>
      </c>
    </row>
    <row r="89" spans="1:3" x14ac:dyDescent="0.25">
      <c r="A89" t="s">
        <v>525</v>
      </c>
      <c r="B89" s="20" t="str">
        <f t="shared" si="12"/>
        <v>2017/02/27 23:47:43.218</v>
      </c>
      <c r="C89" s="20">
        <f t="shared" si="13"/>
        <v>3.9352016756311059E-7</v>
      </c>
    </row>
    <row r="90" spans="1:3" x14ac:dyDescent="0.25">
      <c r="A90" t="s">
        <v>526</v>
      </c>
      <c r="B90" s="20" t="str">
        <f t="shared" si="12"/>
        <v>2017/02/28 01:55:51.127</v>
      </c>
      <c r="C90" s="20">
        <f t="shared" si="13"/>
        <v>8.8980428241484333E-2</v>
      </c>
    </row>
    <row r="91" spans="1:3" x14ac:dyDescent="0.25">
      <c r="A91" t="s">
        <v>527</v>
      </c>
      <c r="B91" s="20" t="str">
        <f t="shared" si="12"/>
        <v>2017/02/28 01:55:51.769</v>
      </c>
      <c r="C91" s="20">
        <f t="shared" si="13"/>
        <v>7.4305571615695953E-6</v>
      </c>
    </row>
    <row r="92" spans="1:3" x14ac:dyDescent="0.25">
      <c r="A92" t="s">
        <v>528</v>
      </c>
      <c r="B92" s="20" t="str">
        <f t="shared" si="12"/>
        <v>2017/02/28 01:55:51.845</v>
      </c>
      <c r="C92" s="20">
        <f t="shared" si="13"/>
        <v>8.7962689576670527E-7</v>
      </c>
    </row>
    <row r="93" spans="1:3" x14ac:dyDescent="0.25">
      <c r="B93" s="20"/>
      <c r="C93" s="20"/>
    </row>
    <row r="94" spans="1:3" x14ac:dyDescent="0.25">
      <c r="B94" s="20"/>
      <c r="C94" s="20"/>
    </row>
    <row r="95" spans="1:3" x14ac:dyDescent="0.25">
      <c r="B95" s="20"/>
      <c r="C95" s="20"/>
    </row>
    <row r="96" spans="1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2017-03-06T20:49:37Z</dcterms:modified>
</cp:coreProperties>
</file>